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06DC716F-604C-46D7-9FB8-FD00DC009AA3}" xr6:coauthVersionLast="47" xr6:coauthVersionMax="47" xr10:uidLastSave="{00000000-0000-0000-0000-000000000000}"/>
  <bookViews>
    <workbookView xWindow="1710" yWindow="1710" windowWidth="21600" windowHeight="11265" tabRatio="822" activeTab="4" xr2:uid="{00000000-000D-0000-FFFF-FFFF00000000}"/>
  </bookViews>
  <sheets>
    <sheet name="LogicCommon" sheetId="10" r:id="rId1"/>
    <sheet name="Srch01" sheetId="1" r:id="rId2"/>
    <sheet name="Upd01" sheetId="11" r:id="rId3"/>
    <sheet name="Del01" sheetId="14" r:id="rId4"/>
    <sheet name="来歴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A8" i="1" l="1"/>
  <c r="HW8" i="1"/>
  <c r="HS8" i="1"/>
  <c r="HO8" i="1"/>
  <c r="HK8" i="1"/>
  <c r="HG8" i="1"/>
  <c r="HC8" i="1"/>
  <c r="GY8" i="1"/>
  <c r="GU8" i="1"/>
  <c r="GQ8" i="1"/>
  <c r="GM8" i="1"/>
  <c r="GI8" i="1"/>
  <c r="GE8" i="1"/>
  <c r="GA8" i="1"/>
  <c r="FW8" i="1"/>
  <c r="FS8" i="1"/>
  <c r="FO8" i="1"/>
  <c r="FK8" i="1"/>
  <c r="FG8" i="1"/>
  <c r="FC8" i="1"/>
  <c r="EY8" i="1"/>
  <c r="EU8" i="1"/>
  <c r="EQ8" i="1"/>
  <c r="EM8" i="1"/>
  <c r="EI8" i="1"/>
  <c r="EE8" i="1"/>
  <c r="EA8" i="1"/>
  <c r="DW8" i="1"/>
  <c r="DS8" i="1"/>
  <c r="DO8" i="1"/>
  <c r="DK8" i="1"/>
  <c r="DG8" i="1"/>
  <c r="DC8" i="1"/>
  <c r="CY8" i="1"/>
  <c r="CU8" i="1"/>
  <c r="CQ8" i="1"/>
  <c r="CM8" i="1"/>
  <c r="CI8" i="1"/>
  <c r="CE8" i="1"/>
  <c r="CA8" i="1"/>
  <c r="BW8" i="1"/>
  <c r="BS8" i="1"/>
  <c r="BO8" i="1"/>
  <c r="BK8" i="1"/>
  <c r="BG8" i="1"/>
  <c r="BC8" i="1"/>
  <c r="AY8" i="1"/>
  <c r="AU8" i="1"/>
  <c r="AQ8" i="1"/>
  <c r="AM8" i="1"/>
  <c r="AI8" i="1"/>
  <c r="AE8" i="1"/>
  <c r="AA8" i="1"/>
  <c r="W8" i="1"/>
  <c r="S8" i="1"/>
  <c r="O8" i="1"/>
  <c r="IA7" i="1"/>
  <c r="HW7" i="1"/>
  <c r="HS7" i="1"/>
  <c r="HO7" i="1"/>
  <c r="HK7" i="1"/>
  <c r="HG7" i="1"/>
  <c r="HC7" i="1"/>
  <c r="GY7" i="1"/>
  <c r="GU7" i="1"/>
  <c r="GQ7" i="1"/>
  <c r="GM7" i="1"/>
  <c r="GI7" i="1"/>
  <c r="GE7" i="1"/>
  <c r="GA7" i="1"/>
  <c r="FW7" i="1"/>
  <c r="FS7" i="1"/>
  <c r="FO7" i="1"/>
  <c r="FK7" i="1"/>
  <c r="FG7" i="1"/>
  <c r="FC7" i="1"/>
  <c r="EY7" i="1"/>
  <c r="EU7" i="1"/>
  <c r="EQ7" i="1"/>
  <c r="EM7" i="1"/>
  <c r="EI7" i="1"/>
  <c r="EE7" i="1"/>
  <c r="EA7" i="1"/>
  <c r="DW7" i="1"/>
  <c r="DS7" i="1"/>
  <c r="DO7" i="1"/>
  <c r="DK7" i="1"/>
  <c r="DG7" i="1"/>
  <c r="DC7" i="1"/>
  <c r="CY7" i="1"/>
  <c r="CU7" i="1"/>
  <c r="CQ7" i="1"/>
  <c r="CM7" i="1"/>
  <c r="CI7" i="1"/>
  <c r="CE7" i="1"/>
  <c r="CA7" i="1"/>
  <c r="BW7" i="1"/>
  <c r="BS7" i="1"/>
  <c r="BO7" i="1"/>
  <c r="BK7" i="1"/>
  <c r="BG7" i="1"/>
  <c r="BC7" i="1"/>
  <c r="AY7" i="1"/>
  <c r="AU7" i="1"/>
  <c r="AQ7" i="1"/>
  <c r="AM7" i="1"/>
  <c r="AI7" i="1"/>
  <c r="AE7" i="1"/>
  <c r="AA7" i="1"/>
  <c r="W7" i="1"/>
  <c r="S7" i="1"/>
  <c r="O7" i="1"/>
  <c r="HY8" i="1" l="1"/>
  <c r="HU8" i="1"/>
  <c r="HQ8" i="1"/>
  <c r="HM8" i="1"/>
  <c r="HI8" i="1"/>
  <c r="HE8" i="1"/>
  <c r="HA8" i="1"/>
  <c r="GW8" i="1"/>
  <c r="GS8" i="1"/>
  <c r="GO8" i="1"/>
  <c r="GK8" i="1"/>
  <c r="GG8" i="1"/>
  <c r="GC8" i="1"/>
  <c r="FY8" i="1"/>
  <c r="FU8" i="1"/>
  <c r="FQ8" i="1"/>
  <c r="FM8" i="1"/>
  <c r="FI8" i="1"/>
  <c r="FE8" i="1"/>
  <c r="FA8" i="1"/>
  <c r="EW8" i="1"/>
  <c r="ES8" i="1"/>
  <c r="EO8" i="1"/>
  <c r="EK8" i="1"/>
  <c r="EG8" i="1"/>
  <c r="EC8" i="1"/>
  <c r="DY8" i="1"/>
  <c r="DU8" i="1"/>
  <c r="DQ8" i="1"/>
  <c r="DM8" i="1"/>
  <c r="DI8" i="1"/>
  <c r="DE8" i="1"/>
  <c r="DA8" i="1"/>
  <c r="CW8" i="1"/>
  <c r="CS8" i="1"/>
  <c r="CO8" i="1"/>
  <c r="CK8" i="1"/>
  <c r="CG8" i="1"/>
  <c r="CC8" i="1"/>
  <c r="BY8" i="1"/>
  <c r="BU8" i="1"/>
  <c r="BQ8" i="1"/>
  <c r="BM8" i="1"/>
  <c r="BI8" i="1"/>
  <c r="BE8" i="1"/>
  <c r="BA8" i="1"/>
  <c r="AW8" i="1"/>
  <c r="AS8" i="1"/>
  <c r="AO8" i="1"/>
  <c r="AK8" i="1"/>
  <c r="AG8" i="1"/>
  <c r="AC8" i="1"/>
  <c r="Y8" i="1"/>
  <c r="U8" i="1"/>
  <c r="M8" i="1"/>
  <c r="Q8" i="1"/>
  <c r="HZ8" i="14" l="1"/>
  <c r="HZ7" i="14"/>
  <c r="HX8" i="14"/>
  <c r="HX7" i="14"/>
  <c r="QP8" i="11"/>
  <c r="QP7" i="11"/>
  <c r="QN8" i="11"/>
  <c r="QN7" i="11"/>
  <c r="QL8" i="11"/>
  <c r="QL7" i="11"/>
  <c r="QJ8" i="11"/>
  <c r="QJ7" i="11"/>
  <c r="HY7" i="1" l="1"/>
  <c r="HV8" i="14" l="1"/>
  <c r="HT8" i="14"/>
  <c r="HV7" i="14"/>
  <c r="HT7" i="14"/>
  <c r="HR8" i="14"/>
  <c r="HP8" i="14"/>
  <c r="HR7" i="14"/>
  <c r="HP7" i="14"/>
  <c r="HN8" i="14"/>
  <c r="HL8" i="14"/>
  <c r="HN7" i="14"/>
  <c r="HL7" i="14"/>
  <c r="HJ8" i="14"/>
  <c r="HH8" i="14"/>
  <c r="HJ7" i="14"/>
  <c r="HH7" i="14"/>
  <c r="QH8" i="11"/>
  <c r="QF8" i="11"/>
  <c r="QD8" i="11"/>
  <c r="QB8" i="11"/>
  <c r="QH7" i="11"/>
  <c r="QF7" i="11"/>
  <c r="QD7" i="11"/>
  <c r="QB7" i="11"/>
  <c r="PZ8" i="11"/>
  <c r="PX8" i="11"/>
  <c r="PV8" i="11"/>
  <c r="PT8" i="11"/>
  <c r="PZ7" i="11"/>
  <c r="PX7" i="11"/>
  <c r="PV7" i="11"/>
  <c r="PT7" i="11"/>
  <c r="PR8" i="11"/>
  <c r="PP8" i="11"/>
  <c r="PN8" i="11"/>
  <c r="PL8" i="11"/>
  <c r="PR7" i="11"/>
  <c r="PP7" i="11"/>
  <c r="PN7" i="11"/>
  <c r="PL7" i="11"/>
  <c r="PJ8" i="11"/>
  <c r="PH8" i="11"/>
  <c r="PF8" i="11"/>
  <c r="PD8" i="11"/>
  <c r="PJ7" i="11"/>
  <c r="PH7" i="11"/>
  <c r="PF7" i="11"/>
  <c r="PD7" i="11"/>
  <c r="HU7" i="1"/>
  <c r="HQ7" i="1"/>
  <c r="HM7" i="1"/>
  <c r="HI7" i="1"/>
  <c r="HF8" i="14" l="1"/>
  <c r="HD8" i="14"/>
  <c r="HF7" i="14"/>
  <c r="HD7" i="14"/>
  <c r="PB8" i="11"/>
  <c r="OZ8" i="11"/>
  <c r="OX8" i="11"/>
  <c r="OV8" i="11"/>
  <c r="PB7" i="11"/>
  <c r="OZ7" i="11"/>
  <c r="OX7" i="11"/>
  <c r="OV7" i="11"/>
  <c r="HE7" i="1"/>
  <c r="P8" i="14" l="1"/>
  <c r="R8" i="14"/>
  <c r="T8" i="14"/>
  <c r="V8" i="14"/>
  <c r="X8" i="14"/>
  <c r="Z8" i="14"/>
  <c r="AB8" i="14"/>
  <c r="AD8" i="14"/>
  <c r="AF8" i="14"/>
  <c r="AH8" i="14"/>
  <c r="AJ8" i="14"/>
  <c r="AL8" i="14"/>
  <c r="AN8" i="14"/>
  <c r="AP8" i="14"/>
  <c r="AR8" i="14"/>
  <c r="AT8" i="14"/>
  <c r="AV8" i="14"/>
  <c r="AX8" i="14"/>
  <c r="AZ8" i="14"/>
  <c r="BB8" i="14"/>
  <c r="BD8" i="14"/>
  <c r="BF8" i="14"/>
  <c r="BH8" i="14"/>
  <c r="BJ8" i="14"/>
  <c r="BL8" i="14"/>
  <c r="BN8" i="14"/>
  <c r="BP8" i="14"/>
  <c r="BR8" i="14"/>
  <c r="BT8" i="14"/>
  <c r="BV8" i="14"/>
  <c r="BX8" i="14"/>
  <c r="BZ8" i="14"/>
  <c r="CB8" i="14"/>
  <c r="CD8" i="14"/>
  <c r="CF8" i="14"/>
  <c r="CH8" i="14"/>
  <c r="CJ8" i="14"/>
  <c r="CL8" i="14"/>
  <c r="CN8" i="14"/>
  <c r="CP8" i="14"/>
  <c r="CR8" i="14"/>
  <c r="CT8" i="14"/>
  <c r="CV8" i="14"/>
  <c r="CX8" i="14"/>
  <c r="CZ8" i="14"/>
  <c r="DB8" i="14"/>
  <c r="DD8" i="14"/>
  <c r="DF8" i="14"/>
  <c r="DH8" i="14"/>
  <c r="DJ8" i="14"/>
  <c r="DL8" i="14"/>
  <c r="DN8" i="14"/>
  <c r="DP8" i="14"/>
  <c r="DR8" i="14"/>
  <c r="DT8" i="14"/>
  <c r="DV8" i="14"/>
  <c r="DX8" i="14"/>
  <c r="DZ8" i="14"/>
  <c r="EB8" i="14"/>
  <c r="ED8" i="14"/>
  <c r="EF8" i="14"/>
  <c r="EH8" i="14"/>
  <c r="EJ8" i="14"/>
  <c r="EL8" i="14"/>
  <c r="EN8" i="14"/>
  <c r="EP8" i="14"/>
  <c r="ER8" i="14"/>
  <c r="ET8" i="14"/>
  <c r="EV8" i="14"/>
  <c r="EX8" i="14"/>
  <c r="EZ8" i="14"/>
  <c r="FB8" i="14"/>
  <c r="FD8" i="14"/>
  <c r="FF8" i="14"/>
  <c r="FH8" i="14"/>
  <c r="FJ8" i="14"/>
  <c r="FL8" i="14"/>
  <c r="FN8" i="14"/>
  <c r="FP8" i="14"/>
  <c r="FR8" i="14"/>
  <c r="FT8" i="14"/>
  <c r="FV8" i="14"/>
  <c r="FX8" i="14"/>
  <c r="FZ8" i="14"/>
  <c r="GB8" i="14"/>
  <c r="GD8" i="14"/>
  <c r="GF8" i="14"/>
  <c r="GH8" i="14"/>
  <c r="GJ8" i="14"/>
  <c r="GL8" i="14"/>
  <c r="GN8" i="14"/>
  <c r="GP8" i="14"/>
  <c r="GR8" i="14"/>
  <c r="GT8" i="14"/>
  <c r="GV8" i="14"/>
  <c r="GX8" i="14"/>
  <c r="GZ8" i="14"/>
  <c r="HB8" i="14"/>
  <c r="N8" i="14"/>
  <c r="L8" i="14"/>
  <c r="T8" i="11" l="1"/>
  <c r="V8" i="11"/>
  <c r="X8" i="11"/>
  <c r="Z8" i="11"/>
  <c r="AB8" i="11"/>
  <c r="AD8" i="11"/>
  <c r="AF8" i="11"/>
  <c r="AH8" i="11"/>
  <c r="AJ8" i="11"/>
  <c r="AL8" i="11"/>
  <c r="AN8" i="11"/>
  <c r="AP8" i="11"/>
  <c r="AR8" i="11"/>
  <c r="AT8" i="11"/>
  <c r="AV8" i="11"/>
  <c r="AX8" i="11"/>
  <c r="AZ8" i="11"/>
  <c r="BB8" i="11"/>
  <c r="BD8" i="11"/>
  <c r="BF8" i="11"/>
  <c r="BH8" i="11"/>
  <c r="BJ8" i="11"/>
  <c r="BL8" i="11"/>
  <c r="BN8" i="11"/>
  <c r="BP8" i="11"/>
  <c r="BR8" i="11"/>
  <c r="BT8" i="11"/>
  <c r="BV8" i="11"/>
  <c r="BX8" i="11"/>
  <c r="BZ8" i="11"/>
  <c r="CB8" i="11"/>
  <c r="CD8" i="11"/>
  <c r="CF8" i="11"/>
  <c r="CH8" i="11"/>
  <c r="CJ8" i="11"/>
  <c r="CL8" i="11"/>
  <c r="CN8" i="11"/>
  <c r="CP8" i="11"/>
  <c r="CR8" i="11"/>
  <c r="CT8" i="11"/>
  <c r="CV8" i="11"/>
  <c r="CX8" i="11"/>
  <c r="CZ8" i="11"/>
  <c r="DB8" i="11"/>
  <c r="DD8" i="11"/>
  <c r="DF8" i="11"/>
  <c r="DH8" i="11"/>
  <c r="DJ8" i="11"/>
  <c r="DL8" i="11"/>
  <c r="DN8" i="11"/>
  <c r="DP8" i="11"/>
  <c r="DR8" i="11"/>
  <c r="DT8" i="11"/>
  <c r="DV8" i="11"/>
  <c r="DX8" i="11"/>
  <c r="DZ8" i="11"/>
  <c r="EB8" i="11"/>
  <c r="ED8" i="11"/>
  <c r="EF8" i="11"/>
  <c r="EH8" i="11"/>
  <c r="EJ8" i="11"/>
  <c r="EL8" i="11"/>
  <c r="EN8" i="11"/>
  <c r="EP8" i="11"/>
  <c r="ER8" i="11"/>
  <c r="ET8" i="11"/>
  <c r="EV8" i="11"/>
  <c r="EX8" i="11"/>
  <c r="EZ8" i="11"/>
  <c r="FB8" i="11"/>
  <c r="FD8" i="11"/>
  <c r="FF8" i="11"/>
  <c r="FH8" i="11"/>
  <c r="FJ8" i="11"/>
  <c r="FL8" i="11"/>
  <c r="FN8" i="11"/>
  <c r="FP8" i="11"/>
  <c r="FR8" i="11"/>
  <c r="FT8" i="11"/>
  <c r="FV8" i="11"/>
  <c r="FX8" i="11"/>
  <c r="FZ8" i="11"/>
  <c r="GB8" i="11"/>
  <c r="GD8" i="11"/>
  <c r="GF8" i="11"/>
  <c r="GH8" i="11"/>
  <c r="GJ8" i="11"/>
  <c r="GL8" i="11"/>
  <c r="GN8" i="11"/>
  <c r="GP8" i="11"/>
  <c r="GR8" i="11"/>
  <c r="GT8" i="11"/>
  <c r="GV8" i="11"/>
  <c r="GX8" i="11"/>
  <c r="GZ8" i="11"/>
  <c r="HB8" i="11"/>
  <c r="HD8" i="11"/>
  <c r="HF8" i="11"/>
  <c r="HH8" i="11"/>
  <c r="HJ8" i="11"/>
  <c r="HL8" i="11"/>
  <c r="HN8" i="11"/>
  <c r="HP8" i="11"/>
  <c r="HR8" i="11"/>
  <c r="HT8" i="11"/>
  <c r="HV8" i="11"/>
  <c r="HX8" i="11"/>
  <c r="HZ8" i="11"/>
  <c r="IB8" i="11"/>
  <c r="ID8" i="11"/>
  <c r="IF8" i="11"/>
  <c r="IH8" i="11"/>
  <c r="IJ8" i="11"/>
  <c r="IL8" i="11"/>
  <c r="IN8" i="11"/>
  <c r="IP8" i="11"/>
  <c r="IR8" i="11"/>
  <c r="IT8" i="11"/>
  <c r="IV8" i="11"/>
  <c r="IX8" i="11"/>
  <c r="IZ8" i="11"/>
  <c r="JB8" i="11"/>
  <c r="JD8" i="11"/>
  <c r="JF8" i="11"/>
  <c r="JH8" i="11"/>
  <c r="JJ8" i="11"/>
  <c r="JL8" i="11"/>
  <c r="JN8" i="11"/>
  <c r="JP8" i="11"/>
  <c r="JR8" i="11"/>
  <c r="JT8" i="11"/>
  <c r="JV8" i="11"/>
  <c r="JX8" i="11"/>
  <c r="JZ8" i="11"/>
  <c r="KB8" i="11"/>
  <c r="KD8" i="11"/>
  <c r="KF8" i="11"/>
  <c r="KH8" i="11"/>
  <c r="KJ8" i="11"/>
  <c r="KL8" i="11"/>
  <c r="KN8" i="11"/>
  <c r="KP8" i="11"/>
  <c r="KR8" i="11"/>
  <c r="KT8" i="11"/>
  <c r="KV8" i="11"/>
  <c r="KX8" i="11"/>
  <c r="KZ8" i="11"/>
  <c r="LB8" i="11"/>
  <c r="LD8" i="11"/>
  <c r="LF8" i="11"/>
  <c r="LH8" i="11"/>
  <c r="LJ8" i="11"/>
  <c r="LL8" i="11"/>
  <c r="LN8" i="11"/>
  <c r="LP8" i="11"/>
  <c r="LR8" i="11"/>
  <c r="LT8" i="11"/>
  <c r="LV8" i="11"/>
  <c r="LX8" i="11"/>
  <c r="LZ8" i="11"/>
  <c r="MB8" i="11"/>
  <c r="MD8" i="11"/>
  <c r="MF8" i="11"/>
  <c r="MH8" i="11"/>
  <c r="MJ8" i="11"/>
  <c r="ML8" i="11"/>
  <c r="MN8" i="11"/>
  <c r="MP8" i="11"/>
  <c r="MR8" i="11"/>
  <c r="MT8" i="11"/>
  <c r="MV8" i="11"/>
  <c r="MX8" i="11"/>
  <c r="MZ8" i="11"/>
  <c r="NB8" i="11"/>
  <c r="ND8" i="11"/>
  <c r="NF8" i="11"/>
  <c r="NH8" i="11"/>
  <c r="NJ8" i="11"/>
  <c r="NL8" i="11"/>
  <c r="NN8" i="11"/>
  <c r="NP8" i="11"/>
  <c r="NR8" i="11"/>
  <c r="NT8" i="11"/>
  <c r="NV8" i="11"/>
  <c r="NX8" i="11"/>
  <c r="NZ8" i="11"/>
  <c r="OB8" i="11"/>
  <c r="OD8" i="11"/>
  <c r="OF8" i="11"/>
  <c r="OH8" i="11"/>
  <c r="OJ8" i="11"/>
  <c r="OL8" i="11"/>
  <c r="ON8" i="11"/>
  <c r="OP8" i="11"/>
  <c r="OR8" i="11"/>
  <c r="OT8" i="11"/>
  <c r="R8" i="11"/>
  <c r="P8" i="11"/>
  <c r="N8" i="11"/>
  <c r="L8" i="11"/>
  <c r="GK7" i="1" l="1"/>
  <c r="NN7" i="11"/>
  <c r="NL7" i="11"/>
  <c r="NJ7" i="11"/>
  <c r="NH7" i="11"/>
  <c r="GL7" i="14" l="1"/>
  <c r="GJ7" i="14"/>
  <c r="HB7" i="14" l="1"/>
  <c r="GZ7" i="14"/>
  <c r="GX7" i="14"/>
  <c r="GV7" i="14"/>
  <c r="GT7" i="14"/>
  <c r="GR7" i="14"/>
  <c r="GP7" i="14"/>
  <c r="GN7" i="14"/>
  <c r="OT7" i="11"/>
  <c r="OR7" i="11"/>
  <c r="OP7" i="11"/>
  <c r="ON7" i="11"/>
  <c r="OL7" i="11"/>
  <c r="OJ7" i="11"/>
  <c r="OH7" i="11"/>
  <c r="OF7" i="11"/>
  <c r="OD7" i="11"/>
  <c r="OB7" i="11"/>
  <c r="NZ7" i="11"/>
  <c r="NX7" i="11"/>
  <c r="NV7" i="11"/>
  <c r="NT7" i="11"/>
  <c r="NR7" i="11"/>
  <c r="NP7" i="11"/>
  <c r="HA7" i="1"/>
  <c r="GW7" i="1"/>
  <c r="GS7" i="1"/>
  <c r="GO7" i="1"/>
  <c r="GH7" i="14" l="1"/>
  <c r="GF7" i="14"/>
  <c r="NF7" i="11"/>
  <c r="ND7" i="11"/>
  <c r="NB7" i="11"/>
  <c r="MZ7" i="11"/>
  <c r="GG7" i="1"/>
  <c r="GD7" i="14" l="1"/>
  <c r="GB7" i="14"/>
  <c r="MX7" i="11"/>
  <c r="MV7" i="11"/>
  <c r="MT7" i="11"/>
  <c r="MR7" i="11"/>
  <c r="Q7" i="1"/>
  <c r="U7" i="1"/>
  <c r="Y7" i="1"/>
  <c r="AC7" i="1"/>
  <c r="AG7" i="1"/>
  <c r="AK7" i="1"/>
  <c r="AO7" i="1"/>
  <c r="AS7" i="1"/>
  <c r="AW7" i="1"/>
  <c r="BA7" i="1"/>
  <c r="BE7" i="1"/>
  <c r="BI7" i="1"/>
  <c r="BM7" i="1"/>
  <c r="BQ7" i="1"/>
  <c r="BU7" i="1"/>
  <c r="BY7" i="1"/>
  <c r="CC7" i="1"/>
  <c r="CG7" i="1"/>
  <c r="CK7" i="1"/>
  <c r="CO7" i="1"/>
  <c r="CS7" i="1"/>
  <c r="CW7" i="1"/>
  <c r="DA7" i="1"/>
  <c r="DE7" i="1"/>
  <c r="DI7" i="1"/>
  <c r="DM7" i="1"/>
  <c r="DQ7" i="1"/>
  <c r="DU7" i="1"/>
  <c r="DY7" i="1"/>
  <c r="EC7" i="1"/>
  <c r="EG7" i="1"/>
  <c r="EK7" i="1"/>
  <c r="EO7" i="1"/>
  <c r="ES7" i="1"/>
  <c r="EW7" i="1"/>
  <c r="FA7" i="1"/>
  <c r="FE7" i="1"/>
  <c r="FI7" i="1"/>
  <c r="FM7" i="1"/>
  <c r="FQ7" i="1"/>
  <c r="FU7" i="1"/>
  <c r="FY7" i="1"/>
  <c r="GC7" i="1"/>
  <c r="M7" i="1"/>
  <c r="T7" i="11" l="1"/>
  <c r="V7" i="11"/>
  <c r="X7" i="11"/>
  <c r="Z7" i="11"/>
  <c r="AB7" i="11"/>
  <c r="AD7" i="11"/>
  <c r="AF7" i="11"/>
  <c r="AH7" i="11"/>
  <c r="AJ7" i="11"/>
  <c r="AL7" i="11"/>
  <c r="AN7" i="11"/>
  <c r="AP7" i="11"/>
  <c r="AR7" i="11"/>
  <c r="AT7" i="11"/>
  <c r="AV7" i="11"/>
  <c r="AX7" i="11"/>
  <c r="AZ7" i="11"/>
  <c r="BB7" i="11"/>
  <c r="BD7" i="11"/>
  <c r="BF7" i="11"/>
  <c r="BH7" i="11"/>
  <c r="BJ7" i="11"/>
  <c r="BL7" i="11"/>
  <c r="BN7" i="11"/>
  <c r="BP7" i="11"/>
  <c r="BR7" i="11"/>
  <c r="BT7" i="11"/>
  <c r="BV7" i="11"/>
  <c r="BX7" i="11"/>
  <c r="BZ7" i="11"/>
  <c r="CB7" i="11"/>
  <c r="CD7" i="11"/>
  <c r="CF7" i="11"/>
  <c r="CH7" i="11"/>
  <c r="CJ7" i="11"/>
  <c r="CL7" i="11"/>
  <c r="CN7" i="11"/>
  <c r="CP7" i="11"/>
  <c r="CR7" i="11"/>
  <c r="CT7" i="11"/>
  <c r="CV7" i="11"/>
  <c r="CX7" i="11"/>
  <c r="CZ7" i="11"/>
  <c r="DB7" i="11"/>
  <c r="DD7" i="11"/>
  <c r="DF7" i="11"/>
  <c r="DH7" i="11"/>
  <c r="DJ7" i="11"/>
  <c r="DL7" i="11"/>
  <c r="DN7" i="11"/>
  <c r="DP7" i="11"/>
  <c r="DR7" i="11"/>
  <c r="DT7" i="11"/>
  <c r="DV7" i="11"/>
  <c r="DX7" i="11"/>
  <c r="DZ7" i="11"/>
  <c r="EB7" i="11"/>
  <c r="ED7" i="11"/>
  <c r="EF7" i="11"/>
  <c r="EH7" i="11"/>
  <c r="EJ7" i="11"/>
  <c r="EL7" i="11"/>
  <c r="EN7" i="11"/>
  <c r="EP7" i="11"/>
  <c r="ER7" i="11"/>
  <c r="ET7" i="11"/>
  <c r="EV7" i="11"/>
  <c r="EX7" i="11"/>
  <c r="EZ7" i="11"/>
  <c r="FB7" i="11"/>
  <c r="FD7" i="11"/>
  <c r="FF7" i="11"/>
  <c r="FH7" i="11"/>
  <c r="FJ7" i="11"/>
  <c r="FL7" i="11"/>
  <c r="FN7" i="11"/>
  <c r="FP7" i="11"/>
  <c r="FR7" i="11"/>
  <c r="FT7" i="11"/>
  <c r="FV7" i="11"/>
  <c r="FX7" i="11"/>
  <c r="FZ7" i="11"/>
  <c r="GB7" i="11"/>
  <c r="GD7" i="11"/>
  <c r="GF7" i="11"/>
  <c r="GH7" i="11"/>
  <c r="GJ7" i="11"/>
  <c r="GL7" i="11"/>
  <c r="GN7" i="11"/>
  <c r="GP7" i="11"/>
  <c r="GR7" i="11"/>
  <c r="GT7" i="11"/>
  <c r="GV7" i="11"/>
  <c r="GX7" i="11"/>
  <c r="GZ7" i="11"/>
  <c r="HB7" i="11"/>
  <c r="HD7" i="11"/>
  <c r="HF7" i="11"/>
  <c r="HH7" i="11"/>
  <c r="HJ7" i="11"/>
  <c r="HL7" i="11"/>
  <c r="HN7" i="11"/>
  <c r="HP7" i="11"/>
  <c r="HR7" i="11"/>
  <c r="HT7" i="11"/>
  <c r="HV7" i="11"/>
  <c r="HX7" i="11"/>
  <c r="HZ7" i="11"/>
  <c r="IB7" i="11"/>
  <c r="ID7" i="11"/>
  <c r="IF7" i="11"/>
  <c r="IH7" i="11"/>
  <c r="IJ7" i="11"/>
  <c r="IL7" i="11"/>
  <c r="IN7" i="11"/>
  <c r="IP7" i="11"/>
  <c r="IR7" i="11"/>
  <c r="IT7" i="11"/>
  <c r="IV7" i="11"/>
  <c r="IX7" i="11"/>
  <c r="IZ7" i="11"/>
  <c r="JB7" i="11"/>
  <c r="JD7" i="11"/>
  <c r="JF7" i="11"/>
  <c r="JH7" i="11"/>
  <c r="JJ7" i="11"/>
  <c r="JL7" i="11"/>
  <c r="JN7" i="11"/>
  <c r="JP7" i="11"/>
  <c r="JR7" i="11"/>
  <c r="JT7" i="11"/>
  <c r="JV7" i="11"/>
  <c r="JX7" i="11"/>
  <c r="JZ7" i="11"/>
  <c r="KB7" i="11"/>
  <c r="KD7" i="11"/>
  <c r="KF7" i="11"/>
  <c r="KH7" i="11"/>
  <c r="KJ7" i="11"/>
  <c r="KL7" i="11"/>
  <c r="KN7" i="11"/>
  <c r="KP7" i="11"/>
  <c r="KR7" i="11"/>
  <c r="KT7" i="11"/>
  <c r="KV7" i="11"/>
  <c r="KX7" i="11"/>
  <c r="KZ7" i="11"/>
  <c r="LB7" i="11"/>
  <c r="LD7" i="11"/>
  <c r="LF7" i="11"/>
  <c r="LH7" i="11"/>
  <c r="LJ7" i="11"/>
  <c r="LL7" i="11"/>
  <c r="LN7" i="11"/>
  <c r="LP7" i="11"/>
  <c r="LR7" i="11"/>
  <c r="LT7" i="11"/>
  <c r="LV7" i="11"/>
  <c r="LX7" i="11"/>
  <c r="LZ7" i="11"/>
  <c r="MB7" i="11"/>
  <c r="MD7" i="11"/>
  <c r="MF7" i="11"/>
  <c r="MH7" i="11"/>
  <c r="MJ7" i="11"/>
  <c r="ML7" i="11"/>
  <c r="MN7" i="11"/>
  <c r="MP7" i="11"/>
  <c r="T7" i="14" l="1"/>
  <c r="V7" i="14"/>
  <c r="X7" i="14"/>
  <c r="Z7" i="14"/>
  <c r="AB7" i="14"/>
  <c r="AD7" i="14"/>
  <c r="AF7" i="14"/>
  <c r="AH7" i="14"/>
  <c r="AJ7" i="14"/>
  <c r="AL7" i="14"/>
  <c r="AN7" i="14"/>
  <c r="AP7" i="14"/>
  <c r="AR7" i="14"/>
  <c r="AT7" i="14"/>
  <c r="AV7" i="14"/>
  <c r="AX7" i="14"/>
  <c r="AZ7" i="14"/>
  <c r="BB7" i="14"/>
  <c r="BD7" i="14"/>
  <c r="BF7" i="14"/>
  <c r="BH7" i="14"/>
  <c r="BJ7" i="14"/>
  <c r="BL7" i="14"/>
  <c r="BN7" i="14"/>
  <c r="BP7" i="14"/>
  <c r="BR7" i="14"/>
  <c r="BT7" i="14"/>
  <c r="BV7" i="14"/>
  <c r="BX7" i="14"/>
  <c r="BZ7" i="14"/>
  <c r="CB7" i="14"/>
  <c r="CD7" i="14"/>
  <c r="CF7" i="14"/>
  <c r="CH7" i="14"/>
  <c r="CJ7" i="14"/>
  <c r="CL7" i="14"/>
  <c r="CN7" i="14"/>
  <c r="CP7" i="14"/>
  <c r="CR7" i="14"/>
  <c r="CT7" i="14"/>
  <c r="CV7" i="14"/>
  <c r="CX7" i="14"/>
  <c r="CZ7" i="14"/>
  <c r="DB7" i="14"/>
  <c r="DD7" i="14"/>
  <c r="DF7" i="14"/>
  <c r="DH7" i="14"/>
  <c r="DJ7" i="14"/>
  <c r="DL7" i="14"/>
  <c r="DN7" i="14"/>
  <c r="DP7" i="14"/>
  <c r="DR7" i="14"/>
  <c r="DT7" i="14"/>
  <c r="DV7" i="14"/>
  <c r="DX7" i="14"/>
  <c r="DZ7" i="14"/>
  <c r="EB7" i="14"/>
  <c r="ED7" i="14"/>
  <c r="EF7" i="14"/>
  <c r="EH7" i="14"/>
  <c r="EJ7" i="14"/>
  <c r="EL7" i="14"/>
  <c r="EN7" i="14"/>
  <c r="EP7" i="14"/>
  <c r="ER7" i="14"/>
  <c r="ET7" i="14"/>
  <c r="EV7" i="14"/>
  <c r="EX7" i="14"/>
  <c r="EZ7" i="14"/>
  <c r="FB7" i="14"/>
  <c r="FD7" i="14"/>
  <c r="FF7" i="14"/>
  <c r="FH7" i="14"/>
  <c r="FJ7" i="14"/>
  <c r="FL7" i="14"/>
  <c r="FN7" i="14"/>
  <c r="FP7" i="14"/>
  <c r="FR7" i="14"/>
  <c r="FT7" i="14"/>
  <c r="FV7" i="14"/>
  <c r="FX7" i="14"/>
  <c r="FZ7" i="14"/>
  <c r="P7" i="14"/>
  <c r="R7" i="14"/>
  <c r="N7" i="14"/>
  <c r="L7" i="14"/>
  <c r="L7" i="11"/>
  <c r="R7" i="11"/>
  <c r="P7" i="11"/>
  <c r="N7" i="11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<sst xmlns="http://schemas.openxmlformats.org/spreadsheetml/2006/main" count="11587" uniqueCount="2498">
  <si>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</si>
  <si>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</si>
  <si>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</si>
  <si>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</si>
  <si>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</si>
  <si>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</si>
  <si>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</si>
  <si>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</si>
  <si>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</si>
  <si>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</si>
  <si>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</si>
  <si>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</si>
  <si>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</si>
  <si>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</si>
  <si>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</si>
  <si>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</si>
  <si>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</si>
  <si>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</si>
  <si>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</si>
  <si>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</si>
  <si>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</si>
  <si>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</si>
  <si>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</si>
  <si>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</si>
  <si>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</si>
  <si>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</si>
  <si>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</si>
  <si>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</si>
  <si>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Srch01</t>
    <phoneticPr fontId="1"/>
  </si>
  <si>
    <t>@</t>
    <phoneticPr fontId="1"/>
  </si>
  <si>
    <t>ReportID :</t>
    <phoneticPr fontId="1"/>
  </si>
  <si>
    <t>Upd01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</si>
  <si>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</si>
  <si>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</si>
  <si>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</si>
  <si>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</si>
  <si>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</si>
  <si>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</si>
  <si>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</si>
  <si>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</si>
  <si>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MA</t>
    <phoneticPr fontId="1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</si>
  <si>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</si>
  <si>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</si>
  <si>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</si>
  <si>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</si>
  <si>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</si>
  <si>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</si>
  <si>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</si>
  <si>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#MA.SRV_REQ_NO</t>
  </si>
  <si>
    <t>#MA.SYS_TS</t>
  </si>
  <si>
    <t>Del01</t>
    <phoneticPr fontId="1"/>
  </si>
  <si>
    <t>削除</t>
    <phoneticPr fontId="1"/>
  </si>
  <si>
    <t>登録</t>
    <rPh sb="0" eb="2">
      <t>トウロク</t>
    </rPh>
    <phoneticPr fontId="1"/>
  </si>
  <si>
    <t>Upd01_Dtl1</t>
    <phoneticPr fontId="1"/>
  </si>
  <si>
    <t>Upd01_Dtl2</t>
    <phoneticPr fontId="1"/>
  </si>
  <si>
    <t>o</t>
  </si>
  <si>
    <t>TargetName</t>
  </si>
  <si>
    <t>off_del_flg</t>
  </si>
  <si>
    <t>on_del_flg</t>
  </si>
  <si>
    <t>del_flg</t>
  </si>
  <si>
    <t>del_usr_id</t>
  </si>
  <si>
    <t>del_usr_nm</t>
  </si>
  <si>
    <t>del_ts</t>
  </si>
  <si>
    <t>upd_cntr</t>
  </si>
  <si>
    <t>#MA.UPD_CNT</t>
  </si>
  <si>
    <t>#MA.LCL_CD</t>
  </si>
  <si>
    <t>lcl_cd</t>
  </si>
  <si>
    <t>ins_usr_id</t>
  </si>
  <si>
    <t>ins_usr_nm</t>
  </si>
  <si>
    <t>ins_func_id</t>
  </si>
  <si>
    <t>#MA.FUNC_ID</t>
  </si>
  <si>
    <t>ins_func_nm</t>
  </si>
  <si>
    <t>#MA.FUNC_NM</t>
  </si>
  <si>
    <t>upd_usr_id</t>
  </si>
  <si>
    <t>upd_usr_nm</t>
  </si>
  <si>
    <t>upd_func_id</t>
  </si>
  <si>
    <t>upd_func_nm</t>
  </si>
  <si>
    <t>upd_srv_req_no</t>
  </si>
  <si>
    <t>lcl_nm</t>
  </si>
  <si>
    <t>#MA.LCL_NM</t>
  </si>
  <si>
    <t>MABCL0030</t>
    <phoneticPr fontId="1"/>
  </si>
  <si>
    <t>MABCL_MultiReg</t>
    <phoneticPr fontId="1"/>
  </si>
  <si>
    <t>マルチマスタ登録</t>
    <phoneticPr fontId="1"/>
  </si>
  <si>
    <t>複数のマスタ、名称マスタの検索を行います。</t>
    <rPh sb="0" eb="2">
      <t>フクスウ</t>
    </rPh>
    <phoneticPr fontId="1"/>
  </si>
  <si>
    <t>cd</t>
    <phoneticPr fontId="1"/>
  </si>
  <si>
    <t>nm</t>
    <phoneticPr fontId="1"/>
  </si>
  <si>
    <t>C</t>
    <phoneticPr fontId="1"/>
  </si>
  <si>
    <t>mst_nm</t>
    <phoneticPr fontId="1"/>
  </si>
  <si>
    <t>#MA.ORA_OBJ_NM</t>
    <phoneticPr fontId="1"/>
  </si>
  <si>
    <t>da_cd</t>
    <phoneticPr fontId="1"/>
  </si>
  <si>
    <t>dpt_lvl_cd</t>
    <phoneticPr fontId="1"/>
  </si>
  <si>
    <t>aprv_role_cd</t>
    <phoneticPr fontId="1"/>
  </si>
  <si>
    <t>cntry_cd</t>
    <phoneticPr fontId="1"/>
  </si>
  <si>
    <t>area_cd</t>
    <phoneticPr fontId="1"/>
  </si>
  <si>
    <t>cur_cd</t>
    <phoneticPr fontId="1"/>
  </si>
  <si>
    <t>unit_cd</t>
    <phoneticPr fontId="1"/>
  </si>
  <si>
    <t>bank_cd</t>
    <phoneticPr fontId="1"/>
  </si>
  <si>
    <t>cal_cd</t>
    <phoneticPr fontId="1"/>
  </si>
  <si>
    <t>branch_cd</t>
    <phoneticPr fontId="1"/>
  </si>
  <si>
    <t>bank_ac_cd</t>
    <phoneticPr fontId="1"/>
  </si>
  <si>
    <t>xrate_cd</t>
    <phoneticPr fontId="1"/>
  </si>
  <si>
    <t>itm_jnl_cd</t>
    <phoneticPr fontId="1"/>
  </si>
  <si>
    <t>ac_itm_grp_cd</t>
    <phoneticPr fontId="1"/>
  </si>
  <si>
    <t>ac_rsn_cd</t>
    <phoneticPr fontId="1"/>
  </si>
  <si>
    <t>site_cd</t>
    <phoneticPr fontId="1"/>
  </si>
  <si>
    <t>addr2</t>
  </si>
  <si>
    <t>addr3</t>
  </si>
  <si>
    <t>addr4</t>
  </si>
  <si>
    <t>loc_grp_cd</t>
    <phoneticPr fontId="1"/>
  </si>
  <si>
    <t>lg_grp_cd</t>
    <phoneticPr fontId="1"/>
  </si>
  <si>
    <t>alloc_grp_cd</t>
    <phoneticPr fontId="1"/>
  </si>
  <si>
    <t>wg_cd</t>
    <phoneticPr fontId="1"/>
  </si>
  <si>
    <t>oper_cd</t>
    <phoneticPr fontId="1"/>
  </si>
  <si>
    <t>wk_cost_cd</t>
    <phoneticPr fontId="1"/>
  </si>
  <si>
    <t>sls_upri_grp_cd</t>
    <phoneticPr fontId="1"/>
  </si>
  <si>
    <t>sls_upri_rank_cd</t>
    <phoneticPr fontId="1"/>
  </si>
  <si>
    <t>setoff_grp_cd</t>
    <phoneticPr fontId="1"/>
  </si>
  <si>
    <t>ship_valid_grp_cd</t>
    <phoneticPr fontId="1"/>
  </si>
  <si>
    <t>itm_ship_grp_cd</t>
    <phoneticPr fontId="1"/>
  </si>
  <si>
    <t>trnspt_cd</t>
    <phoneticPr fontId="1"/>
  </si>
  <si>
    <t>cntnr_cd</t>
    <phoneticPr fontId="1"/>
  </si>
  <si>
    <t>port_cd</t>
    <phoneticPr fontId="1"/>
  </si>
  <si>
    <t>gd_cd</t>
    <phoneticPr fontId="1"/>
  </si>
  <si>
    <t>trd_cd</t>
    <phoneticPr fontId="1"/>
  </si>
  <si>
    <t>slip_form_cd</t>
    <phoneticPr fontId="1"/>
  </si>
  <si>
    <t>pf_grp_cd</t>
    <phoneticPr fontId="1"/>
  </si>
  <si>
    <t>itm_spec_grp_cd</t>
    <phoneticPr fontId="1"/>
  </si>
  <si>
    <t>itm_comp_grp_cd</t>
    <phoneticPr fontId="1"/>
  </si>
  <si>
    <t>jnl_act_cd</t>
    <phoneticPr fontId="1"/>
  </si>
  <si>
    <t>jnl_grp_cd</t>
    <phoneticPr fontId="1"/>
  </si>
  <si>
    <t>jnl_ptn_cd</t>
    <phoneticPr fontId="1"/>
  </si>
  <si>
    <t>auto_jnl_key_cd</t>
    <phoneticPr fontId="1"/>
  </si>
  <si>
    <t>insp_ptn_cd</t>
    <phoneticPr fontId="1"/>
  </si>
  <si>
    <t>#MA.DA_CD</t>
    <phoneticPr fontId="1"/>
  </si>
  <si>
    <t>#MA.DA_NM</t>
    <phoneticPr fontId="1"/>
  </si>
  <si>
    <t>#MA.DPT_CD</t>
    <phoneticPr fontId="1"/>
  </si>
  <si>
    <t>#MA.DPT_NM</t>
    <phoneticPr fontId="1"/>
  </si>
  <si>
    <t>#MA.DPT_LVL_CD</t>
    <phoneticPr fontId="1"/>
  </si>
  <si>
    <t>#MA.DPT_LVL_NM</t>
    <phoneticPr fontId="1"/>
  </si>
  <si>
    <t>#MA.APRV_ROLE_CD</t>
    <phoneticPr fontId="1"/>
  </si>
  <si>
    <t>#MA.APRV_ROLE_NM</t>
    <phoneticPr fontId="1"/>
  </si>
  <si>
    <t>#MA.CNTRY_CD</t>
    <phoneticPr fontId="1"/>
  </si>
  <si>
    <t>#MA.CNTRY_NM</t>
    <phoneticPr fontId="1"/>
  </si>
  <si>
    <t>#MA.AREA_CD</t>
    <phoneticPr fontId="1"/>
  </si>
  <si>
    <t>#MA.AREA_NM</t>
    <phoneticPr fontId="1"/>
  </si>
  <si>
    <t>#MA.CUR_CD</t>
    <phoneticPr fontId="1"/>
  </si>
  <si>
    <t>#MA.CUR_NM</t>
    <phoneticPr fontId="1"/>
  </si>
  <si>
    <t>#MA.DEC_PLACE</t>
    <phoneticPr fontId="1"/>
  </si>
  <si>
    <t>#MA.UNIT_CD</t>
    <phoneticPr fontId="1"/>
  </si>
  <si>
    <t>#MA.UNIT_NM</t>
    <phoneticPr fontId="1"/>
  </si>
  <si>
    <t>#MA.BANK_CD</t>
    <phoneticPr fontId="1"/>
  </si>
  <si>
    <t>#MA.BANK_NM</t>
    <phoneticPr fontId="1"/>
  </si>
  <si>
    <t>#MA.CAL_CD</t>
    <phoneticPr fontId="1"/>
  </si>
  <si>
    <t>#MA.CAL_NM</t>
    <phoneticPr fontId="1"/>
  </si>
  <si>
    <t>#MA.BANK_BRANCH_CD</t>
    <phoneticPr fontId="1"/>
  </si>
  <si>
    <t>#MA.BANK_BRANCH_NM</t>
    <phoneticPr fontId="1"/>
  </si>
  <si>
    <t>#MA.BANK_AC_CD</t>
    <phoneticPr fontId="1"/>
  </si>
  <si>
    <t>#MA.BANK_AC_NM</t>
    <phoneticPr fontId="1"/>
  </si>
  <si>
    <t>#MA.FLG</t>
    <phoneticPr fontId="1"/>
  </si>
  <si>
    <t>#MA.BANK_AC_NO</t>
    <phoneticPr fontId="1"/>
  </si>
  <si>
    <t>#MA.BANK_AC_TYP</t>
    <phoneticPr fontId="1"/>
  </si>
  <si>
    <t>#MA.BANK_AC_TYP_NM</t>
    <phoneticPr fontId="1"/>
  </si>
  <si>
    <t>#MA.BANK_AC_HOLDER</t>
    <phoneticPr fontId="1"/>
  </si>
  <si>
    <t>#MA.BANK_AC_HOLDER_SUB</t>
    <phoneticPr fontId="1"/>
  </si>
  <si>
    <t>#MA.XRATE_CD</t>
    <phoneticPr fontId="1"/>
  </si>
  <si>
    <t>#MA.XRATE_NM</t>
    <phoneticPr fontId="1"/>
  </si>
  <si>
    <t>#MA.CAL_CD</t>
    <phoneticPr fontId="1"/>
  </si>
  <si>
    <t>#MA.CAL_NM</t>
    <phoneticPr fontId="1"/>
  </si>
  <si>
    <t>#MA.ITM_JNL_CD</t>
    <phoneticPr fontId="1"/>
  </si>
  <si>
    <t>#MA.ITM_JNL_NM</t>
    <phoneticPr fontId="1"/>
  </si>
  <si>
    <t>#MA.AR_TYP</t>
    <phoneticPr fontId="1"/>
  </si>
  <si>
    <t>#MA.AR_TYP_NM</t>
    <phoneticPr fontId="1"/>
  </si>
  <si>
    <t>#MA.AP_TYP</t>
    <phoneticPr fontId="1"/>
  </si>
  <si>
    <t>#MA.AP_TYP_NM</t>
    <phoneticPr fontId="1"/>
  </si>
  <si>
    <t>#MA.AC_ITM_GRP_CD</t>
    <phoneticPr fontId="1"/>
  </si>
  <si>
    <t>#MA.AC_ITM_GRP_NM</t>
    <phoneticPr fontId="1"/>
  </si>
  <si>
    <t>#MA.FLG</t>
    <phoneticPr fontId="1"/>
  </si>
  <si>
    <t>#MA.SITE_CD</t>
    <phoneticPr fontId="1"/>
  </si>
  <si>
    <t>#MA.SITE_NM</t>
    <phoneticPr fontId="1"/>
  </si>
  <si>
    <t>#MA.ZIP_CD</t>
    <phoneticPr fontId="1"/>
  </si>
  <si>
    <t>#MA.ADDR1</t>
    <phoneticPr fontId="1"/>
  </si>
  <si>
    <t>#MA.ADDR2</t>
  </si>
  <si>
    <t>#MA.ADDR3</t>
  </si>
  <si>
    <t>#MA.ADDR4</t>
  </si>
  <si>
    <t>#MA.TEL</t>
    <phoneticPr fontId="1"/>
  </si>
  <si>
    <t>#MA.LOC_GRP_CD</t>
    <phoneticPr fontId="1"/>
  </si>
  <si>
    <t>#MA.LOC_GRP_NM</t>
    <phoneticPr fontId="1"/>
  </si>
  <si>
    <t>#MA.ALLOC_GRP_CD</t>
    <phoneticPr fontId="1"/>
  </si>
  <si>
    <t>#MA.ALLOC_GRP_NM</t>
    <phoneticPr fontId="1"/>
  </si>
  <si>
    <t>#MA.LG_GRP_CD</t>
    <phoneticPr fontId="1"/>
  </si>
  <si>
    <t>#MA.LG_GRP_NM</t>
    <phoneticPr fontId="1"/>
  </si>
  <si>
    <t>#MA.WG_CD</t>
    <phoneticPr fontId="1"/>
  </si>
  <si>
    <t>#MA.WG_NM</t>
    <phoneticPr fontId="1"/>
  </si>
  <si>
    <t>#MA.WG_NM</t>
    <phoneticPr fontId="1"/>
  </si>
  <si>
    <t>#MA.OPER_CD</t>
    <phoneticPr fontId="1"/>
  </si>
  <si>
    <t>#MA.OPER_NM</t>
    <phoneticPr fontId="1"/>
  </si>
  <si>
    <t>#MA.OPER_NM</t>
    <phoneticPr fontId="1"/>
  </si>
  <si>
    <t>#MA.OPER_ALC_GRP</t>
    <phoneticPr fontId="1"/>
  </si>
  <si>
    <t>#MA.WK_COST_CD</t>
    <phoneticPr fontId="1"/>
  </si>
  <si>
    <t>#MA.WK_COST_NM</t>
    <phoneticPr fontId="1"/>
  </si>
  <si>
    <t>#MA.WK_COST_NM</t>
    <phoneticPr fontId="1"/>
  </si>
  <si>
    <t>#MA.DEC_PLACE</t>
    <phoneticPr fontId="1"/>
  </si>
  <si>
    <t>#MA.RND_TYP</t>
    <phoneticPr fontId="1"/>
  </si>
  <si>
    <t>#MA.RND_TYP_NM</t>
    <phoneticPr fontId="1"/>
  </si>
  <si>
    <t>#MA.WK_RSN_CD</t>
    <phoneticPr fontId="1"/>
  </si>
  <si>
    <t>#MA.WK_RSN_NM</t>
    <phoneticPr fontId="1"/>
  </si>
  <si>
    <t>#MA.WK_RSN_NM</t>
    <phoneticPr fontId="1"/>
  </si>
  <si>
    <t>#MA.SLS_UPRI_GRP_CD</t>
    <phoneticPr fontId="1"/>
  </si>
  <si>
    <t>#MA.SLS_UPRI_GRP_NM</t>
    <phoneticPr fontId="1"/>
  </si>
  <si>
    <t>#MA.SLS_UPRI_GRP_NM</t>
    <phoneticPr fontId="1"/>
  </si>
  <si>
    <t>#MA.SLS_UPRI_RANK_CD</t>
    <phoneticPr fontId="1"/>
  </si>
  <si>
    <t>#MA.SLS_UPRI_RANK_NM</t>
    <phoneticPr fontId="1"/>
  </si>
  <si>
    <t>#MA.SLS_UPRI_RANK_NM</t>
    <phoneticPr fontId="1"/>
  </si>
  <si>
    <t>#MA.SETOFF_GRP_CD</t>
    <phoneticPr fontId="1"/>
  </si>
  <si>
    <t>#MA.SETOFF_GRP_NM</t>
    <phoneticPr fontId="1"/>
  </si>
  <si>
    <t>#MA.SETOFF_GRP_NM</t>
    <phoneticPr fontId="1"/>
  </si>
  <si>
    <t>#MA.SHIP_VALID_GRP_CD</t>
    <phoneticPr fontId="1"/>
  </si>
  <si>
    <t>#MA.SHIP_VALID_GRP_NM</t>
    <phoneticPr fontId="1"/>
  </si>
  <si>
    <t>#MA.ITM_SHIP_GRP_CD</t>
    <phoneticPr fontId="1"/>
  </si>
  <si>
    <t>#MA.ITM_SHIP_GRP_NM</t>
    <phoneticPr fontId="1"/>
  </si>
  <si>
    <t>#MA.TRNSPT_CD</t>
    <phoneticPr fontId="1"/>
  </si>
  <si>
    <t>#MA.TRNSPT_NM</t>
    <phoneticPr fontId="1"/>
  </si>
  <si>
    <t>#MA.TRNSPT_NM</t>
    <phoneticPr fontId="1"/>
  </si>
  <si>
    <t>#MA.INT</t>
  </si>
  <si>
    <t>#MA.CNTNR_CD</t>
    <phoneticPr fontId="1"/>
  </si>
  <si>
    <t>#MA.CNTNR_NM</t>
    <phoneticPr fontId="1"/>
  </si>
  <si>
    <t>#MA.CNTNR_NM</t>
    <phoneticPr fontId="1"/>
  </si>
  <si>
    <t>#MA.WT</t>
  </si>
  <si>
    <t>#MA.PORT_CD</t>
    <phoneticPr fontId="1"/>
  </si>
  <si>
    <t>#MA.PORT_NM</t>
    <phoneticPr fontId="1"/>
  </si>
  <si>
    <t>#MA.PORT_NM</t>
    <phoneticPr fontId="1"/>
  </si>
  <si>
    <t>#MA.CNTRY_CD</t>
    <phoneticPr fontId="1"/>
  </si>
  <si>
    <t>#MA.CNTRY_NM</t>
    <phoneticPr fontId="1"/>
  </si>
  <si>
    <t>#MA.TRD_CD</t>
    <phoneticPr fontId="1"/>
  </si>
  <si>
    <t>#MA.TRD_NM</t>
    <phoneticPr fontId="1"/>
  </si>
  <si>
    <t>#MA.TRD_NM</t>
    <phoneticPr fontId="1"/>
  </si>
  <si>
    <t>#MA.TRD_PTN_TYP</t>
    <phoneticPr fontId="1"/>
  </si>
  <si>
    <t>#MA.TRD_PTN_TYP_NM</t>
    <phoneticPr fontId="1"/>
  </si>
  <si>
    <t>#MA.SLIP_FORM_CD</t>
    <phoneticPr fontId="1"/>
  </si>
  <si>
    <t>#MA.SLIP_FORM_NM</t>
    <phoneticPr fontId="1"/>
  </si>
  <si>
    <t>#MA.SLIP_FORM_NM</t>
    <phoneticPr fontId="1"/>
  </si>
  <si>
    <t>#MA.SLIP_FORM_ID</t>
    <phoneticPr fontId="1"/>
  </si>
  <si>
    <t>#MA.INT</t>
    <phoneticPr fontId="1"/>
  </si>
  <si>
    <t>#MA.PF_GRP_CD</t>
    <phoneticPr fontId="1"/>
  </si>
  <si>
    <t>#MA.PF_GRP_NM</t>
    <phoneticPr fontId="1"/>
  </si>
  <si>
    <t>#MA.PF_GRP_NM</t>
    <phoneticPr fontId="1"/>
  </si>
  <si>
    <t>#MA.ITM_SPEC_GRP_CD</t>
    <phoneticPr fontId="1"/>
  </si>
  <si>
    <t>#MA.ITM_SPEC_GRP_NM</t>
    <phoneticPr fontId="1"/>
  </si>
  <si>
    <t>#MA.ITM_SPEC_GRP_NM</t>
    <phoneticPr fontId="1"/>
  </si>
  <si>
    <t>#MA.ITM_COMP_GRP_CD</t>
    <phoneticPr fontId="1"/>
  </si>
  <si>
    <t>#MA.ITM_COMP_GRP_NM</t>
    <phoneticPr fontId="1"/>
  </si>
  <si>
    <t>#MA.ITM_COMP_GRP_NM</t>
    <phoneticPr fontId="1"/>
  </si>
  <si>
    <t>#MA.JNL_ACT_CD</t>
    <phoneticPr fontId="1"/>
  </si>
  <si>
    <t>#MA.JNL_ACT_NM</t>
    <phoneticPr fontId="1"/>
  </si>
  <si>
    <t>#MA.JNL_ACT_NM</t>
    <phoneticPr fontId="1"/>
  </si>
  <si>
    <t>#MA.JNL_GRP_CD</t>
    <phoneticPr fontId="1"/>
  </si>
  <si>
    <t>#MA.JNL_GRP_NM</t>
    <phoneticPr fontId="1"/>
  </si>
  <si>
    <t>#MA.JNL_GRP_NM</t>
    <phoneticPr fontId="1"/>
  </si>
  <si>
    <t>#MA.JNL_PTN_CD</t>
    <phoneticPr fontId="1"/>
  </si>
  <si>
    <t>#MA.JNL_PTN_NM</t>
    <phoneticPr fontId="1"/>
  </si>
  <si>
    <t>#MA.JNL_PTN_NM</t>
    <phoneticPr fontId="1"/>
  </si>
  <si>
    <t>#MA.AUTO_JNL_KEY_CD</t>
    <phoneticPr fontId="1"/>
  </si>
  <si>
    <t>#MA.AUTO_JNL_KEY_NM</t>
    <phoneticPr fontId="1"/>
  </si>
  <si>
    <t>#MA.AUTO_JNL_KEY_NM</t>
    <phoneticPr fontId="1"/>
  </si>
  <si>
    <t>#MA.INSP_PTN_CD</t>
    <phoneticPr fontId="1"/>
  </si>
  <si>
    <t>#MA.INSP_PTN_NM</t>
    <phoneticPr fontId="1"/>
  </si>
  <si>
    <t>#MA.INSP_PTN_NM</t>
    <phoneticPr fontId="1"/>
  </si>
  <si>
    <t>wk_rsn_cd</t>
    <phoneticPr fontId="1"/>
  </si>
  <si>
    <t>#MA.XRATE_CD</t>
    <phoneticPr fontId="1"/>
  </si>
  <si>
    <t>#MA.ITM_JNL_CD</t>
    <phoneticPr fontId="1"/>
  </si>
  <si>
    <t>#MA.AC_ITM_GRP_CD</t>
    <phoneticPr fontId="1"/>
  </si>
  <si>
    <t>#MA.SITE_CD</t>
    <phoneticPr fontId="1"/>
  </si>
  <si>
    <t>#MA.LOC_GRP_CD</t>
    <phoneticPr fontId="1"/>
  </si>
  <si>
    <t>#MA.LG_GRP_CD</t>
    <phoneticPr fontId="1"/>
  </si>
  <si>
    <t>#MA.ALLOC_GRP_CD</t>
    <phoneticPr fontId="1"/>
  </si>
  <si>
    <t>#MA.WG_CD</t>
    <phoneticPr fontId="1"/>
  </si>
  <si>
    <t>#MA.OPER_CD</t>
    <phoneticPr fontId="1"/>
  </si>
  <si>
    <t>#MA.WK_COST_CD</t>
    <phoneticPr fontId="1"/>
  </si>
  <si>
    <t>#MA.WK_RSN_CD</t>
    <phoneticPr fontId="1"/>
  </si>
  <si>
    <t>#MA.SLS_UPRI_GRP_CD</t>
    <phoneticPr fontId="1"/>
  </si>
  <si>
    <t>#MA.SLS_UPRI_RANK_CD</t>
    <phoneticPr fontId="1"/>
  </si>
  <si>
    <t>#MA.SETOFF_GRP_CD</t>
    <phoneticPr fontId="1"/>
  </si>
  <si>
    <t>#MA.SHIP_VALID_GRP_CD</t>
    <phoneticPr fontId="1"/>
  </si>
  <si>
    <t>#MA.ITM_SHIP_GRP_CD</t>
    <phoneticPr fontId="1"/>
  </si>
  <si>
    <t>#MA.TRNSPT_CD</t>
    <phoneticPr fontId="1"/>
  </si>
  <si>
    <t>#MA.CNTNR_CD</t>
    <phoneticPr fontId="1"/>
  </si>
  <si>
    <t>#MA.PORT_CD</t>
    <phoneticPr fontId="1"/>
  </si>
  <si>
    <t>#MA.TRD_CD</t>
    <phoneticPr fontId="1"/>
  </si>
  <si>
    <t>#MA.SLIP_FORM_CD</t>
    <phoneticPr fontId="1"/>
  </si>
  <si>
    <t>#MA.PF_GRP_CD</t>
    <phoneticPr fontId="1"/>
  </si>
  <si>
    <t>#MA.ITM_SPEC_GRP_CD</t>
    <phoneticPr fontId="1"/>
  </si>
  <si>
    <t>#MA.ITM_COMP_GRP_CD</t>
    <phoneticPr fontId="1"/>
  </si>
  <si>
    <t>#MA.JNL_ACT_CD</t>
    <phoneticPr fontId="1"/>
  </si>
  <si>
    <t>#MA.JNL_GRP_CD</t>
    <phoneticPr fontId="1"/>
  </si>
  <si>
    <t>#MA.JNL_PTN_CD</t>
    <phoneticPr fontId="1"/>
  </si>
  <si>
    <t>#MA.AUTO_JNL_KEY_CD</t>
    <phoneticPr fontId="1"/>
  </si>
  <si>
    <t>#MA.INSP_PTN_CD</t>
    <phoneticPr fontId="1"/>
  </si>
  <si>
    <t>da_nm</t>
    <phoneticPr fontId="1"/>
  </si>
  <si>
    <t>dpt_lvl_nm</t>
    <phoneticPr fontId="1"/>
  </si>
  <si>
    <t>aprv_role_nm</t>
    <phoneticPr fontId="1"/>
  </si>
  <si>
    <t>cntry_nm</t>
    <phoneticPr fontId="1"/>
  </si>
  <si>
    <t>area_nm</t>
    <phoneticPr fontId="1"/>
  </si>
  <si>
    <t>cur_nm</t>
    <phoneticPr fontId="1"/>
  </si>
  <si>
    <t>unit_nm</t>
    <phoneticPr fontId="1"/>
  </si>
  <si>
    <t>bank_nm</t>
    <phoneticPr fontId="1"/>
  </si>
  <si>
    <t>branch_nm</t>
    <phoneticPr fontId="1"/>
  </si>
  <si>
    <t>bank_ac_nm</t>
    <phoneticPr fontId="1"/>
  </si>
  <si>
    <t>xrate_nm</t>
    <phoneticPr fontId="1"/>
  </si>
  <si>
    <t>cal_nm</t>
    <phoneticPr fontId="1"/>
  </si>
  <si>
    <t>itm_jnl_nm</t>
    <phoneticPr fontId="1"/>
  </si>
  <si>
    <t>ac_itm_grp_nm</t>
    <phoneticPr fontId="1"/>
  </si>
  <si>
    <t>ac_rsn_nm</t>
    <phoneticPr fontId="1"/>
  </si>
  <si>
    <t>site_nm</t>
    <phoneticPr fontId="1"/>
  </si>
  <si>
    <t>loc_grp_nm</t>
    <phoneticPr fontId="1"/>
  </si>
  <si>
    <t>lg_grp_nm</t>
    <phoneticPr fontId="1"/>
  </si>
  <si>
    <t>alloc_grp_nm</t>
    <phoneticPr fontId="1"/>
  </si>
  <si>
    <t>wg_nm</t>
    <phoneticPr fontId="1"/>
  </si>
  <si>
    <t>oper_nm</t>
    <phoneticPr fontId="1"/>
  </si>
  <si>
    <t>wk_cost_nm</t>
    <phoneticPr fontId="1"/>
  </si>
  <si>
    <t>wk_rsn_nm</t>
    <phoneticPr fontId="1"/>
  </si>
  <si>
    <t>sls_upri_grp_nm</t>
    <phoneticPr fontId="1"/>
  </si>
  <si>
    <t>sls_upri_rank_nm</t>
    <phoneticPr fontId="1"/>
  </si>
  <si>
    <t>setoff_grp_nm</t>
    <phoneticPr fontId="1"/>
  </si>
  <si>
    <t>ship_valid_grp_nm</t>
    <phoneticPr fontId="1"/>
  </si>
  <si>
    <t>itm_ship_grp_nm</t>
    <phoneticPr fontId="1"/>
  </si>
  <si>
    <t>trnspt_nm</t>
    <phoneticPr fontId="1"/>
  </si>
  <si>
    <t>cntnr_nm</t>
    <phoneticPr fontId="1"/>
  </si>
  <si>
    <t>port_nm</t>
    <phoneticPr fontId="1"/>
  </si>
  <si>
    <t>gd_nm</t>
    <phoneticPr fontId="1"/>
  </si>
  <si>
    <t>trd_nm</t>
    <phoneticPr fontId="1"/>
  </si>
  <si>
    <t>slip_form_nm</t>
    <phoneticPr fontId="1"/>
  </si>
  <si>
    <t>pf_grp_nm</t>
    <phoneticPr fontId="1"/>
  </si>
  <si>
    <t>itm_spec_grp_nm</t>
    <phoneticPr fontId="1"/>
  </si>
  <si>
    <t>itm_comp_grp_nm</t>
    <phoneticPr fontId="1"/>
  </si>
  <si>
    <t>jnl_act_nm</t>
    <phoneticPr fontId="1"/>
  </si>
  <si>
    <t>jnl_grp_nm</t>
    <phoneticPr fontId="1"/>
  </si>
  <si>
    <t>jnl_ptn_nm</t>
    <phoneticPr fontId="1"/>
  </si>
  <si>
    <t>auto_jnl_key_nm</t>
    <phoneticPr fontId="1"/>
  </si>
  <si>
    <t>insp_ptn_nm</t>
    <phoneticPr fontId="1"/>
  </si>
  <si>
    <t>#MA.XRATE_NM</t>
    <phoneticPr fontId="1"/>
  </si>
  <si>
    <t>#MA.ITM_JNL_NM</t>
    <phoneticPr fontId="1"/>
  </si>
  <si>
    <t>#MA.AC_ITM_GRP_NM</t>
    <phoneticPr fontId="1"/>
  </si>
  <si>
    <t>#MA.SITE_NM</t>
    <phoneticPr fontId="1"/>
  </si>
  <si>
    <t>#MA.LOC_GRP_NM</t>
    <phoneticPr fontId="1"/>
  </si>
  <si>
    <t>#MA.LG_GRP_NM</t>
    <phoneticPr fontId="1"/>
  </si>
  <si>
    <t>#MA.ALLOC_GRP_NM</t>
    <phoneticPr fontId="1"/>
  </si>
  <si>
    <t>da_cd</t>
  </si>
  <si>
    <t>da_nm</t>
  </si>
  <si>
    <t>dpt_cd</t>
  </si>
  <si>
    <t>def_dpt_nm</t>
  </si>
  <si>
    <t>dpt_lvl_cd</t>
  </si>
  <si>
    <t>dpt_lvl_nm</t>
  </si>
  <si>
    <t>aprv_role_cd</t>
  </si>
  <si>
    <t>aprv_role_nm</t>
  </si>
  <si>
    <t>cntry_cd</t>
  </si>
  <si>
    <t>cntry_nm</t>
  </si>
  <si>
    <t>area_cd</t>
  </si>
  <si>
    <t>area_nm</t>
  </si>
  <si>
    <t>cur_cd</t>
  </si>
  <si>
    <t>cur_nm</t>
  </si>
  <si>
    <t>amt_dec_place</t>
  </si>
  <si>
    <t>upri_dec_place</t>
  </si>
  <si>
    <t>unit_cd</t>
  </si>
  <si>
    <t>unit_nm</t>
  </si>
  <si>
    <t>dec_place</t>
  </si>
  <si>
    <t>bank_cd</t>
  </si>
  <si>
    <t>bank_nm</t>
  </si>
  <si>
    <t>cal_cd</t>
  </si>
  <si>
    <t>cal_nm</t>
  </si>
  <si>
    <t>branch_cd</t>
  </si>
  <si>
    <t>branch_nm</t>
  </si>
  <si>
    <t>bank_ac_cd</t>
  </si>
  <si>
    <t>bank_ac_nm</t>
  </si>
  <si>
    <t>ext_flg</t>
  </si>
  <si>
    <t>bank_ac_no</t>
  </si>
  <si>
    <t>bank_ac_typ</t>
  </si>
  <si>
    <t>bank_ac_typ_nm</t>
  </si>
  <si>
    <t>bank_ac_holder</t>
  </si>
  <si>
    <t>bank_ac_holder_sub</t>
  </si>
  <si>
    <t>xrate_cd</t>
  </si>
  <si>
    <t>xrate_nm</t>
  </si>
  <si>
    <t>itm_jnl_cd</t>
  </si>
  <si>
    <t>itm_jnl_nm</t>
  </si>
  <si>
    <t>ar_typ</t>
  </si>
  <si>
    <t>ap_typ</t>
  </si>
  <si>
    <t>ac_itm_grp_cd</t>
  </si>
  <si>
    <t>ac_itm_grp_nm</t>
  </si>
  <si>
    <t>ac_rsn_cd</t>
  </si>
  <si>
    <t>ac_rsn_nm</t>
  </si>
  <si>
    <t>ac_invalid_flg</t>
  </si>
  <si>
    <t>cost_invalid_flg</t>
  </si>
  <si>
    <t>site_cd</t>
  </si>
  <si>
    <t>site_nm</t>
  </si>
  <si>
    <t>arr_flg</t>
  </si>
  <si>
    <t>zip_cd</t>
  </si>
  <si>
    <t>addr1</t>
  </si>
  <si>
    <t>tel</t>
  </si>
  <si>
    <t>fax</t>
  </si>
  <si>
    <t>def_loc_grp_cd</t>
  </si>
  <si>
    <t>def_alloc_grp_cd</t>
  </si>
  <si>
    <t>def_lg_grp_cd</t>
  </si>
  <si>
    <t>def_cal_cd</t>
  </si>
  <si>
    <t>loc_grp_cd</t>
  </si>
  <si>
    <t>loc_grp_nm</t>
  </si>
  <si>
    <t>lg_grp_cd</t>
  </si>
  <si>
    <t>lg_grp_nm</t>
  </si>
  <si>
    <t>loc_flg</t>
  </si>
  <si>
    <t>ship_slip_flg</t>
  </si>
  <si>
    <t>pick_list_flg</t>
  </si>
  <si>
    <t>ship_inst_flg</t>
  </si>
  <si>
    <t>alloc_grp_cd</t>
  </si>
  <si>
    <t>alloc_grp_nm</t>
  </si>
  <si>
    <t>wg_cd</t>
  </si>
  <si>
    <t>wg_nm</t>
  </si>
  <si>
    <t>sls_flg</t>
  </si>
  <si>
    <t>purc_flg</t>
  </si>
  <si>
    <t>ar_flg</t>
  </si>
  <si>
    <t>ap_flg</t>
  </si>
  <si>
    <t>sd_flg</t>
  </si>
  <si>
    <t>oper_cd</t>
  </si>
  <si>
    <t>oper_nm</t>
  </si>
  <si>
    <t>oper_alc_grp</t>
  </si>
  <si>
    <t>wk_cost_cd</t>
  </si>
  <si>
    <t>wk_cost_nm</t>
  </si>
  <si>
    <t>rnd_typ</t>
  </si>
  <si>
    <t>wk_rsn_cd</t>
  </si>
  <si>
    <t>wk_rsn_nm</t>
  </si>
  <si>
    <t>sls_upri_grp_cd</t>
  </si>
  <si>
    <t>sls_upri_grp_nm</t>
  </si>
  <si>
    <t>sls_upri_rank_cd</t>
  </si>
  <si>
    <t>sls_upri_rank_nm</t>
  </si>
  <si>
    <t>setoff_grp_cd</t>
  </si>
  <si>
    <t>setoff_grp_nm</t>
  </si>
  <si>
    <t>ship_valid_grp_cd</t>
  </si>
  <si>
    <t>ship_valid_grp_nm</t>
  </si>
  <si>
    <t>itm_ship_grp_cd</t>
  </si>
  <si>
    <t>itm_ship_grp_nm</t>
  </si>
  <si>
    <t>trnspt_cd</t>
  </si>
  <si>
    <t>trnspt_nm</t>
  </si>
  <si>
    <t>cntnr_cd</t>
  </si>
  <si>
    <t>cntnr_nm</t>
  </si>
  <si>
    <t>wt</t>
  </si>
  <si>
    <t>port_cd</t>
  </si>
  <si>
    <t>port_nm</t>
  </si>
  <si>
    <t>gd_cd</t>
  </si>
  <si>
    <t>gd_nm</t>
  </si>
  <si>
    <t>slo_flg</t>
  </si>
  <si>
    <t>sort_seq</t>
  </si>
  <si>
    <t>trd_cd</t>
  </si>
  <si>
    <t>trd_nm</t>
  </si>
  <si>
    <t>trd_ptn_typ</t>
  </si>
  <si>
    <t>slip_form_cd</t>
  </si>
  <si>
    <t>slip_form_nm</t>
  </si>
  <si>
    <t>auto_adopt_flg</t>
  </si>
  <si>
    <t>slip_form_id</t>
  </si>
  <si>
    <t>line_num</t>
  </si>
  <si>
    <t>pf_grp_cd</t>
  </si>
  <si>
    <t>pf_grp_nm</t>
  </si>
  <si>
    <t>itm_spec_grp_cd</t>
  </si>
  <si>
    <t>itm_spec_grp_nm</t>
  </si>
  <si>
    <t>itm_comp_grp_cd</t>
  </si>
  <si>
    <t>itm_comp_grp_nm</t>
  </si>
  <si>
    <t>multi_sel_flg</t>
  </si>
  <si>
    <t>req_flg</t>
  </si>
  <si>
    <t>jnl_act_cd</t>
  </si>
  <si>
    <t>jnl_act_nm</t>
  </si>
  <si>
    <t>jnl_del_flg</t>
  </si>
  <si>
    <t>jnl_grp_cd</t>
  </si>
  <si>
    <t>jnl_grp_nm</t>
  </si>
  <si>
    <t>ac_bank_flg1</t>
  </si>
  <si>
    <t>ac_bank_flg2</t>
  </si>
  <si>
    <t>jnl_ptn_cd</t>
  </si>
  <si>
    <t>jnl_ptn_nm</t>
  </si>
  <si>
    <t>auto_jnl_key_cd</t>
  </si>
  <si>
    <t>auto_jnl_key_nm</t>
  </si>
  <si>
    <t>insp_ptn_cd</t>
  </si>
  <si>
    <t>insp_ptn_nm</t>
  </si>
  <si>
    <t>#MA.DA_CD</t>
  </si>
  <si>
    <t>#MA.DA_NM</t>
  </si>
  <si>
    <t>#MA.DPT_CD</t>
  </si>
  <si>
    <t>#MA.DPT_NM</t>
  </si>
  <si>
    <t>#MA.DPT_LVL_CD</t>
  </si>
  <si>
    <t>#MA.DPT_LVL_NM</t>
  </si>
  <si>
    <t>#MA.APRV_ROLE_CD</t>
  </si>
  <si>
    <t>#MA.APRV_ROLE_NM</t>
  </si>
  <si>
    <t>#MA.CNTRY_CD</t>
  </si>
  <si>
    <t>#MA.CNTRY_NM</t>
  </si>
  <si>
    <t>#MA.AREA_CD</t>
  </si>
  <si>
    <t>#MA.AREA_NM</t>
  </si>
  <si>
    <t>#MA.CUR_CD</t>
  </si>
  <si>
    <t>#MA.CUR_NM</t>
  </si>
  <si>
    <t>#MA.DEC_PLACE</t>
  </si>
  <si>
    <t>#MA.UNIT_CD</t>
  </si>
  <si>
    <t>#MA.UNIT_NM</t>
  </si>
  <si>
    <t>#MA.BANK_CD</t>
  </si>
  <si>
    <t>#MA.BANK_NM</t>
  </si>
  <si>
    <t>#MA.CAL_CD</t>
  </si>
  <si>
    <t>#MA.CAL_NM</t>
  </si>
  <si>
    <t>#MA.BANK_BRANCH_CD</t>
  </si>
  <si>
    <t>#MA.BANK_BRANCH_NM</t>
  </si>
  <si>
    <t>#MA.BANK_AC_CD</t>
  </si>
  <si>
    <t>#MA.BANK_AC_NM</t>
  </si>
  <si>
    <t>#MA.BANK_AC_NO</t>
  </si>
  <si>
    <t>#MA.BANK_AC_TYP</t>
  </si>
  <si>
    <t>#MA.BANK_AC_HOLDER</t>
  </si>
  <si>
    <t>#MA.BANK_AC_HOLDER_SUB</t>
  </si>
  <si>
    <t>#MA.XRATE_CD</t>
  </si>
  <si>
    <t>#MA.XRATE_NM</t>
  </si>
  <si>
    <t>#MA.ITM_JNL_CD</t>
  </si>
  <si>
    <t>#MA.ITM_JNL_NM</t>
  </si>
  <si>
    <t>#MA.AR_TYP</t>
  </si>
  <si>
    <t>#MA.AP_TYP</t>
  </si>
  <si>
    <t>#MA.AC_ITM_GRP_CD</t>
  </si>
  <si>
    <t>#MA.AC_ITM_GRP_NM</t>
  </si>
  <si>
    <t>#MA.SITE_CD</t>
  </si>
  <si>
    <t>#MA.SITE_NM</t>
  </si>
  <si>
    <t>#MA.ZIP_CD</t>
  </si>
  <si>
    <t>#MA.ADDR1</t>
  </si>
  <si>
    <t>#MA.TEL</t>
  </si>
  <si>
    <t>#MA.LOC_GRP_CD</t>
  </si>
  <si>
    <t>#MA.LOC_GRP_NM</t>
  </si>
  <si>
    <t>#MA.ALLOC_GRP_CD</t>
  </si>
  <si>
    <t>#MA.ALLOC_GRP_NM</t>
  </si>
  <si>
    <t>#MA.LG_GRP_CD</t>
  </si>
  <si>
    <t>#MA.LG_GRP_NM</t>
  </si>
  <si>
    <t>#MA.WG_CD</t>
  </si>
  <si>
    <t>#MA.WG_NM</t>
  </si>
  <si>
    <t>#MA.OPER_CD</t>
  </si>
  <si>
    <t>#MA.OPER_NM</t>
  </si>
  <si>
    <t>#MA.OPER_ALC_GRP</t>
  </si>
  <si>
    <t>#MA.WK_COST_CD</t>
  </si>
  <si>
    <t>#MA.WK_COST_NM</t>
  </si>
  <si>
    <t>#MA.RND_TYP</t>
  </si>
  <si>
    <t>#MA.WK_RSN_CD</t>
  </si>
  <si>
    <t>#MA.WK_RSN_NM</t>
  </si>
  <si>
    <t>#MA.SLS_UPRI_GRP_CD</t>
  </si>
  <si>
    <t>#MA.SLS_UPRI_GRP_NM</t>
  </si>
  <si>
    <t>#MA.SLS_UPRI_RANK_CD</t>
  </si>
  <si>
    <t>#MA.SLS_UPRI_RANK_NM</t>
  </si>
  <si>
    <t>#MA.SETOFF_GRP_CD</t>
  </si>
  <si>
    <t>#MA.SETOFF_GRP_NM</t>
  </si>
  <si>
    <t>#MA.SHIP_VALID_GRP_CD</t>
  </si>
  <si>
    <t>#MA.SHIP_VALID_GRP_NM</t>
  </si>
  <si>
    <t>#MA.ITM_SHIP_GRP_CD</t>
  </si>
  <si>
    <t>#MA.ITM_SHIP_GRP_NM</t>
  </si>
  <si>
    <t>#MA.TRNSPT_CD</t>
  </si>
  <si>
    <t>#MA.TRNSPT_NM</t>
  </si>
  <si>
    <t>#MA.CNTNR_CD</t>
  </si>
  <si>
    <t>#MA.CNTNR_NM</t>
  </si>
  <si>
    <t>#MA.PORT_CD</t>
  </si>
  <si>
    <t>#MA.PORT_NM</t>
  </si>
  <si>
    <t>#MA.TRD_CD</t>
  </si>
  <si>
    <t>#MA.TRD_NM</t>
  </si>
  <si>
    <t>#MA.TRD_PTN_TYP</t>
  </si>
  <si>
    <t>#MA.SLIP_FORM_CD</t>
  </si>
  <si>
    <t>#MA.SLIP_FORM_NM</t>
  </si>
  <si>
    <t>#MA.SLIP_FORM_ID</t>
  </si>
  <si>
    <t>#MA.PF_GRP_CD</t>
  </si>
  <si>
    <t>#MA.PF_GRP_NM</t>
  </si>
  <si>
    <t>#MA.ITM_SPEC_GRP_CD</t>
  </si>
  <si>
    <t>#MA.ITM_SPEC_GRP_NM</t>
  </si>
  <si>
    <t>#MA.ITM_COMP_GRP_CD</t>
  </si>
  <si>
    <t>#MA.ITM_COMP_GRP_NM</t>
  </si>
  <si>
    <t>#MA.JNL_ACT_CD</t>
  </si>
  <si>
    <t>#MA.JNL_ACT_NM</t>
  </si>
  <si>
    <t>#MA.JNL_GRP_CD</t>
  </si>
  <si>
    <t>#MA.JNL_GRP_NM</t>
  </si>
  <si>
    <t>#MA.JNL_PTN_CD</t>
  </si>
  <si>
    <t>#MA.JNL_PTN_NM</t>
  </si>
  <si>
    <t>#MA.AUTO_JNL_KEY_CD</t>
  </si>
  <si>
    <t>#MA.AUTO_JNL_KEY_NM</t>
  </si>
  <si>
    <t>#MA.INSP_PTN_CD</t>
  </si>
  <si>
    <t>#MA.INSP_PTN_NM</t>
  </si>
  <si>
    <t>bank_cal_cd</t>
    <phoneticPr fontId="1"/>
  </si>
  <si>
    <t>bank_branch_bank_cd</t>
    <phoneticPr fontId="1"/>
  </si>
  <si>
    <t>bank_branch_cal_cd</t>
    <phoneticPr fontId="1"/>
  </si>
  <si>
    <t>bank_ac_bank_cd</t>
    <phoneticPr fontId="1"/>
  </si>
  <si>
    <t>bank_ac_branch_cd</t>
    <phoneticPr fontId="1"/>
  </si>
  <si>
    <t>ac_rsn_ar_typ</t>
    <phoneticPr fontId="1"/>
  </si>
  <si>
    <t>ac_rsn_ap_typ</t>
    <phoneticPr fontId="1"/>
  </si>
  <si>
    <t>lg_grp_cal_cd</t>
    <phoneticPr fontId="1"/>
  </si>
  <si>
    <t>wk_cost_dec_place</t>
    <phoneticPr fontId="1"/>
  </si>
  <si>
    <t>port_cntry_cd</t>
    <phoneticPr fontId="1"/>
  </si>
  <si>
    <t>trd_nm</t>
    <phoneticPr fontId="1"/>
  </si>
  <si>
    <t>trd_slip_form_cd</t>
    <phoneticPr fontId="1"/>
  </si>
  <si>
    <t>bank_branch_bank_cd</t>
    <phoneticPr fontId="20"/>
  </si>
  <si>
    <t>da_nm_lcl</t>
  </si>
  <si>
    <t>dpt_lvl_nm_lcl</t>
  </si>
  <si>
    <t>aprv_role_nm_lcl</t>
  </si>
  <si>
    <t>cntry_nm_lcl</t>
  </si>
  <si>
    <t>area_nm_lcl</t>
  </si>
  <si>
    <t>cur_nm_lcl</t>
  </si>
  <si>
    <t>unit_nm_lcl</t>
  </si>
  <si>
    <t>bank_nm_lcl</t>
  </si>
  <si>
    <t>bank_cal_cd</t>
  </si>
  <si>
    <t>bank_cal_nm</t>
  </si>
  <si>
    <t>bank_branch_bank_cd</t>
  </si>
  <si>
    <t>bank_branch_bank_nm</t>
  </si>
  <si>
    <t>branch_nm_lcl</t>
  </si>
  <si>
    <t>bank_branch_cal_cd</t>
  </si>
  <si>
    <t>bank_branch_cal_nm</t>
  </si>
  <si>
    <t>bank_ac_nm_lcl</t>
  </si>
  <si>
    <t>bank_ac_bank_cd</t>
  </si>
  <si>
    <t>bank_ac_bank_nm</t>
  </si>
  <si>
    <t>bank_ac_branch_cd</t>
  </si>
  <si>
    <t>bank_ac_branch_nm</t>
  </si>
  <si>
    <t>xrate_nm_lcl</t>
  </si>
  <si>
    <t>cal_nm_lcl</t>
  </si>
  <si>
    <t>itm_jnl_nm_lcl</t>
  </si>
  <si>
    <t>ar_typ_nm</t>
  </si>
  <si>
    <t>ap_typ_nm</t>
  </si>
  <si>
    <t>ac_itm_grp_nm_lcl</t>
  </si>
  <si>
    <t>ac_rsn_nm_lcl</t>
  </si>
  <si>
    <t>ac_rsn_ar_typ</t>
  </si>
  <si>
    <t>ac_rsn_ar_typ_nm</t>
  </si>
  <si>
    <t>ac_rsn_ap_typ</t>
  </si>
  <si>
    <t>ac_rsn_ap_typ_nm</t>
  </si>
  <si>
    <t>site_nm_lcl</t>
  </si>
  <si>
    <t>def_loc_grp_nm</t>
  </si>
  <si>
    <t>def_alloc_grp_nm</t>
  </si>
  <si>
    <t>def_lg_grp_nm</t>
  </si>
  <si>
    <t>def_cal_nm</t>
  </si>
  <si>
    <t>loc_grp_nm_lcl</t>
  </si>
  <si>
    <t>lg_grp_nm_lcl</t>
  </si>
  <si>
    <t>lg_grp_cal_cd</t>
  </si>
  <si>
    <t>lg_grp_cal_nm</t>
  </si>
  <si>
    <t>alloc_grp_nm_lcl</t>
  </si>
  <si>
    <t>wg_nm_lcl</t>
  </si>
  <si>
    <t>wk_cost_nm_lcl</t>
  </si>
  <si>
    <t>wk_cost_dec_place</t>
  </si>
  <si>
    <t>rnd_typ_nm</t>
  </si>
  <si>
    <t>wk_rsn_nm_lcl</t>
  </si>
  <si>
    <t>sls_upri_grp_nm_lcl</t>
  </si>
  <si>
    <t>sls_upri_rank_nm_lcl</t>
  </si>
  <si>
    <t>setoff_grp_nm_lcl</t>
  </si>
  <si>
    <t>ship_valid_grp_nm_lcl</t>
  </si>
  <si>
    <t>itm_ship_grp_nm_lcl</t>
  </si>
  <si>
    <t>trnspt_nm_lcl</t>
  </si>
  <si>
    <t>cntnr_nm_lcl</t>
  </si>
  <si>
    <t>port_nm_lcl</t>
  </si>
  <si>
    <t>port_cntry_cd</t>
  </si>
  <si>
    <t>port_cntry_nm</t>
  </si>
  <si>
    <t>gd_nm_lcl</t>
  </si>
  <si>
    <t>trd_nm_lcl</t>
  </si>
  <si>
    <t>trd_slip_form_cd</t>
  </si>
  <si>
    <t>trd_slip_form_nm</t>
  </si>
  <si>
    <t>slip_form_nm_lcl</t>
  </si>
  <si>
    <t>pf_grp_nm_lcl</t>
  </si>
  <si>
    <t>itm_spec_grp_nm_lcl</t>
  </si>
  <si>
    <t>itm_comp_grp_nm_lcl</t>
  </si>
  <si>
    <t>jnl_act_nm_lcl</t>
  </si>
  <si>
    <t>jnl_grp_nm_lcl</t>
  </si>
  <si>
    <t>jnl_ptn_nm_lcl</t>
  </si>
  <si>
    <t>auto_jnl_key_nm_lcl</t>
  </si>
  <si>
    <t>insp_ptn_nm_lcl</t>
  </si>
  <si>
    <t>K</t>
  </si>
  <si>
    <t>CONST</t>
  </si>
  <si>
    <t>wk_cost_unit_nm</t>
    <phoneticPr fontId="1"/>
  </si>
  <si>
    <t>#MA.WK_COST_UNIT_NM</t>
    <phoneticPr fontId="1"/>
  </si>
  <si>
    <t>#MA.STK_GD_CD</t>
    <phoneticPr fontId="20"/>
  </si>
  <si>
    <t>#MA.STK_GD_CD</t>
    <phoneticPr fontId="1"/>
  </si>
  <si>
    <t>#MA.STK_GD_NM</t>
    <phoneticPr fontId="1"/>
  </si>
  <si>
    <t>#MA.STK_GD_CD</t>
    <phoneticPr fontId="1"/>
  </si>
  <si>
    <t>#MA.STK_GD_NM</t>
    <phoneticPr fontId="1"/>
  </si>
  <si>
    <t>bank_branch_bank_cd</t>
    <phoneticPr fontId="1"/>
  </si>
  <si>
    <t>lg_flg</t>
  </si>
  <si>
    <t>mfg_flg</t>
  </si>
  <si>
    <t>複数のマスタ、名称マスタの登録を行います。（マスタ画面用）</t>
    <rPh sb="25" eb="27">
      <t>ガメン</t>
    </rPh>
    <rPh sb="27" eb="28">
      <t>ヨウ</t>
    </rPh>
    <phoneticPr fontId="1"/>
  </si>
  <si>
    <t>複数のマスタ、名称マスタの削除を行います。</t>
    <rPh sb="13" eb="15">
      <t>サクジョ</t>
    </rPh>
    <phoneticPr fontId="20"/>
  </si>
  <si>
    <t>Upd01_Cnd</t>
    <phoneticPr fontId="1"/>
  </si>
  <si>
    <t>Del01_Cnd</t>
    <phoneticPr fontId="1"/>
  </si>
  <si>
    <t>dpt_cd</t>
    <phoneticPr fontId="1"/>
  </si>
  <si>
    <t>#MA.DPT_CD</t>
    <phoneticPr fontId="1"/>
  </si>
  <si>
    <t>def_dpt_nm</t>
    <phoneticPr fontId="1"/>
  </si>
  <si>
    <t>#MA.DPT_NM</t>
    <phoneticPr fontId="1"/>
  </si>
  <si>
    <t>#MA.DPT_CD</t>
    <phoneticPr fontId="1"/>
  </si>
  <si>
    <t>def_dpt_nm_lcl</t>
    <phoneticPr fontId="1"/>
  </si>
  <si>
    <t>#MA.WK_COST_UNIT_NM</t>
    <phoneticPr fontId="1"/>
  </si>
  <si>
    <t>wk_cost_unit_nm</t>
    <phoneticPr fontId="1"/>
  </si>
  <si>
    <t>#MA.WK_COST_UNIT_NM</t>
    <phoneticPr fontId="1"/>
  </si>
  <si>
    <t>wk_day_cd</t>
    <phoneticPr fontId="1"/>
  </si>
  <si>
    <t>wk_day_nm_lcl</t>
    <phoneticPr fontId="1"/>
  </si>
  <si>
    <t>wk_day_nm</t>
    <phoneticPr fontId="1"/>
  </si>
  <si>
    <t>#MA.WK_DAY_CD</t>
    <phoneticPr fontId="1"/>
  </si>
  <si>
    <t>#MA.WK_DAY_NM</t>
    <phoneticPr fontId="1"/>
  </si>
  <si>
    <t>DA</t>
    <phoneticPr fontId="1"/>
  </si>
  <si>
    <t>DPT_BASE</t>
  </si>
  <si>
    <t>DPT_LVL</t>
  </si>
  <si>
    <t>APRV_ROLE</t>
  </si>
  <si>
    <t>CNTRY</t>
  </si>
  <si>
    <t>AREA</t>
  </si>
  <si>
    <t>CUR</t>
  </si>
  <si>
    <t>UNIT</t>
  </si>
  <si>
    <t>BANK</t>
  </si>
  <si>
    <t>BANK_BRANCH</t>
  </si>
  <si>
    <t>XRATE</t>
  </si>
  <si>
    <t>CAL_BASE</t>
  </si>
  <si>
    <t>ITM_JNL</t>
  </si>
  <si>
    <t>AC_ITM_GRP</t>
  </si>
  <si>
    <t>AC_RSN</t>
  </si>
  <si>
    <t>SITE</t>
  </si>
  <si>
    <t>LOC_GRP</t>
  </si>
  <si>
    <t>LG_GRP</t>
  </si>
  <si>
    <t>ALLOC_GRP</t>
  </si>
  <si>
    <t>WG</t>
  </si>
  <si>
    <t>OPER</t>
  </si>
  <si>
    <t>WK_COST</t>
  </si>
  <si>
    <t>WK_RSN</t>
  </si>
  <si>
    <t>SLS_UPRI_GRP</t>
  </si>
  <si>
    <t>SLS_UPRI_RANK</t>
  </si>
  <si>
    <t>SETOFF_GRP</t>
  </si>
  <si>
    <t>SHIP_VALID</t>
  </si>
  <si>
    <t>ITM_SHIP_GRP</t>
  </si>
  <si>
    <t>TRNSPT</t>
  </si>
  <si>
    <t>EX_CNTNR</t>
  </si>
  <si>
    <t>EXIM_PORT</t>
  </si>
  <si>
    <t>STK_GD</t>
  </si>
  <si>
    <t>TRD</t>
  </si>
  <si>
    <t>SLIP_FORM</t>
  </si>
  <si>
    <t>PF_GRP</t>
  </si>
  <si>
    <t>ITM_SPEC_GRP</t>
  </si>
  <si>
    <t>ITM_COMP_GRP</t>
  </si>
  <si>
    <t>JNL_ACT</t>
  </si>
  <si>
    <t>JNL_GRP</t>
  </si>
  <si>
    <t>JNL_PTN_BASE</t>
  </si>
  <si>
    <t>AUTO_JNL_KEY</t>
  </si>
  <si>
    <t>INSP_PTN</t>
  </si>
  <si>
    <t>WK_DAY</t>
  </si>
  <si>
    <t>wk_day_cd</t>
    <phoneticPr fontId="1"/>
  </si>
  <si>
    <t>wk_day_nm</t>
    <phoneticPr fontId="1"/>
  </si>
  <si>
    <t>#MA.WK_DAY_NM</t>
    <phoneticPr fontId="1"/>
  </si>
  <si>
    <t>wk_day_nm</t>
    <phoneticPr fontId="1"/>
  </si>
  <si>
    <t>#MA.WK_DAY_CD</t>
    <phoneticPr fontId="1"/>
  </si>
  <si>
    <t>#MA.WK_DAY_NM</t>
    <phoneticPr fontId="1"/>
  </si>
  <si>
    <t>wk_day_cd</t>
    <phoneticPr fontId="20"/>
  </si>
  <si>
    <t>#MA.WK_DAY_CD</t>
    <phoneticPr fontId="20"/>
  </si>
  <si>
    <t>#MA.AC_RSN_CD</t>
    <phoneticPr fontId="1"/>
  </si>
  <si>
    <t>#MA.AC_RSN_NM</t>
    <phoneticPr fontId="1"/>
  </si>
  <si>
    <t>#MA.AC_RSN_NM</t>
    <phoneticPr fontId="1"/>
  </si>
  <si>
    <t>#MA.AC_RSN_CD</t>
    <phoneticPr fontId="1"/>
  </si>
  <si>
    <t>#MA.AC_RSN_NM</t>
    <phoneticPr fontId="1"/>
  </si>
  <si>
    <t>#MA.AC_RSN_CD</t>
    <phoneticPr fontId="1"/>
  </si>
  <si>
    <t>#MA.AC_RSN_NM</t>
    <phoneticPr fontId="1"/>
  </si>
  <si>
    <t>#MA.AC_RSN_CD</t>
    <phoneticPr fontId="1"/>
  </si>
  <si>
    <t>#MA.AC_RSN_NM</t>
    <phoneticPr fontId="1"/>
  </si>
  <si>
    <t>#MA.AC_RSN_CD</t>
    <phoneticPr fontId="20"/>
  </si>
  <si>
    <t>match_typ</t>
    <phoneticPr fontId="1"/>
  </si>
  <si>
    <t>C</t>
    <phoneticPr fontId="1"/>
  </si>
  <si>
    <t>ship_term_cd</t>
    <phoneticPr fontId="1"/>
  </si>
  <si>
    <t>ship_term_nm_lcl</t>
    <phoneticPr fontId="1"/>
  </si>
  <si>
    <t>ship_term_nm</t>
    <phoneticPr fontId="1"/>
  </si>
  <si>
    <t>#MA.SHIP_TERM_CD</t>
    <phoneticPr fontId="1"/>
  </si>
  <si>
    <t>#MA.SHIP_TERM_NM</t>
    <phoneticPr fontId="1"/>
  </si>
  <si>
    <t>#MA.SHIP_TERM_CD</t>
    <phoneticPr fontId="1"/>
  </si>
  <si>
    <t>#MA.SHIP_TERM_NM</t>
    <phoneticPr fontId="1"/>
  </si>
  <si>
    <t>SHIP_TERM</t>
    <phoneticPr fontId="1"/>
  </si>
  <si>
    <t>ship_term_cd</t>
    <phoneticPr fontId="20"/>
  </si>
  <si>
    <t>#MA.SHIP_TERM_CD</t>
    <phoneticPr fontId="20"/>
  </si>
  <si>
    <t>trnspt_nm</t>
    <phoneticPr fontId="1"/>
  </si>
  <si>
    <t>trnspt_sort_seq</t>
    <phoneticPr fontId="1"/>
  </si>
  <si>
    <t>trnspt_nm</t>
    <phoneticPr fontId="1"/>
  </si>
  <si>
    <t>unit_rnd_typ</t>
    <phoneticPr fontId="1"/>
  </si>
  <si>
    <t>unit_rnd_typ_nm</t>
    <phoneticPr fontId="1"/>
  </si>
  <si>
    <t>loc_grp_wg_cd</t>
    <phoneticPr fontId="1"/>
  </si>
  <si>
    <t>loc_grp_wg_nm</t>
    <phoneticPr fontId="1"/>
  </si>
  <si>
    <t>#MA.WG_CD</t>
    <phoneticPr fontId="1"/>
  </si>
  <si>
    <t>lg_grp_wg_cd</t>
    <phoneticPr fontId="1"/>
  </si>
  <si>
    <t>lg_grp_wg_nm</t>
    <phoneticPr fontId="1"/>
  </si>
  <si>
    <t>#MA.RND_TYP</t>
    <phoneticPr fontId="1"/>
  </si>
  <si>
    <t>#MA.WG_CD</t>
    <phoneticPr fontId="1"/>
  </si>
  <si>
    <t>#MA.WG_CD</t>
    <phoneticPr fontId="1"/>
  </si>
  <si>
    <t>rsrc_cd</t>
  </si>
  <si>
    <t>rsrc_nm_lcl</t>
  </si>
  <si>
    <t>rsrc_nm</t>
  </si>
  <si>
    <t>rsrc_unit_nm</t>
  </si>
  <si>
    <t>rsrc_dec_place</t>
  </si>
  <si>
    <t>rsrc_rnd_typ</t>
  </si>
  <si>
    <t>rsrc_rnd_typ_nm</t>
  </si>
  <si>
    <t>hs_grp_cd</t>
  </si>
  <si>
    <t>hs_grp_nm_lcl</t>
  </si>
  <si>
    <t>hs_grp_nm</t>
  </si>
  <si>
    <t>hs_typ</t>
  </si>
  <si>
    <t>alc_ptn_cd</t>
  </si>
  <si>
    <t>alc_ptn_nm_lcl</t>
  </si>
  <si>
    <t>alc_ptn_nm</t>
  </si>
  <si>
    <t>ctg_grp_cd</t>
  </si>
  <si>
    <t>ctg_grp_nm_lcl</t>
  </si>
  <si>
    <t>ctg_grp_nm</t>
  </si>
  <si>
    <t>#MA.RSRC_CD</t>
  </si>
  <si>
    <t>#MA.RSRC_NM</t>
  </si>
  <si>
    <t>#MA.RSRC_UNIT_NM</t>
  </si>
  <si>
    <t>#MA.RND_TYP_NM</t>
  </si>
  <si>
    <t>#MA.HS_GRP_CD</t>
  </si>
  <si>
    <t>#MA.HS_GRP_NM</t>
  </si>
  <si>
    <t>#MA.HS_TYP</t>
  </si>
  <si>
    <t>#MA.ALC_PTN_CD</t>
  </si>
  <si>
    <t>#MA.ALC_PTN_NM</t>
  </si>
  <si>
    <t>#MA.CTG_GRP_CD</t>
  </si>
  <si>
    <t>#MA.CTG_GRP_NM</t>
  </si>
  <si>
    <t>alc_ptn_nm</t>
    <phoneticPr fontId="1"/>
  </si>
  <si>
    <t>#MA.ALC_PTN_NM</t>
    <phoneticPr fontId="1"/>
  </si>
  <si>
    <t>RSRC</t>
    <phoneticPr fontId="1"/>
  </si>
  <si>
    <t>HS_GRP</t>
    <phoneticPr fontId="1"/>
  </si>
  <si>
    <t>ALC_PTN</t>
    <phoneticPr fontId="1"/>
  </si>
  <si>
    <t>CTG_GRP</t>
    <phoneticPr fontId="1"/>
  </si>
  <si>
    <t>資源マスタ</t>
  </si>
  <si>
    <t>ＨＳ分類マスタ</t>
  </si>
  <si>
    <t>配賦パタンマスタ</t>
  </si>
  <si>
    <t>原価品群グループマスタ</t>
  </si>
  <si>
    <t>hs_grp_cd</t>
    <phoneticPr fontId="20"/>
  </si>
  <si>
    <t>#MA.FCM_USR_ID</t>
  </si>
  <si>
    <t>#MA.FCM_USR_NM</t>
  </si>
  <si>
    <t>plm_flg</t>
    <phoneticPr fontId="1"/>
  </si>
  <si>
    <t>rqmt_typ</t>
  </si>
  <si>
    <t>rqmt_typ_nm</t>
  </si>
  <si>
    <t>#MA.RQMT_TYP_NM</t>
  </si>
  <si>
    <t>prod_pln_typ</t>
  </si>
  <si>
    <t>prod_pln_typ_nm</t>
  </si>
  <si>
    <t>#MA.PROD_PLN_TYP_NM</t>
  </si>
  <si>
    <t>mrp_prefix</t>
    <phoneticPr fontId="1"/>
  </si>
  <si>
    <t>#MA.MRP_PREFIX</t>
    <phoneticPr fontId="1"/>
  </si>
  <si>
    <t>#MA.RQMT_TYP</t>
    <phoneticPr fontId="1"/>
  </si>
  <si>
    <t>#MA.PROD_PLN_TYP</t>
    <phoneticPr fontId="1"/>
  </si>
  <si>
    <t>ship_wk_cd</t>
    <phoneticPr fontId="20"/>
  </si>
  <si>
    <t>#MA.SHIP_WK_CD</t>
    <phoneticPr fontId="20"/>
  </si>
  <si>
    <t>ship_wk_cd</t>
    <phoneticPr fontId="1"/>
  </si>
  <si>
    <t>ship_wk_nm</t>
    <phoneticPr fontId="1"/>
  </si>
  <si>
    <t>#MA.SHIP_WK_CD</t>
    <phoneticPr fontId="1"/>
  </si>
  <si>
    <t>#MA.SHIP_WK_NM</t>
    <phoneticPr fontId="1"/>
  </si>
  <si>
    <t>ship_wk_cd</t>
    <phoneticPr fontId="1"/>
  </si>
  <si>
    <t>ship_wk_nm_lcl</t>
    <phoneticPr fontId="1"/>
  </si>
  <si>
    <t>ship_wk_nm</t>
    <phoneticPr fontId="1"/>
  </si>
  <si>
    <t>#MA.SHIP_WK_CD</t>
    <phoneticPr fontId="1"/>
  </si>
  <si>
    <t>#MA.SHIP_WK_NM</t>
    <phoneticPr fontId="1"/>
  </si>
  <si>
    <t>#MA.SHIP_WK_NM</t>
    <phoneticPr fontId="1"/>
  </si>
  <si>
    <t>ship_wk_cd</t>
    <phoneticPr fontId="1"/>
  </si>
  <si>
    <t>#MA.SHIP_WK_CD</t>
    <phoneticPr fontId="1"/>
  </si>
  <si>
    <t>SHIP_WK</t>
    <phoneticPr fontId="1"/>
  </si>
  <si>
    <t>#MA.AC_RSN_CD</t>
  </si>
  <si>
    <t>#MA.AC_RSN_CD</t>
    <phoneticPr fontId="1"/>
  </si>
  <si>
    <t>slip_each_lot_typ</t>
    <phoneticPr fontId="1"/>
  </si>
  <si>
    <t>#MA.SLIP_EACH_LOT_TYP</t>
  </si>
  <si>
    <t>#MA.SLIP_EACH_LOT_TYP</t>
    <phoneticPr fontId="1"/>
  </si>
  <si>
    <t>#MA.AC_RSN_NM</t>
  </si>
  <si>
    <t>slip_each_lot_typ_nm</t>
    <phoneticPr fontId="1"/>
  </si>
  <si>
    <t>#MA.SLIP_EACH_LOT_TYP_NM</t>
  </si>
  <si>
    <t>weekly_period_num</t>
  </si>
  <si>
    <t>weekly_period_num</t>
    <phoneticPr fontId="1"/>
  </si>
  <si>
    <t>#MA.PF_PERIOD</t>
  </si>
  <si>
    <t>#MA.PF_PERIOD</t>
    <phoneticPr fontId="1"/>
  </si>
  <si>
    <t>weekly_period_st</t>
  </si>
  <si>
    <t>tendays_period_num</t>
  </si>
  <si>
    <t>tendays_period_st</t>
  </si>
  <si>
    <t>monthly_period_num</t>
  </si>
  <si>
    <t>monthly_period_st</t>
  </si>
  <si>
    <t>fix_period_num</t>
  </si>
  <si>
    <t>trd_ac_rsn_cd</t>
    <phoneticPr fontId="1"/>
  </si>
  <si>
    <t>trd_ac_rsn_nm</t>
    <phoneticPr fontId="1"/>
  </si>
  <si>
    <t>trd_ptn_typ_nm</t>
    <phoneticPr fontId="1"/>
  </si>
  <si>
    <t>upd_ts</t>
    <phoneticPr fontId="1"/>
  </si>
  <si>
    <t>dmnd_date_div_mons</t>
    <phoneticPr fontId="20"/>
  </si>
  <si>
    <t>#MA.MONS</t>
    <phoneticPr fontId="20"/>
  </si>
  <si>
    <t>rsrc_unit_nm</t>
    <phoneticPr fontId="1"/>
  </si>
  <si>
    <t>rsrc_unit_nm</t>
    <phoneticPr fontId="1"/>
  </si>
  <si>
    <t>#MA.RSRC_UNIT_NM</t>
    <phoneticPr fontId="1"/>
  </si>
  <si>
    <t>copy_slip_form_id</t>
    <phoneticPr fontId="1"/>
  </si>
  <si>
    <t>mfg_inst_unit_typ</t>
  </si>
  <si>
    <t>mfg_inst_unit_typ_nm</t>
  </si>
  <si>
    <t>mrp_proc_typ</t>
  </si>
  <si>
    <t>mrp_proc_typ_nm</t>
  </si>
  <si>
    <t>alloc_margin_days</t>
  </si>
  <si>
    <t>mrp_alloc_margin_days</t>
  </si>
  <si>
    <t>#MA.MFG_INST_UNIT_TYP</t>
  </si>
  <si>
    <t>#MA.MFG_INST_UNIT_TYP_NM</t>
  </si>
  <si>
    <t>#MA.MRP_PROC_TYP</t>
  </si>
  <si>
    <t>#MA.MRP_PROC_TYP_NM</t>
  </si>
  <si>
    <t>#MA.DAYS</t>
  </si>
  <si>
    <t>#MA.MFG_INST_UNIT_TYP</t>
    <phoneticPr fontId="1"/>
  </si>
  <si>
    <t>#MA.MRP_PROC_TYP</t>
    <phoneticPr fontId="1"/>
  </si>
  <si>
    <t>MABCL0031</t>
  </si>
  <si>
    <t>データアクセス基本マスタ</t>
  </si>
  <si>
    <t>部門基本マスタ</t>
  </si>
  <si>
    <t>部門階層マスタ</t>
  </si>
  <si>
    <t>承認役割マスタ</t>
  </si>
  <si>
    <t>国マスタ</t>
  </si>
  <si>
    <t>地域マスタ</t>
  </si>
  <si>
    <t>通貨マスタ</t>
  </si>
  <si>
    <t>単位マスタ</t>
  </si>
  <si>
    <t>銀行マスタ</t>
  </si>
  <si>
    <t>銀行支店マスタ</t>
  </si>
  <si>
    <t>口座マスタ</t>
  </si>
  <si>
    <t>為替レート基本マスタ</t>
  </si>
  <si>
    <t>カレンダ基本マスタ</t>
  </si>
  <si>
    <t>品目仕訳マスタ</t>
  </si>
  <si>
    <t>会計品目分類マスタ</t>
  </si>
  <si>
    <t>会計理由マスタ</t>
  </si>
  <si>
    <t>工場・物流倉庫マスタ</t>
  </si>
  <si>
    <t>製造場所グループマスタ</t>
  </si>
  <si>
    <t>物流グループマスタ</t>
  </si>
  <si>
    <t>総量引当場所グループマスタ</t>
  </si>
  <si>
    <t>工程マスタ</t>
  </si>
  <si>
    <t>工数管理マスタ</t>
  </si>
  <si>
    <t>工数理由マスタ</t>
  </si>
  <si>
    <t>販売単価分類マスタ</t>
  </si>
  <si>
    <t>販売単価ランクマスタ</t>
  </si>
  <si>
    <t>相殺グループマスタ</t>
  </si>
  <si>
    <t>出荷有効期限グループマスタ</t>
  </si>
  <si>
    <t>品目出荷グループマスタ</t>
  </si>
  <si>
    <t>輸送方法マスタ</t>
  </si>
  <si>
    <t>梱包容器マスタ</t>
  </si>
  <si>
    <t>港マスタ</t>
  </si>
  <si>
    <t>格付マスタ</t>
  </si>
  <si>
    <t>取引マスタ</t>
  </si>
  <si>
    <t>伝票帳票マスタ</t>
  </si>
  <si>
    <t>購買内示グループマスタ</t>
  </si>
  <si>
    <t>品目仕様分類マスタ</t>
  </si>
  <si>
    <t>品目構成グループマスタ</t>
  </si>
  <si>
    <t>仕訳実行マスタ</t>
  </si>
  <si>
    <t>仕訳グループマスタ</t>
  </si>
  <si>
    <t>仕訳パタンマスタ</t>
  </si>
  <si>
    <t>自動仕訳キーマスタ</t>
  </si>
  <si>
    <t>検査パタンマスタ</t>
  </si>
  <si>
    <t>勤務種類マスタ</t>
  </si>
  <si>
    <t>出荷条件マスタ</t>
  </si>
  <si>
    <t>出荷作業マスタ</t>
  </si>
  <si>
    <t>mrp_opn_xfr_days</t>
    <phoneticPr fontId="1"/>
  </si>
  <si>
    <t>mrp_opn_xfr_days</t>
    <phoneticPr fontId="1"/>
  </si>
  <si>
    <t>cmn_upri_flg</t>
  </si>
  <si>
    <t>calc_seq</t>
    <phoneticPr fontId="1"/>
  </si>
  <si>
    <t>#MA.INT3</t>
  </si>
  <si>
    <t>計算実行パタンマスタ</t>
    <phoneticPr fontId="1"/>
  </si>
  <si>
    <t>act_ptn_cd</t>
  </si>
  <si>
    <t>act_ptn_nm_lcl</t>
  </si>
  <si>
    <t>act_ptn_nm</t>
  </si>
  <si>
    <t>#MA.ACT_PTN_CD</t>
  </si>
  <si>
    <t>#MA.ACT_PTN_NM</t>
  </si>
  <si>
    <t>act_ptn_nm</t>
    <phoneticPr fontId="1"/>
  </si>
  <si>
    <t>#MA.ACT_PTN_NM</t>
    <phoneticPr fontId="1"/>
  </si>
  <si>
    <t>act_ptn_cd</t>
    <phoneticPr fontId="20"/>
  </si>
  <si>
    <t>#MA.ACT_PTN_CD</t>
    <phoneticPr fontId="20"/>
  </si>
  <si>
    <t>#MA.ACT_PTN_CD</t>
    <phoneticPr fontId="1"/>
  </si>
  <si>
    <t>act_ptn_nm</t>
    <phoneticPr fontId="1"/>
  </si>
  <si>
    <t>#MA.ACT_PTN_NM</t>
    <phoneticPr fontId="1"/>
  </si>
  <si>
    <t>act_ptn_cd</t>
    <phoneticPr fontId="1"/>
  </si>
  <si>
    <t>#MA.ACT_PTN_CD</t>
    <phoneticPr fontId="1"/>
  </si>
  <si>
    <t>ACT_PTN</t>
    <phoneticPr fontId="1"/>
  </si>
  <si>
    <t>汎用配賦分類マスタ</t>
    <phoneticPr fontId="1"/>
  </si>
  <si>
    <t>計算カテゴリマスタ</t>
    <phoneticPr fontId="1"/>
  </si>
  <si>
    <t>原価レポートパタンマスタ</t>
    <phoneticPr fontId="1"/>
  </si>
  <si>
    <t>原価メニューマスタ</t>
    <phoneticPr fontId="1"/>
  </si>
  <si>
    <t>GP_ALC</t>
    <phoneticPr fontId="1"/>
  </si>
  <si>
    <t>CALC_CTG</t>
    <phoneticPr fontId="1"/>
  </si>
  <si>
    <t>RPT_PTN</t>
    <phoneticPr fontId="1"/>
  </si>
  <si>
    <t>COST_MENU</t>
    <phoneticPr fontId="1"/>
  </si>
  <si>
    <t>gp_alc_cd</t>
  </si>
  <si>
    <t>calc_ctg_cd</t>
  </si>
  <si>
    <t>rpt_ptn_cd</t>
  </si>
  <si>
    <t>menu_cd</t>
  </si>
  <si>
    <t>gp_alc_nm</t>
  </si>
  <si>
    <t>gp_alc_nm</t>
    <phoneticPr fontId="1"/>
  </si>
  <si>
    <t>#MA.GP_ALC_NM</t>
  </si>
  <si>
    <t>#MA.GP_ALC_NM</t>
    <phoneticPr fontId="1"/>
  </si>
  <si>
    <t>#MA.MENU_NM</t>
  </si>
  <si>
    <t>#MA.MENU_NM</t>
    <phoneticPr fontId="1"/>
  </si>
  <si>
    <t>menu_nm</t>
  </si>
  <si>
    <t>menu_nm</t>
    <phoneticPr fontId="1"/>
  </si>
  <si>
    <t>#MA.CALC_CTG_NM</t>
  </si>
  <si>
    <t>#MA.CALC_CTG_NM</t>
    <phoneticPr fontId="1"/>
  </si>
  <si>
    <t>calc_ctg_nm</t>
  </si>
  <si>
    <t>calc_ctg_nm</t>
    <phoneticPr fontId="1"/>
  </si>
  <si>
    <t>#MA.RPT_PTN_NM</t>
  </si>
  <si>
    <t>#MA.RPT_PTN_NM</t>
    <phoneticPr fontId="1"/>
  </si>
  <si>
    <t>#MA.RPT_PTN_CD</t>
  </si>
  <si>
    <t>#MA.RPT_PTN_CD</t>
    <phoneticPr fontId="1"/>
  </si>
  <si>
    <t>rpt_ptn_cd</t>
    <phoneticPr fontId="1"/>
  </si>
  <si>
    <t>rpt_ptn_nm_lcl</t>
    <phoneticPr fontId="1"/>
  </si>
  <si>
    <t>rpt_ptn_nm</t>
  </si>
  <si>
    <t>rpt_ptn_nm</t>
    <phoneticPr fontId="1"/>
  </si>
  <si>
    <t>calc_ctg_nm_lcl</t>
    <phoneticPr fontId="1"/>
  </si>
  <si>
    <t>calc_ctg_cd</t>
    <phoneticPr fontId="1"/>
  </si>
  <si>
    <t>#MA.CALC_CTG_CD</t>
  </si>
  <si>
    <t>#MA.CALC_CTG_CD</t>
    <phoneticPr fontId="1"/>
  </si>
  <si>
    <t>gp_alc_nm_lcl</t>
    <phoneticPr fontId="1"/>
  </si>
  <si>
    <t>gp_alc_cd</t>
    <phoneticPr fontId="1"/>
  </si>
  <si>
    <t>#MA.GP_ALC_CD</t>
  </si>
  <si>
    <t>#MA.GP_ALC_CD</t>
    <phoneticPr fontId="1"/>
  </si>
  <si>
    <t>menu_nm_lcl</t>
    <phoneticPr fontId="1"/>
  </si>
  <si>
    <t>menu_cd</t>
    <phoneticPr fontId="1"/>
  </si>
  <si>
    <t>#MA.MENU_CD</t>
  </si>
  <si>
    <t>#MA.MENU_CD</t>
    <phoneticPr fontId="1"/>
  </si>
  <si>
    <t>ワーキンググループマスタ</t>
    <phoneticPr fontId="1"/>
  </si>
  <si>
    <t>gp_alc_cd</t>
    <phoneticPr fontId="1"/>
  </si>
  <si>
    <t>calc_ctg_cd</t>
    <phoneticPr fontId="1"/>
  </si>
  <si>
    <t>rpt_ptn_cd</t>
    <phoneticPr fontId="1"/>
  </si>
  <si>
    <t>#MA.CALC_CTG_CD</t>
    <phoneticPr fontId="1"/>
  </si>
  <si>
    <t>#MA.MENU_CD</t>
    <phoneticPr fontId="1"/>
  </si>
  <si>
    <t>#MA.RPT_PTN_CD</t>
    <phoneticPr fontId="1"/>
  </si>
  <si>
    <t>#MA.GP_ALC_CD</t>
    <phoneticPr fontId="1"/>
  </si>
  <si>
    <t>gp_alc_nm</t>
    <phoneticPr fontId="1"/>
  </si>
  <si>
    <t>#MA.GP_ALC_NM</t>
    <phoneticPr fontId="1"/>
  </si>
  <si>
    <t>calc_ctg_nm</t>
    <phoneticPr fontId="1"/>
  </si>
  <si>
    <t>#MA.CALC_CTG_NM</t>
    <phoneticPr fontId="1"/>
  </si>
  <si>
    <t>rpt_ptn_nm</t>
    <phoneticPr fontId="1"/>
  </si>
  <si>
    <t>#MA.RPT_PTN_NM</t>
    <phoneticPr fontId="1"/>
  </si>
  <si>
    <t>menu_nm</t>
    <phoneticPr fontId="1"/>
  </si>
  <si>
    <t>#MA.MENU_NM</t>
    <phoneticPr fontId="1"/>
  </si>
  <si>
    <t>not_xfr_flg</t>
    <phoneticPr fontId="1"/>
  </si>
  <si>
    <t>MABCL0034</t>
  </si>
  <si>
    <t>MABCL0035</t>
  </si>
  <si>
    <t>MABC</t>
    <phoneticPr fontId="1"/>
  </si>
  <si>
    <t>MABCL0032</t>
  </si>
  <si>
    <t>MABCL0033</t>
  </si>
  <si>
    <t>MABCL0036</t>
    <phoneticPr fontId="1"/>
  </si>
  <si>
    <t>ID</t>
  </si>
  <si>
    <t>*</t>
    <phoneticPr fontId="1"/>
  </si>
  <si>
    <t>*</t>
    <phoneticPr fontId="1"/>
  </si>
  <si>
    <t>L</t>
    <phoneticPr fontId="1"/>
  </si>
  <si>
    <t>ModuleID :</t>
    <phoneticPr fontId="1"/>
  </si>
  <si>
    <t>LogicID :</t>
    <phoneticPr fontId="1"/>
  </si>
  <si>
    <t>Ope.ID :</t>
    <phoneticPr fontId="1"/>
  </si>
  <si>
    <t>Pj.ID :</t>
    <phoneticPr fontId="1"/>
  </si>
  <si>
    <t xml:space="preserve">Ope.Body : </t>
    <phoneticPr fontId="1"/>
  </si>
  <si>
    <t>*</t>
    <phoneticPr fontId="1"/>
  </si>
  <si>
    <t>SubModuleID :</t>
    <phoneticPr fontId="1"/>
  </si>
  <si>
    <t>LogicClass :</t>
    <phoneticPr fontId="1"/>
  </si>
  <si>
    <t>Ope.Method :</t>
    <phoneticPr fontId="1"/>
  </si>
  <si>
    <t>SuperClassPj.ID :</t>
    <phoneticPr fontId="1"/>
  </si>
  <si>
    <t>Gene.Type :</t>
    <phoneticPr fontId="1"/>
  </si>
  <si>
    <t>ALL</t>
    <phoneticPr fontId="1"/>
  </si>
  <si>
    <t>*</t>
    <phoneticPr fontId="1"/>
  </si>
  <si>
    <t>LogicName :</t>
    <phoneticPr fontId="1"/>
  </si>
  <si>
    <t xml:space="preserve">Ope.Name : </t>
    <phoneticPr fontId="1"/>
  </si>
  <si>
    <t>SuperLogicID :</t>
    <phoneticPr fontId="1"/>
  </si>
  <si>
    <t>*</t>
    <phoneticPr fontId="1"/>
  </si>
  <si>
    <t>ACType :</t>
    <phoneticPr fontId="1"/>
  </si>
  <si>
    <t>概要 :</t>
    <phoneticPr fontId="1"/>
  </si>
  <si>
    <t>ID</t>
    <phoneticPr fontId="1"/>
  </si>
  <si>
    <t>#</t>
    <phoneticPr fontId="1"/>
  </si>
  <si>
    <t>#</t>
    <phoneticPr fontId="1"/>
  </si>
  <si>
    <t>R</t>
    <phoneticPr fontId="1"/>
  </si>
  <si>
    <t>マスタ名</t>
    <phoneticPr fontId="1"/>
  </si>
  <si>
    <t>E</t>
    <phoneticPr fontId="1"/>
  </si>
  <si>
    <t>ＣＤ</t>
    <phoneticPr fontId="1"/>
  </si>
  <si>
    <t>da_cd</t>
    <phoneticPr fontId="1"/>
  </si>
  <si>
    <t>dpt_cd</t>
    <phoneticPr fontId="1"/>
  </si>
  <si>
    <t>dpt_lvl_cd</t>
    <phoneticPr fontId="1"/>
  </si>
  <si>
    <t>aprv_role_cd</t>
    <phoneticPr fontId="1"/>
  </si>
  <si>
    <t>cntry_cd</t>
    <phoneticPr fontId="1"/>
  </si>
  <si>
    <t>area_cd</t>
    <phoneticPr fontId="1"/>
  </si>
  <si>
    <t>cur_cd</t>
    <phoneticPr fontId="1"/>
  </si>
  <si>
    <t>unit_cd</t>
    <phoneticPr fontId="1"/>
  </si>
  <si>
    <t>bank_cd</t>
    <phoneticPr fontId="1"/>
  </si>
  <si>
    <t>bank_ac_cd</t>
    <phoneticPr fontId="1"/>
  </si>
  <si>
    <t>xrate_cd</t>
    <phoneticPr fontId="1"/>
  </si>
  <si>
    <t>cal_cd</t>
    <phoneticPr fontId="1"/>
  </si>
  <si>
    <t>itm_jnl_cd</t>
    <phoneticPr fontId="1"/>
  </si>
  <si>
    <t>ac_itm_grp_cd</t>
    <phoneticPr fontId="1"/>
  </si>
  <si>
    <t>ac_rsn_cd</t>
    <phoneticPr fontId="1"/>
  </si>
  <si>
    <t>site_cd</t>
    <phoneticPr fontId="1"/>
  </si>
  <si>
    <t>loc_grp_cd</t>
    <phoneticPr fontId="1"/>
  </si>
  <si>
    <t>lg_grp_cd</t>
    <phoneticPr fontId="1"/>
  </si>
  <si>
    <t>alloc_grp_cd</t>
    <phoneticPr fontId="1"/>
  </si>
  <si>
    <t>wg_cd</t>
    <phoneticPr fontId="1"/>
  </si>
  <si>
    <t>oper_cd</t>
    <phoneticPr fontId="1"/>
  </si>
  <si>
    <t>wk_cost_cd</t>
    <phoneticPr fontId="1"/>
  </si>
  <si>
    <t>wk_rsn_cd</t>
    <phoneticPr fontId="1"/>
  </si>
  <si>
    <t>sls_upri_grp_cd</t>
    <phoneticPr fontId="1"/>
  </si>
  <si>
    <t>sls_upri_rank_cd</t>
    <phoneticPr fontId="1"/>
  </si>
  <si>
    <t>setoff_grp_cd</t>
    <phoneticPr fontId="1"/>
  </si>
  <si>
    <t>ship_valid_grp_cd</t>
    <phoneticPr fontId="1"/>
  </si>
  <si>
    <t>itm_ship_grp_cd</t>
    <phoneticPr fontId="1"/>
  </si>
  <si>
    <t>trnspt_cd</t>
    <phoneticPr fontId="1"/>
  </si>
  <si>
    <t>cntnr_cd</t>
    <phoneticPr fontId="1"/>
  </si>
  <si>
    <t>port_cd</t>
    <phoneticPr fontId="1"/>
  </si>
  <si>
    <t>gd_cd</t>
    <phoneticPr fontId="1"/>
  </si>
  <si>
    <t>trd_cd</t>
    <phoneticPr fontId="1"/>
  </si>
  <si>
    <t>slip_form_cd</t>
    <phoneticPr fontId="1"/>
  </si>
  <si>
    <t>pf_grp_cd</t>
    <phoneticPr fontId="1"/>
  </si>
  <si>
    <t>itm_spec_grp_cd</t>
    <phoneticPr fontId="1"/>
  </si>
  <si>
    <t>itm_comp_grp_cd</t>
    <phoneticPr fontId="1"/>
  </si>
  <si>
    <t>jnl_act_cd</t>
    <phoneticPr fontId="1"/>
  </si>
  <si>
    <t>jnl_grp_cd</t>
    <phoneticPr fontId="1"/>
  </si>
  <si>
    <t>jnl_ptn_cd</t>
    <phoneticPr fontId="1"/>
  </si>
  <si>
    <t>auto_jnl_key_cd</t>
    <phoneticPr fontId="1"/>
  </si>
  <si>
    <t>insp_ptn_cd</t>
    <phoneticPr fontId="1"/>
  </si>
  <si>
    <t>wk_day_cd</t>
    <phoneticPr fontId="1"/>
  </si>
  <si>
    <t>ship_term_cd</t>
    <phoneticPr fontId="1"/>
  </si>
  <si>
    <t>ship_wk_cd</t>
    <phoneticPr fontId="1"/>
  </si>
  <si>
    <t>rsrc_cd</t>
    <phoneticPr fontId="1"/>
  </si>
  <si>
    <t>hs_grp_cd</t>
    <phoneticPr fontId="1"/>
  </si>
  <si>
    <t>alc_ptn_cd</t>
    <phoneticPr fontId="1"/>
  </si>
  <si>
    <t>ctg_grp_cd</t>
    <phoneticPr fontId="1"/>
  </si>
  <si>
    <t>act_ptn_cd</t>
    <phoneticPr fontId="1"/>
  </si>
  <si>
    <t>gp_alc_cd</t>
    <phoneticPr fontId="1"/>
  </si>
  <si>
    <t>calc_ctg_cd</t>
    <phoneticPr fontId="1"/>
  </si>
  <si>
    <t>rpt_ptn_cd</t>
    <phoneticPr fontId="1"/>
  </si>
  <si>
    <t>menu_cd</t>
    <phoneticPr fontId="1"/>
  </si>
  <si>
    <t>名</t>
    <phoneticPr fontId="1"/>
  </si>
  <si>
    <t>E</t>
    <phoneticPr fontId="1"/>
  </si>
  <si>
    <t>メモ１</t>
    <phoneticPr fontId="1"/>
  </si>
  <si>
    <t>メモ２</t>
    <phoneticPr fontId="1"/>
  </si>
  <si>
    <t>E</t>
    <phoneticPr fontId="1"/>
  </si>
  <si>
    <t>メモ３</t>
    <phoneticPr fontId="1"/>
  </si>
  <si>
    <t>論理削除.オフ</t>
    <phoneticPr fontId="1"/>
  </si>
  <si>
    <t>論理削除.オン</t>
    <phoneticPr fontId="1"/>
  </si>
  <si>
    <t>マッチタイプ</t>
    <phoneticPr fontId="1"/>
  </si>
  <si>
    <t>L</t>
    <phoneticPr fontId="1"/>
  </si>
  <si>
    <t>論理削除</t>
    <phoneticPr fontId="1"/>
  </si>
  <si>
    <t>データアクセスＣＤ</t>
    <phoneticPr fontId="1"/>
  </si>
  <si>
    <t>データアクセス名</t>
    <phoneticPr fontId="1"/>
  </si>
  <si>
    <t>標準データアクセス名</t>
    <phoneticPr fontId="1"/>
  </si>
  <si>
    <t>部門ＣＤ</t>
    <phoneticPr fontId="1"/>
  </si>
  <si>
    <t>部門名</t>
    <phoneticPr fontId="1"/>
  </si>
  <si>
    <t>標準部門名</t>
    <phoneticPr fontId="1"/>
  </si>
  <si>
    <t>部門階層ＣＤ</t>
    <phoneticPr fontId="1"/>
  </si>
  <si>
    <t>部門階層名</t>
    <phoneticPr fontId="1"/>
  </si>
  <si>
    <t>標準部門階層名</t>
    <phoneticPr fontId="1"/>
  </si>
  <si>
    <t>承認役割ＣＤ</t>
    <phoneticPr fontId="1"/>
  </si>
  <si>
    <t>承認役割名</t>
    <phoneticPr fontId="1"/>
  </si>
  <si>
    <t>標準承認役割名</t>
    <phoneticPr fontId="1"/>
  </si>
  <si>
    <t>国ＣＤ</t>
    <phoneticPr fontId="1"/>
  </si>
  <si>
    <t>国名</t>
    <phoneticPr fontId="1"/>
  </si>
  <si>
    <t>標準国名</t>
    <phoneticPr fontId="1"/>
  </si>
  <si>
    <t>地域ＣＤ</t>
    <phoneticPr fontId="1"/>
  </si>
  <si>
    <t>地域名</t>
    <phoneticPr fontId="1"/>
  </si>
  <si>
    <t>標準地域名</t>
    <phoneticPr fontId="1"/>
  </si>
  <si>
    <t>通貨ＣＤ</t>
    <phoneticPr fontId="1"/>
  </si>
  <si>
    <t>通貨名</t>
    <phoneticPr fontId="1"/>
  </si>
  <si>
    <t>標準通貨名</t>
    <phoneticPr fontId="1"/>
  </si>
  <si>
    <t>金額小数部有効桁数</t>
    <phoneticPr fontId="1"/>
  </si>
  <si>
    <t>単価小数部有効桁数</t>
    <phoneticPr fontId="1"/>
  </si>
  <si>
    <t>単位ＣＤ</t>
    <phoneticPr fontId="1"/>
  </si>
  <si>
    <t>単位名</t>
    <phoneticPr fontId="1"/>
  </si>
  <si>
    <t>標準単位名</t>
    <phoneticPr fontId="1"/>
  </si>
  <si>
    <t>小数部有効桁数</t>
    <phoneticPr fontId="1"/>
  </si>
  <si>
    <t>端数処理区分</t>
    <phoneticPr fontId="1"/>
  </si>
  <si>
    <t>MAC_RND_TYP</t>
    <phoneticPr fontId="1"/>
  </si>
  <si>
    <t>rnd_typ</t>
    <phoneticPr fontId="1"/>
  </si>
  <si>
    <t>端数処理区分名</t>
    <phoneticPr fontId="1"/>
  </si>
  <si>
    <t>銀行ＣＤ</t>
    <phoneticPr fontId="1"/>
  </si>
  <si>
    <t>銀行名</t>
    <phoneticPr fontId="1"/>
  </si>
  <si>
    <t>標準銀行名</t>
    <phoneticPr fontId="1"/>
  </si>
  <si>
    <t>カレンダＣＤ</t>
    <phoneticPr fontId="1"/>
  </si>
  <si>
    <t>カレンダ名</t>
    <phoneticPr fontId="1"/>
  </si>
  <si>
    <t>cal_nm</t>
    <phoneticPr fontId="1"/>
  </si>
  <si>
    <t>bank_nm</t>
    <phoneticPr fontId="1"/>
  </si>
  <si>
    <t>銀行支店ＣＤ</t>
    <phoneticPr fontId="1"/>
  </si>
  <si>
    <t>銀行支店名</t>
    <phoneticPr fontId="1"/>
  </si>
  <si>
    <t>標準銀行支店名</t>
    <phoneticPr fontId="1"/>
  </si>
  <si>
    <t>口座ＣＤ</t>
    <phoneticPr fontId="1"/>
  </si>
  <si>
    <t>口座名</t>
    <phoneticPr fontId="1"/>
  </si>
  <si>
    <t>標準口座名</t>
    <phoneticPr fontId="1"/>
  </si>
  <si>
    <t>社外</t>
    <phoneticPr fontId="1"/>
  </si>
  <si>
    <t>branch_cd</t>
    <phoneticPr fontId="1"/>
  </si>
  <si>
    <t>branch_nm</t>
    <phoneticPr fontId="1"/>
  </si>
  <si>
    <t>口座番号</t>
    <phoneticPr fontId="1"/>
  </si>
  <si>
    <t>口座区分</t>
    <phoneticPr fontId="1"/>
  </si>
  <si>
    <t>MAC_BANK_AC_TYP</t>
    <phoneticPr fontId="1"/>
  </si>
  <si>
    <t>口座区分名</t>
    <phoneticPr fontId="1"/>
  </si>
  <si>
    <t>口座名義</t>
    <phoneticPr fontId="1"/>
  </si>
  <si>
    <t>口座名義別名</t>
    <phoneticPr fontId="1"/>
  </si>
  <si>
    <t>為替レートＣＤ</t>
    <phoneticPr fontId="1"/>
  </si>
  <si>
    <t>為替レート名</t>
    <phoneticPr fontId="1"/>
  </si>
  <si>
    <t>標準為替レート名</t>
    <phoneticPr fontId="1"/>
  </si>
  <si>
    <t>標準カレンダ名</t>
    <phoneticPr fontId="1"/>
  </si>
  <si>
    <t>品目仕訳ＣＤ</t>
    <phoneticPr fontId="1"/>
  </si>
  <si>
    <t>品目仕訳名</t>
    <phoneticPr fontId="1"/>
  </si>
  <si>
    <t>標準品目仕訳名</t>
    <phoneticPr fontId="1"/>
  </si>
  <si>
    <t>債権区分</t>
    <phoneticPr fontId="1"/>
  </si>
  <si>
    <t>MAC_AR_TYP</t>
    <phoneticPr fontId="1"/>
  </si>
  <si>
    <t>債権区分名</t>
    <phoneticPr fontId="1"/>
  </si>
  <si>
    <t>債務区分</t>
    <phoneticPr fontId="1"/>
  </si>
  <si>
    <t>MAC_AP_TYP</t>
    <phoneticPr fontId="1"/>
  </si>
  <si>
    <t>債務区分名</t>
    <phoneticPr fontId="1"/>
  </si>
  <si>
    <t>会計品目分類ＣＤ</t>
    <phoneticPr fontId="1"/>
  </si>
  <si>
    <t>会計品目分類名</t>
    <phoneticPr fontId="1"/>
  </si>
  <si>
    <t>標準会計品目分類名</t>
    <phoneticPr fontId="1"/>
  </si>
  <si>
    <t>会計理由ＣＤ</t>
    <phoneticPr fontId="1"/>
  </si>
  <si>
    <t>会計理由名</t>
    <phoneticPr fontId="1"/>
  </si>
  <si>
    <t>標準会計理由名</t>
    <phoneticPr fontId="1"/>
  </si>
  <si>
    <t>ar_typ</t>
    <phoneticPr fontId="1"/>
  </si>
  <si>
    <t>ap_typ</t>
    <phoneticPr fontId="1"/>
  </si>
  <si>
    <t>仕訳対象外</t>
    <phoneticPr fontId="1"/>
  </si>
  <si>
    <t>原価対象外</t>
    <phoneticPr fontId="1"/>
  </si>
  <si>
    <t>工場・物流倉庫ＣＤ</t>
    <phoneticPr fontId="1"/>
  </si>
  <si>
    <t>工場・物流倉庫名</t>
    <phoneticPr fontId="1"/>
  </si>
  <si>
    <t>標準工場・物流倉庫名</t>
    <phoneticPr fontId="1"/>
  </si>
  <si>
    <t>入荷</t>
    <phoneticPr fontId="1"/>
  </si>
  <si>
    <t>郵便番号</t>
    <phoneticPr fontId="1"/>
  </si>
  <si>
    <t>住所１</t>
    <phoneticPr fontId="1"/>
  </si>
  <si>
    <t>住所２</t>
    <phoneticPr fontId="1"/>
  </si>
  <si>
    <t>住所３</t>
    <phoneticPr fontId="1"/>
  </si>
  <si>
    <t>住所４</t>
    <phoneticPr fontId="1"/>
  </si>
  <si>
    <t>ＴＥＬ</t>
    <phoneticPr fontId="1"/>
  </si>
  <si>
    <t>ＦＡＸ</t>
    <phoneticPr fontId="1"/>
  </si>
  <si>
    <t>製造場所グループＣＤ</t>
    <phoneticPr fontId="1"/>
  </si>
  <si>
    <t>製造場所グループ名</t>
    <phoneticPr fontId="1"/>
  </si>
  <si>
    <t>総量引当場所グループＣＤ</t>
    <phoneticPr fontId="1"/>
  </si>
  <si>
    <t>総量引当場所グループ名</t>
    <phoneticPr fontId="1"/>
  </si>
  <si>
    <t>物流グループＣＤ</t>
    <phoneticPr fontId="1"/>
  </si>
  <si>
    <t>物流グループ名</t>
    <phoneticPr fontId="1"/>
  </si>
  <si>
    <t>標準製造場所グループ名</t>
    <phoneticPr fontId="1"/>
  </si>
  <si>
    <t>ワーキンググループＣＤ</t>
    <phoneticPr fontId="1"/>
  </si>
  <si>
    <t>ワーキンググループ名</t>
    <phoneticPr fontId="1"/>
  </si>
  <si>
    <t>wg_nm</t>
    <phoneticPr fontId="1"/>
  </si>
  <si>
    <t>標準物流グループ名</t>
    <phoneticPr fontId="1"/>
  </si>
  <si>
    <t>場所設定</t>
    <phoneticPr fontId="1"/>
  </si>
  <si>
    <t>出荷伝票発行</t>
    <phoneticPr fontId="1"/>
  </si>
  <si>
    <t>ピッキングリスト発行</t>
    <phoneticPr fontId="1"/>
  </si>
  <si>
    <t>出荷指図書発行</t>
    <phoneticPr fontId="1"/>
  </si>
  <si>
    <t>標準総量引当場所グループ名</t>
    <phoneticPr fontId="1"/>
  </si>
  <si>
    <t>標準ワーキンググループ名</t>
    <phoneticPr fontId="1"/>
  </si>
  <si>
    <t>販売</t>
    <phoneticPr fontId="1"/>
  </si>
  <si>
    <t>物流</t>
    <phoneticPr fontId="1"/>
  </si>
  <si>
    <t>製造</t>
    <phoneticPr fontId="1"/>
  </si>
  <si>
    <t>購買</t>
    <phoneticPr fontId="1"/>
  </si>
  <si>
    <t>債権</t>
    <phoneticPr fontId="1"/>
  </si>
  <si>
    <t>債務</t>
    <phoneticPr fontId="1"/>
  </si>
  <si>
    <t>需給</t>
    <phoneticPr fontId="1"/>
  </si>
  <si>
    <t>ＭＲＰ発番用接頭語</t>
    <phoneticPr fontId="1"/>
  </si>
  <si>
    <t>製造指図単位区分</t>
    <phoneticPr fontId="1"/>
  </si>
  <si>
    <t>MAC_MFG_INST_UNIT_TYP</t>
    <phoneticPr fontId="1"/>
  </si>
  <si>
    <t>製造指図単位区分名</t>
    <phoneticPr fontId="1"/>
  </si>
  <si>
    <t>ＭＲＰ処理区分</t>
    <phoneticPr fontId="1"/>
  </si>
  <si>
    <t>MAC_MRP_PROC_TYP</t>
    <phoneticPr fontId="1"/>
  </si>
  <si>
    <t>ＭＲＰ処理区分名</t>
    <phoneticPr fontId="1"/>
  </si>
  <si>
    <t>引当余裕日数</t>
    <phoneticPr fontId="1"/>
  </si>
  <si>
    <t>移動・移送引当対象外</t>
    <phoneticPr fontId="1"/>
  </si>
  <si>
    <t>ＭＲＰ引当余裕日数</t>
    <phoneticPr fontId="1"/>
  </si>
  <si>
    <t>ＭＲＰ未確定移送依頼考慮日数</t>
    <phoneticPr fontId="1"/>
  </si>
  <si>
    <t>所要区分</t>
    <phoneticPr fontId="1"/>
  </si>
  <si>
    <t>MAC_RQMT_TYP</t>
    <phoneticPr fontId="1"/>
  </si>
  <si>
    <t>所要区分名</t>
    <phoneticPr fontId="1"/>
  </si>
  <si>
    <t>生産計画立案区分</t>
    <phoneticPr fontId="1"/>
  </si>
  <si>
    <t>MAC_PROD_PLN_TYP</t>
    <phoneticPr fontId="1"/>
  </si>
  <si>
    <t>生産計画立案区分名</t>
    <phoneticPr fontId="1"/>
  </si>
  <si>
    <t>需要日ばらし月数</t>
    <phoneticPr fontId="1"/>
  </si>
  <si>
    <t>ＰＬＭ</t>
    <phoneticPr fontId="1"/>
  </si>
  <si>
    <t>計算順序</t>
    <phoneticPr fontId="1"/>
  </si>
  <si>
    <t>共通単価</t>
    <phoneticPr fontId="1"/>
  </si>
  <si>
    <t>工程ＣＤ</t>
    <phoneticPr fontId="1"/>
  </si>
  <si>
    <t>工程名</t>
    <phoneticPr fontId="1"/>
  </si>
  <si>
    <t>標準工程名</t>
    <phoneticPr fontId="1"/>
  </si>
  <si>
    <t>工程配賦グループ</t>
    <phoneticPr fontId="1"/>
  </si>
  <si>
    <t>工数管理ＣＤ</t>
    <phoneticPr fontId="1"/>
  </si>
  <si>
    <t>工数管理名</t>
    <phoneticPr fontId="1"/>
  </si>
  <si>
    <t>標準工数管理名</t>
    <phoneticPr fontId="1"/>
  </si>
  <si>
    <t>工数管理単位名</t>
    <phoneticPr fontId="1"/>
  </si>
  <si>
    <t>dec_place</t>
    <phoneticPr fontId="1"/>
  </si>
  <si>
    <t>工数理由ＣＤ</t>
    <phoneticPr fontId="1"/>
  </si>
  <si>
    <t>工数理由名</t>
    <phoneticPr fontId="1"/>
  </si>
  <si>
    <t>標準工数理由名</t>
    <phoneticPr fontId="1"/>
  </si>
  <si>
    <t>販売単価分類ＣＤ</t>
    <phoneticPr fontId="1"/>
  </si>
  <si>
    <t>販売単価分類名</t>
    <phoneticPr fontId="1"/>
  </si>
  <si>
    <t>標準販売単価分類名</t>
    <phoneticPr fontId="1"/>
  </si>
  <si>
    <t>販売単価ランクＣＤ</t>
    <phoneticPr fontId="1"/>
  </si>
  <si>
    <t>販売単価ランク名</t>
    <phoneticPr fontId="1"/>
  </si>
  <si>
    <t>標準販売単価ランク名</t>
    <phoneticPr fontId="1"/>
  </si>
  <si>
    <t>相殺グループＣＤ</t>
    <phoneticPr fontId="1"/>
  </si>
  <si>
    <t>相殺グループ名</t>
    <phoneticPr fontId="1"/>
  </si>
  <si>
    <t>標準相殺グループ名</t>
    <phoneticPr fontId="1"/>
  </si>
  <si>
    <t>出荷有効期限グループＣＤ</t>
    <phoneticPr fontId="1"/>
  </si>
  <si>
    <t>出荷有効期限グループ名</t>
    <phoneticPr fontId="1"/>
  </si>
  <si>
    <t>標準出荷有効期限グループ名</t>
    <phoneticPr fontId="1"/>
  </si>
  <si>
    <t>品目出荷グループＣＤ</t>
    <phoneticPr fontId="1"/>
  </si>
  <si>
    <t>品目出荷グループ名</t>
    <phoneticPr fontId="1"/>
  </si>
  <si>
    <t>標準品目出荷グループ名</t>
    <phoneticPr fontId="1"/>
  </si>
  <si>
    <t>輸送方法ＣＤ</t>
    <phoneticPr fontId="1"/>
  </si>
  <si>
    <t>輸送方法名</t>
    <phoneticPr fontId="1"/>
  </si>
  <si>
    <t>標準輸送方法名</t>
    <phoneticPr fontId="1"/>
  </si>
  <si>
    <t>ソート順</t>
    <phoneticPr fontId="1"/>
  </si>
  <si>
    <t>sort_seq</t>
    <phoneticPr fontId="1"/>
  </si>
  <si>
    <t>梱包容器ＣＤ</t>
    <phoneticPr fontId="1"/>
  </si>
  <si>
    <t>梱包容器名</t>
    <phoneticPr fontId="1"/>
  </si>
  <si>
    <t>標準梱包容器名</t>
    <phoneticPr fontId="1"/>
  </si>
  <si>
    <t>重量</t>
    <phoneticPr fontId="1"/>
  </si>
  <si>
    <t>港ＣＤ</t>
    <phoneticPr fontId="1"/>
  </si>
  <si>
    <t>港名</t>
    <phoneticPr fontId="1"/>
  </si>
  <si>
    <t>標準港名</t>
    <phoneticPr fontId="1"/>
  </si>
  <si>
    <t>cntry_nm</t>
    <phoneticPr fontId="1"/>
  </si>
  <si>
    <t>格付ＣＤ</t>
    <phoneticPr fontId="1"/>
  </si>
  <si>
    <t>格付名</t>
    <phoneticPr fontId="1"/>
  </si>
  <si>
    <t>標準格付名</t>
    <phoneticPr fontId="1"/>
  </si>
  <si>
    <t>受注</t>
    <phoneticPr fontId="1"/>
  </si>
  <si>
    <t>取引ＣＤ</t>
    <phoneticPr fontId="1"/>
  </si>
  <si>
    <t>取引名</t>
    <phoneticPr fontId="1"/>
  </si>
  <si>
    <t>標準取引名</t>
    <phoneticPr fontId="1"/>
  </si>
  <si>
    <t>取引パタン区分</t>
    <phoneticPr fontId="1"/>
  </si>
  <si>
    <t>MAC_TRD_PTN_TYP</t>
    <phoneticPr fontId="1"/>
  </si>
  <si>
    <t>取引パタン区分名</t>
    <phoneticPr fontId="1"/>
  </si>
  <si>
    <t>会計理由</t>
    <phoneticPr fontId="1"/>
  </si>
  <si>
    <t>ac_rsn_nm</t>
    <phoneticPr fontId="1"/>
  </si>
  <si>
    <t>ロット明細分割区分</t>
    <phoneticPr fontId="1"/>
  </si>
  <si>
    <t>MAC_SLIP_EACH_LOT_TYP</t>
    <phoneticPr fontId="1"/>
  </si>
  <si>
    <t>ロット明細分割区分名</t>
    <phoneticPr fontId="1"/>
  </si>
  <si>
    <t>伝票帳票ＣＤ</t>
    <phoneticPr fontId="1"/>
  </si>
  <si>
    <t>伝票帳票名</t>
    <phoneticPr fontId="1"/>
  </si>
  <si>
    <t>slip_form_nm</t>
    <phoneticPr fontId="1"/>
  </si>
  <si>
    <t>自動時採用</t>
    <phoneticPr fontId="1"/>
  </si>
  <si>
    <t>標準伝票帳票名</t>
    <phoneticPr fontId="1"/>
  </si>
  <si>
    <t>帳票ＩＤ</t>
    <phoneticPr fontId="1"/>
  </si>
  <si>
    <t>控帳票ＩＤ</t>
    <phoneticPr fontId="1"/>
  </si>
  <si>
    <t>行数</t>
    <phoneticPr fontId="1"/>
  </si>
  <si>
    <t>購買内示グループＣＤ</t>
    <phoneticPr fontId="1"/>
  </si>
  <si>
    <t>購買内示グループ名</t>
    <phoneticPr fontId="1"/>
  </si>
  <si>
    <t>標準購買内示グループ名</t>
    <phoneticPr fontId="1"/>
  </si>
  <si>
    <t>週次内示期間</t>
    <phoneticPr fontId="1"/>
  </si>
  <si>
    <t>週次開始位置</t>
    <phoneticPr fontId="1"/>
  </si>
  <si>
    <t>旬次内示期間</t>
    <phoneticPr fontId="1"/>
  </si>
  <si>
    <t>旬次開始位置</t>
    <phoneticPr fontId="1"/>
  </si>
  <si>
    <t>月次内示期間</t>
    <phoneticPr fontId="1"/>
  </si>
  <si>
    <t>月次開始位置</t>
    <phoneticPr fontId="1"/>
  </si>
  <si>
    <t>確定期間</t>
    <phoneticPr fontId="1"/>
  </si>
  <si>
    <t>品目仕様分類ＣＤ</t>
    <phoneticPr fontId="1"/>
  </si>
  <si>
    <t>品目仕様分類名</t>
    <phoneticPr fontId="1"/>
  </si>
  <si>
    <t>標準品目仕様分類名</t>
    <phoneticPr fontId="1"/>
  </si>
  <si>
    <t>品目構成グループＣＤ</t>
    <phoneticPr fontId="1"/>
  </si>
  <si>
    <t>品目構成グループ名</t>
    <phoneticPr fontId="1"/>
  </si>
  <si>
    <t>標準品目構成グループ名</t>
    <phoneticPr fontId="1"/>
  </si>
  <si>
    <t>複数選択可</t>
    <phoneticPr fontId="1"/>
  </si>
  <si>
    <t>必須</t>
    <phoneticPr fontId="1"/>
  </si>
  <si>
    <t>仕訳実行ＣＤ</t>
    <phoneticPr fontId="1"/>
  </si>
  <si>
    <t>仕訳実行名</t>
    <phoneticPr fontId="1"/>
  </si>
  <si>
    <t>標準仕訳実行名</t>
    <phoneticPr fontId="1"/>
  </si>
  <si>
    <t>仕訳削除</t>
    <phoneticPr fontId="1"/>
  </si>
  <si>
    <t>仕訳グループＣＤ</t>
    <phoneticPr fontId="1"/>
  </si>
  <si>
    <t>仕訳グループ名</t>
    <phoneticPr fontId="1"/>
  </si>
  <si>
    <t>標準仕訳グループ名</t>
    <phoneticPr fontId="1"/>
  </si>
  <si>
    <t>口座科目設定マスタ取込１</t>
    <phoneticPr fontId="1"/>
  </si>
  <si>
    <t>口座科目設定マスタ取込２</t>
    <phoneticPr fontId="1"/>
  </si>
  <si>
    <t>仕訳パタンＣＤ</t>
    <phoneticPr fontId="1"/>
  </si>
  <si>
    <t>仕訳パタン名</t>
    <phoneticPr fontId="1"/>
  </si>
  <si>
    <t>標準仕訳パタン名</t>
    <phoneticPr fontId="1"/>
  </si>
  <si>
    <t>自動仕訳キーＣＤ</t>
    <phoneticPr fontId="1"/>
  </si>
  <si>
    <t>自動仕訳キー名</t>
    <phoneticPr fontId="1"/>
  </si>
  <si>
    <t>標準自動仕訳キー名</t>
    <phoneticPr fontId="1"/>
  </si>
  <si>
    <t>検査パタンＣＤ</t>
    <phoneticPr fontId="1"/>
  </si>
  <si>
    <t>検査パタン名</t>
    <phoneticPr fontId="1"/>
  </si>
  <si>
    <t>標準検査パタン名</t>
    <phoneticPr fontId="1"/>
  </si>
  <si>
    <t>勤務種類ＣＤ</t>
    <phoneticPr fontId="1"/>
  </si>
  <si>
    <t>勤務種類名</t>
    <phoneticPr fontId="1"/>
  </si>
  <si>
    <t>標準勤務種類名</t>
    <phoneticPr fontId="1"/>
  </si>
  <si>
    <t>出荷条件ＣＤ</t>
    <phoneticPr fontId="1"/>
  </si>
  <si>
    <t>出荷条件名</t>
    <phoneticPr fontId="1"/>
  </si>
  <si>
    <t>標準出荷条件名</t>
    <phoneticPr fontId="1"/>
  </si>
  <si>
    <t>出荷作業ＣＤ</t>
    <phoneticPr fontId="1"/>
  </si>
  <si>
    <t>出荷作業名</t>
    <phoneticPr fontId="1"/>
  </si>
  <si>
    <t>標準出荷作業名</t>
    <phoneticPr fontId="1"/>
  </si>
  <si>
    <t>資源ＣＤ</t>
    <phoneticPr fontId="1"/>
  </si>
  <si>
    <t>資源名</t>
    <phoneticPr fontId="1"/>
  </si>
  <si>
    <t>標準資源名</t>
    <phoneticPr fontId="1"/>
  </si>
  <si>
    <t>資源単位名</t>
    <phoneticPr fontId="1"/>
  </si>
  <si>
    <t>ＨＳ分類ＣＤ</t>
    <phoneticPr fontId="1"/>
  </si>
  <si>
    <t>ＨＳ分類名</t>
    <phoneticPr fontId="1"/>
  </si>
  <si>
    <t>標準ＨＳ分類名</t>
    <phoneticPr fontId="1"/>
  </si>
  <si>
    <t>ＨＳ区分</t>
    <phoneticPr fontId="1"/>
  </si>
  <si>
    <t>配賦パタンＣＤ</t>
    <phoneticPr fontId="1"/>
  </si>
  <si>
    <t>配賦パタン名</t>
    <phoneticPr fontId="1"/>
  </si>
  <si>
    <t>標準配賦パタン名</t>
    <phoneticPr fontId="1"/>
  </si>
  <si>
    <t>品群グループＣＤ</t>
    <phoneticPr fontId="1"/>
  </si>
  <si>
    <t>品群グループ名</t>
    <phoneticPr fontId="1"/>
  </si>
  <si>
    <t>標準品群グループ名</t>
    <phoneticPr fontId="1"/>
  </si>
  <si>
    <t>計算実行パタンＣＤ</t>
    <phoneticPr fontId="1"/>
  </si>
  <si>
    <t>計算実行パタン名</t>
    <phoneticPr fontId="1"/>
  </si>
  <si>
    <t>標準計算実行パタン名</t>
    <phoneticPr fontId="1"/>
  </si>
  <si>
    <t>汎用配賦分類ＣＤ</t>
    <phoneticPr fontId="1"/>
  </si>
  <si>
    <t>汎用配賦分類名</t>
    <phoneticPr fontId="1"/>
  </si>
  <si>
    <t>標準汎用配賦分類名</t>
    <phoneticPr fontId="1"/>
  </si>
  <si>
    <t>計算カテゴリＣＤ</t>
    <phoneticPr fontId="1"/>
  </si>
  <si>
    <t>計算カテゴリ名</t>
    <phoneticPr fontId="1"/>
  </si>
  <si>
    <t>標準計算カテゴリ名</t>
    <phoneticPr fontId="1"/>
  </si>
  <si>
    <t>レポートパタンＣＤ</t>
    <phoneticPr fontId="1"/>
  </si>
  <si>
    <t>レポートパタン名</t>
    <phoneticPr fontId="1"/>
  </si>
  <si>
    <t>標準レポートパタン名</t>
    <phoneticPr fontId="1"/>
  </si>
  <si>
    <t>メニューＣＤ</t>
    <phoneticPr fontId="1"/>
  </si>
  <si>
    <t>メニュー名</t>
    <phoneticPr fontId="1"/>
  </si>
  <si>
    <t>標準メニュー名</t>
    <phoneticPr fontId="1"/>
  </si>
  <si>
    <t>メモ１</t>
    <phoneticPr fontId="1"/>
  </si>
  <si>
    <t>メモ２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</si>
  <si>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</si>
  <si>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</si>
  <si>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</si>
  <si>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</si>
  <si>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</si>
  <si>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更新カウンタ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</si>
  <si>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</si>
  <si>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</si>
  <si>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</si>
  <si>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</si>
  <si>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</si>
  <si>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</si>
  <si>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</si>
  <si>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</si>
  <si>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</si>
  <si>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データアクセスＣＤ</t>
    <phoneticPr fontId="1"/>
  </si>
  <si>
    <t>部門ＣＤ</t>
    <phoneticPr fontId="1"/>
  </si>
  <si>
    <t>出荷作業ＣＤ</t>
    <phoneticPr fontId="1"/>
  </si>
  <si>
    <t>ロケールＣＤ</t>
    <phoneticPr fontId="1"/>
  </si>
  <si>
    <t>ロケール名</t>
    <phoneticPr fontId="1"/>
  </si>
  <si>
    <t>データアクセス名</t>
    <phoneticPr fontId="1"/>
  </si>
  <si>
    <t>部門名称</t>
    <phoneticPr fontId="1"/>
  </si>
  <si>
    <t>工場・物流倉庫名</t>
    <phoneticPr fontId="1"/>
  </si>
  <si>
    <t>汎用配賦分類名</t>
    <phoneticPr fontId="1"/>
  </si>
  <si>
    <t>計算カテゴリ名</t>
    <phoneticPr fontId="1"/>
  </si>
  <si>
    <t>レポートパタン名</t>
    <phoneticPr fontId="1"/>
  </si>
  <si>
    <t>メニュー名</t>
    <phoneticPr fontId="1"/>
  </si>
  <si>
    <t>super/share</t>
    <phoneticPr fontId="1"/>
  </si>
  <si>
    <t>*</t>
    <phoneticPr fontId="1"/>
  </si>
  <si>
    <t>L</t>
    <phoneticPr fontId="1"/>
  </si>
  <si>
    <t>ModuleID :</t>
    <phoneticPr fontId="1"/>
  </si>
  <si>
    <t>LogicID :</t>
    <phoneticPr fontId="1"/>
  </si>
  <si>
    <t>Ope.ID :</t>
    <phoneticPr fontId="1"/>
  </si>
  <si>
    <t>Pj.ID :</t>
    <phoneticPr fontId="1"/>
  </si>
  <si>
    <t xml:space="preserve">Ope.Body : </t>
    <phoneticPr fontId="1"/>
  </si>
  <si>
    <t>SubModuleID :</t>
    <phoneticPr fontId="1"/>
  </si>
  <si>
    <t>LogicClass :</t>
    <phoneticPr fontId="1"/>
  </si>
  <si>
    <t>Ope.Method :</t>
    <phoneticPr fontId="1"/>
  </si>
  <si>
    <t>SuperClassPj.ID :</t>
    <phoneticPr fontId="1"/>
  </si>
  <si>
    <t>Gene.Type :</t>
    <phoneticPr fontId="1"/>
  </si>
  <si>
    <t>ALL</t>
    <phoneticPr fontId="1"/>
  </si>
  <si>
    <t>LogicName :</t>
    <phoneticPr fontId="1"/>
  </si>
  <si>
    <t xml:space="preserve">Ope.Name : </t>
    <phoneticPr fontId="1"/>
  </si>
  <si>
    <t>SuperLogicID :</t>
    <phoneticPr fontId="1"/>
  </si>
  <si>
    <t>ACType :</t>
    <phoneticPr fontId="1"/>
  </si>
  <si>
    <t>概要 :</t>
    <phoneticPr fontId="1"/>
  </si>
  <si>
    <t>#</t>
    <phoneticPr fontId="1"/>
  </si>
  <si>
    <t>Da_UpdChk01_Dtl</t>
  </si>
  <si>
    <t>Da_Upd01_Dtl</t>
  </si>
  <si>
    <t>DptBase_UpdChk01_Dtl</t>
  </si>
  <si>
    <t>DptBase_Upd01_Dtl</t>
  </si>
  <si>
    <t>DptLvl_UpdChk01_Dtl</t>
  </si>
  <si>
    <t>DptLvl_Upd01_Dtl</t>
  </si>
  <si>
    <t>AprvRole_UpdChk01_Dtl</t>
  </si>
  <si>
    <t>AprvRole_Upd01_Dtl</t>
  </si>
  <si>
    <t>Cntry_UpdChk01_Dtl</t>
  </si>
  <si>
    <t>Cntry_Upd01_Dtl</t>
  </si>
  <si>
    <t>Area_UpdChk01_Dtl</t>
  </si>
  <si>
    <t>Area_Upd01_Dtl</t>
  </si>
  <si>
    <t>Cur_UpdChk01_Dtl</t>
  </si>
  <si>
    <t>Cur_Upd01_Dtl</t>
  </si>
  <si>
    <t>Unit_UpdChk01_Dtl</t>
  </si>
  <si>
    <t>Unit_Upd01_Dtl</t>
  </si>
  <si>
    <t>Bank_UpdChk01_Dtl</t>
  </si>
  <si>
    <t>Bank_Upd01_Dtl</t>
  </si>
  <si>
    <t>BankBranch_UpdChk01_Dtl</t>
  </si>
  <si>
    <t>BankBranch_Upd01_Dtl</t>
  </si>
  <si>
    <t>BankAc_UpdChk01_Dtl</t>
  </si>
  <si>
    <t>BankAc_Upd01_Dtl</t>
  </si>
  <si>
    <t>Xrate_UpdChk01_Dtl</t>
  </si>
  <si>
    <t>Xrate_Upd01_Dtl</t>
  </si>
  <si>
    <t>CalBase_UpdChk01_Dtl</t>
  </si>
  <si>
    <t>CalBase_Upd01_Dtl</t>
  </si>
  <si>
    <t>ItmJnl_UpdChk01_Dtl</t>
  </si>
  <si>
    <t>ItmJnl_Upd01_Dtl</t>
  </si>
  <si>
    <t>AcItmGrp_UpdChk01_Dtl</t>
  </si>
  <si>
    <t>AcItmGrp_Upd01_Dtl</t>
  </si>
  <si>
    <t>AcRsn_UpdChk01_Dtl</t>
  </si>
  <si>
    <t>AcRsn_Upd01_Dtl</t>
  </si>
  <si>
    <t>Site_UpdChk01_Dtl</t>
  </si>
  <si>
    <t>Site_Upd01_Dtl</t>
  </si>
  <si>
    <t>LocGrp_UpdChk01_Dtl</t>
  </si>
  <si>
    <t>LocGrp_Upd01_Dtl</t>
  </si>
  <si>
    <t>LgGrp_UpdChk01_Dtl</t>
  </si>
  <si>
    <t>LgGrp_Upd01_Dtl</t>
  </si>
  <si>
    <t>AllocGrp_UpdChk01_Dtl</t>
  </si>
  <si>
    <t>AllocGrp_Upd01_Dtl</t>
  </si>
  <si>
    <t>Wg_UpdChk01_Dtl</t>
  </si>
  <si>
    <t>Wg_Upd01_Dtl</t>
  </si>
  <si>
    <t>Oper_UpdChk01_Dtl</t>
  </si>
  <si>
    <t>Oper_Upd01_Dtl</t>
  </si>
  <si>
    <t>WkCost_UpdChk01_Dtl</t>
  </si>
  <si>
    <t>WkCost_Upd01_Dtl</t>
  </si>
  <si>
    <t>WkRsn_UpdChk01_Dtl</t>
  </si>
  <si>
    <t>WkRsn_Upd01_Dtl</t>
  </si>
  <si>
    <t>SlsUpriGrp_UpdChk01_Dtl</t>
  </si>
  <si>
    <t>SlsUpriGrp_Upd01_Dtl</t>
  </si>
  <si>
    <t>SlsUpriRank_UpdChk01_Dtl</t>
  </si>
  <si>
    <t>SlsUpriRank_Upd01_Dtl</t>
  </si>
  <si>
    <t>SetoffGrp_UpdChk01_Dtl</t>
  </si>
  <si>
    <t>SetoffGrp_Upd01_Dtl</t>
  </si>
  <si>
    <t>ShipValid_UpdChk01_Dtl</t>
  </si>
  <si>
    <t>ShipValid_Upd01_Dtl</t>
  </si>
  <si>
    <t>ItmShipGrp_UpdChk01_Dtl</t>
  </si>
  <si>
    <t>ItmShipGrp_Upd01_Dtl</t>
  </si>
  <si>
    <t>Trnspt_UpdChk01_Dtl</t>
  </si>
  <si>
    <t>Trnspt_Upd01_Dtl</t>
  </si>
  <si>
    <t>ExCntnr_UpdChk01_Dtl</t>
  </si>
  <si>
    <t>ExCntnr_Upd01_Dtl</t>
  </si>
  <si>
    <t>EximPort_UpdChk01_Dtl</t>
  </si>
  <si>
    <t>EximPort_Upd01_Dtl</t>
  </si>
  <si>
    <t>StkGd_UpdChk01_Dtl</t>
  </si>
  <si>
    <t>StkGd_Upd01_Dtl</t>
  </si>
  <si>
    <t>Trd_UpdChk01_Dtl</t>
  </si>
  <si>
    <t>Trd_Upd01_Dtl</t>
  </si>
  <si>
    <t>SlipForm_UpdChk01_Dtl</t>
  </si>
  <si>
    <t>SlipForm_Upd01_Dtl</t>
  </si>
  <si>
    <t>PfGrp_UpdChk01_Dtl</t>
  </si>
  <si>
    <t>PfGrp_Upd01_Dtl</t>
  </si>
  <si>
    <t>ItmSpecGrp_UpdChk01_Dtl</t>
  </si>
  <si>
    <t>ItmSpecGrp_Upd01_Dtl</t>
  </si>
  <si>
    <t>ItmCompGrp_UpdChk01_Dtl</t>
  </si>
  <si>
    <t>ItmCompGrp_Upd01_Dtl</t>
  </si>
  <si>
    <t>JnlAct_UpdChk01_Dtl</t>
  </si>
  <si>
    <t>JnlAct_Upd01_Dtl</t>
  </si>
  <si>
    <t>JnlGrp_UpdChk01_Dtl</t>
  </si>
  <si>
    <t>JnlGrp_Upd01_Dtl</t>
  </si>
  <si>
    <t>JnlPtnBase_UpdChk01_Dtl</t>
  </si>
  <si>
    <t>JnlPtnBase_Upd01_Dtl</t>
  </si>
  <si>
    <t>AutoJnlKey_UpdChk01_Dtl</t>
  </si>
  <si>
    <t>AutoJnlKey_Upd01_Dtl</t>
  </si>
  <si>
    <t>InspPtn_UpdChk01_Dtl</t>
  </si>
  <si>
    <t>InspPtn_Upd01_Dtl</t>
  </si>
  <si>
    <t>WkDay_UpdChk01_Dtl</t>
  </si>
  <si>
    <t>WkDay_Upd01_Dtl</t>
  </si>
  <si>
    <t>ShipTerm_UpdChk01_Dtl</t>
  </si>
  <si>
    <t>ShipTerm_Upd01_Dtl</t>
  </si>
  <si>
    <t>ShipWk_UpdChk01_Dtl</t>
  </si>
  <si>
    <t>ShipWk_Upd01_Dtl</t>
  </si>
  <si>
    <t>Rsrc_UpdChk01_Dtl</t>
  </si>
  <si>
    <t>Rsrc_Upd01_Dtl</t>
  </si>
  <si>
    <t>HsGrp_UpdChk01_Dtl</t>
  </si>
  <si>
    <t>HsGrp_Upd01_Dtl</t>
  </si>
  <si>
    <t>AlcPtn_UpdChk01_Dtl</t>
  </si>
  <si>
    <t>AlcPtn_Upd01_Dtl</t>
  </si>
  <si>
    <t>CtgGrp_UpdChk01_Dtl</t>
  </si>
  <si>
    <t>CtgGrp_Upd01_Dtl</t>
  </si>
  <si>
    <t>ActPtn_UpdChk01_Dtl</t>
  </si>
  <si>
    <t>ActPtn_Upd01_Dtl</t>
  </si>
  <si>
    <t>GpAlc_UpdChk01_Dtl</t>
  </si>
  <si>
    <t>GpAlc_Upd01_Dtl</t>
  </si>
  <si>
    <t>CalcCtg_UpdChk01_Dtl</t>
  </si>
  <si>
    <t>CalcCtg_Upd01_Dtl</t>
  </si>
  <si>
    <t>RptPtn_UpdChk01_Dtl</t>
  </si>
  <si>
    <t>RptPtn_Upd01_Dtl</t>
  </si>
  <si>
    <t>CostMenu_UpdChk01_Dtl</t>
  </si>
  <si>
    <t>CostMenu_Upd01_Dtl</t>
  </si>
  <si>
    <t>標準部門名</t>
    <phoneticPr fontId="1"/>
  </si>
  <si>
    <t>部門階層ＣＤ</t>
    <phoneticPr fontId="1"/>
  </si>
  <si>
    <t>標準部門階層名</t>
    <phoneticPr fontId="1"/>
  </si>
  <si>
    <t>承認役割ＣＤ</t>
    <phoneticPr fontId="1"/>
  </si>
  <si>
    <t>標準承認役割名</t>
    <phoneticPr fontId="1"/>
  </si>
  <si>
    <t>国ＣＤ</t>
    <phoneticPr fontId="1"/>
  </si>
  <si>
    <t>標準国名</t>
    <phoneticPr fontId="1"/>
  </si>
  <si>
    <t>地域ＣＤ</t>
    <phoneticPr fontId="1"/>
  </si>
  <si>
    <t>標準地域名</t>
    <phoneticPr fontId="1"/>
  </si>
  <si>
    <t>通貨ＣＤ</t>
    <phoneticPr fontId="1"/>
  </si>
  <si>
    <t>標準通貨名</t>
    <phoneticPr fontId="1"/>
  </si>
  <si>
    <t>金額小数部有効桁数</t>
    <phoneticPr fontId="1"/>
  </si>
  <si>
    <t>単価小数部有効桁数</t>
    <phoneticPr fontId="1"/>
  </si>
  <si>
    <t>単位ＣＤ</t>
    <phoneticPr fontId="1"/>
  </si>
  <si>
    <t>標準単位名</t>
    <phoneticPr fontId="1"/>
  </si>
  <si>
    <t>小数部有効桁数</t>
    <phoneticPr fontId="1"/>
  </si>
  <si>
    <t>端数処理区分</t>
    <phoneticPr fontId="1"/>
  </si>
  <si>
    <t>rnd_typ</t>
    <phoneticPr fontId="1"/>
  </si>
  <si>
    <t>銀行ＣＤ</t>
    <phoneticPr fontId="1"/>
  </si>
  <si>
    <t>標準銀行名</t>
    <phoneticPr fontId="1"/>
  </si>
  <si>
    <t>カレンダＣＤ</t>
    <phoneticPr fontId="1"/>
  </si>
  <si>
    <t>cal_cd</t>
    <phoneticPr fontId="1"/>
  </si>
  <si>
    <t>bank_cd</t>
    <phoneticPr fontId="1"/>
  </si>
  <si>
    <t>銀行支店ＣＤ</t>
    <phoneticPr fontId="1"/>
  </si>
  <si>
    <t>標準銀行支店名</t>
    <phoneticPr fontId="1"/>
  </si>
  <si>
    <t>口座ＣＤ</t>
    <phoneticPr fontId="1"/>
  </si>
  <si>
    <t>標準口座名</t>
    <phoneticPr fontId="1"/>
  </si>
  <si>
    <t>社外</t>
    <phoneticPr fontId="1"/>
  </si>
  <si>
    <t>branch_cd</t>
    <phoneticPr fontId="1"/>
  </si>
  <si>
    <t>口座番号</t>
    <phoneticPr fontId="1"/>
  </si>
  <si>
    <t>口座区分</t>
    <phoneticPr fontId="1"/>
  </si>
  <si>
    <t>口座名義</t>
    <phoneticPr fontId="1"/>
  </si>
  <si>
    <t>口座名義別名</t>
    <phoneticPr fontId="1"/>
  </si>
  <si>
    <t>為替レートＣＤ</t>
    <phoneticPr fontId="1"/>
  </si>
  <si>
    <t>標準為替レート名</t>
    <phoneticPr fontId="1"/>
  </si>
  <si>
    <t>標準カレンダ名</t>
    <phoneticPr fontId="1"/>
  </si>
  <si>
    <t>品目仕訳ＣＤ</t>
    <phoneticPr fontId="1"/>
  </si>
  <si>
    <t>標準品目仕訳名</t>
    <phoneticPr fontId="1"/>
  </si>
  <si>
    <t>債権区分</t>
    <phoneticPr fontId="1"/>
  </si>
  <si>
    <t>債務区分</t>
    <phoneticPr fontId="1"/>
  </si>
  <si>
    <t>会計品目分類ＣＤ</t>
    <phoneticPr fontId="1"/>
  </si>
  <si>
    <t>標準会計品目分類名</t>
    <phoneticPr fontId="1"/>
  </si>
  <si>
    <t>会計理由ＣＤ</t>
    <phoneticPr fontId="1"/>
  </si>
  <si>
    <t>標準会計理由名</t>
    <phoneticPr fontId="1"/>
  </si>
  <si>
    <t>ar_typ</t>
    <phoneticPr fontId="1"/>
  </si>
  <si>
    <t>ap_typ</t>
    <phoneticPr fontId="1"/>
  </si>
  <si>
    <t>仕訳対象外</t>
    <phoneticPr fontId="1"/>
  </si>
  <si>
    <t>原価対象外</t>
    <phoneticPr fontId="1"/>
  </si>
  <si>
    <t>工場・物流倉庫ＣＤ</t>
    <phoneticPr fontId="1"/>
  </si>
  <si>
    <t>標準工場・物流倉庫名</t>
    <phoneticPr fontId="1"/>
  </si>
  <si>
    <t>入荷</t>
    <phoneticPr fontId="1"/>
  </si>
  <si>
    <t>郵便番号</t>
    <phoneticPr fontId="1"/>
  </si>
  <si>
    <t>住所１</t>
    <phoneticPr fontId="1"/>
  </si>
  <si>
    <t>住所２</t>
    <phoneticPr fontId="1"/>
  </si>
  <si>
    <t>住所３</t>
    <phoneticPr fontId="1"/>
  </si>
  <si>
    <t>住所４</t>
    <phoneticPr fontId="1"/>
  </si>
  <si>
    <t>ＴＥＬ</t>
    <phoneticPr fontId="1"/>
  </si>
  <si>
    <t>ＦＡＸ</t>
    <phoneticPr fontId="1"/>
  </si>
  <si>
    <t>製造場所グループＣＤ</t>
    <phoneticPr fontId="1"/>
  </si>
  <si>
    <t>総量引当場所グループＣＤ</t>
    <phoneticPr fontId="1"/>
  </si>
  <si>
    <t>物流グループＣＤ</t>
    <phoneticPr fontId="1"/>
  </si>
  <si>
    <t>標準製造場所グループ名</t>
    <phoneticPr fontId="1"/>
  </si>
  <si>
    <t>ワーキンググループＣＤ</t>
    <phoneticPr fontId="1"/>
  </si>
  <si>
    <t>wg_cd</t>
    <phoneticPr fontId="1"/>
  </si>
  <si>
    <t>標準物流グループ名</t>
    <phoneticPr fontId="1"/>
  </si>
  <si>
    <t>場所設定</t>
    <phoneticPr fontId="1"/>
  </si>
  <si>
    <t>出荷伝票発行</t>
    <phoneticPr fontId="1"/>
  </si>
  <si>
    <t>ピッキングリスト発行</t>
    <phoneticPr fontId="1"/>
  </si>
  <si>
    <t>出荷指図書発行</t>
    <phoneticPr fontId="1"/>
  </si>
  <si>
    <t>標準総量引当場所グループ名</t>
    <phoneticPr fontId="1"/>
  </si>
  <si>
    <t>標準ワーキンググループ名</t>
    <phoneticPr fontId="1"/>
  </si>
  <si>
    <t>販売</t>
    <phoneticPr fontId="1"/>
  </si>
  <si>
    <t>物流</t>
    <phoneticPr fontId="1"/>
  </si>
  <si>
    <t>製造</t>
    <phoneticPr fontId="1"/>
  </si>
  <si>
    <t>購買</t>
    <phoneticPr fontId="1"/>
  </si>
  <si>
    <t>債権</t>
    <phoneticPr fontId="1"/>
  </si>
  <si>
    <t>債務</t>
    <phoneticPr fontId="1"/>
  </si>
  <si>
    <t>需給</t>
    <phoneticPr fontId="1"/>
  </si>
  <si>
    <t>ＭＲＰ発番用接頭語</t>
    <phoneticPr fontId="1"/>
  </si>
  <si>
    <t>製造指図単位区分</t>
    <phoneticPr fontId="1"/>
  </si>
  <si>
    <t>ＭＲＰ処理区分</t>
    <phoneticPr fontId="1"/>
  </si>
  <si>
    <t>引当余裕日数</t>
    <phoneticPr fontId="1"/>
  </si>
  <si>
    <t>移動・移送引当対象外</t>
    <phoneticPr fontId="1"/>
  </si>
  <si>
    <t>ＭＲＰ引当余裕日数</t>
    <phoneticPr fontId="1"/>
  </si>
  <si>
    <t>ＭＲＰ未確定移送依頼考慮日数</t>
    <phoneticPr fontId="1"/>
  </si>
  <si>
    <t>所要区分</t>
    <phoneticPr fontId="1"/>
  </si>
  <si>
    <t>生産計画立案区分</t>
    <phoneticPr fontId="1"/>
  </si>
  <si>
    <t>需要日ばらし月数</t>
    <phoneticPr fontId="1"/>
  </si>
  <si>
    <t>ＰＬＭ</t>
    <phoneticPr fontId="1"/>
  </si>
  <si>
    <t>計算順序</t>
    <phoneticPr fontId="1"/>
  </si>
  <si>
    <t>共通単価</t>
    <phoneticPr fontId="1"/>
  </si>
  <si>
    <t>工程ＣＤ</t>
    <phoneticPr fontId="1"/>
  </si>
  <si>
    <t>標準工程名</t>
    <phoneticPr fontId="1"/>
  </si>
  <si>
    <t>工程配賦グループ</t>
    <phoneticPr fontId="1"/>
  </si>
  <si>
    <t>工数管理ＣＤ</t>
    <phoneticPr fontId="1"/>
  </si>
  <si>
    <t>標準工数管理名</t>
    <phoneticPr fontId="1"/>
  </si>
  <si>
    <t>工数管理単位名</t>
    <phoneticPr fontId="1"/>
  </si>
  <si>
    <t>dec_place</t>
    <phoneticPr fontId="1"/>
  </si>
  <si>
    <t>工数理由ＣＤ</t>
    <phoneticPr fontId="1"/>
  </si>
  <si>
    <t>標準工数理由名</t>
    <phoneticPr fontId="1"/>
  </si>
  <si>
    <t>販売単価分類ＣＤ</t>
    <phoneticPr fontId="1"/>
  </si>
  <si>
    <t>標準販売単価分類名</t>
    <phoneticPr fontId="1"/>
  </si>
  <si>
    <t>販売単価ランクＣＤ</t>
    <phoneticPr fontId="1"/>
  </si>
  <si>
    <t>標準販売単価ランク名</t>
    <phoneticPr fontId="1"/>
  </si>
  <si>
    <t>相殺グループＣＤ</t>
    <phoneticPr fontId="1"/>
  </si>
  <si>
    <t>標準相殺グループ名</t>
    <phoneticPr fontId="1"/>
  </si>
  <si>
    <t>出荷有効期限グループＣＤ</t>
    <phoneticPr fontId="1"/>
  </si>
  <si>
    <t>標準出荷有効期限グループ名</t>
    <phoneticPr fontId="1"/>
  </si>
  <si>
    <t>品目出荷グループＣＤ</t>
    <phoneticPr fontId="1"/>
  </si>
  <si>
    <t>標準品目出荷グループ名</t>
    <phoneticPr fontId="1"/>
  </si>
  <si>
    <t>輸送方法ＣＤ</t>
    <phoneticPr fontId="1"/>
  </si>
  <si>
    <t>標準輸送方法名</t>
    <phoneticPr fontId="1"/>
  </si>
  <si>
    <t>ソート順</t>
    <phoneticPr fontId="1"/>
  </si>
  <si>
    <t>sort_seq</t>
    <phoneticPr fontId="1"/>
  </si>
  <si>
    <t>梱包容器ＣＤ</t>
    <phoneticPr fontId="1"/>
  </si>
  <si>
    <t>標準梱包容器名</t>
    <phoneticPr fontId="1"/>
  </si>
  <si>
    <t>重量</t>
    <phoneticPr fontId="1"/>
  </si>
  <si>
    <t>港ＣＤ</t>
    <phoneticPr fontId="1"/>
  </si>
  <si>
    <t>標準港名</t>
    <phoneticPr fontId="1"/>
  </si>
  <si>
    <t>cntry_cd</t>
    <phoneticPr fontId="1"/>
  </si>
  <si>
    <t>格付ＣＤ</t>
    <phoneticPr fontId="1"/>
  </si>
  <si>
    <t>標準格付名</t>
    <phoneticPr fontId="1"/>
  </si>
  <si>
    <t>受注</t>
    <phoneticPr fontId="1"/>
  </si>
  <si>
    <t>取引ＣＤ</t>
    <phoneticPr fontId="1"/>
  </si>
  <si>
    <t>標準取引名</t>
    <phoneticPr fontId="1"/>
  </si>
  <si>
    <t>取引パタン区分</t>
    <phoneticPr fontId="1"/>
  </si>
  <si>
    <t>ac_rsn_cd</t>
    <phoneticPr fontId="1"/>
  </si>
  <si>
    <t>ロット明細分割区分</t>
    <phoneticPr fontId="1"/>
  </si>
  <si>
    <t>伝票帳票ＣＤ</t>
    <phoneticPr fontId="1"/>
  </si>
  <si>
    <t>slip_form_cd</t>
    <phoneticPr fontId="1"/>
  </si>
  <si>
    <t>自動時採用</t>
    <phoneticPr fontId="1"/>
  </si>
  <si>
    <t>標準伝票帳票名</t>
    <phoneticPr fontId="1"/>
  </si>
  <si>
    <t>帳票ＩＤ</t>
    <phoneticPr fontId="1"/>
  </si>
  <si>
    <t>控帳票ＩＤ</t>
    <phoneticPr fontId="1"/>
  </si>
  <si>
    <t>行数</t>
    <phoneticPr fontId="1"/>
  </si>
  <si>
    <t>購買内示グループＣＤ</t>
    <phoneticPr fontId="1"/>
  </si>
  <si>
    <t>標準購買内示グループ名</t>
    <phoneticPr fontId="1"/>
  </si>
  <si>
    <t>週次内示期間</t>
    <phoneticPr fontId="1"/>
  </si>
  <si>
    <t>週次開始位置</t>
    <phoneticPr fontId="1"/>
  </si>
  <si>
    <t>旬次内示期間</t>
    <phoneticPr fontId="1"/>
  </si>
  <si>
    <t>旬次開始位置</t>
    <phoneticPr fontId="1"/>
  </si>
  <si>
    <t>月次内示期間</t>
    <phoneticPr fontId="1"/>
  </si>
  <si>
    <t>月次開始位置</t>
    <phoneticPr fontId="1"/>
  </si>
  <si>
    <t>確定期間</t>
    <phoneticPr fontId="1"/>
  </si>
  <si>
    <t>品目仕様分類ＣＤ</t>
    <phoneticPr fontId="1"/>
  </si>
  <si>
    <t>標準品目仕様分類名</t>
    <phoneticPr fontId="1"/>
  </si>
  <si>
    <t>品目構成グループＣＤ</t>
    <phoneticPr fontId="1"/>
  </si>
  <si>
    <t>標準品目構成グループ名</t>
    <phoneticPr fontId="1"/>
  </si>
  <si>
    <t>複数選択可</t>
    <phoneticPr fontId="1"/>
  </si>
  <si>
    <t>必須</t>
    <phoneticPr fontId="1"/>
  </si>
  <si>
    <t>仕訳実行ＣＤ</t>
    <phoneticPr fontId="1"/>
  </si>
  <si>
    <t>標準仕訳実行名</t>
    <phoneticPr fontId="1"/>
  </si>
  <si>
    <t>仕訳削除</t>
    <phoneticPr fontId="1"/>
  </si>
  <si>
    <t>仕訳グループＣＤ</t>
    <phoneticPr fontId="1"/>
  </si>
  <si>
    <t>標準仕訳グループ名</t>
    <phoneticPr fontId="1"/>
  </si>
  <si>
    <t>口座科目設定マスタ取込１</t>
    <phoneticPr fontId="1"/>
  </si>
  <si>
    <t>口座科目設定マスタ取込２</t>
    <phoneticPr fontId="1"/>
  </si>
  <si>
    <t>仕訳パタンＣＤ</t>
    <phoneticPr fontId="1"/>
  </si>
  <si>
    <t>標準仕訳パタン名</t>
    <phoneticPr fontId="1"/>
  </si>
  <si>
    <t>自動仕訳キーＣＤ</t>
    <phoneticPr fontId="1"/>
  </si>
  <si>
    <t>標準自動仕訳キー名</t>
    <phoneticPr fontId="1"/>
  </si>
  <si>
    <t>検査パタンＣＤ</t>
    <phoneticPr fontId="1"/>
  </si>
  <si>
    <t>標準検査パタン名</t>
    <phoneticPr fontId="1"/>
  </si>
  <si>
    <t>勤務種類ＣＤ</t>
    <phoneticPr fontId="1"/>
  </si>
  <si>
    <t>標準勤務種類名</t>
    <phoneticPr fontId="1"/>
  </si>
  <si>
    <t>出荷条件ＣＤ</t>
    <phoneticPr fontId="1"/>
  </si>
  <si>
    <t>標準出荷条件名</t>
    <phoneticPr fontId="1"/>
  </si>
  <si>
    <t>標準出荷作業名</t>
    <phoneticPr fontId="1"/>
  </si>
  <si>
    <t>資源ＣＤ</t>
    <phoneticPr fontId="1"/>
  </si>
  <si>
    <t>標準資源名</t>
    <phoneticPr fontId="1"/>
  </si>
  <si>
    <t>資源単位名</t>
    <phoneticPr fontId="1"/>
  </si>
  <si>
    <t>ＨＳ分類ＣＤ</t>
    <phoneticPr fontId="1"/>
  </si>
  <si>
    <t>標準ＨＳ分類名</t>
    <phoneticPr fontId="1"/>
  </si>
  <si>
    <t>ＨＳ区分</t>
    <phoneticPr fontId="1"/>
  </si>
  <si>
    <t>配賦パタンＣＤ</t>
    <phoneticPr fontId="1"/>
  </si>
  <si>
    <t>標準配賦パタン名</t>
    <phoneticPr fontId="1"/>
  </si>
  <si>
    <t>品群グループＣＤ</t>
    <phoneticPr fontId="1"/>
  </si>
  <si>
    <t>標準品群グループ名</t>
    <phoneticPr fontId="1"/>
  </si>
  <si>
    <t>計算実行パタンＣＤ</t>
    <phoneticPr fontId="1"/>
  </si>
  <si>
    <t>標準計算実行パタン名</t>
    <phoneticPr fontId="1"/>
  </si>
  <si>
    <t>汎用配賦分類ＣＤ</t>
    <phoneticPr fontId="1"/>
  </si>
  <si>
    <t>標準汎用配賦分類名</t>
    <phoneticPr fontId="1"/>
  </si>
  <si>
    <t>計算カテゴリＣＤ</t>
    <phoneticPr fontId="1"/>
  </si>
  <si>
    <t>標準計算カテゴリ名</t>
    <phoneticPr fontId="1"/>
  </si>
  <si>
    <t>レポートパタンＣＤ</t>
    <phoneticPr fontId="1"/>
  </si>
  <si>
    <t>標準レポートパタン名</t>
    <phoneticPr fontId="1"/>
  </si>
  <si>
    <t>メニューＣＤ</t>
    <phoneticPr fontId="1"/>
  </si>
  <si>
    <t>標準メニュー名</t>
    <phoneticPr fontId="1"/>
  </si>
  <si>
    <t>メモ３</t>
    <phoneticPr fontId="1"/>
  </si>
  <si>
    <t>更新カウンタ</t>
    <phoneticPr fontId="1"/>
  </si>
  <si>
    <t>DaLcl_UpdChk01_Dtl</t>
  </si>
  <si>
    <t>DaLcl_Upd01_Dtl</t>
  </si>
  <si>
    <t>DptBaseLcl_UpdChk01_Dtl</t>
  </si>
  <si>
    <t>DptBaseLcl_Upd01_Dtl</t>
  </si>
  <si>
    <t>DptLvlLcl_UpdChk01_Dtl</t>
  </si>
  <si>
    <t>DptLvlLcl_Upd01_Dtl</t>
  </si>
  <si>
    <t>AprvRoleLcl_UpdChk01_Dtl</t>
  </si>
  <si>
    <t>AprvRoleLcl_Upd01_Dtl</t>
  </si>
  <si>
    <t>CntryLcl_UpdChk01_Dtl</t>
  </si>
  <si>
    <t>CntryLcl_Upd01_Dtl</t>
  </si>
  <si>
    <t>AreaLcl_UpdChk01_Dtl</t>
  </si>
  <si>
    <t>AreaLcl_Upd01_Dtl</t>
  </si>
  <si>
    <t>CurLcl_UpdChk01_Dtl</t>
  </si>
  <si>
    <t>CurLcl_Upd01_Dtl</t>
  </si>
  <si>
    <t>UnitLcl_UpdChk01_Dtl</t>
  </si>
  <si>
    <t>UnitLcl_Upd01_Dtl</t>
  </si>
  <si>
    <t>BankLcl_UpdChk01_Dtl</t>
  </si>
  <si>
    <t>BankLcl_Upd01_Dtl</t>
  </si>
  <si>
    <t>BankBranchLcl_UpdChk01_Dtl</t>
  </si>
  <si>
    <t>BankBranchLcl_Upd01_Dtl</t>
  </si>
  <si>
    <t>BankAcLcl_UpdChk01_Dtl</t>
  </si>
  <si>
    <t>BankAcLcl_Upd01_Dtl</t>
  </si>
  <si>
    <t>XrateLcl_UpdChk01_Dtl</t>
  </si>
  <si>
    <t>XrateLcl_Upd01_Dtl</t>
  </si>
  <si>
    <t>CalBaseLcl_UpdChk01_Dtl</t>
  </si>
  <si>
    <t>CalBaseLcl_Upd01_Dtl</t>
  </si>
  <si>
    <t>ItmJnlLcl_UpdChk01_Dtl</t>
  </si>
  <si>
    <t>ItmJnlLcl_Upd01_Dtl</t>
  </si>
  <si>
    <t>AcItmGrpLcl_UpdChk01_Dtl</t>
  </si>
  <si>
    <t>AcItmGrpLcl_Upd01_Dtl</t>
  </si>
  <si>
    <t>AcRsnLcl_UpdChk01_Dtl</t>
  </si>
  <si>
    <t>AcRsnLcl_Upd01_Dtl</t>
  </si>
  <si>
    <t>SiteLcl_UpdChk01_Dtl</t>
  </si>
  <si>
    <t>SiteLcl_Upd01_Dtl</t>
  </si>
  <si>
    <t>LocGrpLcl_UpdChk01_Dtl</t>
  </si>
  <si>
    <t>LocGrpLcl_Upd01_Dtl</t>
  </si>
  <si>
    <t>LgGrpLcl_UpdChk01_Dtl</t>
  </si>
  <si>
    <t>LgGrpLcl_Upd01_Dtl</t>
  </si>
  <si>
    <t>AllocGrpLcl_UpdChk01_Dtl</t>
  </si>
  <si>
    <t>AllocGrpLcl_Upd01_Dtl</t>
  </si>
  <si>
    <t>WgLcl_UpdChk01_Dtl</t>
  </si>
  <si>
    <t>WgLcl_Upd01_Dtl</t>
  </si>
  <si>
    <t>OperLcl_UpdChk01_Dtl</t>
  </si>
  <si>
    <t>OperLcl_Upd01_Dtl</t>
  </si>
  <si>
    <t>WkCostLcl_UpdChk01_Dtl</t>
  </si>
  <si>
    <t>WkCostLcl_Upd01_Dtl</t>
  </si>
  <si>
    <t>WkRsnLcl_UpdChk01_Dtl</t>
  </si>
  <si>
    <t>WkRsnLcl_Upd01_Dtl</t>
  </si>
  <si>
    <t>SlsUpriGrpLcl_UpdChk01_Dtl</t>
  </si>
  <si>
    <t>SlsUpriGrpLcl_Upd01_Dtl</t>
  </si>
  <si>
    <t>SlsUpriRankLcl_UpdChk01_Dtl</t>
  </si>
  <si>
    <t>SlsUpriRankLcl_Upd01_Dtl</t>
  </si>
  <si>
    <t>SetoffGrpLcl_UpdChk01_Dtl</t>
  </si>
  <si>
    <t>SetoffGrpLcl_Upd01_Dtl</t>
  </si>
  <si>
    <t>ShipValidLcl_UpdChk01_Dtl</t>
  </si>
  <si>
    <t>ShipValidLcl_Upd01_Dtl</t>
  </si>
  <si>
    <t>ItmShipGrpLcl_UpdChk01_Dtl</t>
  </si>
  <si>
    <t>ItmShipGrpLcl_Upd01_Dtl</t>
  </si>
  <si>
    <t>TrnsptLcl_UpdChk01_Dtl</t>
  </si>
  <si>
    <t>TrnsptLcl_Upd01_Dtl</t>
  </si>
  <si>
    <t>ExCntnrLcl_UpdChk01_Dtl</t>
  </si>
  <si>
    <t>ExCntnrLcl_Upd01_Dtl</t>
  </si>
  <si>
    <t>EximPortLcl_UpdChk01_Dtl</t>
  </si>
  <si>
    <t>EximPortLcl_Upd01_Dtl</t>
  </si>
  <si>
    <t>StkGdLcl_UpdChk01_Dtl</t>
  </si>
  <si>
    <t>StkGdLcl_Upd01_Dtl</t>
  </si>
  <si>
    <t>TrdLcl_UpdChk01_Dtl</t>
  </si>
  <si>
    <t>TrdLcl_Upd01_Dtl</t>
  </si>
  <si>
    <t>SlipFormLcl_UpdChk01_Dtl</t>
  </si>
  <si>
    <t>SlipFormLcl_Upd01_Dtl</t>
  </si>
  <si>
    <t>PfGrpLcl_UpdChk01_Dtl</t>
  </si>
  <si>
    <t>PfGrpLcl_Upd01_Dtl</t>
  </si>
  <si>
    <t>ItmSpecGrpLcl_UpdChk01_Dtl</t>
  </si>
  <si>
    <t>ItmSpecGrpLcl_Upd01_Dtl</t>
  </si>
  <si>
    <t>ItmCompGrpLcl_UpdChk01_Dtl</t>
  </si>
  <si>
    <t>ItmCompGrpLcl_Upd01_Dtl</t>
  </si>
  <si>
    <t>JnlActLcl_UpdChk01_Dtl</t>
  </si>
  <si>
    <t>JnlActLcl_Upd01_Dtl</t>
  </si>
  <si>
    <t>JnlGrpLcl_UpdChk01_Dtl</t>
  </si>
  <si>
    <t>JnlGrpLcl_Upd01_Dtl</t>
  </si>
  <si>
    <t>JnlPtnBaseLcl_UpdChk01_Dtl</t>
  </si>
  <si>
    <t>JnlPtnBaseLcl_Upd01_Dtl</t>
  </si>
  <si>
    <t>AutoJnlKeyLcl_UpdChk01_Dtl</t>
  </si>
  <si>
    <t>AutoJnlKeyLcl_Upd01_Dtl</t>
  </si>
  <si>
    <t>InspPtnLcl_UpdChk01_Dtl</t>
  </si>
  <si>
    <t>InspPtnLcl_Upd01_Dtl</t>
  </si>
  <si>
    <t>WkDayLcl_UpdChk01_Dtl</t>
  </si>
  <si>
    <t>WkDayLcl_Upd01_Dtl</t>
  </si>
  <si>
    <t>ShipTermLcl_UpdChk01_Dtl</t>
  </si>
  <si>
    <t>ShipTermLcl_Upd01_Dtl</t>
  </si>
  <si>
    <t>ShipWkLcl_UpdChk01_Dtl</t>
  </si>
  <si>
    <t>ShipWkLcl_Upd01_Dtl</t>
  </si>
  <si>
    <t>RsrcLcl_UpdChk01_Dtl</t>
  </si>
  <si>
    <t>RsrcLcl_Upd01_Dtl</t>
  </si>
  <si>
    <t>HsGrpLcl_UpdChk01_Dtl</t>
  </si>
  <si>
    <t>HsGrpLcl_Upd01_Dtl</t>
  </si>
  <si>
    <t>AlcPtnLcl_UpdChk01_Dtl</t>
  </si>
  <si>
    <t>AlcPtnLcl_Upd01_Dtl</t>
  </si>
  <si>
    <t>CtgGrpLcl_UpdChk01_Dtl</t>
  </si>
  <si>
    <t>CtgGrpLcl_Upd01_Dtl</t>
  </si>
  <si>
    <t>ActPtnLcl_UpdChk01_Dtl</t>
  </si>
  <si>
    <t>ActPtnLcl_Upd01_Dtl</t>
  </si>
  <si>
    <t>GpAlcLcl_UpdChk01_Dtl</t>
  </si>
  <si>
    <t>GpAlcLcl_Upd01_Dtl</t>
  </si>
  <si>
    <t>CalcCtgLcl_UpdChk01_Dtl</t>
  </si>
  <si>
    <t>CalcCtgLcl_Upd01_Dtl</t>
  </si>
  <si>
    <t>RptPtnLcl_UpdChk01_Dtl</t>
  </si>
  <si>
    <t>RptPtnLcl_Upd01_Dtl</t>
  </si>
  <si>
    <t>CostMenuLcl_UpdChk01_Dtl</t>
  </si>
  <si>
    <t>CostMenuLcl_Upd01_Dtl</t>
  </si>
  <si>
    <t>輸出梱包容器ＣＤ</t>
    <phoneticPr fontId="1"/>
  </si>
  <si>
    <t>自動仕訳パタンＣＤ</t>
    <phoneticPr fontId="1"/>
  </si>
  <si>
    <t>ＷＧ名</t>
    <phoneticPr fontId="1"/>
  </si>
  <si>
    <t>輸出梱包容器名</t>
    <phoneticPr fontId="1"/>
  </si>
  <si>
    <t>自動仕訳パタン名</t>
    <phoneticPr fontId="1"/>
  </si>
  <si>
    <t>マスタ名</t>
    <phoneticPr fontId="1"/>
  </si>
  <si>
    <t>*</t>
    <phoneticPr fontId="1"/>
  </si>
  <si>
    <t>L</t>
    <phoneticPr fontId="1"/>
  </si>
  <si>
    <t>ModuleID :</t>
    <phoneticPr fontId="1"/>
  </si>
  <si>
    <t>LogicID :</t>
    <phoneticPr fontId="1"/>
  </si>
  <si>
    <t>Ope.ID :</t>
    <phoneticPr fontId="1"/>
  </si>
  <si>
    <t>Pj.ID :</t>
    <phoneticPr fontId="1"/>
  </si>
  <si>
    <t xml:space="preserve">Ope.Body : </t>
    <phoneticPr fontId="1"/>
  </si>
  <si>
    <t>SubModuleID :</t>
    <phoneticPr fontId="1"/>
  </si>
  <si>
    <t>LogicClass :</t>
    <phoneticPr fontId="1"/>
  </si>
  <si>
    <t>Ope.Method :</t>
    <phoneticPr fontId="1"/>
  </si>
  <si>
    <t>SuperClassPj.ID :</t>
    <phoneticPr fontId="1"/>
  </si>
  <si>
    <t>Gene.Type :</t>
    <phoneticPr fontId="1"/>
  </si>
  <si>
    <t>ALL</t>
    <phoneticPr fontId="1"/>
  </si>
  <si>
    <t>LogicName :</t>
    <phoneticPr fontId="1"/>
  </si>
  <si>
    <t xml:space="preserve">Ope.Name : </t>
    <phoneticPr fontId="1"/>
  </si>
  <si>
    <t>SuperLogicID :</t>
    <phoneticPr fontId="1"/>
  </si>
  <si>
    <t>ACType :</t>
    <phoneticPr fontId="1"/>
  </si>
  <si>
    <t>概要 :</t>
    <phoneticPr fontId="1"/>
  </si>
  <si>
    <t>#</t>
    <phoneticPr fontId="1"/>
  </si>
  <si>
    <t>Da_DelChk01_Dtl</t>
  </si>
  <si>
    <t>Da_Del01_Dtl</t>
  </si>
  <si>
    <t>DptBase_DelChk01_Dtl</t>
  </si>
  <si>
    <t>DptBase_Del01_Dtl</t>
  </si>
  <si>
    <t>DptLvl_DelChk01_Dtl</t>
  </si>
  <si>
    <t>DptLvl_Del01_Dtl</t>
  </si>
  <si>
    <t>AprvRole_DelChk01_Dtl</t>
  </si>
  <si>
    <t>AprvRole_Del01_Dtl</t>
  </si>
  <si>
    <t>Cntry_DelChk01_Dtl</t>
  </si>
  <si>
    <t>Cntry_Del01_Dtl</t>
  </si>
  <si>
    <t>Area_DelChk01_Dtl</t>
  </si>
  <si>
    <t>Area_Del01_Dtl</t>
  </si>
  <si>
    <t>Cur_DelChk01_Dtl</t>
  </si>
  <si>
    <t>Cur_Del01_Dtl</t>
  </si>
  <si>
    <t>Unit_DelChk01_Dtl</t>
  </si>
  <si>
    <t>Unit_Del01_Dtl</t>
  </si>
  <si>
    <t>Bank_DelChk01_Dtl</t>
  </si>
  <si>
    <t>Bank_Del01_Dtl</t>
  </si>
  <si>
    <t>BankBranch_DelChk01_Dtl</t>
  </si>
  <si>
    <t>BankBranch_Del01_Dtl</t>
  </si>
  <si>
    <t>BankAc_DelChk01_Dtl</t>
  </si>
  <si>
    <t>BankAc_Del01_Dtl</t>
  </si>
  <si>
    <t>Xrate_DelChk01_Dtl</t>
  </si>
  <si>
    <t>Xrate_Del01_Dtl</t>
  </si>
  <si>
    <t>CalBase_DelChk01_Dtl</t>
  </si>
  <si>
    <t>CalBase_Del01_Dtl</t>
  </si>
  <si>
    <t>ItmJnl_DelChk01_Dtl</t>
  </si>
  <si>
    <t>ItmJnl_Del01_Dtl</t>
  </si>
  <si>
    <t>AcItmGrp_DelChk01_Dtl</t>
  </si>
  <si>
    <t>AcItmGrp_Del01_Dtl</t>
  </si>
  <si>
    <t>AcRsn_DelChk01_Dtl</t>
  </si>
  <si>
    <t>AcRsn_Del01_Dtl</t>
  </si>
  <si>
    <t>Site_DelChk01_Dtl</t>
  </si>
  <si>
    <t>Site_Del01_Dtl</t>
  </si>
  <si>
    <t>LocGrp_DelChk01_Dtl</t>
  </si>
  <si>
    <t>LocGrp_Del01_Dtl</t>
  </si>
  <si>
    <t>LgGrp_DelChk01_Dtl</t>
  </si>
  <si>
    <t>LgGrp_Del01_Dtl</t>
  </si>
  <si>
    <t>AllocGrp_DelChk01_Dtl</t>
  </si>
  <si>
    <t>AllocGrp_Del01_Dtl</t>
  </si>
  <si>
    <t>Wg_DelChk01_Dtl</t>
  </si>
  <si>
    <t>Wg_Del01_Dtl</t>
  </si>
  <si>
    <t>Oper_DelChk01_Dtl</t>
  </si>
  <si>
    <t>Oper_Del01_Dtl</t>
  </si>
  <si>
    <t>WkCost_DelChk01_Dtl</t>
  </si>
  <si>
    <t>WkCost_Del01_Dtl</t>
  </si>
  <si>
    <t>WkRsn_DelChk01_Dtl</t>
  </si>
  <si>
    <t>WkRsn_Del01_Dtl</t>
  </si>
  <si>
    <t>SlsUpriGrp_DelChk01_Dtl</t>
  </si>
  <si>
    <t>SlsUpriGrp_Del01_Dtl</t>
  </si>
  <si>
    <t>SlsUpriRank_DelChk01_Dtl</t>
  </si>
  <si>
    <t>SlsUpriRank_Del01_Dtl</t>
  </si>
  <si>
    <t>SetoffGrp_DelChk01_Dtl</t>
  </si>
  <si>
    <t>SetoffGrp_Del01_Dtl</t>
  </si>
  <si>
    <t>ShipValid_DelChk01_Dtl</t>
  </si>
  <si>
    <t>ShipValid_Del01_Dtl</t>
  </si>
  <si>
    <t>ItmShipGrp_DelChk01_Dtl</t>
  </si>
  <si>
    <t>ItmShipGrp_Del01_Dtl</t>
  </si>
  <si>
    <t>Trnspt_DelChk01_Dtl</t>
  </si>
  <si>
    <t>Trnspt_Del01_Dtl</t>
  </si>
  <si>
    <t>ExCntnr_DelChk01_Dtl</t>
  </si>
  <si>
    <t>ExCntnr_Del01_Dtl</t>
  </si>
  <si>
    <t>EximPort_DelChk01_Dtl</t>
  </si>
  <si>
    <t>EximPort_Del01_Dtl</t>
  </si>
  <si>
    <t>StkGd_DelChk01_Dtl</t>
  </si>
  <si>
    <t>StkGd_Del01_Dtl</t>
  </si>
  <si>
    <t>Trd_DelChk01_Dtl</t>
  </si>
  <si>
    <t>Trd_Del01_Dtl</t>
  </si>
  <si>
    <t>SlipForm_DelChk01_Dtl</t>
  </si>
  <si>
    <t>SlipForm_Del01_Dtl</t>
  </si>
  <si>
    <t>PfGrp_DelChk01_Dtl</t>
  </si>
  <si>
    <t>PfGrp_Del01_Dtl</t>
  </si>
  <si>
    <t>ItmSpecGrp_DelChk01_Dtl</t>
  </si>
  <si>
    <t>ItmSpecGrp_Del01_Dtl</t>
  </si>
  <si>
    <t>ItmCompGrp_DelChk01_Dtl</t>
  </si>
  <si>
    <t>ItmCompGrp_Del01_Dtl</t>
  </si>
  <si>
    <t>JnlAct_DelChk01_Dtl</t>
  </si>
  <si>
    <t>JnlAct_Del01_Dtl</t>
  </si>
  <si>
    <t>JnlGrp_DelChk01_Dtl</t>
  </si>
  <si>
    <t>JnlGrp_Del01_Dtl</t>
  </si>
  <si>
    <t>JnlPtnBase_DelChk01_Dtl</t>
  </si>
  <si>
    <t>JnlPtnBase_Del01_Dtl</t>
  </si>
  <si>
    <t>AutoJnlKey_DelChk01_Dtl</t>
  </si>
  <si>
    <t>AutoJnlKey_Del01_Dtl</t>
  </si>
  <si>
    <t>InspPtn_DelChk01_Dtl</t>
  </si>
  <si>
    <t>InspPtn_Del01_Dtl</t>
  </si>
  <si>
    <t>WkDay_DelChk01_Dtl</t>
  </si>
  <si>
    <t>WkDay_Del01_Dtl</t>
  </si>
  <si>
    <t>ShipTerm_DelChk01_Dtl</t>
  </si>
  <si>
    <t>ShipTerm_Del01_Dtl</t>
  </si>
  <si>
    <t>ShipWk_DelChk01_Dtl</t>
  </si>
  <si>
    <t>ShipWk_Del01_Dtl</t>
  </si>
  <si>
    <t>Rsrc_DelChk01_Dtl</t>
  </si>
  <si>
    <t>Rsrc_Del01_Dtl</t>
  </si>
  <si>
    <t>HsGrp_DelChk01_Dtl</t>
  </si>
  <si>
    <t>HsGrp_Del01_Dtl</t>
  </si>
  <si>
    <t>AlcPtn_DelChk01_Dtl</t>
  </si>
  <si>
    <t>AlcPtn_Del01_Dtl</t>
  </si>
  <si>
    <t>CtgGrp_DelChk01_Dtl</t>
  </si>
  <si>
    <t>CtgGrp_Del01_Dtl</t>
  </si>
  <si>
    <t>ActPtn_DelChk01_Dtl</t>
  </si>
  <si>
    <t>ActPtn_Del01_Dtl</t>
  </si>
  <si>
    <t>GpAlc_DelChk01_Dtl</t>
  </si>
  <si>
    <t>GpAlc_Del01_Dtl</t>
  </si>
  <si>
    <t>CalcCtg_DelChk01_Dtl</t>
  </si>
  <si>
    <t>CalcCtg_Del01_Dtl</t>
  </si>
  <si>
    <t>RptPtn_DelChk01_Dtl</t>
  </si>
  <si>
    <t>RptPtn_Del01_Dtl</t>
  </si>
  <si>
    <t>CostMenu_DelChk01_Dtl</t>
  </si>
  <si>
    <t>CostMenu_Del01_Dtl</t>
  </si>
  <si>
    <t>E</t>
    <phoneticPr fontId="20"/>
  </si>
  <si>
    <t>bank_cd</t>
    <phoneticPr fontId="20"/>
  </si>
  <si>
    <t>計算実行パタンＣＤ</t>
    <phoneticPr fontId="20"/>
  </si>
  <si>
    <t>000000</t>
    <phoneticPr fontId="1"/>
  </si>
  <si>
    <t>000000</t>
    <phoneticPr fontId="1"/>
  </si>
  <si>
    <t>Da</t>
  </si>
  <si>
    <t>Dpt_Base</t>
  </si>
  <si>
    <t>Dpt_Lvl</t>
  </si>
  <si>
    <t>Aprv_Role</t>
  </si>
  <si>
    <t>Cntry</t>
  </si>
  <si>
    <t>Area</t>
  </si>
  <si>
    <t>Cur</t>
  </si>
  <si>
    <t>Unit</t>
  </si>
  <si>
    <t>Bank</t>
  </si>
  <si>
    <t>Bank_Branch</t>
  </si>
  <si>
    <t>Bank_Ac</t>
  </si>
  <si>
    <t>Xrate</t>
  </si>
  <si>
    <t>Cal_Base</t>
  </si>
  <si>
    <t>Itm_Jnl</t>
  </si>
  <si>
    <t>Ac_Itm_Grp</t>
  </si>
  <si>
    <t>Ac_Rsn</t>
  </si>
  <si>
    <t>Site</t>
  </si>
  <si>
    <t>Loc_Grp</t>
  </si>
  <si>
    <t>Lg_Grp</t>
  </si>
  <si>
    <t>Alloc_Grp</t>
  </si>
  <si>
    <t>Wg</t>
  </si>
  <si>
    <t>Oper</t>
  </si>
  <si>
    <t>Wk_Cost</t>
  </si>
  <si>
    <t>Wk_Rsn</t>
  </si>
  <si>
    <t>Sls_Upri_Grp</t>
  </si>
  <si>
    <t>Sls_Upri_Rank</t>
  </si>
  <si>
    <t>Setoff_Grp</t>
  </si>
  <si>
    <t>Ship_Valid</t>
  </si>
  <si>
    <t>Itm_Ship_Grp</t>
  </si>
  <si>
    <t>Trnspt</t>
  </si>
  <si>
    <t>Ex_Cntnr</t>
  </si>
  <si>
    <t>Exim_Port</t>
  </si>
  <si>
    <t>Stk_Gd</t>
  </si>
  <si>
    <t>Trd</t>
  </si>
  <si>
    <t>Slip_Form</t>
  </si>
  <si>
    <t>Pf_Grp</t>
  </si>
  <si>
    <t>Itm_Spec_Grp</t>
  </si>
  <si>
    <t>Itm_Comp_Grp</t>
  </si>
  <si>
    <t>Jnl_Act</t>
  </si>
  <si>
    <t>Jnl_Grp</t>
  </si>
  <si>
    <t>Jnl_Ptn_Base</t>
  </si>
  <si>
    <t>Auto_Jnl_Key</t>
  </si>
  <si>
    <t>Insp_Ptn</t>
  </si>
  <si>
    <t>Wk_Day</t>
  </si>
  <si>
    <t>Ship_Term</t>
  </si>
  <si>
    <t>Ship_Wk</t>
  </si>
  <si>
    <t>Rsrc</t>
  </si>
  <si>
    <t>Hs_Grp</t>
  </si>
  <si>
    <t>Alc_Ptn</t>
  </si>
  <si>
    <t>Ctg_Grp</t>
  </si>
  <si>
    <t>Act_Ptn</t>
  </si>
  <si>
    <t>Gp_Alc</t>
  </si>
  <si>
    <t>MABCL0036</t>
  </si>
  <si>
    <t>Calc_Ctg</t>
  </si>
  <si>
    <t>Rpt_Ptn</t>
  </si>
  <si>
    <t>Cost_Menu</t>
  </si>
  <si>
    <t>ship_slip_act_flg</t>
    <phoneticPr fontId="1"/>
  </si>
  <si>
    <t>出荷伝票発行（実績）</t>
    <phoneticPr fontId="1"/>
  </si>
  <si>
    <t>ship_slip_act_flg</t>
    <phoneticPr fontId="1"/>
  </si>
  <si>
    <t>倉庫事業者マスタ</t>
    <rPh sb="0" eb="2">
      <t>ソウコ</t>
    </rPh>
    <rPh sb="2" eb="5">
      <t>ジギョウシャ</t>
    </rPh>
    <phoneticPr fontId="1"/>
  </si>
  <si>
    <t>site_co_cd</t>
    <phoneticPr fontId="1"/>
  </si>
  <si>
    <t>site_co_nm_lcl</t>
    <phoneticPr fontId="1"/>
  </si>
  <si>
    <t>site_co_nm</t>
    <phoneticPr fontId="1"/>
  </si>
  <si>
    <t>#MA.SITE_CO_CD</t>
    <phoneticPr fontId="1"/>
  </si>
  <si>
    <t>#MA.SITE_CO_NM</t>
    <phoneticPr fontId="1"/>
  </si>
  <si>
    <t>倉庫事業者ＣＤ</t>
    <rPh sb="0" eb="2">
      <t>ソウコ</t>
    </rPh>
    <rPh sb="2" eb="5">
      <t>ジギョウシャ</t>
    </rPh>
    <phoneticPr fontId="1"/>
  </si>
  <si>
    <t>倉庫事業者名</t>
    <rPh sb="0" eb="2">
      <t>ソウコ</t>
    </rPh>
    <rPh sb="2" eb="5">
      <t>ジギョウシャ</t>
    </rPh>
    <phoneticPr fontId="1"/>
  </si>
  <si>
    <t>標準倉庫事業者名</t>
    <rPh sb="2" eb="4">
      <t>ソウコ</t>
    </rPh>
    <rPh sb="4" eb="7">
      <t>ジギョウシャ</t>
    </rPh>
    <phoneticPr fontId="1"/>
  </si>
  <si>
    <t>SITE_CO</t>
    <phoneticPr fontId="1"/>
  </si>
  <si>
    <t>Srch01_Rslt1</t>
    <phoneticPr fontId="1"/>
  </si>
  <si>
    <t>Srch01_Rslt2</t>
    <phoneticPr fontId="1"/>
  </si>
  <si>
    <t>Site_Co</t>
    <phoneticPr fontId="1"/>
  </si>
  <si>
    <t>SiteCo_UpdChk01_Dtl</t>
    <phoneticPr fontId="1"/>
  </si>
  <si>
    <t>SiteCo_Upd01_Dtl</t>
    <phoneticPr fontId="1"/>
  </si>
  <si>
    <t>site_co_cd</t>
    <phoneticPr fontId="1"/>
  </si>
  <si>
    <t>site_co_nm</t>
    <phoneticPr fontId="1"/>
  </si>
  <si>
    <t>#MA.SITE_CO_CD</t>
    <phoneticPr fontId="1"/>
  </si>
  <si>
    <t>#MA.SITE_CO_NM</t>
    <phoneticPr fontId="1"/>
  </si>
  <si>
    <t>SiteCoLcl_UpdChk01_Dtl</t>
    <phoneticPr fontId="1"/>
  </si>
  <si>
    <t>SiteCoLcl_Upd01_Dtl</t>
    <phoneticPr fontId="1"/>
  </si>
  <si>
    <t>SiteCo_DelChk01_Dtl</t>
    <phoneticPr fontId="1"/>
  </si>
  <si>
    <t>SiteCo_Del01_Dtl</t>
    <phoneticPr fontId="1"/>
  </si>
  <si>
    <t>Del01_Dtl1</t>
    <phoneticPr fontId="1"/>
  </si>
  <si>
    <t>site_co_cd</t>
    <phoneticPr fontId="1"/>
  </si>
  <si>
    <t>lg_grp_site_co_cd</t>
    <phoneticPr fontId="1"/>
  </si>
  <si>
    <t>lg_grp_site_co_nm</t>
    <phoneticPr fontId="1"/>
  </si>
  <si>
    <t>lg_grp_site_co_cd</t>
    <phoneticPr fontId="1"/>
  </si>
  <si>
    <t>#MA.SITE_CO_CD</t>
    <phoneticPr fontId="1"/>
  </si>
  <si>
    <t>倉庫事業者ＣＤ</t>
    <rPh sb="0" eb="5">
      <t>ソウコジギョウシャ</t>
    </rPh>
    <phoneticPr fontId="1"/>
  </si>
  <si>
    <t>#MA.FLG</t>
    <phoneticPr fontId="1"/>
  </si>
  <si>
    <t>出庫時マイナス在庫確認</t>
    <rPh sb="0" eb="2">
      <t>シュッコ</t>
    </rPh>
    <rPh sb="2" eb="3">
      <t>ジ</t>
    </rPh>
    <rPh sb="7" eb="9">
      <t>ザイコ</t>
    </rPh>
    <rPh sb="9" eb="11">
      <t>カクニン</t>
    </rPh>
    <phoneticPr fontId="1"/>
  </si>
  <si>
    <t>gi_minus_stk_chk_flg</t>
    <phoneticPr fontId="1"/>
  </si>
  <si>
    <t>gi_minus_stk_chk_flg</t>
    <phoneticPr fontId="1"/>
  </si>
  <si>
    <t>ship_loc_prio_flg</t>
    <phoneticPr fontId="1"/>
  </si>
  <si>
    <t>出荷場所優先</t>
    <rPh sb="0" eb="2">
      <t>シュッカ</t>
    </rPh>
    <rPh sb="2" eb="4">
      <t>バショ</t>
    </rPh>
    <rPh sb="4" eb="6">
      <t>ユウセン</t>
    </rPh>
    <phoneticPr fontId="1"/>
  </si>
  <si>
    <t>MA.MAUDL5010</t>
    <phoneticPr fontId="1"/>
  </si>
  <si>
    <t>"mcframe.serverMAUD.MAUDL6020.MAUDL_LCLRLSearcher"</t>
    <phoneticPr fontId="1"/>
  </si>
  <si>
    <t>"mcframe.serverMAUD.MAUDL6020.MAUDL_LCLRLUpdater"</t>
    <phoneticPr fontId="1"/>
  </si>
  <si>
    <t>"mcframe.serverMAUD.MAUDL6020.MAUDL_LCLRLDeleter"</t>
    <phoneticPr fontId="1"/>
  </si>
  <si>
    <t>da_nm</t>
    <phoneticPr fontId="1"/>
  </si>
  <si>
    <t>base_da_nm</t>
    <phoneticPr fontId="1"/>
  </si>
  <si>
    <t>da_cd</t>
    <phoneticPr fontId="1"/>
  </si>
  <si>
    <t>base_def_dpt_nm</t>
    <phoneticPr fontId="1"/>
  </si>
  <si>
    <t>dpt_lvl_nm</t>
    <phoneticPr fontId="1"/>
  </si>
  <si>
    <t>base_dpt_lvl_nm</t>
    <phoneticPr fontId="1"/>
  </si>
  <si>
    <t>aprv_role_nm</t>
    <phoneticPr fontId="1"/>
  </si>
  <si>
    <t>base_aprv_role_nm</t>
    <phoneticPr fontId="1"/>
  </si>
  <si>
    <t>cntry_nm</t>
    <phoneticPr fontId="1"/>
  </si>
  <si>
    <t>base_cntry_nm</t>
    <phoneticPr fontId="1"/>
  </si>
  <si>
    <t>area_nm</t>
    <phoneticPr fontId="1"/>
  </si>
  <si>
    <t>base_area_nm</t>
    <phoneticPr fontId="1"/>
  </si>
  <si>
    <t>cur_nm</t>
    <phoneticPr fontId="1"/>
  </si>
  <si>
    <t>base_cur_nm</t>
    <phoneticPr fontId="1"/>
  </si>
  <si>
    <t>base_unit_nm</t>
    <phoneticPr fontId="1"/>
  </si>
  <si>
    <t>bank_nm</t>
    <phoneticPr fontId="1"/>
  </si>
  <si>
    <t>base_bank_nm</t>
    <phoneticPr fontId="1"/>
  </si>
  <si>
    <t>branch_nm</t>
    <phoneticPr fontId="1"/>
  </si>
  <si>
    <t>base_branch_nm</t>
    <phoneticPr fontId="1"/>
  </si>
  <si>
    <t>xrate_nm</t>
    <phoneticPr fontId="1"/>
  </si>
  <si>
    <t>base_xrate_nm</t>
    <phoneticPr fontId="1"/>
  </si>
  <si>
    <t>cal_nm</t>
    <phoneticPr fontId="1"/>
  </si>
  <si>
    <t>base_cal_nm</t>
    <phoneticPr fontId="1"/>
  </si>
  <si>
    <t>itm_jnl_nm</t>
    <phoneticPr fontId="1"/>
  </si>
  <si>
    <t>base_itm_jnl_nm</t>
    <phoneticPr fontId="1"/>
  </si>
  <si>
    <t>ac_itm_grp_nm</t>
    <phoneticPr fontId="1"/>
  </si>
  <si>
    <t>base_ac_itm_grp_nm</t>
    <phoneticPr fontId="1"/>
  </si>
  <si>
    <t>ac_rsn_nm</t>
    <phoneticPr fontId="1"/>
  </si>
  <si>
    <t>base_ac_rsn_nm</t>
    <phoneticPr fontId="1"/>
  </si>
  <si>
    <t>site_nm</t>
    <phoneticPr fontId="1"/>
  </si>
  <si>
    <t>base_site_nm</t>
    <phoneticPr fontId="1"/>
  </si>
  <si>
    <t>loc_grp_nm</t>
    <phoneticPr fontId="1"/>
  </si>
  <si>
    <t>base_loc_grp_nm</t>
    <phoneticPr fontId="1"/>
  </si>
  <si>
    <t>lg_grp_nm</t>
    <phoneticPr fontId="1"/>
  </si>
  <si>
    <t>base_lg_grp_nm</t>
    <phoneticPr fontId="1"/>
  </si>
  <si>
    <t>alloc_grp_nm</t>
    <phoneticPr fontId="1"/>
  </si>
  <si>
    <t>base_alloc_grp_nm</t>
    <phoneticPr fontId="1"/>
  </si>
  <si>
    <t>wg_nm</t>
    <phoneticPr fontId="1"/>
  </si>
  <si>
    <t>base_wg_nm</t>
    <phoneticPr fontId="1"/>
  </si>
  <si>
    <t>oper_nm</t>
    <phoneticPr fontId="1"/>
  </si>
  <si>
    <t>base_oper_nm</t>
    <phoneticPr fontId="1"/>
  </si>
  <si>
    <t>oper_nm_lcl</t>
    <phoneticPr fontId="1"/>
  </si>
  <si>
    <t>wk_cost_nm</t>
    <phoneticPr fontId="1"/>
  </si>
  <si>
    <t>base_wk_cost_nm</t>
    <phoneticPr fontId="1"/>
  </si>
  <si>
    <t>wk_rsn_nm</t>
    <phoneticPr fontId="1"/>
  </si>
  <si>
    <t>base_wk_rsn_nm</t>
    <phoneticPr fontId="1"/>
  </si>
  <si>
    <t>sls_upri_grp_nm</t>
    <phoneticPr fontId="1"/>
  </si>
  <si>
    <t>base_sls_upri_grp_nm</t>
    <phoneticPr fontId="1"/>
  </si>
  <si>
    <t>sls_upri_rank_nm</t>
    <phoneticPr fontId="1"/>
  </si>
  <si>
    <t>base_sls_upri_rank_nm</t>
    <phoneticPr fontId="1"/>
  </si>
  <si>
    <t>base_wk_cost_unit_nm</t>
    <phoneticPr fontId="1"/>
  </si>
  <si>
    <t>setoff_grp_nm</t>
    <phoneticPr fontId="1"/>
  </si>
  <si>
    <t>base_setoff_grp_nm</t>
    <phoneticPr fontId="1"/>
  </si>
  <si>
    <t>ship_valid_grp_nm</t>
    <phoneticPr fontId="1"/>
  </si>
  <si>
    <t>base_ship_valid_grp_nm</t>
    <phoneticPr fontId="1"/>
  </si>
  <si>
    <t>itm_ship_grp_nm</t>
    <phoneticPr fontId="1"/>
  </si>
  <si>
    <t>base_itm_ship_grp_nm</t>
    <phoneticPr fontId="1"/>
  </si>
  <si>
    <t>trnspt_nm</t>
    <phoneticPr fontId="1"/>
  </si>
  <si>
    <t>base_trnspt_nm</t>
    <phoneticPr fontId="1"/>
  </si>
  <si>
    <t>cntnr_nm</t>
    <phoneticPr fontId="1"/>
  </si>
  <si>
    <t>base_cntnr_nm</t>
    <phoneticPr fontId="1"/>
  </si>
  <si>
    <t>port_nm</t>
    <phoneticPr fontId="1"/>
  </si>
  <si>
    <t>base_port_nm</t>
    <phoneticPr fontId="1"/>
  </si>
  <si>
    <t>gd_nm</t>
    <phoneticPr fontId="1"/>
  </si>
  <si>
    <t>base_gd_nm</t>
    <phoneticPr fontId="1"/>
  </si>
  <si>
    <t>trd_nm</t>
    <phoneticPr fontId="1"/>
  </si>
  <si>
    <t>base_trd_nm</t>
    <phoneticPr fontId="1"/>
  </si>
  <si>
    <t>slip_form_nm</t>
    <phoneticPr fontId="1"/>
  </si>
  <si>
    <t>base_slip_form_nm</t>
    <phoneticPr fontId="1"/>
  </si>
  <si>
    <t>pf_grp_nm</t>
    <phoneticPr fontId="1"/>
  </si>
  <si>
    <t>base_pf_grp_nm</t>
    <phoneticPr fontId="1"/>
  </si>
  <si>
    <t>itm_spec_grp_nm</t>
    <phoneticPr fontId="1"/>
  </si>
  <si>
    <t>base_itm_spec_grp_nm</t>
    <phoneticPr fontId="1"/>
  </si>
  <si>
    <t>itm_comp_grp_nm</t>
    <phoneticPr fontId="1"/>
  </si>
  <si>
    <t>base_itm_comp_grp_nm</t>
    <phoneticPr fontId="1"/>
  </si>
  <si>
    <t>jnl_act_nm</t>
    <phoneticPr fontId="1"/>
  </si>
  <si>
    <t>base_jnl_act_nm</t>
    <phoneticPr fontId="1"/>
  </si>
  <si>
    <t>jnl_grp_nm</t>
    <phoneticPr fontId="1"/>
  </si>
  <si>
    <t>base_jnl_grp_nm</t>
    <phoneticPr fontId="1"/>
  </si>
  <si>
    <t>jnl_ptn_nm</t>
    <phoneticPr fontId="1"/>
  </si>
  <si>
    <t>base_jnl_ptn_nm</t>
    <phoneticPr fontId="1"/>
  </si>
  <si>
    <t>auto_jnl_key_nm</t>
    <phoneticPr fontId="1"/>
  </si>
  <si>
    <t>base_auto_jnl_key_nm</t>
    <phoneticPr fontId="1"/>
  </si>
  <si>
    <t>insp_ptn_nm</t>
    <phoneticPr fontId="1"/>
  </si>
  <si>
    <t>base_insp_ptn_nm</t>
    <phoneticPr fontId="1"/>
  </si>
  <si>
    <t>base_wk_day_nm</t>
    <phoneticPr fontId="1"/>
  </si>
  <si>
    <t>base_ship_term_nm</t>
    <phoneticPr fontId="1"/>
  </si>
  <si>
    <t>base_ship_wk_nm</t>
    <phoneticPr fontId="1"/>
  </si>
  <si>
    <t>rsrc_nm</t>
    <phoneticPr fontId="1"/>
  </si>
  <si>
    <t>base_rsrc_nm</t>
    <phoneticPr fontId="1"/>
  </si>
  <si>
    <t>hs_grp_nm</t>
    <phoneticPr fontId="1"/>
  </si>
  <si>
    <t>base_hs_grp_nm</t>
    <phoneticPr fontId="1"/>
  </si>
  <si>
    <t>alc_ptn_nm</t>
    <phoneticPr fontId="1"/>
  </si>
  <si>
    <t>base_alc_ptn_nm</t>
    <phoneticPr fontId="1"/>
  </si>
  <si>
    <t>ctg_grp_nm</t>
    <phoneticPr fontId="1"/>
  </si>
  <si>
    <t>base_ctg_grp_nm</t>
    <phoneticPr fontId="1"/>
  </si>
  <si>
    <t>act_ptn_nm</t>
    <phoneticPr fontId="1"/>
  </si>
  <si>
    <t>base_act_ptn_nm</t>
    <phoneticPr fontId="1"/>
  </si>
  <si>
    <t>base_gp_alc_nm</t>
    <phoneticPr fontId="1"/>
  </si>
  <si>
    <t>base_calc_ctg_nm</t>
    <phoneticPr fontId="1"/>
  </si>
  <si>
    <t>base_rpt_ptn_nm</t>
    <phoneticPr fontId="1"/>
  </si>
  <si>
    <t>base_menu_nm</t>
    <phoneticPr fontId="1"/>
  </si>
  <si>
    <t>base_site_co_nm</t>
    <phoneticPr fontId="1"/>
  </si>
  <si>
    <t>base_rsrc_unit_nm</t>
    <phoneticPr fontId="1"/>
  </si>
  <si>
    <t>wk_day_nm</t>
  </si>
  <si>
    <t>ship_term_nm</t>
  </si>
  <si>
    <t>ship_wk_nm</t>
  </si>
  <si>
    <t>site_co_nm</t>
  </si>
  <si>
    <t>BANK_AC</t>
    <phoneticPr fontId="1"/>
  </si>
  <si>
    <t>base_bank_ac_nm</t>
    <phoneticPr fontId="1"/>
  </si>
  <si>
    <t>not_sls_slip_snd_flg</t>
    <phoneticPr fontId="1"/>
  </si>
  <si>
    <t>not_purc_slip_snd_flg</t>
    <phoneticPr fontId="1"/>
  </si>
  <si>
    <t>売上伝票送信対象外ＦＬＧ</t>
    <rPh sb="0" eb="2">
      <t>ウリアゲ</t>
    </rPh>
    <rPh sb="2" eb="4">
      <t>デンピョウ</t>
    </rPh>
    <rPh sb="4" eb="6">
      <t>ソウシン</t>
    </rPh>
    <rPh sb="6" eb="8">
      <t>タイショウ</t>
    </rPh>
    <rPh sb="8" eb="9">
      <t>ガイ</t>
    </rPh>
    <phoneticPr fontId="1"/>
  </si>
  <si>
    <t>仕入伝票送信対象外ＦＬＧ</t>
    <rPh sb="0" eb="2">
      <t>シイレ</t>
    </rPh>
    <rPh sb="2" eb="4">
      <t>デンピョウ</t>
    </rPh>
    <rPh sb="4" eb="6">
      <t>ソウシン</t>
    </rPh>
    <rPh sb="6" eb="8">
      <t>タイショウ</t>
    </rPh>
    <rPh sb="8" eb="9">
      <t>ガイ</t>
    </rPh>
    <phoneticPr fontId="1"/>
  </si>
  <si>
    <t>ship_wk_cal_cd</t>
    <phoneticPr fontId="1"/>
  </si>
  <si>
    <t>ship_wk_cal_nm</t>
    <phoneticPr fontId="1"/>
  </si>
  <si>
    <t>"</t>
    <phoneticPr fontId="1"/>
  </si>
  <si>
    <t>Srch01_Rslt1ブロックに以下の項目を追加
・ship_wk_cal_cd、ship_wk_cal_nm</t>
    <phoneticPr fontId="1"/>
  </si>
  <si>
    <t>Upd01_Dtl1ブロックに以下の項目を追加
・ship_wk_cal_cd</t>
    <phoneticPr fontId="1"/>
  </si>
  <si>
    <t>MA7032#031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</si>
  <si>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</si>
  <si>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</si>
  <si>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</si>
  <si>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</si>
  <si>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</si>
  <si>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</si>
  <si>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</si>
  <si>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</si>
  <si>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</si>
  <si>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</si>
  <si>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</si>
  <si>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</si>
  <si>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</si>
  <si>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</si>
  <si>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Master name</t>
  </si>
  <si>
    <t>CD</t>
  </si>
  <si>
    <t>Name</t>
  </si>
  <si>
    <t>Memo 1</t>
  </si>
  <si>
    <t>Memo 2</t>
  </si>
  <si>
    <t>Memo 3</t>
  </si>
  <si>
    <t>Logical delete. Off</t>
  </si>
  <si>
    <t>Logical delete. On</t>
  </si>
  <si>
    <t>Match type</t>
  </si>
  <si>
    <t>Logical delete</t>
  </si>
  <si>
    <t>Data access cd.</t>
  </si>
  <si>
    <t>Data access name</t>
  </si>
  <si>
    <t>Standard data access name</t>
  </si>
  <si>
    <t>Dept. cd.</t>
  </si>
  <si>
    <t>Dept. name</t>
  </si>
  <si>
    <t>Standard dept. name</t>
  </si>
  <si>
    <t>Dept. hierarchy cd.</t>
  </si>
  <si>
    <t>Dept. hierarchy name</t>
  </si>
  <si>
    <t>Standard dept. hierarchy name</t>
  </si>
  <si>
    <t>Approval role cd.</t>
  </si>
  <si>
    <t>Approval role name</t>
  </si>
  <si>
    <t>Standard approval role name</t>
  </si>
  <si>
    <t>Country cd.</t>
  </si>
  <si>
    <t>Country name</t>
  </si>
  <si>
    <t>Standard Country name</t>
  </si>
  <si>
    <t>Region cd.</t>
  </si>
  <si>
    <t>Region name</t>
  </si>
  <si>
    <t>Standard Region name</t>
  </si>
  <si>
    <t>Currency cd.</t>
  </si>
  <si>
    <t>Currency name</t>
  </si>
  <si>
    <t>Standard currency name</t>
  </si>
  <si>
    <t>Amount number of decimal places</t>
  </si>
  <si>
    <t>Unit price number of decimal places</t>
  </si>
  <si>
    <t>Unit cd.</t>
  </si>
  <si>
    <t>Unit name</t>
  </si>
  <si>
    <t>Standard unit name</t>
  </si>
  <si>
    <t>Number of decimal places</t>
  </si>
  <si>
    <t>Rounding type</t>
  </si>
  <si>
    <t>Rounding type name</t>
  </si>
  <si>
    <t>Bank cd.</t>
  </si>
  <si>
    <t>Bank name</t>
  </si>
  <si>
    <t>Standard bank name</t>
  </si>
  <si>
    <t>Calendar cd.</t>
  </si>
  <si>
    <t>Calendar name</t>
  </si>
  <si>
    <t>Bank branch cd.</t>
  </si>
  <si>
    <t>Bank branch name</t>
  </si>
  <si>
    <t>Standard bank branch name</t>
  </si>
  <si>
    <t>Bank account cd.</t>
  </si>
  <si>
    <t>Bank account name</t>
  </si>
  <si>
    <t>Standard account name</t>
  </si>
  <si>
    <t>External</t>
  </si>
  <si>
    <t>Bank account number</t>
  </si>
  <si>
    <t>Bank account type</t>
  </si>
  <si>
    <t>Bank account type name</t>
  </si>
  <si>
    <t>Bank account holder</t>
  </si>
  <si>
    <t>Account holder alias name</t>
  </si>
  <si>
    <t>Exchange rate cd.</t>
  </si>
  <si>
    <t>Exchange rate name</t>
  </si>
  <si>
    <t>Standard exchange rate name</t>
  </si>
  <si>
    <t>Standard calendar name</t>
  </si>
  <si>
    <t>Item journal cd.</t>
  </si>
  <si>
    <t>Item journal name</t>
  </si>
  <si>
    <t>Standard Item journal name</t>
  </si>
  <si>
    <t>AR type</t>
  </si>
  <si>
    <t>AR type name</t>
  </si>
  <si>
    <t>AP type</t>
  </si>
  <si>
    <t>AP type name</t>
  </si>
  <si>
    <t>Accounting item classification cd.</t>
  </si>
  <si>
    <t>Accounting item classification name</t>
  </si>
  <si>
    <t>Standard Accounting item classification name</t>
  </si>
  <si>
    <t>Accounting reason cd.</t>
  </si>
  <si>
    <t>Accounting reason name</t>
  </si>
  <si>
    <t>Standard Accounting reason name</t>
  </si>
  <si>
    <t>Not for journal</t>
  </si>
  <si>
    <t>Not costing</t>
  </si>
  <si>
    <t>Factory/Distribution warehouse cd.</t>
  </si>
  <si>
    <t>Factory/Distribution warehouse name</t>
  </si>
  <si>
    <t>Standard factory/distribution warehouse name</t>
  </si>
  <si>
    <t>Receipt</t>
  </si>
  <si>
    <t>Zip code</t>
  </si>
  <si>
    <t>Address 1</t>
  </si>
  <si>
    <t>Address 2</t>
  </si>
  <si>
    <t>Address 3</t>
  </si>
  <si>
    <t>Address 4</t>
  </si>
  <si>
    <t>TEL</t>
  </si>
  <si>
    <t>FAX</t>
  </si>
  <si>
    <t>Mfg. location group cd.</t>
  </si>
  <si>
    <t>Mfg. location group name</t>
  </si>
  <si>
    <t>Gross allocation location group cd.</t>
  </si>
  <si>
    <t>Gross allocation location group name</t>
  </si>
  <si>
    <t>Distribution group cd.</t>
  </si>
  <si>
    <t>Distribution group name</t>
  </si>
  <si>
    <t>Standard mfg. location group name</t>
  </si>
  <si>
    <t>WG cd.</t>
  </si>
  <si>
    <t>WG name</t>
  </si>
  <si>
    <t>Standard distribution group name</t>
  </si>
  <si>
    <t>Set location</t>
  </si>
  <si>
    <t>Issue shipping slip</t>
  </si>
  <si>
    <t>Issue picking list</t>
  </si>
  <si>
    <t>Shipping order sheet issue</t>
  </si>
  <si>
    <t>Issue shipping slip (Result)</t>
  </si>
  <si>
    <t>Warehousing business cd.</t>
  </si>
  <si>
    <t>Warehousing business name</t>
  </si>
  <si>
    <t>Check negative inventory at GI</t>
  </si>
  <si>
    <t>Precede shipping location</t>
  </si>
  <si>
    <t>Standard gross allocation location group name</t>
  </si>
  <si>
    <t>Standard WG name</t>
  </si>
  <si>
    <t>Sales</t>
  </si>
  <si>
    <t>Distribution</t>
  </si>
  <si>
    <t>Mfg.</t>
  </si>
  <si>
    <t>Purchase</t>
  </si>
  <si>
    <t>AR</t>
  </si>
  <si>
    <t>AP</t>
  </si>
  <si>
    <t>Demand and supply management</t>
  </si>
  <si>
    <t>Prefix for MRP numbering</t>
  </si>
  <si>
    <t>Mfg. order unit type</t>
  </si>
  <si>
    <t>Mfg. order unit type name</t>
  </si>
  <si>
    <t>MRP process type</t>
  </si>
  <si>
    <t>MRP processing type name</t>
  </si>
  <si>
    <t>Allocation extra days</t>
  </si>
  <si>
    <t>Not for movement/transport allocation</t>
  </si>
  <si>
    <t>MRP allocation extra days</t>
  </si>
  <si>
    <t>Days to consider unfirm transport request in MRP</t>
  </si>
  <si>
    <t>Requirements type</t>
  </si>
  <si>
    <t>Requirements type name</t>
  </si>
  <si>
    <t>Production planning type</t>
  </si>
  <si>
    <t>Production planning type name</t>
  </si>
  <si>
    <t>Number of months for demand disaggregation by day</t>
  </si>
  <si>
    <t>PLM</t>
  </si>
  <si>
    <t>Calculation sequence</t>
  </si>
  <si>
    <t>Common unit price</t>
  </si>
  <si>
    <t>Operation cd.</t>
  </si>
  <si>
    <t>Operation name</t>
  </si>
  <si>
    <t>Standard operation name</t>
  </si>
  <si>
    <t>Operation allocation group</t>
  </si>
  <si>
    <t>Work element cd.</t>
  </si>
  <si>
    <t>Work element name</t>
  </si>
  <si>
    <t>Standard work element name</t>
  </si>
  <si>
    <t>Work element unit name</t>
  </si>
  <si>
    <t>Man-hour reason cd.</t>
  </si>
  <si>
    <t>Man-hour reason name</t>
  </si>
  <si>
    <t>Standard man-hour reason name</t>
  </si>
  <si>
    <t>Sales unit price classification cd.</t>
  </si>
  <si>
    <t>Sales unit price classification name</t>
  </si>
  <si>
    <t>Standard sales unit price classification name</t>
  </si>
  <si>
    <t>Sales unit price rank cd.</t>
  </si>
  <si>
    <t>Sales unit price rank name</t>
  </si>
  <si>
    <t>Standard sales unit price rank name</t>
  </si>
  <si>
    <t>Offset group cd.</t>
  </si>
  <si>
    <t>Offset group name</t>
  </si>
  <si>
    <t>Standard offset group name</t>
  </si>
  <si>
    <t>Shipping expiration date group cd.</t>
  </si>
  <si>
    <t>Shipping expiration date group name</t>
  </si>
  <si>
    <t>Standard shipping expiration date group name</t>
  </si>
  <si>
    <t>Item shipping group cd.</t>
  </si>
  <si>
    <t>Item shipping group name</t>
  </si>
  <si>
    <t>Standard item shipping group name</t>
  </si>
  <si>
    <t>Transportation method cd.</t>
  </si>
  <si>
    <t>Transportation method name</t>
  </si>
  <si>
    <t>Standard transportation method name</t>
  </si>
  <si>
    <t>Sort order</t>
  </si>
  <si>
    <t>Packing container cd.</t>
  </si>
  <si>
    <t>Packing container name</t>
  </si>
  <si>
    <t>Standard packing container name</t>
  </si>
  <si>
    <t>Weight</t>
  </si>
  <si>
    <t>Harbor cd.</t>
  </si>
  <si>
    <t>Harbor name</t>
  </si>
  <si>
    <t>Standard port name</t>
  </si>
  <si>
    <t>Grading cd.</t>
  </si>
  <si>
    <t>Grading name</t>
  </si>
  <si>
    <t>Standard grading name</t>
  </si>
  <si>
    <t>Sales order</t>
  </si>
  <si>
    <t>Transaction cd.</t>
  </si>
  <si>
    <t>Transaction name</t>
  </si>
  <si>
    <t>Standard transaction name</t>
  </si>
  <si>
    <t>Transaction pattern type</t>
  </si>
  <si>
    <t>Transaction pattern type name</t>
  </si>
  <si>
    <t>Accounting reason</t>
  </si>
  <si>
    <t>Lot details split type</t>
  </si>
  <si>
    <t>Lot details split type name</t>
  </si>
  <si>
    <t>Slip report cd.</t>
  </si>
  <si>
    <t>Slip report name</t>
  </si>
  <si>
    <t>Adopt at auto</t>
  </si>
  <si>
    <t>Sales slip not to be exported flg.</t>
  </si>
  <si>
    <t>Purchase slip not to be exported flg.</t>
  </si>
  <si>
    <t>Standard slip report name</t>
  </si>
  <si>
    <t>Report ID</t>
  </si>
  <si>
    <t>Refrain slip ID</t>
  </si>
  <si>
    <t>Number of rows</t>
  </si>
  <si>
    <t>Purchase forecast group cd.</t>
  </si>
  <si>
    <t>Purchase forecast group name</t>
  </si>
  <si>
    <t>Standard purchase forecast group name</t>
  </si>
  <si>
    <t>Weekly forecast period</t>
  </si>
  <si>
    <t>Weekly start position</t>
  </si>
  <si>
    <t>By 10 days forecast period</t>
  </si>
  <si>
    <t>By 10 days starting position</t>
  </si>
  <si>
    <t>Monthly forecast period</t>
  </si>
  <si>
    <t>Monthly starting position</t>
  </si>
  <si>
    <t>Firm period</t>
  </si>
  <si>
    <t>Item specification classification cd.</t>
  </si>
  <si>
    <t>Item specification classification name</t>
  </si>
  <si>
    <t>Standard item specification classification name</t>
  </si>
  <si>
    <t>Item configuration group cd.</t>
  </si>
  <si>
    <t>Item configuration group name</t>
  </si>
  <si>
    <t>Standard item structure group name</t>
  </si>
  <si>
    <t>Multiple choice</t>
  </si>
  <si>
    <t>Required</t>
  </si>
  <si>
    <t>Journalizing cd.</t>
  </si>
  <si>
    <t>Journalizing name</t>
  </si>
  <si>
    <t>Standard journal execute name</t>
  </si>
  <si>
    <t>Journal deleted</t>
  </si>
  <si>
    <t>Journal group cd.</t>
  </si>
  <si>
    <t>Journal group name</t>
  </si>
  <si>
    <t>Standard journal group name</t>
  </si>
  <si>
    <t>Import bank account type setting master 1</t>
  </si>
  <si>
    <t>Bank account type setting master import 2</t>
  </si>
  <si>
    <t>Journal pattern cd.</t>
  </si>
  <si>
    <t>Journal pattern name</t>
  </si>
  <si>
    <t>Standard journal pattern name</t>
  </si>
  <si>
    <t>Auto-journal key cd.</t>
  </si>
  <si>
    <t>Auto-journal key name</t>
  </si>
  <si>
    <t>Standard auto-journal key name</t>
  </si>
  <si>
    <t>Inspection pattern cd.</t>
  </si>
  <si>
    <t>Inspection pattern name</t>
  </si>
  <si>
    <t>Standard inspection pattern name</t>
  </si>
  <si>
    <t>Work type cd.</t>
  </si>
  <si>
    <t>Work type name</t>
  </si>
  <si>
    <t>Standard work classification name</t>
  </si>
  <si>
    <t>Shipping conditions cd.</t>
  </si>
  <si>
    <t>Shipping conditions name</t>
  </si>
  <si>
    <t>Standard shipping conditions name</t>
  </si>
  <si>
    <t>Shipping operation cd.</t>
  </si>
  <si>
    <t>Shipping operation name</t>
  </si>
  <si>
    <t>Standard shipping operation name</t>
  </si>
  <si>
    <t>Resource cd.</t>
  </si>
  <si>
    <t>Resource name</t>
  </si>
  <si>
    <t>Standard resource name</t>
  </si>
  <si>
    <t>Resource unit name</t>
  </si>
  <si>
    <t>HS classification cd.</t>
  </si>
  <si>
    <t>HS classification name</t>
  </si>
  <si>
    <t>Standard HS classification name</t>
  </si>
  <si>
    <t>HS type</t>
  </si>
  <si>
    <t>Allocation pattern cd.</t>
  </si>
  <si>
    <t>Allocation pattern name</t>
  </si>
  <si>
    <t>Standard allocation pattern name</t>
  </si>
  <si>
    <t>Item category group cd.</t>
  </si>
  <si>
    <t>Item category group name</t>
  </si>
  <si>
    <t>Standard item category group name</t>
  </si>
  <si>
    <t>Calculation run pattern cd.</t>
  </si>
  <si>
    <t>Calculation run pattern name</t>
  </si>
  <si>
    <t>Standard calculation run pattern name</t>
  </si>
  <si>
    <t>General purpose allocation classification cd.</t>
  </si>
  <si>
    <t>General purpose allocation classification name</t>
  </si>
  <si>
    <t>Standard general purpose allocation classification name</t>
  </si>
  <si>
    <t>Calculation category cd.</t>
  </si>
  <si>
    <t>Calculation category name</t>
  </si>
  <si>
    <t>Standard calculation category name</t>
  </si>
  <si>
    <t>Report pattern cd.</t>
  </si>
  <si>
    <t>Report pattern name</t>
  </si>
  <si>
    <t>Standard Report pattern name</t>
  </si>
  <si>
    <t>Menu cd.</t>
  </si>
  <si>
    <t>Menu name</t>
  </si>
  <si>
    <t>Standard Menu name</t>
  </si>
  <si>
    <t>Standard warehousing business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</si>
  <si>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</si>
  <si>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</si>
  <si>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</si>
  <si>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</si>
  <si>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</si>
  <si>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</si>
  <si>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</si>
  <si>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</si>
  <si>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</si>
  <si>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</si>
  <si>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</si>
  <si>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</si>
  <si>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</si>
  <si>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</si>
  <si>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</si>
  <si>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cd.</t>
  </si>
  <si>
    <t>Locale name</t>
  </si>
  <si>
    <t>Export packing container cd.</t>
  </si>
  <si>
    <t>Auto-journal pattern cd.</t>
  </si>
  <si>
    <t>Export packing container name</t>
  </si>
  <si>
    <t>Auto-journal pattern name</t>
  </si>
  <si>
    <t>項目名
Field Name</t>
    <phoneticPr fontId="20"/>
  </si>
  <si>
    <t>型
Type</t>
    <phoneticPr fontId="20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</si>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</sst>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7" fillId="0" borderId="0"/>
    <xf numFmtId="0" fontId="28" fillId="0" borderId="0"/>
  </cellStyleXfs>
  <cellXfs count="159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24" borderId="13" xfId="0" applyFont="1" applyFill="1" applyBorder="1" applyAlignment="1">
      <alignment vertical="top"/>
    </xf>
    <xf numFmtId="0" fontId="22" fillId="0" borderId="0" xfId="0" applyFont="1" applyAlignment="1" applyProtection="1">
      <alignment vertical="top"/>
      <protection locked="0"/>
    </xf>
    <xf numFmtId="0" fontId="22" fillId="0" borderId="0" xfId="0" applyFont="1" applyAlignment="1" applyProtection="1">
      <alignment vertical="center"/>
      <protection locked="0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15" xfId="0" applyFont="1" applyFill="1" applyBorder="1" applyAlignment="1">
      <alignment vertical="center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2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0" borderId="23" xfId="0" applyFont="1" applyBorder="1" applyAlignment="1"/>
    <xf numFmtId="0" fontId="22" fillId="0" borderId="13" xfId="0" applyFont="1" applyBorder="1" applyAlignment="1"/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22" xfId="0" applyFont="1" applyBorder="1" applyAlignment="1" applyProtection="1">
      <alignment vertical="top"/>
      <protection locked="0"/>
    </xf>
    <xf numFmtId="0" fontId="22" fillId="0" borderId="19" xfId="0" applyFont="1" applyBorder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0" borderId="17" xfId="0" applyFont="1" applyBorder="1" applyAlignment="1"/>
    <xf numFmtId="0" fontId="22" fillId="25" borderId="19" xfId="0" applyFont="1" applyFill="1" applyBorder="1" applyAlignment="1"/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0" borderId="42" xfId="0" applyFont="1" applyBorder="1" applyAlignment="1" applyProtection="1">
      <alignment vertical="top"/>
      <protection locked="0"/>
    </xf>
    <xf numFmtId="0" fontId="22" fillId="24" borderId="42" xfId="0" applyFont="1" applyFill="1" applyBorder="1" applyAlignment="1" applyProtection="1">
      <alignment vertical="top"/>
      <protection locked="0"/>
    </xf>
    <xf numFmtId="0" fontId="2" fillId="0" borderId="0" xfId="0" applyFont="1" applyAlignment="1">
      <alignment vertical="top"/>
    </xf>
    <xf numFmtId="0" fontId="2" fillId="24" borderId="15" xfId="0" applyFont="1" applyFill="1" applyBorder="1" applyAlignment="1">
      <alignment vertical="center"/>
    </xf>
    <xf numFmtId="0" fontId="2" fillId="0" borderId="2" xfId="0" applyFont="1" applyBorder="1" applyAlignment="1" applyProtection="1">
      <protection locked="0"/>
    </xf>
    <xf numFmtId="0" fontId="26" fillId="27" borderId="15" xfId="0" applyFont="1" applyFill="1" applyBorder="1" applyAlignment="1">
      <alignment vertical="top"/>
    </xf>
    <xf numFmtId="0" fontId="26" fillId="27" borderId="15" xfId="0" applyFont="1" applyFill="1" applyBorder="1">
      <alignment vertical="top" wrapText="1"/>
    </xf>
    <xf numFmtId="0" fontId="26" fillId="27" borderId="22" xfId="0" applyFont="1" applyFill="1" applyBorder="1" applyAlignment="1" applyProtection="1">
      <alignment vertical="top"/>
      <protection locked="0"/>
    </xf>
    <xf numFmtId="0" fontId="26" fillId="27" borderId="19" xfId="0" applyFont="1" applyFill="1" applyBorder="1" applyAlignment="1" applyProtection="1">
      <alignment vertical="top"/>
      <protection locked="0"/>
    </xf>
    <xf numFmtId="0" fontId="26" fillId="27" borderId="22" xfId="0" applyFont="1" applyFill="1" applyBorder="1" applyAlignment="1" applyProtection="1">
      <protection locked="0"/>
    </xf>
    <xf numFmtId="0" fontId="26" fillId="27" borderId="19" xfId="0" applyFont="1" applyFill="1" applyBorder="1" applyAlignment="1"/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0" fillId="25" borderId="15" xfId="0" applyFill="1" applyBorder="1">
      <alignment vertical="top" wrapText="1"/>
    </xf>
    <xf numFmtId="0" fontId="2" fillId="25" borderId="15" xfId="0" applyFont="1" applyFill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4" fillId="0" borderId="22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4" fillId="0" borderId="22" xfId="46" applyFont="1" applyBorder="1" applyAlignment="1">
      <alignment horizontal="center" vertical="center" wrapText="1"/>
    </xf>
    <xf numFmtId="0" fontId="24" fillId="0" borderId="2" xfId="47" applyFont="1" applyBorder="1" applyAlignment="1">
      <alignment horizontal="center" vertical="center" wrapText="1"/>
    </xf>
    <xf numFmtId="0" fontId="24" fillId="0" borderId="19" xfId="47" applyFont="1" applyBorder="1" applyAlignment="1">
      <alignment horizontal="center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22" xfId="46" applyFont="1" applyBorder="1" applyAlignment="1">
      <alignment vertical="center" wrapText="1"/>
    </xf>
    <xf numFmtId="0" fontId="24" fillId="0" borderId="2" xfId="47" applyFont="1" applyBorder="1" applyAlignment="1">
      <alignment vertical="center" wrapText="1"/>
    </xf>
    <xf numFmtId="0" fontId="24" fillId="0" borderId="33" xfId="47" applyFont="1" applyBorder="1" applyAlignment="1">
      <alignment vertical="center" wrapText="1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177" fontId="24" fillId="0" borderId="32" xfId="46" applyNumberFormat="1" applyFont="1" applyBorder="1" applyAlignment="1">
      <alignment horizontal="center" vertical="center"/>
    </xf>
    <xf numFmtId="177" fontId="24" fillId="0" borderId="2" xfId="47" applyNumberFormat="1" applyFont="1" applyBorder="1" applyAlignment="1">
      <alignment horizontal="center" vertical="center"/>
    </xf>
    <xf numFmtId="177" fontId="24" fillId="0" borderId="19" xfId="47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</cellXfs>
  <cellStyles count="48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標準_02_変更来歴例" xfId="47" xr:uid="{6968AD80-70C1-43AB-A59F-D8CE1424D306}"/>
    <cellStyle name="標準_変更来歴_1" xfId="46" xr:uid="{2676640B-46F5-4622-A3C8-9E94F6EBE0A2}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69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1.363281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40</v>
      </c>
      <c r="D2" s="7" t="s">
        <v>9</v>
      </c>
      <c r="E2" s="9" t="s">
        <v>80</v>
      </c>
      <c r="F2" s="7" t="s">
        <v>38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1009</v>
      </c>
      <c r="D3" s="7" t="s">
        <v>10</v>
      </c>
      <c r="E3" s="9" t="s">
        <v>81</v>
      </c>
      <c r="F3" s="7" t="s">
        <v>39</v>
      </c>
      <c r="G3" s="9"/>
      <c r="H3" s="7"/>
      <c r="I3" s="9"/>
    </row>
    <row r="4" spans="1:12" x14ac:dyDescent="0.2">
      <c r="A4" s="3"/>
      <c r="B4" s="7"/>
      <c r="C4" s="77"/>
      <c r="D4" s="7" t="s">
        <v>11</v>
      </c>
      <c r="E4" s="13" t="s">
        <v>82</v>
      </c>
      <c r="F4" s="7" t="s">
        <v>5</v>
      </c>
      <c r="G4" s="9" t="s">
        <v>2071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 t="s">
        <v>879</v>
      </c>
      <c r="C7" s="25" t="s">
        <v>880</v>
      </c>
      <c r="D7" s="4"/>
      <c r="E7" s="4"/>
      <c r="F7" s="4"/>
      <c r="G7" s="4"/>
      <c r="H7" s="4"/>
      <c r="I7" s="15"/>
    </row>
    <row r="8" spans="1:12" x14ac:dyDescent="0.2">
      <c r="B8" s="4"/>
      <c r="C8" s="25" t="s">
        <v>881</v>
      </c>
      <c r="I8" s="15"/>
    </row>
    <row r="9" spans="1:12" x14ac:dyDescent="0.2">
      <c r="B9" s="4"/>
      <c r="C9" s="25" t="s">
        <v>882</v>
      </c>
      <c r="I9" s="15"/>
      <c r="J9" s="4"/>
    </row>
    <row r="10" spans="1:12" x14ac:dyDescent="0.2">
      <c r="B10" s="4"/>
      <c r="C10" s="25" t="s">
        <v>883</v>
      </c>
      <c r="I10" s="15"/>
      <c r="J10" s="4"/>
    </row>
    <row r="11" spans="1:12" x14ac:dyDescent="0.2">
      <c r="B11" s="4"/>
      <c r="C11" s="25" t="s">
        <v>884</v>
      </c>
      <c r="I11" s="15"/>
      <c r="J11" s="4"/>
    </row>
    <row r="12" spans="1:12" x14ac:dyDescent="0.2">
      <c r="B12" s="4"/>
      <c r="C12" s="25" t="s">
        <v>885</v>
      </c>
      <c r="I12" s="15"/>
      <c r="J12" s="4"/>
    </row>
    <row r="13" spans="1:12" x14ac:dyDescent="0.2">
      <c r="B13" s="4"/>
      <c r="C13" s="25" t="s">
        <v>886</v>
      </c>
      <c r="I13" s="15"/>
      <c r="J13" s="4"/>
    </row>
    <row r="14" spans="1:12" x14ac:dyDescent="0.2">
      <c r="B14" s="4"/>
      <c r="C14" s="25" t="s">
        <v>887</v>
      </c>
      <c r="I14" s="15"/>
      <c r="J14" s="4"/>
    </row>
    <row r="15" spans="1:12" x14ac:dyDescent="0.2">
      <c r="B15" s="4"/>
      <c r="C15" s="25" t="s">
        <v>888</v>
      </c>
      <c r="I15" s="15"/>
      <c r="J15" s="4"/>
    </row>
    <row r="16" spans="1:12" x14ac:dyDescent="0.2">
      <c r="B16" s="4"/>
      <c r="C16" s="25" t="s">
        <v>889</v>
      </c>
      <c r="I16" s="15"/>
      <c r="J16" s="4"/>
    </row>
    <row r="17" spans="2:10" x14ac:dyDescent="0.2">
      <c r="B17" s="4"/>
      <c r="I17" s="15"/>
      <c r="J17" s="4"/>
    </row>
    <row r="18" spans="2:10" x14ac:dyDescent="0.2">
      <c r="B18" s="4" t="s">
        <v>1010</v>
      </c>
      <c r="C18" s="25" t="s">
        <v>890</v>
      </c>
      <c r="I18" s="15"/>
      <c r="J18" s="4"/>
    </row>
    <row r="19" spans="2:10" x14ac:dyDescent="0.2">
      <c r="B19" s="4"/>
      <c r="C19" s="25" t="s">
        <v>891</v>
      </c>
      <c r="I19" s="15"/>
      <c r="J19" s="4"/>
    </row>
    <row r="20" spans="2:10" x14ac:dyDescent="0.2">
      <c r="B20" s="4"/>
      <c r="C20" s="25" t="s">
        <v>892</v>
      </c>
      <c r="I20" s="15"/>
      <c r="J20" s="4"/>
    </row>
    <row r="21" spans="2:10" x14ac:dyDescent="0.2">
      <c r="B21" s="4"/>
      <c r="C21" s="25" t="s">
        <v>893</v>
      </c>
      <c r="I21" s="15"/>
      <c r="J21" s="4"/>
    </row>
    <row r="22" spans="2:10" x14ac:dyDescent="0.2">
      <c r="B22" s="4"/>
      <c r="C22" s="25" t="s">
        <v>894</v>
      </c>
      <c r="I22" s="15"/>
      <c r="J22" s="4"/>
    </row>
    <row r="23" spans="2:10" x14ac:dyDescent="0.2">
      <c r="B23" s="4"/>
      <c r="C23" s="25" t="s">
        <v>895</v>
      </c>
      <c r="I23" s="15"/>
      <c r="J23" s="4"/>
    </row>
    <row r="24" spans="2:10" x14ac:dyDescent="0.2">
      <c r="B24" s="4"/>
      <c r="C24" s="25" t="s">
        <v>896</v>
      </c>
      <c r="I24" s="15"/>
      <c r="J24" s="4"/>
    </row>
    <row r="25" spans="2:10" x14ac:dyDescent="0.2">
      <c r="B25" s="4"/>
      <c r="C25" s="25" t="s">
        <v>897</v>
      </c>
      <c r="I25" s="15"/>
      <c r="J25" s="4"/>
    </row>
    <row r="26" spans="2:10" x14ac:dyDescent="0.2">
      <c r="B26" s="4"/>
      <c r="C26" s="25" t="s">
        <v>898</v>
      </c>
      <c r="I26" s="15"/>
      <c r="J26" s="4"/>
    </row>
    <row r="27" spans="2:10" x14ac:dyDescent="0.2">
      <c r="B27" s="4"/>
      <c r="C27" s="25" t="s">
        <v>899</v>
      </c>
      <c r="I27" s="15"/>
      <c r="J27" s="4"/>
    </row>
    <row r="28" spans="2:10" x14ac:dyDescent="0.2">
      <c r="B28" s="4"/>
      <c r="I28" s="15"/>
      <c r="J28" s="4"/>
    </row>
    <row r="29" spans="2:10" x14ac:dyDescent="0.2">
      <c r="B29" s="4" t="s">
        <v>1011</v>
      </c>
      <c r="C29" s="25" t="s">
        <v>990</v>
      </c>
      <c r="I29" s="15"/>
      <c r="J29" s="4"/>
    </row>
    <row r="30" spans="2:10" x14ac:dyDescent="0.2">
      <c r="B30" s="4"/>
      <c r="C30" s="25" t="s">
        <v>900</v>
      </c>
      <c r="I30" s="15"/>
      <c r="J30" s="4"/>
    </row>
    <row r="31" spans="2:10" x14ac:dyDescent="0.2">
      <c r="B31" s="4"/>
      <c r="C31" s="25" t="s">
        <v>901</v>
      </c>
      <c r="I31" s="15"/>
      <c r="J31" s="4"/>
    </row>
    <row r="32" spans="2:10" x14ac:dyDescent="0.2">
      <c r="B32" s="4"/>
      <c r="C32" s="25" t="s">
        <v>902</v>
      </c>
      <c r="I32" s="15"/>
      <c r="J32" s="4"/>
    </row>
    <row r="33" spans="2:10" x14ac:dyDescent="0.2">
      <c r="B33" s="4"/>
      <c r="C33" s="25" t="s">
        <v>903</v>
      </c>
      <c r="I33" s="15"/>
      <c r="J33" s="4"/>
    </row>
    <row r="34" spans="2:10" x14ac:dyDescent="0.2">
      <c r="B34" s="4"/>
      <c r="C34" s="25" t="s">
        <v>904</v>
      </c>
      <c r="I34" s="15"/>
      <c r="J34" s="4"/>
    </row>
    <row r="35" spans="2:10" x14ac:dyDescent="0.2">
      <c r="B35" s="4"/>
      <c r="C35" s="25" t="s">
        <v>905</v>
      </c>
      <c r="I35" s="15"/>
      <c r="J35" s="4"/>
    </row>
    <row r="36" spans="2:10" x14ac:dyDescent="0.2">
      <c r="B36" s="4"/>
      <c r="C36" s="25" t="s">
        <v>906</v>
      </c>
      <c r="I36" s="15"/>
      <c r="J36" s="4"/>
    </row>
    <row r="37" spans="2:10" x14ac:dyDescent="0.2">
      <c r="B37" s="4"/>
      <c r="C37" s="25" t="s">
        <v>907</v>
      </c>
      <c r="I37" s="15"/>
      <c r="J37" s="4"/>
    </row>
    <row r="38" spans="2:10" x14ac:dyDescent="0.2">
      <c r="B38" s="4"/>
      <c r="C38" s="25" t="s">
        <v>908</v>
      </c>
      <c r="I38" s="15"/>
      <c r="J38" s="4"/>
    </row>
    <row r="39" spans="2:10" x14ac:dyDescent="0.2">
      <c r="B39" s="4"/>
      <c r="I39" s="15"/>
      <c r="J39" s="4"/>
    </row>
    <row r="40" spans="2:10" x14ac:dyDescent="0.2">
      <c r="B40" s="4" t="s">
        <v>1007</v>
      </c>
      <c r="C40" s="25" t="s">
        <v>909</v>
      </c>
      <c r="I40" s="15"/>
      <c r="J40" s="4"/>
    </row>
    <row r="41" spans="2:10" x14ac:dyDescent="0.2">
      <c r="B41" s="4"/>
      <c r="C41" s="25" t="s">
        <v>910</v>
      </c>
      <c r="I41" s="15"/>
      <c r="J41" s="4"/>
    </row>
    <row r="42" spans="2:10" x14ac:dyDescent="0.2">
      <c r="B42" s="4"/>
      <c r="C42" s="25" t="s">
        <v>911</v>
      </c>
      <c r="I42" s="15"/>
      <c r="J42" s="4"/>
    </row>
    <row r="43" spans="2:10" x14ac:dyDescent="0.2">
      <c r="B43" s="4"/>
      <c r="C43" s="25" t="s">
        <v>912</v>
      </c>
      <c r="I43" s="15"/>
      <c r="J43" s="4"/>
    </row>
    <row r="44" spans="2:10" x14ac:dyDescent="0.2">
      <c r="B44" s="4"/>
      <c r="C44" s="25" t="s">
        <v>913</v>
      </c>
      <c r="I44" s="15"/>
      <c r="J44" s="4"/>
    </row>
    <row r="45" spans="2:10" x14ac:dyDescent="0.2">
      <c r="B45" s="4"/>
      <c r="C45" s="25" t="s">
        <v>914</v>
      </c>
      <c r="I45" s="15"/>
      <c r="J45" s="4"/>
    </row>
    <row r="46" spans="2:10" x14ac:dyDescent="0.2">
      <c r="B46" s="4"/>
      <c r="C46" s="25" t="s">
        <v>915</v>
      </c>
      <c r="I46" s="15"/>
      <c r="J46" s="4"/>
    </row>
    <row r="47" spans="2:10" x14ac:dyDescent="0.2">
      <c r="B47" s="4"/>
      <c r="C47" s="25" t="s">
        <v>916</v>
      </c>
      <c r="I47" s="15"/>
      <c r="J47" s="4"/>
    </row>
    <row r="48" spans="2:10" x14ac:dyDescent="0.2">
      <c r="B48" s="4"/>
      <c r="C48" s="25" t="s">
        <v>917</v>
      </c>
      <c r="I48" s="15"/>
      <c r="J48" s="4"/>
    </row>
    <row r="49" spans="2:10" x14ac:dyDescent="0.2">
      <c r="B49" s="4"/>
      <c r="C49" s="25" t="s">
        <v>918</v>
      </c>
      <c r="I49" s="15"/>
      <c r="J49" s="4"/>
    </row>
    <row r="50" spans="2:10" x14ac:dyDescent="0.2">
      <c r="B50" s="4"/>
      <c r="I50" s="15"/>
      <c r="J50" s="4"/>
    </row>
    <row r="51" spans="2:10" x14ac:dyDescent="0.2">
      <c r="B51" s="4" t="s">
        <v>1008</v>
      </c>
      <c r="C51" s="25" t="s">
        <v>919</v>
      </c>
      <c r="I51" s="15"/>
      <c r="J51" s="4"/>
    </row>
    <row r="52" spans="2:10" x14ac:dyDescent="0.2">
      <c r="B52" s="4"/>
      <c r="C52" s="25" t="s">
        <v>920</v>
      </c>
      <c r="I52" s="15"/>
      <c r="J52" s="4"/>
    </row>
    <row r="53" spans="2:10" x14ac:dyDescent="0.2">
      <c r="B53" s="4"/>
      <c r="C53" s="25" t="s">
        <v>921</v>
      </c>
      <c r="I53" s="15"/>
      <c r="J53" s="4"/>
    </row>
    <row r="54" spans="2:10" x14ac:dyDescent="0.2">
      <c r="B54" s="4"/>
      <c r="C54" s="25" t="s">
        <v>922</v>
      </c>
      <c r="I54" s="15"/>
      <c r="J54" s="4"/>
    </row>
    <row r="55" spans="2:10" x14ac:dyDescent="0.2">
      <c r="B55" s="4"/>
      <c r="C55" s="25" t="s">
        <v>923</v>
      </c>
      <c r="I55" s="15"/>
      <c r="J55" s="4"/>
    </row>
    <row r="56" spans="2:10" x14ac:dyDescent="0.2">
      <c r="B56" s="4"/>
      <c r="C56" s="25" t="s">
        <v>924</v>
      </c>
      <c r="I56" s="15"/>
      <c r="J56" s="4"/>
    </row>
    <row r="57" spans="2:10" x14ac:dyDescent="0.2">
      <c r="B57" s="4"/>
      <c r="C57" s="25" t="s">
        <v>805</v>
      </c>
      <c r="I57" s="15"/>
      <c r="J57" s="4"/>
    </row>
    <row r="58" spans="2:10" x14ac:dyDescent="0.2">
      <c r="B58" s="4"/>
      <c r="C58" s="25" t="s">
        <v>806</v>
      </c>
      <c r="I58" s="15"/>
      <c r="J58" s="4"/>
    </row>
    <row r="59" spans="2:10" x14ac:dyDescent="0.2">
      <c r="B59" s="4"/>
      <c r="C59" s="25" t="s">
        <v>807</v>
      </c>
      <c r="I59" s="15"/>
      <c r="J59" s="4"/>
    </row>
    <row r="60" spans="2:10" x14ac:dyDescent="0.2">
      <c r="B60" s="4"/>
      <c r="C60" s="25" t="s">
        <v>808</v>
      </c>
      <c r="I60" s="15"/>
      <c r="J60" s="4"/>
    </row>
    <row r="61" spans="2:10" x14ac:dyDescent="0.2">
      <c r="B61" s="4"/>
      <c r="C61" s="25" t="s">
        <v>930</v>
      </c>
      <c r="I61" s="15"/>
      <c r="J61" s="4"/>
    </row>
    <row r="62" spans="2:10" x14ac:dyDescent="0.2">
      <c r="B62" s="4"/>
      <c r="I62" s="15"/>
      <c r="J62" s="4"/>
    </row>
    <row r="63" spans="2:10" x14ac:dyDescent="0.2">
      <c r="B63" s="4" t="s">
        <v>1012</v>
      </c>
      <c r="C63" s="25" t="s">
        <v>946</v>
      </c>
      <c r="I63" s="15"/>
      <c r="J63" s="4"/>
    </row>
    <row r="64" spans="2:10" x14ac:dyDescent="0.2">
      <c r="B64" s="4"/>
      <c r="C64" s="25" t="s">
        <v>947</v>
      </c>
      <c r="I64" s="15"/>
      <c r="J64" s="4"/>
    </row>
    <row r="65" spans="1:10" x14ac:dyDescent="0.2">
      <c r="B65" s="4"/>
      <c r="C65" s="25" t="s">
        <v>948</v>
      </c>
      <c r="I65" s="15"/>
      <c r="J65" s="4"/>
    </row>
    <row r="66" spans="1:10" x14ac:dyDescent="0.2">
      <c r="B66" s="4"/>
      <c r="C66" s="25" t="s">
        <v>949</v>
      </c>
      <c r="I66" s="15"/>
      <c r="J66" s="4"/>
    </row>
    <row r="67" spans="1:10" x14ac:dyDescent="0.2">
      <c r="B67" s="4"/>
      <c r="C67" s="25" t="s">
        <v>2035</v>
      </c>
      <c r="I67" s="15"/>
      <c r="J67" s="4"/>
    </row>
    <row r="68" spans="1:10" x14ac:dyDescent="0.2">
      <c r="A68" s="1"/>
      <c r="B68" s="3"/>
      <c r="C68" s="2"/>
      <c r="D68" s="3"/>
      <c r="E68" s="3"/>
      <c r="F68" s="3"/>
      <c r="G68" s="3"/>
      <c r="H68" s="3"/>
      <c r="I68" s="26"/>
      <c r="J68" s="4"/>
    </row>
    <row r="69" spans="1:10" x14ac:dyDescent="0.2">
      <c r="B69" s="4"/>
      <c r="J69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IE485"/>
  <sheetViews>
    <sheetView topLeftCell="A271" zoomScale="85" zoomScaleNormal="85" zoomScaleSheetLayoutView="85" workbookViewId="0">
      <selection activeCell="D286" sqref="D286"/>
    </sheetView>
  </sheetViews>
  <sheetFormatPr defaultColWidth="9" defaultRowHeight="13" x14ac:dyDescent="0.2"/>
  <cols>
    <col min="1" max="1" width="4.81640625" style="28" customWidth="1"/>
    <col min="2" max="2" width="2.6328125" style="28" bestFit="1" customWidth="1"/>
    <col min="3" max="3" width="3.1796875" style="28" customWidth="1"/>
    <col min="4" max="4" width="27.1796875" style="29" bestFit="1" customWidth="1"/>
    <col min="5" max="5" width="25.81640625" style="29" customWidth="1"/>
    <col min="6" max="6" width="7.453125" style="28" customWidth="1"/>
    <col min="7" max="7" width="30.81640625" style="28" customWidth="1"/>
    <col min="8" max="8" width="22.90625" style="28" customWidth="1"/>
    <col min="9" max="10" width="15.81640625" style="28" customWidth="1"/>
    <col min="11" max="11" width="19.36328125" style="28" customWidth="1"/>
    <col min="12" max="12" width="18.36328125" style="28" customWidth="1"/>
    <col min="13" max="13" width="19.36328125" style="28" customWidth="1"/>
    <col min="14" max="14" width="50.81640625" style="28" customWidth="1"/>
    <col min="15" max="15" width="16.81640625" style="28" customWidth="1"/>
    <col min="16" max="16" width="18.08984375" style="28" customWidth="1"/>
    <col min="17" max="17" width="22.81640625" style="28" customWidth="1"/>
    <col min="18" max="18" width="11.6328125" style="28" customWidth="1"/>
    <col min="19" max="19" width="26.08984375" style="28" customWidth="1"/>
    <col min="20" max="20" width="16.08984375" style="28" customWidth="1"/>
    <col min="21" max="21" width="21.6328125" style="28" customWidth="1"/>
    <col min="22" max="22" width="11.6328125" style="28" customWidth="1"/>
    <col min="23" max="23" width="25" style="28" customWidth="1"/>
    <col min="24" max="24" width="18.36328125" style="28" customWidth="1"/>
    <col min="25" max="25" width="23.90625" style="28" customWidth="1"/>
    <col min="26" max="26" width="11.6328125" style="28" customWidth="1"/>
    <col min="27" max="27" width="27.1796875" style="28" customWidth="1"/>
    <col min="28" max="28" width="13.90625" style="28" customWidth="1"/>
    <col min="29" max="29" width="19.36328125" style="28" customWidth="1"/>
    <col min="30" max="30" width="11.6328125" style="28" customWidth="1"/>
    <col min="31" max="31" width="22.81640625" style="28" customWidth="1"/>
    <col min="32" max="32" width="12.81640625" style="28" customWidth="1"/>
    <col min="33" max="33" width="18.36328125" style="28" customWidth="1"/>
    <col min="34" max="34" width="11.6328125" style="28" customWidth="1"/>
    <col min="35" max="35" width="21.6328125" style="28" customWidth="1"/>
    <col min="36" max="36" width="11.6328125" style="28" customWidth="1"/>
    <col min="37" max="37" width="17.1796875" style="28" customWidth="1"/>
    <col min="38" max="38" width="11.6328125" style="28" customWidth="1"/>
    <col min="39" max="39" width="20.453125" style="28" customWidth="1"/>
    <col min="40" max="40" width="12.81640625" style="28" customWidth="1"/>
    <col min="41" max="41" width="18.36328125" style="28" customWidth="1"/>
    <col min="42" max="42" width="11.6328125" style="28" customWidth="1"/>
    <col min="43" max="43" width="21.6328125" style="28" customWidth="1"/>
    <col min="44" max="44" width="12.81640625" style="28" customWidth="1"/>
    <col min="45" max="45" width="18.36328125" style="28" customWidth="1"/>
    <col min="46" max="46" width="11.6328125" style="28" customWidth="1"/>
    <col min="47" max="47" width="21.6328125" style="28" customWidth="1"/>
    <col min="48" max="48" width="15" style="28" customWidth="1"/>
    <col min="49" max="49" width="26.08984375" style="28" customWidth="1"/>
    <col min="50" max="50" width="11.6328125" style="28" customWidth="1"/>
    <col min="51" max="51" width="29.36328125" style="28" customWidth="1"/>
    <col min="52" max="52" width="16.08984375" style="28" customWidth="1"/>
    <col min="53" max="53" width="21.6328125" style="28" customWidth="1"/>
    <col min="54" max="54" width="11.6328125" style="28" customWidth="1"/>
    <col min="55" max="55" width="25" style="28" customWidth="1"/>
    <col min="56" max="56" width="13.90625" style="28" customWidth="1"/>
    <col min="57" max="57" width="19.36328125" style="28" customWidth="1"/>
    <col min="58" max="58" width="11.6328125" style="28" customWidth="1"/>
    <col min="59" max="59" width="22.81640625" style="28" customWidth="1"/>
    <col min="60" max="60" width="11.6328125" style="28" customWidth="1"/>
    <col min="61" max="61" width="22.81640625" style="28" customWidth="1"/>
    <col min="62" max="62" width="11.6328125" style="28" customWidth="1"/>
    <col min="63" max="63" width="26.08984375" style="28" customWidth="1"/>
    <col min="64" max="64" width="16.08984375" style="28" customWidth="1"/>
    <col min="65" max="65" width="21.6328125" style="28" customWidth="1"/>
    <col min="66" max="66" width="11.6328125" style="28" customWidth="1"/>
    <col min="67" max="67" width="25" style="28" customWidth="1"/>
    <col min="68" max="68" width="19.36328125" style="28" customWidth="1"/>
    <col min="69" max="69" width="25" style="28" customWidth="1"/>
    <col min="70" max="70" width="11.6328125" style="28" customWidth="1"/>
    <col min="71" max="71" width="28.1796875" style="28" customWidth="1"/>
    <col min="72" max="72" width="15" style="28" customWidth="1"/>
    <col min="73" max="73" width="20.453125" style="28" customWidth="1"/>
    <col min="74" max="74" width="11.6328125" style="28" customWidth="1"/>
    <col min="75" max="75" width="23.90625" style="28" customWidth="1"/>
    <col min="76" max="76" width="12.81640625" style="28" customWidth="1"/>
    <col min="77" max="77" width="18.36328125" style="28" customWidth="1"/>
    <col min="78" max="78" width="11.6328125" style="28" customWidth="1"/>
    <col min="79" max="79" width="21.6328125" style="28" customWidth="1"/>
    <col min="80" max="80" width="16.08984375" style="28" customWidth="1"/>
    <col min="81" max="81" width="21.6328125" style="28" customWidth="1"/>
    <col min="82" max="82" width="11.6328125" style="28" customWidth="1"/>
    <col min="83" max="83" width="25" style="28" customWidth="1"/>
    <col min="84" max="84" width="15" style="28" customWidth="1"/>
    <col min="85" max="85" width="20.453125" style="28" customWidth="1"/>
    <col min="86" max="86" width="11.6328125" style="28" customWidth="1"/>
    <col min="87" max="87" width="23.90625" style="28" customWidth="1"/>
    <col min="88" max="88" width="18.36328125" style="28" customWidth="1"/>
    <col min="89" max="89" width="23.90625" style="28" customWidth="1"/>
    <col min="90" max="90" width="11.6328125" style="28" customWidth="1"/>
    <col min="91" max="91" width="27.1796875" style="28" customWidth="1"/>
    <col min="92" max="92" width="11.6328125" style="28" customWidth="1"/>
    <col min="93" max="93" width="16.08984375" style="28" customWidth="1"/>
    <col min="94" max="94" width="11.6328125" style="28" customWidth="1"/>
    <col min="95" max="95" width="19.36328125" style="28" customWidth="1"/>
    <col min="96" max="96" width="12.81640625" style="28" customWidth="1"/>
    <col min="97" max="97" width="18.36328125" style="28" customWidth="1"/>
    <col min="98" max="98" width="11.6328125" style="28" customWidth="1"/>
    <col min="99" max="99" width="21.6328125" style="28" customWidth="1"/>
    <col min="100" max="100" width="16.08984375" style="28" customWidth="1"/>
    <col min="101" max="101" width="21.6328125" style="28" customWidth="1"/>
    <col min="102" max="102" width="11.6328125" style="28" customWidth="1"/>
    <col min="103" max="103" width="25" style="28" customWidth="1"/>
    <col min="104" max="104" width="15" style="28" customWidth="1"/>
    <col min="105" max="105" width="20.453125" style="28" customWidth="1"/>
    <col min="106" max="106" width="11.6328125" style="28" customWidth="1"/>
    <col min="107" max="107" width="23.90625" style="28" customWidth="1"/>
    <col min="108" max="108" width="21.6328125" style="28" customWidth="1"/>
    <col min="109" max="109" width="27.1796875" style="28" customWidth="1"/>
    <col min="110" max="110" width="11.6328125" style="28" customWidth="1"/>
    <col min="111" max="111" width="30.453125" style="28" customWidth="1"/>
    <col min="112" max="112" width="22.81640625" style="28" customWidth="1"/>
    <col min="113" max="113" width="28.1796875" style="28" customWidth="1"/>
    <col min="114" max="114" width="11.6328125" style="28" customWidth="1"/>
    <col min="115" max="115" width="31.6328125" style="28" customWidth="1"/>
    <col min="116" max="116" width="19.36328125" style="28" customWidth="1"/>
    <col min="117" max="117" width="25" style="28" customWidth="1"/>
    <col min="118" max="118" width="11.6328125" style="28" customWidth="1"/>
    <col min="119" max="119" width="28.1796875" style="28" customWidth="1"/>
    <col min="120" max="120" width="23.90625" style="28" customWidth="1"/>
    <col min="121" max="121" width="25" style="28" customWidth="1"/>
    <col min="122" max="122" width="11.6328125" style="28" customWidth="1"/>
    <col min="123" max="123" width="28.1796875" style="28" customWidth="1"/>
    <col min="124" max="124" width="21.6328125" style="28" customWidth="1"/>
    <col min="125" max="125" width="27.1796875" style="28" customWidth="1"/>
    <col min="126" max="126" width="11.6328125" style="28" customWidth="1"/>
    <col min="127" max="127" width="30.453125" style="28" customWidth="1"/>
    <col min="128" max="128" width="15" style="28" customWidth="1"/>
    <col min="129" max="129" width="20.453125" style="28" customWidth="1"/>
    <col min="130" max="130" width="11.6328125" style="28" customWidth="1"/>
    <col min="131" max="131" width="23.90625" style="28" customWidth="1"/>
    <col min="132" max="132" width="13.90625" style="28" customWidth="1"/>
    <col min="133" max="133" width="22.81640625" style="28" customWidth="1"/>
    <col min="134" max="134" width="11.6328125" style="28" customWidth="1"/>
    <col min="135" max="135" width="26.08984375" style="28" customWidth="1"/>
    <col min="136" max="136" width="12.81640625" style="28" customWidth="1"/>
    <col min="137" max="137" width="23.90625" style="28" customWidth="1"/>
    <col min="138" max="138" width="11.6328125" style="28" customWidth="1"/>
    <col min="139" max="139" width="27.1796875" style="28" customWidth="1"/>
    <col min="140" max="140" width="11.6328125" style="28" customWidth="1"/>
    <col min="141" max="141" width="20.453125" style="28" customWidth="1"/>
    <col min="142" max="142" width="11.6328125" style="28" customWidth="1"/>
    <col min="143" max="143" width="23.90625" style="28" customWidth="1"/>
    <col min="144" max="144" width="11.6328125" style="28" customWidth="1"/>
    <col min="145" max="145" width="17.1796875" style="28" customWidth="1"/>
    <col min="146" max="146" width="11.6328125" style="28" customWidth="1"/>
    <col min="147" max="147" width="20.453125" style="28" customWidth="1"/>
    <col min="148" max="148" width="18.36328125" style="28" customWidth="1"/>
    <col min="149" max="149" width="23.90625" style="28" customWidth="1"/>
    <col min="150" max="150" width="11.6328125" style="28" customWidth="1"/>
    <col min="151" max="151" width="27.1796875" style="28" customWidth="1"/>
    <col min="152" max="152" width="15" style="28" customWidth="1"/>
    <col min="153" max="153" width="20.453125" style="28" customWidth="1"/>
    <col min="154" max="154" width="11.6328125" style="28" customWidth="1"/>
    <col min="155" max="155" width="23.90625" style="28" customWidth="1"/>
    <col min="156" max="156" width="21.6328125" style="28" customWidth="1"/>
    <col min="157" max="157" width="27.1796875" style="28" customWidth="1"/>
    <col min="158" max="158" width="11.6328125" style="28" customWidth="1"/>
    <col min="159" max="159" width="30.453125" style="28" customWidth="1"/>
    <col min="160" max="160" width="21.6328125" style="28" customWidth="1"/>
    <col min="161" max="161" width="27.1796875" style="28" customWidth="1"/>
    <col min="162" max="162" width="11.6328125" style="28" customWidth="1"/>
    <col min="163" max="163" width="30.453125" style="28" customWidth="1"/>
    <col min="164" max="164" width="16.08984375" style="28" customWidth="1"/>
    <col min="165" max="165" width="21.6328125" style="28" customWidth="1"/>
    <col min="166" max="166" width="11.6328125" style="28" customWidth="1"/>
    <col min="167" max="167" width="25" style="28" customWidth="1"/>
    <col min="168" max="168" width="16.08984375" style="28" customWidth="1"/>
    <col min="169" max="169" width="21.6328125" style="28" customWidth="1"/>
    <col min="170" max="170" width="11.6328125" style="28" customWidth="1"/>
    <col min="171" max="171" width="25" style="28" customWidth="1"/>
    <col min="172" max="172" width="16.08984375" style="28" customWidth="1"/>
    <col min="173" max="173" width="27.1796875" style="28" customWidth="1"/>
    <col min="174" max="174" width="11.6328125" style="28" customWidth="1"/>
    <col min="175" max="175" width="30.453125" style="28" customWidth="1"/>
    <col min="176" max="176" width="21.6328125" style="28" customWidth="1"/>
    <col min="177" max="177" width="27.1796875" style="28" customWidth="1"/>
    <col min="178" max="178" width="11.6328125" style="28" customWidth="1"/>
    <col min="179" max="179" width="30.453125" style="28" customWidth="1"/>
    <col min="180" max="180" width="17.1796875" style="28" customWidth="1"/>
    <col min="181" max="181" width="22.81640625" style="28" customWidth="1"/>
    <col min="182" max="182" width="11.6328125" style="28" customWidth="1"/>
    <col min="183" max="183" width="26.08984375" style="28" customWidth="1"/>
    <col min="184" max="184" width="19.36328125" style="28" customWidth="1"/>
    <col min="185" max="185" width="25" style="28" customWidth="1"/>
    <col min="186" max="186" width="11.6328125" style="28" customWidth="1"/>
    <col min="187" max="187" width="28.1796875" style="28" customWidth="1"/>
    <col min="188" max="188" width="19.36328125" style="28" customWidth="1"/>
    <col min="189" max="189" width="25" style="28" customWidth="1"/>
    <col min="190" max="190" width="11.6328125" style="28" customWidth="1"/>
    <col min="191" max="191" width="28.1796875" style="28" customWidth="1"/>
    <col min="192" max="192" width="19.36328125" style="28" customWidth="1"/>
    <col min="193" max="193" width="25" style="28" customWidth="1"/>
    <col min="194" max="194" width="11.6328125" style="28" customWidth="1"/>
    <col min="195" max="195" width="28.1796875" style="28" customWidth="1"/>
    <col min="196" max="196" width="19.36328125" style="28" customWidth="1"/>
    <col min="197" max="197" width="25" style="28" customWidth="1"/>
    <col min="198" max="198" width="11.6328125" style="28" customWidth="1"/>
    <col min="199" max="199" width="28.1796875" style="28" customWidth="1"/>
    <col min="200" max="200" width="19.36328125" style="28" customWidth="1"/>
    <col min="201" max="201" width="25" style="28" customWidth="1"/>
    <col min="202" max="202" width="11.6328125" style="28" customWidth="1"/>
    <col min="203" max="203" width="28.1796875" style="28" customWidth="1"/>
    <col min="204" max="204" width="19.36328125" style="28" customWidth="1"/>
    <col min="205" max="205" width="25" style="28" customWidth="1"/>
    <col min="206" max="206" width="11.6328125" style="28" customWidth="1"/>
    <col min="207" max="207" width="28.1796875" style="28" customWidth="1"/>
    <col min="208" max="208" width="19.36328125" style="28" customWidth="1"/>
    <col min="209" max="209" width="25" style="28" customWidth="1"/>
    <col min="210" max="210" width="11.6328125" style="28" customWidth="1"/>
    <col min="211" max="211" width="28.1796875" style="28" customWidth="1"/>
    <col min="212" max="212" width="19.36328125" style="28" customWidth="1"/>
    <col min="213" max="213" width="25" style="28" customWidth="1"/>
    <col min="214" max="214" width="11.6328125" style="28" customWidth="1"/>
    <col min="215" max="215" width="28.1796875" style="28" customWidth="1"/>
    <col min="216" max="216" width="19.36328125" style="28" customWidth="1"/>
    <col min="217" max="217" width="25" style="28" customWidth="1"/>
    <col min="218" max="218" width="11.6328125" style="28" customWidth="1"/>
    <col min="219" max="219" width="28.1796875" style="28" customWidth="1"/>
    <col min="220" max="220" width="19.36328125" style="28" customWidth="1"/>
    <col min="221" max="221" width="25" style="28" bestFit="1" customWidth="1"/>
    <col min="222" max="222" width="11.6328125" style="28" customWidth="1"/>
    <col min="223" max="223" width="28.1796875" style="28" customWidth="1"/>
    <col min="224" max="224" width="19.36328125" style="28" customWidth="1"/>
    <col min="225" max="225" width="25" style="28" bestFit="1" customWidth="1"/>
    <col min="226" max="226" width="11.6328125" style="28" customWidth="1"/>
    <col min="227" max="227" width="28.1796875" style="28" customWidth="1"/>
    <col min="228" max="228" width="19.36328125" style="28" customWidth="1"/>
    <col min="229" max="229" width="25" style="28" bestFit="1" customWidth="1"/>
    <col min="230" max="230" width="11.6328125" style="28" customWidth="1"/>
    <col min="231" max="231" width="28.1796875" style="28" customWidth="1"/>
    <col min="232" max="232" width="11.6328125" style="28" customWidth="1"/>
    <col min="233" max="233" width="28.1796875" style="28" bestFit="1" customWidth="1"/>
    <col min="234" max="234" width="11.6328125" style="28" bestFit="1" customWidth="1"/>
    <col min="235" max="235" width="28.1796875" style="28" bestFit="1" customWidth="1"/>
    <col min="236" max="236" width="30.81640625" style="28" customWidth="1"/>
    <col min="237" max="238" width="17.1796875" style="29" customWidth="1"/>
    <col min="239" max="16384" width="9" style="29"/>
  </cols>
  <sheetData>
    <row r="1" spans="1:239" s="11" customFormat="1" x14ac:dyDescent="0.2">
      <c r="A1" s="27" t="s">
        <v>1014</v>
      </c>
      <c r="B1" s="27" t="s">
        <v>1015</v>
      </c>
      <c r="C1" s="27"/>
      <c r="D1" s="1" t="s">
        <v>1016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28"/>
      <c r="IC1" s="29"/>
      <c r="ID1" s="29"/>
      <c r="IE1" s="29"/>
    </row>
    <row r="2" spans="1:239" s="11" customFormat="1" ht="40" customHeight="1" x14ac:dyDescent="0.2">
      <c r="A2" s="30" t="s">
        <v>1015</v>
      </c>
      <c r="B2" s="31"/>
      <c r="C2" s="31"/>
      <c r="D2" s="89" t="s">
        <v>2195</v>
      </c>
      <c r="E2" s="7" t="s">
        <v>1017</v>
      </c>
      <c r="F2" s="32" t="str">
        <f>IF(LogicCommon!C2="","",LogicCommon!C2)</f>
        <v>MA</v>
      </c>
      <c r="G2" s="7" t="s">
        <v>1018</v>
      </c>
      <c r="H2" s="32" t="str">
        <f>IF(LogicCommon!E2="","",LogicCommon!E2)</f>
        <v>MABCL0030</v>
      </c>
      <c r="I2" s="7" t="s">
        <v>1019</v>
      </c>
      <c r="J2" s="9" t="s">
        <v>28</v>
      </c>
      <c r="K2" s="7" t="s">
        <v>1020</v>
      </c>
      <c r="L2" s="32" t="str">
        <f>IF(LogicCommon!G2="","",LogicCommon!G2)</f>
        <v>MC</v>
      </c>
      <c r="M2" s="5" t="s">
        <v>1021</v>
      </c>
      <c r="N2" s="33" t="s">
        <v>2072</v>
      </c>
      <c r="O2" s="7"/>
      <c r="P2" s="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29"/>
      <c r="IC2" s="29"/>
      <c r="ID2" s="29"/>
      <c r="IE2" s="29"/>
    </row>
    <row r="3" spans="1:239" s="11" customFormat="1" x14ac:dyDescent="0.2">
      <c r="A3" s="34" t="s">
        <v>1022</v>
      </c>
      <c r="B3" s="35"/>
      <c r="C3" s="35"/>
      <c r="D3" s="36" t="str">
        <f>IF(LogicCommon!A3="","",LogicCommon!A3)</f>
        <v/>
      </c>
      <c r="E3" s="7" t="s">
        <v>1023</v>
      </c>
      <c r="F3" s="32" t="str">
        <f>IF(LogicCommon!C3="","",LogicCommon!C3)</f>
        <v>MABC</v>
      </c>
      <c r="G3" s="7" t="s">
        <v>1024</v>
      </c>
      <c r="H3" s="32" t="str">
        <f>IF(LogicCommon!E3="","",LogicCommon!E3)</f>
        <v>MABCL_MultiReg</v>
      </c>
      <c r="I3" s="7" t="s">
        <v>1025</v>
      </c>
      <c r="J3" s="9" t="s">
        <v>29</v>
      </c>
      <c r="K3" s="7" t="s">
        <v>1026</v>
      </c>
      <c r="L3" s="32" t="str">
        <f>IF(LogicCommon!G3="","",LogicCommon!G3)</f>
        <v/>
      </c>
      <c r="M3" s="37" t="s">
        <v>30</v>
      </c>
      <c r="N3" s="7"/>
      <c r="O3" s="7" t="s">
        <v>1027</v>
      </c>
      <c r="P3" s="9" t="s">
        <v>1028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29"/>
      <c r="IC3" s="29"/>
      <c r="ID3" s="29"/>
      <c r="IE3" s="29"/>
    </row>
    <row r="4" spans="1:239" s="11" customFormat="1" x14ac:dyDescent="0.2">
      <c r="A4" s="34" t="s">
        <v>1029</v>
      </c>
      <c r="B4" s="35"/>
      <c r="C4" s="35"/>
      <c r="D4" s="4"/>
      <c r="E4" s="7" t="s">
        <v>8</v>
      </c>
      <c r="F4" s="10" t="s">
        <v>1974</v>
      </c>
      <c r="G4" s="7" t="s">
        <v>1030</v>
      </c>
      <c r="H4" s="32" t="str">
        <f>IF(LogicCommon!E4="","",LogicCommon!E4)</f>
        <v>マルチマスタ登録</v>
      </c>
      <c r="I4" s="7" t="s">
        <v>1031</v>
      </c>
      <c r="J4" s="9" t="s">
        <v>2</v>
      </c>
      <c r="K4" s="7" t="s">
        <v>1032</v>
      </c>
      <c r="L4" s="32" t="str">
        <f>IF(LogicCommon!G4="","",LogicCommon!G4)</f>
        <v>MA.MAUDL5010</v>
      </c>
      <c r="M4" s="38"/>
      <c r="N4" s="33"/>
      <c r="O4" s="14"/>
      <c r="P4" s="4"/>
      <c r="Q4" s="4"/>
      <c r="R4" s="4"/>
      <c r="S4" s="14"/>
      <c r="T4" s="4"/>
      <c r="U4" s="14"/>
      <c r="V4" s="4"/>
      <c r="W4" s="14"/>
      <c r="X4" s="4"/>
      <c r="Y4" s="14"/>
      <c r="Z4" s="4"/>
      <c r="AA4" s="14"/>
      <c r="AB4" s="4"/>
      <c r="AC4" s="14"/>
      <c r="AD4" s="4"/>
      <c r="AE4" s="14"/>
      <c r="AF4" s="4"/>
      <c r="AG4" s="14"/>
      <c r="AH4" s="4"/>
      <c r="AI4" s="14"/>
      <c r="AJ4" s="4"/>
      <c r="AK4" s="14"/>
      <c r="AL4" s="4"/>
      <c r="AM4" s="14"/>
      <c r="AN4" s="4"/>
      <c r="AO4" s="14"/>
      <c r="AP4" s="4"/>
      <c r="AQ4" s="14"/>
      <c r="AR4" s="4"/>
      <c r="AS4" s="14"/>
      <c r="AT4" s="4"/>
      <c r="AU4" s="14"/>
      <c r="AV4" s="4"/>
      <c r="AW4" s="14"/>
      <c r="AX4" s="4"/>
      <c r="AY4" s="14"/>
      <c r="AZ4" s="4"/>
      <c r="BA4" s="14"/>
      <c r="BB4" s="4"/>
      <c r="BC4" s="14"/>
      <c r="BD4" s="4"/>
      <c r="BE4" s="14"/>
      <c r="BF4" s="4"/>
      <c r="BG4" s="14"/>
      <c r="BH4" s="4"/>
      <c r="BI4" s="14"/>
      <c r="BJ4" s="4"/>
      <c r="BK4" s="14"/>
      <c r="BL4" s="4"/>
      <c r="BM4" s="14"/>
      <c r="BN4" s="4"/>
      <c r="BO4" s="14"/>
      <c r="BP4" s="4"/>
      <c r="BQ4" s="14"/>
      <c r="BR4" s="4"/>
      <c r="BS4" s="14"/>
      <c r="BT4" s="4"/>
      <c r="BU4" s="14"/>
      <c r="BV4" s="4"/>
      <c r="BW4" s="14"/>
      <c r="BX4" s="4"/>
      <c r="BY4" s="14"/>
      <c r="BZ4" s="4"/>
      <c r="CA4" s="14"/>
      <c r="CB4" s="4"/>
      <c r="CC4" s="14"/>
      <c r="CD4" s="4"/>
      <c r="CE4" s="14"/>
      <c r="CF4" s="4"/>
      <c r="CG4" s="14"/>
      <c r="CH4" s="4"/>
      <c r="CI4" s="14"/>
      <c r="CJ4" s="4"/>
      <c r="CK4" s="14"/>
      <c r="CL4" s="4"/>
      <c r="CM4" s="14"/>
      <c r="CN4" s="4"/>
      <c r="CO4" s="14"/>
      <c r="CP4" s="4"/>
      <c r="CQ4" s="14"/>
      <c r="CR4" s="4"/>
      <c r="CS4" s="14"/>
      <c r="CT4" s="4"/>
      <c r="CU4" s="14"/>
      <c r="CV4" s="4"/>
      <c r="CW4" s="14"/>
      <c r="CX4" s="4"/>
      <c r="CY4" s="14"/>
      <c r="CZ4" s="4"/>
      <c r="DA4" s="14"/>
      <c r="DB4" s="4"/>
      <c r="DC4" s="14"/>
      <c r="DD4" s="4"/>
      <c r="DE4" s="14"/>
      <c r="DF4" s="4"/>
      <c r="DG4" s="14"/>
      <c r="DH4" s="4"/>
      <c r="DI4" s="14"/>
      <c r="DJ4" s="4"/>
      <c r="DK4" s="14"/>
      <c r="DL4" s="4"/>
      <c r="DM4" s="14"/>
      <c r="DN4" s="4"/>
      <c r="DO4" s="14"/>
      <c r="DP4" s="4"/>
      <c r="DQ4" s="14"/>
      <c r="DR4" s="4"/>
      <c r="DS4" s="14"/>
      <c r="DT4" s="4"/>
      <c r="DU4" s="14"/>
      <c r="DV4" s="4"/>
      <c r="DW4" s="14"/>
      <c r="DX4" s="4"/>
      <c r="DY4" s="14"/>
      <c r="DZ4" s="4"/>
      <c r="EA4" s="14"/>
      <c r="EB4" s="4"/>
      <c r="EC4" s="14"/>
      <c r="ED4" s="4"/>
      <c r="EE4" s="14"/>
      <c r="EF4" s="4"/>
      <c r="EG4" s="14"/>
      <c r="EH4" s="4"/>
      <c r="EI4" s="14"/>
      <c r="EJ4" s="4"/>
      <c r="EK4" s="14"/>
      <c r="EL4" s="4"/>
      <c r="EM4" s="14"/>
      <c r="EN4" s="4"/>
      <c r="EO4" s="14"/>
      <c r="EP4" s="4"/>
      <c r="EQ4" s="14"/>
      <c r="ER4" s="4"/>
      <c r="ES4" s="14"/>
      <c r="ET4" s="4"/>
      <c r="EU4" s="14"/>
      <c r="EV4" s="4"/>
      <c r="EW4" s="14"/>
      <c r="EX4" s="4"/>
      <c r="EY4" s="14"/>
      <c r="EZ4" s="4"/>
      <c r="FA4" s="14"/>
      <c r="FB4" s="4"/>
      <c r="FC4" s="14"/>
      <c r="FD4" s="4"/>
      <c r="FE4" s="14"/>
      <c r="FF4" s="4"/>
      <c r="FG4" s="14"/>
      <c r="FH4" s="4"/>
      <c r="FI4" s="14"/>
      <c r="FJ4" s="4"/>
      <c r="FK4" s="14"/>
      <c r="FL4" s="4"/>
      <c r="FM4" s="14"/>
      <c r="FN4" s="4"/>
      <c r="FO4" s="14"/>
      <c r="FP4" s="4"/>
      <c r="FQ4" s="14"/>
      <c r="FR4" s="4"/>
      <c r="FS4" s="14"/>
      <c r="FT4" s="4"/>
      <c r="FU4" s="14"/>
      <c r="FV4" s="4"/>
      <c r="FW4" s="14"/>
      <c r="FX4" s="4"/>
      <c r="FY4" s="14"/>
      <c r="FZ4" s="4"/>
      <c r="GA4" s="14"/>
      <c r="GB4" s="4"/>
      <c r="GC4" s="14"/>
      <c r="GD4" s="4"/>
      <c r="GE4" s="4"/>
      <c r="GF4" s="4"/>
      <c r="GG4" s="14"/>
      <c r="GH4" s="4"/>
      <c r="GI4" s="4"/>
      <c r="GJ4" s="4"/>
      <c r="GK4" s="14"/>
      <c r="GL4" s="4"/>
      <c r="GM4" s="4"/>
      <c r="GN4" s="4"/>
      <c r="GO4" s="14"/>
      <c r="GP4" s="4"/>
      <c r="GQ4" s="4"/>
      <c r="GR4" s="4"/>
      <c r="GS4" s="14"/>
      <c r="GT4" s="4"/>
      <c r="GU4" s="4"/>
      <c r="GV4" s="4"/>
      <c r="GW4" s="14"/>
      <c r="GX4" s="4"/>
      <c r="GY4" s="4"/>
      <c r="GZ4" s="4"/>
      <c r="HA4" s="14"/>
      <c r="HB4" s="4"/>
      <c r="HC4" s="4"/>
      <c r="HD4" s="4"/>
      <c r="HE4" s="14"/>
      <c r="HF4" s="4"/>
      <c r="HG4" s="4"/>
      <c r="HH4" s="4"/>
      <c r="HI4" s="14"/>
      <c r="HJ4" s="4"/>
      <c r="HK4" s="4"/>
      <c r="HL4" s="4"/>
      <c r="HM4" s="14"/>
      <c r="HN4" s="4"/>
      <c r="HO4" s="4"/>
      <c r="HP4" s="4"/>
      <c r="HQ4" s="14"/>
      <c r="HR4" s="4"/>
      <c r="HS4" s="4"/>
      <c r="HT4" s="4"/>
      <c r="HU4" s="14"/>
      <c r="HV4" s="4"/>
      <c r="HW4" s="4"/>
      <c r="HX4" s="4"/>
      <c r="HY4" s="4"/>
      <c r="HZ4" s="4"/>
      <c r="IA4" s="4"/>
      <c r="IB4" s="29"/>
      <c r="IC4" s="29"/>
      <c r="ID4" s="29"/>
      <c r="IE4" s="29"/>
    </row>
    <row r="5" spans="1:239" s="11" customFormat="1" x14ac:dyDescent="0.2">
      <c r="A5" s="39" t="s">
        <v>1033</v>
      </c>
      <c r="B5" s="27"/>
      <c r="C5" s="27"/>
      <c r="D5" s="26"/>
      <c r="E5" s="7" t="s">
        <v>1034</v>
      </c>
      <c r="F5" s="10"/>
      <c r="G5" s="40"/>
      <c r="H5" s="40"/>
      <c r="I5" s="40"/>
      <c r="J5" s="40"/>
      <c r="K5" s="40"/>
      <c r="L5" s="6">
        <v>0</v>
      </c>
      <c r="M5" s="5"/>
      <c r="N5" s="5">
        <v>1</v>
      </c>
      <c r="O5" s="14"/>
      <c r="P5" s="4">
        <v>2</v>
      </c>
      <c r="Q5" s="4"/>
      <c r="R5" s="4">
        <v>3</v>
      </c>
      <c r="S5" s="4"/>
      <c r="T5" s="4">
        <v>4</v>
      </c>
      <c r="U5" s="4"/>
      <c r="V5" s="4">
        <v>5</v>
      </c>
      <c r="W5" s="4"/>
      <c r="X5" s="4">
        <v>6</v>
      </c>
      <c r="Y5" s="4"/>
      <c r="Z5" s="4">
        <v>7</v>
      </c>
      <c r="AA5" s="4"/>
      <c r="AB5" s="4">
        <v>8</v>
      </c>
      <c r="AC5" s="4"/>
      <c r="AD5" s="4">
        <v>9</v>
      </c>
      <c r="AE5" s="4"/>
      <c r="AF5" s="4">
        <v>10</v>
      </c>
      <c r="AG5" s="4"/>
      <c r="AH5" s="4">
        <v>11</v>
      </c>
      <c r="AI5" s="4"/>
      <c r="AJ5" s="4">
        <v>12</v>
      </c>
      <c r="AK5" s="4"/>
      <c r="AL5" s="4">
        <v>13</v>
      </c>
      <c r="AM5" s="4"/>
      <c r="AN5" s="4">
        <v>14</v>
      </c>
      <c r="AO5" s="4"/>
      <c r="AP5" s="4">
        <v>15</v>
      </c>
      <c r="AQ5" s="4"/>
      <c r="AR5" s="4">
        <v>16</v>
      </c>
      <c r="AS5" s="4"/>
      <c r="AT5" s="4">
        <v>17</v>
      </c>
      <c r="AU5" s="4"/>
      <c r="AV5" s="4">
        <v>18</v>
      </c>
      <c r="AW5" s="4"/>
      <c r="AX5" s="4">
        <v>19</v>
      </c>
      <c r="AY5" s="4"/>
      <c r="AZ5" s="4">
        <v>20</v>
      </c>
      <c r="BA5" s="4"/>
      <c r="BB5" s="4">
        <v>21</v>
      </c>
      <c r="BC5" s="4"/>
      <c r="BD5" s="4">
        <v>22</v>
      </c>
      <c r="BE5" s="4"/>
      <c r="BF5" s="4">
        <v>23</v>
      </c>
      <c r="BG5" s="4"/>
      <c r="BH5" s="4">
        <v>24</v>
      </c>
      <c r="BI5" s="4"/>
      <c r="BJ5" s="4">
        <v>25</v>
      </c>
      <c r="BK5" s="4"/>
      <c r="BL5" s="4">
        <v>26</v>
      </c>
      <c r="BM5" s="4"/>
      <c r="BN5" s="4">
        <v>27</v>
      </c>
      <c r="BO5" s="4"/>
      <c r="BP5" s="4">
        <v>28</v>
      </c>
      <c r="BQ5" s="4"/>
      <c r="BR5" s="4">
        <v>29</v>
      </c>
      <c r="BS5" s="4"/>
      <c r="BT5" s="4">
        <v>30</v>
      </c>
      <c r="BU5" s="4"/>
      <c r="BV5" s="4">
        <v>31</v>
      </c>
      <c r="BW5" s="4"/>
      <c r="BX5" s="4">
        <v>32</v>
      </c>
      <c r="BY5" s="4"/>
      <c r="BZ5" s="4">
        <v>33</v>
      </c>
      <c r="CA5" s="4"/>
      <c r="CB5" s="4">
        <v>34</v>
      </c>
      <c r="CC5" s="4"/>
      <c r="CD5" s="4">
        <v>35</v>
      </c>
      <c r="CE5" s="4"/>
      <c r="CF5" s="4">
        <v>36</v>
      </c>
      <c r="CG5" s="4"/>
      <c r="CH5" s="4">
        <v>37</v>
      </c>
      <c r="CI5" s="4"/>
      <c r="CJ5" s="4">
        <v>38</v>
      </c>
      <c r="CK5" s="4"/>
      <c r="CL5" s="4">
        <v>39</v>
      </c>
      <c r="CM5" s="4"/>
      <c r="CN5" s="4">
        <v>40</v>
      </c>
      <c r="CO5" s="4"/>
      <c r="CP5" s="4">
        <v>41</v>
      </c>
      <c r="CQ5" s="4"/>
      <c r="CR5" s="4">
        <v>42</v>
      </c>
      <c r="CS5" s="4"/>
      <c r="CT5" s="4">
        <v>43</v>
      </c>
      <c r="CU5" s="4"/>
      <c r="CV5" s="4">
        <v>44</v>
      </c>
      <c r="CW5" s="4"/>
      <c r="CX5" s="4">
        <v>45</v>
      </c>
      <c r="CY5" s="4"/>
      <c r="CZ5" s="4">
        <v>46</v>
      </c>
      <c r="DA5" s="4"/>
      <c r="DB5" s="4">
        <v>47</v>
      </c>
      <c r="DC5" s="4"/>
      <c r="DD5" s="4">
        <v>48</v>
      </c>
      <c r="DE5" s="4"/>
      <c r="DF5" s="4">
        <v>49</v>
      </c>
      <c r="DG5" s="4"/>
      <c r="DH5" s="4">
        <v>50</v>
      </c>
      <c r="DI5" s="4"/>
      <c r="DJ5" s="4">
        <v>51</v>
      </c>
      <c r="DK5" s="4"/>
      <c r="DL5" s="4">
        <v>52</v>
      </c>
      <c r="DM5" s="4"/>
      <c r="DN5" s="4">
        <v>53</v>
      </c>
      <c r="DO5" s="4"/>
      <c r="DP5" s="4">
        <v>54</v>
      </c>
      <c r="DQ5" s="4"/>
      <c r="DR5" s="4">
        <v>55</v>
      </c>
      <c r="DS5" s="4"/>
      <c r="DT5" s="4">
        <v>56</v>
      </c>
      <c r="DU5" s="4"/>
      <c r="DV5" s="4">
        <v>57</v>
      </c>
      <c r="DW5" s="4"/>
      <c r="DX5" s="4">
        <v>58</v>
      </c>
      <c r="DY5" s="4"/>
      <c r="DZ5" s="4">
        <v>59</v>
      </c>
      <c r="EA5" s="4"/>
      <c r="EB5" s="4">
        <v>60</v>
      </c>
      <c r="EC5" s="4"/>
      <c r="ED5" s="4">
        <v>61</v>
      </c>
      <c r="EE5" s="4"/>
      <c r="EF5" s="4">
        <v>62</v>
      </c>
      <c r="EG5" s="4"/>
      <c r="EH5" s="4">
        <v>63</v>
      </c>
      <c r="EI5" s="4"/>
      <c r="EJ5" s="4">
        <v>64</v>
      </c>
      <c r="EK5" s="4"/>
      <c r="EL5" s="4">
        <v>65</v>
      </c>
      <c r="EM5" s="4"/>
      <c r="EN5" s="4">
        <v>66</v>
      </c>
      <c r="EO5" s="4"/>
      <c r="EP5" s="4">
        <v>67</v>
      </c>
      <c r="EQ5" s="4"/>
      <c r="ER5" s="4">
        <v>68</v>
      </c>
      <c r="ES5" s="4"/>
      <c r="ET5" s="4">
        <v>69</v>
      </c>
      <c r="EU5" s="4"/>
      <c r="EV5" s="4">
        <v>70</v>
      </c>
      <c r="EW5" s="4"/>
      <c r="EX5" s="4">
        <v>71</v>
      </c>
      <c r="EY5" s="4"/>
      <c r="EZ5" s="4">
        <v>72</v>
      </c>
      <c r="FA5" s="4"/>
      <c r="FB5" s="4">
        <v>73</v>
      </c>
      <c r="FC5" s="4"/>
      <c r="FD5" s="4">
        <v>74</v>
      </c>
      <c r="FE5" s="4"/>
      <c r="FF5" s="4">
        <v>75</v>
      </c>
      <c r="FG5" s="4"/>
      <c r="FH5" s="4">
        <v>76</v>
      </c>
      <c r="FI5" s="4"/>
      <c r="FJ5" s="4">
        <v>77</v>
      </c>
      <c r="FK5" s="4"/>
      <c r="FL5" s="4">
        <v>78</v>
      </c>
      <c r="FM5" s="4"/>
      <c r="FN5" s="4">
        <v>79</v>
      </c>
      <c r="FO5" s="4"/>
      <c r="FP5" s="4">
        <v>80</v>
      </c>
      <c r="FQ5" s="4"/>
      <c r="FR5" s="4">
        <v>81</v>
      </c>
      <c r="FS5" s="4"/>
      <c r="FT5" s="4">
        <v>82</v>
      </c>
      <c r="FU5" s="4"/>
      <c r="FV5" s="4">
        <v>83</v>
      </c>
      <c r="FW5" s="4"/>
      <c r="FX5" s="4">
        <v>84</v>
      </c>
      <c r="FY5" s="4"/>
      <c r="FZ5" s="4">
        <v>85</v>
      </c>
      <c r="GA5" s="4"/>
      <c r="GB5" s="4">
        <v>86</v>
      </c>
      <c r="GC5" s="4"/>
      <c r="GD5" s="4">
        <v>87</v>
      </c>
      <c r="GE5" s="4"/>
      <c r="GF5" s="4">
        <v>88</v>
      </c>
      <c r="GG5" s="4"/>
      <c r="GH5" s="4">
        <v>89</v>
      </c>
      <c r="GI5" s="4"/>
      <c r="GJ5" s="4">
        <v>90</v>
      </c>
      <c r="GK5" s="4"/>
      <c r="GL5" s="4">
        <v>91</v>
      </c>
      <c r="GM5" s="4"/>
      <c r="GN5" s="4">
        <v>92</v>
      </c>
      <c r="GO5" s="4"/>
      <c r="GP5" s="4">
        <v>93</v>
      </c>
      <c r="GQ5" s="4"/>
      <c r="GR5" s="4">
        <v>94</v>
      </c>
      <c r="GS5" s="4"/>
      <c r="GT5" s="4">
        <v>95</v>
      </c>
      <c r="GU5" s="4"/>
      <c r="GV5" s="4">
        <v>96</v>
      </c>
      <c r="GW5" s="4"/>
      <c r="GX5" s="4">
        <v>97</v>
      </c>
      <c r="GY5" s="4"/>
      <c r="GZ5" s="4">
        <v>98</v>
      </c>
      <c r="HA5" s="4"/>
      <c r="HB5" s="4">
        <v>99</v>
      </c>
      <c r="HC5" s="4"/>
      <c r="HD5" s="4">
        <v>100</v>
      </c>
      <c r="HE5" s="4"/>
      <c r="HF5" s="4">
        <v>101</v>
      </c>
      <c r="HG5" s="4"/>
      <c r="HH5" s="4">
        <v>102</v>
      </c>
      <c r="HI5" s="4"/>
      <c r="HJ5" s="4">
        <v>103</v>
      </c>
      <c r="HK5" s="4"/>
      <c r="HL5" s="4">
        <v>104</v>
      </c>
      <c r="HM5" s="4"/>
      <c r="HN5" s="4">
        <v>105</v>
      </c>
      <c r="HO5" s="4"/>
      <c r="HP5" s="4">
        <v>106</v>
      </c>
      <c r="HQ5" s="4"/>
      <c r="HR5" s="4">
        <v>107</v>
      </c>
      <c r="HS5" s="4"/>
      <c r="HT5" s="4">
        <v>108</v>
      </c>
      <c r="HU5" s="4"/>
      <c r="HV5" s="4">
        <v>109</v>
      </c>
      <c r="HW5" s="4"/>
      <c r="HX5" s="4">
        <v>110</v>
      </c>
      <c r="HY5" s="4"/>
      <c r="HZ5" s="4">
        <v>111</v>
      </c>
      <c r="IA5" s="4"/>
      <c r="IB5" s="29"/>
      <c r="IC5" s="29"/>
      <c r="ID5" s="29"/>
      <c r="IE5" s="29"/>
    </row>
    <row r="6" spans="1:239" s="11" customFormat="1" x14ac:dyDescent="0.2">
      <c r="A6" s="34" t="s">
        <v>1033</v>
      </c>
      <c r="B6" s="35"/>
      <c r="C6" s="35"/>
      <c r="D6" s="4" t="s">
        <v>1035</v>
      </c>
      <c r="E6" s="16" t="s">
        <v>83</v>
      </c>
      <c r="F6" s="16"/>
      <c r="G6" s="16"/>
      <c r="H6" s="16"/>
      <c r="I6" s="16"/>
      <c r="J6" s="16"/>
      <c r="K6" s="16"/>
      <c r="L6" s="41" t="s">
        <v>685</v>
      </c>
      <c r="M6" s="19" t="s">
        <v>1036</v>
      </c>
      <c r="N6" s="19"/>
      <c r="O6" s="19" t="s">
        <v>1036</v>
      </c>
      <c r="P6" s="19" t="s">
        <v>686</v>
      </c>
      <c r="Q6" s="19" t="s">
        <v>1036</v>
      </c>
      <c r="R6" s="3"/>
      <c r="S6" s="3" t="s">
        <v>1013</v>
      </c>
      <c r="T6" s="3" t="s">
        <v>687</v>
      </c>
      <c r="U6" s="3" t="s">
        <v>1013</v>
      </c>
      <c r="V6" s="3"/>
      <c r="W6" s="3" t="s">
        <v>1013</v>
      </c>
      <c r="X6" s="3" t="s">
        <v>688</v>
      </c>
      <c r="Y6" s="3" t="s">
        <v>1013</v>
      </c>
      <c r="Z6" s="3"/>
      <c r="AA6" s="3" t="s">
        <v>1013</v>
      </c>
      <c r="AB6" s="3" t="s">
        <v>689</v>
      </c>
      <c r="AC6" s="3" t="s">
        <v>1013</v>
      </c>
      <c r="AD6" s="3"/>
      <c r="AE6" s="3" t="s">
        <v>1013</v>
      </c>
      <c r="AF6" s="3" t="s">
        <v>690</v>
      </c>
      <c r="AG6" s="3" t="s">
        <v>1013</v>
      </c>
      <c r="AH6" s="3"/>
      <c r="AI6" s="3" t="s">
        <v>1013</v>
      </c>
      <c r="AJ6" s="3" t="s">
        <v>691</v>
      </c>
      <c r="AK6" s="3" t="s">
        <v>1013</v>
      </c>
      <c r="AL6" s="3"/>
      <c r="AM6" s="3" t="s">
        <v>1013</v>
      </c>
      <c r="AN6" s="3" t="s">
        <v>692</v>
      </c>
      <c r="AO6" s="3" t="s">
        <v>1013</v>
      </c>
      <c r="AP6" s="3"/>
      <c r="AQ6" s="3" t="s">
        <v>1013</v>
      </c>
      <c r="AR6" s="3" t="s">
        <v>693</v>
      </c>
      <c r="AS6" s="3" t="s">
        <v>1013</v>
      </c>
      <c r="AT6" s="3"/>
      <c r="AU6" s="3" t="s">
        <v>1013</v>
      </c>
      <c r="AV6" s="3" t="s">
        <v>694</v>
      </c>
      <c r="AW6" s="3" t="s">
        <v>1013</v>
      </c>
      <c r="AX6" s="3"/>
      <c r="AY6" s="3" t="s">
        <v>1013</v>
      </c>
      <c r="AZ6" s="3" t="s">
        <v>2183</v>
      </c>
      <c r="BA6" s="3" t="s">
        <v>1013</v>
      </c>
      <c r="BB6" s="3"/>
      <c r="BC6" s="3" t="s">
        <v>1013</v>
      </c>
      <c r="BD6" s="3" t="s">
        <v>695</v>
      </c>
      <c r="BE6" s="3" t="s">
        <v>1013</v>
      </c>
      <c r="BF6" s="3"/>
      <c r="BG6" s="3" t="s">
        <v>1013</v>
      </c>
      <c r="BH6" s="3" t="s">
        <v>696</v>
      </c>
      <c r="BI6" s="3" t="s">
        <v>1013</v>
      </c>
      <c r="BJ6" s="3"/>
      <c r="BK6" s="3" t="s">
        <v>1013</v>
      </c>
      <c r="BL6" s="3" t="s">
        <v>697</v>
      </c>
      <c r="BM6" s="3" t="s">
        <v>1013</v>
      </c>
      <c r="BN6" s="3"/>
      <c r="BO6" s="3" t="s">
        <v>1013</v>
      </c>
      <c r="BP6" s="3" t="s">
        <v>698</v>
      </c>
      <c r="BQ6" s="3" t="s">
        <v>1013</v>
      </c>
      <c r="BR6" s="3"/>
      <c r="BS6" s="3" t="s">
        <v>1013</v>
      </c>
      <c r="BT6" s="3" t="s">
        <v>699</v>
      </c>
      <c r="BU6" s="3" t="s">
        <v>1013</v>
      </c>
      <c r="BV6" s="3"/>
      <c r="BW6" s="3" t="s">
        <v>1013</v>
      </c>
      <c r="BX6" s="3" t="s">
        <v>700</v>
      </c>
      <c r="BY6" s="3" t="s">
        <v>1013</v>
      </c>
      <c r="BZ6" s="3"/>
      <c r="CA6" s="3" t="s">
        <v>1013</v>
      </c>
      <c r="CB6" s="3" t="s">
        <v>701</v>
      </c>
      <c r="CC6" s="3" t="s">
        <v>1013</v>
      </c>
      <c r="CD6" s="3"/>
      <c r="CE6" s="3" t="s">
        <v>1013</v>
      </c>
      <c r="CF6" s="3" t="s">
        <v>702</v>
      </c>
      <c r="CG6" s="3" t="s">
        <v>1013</v>
      </c>
      <c r="CH6" s="3"/>
      <c r="CI6" s="3" t="s">
        <v>1013</v>
      </c>
      <c r="CJ6" s="3" t="s">
        <v>703</v>
      </c>
      <c r="CK6" s="3" t="s">
        <v>1013</v>
      </c>
      <c r="CL6" s="3"/>
      <c r="CM6" s="3" t="s">
        <v>1013</v>
      </c>
      <c r="CN6" s="3" t="s">
        <v>704</v>
      </c>
      <c r="CO6" s="3" t="s">
        <v>1013</v>
      </c>
      <c r="CP6" s="3"/>
      <c r="CQ6" s="3" t="s">
        <v>1013</v>
      </c>
      <c r="CR6" s="3" t="s">
        <v>705</v>
      </c>
      <c r="CS6" s="3" t="s">
        <v>1013</v>
      </c>
      <c r="CT6" s="3"/>
      <c r="CU6" s="3" t="s">
        <v>1013</v>
      </c>
      <c r="CV6" s="3" t="s">
        <v>706</v>
      </c>
      <c r="CW6" s="3" t="s">
        <v>1013</v>
      </c>
      <c r="CX6" s="3"/>
      <c r="CY6" s="3" t="s">
        <v>1013</v>
      </c>
      <c r="CZ6" s="3" t="s">
        <v>707</v>
      </c>
      <c r="DA6" s="3" t="s">
        <v>1013</v>
      </c>
      <c r="DB6" s="3"/>
      <c r="DC6" s="3" t="s">
        <v>1013</v>
      </c>
      <c r="DD6" s="3" t="s">
        <v>708</v>
      </c>
      <c r="DE6" s="3" t="s">
        <v>1013</v>
      </c>
      <c r="DF6" s="3"/>
      <c r="DG6" s="3" t="s">
        <v>1013</v>
      </c>
      <c r="DH6" s="3" t="s">
        <v>709</v>
      </c>
      <c r="DI6" s="3" t="s">
        <v>1013</v>
      </c>
      <c r="DJ6" s="3"/>
      <c r="DK6" s="3" t="s">
        <v>1013</v>
      </c>
      <c r="DL6" s="3" t="s">
        <v>710</v>
      </c>
      <c r="DM6" s="3" t="s">
        <v>1013</v>
      </c>
      <c r="DN6" s="3"/>
      <c r="DO6" s="3" t="s">
        <v>1013</v>
      </c>
      <c r="DP6" s="3" t="s">
        <v>711</v>
      </c>
      <c r="DQ6" s="3" t="s">
        <v>1013</v>
      </c>
      <c r="DR6" s="3"/>
      <c r="DS6" s="3" t="s">
        <v>1013</v>
      </c>
      <c r="DT6" s="3" t="s">
        <v>712</v>
      </c>
      <c r="DU6" s="3" t="s">
        <v>1013</v>
      </c>
      <c r="DV6" s="3"/>
      <c r="DW6" s="3" t="s">
        <v>1013</v>
      </c>
      <c r="DX6" s="3" t="s">
        <v>713</v>
      </c>
      <c r="DY6" s="3" t="s">
        <v>1013</v>
      </c>
      <c r="DZ6" s="3"/>
      <c r="EA6" s="3" t="s">
        <v>1013</v>
      </c>
      <c r="EB6" s="3" t="s">
        <v>714</v>
      </c>
      <c r="EC6" s="3" t="s">
        <v>1013</v>
      </c>
      <c r="ED6" s="3"/>
      <c r="EE6" s="3" t="s">
        <v>1013</v>
      </c>
      <c r="EF6" s="3" t="s">
        <v>715</v>
      </c>
      <c r="EG6" s="3" t="s">
        <v>1013</v>
      </c>
      <c r="EH6" s="3"/>
      <c r="EI6" s="3" t="s">
        <v>1013</v>
      </c>
      <c r="EJ6" s="3" t="s">
        <v>716</v>
      </c>
      <c r="EK6" s="3" t="s">
        <v>1013</v>
      </c>
      <c r="EL6" s="3"/>
      <c r="EM6" s="3" t="s">
        <v>1013</v>
      </c>
      <c r="EN6" s="3" t="s">
        <v>717</v>
      </c>
      <c r="EO6" s="3" t="s">
        <v>1013</v>
      </c>
      <c r="EP6" s="3"/>
      <c r="EQ6" s="3" t="s">
        <v>1013</v>
      </c>
      <c r="ER6" s="3" t="s">
        <v>718</v>
      </c>
      <c r="ES6" s="3" t="s">
        <v>1013</v>
      </c>
      <c r="ET6" s="3"/>
      <c r="EU6" s="3" t="s">
        <v>1013</v>
      </c>
      <c r="EV6" s="3" t="s">
        <v>719</v>
      </c>
      <c r="EW6" s="3" t="s">
        <v>1013</v>
      </c>
      <c r="EX6" s="3"/>
      <c r="EY6" s="3" t="s">
        <v>1013</v>
      </c>
      <c r="EZ6" s="3" t="s">
        <v>720</v>
      </c>
      <c r="FA6" s="3" t="s">
        <v>1013</v>
      </c>
      <c r="FB6" s="3"/>
      <c r="FC6" s="3" t="s">
        <v>1013</v>
      </c>
      <c r="FD6" s="3" t="s">
        <v>721</v>
      </c>
      <c r="FE6" s="3" t="s">
        <v>1013</v>
      </c>
      <c r="FF6" s="3"/>
      <c r="FG6" s="3" t="s">
        <v>1013</v>
      </c>
      <c r="FH6" s="3" t="s">
        <v>722</v>
      </c>
      <c r="FI6" s="3" t="s">
        <v>1013</v>
      </c>
      <c r="FJ6" s="3"/>
      <c r="FK6" s="3" t="s">
        <v>1013</v>
      </c>
      <c r="FL6" s="3" t="s">
        <v>723</v>
      </c>
      <c r="FM6" s="3" t="s">
        <v>1013</v>
      </c>
      <c r="FN6" s="3"/>
      <c r="FO6" s="3" t="s">
        <v>1013</v>
      </c>
      <c r="FP6" s="3" t="s">
        <v>724</v>
      </c>
      <c r="FQ6" s="3" t="s">
        <v>1013</v>
      </c>
      <c r="FR6" s="3"/>
      <c r="FS6" s="3" t="s">
        <v>1013</v>
      </c>
      <c r="FT6" s="3" t="s">
        <v>725</v>
      </c>
      <c r="FU6" s="3" t="s">
        <v>1013</v>
      </c>
      <c r="FV6" s="3"/>
      <c r="FW6" s="3" t="s">
        <v>1013</v>
      </c>
      <c r="FX6" s="3" t="s">
        <v>726</v>
      </c>
      <c r="FY6" s="3" t="s">
        <v>1013</v>
      </c>
      <c r="FZ6" s="3"/>
      <c r="GA6" s="3" t="s">
        <v>1013</v>
      </c>
      <c r="GB6" s="3" t="s">
        <v>727</v>
      </c>
      <c r="GC6" s="3" t="s">
        <v>1013</v>
      </c>
      <c r="GD6" s="3"/>
      <c r="GE6" s="3" t="s">
        <v>1013</v>
      </c>
      <c r="GF6" s="3" t="s">
        <v>755</v>
      </c>
      <c r="GG6" s="3" t="s">
        <v>1013</v>
      </c>
      <c r="GH6" s="3"/>
      <c r="GI6" s="3" t="s">
        <v>1013</v>
      </c>
      <c r="GJ6" s="3" t="s">
        <v>837</v>
      </c>
      <c r="GK6" s="3" t="s">
        <v>1013</v>
      </c>
      <c r="GL6" s="3"/>
      <c r="GM6" s="3" t="s">
        <v>1013</v>
      </c>
      <c r="GN6" s="3" t="s">
        <v>801</v>
      </c>
      <c r="GO6" s="3" t="s">
        <v>1013</v>
      </c>
      <c r="GP6" s="3"/>
      <c r="GQ6" s="3" t="s">
        <v>1013</v>
      </c>
      <c r="GR6" s="3" t="s">
        <v>802</v>
      </c>
      <c r="GS6" s="3" t="s">
        <v>1013</v>
      </c>
      <c r="GT6" s="3"/>
      <c r="GU6" s="3" t="s">
        <v>1013</v>
      </c>
      <c r="GV6" s="3" t="s">
        <v>803</v>
      </c>
      <c r="GW6" s="3" t="s">
        <v>1013</v>
      </c>
      <c r="GX6" s="3"/>
      <c r="GY6" s="3" t="s">
        <v>1013</v>
      </c>
      <c r="GZ6" s="3" t="s">
        <v>804</v>
      </c>
      <c r="HA6" s="3" t="s">
        <v>1013</v>
      </c>
      <c r="HB6" s="3"/>
      <c r="HC6" s="3" t="s">
        <v>1013</v>
      </c>
      <c r="HD6" s="3" t="s">
        <v>945</v>
      </c>
      <c r="HE6" s="3" t="s">
        <v>1013</v>
      </c>
      <c r="HF6" s="3"/>
      <c r="HG6" s="3" t="s">
        <v>1013</v>
      </c>
      <c r="HH6" s="3" t="s">
        <v>950</v>
      </c>
      <c r="HI6" s="3" t="s">
        <v>1013</v>
      </c>
      <c r="HJ6" s="3"/>
      <c r="HK6" s="3" t="s">
        <v>1013</v>
      </c>
      <c r="HL6" s="3" t="s">
        <v>951</v>
      </c>
      <c r="HM6" s="3" t="s">
        <v>1013</v>
      </c>
      <c r="HN6" s="3"/>
      <c r="HO6" s="3" t="s">
        <v>1013</v>
      </c>
      <c r="HP6" s="3" t="s">
        <v>952</v>
      </c>
      <c r="HQ6" s="3" t="s">
        <v>1013</v>
      </c>
      <c r="HR6" s="3"/>
      <c r="HS6" s="3" t="s">
        <v>1013</v>
      </c>
      <c r="HT6" s="3" t="s">
        <v>953</v>
      </c>
      <c r="HU6" s="3" t="s">
        <v>1013</v>
      </c>
      <c r="HV6" s="3"/>
      <c r="HW6" s="3" t="s">
        <v>1013</v>
      </c>
      <c r="HX6" s="3" t="s">
        <v>2044</v>
      </c>
      <c r="HY6" s="3" t="s">
        <v>1013</v>
      </c>
      <c r="HZ6" s="3"/>
      <c r="IA6" s="3" t="s">
        <v>1013</v>
      </c>
      <c r="IB6" s="4"/>
      <c r="IC6" s="4"/>
      <c r="ID6" s="4"/>
      <c r="IE6" s="4"/>
    </row>
    <row r="7" spans="1:239" s="11" customFormat="1" x14ac:dyDescent="0.2">
      <c r="A7" s="42" t="s">
        <v>33</v>
      </c>
      <c r="B7" s="42"/>
      <c r="C7" s="42"/>
      <c r="D7" s="43"/>
      <c r="E7" s="43"/>
      <c r="F7" s="43"/>
      <c r="G7" s="43"/>
      <c r="H7" s="43"/>
      <c r="I7" s="43" t="s">
        <v>34</v>
      </c>
      <c r="J7" s="43"/>
      <c r="K7" s="44" t="s">
        <v>655</v>
      </c>
      <c r="L7" s="45" t="s">
        <v>35</v>
      </c>
      <c r="M7" s="44" t="str">
        <f>L6&amp;".c"&amp;L5</f>
        <v>DA.c0</v>
      </c>
      <c r="N7" s="45" t="s">
        <v>35</v>
      </c>
      <c r="O7" s="44" t="str">
        <f>L6&amp;"_LCL.c"&amp;N5</f>
        <v>DA_LCL.c1</v>
      </c>
      <c r="P7" s="45" t="s">
        <v>35</v>
      </c>
      <c r="Q7" s="79" t="str">
        <f t="shared" ref="Q7" si="0">P6&amp;".c"&amp;P5</f>
        <v>DPT_BASE.c2</v>
      </c>
      <c r="R7" s="78" t="s">
        <v>35</v>
      </c>
      <c r="S7" s="79" t="str">
        <f t="shared" ref="S7" si="1">P6&amp;"_LCL.c"&amp;R5</f>
        <v>DPT_BASE_LCL.c3</v>
      </c>
      <c r="T7" s="78" t="s">
        <v>35</v>
      </c>
      <c r="U7" s="79" t="str">
        <f t="shared" ref="U7" si="2">T6&amp;".c"&amp;T5</f>
        <v>DPT_LVL.c4</v>
      </c>
      <c r="V7" s="78" t="s">
        <v>35</v>
      </c>
      <c r="W7" s="79" t="str">
        <f t="shared" ref="W7" si="3">T6&amp;"_LCL.c"&amp;V5</f>
        <v>DPT_LVL_LCL.c5</v>
      </c>
      <c r="X7" s="78" t="s">
        <v>35</v>
      </c>
      <c r="Y7" s="79" t="str">
        <f t="shared" ref="Y7" si="4">X6&amp;".c"&amp;X5</f>
        <v>APRV_ROLE.c6</v>
      </c>
      <c r="Z7" s="78" t="s">
        <v>35</v>
      </c>
      <c r="AA7" s="79" t="str">
        <f t="shared" ref="AA7" si="5">X6&amp;"_LCL.c"&amp;Z5</f>
        <v>APRV_ROLE_LCL.c7</v>
      </c>
      <c r="AB7" s="78" t="s">
        <v>35</v>
      </c>
      <c r="AC7" s="79" t="str">
        <f t="shared" ref="AC7" si="6">AB6&amp;".c"&amp;AB5</f>
        <v>CNTRY.c8</v>
      </c>
      <c r="AD7" s="78" t="s">
        <v>35</v>
      </c>
      <c r="AE7" s="79" t="str">
        <f t="shared" ref="AE7" si="7">AB6&amp;"_LCL.c"&amp;AD5</f>
        <v>CNTRY_LCL.c9</v>
      </c>
      <c r="AF7" s="78" t="s">
        <v>35</v>
      </c>
      <c r="AG7" s="79" t="str">
        <f t="shared" ref="AG7" si="8">AF6&amp;".c"&amp;AF5</f>
        <v>AREA.c10</v>
      </c>
      <c r="AH7" s="78" t="s">
        <v>35</v>
      </c>
      <c r="AI7" s="79" t="str">
        <f t="shared" ref="AI7" si="9">AF6&amp;"_LCL.c"&amp;AH5</f>
        <v>AREA_LCL.c11</v>
      </c>
      <c r="AJ7" s="78" t="s">
        <v>35</v>
      </c>
      <c r="AK7" s="79" t="str">
        <f t="shared" ref="AK7" si="10">AJ6&amp;".c"&amp;AJ5</f>
        <v>CUR.c12</v>
      </c>
      <c r="AL7" s="78" t="s">
        <v>35</v>
      </c>
      <c r="AM7" s="79" t="str">
        <f t="shared" ref="AM7" si="11">AJ6&amp;"_LCL.c"&amp;AL5</f>
        <v>CUR_LCL.c13</v>
      </c>
      <c r="AN7" s="78" t="s">
        <v>35</v>
      </c>
      <c r="AO7" s="79" t="str">
        <f t="shared" ref="AO7" si="12">AN6&amp;".c"&amp;AN5</f>
        <v>UNIT.c14</v>
      </c>
      <c r="AP7" s="78" t="s">
        <v>35</v>
      </c>
      <c r="AQ7" s="79" t="str">
        <f t="shared" ref="AQ7" si="13">AN6&amp;"_LCL.c"&amp;AP5</f>
        <v>UNIT_LCL.c15</v>
      </c>
      <c r="AR7" s="78" t="s">
        <v>35</v>
      </c>
      <c r="AS7" s="79" t="str">
        <f t="shared" ref="AS7" si="14">AR6&amp;".c"&amp;AR5</f>
        <v>BANK.c16</v>
      </c>
      <c r="AT7" s="78" t="s">
        <v>35</v>
      </c>
      <c r="AU7" s="79" t="str">
        <f t="shared" ref="AU7" si="15">AR6&amp;"_LCL.c"&amp;AT5</f>
        <v>BANK_LCL.c17</v>
      </c>
      <c r="AV7" s="78" t="s">
        <v>35</v>
      </c>
      <c r="AW7" s="79" t="str">
        <f t="shared" ref="AW7" si="16">AV6&amp;".c"&amp;AV5</f>
        <v>BANK_BRANCH.c18</v>
      </c>
      <c r="AX7" s="78" t="s">
        <v>35</v>
      </c>
      <c r="AY7" s="79" t="str">
        <f t="shared" ref="AY7" si="17">AV6&amp;"_LCL.c"&amp;AX5</f>
        <v>BANK_BRANCH_LCL.c19</v>
      </c>
      <c r="AZ7" s="78" t="s">
        <v>35</v>
      </c>
      <c r="BA7" s="79" t="str">
        <f t="shared" ref="BA7" si="18">AZ6&amp;".c"&amp;AZ5</f>
        <v>BANK_AC.c20</v>
      </c>
      <c r="BB7" s="78" t="s">
        <v>35</v>
      </c>
      <c r="BC7" s="79" t="str">
        <f t="shared" ref="BC7" si="19">AZ6&amp;"_LCL.c"&amp;BB5</f>
        <v>BANK_AC_LCL.c21</v>
      </c>
      <c r="BD7" s="78" t="s">
        <v>35</v>
      </c>
      <c r="BE7" s="79" t="str">
        <f t="shared" ref="BE7" si="20">BD6&amp;".c"&amp;BD5</f>
        <v>XRATE.c22</v>
      </c>
      <c r="BF7" s="78" t="s">
        <v>35</v>
      </c>
      <c r="BG7" s="79" t="str">
        <f t="shared" ref="BG7" si="21">BD6&amp;"_LCL.c"&amp;BF5</f>
        <v>XRATE_LCL.c23</v>
      </c>
      <c r="BH7" s="78" t="s">
        <v>35</v>
      </c>
      <c r="BI7" s="79" t="str">
        <f t="shared" ref="BI7" si="22">BH6&amp;".c"&amp;BH5</f>
        <v>CAL_BASE.c24</v>
      </c>
      <c r="BJ7" s="78" t="s">
        <v>35</v>
      </c>
      <c r="BK7" s="79" t="str">
        <f t="shared" ref="BK7" si="23">BH6&amp;"_LCL.c"&amp;BJ5</f>
        <v>CAL_BASE_LCL.c25</v>
      </c>
      <c r="BL7" s="78" t="s">
        <v>35</v>
      </c>
      <c r="BM7" s="79" t="str">
        <f t="shared" ref="BM7" si="24">BL6&amp;".c"&amp;BL5</f>
        <v>ITM_JNL.c26</v>
      </c>
      <c r="BN7" s="78" t="s">
        <v>35</v>
      </c>
      <c r="BO7" s="79" t="str">
        <f t="shared" ref="BO7" si="25">BL6&amp;"_LCL.c"&amp;BN5</f>
        <v>ITM_JNL_LCL.c27</v>
      </c>
      <c r="BP7" s="78" t="s">
        <v>35</v>
      </c>
      <c r="BQ7" s="79" t="str">
        <f t="shared" ref="BQ7" si="26">BP6&amp;".c"&amp;BP5</f>
        <v>AC_ITM_GRP.c28</v>
      </c>
      <c r="BR7" s="78" t="s">
        <v>35</v>
      </c>
      <c r="BS7" s="79" t="str">
        <f t="shared" ref="BS7" si="27">BP6&amp;"_LCL.c"&amp;BR5</f>
        <v>AC_ITM_GRP_LCL.c29</v>
      </c>
      <c r="BT7" s="78" t="s">
        <v>35</v>
      </c>
      <c r="BU7" s="79" t="str">
        <f t="shared" ref="BU7" si="28">BT6&amp;".c"&amp;BT5</f>
        <v>AC_RSN.c30</v>
      </c>
      <c r="BV7" s="78" t="s">
        <v>35</v>
      </c>
      <c r="BW7" s="79" t="str">
        <f t="shared" ref="BW7" si="29">BT6&amp;"_LCL.c"&amp;BV5</f>
        <v>AC_RSN_LCL.c31</v>
      </c>
      <c r="BX7" s="78" t="s">
        <v>35</v>
      </c>
      <c r="BY7" s="79" t="str">
        <f t="shared" ref="BY7" si="30">BX6&amp;".c"&amp;BX5</f>
        <v>SITE.c32</v>
      </c>
      <c r="BZ7" s="78" t="s">
        <v>35</v>
      </c>
      <c r="CA7" s="79" t="str">
        <f t="shared" ref="CA7" si="31">BX6&amp;"_LCL.c"&amp;BZ5</f>
        <v>SITE_LCL.c33</v>
      </c>
      <c r="CB7" s="78" t="s">
        <v>35</v>
      </c>
      <c r="CC7" s="79" t="str">
        <f t="shared" ref="CC7" si="32">CB6&amp;".c"&amp;CB5</f>
        <v>LOC_GRP.c34</v>
      </c>
      <c r="CD7" s="78" t="s">
        <v>35</v>
      </c>
      <c r="CE7" s="79" t="str">
        <f t="shared" ref="CE7" si="33">CB6&amp;"_LCL.c"&amp;CD5</f>
        <v>LOC_GRP_LCL.c35</v>
      </c>
      <c r="CF7" s="78" t="s">
        <v>35</v>
      </c>
      <c r="CG7" s="79" t="str">
        <f t="shared" ref="CG7" si="34">CF6&amp;".c"&amp;CF5</f>
        <v>LG_GRP.c36</v>
      </c>
      <c r="CH7" s="78" t="s">
        <v>35</v>
      </c>
      <c r="CI7" s="79" t="str">
        <f t="shared" ref="CI7" si="35">CF6&amp;"_LCL.c"&amp;CH5</f>
        <v>LG_GRP_LCL.c37</v>
      </c>
      <c r="CJ7" s="78" t="s">
        <v>35</v>
      </c>
      <c r="CK7" s="79" t="str">
        <f t="shared" ref="CK7" si="36">CJ6&amp;".c"&amp;CJ5</f>
        <v>ALLOC_GRP.c38</v>
      </c>
      <c r="CL7" s="78" t="s">
        <v>35</v>
      </c>
      <c r="CM7" s="79" t="str">
        <f t="shared" ref="CM7" si="37">CJ6&amp;"_LCL.c"&amp;CL5</f>
        <v>ALLOC_GRP_LCL.c39</v>
      </c>
      <c r="CN7" s="78" t="s">
        <v>35</v>
      </c>
      <c r="CO7" s="79" t="str">
        <f t="shared" ref="CO7" si="38">CN6&amp;".c"&amp;CN5</f>
        <v>WG.c40</v>
      </c>
      <c r="CP7" s="78" t="s">
        <v>35</v>
      </c>
      <c r="CQ7" s="79" t="str">
        <f t="shared" ref="CQ7" si="39">CN6&amp;"_LCL.c"&amp;CP5</f>
        <v>WG_LCL.c41</v>
      </c>
      <c r="CR7" s="78" t="s">
        <v>35</v>
      </c>
      <c r="CS7" s="79" t="str">
        <f t="shared" ref="CS7" si="40">CR6&amp;".c"&amp;CR5</f>
        <v>OPER.c42</v>
      </c>
      <c r="CT7" s="78" t="s">
        <v>35</v>
      </c>
      <c r="CU7" s="79" t="str">
        <f t="shared" ref="CU7" si="41">CR6&amp;"_LCL.c"&amp;CT5</f>
        <v>OPER_LCL.c43</v>
      </c>
      <c r="CV7" s="78" t="s">
        <v>35</v>
      </c>
      <c r="CW7" s="79" t="str">
        <f t="shared" ref="CW7" si="42">CV6&amp;".c"&amp;CV5</f>
        <v>WK_COST.c44</v>
      </c>
      <c r="CX7" s="78" t="s">
        <v>35</v>
      </c>
      <c r="CY7" s="79" t="str">
        <f t="shared" ref="CY7" si="43">CV6&amp;"_LCL.c"&amp;CX5</f>
        <v>WK_COST_LCL.c45</v>
      </c>
      <c r="CZ7" s="78" t="s">
        <v>35</v>
      </c>
      <c r="DA7" s="79" t="str">
        <f t="shared" ref="DA7" si="44">CZ6&amp;".c"&amp;CZ5</f>
        <v>WK_RSN.c46</v>
      </c>
      <c r="DB7" s="78" t="s">
        <v>35</v>
      </c>
      <c r="DC7" s="79" t="str">
        <f t="shared" ref="DC7" si="45">CZ6&amp;"_LCL.c"&amp;DB5</f>
        <v>WK_RSN_LCL.c47</v>
      </c>
      <c r="DD7" s="78" t="s">
        <v>35</v>
      </c>
      <c r="DE7" s="79" t="str">
        <f t="shared" ref="DE7" si="46">DD6&amp;".c"&amp;DD5</f>
        <v>SLS_UPRI_GRP.c48</v>
      </c>
      <c r="DF7" s="78" t="s">
        <v>35</v>
      </c>
      <c r="DG7" s="79" t="str">
        <f t="shared" ref="DG7" si="47">DD6&amp;"_LCL.c"&amp;DF5</f>
        <v>SLS_UPRI_GRP_LCL.c49</v>
      </c>
      <c r="DH7" s="78" t="s">
        <v>35</v>
      </c>
      <c r="DI7" s="79" t="str">
        <f t="shared" ref="DI7" si="48">DH6&amp;".c"&amp;DH5</f>
        <v>SLS_UPRI_RANK.c50</v>
      </c>
      <c r="DJ7" s="78" t="s">
        <v>35</v>
      </c>
      <c r="DK7" s="79" t="str">
        <f t="shared" ref="DK7" si="49">DH6&amp;"_LCL.c"&amp;DJ5</f>
        <v>SLS_UPRI_RANK_LCL.c51</v>
      </c>
      <c r="DL7" s="78" t="s">
        <v>35</v>
      </c>
      <c r="DM7" s="79" t="str">
        <f t="shared" ref="DM7" si="50">DL6&amp;".c"&amp;DL5</f>
        <v>SETOFF_GRP.c52</v>
      </c>
      <c r="DN7" s="78" t="s">
        <v>35</v>
      </c>
      <c r="DO7" s="79" t="str">
        <f t="shared" ref="DO7" si="51">DL6&amp;"_LCL.c"&amp;DN5</f>
        <v>SETOFF_GRP_LCL.c53</v>
      </c>
      <c r="DP7" s="78" t="s">
        <v>35</v>
      </c>
      <c r="DQ7" s="79" t="str">
        <f t="shared" ref="DQ7" si="52">DP6&amp;".c"&amp;DP5</f>
        <v>SHIP_VALID.c54</v>
      </c>
      <c r="DR7" s="78" t="s">
        <v>35</v>
      </c>
      <c r="DS7" s="79" t="str">
        <f t="shared" ref="DS7" si="53">DP6&amp;"_LCL.c"&amp;DR5</f>
        <v>SHIP_VALID_LCL.c55</v>
      </c>
      <c r="DT7" s="78" t="s">
        <v>35</v>
      </c>
      <c r="DU7" s="79" t="str">
        <f t="shared" ref="DU7" si="54">DT6&amp;".c"&amp;DT5</f>
        <v>ITM_SHIP_GRP.c56</v>
      </c>
      <c r="DV7" s="78" t="s">
        <v>35</v>
      </c>
      <c r="DW7" s="79" t="str">
        <f t="shared" ref="DW7" si="55">DT6&amp;"_LCL.c"&amp;DV5</f>
        <v>ITM_SHIP_GRP_LCL.c57</v>
      </c>
      <c r="DX7" s="78" t="s">
        <v>35</v>
      </c>
      <c r="DY7" s="79" t="str">
        <f t="shared" ref="DY7" si="56">DX6&amp;".c"&amp;DX5</f>
        <v>TRNSPT.c58</v>
      </c>
      <c r="DZ7" s="78" t="s">
        <v>35</v>
      </c>
      <c r="EA7" s="79" t="str">
        <f t="shared" ref="EA7" si="57">DX6&amp;"_LCL.c"&amp;DZ5</f>
        <v>TRNSPT_LCL.c59</v>
      </c>
      <c r="EB7" s="78" t="s">
        <v>35</v>
      </c>
      <c r="EC7" s="79" t="str">
        <f t="shared" ref="EC7" si="58">EB6&amp;".c"&amp;EB5</f>
        <v>EX_CNTNR.c60</v>
      </c>
      <c r="ED7" s="78" t="s">
        <v>35</v>
      </c>
      <c r="EE7" s="79" t="str">
        <f t="shared" ref="EE7" si="59">EB6&amp;"_LCL.c"&amp;ED5</f>
        <v>EX_CNTNR_LCL.c61</v>
      </c>
      <c r="EF7" s="78" t="s">
        <v>35</v>
      </c>
      <c r="EG7" s="79" t="str">
        <f t="shared" ref="EG7" si="60">EF6&amp;".c"&amp;EF5</f>
        <v>EXIM_PORT.c62</v>
      </c>
      <c r="EH7" s="78" t="s">
        <v>35</v>
      </c>
      <c r="EI7" s="79" t="str">
        <f t="shared" ref="EI7" si="61">EF6&amp;"_LCL.c"&amp;EH5</f>
        <v>EXIM_PORT_LCL.c63</v>
      </c>
      <c r="EJ7" s="78" t="s">
        <v>35</v>
      </c>
      <c r="EK7" s="79" t="str">
        <f t="shared" ref="EK7" si="62">EJ6&amp;".c"&amp;EJ5</f>
        <v>STK_GD.c64</v>
      </c>
      <c r="EL7" s="78" t="s">
        <v>35</v>
      </c>
      <c r="EM7" s="79" t="str">
        <f t="shared" ref="EM7" si="63">EJ6&amp;"_LCL.c"&amp;EL5</f>
        <v>STK_GD_LCL.c65</v>
      </c>
      <c r="EN7" s="78" t="s">
        <v>35</v>
      </c>
      <c r="EO7" s="79" t="str">
        <f t="shared" ref="EO7" si="64">EN6&amp;".c"&amp;EN5</f>
        <v>TRD.c66</v>
      </c>
      <c r="EP7" s="78" t="s">
        <v>35</v>
      </c>
      <c r="EQ7" s="79" t="str">
        <f t="shared" ref="EQ7" si="65">EN6&amp;"_LCL.c"&amp;EP5</f>
        <v>TRD_LCL.c67</v>
      </c>
      <c r="ER7" s="78" t="s">
        <v>35</v>
      </c>
      <c r="ES7" s="79" t="str">
        <f t="shared" ref="ES7" si="66">ER6&amp;".c"&amp;ER5</f>
        <v>SLIP_FORM.c68</v>
      </c>
      <c r="ET7" s="78" t="s">
        <v>35</v>
      </c>
      <c r="EU7" s="79" t="str">
        <f t="shared" ref="EU7" si="67">ER6&amp;"_LCL.c"&amp;ET5</f>
        <v>SLIP_FORM_LCL.c69</v>
      </c>
      <c r="EV7" s="78" t="s">
        <v>35</v>
      </c>
      <c r="EW7" s="79" t="str">
        <f t="shared" ref="EW7" si="68">EV6&amp;".c"&amp;EV5</f>
        <v>PF_GRP.c70</v>
      </c>
      <c r="EX7" s="78" t="s">
        <v>35</v>
      </c>
      <c r="EY7" s="79" t="str">
        <f t="shared" ref="EY7" si="69">EV6&amp;"_LCL.c"&amp;EX5</f>
        <v>PF_GRP_LCL.c71</v>
      </c>
      <c r="EZ7" s="78" t="s">
        <v>35</v>
      </c>
      <c r="FA7" s="79" t="str">
        <f t="shared" ref="FA7" si="70">EZ6&amp;".c"&amp;EZ5</f>
        <v>ITM_SPEC_GRP.c72</v>
      </c>
      <c r="FB7" s="78" t="s">
        <v>35</v>
      </c>
      <c r="FC7" s="79" t="str">
        <f t="shared" ref="FC7" si="71">EZ6&amp;"_LCL.c"&amp;FB5</f>
        <v>ITM_SPEC_GRP_LCL.c73</v>
      </c>
      <c r="FD7" s="78" t="s">
        <v>35</v>
      </c>
      <c r="FE7" s="79" t="str">
        <f t="shared" ref="FE7" si="72">FD6&amp;".c"&amp;FD5</f>
        <v>ITM_COMP_GRP.c74</v>
      </c>
      <c r="FF7" s="78" t="s">
        <v>35</v>
      </c>
      <c r="FG7" s="79" t="str">
        <f t="shared" ref="FG7" si="73">FD6&amp;"_LCL.c"&amp;FF5</f>
        <v>ITM_COMP_GRP_LCL.c75</v>
      </c>
      <c r="FH7" s="78" t="s">
        <v>35</v>
      </c>
      <c r="FI7" s="79" t="str">
        <f t="shared" ref="FI7" si="74">FH6&amp;".c"&amp;FH5</f>
        <v>JNL_ACT.c76</v>
      </c>
      <c r="FJ7" s="78" t="s">
        <v>35</v>
      </c>
      <c r="FK7" s="79" t="str">
        <f t="shared" ref="FK7" si="75">FH6&amp;"_LCL.c"&amp;FJ5</f>
        <v>JNL_ACT_LCL.c77</v>
      </c>
      <c r="FL7" s="78" t="s">
        <v>35</v>
      </c>
      <c r="FM7" s="79" t="str">
        <f t="shared" ref="FM7" si="76">FL6&amp;".c"&amp;FL5</f>
        <v>JNL_GRP.c78</v>
      </c>
      <c r="FN7" s="78" t="s">
        <v>35</v>
      </c>
      <c r="FO7" s="79" t="str">
        <f t="shared" ref="FO7" si="77">FL6&amp;"_LCL.c"&amp;FN5</f>
        <v>JNL_GRP_LCL.c79</v>
      </c>
      <c r="FP7" s="78" t="s">
        <v>35</v>
      </c>
      <c r="FQ7" s="79" t="str">
        <f t="shared" ref="FQ7" si="78">FP6&amp;".c"&amp;FP5</f>
        <v>JNL_PTN_BASE.c80</v>
      </c>
      <c r="FR7" s="78" t="s">
        <v>35</v>
      </c>
      <c r="FS7" s="79" t="str">
        <f t="shared" ref="FS7" si="79">FP6&amp;"_LCL.c"&amp;FR5</f>
        <v>JNL_PTN_BASE_LCL.c81</v>
      </c>
      <c r="FT7" s="78" t="s">
        <v>35</v>
      </c>
      <c r="FU7" s="79" t="str">
        <f t="shared" ref="FU7" si="80">FT6&amp;".c"&amp;FT5</f>
        <v>AUTO_JNL_KEY.c82</v>
      </c>
      <c r="FV7" s="78" t="s">
        <v>35</v>
      </c>
      <c r="FW7" s="79" t="str">
        <f t="shared" ref="FW7" si="81">FT6&amp;"_LCL.c"&amp;FV5</f>
        <v>AUTO_JNL_KEY_LCL.c83</v>
      </c>
      <c r="FX7" s="78" t="s">
        <v>35</v>
      </c>
      <c r="FY7" s="79" t="str">
        <f t="shared" ref="FY7" si="82">FX6&amp;".c"&amp;FX5</f>
        <v>INSP_PTN.c84</v>
      </c>
      <c r="FZ7" s="78" t="s">
        <v>35</v>
      </c>
      <c r="GA7" s="79" t="str">
        <f t="shared" ref="GA7" si="83">FX6&amp;"_LCL.c"&amp;FZ5</f>
        <v>INSP_PTN_LCL.c85</v>
      </c>
      <c r="GB7" s="78" t="s">
        <v>35</v>
      </c>
      <c r="GC7" s="79" t="str">
        <f t="shared" ref="GC7" si="84">GB6&amp;".c"&amp;GB5</f>
        <v>WK_DAY.c86</v>
      </c>
      <c r="GD7" s="78" t="s">
        <v>35</v>
      </c>
      <c r="GE7" s="79" t="str">
        <f t="shared" ref="GE7" si="85">GB6&amp;"_LCL.c"&amp;GD5</f>
        <v>WK_DAY_LCL.c87</v>
      </c>
      <c r="GF7" s="78" t="s">
        <v>35</v>
      </c>
      <c r="GG7" s="79" t="str">
        <f t="shared" ref="GG7" si="86">GF6&amp;".c"&amp;GF5</f>
        <v>SHIP_TERM.c88</v>
      </c>
      <c r="GH7" s="78" t="s">
        <v>35</v>
      </c>
      <c r="GI7" s="79" t="str">
        <f t="shared" ref="GI7" si="87">GF6&amp;"_LCL.c"&amp;GH5</f>
        <v>SHIP_TERM_LCL.c89</v>
      </c>
      <c r="GJ7" s="78" t="s">
        <v>35</v>
      </c>
      <c r="GK7" s="79" t="str">
        <f t="shared" ref="GK7" si="88">GJ6&amp;".c"&amp;GJ5</f>
        <v>SHIP_WK.c90</v>
      </c>
      <c r="GL7" s="78" t="s">
        <v>35</v>
      </c>
      <c r="GM7" s="79" t="str">
        <f t="shared" ref="GM7" si="89">GJ6&amp;"_LCL.c"&amp;GL5</f>
        <v>SHIP_WK_LCL.c91</v>
      </c>
      <c r="GN7" s="78" t="s">
        <v>35</v>
      </c>
      <c r="GO7" s="79" t="str">
        <f t="shared" ref="GO7" si="90">GN6&amp;".c"&amp;GN5</f>
        <v>RSRC.c92</v>
      </c>
      <c r="GP7" s="78" t="s">
        <v>35</v>
      </c>
      <c r="GQ7" s="79" t="str">
        <f t="shared" ref="GQ7" si="91">GN6&amp;"_LCL.c"&amp;GP5</f>
        <v>RSRC_LCL.c93</v>
      </c>
      <c r="GR7" s="78" t="s">
        <v>35</v>
      </c>
      <c r="GS7" s="79" t="str">
        <f t="shared" ref="GS7" si="92">GR6&amp;".c"&amp;GR5</f>
        <v>HS_GRP.c94</v>
      </c>
      <c r="GT7" s="78" t="s">
        <v>35</v>
      </c>
      <c r="GU7" s="79" t="str">
        <f t="shared" ref="GU7" si="93">GR6&amp;"_LCL.c"&amp;GT5</f>
        <v>HS_GRP_LCL.c95</v>
      </c>
      <c r="GV7" s="78" t="s">
        <v>35</v>
      </c>
      <c r="GW7" s="79" t="str">
        <f t="shared" ref="GW7" si="94">GV6&amp;".c"&amp;GV5</f>
        <v>ALC_PTN.c96</v>
      </c>
      <c r="GX7" s="78" t="s">
        <v>35</v>
      </c>
      <c r="GY7" s="79" t="str">
        <f t="shared" ref="GY7" si="95">GV6&amp;"_LCL.c"&amp;GX5</f>
        <v>ALC_PTN_LCL.c97</v>
      </c>
      <c r="GZ7" s="78" t="s">
        <v>35</v>
      </c>
      <c r="HA7" s="79" t="str">
        <f t="shared" ref="HA7" si="96">GZ6&amp;".c"&amp;GZ5</f>
        <v>CTG_GRP.c98</v>
      </c>
      <c r="HB7" s="78" t="s">
        <v>35</v>
      </c>
      <c r="HC7" s="79" t="str">
        <f t="shared" ref="HC7" si="97">GZ6&amp;"_LCL.c"&amp;HB5</f>
        <v>CTG_GRP_LCL.c99</v>
      </c>
      <c r="HD7" s="78" t="s">
        <v>35</v>
      </c>
      <c r="HE7" s="79" t="str">
        <f t="shared" ref="HE7" si="98">HD6&amp;".c"&amp;HD5</f>
        <v>ACT_PTN.c100</v>
      </c>
      <c r="HF7" s="78" t="s">
        <v>35</v>
      </c>
      <c r="HG7" s="79" t="str">
        <f t="shared" ref="HG7" si="99">HD6&amp;"_LCL.c"&amp;HF5</f>
        <v>ACT_PTN_LCL.c101</v>
      </c>
      <c r="HH7" s="78" t="s">
        <v>35</v>
      </c>
      <c r="HI7" s="79" t="str">
        <f>HH6&amp;".c"&amp;HH5</f>
        <v>GP_ALC.c102</v>
      </c>
      <c r="HJ7" s="78" t="s">
        <v>35</v>
      </c>
      <c r="HK7" s="79" t="str">
        <f t="shared" ref="HK7" si="100">HH6&amp;"_LCL.c"&amp;HJ5</f>
        <v>GP_ALC_LCL.c103</v>
      </c>
      <c r="HL7" s="78" t="s">
        <v>35</v>
      </c>
      <c r="HM7" s="79" t="str">
        <f>HL6&amp;".c"&amp;HL5</f>
        <v>CALC_CTG.c104</v>
      </c>
      <c r="HN7" s="78" t="s">
        <v>35</v>
      </c>
      <c r="HO7" s="79" t="str">
        <f t="shared" ref="HO7" si="101">HL6&amp;"_LCL.c"&amp;HN5</f>
        <v>CALC_CTG_LCL.c105</v>
      </c>
      <c r="HP7" s="78" t="s">
        <v>35</v>
      </c>
      <c r="HQ7" s="79" t="str">
        <f>HP6&amp;".c"&amp;HP5</f>
        <v>RPT_PTN.c106</v>
      </c>
      <c r="HR7" s="78" t="s">
        <v>35</v>
      </c>
      <c r="HS7" s="79" t="str">
        <f t="shared" ref="HS7" si="102">HP6&amp;"_LCL.c"&amp;HR5</f>
        <v>RPT_PTN_LCL.c107</v>
      </c>
      <c r="HT7" s="78" t="s">
        <v>35</v>
      </c>
      <c r="HU7" s="79" t="str">
        <f>HT6&amp;".c"&amp;HT5</f>
        <v>COST_MENU.c108</v>
      </c>
      <c r="HV7" s="78" t="s">
        <v>35</v>
      </c>
      <c r="HW7" s="79" t="str">
        <f t="shared" ref="HW7" si="103">HT6&amp;"_LCL.c"&amp;HV5</f>
        <v>COST_MENU_LCL.c109</v>
      </c>
      <c r="HX7" s="78" t="s">
        <v>35</v>
      </c>
      <c r="HY7" s="79" t="str">
        <f>HX6&amp;".c"&amp;HX5</f>
        <v>SITE_CO.c110</v>
      </c>
      <c r="HZ7" s="78" t="s">
        <v>35</v>
      </c>
      <c r="IA7" s="79" t="str">
        <f>HX6&amp;"_LCL.c"&amp;HZ5</f>
        <v>SITE_CO_LCL.c111</v>
      </c>
      <c r="IB7" s="28"/>
      <c r="IC7" s="28"/>
      <c r="ID7" s="28"/>
      <c r="IE7" s="28"/>
    </row>
    <row r="8" spans="1:239" s="11" customFormat="1" ht="60" customHeight="1" x14ac:dyDescent="0.2">
      <c r="A8" s="65" t="s">
        <v>1037</v>
      </c>
      <c r="B8" s="94"/>
      <c r="C8" s="95"/>
      <c r="D8" s="90" t="s">
        <v>2196</v>
      </c>
      <c r="E8" s="90" t="s">
        <v>2197</v>
      </c>
      <c r="F8" s="41"/>
      <c r="G8" s="90" t="s">
        <v>1406</v>
      </c>
      <c r="H8" s="90" t="s">
        <v>2198</v>
      </c>
      <c r="I8" s="41"/>
      <c r="J8" s="3"/>
      <c r="K8" s="9" t="s">
        <v>656</v>
      </c>
      <c r="L8" s="45" t="s">
        <v>16</v>
      </c>
      <c r="M8" s="9" t="str">
        <f>"DBC.MA.MAM_"&amp;L6</f>
        <v>DBC.MA.MAM_DA</v>
      </c>
      <c r="N8" s="45" t="s">
        <v>16</v>
      </c>
      <c r="O8" s="9" t="str">
        <f>"DBC.MA.MAM_"&amp;L6&amp;"_LCL"</f>
        <v>DBC.MA.MAM_DA_LCL</v>
      </c>
      <c r="P8" s="45" t="s">
        <v>16</v>
      </c>
      <c r="Q8" s="9" t="str">
        <f>"DBC.MA.MAM_"&amp;P6</f>
        <v>DBC.MA.MAM_DPT_BASE</v>
      </c>
      <c r="R8" s="45" t="s">
        <v>16</v>
      </c>
      <c r="S8" s="9" t="str">
        <f t="shared" ref="S8" si="104">"DBC.MA.MAM_"&amp;P6&amp;"_LCL"</f>
        <v>DBC.MA.MAM_DPT_BASE_LCL</v>
      </c>
      <c r="T8" s="45" t="s">
        <v>16</v>
      </c>
      <c r="U8" s="9" t="str">
        <f>"DBC.MA.MAM_"&amp;T6</f>
        <v>DBC.MA.MAM_DPT_LVL</v>
      </c>
      <c r="V8" s="45" t="s">
        <v>16</v>
      </c>
      <c r="W8" s="9" t="str">
        <f t="shared" ref="W8" si="105">"DBC.MA.MAM_"&amp;T6&amp;"_LCL"</f>
        <v>DBC.MA.MAM_DPT_LVL_LCL</v>
      </c>
      <c r="X8" s="45" t="s">
        <v>16</v>
      </c>
      <c r="Y8" s="9" t="str">
        <f>"DBC.MA.MAM_"&amp;X6</f>
        <v>DBC.MA.MAM_APRV_ROLE</v>
      </c>
      <c r="Z8" s="45" t="s">
        <v>16</v>
      </c>
      <c r="AA8" s="9" t="str">
        <f t="shared" ref="AA8" si="106">"DBC.MA.MAM_"&amp;X6&amp;"_LCL"</f>
        <v>DBC.MA.MAM_APRV_ROLE_LCL</v>
      </c>
      <c r="AB8" s="45" t="s">
        <v>16</v>
      </c>
      <c r="AC8" s="9" t="str">
        <f>"DBC.MA.MAM_"&amp;AB6</f>
        <v>DBC.MA.MAM_CNTRY</v>
      </c>
      <c r="AD8" s="45" t="s">
        <v>16</v>
      </c>
      <c r="AE8" s="9" t="str">
        <f t="shared" ref="AE8" si="107">"DBC.MA.MAM_"&amp;AB6&amp;"_LCL"</f>
        <v>DBC.MA.MAM_CNTRY_LCL</v>
      </c>
      <c r="AF8" s="45" t="s">
        <v>16</v>
      </c>
      <c r="AG8" s="9" t="str">
        <f>"DBC.MA.MAM_"&amp;AF6</f>
        <v>DBC.MA.MAM_AREA</v>
      </c>
      <c r="AH8" s="45" t="s">
        <v>16</v>
      </c>
      <c r="AI8" s="9" t="str">
        <f t="shared" ref="AI8" si="108">"DBC.MA.MAM_"&amp;AF6&amp;"_LCL"</f>
        <v>DBC.MA.MAM_AREA_LCL</v>
      </c>
      <c r="AJ8" s="45" t="s">
        <v>16</v>
      </c>
      <c r="AK8" s="9" t="str">
        <f>"DBC.MA.MAM_"&amp;AJ6</f>
        <v>DBC.MA.MAM_CUR</v>
      </c>
      <c r="AL8" s="45" t="s">
        <v>16</v>
      </c>
      <c r="AM8" s="9" t="str">
        <f t="shared" ref="AM8" si="109">"DBC.MA.MAM_"&amp;AJ6&amp;"_LCL"</f>
        <v>DBC.MA.MAM_CUR_LCL</v>
      </c>
      <c r="AN8" s="45" t="s">
        <v>16</v>
      </c>
      <c r="AO8" s="9" t="str">
        <f>"DBC.MA.MAM_"&amp;AN6</f>
        <v>DBC.MA.MAM_UNIT</v>
      </c>
      <c r="AP8" s="45" t="s">
        <v>16</v>
      </c>
      <c r="AQ8" s="9" t="str">
        <f t="shared" ref="AQ8" si="110">"DBC.MA.MAM_"&amp;AN6&amp;"_LCL"</f>
        <v>DBC.MA.MAM_UNIT_LCL</v>
      </c>
      <c r="AR8" s="45" t="s">
        <v>16</v>
      </c>
      <c r="AS8" s="9" t="str">
        <f>"DBC.MA.MAM_"&amp;AR6</f>
        <v>DBC.MA.MAM_BANK</v>
      </c>
      <c r="AT8" s="45" t="s">
        <v>16</v>
      </c>
      <c r="AU8" s="9" t="str">
        <f t="shared" ref="AU8" si="111">"DBC.MA.MAM_"&amp;AR6&amp;"_LCL"</f>
        <v>DBC.MA.MAM_BANK_LCL</v>
      </c>
      <c r="AV8" s="45" t="s">
        <v>16</v>
      </c>
      <c r="AW8" s="9" t="str">
        <f>"DBC.MA.MAM_"&amp;AV6</f>
        <v>DBC.MA.MAM_BANK_BRANCH</v>
      </c>
      <c r="AX8" s="45" t="s">
        <v>16</v>
      </c>
      <c r="AY8" s="9" t="str">
        <f t="shared" ref="AY8" si="112">"DBC.MA.MAM_"&amp;AV6&amp;"_LCL"</f>
        <v>DBC.MA.MAM_BANK_BRANCH_LCL</v>
      </c>
      <c r="AZ8" s="45" t="s">
        <v>16</v>
      </c>
      <c r="BA8" s="9" t="str">
        <f>"DBC.MA.MAM_"&amp;AZ6</f>
        <v>DBC.MA.MAM_BANK_AC</v>
      </c>
      <c r="BB8" s="45" t="s">
        <v>16</v>
      </c>
      <c r="BC8" s="9" t="str">
        <f t="shared" ref="BC8" si="113">"DBC.MA.MAM_"&amp;AZ6&amp;"_LCL"</f>
        <v>DBC.MA.MAM_BANK_AC_LCL</v>
      </c>
      <c r="BD8" s="45" t="s">
        <v>16</v>
      </c>
      <c r="BE8" s="9" t="str">
        <f>"DBC.MA.MAM_"&amp;BD6</f>
        <v>DBC.MA.MAM_XRATE</v>
      </c>
      <c r="BF8" s="45" t="s">
        <v>16</v>
      </c>
      <c r="BG8" s="9" t="str">
        <f t="shared" ref="BG8" si="114">"DBC.MA.MAM_"&amp;BD6&amp;"_LCL"</f>
        <v>DBC.MA.MAM_XRATE_LCL</v>
      </c>
      <c r="BH8" s="45" t="s">
        <v>16</v>
      </c>
      <c r="BI8" s="9" t="str">
        <f>"DBC.MA.MAM_"&amp;BH6</f>
        <v>DBC.MA.MAM_CAL_BASE</v>
      </c>
      <c r="BJ8" s="45" t="s">
        <v>16</v>
      </c>
      <c r="BK8" s="9" t="str">
        <f t="shared" ref="BK8" si="115">"DBC.MA.MAM_"&amp;BH6&amp;"_LCL"</f>
        <v>DBC.MA.MAM_CAL_BASE_LCL</v>
      </c>
      <c r="BL8" s="45" t="s">
        <v>16</v>
      </c>
      <c r="BM8" s="9" t="str">
        <f>"DBC.MA.MAM_"&amp;BL6</f>
        <v>DBC.MA.MAM_ITM_JNL</v>
      </c>
      <c r="BN8" s="45" t="s">
        <v>16</v>
      </c>
      <c r="BO8" s="9" t="str">
        <f t="shared" ref="BO8" si="116">"DBC.MA.MAM_"&amp;BL6&amp;"_LCL"</f>
        <v>DBC.MA.MAM_ITM_JNL_LCL</v>
      </c>
      <c r="BP8" s="45" t="s">
        <v>16</v>
      </c>
      <c r="BQ8" s="9" t="str">
        <f>"DBC.MA.MAM_"&amp;BP6</f>
        <v>DBC.MA.MAM_AC_ITM_GRP</v>
      </c>
      <c r="BR8" s="45" t="s">
        <v>16</v>
      </c>
      <c r="BS8" s="9" t="str">
        <f t="shared" ref="BS8" si="117">"DBC.MA.MAM_"&amp;BP6&amp;"_LCL"</f>
        <v>DBC.MA.MAM_AC_ITM_GRP_LCL</v>
      </c>
      <c r="BT8" s="45" t="s">
        <v>16</v>
      </c>
      <c r="BU8" s="9" t="str">
        <f>"DBC.MA.MAM_"&amp;BT6</f>
        <v>DBC.MA.MAM_AC_RSN</v>
      </c>
      <c r="BV8" s="45" t="s">
        <v>16</v>
      </c>
      <c r="BW8" s="9" t="str">
        <f t="shared" ref="BW8" si="118">"DBC.MA.MAM_"&amp;BT6&amp;"_LCL"</f>
        <v>DBC.MA.MAM_AC_RSN_LCL</v>
      </c>
      <c r="BX8" s="45" t="s">
        <v>16</v>
      </c>
      <c r="BY8" s="9" t="str">
        <f>"DBC.MA.MAM_"&amp;BX6</f>
        <v>DBC.MA.MAM_SITE</v>
      </c>
      <c r="BZ8" s="45" t="s">
        <v>16</v>
      </c>
      <c r="CA8" s="9" t="str">
        <f t="shared" ref="CA8" si="119">"DBC.MA.MAM_"&amp;BX6&amp;"_LCL"</f>
        <v>DBC.MA.MAM_SITE_LCL</v>
      </c>
      <c r="CB8" s="45" t="s">
        <v>16</v>
      </c>
      <c r="CC8" s="9" t="str">
        <f>"DBC.MA.MAM_"&amp;CB6</f>
        <v>DBC.MA.MAM_LOC_GRP</v>
      </c>
      <c r="CD8" s="45" t="s">
        <v>16</v>
      </c>
      <c r="CE8" s="9" t="str">
        <f t="shared" ref="CE8" si="120">"DBC.MA.MAM_"&amp;CB6&amp;"_LCL"</f>
        <v>DBC.MA.MAM_LOC_GRP_LCL</v>
      </c>
      <c r="CF8" s="45" t="s">
        <v>16</v>
      </c>
      <c r="CG8" s="9" t="str">
        <f>"DBC.MA.MAM_"&amp;CF6</f>
        <v>DBC.MA.MAM_LG_GRP</v>
      </c>
      <c r="CH8" s="45" t="s">
        <v>16</v>
      </c>
      <c r="CI8" s="9" t="str">
        <f t="shared" ref="CI8" si="121">"DBC.MA.MAM_"&amp;CF6&amp;"_LCL"</f>
        <v>DBC.MA.MAM_LG_GRP_LCL</v>
      </c>
      <c r="CJ8" s="45" t="s">
        <v>16</v>
      </c>
      <c r="CK8" s="9" t="str">
        <f>"DBC.MA.MAM_"&amp;CJ6</f>
        <v>DBC.MA.MAM_ALLOC_GRP</v>
      </c>
      <c r="CL8" s="45" t="s">
        <v>16</v>
      </c>
      <c r="CM8" s="9" t="str">
        <f t="shared" ref="CM8" si="122">"DBC.MA.MAM_"&amp;CJ6&amp;"_LCL"</f>
        <v>DBC.MA.MAM_ALLOC_GRP_LCL</v>
      </c>
      <c r="CN8" s="45" t="s">
        <v>16</v>
      </c>
      <c r="CO8" s="9" t="str">
        <f>"DBC.MA.MAM_"&amp;CN6</f>
        <v>DBC.MA.MAM_WG</v>
      </c>
      <c r="CP8" s="45" t="s">
        <v>16</v>
      </c>
      <c r="CQ8" s="9" t="str">
        <f t="shared" ref="CQ8" si="123">"DBC.MA.MAM_"&amp;CN6&amp;"_LCL"</f>
        <v>DBC.MA.MAM_WG_LCL</v>
      </c>
      <c r="CR8" s="45" t="s">
        <v>16</v>
      </c>
      <c r="CS8" s="9" t="str">
        <f>"DBC.MA.MAM_"&amp;CR6</f>
        <v>DBC.MA.MAM_OPER</v>
      </c>
      <c r="CT8" s="45" t="s">
        <v>16</v>
      </c>
      <c r="CU8" s="9" t="str">
        <f t="shared" ref="CU8" si="124">"DBC.MA.MAM_"&amp;CR6&amp;"_LCL"</f>
        <v>DBC.MA.MAM_OPER_LCL</v>
      </c>
      <c r="CV8" s="45" t="s">
        <v>16</v>
      </c>
      <c r="CW8" s="9" t="str">
        <f>"DBC.MA.MAM_"&amp;CV6</f>
        <v>DBC.MA.MAM_WK_COST</v>
      </c>
      <c r="CX8" s="45" t="s">
        <v>16</v>
      </c>
      <c r="CY8" s="9" t="str">
        <f t="shared" ref="CY8" si="125">"DBC.MA.MAM_"&amp;CV6&amp;"_LCL"</f>
        <v>DBC.MA.MAM_WK_COST_LCL</v>
      </c>
      <c r="CZ8" s="45" t="s">
        <v>16</v>
      </c>
      <c r="DA8" s="9" t="str">
        <f>"DBC.MA.MAM_"&amp;CZ6</f>
        <v>DBC.MA.MAM_WK_RSN</v>
      </c>
      <c r="DB8" s="45" t="s">
        <v>16</v>
      </c>
      <c r="DC8" s="9" t="str">
        <f t="shared" ref="DC8" si="126">"DBC.MA.MAM_"&amp;CZ6&amp;"_LCL"</f>
        <v>DBC.MA.MAM_WK_RSN_LCL</v>
      </c>
      <c r="DD8" s="45" t="s">
        <v>16</v>
      </c>
      <c r="DE8" s="9" t="str">
        <f>"DBC.MA.MAM_"&amp;DD6</f>
        <v>DBC.MA.MAM_SLS_UPRI_GRP</v>
      </c>
      <c r="DF8" s="45" t="s">
        <v>16</v>
      </c>
      <c r="DG8" s="9" t="str">
        <f t="shared" ref="DG8" si="127">"DBC.MA.MAM_"&amp;DD6&amp;"_LCL"</f>
        <v>DBC.MA.MAM_SLS_UPRI_GRP_LCL</v>
      </c>
      <c r="DH8" s="45" t="s">
        <v>16</v>
      </c>
      <c r="DI8" s="9" t="str">
        <f>"DBC.MA.MAM_"&amp;DH6</f>
        <v>DBC.MA.MAM_SLS_UPRI_RANK</v>
      </c>
      <c r="DJ8" s="45" t="s">
        <v>16</v>
      </c>
      <c r="DK8" s="9" t="str">
        <f t="shared" ref="DK8" si="128">"DBC.MA.MAM_"&amp;DH6&amp;"_LCL"</f>
        <v>DBC.MA.MAM_SLS_UPRI_RANK_LCL</v>
      </c>
      <c r="DL8" s="45" t="s">
        <v>16</v>
      </c>
      <c r="DM8" s="9" t="str">
        <f>"DBC.MA.MAM_"&amp;DL6</f>
        <v>DBC.MA.MAM_SETOFF_GRP</v>
      </c>
      <c r="DN8" s="45" t="s">
        <v>16</v>
      </c>
      <c r="DO8" s="9" t="str">
        <f t="shared" ref="DO8" si="129">"DBC.MA.MAM_"&amp;DL6&amp;"_LCL"</f>
        <v>DBC.MA.MAM_SETOFF_GRP_LCL</v>
      </c>
      <c r="DP8" s="45" t="s">
        <v>16</v>
      </c>
      <c r="DQ8" s="9" t="str">
        <f>"DBC.MA.MAM_"&amp;DP6</f>
        <v>DBC.MA.MAM_SHIP_VALID</v>
      </c>
      <c r="DR8" s="45" t="s">
        <v>16</v>
      </c>
      <c r="DS8" s="9" t="str">
        <f t="shared" ref="DS8" si="130">"DBC.MA.MAM_"&amp;DP6&amp;"_LCL"</f>
        <v>DBC.MA.MAM_SHIP_VALID_LCL</v>
      </c>
      <c r="DT8" s="45" t="s">
        <v>16</v>
      </c>
      <c r="DU8" s="9" t="str">
        <f>"DBC.MA.MAM_"&amp;DT6</f>
        <v>DBC.MA.MAM_ITM_SHIP_GRP</v>
      </c>
      <c r="DV8" s="45" t="s">
        <v>16</v>
      </c>
      <c r="DW8" s="9" t="str">
        <f t="shared" ref="DW8" si="131">"DBC.MA.MAM_"&amp;DT6&amp;"_LCL"</f>
        <v>DBC.MA.MAM_ITM_SHIP_GRP_LCL</v>
      </c>
      <c r="DX8" s="45" t="s">
        <v>16</v>
      </c>
      <c r="DY8" s="9" t="str">
        <f>"DBC.MA.MAM_"&amp;DX6</f>
        <v>DBC.MA.MAM_TRNSPT</v>
      </c>
      <c r="DZ8" s="45" t="s">
        <v>16</v>
      </c>
      <c r="EA8" s="9" t="str">
        <f t="shared" ref="EA8" si="132">"DBC.MA.MAM_"&amp;DX6&amp;"_LCL"</f>
        <v>DBC.MA.MAM_TRNSPT_LCL</v>
      </c>
      <c r="EB8" s="45" t="s">
        <v>16</v>
      </c>
      <c r="EC8" s="9" t="str">
        <f>"DBC.MA.MAM_"&amp;EB6</f>
        <v>DBC.MA.MAM_EX_CNTNR</v>
      </c>
      <c r="ED8" s="45" t="s">
        <v>16</v>
      </c>
      <c r="EE8" s="9" t="str">
        <f t="shared" ref="EE8" si="133">"DBC.MA.MAM_"&amp;EB6&amp;"_LCL"</f>
        <v>DBC.MA.MAM_EX_CNTNR_LCL</v>
      </c>
      <c r="EF8" s="45" t="s">
        <v>16</v>
      </c>
      <c r="EG8" s="9" t="str">
        <f>"DBC.MA.MAM_"&amp;EF6</f>
        <v>DBC.MA.MAM_EXIM_PORT</v>
      </c>
      <c r="EH8" s="45" t="s">
        <v>16</v>
      </c>
      <c r="EI8" s="9" t="str">
        <f t="shared" ref="EI8" si="134">"DBC.MA.MAM_"&amp;EF6&amp;"_LCL"</f>
        <v>DBC.MA.MAM_EXIM_PORT_LCL</v>
      </c>
      <c r="EJ8" s="45" t="s">
        <v>16</v>
      </c>
      <c r="EK8" s="9" t="str">
        <f>"DBC.MA.MAM_"&amp;EJ6</f>
        <v>DBC.MA.MAM_STK_GD</v>
      </c>
      <c r="EL8" s="45" t="s">
        <v>16</v>
      </c>
      <c r="EM8" s="9" t="str">
        <f t="shared" ref="EM8" si="135">"DBC.MA.MAM_"&amp;EJ6&amp;"_LCL"</f>
        <v>DBC.MA.MAM_STK_GD_LCL</v>
      </c>
      <c r="EN8" s="45" t="s">
        <v>16</v>
      </c>
      <c r="EO8" s="9" t="str">
        <f>"DBC.MA.MAM_"&amp;EN6</f>
        <v>DBC.MA.MAM_TRD</v>
      </c>
      <c r="EP8" s="45" t="s">
        <v>16</v>
      </c>
      <c r="EQ8" s="9" t="str">
        <f t="shared" ref="EQ8" si="136">"DBC.MA.MAM_"&amp;EN6&amp;"_LCL"</f>
        <v>DBC.MA.MAM_TRD_LCL</v>
      </c>
      <c r="ER8" s="45" t="s">
        <v>16</v>
      </c>
      <c r="ES8" s="9" t="str">
        <f>"DBC.MA.MAM_"&amp;ER6</f>
        <v>DBC.MA.MAM_SLIP_FORM</v>
      </c>
      <c r="ET8" s="45" t="s">
        <v>16</v>
      </c>
      <c r="EU8" s="9" t="str">
        <f t="shared" ref="EU8" si="137">"DBC.MA.MAM_"&amp;ER6&amp;"_LCL"</f>
        <v>DBC.MA.MAM_SLIP_FORM_LCL</v>
      </c>
      <c r="EV8" s="45" t="s">
        <v>16</v>
      </c>
      <c r="EW8" s="9" t="str">
        <f>"DBC.MA.MAM_"&amp;EV6</f>
        <v>DBC.MA.MAM_PF_GRP</v>
      </c>
      <c r="EX8" s="45" t="s">
        <v>16</v>
      </c>
      <c r="EY8" s="9" t="str">
        <f t="shared" ref="EY8" si="138">"DBC.MA.MAM_"&amp;EV6&amp;"_LCL"</f>
        <v>DBC.MA.MAM_PF_GRP_LCL</v>
      </c>
      <c r="EZ8" s="45" t="s">
        <v>16</v>
      </c>
      <c r="FA8" s="9" t="str">
        <f>"DBC.MA.MAM_"&amp;EZ6</f>
        <v>DBC.MA.MAM_ITM_SPEC_GRP</v>
      </c>
      <c r="FB8" s="45" t="s">
        <v>16</v>
      </c>
      <c r="FC8" s="9" t="str">
        <f t="shared" ref="FC8" si="139">"DBC.MA.MAM_"&amp;EZ6&amp;"_LCL"</f>
        <v>DBC.MA.MAM_ITM_SPEC_GRP_LCL</v>
      </c>
      <c r="FD8" s="45" t="s">
        <v>16</v>
      </c>
      <c r="FE8" s="9" t="str">
        <f>"DBC.MA.MAM_"&amp;FD6</f>
        <v>DBC.MA.MAM_ITM_COMP_GRP</v>
      </c>
      <c r="FF8" s="45" t="s">
        <v>16</v>
      </c>
      <c r="FG8" s="9" t="str">
        <f t="shared" ref="FG8" si="140">"DBC.MA.MAM_"&amp;FD6&amp;"_LCL"</f>
        <v>DBC.MA.MAM_ITM_COMP_GRP_LCL</v>
      </c>
      <c r="FH8" s="45" t="s">
        <v>16</v>
      </c>
      <c r="FI8" s="9" t="str">
        <f>"DBC.MA.MAM_"&amp;FH6</f>
        <v>DBC.MA.MAM_JNL_ACT</v>
      </c>
      <c r="FJ8" s="45" t="s">
        <v>16</v>
      </c>
      <c r="FK8" s="9" t="str">
        <f t="shared" ref="FK8" si="141">"DBC.MA.MAM_"&amp;FH6&amp;"_LCL"</f>
        <v>DBC.MA.MAM_JNL_ACT_LCL</v>
      </c>
      <c r="FL8" s="45" t="s">
        <v>16</v>
      </c>
      <c r="FM8" s="9" t="str">
        <f>"DBC.MA.MAM_"&amp;FL6</f>
        <v>DBC.MA.MAM_JNL_GRP</v>
      </c>
      <c r="FN8" s="45" t="s">
        <v>16</v>
      </c>
      <c r="FO8" s="9" t="str">
        <f t="shared" ref="FO8" si="142">"DBC.MA.MAM_"&amp;FL6&amp;"_LCL"</f>
        <v>DBC.MA.MAM_JNL_GRP_LCL</v>
      </c>
      <c r="FP8" s="45" t="s">
        <v>16</v>
      </c>
      <c r="FQ8" s="9" t="str">
        <f>"DBC.MA.MAM_"&amp;FP6</f>
        <v>DBC.MA.MAM_JNL_PTN_BASE</v>
      </c>
      <c r="FR8" s="45" t="s">
        <v>16</v>
      </c>
      <c r="FS8" s="9" t="str">
        <f t="shared" ref="FS8" si="143">"DBC.MA.MAM_"&amp;FP6&amp;"_LCL"</f>
        <v>DBC.MA.MAM_JNL_PTN_BASE_LCL</v>
      </c>
      <c r="FT8" s="45" t="s">
        <v>16</v>
      </c>
      <c r="FU8" s="9" t="str">
        <f>"DBC.MA.MAM_"&amp;FT6</f>
        <v>DBC.MA.MAM_AUTO_JNL_KEY</v>
      </c>
      <c r="FV8" s="45" t="s">
        <v>16</v>
      </c>
      <c r="FW8" s="9" t="str">
        <f t="shared" ref="FW8" si="144">"DBC.MA.MAM_"&amp;FT6&amp;"_LCL"</f>
        <v>DBC.MA.MAM_AUTO_JNL_KEY_LCL</v>
      </c>
      <c r="FX8" s="45" t="s">
        <v>16</v>
      </c>
      <c r="FY8" s="9" t="str">
        <f>"DBC.MA.MAM_"&amp;FX6</f>
        <v>DBC.MA.MAM_INSP_PTN</v>
      </c>
      <c r="FZ8" s="45" t="s">
        <v>16</v>
      </c>
      <c r="GA8" s="9" t="str">
        <f t="shared" ref="GA8" si="145">"DBC.MA.MAM_"&amp;FX6&amp;"_LCL"</f>
        <v>DBC.MA.MAM_INSP_PTN_LCL</v>
      </c>
      <c r="GB8" s="45" t="s">
        <v>16</v>
      </c>
      <c r="GC8" s="9" t="str">
        <f>"DBC.MA.MAM_"&amp;GB6</f>
        <v>DBC.MA.MAM_WK_DAY</v>
      </c>
      <c r="GD8" s="45" t="s">
        <v>16</v>
      </c>
      <c r="GE8" s="9" t="str">
        <f t="shared" ref="GE8" si="146">"DBC.MA.MAM_"&amp;GB6&amp;"_LCL"</f>
        <v>DBC.MA.MAM_WK_DAY_LCL</v>
      </c>
      <c r="GF8" s="45" t="s">
        <v>16</v>
      </c>
      <c r="GG8" s="9" t="str">
        <f>"DBC.MA.MAM_"&amp;GF6</f>
        <v>DBC.MA.MAM_SHIP_TERM</v>
      </c>
      <c r="GH8" s="45" t="s">
        <v>16</v>
      </c>
      <c r="GI8" s="9" t="str">
        <f t="shared" ref="GI8" si="147">"DBC.MA.MAM_"&amp;GF6&amp;"_LCL"</f>
        <v>DBC.MA.MAM_SHIP_TERM_LCL</v>
      </c>
      <c r="GJ8" s="45" t="s">
        <v>16</v>
      </c>
      <c r="GK8" s="9" t="str">
        <f>"DBC.MA.MAM_"&amp;GJ6</f>
        <v>DBC.MA.MAM_SHIP_WK</v>
      </c>
      <c r="GL8" s="45" t="s">
        <v>16</v>
      </c>
      <c r="GM8" s="9" t="str">
        <f t="shared" ref="GM8" si="148">"DBC.MA.MAM_"&amp;GJ6&amp;"_LCL"</f>
        <v>DBC.MA.MAM_SHIP_WK_LCL</v>
      </c>
      <c r="GN8" s="45" t="s">
        <v>16</v>
      </c>
      <c r="GO8" s="9" t="str">
        <f>"DBC.MA.MAM_"&amp;GN6</f>
        <v>DBC.MA.MAM_RSRC</v>
      </c>
      <c r="GP8" s="45" t="s">
        <v>16</v>
      </c>
      <c r="GQ8" s="9" t="str">
        <f t="shared" ref="GQ8" si="149">"DBC.MA.MAM_"&amp;GN6&amp;"_LCL"</f>
        <v>DBC.MA.MAM_RSRC_LCL</v>
      </c>
      <c r="GR8" s="45" t="s">
        <v>16</v>
      </c>
      <c r="GS8" s="9" t="str">
        <f>"DBC.MA.MAM_"&amp;GR6</f>
        <v>DBC.MA.MAM_HS_GRP</v>
      </c>
      <c r="GT8" s="45" t="s">
        <v>16</v>
      </c>
      <c r="GU8" s="9" t="str">
        <f t="shared" ref="GU8" si="150">"DBC.MA.MAM_"&amp;GR6&amp;"_LCL"</f>
        <v>DBC.MA.MAM_HS_GRP_LCL</v>
      </c>
      <c r="GV8" s="45" t="s">
        <v>16</v>
      </c>
      <c r="GW8" s="9" t="str">
        <f>"DBC.MA.MAM_"&amp;GV6</f>
        <v>DBC.MA.MAM_ALC_PTN</v>
      </c>
      <c r="GX8" s="45" t="s">
        <v>16</v>
      </c>
      <c r="GY8" s="9" t="str">
        <f t="shared" ref="GY8" si="151">"DBC.MA.MAM_"&amp;GV6&amp;"_LCL"</f>
        <v>DBC.MA.MAM_ALC_PTN_LCL</v>
      </c>
      <c r="GZ8" s="45" t="s">
        <v>16</v>
      </c>
      <c r="HA8" s="9" t="str">
        <f>"DBC.MA.MAM_"&amp;GZ6</f>
        <v>DBC.MA.MAM_CTG_GRP</v>
      </c>
      <c r="HB8" s="45" t="s">
        <v>16</v>
      </c>
      <c r="HC8" s="9" t="str">
        <f t="shared" ref="HC8" si="152">"DBC.MA.MAM_"&amp;GZ6&amp;"_LCL"</f>
        <v>DBC.MA.MAM_CTG_GRP_LCL</v>
      </c>
      <c r="HD8" s="45" t="s">
        <v>16</v>
      </c>
      <c r="HE8" s="9" t="str">
        <f>"DBC.MA.MAM_"&amp;HD6</f>
        <v>DBC.MA.MAM_ACT_PTN</v>
      </c>
      <c r="HF8" s="45" t="s">
        <v>16</v>
      </c>
      <c r="HG8" s="9" t="str">
        <f t="shared" ref="HG8" si="153">"DBC.MA.MAM_"&amp;HD6&amp;"_LCL"</f>
        <v>DBC.MA.MAM_ACT_PTN_LCL</v>
      </c>
      <c r="HH8" s="45" t="s">
        <v>16</v>
      </c>
      <c r="HI8" s="9" t="str">
        <f>"DBC.MA.MAM_"&amp;HH6</f>
        <v>DBC.MA.MAM_GP_ALC</v>
      </c>
      <c r="HJ8" s="45" t="s">
        <v>16</v>
      </c>
      <c r="HK8" s="9" t="str">
        <f t="shared" ref="HK8" si="154">"DBC.MA.MAM_"&amp;HH6&amp;"_LCL"</f>
        <v>DBC.MA.MAM_GP_ALC_LCL</v>
      </c>
      <c r="HL8" s="45" t="s">
        <v>16</v>
      </c>
      <c r="HM8" s="9" t="str">
        <f>"DBC.MA.MAM_"&amp;HL6</f>
        <v>DBC.MA.MAM_CALC_CTG</v>
      </c>
      <c r="HN8" s="45" t="s">
        <v>16</v>
      </c>
      <c r="HO8" s="9" t="str">
        <f t="shared" ref="HO8" si="155">"DBC.MA.MAM_"&amp;HL6&amp;"_LCL"</f>
        <v>DBC.MA.MAM_CALC_CTG_LCL</v>
      </c>
      <c r="HP8" s="45" t="s">
        <v>16</v>
      </c>
      <c r="HQ8" s="9" t="str">
        <f>"DBC.MA.MAM_"&amp;HP6</f>
        <v>DBC.MA.MAM_RPT_PTN</v>
      </c>
      <c r="HR8" s="45" t="s">
        <v>16</v>
      </c>
      <c r="HS8" s="9" t="str">
        <f t="shared" ref="HS8" si="156">"DBC.MA.MAM_"&amp;HP6&amp;"_LCL"</f>
        <v>DBC.MA.MAM_RPT_PTN_LCL</v>
      </c>
      <c r="HT8" s="45" t="s">
        <v>16</v>
      </c>
      <c r="HU8" s="9" t="str">
        <f>"DBC.MA.MAM_"&amp;HT6</f>
        <v>DBC.MA.MAM_COST_MENU</v>
      </c>
      <c r="HV8" s="45" t="s">
        <v>16</v>
      </c>
      <c r="HW8" s="9" t="str">
        <f t="shared" ref="HW8" si="157">"DBC.MA.MAM_"&amp;HT6&amp;"_LCL"</f>
        <v>DBC.MA.MAM_COST_MENU_LCL</v>
      </c>
      <c r="HX8" s="45" t="s">
        <v>16</v>
      </c>
      <c r="HY8" s="9" t="str">
        <f>"DBC.MA.MAM_"&amp;HX6</f>
        <v>DBC.MA.MAM_SITE_CO</v>
      </c>
      <c r="HZ8" s="45" t="s">
        <v>16</v>
      </c>
      <c r="IA8" s="9" t="str">
        <f>"DBC.MA.MAM_"&amp;HX6&amp;"_LCL"</f>
        <v>DBC.MA.MAM_SITE_CO_LCL</v>
      </c>
      <c r="IB8" s="96"/>
      <c r="IC8" s="97"/>
      <c r="ID8" s="98" t="s">
        <v>2207</v>
      </c>
      <c r="IE8" s="68"/>
    </row>
    <row r="9" spans="1:239" s="11" customFormat="1" ht="60" customHeight="1" x14ac:dyDescent="0.2">
      <c r="A9" s="9" t="s">
        <v>1038</v>
      </c>
      <c r="B9" s="50"/>
      <c r="C9" s="51"/>
      <c r="D9" s="90" t="s">
        <v>2199</v>
      </c>
      <c r="E9" s="99" t="s">
        <v>2200</v>
      </c>
      <c r="F9" s="90" t="s">
        <v>2201</v>
      </c>
      <c r="G9" s="90" t="s">
        <v>2202</v>
      </c>
      <c r="H9" s="90" t="s">
        <v>2203</v>
      </c>
      <c r="I9" s="100" t="s">
        <v>2204</v>
      </c>
      <c r="J9" s="90" t="s">
        <v>2205</v>
      </c>
      <c r="K9" s="7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98" t="s">
        <v>2206</v>
      </c>
      <c r="IC9" s="68"/>
      <c r="ID9" s="98" t="s">
        <v>2208</v>
      </c>
      <c r="IE9" s="68"/>
    </row>
    <row r="10" spans="1:239" s="11" customFormat="1" ht="52" x14ac:dyDescent="0.2">
      <c r="A10" s="52" t="s">
        <v>18</v>
      </c>
      <c r="B10" s="53"/>
      <c r="C10" s="53"/>
      <c r="D10" s="54"/>
      <c r="E10" s="55"/>
      <c r="F10" s="55"/>
      <c r="G10" s="56"/>
      <c r="H10" s="56"/>
      <c r="I10" s="55"/>
      <c r="J10" s="55"/>
      <c r="K10" s="55"/>
      <c r="L10" s="93" t="s">
        <v>2204</v>
      </c>
      <c r="M10" s="93" t="s">
        <v>2205</v>
      </c>
      <c r="N10" s="93" t="s">
        <v>2204</v>
      </c>
      <c r="O10" s="93" t="s">
        <v>2205</v>
      </c>
      <c r="P10" s="93" t="s">
        <v>2204</v>
      </c>
      <c r="Q10" s="93" t="s">
        <v>2205</v>
      </c>
      <c r="R10" s="93" t="s">
        <v>2204</v>
      </c>
      <c r="S10" s="93" t="s">
        <v>2205</v>
      </c>
      <c r="T10" s="93" t="s">
        <v>2204</v>
      </c>
      <c r="U10" s="93" t="s">
        <v>2205</v>
      </c>
      <c r="V10" s="93" t="s">
        <v>2204</v>
      </c>
      <c r="W10" s="93" t="s">
        <v>2205</v>
      </c>
      <c r="X10" s="93" t="s">
        <v>2204</v>
      </c>
      <c r="Y10" s="93" t="s">
        <v>2205</v>
      </c>
      <c r="Z10" s="93" t="s">
        <v>2204</v>
      </c>
      <c r="AA10" s="93" t="s">
        <v>2205</v>
      </c>
      <c r="AB10" s="93" t="s">
        <v>2204</v>
      </c>
      <c r="AC10" s="93" t="s">
        <v>2205</v>
      </c>
      <c r="AD10" s="93" t="s">
        <v>2204</v>
      </c>
      <c r="AE10" s="93" t="s">
        <v>2205</v>
      </c>
      <c r="AF10" s="93" t="s">
        <v>2204</v>
      </c>
      <c r="AG10" s="93" t="s">
        <v>2205</v>
      </c>
      <c r="AH10" s="93" t="s">
        <v>2204</v>
      </c>
      <c r="AI10" s="93" t="s">
        <v>2205</v>
      </c>
      <c r="AJ10" s="93" t="s">
        <v>2204</v>
      </c>
      <c r="AK10" s="93" t="s">
        <v>2205</v>
      </c>
      <c r="AL10" s="93" t="s">
        <v>2204</v>
      </c>
      <c r="AM10" s="93" t="s">
        <v>2205</v>
      </c>
      <c r="AN10" s="93" t="s">
        <v>2204</v>
      </c>
      <c r="AO10" s="93" t="s">
        <v>2205</v>
      </c>
      <c r="AP10" s="93" t="s">
        <v>2204</v>
      </c>
      <c r="AQ10" s="93" t="s">
        <v>2205</v>
      </c>
      <c r="AR10" s="93" t="s">
        <v>2204</v>
      </c>
      <c r="AS10" s="93" t="s">
        <v>2205</v>
      </c>
      <c r="AT10" s="93" t="s">
        <v>2204</v>
      </c>
      <c r="AU10" s="93" t="s">
        <v>2205</v>
      </c>
      <c r="AV10" s="93" t="s">
        <v>2204</v>
      </c>
      <c r="AW10" s="93" t="s">
        <v>2205</v>
      </c>
      <c r="AX10" s="93" t="s">
        <v>2204</v>
      </c>
      <c r="AY10" s="93" t="s">
        <v>2205</v>
      </c>
      <c r="AZ10" s="93" t="s">
        <v>2204</v>
      </c>
      <c r="BA10" s="93" t="s">
        <v>2205</v>
      </c>
      <c r="BB10" s="93" t="s">
        <v>2204</v>
      </c>
      <c r="BC10" s="93" t="s">
        <v>2205</v>
      </c>
      <c r="BD10" s="93" t="s">
        <v>2204</v>
      </c>
      <c r="BE10" s="93" t="s">
        <v>2205</v>
      </c>
      <c r="BF10" s="93" t="s">
        <v>2204</v>
      </c>
      <c r="BG10" s="93" t="s">
        <v>2205</v>
      </c>
      <c r="BH10" s="93" t="s">
        <v>2204</v>
      </c>
      <c r="BI10" s="93" t="s">
        <v>2205</v>
      </c>
      <c r="BJ10" s="93" t="s">
        <v>2204</v>
      </c>
      <c r="BK10" s="93" t="s">
        <v>2205</v>
      </c>
      <c r="BL10" s="93" t="s">
        <v>2204</v>
      </c>
      <c r="BM10" s="93" t="s">
        <v>2205</v>
      </c>
      <c r="BN10" s="93" t="s">
        <v>2204</v>
      </c>
      <c r="BO10" s="93" t="s">
        <v>2205</v>
      </c>
      <c r="BP10" s="93" t="s">
        <v>2204</v>
      </c>
      <c r="BQ10" s="93" t="s">
        <v>2205</v>
      </c>
      <c r="BR10" s="93" t="s">
        <v>2204</v>
      </c>
      <c r="BS10" s="93" t="s">
        <v>2205</v>
      </c>
      <c r="BT10" s="93" t="s">
        <v>2204</v>
      </c>
      <c r="BU10" s="93" t="s">
        <v>2205</v>
      </c>
      <c r="BV10" s="93" t="s">
        <v>2204</v>
      </c>
      <c r="BW10" s="93" t="s">
        <v>2205</v>
      </c>
      <c r="BX10" s="93" t="s">
        <v>2204</v>
      </c>
      <c r="BY10" s="93" t="s">
        <v>2205</v>
      </c>
      <c r="BZ10" s="93" t="s">
        <v>2204</v>
      </c>
      <c r="CA10" s="93" t="s">
        <v>2205</v>
      </c>
      <c r="CB10" s="93" t="s">
        <v>2204</v>
      </c>
      <c r="CC10" s="93" t="s">
        <v>2205</v>
      </c>
      <c r="CD10" s="93" t="s">
        <v>2204</v>
      </c>
      <c r="CE10" s="93" t="s">
        <v>2205</v>
      </c>
      <c r="CF10" s="93" t="s">
        <v>2204</v>
      </c>
      <c r="CG10" s="93" t="s">
        <v>2205</v>
      </c>
      <c r="CH10" s="93" t="s">
        <v>2204</v>
      </c>
      <c r="CI10" s="93" t="s">
        <v>2205</v>
      </c>
      <c r="CJ10" s="93" t="s">
        <v>2204</v>
      </c>
      <c r="CK10" s="93" t="s">
        <v>2205</v>
      </c>
      <c r="CL10" s="93" t="s">
        <v>2204</v>
      </c>
      <c r="CM10" s="93" t="s">
        <v>2205</v>
      </c>
      <c r="CN10" s="93" t="s">
        <v>2204</v>
      </c>
      <c r="CO10" s="93" t="s">
        <v>2205</v>
      </c>
      <c r="CP10" s="93" t="s">
        <v>2204</v>
      </c>
      <c r="CQ10" s="93" t="s">
        <v>2205</v>
      </c>
      <c r="CR10" s="93" t="s">
        <v>2204</v>
      </c>
      <c r="CS10" s="93" t="s">
        <v>2205</v>
      </c>
      <c r="CT10" s="93" t="s">
        <v>2204</v>
      </c>
      <c r="CU10" s="93" t="s">
        <v>2205</v>
      </c>
      <c r="CV10" s="93" t="s">
        <v>2204</v>
      </c>
      <c r="CW10" s="93" t="s">
        <v>2205</v>
      </c>
      <c r="CX10" s="93" t="s">
        <v>2204</v>
      </c>
      <c r="CY10" s="93" t="s">
        <v>2205</v>
      </c>
      <c r="CZ10" s="93" t="s">
        <v>2204</v>
      </c>
      <c r="DA10" s="93" t="s">
        <v>2205</v>
      </c>
      <c r="DB10" s="93" t="s">
        <v>2204</v>
      </c>
      <c r="DC10" s="93" t="s">
        <v>2205</v>
      </c>
      <c r="DD10" s="93" t="s">
        <v>2204</v>
      </c>
      <c r="DE10" s="93" t="s">
        <v>2205</v>
      </c>
      <c r="DF10" s="93" t="s">
        <v>2204</v>
      </c>
      <c r="DG10" s="93" t="s">
        <v>2205</v>
      </c>
      <c r="DH10" s="93" t="s">
        <v>2204</v>
      </c>
      <c r="DI10" s="93" t="s">
        <v>2205</v>
      </c>
      <c r="DJ10" s="93" t="s">
        <v>2204</v>
      </c>
      <c r="DK10" s="93" t="s">
        <v>2205</v>
      </c>
      <c r="DL10" s="93" t="s">
        <v>2204</v>
      </c>
      <c r="DM10" s="93" t="s">
        <v>2205</v>
      </c>
      <c r="DN10" s="93" t="s">
        <v>2204</v>
      </c>
      <c r="DO10" s="93" t="s">
        <v>2205</v>
      </c>
      <c r="DP10" s="93" t="s">
        <v>2204</v>
      </c>
      <c r="DQ10" s="93" t="s">
        <v>2205</v>
      </c>
      <c r="DR10" s="93" t="s">
        <v>2204</v>
      </c>
      <c r="DS10" s="93" t="s">
        <v>2205</v>
      </c>
      <c r="DT10" s="93" t="s">
        <v>2204</v>
      </c>
      <c r="DU10" s="93" t="s">
        <v>2205</v>
      </c>
      <c r="DV10" s="93" t="s">
        <v>2204</v>
      </c>
      <c r="DW10" s="93" t="s">
        <v>2205</v>
      </c>
      <c r="DX10" s="93" t="s">
        <v>2204</v>
      </c>
      <c r="DY10" s="93" t="s">
        <v>2205</v>
      </c>
      <c r="DZ10" s="93" t="s">
        <v>2204</v>
      </c>
      <c r="EA10" s="93" t="s">
        <v>2205</v>
      </c>
      <c r="EB10" s="93" t="s">
        <v>2204</v>
      </c>
      <c r="EC10" s="93" t="s">
        <v>2205</v>
      </c>
      <c r="ED10" s="93" t="s">
        <v>2204</v>
      </c>
      <c r="EE10" s="93" t="s">
        <v>2205</v>
      </c>
      <c r="EF10" s="93" t="s">
        <v>2204</v>
      </c>
      <c r="EG10" s="93" t="s">
        <v>2205</v>
      </c>
      <c r="EH10" s="93" t="s">
        <v>2204</v>
      </c>
      <c r="EI10" s="93" t="s">
        <v>2205</v>
      </c>
      <c r="EJ10" s="93" t="s">
        <v>2204</v>
      </c>
      <c r="EK10" s="93" t="s">
        <v>2205</v>
      </c>
      <c r="EL10" s="93" t="s">
        <v>2204</v>
      </c>
      <c r="EM10" s="93" t="s">
        <v>2205</v>
      </c>
      <c r="EN10" s="93" t="s">
        <v>2204</v>
      </c>
      <c r="EO10" s="93" t="s">
        <v>2205</v>
      </c>
      <c r="EP10" s="93" t="s">
        <v>2204</v>
      </c>
      <c r="EQ10" s="93" t="s">
        <v>2205</v>
      </c>
      <c r="ER10" s="93" t="s">
        <v>2204</v>
      </c>
      <c r="ES10" s="93" t="s">
        <v>2205</v>
      </c>
      <c r="ET10" s="93" t="s">
        <v>2204</v>
      </c>
      <c r="EU10" s="93" t="s">
        <v>2205</v>
      </c>
      <c r="EV10" s="93" t="s">
        <v>2204</v>
      </c>
      <c r="EW10" s="93" t="s">
        <v>2205</v>
      </c>
      <c r="EX10" s="93" t="s">
        <v>2204</v>
      </c>
      <c r="EY10" s="93" t="s">
        <v>2205</v>
      </c>
      <c r="EZ10" s="93" t="s">
        <v>2204</v>
      </c>
      <c r="FA10" s="93" t="s">
        <v>2205</v>
      </c>
      <c r="FB10" s="93" t="s">
        <v>2204</v>
      </c>
      <c r="FC10" s="93" t="s">
        <v>2205</v>
      </c>
      <c r="FD10" s="93" t="s">
        <v>2204</v>
      </c>
      <c r="FE10" s="93" t="s">
        <v>2205</v>
      </c>
      <c r="FF10" s="93" t="s">
        <v>2204</v>
      </c>
      <c r="FG10" s="93" t="s">
        <v>2205</v>
      </c>
      <c r="FH10" s="93" t="s">
        <v>2204</v>
      </c>
      <c r="FI10" s="93" t="s">
        <v>2205</v>
      </c>
      <c r="FJ10" s="93" t="s">
        <v>2204</v>
      </c>
      <c r="FK10" s="93" t="s">
        <v>2205</v>
      </c>
      <c r="FL10" s="93" t="s">
        <v>2204</v>
      </c>
      <c r="FM10" s="93" t="s">
        <v>2205</v>
      </c>
      <c r="FN10" s="93" t="s">
        <v>2204</v>
      </c>
      <c r="FO10" s="93" t="s">
        <v>2205</v>
      </c>
      <c r="FP10" s="93" t="s">
        <v>2204</v>
      </c>
      <c r="FQ10" s="93" t="s">
        <v>2205</v>
      </c>
      <c r="FR10" s="93" t="s">
        <v>2204</v>
      </c>
      <c r="FS10" s="93" t="s">
        <v>2205</v>
      </c>
      <c r="FT10" s="93" t="s">
        <v>2204</v>
      </c>
      <c r="FU10" s="93" t="s">
        <v>2205</v>
      </c>
      <c r="FV10" s="93" t="s">
        <v>2204</v>
      </c>
      <c r="FW10" s="93" t="s">
        <v>2205</v>
      </c>
      <c r="FX10" s="93" t="s">
        <v>2204</v>
      </c>
      <c r="FY10" s="93" t="s">
        <v>2205</v>
      </c>
      <c r="FZ10" s="93" t="s">
        <v>2204</v>
      </c>
      <c r="GA10" s="93" t="s">
        <v>2205</v>
      </c>
      <c r="GB10" s="93" t="s">
        <v>2204</v>
      </c>
      <c r="GC10" s="93" t="s">
        <v>2205</v>
      </c>
      <c r="GD10" s="93" t="s">
        <v>2204</v>
      </c>
      <c r="GE10" s="93" t="s">
        <v>2205</v>
      </c>
      <c r="GF10" s="93" t="s">
        <v>2204</v>
      </c>
      <c r="GG10" s="93" t="s">
        <v>2205</v>
      </c>
      <c r="GH10" s="93" t="s">
        <v>2204</v>
      </c>
      <c r="GI10" s="93" t="s">
        <v>2205</v>
      </c>
      <c r="GJ10" s="93" t="s">
        <v>2204</v>
      </c>
      <c r="GK10" s="93" t="s">
        <v>2205</v>
      </c>
      <c r="GL10" s="93" t="s">
        <v>2204</v>
      </c>
      <c r="GM10" s="93" t="s">
        <v>2205</v>
      </c>
      <c r="GN10" s="93" t="s">
        <v>2204</v>
      </c>
      <c r="GO10" s="93" t="s">
        <v>2205</v>
      </c>
      <c r="GP10" s="93" t="s">
        <v>2204</v>
      </c>
      <c r="GQ10" s="93" t="s">
        <v>2205</v>
      </c>
      <c r="GR10" s="93" t="s">
        <v>2204</v>
      </c>
      <c r="GS10" s="93" t="s">
        <v>2205</v>
      </c>
      <c r="GT10" s="93" t="s">
        <v>2204</v>
      </c>
      <c r="GU10" s="93" t="s">
        <v>2205</v>
      </c>
      <c r="GV10" s="93" t="s">
        <v>2204</v>
      </c>
      <c r="GW10" s="93" t="s">
        <v>2205</v>
      </c>
      <c r="GX10" s="93" t="s">
        <v>2204</v>
      </c>
      <c r="GY10" s="93" t="s">
        <v>2205</v>
      </c>
      <c r="GZ10" s="93" t="s">
        <v>2204</v>
      </c>
      <c r="HA10" s="93" t="s">
        <v>2205</v>
      </c>
      <c r="HB10" s="93" t="s">
        <v>2204</v>
      </c>
      <c r="HC10" s="93" t="s">
        <v>2205</v>
      </c>
      <c r="HD10" s="93" t="s">
        <v>2204</v>
      </c>
      <c r="HE10" s="93" t="s">
        <v>2205</v>
      </c>
      <c r="HF10" s="93" t="s">
        <v>2204</v>
      </c>
      <c r="HG10" s="93" t="s">
        <v>2205</v>
      </c>
      <c r="HH10" s="93" t="s">
        <v>2204</v>
      </c>
      <c r="HI10" s="93" t="s">
        <v>2205</v>
      </c>
      <c r="HJ10" s="93" t="s">
        <v>2204</v>
      </c>
      <c r="HK10" s="93" t="s">
        <v>2205</v>
      </c>
      <c r="HL10" s="93" t="s">
        <v>2204</v>
      </c>
      <c r="HM10" s="93" t="s">
        <v>2205</v>
      </c>
      <c r="HN10" s="93" t="s">
        <v>2204</v>
      </c>
      <c r="HO10" s="93" t="s">
        <v>2205</v>
      </c>
      <c r="HP10" s="93" t="s">
        <v>2204</v>
      </c>
      <c r="HQ10" s="93" t="s">
        <v>2205</v>
      </c>
      <c r="HR10" s="93" t="s">
        <v>2204</v>
      </c>
      <c r="HS10" s="93" t="s">
        <v>2205</v>
      </c>
      <c r="HT10" s="93" t="s">
        <v>2204</v>
      </c>
      <c r="HU10" s="93" t="s">
        <v>2205</v>
      </c>
      <c r="HV10" s="93" t="s">
        <v>2204</v>
      </c>
      <c r="HW10" s="93" t="s">
        <v>2205</v>
      </c>
      <c r="HX10" s="93" t="s">
        <v>2204</v>
      </c>
      <c r="HY10" s="93" t="s">
        <v>2205</v>
      </c>
      <c r="HZ10" s="93" t="s">
        <v>2204</v>
      </c>
      <c r="IA10" s="93" t="s">
        <v>2205</v>
      </c>
      <c r="IB10" s="55"/>
      <c r="IC10" s="55"/>
      <c r="ID10" s="56"/>
      <c r="IE10" s="49"/>
    </row>
    <row r="11" spans="1:239" s="11" customFormat="1" x14ac:dyDescent="0.2">
      <c r="A11" s="9">
        <v>10</v>
      </c>
      <c r="B11" s="50" t="s">
        <v>0</v>
      </c>
      <c r="C11" s="51"/>
      <c r="D11" s="33" t="s">
        <v>19</v>
      </c>
      <c r="E11" s="57" t="s">
        <v>20</v>
      </c>
      <c r="F11" s="58"/>
      <c r="G11" s="33"/>
      <c r="H11" s="59"/>
      <c r="I11" s="60"/>
      <c r="J11" s="61"/>
      <c r="K11" s="61"/>
      <c r="L11" s="62" t="s">
        <v>1039</v>
      </c>
      <c r="M11" s="62"/>
      <c r="N11" s="62"/>
      <c r="O11" s="62"/>
      <c r="P11" s="62" t="s">
        <v>1039</v>
      </c>
      <c r="Q11" s="62"/>
      <c r="R11" s="62"/>
      <c r="S11" s="62"/>
      <c r="T11" s="62" t="s">
        <v>1039</v>
      </c>
      <c r="U11" s="62"/>
      <c r="V11" s="62"/>
      <c r="W11" s="62"/>
      <c r="X11" s="62" t="s">
        <v>1039</v>
      </c>
      <c r="Y11" s="62"/>
      <c r="Z11" s="62"/>
      <c r="AA11" s="62"/>
      <c r="AB11" s="62" t="s">
        <v>1039</v>
      </c>
      <c r="AC11" s="62"/>
      <c r="AD11" s="62"/>
      <c r="AE11" s="62"/>
      <c r="AF11" s="62" t="s">
        <v>1039</v>
      </c>
      <c r="AG11" s="62"/>
      <c r="AH11" s="62"/>
      <c r="AI11" s="62"/>
      <c r="AJ11" s="62" t="s">
        <v>1039</v>
      </c>
      <c r="AK11" s="62"/>
      <c r="AL11" s="62"/>
      <c r="AM11" s="62"/>
      <c r="AN11" s="62" t="s">
        <v>1039</v>
      </c>
      <c r="AO11" s="62"/>
      <c r="AP11" s="62"/>
      <c r="AQ11" s="62"/>
      <c r="AR11" s="62" t="s">
        <v>1039</v>
      </c>
      <c r="AS11" s="62"/>
      <c r="AT11" s="62"/>
      <c r="AU11" s="62"/>
      <c r="AV11" s="62" t="s">
        <v>1039</v>
      </c>
      <c r="AW11" s="62"/>
      <c r="AX11" s="62"/>
      <c r="AY11" s="62"/>
      <c r="AZ11" s="62" t="s">
        <v>1039</v>
      </c>
      <c r="BA11" s="62"/>
      <c r="BB11" s="62"/>
      <c r="BC11" s="62"/>
      <c r="BD11" s="62" t="s">
        <v>1039</v>
      </c>
      <c r="BE11" s="62"/>
      <c r="BF11" s="62"/>
      <c r="BG11" s="62"/>
      <c r="BH11" s="62" t="s">
        <v>1039</v>
      </c>
      <c r="BI11" s="62"/>
      <c r="BJ11" s="62"/>
      <c r="BK11" s="62"/>
      <c r="BL11" s="62" t="s">
        <v>1039</v>
      </c>
      <c r="BM11" s="62"/>
      <c r="BN11" s="62"/>
      <c r="BO11" s="62"/>
      <c r="BP11" s="62" t="s">
        <v>1039</v>
      </c>
      <c r="BQ11" s="62"/>
      <c r="BR11" s="62"/>
      <c r="BS11" s="62"/>
      <c r="BT11" s="62" t="s">
        <v>1039</v>
      </c>
      <c r="BU11" s="62"/>
      <c r="BV11" s="62"/>
      <c r="BW11" s="62"/>
      <c r="BX11" s="62" t="s">
        <v>1039</v>
      </c>
      <c r="BY11" s="62"/>
      <c r="BZ11" s="62"/>
      <c r="CA11" s="62"/>
      <c r="CB11" s="62" t="s">
        <v>1039</v>
      </c>
      <c r="CC11" s="62"/>
      <c r="CD11" s="62"/>
      <c r="CE11" s="62"/>
      <c r="CF11" s="62" t="s">
        <v>1039</v>
      </c>
      <c r="CG11" s="62"/>
      <c r="CH11" s="62"/>
      <c r="CI11" s="62"/>
      <c r="CJ11" s="62" t="s">
        <v>1039</v>
      </c>
      <c r="CK11" s="62"/>
      <c r="CL11" s="62"/>
      <c r="CM11" s="62"/>
      <c r="CN11" s="62" t="s">
        <v>1039</v>
      </c>
      <c r="CO11" s="62"/>
      <c r="CP11" s="62"/>
      <c r="CQ11" s="62"/>
      <c r="CR11" s="62" t="s">
        <v>1039</v>
      </c>
      <c r="CS11" s="62"/>
      <c r="CT11" s="62"/>
      <c r="CU11" s="62"/>
      <c r="CV11" s="62" t="s">
        <v>1039</v>
      </c>
      <c r="CW11" s="62"/>
      <c r="CX11" s="62"/>
      <c r="CY11" s="62"/>
      <c r="CZ11" s="62" t="s">
        <v>1039</v>
      </c>
      <c r="DA11" s="62"/>
      <c r="DB11" s="62"/>
      <c r="DC11" s="62"/>
      <c r="DD11" s="62" t="s">
        <v>1039</v>
      </c>
      <c r="DE11" s="62"/>
      <c r="DF11" s="62"/>
      <c r="DG11" s="62"/>
      <c r="DH11" s="62" t="s">
        <v>1039</v>
      </c>
      <c r="DI11" s="62"/>
      <c r="DJ11" s="62"/>
      <c r="DK11" s="62"/>
      <c r="DL11" s="62" t="s">
        <v>1039</v>
      </c>
      <c r="DM11" s="62"/>
      <c r="DN11" s="62"/>
      <c r="DO11" s="62"/>
      <c r="DP11" s="62" t="s">
        <v>1039</v>
      </c>
      <c r="DQ11" s="62"/>
      <c r="DR11" s="62"/>
      <c r="DS11" s="62"/>
      <c r="DT11" s="62" t="s">
        <v>1039</v>
      </c>
      <c r="DU11" s="62"/>
      <c r="DV11" s="62"/>
      <c r="DW11" s="62"/>
      <c r="DX11" s="62" t="s">
        <v>1039</v>
      </c>
      <c r="DY11" s="62"/>
      <c r="DZ11" s="62"/>
      <c r="EA11" s="62"/>
      <c r="EB11" s="62" t="s">
        <v>1039</v>
      </c>
      <c r="EC11" s="62"/>
      <c r="ED11" s="62"/>
      <c r="EE11" s="62"/>
      <c r="EF11" s="62" t="s">
        <v>1039</v>
      </c>
      <c r="EG11" s="62"/>
      <c r="EH11" s="62"/>
      <c r="EI11" s="62"/>
      <c r="EJ11" s="62" t="s">
        <v>1039</v>
      </c>
      <c r="EK11" s="62"/>
      <c r="EL11" s="62"/>
      <c r="EM11" s="62"/>
      <c r="EN11" s="62" t="s">
        <v>1039</v>
      </c>
      <c r="EO11" s="62"/>
      <c r="EP11" s="62"/>
      <c r="EQ11" s="62"/>
      <c r="ER11" s="62" t="s">
        <v>1039</v>
      </c>
      <c r="ES11" s="62"/>
      <c r="ET11" s="62"/>
      <c r="EU11" s="62"/>
      <c r="EV11" s="62" t="s">
        <v>1039</v>
      </c>
      <c r="EW11" s="62"/>
      <c r="EX11" s="62"/>
      <c r="EY11" s="62"/>
      <c r="EZ11" s="62" t="s">
        <v>1039</v>
      </c>
      <c r="FA11" s="62"/>
      <c r="FB11" s="62"/>
      <c r="FC11" s="62"/>
      <c r="FD11" s="62" t="s">
        <v>1039</v>
      </c>
      <c r="FE11" s="62"/>
      <c r="FF11" s="62"/>
      <c r="FG11" s="62"/>
      <c r="FH11" s="62" t="s">
        <v>1039</v>
      </c>
      <c r="FI11" s="62"/>
      <c r="FJ11" s="62"/>
      <c r="FK11" s="62"/>
      <c r="FL11" s="62" t="s">
        <v>1039</v>
      </c>
      <c r="FM11" s="62"/>
      <c r="FN11" s="62"/>
      <c r="FO11" s="62"/>
      <c r="FP11" s="62" t="s">
        <v>1039</v>
      </c>
      <c r="FQ11" s="62"/>
      <c r="FR11" s="62"/>
      <c r="FS11" s="62"/>
      <c r="FT11" s="62" t="s">
        <v>1039</v>
      </c>
      <c r="FU11" s="62"/>
      <c r="FV11" s="62"/>
      <c r="FW11" s="62"/>
      <c r="FX11" s="62" t="s">
        <v>1039</v>
      </c>
      <c r="FY11" s="62"/>
      <c r="FZ11" s="62"/>
      <c r="GA11" s="62"/>
      <c r="GB11" s="62" t="s">
        <v>1039</v>
      </c>
      <c r="GC11" s="62"/>
      <c r="GD11" s="62"/>
      <c r="GE11" s="62"/>
      <c r="GF11" s="62" t="s">
        <v>1039</v>
      </c>
      <c r="GG11" s="62"/>
      <c r="GH11" s="62"/>
      <c r="GI11" s="62"/>
      <c r="GJ11" s="62" t="s">
        <v>1039</v>
      </c>
      <c r="GK11" s="62"/>
      <c r="GL11" s="62"/>
      <c r="GM11" s="62"/>
      <c r="GN11" s="62" t="s">
        <v>1039</v>
      </c>
      <c r="GO11" s="62"/>
      <c r="GP11" s="62"/>
      <c r="GQ11" s="62"/>
      <c r="GR11" s="62" t="s">
        <v>1039</v>
      </c>
      <c r="GS11" s="62"/>
      <c r="GT11" s="62"/>
      <c r="GU11" s="62"/>
      <c r="GV11" s="62" t="s">
        <v>1039</v>
      </c>
      <c r="GW11" s="62"/>
      <c r="GX11" s="62"/>
      <c r="GY11" s="62"/>
      <c r="GZ11" s="62" t="s">
        <v>1039</v>
      </c>
      <c r="HA11" s="62"/>
      <c r="HB11" s="62"/>
      <c r="HC11" s="62"/>
      <c r="HD11" s="62" t="s">
        <v>1039</v>
      </c>
      <c r="HE11" s="62"/>
      <c r="HF11" s="62"/>
      <c r="HG11" s="62"/>
      <c r="HH11" s="62" t="s">
        <v>1039</v>
      </c>
      <c r="HI11" s="62"/>
      <c r="HJ11" s="62"/>
      <c r="HK11" s="62"/>
      <c r="HL11" s="62" t="s">
        <v>1039</v>
      </c>
      <c r="HM11" s="62"/>
      <c r="HN11" s="62"/>
      <c r="HO11" s="62"/>
      <c r="HP11" s="62" t="s">
        <v>1039</v>
      </c>
      <c r="HQ11" s="62"/>
      <c r="HR11" s="62"/>
      <c r="HS11" s="62"/>
      <c r="HT11" s="62" t="s">
        <v>1039</v>
      </c>
      <c r="HU11" s="62"/>
      <c r="HV11" s="62"/>
      <c r="HW11" s="62"/>
      <c r="HX11" s="62" t="s">
        <v>20</v>
      </c>
      <c r="HY11" s="62"/>
      <c r="HZ11" s="62"/>
      <c r="IA11" s="62"/>
      <c r="IB11" s="48"/>
      <c r="IC11" s="49"/>
      <c r="ID11" s="63"/>
      <c r="IE11" s="64"/>
    </row>
    <row r="12" spans="1:239" s="11" customFormat="1" x14ac:dyDescent="0.2">
      <c r="A12" s="9">
        <v>10</v>
      </c>
      <c r="B12" s="9"/>
      <c r="C12" s="9"/>
      <c r="D12" s="9" t="s">
        <v>87</v>
      </c>
      <c r="E12" s="65" t="s">
        <v>88</v>
      </c>
      <c r="F12" s="65"/>
      <c r="G12" s="66" t="s">
        <v>2209</v>
      </c>
      <c r="H12" s="66" t="s">
        <v>1040</v>
      </c>
      <c r="I12" s="9" t="s">
        <v>1041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67"/>
      <c r="IC12" s="68"/>
      <c r="ID12" s="157"/>
      <c r="IE12" s="158"/>
    </row>
    <row r="13" spans="1:239" s="11" customFormat="1" x14ac:dyDescent="0.2">
      <c r="A13" s="9">
        <v>10</v>
      </c>
      <c r="B13" s="9"/>
      <c r="C13" s="9"/>
      <c r="D13" s="9" t="s">
        <v>84</v>
      </c>
      <c r="E13" s="65" t="s">
        <v>86</v>
      </c>
      <c r="F13" s="65"/>
      <c r="G13" s="66" t="s">
        <v>2210</v>
      </c>
      <c r="H13" s="66" t="s">
        <v>1042</v>
      </c>
      <c r="I13" s="9" t="s">
        <v>1041</v>
      </c>
      <c r="J13" s="9"/>
      <c r="K13" s="9"/>
      <c r="L13" s="9" t="s">
        <v>1043</v>
      </c>
      <c r="M13" s="9"/>
      <c r="N13" s="9"/>
      <c r="O13" s="9"/>
      <c r="P13" s="9" t="s">
        <v>1044</v>
      </c>
      <c r="Q13" s="9"/>
      <c r="R13" s="9"/>
      <c r="S13" s="9"/>
      <c r="T13" s="9" t="s">
        <v>1045</v>
      </c>
      <c r="U13" s="9"/>
      <c r="V13" s="9"/>
      <c r="W13" s="9"/>
      <c r="X13" s="9" t="s">
        <v>1046</v>
      </c>
      <c r="Y13" s="9"/>
      <c r="Z13" s="9"/>
      <c r="AA13" s="9"/>
      <c r="AB13" s="9" t="s">
        <v>1047</v>
      </c>
      <c r="AC13" s="9"/>
      <c r="AD13" s="9"/>
      <c r="AE13" s="9"/>
      <c r="AF13" s="9" t="s">
        <v>1048</v>
      </c>
      <c r="AG13" s="9"/>
      <c r="AH13" s="9"/>
      <c r="AI13" s="9"/>
      <c r="AJ13" s="9" t="s">
        <v>1049</v>
      </c>
      <c r="AK13" s="9"/>
      <c r="AL13" s="9"/>
      <c r="AM13" s="9"/>
      <c r="AN13" s="9" t="s">
        <v>1050</v>
      </c>
      <c r="AO13" s="9"/>
      <c r="AP13" s="9"/>
      <c r="AQ13" s="9"/>
      <c r="AR13" s="9" t="s">
        <v>1051</v>
      </c>
      <c r="AS13" s="9"/>
      <c r="AT13" s="9"/>
      <c r="AU13" s="9"/>
      <c r="AV13" s="9" t="s">
        <v>1051</v>
      </c>
      <c r="AW13" s="9"/>
      <c r="AX13" s="9"/>
      <c r="AY13" s="9"/>
      <c r="AZ13" s="9" t="s">
        <v>1052</v>
      </c>
      <c r="BA13" s="9"/>
      <c r="BB13" s="9"/>
      <c r="BC13" s="9"/>
      <c r="BD13" s="9" t="s">
        <v>1053</v>
      </c>
      <c r="BE13" s="9"/>
      <c r="BF13" s="9"/>
      <c r="BG13" s="9"/>
      <c r="BH13" s="9" t="s">
        <v>1054</v>
      </c>
      <c r="BI13" s="9"/>
      <c r="BJ13" s="9"/>
      <c r="BK13" s="9"/>
      <c r="BL13" s="9" t="s">
        <v>1055</v>
      </c>
      <c r="BM13" s="9"/>
      <c r="BN13" s="9"/>
      <c r="BO13" s="9"/>
      <c r="BP13" s="9" t="s">
        <v>1056</v>
      </c>
      <c r="BQ13" s="9"/>
      <c r="BR13" s="9"/>
      <c r="BS13" s="9"/>
      <c r="BT13" s="9" t="s">
        <v>1057</v>
      </c>
      <c r="BU13" s="9"/>
      <c r="BV13" s="9"/>
      <c r="BW13" s="9"/>
      <c r="BX13" s="9" t="s">
        <v>1058</v>
      </c>
      <c r="BY13" s="9"/>
      <c r="BZ13" s="9"/>
      <c r="CA13" s="9"/>
      <c r="CB13" s="9" t="s">
        <v>1059</v>
      </c>
      <c r="CC13" s="9"/>
      <c r="CD13" s="9"/>
      <c r="CE13" s="9"/>
      <c r="CF13" s="9" t="s">
        <v>1060</v>
      </c>
      <c r="CG13" s="9"/>
      <c r="CH13" s="9"/>
      <c r="CI13" s="9"/>
      <c r="CJ13" s="9" t="s">
        <v>1061</v>
      </c>
      <c r="CK13" s="9"/>
      <c r="CL13" s="9"/>
      <c r="CM13" s="9"/>
      <c r="CN13" s="9" t="s">
        <v>1062</v>
      </c>
      <c r="CO13" s="9"/>
      <c r="CP13" s="9"/>
      <c r="CQ13" s="9"/>
      <c r="CR13" s="9" t="s">
        <v>1063</v>
      </c>
      <c r="CS13" s="9"/>
      <c r="CT13" s="9"/>
      <c r="CU13" s="9"/>
      <c r="CV13" s="9" t="s">
        <v>1064</v>
      </c>
      <c r="CW13" s="9"/>
      <c r="CX13" s="9"/>
      <c r="CY13" s="9"/>
      <c r="CZ13" s="9" t="s">
        <v>1065</v>
      </c>
      <c r="DA13" s="9"/>
      <c r="DB13" s="9"/>
      <c r="DC13" s="9"/>
      <c r="DD13" s="9" t="s">
        <v>1066</v>
      </c>
      <c r="DE13" s="9"/>
      <c r="DF13" s="9"/>
      <c r="DG13" s="9"/>
      <c r="DH13" s="9" t="s">
        <v>1067</v>
      </c>
      <c r="DI13" s="9"/>
      <c r="DJ13" s="9"/>
      <c r="DK13" s="9"/>
      <c r="DL13" s="9" t="s">
        <v>1068</v>
      </c>
      <c r="DM13" s="9"/>
      <c r="DN13" s="9"/>
      <c r="DO13" s="9"/>
      <c r="DP13" s="9" t="s">
        <v>1069</v>
      </c>
      <c r="DQ13" s="9"/>
      <c r="DR13" s="9"/>
      <c r="DS13" s="9"/>
      <c r="DT13" s="9" t="s">
        <v>1070</v>
      </c>
      <c r="DU13" s="9"/>
      <c r="DV13" s="9"/>
      <c r="DW13" s="9"/>
      <c r="DX13" s="9" t="s">
        <v>1071</v>
      </c>
      <c r="DY13" s="9"/>
      <c r="DZ13" s="9"/>
      <c r="EA13" s="9"/>
      <c r="EB13" s="9" t="s">
        <v>1072</v>
      </c>
      <c r="EC13" s="9"/>
      <c r="ED13" s="9"/>
      <c r="EE13" s="9"/>
      <c r="EF13" s="9" t="s">
        <v>1073</v>
      </c>
      <c r="EG13" s="9"/>
      <c r="EH13" s="9"/>
      <c r="EI13" s="9"/>
      <c r="EJ13" s="9" t="s">
        <v>1074</v>
      </c>
      <c r="EK13" s="9"/>
      <c r="EL13" s="9"/>
      <c r="EM13" s="9"/>
      <c r="EN13" s="9" t="s">
        <v>1075</v>
      </c>
      <c r="EO13" s="9"/>
      <c r="EP13" s="9"/>
      <c r="EQ13" s="9"/>
      <c r="ER13" s="9" t="s">
        <v>1076</v>
      </c>
      <c r="ES13" s="9"/>
      <c r="ET13" s="9"/>
      <c r="EU13" s="9"/>
      <c r="EV13" s="9" t="s">
        <v>1077</v>
      </c>
      <c r="EW13" s="9"/>
      <c r="EX13" s="9"/>
      <c r="EY13" s="9"/>
      <c r="EZ13" s="9" t="s">
        <v>1078</v>
      </c>
      <c r="FA13" s="9"/>
      <c r="FB13" s="9"/>
      <c r="FC13" s="9"/>
      <c r="FD13" s="9" t="s">
        <v>1079</v>
      </c>
      <c r="FE13" s="9"/>
      <c r="FF13" s="9"/>
      <c r="FG13" s="9"/>
      <c r="FH13" s="9" t="s">
        <v>1080</v>
      </c>
      <c r="FI13" s="9"/>
      <c r="FJ13" s="9"/>
      <c r="FK13" s="9"/>
      <c r="FL13" s="9" t="s">
        <v>1081</v>
      </c>
      <c r="FM13" s="9"/>
      <c r="FN13" s="9"/>
      <c r="FO13" s="9"/>
      <c r="FP13" s="9" t="s">
        <v>1082</v>
      </c>
      <c r="FQ13" s="9"/>
      <c r="FR13" s="9"/>
      <c r="FS13" s="9"/>
      <c r="FT13" s="9" t="s">
        <v>1083</v>
      </c>
      <c r="FU13" s="9"/>
      <c r="FV13" s="9"/>
      <c r="FW13" s="9"/>
      <c r="FX13" s="9" t="s">
        <v>1084</v>
      </c>
      <c r="FY13" s="9"/>
      <c r="FZ13" s="9"/>
      <c r="GA13" s="9"/>
      <c r="GB13" s="9" t="s">
        <v>1085</v>
      </c>
      <c r="GC13" s="9"/>
      <c r="GD13" s="9"/>
      <c r="GE13" s="9"/>
      <c r="GF13" s="9" t="s">
        <v>1086</v>
      </c>
      <c r="GG13" s="9"/>
      <c r="GH13" s="9"/>
      <c r="GI13" s="9"/>
      <c r="GJ13" s="9" t="s">
        <v>1087</v>
      </c>
      <c r="GK13" s="9"/>
      <c r="GL13" s="9"/>
      <c r="GM13" s="9"/>
      <c r="GN13" s="9" t="s">
        <v>1088</v>
      </c>
      <c r="GO13" s="9"/>
      <c r="GP13" s="9"/>
      <c r="GQ13" s="9"/>
      <c r="GR13" s="9" t="s">
        <v>1089</v>
      </c>
      <c r="GS13" s="9"/>
      <c r="GT13" s="9"/>
      <c r="GU13" s="9"/>
      <c r="GV13" s="9" t="s">
        <v>1090</v>
      </c>
      <c r="GW13" s="9"/>
      <c r="GX13" s="9"/>
      <c r="GY13" s="9"/>
      <c r="GZ13" s="9" t="s">
        <v>1091</v>
      </c>
      <c r="HA13" s="9"/>
      <c r="HB13" s="9"/>
      <c r="HC13" s="9"/>
      <c r="HD13" s="9" t="s">
        <v>1092</v>
      </c>
      <c r="HE13" s="9"/>
      <c r="HF13" s="9"/>
      <c r="HG13" s="9"/>
      <c r="HH13" s="9" t="s">
        <v>1093</v>
      </c>
      <c r="HI13" s="9"/>
      <c r="HJ13" s="9"/>
      <c r="HK13" s="9"/>
      <c r="HL13" s="9" t="s">
        <v>1094</v>
      </c>
      <c r="HM13" s="9"/>
      <c r="HN13" s="9"/>
      <c r="HO13" s="9"/>
      <c r="HP13" s="9" t="s">
        <v>1095</v>
      </c>
      <c r="HQ13" s="9"/>
      <c r="HR13" s="9"/>
      <c r="HS13" s="9"/>
      <c r="HT13" s="9" t="s">
        <v>1096</v>
      </c>
      <c r="HU13" s="9"/>
      <c r="HV13" s="9"/>
      <c r="HW13" s="9"/>
      <c r="HX13" s="9" t="s">
        <v>2036</v>
      </c>
      <c r="HY13" s="9"/>
      <c r="HZ13" s="9"/>
      <c r="IA13" s="9"/>
      <c r="IB13" s="67"/>
      <c r="IC13" s="68"/>
      <c r="ID13" s="157"/>
      <c r="IE13" s="158"/>
    </row>
    <row r="14" spans="1:239" s="11" customFormat="1" x14ac:dyDescent="0.2">
      <c r="A14" s="9">
        <v>10</v>
      </c>
      <c r="B14" s="9"/>
      <c r="C14" s="9"/>
      <c r="D14" s="9" t="s">
        <v>85</v>
      </c>
      <c r="E14" s="65" t="s">
        <v>86</v>
      </c>
      <c r="F14" s="65"/>
      <c r="G14" s="66" t="s">
        <v>2211</v>
      </c>
      <c r="H14" s="66" t="s">
        <v>1097</v>
      </c>
      <c r="I14" s="9" t="s">
        <v>1098</v>
      </c>
      <c r="J14" s="9"/>
      <c r="K14" s="9"/>
      <c r="L14" s="9" t="s">
        <v>297</v>
      </c>
      <c r="M14" s="9"/>
      <c r="N14" s="9"/>
      <c r="O14" s="9"/>
      <c r="P14" s="9" t="s">
        <v>673</v>
      </c>
      <c r="Q14" s="9"/>
      <c r="R14" s="9"/>
      <c r="S14" s="9"/>
      <c r="T14" s="9" t="s">
        <v>298</v>
      </c>
      <c r="U14" s="9"/>
      <c r="V14" s="9"/>
      <c r="W14" s="9"/>
      <c r="X14" s="9" t="s">
        <v>353</v>
      </c>
      <c r="Y14" s="9"/>
      <c r="Z14" s="9"/>
      <c r="AA14" s="9"/>
      <c r="AB14" s="9" t="s">
        <v>300</v>
      </c>
      <c r="AC14" s="9"/>
      <c r="AD14" s="9"/>
      <c r="AE14" s="9"/>
      <c r="AF14" s="9" t="s">
        <v>301</v>
      </c>
      <c r="AG14" s="9"/>
      <c r="AH14" s="9"/>
      <c r="AI14" s="9"/>
      <c r="AJ14" s="9" t="s">
        <v>302</v>
      </c>
      <c r="AK14" s="9"/>
      <c r="AL14" s="9"/>
      <c r="AM14" s="9"/>
      <c r="AN14" s="9" t="s">
        <v>363</v>
      </c>
      <c r="AO14" s="9"/>
      <c r="AP14" s="9"/>
      <c r="AQ14" s="9"/>
      <c r="AR14" s="9" t="s">
        <v>366</v>
      </c>
      <c r="AS14" s="9"/>
      <c r="AT14" s="9"/>
      <c r="AU14" s="9"/>
      <c r="AV14" s="9" t="s">
        <v>370</v>
      </c>
      <c r="AW14" s="9"/>
      <c r="AX14" s="9"/>
      <c r="AY14" s="9"/>
      <c r="AZ14" s="9" t="s">
        <v>372</v>
      </c>
      <c r="BA14" s="9"/>
      <c r="BB14" s="9"/>
      <c r="BC14" s="9"/>
      <c r="BD14" s="9" t="s">
        <v>380</v>
      </c>
      <c r="BE14" s="9"/>
      <c r="BF14" s="9"/>
      <c r="BG14" s="9"/>
      <c r="BH14" s="9" t="s">
        <v>368</v>
      </c>
      <c r="BI14" s="9"/>
      <c r="BJ14" s="9"/>
      <c r="BK14" s="9"/>
      <c r="BL14" s="9" t="s">
        <v>382</v>
      </c>
      <c r="BM14" s="9"/>
      <c r="BN14" s="9"/>
      <c r="BO14" s="9"/>
      <c r="BP14" s="9" t="s">
        <v>386</v>
      </c>
      <c r="BQ14" s="9"/>
      <c r="BR14" s="9"/>
      <c r="BS14" s="9"/>
      <c r="BT14" s="9" t="s">
        <v>388</v>
      </c>
      <c r="BU14" s="9"/>
      <c r="BV14" s="9"/>
      <c r="BW14" s="9"/>
      <c r="BX14" s="9" t="s">
        <v>392</v>
      </c>
      <c r="BY14" s="9"/>
      <c r="BZ14" s="9"/>
      <c r="CA14" s="9"/>
      <c r="CB14" s="9" t="s">
        <v>403</v>
      </c>
      <c r="CC14" s="9"/>
      <c r="CD14" s="9"/>
      <c r="CE14" s="9"/>
      <c r="CF14" s="9" t="s">
        <v>405</v>
      </c>
      <c r="CG14" s="9"/>
      <c r="CH14" s="9"/>
      <c r="CI14" s="9"/>
      <c r="CJ14" s="9" t="s">
        <v>411</v>
      </c>
      <c r="CK14" s="9"/>
      <c r="CL14" s="9"/>
      <c r="CM14" s="9"/>
      <c r="CN14" s="9" t="s">
        <v>413</v>
      </c>
      <c r="CO14" s="9"/>
      <c r="CP14" s="9"/>
      <c r="CQ14" s="9"/>
      <c r="CR14" s="9" t="s">
        <v>420</v>
      </c>
      <c r="CS14" s="9"/>
      <c r="CT14" s="9"/>
      <c r="CU14" s="9"/>
      <c r="CV14" s="9" t="s">
        <v>423</v>
      </c>
      <c r="CW14" s="9"/>
      <c r="CX14" s="9"/>
      <c r="CY14" s="9"/>
      <c r="CZ14" s="9" t="s">
        <v>426</v>
      </c>
      <c r="DA14" s="9"/>
      <c r="DB14" s="9"/>
      <c r="DC14" s="9"/>
      <c r="DD14" s="9" t="s">
        <v>428</v>
      </c>
      <c r="DE14" s="9"/>
      <c r="DF14" s="9"/>
      <c r="DG14" s="9"/>
      <c r="DH14" s="9" t="s">
        <v>430</v>
      </c>
      <c r="DI14" s="9"/>
      <c r="DJ14" s="9"/>
      <c r="DK14" s="9"/>
      <c r="DL14" s="9" t="s">
        <v>432</v>
      </c>
      <c r="DM14" s="9"/>
      <c r="DN14" s="9"/>
      <c r="DO14" s="9"/>
      <c r="DP14" s="9" t="s">
        <v>434</v>
      </c>
      <c r="DQ14" s="9"/>
      <c r="DR14" s="9"/>
      <c r="DS14" s="9"/>
      <c r="DT14" s="9" t="s">
        <v>436</v>
      </c>
      <c r="DU14" s="9"/>
      <c r="DV14" s="9"/>
      <c r="DW14" s="9"/>
      <c r="DX14" s="9" t="s">
        <v>438</v>
      </c>
      <c r="DY14" s="9"/>
      <c r="DZ14" s="9"/>
      <c r="EA14" s="9"/>
      <c r="EB14" s="9" t="s">
        <v>440</v>
      </c>
      <c r="EC14" s="9"/>
      <c r="ED14" s="9"/>
      <c r="EE14" s="9"/>
      <c r="EF14" s="9" t="s">
        <v>443</v>
      </c>
      <c r="EG14" s="9"/>
      <c r="EH14" s="9"/>
      <c r="EI14" s="9"/>
      <c r="EJ14" s="9" t="s">
        <v>445</v>
      </c>
      <c r="EK14" s="9"/>
      <c r="EL14" s="9"/>
      <c r="EM14" s="9"/>
      <c r="EN14" s="9" t="s">
        <v>449</v>
      </c>
      <c r="EO14" s="9"/>
      <c r="EP14" s="9"/>
      <c r="EQ14" s="9"/>
      <c r="ER14" s="9" t="s">
        <v>452</v>
      </c>
      <c r="ES14" s="9"/>
      <c r="ET14" s="9"/>
      <c r="EU14" s="9"/>
      <c r="EV14" s="9" t="s">
        <v>457</v>
      </c>
      <c r="EW14" s="9"/>
      <c r="EX14" s="9"/>
      <c r="EY14" s="9"/>
      <c r="EZ14" s="9" t="s">
        <v>459</v>
      </c>
      <c r="FA14" s="9"/>
      <c r="FB14" s="9"/>
      <c r="FC14" s="9"/>
      <c r="FD14" s="9" t="s">
        <v>461</v>
      </c>
      <c r="FE14" s="9"/>
      <c r="FF14" s="9"/>
      <c r="FG14" s="9"/>
      <c r="FH14" s="9" t="s">
        <v>465</v>
      </c>
      <c r="FI14" s="9"/>
      <c r="FJ14" s="9"/>
      <c r="FK14" s="9"/>
      <c r="FL14" s="9" t="s">
        <v>468</v>
      </c>
      <c r="FM14" s="9"/>
      <c r="FN14" s="9"/>
      <c r="FO14" s="9"/>
      <c r="FP14" s="9" t="s">
        <v>472</v>
      </c>
      <c r="FQ14" s="9"/>
      <c r="FR14" s="9"/>
      <c r="FS14" s="9"/>
      <c r="FT14" s="9" t="s">
        <v>474</v>
      </c>
      <c r="FU14" s="9"/>
      <c r="FV14" s="9"/>
      <c r="FW14" s="9"/>
      <c r="FX14" s="9" t="s">
        <v>476</v>
      </c>
      <c r="FY14" s="9"/>
      <c r="FZ14" s="9"/>
      <c r="GA14" s="9"/>
      <c r="GB14" s="9" t="s">
        <v>2179</v>
      </c>
      <c r="GC14" s="9"/>
      <c r="GD14" s="9"/>
      <c r="GE14" s="9"/>
      <c r="GF14" s="9" t="s">
        <v>2180</v>
      </c>
      <c r="GG14" s="9"/>
      <c r="GH14" s="9"/>
      <c r="GI14" s="9"/>
      <c r="GJ14" s="9" t="s">
        <v>2181</v>
      </c>
      <c r="GK14" s="9"/>
      <c r="GL14" s="9"/>
      <c r="GM14" s="9"/>
      <c r="GN14" s="9" t="s">
        <v>773</v>
      </c>
      <c r="GO14" s="9"/>
      <c r="GP14" s="9"/>
      <c r="GQ14" s="9"/>
      <c r="GR14" s="9" t="s">
        <v>780</v>
      </c>
      <c r="GS14" s="9"/>
      <c r="GT14" s="9"/>
      <c r="GU14" s="9"/>
      <c r="GV14" s="9" t="s">
        <v>784</v>
      </c>
      <c r="GW14" s="9"/>
      <c r="GX14" s="9"/>
      <c r="GY14" s="9"/>
      <c r="GZ14" s="9" t="s">
        <v>787</v>
      </c>
      <c r="HA14" s="9"/>
      <c r="HB14" s="9"/>
      <c r="HC14" s="9"/>
      <c r="HD14" s="9" t="s">
        <v>933</v>
      </c>
      <c r="HE14" s="9"/>
      <c r="HF14" s="9"/>
      <c r="HG14" s="9"/>
      <c r="HH14" s="9" t="s">
        <v>958</v>
      </c>
      <c r="HI14" s="9"/>
      <c r="HJ14" s="9"/>
      <c r="HK14" s="9"/>
      <c r="HL14" s="9" t="s">
        <v>968</v>
      </c>
      <c r="HM14" s="9"/>
      <c r="HN14" s="9"/>
      <c r="HO14" s="9"/>
      <c r="HP14" s="9" t="s">
        <v>976</v>
      </c>
      <c r="HQ14" s="9"/>
      <c r="HR14" s="9"/>
      <c r="HS14" s="9"/>
      <c r="HT14" s="9" t="s">
        <v>964</v>
      </c>
      <c r="HU14" s="9"/>
      <c r="HV14" s="9"/>
      <c r="HW14" s="9"/>
      <c r="HX14" s="9" t="s">
        <v>2182</v>
      </c>
      <c r="HY14" s="9"/>
      <c r="HZ14" s="9"/>
      <c r="IA14" s="9"/>
      <c r="IB14" s="67"/>
      <c r="IC14" s="68"/>
      <c r="ID14" s="157"/>
      <c r="IE14" s="158"/>
    </row>
    <row r="15" spans="1:239" s="11" customFormat="1" x14ac:dyDescent="0.2">
      <c r="A15" s="9">
        <v>10</v>
      </c>
      <c r="B15" s="9"/>
      <c r="C15" s="9"/>
      <c r="D15" s="9" t="s">
        <v>41</v>
      </c>
      <c r="E15" s="65" t="s">
        <v>42</v>
      </c>
      <c r="F15" s="65"/>
      <c r="G15" s="66" t="s">
        <v>2212</v>
      </c>
      <c r="H15" s="66" t="s">
        <v>1099</v>
      </c>
      <c r="I15" s="9" t="s">
        <v>1098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67"/>
      <c r="IC15" s="68"/>
      <c r="ID15" s="157"/>
      <c r="IE15" s="158"/>
    </row>
    <row r="16" spans="1:239" s="11" customFormat="1" x14ac:dyDescent="0.2">
      <c r="A16" s="9">
        <v>10</v>
      </c>
      <c r="B16" s="9"/>
      <c r="C16" s="9"/>
      <c r="D16" s="9" t="s">
        <v>45</v>
      </c>
      <c r="E16" s="65" t="s">
        <v>46</v>
      </c>
      <c r="F16" s="65"/>
      <c r="G16" s="66" t="s">
        <v>2213</v>
      </c>
      <c r="H16" s="66" t="s">
        <v>1100</v>
      </c>
      <c r="I16" s="9" t="s">
        <v>1101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67"/>
      <c r="IC16" s="68"/>
      <c r="ID16" s="157"/>
      <c r="IE16" s="158"/>
    </row>
    <row r="17" spans="1:239" s="11" customFormat="1" x14ac:dyDescent="0.2">
      <c r="A17" s="9">
        <v>10</v>
      </c>
      <c r="B17" s="9"/>
      <c r="C17" s="9"/>
      <c r="D17" s="9" t="s">
        <v>43</v>
      </c>
      <c r="E17" s="65" t="s">
        <v>44</v>
      </c>
      <c r="F17" s="65"/>
      <c r="G17" s="66" t="s">
        <v>2214</v>
      </c>
      <c r="H17" s="66" t="s">
        <v>1102</v>
      </c>
      <c r="I17" s="9" t="s">
        <v>1101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67"/>
      <c r="IC17" s="68"/>
      <c r="ID17" s="157"/>
      <c r="IE17" s="158"/>
    </row>
    <row r="18" spans="1:239" s="11" customFormat="1" x14ac:dyDescent="0.2">
      <c r="A18" s="9">
        <v>10</v>
      </c>
      <c r="B18" s="9"/>
      <c r="C18" s="9"/>
      <c r="D18" s="9" t="s">
        <v>57</v>
      </c>
      <c r="E18" s="65" t="s">
        <v>47</v>
      </c>
      <c r="F18" s="65"/>
      <c r="G18" s="66" t="s">
        <v>2215</v>
      </c>
      <c r="H18" s="66" t="s">
        <v>1103</v>
      </c>
      <c r="I18" s="9" t="s">
        <v>1101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67"/>
      <c r="IC18" s="68"/>
      <c r="ID18" s="157"/>
      <c r="IE18" s="158"/>
    </row>
    <row r="19" spans="1:239" s="11" customFormat="1" x14ac:dyDescent="0.2">
      <c r="A19" s="9">
        <v>10</v>
      </c>
      <c r="B19" s="9"/>
      <c r="C19" s="9"/>
      <c r="D19" s="9" t="s">
        <v>58</v>
      </c>
      <c r="E19" s="65" t="s">
        <v>47</v>
      </c>
      <c r="F19" s="65"/>
      <c r="G19" s="66" t="s">
        <v>2216</v>
      </c>
      <c r="H19" s="66" t="s">
        <v>1104</v>
      </c>
      <c r="I19" s="9" t="s">
        <v>1101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67"/>
      <c r="IC19" s="68"/>
      <c r="ID19" s="157"/>
      <c r="IE19" s="158"/>
    </row>
    <row r="20" spans="1:239" s="11" customFormat="1" x14ac:dyDescent="0.2">
      <c r="A20" s="9">
        <v>10</v>
      </c>
      <c r="B20" s="9"/>
      <c r="C20" s="9"/>
      <c r="D20" s="9" t="s">
        <v>746</v>
      </c>
      <c r="E20" s="65" t="s">
        <v>747</v>
      </c>
      <c r="F20" s="65"/>
      <c r="G20" s="66" t="s">
        <v>2217</v>
      </c>
      <c r="H20" s="66" t="s">
        <v>1105</v>
      </c>
      <c r="I20" s="9" t="s">
        <v>1101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67"/>
      <c r="IC20" s="68"/>
      <c r="ID20" s="157"/>
      <c r="IE20" s="158"/>
    </row>
    <row r="21" spans="1:239" s="11" customFormat="1" x14ac:dyDescent="0.2">
      <c r="A21" s="34"/>
      <c r="IE21" s="69"/>
    </row>
    <row r="22" spans="1:239" s="11" customFormat="1" x14ac:dyDescent="0.2">
      <c r="A22" s="9">
        <v>20</v>
      </c>
      <c r="B22" s="50" t="s">
        <v>0</v>
      </c>
      <c r="C22" s="51"/>
      <c r="D22" s="33" t="s">
        <v>2045</v>
      </c>
      <c r="E22" s="57" t="s">
        <v>32</v>
      </c>
      <c r="F22" s="70"/>
      <c r="G22" s="33"/>
      <c r="H22" s="59"/>
      <c r="I22" s="46"/>
      <c r="J22" s="47"/>
      <c r="K22" s="47"/>
      <c r="L22" s="62"/>
      <c r="M22" s="62" t="s">
        <v>1106</v>
      </c>
      <c r="N22" s="62"/>
      <c r="O22" s="62"/>
      <c r="P22" s="62"/>
      <c r="Q22" s="62" t="s">
        <v>1106</v>
      </c>
      <c r="R22" s="62"/>
      <c r="S22" s="62"/>
      <c r="T22" s="62"/>
      <c r="U22" s="62" t="s">
        <v>1106</v>
      </c>
      <c r="V22" s="62"/>
      <c r="W22" s="62"/>
      <c r="X22" s="62"/>
      <c r="Y22" s="62" t="s">
        <v>1106</v>
      </c>
      <c r="Z22" s="62"/>
      <c r="AA22" s="62"/>
      <c r="AB22" s="62"/>
      <c r="AC22" s="62" t="s">
        <v>1106</v>
      </c>
      <c r="AD22" s="62"/>
      <c r="AE22" s="62"/>
      <c r="AF22" s="62"/>
      <c r="AG22" s="62" t="s">
        <v>1106</v>
      </c>
      <c r="AH22" s="62"/>
      <c r="AI22" s="62"/>
      <c r="AJ22" s="62"/>
      <c r="AK22" s="62" t="s">
        <v>1106</v>
      </c>
      <c r="AL22" s="62"/>
      <c r="AM22" s="62"/>
      <c r="AN22" s="62"/>
      <c r="AO22" s="62" t="s">
        <v>1106</v>
      </c>
      <c r="AP22" s="62"/>
      <c r="AQ22" s="62"/>
      <c r="AR22" s="62"/>
      <c r="AS22" s="62" t="s">
        <v>1106</v>
      </c>
      <c r="AT22" s="62"/>
      <c r="AU22" s="62"/>
      <c r="AV22" s="62"/>
      <c r="AW22" s="62" t="s">
        <v>1106</v>
      </c>
      <c r="AX22" s="62"/>
      <c r="AY22" s="62"/>
      <c r="AZ22" s="62"/>
      <c r="BA22" s="62" t="s">
        <v>1106</v>
      </c>
      <c r="BB22" s="62"/>
      <c r="BC22" s="62"/>
      <c r="BD22" s="62"/>
      <c r="BE22" s="62" t="s">
        <v>1106</v>
      </c>
      <c r="BF22" s="62"/>
      <c r="BG22" s="62"/>
      <c r="BH22" s="62"/>
      <c r="BI22" s="62" t="s">
        <v>1106</v>
      </c>
      <c r="BJ22" s="62"/>
      <c r="BK22" s="62"/>
      <c r="BL22" s="62"/>
      <c r="BM22" s="62" t="s">
        <v>1106</v>
      </c>
      <c r="BN22" s="62"/>
      <c r="BO22" s="62"/>
      <c r="BP22" s="62"/>
      <c r="BQ22" s="62" t="s">
        <v>1106</v>
      </c>
      <c r="BR22" s="62"/>
      <c r="BS22" s="62"/>
      <c r="BT22" s="62"/>
      <c r="BU22" s="62" t="s">
        <v>1106</v>
      </c>
      <c r="BV22" s="62"/>
      <c r="BW22" s="62"/>
      <c r="BX22" s="62"/>
      <c r="BY22" s="62" t="s">
        <v>1106</v>
      </c>
      <c r="BZ22" s="62"/>
      <c r="CA22" s="62"/>
      <c r="CB22" s="62"/>
      <c r="CC22" s="62" t="s">
        <v>1106</v>
      </c>
      <c r="CD22" s="62"/>
      <c r="CE22" s="62"/>
      <c r="CF22" s="62"/>
      <c r="CG22" s="62" t="s">
        <v>1106</v>
      </c>
      <c r="CH22" s="62"/>
      <c r="CI22" s="62"/>
      <c r="CJ22" s="62"/>
      <c r="CK22" s="62" t="s">
        <v>1106</v>
      </c>
      <c r="CL22" s="62"/>
      <c r="CM22" s="62"/>
      <c r="CN22" s="62"/>
      <c r="CO22" s="62" t="s">
        <v>1106</v>
      </c>
      <c r="CP22" s="62"/>
      <c r="CQ22" s="62"/>
      <c r="CR22" s="62"/>
      <c r="CS22" s="62" t="s">
        <v>1106</v>
      </c>
      <c r="CT22" s="62"/>
      <c r="CU22" s="62"/>
      <c r="CV22" s="62"/>
      <c r="CW22" s="62" t="s">
        <v>1106</v>
      </c>
      <c r="CX22" s="62"/>
      <c r="CY22" s="62"/>
      <c r="CZ22" s="62"/>
      <c r="DA22" s="62" t="s">
        <v>1106</v>
      </c>
      <c r="DB22" s="62"/>
      <c r="DC22" s="62"/>
      <c r="DD22" s="62"/>
      <c r="DE22" s="62" t="s">
        <v>1106</v>
      </c>
      <c r="DF22" s="62"/>
      <c r="DG22" s="62"/>
      <c r="DH22" s="62"/>
      <c r="DI22" s="62" t="s">
        <v>1106</v>
      </c>
      <c r="DJ22" s="62"/>
      <c r="DK22" s="62"/>
      <c r="DL22" s="62"/>
      <c r="DM22" s="62" t="s">
        <v>1106</v>
      </c>
      <c r="DN22" s="62"/>
      <c r="DO22" s="62"/>
      <c r="DP22" s="62"/>
      <c r="DQ22" s="62" t="s">
        <v>1106</v>
      </c>
      <c r="DR22" s="62"/>
      <c r="DS22" s="62"/>
      <c r="DT22" s="62"/>
      <c r="DU22" s="62" t="s">
        <v>1106</v>
      </c>
      <c r="DV22" s="62"/>
      <c r="DW22" s="62"/>
      <c r="DX22" s="62"/>
      <c r="DY22" s="62" t="s">
        <v>1106</v>
      </c>
      <c r="DZ22" s="62"/>
      <c r="EA22" s="62"/>
      <c r="EB22" s="62"/>
      <c r="EC22" s="62" t="s">
        <v>1106</v>
      </c>
      <c r="ED22" s="62"/>
      <c r="EE22" s="62"/>
      <c r="EF22" s="62"/>
      <c r="EG22" s="62" t="s">
        <v>1106</v>
      </c>
      <c r="EH22" s="62"/>
      <c r="EI22" s="62"/>
      <c r="EJ22" s="62"/>
      <c r="EK22" s="62" t="s">
        <v>1106</v>
      </c>
      <c r="EL22" s="62"/>
      <c r="EM22" s="62"/>
      <c r="EN22" s="62"/>
      <c r="EO22" s="62" t="s">
        <v>1106</v>
      </c>
      <c r="EP22" s="62"/>
      <c r="EQ22" s="62"/>
      <c r="ER22" s="62"/>
      <c r="ES22" s="62" t="s">
        <v>1106</v>
      </c>
      <c r="ET22" s="62"/>
      <c r="EU22" s="62"/>
      <c r="EV22" s="62"/>
      <c r="EW22" s="62" t="s">
        <v>1106</v>
      </c>
      <c r="EX22" s="62"/>
      <c r="EY22" s="62"/>
      <c r="EZ22" s="62"/>
      <c r="FA22" s="62" t="s">
        <v>1106</v>
      </c>
      <c r="FB22" s="62"/>
      <c r="FC22" s="62"/>
      <c r="FD22" s="62"/>
      <c r="FE22" s="62" t="s">
        <v>1106</v>
      </c>
      <c r="FF22" s="62"/>
      <c r="FG22" s="62"/>
      <c r="FH22" s="62"/>
      <c r="FI22" s="62" t="s">
        <v>1106</v>
      </c>
      <c r="FJ22" s="62"/>
      <c r="FK22" s="62"/>
      <c r="FL22" s="62"/>
      <c r="FM22" s="62" t="s">
        <v>1106</v>
      </c>
      <c r="FN22" s="62"/>
      <c r="FO22" s="62"/>
      <c r="FP22" s="62"/>
      <c r="FQ22" s="62" t="s">
        <v>1106</v>
      </c>
      <c r="FR22" s="62"/>
      <c r="FS22" s="62"/>
      <c r="FT22" s="62"/>
      <c r="FU22" s="62" t="s">
        <v>1106</v>
      </c>
      <c r="FV22" s="62"/>
      <c r="FW22" s="62"/>
      <c r="FX22" s="62"/>
      <c r="FY22" s="62" t="s">
        <v>1106</v>
      </c>
      <c r="FZ22" s="62"/>
      <c r="GA22" s="62"/>
      <c r="GB22" s="62"/>
      <c r="GC22" s="62" t="s">
        <v>1106</v>
      </c>
      <c r="GD22" s="62"/>
      <c r="GE22" s="62"/>
      <c r="GF22" s="62"/>
      <c r="GG22" s="62" t="s">
        <v>1106</v>
      </c>
      <c r="GH22" s="62"/>
      <c r="GI22" s="62"/>
      <c r="GJ22" s="62"/>
      <c r="GK22" s="62" t="s">
        <v>1106</v>
      </c>
      <c r="GL22" s="62"/>
      <c r="GM22" s="62"/>
      <c r="GN22" s="62"/>
      <c r="GO22" s="62" t="s">
        <v>1106</v>
      </c>
      <c r="GP22" s="62"/>
      <c r="GQ22" s="62"/>
      <c r="GR22" s="62"/>
      <c r="GS22" s="62" t="s">
        <v>1106</v>
      </c>
      <c r="GT22" s="62"/>
      <c r="GU22" s="62"/>
      <c r="GV22" s="62"/>
      <c r="GW22" s="62" t="s">
        <v>1106</v>
      </c>
      <c r="GX22" s="62"/>
      <c r="GY22" s="62"/>
      <c r="GZ22" s="62"/>
      <c r="HA22" s="62" t="s">
        <v>1106</v>
      </c>
      <c r="HB22" s="62"/>
      <c r="HC22" s="62"/>
      <c r="HD22" s="62"/>
      <c r="HE22" s="62" t="s">
        <v>1106</v>
      </c>
      <c r="HF22" s="62"/>
      <c r="HG22" s="62"/>
      <c r="HH22" s="62"/>
      <c r="HI22" s="62" t="s">
        <v>1106</v>
      </c>
      <c r="HJ22" s="62"/>
      <c r="HK22" s="62"/>
      <c r="HL22" s="62"/>
      <c r="HM22" s="62" t="s">
        <v>1106</v>
      </c>
      <c r="HN22" s="62"/>
      <c r="HO22" s="62"/>
      <c r="HP22" s="62"/>
      <c r="HQ22" s="62" t="s">
        <v>1106</v>
      </c>
      <c r="HR22" s="62"/>
      <c r="HS22" s="62"/>
      <c r="HT22" s="62"/>
      <c r="HU22" s="62" t="s">
        <v>1106</v>
      </c>
      <c r="HV22" s="62"/>
      <c r="HW22" s="62"/>
      <c r="HX22" s="62"/>
      <c r="HY22" s="62" t="s">
        <v>21</v>
      </c>
      <c r="HZ22" s="62"/>
      <c r="IA22" s="62"/>
      <c r="IB22" s="48"/>
      <c r="IC22" s="49"/>
      <c r="ID22" s="63"/>
      <c r="IE22" s="64"/>
    </row>
    <row r="23" spans="1:239" s="11" customFormat="1" x14ac:dyDescent="0.2">
      <c r="A23" s="9">
        <v>20</v>
      </c>
      <c r="B23" s="9"/>
      <c r="C23" s="9"/>
      <c r="D23" s="9" t="s">
        <v>59</v>
      </c>
      <c r="E23" s="65" t="s">
        <v>47</v>
      </c>
      <c r="F23" s="65"/>
      <c r="G23" s="66" t="s">
        <v>2218</v>
      </c>
      <c r="H23" s="66" t="s">
        <v>1107</v>
      </c>
      <c r="I23" s="9"/>
      <c r="J23" s="9" t="s">
        <v>1098</v>
      </c>
      <c r="K23" s="9"/>
      <c r="L23" s="9"/>
      <c r="M23" s="9" t="s">
        <v>1098</v>
      </c>
      <c r="N23" s="9"/>
      <c r="O23" s="9"/>
      <c r="P23" s="9"/>
      <c r="Q23" s="9" t="s">
        <v>1098</v>
      </c>
      <c r="R23" s="9"/>
      <c r="S23" s="9"/>
      <c r="T23" s="9"/>
      <c r="U23" s="9" t="s">
        <v>1098</v>
      </c>
      <c r="V23" s="9"/>
      <c r="W23" s="9"/>
      <c r="X23" s="9"/>
      <c r="Y23" s="9" t="s">
        <v>1098</v>
      </c>
      <c r="Z23" s="9"/>
      <c r="AA23" s="9"/>
      <c r="AB23" s="9"/>
      <c r="AC23" s="9" t="s">
        <v>1098</v>
      </c>
      <c r="AD23" s="9"/>
      <c r="AE23" s="9"/>
      <c r="AF23" s="9"/>
      <c r="AG23" s="9" t="s">
        <v>1098</v>
      </c>
      <c r="AH23" s="9"/>
      <c r="AI23" s="9"/>
      <c r="AJ23" s="9"/>
      <c r="AK23" s="9" t="s">
        <v>1098</v>
      </c>
      <c r="AL23" s="9"/>
      <c r="AM23" s="9"/>
      <c r="AN23" s="9"/>
      <c r="AO23" s="9" t="s">
        <v>1098</v>
      </c>
      <c r="AP23" s="9"/>
      <c r="AQ23" s="9"/>
      <c r="AR23" s="9"/>
      <c r="AS23" s="9" t="s">
        <v>1098</v>
      </c>
      <c r="AT23" s="9"/>
      <c r="AU23" s="9"/>
      <c r="AV23" s="9"/>
      <c r="AW23" s="9" t="s">
        <v>1098</v>
      </c>
      <c r="AX23" s="9"/>
      <c r="AY23" s="9"/>
      <c r="AZ23" s="9"/>
      <c r="BA23" s="9" t="s">
        <v>1098</v>
      </c>
      <c r="BB23" s="9"/>
      <c r="BC23" s="9"/>
      <c r="BD23" s="9"/>
      <c r="BE23" s="9" t="s">
        <v>1098</v>
      </c>
      <c r="BF23" s="9"/>
      <c r="BG23" s="9"/>
      <c r="BH23" s="9"/>
      <c r="BI23" s="9" t="s">
        <v>1098</v>
      </c>
      <c r="BJ23" s="9"/>
      <c r="BK23" s="9"/>
      <c r="BL23" s="9"/>
      <c r="BM23" s="9" t="s">
        <v>1098</v>
      </c>
      <c r="BN23" s="9"/>
      <c r="BO23" s="9"/>
      <c r="BP23" s="9"/>
      <c r="BQ23" s="9" t="s">
        <v>1098</v>
      </c>
      <c r="BR23" s="9"/>
      <c r="BS23" s="9"/>
      <c r="BT23" s="9"/>
      <c r="BU23" s="9" t="s">
        <v>1098</v>
      </c>
      <c r="BV23" s="9"/>
      <c r="BW23" s="9"/>
      <c r="BX23" s="9"/>
      <c r="BY23" s="9" t="s">
        <v>1098</v>
      </c>
      <c r="BZ23" s="9"/>
      <c r="CA23" s="9"/>
      <c r="CB23" s="9"/>
      <c r="CC23" s="9" t="s">
        <v>1098</v>
      </c>
      <c r="CD23" s="9"/>
      <c r="CE23" s="9"/>
      <c r="CF23" s="9"/>
      <c r="CG23" s="9" t="s">
        <v>1098</v>
      </c>
      <c r="CH23" s="9"/>
      <c r="CI23" s="9"/>
      <c r="CJ23" s="9"/>
      <c r="CK23" s="9" t="s">
        <v>1098</v>
      </c>
      <c r="CL23" s="9"/>
      <c r="CM23" s="9"/>
      <c r="CN23" s="9"/>
      <c r="CO23" s="9" t="s">
        <v>1098</v>
      </c>
      <c r="CP23" s="9"/>
      <c r="CQ23" s="9"/>
      <c r="CR23" s="9"/>
      <c r="CS23" s="9" t="s">
        <v>1098</v>
      </c>
      <c r="CT23" s="9"/>
      <c r="CU23" s="9"/>
      <c r="CV23" s="9"/>
      <c r="CW23" s="9" t="s">
        <v>1098</v>
      </c>
      <c r="CX23" s="9"/>
      <c r="CY23" s="9"/>
      <c r="CZ23" s="9"/>
      <c r="DA23" s="9" t="s">
        <v>1098</v>
      </c>
      <c r="DB23" s="9"/>
      <c r="DC23" s="9"/>
      <c r="DD23" s="9"/>
      <c r="DE23" s="9" t="s">
        <v>1098</v>
      </c>
      <c r="DF23" s="9"/>
      <c r="DG23" s="9"/>
      <c r="DH23" s="9"/>
      <c r="DI23" s="9" t="s">
        <v>1098</v>
      </c>
      <c r="DJ23" s="9"/>
      <c r="DK23" s="9"/>
      <c r="DL23" s="9"/>
      <c r="DM23" s="9" t="s">
        <v>1098</v>
      </c>
      <c r="DN23" s="9"/>
      <c r="DO23" s="9"/>
      <c r="DP23" s="9"/>
      <c r="DQ23" s="9" t="s">
        <v>1098</v>
      </c>
      <c r="DR23" s="9"/>
      <c r="DS23" s="9"/>
      <c r="DT23" s="9"/>
      <c r="DU23" s="9" t="s">
        <v>1098</v>
      </c>
      <c r="DV23" s="9"/>
      <c r="DW23" s="9"/>
      <c r="DX23" s="9"/>
      <c r="DY23" s="9" t="s">
        <v>1098</v>
      </c>
      <c r="DZ23" s="9"/>
      <c r="EA23" s="9"/>
      <c r="EB23" s="9"/>
      <c r="EC23" s="9" t="s">
        <v>1098</v>
      </c>
      <c r="ED23" s="9"/>
      <c r="EE23" s="9"/>
      <c r="EF23" s="9"/>
      <c r="EG23" s="9" t="s">
        <v>1098</v>
      </c>
      <c r="EH23" s="9"/>
      <c r="EI23" s="9"/>
      <c r="EJ23" s="9"/>
      <c r="EK23" s="9" t="s">
        <v>1098</v>
      </c>
      <c r="EL23" s="9"/>
      <c r="EM23" s="9"/>
      <c r="EN23" s="9"/>
      <c r="EO23" s="9" t="s">
        <v>1098</v>
      </c>
      <c r="EP23" s="9"/>
      <c r="EQ23" s="9"/>
      <c r="ER23" s="9"/>
      <c r="ES23" s="9" t="s">
        <v>1098</v>
      </c>
      <c r="ET23" s="9"/>
      <c r="EU23" s="9"/>
      <c r="EV23" s="9"/>
      <c r="EW23" s="9" t="s">
        <v>1098</v>
      </c>
      <c r="EX23" s="9"/>
      <c r="EY23" s="9"/>
      <c r="EZ23" s="9"/>
      <c r="FA23" s="9" t="s">
        <v>1098</v>
      </c>
      <c r="FB23" s="9"/>
      <c r="FC23" s="9"/>
      <c r="FD23" s="9"/>
      <c r="FE23" s="9" t="s">
        <v>1098</v>
      </c>
      <c r="FF23" s="9"/>
      <c r="FG23" s="9"/>
      <c r="FH23" s="9"/>
      <c r="FI23" s="9" t="s">
        <v>1098</v>
      </c>
      <c r="FJ23" s="9"/>
      <c r="FK23" s="9"/>
      <c r="FL23" s="9"/>
      <c r="FM23" s="9" t="s">
        <v>1098</v>
      </c>
      <c r="FN23" s="9"/>
      <c r="FO23" s="9"/>
      <c r="FP23" s="9"/>
      <c r="FQ23" s="9" t="s">
        <v>1098</v>
      </c>
      <c r="FR23" s="9"/>
      <c r="FS23" s="9"/>
      <c r="FT23" s="9"/>
      <c r="FU23" s="9" t="s">
        <v>1098</v>
      </c>
      <c r="FV23" s="9"/>
      <c r="FW23" s="9"/>
      <c r="FX23" s="9"/>
      <c r="FY23" s="9" t="s">
        <v>1098</v>
      </c>
      <c r="FZ23" s="9"/>
      <c r="GA23" s="9"/>
      <c r="GB23" s="9"/>
      <c r="GC23" s="9" t="s">
        <v>1098</v>
      </c>
      <c r="GD23" s="9"/>
      <c r="GE23" s="9"/>
      <c r="GF23" s="9"/>
      <c r="GG23" s="9" t="s">
        <v>1098</v>
      </c>
      <c r="GH23" s="9"/>
      <c r="GI23" s="9"/>
      <c r="GJ23" s="9"/>
      <c r="GK23" s="9" t="s">
        <v>1098</v>
      </c>
      <c r="GL23" s="9"/>
      <c r="GM23" s="9"/>
      <c r="GN23" s="9"/>
      <c r="GO23" s="9" t="s">
        <v>1098</v>
      </c>
      <c r="GP23" s="9"/>
      <c r="GQ23" s="9"/>
      <c r="GR23" s="9"/>
      <c r="GS23" s="9" t="s">
        <v>1098</v>
      </c>
      <c r="GT23" s="9"/>
      <c r="GU23" s="9"/>
      <c r="GV23" s="9"/>
      <c r="GW23" s="9" t="s">
        <v>1098</v>
      </c>
      <c r="GX23" s="9"/>
      <c r="GY23" s="9"/>
      <c r="GZ23" s="9"/>
      <c r="HA23" s="9" t="s">
        <v>1098</v>
      </c>
      <c r="HB23" s="9"/>
      <c r="HC23" s="9"/>
      <c r="HD23" s="9"/>
      <c r="HE23" s="9" t="s">
        <v>1098</v>
      </c>
      <c r="HF23" s="9"/>
      <c r="HG23" s="9"/>
      <c r="HH23" s="9"/>
      <c r="HI23" s="9" t="s">
        <v>1098</v>
      </c>
      <c r="HJ23" s="9"/>
      <c r="HK23" s="9"/>
      <c r="HL23" s="9"/>
      <c r="HM23" s="9" t="s">
        <v>1098</v>
      </c>
      <c r="HN23" s="9"/>
      <c r="HO23" s="9"/>
      <c r="HP23" s="9"/>
      <c r="HQ23" s="9" t="s">
        <v>1098</v>
      </c>
      <c r="HR23" s="9"/>
      <c r="HS23" s="9"/>
      <c r="HT23" s="9"/>
      <c r="HU23" s="9" t="s">
        <v>1098</v>
      </c>
      <c r="HV23" s="9"/>
      <c r="HW23" s="9"/>
      <c r="HX23" s="9"/>
      <c r="HY23" s="9" t="s">
        <v>1098</v>
      </c>
      <c r="HZ23" s="9"/>
      <c r="IA23" s="9"/>
      <c r="IB23" s="67"/>
      <c r="IC23" s="68"/>
      <c r="ID23" s="157"/>
      <c r="IE23" s="158"/>
    </row>
    <row r="24" spans="1:239" s="11" customFormat="1" x14ac:dyDescent="0.2">
      <c r="A24" s="9">
        <v>20</v>
      </c>
      <c r="B24" s="9"/>
      <c r="C24" s="9"/>
      <c r="D24" s="9" t="s">
        <v>2077</v>
      </c>
      <c r="E24" s="65" t="s">
        <v>133</v>
      </c>
      <c r="F24" s="65"/>
      <c r="G24" s="91" t="s">
        <v>2219</v>
      </c>
      <c r="H24" s="66" t="s">
        <v>1108</v>
      </c>
      <c r="I24" s="9"/>
      <c r="J24" s="9" t="s">
        <v>1098</v>
      </c>
      <c r="K24" s="9"/>
      <c r="L24" s="9"/>
      <c r="M24" s="9" t="s">
        <v>1098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67"/>
      <c r="IC24" s="68"/>
      <c r="ID24" s="63"/>
      <c r="IE24" s="71"/>
    </row>
    <row r="25" spans="1:239" s="11" customFormat="1" x14ac:dyDescent="0.2">
      <c r="A25" s="9">
        <v>20</v>
      </c>
      <c r="B25" s="9"/>
      <c r="C25" s="9"/>
      <c r="D25" s="9" t="s">
        <v>586</v>
      </c>
      <c r="E25" s="65" t="s">
        <v>134</v>
      </c>
      <c r="F25" s="65"/>
      <c r="G25" s="91" t="s">
        <v>2220</v>
      </c>
      <c r="H25" s="66" t="s">
        <v>1109</v>
      </c>
      <c r="I25" s="9"/>
      <c r="J25" s="9" t="s">
        <v>1098</v>
      </c>
      <c r="K25" s="9"/>
      <c r="L25" s="9"/>
      <c r="M25" s="9" t="s">
        <v>297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67"/>
      <c r="IC25" s="68"/>
      <c r="ID25" s="63"/>
      <c r="IE25" s="71"/>
    </row>
    <row r="26" spans="1:239" s="11" customFormat="1" x14ac:dyDescent="0.2">
      <c r="A26" s="9">
        <v>20</v>
      </c>
      <c r="B26" s="9"/>
      <c r="C26" s="9"/>
      <c r="D26" s="9" t="s">
        <v>2075</v>
      </c>
      <c r="E26" s="65" t="s">
        <v>134</v>
      </c>
      <c r="F26" s="65"/>
      <c r="G26" s="91" t="s">
        <v>2221</v>
      </c>
      <c r="H26" s="66" t="s">
        <v>1110</v>
      </c>
      <c r="I26" s="9"/>
      <c r="J26" s="9" t="s">
        <v>1098</v>
      </c>
      <c r="K26" s="9"/>
      <c r="L26" s="9"/>
      <c r="M26" s="9" t="s">
        <v>2076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67"/>
      <c r="IC26" s="68"/>
      <c r="ID26" s="63"/>
      <c r="IE26" s="71"/>
    </row>
    <row r="27" spans="1:239" s="11" customFormat="1" x14ac:dyDescent="0.2">
      <c r="A27" s="9">
        <v>20</v>
      </c>
      <c r="B27" s="9"/>
      <c r="C27" s="9"/>
      <c r="D27" s="9" t="s">
        <v>348</v>
      </c>
      <c r="E27" s="65" t="s">
        <v>135</v>
      </c>
      <c r="F27" s="65"/>
      <c r="G27" s="91" t="s">
        <v>2222</v>
      </c>
      <c r="H27" s="66" t="s">
        <v>1111</v>
      </c>
      <c r="I27" s="9"/>
      <c r="J27" s="9" t="s">
        <v>1101</v>
      </c>
      <c r="K27" s="9"/>
      <c r="L27" s="9"/>
      <c r="M27" s="9"/>
      <c r="N27" s="9"/>
      <c r="O27" s="9"/>
      <c r="P27" s="9"/>
      <c r="Q27" s="9" t="s">
        <v>1101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67"/>
      <c r="IC27" s="68"/>
      <c r="ID27" s="63"/>
      <c r="IE27" s="71"/>
    </row>
    <row r="28" spans="1:239" s="11" customFormat="1" x14ac:dyDescent="0.2">
      <c r="A28" s="9">
        <v>20</v>
      </c>
      <c r="B28" s="9"/>
      <c r="C28" s="9"/>
      <c r="D28" s="9" t="s">
        <v>676</v>
      </c>
      <c r="E28" s="65" t="s">
        <v>136</v>
      </c>
      <c r="F28" s="65"/>
      <c r="G28" s="91" t="s">
        <v>2223</v>
      </c>
      <c r="H28" s="66" t="s">
        <v>1112</v>
      </c>
      <c r="I28" s="9"/>
      <c r="J28" s="9" t="s">
        <v>1101</v>
      </c>
      <c r="K28" s="9"/>
      <c r="L28" s="9"/>
      <c r="M28" s="9"/>
      <c r="N28" s="9"/>
      <c r="O28" s="9"/>
      <c r="P28" s="9"/>
      <c r="Q28" s="9" t="s">
        <v>673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67"/>
      <c r="IC28" s="68"/>
      <c r="ID28" s="63"/>
      <c r="IE28" s="71"/>
    </row>
    <row r="29" spans="1:239" s="11" customFormat="1" x14ac:dyDescent="0.2">
      <c r="A29" s="9">
        <v>20</v>
      </c>
      <c r="B29" s="9"/>
      <c r="C29" s="9"/>
      <c r="D29" s="9" t="s">
        <v>349</v>
      </c>
      <c r="E29" s="65" t="s">
        <v>136</v>
      </c>
      <c r="F29" s="65"/>
      <c r="G29" s="91" t="s">
        <v>2224</v>
      </c>
      <c r="H29" s="66" t="s">
        <v>1113</v>
      </c>
      <c r="I29" s="9"/>
      <c r="J29" s="9" t="s">
        <v>1101</v>
      </c>
      <c r="K29" s="9"/>
      <c r="L29" s="9"/>
      <c r="M29" s="9"/>
      <c r="N29" s="9"/>
      <c r="O29" s="9"/>
      <c r="P29" s="9"/>
      <c r="Q29" s="9" t="s">
        <v>2078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67"/>
      <c r="IC29" s="68"/>
      <c r="ID29" s="63"/>
      <c r="IE29" s="71"/>
    </row>
    <row r="30" spans="1:239" s="11" customFormat="1" x14ac:dyDescent="0.2">
      <c r="A30" s="9">
        <v>20</v>
      </c>
      <c r="B30" s="9"/>
      <c r="C30" s="9"/>
      <c r="D30" s="9" t="s">
        <v>350</v>
      </c>
      <c r="E30" s="65" t="s">
        <v>137</v>
      </c>
      <c r="F30" s="65"/>
      <c r="G30" s="91" t="s">
        <v>2225</v>
      </c>
      <c r="H30" s="66" t="s">
        <v>1114</v>
      </c>
      <c r="I30" s="9"/>
      <c r="J30" s="9" t="s">
        <v>1101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 t="s">
        <v>1101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67"/>
      <c r="IC30" s="68"/>
      <c r="ID30" s="63"/>
      <c r="IE30" s="71"/>
    </row>
    <row r="31" spans="1:239" s="11" customFormat="1" x14ac:dyDescent="0.2">
      <c r="A31" s="9">
        <v>20</v>
      </c>
      <c r="B31" s="9"/>
      <c r="C31" s="9"/>
      <c r="D31" s="9" t="s">
        <v>587</v>
      </c>
      <c r="E31" s="65" t="s">
        <v>138</v>
      </c>
      <c r="F31" s="65"/>
      <c r="G31" s="91" t="s">
        <v>2226</v>
      </c>
      <c r="H31" s="66" t="s">
        <v>1115</v>
      </c>
      <c r="I31" s="9"/>
      <c r="J31" s="9" t="s">
        <v>1101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 t="s">
        <v>2079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67"/>
      <c r="IC31" s="68"/>
      <c r="ID31" s="63"/>
      <c r="IE31" s="71"/>
    </row>
    <row r="32" spans="1:239" s="11" customFormat="1" x14ac:dyDescent="0.2">
      <c r="A32" s="9">
        <v>20</v>
      </c>
      <c r="B32" s="9"/>
      <c r="C32" s="9"/>
      <c r="D32" s="9" t="s">
        <v>351</v>
      </c>
      <c r="E32" s="65" t="s">
        <v>138</v>
      </c>
      <c r="F32" s="65"/>
      <c r="G32" s="91" t="s">
        <v>2227</v>
      </c>
      <c r="H32" s="66" t="s">
        <v>1116</v>
      </c>
      <c r="I32" s="9"/>
      <c r="J32" s="9" t="s">
        <v>1101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 t="s">
        <v>2080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67"/>
      <c r="IC32" s="68"/>
      <c r="ID32" s="63"/>
      <c r="IE32" s="71"/>
    </row>
    <row r="33" spans="1:239" s="11" customFormat="1" x14ac:dyDescent="0.2">
      <c r="A33" s="9">
        <v>20</v>
      </c>
      <c r="B33" s="9"/>
      <c r="C33" s="9"/>
      <c r="D33" s="9" t="s">
        <v>352</v>
      </c>
      <c r="E33" s="65" t="s">
        <v>139</v>
      </c>
      <c r="F33" s="65"/>
      <c r="G33" s="91" t="s">
        <v>2228</v>
      </c>
      <c r="H33" s="66" t="s">
        <v>1117</v>
      </c>
      <c r="I33" s="9"/>
      <c r="J33" s="9" t="s">
        <v>1101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 t="s">
        <v>1101</v>
      </c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67"/>
      <c r="IC33" s="68"/>
      <c r="ID33" s="63"/>
      <c r="IE33" s="71"/>
    </row>
    <row r="34" spans="1:239" s="11" customFormat="1" x14ac:dyDescent="0.2">
      <c r="A34" s="9">
        <v>20</v>
      </c>
      <c r="B34" s="9"/>
      <c r="C34" s="9"/>
      <c r="D34" s="9" t="s">
        <v>588</v>
      </c>
      <c r="E34" s="65" t="s">
        <v>140</v>
      </c>
      <c r="F34" s="65"/>
      <c r="G34" s="91" t="s">
        <v>2229</v>
      </c>
      <c r="H34" s="66" t="s">
        <v>1118</v>
      </c>
      <c r="I34" s="9"/>
      <c r="J34" s="9" t="s">
        <v>1101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 t="s">
        <v>2081</v>
      </c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67"/>
      <c r="IC34" s="68"/>
      <c r="ID34" s="63"/>
      <c r="IE34" s="71"/>
    </row>
    <row r="35" spans="1:239" s="11" customFormat="1" x14ac:dyDescent="0.2">
      <c r="A35" s="9">
        <v>20</v>
      </c>
      <c r="B35" s="9"/>
      <c r="C35" s="9"/>
      <c r="D35" s="9" t="s">
        <v>353</v>
      </c>
      <c r="E35" s="65" t="s">
        <v>140</v>
      </c>
      <c r="F35" s="65"/>
      <c r="G35" s="91" t="s">
        <v>2230</v>
      </c>
      <c r="H35" s="66" t="s">
        <v>1119</v>
      </c>
      <c r="I35" s="9"/>
      <c r="J35" s="9" t="s">
        <v>1101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 t="s">
        <v>2082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67"/>
      <c r="IC35" s="68"/>
      <c r="ID35" s="63"/>
      <c r="IE35" s="71"/>
    </row>
    <row r="36" spans="1:239" s="11" customFormat="1" x14ac:dyDescent="0.2">
      <c r="A36" s="9">
        <v>20</v>
      </c>
      <c r="B36" s="9"/>
      <c r="C36" s="9"/>
      <c r="D36" s="9" t="s">
        <v>354</v>
      </c>
      <c r="E36" s="65" t="s">
        <v>141</v>
      </c>
      <c r="F36" s="65"/>
      <c r="G36" s="91" t="s">
        <v>2231</v>
      </c>
      <c r="H36" s="66" t="s">
        <v>1120</v>
      </c>
      <c r="I36" s="9"/>
      <c r="J36" s="9" t="s">
        <v>1101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 t="s">
        <v>1101</v>
      </c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67"/>
      <c r="IC36" s="68"/>
      <c r="ID36" s="63"/>
      <c r="IE36" s="71"/>
    </row>
    <row r="37" spans="1:239" s="11" customFormat="1" x14ac:dyDescent="0.2">
      <c r="A37" s="9">
        <v>20</v>
      </c>
      <c r="B37" s="9"/>
      <c r="C37" s="9"/>
      <c r="D37" s="9" t="s">
        <v>589</v>
      </c>
      <c r="E37" s="65" t="s">
        <v>142</v>
      </c>
      <c r="F37" s="65"/>
      <c r="G37" s="91" t="s">
        <v>2232</v>
      </c>
      <c r="H37" s="66" t="s">
        <v>1121</v>
      </c>
      <c r="I37" s="9"/>
      <c r="J37" s="9" t="s">
        <v>1101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 t="s">
        <v>2083</v>
      </c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67"/>
      <c r="IC37" s="68"/>
      <c r="ID37" s="63"/>
      <c r="IE37" s="71"/>
    </row>
    <row r="38" spans="1:239" s="11" customFormat="1" x14ac:dyDescent="0.2">
      <c r="A38" s="9">
        <v>20</v>
      </c>
      <c r="B38" s="9"/>
      <c r="C38" s="9"/>
      <c r="D38" s="9" t="s">
        <v>355</v>
      </c>
      <c r="E38" s="65" t="s">
        <v>142</v>
      </c>
      <c r="F38" s="65"/>
      <c r="G38" s="91" t="s">
        <v>2233</v>
      </c>
      <c r="H38" s="66" t="s">
        <v>1122</v>
      </c>
      <c r="I38" s="9"/>
      <c r="J38" s="9" t="s">
        <v>1101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 t="s">
        <v>2084</v>
      </c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67"/>
      <c r="IC38" s="68"/>
      <c r="ID38" s="63"/>
      <c r="IE38" s="71"/>
    </row>
    <row r="39" spans="1:239" s="11" customFormat="1" x14ac:dyDescent="0.2">
      <c r="A39" s="9">
        <v>20</v>
      </c>
      <c r="B39" s="9"/>
      <c r="C39" s="9"/>
      <c r="D39" s="9" t="s">
        <v>356</v>
      </c>
      <c r="E39" s="65" t="s">
        <v>143</v>
      </c>
      <c r="F39" s="65"/>
      <c r="G39" s="91" t="s">
        <v>2234</v>
      </c>
      <c r="H39" s="66" t="s">
        <v>1123</v>
      </c>
      <c r="I39" s="9"/>
      <c r="J39" s="9" t="s">
        <v>1101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 t="s">
        <v>1101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67"/>
      <c r="IC39" s="68"/>
      <c r="ID39" s="63"/>
      <c r="IE39" s="71"/>
    </row>
    <row r="40" spans="1:239" s="11" customFormat="1" x14ac:dyDescent="0.2">
      <c r="A40" s="9">
        <v>20</v>
      </c>
      <c r="B40" s="9"/>
      <c r="C40" s="9"/>
      <c r="D40" s="9" t="s">
        <v>590</v>
      </c>
      <c r="E40" s="65" t="s">
        <v>144</v>
      </c>
      <c r="F40" s="65"/>
      <c r="G40" s="91" t="s">
        <v>2235</v>
      </c>
      <c r="H40" s="66" t="s">
        <v>1124</v>
      </c>
      <c r="I40" s="9"/>
      <c r="J40" s="9" t="s">
        <v>1101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 t="s">
        <v>2085</v>
      </c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67"/>
      <c r="IC40" s="68"/>
      <c r="ID40" s="63"/>
      <c r="IE40" s="71"/>
    </row>
    <row r="41" spans="1:239" s="11" customFormat="1" x14ac:dyDescent="0.2">
      <c r="A41" s="9">
        <v>20</v>
      </c>
      <c r="B41" s="9"/>
      <c r="C41" s="9"/>
      <c r="D41" s="9" t="s">
        <v>357</v>
      </c>
      <c r="E41" s="65" t="s">
        <v>144</v>
      </c>
      <c r="F41" s="65"/>
      <c r="G41" s="91" t="s">
        <v>2236</v>
      </c>
      <c r="H41" s="66" t="s">
        <v>1125</v>
      </c>
      <c r="I41" s="9"/>
      <c r="J41" s="9" t="s">
        <v>1101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 t="s">
        <v>2086</v>
      </c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67"/>
      <c r="IC41" s="68"/>
      <c r="ID41" s="63"/>
      <c r="IE41" s="71"/>
    </row>
    <row r="42" spans="1:239" s="11" customFormat="1" x14ac:dyDescent="0.2">
      <c r="A42" s="9">
        <v>20</v>
      </c>
      <c r="B42" s="9"/>
      <c r="C42" s="9"/>
      <c r="D42" s="9" t="s">
        <v>358</v>
      </c>
      <c r="E42" s="65" t="s">
        <v>145</v>
      </c>
      <c r="F42" s="65"/>
      <c r="G42" s="91" t="s">
        <v>2237</v>
      </c>
      <c r="H42" s="66" t="s">
        <v>1126</v>
      </c>
      <c r="I42" s="9"/>
      <c r="J42" s="9" t="s">
        <v>1101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 t="s">
        <v>1101</v>
      </c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67"/>
      <c r="IC42" s="68"/>
      <c r="ID42" s="63"/>
      <c r="IE42" s="71"/>
    </row>
    <row r="43" spans="1:239" s="11" customFormat="1" x14ac:dyDescent="0.2">
      <c r="A43" s="9">
        <v>20</v>
      </c>
      <c r="B43" s="9"/>
      <c r="C43" s="9"/>
      <c r="D43" s="9" t="s">
        <v>591</v>
      </c>
      <c r="E43" s="65" t="s">
        <v>146</v>
      </c>
      <c r="F43" s="65"/>
      <c r="G43" s="91" t="s">
        <v>2238</v>
      </c>
      <c r="H43" s="66" t="s">
        <v>1127</v>
      </c>
      <c r="I43" s="9"/>
      <c r="J43" s="9" t="s">
        <v>1101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 t="s">
        <v>2087</v>
      </c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67"/>
      <c r="IC43" s="68"/>
      <c r="ID43" s="63"/>
      <c r="IE43" s="71"/>
    </row>
    <row r="44" spans="1:239" s="11" customFormat="1" x14ac:dyDescent="0.2">
      <c r="A44" s="9">
        <v>20</v>
      </c>
      <c r="B44" s="9"/>
      <c r="C44" s="9"/>
      <c r="D44" s="9" t="s">
        <v>359</v>
      </c>
      <c r="E44" s="65" t="s">
        <v>146</v>
      </c>
      <c r="F44" s="65"/>
      <c r="G44" s="91" t="s">
        <v>2239</v>
      </c>
      <c r="H44" s="66" t="s">
        <v>1128</v>
      </c>
      <c r="I44" s="9"/>
      <c r="J44" s="9" t="s">
        <v>1101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 t="s">
        <v>2088</v>
      </c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67"/>
      <c r="IC44" s="68"/>
      <c r="ID44" s="63"/>
      <c r="IE44" s="71"/>
    </row>
    <row r="45" spans="1:239" s="11" customFormat="1" ht="26" x14ac:dyDescent="0.2">
      <c r="A45" s="9">
        <v>20</v>
      </c>
      <c r="B45" s="9"/>
      <c r="C45" s="9"/>
      <c r="D45" s="9" t="s">
        <v>360</v>
      </c>
      <c r="E45" s="65" t="s">
        <v>147</v>
      </c>
      <c r="F45" s="65"/>
      <c r="G45" s="91" t="s">
        <v>2240</v>
      </c>
      <c r="H45" s="66" t="s">
        <v>1129</v>
      </c>
      <c r="I45" s="9"/>
      <c r="J45" s="9" t="s">
        <v>1101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 t="s">
        <v>1101</v>
      </c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67"/>
      <c r="IC45" s="68"/>
      <c r="ID45" s="63"/>
      <c r="IE45" s="71"/>
    </row>
    <row r="46" spans="1:239" s="11" customFormat="1" ht="26" x14ac:dyDescent="0.2">
      <c r="A46" s="9">
        <v>20</v>
      </c>
      <c r="B46" s="9"/>
      <c r="C46" s="9"/>
      <c r="D46" s="9" t="s">
        <v>361</v>
      </c>
      <c r="E46" s="65" t="s">
        <v>147</v>
      </c>
      <c r="F46" s="65"/>
      <c r="G46" s="91" t="s">
        <v>2241</v>
      </c>
      <c r="H46" s="66" t="s">
        <v>1130</v>
      </c>
      <c r="I46" s="9"/>
      <c r="J46" s="9" t="s">
        <v>1101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 t="s">
        <v>1101</v>
      </c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67"/>
      <c r="IC46" s="68"/>
      <c r="ID46" s="63"/>
      <c r="IE46" s="71"/>
    </row>
    <row r="47" spans="1:239" s="11" customFormat="1" x14ac:dyDescent="0.2">
      <c r="A47" s="9">
        <v>20</v>
      </c>
      <c r="B47" s="9"/>
      <c r="C47" s="9"/>
      <c r="D47" s="9" t="s">
        <v>362</v>
      </c>
      <c r="E47" s="65" t="s">
        <v>148</v>
      </c>
      <c r="F47" s="65"/>
      <c r="G47" s="91" t="s">
        <v>2242</v>
      </c>
      <c r="H47" s="66" t="s">
        <v>1131</v>
      </c>
      <c r="I47" s="9"/>
      <c r="J47" s="9" t="s">
        <v>1101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 t="s">
        <v>1101</v>
      </c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67"/>
      <c r="IC47" s="68"/>
      <c r="ID47" s="63"/>
      <c r="IE47" s="71"/>
    </row>
    <row r="48" spans="1:239" s="11" customFormat="1" x14ac:dyDescent="0.2">
      <c r="A48" s="9">
        <v>20</v>
      </c>
      <c r="B48" s="9"/>
      <c r="C48" s="9"/>
      <c r="D48" s="9" t="s">
        <v>592</v>
      </c>
      <c r="E48" s="65" t="s">
        <v>149</v>
      </c>
      <c r="F48" s="65"/>
      <c r="G48" s="91" t="s">
        <v>2243</v>
      </c>
      <c r="H48" s="66" t="s">
        <v>1132</v>
      </c>
      <c r="I48" s="9"/>
      <c r="J48" s="9" t="s">
        <v>1101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 t="s">
        <v>303</v>
      </c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67"/>
      <c r="IC48" s="68"/>
      <c r="ID48" s="63"/>
      <c r="IE48" s="71"/>
    </row>
    <row r="49" spans="1:239" s="11" customFormat="1" x14ac:dyDescent="0.2">
      <c r="A49" s="9">
        <v>20</v>
      </c>
      <c r="B49" s="9"/>
      <c r="C49" s="9"/>
      <c r="D49" s="9" t="s">
        <v>363</v>
      </c>
      <c r="E49" s="65" t="s">
        <v>149</v>
      </c>
      <c r="F49" s="65"/>
      <c r="G49" s="91" t="s">
        <v>2244</v>
      </c>
      <c r="H49" s="66" t="s">
        <v>1133</v>
      </c>
      <c r="I49" s="9"/>
      <c r="J49" s="9" t="s">
        <v>1101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 t="s">
        <v>2089</v>
      </c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67"/>
      <c r="IC49" s="68"/>
      <c r="ID49" s="63"/>
      <c r="IE49" s="71"/>
    </row>
    <row r="50" spans="1:239" s="11" customFormat="1" x14ac:dyDescent="0.2">
      <c r="A50" s="9">
        <v>20</v>
      </c>
      <c r="B50" s="9"/>
      <c r="C50" s="9"/>
      <c r="D50" s="9" t="s">
        <v>364</v>
      </c>
      <c r="E50" s="65" t="s">
        <v>147</v>
      </c>
      <c r="F50" s="65"/>
      <c r="G50" s="91" t="s">
        <v>2245</v>
      </c>
      <c r="H50" s="66" t="s">
        <v>1134</v>
      </c>
      <c r="I50" s="9"/>
      <c r="J50" s="9" t="s">
        <v>1101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 t="s">
        <v>1041</v>
      </c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67"/>
      <c r="IC50" s="68"/>
      <c r="ID50" s="63"/>
      <c r="IE50" s="71"/>
    </row>
    <row r="51" spans="1:239" s="11" customFormat="1" x14ac:dyDescent="0.2">
      <c r="A51" s="9">
        <v>20</v>
      </c>
      <c r="B51" s="9"/>
      <c r="C51" s="9"/>
      <c r="D51" s="9" t="s">
        <v>761</v>
      </c>
      <c r="E51" s="65" t="s">
        <v>202</v>
      </c>
      <c r="F51" s="65"/>
      <c r="G51" s="91" t="s">
        <v>2246</v>
      </c>
      <c r="H51" s="66" t="s">
        <v>1135</v>
      </c>
      <c r="I51" s="9"/>
      <c r="J51" s="9" t="s">
        <v>1101</v>
      </c>
      <c r="K51" s="9" t="s">
        <v>1136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 t="s">
        <v>1137</v>
      </c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67"/>
      <c r="IC51" s="68"/>
      <c r="ID51" s="63"/>
      <c r="IE51" s="71"/>
    </row>
    <row r="52" spans="1:239" s="11" customFormat="1" x14ac:dyDescent="0.2">
      <c r="A52" s="9">
        <v>20</v>
      </c>
      <c r="B52" s="9"/>
      <c r="C52" s="9"/>
      <c r="D52" s="9" t="s">
        <v>762</v>
      </c>
      <c r="E52" s="65" t="s">
        <v>203</v>
      </c>
      <c r="F52" s="65"/>
      <c r="G52" s="91" t="s">
        <v>2247</v>
      </c>
      <c r="H52" s="66" t="s">
        <v>1138</v>
      </c>
      <c r="I52" s="9"/>
      <c r="J52" s="9" t="s">
        <v>1101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67"/>
      <c r="IC52" s="68"/>
      <c r="ID52" s="63"/>
      <c r="IE52" s="71"/>
    </row>
    <row r="53" spans="1:239" s="11" customFormat="1" x14ac:dyDescent="0.2">
      <c r="A53" s="9">
        <v>20</v>
      </c>
      <c r="B53" s="9"/>
      <c r="C53" s="9"/>
      <c r="D53" s="9" t="s">
        <v>365</v>
      </c>
      <c r="E53" s="65" t="s">
        <v>150</v>
      </c>
      <c r="F53" s="65"/>
      <c r="G53" s="91" t="s">
        <v>2248</v>
      </c>
      <c r="H53" s="66" t="s">
        <v>1139</v>
      </c>
      <c r="I53" s="9"/>
      <c r="J53" s="9" t="s">
        <v>1101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 t="s">
        <v>1101</v>
      </c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67"/>
      <c r="IC53" s="68"/>
      <c r="ID53" s="63"/>
      <c r="IE53" s="71"/>
    </row>
    <row r="54" spans="1:239" s="11" customFormat="1" x14ac:dyDescent="0.2">
      <c r="A54" s="9">
        <v>20</v>
      </c>
      <c r="B54" s="9"/>
      <c r="C54" s="9"/>
      <c r="D54" s="9" t="s">
        <v>593</v>
      </c>
      <c r="E54" s="65" t="s">
        <v>151</v>
      </c>
      <c r="F54" s="65"/>
      <c r="G54" s="91" t="s">
        <v>2249</v>
      </c>
      <c r="H54" s="66" t="s">
        <v>1140</v>
      </c>
      <c r="I54" s="9"/>
      <c r="J54" s="9" t="s">
        <v>1101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 t="s">
        <v>2090</v>
      </c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67"/>
      <c r="IC54" s="68"/>
      <c r="ID54" s="63"/>
      <c r="IE54" s="71"/>
    </row>
    <row r="55" spans="1:239" s="11" customFormat="1" x14ac:dyDescent="0.2">
      <c r="A55" s="9">
        <v>20</v>
      </c>
      <c r="B55" s="9"/>
      <c r="C55" s="9"/>
      <c r="D55" s="9" t="s">
        <v>366</v>
      </c>
      <c r="E55" s="65" t="s">
        <v>151</v>
      </c>
      <c r="F55" s="65"/>
      <c r="G55" s="91" t="s">
        <v>2250</v>
      </c>
      <c r="H55" s="66" t="s">
        <v>1141</v>
      </c>
      <c r="I55" s="9"/>
      <c r="J55" s="9" t="s">
        <v>1101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 t="s">
        <v>2091</v>
      </c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67"/>
      <c r="IC55" s="68"/>
      <c r="ID55" s="63"/>
      <c r="IE55" s="71"/>
    </row>
    <row r="56" spans="1:239" s="11" customFormat="1" x14ac:dyDescent="0.2">
      <c r="A56" s="9">
        <v>20</v>
      </c>
      <c r="B56" s="9"/>
      <c r="C56" s="9"/>
      <c r="D56" s="9" t="s">
        <v>594</v>
      </c>
      <c r="E56" s="65" t="s">
        <v>152</v>
      </c>
      <c r="F56" s="65"/>
      <c r="G56" s="91" t="s">
        <v>2251</v>
      </c>
      <c r="H56" s="66" t="s">
        <v>1142</v>
      </c>
      <c r="I56" s="9"/>
      <c r="J56" s="9" t="s">
        <v>1101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 t="s">
        <v>1054</v>
      </c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67"/>
      <c r="IC56" s="68"/>
      <c r="ID56" s="63"/>
      <c r="IE56" s="71"/>
    </row>
    <row r="57" spans="1:239" s="11" customFormat="1" x14ac:dyDescent="0.2">
      <c r="A57" s="9">
        <v>20</v>
      </c>
      <c r="B57" s="9"/>
      <c r="C57" s="9"/>
      <c r="D57" s="9" t="s">
        <v>595</v>
      </c>
      <c r="E57" s="65" t="s">
        <v>153</v>
      </c>
      <c r="F57" s="65"/>
      <c r="G57" s="91" t="s">
        <v>2252</v>
      </c>
      <c r="H57" s="66" t="s">
        <v>1143</v>
      </c>
      <c r="I57" s="9"/>
      <c r="J57" s="9" t="s">
        <v>1101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 t="s">
        <v>1144</v>
      </c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67"/>
      <c r="IC57" s="68"/>
      <c r="ID57" s="63"/>
      <c r="IE57" s="71"/>
    </row>
    <row r="58" spans="1:239" s="11" customFormat="1" x14ac:dyDescent="0.2">
      <c r="A58" s="9">
        <v>20</v>
      </c>
      <c r="B58" s="9"/>
      <c r="C58" s="9"/>
      <c r="D58" s="9" t="s">
        <v>596</v>
      </c>
      <c r="E58" s="65" t="s">
        <v>150</v>
      </c>
      <c r="F58" s="65"/>
      <c r="G58" s="91" t="s">
        <v>2248</v>
      </c>
      <c r="H58" s="66" t="s">
        <v>1139</v>
      </c>
      <c r="I58" s="9"/>
      <c r="J58" s="9" t="s">
        <v>1101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 t="s">
        <v>1051</v>
      </c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67"/>
      <c r="IC58" s="68"/>
      <c r="ID58" s="63"/>
      <c r="IE58" s="71"/>
    </row>
    <row r="59" spans="1:239" s="11" customFormat="1" x14ac:dyDescent="0.2">
      <c r="A59" s="9">
        <v>20</v>
      </c>
      <c r="B59" s="9"/>
      <c r="C59" s="9"/>
      <c r="D59" s="9" t="s">
        <v>597</v>
      </c>
      <c r="E59" s="65" t="s">
        <v>151</v>
      </c>
      <c r="F59" s="65"/>
      <c r="G59" s="91" t="s">
        <v>2249</v>
      </c>
      <c r="H59" s="66" t="s">
        <v>1140</v>
      </c>
      <c r="I59" s="9"/>
      <c r="J59" s="9" t="s">
        <v>1101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 t="s">
        <v>1145</v>
      </c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67"/>
      <c r="IC59" s="68"/>
      <c r="ID59" s="63"/>
      <c r="IE59" s="71"/>
    </row>
    <row r="60" spans="1:239" s="11" customFormat="1" x14ac:dyDescent="0.2">
      <c r="A60" s="9">
        <v>20</v>
      </c>
      <c r="B60" s="9"/>
      <c r="C60" s="9"/>
      <c r="D60" s="9" t="s">
        <v>369</v>
      </c>
      <c r="E60" s="65" t="s">
        <v>154</v>
      </c>
      <c r="F60" s="65"/>
      <c r="G60" s="91" t="s">
        <v>2253</v>
      </c>
      <c r="H60" s="66" t="s">
        <v>1146</v>
      </c>
      <c r="I60" s="9"/>
      <c r="J60" s="9" t="s">
        <v>1101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 t="s">
        <v>1101</v>
      </c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67"/>
      <c r="IC60" s="68"/>
      <c r="ID60" s="63"/>
      <c r="IE60" s="71"/>
    </row>
    <row r="61" spans="1:239" s="11" customFormat="1" x14ac:dyDescent="0.2">
      <c r="A61" s="9">
        <v>20</v>
      </c>
      <c r="B61" s="9"/>
      <c r="C61" s="9"/>
      <c r="D61" s="9" t="s">
        <v>598</v>
      </c>
      <c r="E61" s="65" t="s">
        <v>155</v>
      </c>
      <c r="F61" s="65"/>
      <c r="G61" s="91" t="s">
        <v>2254</v>
      </c>
      <c r="H61" s="66" t="s">
        <v>1147</v>
      </c>
      <c r="I61" s="9"/>
      <c r="J61" s="9" t="s">
        <v>1101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 t="s">
        <v>2092</v>
      </c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67"/>
      <c r="IC61" s="68"/>
      <c r="ID61" s="63"/>
      <c r="IE61" s="71"/>
    </row>
    <row r="62" spans="1:239" s="11" customFormat="1" x14ac:dyDescent="0.2">
      <c r="A62" s="9">
        <v>20</v>
      </c>
      <c r="B62" s="9"/>
      <c r="C62" s="9"/>
      <c r="D62" s="9" t="s">
        <v>370</v>
      </c>
      <c r="E62" s="65" t="s">
        <v>155</v>
      </c>
      <c r="F62" s="65"/>
      <c r="G62" s="91" t="s">
        <v>2255</v>
      </c>
      <c r="H62" s="66" t="s">
        <v>1148</v>
      </c>
      <c r="I62" s="9"/>
      <c r="J62" s="9" t="s">
        <v>1101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 t="s">
        <v>2093</v>
      </c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67"/>
      <c r="IC62" s="68"/>
      <c r="ID62" s="63"/>
      <c r="IE62" s="71"/>
    </row>
    <row r="63" spans="1:239" s="11" customFormat="1" x14ac:dyDescent="0.2">
      <c r="A63" s="9">
        <v>20</v>
      </c>
      <c r="B63" s="9"/>
      <c r="C63" s="9"/>
      <c r="D63" s="9" t="s">
        <v>599</v>
      </c>
      <c r="E63" s="65" t="s">
        <v>152</v>
      </c>
      <c r="F63" s="65"/>
      <c r="G63" s="91" t="s">
        <v>2251</v>
      </c>
      <c r="H63" s="66" t="s">
        <v>1142</v>
      </c>
      <c r="I63" s="9"/>
      <c r="J63" s="9" t="s">
        <v>1101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 t="s">
        <v>1054</v>
      </c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67"/>
      <c r="IC63" s="68"/>
      <c r="ID63" s="63"/>
      <c r="IE63" s="71"/>
    </row>
    <row r="64" spans="1:239" s="11" customFormat="1" x14ac:dyDescent="0.2">
      <c r="A64" s="9">
        <v>20</v>
      </c>
      <c r="B64" s="9"/>
      <c r="C64" s="9"/>
      <c r="D64" s="9" t="s">
        <v>600</v>
      </c>
      <c r="E64" s="65" t="s">
        <v>153</v>
      </c>
      <c r="F64" s="65"/>
      <c r="G64" s="91" t="s">
        <v>2252</v>
      </c>
      <c r="H64" s="66" t="s">
        <v>1143</v>
      </c>
      <c r="I64" s="9"/>
      <c r="J64" s="9" t="s">
        <v>1101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 t="s">
        <v>1144</v>
      </c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67"/>
      <c r="IC64" s="68"/>
      <c r="ID64" s="63"/>
      <c r="IE64" s="71"/>
    </row>
    <row r="65" spans="1:239" s="11" customFormat="1" x14ac:dyDescent="0.2">
      <c r="A65" s="9">
        <v>20</v>
      </c>
      <c r="B65" s="9"/>
      <c r="C65" s="9"/>
      <c r="D65" s="9" t="s">
        <v>371</v>
      </c>
      <c r="E65" s="65" t="s">
        <v>156</v>
      </c>
      <c r="F65" s="65"/>
      <c r="G65" s="91" t="s">
        <v>2256</v>
      </c>
      <c r="H65" s="66" t="s">
        <v>1149</v>
      </c>
      <c r="I65" s="9"/>
      <c r="J65" s="9" t="s">
        <v>1101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 t="s">
        <v>1101</v>
      </c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67"/>
      <c r="IC65" s="68"/>
      <c r="ID65" s="63"/>
      <c r="IE65" s="71"/>
    </row>
    <row r="66" spans="1:239" s="11" customFormat="1" x14ac:dyDescent="0.2">
      <c r="A66" s="9">
        <v>20</v>
      </c>
      <c r="B66" s="9"/>
      <c r="C66" s="9"/>
      <c r="D66" s="9" t="s">
        <v>601</v>
      </c>
      <c r="E66" s="65" t="s">
        <v>157</v>
      </c>
      <c r="F66" s="65"/>
      <c r="G66" s="91" t="s">
        <v>2257</v>
      </c>
      <c r="H66" s="66" t="s">
        <v>1150</v>
      </c>
      <c r="I66" s="9"/>
      <c r="J66" s="9" t="s">
        <v>1101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 t="s">
        <v>306</v>
      </c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67"/>
      <c r="IC66" s="68"/>
      <c r="ID66" s="63"/>
      <c r="IE66" s="71"/>
    </row>
    <row r="67" spans="1:239" s="11" customFormat="1" x14ac:dyDescent="0.2">
      <c r="A67" s="9">
        <v>20</v>
      </c>
      <c r="B67" s="9"/>
      <c r="C67" s="9"/>
      <c r="D67" s="9" t="s">
        <v>372</v>
      </c>
      <c r="E67" s="65" t="s">
        <v>157</v>
      </c>
      <c r="F67" s="65"/>
      <c r="G67" s="91" t="s">
        <v>2258</v>
      </c>
      <c r="H67" s="66" t="s">
        <v>1151</v>
      </c>
      <c r="I67" s="9"/>
      <c r="J67" s="9" t="s">
        <v>1101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 t="s">
        <v>2184</v>
      </c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67"/>
      <c r="IC67" s="68"/>
      <c r="ID67" s="63"/>
      <c r="IE67" s="71"/>
    </row>
    <row r="68" spans="1:239" s="11" customFormat="1" x14ac:dyDescent="0.2">
      <c r="A68" s="9">
        <v>20</v>
      </c>
      <c r="B68" s="9"/>
      <c r="C68" s="9"/>
      <c r="D68" s="9" t="s">
        <v>373</v>
      </c>
      <c r="E68" s="65" t="s">
        <v>158</v>
      </c>
      <c r="F68" s="65"/>
      <c r="G68" s="91" t="s">
        <v>2259</v>
      </c>
      <c r="H68" s="66" t="s">
        <v>1152</v>
      </c>
      <c r="I68" s="9"/>
      <c r="J68" s="9" t="s">
        <v>1101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 t="s">
        <v>373</v>
      </c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67"/>
      <c r="IC68" s="68"/>
      <c r="ID68" s="63"/>
      <c r="IE68" s="71"/>
    </row>
    <row r="69" spans="1:239" s="11" customFormat="1" x14ac:dyDescent="0.2">
      <c r="A69" s="9">
        <v>20</v>
      </c>
      <c r="B69" s="9"/>
      <c r="C69" s="9"/>
      <c r="D69" s="9" t="s">
        <v>602</v>
      </c>
      <c r="E69" s="65" t="s">
        <v>150</v>
      </c>
      <c r="F69" s="65"/>
      <c r="G69" s="91" t="s">
        <v>2248</v>
      </c>
      <c r="H69" s="66" t="s">
        <v>1139</v>
      </c>
      <c r="I69" s="9"/>
      <c r="J69" s="9" t="s">
        <v>1101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 t="s">
        <v>1051</v>
      </c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67"/>
      <c r="IC69" s="68"/>
      <c r="ID69" s="63"/>
      <c r="IE69" s="71"/>
    </row>
    <row r="70" spans="1:239" s="11" customFormat="1" x14ac:dyDescent="0.2">
      <c r="A70" s="9">
        <v>20</v>
      </c>
      <c r="B70" s="9"/>
      <c r="C70" s="9"/>
      <c r="D70" s="9" t="s">
        <v>603</v>
      </c>
      <c r="E70" s="65" t="s">
        <v>151</v>
      </c>
      <c r="F70" s="65"/>
      <c r="G70" s="91" t="s">
        <v>2249</v>
      </c>
      <c r="H70" s="66" t="s">
        <v>1140</v>
      </c>
      <c r="I70" s="9"/>
      <c r="J70" s="9" t="s">
        <v>1101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 t="s">
        <v>1145</v>
      </c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67"/>
      <c r="IC70" s="68"/>
      <c r="ID70" s="63"/>
      <c r="IE70" s="71"/>
    </row>
    <row r="71" spans="1:239" s="11" customFormat="1" x14ac:dyDescent="0.2">
      <c r="A71" s="9">
        <v>20</v>
      </c>
      <c r="B71" s="9"/>
      <c r="C71" s="9"/>
      <c r="D71" s="9" t="s">
        <v>604</v>
      </c>
      <c r="E71" s="65" t="s">
        <v>154</v>
      </c>
      <c r="F71" s="65"/>
      <c r="G71" s="91" t="s">
        <v>2253</v>
      </c>
      <c r="H71" s="66" t="s">
        <v>1146</v>
      </c>
      <c r="I71" s="9"/>
      <c r="J71" s="9" t="s">
        <v>1101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 t="s">
        <v>1153</v>
      </c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67"/>
      <c r="IC71" s="68"/>
      <c r="ID71" s="63"/>
      <c r="IE71" s="71"/>
    </row>
    <row r="72" spans="1:239" s="11" customFormat="1" x14ac:dyDescent="0.2">
      <c r="A72" s="9">
        <v>20</v>
      </c>
      <c r="B72" s="9"/>
      <c r="C72" s="9"/>
      <c r="D72" s="9" t="s">
        <v>605</v>
      </c>
      <c r="E72" s="65" t="s">
        <v>155</v>
      </c>
      <c r="F72" s="65"/>
      <c r="G72" s="91" t="s">
        <v>2254</v>
      </c>
      <c r="H72" s="66" t="s">
        <v>1147</v>
      </c>
      <c r="I72" s="9"/>
      <c r="J72" s="9" t="s">
        <v>1101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 t="s">
        <v>1154</v>
      </c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67"/>
      <c r="IC72" s="68"/>
      <c r="ID72" s="63"/>
      <c r="IE72" s="71"/>
    </row>
    <row r="73" spans="1:239" s="11" customFormat="1" x14ac:dyDescent="0.2">
      <c r="A73" s="9">
        <v>20</v>
      </c>
      <c r="B73" s="9"/>
      <c r="C73" s="9"/>
      <c r="D73" s="9" t="s">
        <v>374</v>
      </c>
      <c r="E73" s="65" t="s">
        <v>159</v>
      </c>
      <c r="F73" s="65"/>
      <c r="G73" s="91" t="s">
        <v>2260</v>
      </c>
      <c r="H73" s="66" t="s">
        <v>1155</v>
      </c>
      <c r="I73" s="9"/>
      <c r="J73" s="9" t="s">
        <v>1101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 t="s">
        <v>1101</v>
      </c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67"/>
      <c r="IC73" s="68"/>
      <c r="ID73" s="63"/>
      <c r="IE73" s="71"/>
    </row>
    <row r="74" spans="1:239" s="11" customFormat="1" x14ac:dyDescent="0.2">
      <c r="A74" s="9">
        <v>20</v>
      </c>
      <c r="B74" s="9"/>
      <c r="C74" s="9"/>
      <c r="D74" s="9" t="s">
        <v>375</v>
      </c>
      <c r="E74" s="65" t="s">
        <v>160</v>
      </c>
      <c r="F74" s="65"/>
      <c r="G74" s="91" t="s">
        <v>2261</v>
      </c>
      <c r="H74" s="66" t="s">
        <v>1156</v>
      </c>
      <c r="I74" s="9"/>
      <c r="J74" s="9" t="s">
        <v>1101</v>
      </c>
      <c r="K74" s="9" t="s">
        <v>1157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 t="s">
        <v>1101</v>
      </c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67"/>
      <c r="IC74" s="68"/>
      <c r="ID74" s="63"/>
      <c r="IE74" s="71"/>
    </row>
    <row r="75" spans="1:239" s="11" customFormat="1" x14ac:dyDescent="0.2">
      <c r="A75" s="9">
        <v>20</v>
      </c>
      <c r="B75" s="9"/>
      <c r="C75" s="9"/>
      <c r="D75" s="9" t="s">
        <v>376</v>
      </c>
      <c r="E75" s="65" t="s">
        <v>161</v>
      </c>
      <c r="F75" s="65"/>
      <c r="G75" s="91" t="s">
        <v>2262</v>
      </c>
      <c r="H75" s="66" t="s">
        <v>1158</v>
      </c>
      <c r="I75" s="9"/>
      <c r="J75" s="9" t="s">
        <v>1101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67"/>
      <c r="IC75" s="68"/>
      <c r="ID75" s="63"/>
      <c r="IE75" s="71"/>
    </row>
    <row r="76" spans="1:239" s="11" customFormat="1" x14ac:dyDescent="0.2">
      <c r="A76" s="9">
        <v>20</v>
      </c>
      <c r="B76" s="9"/>
      <c r="C76" s="9"/>
      <c r="D76" s="9" t="s">
        <v>377</v>
      </c>
      <c r="E76" s="65" t="s">
        <v>162</v>
      </c>
      <c r="F76" s="65"/>
      <c r="G76" s="91" t="s">
        <v>2263</v>
      </c>
      <c r="H76" s="66" t="s">
        <v>1159</v>
      </c>
      <c r="I76" s="9"/>
      <c r="J76" s="9" t="s">
        <v>1101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 t="s">
        <v>1101</v>
      </c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67"/>
      <c r="IC76" s="68"/>
      <c r="ID76" s="63"/>
      <c r="IE76" s="71"/>
    </row>
    <row r="77" spans="1:239" s="11" customFormat="1" x14ac:dyDescent="0.2">
      <c r="A77" s="9">
        <v>20</v>
      </c>
      <c r="B77" s="9"/>
      <c r="C77" s="9"/>
      <c r="D77" s="9" t="s">
        <v>378</v>
      </c>
      <c r="E77" s="65" t="s">
        <v>163</v>
      </c>
      <c r="F77" s="65"/>
      <c r="G77" s="91" t="s">
        <v>2264</v>
      </c>
      <c r="H77" s="66" t="s">
        <v>1160</v>
      </c>
      <c r="I77" s="9"/>
      <c r="J77" s="9" t="s">
        <v>1101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 t="s">
        <v>1101</v>
      </c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67"/>
      <c r="IC77" s="68"/>
      <c r="ID77" s="63"/>
      <c r="IE77" s="71"/>
    </row>
    <row r="78" spans="1:239" s="11" customFormat="1" x14ac:dyDescent="0.2">
      <c r="A78" s="9">
        <v>20</v>
      </c>
      <c r="B78" s="9"/>
      <c r="C78" s="9"/>
      <c r="D78" s="9" t="s">
        <v>379</v>
      </c>
      <c r="E78" s="65" t="s">
        <v>164</v>
      </c>
      <c r="F78" s="65"/>
      <c r="G78" s="91" t="s">
        <v>2265</v>
      </c>
      <c r="H78" s="66" t="s">
        <v>1161</v>
      </c>
      <c r="I78" s="9"/>
      <c r="J78" s="9" t="s">
        <v>1101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 t="s">
        <v>1101</v>
      </c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67"/>
      <c r="IC78" s="68"/>
      <c r="ID78" s="63"/>
      <c r="IE78" s="71"/>
    </row>
    <row r="79" spans="1:239" s="11" customFormat="1" x14ac:dyDescent="0.2">
      <c r="A79" s="9">
        <v>20</v>
      </c>
      <c r="B79" s="9"/>
      <c r="C79" s="9"/>
      <c r="D79" s="9" t="s">
        <v>606</v>
      </c>
      <c r="E79" s="65" t="s">
        <v>165</v>
      </c>
      <c r="F79" s="65"/>
      <c r="G79" s="91" t="s">
        <v>2266</v>
      </c>
      <c r="H79" s="66" t="s">
        <v>1162</v>
      </c>
      <c r="I79" s="9"/>
      <c r="J79" s="9" t="s">
        <v>1101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 t="s">
        <v>2094</v>
      </c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67"/>
      <c r="IC79" s="68"/>
      <c r="ID79" s="63"/>
      <c r="IE79" s="71"/>
    </row>
    <row r="80" spans="1:239" s="11" customFormat="1" x14ac:dyDescent="0.2">
      <c r="A80" s="9">
        <v>20</v>
      </c>
      <c r="B80" s="9"/>
      <c r="C80" s="9"/>
      <c r="D80" s="9" t="s">
        <v>380</v>
      </c>
      <c r="E80" s="65" t="s">
        <v>165</v>
      </c>
      <c r="F80" s="65"/>
      <c r="G80" s="91" t="s">
        <v>2267</v>
      </c>
      <c r="H80" s="66" t="s">
        <v>1163</v>
      </c>
      <c r="I80" s="9"/>
      <c r="J80" s="9" t="s">
        <v>1101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 t="s">
        <v>2095</v>
      </c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67"/>
      <c r="IC80" s="68"/>
      <c r="ID80" s="63"/>
      <c r="IE80" s="71"/>
    </row>
    <row r="81" spans="1:239" s="11" customFormat="1" x14ac:dyDescent="0.2">
      <c r="A81" s="9">
        <v>20</v>
      </c>
      <c r="B81" s="9"/>
      <c r="C81" s="9"/>
      <c r="D81" s="9" t="s">
        <v>367</v>
      </c>
      <c r="E81" s="65" t="s">
        <v>166</v>
      </c>
      <c r="F81" s="65"/>
      <c r="G81" s="91" t="s">
        <v>2251</v>
      </c>
      <c r="H81" s="66" t="s">
        <v>1142</v>
      </c>
      <c r="I81" s="9"/>
      <c r="J81" s="9" t="s">
        <v>1101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 t="s">
        <v>1101</v>
      </c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67"/>
      <c r="IC81" s="68"/>
      <c r="ID81" s="63"/>
      <c r="IE81" s="71"/>
    </row>
    <row r="82" spans="1:239" s="11" customFormat="1" x14ac:dyDescent="0.2">
      <c r="A82" s="9">
        <v>20</v>
      </c>
      <c r="B82" s="9"/>
      <c r="C82" s="9"/>
      <c r="D82" s="9" t="s">
        <v>607</v>
      </c>
      <c r="E82" s="65" t="s">
        <v>167</v>
      </c>
      <c r="F82" s="65"/>
      <c r="G82" s="91" t="s">
        <v>2252</v>
      </c>
      <c r="H82" s="66" t="s">
        <v>1143</v>
      </c>
      <c r="I82" s="9"/>
      <c r="J82" s="9" t="s">
        <v>1101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 t="s">
        <v>2096</v>
      </c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67"/>
      <c r="IC82" s="68"/>
      <c r="ID82" s="63"/>
      <c r="IE82" s="71"/>
    </row>
    <row r="83" spans="1:239" s="11" customFormat="1" x14ac:dyDescent="0.2">
      <c r="A83" s="9">
        <v>20</v>
      </c>
      <c r="B83" s="9"/>
      <c r="C83" s="9"/>
      <c r="D83" s="9" t="s">
        <v>368</v>
      </c>
      <c r="E83" s="65" t="s">
        <v>167</v>
      </c>
      <c r="F83" s="65"/>
      <c r="G83" s="91" t="s">
        <v>2268</v>
      </c>
      <c r="H83" s="66" t="s">
        <v>1164</v>
      </c>
      <c r="I83" s="9"/>
      <c r="J83" s="9" t="s">
        <v>1101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 t="s">
        <v>2097</v>
      </c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67"/>
      <c r="IC83" s="68"/>
      <c r="ID83" s="63"/>
      <c r="IE83" s="71"/>
    </row>
    <row r="84" spans="1:239" s="11" customFormat="1" x14ac:dyDescent="0.2">
      <c r="A84" s="9">
        <v>20</v>
      </c>
      <c r="B84" s="9"/>
      <c r="C84" s="9"/>
      <c r="D84" s="9" t="s">
        <v>381</v>
      </c>
      <c r="E84" s="65" t="s">
        <v>168</v>
      </c>
      <c r="F84" s="65"/>
      <c r="G84" s="91" t="s">
        <v>2269</v>
      </c>
      <c r="H84" s="66" t="s">
        <v>1165</v>
      </c>
      <c r="I84" s="9"/>
      <c r="J84" s="9" t="s">
        <v>1101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 t="s">
        <v>1101</v>
      </c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67"/>
      <c r="IC84" s="68"/>
      <c r="ID84" s="63"/>
      <c r="IE84" s="71"/>
    </row>
    <row r="85" spans="1:239" s="11" customFormat="1" x14ac:dyDescent="0.2">
      <c r="A85" s="9">
        <v>20</v>
      </c>
      <c r="B85" s="9"/>
      <c r="C85" s="9"/>
      <c r="D85" s="9" t="s">
        <v>608</v>
      </c>
      <c r="E85" s="65" t="s">
        <v>169</v>
      </c>
      <c r="F85" s="65"/>
      <c r="G85" s="91" t="s">
        <v>2270</v>
      </c>
      <c r="H85" s="66" t="s">
        <v>1166</v>
      </c>
      <c r="I85" s="9"/>
      <c r="J85" s="9" t="s">
        <v>1101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 t="s">
        <v>2098</v>
      </c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67"/>
      <c r="IC85" s="68"/>
      <c r="ID85" s="63"/>
      <c r="IE85" s="71"/>
    </row>
    <row r="86" spans="1:239" s="11" customFormat="1" x14ac:dyDescent="0.2">
      <c r="A86" s="9">
        <v>20</v>
      </c>
      <c r="B86" s="9"/>
      <c r="C86" s="9"/>
      <c r="D86" s="9" t="s">
        <v>382</v>
      </c>
      <c r="E86" s="65" t="s">
        <v>169</v>
      </c>
      <c r="F86" s="65"/>
      <c r="G86" s="91" t="s">
        <v>2271</v>
      </c>
      <c r="H86" s="66" t="s">
        <v>1167</v>
      </c>
      <c r="I86" s="9"/>
      <c r="J86" s="9" t="s">
        <v>1101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 t="s">
        <v>2099</v>
      </c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67"/>
      <c r="IC86" s="68"/>
      <c r="ID86" s="63"/>
      <c r="IE86" s="71"/>
    </row>
    <row r="87" spans="1:239" s="11" customFormat="1" x14ac:dyDescent="0.2">
      <c r="A87" s="9">
        <v>20</v>
      </c>
      <c r="B87" s="9"/>
      <c r="C87" s="9"/>
      <c r="D87" s="9" t="s">
        <v>383</v>
      </c>
      <c r="E87" s="65" t="s">
        <v>170</v>
      </c>
      <c r="F87" s="65"/>
      <c r="G87" s="91" t="s">
        <v>2272</v>
      </c>
      <c r="H87" s="66" t="s">
        <v>1168</v>
      </c>
      <c r="I87" s="9"/>
      <c r="J87" s="9" t="s">
        <v>1101</v>
      </c>
      <c r="K87" s="9" t="s">
        <v>1169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 t="s">
        <v>1101</v>
      </c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67"/>
      <c r="IC87" s="68"/>
      <c r="ID87" s="63"/>
      <c r="IE87" s="71"/>
    </row>
    <row r="88" spans="1:239" s="11" customFormat="1" x14ac:dyDescent="0.2">
      <c r="A88" s="9">
        <v>20</v>
      </c>
      <c r="B88" s="9"/>
      <c r="C88" s="9"/>
      <c r="D88" s="9" t="s">
        <v>609</v>
      </c>
      <c r="E88" s="65" t="s">
        <v>171</v>
      </c>
      <c r="F88" s="65"/>
      <c r="G88" s="91" t="s">
        <v>2273</v>
      </c>
      <c r="H88" s="66" t="s">
        <v>1170</v>
      </c>
      <c r="I88" s="9"/>
      <c r="J88" s="9" t="s">
        <v>1101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67"/>
      <c r="IC88" s="68"/>
      <c r="ID88" s="63"/>
      <c r="IE88" s="71"/>
    </row>
    <row r="89" spans="1:239" s="11" customFormat="1" x14ac:dyDescent="0.2">
      <c r="A89" s="9">
        <v>20</v>
      </c>
      <c r="B89" s="9"/>
      <c r="C89" s="9"/>
      <c r="D89" s="9" t="s">
        <v>384</v>
      </c>
      <c r="E89" s="65" t="s">
        <v>172</v>
      </c>
      <c r="F89" s="65"/>
      <c r="G89" s="91" t="s">
        <v>2274</v>
      </c>
      <c r="H89" s="66" t="s">
        <v>1171</v>
      </c>
      <c r="I89" s="9"/>
      <c r="J89" s="9" t="s">
        <v>1101</v>
      </c>
      <c r="K89" s="9" t="s">
        <v>1172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 t="s">
        <v>1101</v>
      </c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67"/>
      <c r="IC89" s="68"/>
      <c r="ID89" s="63"/>
      <c r="IE89" s="71"/>
    </row>
    <row r="90" spans="1:239" s="11" customFormat="1" x14ac:dyDescent="0.2">
      <c r="A90" s="9">
        <v>20</v>
      </c>
      <c r="B90" s="9"/>
      <c r="C90" s="9"/>
      <c r="D90" s="9" t="s">
        <v>610</v>
      </c>
      <c r="E90" s="65" t="s">
        <v>173</v>
      </c>
      <c r="F90" s="65"/>
      <c r="G90" s="91" t="s">
        <v>2275</v>
      </c>
      <c r="H90" s="66" t="s">
        <v>1173</v>
      </c>
      <c r="I90" s="9"/>
      <c r="J90" s="9" t="s">
        <v>1101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67"/>
      <c r="IC90" s="68"/>
      <c r="ID90" s="63"/>
      <c r="IE90" s="71"/>
    </row>
    <row r="91" spans="1:239" s="11" customFormat="1" ht="26" x14ac:dyDescent="0.2">
      <c r="A91" s="9">
        <v>20</v>
      </c>
      <c r="B91" s="9"/>
      <c r="C91" s="9"/>
      <c r="D91" s="9" t="s">
        <v>385</v>
      </c>
      <c r="E91" s="65" t="s">
        <v>174</v>
      </c>
      <c r="F91" s="65"/>
      <c r="G91" s="91" t="s">
        <v>2276</v>
      </c>
      <c r="H91" s="66" t="s">
        <v>1174</v>
      </c>
      <c r="I91" s="9"/>
      <c r="J91" s="9" t="s">
        <v>1101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 t="s">
        <v>1101</v>
      </c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67"/>
      <c r="IC91" s="68"/>
      <c r="ID91" s="63"/>
      <c r="IE91" s="71"/>
    </row>
    <row r="92" spans="1:239" s="11" customFormat="1" ht="26" x14ac:dyDescent="0.2">
      <c r="A92" s="9">
        <v>20</v>
      </c>
      <c r="B92" s="9"/>
      <c r="C92" s="9"/>
      <c r="D92" s="9" t="s">
        <v>611</v>
      </c>
      <c r="E92" s="65" t="s">
        <v>175</v>
      </c>
      <c r="F92" s="65"/>
      <c r="G92" s="91" t="s">
        <v>2277</v>
      </c>
      <c r="H92" s="66" t="s">
        <v>1175</v>
      </c>
      <c r="I92" s="9"/>
      <c r="J92" s="9" t="s">
        <v>1101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 t="s">
        <v>2100</v>
      </c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67"/>
      <c r="IC92" s="68"/>
      <c r="ID92" s="63"/>
      <c r="IE92" s="71"/>
    </row>
    <row r="93" spans="1:239" s="11" customFormat="1" ht="26" x14ac:dyDescent="0.2">
      <c r="A93" s="9">
        <v>20</v>
      </c>
      <c r="B93" s="9"/>
      <c r="C93" s="9"/>
      <c r="D93" s="9" t="s">
        <v>386</v>
      </c>
      <c r="E93" s="65" t="s">
        <v>175</v>
      </c>
      <c r="F93" s="65"/>
      <c r="G93" s="91" t="s">
        <v>2278</v>
      </c>
      <c r="H93" s="66" t="s">
        <v>1176</v>
      </c>
      <c r="I93" s="9"/>
      <c r="J93" s="9" t="s">
        <v>1101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 t="s">
        <v>2101</v>
      </c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67"/>
      <c r="IC93" s="68"/>
      <c r="ID93" s="63"/>
      <c r="IE93" s="71"/>
    </row>
    <row r="94" spans="1:239" s="11" customFormat="1" x14ac:dyDescent="0.2">
      <c r="A94" s="9">
        <v>20</v>
      </c>
      <c r="B94" s="9"/>
      <c r="C94" s="9"/>
      <c r="D94" s="9" t="s">
        <v>387</v>
      </c>
      <c r="E94" s="65" t="s">
        <v>736</v>
      </c>
      <c r="F94" s="65"/>
      <c r="G94" s="91" t="s">
        <v>2279</v>
      </c>
      <c r="H94" s="66" t="s">
        <v>1177</v>
      </c>
      <c r="I94" s="9"/>
      <c r="J94" s="9" t="s">
        <v>1101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 t="s">
        <v>1101</v>
      </c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67"/>
      <c r="IC94" s="68"/>
      <c r="ID94" s="63"/>
      <c r="IE94" s="71"/>
    </row>
    <row r="95" spans="1:239" s="11" customFormat="1" x14ac:dyDescent="0.2">
      <c r="A95" s="9">
        <v>20</v>
      </c>
      <c r="B95" s="9"/>
      <c r="C95" s="9"/>
      <c r="D95" s="9" t="s">
        <v>612</v>
      </c>
      <c r="E95" s="65" t="s">
        <v>737</v>
      </c>
      <c r="F95" s="65"/>
      <c r="G95" s="91" t="s">
        <v>2280</v>
      </c>
      <c r="H95" s="66" t="s">
        <v>1178</v>
      </c>
      <c r="I95" s="9"/>
      <c r="J95" s="9" t="s">
        <v>1101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 t="s">
        <v>2102</v>
      </c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67"/>
      <c r="IC95" s="68"/>
      <c r="ID95" s="63"/>
      <c r="IE95" s="71"/>
    </row>
    <row r="96" spans="1:239" s="11" customFormat="1" ht="26" x14ac:dyDescent="0.2">
      <c r="A96" s="9">
        <v>20</v>
      </c>
      <c r="B96" s="9"/>
      <c r="C96" s="9"/>
      <c r="D96" s="9" t="s">
        <v>388</v>
      </c>
      <c r="E96" s="65" t="s">
        <v>738</v>
      </c>
      <c r="F96" s="65"/>
      <c r="G96" s="91" t="s">
        <v>2281</v>
      </c>
      <c r="H96" s="66" t="s">
        <v>1179</v>
      </c>
      <c r="I96" s="9"/>
      <c r="J96" s="9" t="s">
        <v>1101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 t="s">
        <v>2103</v>
      </c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67"/>
      <c r="IC96" s="68"/>
      <c r="ID96" s="63"/>
      <c r="IE96" s="71"/>
    </row>
    <row r="97" spans="1:239" s="11" customFormat="1" x14ac:dyDescent="0.2">
      <c r="A97" s="9">
        <v>20</v>
      </c>
      <c r="B97" s="9"/>
      <c r="C97" s="9"/>
      <c r="D97" s="9" t="s">
        <v>613</v>
      </c>
      <c r="E97" s="65" t="s">
        <v>170</v>
      </c>
      <c r="F97" s="65"/>
      <c r="G97" s="91" t="s">
        <v>2272</v>
      </c>
      <c r="H97" s="66" t="s">
        <v>1168</v>
      </c>
      <c r="I97" s="9"/>
      <c r="J97" s="9" t="s">
        <v>1101</v>
      </c>
      <c r="K97" s="9" t="s">
        <v>1169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 t="s">
        <v>1180</v>
      </c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67"/>
      <c r="IC97" s="68"/>
      <c r="ID97" s="63"/>
      <c r="IE97" s="71"/>
    </row>
    <row r="98" spans="1:239" s="11" customFormat="1" x14ac:dyDescent="0.2">
      <c r="A98" s="9">
        <v>20</v>
      </c>
      <c r="B98" s="9"/>
      <c r="C98" s="9"/>
      <c r="D98" s="9" t="s">
        <v>614</v>
      </c>
      <c r="E98" s="65" t="s">
        <v>171</v>
      </c>
      <c r="F98" s="65"/>
      <c r="G98" s="91" t="s">
        <v>2273</v>
      </c>
      <c r="H98" s="66" t="s">
        <v>1170</v>
      </c>
      <c r="I98" s="9"/>
      <c r="J98" s="9" t="s">
        <v>1101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67"/>
      <c r="IC98" s="68"/>
      <c r="ID98" s="63"/>
      <c r="IE98" s="71"/>
    </row>
    <row r="99" spans="1:239" s="11" customFormat="1" x14ac:dyDescent="0.2">
      <c r="A99" s="9">
        <v>20</v>
      </c>
      <c r="B99" s="9"/>
      <c r="C99" s="9"/>
      <c r="D99" s="9" t="s">
        <v>615</v>
      </c>
      <c r="E99" s="65" t="s">
        <v>172</v>
      </c>
      <c r="F99" s="65"/>
      <c r="G99" s="91" t="s">
        <v>2274</v>
      </c>
      <c r="H99" s="66" t="s">
        <v>1171</v>
      </c>
      <c r="I99" s="9"/>
      <c r="J99" s="9" t="s">
        <v>1101</v>
      </c>
      <c r="K99" s="9" t="s">
        <v>1172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 t="s">
        <v>1181</v>
      </c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67"/>
      <c r="IC99" s="68"/>
      <c r="ID99" s="63"/>
      <c r="IE99" s="71"/>
    </row>
    <row r="100" spans="1:239" s="11" customFormat="1" x14ac:dyDescent="0.2">
      <c r="A100" s="9">
        <v>20</v>
      </c>
      <c r="B100" s="9"/>
      <c r="C100" s="9"/>
      <c r="D100" s="9" t="s">
        <v>616</v>
      </c>
      <c r="E100" s="65" t="s">
        <v>173</v>
      </c>
      <c r="F100" s="65"/>
      <c r="G100" s="91" t="s">
        <v>2275</v>
      </c>
      <c r="H100" s="66" t="s">
        <v>1173</v>
      </c>
      <c r="I100" s="9"/>
      <c r="J100" s="9" t="s">
        <v>1101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67"/>
      <c r="IC100" s="68"/>
      <c r="ID100" s="63"/>
      <c r="IE100" s="71"/>
    </row>
    <row r="101" spans="1:239" s="11" customFormat="1" x14ac:dyDescent="0.2">
      <c r="A101" s="9">
        <v>20</v>
      </c>
      <c r="B101" s="9"/>
      <c r="C101" s="9"/>
      <c r="D101" s="9" t="s">
        <v>389</v>
      </c>
      <c r="E101" s="65" t="s">
        <v>176</v>
      </c>
      <c r="F101" s="65"/>
      <c r="G101" s="91" t="s">
        <v>2282</v>
      </c>
      <c r="H101" s="66" t="s">
        <v>1182</v>
      </c>
      <c r="I101" s="9"/>
      <c r="J101" s="9" t="s">
        <v>1101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 t="s">
        <v>1101</v>
      </c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67"/>
      <c r="IC101" s="68"/>
      <c r="ID101" s="63"/>
      <c r="IE101" s="71"/>
    </row>
    <row r="102" spans="1:239" s="11" customFormat="1" x14ac:dyDescent="0.2">
      <c r="A102" s="9">
        <v>20</v>
      </c>
      <c r="B102" s="9"/>
      <c r="C102" s="9"/>
      <c r="D102" s="9" t="s">
        <v>390</v>
      </c>
      <c r="E102" s="65" t="s">
        <v>176</v>
      </c>
      <c r="F102" s="65"/>
      <c r="G102" s="91" t="s">
        <v>2283</v>
      </c>
      <c r="H102" s="66" t="s">
        <v>1183</v>
      </c>
      <c r="I102" s="9"/>
      <c r="J102" s="9" t="s">
        <v>1101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 t="s">
        <v>1101</v>
      </c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67"/>
      <c r="IC102" s="68"/>
      <c r="ID102" s="63"/>
      <c r="IE102" s="71"/>
    </row>
    <row r="103" spans="1:239" s="11" customFormat="1" ht="26" x14ac:dyDescent="0.2">
      <c r="A103" s="9">
        <v>20</v>
      </c>
      <c r="B103" s="9"/>
      <c r="C103" s="9"/>
      <c r="D103" s="9" t="s">
        <v>391</v>
      </c>
      <c r="E103" s="65" t="s">
        <v>177</v>
      </c>
      <c r="F103" s="65"/>
      <c r="G103" s="91" t="s">
        <v>2284</v>
      </c>
      <c r="H103" s="66" t="s">
        <v>1184</v>
      </c>
      <c r="I103" s="9"/>
      <c r="J103" s="9" t="s">
        <v>1101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 t="s">
        <v>1101</v>
      </c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67"/>
      <c r="IC103" s="68"/>
      <c r="ID103" s="63"/>
      <c r="IE103" s="71"/>
    </row>
    <row r="104" spans="1:239" s="11" customFormat="1" ht="26" x14ac:dyDescent="0.2">
      <c r="A104" s="9">
        <v>20</v>
      </c>
      <c r="B104" s="9"/>
      <c r="C104" s="9"/>
      <c r="D104" s="9" t="s">
        <v>617</v>
      </c>
      <c r="E104" s="65" t="s">
        <v>178</v>
      </c>
      <c r="F104" s="65"/>
      <c r="G104" s="91" t="s">
        <v>2285</v>
      </c>
      <c r="H104" s="66" t="s">
        <v>1185</v>
      </c>
      <c r="I104" s="9"/>
      <c r="J104" s="9" t="s">
        <v>1098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 t="s">
        <v>2104</v>
      </c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67"/>
      <c r="IC104" s="68"/>
      <c r="ID104" s="63"/>
      <c r="IE104" s="71"/>
    </row>
    <row r="105" spans="1:239" s="11" customFormat="1" ht="26" x14ac:dyDescent="0.2">
      <c r="A105" s="9">
        <v>20</v>
      </c>
      <c r="B105" s="9"/>
      <c r="C105" s="9"/>
      <c r="D105" s="9" t="s">
        <v>392</v>
      </c>
      <c r="E105" s="65" t="s">
        <v>178</v>
      </c>
      <c r="F105" s="65"/>
      <c r="G105" s="91" t="s">
        <v>2286</v>
      </c>
      <c r="H105" s="66" t="s">
        <v>1186</v>
      </c>
      <c r="I105" s="9"/>
      <c r="J105" s="9" t="s">
        <v>1101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 t="s">
        <v>2105</v>
      </c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67"/>
      <c r="IC105" s="68"/>
      <c r="ID105" s="63"/>
      <c r="IE105" s="71"/>
    </row>
    <row r="106" spans="1:239" s="11" customFormat="1" x14ac:dyDescent="0.2">
      <c r="A106" s="9">
        <v>20</v>
      </c>
      <c r="B106" s="9"/>
      <c r="C106" s="9"/>
      <c r="D106" s="9" t="s">
        <v>393</v>
      </c>
      <c r="E106" s="65" t="s">
        <v>176</v>
      </c>
      <c r="F106" s="65"/>
      <c r="G106" s="91" t="s">
        <v>2287</v>
      </c>
      <c r="H106" s="66" t="s">
        <v>1187</v>
      </c>
      <c r="I106" s="9"/>
      <c r="J106" s="9" t="s">
        <v>1101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 t="s">
        <v>1101</v>
      </c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67"/>
      <c r="IC106" s="68"/>
      <c r="ID106" s="63"/>
      <c r="IE106" s="71"/>
    </row>
    <row r="107" spans="1:239" s="11" customFormat="1" x14ac:dyDescent="0.2">
      <c r="A107" s="9">
        <v>20</v>
      </c>
      <c r="B107" s="9"/>
      <c r="C107" s="9"/>
      <c r="D107" s="9" t="s">
        <v>394</v>
      </c>
      <c r="E107" s="65" t="s">
        <v>179</v>
      </c>
      <c r="F107" s="65"/>
      <c r="G107" s="91" t="s">
        <v>2288</v>
      </c>
      <c r="H107" s="66" t="s">
        <v>1188</v>
      </c>
      <c r="I107" s="9"/>
      <c r="J107" s="9" t="s">
        <v>1101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 t="s">
        <v>1101</v>
      </c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67"/>
      <c r="IC107" s="68"/>
      <c r="ID107" s="63"/>
      <c r="IE107" s="71"/>
    </row>
    <row r="108" spans="1:239" s="11" customFormat="1" x14ac:dyDescent="0.2">
      <c r="A108" s="9">
        <v>20</v>
      </c>
      <c r="B108" s="9"/>
      <c r="C108" s="9"/>
      <c r="D108" s="9" t="s">
        <v>395</v>
      </c>
      <c r="E108" s="65" t="s">
        <v>180</v>
      </c>
      <c r="F108" s="65"/>
      <c r="G108" s="91" t="s">
        <v>2289</v>
      </c>
      <c r="H108" s="66" t="s">
        <v>1189</v>
      </c>
      <c r="I108" s="9"/>
      <c r="J108" s="9" t="s">
        <v>1101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 t="s">
        <v>1101</v>
      </c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67"/>
      <c r="IC108" s="68"/>
      <c r="ID108" s="63"/>
      <c r="IE108" s="71"/>
    </row>
    <row r="109" spans="1:239" s="11" customFormat="1" x14ac:dyDescent="0.2">
      <c r="A109" s="9">
        <v>20</v>
      </c>
      <c r="B109" s="9"/>
      <c r="C109" s="9"/>
      <c r="D109" s="9" t="s">
        <v>105</v>
      </c>
      <c r="E109" s="65" t="s">
        <v>181</v>
      </c>
      <c r="F109" s="65"/>
      <c r="G109" s="91" t="s">
        <v>2290</v>
      </c>
      <c r="H109" s="66" t="s">
        <v>1190</v>
      </c>
      <c r="I109" s="9"/>
      <c r="J109" s="9" t="s">
        <v>1101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 t="s">
        <v>1101</v>
      </c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67"/>
      <c r="IC109" s="68"/>
      <c r="ID109" s="63"/>
      <c r="IE109" s="71"/>
    </row>
    <row r="110" spans="1:239" s="11" customFormat="1" x14ac:dyDescent="0.2">
      <c r="A110" s="9">
        <v>20</v>
      </c>
      <c r="B110" s="9"/>
      <c r="C110" s="9"/>
      <c r="D110" s="9" t="s">
        <v>106</v>
      </c>
      <c r="E110" s="65" t="s">
        <v>182</v>
      </c>
      <c r="F110" s="65"/>
      <c r="G110" s="91" t="s">
        <v>2291</v>
      </c>
      <c r="H110" s="66" t="s">
        <v>1191</v>
      </c>
      <c r="I110" s="9"/>
      <c r="J110" s="9" t="s">
        <v>1101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 t="s">
        <v>1101</v>
      </c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67"/>
      <c r="IC110" s="68"/>
      <c r="ID110" s="63"/>
      <c r="IE110" s="71"/>
    </row>
    <row r="111" spans="1:239" s="11" customFormat="1" x14ac:dyDescent="0.2">
      <c r="A111" s="9">
        <v>20</v>
      </c>
      <c r="B111" s="9"/>
      <c r="C111" s="9"/>
      <c r="D111" s="9" t="s">
        <v>107</v>
      </c>
      <c r="E111" s="65" t="s">
        <v>183</v>
      </c>
      <c r="F111" s="65"/>
      <c r="G111" s="91" t="s">
        <v>2292</v>
      </c>
      <c r="H111" s="66" t="s">
        <v>1192</v>
      </c>
      <c r="I111" s="9"/>
      <c r="J111" s="9" t="s">
        <v>1101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 t="s">
        <v>1101</v>
      </c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67"/>
      <c r="IC111" s="68"/>
      <c r="ID111" s="63"/>
      <c r="IE111" s="71"/>
    </row>
    <row r="112" spans="1:239" s="11" customFormat="1" x14ac:dyDescent="0.2">
      <c r="A112" s="9">
        <v>20</v>
      </c>
      <c r="B112" s="9"/>
      <c r="C112" s="9"/>
      <c r="D112" s="9" t="s">
        <v>396</v>
      </c>
      <c r="E112" s="65" t="s">
        <v>184</v>
      </c>
      <c r="F112" s="65"/>
      <c r="G112" s="91" t="s">
        <v>2293</v>
      </c>
      <c r="H112" s="66" t="s">
        <v>1193</v>
      </c>
      <c r="I112" s="9"/>
      <c r="J112" s="9" t="s">
        <v>1101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 t="s">
        <v>1101</v>
      </c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67"/>
      <c r="IC112" s="68"/>
      <c r="ID112" s="63"/>
      <c r="IE112" s="71"/>
    </row>
    <row r="113" spans="1:239" s="11" customFormat="1" x14ac:dyDescent="0.2">
      <c r="A113" s="9">
        <v>20</v>
      </c>
      <c r="B113" s="9"/>
      <c r="C113" s="9"/>
      <c r="D113" s="9" t="s">
        <v>397</v>
      </c>
      <c r="E113" s="65" t="s">
        <v>184</v>
      </c>
      <c r="F113" s="65"/>
      <c r="G113" s="91" t="s">
        <v>2294</v>
      </c>
      <c r="H113" s="66" t="s">
        <v>1194</v>
      </c>
      <c r="I113" s="9"/>
      <c r="J113" s="9" t="s">
        <v>1101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 t="s">
        <v>1101</v>
      </c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67"/>
      <c r="IC113" s="68"/>
      <c r="ID113" s="63"/>
      <c r="IE113" s="71"/>
    </row>
    <row r="114" spans="1:239" s="11" customFormat="1" x14ac:dyDescent="0.2">
      <c r="A114" s="9">
        <v>20</v>
      </c>
      <c r="B114" s="9"/>
      <c r="C114" s="9"/>
      <c r="D114" s="9" t="s">
        <v>398</v>
      </c>
      <c r="E114" s="65" t="s">
        <v>185</v>
      </c>
      <c r="F114" s="65"/>
      <c r="G114" s="91" t="s">
        <v>2295</v>
      </c>
      <c r="H114" s="66" t="s">
        <v>1195</v>
      </c>
      <c r="I114" s="9"/>
      <c r="J114" s="9" t="s">
        <v>1101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 t="s">
        <v>1101</v>
      </c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67"/>
      <c r="IC114" s="68"/>
      <c r="ID114" s="63"/>
      <c r="IE114" s="71"/>
    </row>
    <row r="115" spans="1:239" s="11" customFormat="1" x14ac:dyDescent="0.2">
      <c r="A115" s="9">
        <v>20</v>
      </c>
      <c r="B115" s="9"/>
      <c r="C115" s="9"/>
      <c r="D115" s="9" t="s">
        <v>618</v>
      </c>
      <c r="E115" s="65" t="s">
        <v>186</v>
      </c>
      <c r="F115" s="65"/>
      <c r="G115" s="91" t="s">
        <v>2296</v>
      </c>
      <c r="H115" s="66" t="s">
        <v>1196</v>
      </c>
      <c r="I115" s="9"/>
      <c r="J115" s="9" t="s">
        <v>1101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 t="s">
        <v>1101</v>
      </c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67"/>
      <c r="IC115" s="68"/>
      <c r="ID115" s="63"/>
      <c r="IE115" s="71"/>
    </row>
    <row r="116" spans="1:239" s="11" customFormat="1" ht="26" x14ac:dyDescent="0.2">
      <c r="A116" s="9">
        <v>20</v>
      </c>
      <c r="B116" s="9"/>
      <c r="C116" s="9"/>
      <c r="D116" s="9" t="s">
        <v>399</v>
      </c>
      <c r="E116" s="65" t="s">
        <v>187</v>
      </c>
      <c r="F116" s="65"/>
      <c r="G116" s="91" t="s">
        <v>2297</v>
      </c>
      <c r="H116" s="66" t="s">
        <v>1197</v>
      </c>
      <c r="I116" s="9"/>
      <c r="J116" s="9" t="s">
        <v>1101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 t="s">
        <v>1101</v>
      </c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67"/>
      <c r="IC116" s="68"/>
      <c r="ID116" s="63"/>
      <c r="IE116" s="71"/>
    </row>
    <row r="117" spans="1:239" s="11" customFormat="1" ht="26" x14ac:dyDescent="0.2">
      <c r="A117" s="9">
        <v>20</v>
      </c>
      <c r="B117" s="9"/>
      <c r="C117" s="9"/>
      <c r="D117" s="9" t="s">
        <v>619</v>
      </c>
      <c r="E117" s="65" t="s">
        <v>188</v>
      </c>
      <c r="F117" s="65"/>
      <c r="G117" s="91" t="s">
        <v>2298</v>
      </c>
      <c r="H117" s="66" t="s">
        <v>1198</v>
      </c>
      <c r="I117" s="9"/>
      <c r="J117" s="9" t="s">
        <v>1101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 t="s">
        <v>1101</v>
      </c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67"/>
      <c r="IC117" s="68"/>
      <c r="ID117" s="63"/>
      <c r="IE117" s="71"/>
    </row>
    <row r="118" spans="1:239" s="11" customFormat="1" x14ac:dyDescent="0.2">
      <c r="A118" s="9">
        <v>20</v>
      </c>
      <c r="B118" s="9"/>
      <c r="C118" s="9"/>
      <c r="D118" s="9" t="s">
        <v>400</v>
      </c>
      <c r="E118" s="65" t="s">
        <v>189</v>
      </c>
      <c r="F118" s="65"/>
      <c r="G118" s="91" t="s">
        <v>2299</v>
      </c>
      <c r="H118" s="66" t="s">
        <v>1199</v>
      </c>
      <c r="I118" s="9"/>
      <c r="J118" s="9" t="s">
        <v>1101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 t="s">
        <v>1101</v>
      </c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67"/>
      <c r="IC118" s="68"/>
      <c r="ID118" s="63"/>
      <c r="IE118" s="71"/>
    </row>
    <row r="119" spans="1:239" s="11" customFormat="1" x14ac:dyDescent="0.2">
      <c r="A119" s="9">
        <v>20</v>
      </c>
      <c r="B119" s="9"/>
      <c r="C119" s="9"/>
      <c r="D119" s="9" t="s">
        <v>620</v>
      </c>
      <c r="E119" s="65" t="s">
        <v>190</v>
      </c>
      <c r="F119" s="65"/>
      <c r="G119" s="91" t="s">
        <v>2300</v>
      </c>
      <c r="H119" s="66" t="s">
        <v>1200</v>
      </c>
      <c r="I119" s="9"/>
      <c r="J119" s="9" t="s">
        <v>1101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 t="s">
        <v>1101</v>
      </c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67"/>
      <c r="IC119" s="68"/>
      <c r="ID119" s="63"/>
      <c r="IE119" s="71"/>
    </row>
    <row r="120" spans="1:239" s="11" customFormat="1" x14ac:dyDescent="0.2">
      <c r="A120" s="9">
        <v>20</v>
      </c>
      <c r="B120" s="9"/>
      <c r="C120" s="9"/>
      <c r="D120" s="9" t="s">
        <v>401</v>
      </c>
      <c r="E120" s="65" t="s">
        <v>166</v>
      </c>
      <c r="F120" s="65"/>
      <c r="G120" s="91" t="s">
        <v>2251</v>
      </c>
      <c r="H120" s="66" t="s">
        <v>1142</v>
      </c>
      <c r="I120" s="9"/>
      <c r="J120" s="9" t="s">
        <v>1101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 t="s">
        <v>1101</v>
      </c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67"/>
      <c r="IC120" s="68"/>
      <c r="ID120" s="63"/>
      <c r="IE120" s="71"/>
    </row>
    <row r="121" spans="1:239" s="11" customFormat="1" x14ac:dyDescent="0.2">
      <c r="A121" s="9">
        <v>20</v>
      </c>
      <c r="B121" s="9"/>
      <c r="C121" s="9"/>
      <c r="D121" s="9" t="s">
        <v>621</v>
      </c>
      <c r="E121" s="65" t="s">
        <v>167</v>
      </c>
      <c r="F121" s="65"/>
      <c r="G121" s="91" t="s">
        <v>2252</v>
      </c>
      <c r="H121" s="66" t="s">
        <v>1143</v>
      </c>
      <c r="I121" s="9"/>
      <c r="J121" s="9" t="s">
        <v>1101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 t="s">
        <v>1101</v>
      </c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67"/>
      <c r="IC121" s="68"/>
      <c r="ID121" s="63"/>
      <c r="IE121" s="71"/>
    </row>
    <row r="122" spans="1:239" s="11" customFormat="1" x14ac:dyDescent="0.2">
      <c r="A122" s="9">
        <v>20</v>
      </c>
      <c r="B122" s="9"/>
      <c r="C122" s="9"/>
      <c r="D122" s="9" t="s">
        <v>402</v>
      </c>
      <c r="E122" s="65" t="s">
        <v>185</v>
      </c>
      <c r="F122" s="65"/>
      <c r="G122" s="91" t="s">
        <v>2295</v>
      </c>
      <c r="H122" s="66" t="s">
        <v>1195</v>
      </c>
      <c r="I122" s="9"/>
      <c r="J122" s="9" t="s">
        <v>1101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 t="s">
        <v>1101</v>
      </c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67"/>
      <c r="IC122" s="68"/>
      <c r="ID122" s="63"/>
      <c r="IE122" s="71"/>
    </row>
    <row r="123" spans="1:239" s="11" customFormat="1" x14ac:dyDescent="0.2">
      <c r="A123" s="9">
        <v>20</v>
      </c>
      <c r="B123" s="9"/>
      <c r="C123" s="9"/>
      <c r="D123" s="9" t="s">
        <v>622</v>
      </c>
      <c r="E123" s="65" t="s">
        <v>186</v>
      </c>
      <c r="F123" s="65"/>
      <c r="G123" s="91" t="s">
        <v>2296</v>
      </c>
      <c r="H123" s="66" t="s">
        <v>1196</v>
      </c>
      <c r="I123" s="9"/>
      <c r="J123" s="9" t="s">
        <v>1101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 t="s">
        <v>2106</v>
      </c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67"/>
      <c r="IC123" s="68"/>
      <c r="ID123" s="63"/>
      <c r="IE123" s="71"/>
    </row>
    <row r="124" spans="1:239" s="11" customFormat="1" ht="26" x14ac:dyDescent="0.2">
      <c r="A124" s="9">
        <v>20</v>
      </c>
      <c r="B124" s="9"/>
      <c r="C124" s="9"/>
      <c r="D124" s="9" t="s">
        <v>403</v>
      </c>
      <c r="E124" s="65" t="s">
        <v>186</v>
      </c>
      <c r="F124" s="65"/>
      <c r="G124" s="91" t="s">
        <v>2301</v>
      </c>
      <c r="H124" s="66" t="s">
        <v>1201</v>
      </c>
      <c r="I124" s="9"/>
      <c r="J124" s="9" t="s">
        <v>1101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 t="s">
        <v>2107</v>
      </c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67"/>
      <c r="IC124" s="68"/>
      <c r="ID124" s="63"/>
      <c r="IE124" s="71"/>
    </row>
    <row r="125" spans="1:239" s="11" customFormat="1" x14ac:dyDescent="0.2">
      <c r="A125" s="9">
        <v>20</v>
      </c>
      <c r="B125" s="9"/>
      <c r="C125" s="9"/>
      <c r="D125" s="9" t="s">
        <v>763</v>
      </c>
      <c r="E125" s="65" t="s">
        <v>765</v>
      </c>
      <c r="F125" s="65"/>
      <c r="G125" s="91" t="s">
        <v>2302</v>
      </c>
      <c r="H125" s="66" t="s">
        <v>1202</v>
      </c>
      <c r="I125" s="9"/>
      <c r="J125" s="9" t="s">
        <v>1101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 t="s">
        <v>1062</v>
      </c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67"/>
      <c r="IC125" s="68"/>
      <c r="ID125" s="63"/>
      <c r="IE125" s="71"/>
    </row>
    <row r="126" spans="1:239" s="11" customFormat="1" x14ac:dyDescent="0.2">
      <c r="A126" s="9">
        <v>20</v>
      </c>
      <c r="B126" s="9"/>
      <c r="C126" s="9"/>
      <c r="D126" s="9" t="s">
        <v>764</v>
      </c>
      <c r="E126" s="65" t="s">
        <v>192</v>
      </c>
      <c r="F126" s="65"/>
      <c r="G126" s="91" t="s">
        <v>2303</v>
      </c>
      <c r="H126" s="66" t="s">
        <v>1203</v>
      </c>
      <c r="I126" s="9"/>
      <c r="J126" s="9" t="s">
        <v>1101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 t="s">
        <v>1204</v>
      </c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67"/>
      <c r="IC126" s="68"/>
      <c r="ID126" s="63"/>
      <c r="IE126" s="71"/>
    </row>
    <row r="127" spans="1:239" s="11" customFormat="1" x14ac:dyDescent="0.2">
      <c r="A127" s="9">
        <v>20</v>
      </c>
      <c r="B127" s="9"/>
      <c r="C127" s="9"/>
      <c r="D127" s="9" t="s">
        <v>404</v>
      </c>
      <c r="E127" s="65" t="s">
        <v>189</v>
      </c>
      <c r="F127" s="65"/>
      <c r="G127" s="91" t="s">
        <v>2299</v>
      </c>
      <c r="H127" s="66" t="s">
        <v>1199</v>
      </c>
      <c r="I127" s="9"/>
      <c r="J127" s="9" t="s">
        <v>1101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 t="s">
        <v>1101</v>
      </c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67"/>
      <c r="IC127" s="68"/>
      <c r="ID127" s="63"/>
      <c r="IE127" s="71"/>
    </row>
    <row r="128" spans="1:239" s="11" customFormat="1" x14ac:dyDescent="0.2">
      <c r="A128" s="9">
        <v>20</v>
      </c>
      <c r="B128" s="9"/>
      <c r="C128" s="9"/>
      <c r="D128" s="9" t="s">
        <v>623</v>
      </c>
      <c r="E128" s="65" t="s">
        <v>190</v>
      </c>
      <c r="F128" s="65"/>
      <c r="G128" s="91" t="s">
        <v>2300</v>
      </c>
      <c r="H128" s="66" t="s">
        <v>1200</v>
      </c>
      <c r="I128" s="9"/>
      <c r="J128" s="9" t="s">
        <v>1101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 t="s">
        <v>2108</v>
      </c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67"/>
      <c r="IC128" s="68"/>
      <c r="ID128" s="63"/>
      <c r="IE128" s="71"/>
    </row>
    <row r="129" spans="1:239" s="11" customFormat="1" ht="26" x14ac:dyDescent="0.2">
      <c r="A129" s="9">
        <v>20</v>
      </c>
      <c r="B129" s="9"/>
      <c r="C129" s="9"/>
      <c r="D129" s="9" t="s">
        <v>405</v>
      </c>
      <c r="E129" s="65" t="s">
        <v>190</v>
      </c>
      <c r="F129" s="65"/>
      <c r="G129" s="91" t="s">
        <v>2304</v>
      </c>
      <c r="H129" s="66" t="s">
        <v>1205</v>
      </c>
      <c r="I129" s="9"/>
      <c r="J129" s="9" t="s">
        <v>1101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 t="s">
        <v>2109</v>
      </c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67"/>
      <c r="IC129" s="68"/>
      <c r="ID129" s="63"/>
      <c r="IE129" s="71"/>
    </row>
    <row r="130" spans="1:239" s="11" customFormat="1" x14ac:dyDescent="0.2">
      <c r="A130" s="9">
        <v>20</v>
      </c>
      <c r="B130" s="9"/>
      <c r="C130" s="9"/>
      <c r="D130" s="9" t="s">
        <v>406</v>
      </c>
      <c r="E130" s="65" t="s">
        <v>176</v>
      </c>
      <c r="F130" s="65"/>
      <c r="G130" s="91" t="s">
        <v>2305</v>
      </c>
      <c r="H130" s="66" t="s">
        <v>1206</v>
      </c>
      <c r="I130" s="9"/>
      <c r="J130" s="9" t="s">
        <v>1101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 t="s">
        <v>1101</v>
      </c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67"/>
      <c r="IC130" s="68"/>
      <c r="ID130" s="63"/>
      <c r="IE130" s="71"/>
    </row>
    <row r="131" spans="1:239" s="11" customFormat="1" x14ac:dyDescent="0.2">
      <c r="A131" s="9">
        <v>20</v>
      </c>
      <c r="B131" s="9"/>
      <c r="C131" s="9"/>
      <c r="D131" s="9" t="s">
        <v>766</v>
      </c>
      <c r="E131" s="65" t="s">
        <v>191</v>
      </c>
      <c r="F131" s="65"/>
      <c r="G131" s="91" t="s">
        <v>2302</v>
      </c>
      <c r="H131" s="66" t="s">
        <v>1202</v>
      </c>
      <c r="I131" s="9"/>
      <c r="J131" s="9" t="s">
        <v>1101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 t="s">
        <v>1062</v>
      </c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67"/>
      <c r="IC131" s="68"/>
      <c r="ID131" s="63"/>
      <c r="IE131" s="71"/>
    </row>
    <row r="132" spans="1:239" s="11" customFormat="1" x14ac:dyDescent="0.2">
      <c r="A132" s="9">
        <v>20</v>
      </c>
      <c r="B132" s="9"/>
      <c r="C132" s="9"/>
      <c r="D132" s="9" t="s">
        <v>767</v>
      </c>
      <c r="E132" s="65" t="s">
        <v>192</v>
      </c>
      <c r="F132" s="65"/>
      <c r="G132" s="91" t="s">
        <v>2303</v>
      </c>
      <c r="H132" s="66" t="s">
        <v>1203</v>
      </c>
      <c r="I132" s="9"/>
      <c r="J132" s="9" t="s">
        <v>1101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 t="s">
        <v>1204</v>
      </c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67"/>
      <c r="IC132" s="68"/>
      <c r="ID132" s="63"/>
      <c r="IE132" s="71"/>
    </row>
    <row r="133" spans="1:239" s="11" customFormat="1" x14ac:dyDescent="0.2">
      <c r="A133" s="9">
        <v>20</v>
      </c>
      <c r="B133" s="9"/>
      <c r="C133" s="9"/>
      <c r="D133" s="9" t="s">
        <v>407</v>
      </c>
      <c r="E133" s="65" t="s">
        <v>176</v>
      </c>
      <c r="F133" s="65"/>
      <c r="G133" s="91" t="s">
        <v>2306</v>
      </c>
      <c r="H133" s="66" t="s">
        <v>1207</v>
      </c>
      <c r="I133" s="9"/>
      <c r="J133" s="9" t="s">
        <v>1098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 t="s">
        <v>1098</v>
      </c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67"/>
      <c r="IC133" s="68"/>
      <c r="ID133" s="63"/>
      <c r="IE133" s="71"/>
    </row>
    <row r="134" spans="1:239" s="11" customFormat="1" x14ac:dyDescent="0.2">
      <c r="A134" s="9">
        <v>20</v>
      </c>
      <c r="B134" s="9"/>
      <c r="C134" s="9"/>
      <c r="D134" s="9" t="s">
        <v>408</v>
      </c>
      <c r="E134" s="65" t="s">
        <v>176</v>
      </c>
      <c r="F134" s="65"/>
      <c r="G134" s="91" t="s">
        <v>2307</v>
      </c>
      <c r="H134" s="66" t="s">
        <v>1208</v>
      </c>
      <c r="I134" s="9"/>
      <c r="J134" s="9" t="s">
        <v>1101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 t="s">
        <v>1101</v>
      </c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67"/>
      <c r="IC134" s="68"/>
      <c r="ID134" s="63"/>
      <c r="IE134" s="71"/>
    </row>
    <row r="135" spans="1:239" s="11" customFormat="1" x14ac:dyDescent="0.2">
      <c r="A135" s="9">
        <v>20</v>
      </c>
      <c r="B135" s="9"/>
      <c r="C135" s="9"/>
      <c r="D135" s="9" t="s">
        <v>409</v>
      </c>
      <c r="E135" s="65" t="s">
        <v>176</v>
      </c>
      <c r="F135" s="65"/>
      <c r="G135" s="91" t="s">
        <v>2308</v>
      </c>
      <c r="H135" s="66" t="s">
        <v>1209</v>
      </c>
      <c r="I135" s="9"/>
      <c r="J135" s="9" t="s">
        <v>1098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 t="s">
        <v>1098</v>
      </c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67"/>
      <c r="IC135" s="68"/>
      <c r="ID135" s="63"/>
      <c r="IE135" s="71"/>
    </row>
    <row r="136" spans="1:239" s="11" customFormat="1" x14ac:dyDescent="0.2">
      <c r="A136" s="9">
        <v>20</v>
      </c>
      <c r="B136" s="9"/>
      <c r="C136" s="9"/>
      <c r="D136" s="9" t="s">
        <v>2032</v>
      </c>
      <c r="E136" s="65" t="s">
        <v>158</v>
      </c>
      <c r="F136" s="65"/>
      <c r="G136" s="91" t="s">
        <v>2309</v>
      </c>
      <c r="H136" s="66" t="s">
        <v>2033</v>
      </c>
      <c r="I136" s="9"/>
      <c r="J136" s="9" t="s">
        <v>1041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 t="s">
        <v>1041</v>
      </c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67"/>
      <c r="IC136" s="68"/>
      <c r="ID136" s="63"/>
      <c r="IE136" s="71"/>
    </row>
    <row r="137" spans="1:239" s="11" customFormat="1" x14ac:dyDescent="0.2">
      <c r="A137" s="9">
        <v>20</v>
      </c>
      <c r="B137" s="9"/>
      <c r="C137" s="9"/>
      <c r="D137" s="9" t="s">
        <v>624</v>
      </c>
      <c r="E137" s="65" t="s">
        <v>152</v>
      </c>
      <c r="F137" s="65"/>
      <c r="G137" s="91" t="s">
        <v>2251</v>
      </c>
      <c r="H137" s="66" t="s">
        <v>1142</v>
      </c>
      <c r="I137" s="9"/>
      <c r="J137" s="9" t="s">
        <v>1041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 t="s">
        <v>97</v>
      </c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67"/>
      <c r="IC137" s="68"/>
      <c r="ID137" s="63"/>
      <c r="IE137" s="71"/>
    </row>
    <row r="138" spans="1:239" s="11" customFormat="1" x14ac:dyDescent="0.2">
      <c r="A138" s="9">
        <v>20</v>
      </c>
      <c r="B138" s="9"/>
      <c r="C138" s="9"/>
      <c r="D138" s="9" t="s">
        <v>625</v>
      </c>
      <c r="E138" s="65" t="s">
        <v>153</v>
      </c>
      <c r="F138" s="65"/>
      <c r="G138" s="91" t="s">
        <v>2252</v>
      </c>
      <c r="H138" s="66" t="s">
        <v>1143</v>
      </c>
      <c r="I138" s="9"/>
      <c r="J138" s="9" t="s">
        <v>1041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 t="s">
        <v>308</v>
      </c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67"/>
      <c r="IC138" s="68"/>
      <c r="ID138" s="63"/>
      <c r="IE138" s="71"/>
    </row>
    <row r="139" spans="1:239" s="11" customFormat="1" x14ac:dyDescent="0.2">
      <c r="A139" s="9">
        <v>20</v>
      </c>
      <c r="B139" s="9"/>
      <c r="C139" s="9"/>
      <c r="D139" s="9" t="s">
        <v>2060</v>
      </c>
      <c r="E139" s="65" t="s">
        <v>2039</v>
      </c>
      <c r="F139" s="65"/>
      <c r="G139" s="91" t="s">
        <v>2310</v>
      </c>
      <c r="H139" s="66" t="s">
        <v>2041</v>
      </c>
      <c r="I139" s="9"/>
      <c r="J139" s="9" t="s">
        <v>1041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 t="s">
        <v>2036</v>
      </c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67"/>
      <c r="IC139" s="68"/>
      <c r="ID139" s="63"/>
      <c r="IE139" s="71"/>
    </row>
    <row r="140" spans="1:239" s="11" customFormat="1" x14ac:dyDescent="0.2">
      <c r="A140" s="9">
        <v>20</v>
      </c>
      <c r="B140" s="9"/>
      <c r="C140" s="9"/>
      <c r="D140" s="9" t="s">
        <v>2061</v>
      </c>
      <c r="E140" s="65" t="s">
        <v>2040</v>
      </c>
      <c r="F140" s="65"/>
      <c r="G140" s="91" t="s">
        <v>2311</v>
      </c>
      <c r="H140" s="66" t="s">
        <v>2042</v>
      </c>
      <c r="I140" s="9"/>
      <c r="J140" s="9" t="s">
        <v>1041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 t="s">
        <v>2038</v>
      </c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67"/>
      <c r="IC140" s="68"/>
      <c r="ID140" s="63"/>
      <c r="IE140" s="71"/>
    </row>
    <row r="141" spans="1:239" s="11" customFormat="1" x14ac:dyDescent="0.2">
      <c r="A141" s="9">
        <v>20</v>
      </c>
      <c r="B141" s="9"/>
      <c r="C141" s="9"/>
      <c r="D141" s="9" t="s">
        <v>2067</v>
      </c>
      <c r="E141" s="65" t="s">
        <v>158</v>
      </c>
      <c r="F141" s="65"/>
      <c r="G141" s="91" t="s">
        <v>2312</v>
      </c>
      <c r="H141" s="66" t="s">
        <v>2066</v>
      </c>
      <c r="I141" s="9"/>
      <c r="J141" s="9" t="s">
        <v>1041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 t="s">
        <v>1041</v>
      </c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67"/>
      <c r="IC141" s="68"/>
      <c r="ID141" s="63"/>
      <c r="IE141" s="71"/>
    </row>
    <row r="142" spans="1:239" s="11" customFormat="1" x14ac:dyDescent="0.2">
      <c r="A142" s="9">
        <v>20</v>
      </c>
      <c r="B142" s="9"/>
      <c r="C142" s="9"/>
      <c r="D142" s="9" t="s">
        <v>2069</v>
      </c>
      <c r="E142" s="65" t="s">
        <v>158</v>
      </c>
      <c r="F142" s="65"/>
      <c r="G142" s="91" t="s">
        <v>2313</v>
      </c>
      <c r="H142" s="66" t="s">
        <v>2070</v>
      </c>
      <c r="I142" s="9"/>
      <c r="J142" s="9" t="s">
        <v>1041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 t="s">
        <v>1041</v>
      </c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67"/>
      <c r="IC142" s="68"/>
      <c r="ID142" s="63"/>
      <c r="IE142" s="71"/>
    </row>
    <row r="143" spans="1:239" s="11" customFormat="1" ht="26" x14ac:dyDescent="0.2">
      <c r="A143" s="9">
        <v>20</v>
      </c>
      <c r="B143" s="9"/>
      <c r="C143" s="9"/>
      <c r="D143" s="9" t="s">
        <v>410</v>
      </c>
      <c r="E143" s="65" t="s">
        <v>187</v>
      </c>
      <c r="F143" s="65"/>
      <c r="G143" s="91" t="s">
        <v>2297</v>
      </c>
      <c r="H143" s="66" t="s">
        <v>1197</v>
      </c>
      <c r="I143" s="9"/>
      <c r="J143" s="9" t="s">
        <v>1101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 t="s">
        <v>1101</v>
      </c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67"/>
      <c r="IC143" s="68"/>
      <c r="ID143" s="63"/>
      <c r="IE143" s="71"/>
    </row>
    <row r="144" spans="1:239" s="11" customFormat="1" ht="26" x14ac:dyDescent="0.2">
      <c r="A144" s="9">
        <v>20</v>
      </c>
      <c r="B144" s="9"/>
      <c r="C144" s="9"/>
      <c r="D144" s="9" t="s">
        <v>626</v>
      </c>
      <c r="E144" s="65" t="s">
        <v>188</v>
      </c>
      <c r="F144" s="65"/>
      <c r="G144" s="91" t="s">
        <v>2298</v>
      </c>
      <c r="H144" s="66" t="s">
        <v>1198</v>
      </c>
      <c r="I144" s="9"/>
      <c r="J144" s="9" t="s">
        <v>1101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 t="s">
        <v>2110</v>
      </c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67"/>
      <c r="IC144" s="68"/>
      <c r="ID144" s="63"/>
      <c r="IE144" s="71"/>
    </row>
    <row r="145" spans="1:239" s="11" customFormat="1" ht="26" x14ac:dyDescent="0.2">
      <c r="A145" s="9">
        <v>20</v>
      </c>
      <c r="B145" s="9"/>
      <c r="C145" s="9"/>
      <c r="D145" s="9" t="s">
        <v>411</v>
      </c>
      <c r="E145" s="65" t="s">
        <v>188</v>
      </c>
      <c r="F145" s="65"/>
      <c r="G145" s="91" t="s">
        <v>2314</v>
      </c>
      <c r="H145" s="66" t="s">
        <v>1210</v>
      </c>
      <c r="I145" s="9"/>
      <c r="J145" s="9" t="s">
        <v>1101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 t="s">
        <v>2111</v>
      </c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67"/>
      <c r="IC145" s="68"/>
      <c r="ID145" s="63"/>
      <c r="IE145" s="71"/>
    </row>
    <row r="146" spans="1:239" s="11" customFormat="1" x14ac:dyDescent="0.2">
      <c r="A146" s="9">
        <v>20</v>
      </c>
      <c r="B146" s="9"/>
      <c r="C146" s="9"/>
      <c r="D146" s="9" t="s">
        <v>412</v>
      </c>
      <c r="E146" s="65" t="s">
        <v>191</v>
      </c>
      <c r="F146" s="65"/>
      <c r="G146" s="91" t="s">
        <v>2302</v>
      </c>
      <c r="H146" s="66" t="s">
        <v>1202</v>
      </c>
      <c r="I146" s="9"/>
      <c r="J146" s="9" t="s">
        <v>1101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 t="s">
        <v>1101</v>
      </c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67"/>
      <c r="IC146" s="68"/>
      <c r="ID146" s="63"/>
      <c r="IE146" s="71"/>
    </row>
    <row r="147" spans="1:239" s="11" customFormat="1" x14ac:dyDescent="0.2">
      <c r="A147" s="9">
        <v>20</v>
      </c>
      <c r="B147" s="9"/>
      <c r="C147" s="9"/>
      <c r="D147" s="9" t="s">
        <v>627</v>
      </c>
      <c r="E147" s="65" t="s">
        <v>193</v>
      </c>
      <c r="F147" s="65"/>
      <c r="G147" s="91" t="s">
        <v>2303</v>
      </c>
      <c r="H147" s="66" t="s">
        <v>1203</v>
      </c>
      <c r="I147" s="9"/>
      <c r="J147" s="9" t="s">
        <v>1101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 t="s">
        <v>2112</v>
      </c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67"/>
      <c r="IC147" s="68"/>
      <c r="ID147" s="63"/>
      <c r="IE147" s="71"/>
    </row>
    <row r="148" spans="1:239" s="11" customFormat="1" ht="26" x14ac:dyDescent="0.2">
      <c r="A148" s="9">
        <v>20</v>
      </c>
      <c r="B148" s="9"/>
      <c r="C148" s="9"/>
      <c r="D148" s="9" t="s">
        <v>413</v>
      </c>
      <c r="E148" s="65" t="s">
        <v>193</v>
      </c>
      <c r="F148" s="65"/>
      <c r="G148" s="91" t="s">
        <v>2315</v>
      </c>
      <c r="H148" s="66" t="s">
        <v>1211</v>
      </c>
      <c r="I148" s="9"/>
      <c r="J148" s="9" t="s">
        <v>1101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 t="s">
        <v>2113</v>
      </c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67"/>
      <c r="IC148" s="68"/>
      <c r="ID148" s="63"/>
      <c r="IE148" s="71"/>
    </row>
    <row r="149" spans="1:239" s="11" customFormat="1" x14ac:dyDescent="0.2">
      <c r="A149" s="9">
        <v>20</v>
      </c>
      <c r="B149" s="9"/>
      <c r="C149" s="9"/>
      <c r="D149" s="9" t="s">
        <v>414</v>
      </c>
      <c r="E149" s="65" t="s">
        <v>176</v>
      </c>
      <c r="F149" s="65"/>
      <c r="G149" s="91" t="s">
        <v>2316</v>
      </c>
      <c r="H149" s="66" t="s">
        <v>1212</v>
      </c>
      <c r="I149" s="9"/>
      <c r="J149" s="9" t="s">
        <v>1101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 t="s">
        <v>1101</v>
      </c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67"/>
      <c r="IC149" s="68"/>
      <c r="ID149" s="63"/>
      <c r="IE149" s="71"/>
    </row>
    <row r="150" spans="1:239" s="11" customFormat="1" x14ac:dyDescent="0.2">
      <c r="A150" s="9">
        <v>20</v>
      </c>
      <c r="B150" s="9"/>
      <c r="C150" s="9"/>
      <c r="D150" s="9" t="s">
        <v>665</v>
      </c>
      <c r="E150" s="65" t="s">
        <v>176</v>
      </c>
      <c r="F150" s="65"/>
      <c r="G150" s="91" t="s">
        <v>2317</v>
      </c>
      <c r="H150" s="66" t="s">
        <v>1213</v>
      </c>
      <c r="I150" s="9"/>
      <c r="J150" s="9" t="s">
        <v>1101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 t="s">
        <v>1101</v>
      </c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67"/>
      <c r="IC150" s="68"/>
      <c r="ID150" s="63"/>
      <c r="IE150" s="71"/>
    </row>
    <row r="151" spans="1:239" s="11" customFormat="1" x14ac:dyDescent="0.2">
      <c r="A151" s="9">
        <v>20</v>
      </c>
      <c r="B151" s="9"/>
      <c r="C151" s="9"/>
      <c r="D151" s="9" t="s">
        <v>666</v>
      </c>
      <c r="E151" s="65" t="s">
        <v>176</v>
      </c>
      <c r="F151" s="65"/>
      <c r="G151" s="91" t="s">
        <v>2318</v>
      </c>
      <c r="H151" s="66" t="s">
        <v>1214</v>
      </c>
      <c r="I151" s="9"/>
      <c r="J151" s="9" t="s">
        <v>1098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 t="s">
        <v>1098</v>
      </c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67"/>
      <c r="IC151" s="68"/>
      <c r="ID151" s="63"/>
      <c r="IE151" s="71"/>
    </row>
    <row r="152" spans="1:239" s="11" customFormat="1" x14ac:dyDescent="0.2">
      <c r="A152" s="9">
        <v>20</v>
      </c>
      <c r="B152" s="9"/>
      <c r="C152" s="9"/>
      <c r="D152" s="9" t="s">
        <v>415</v>
      </c>
      <c r="E152" s="65" t="s">
        <v>176</v>
      </c>
      <c r="F152" s="65"/>
      <c r="G152" s="91" t="s">
        <v>2319</v>
      </c>
      <c r="H152" s="66" t="s">
        <v>1215</v>
      </c>
      <c r="I152" s="9"/>
      <c r="J152" s="9" t="s">
        <v>1101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 t="s">
        <v>1101</v>
      </c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67"/>
      <c r="IC152" s="68"/>
      <c r="ID152" s="63"/>
      <c r="IE152" s="71"/>
    </row>
    <row r="153" spans="1:239" s="11" customFormat="1" x14ac:dyDescent="0.2">
      <c r="A153" s="9">
        <v>20</v>
      </c>
      <c r="B153" s="9"/>
      <c r="C153" s="9"/>
      <c r="D153" s="9" t="s">
        <v>416</v>
      </c>
      <c r="E153" s="65" t="s">
        <v>176</v>
      </c>
      <c r="F153" s="65"/>
      <c r="G153" s="91" t="s">
        <v>2320</v>
      </c>
      <c r="H153" s="66" t="s">
        <v>1216</v>
      </c>
      <c r="I153" s="9"/>
      <c r="J153" s="9" t="s">
        <v>1101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 t="s">
        <v>1101</v>
      </c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67"/>
      <c r="IC153" s="68"/>
      <c r="ID153" s="63"/>
      <c r="IE153" s="71"/>
    </row>
    <row r="154" spans="1:239" s="11" customFormat="1" x14ac:dyDescent="0.2">
      <c r="A154" s="9">
        <v>20</v>
      </c>
      <c r="B154" s="9"/>
      <c r="C154" s="9"/>
      <c r="D154" s="9" t="s">
        <v>417</v>
      </c>
      <c r="E154" s="65" t="s">
        <v>176</v>
      </c>
      <c r="F154" s="65"/>
      <c r="G154" s="91" t="s">
        <v>2321</v>
      </c>
      <c r="H154" s="66" t="s">
        <v>1217</v>
      </c>
      <c r="I154" s="9"/>
      <c r="J154" s="9" t="s">
        <v>1101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 t="s">
        <v>1101</v>
      </c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67"/>
      <c r="IC154" s="68"/>
      <c r="ID154" s="63"/>
      <c r="IE154" s="71"/>
    </row>
    <row r="155" spans="1:239" s="11" customFormat="1" x14ac:dyDescent="0.2">
      <c r="A155" s="9">
        <v>20</v>
      </c>
      <c r="B155" s="9"/>
      <c r="C155" s="9"/>
      <c r="D155" s="9" t="s">
        <v>418</v>
      </c>
      <c r="E155" s="65" t="s">
        <v>176</v>
      </c>
      <c r="F155" s="65"/>
      <c r="G155" s="91" t="s">
        <v>2322</v>
      </c>
      <c r="H155" s="66" t="s">
        <v>1218</v>
      </c>
      <c r="I155" s="9"/>
      <c r="J155" s="9" t="s">
        <v>1101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 t="s">
        <v>1101</v>
      </c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67"/>
      <c r="IC155" s="68"/>
      <c r="ID155" s="63"/>
      <c r="IE155" s="71"/>
    </row>
    <row r="156" spans="1:239" s="11" customFormat="1" x14ac:dyDescent="0.2">
      <c r="A156" s="9">
        <v>20</v>
      </c>
      <c r="B156" s="9"/>
      <c r="C156" s="9"/>
      <c r="D156" s="9" t="s">
        <v>819</v>
      </c>
      <c r="E156" s="65" t="s">
        <v>820</v>
      </c>
      <c r="F156" s="65"/>
      <c r="G156" s="91" t="s">
        <v>2323</v>
      </c>
      <c r="H156" s="66" t="s">
        <v>1219</v>
      </c>
      <c r="I156" s="9"/>
      <c r="J156" s="9" t="s">
        <v>1101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 t="s">
        <v>1101</v>
      </c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67"/>
      <c r="IC156" s="68"/>
      <c r="ID156" s="63"/>
      <c r="IE156" s="71"/>
    </row>
    <row r="157" spans="1:239" s="11" customFormat="1" x14ac:dyDescent="0.2">
      <c r="A157" s="9">
        <v>20</v>
      </c>
      <c r="B157" s="9"/>
      <c r="C157" s="9"/>
      <c r="D157" s="9" t="s">
        <v>866</v>
      </c>
      <c r="E157" s="65" t="s">
        <v>877</v>
      </c>
      <c r="F157" s="65"/>
      <c r="G157" s="91" t="s">
        <v>2324</v>
      </c>
      <c r="H157" s="66" t="s">
        <v>1220</v>
      </c>
      <c r="I157" s="9"/>
      <c r="J157" s="9" t="s">
        <v>1101</v>
      </c>
      <c r="K157" s="9" t="s">
        <v>1221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 t="s">
        <v>1101</v>
      </c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67"/>
      <c r="IC157" s="68"/>
      <c r="ID157" s="63"/>
      <c r="IE157" s="71"/>
    </row>
    <row r="158" spans="1:239" s="11" customFormat="1" x14ac:dyDescent="0.2">
      <c r="A158" s="9">
        <v>20</v>
      </c>
      <c r="B158" s="9"/>
      <c r="C158" s="9"/>
      <c r="D158" s="9" t="s">
        <v>867</v>
      </c>
      <c r="E158" s="65" t="s">
        <v>873</v>
      </c>
      <c r="F158" s="65"/>
      <c r="G158" s="91" t="s">
        <v>2325</v>
      </c>
      <c r="H158" s="66" t="s">
        <v>1222</v>
      </c>
      <c r="I158" s="9"/>
      <c r="J158" s="9" t="s">
        <v>1101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/>
      <c r="IA158" s="9"/>
      <c r="IB158" s="67"/>
      <c r="IC158" s="68"/>
      <c r="ID158" s="63"/>
      <c r="IE158" s="71"/>
    </row>
    <row r="159" spans="1:239" s="11" customFormat="1" x14ac:dyDescent="0.2">
      <c r="A159" s="9">
        <v>20</v>
      </c>
      <c r="B159" s="9"/>
      <c r="C159" s="9"/>
      <c r="D159" s="9" t="s">
        <v>868</v>
      </c>
      <c r="E159" s="65" t="s">
        <v>878</v>
      </c>
      <c r="F159" s="65"/>
      <c r="G159" s="91" t="s">
        <v>2326</v>
      </c>
      <c r="H159" s="66" t="s">
        <v>1223</v>
      </c>
      <c r="I159" s="9"/>
      <c r="J159" s="9" t="s">
        <v>1098</v>
      </c>
      <c r="K159" s="9" t="s">
        <v>1224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 t="s">
        <v>1098</v>
      </c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67"/>
      <c r="IC159" s="68"/>
      <c r="ID159" s="63"/>
      <c r="IE159" s="71"/>
    </row>
    <row r="160" spans="1:239" s="11" customFormat="1" x14ac:dyDescent="0.2">
      <c r="A160" s="9">
        <v>20</v>
      </c>
      <c r="B160" s="9"/>
      <c r="C160" s="9"/>
      <c r="D160" s="9" t="s">
        <v>869</v>
      </c>
      <c r="E160" s="65" t="s">
        <v>875</v>
      </c>
      <c r="F160" s="65"/>
      <c r="G160" s="91" t="s">
        <v>2327</v>
      </c>
      <c r="H160" s="66" t="s">
        <v>1225</v>
      </c>
      <c r="I160" s="9"/>
      <c r="J160" s="9" t="s">
        <v>1101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67"/>
      <c r="IC160" s="68"/>
      <c r="ID160" s="63"/>
      <c r="IE160" s="71"/>
    </row>
    <row r="161" spans="1:239" s="11" customFormat="1" x14ac:dyDescent="0.2">
      <c r="A161" s="9">
        <v>20</v>
      </c>
      <c r="B161" s="9"/>
      <c r="C161" s="9"/>
      <c r="D161" s="9" t="s">
        <v>870</v>
      </c>
      <c r="E161" s="65" t="s">
        <v>876</v>
      </c>
      <c r="F161" s="65"/>
      <c r="G161" s="91" t="s">
        <v>2328</v>
      </c>
      <c r="H161" s="66" t="s">
        <v>1226</v>
      </c>
      <c r="I161" s="9"/>
      <c r="J161" s="9" t="s">
        <v>1101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 t="s">
        <v>1101</v>
      </c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67"/>
      <c r="IC161" s="68"/>
      <c r="ID161" s="63"/>
      <c r="IE161" s="71"/>
    </row>
    <row r="162" spans="1:239" s="11" customFormat="1" ht="26" x14ac:dyDescent="0.2">
      <c r="A162" s="9">
        <v>20</v>
      </c>
      <c r="B162" s="9"/>
      <c r="C162" s="9"/>
      <c r="D162" s="9" t="s">
        <v>1006</v>
      </c>
      <c r="E162" s="65" t="s">
        <v>158</v>
      </c>
      <c r="F162" s="65"/>
      <c r="G162" s="91" t="s">
        <v>2329</v>
      </c>
      <c r="H162" s="66" t="s">
        <v>1227</v>
      </c>
      <c r="I162" s="9"/>
      <c r="J162" s="9" t="s">
        <v>1101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 t="s">
        <v>1101</v>
      </c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67"/>
      <c r="IC162" s="68"/>
      <c r="ID162" s="63"/>
      <c r="IE162" s="71"/>
    </row>
    <row r="163" spans="1:239" s="11" customFormat="1" x14ac:dyDescent="0.2">
      <c r="A163" s="9">
        <v>20</v>
      </c>
      <c r="B163" s="9"/>
      <c r="C163" s="9"/>
      <c r="D163" s="9" t="s">
        <v>871</v>
      </c>
      <c r="E163" s="65" t="s">
        <v>876</v>
      </c>
      <c r="F163" s="65"/>
      <c r="G163" s="91" t="s">
        <v>2330</v>
      </c>
      <c r="H163" s="66" t="s">
        <v>1228</v>
      </c>
      <c r="I163" s="9"/>
      <c r="J163" s="9" t="s">
        <v>1101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 t="s">
        <v>1101</v>
      </c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67"/>
      <c r="IC163" s="68"/>
      <c r="ID163" s="63"/>
      <c r="IE163" s="71"/>
    </row>
    <row r="164" spans="1:239" s="11" customFormat="1" ht="26" x14ac:dyDescent="0.2">
      <c r="A164" s="9">
        <v>20</v>
      </c>
      <c r="B164" s="9"/>
      <c r="C164" s="9"/>
      <c r="D164" s="9" t="s">
        <v>925</v>
      </c>
      <c r="E164" s="65" t="s">
        <v>876</v>
      </c>
      <c r="F164" s="65"/>
      <c r="G164" s="91" t="s">
        <v>2331</v>
      </c>
      <c r="H164" s="66" t="s">
        <v>1229</v>
      </c>
      <c r="I164" s="9"/>
      <c r="J164" s="9" t="s">
        <v>1101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 t="s">
        <v>1101</v>
      </c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67"/>
      <c r="IC164" s="68"/>
      <c r="ID164" s="63"/>
      <c r="IE164" s="71"/>
    </row>
    <row r="165" spans="1:239" s="11" customFormat="1" x14ac:dyDescent="0.2">
      <c r="A165" s="9">
        <v>20</v>
      </c>
      <c r="B165" s="9"/>
      <c r="C165" s="9"/>
      <c r="D165" s="9" t="s">
        <v>813</v>
      </c>
      <c r="E165" s="65" t="s">
        <v>821</v>
      </c>
      <c r="F165" s="65"/>
      <c r="G165" s="91" t="s">
        <v>2332</v>
      </c>
      <c r="H165" s="66" t="s">
        <v>1230</v>
      </c>
      <c r="I165" s="9"/>
      <c r="J165" s="9" t="s">
        <v>1101</v>
      </c>
      <c r="K165" s="9" t="s">
        <v>1231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 t="s">
        <v>1101</v>
      </c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67"/>
      <c r="IC165" s="68"/>
      <c r="ID165" s="63"/>
      <c r="IE165" s="71"/>
    </row>
    <row r="166" spans="1:239" s="11" customFormat="1" x14ac:dyDescent="0.2">
      <c r="A166" s="9">
        <v>20</v>
      </c>
      <c r="B166" s="9"/>
      <c r="C166" s="9"/>
      <c r="D166" s="9" t="s">
        <v>814</v>
      </c>
      <c r="E166" s="65" t="s">
        <v>815</v>
      </c>
      <c r="F166" s="65"/>
      <c r="G166" s="91" t="s">
        <v>2333</v>
      </c>
      <c r="H166" s="66" t="s">
        <v>1232</v>
      </c>
      <c r="I166" s="9"/>
      <c r="J166" s="9" t="s">
        <v>1101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67"/>
      <c r="IC166" s="68"/>
      <c r="ID166" s="63"/>
      <c r="IE166" s="71"/>
    </row>
    <row r="167" spans="1:239" s="11" customFormat="1" x14ac:dyDescent="0.2">
      <c r="A167" s="9">
        <v>20</v>
      </c>
      <c r="B167" s="9"/>
      <c r="C167" s="9"/>
      <c r="D167" s="9" t="s">
        <v>816</v>
      </c>
      <c r="E167" s="65" t="s">
        <v>822</v>
      </c>
      <c r="F167" s="65"/>
      <c r="G167" s="91" t="s">
        <v>2334</v>
      </c>
      <c r="H167" s="66" t="s">
        <v>1233</v>
      </c>
      <c r="I167" s="9"/>
      <c r="J167" s="9" t="s">
        <v>1101</v>
      </c>
      <c r="K167" s="9" t="s">
        <v>1234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 t="s">
        <v>1101</v>
      </c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67"/>
      <c r="IC167" s="68"/>
      <c r="ID167" s="63"/>
      <c r="IE167" s="71"/>
    </row>
    <row r="168" spans="1:239" s="11" customFormat="1" x14ac:dyDescent="0.2">
      <c r="A168" s="9">
        <v>20</v>
      </c>
      <c r="B168" s="9"/>
      <c r="C168" s="9"/>
      <c r="D168" s="9" t="s">
        <v>817</v>
      </c>
      <c r="E168" s="65" t="s">
        <v>818</v>
      </c>
      <c r="F168" s="65"/>
      <c r="G168" s="91" t="s">
        <v>2335</v>
      </c>
      <c r="H168" s="66" t="s">
        <v>1235</v>
      </c>
      <c r="I168" s="9"/>
      <c r="J168" s="9" t="s">
        <v>1098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67"/>
      <c r="IC168" s="68"/>
      <c r="ID168" s="63"/>
      <c r="IE168" s="71"/>
    </row>
    <row r="169" spans="1:239" s="11" customFormat="1" ht="26" x14ac:dyDescent="0.2">
      <c r="A169" s="9">
        <v>20</v>
      </c>
      <c r="B169" s="9"/>
      <c r="C169" s="9"/>
      <c r="D169" s="9" t="s">
        <v>860</v>
      </c>
      <c r="E169" s="65" t="s">
        <v>861</v>
      </c>
      <c r="F169" s="65"/>
      <c r="G169" s="91" t="s">
        <v>2336</v>
      </c>
      <c r="H169" s="66" t="s">
        <v>1236</v>
      </c>
      <c r="I169" s="9"/>
      <c r="J169" s="9" t="s">
        <v>1101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 t="s">
        <v>1101</v>
      </c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/>
      <c r="IA169" s="9"/>
      <c r="IB169" s="67"/>
      <c r="IC169" s="68"/>
      <c r="ID169" s="63"/>
      <c r="IE169" s="71"/>
    </row>
    <row r="170" spans="1:239" s="11" customFormat="1" x14ac:dyDescent="0.2">
      <c r="A170" s="9">
        <v>20</v>
      </c>
      <c r="B170" s="9"/>
      <c r="C170" s="9"/>
      <c r="D170" s="9" t="s">
        <v>812</v>
      </c>
      <c r="E170" s="65" t="s">
        <v>158</v>
      </c>
      <c r="F170" s="65"/>
      <c r="G170" s="91" t="s">
        <v>2337</v>
      </c>
      <c r="H170" s="66" t="s">
        <v>1237</v>
      </c>
      <c r="I170" s="9"/>
      <c r="J170" s="9" t="s">
        <v>1101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 t="s">
        <v>1101</v>
      </c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67"/>
      <c r="IC170" s="68"/>
      <c r="ID170" s="63"/>
      <c r="IE170" s="71"/>
    </row>
    <row r="171" spans="1:239" s="11" customFormat="1" x14ac:dyDescent="0.2">
      <c r="A171" s="9">
        <v>20</v>
      </c>
      <c r="B171" s="9"/>
      <c r="C171" s="9"/>
      <c r="D171" s="9" t="s">
        <v>928</v>
      </c>
      <c r="E171" s="65" t="s">
        <v>929</v>
      </c>
      <c r="F171" s="65"/>
      <c r="G171" s="91" t="s">
        <v>2338</v>
      </c>
      <c r="H171" s="66" t="s">
        <v>1238</v>
      </c>
      <c r="I171" s="9"/>
      <c r="J171" s="9" t="s">
        <v>1101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 t="s">
        <v>1101</v>
      </c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67"/>
      <c r="IC171" s="68"/>
      <c r="ID171" s="63"/>
      <c r="IE171" s="71"/>
    </row>
    <row r="172" spans="1:239" s="11" customFormat="1" x14ac:dyDescent="0.2">
      <c r="A172" s="9">
        <v>20</v>
      </c>
      <c r="B172" s="9"/>
      <c r="C172" s="9"/>
      <c r="D172" s="9" t="s">
        <v>927</v>
      </c>
      <c r="E172" s="65" t="s">
        <v>158</v>
      </c>
      <c r="F172" s="65"/>
      <c r="G172" s="91" t="s">
        <v>2339</v>
      </c>
      <c r="H172" s="66" t="s">
        <v>1239</v>
      </c>
      <c r="I172" s="9"/>
      <c r="J172" s="9" t="s">
        <v>1101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 t="s">
        <v>1101</v>
      </c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67"/>
      <c r="IC172" s="68"/>
      <c r="ID172" s="63"/>
      <c r="IE172" s="71"/>
    </row>
    <row r="173" spans="1:239" s="11" customFormat="1" x14ac:dyDescent="0.2">
      <c r="A173" s="9">
        <v>20</v>
      </c>
      <c r="B173" s="9"/>
      <c r="C173" s="9"/>
      <c r="D173" s="9" t="s">
        <v>419</v>
      </c>
      <c r="E173" s="65" t="s">
        <v>194</v>
      </c>
      <c r="F173" s="65"/>
      <c r="G173" s="91" t="s">
        <v>2340</v>
      </c>
      <c r="H173" s="66" t="s">
        <v>1240</v>
      </c>
      <c r="I173" s="9"/>
      <c r="J173" s="9" t="s">
        <v>1101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 t="s">
        <v>1101</v>
      </c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9"/>
      <c r="IB173" s="67"/>
      <c r="IC173" s="68"/>
      <c r="ID173" s="63"/>
      <c r="IE173" s="71"/>
    </row>
    <row r="174" spans="1:239" s="11" customFormat="1" x14ac:dyDescent="0.2">
      <c r="A174" s="9">
        <v>20</v>
      </c>
      <c r="B174" s="9"/>
      <c r="C174" s="9"/>
      <c r="D174" s="9" t="s">
        <v>2116</v>
      </c>
      <c r="E174" s="65" t="s">
        <v>196</v>
      </c>
      <c r="F174" s="65"/>
      <c r="G174" s="91" t="s">
        <v>2341</v>
      </c>
      <c r="H174" s="66" t="s">
        <v>1241</v>
      </c>
      <c r="I174" s="9"/>
      <c r="J174" s="9" t="s">
        <v>1101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 t="s">
        <v>2114</v>
      </c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67"/>
      <c r="IC174" s="68"/>
      <c r="ID174" s="63"/>
      <c r="IE174" s="71"/>
    </row>
    <row r="175" spans="1:239" s="11" customFormat="1" x14ac:dyDescent="0.2">
      <c r="A175" s="9">
        <v>20</v>
      </c>
      <c r="B175" s="9"/>
      <c r="C175" s="9"/>
      <c r="D175" s="9" t="s">
        <v>420</v>
      </c>
      <c r="E175" s="65" t="s">
        <v>196</v>
      </c>
      <c r="F175" s="65"/>
      <c r="G175" s="91" t="s">
        <v>2342</v>
      </c>
      <c r="H175" s="66" t="s">
        <v>1242</v>
      </c>
      <c r="I175" s="9"/>
      <c r="J175" s="9" t="s">
        <v>1101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 t="s">
        <v>2115</v>
      </c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67"/>
      <c r="IC175" s="68"/>
      <c r="ID175" s="63"/>
      <c r="IE175" s="71"/>
    </row>
    <row r="176" spans="1:239" s="11" customFormat="1" x14ac:dyDescent="0.2">
      <c r="A176" s="9">
        <v>20</v>
      </c>
      <c r="B176" s="9"/>
      <c r="C176" s="9"/>
      <c r="D176" s="9" t="s">
        <v>421</v>
      </c>
      <c r="E176" s="65" t="s">
        <v>197</v>
      </c>
      <c r="F176" s="65"/>
      <c r="G176" s="91" t="s">
        <v>2343</v>
      </c>
      <c r="H176" s="66" t="s">
        <v>1243</v>
      </c>
      <c r="I176" s="9"/>
      <c r="J176" s="9" t="s">
        <v>1101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 t="s">
        <v>1101</v>
      </c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67"/>
      <c r="IC176" s="68"/>
      <c r="ID176" s="63"/>
      <c r="IE176" s="71"/>
    </row>
    <row r="177" spans="1:239" s="11" customFormat="1" x14ac:dyDescent="0.2">
      <c r="A177" s="9">
        <v>20</v>
      </c>
      <c r="B177" s="9"/>
      <c r="C177" s="9"/>
      <c r="D177" s="9" t="s">
        <v>422</v>
      </c>
      <c r="E177" s="65" t="s">
        <v>198</v>
      </c>
      <c r="F177" s="65"/>
      <c r="G177" s="91" t="s">
        <v>2344</v>
      </c>
      <c r="H177" s="66" t="s">
        <v>1244</v>
      </c>
      <c r="I177" s="9"/>
      <c r="J177" s="9" t="s">
        <v>1101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 t="s">
        <v>1101</v>
      </c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67"/>
      <c r="IC177" s="68"/>
      <c r="ID177" s="63"/>
      <c r="IE177" s="71"/>
    </row>
    <row r="178" spans="1:239" s="11" customFormat="1" x14ac:dyDescent="0.2">
      <c r="A178" s="9">
        <v>20</v>
      </c>
      <c r="B178" s="9"/>
      <c r="C178" s="9"/>
      <c r="D178" s="9" t="s">
        <v>628</v>
      </c>
      <c r="E178" s="65" t="s">
        <v>200</v>
      </c>
      <c r="F178" s="65"/>
      <c r="G178" s="91" t="s">
        <v>2345</v>
      </c>
      <c r="H178" s="66" t="s">
        <v>1245</v>
      </c>
      <c r="I178" s="9"/>
      <c r="J178" s="9" t="s">
        <v>1101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 t="s">
        <v>2117</v>
      </c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67"/>
      <c r="IC178" s="68"/>
      <c r="ID178" s="63"/>
      <c r="IE178" s="71"/>
    </row>
    <row r="179" spans="1:239" s="11" customFormat="1" x14ac:dyDescent="0.2">
      <c r="A179" s="9">
        <v>20</v>
      </c>
      <c r="B179" s="9"/>
      <c r="C179" s="9"/>
      <c r="D179" s="9" t="s">
        <v>423</v>
      </c>
      <c r="E179" s="65" t="s">
        <v>200</v>
      </c>
      <c r="F179" s="65"/>
      <c r="G179" s="91" t="s">
        <v>2346</v>
      </c>
      <c r="H179" s="66" t="s">
        <v>1246</v>
      </c>
      <c r="I179" s="9"/>
      <c r="J179" s="9" t="s">
        <v>1101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 t="s">
        <v>2118</v>
      </c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67"/>
      <c r="IC179" s="68"/>
      <c r="ID179" s="63"/>
      <c r="IE179" s="71"/>
    </row>
    <row r="180" spans="1:239" s="11" customFormat="1" x14ac:dyDescent="0.2">
      <c r="A180" s="9">
        <v>20</v>
      </c>
      <c r="B180" s="9"/>
      <c r="C180" s="9"/>
      <c r="D180" s="9" t="s">
        <v>657</v>
      </c>
      <c r="E180" s="65" t="s">
        <v>658</v>
      </c>
      <c r="F180" s="65"/>
      <c r="G180" s="91" t="s">
        <v>2347</v>
      </c>
      <c r="H180" s="66" t="s">
        <v>1247</v>
      </c>
      <c r="I180" s="9"/>
      <c r="J180" s="9" t="s">
        <v>1101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 t="s">
        <v>2125</v>
      </c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67"/>
      <c r="IC180" s="68"/>
      <c r="ID180" s="63"/>
      <c r="IE180" s="71"/>
    </row>
    <row r="181" spans="1:239" s="11" customFormat="1" x14ac:dyDescent="0.2">
      <c r="A181" s="9">
        <v>20</v>
      </c>
      <c r="B181" s="9"/>
      <c r="C181" s="9"/>
      <c r="D181" s="9" t="s">
        <v>629</v>
      </c>
      <c r="E181" s="65" t="s">
        <v>201</v>
      </c>
      <c r="F181" s="65"/>
      <c r="G181" s="91" t="s">
        <v>2245</v>
      </c>
      <c r="H181" s="66" t="s">
        <v>1134</v>
      </c>
      <c r="I181" s="9"/>
      <c r="J181" s="9" t="s">
        <v>1101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 t="s">
        <v>1248</v>
      </c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  <c r="HL181" s="9"/>
      <c r="HM181" s="9"/>
      <c r="HN181" s="9"/>
      <c r="HO181" s="9"/>
      <c r="HP181" s="9"/>
      <c r="HQ181" s="9"/>
      <c r="HR181" s="9"/>
      <c r="HS181" s="9"/>
      <c r="HT181" s="9"/>
      <c r="HU181" s="9"/>
      <c r="HV181" s="9"/>
      <c r="HW181" s="9"/>
      <c r="HX181" s="9"/>
      <c r="HY181" s="9"/>
      <c r="HZ181" s="9"/>
      <c r="IA181" s="9"/>
      <c r="IB181" s="67"/>
      <c r="IC181" s="68"/>
      <c r="ID181" s="63"/>
      <c r="IE181" s="71"/>
    </row>
    <row r="182" spans="1:239" s="11" customFormat="1" x14ac:dyDescent="0.2">
      <c r="A182" s="9">
        <v>20</v>
      </c>
      <c r="B182" s="9"/>
      <c r="C182" s="9"/>
      <c r="D182" s="9" t="s">
        <v>424</v>
      </c>
      <c r="E182" s="65" t="s">
        <v>202</v>
      </c>
      <c r="F182" s="65"/>
      <c r="G182" s="91" t="s">
        <v>2246</v>
      </c>
      <c r="H182" s="66" t="s">
        <v>1135</v>
      </c>
      <c r="I182" s="9"/>
      <c r="J182" s="9" t="s">
        <v>1101</v>
      </c>
      <c r="K182" s="9" t="s">
        <v>1136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 t="s">
        <v>1101</v>
      </c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67"/>
      <c r="IC182" s="68"/>
      <c r="ID182" s="63"/>
      <c r="IE182" s="71"/>
    </row>
    <row r="183" spans="1:239" s="11" customFormat="1" x14ac:dyDescent="0.2">
      <c r="A183" s="9">
        <v>20</v>
      </c>
      <c r="B183" s="9"/>
      <c r="C183" s="9"/>
      <c r="D183" s="9" t="s">
        <v>630</v>
      </c>
      <c r="E183" s="65" t="s">
        <v>203</v>
      </c>
      <c r="F183" s="65"/>
      <c r="G183" s="91" t="s">
        <v>2247</v>
      </c>
      <c r="H183" s="66" t="s">
        <v>1138</v>
      </c>
      <c r="I183" s="9"/>
      <c r="J183" s="9" t="s">
        <v>1101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67"/>
      <c r="IC183" s="68"/>
      <c r="ID183" s="63"/>
      <c r="IE183" s="71"/>
    </row>
    <row r="184" spans="1:239" s="11" customFormat="1" x14ac:dyDescent="0.2">
      <c r="A184" s="9">
        <v>20</v>
      </c>
      <c r="B184" s="9"/>
      <c r="C184" s="9"/>
      <c r="D184" s="9" t="s">
        <v>425</v>
      </c>
      <c r="E184" s="65" t="s">
        <v>204</v>
      </c>
      <c r="F184" s="65"/>
      <c r="G184" s="91" t="s">
        <v>2348</v>
      </c>
      <c r="H184" s="66" t="s">
        <v>1249</v>
      </c>
      <c r="I184" s="9"/>
      <c r="J184" s="9" t="s">
        <v>1101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 t="s">
        <v>1101</v>
      </c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  <c r="HJ184" s="9"/>
      <c r="HK184" s="9"/>
      <c r="HL184" s="9"/>
      <c r="HM184" s="9"/>
      <c r="HN184" s="9"/>
      <c r="HO184" s="9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67"/>
      <c r="IC184" s="68"/>
      <c r="ID184" s="63"/>
      <c r="IE184" s="71"/>
    </row>
    <row r="185" spans="1:239" s="11" customFormat="1" x14ac:dyDescent="0.2">
      <c r="A185" s="9">
        <v>20</v>
      </c>
      <c r="B185" s="9"/>
      <c r="C185" s="9"/>
      <c r="D185" s="9" t="s">
        <v>631</v>
      </c>
      <c r="E185" s="65" t="s">
        <v>206</v>
      </c>
      <c r="F185" s="65"/>
      <c r="G185" s="91" t="s">
        <v>2349</v>
      </c>
      <c r="H185" s="66" t="s">
        <v>1250</v>
      </c>
      <c r="I185" s="9"/>
      <c r="J185" s="9" t="s">
        <v>1101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 t="s">
        <v>2119</v>
      </c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67"/>
      <c r="IC185" s="68"/>
      <c r="ID185" s="63"/>
      <c r="IE185" s="71"/>
    </row>
    <row r="186" spans="1:239" s="11" customFormat="1" x14ac:dyDescent="0.2">
      <c r="A186" s="9">
        <v>20</v>
      </c>
      <c r="B186" s="9"/>
      <c r="C186" s="9"/>
      <c r="D186" s="9" t="s">
        <v>426</v>
      </c>
      <c r="E186" s="65" t="s">
        <v>206</v>
      </c>
      <c r="F186" s="65"/>
      <c r="G186" s="91" t="s">
        <v>2350</v>
      </c>
      <c r="H186" s="66" t="s">
        <v>1251</v>
      </c>
      <c r="I186" s="9"/>
      <c r="J186" s="9" t="s">
        <v>1101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 t="s">
        <v>2120</v>
      </c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67"/>
      <c r="IC186" s="68"/>
      <c r="ID186" s="63"/>
      <c r="IE186" s="71"/>
    </row>
    <row r="187" spans="1:239" s="11" customFormat="1" ht="26" x14ac:dyDescent="0.2">
      <c r="A187" s="9">
        <v>20</v>
      </c>
      <c r="B187" s="9"/>
      <c r="C187" s="9"/>
      <c r="D187" s="9" t="s">
        <v>427</v>
      </c>
      <c r="E187" s="65" t="s">
        <v>207</v>
      </c>
      <c r="F187" s="65"/>
      <c r="G187" s="91" t="s">
        <v>2351</v>
      </c>
      <c r="H187" s="66" t="s">
        <v>1252</v>
      </c>
      <c r="I187" s="9"/>
      <c r="J187" s="9" t="s">
        <v>1101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 t="s">
        <v>1101</v>
      </c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67"/>
      <c r="IC187" s="68"/>
      <c r="ID187" s="63"/>
      <c r="IE187" s="71"/>
    </row>
    <row r="188" spans="1:239" s="11" customFormat="1" ht="26" x14ac:dyDescent="0.2">
      <c r="A188" s="9">
        <v>20</v>
      </c>
      <c r="B188" s="9"/>
      <c r="C188" s="9"/>
      <c r="D188" s="9" t="s">
        <v>632</v>
      </c>
      <c r="E188" s="65" t="s">
        <v>209</v>
      </c>
      <c r="F188" s="65"/>
      <c r="G188" s="91" t="s">
        <v>2352</v>
      </c>
      <c r="H188" s="66" t="s">
        <v>1253</v>
      </c>
      <c r="I188" s="9"/>
      <c r="J188" s="9" t="s">
        <v>1101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 t="s">
        <v>2121</v>
      </c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67"/>
      <c r="IC188" s="68"/>
      <c r="ID188" s="63"/>
      <c r="IE188" s="71"/>
    </row>
    <row r="189" spans="1:239" s="11" customFormat="1" ht="26" x14ac:dyDescent="0.2">
      <c r="A189" s="9">
        <v>20</v>
      </c>
      <c r="B189" s="9"/>
      <c r="C189" s="9"/>
      <c r="D189" s="9" t="s">
        <v>428</v>
      </c>
      <c r="E189" s="65" t="s">
        <v>209</v>
      </c>
      <c r="F189" s="65"/>
      <c r="G189" s="91" t="s">
        <v>2353</v>
      </c>
      <c r="H189" s="66" t="s">
        <v>1254</v>
      </c>
      <c r="I189" s="9"/>
      <c r="J189" s="9" t="s">
        <v>1101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 t="s">
        <v>2122</v>
      </c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67"/>
      <c r="IC189" s="68"/>
      <c r="ID189" s="63"/>
      <c r="IE189" s="71"/>
    </row>
    <row r="190" spans="1:239" s="11" customFormat="1" x14ac:dyDescent="0.2">
      <c r="A190" s="9">
        <v>20</v>
      </c>
      <c r="B190" s="9"/>
      <c r="C190" s="9"/>
      <c r="D190" s="9" t="s">
        <v>429</v>
      </c>
      <c r="E190" s="65" t="s">
        <v>210</v>
      </c>
      <c r="F190" s="65"/>
      <c r="G190" s="91" t="s">
        <v>2354</v>
      </c>
      <c r="H190" s="66" t="s">
        <v>1255</v>
      </c>
      <c r="I190" s="9"/>
      <c r="J190" s="9" t="s">
        <v>1101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 t="s">
        <v>1101</v>
      </c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67"/>
      <c r="IC190" s="68"/>
      <c r="ID190" s="63"/>
      <c r="IE190" s="71"/>
    </row>
    <row r="191" spans="1:239" s="11" customFormat="1" x14ac:dyDescent="0.2">
      <c r="A191" s="9">
        <v>20</v>
      </c>
      <c r="B191" s="9"/>
      <c r="C191" s="9"/>
      <c r="D191" s="9" t="s">
        <v>633</v>
      </c>
      <c r="E191" s="65" t="s">
        <v>212</v>
      </c>
      <c r="F191" s="65"/>
      <c r="G191" s="91" t="s">
        <v>2355</v>
      </c>
      <c r="H191" s="66" t="s">
        <v>1256</v>
      </c>
      <c r="I191" s="9"/>
      <c r="J191" s="9" t="s">
        <v>1101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 t="s">
        <v>2123</v>
      </c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67"/>
      <c r="IC191" s="68"/>
      <c r="ID191" s="63"/>
      <c r="IE191" s="71"/>
    </row>
    <row r="192" spans="1:239" s="11" customFormat="1" ht="26" x14ac:dyDescent="0.2">
      <c r="A192" s="9">
        <v>20</v>
      </c>
      <c r="B192" s="9"/>
      <c r="C192" s="9"/>
      <c r="D192" s="9" t="s">
        <v>430</v>
      </c>
      <c r="E192" s="65" t="s">
        <v>212</v>
      </c>
      <c r="F192" s="65"/>
      <c r="G192" s="91" t="s">
        <v>2356</v>
      </c>
      <c r="H192" s="66" t="s">
        <v>1257</v>
      </c>
      <c r="I192" s="9"/>
      <c r="J192" s="9" t="s">
        <v>1101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 t="s">
        <v>2124</v>
      </c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67"/>
      <c r="IC192" s="68"/>
      <c r="ID192" s="63"/>
      <c r="IE192" s="71"/>
    </row>
    <row r="193" spans="1:239" s="11" customFormat="1" x14ac:dyDescent="0.2">
      <c r="A193" s="9">
        <v>20</v>
      </c>
      <c r="B193" s="9"/>
      <c r="C193" s="9"/>
      <c r="D193" s="9" t="s">
        <v>431</v>
      </c>
      <c r="E193" s="65" t="s">
        <v>213</v>
      </c>
      <c r="F193" s="65"/>
      <c r="G193" s="91" t="s">
        <v>2357</v>
      </c>
      <c r="H193" s="66" t="s">
        <v>1258</v>
      </c>
      <c r="I193" s="9"/>
      <c r="J193" s="9" t="s">
        <v>1101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 t="s">
        <v>1101</v>
      </c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67"/>
      <c r="IC193" s="68"/>
      <c r="ID193" s="63"/>
      <c r="IE193" s="71"/>
    </row>
    <row r="194" spans="1:239" s="11" customFormat="1" x14ac:dyDescent="0.2">
      <c r="A194" s="9">
        <v>20</v>
      </c>
      <c r="B194" s="9"/>
      <c r="C194" s="9"/>
      <c r="D194" s="9" t="s">
        <v>634</v>
      </c>
      <c r="E194" s="65" t="s">
        <v>215</v>
      </c>
      <c r="F194" s="65"/>
      <c r="G194" s="91" t="s">
        <v>2358</v>
      </c>
      <c r="H194" s="66" t="s">
        <v>1259</v>
      </c>
      <c r="I194" s="9"/>
      <c r="J194" s="9" t="s">
        <v>1101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 t="s">
        <v>2126</v>
      </c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67"/>
      <c r="IC194" s="68"/>
      <c r="ID194" s="63"/>
      <c r="IE194" s="71"/>
    </row>
    <row r="195" spans="1:239" s="11" customFormat="1" x14ac:dyDescent="0.2">
      <c r="A195" s="9">
        <v>20</v>
      </c>
      <c r="B195" s="9"/>
      <c r="C195" s="9"/>
      <c r="D195" s="9" t="s">
        <v>432</v>
      </c>
      <c r="E195" s="65" t="s">
        <v>215</v>
      </c>
      <c r="F195" s="65"/>
      <c r="G195" s="91" t="s">
        <v>2359</v>
      </c>
      <c r="H195" s="66" t="s">
        <v>1260</v>
      </c>
      <c r="I195" s="9"/>
      <c r="J195" s="9" t="s">
        <v>1101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 t="s">
        <v>2127</v>
      </c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67"/>
      <c r="IC195" s="68"/>
      <c r="ID195" s="63"/>
      <c r="IE195" s="71"/>
    </row>
    <row r="196" spans="1:239" s="11" customFormat="1" ht="26" x14ac:dyDescent="0.2">
      <c r="A196" s="9">
        <v>20</v>
      </c>
      <c r="B196" s="9"/>
      <c r="C196" s="9"/>
      <c r="D196" s="9" t="s">
        <v>433</v>
      </c>
      <c r="E196" s="65" t="s">
        <v>216</v>
      </c>
      <c r="F196" s="65"/>
      <c r="G196" s="91" t="s">
        <v>2360</v>
      </c>
      <c r="H196" s="66" t="s">
        <v>1261</v>
      </c>
      <c r="I196" s="9"/>
      <c r="J196" s="9" t="s">
        <v>1101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 t="s">
        <v>1101</v>
      </c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67"/>
      <c r="IC196" s="68"/>
      <c r="ID196" s="63"/>
      <c r="IE196" s="71"/>
    </row>
    <row r="197" spans="1:239" s="11" customFormat="1" ht="26" x14ac:dyDescent="0.2">
      <c r="A197" s="9">
        <v>20</v>
      </c>
      <c r="B197" s="9"/>
      <c r="C197" s="9"/>
      <c r="D197" s="9" t="s">
        <v>635</v>
      </c>
      <c r="E197" s="65" t="s">
        <v>217</v>
      </c>
      <c r="F197" s="65"/>
      <c r="G197" s="91" t="s">
        <v>2361</v>
      </c>
      <c r="H197" s="66" t="s">
        <v>1262</v>
      </c>
      <c r="I197" s="9"/>
      <c r="J197" s="9" t="s">
        <v>1101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 t="s">
        <v>2128</v>
      </c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67"/>
      <c r="IC197" s="68"/>
      <c r="ID197" s="63"/>
      <c r="IE197" s="71"/>
    </row>
    <row r="198" spans="1:239" s="11" customFormat="1" ht="26" x14ac:dyDescent="0.2">
      <c r="A198" s="9">
        <v>20</v>
      </c>
      <c r="B198" s="9"/>
      <c r="C198" s="9"/>
      <c r="D198" s="9" t="s">
        <v>434</v>
      </c>
      <c r="E198" s="65" t="s">
        <v>217</v>
      </c>
      <c r="F198" s="65"/>
      <c r="G198" s="91" t="s">
        <v>2362</v>
      </c>
      <c r="H198" s="66" t="s">
        <v>1263</v>
      </c>
      <c r="I198" s="9"/>
      <c r="J198" s="9" t="s">
        <v>1101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 t="s">
        <v>2129</v>
      </c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67"/>
      <c r="IC198" s="68"/>
      <c r="ID198" s="63"/>
      <c r="IE198" s="71"/>
    </row>
    <row r="199" spans="1:239" s="11" customFormat="1" x14ac:dyDescent="0.2">
      <c r="A199" s="9">
        <v>20</v>
      </c>
      <c r="B199" s="9"/>
      <c r="C199" s="9"/>
      <c r="D199" s="9" t="s">
        <v>435</v>
      </c>
      <c r="E199" s="65" t="s">
        <v>218</v>
      </c>
      <c r="F199" s="65"/>
      <c r="G199" s="91" t="s">
        <v>2363</v>
      </c>
      <c r="H199" s="66" t="s">
        <v>1264</v>
      </c>
      <c r="I199" s="9"/>
      <c r="J199" s="9" t="s">
        <v>1101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 t="s">
        <v>1101</v>
      </c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  <c r="HE199" s="9"/>
      <c r="HF199" s="9"/>
      <c r="HG199" s="9"/>
      <c r="HH199" s="9"/>
      <c r="HI199" s="9"/>
      <c r="HJ199" s="9"/>
      <c r="HK199" s="9"/>
      <c r="HL199" s="9"/>
      <c r="HM199" s="9"/>
      <c r="HN199" s="9"/>
      <c r="HO199" s="9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9"/>
      <c r="IB199" s="67"/>
      <c r="IC199" s="68"/>
      <c r="ID199" s="63"/>
      <c r="IE199" s="71"/>
    </row>
    <row r="200" spans="1:239" s="11" customFormat="1" x14ac:dyDescent="0.2">
      <c r="A200" s="9">
        <v>20</v>
      </c>
      <c r="B200" s="9"/>
      <c r="C200" s="9"/>
      <c r="D200" s="9" t="s">
        <v>636</v>
      </c>
      <c r="E200" s="65" t="s">
        <v>219</v>
      </c>
      <c r="F200" s="65"/>
      <c r="G200" s="91" t="s">
        <v>2364</v>
      </c>
      <c r="H200" s="66" t="s">
        <v>1265</v>
      </c>
      <c r="I200" s="9"/>
      <c r="J200" s="9" t="s">
        <v>1101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 t="s">
        <v>2130</v>
      </c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67"/>
      <c r="IC200" s="68"/>
      <c r="ID200" s="63"/>
      <c r="IE200" s="71"/>
    </row>
    <row r="201" spans="1:239" s="11" customFormat="1" ht="26" x14ac:dyDescent="0.2">
      <c r="A201" s="9">
        <v>20</v>
      </c>
      <c r="B201" s="9"/>
      <c r="C201" s="9"/>
      <c r="D201" s="9" t="s">
        <v>436</v>
      </c>
      <c r="E201" s="65" t="s">
        <v>219</v>
      </c>
      <c r="F201" s="65"/>
      <c r="G201" s="91" t="s">
        <v>2365</v>
      </c>
      <c r="H201" s="66" t="s">
        <v>1266</v>
      </c>
      <c r="I201" s="9"/>
      <c r="J201" s="9" t="s">
        <v>1101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 t="s">
        <v>2131</v>
      </c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  <c r="HE201" s="9"/>
      <c r="HF201" s="9"/>
      <c r="HG201" s="9"/>
      <c r="HH201" s="9"/>
      <c r="HI201" s="9"/>
      <c r="HJ201" s="9"/>
      <c r="HK201" s="9"/>
      <c r="HL201" s="9"/>
      <c r="HM201" s="9"/>
      <c r="HN201" s="9"/>
      <c r="HO201" s="9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67"/>
      <c r="IC201" s="68"/>
      <c r="ID201" s="63"/>
      <c r="IE201" s="71"/>
    </row>
    <row r="202" spans="1:239" s="11" customFormat="1" x14ac:dyDescent="0.2">
      <c r="A202" s="9">
        <v>20</v>
      </c>
      <c r="B202" s="9"/>
      <c r="C202" s="9"/>
      <c r="D202" s="9" t="s">
        <v>437</v>
      </c>
      <c r="E202" s="65" t="s">
        <v>220</v>
      </c>
      <c r="F202" s="65"/>
      <c r="G202" s="91" t="s">
        <v>2366</v>
      </c>
      <c r="H202" s="66" t="s">
        <v>1267</v>
      </c>
      <c r="I202" s="9"/>
      <c r="J202" s="9" t="s">
        <v>1101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 t="s">
        <v>1101</v>
      </c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  <c r="HE202" s="9"/>
      <c r="HF202" s="9"/>
      <c r="HG202" s="9"/>
      <c r="HH202" s="9"/>
      <c r="HI202" s="9"/>
      <c r="HJ202" s="9"/>
      <c r="HK202" s="9"/>
      <c r="HL202" s="9"/>
      <c r="HM202" s="9"/>
      <c r="HN202" s="9"/>
      <c r="HO202" s="9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/>
      <c r="IA202" s="9"/>
      <c r="IB202" s="67"/>
      <c r="IC202" s="68"/>
      <c r="ID202" s="63"/>
      <c r="IE202" s="71"/>
    </row>
    <row r="203" spans="1:239" s="11" customFormat="1" x14ac:dyDescent="0.2">
      <c r="A203" s="9">
        <v>20</v>
      </c>
      <c r="B203" s="9"/>
      <c r="C203" s="9"/>
      <c r="D203" s="9" t="s">
        <v>637</v>
      </c>
      <c r="E203" s="65" t="s">
        <v>222</v>
      </c>
      <c r="F203" s="65"/>
      <c r="G203" s="91" t="s">
        <v>2367</v>
      </c>
      <c r="H203" s="66" t="s">
        <v>1268</v>
      </c>
      <c r="I203" s="9"/>
      <c r="J203" s="9" t="s">
        <v>1101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 t="s">
        <v>2132</v>
      </c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67"/>
      <c r="IC203" s="68"/>
      <c r="ID203" s="63"/>
      <c r="IE203" s="71"/>
    </row>
    <row r="204" spans="1:239" s="11" customFormat="1" ht="26" x14ac:dyDescent="0.2">
      <c r="A204" s="9">
        <v>20</v>
      </c>
      <c r="B204" s="9"/>
      <c r="C204" s="9"/>
      <c r="D204" s="9" t="s">
        <v>758</v>
      </c>
      <c r="E204" s="65" t="s">
        <v>222</v>
      </c>
      <c r="F204" s="65"/>
      <c r="G204" s="91" t="s">
        <v>2368</v>
      </c>
      <c r="H204" s="66" t="s">
        <v>1269</v>
      </c>
      <c r="I204" s="9"/>
      <c r="J204" s="9" t="s">
        <v>1101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 t="s">
        <v>2133</v>
      </c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67"/>
      <c r="IC204" s="68"/>
      <c r="ID204" s="63"/>
      <c r="IE204" s="71"/>
    </row>
    <row r="205" spans="1:239" s="11" customFormat="1" x14ac:dyDescent="0.2">
      <c r="A205" s="9">
        <v>20</v>
      </c>
      <c r="B205" s="9"/>
      <c r="C205" s="9"/>
      <c r="D205" s="9" t="s">
        <v>759</v>
      </c>
      <c r="E205" s="65" t="s">
        <v>223</v>
      </c>
      <c r="F205" s="65"/>
      <c r="G205" s="91" t="s">
        <v>2369</v>
      </c>
      <c r="H205" s="66" t="s">
        <v>1270</v>
      </c>
      <c r="I205" s="9"/>
      <c r="J205" s="9" t="s">
        <v>1101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 t="s">
        <v>1271</v>
      </c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  <c r="HE205" s="9"/>
      <c r="HF205" s="9"/>
      <c r="HG205" s="9"/>
      <c r="HH205" s="9"/>
      <c r="HI205" s="9"/>
      <c r="HJ205" s="9"/>
      <c r="HK205" s="9"/>
      <c r="HL205" s="9"/>
      <c r="HM205" s="9"/>
      <c r="HN205" s="9"/>
      <c r="HO205" s="9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67"/>
      <c r="IC205" s="68"/>
      <c r="ID205" s="63"/>
      <c r="IE205" s="71"/>
    </row>
    <row r="206" spans="1:239" s="11" customFormat="1" x14ac:dyDescent="0.2">
      <c r="A206" s="9">
        <v>20</v>
      </c>
      <c r="B206" s="9"/>
      <c r="C206" s="9"/>
      <c r="D206" s="9" t="s">
        <v>439</v>
      </c>
      <c r="E206" s="65" t="s">
        <v>224</v>
      </c>
      <c r="F206" s="65"/>
      <c r="G206" s="91" t="s">
        <v>2370</v>
      </c>
      <c r="H206" s="66" t="s">
        <v>1272</v>
      </c>
      <c r="I206" s="9"/>
      <c r="J206" s="9" t="s">
        <v>1101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 t="s">
        <v>1101</v>
      </c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67"/>
      <c r="IC206" s="68"/>
      <c r="ID206" s="63"/>
      <c r="IE206" s="71"/>
    </row>
    <row r="207" spans="1:239" s="11" customFormat="1" x14ac:dyDescent="0.2">
      <c r="A207" s="9">
        <v>20</v>
      </c>
      <c r="B207" s="9"/>
      <c r="C207" s="9"/>
      <c r="D207" s="9" t="s">
        <v>638</v>
      </c>
      <c r="E207" s="65" t="s">
        <v>226</v>
      </c>
      <c r="F207" s="65"/>
      <c r="G207" s="91" t="s">
        <v>2371</v>
      </c>
      <c r="H207" s="66" t="s">
        <v>1273</v>
      </c>
      <c r="I207" s="9"/>
      <c r="J207" s="9" t="s">
        <v>1101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 t="s">
        <v>2134</v>
      </c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  <c r="HJ207" s="9"/>
      <c r="HK207" s="9"/>
      <c r="HL207" s="9"/>
      <c r="HM207" s="9"/>
      <c r="HN207" s="9"/>
      <c r="HO207" s="9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67"/>
      <c r="IC207" s="68"/>
      <c r="ID207" s="63"/>
      <c r="IE207" s="71"/>
    </row>
    <row r="208" spans="1:239" s="11" customFormat="1" ht="26" x14ac:dyDescent="0.2">
      <c r="A208" s="9">
        <v>20</v>
      </c>
      <c r="B208" s="9"/>
      <c r="C208" s="9"/>
      <c r="D208" s="9" t="s">
        <v>440</v>
      </c>
      <c r="E208" s="65" t="s">
        <v>226</v>
      </c>
      <c r="F208" s="65"/>
      <c r="G208" s="91" t="s">
        <v>2372</v>
      </c>
      <c r="H208" s="66" t="s">
        <v>1274</v>
      </c>
      <c r="I208" s="9"/>
      <c r="J208" s="9" t="s">
        <v>1101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 t="s">
        <v>2135</v>
      </c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67"/>
      <c r="IC208" s="68"/>
      <c r="ID208" s="63"/>
      <c r="IE208" s="71"/>
    </row>
    <row r="209" spans="1:239" s="11" customFormat="1" x14ac:dyDescent="0.2">
      <c r="A209" s="9">
        <v>20</v>
      </c>
      <c r="B209" s="9"/>
      <c r="C209" s="9"/>
      <c r="D209" s="9" t="s">
        <v>441</v>
      </c>
      <c r="E209" s="65" t="s">
        <v>227</v>
      </c>
      <c r="F209" s="65"/>
      <c r="G209" s="91" t="s">
        <v>2373</v>
      </c>
      <c r="H209" s="66" t="s">
        <v>1275</v>
      </c>
      <c r="I209" s="9"/>
      <c r="J209" s="9" t="s">
        <v>1101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 t="s">
        <v>1101</v>
      </c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  <c r="HE209" s="9"/>
      <c r="HF209" s="9"/>
      <c r="HG209" s="9"/>
      <c r="HH209" s="9"/>
      <c r="HI209" s="9"/>
      <c r="HJ209" s="9"/>
      <c r="HK209" s="9"/>
      <c r="HL209" s="9"/>
      <c r="HM209" s="9"/>
      <c r="HN209" s="9"/>
      <c r="HO209" s="9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67"/>
      <c r="IC209" s="68"/>
      <c r="ID209" s="63"/>
      <c r="IE209" s="71"/>
    </row>
    <row r="210" spans="1:239" s="11" customFormat="1" x14ac:dyDescent="0.2">
      <c r="A210" s="9">
        <v>20</v>
      </c>
      <c r="B210" s="9"/>
      <c r="C210" s="9"/>
      <c r="D210" s="9" t="s">
        <v>442</v>
      </c>
      <c r="E210" s="65" t="s">
        <v>228</v>
      </c>
      <c r="F210" s="65"/>
      <c r="G210" s="91" t="s">
        <v>2374</v>
      </c>
      <c r="H210" s="66" t="s">
        <v>1276</v>
      </c>
      <c r="I210" s="9"/>
      <c r="J210" s="9" t="s">
        <v>1101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 t="s">
        <v>1101</v>
      </c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67"/>
      <c r="IC210" s="68"/>
      <c r="ID210" s="63"/>
      <c r="IE210" s="71"/>
    </row>
    <row r="211" spans="1:239" s="11" customFormat="1" x14ac:dyDescent="0.2">
      <c r="A211" s="9">
        <v>20</v>
      </c>
      <c r="B211" s="9"/>
      <c r="C211" s="9"/>
      <c r="D211" s="9" t="s">
        <v>639</v>
      </c>
      <c r="E211" s="65" t="s">
        <v>230</v>
      </c>
      <c r="F211" s="65"/>
      <c r="G211" s="91" t="s">
        <v>2375</v>
      </c>
      <c r="H211" s="66" t="s">
        <v>1277</v>
      </c>
      <c r="I211" s="9"/>
      <c r="J211" s="9" t="s">
        <v>1101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 t="s">
        <v>2136</v>
      </c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  <c r="HJ211" s="9"/>
      <c r="HK211" s="9"/>
      <c r="HL211" s="9"/>
      <c r="HM211" s="9"/>
      <c r="HN211" s="9"/>
      <c r="HO211" s="9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67"/>
      <c r="IC211" s="68"/>
      <c r="ID211" s="63"/>
      <c r="IE211" s="71"/>
    </row>
    <row r="212" spans="1:239" s="11" customFormat="1" x14ac:dyDescent="0.2">
      <c r="A212" s="9">
        <v>20</v>
      </c>
      <c r="B212" s="9"/>
      <c r="C212" s="9"/>
      <c r="D212" s="9" t="s">
        <v>443</v>
      </c>
      <c r="E212" s="65" t="s">
        <v>230</v>
      </c>
      <c r="F212" s="65"/>
      <c r="G212" s="91" t="s">
        <v>2376</v>
      </c>
      <c r="H212" s="66" t="s">
        <v>1278</v>
      </c>
      <c r="I212" s="9"/>
      <c r="J212" s="9" t="s">
        <v>1101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 t="s">
        <v>2137</v>
      </c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67"/>
      <c r="IC212" s="68"/>
      <c r="ID212" s="63"/>
      <c r="IE212" s="71"/>
    </row>
    <row r="213" spans="1:239" s="11" customFormat="1" x14ac:dyDescent="0.2">
      <c r="A213" s="9">
        <v>20</v>
      </c>
      <c r="B213" s="9"/>
      <c r="C213" s="9"/>
      <c r="D213" s="9" t="s">
        <v>640</v>
      </c>
      <c r="E213" s="65" t="s">
        <v>231</v>
      </c>
      <c r="F213" s="65"/>
      <c r="G213" s="91" t="s">
        <v>2231</v>
      </c>
      <c r="H213" s="66" t="s">
        <v>1120</v>
      </c>
      <c r="I213" s="9"/>
      <c r="J213" s="9" t="s">
        <v>1101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 t="s">
        <v>1047</v>
      </c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67"/>
      <c r="IC213" s="68"/>
      <c r="ID213" s="63"/>
      <c r="IE213" s="71"/>
    </row>
    <row r="214" spans="1:239" s="11" customFormat="1" x14ac:dyDescent="0.2">
      <c r="A214" s="9">
        <v>20</v>
      </c>
      <c r="B214" s="9"/>
      <c r="C214" s="9"/>
      <c r="D214" s="9" t="s">
        <v>641</v>
      </c>
      <c r="E214" s="65" t="s">
        <v>232</v>
      </c>
      <c r="F214" s="65"/>
      <c r="G214" s="91" t="s">
        <v>2232</v>
      </c>
      <c r="H214" s="66" t="s">
        <v>1121</v>
      </c>
      <c r="I214" s="9"/>
      <c r="J214" s="9" t="s">
        <v>1101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 t="s">
        <v>1279</v>
      </c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67"/>
      <c r="IC214" s="68"/>
      <c r="ID214" s="63"/>
      <c r="IE214" s="71"/>
    </row>
    <row r="215" spans="1:239" s="11" customFormat="1" x14ac:dyDescent="0.2">
      <c r="A215" s="9">
        <v>20</v>
      </c>
      <c r="B215" s="9"/>
      <c r="C215" s="9"/>
      <c r="D215" s="9" t="s">
        <v>444</v>
      </c>
      <c r="E215" s="65" t="s">
        <v>660</v>
      </c>
      <c r="F215" s="65"/>
      <c r="G215" s="91" t="s">
        <v>2377</v>
      </c>
      <c r="H215" s="66" t="s">
        <v>1280</v>
      </c>
      <c r="I215" s="9"/>
      <c r="J215" s="9" t="s">
        <v>1101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 t="s">
        <v>1101</v>
      </c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67"/>
      <c r="IC215" s="68"/>
      <c r="ID215" s="63"/>
      <c r="IE215" s="71"/>
    </row>
    <row r="216" spans="1:239" s="11" customFormat="1" x14ac:dyDescent="0.2">
      <c r="A216" s="9">
        <v>20</v>
      </c>
      <c r="B216" s="9"/>
      <c r="C216" s="9"/>
      <c r="D216" s="9" t="s">
        <v>642</v>
      </c>
      <c r="E216" s="65" t="s">
        <v>661</v>
      </c>
      <c r="F216" s="65"/>
      <c r="G216" s="91" t="s">
        <v>2378</v>
      </c>
      <c r="H216" s="66" t="s">
        <v>1281</v>
      </c>
      <c r="I216" s="9"/>
      <c r="J216" s="9" t="s">
        <v>1101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 t="s">
        <v>2138</v>
      </c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  <c r="HE216" s="9"/>
      <c r="HF216" s="9"/>
      <c r="HG216" s="9"/>
      <c r="HH216" s="9"/>
      <c r="HI216" s="9"/>
      <c r="HJ216" s="9"/>
      <c r="HK216" s="9"/>
      <c r="HL216" s="9"/>
      <c r="HM216" s="9"/>
      <c r="HN216" s="9"/>
      <c r="HO216" s="9"/>
      <c r="HP216" s="9"/>
      <c r="HQ216" s="9"/>
      <c r="HR216" s="9"/>
      <c r="HS216" s="9"/>
      <c r="HT216" s="9"/>
      <c r="HU216" s="9"/>
      <c r="HV216" s="9"/>
      <c r="HW216" s="9"/>
      <c r="HX216" s="9"/>
      <c r="HY216" s="9"/>
      <c r="HZ216" s="9"/>
      <c r="IA216" s="9"/>
      <c r="IB216" s="67"/>
      <c r="IC216" s="68"/>
      <c r="ID216" s="63"/>
      <c r="IE216" s="71"/>
    </row>
    <row r="217" spans="1:239" s="11" customFormat="1" x14ac:dyDescent="0.2">
      <c r="A217" s="9">
        <v>20</v>
      </c>
      <c r="B217" s="9"/>
      <c r="C217" s="9"/>
      <c r="D217" s="9" t="s">
        <v>445</v>
      </c>
      <c r="E217" s="65" t="s">
        <v>661</v>
      </c>
      <c r="F217" s="65"/>
      <c r="G217" s="91" t="s">
        <v>2379</v>
      </c>
      <c r="H217" s="66" t="s">
        <v>1282</v>
      </c>
      <c r="I217" s="9"/>
      <c r="J217" s="9" t="s">
        <v>1101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 t="s">
        <v>2139</v>
      </c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  <c r="HE217" s="9"/>
      <c r="HF217" s="9"/>
      <c r="HG217" s="9"/>
      <c r="HH217" s="9"/>
      <c r="HI217" s="9"/>
      <c r="HJ217" s="9"/>
      <c r="HK217" s="9"/>
      <c r="HL217" s="9"/>
      <c r="HM217" s="9"/>
      <c r="HN217" s="9"/>
      <c r="HO217" s="9"/>
      <c r="HP217" s="9"/>
      <c r="HQ217" s="9"/>
      <c r="HR217" s="9"/>
      <c r="HS217" s="9"/>
      <c r="HT217" s="9"/>
      <c r="HU217" s="9"/>
      <c r="HV217" s="9"/>
      <c r="HW217" s="9"/>
      <c r="HX217" s="9"/>
      <c r="HY217" s="9"/>
      <c r="HZ217" s="9"/>
      <c r="IA217" s="9"/>
      <c r="IB217" s="67"/>
      <c r="IC217" s="68"/>
      <c r="ID217" s="63"/>
      <c r="IE217" s="71"/>
    </row>
    <row r="218" spans="1:239" s="11" customFormat="1" x14ac:dyDescent="0.2">
      <c r="A218" s="9">
        <v>20</v>
      </c>
      <c r="B218" s="9"/>
      <c r="C218" s="9"/>
      <c r="D218" s="9" t="s">
        <v>446</v>
      </c>
      <c r="E218" s="65" t="s">
        <v>176</v>
      </c>
      <c r="F218" s="65"/>
      <c r="G218" s="91" t="s">
        <v>2380</v>
      </c>
      <c r="H218" s="66" t="s">
        <v>1283</v>
      </c>
      <c r="I218" s="9"/>
      <c r="J218" s="9" t="s">
        <v>1101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 t="s">
        <v>1101</v>
      </c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  <c r="HJ218" s="9"/>
      <c r="HK218" s="9"/>
      <c r="HL218" s="9"/>
      <c r="HM218" s="9"/>
      <c r="HN218" s="9"/>
      <c r="HO218" s="9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67"/>
      <c r="IC218" s="68"/>
      <c r="ID218" s="63"/>
      <c r="IE218" s="71"/>
    </row>
    <row r="219" spans="1:239" s="11" customFormat="1" x14ac:dyDescent="0.2">
      <c r="A219" s="9">
        <v>20</v>
      </c>
      <c r="B219" s="9"/>
      <c r="C219" s="9"/>
      <c r="D219" s="9" t="s">
        <v>447</v>
      </c>
      <c r="E219" s="65" t="s">
        <v>223</v>
      </c>
      <c r="F219" s="65"/>
      <c r="G219" s="91" t="s">
        <v>2369</v>
      </c>
      <c r="H219" s="66" t="s">
        <v>1270</v>
      </c>
      <c r="I219" s="9"/>
      <c r="J219" s="9" t="s">
        <v>1101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 t="s">
        <v>1101</v>
      </c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  <c r="HJ219" s="9"/>
      <c r="HK219" s="9"/>
      <c r="HL219" s="9"/>
      <c r="HM219" s="9"/>
      <c r="HN219" s="9"/>
      <c r="HO219" s="9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67"/>
      <c r="IC219" s="68"/>
      <c r="ID219" s="63"/>
      <c r="IE219" s="71"/>
    </row>
    <row r="220" spans="1:239" s="11" customFormat="1" x14ac:dyDescent="0.2">
      <c r="A220" s="9">
        <v>20</v>
      </c>
      <c r="B220" s="9"/>
      <c r="C220" s="9"/>
      <c r="D220" s="9" t="s">
        <v>448</v>
      </c>
      <c r="E220" s="65" t="s">
        <v>233</v>
      </c>
      <c r="F220" s="65"/>
      <c r="G220" s="91" t="s">
        <v>2381</v>
      </c>
      <c r="H220" s="66" t="s">
        <v>1284</v>
      </c>
      <c r="I220" s="9"/>
      <c r="J220" s="9" t="s">
        <v>1101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 t="s">
        <v>1101</v>
      </c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  <c r="HE220" s="9"/>
      <c r="HF220" s="9"/>
      <c r="HG220" s="9"/>
      <c r="HH220" s="9"/>
      <c r="HI220" s="9"/>
      <c r="HJ220" s="9"/>
      <c r="HK220" s="9"/>
      <c r="HL220" s="9"/>
      <c r="HM220" s="9"/>
      <c r="HN220" s="9"/>
      <c r="HO220" s="9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67"/>
      <c r="IC220" s="68"/>
      <c r="ID220" s="63"/>
      <c r="IE220" s="71"/>
    </row>
    <row r="221" spans="1:239" s="11" customFormat="1" x14ac:dyDescent="0.2">
      <c r="A221" s="9">
        <v>20</v>
      </c>
      <c r="B221" s="9"/>
      <c r="C221" s="9"/>
      <c r="D221" s="9" t="s">
        <v>643</v>
      </c>
      <c r="E221" s="65" t="s">
        <v>235</v>
      </c>
      <c r="F221" s="65"/>
      <c r="G221" s="91" t="s">
        <v>2382</v>
      </c>
      <c r="H221" s="66" t="s">
        <v>1285</v>
      </c>
      <c r="I221" s="9"/>
      <c r="J221" s="9" t="s">
        <v>1101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 t="s">
        <v>2140</v>
      </c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  <c r="HE221" s="9"/>
      <c r="HF221" s="9"/>
      <c r="HG221" s="9"/>
      <c r="HH221" s="9"/>
      <c r="HI221" s="9"/>
      <c r="HJ221" s="9"/>
      <c r="HK221" s="9"/>
      <c r="HL221" s="9"/>
      <c r="HM221" s="9"/>
      <c r="HN221" s="9"/>
      <c r="HO221" s="9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/>
      <c r="IA221" s="9"/>
      <c r="IB221" s="67"/>
      <c r="IC221" s="68"/>
      <c r="ID221" s="63"/>
      <c r="IE221" s="71"/>
    </row>
    <row r="222" spans="1:239" s="11" customFormat="1" x14ac:dyDescent="0.2">
      <c r="A222" s="9">
        <v>20</v>
      </c>
      <c r="B222" s="9"/>
      <c r="C222" s="9"/>
      <c r="D222" s="9" t="s">
        <v>449</v>
      </c>
      <c r="E222" s="65" t="s">
        <v>235</v>
      </c>
      <c r="F222" s="65"/>
      <c r="G222" s="91" t="s">
        <v>2383</v>
      </c>
      <c r="H222" s="66" t="s">
        <v>1286</v>
      </c>
      <c r="I222" s="9"/>
      <c r="J222" s="9" t="s">
        <v>1101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 t="s">
        <v>2141</v>
      </c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  <c r="HE222" s="9"/>
      <c r="HF222" s="9"/>
      <c r="HG222" s="9"/>
      <c r="HH222" s="9"/>
      <c r="HI222" s="9"/>
      <c r="HJ222" s="9"/>
      <c r="HK222" s="9"/>
      <c r="HL222" s="9"/>
      <c r="HM222" s="9"/>
      <c r="HN222" s="9"/>
      <c r="HO222" s="9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9"/>
      <c r="IB222" s="67"/>
      <c r="IC222" s="68"/>
      <c r="ID222" s="63"/>
      <c r="IE222" s="71"/>
    </row>
    <row r="223" spans="1:239" s="11" customFormat="1" x14ac:dyDescent="0.2">
      <c r="A223" s="9">
        <v>20</v>
      </c>
      <c r="B223" s="9"/>
      <c r="C223" s="9"/>
      <c r="D223" s="9" t="s">
        <v>450</v>
      </c>
      <c r="E223" s="65" t="s">
        <v>236</v>
      </c>
      <c r="F223" s="65"/>
      <c r="G223" s="91" t="s">
        <v>2384</v>
      </c>
      <c r="H223" s="66" t="s">
        <v>1287</v>
      </c>
      <c r="I223" s="9"/>
      <c r="J223" s="9" t="s">
        <v>1101</v>
      </c>
      <c r="K223" s="9" t="s">
        <v>1288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 t="s">
        <v>1101</v>
      </c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  <c r="HE223" s="9"/>
      <c r="HF223" s="9"/>
      <c r="HG223" s="9"/>
      <c r="HH223" s="9"/>
      <c r="HI223" s="9"/>
      <c r="HJ223" s="9"/>
      <c r="HK223" s="9"/>
      <c r="HL223" s="9"/>
      <c r="HM223" s="9"/>
      <c r="HN223" s="9"/>
      <c r="HO223" s="9"/>
      <c r="HP223" s="9"/>
      <c r="HQ223" s="9"/>
      <c r="HR223" s="9"/>
      <c r="HS223" s="9"/>
      <c r="HT223" s="9"/>
      <c r="HU223" s="9"/>
      <c r="HV223" s="9"/>
      <c r="HW223" s="9"/>
      <c r="HX223" s="9"/>
      <c r="HY223" s="9"/>
      <c r="HZ223" s="9"/>
      <c r="IA223" s="9"/>
      <c r="IB223" s="67"/>
      <c r="IC223" s="68"/>
      <c r="ID223" s="63"/>
      <c r="IE223" s="71"/>
    </row>
    <row r="224" spans="1:239" s="11" customFormat="1" x14ac:dyDescent="0.2">
      <c r="A224" s="9">
        <v>20</v>
      </c>
      <c r="B224" s="9"/>
      <c r="C224" s="9"/>
      <c r="D224" s="9" t="s">
        <v>858</v>
      </c>
      <c r="E224" s="65" t="s">
        <v>237</v>
      </c>
      <c r="F224" s="65"/>
      <c r="G224" s="91" t="s">
        <v>2385</v>
      </c>
      <c r="H224" s="66" t="s">
        <v>1289</v>
      </c>
      <c r="I224" s="9"/>
      <c r="J224" s="9" t="s">
        <v>1101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  <c r="HE224" s="9"/>
      <c r="HF224" s="9"/>
      <c r="HG224" s="9"/>
      <c r="HH224" s="9"/>
      <c r="HI224" s="9"/>
      <c r="HJ224" s="9"/>
      <c r="HK224" s="9"/>
      <c r="HL224" s="9"/>
      <c r="HM224" s="9"/>
      <c r="HN224" s="9"/>
      <c r="HO224" s="9"/>
      <c r="HP224" s="9"/>
      <c r="HQ224" s="9"/>
      <c r="HR224" s="9"/>
      <c r="HS224" s="9"/>
      <c r="HT224" s="9"/>
      <c r="HU224" s="9"/>
      <c r="HV224" s="9"/>
      <c r="HW224" s="9"/>
      <c r="HX224" s="9"/>
      <c r="HY224" s="9"/>
      <c r="HZ224" s="9"/>
      <c r="IA224" s="9"/>
      <c r="IB224" s="67"/>
      <c r="IC224" s="68"/>
      <c r="ID224" s="63"/>
      <c r="IE224" s="71"/>
    </row>
    <row r="225" spans="1:239" s="11" customFormat="1" x14ac:dyDescent="0.2">
      <c r="A225" s="9">
        <v>20</v>
      </c>
      <c r="B225" s="9"/>
      <c r="C225" s="9"/>
      <c r="D225" s="9" t="s">
        <v>856</v>
      </c>
      <c r="E225" s="65" t="s">
        <v>838</v>
      </c>
      <c r="F225" s="65"/>
      <c r="G225" s="91" t="s">
        <v>2386</v>
      </c>
      <c r="H225" s="66" t="s">
        <v>1290</v>
      </c>
      <c r="I225" s="9"/>
      <c r="J225" s="9" t="s">
        <v>1101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 t="s">
        <v>1057</v>
      </c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9"/>
      <c r="GY225" s="9"/>
      <c r="GZ225" s="9"/>
      <c r="HA225" s="9"/>
      <c r="HB225" s="9"/>
      <c r="HC225" s="9"/>
      <c r="HD225" s="9"/>
      <c r="HE225" s="9"/>
      <c r="HF225" s="9"/>
      <c r="HG225" s="9"/>
      <c r="HH225" s="9"/>
      <c r="HI225" s="9"/>
      <c r="HJ225" s="9"/>
      <c r="HK225" s="9"/>
      <c r="HL225" s="9"/>
      <c r="HM225" s="9"/>
      <c r="HN225" s="9"/>
      <c r="HO225" s="9"/>
      <c r="HP225" s="9"/>
      <c r="HQ225" s="9"/>
      <c r="HR225" s="9"/>
      <c r="HS225" s="9"/>
      <c r="HT225" s="9"/>
      <c r="HU225" s="9"/>
      <c r="HV225" s="9"/>
      <c r="HW225" s="9"/>
      <c r="HX225" s="9"/>
      <c r="HY225" s="9"/>
      <c r="HZ225" s="9"/>
      <c r="IA225" s="9"/>
      <c r="IB225" s="67"/>
      <c r="IC225" s="68"/>
      <c r="ID225" s="63"/>
      <c r="IE225" s="71"/>
    </row>
    <row r="226" spans="1:239" s="11" customFormat="1" x14ac:dyDescent="0.2">
      <c r="A226" s="9">
        <v>20</v>
      </c>
      <c r="B226" s="9"/>
      <c r="C226" s="9"/>
      <c r="D226" s="9" t="s">
        <v>857</v>
      </c>
      <c r="E226" s="65" t="s">
        <v>843</v>
      </c>
      <c r="F226" s="65"/>
      <c r="G226" s="91" t="s">
        <v>2280</v>
      </c>
      <c r="H226" s="66" t="s">
        <v>1178</v>
      </c>
      <c r="I226" s="9"/>
      <c r="J226" s="9" t="s">
        <v>1101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 t="s">
        <v>1291</v>
      </c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9"/>
      <c r="GY226" s="9"/>
      <c r="GZ226" s="9"/>
      <c r="HA226" s="9"/>
      <c r="HB226" s="9"/>
      <c r="HC226" s="9"/>
      <c r="HD226" s="9"/>
      <c r="HE226" s="9"/>
      <c r="HF226" s="9"/>
      <c r="HG226" s="9"/>
      <c r="HH226" s="9"/>
      <c r="HI226" s="9"/>
      <c r="HJ226" s="9"/>
      <c r="HK226" s="9"/>
      <c r="HL226" s="9"/>
      <c r="HM226" s="9"/>
      <c r="HN226" s="9"/>
      <c r="HO226" s="9"/>
      <c r="HP226" s="9"/>
      <c r="HQ226" s="9"/>
      <c r="HR226" s="9"/>
      <c r="HS226" s="9"/>
      <c r="HT226" s="9"/>
      <c r="HU226" s="9"/>
      <c r="HV226" s="9"/>
      <c r="HW226" s="9"/>
      <c r="HX226" s="9"/>
      <c r="HY226" s="9"/>
      <c r="HZ226" s="9"/>
      <c r="IA226" s="9"/>
      <c r="IB226" s="67"/>
      <c r="IC226" s="68"/>
      <c r="ID226" s="63"/>
      <c r="IE226" s="71"/>
    </row>
    <row r="227" spans="1:239" s="11" customFormat="1" x14ac:dyDescent="0.2">
      <c r="A227" s="9">
        <v>20</v>
      </c>
      <c r="B227" s="9"/>
      <c r="C227" s="9"/>
      <c r="D227" s="9" t="s">
        <v>840</v>
      </c>
      <c r="E227" s="65" t="s">
        <v>841</v>
      </c>
      <c r="F227" s="65"/>
      <c r="G227" s="91" t="s">
        <v>2387</v>
      </c>
      <c r="H227" s="66" t="s">
        <v>1292</v>
      </c>
      <c r="I227" s="9"/>
      <c r="J227" s="9" t="s">
        <v>1101</v>
      </c>
      <c r="K227" s="9" t="s">
        <v>1293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 t="s">
        <v>1101</v>
      </c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  <c r="HE227" s="9"/>
      <c r="HF227" s="9"/>
      <c r="HG227" s="9"/>
      <c r="HH227" s="9"/>
      <c r="HI227" s="9"/>
      <c r="HJ227" s="9"/>
      <c r="HK227" s="9"/>
      <c r="HL227" s="9"/>
      <c r="HM227" s="9"/>
      <c r="HN227" s="9"/>
      <c r="HO227" s="9"/>
      <c r="HP227" s="9"/>
      <c r="HQ227" s="9"/>
      <c r="HR227" s="9"/>
      <c r="HS227" s="9"/>
      <c r="HT227" s="9"/>
      <c r="HU227" s="9"/>
      <c r="HV227" s="9"/>
      <c r="HW227" s="9"/>
      <c r="HX227" s="9"/>
      <c r="HY227" s="9"/>
      <c r="HZ227" s="9"/>
      <c r="IA227" s="9"/>
      <c r="IB227" s="67"/>
      <c r="IC227" s="68"/>
      <c r="ID227" s="63"/>
      <c r="IE227" s="71"/>
    </row>
    <row r="228" spans="1:239" s="11" customFormat="1" x14ac:dyDescent="0.2">
      <c r="A228" s="9">
        <v>20</v>
      </c>
      <c r="B228" s="9"/>
      <c r="C228" s="9"/>
      <c r="D228" s="9" t="s">
        <v>844</v>
      </c>
      <c r="E228" s="65" t="s">
        <v>845</v>
      </c>
      <c r="F228" s="65"/>
      <c r="G228" s="91" t="s">
        <v>2388</v>
      </c>
      <c r="H228" s="66" t="s">
        <v>1294</v>
      </c>
      <c r="I228" s="9"/>
      <c r="J228" s="9" t="s">
        <v>1101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9"/>
      <c r="GY228" s="9"/>
      <c r="GZ228" s="9"/>
      <c r="HA228" s="9"/>
      <c r="HB228" s="9"/>
      <c r="HC228" s="9"/>
      <c r="HD228" s="9"/>
      <c r="HE228" s="9"/>
      <c r="HF228" s="9"/>
      <c r="HG228" s="9"/>
      <c r="HH228" s="9"/>
      <c r="HI228" s="9"/>
      <c r="HJ228" s="9"/>
      <c r="HK228" s="9"/>
      <c r="HL228" s="9"/>
      <c r="HM228" s="9"/>
      <c r="HN228" s="9"/>
      <c r="HO228" s="9"/>
      <c r="HP228" s="9"/>
      <c r="HQ228" s="9"/>
      <c r="HR228" s="9"/>
      <c r="HS228" s="9"/>
      <c r="HT228" s="9"/>
      <c r="HU228" s="9"/>
      <c r="HV228" s="9"/>
      <c r="HW228" s="9"/>
      <c r="HX228" s="9"/>
      <c r="HY228" s="9"/>
      <c r="HZ228" s="9"/>
      <c r="IA228" s="9"/>
      <c r="IB228" s="67"/>
      <c r="IC228" s="68"/>
      <c r="ID228" s="63"/>
      <c r="IE228" s="71"/>
    </row>
    <row r="229" spans="1:239" s="11" customFormat="1" x14ac:dyDescent="0.2">
      <c r="A229" s="9">
        <v>20</v>
      </c>
      <c r="B229" s="9"/>
      <c r="C229" s="9"/>
      <c r="D229" s="9" t="s">
        <v>644</v>
      </c>
      <c r="E229" s="65" t="s">
        <v>238</v>
      </c>
      <c r="F229" s="65"/>
      <c r="G229" s="91" t="s">
        <v>2389</v>
      </c>
      <c r="H229" s="66" t="s">
        <v>1295</v>
      </c>
      <c r="I229" s="9"/>
      <c r="J229" s="9" t="s">
        <v>1101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 t="s">
        <v>1076</v>
      </c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9"/>
      <c r="GY229" s="9"/>
      <c r="GZ229" s="9"/>
      <c r="HA229" s="9"/>
      <c r="HB229" s="9"/>
      <c r="HC229" s="9"/>
      <c r="HD229" s="9"/>
      <c r="HE229" s="9"/>
      <c r="HF229" s="9"/>
      <c r="HG229" s="9"/>
      <c r="HH229" s="9"/>
      <c r="HI229" s="9"/>
      <c r="HJ229" s="9"/>
      <c r="HK229" s="9"/>
      <c r="HL229" s="9"/>
      <c r="HM229" s="9"/>
      <c r="HN229" s="9"/>
      <c r="HO229" s="9"/>
      <c r="HP229" s="9"/>
      <c r="HQ229" s="9"/>
      <c r="HR229" s="9"/>
      <c r="HS229" s="9"/>
      <c r="HT229" s="9"/>
      <c r="HU229" s="9"/>
      <c r="HV229" s="9"/>
      <c r="HW229" s="9"/>
      <c r="HX229" s="9"/>
      <c r="HY229" s="9"/>
      <c r="HZ229" s="9"/>
      <c r="IA229" s="9"/>
      <c r="IB229" s="67"/>
      <c r="IC229" s="68"/>
      <c r="ID229" s="63"/>
      <c r="IE229" s="71"/>
    </row>
    <row r="230" spans="1:239" s="11" customFormat="1" x14ac:dyDescent="0.2">
      <c r="A230" s="9">
        <v>20</v>
      </c>
      <c r="B230" s="9"/>
      <c r="C230" s="9"/>
      <c r="D230" s="9" t="s">
        <v>645</v>
      </c>
      <c r="E230" s="65" t="s">
        <v>240</v>
      </c>
      <c r="F230" s="65"/>
      <c r="G230" s="91" t="s">
        <v>2390</v>
      </c>
      <c r="H230" s="66" t="s">
        <v>1296</v>
      </c>
      <c r="I230" s="9"/>
      <c r="J230" s="9" t="s">
        <v>1101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 t="s">
        <v>1297</v>
      </c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  <c r="HE230" s="9"/>
      <c r="HF230" s="9"/>
      <c r="HG230" s="9"/>
      <c r="HH230" s="9"/>
      <c r="HI230" s="9"/>
      <c r="HJ230" s="9"/>
      <c r="HK230" s="9"/>
      <c r="HL230" s="9"/>
      <c r="HM230" s="9"/>
      <c r="HN230" s="9"/>
      <c r="HO230" s="9"/>
      <c r="HP230" s="9"/>
      <c r="HQ230" s="9"/>
      <c r="HR230" s="9"/>
      <c r="HS230" s="9"/>
      <c r="HT230" s="9"/>
      <c r="HU230" s="9"/>
      <c r="HV230" s="9"/>
      <c r="HW230" s="9"/>
      <c r="HX230" s="9"/>
      <c r="HY230" s="9"/>
      <c r="HZ230" s="9"/>
      <c r="IA230" s="9"/>
      <c r="IB230" s="67"/>
      <c r="IC230" s="68"/>
      <c r="ID230" s="63"/>
      <c r="IE230" s="71"/>
    </row>
    <row r="231" spans="1:239" s="11" customFormat="1" x14ac:dyDescent="0.2">
      <c r="A231" s="9">
        <v>20</v>
      </c>
      <c r="B231" s="9"/>
      <c r="C231" s="9"/>
      <c r="D231" s="9" t="s">
        <v>453</v>
      </c>
      <c r="E231" s="65" t="s">
        <v>176</v>
      </c>
      <c r="F231" s="65"/>
      <c r="G231" s="91" t="s">
        <v>2391</v>
      </c>
      <c r="H231" s="66" t="s">
        <v>1298</v>
      </c>
      <c r="I231" s="9"/>
      <c r="J231" s="9" t="s">
        <v>1101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 t="s">
        <v>1101</v>
      </c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  <c r="HE231" s="9"/>
      <c r="HF231" s="9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67"/>
      <c r="IC231" s="68"/>
      <c r="ID231" s="63"/>
      <c r="IE231" s="71"/>
    </row>
    <row r="232" spans="1:239" s="11" customFormat="1" ht="28" customHeight="1" x14ac:dyDescent="0.2">
      <c r="A232" s="9">
        <v>20</v>
      </c>
      <c r="B232" s="9"/>
      <c r="C232" s="9"/>
      <c r="D232" s="9" t="s">
        <v>2185</v>
      </c>
      <c r="E232" s="65" t="s">
        <v>158</v>
      </c>
      <c r="F232" s="65"/>
      <c r="G232" s="91" t="s">
        <v>2392</v>
      </c>
      <c r="H232" s="66" t="s">
        <v>2187</v>
      </c>
      <c r="I232" s="9"/>
      <c r="J232" s="9" t="s">
        <v>1041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 t="s">
        <v>1041</v>
      </c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  <c r="HE232" s="9"/>
      <c r="HF232" s="9"/>
      <c r="HG232" s="9"/>
      <c r="HH232" s="9"/>
      <c r="HI232" s="9"/>
      <c r="HJ232" s="9"/>
      <c r="HK232" s="9"/>
      <c r="HL232" s="9"/>
      <c r="HM232" s="9"/>
      <c r="HN232" s="9"/>
      <c r="HO232" s="9"/>
      <c r="HP232" s="9"/>
      <c r="HQ232" s="9"/>
      <c r="HR232" s="9"/>
      <c r="HS232" s="9"/>
      <c r="HT232" s="9"/>
      <c r="HU232" s="9"/>
      <c r="HV232" s="9"/>
      <c r="HW232" s="9"/>
      <c r="HX232" s="9"/>
      <c r="HY232" s="9"/>
      <c r="HZ232" s="9"/>
      <c r="IA232" s="9"/>
      <c r="IB232" s="67"/>
      <c r="IC232" s="68"/>
      <c r="ID232" s="63"/>
      <c r="IE232" s="71"/>
    </row>
    <row r="233" spans="1:239" s="11" customFormat="1" ht="28" customHeight="1" x14ac:dyDescent="0.2">
      <c r="A233" s="9">
        <v>20</v>
      </c>
      <c r="B233" s="9"/>
      <c r="C233" s="9"/>
      <c r="D233" s="9" t="s">
        <v>2186</v>
      </c>
      <c r="E233" s="65" t="s">
        <v>158</v>
      </c>
      <c r="F233" s="65"/>
      <c r="G233" s="91" t="s">
        <v>2393</v>
      </c>
      <c r="H233" s="66" t="s">
        <v>2188</v>
      </c>
      <c r="I233" s="9"/>
      <c r="J233" s="9" t="s">
        <v>1041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 t="s">
        <v>1041</v>
      </c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  <c r="HE233" s="9"/>
      <c r="HF233" s="9"/>
      <c r="HG233" s="9"/>
      <c r="HH233" s="9"/>
      <c r="HI233" s="9"/>
      <c r="HJ233" s="9"/>
      <c r="HK233" s="9"/>
      <c r="HL233" s="9"/>
      <c r="HM233" s="9"/>
      <c r="HN233" s="9"/>
      <c r="HO233" s="9"/>
      <c r="HP233" s="9"/>
      <c r="HQ233" s="9"/>
      <c r="HR233" s="9"/>
      <c r="HS233" s="9"/>
      <c r="HT233" s="9"/>
      <c r="HU233" s="9"/>
      <c r="HV233" s="9"/>
      <c r="HW233" s="9"/>
      <c r="HX233" s="9"/>
      <c r="HY233" s="9"/>
      <c r="HZ233" s="9"/>
      <c r="IA233" s="9"/>
      <c r="IB233" s="67"/>
      <c r="IC233" s="68"/>
      <c r="ID233" s="63"/>
      <c r="IE233" s="71"/>
    </row>
    <row r="234" spans="1:239" s="11" customFormat="1" x14ac:dyDescent="0.2">
      <c r="A234" s="9">
        <v>20</v>
      </c>
      <c r="B234" s="9"/>
      <c r="C234" s="9"/>
      <c r="D234" s="9" t="s">
        <v>451</v>
      </c>
      <c r="E234" s="65" t="s">
        <v>238</v>
      </c>
      <c r="F234" s="65"/>
      <c r="G234" s="91" t="s">
        <v>2389</v>
      </c>
      <c r="H234" s="66" t="s">
        <v>1295</v>
      </c>
      <c r="I234" s="9"/>
      <c r="J234" s="9" t="s">
        <v>1101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 t="s">
        <v>1101</v>
      </c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  <c r="HE234" s="9"/>
      <c r="HF234" s="9"/>
      <c r="HG234" s="9"/>
      <c r="HH234" s="9"/>
      <c r="HI234" s="9"/>
      <c r="HJ234" s="9"/>
      <c r="HK234" s="9"/>
      <c r="HL234" s="9"/>
      <c r="HM234" s="9"/>
      <c r="HN234" s="9"/>
      <c r="HO234" s="9"/>
      <c r="HP234" s="9"/>
      <c r="HQ234" s="9"/>
      <c r="HR234" s="9"/>
      <c r="HS234" s="9"/>
      <c r="HT234" s="9"/>
      <c r="HU234" s="9"/>
      <c r="HV234" s="9"/>
      <c r="HW234" s="9"/>
      <c r="HX234" s="9"/>
      <c r="HY234" s="9"/>
      <c r="HZ234" s="9"/>
      <c r="IA234" s="9"/>
      <c r="IB234" s="67"/>
      <c r="IC234" s="68"/>
      <c r="ID234" s="63"/>
      <c r="IE234" s="71"/>
    </row>
    <row r="235" spans="1:239" s="11" customFormat="1" x14ac:dyDescent="0.2">
      <c r="A235" s="9">
        <v>20</v>
      </c>
      <c r="B235" s="9"/>
      <c r="C235" s="9"/>
      <c r="D235" s="9" t="s">
        <v>646</v>
      </c>
      <c r="E235" s="65" t="s">
        <v>240</v>
      </c>
      <c r="F235" s="65"/>
      <c r="G235" s="91" t="s">
        <v>2390</v>
      </c>
      <c r="H235" s="66" t="s">
        <v>1296</v>
      </c>
      <c r="I235" s="9"/>
      <c r="J235" s="9" t="s">
        <v>1101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 t="s">
        <v>2142</v>
      </c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  <c r="HE235" s="9"/>
      <c r="HF235" s="9"/>
      <c r="HG235" s="9"/>
      <c r="HH235" s="9"/>
      <c r="HI235" s="9"/>
      <c r="HJ235" s="9"/>
      <c r="HK235" s="9"/>
      <c r="HL235" s="9"/>
      <c r="HM235" s="9"/>
      <c r="HN235" s="9"/>
      <c r="HO235" s="9"/>
      <c r="HP235" s="9"/>
      <c r="HQ235" s="9"/>
      <c r="HR235" s="9"/>
      <c r="HS235" s="9"/>
      <c r="HT235" s="9"/>
      <c r="HU235" s="9"/>
      <c r="HV235" s="9"/>
      <c r="HW235" s="9"/>
      <c r="HX235" s="9"/>
      <c r="HY235" s="9"/>
      <c r="HZ235" s="9"/>
      <c r="IA235" s="9"/>
      <c r="IB235" s="67"/>
      <c r="IC235" s="68"/>
      <c r="ID235" s="63"/>
      <c r="IE235" s="71"/>
    </row>
    <row r="236" spans="1:239" s="11" customFormat="1" x14ac:dyDescent="0.2">
      <c r="A236" s="9">
        <v>20</v>
      </c>
      <c r="B236" s="9"/>
      <c r="C236" s="9"/>
      <c r="D236" s="9" t="s">
        <v>452</v>
      </c>
      <c r="E236" s="65" t="s">
        <v>240</v>
      </c>
      <c r="F236" s="65"/>
      <c r="G236" s="91" t="s">
        <v>2394</v>
      </c>
      <c r="H236" s="66" t="s">
        <v>1299</v>
      </c>
      <c r="I236" s="9"/>
      <c r="J236" s="9" t="s">
        <v>1101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 t="s">
        <v>2143</v>
      </c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  <c r="HE236" s="9"/>
      <c r="HF236" s="9"/>
      <c r="HG236" s="9"/>
      <c r="HH236" s="9"/>
      <c r="HI236" s="9"/>
      <c r="HJ236" s="9"/>
      <c r="HK236" s="9"/>
      <c r="HL236" s="9"/>
      <c r="HM236" s="9"/>
      <c r="HN236" s="9"/>
      <c r="HO236" s="9"/>
      <c r="HP236" s="9"/>
      <c r="HQ236" s="9"/>
      <c r="HR236" s="9"/>
      <c r="HS236" s="9"/>
      <c r="HT236" s="9"/>
      <c r="HU236" s="9"/>
      <c r="HV236" s="9"/>
      <c r="HW236" s="9"/>
      <c r="HX236" s="9"/>
      <c r="HY236" s="9"/>
      <c r="HZ236" s="9"/>
      <c r="IA236" s="9"/>
      <c r="IB236" s="67"/>
      <c r="IC236" s="68"/>
      <c r="ID236" s="63"/>
      <c r="IE236" s="71"/>
    </row>
    <row r="237" spans="1:239" s="11" customFormat="1" x14ac:dyDescent="0.2">
      <c r="A237" s="9">
        <v>20</v>
      </c>
      <c r="B237" s="9"/>
      <c r="C237" s="9"/>
      <c r="D237" s="9" t="s">
        <v>454</v>
      </c>
      <c r="E237" s="65" t="s">
        <v>241</v>
      </c>
      <c r="F237" s="65"/>
      <c r="G237" s="91" t="s">
        <v>2395</v>
      </c>
      <c r="H237" s="66" t="s">
        <v>1300</v>
      </c>
      <c r="I237" s="9"/>
      <c r="J237" s="9" t="s">
        <v>1101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 t="s">
        <v>1101</v>
      </c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  <c r="HE237" s="9"/>
      <c r="HF237" s="9"/>
      <c r="HG237" s="9"/>
      <c r="HH237" s="9"/>
      <c r="HI237" s="9"/>
      <c r="HJ237" s="9"/>
      <c r="HK237" s="9"/>
      <c r="HL237" s="9"/>
      <c r="HM237" s="9"/>
      <c r="HN237" s="9"/>
      <c r="HO237" s="9"/>
      <c r="HP237" s="9"/>
      <c r="HQ237" s="9"/>
      <c r="HR237" s="9"/>
      <c r="HS237" s="9"/>
      <c r="HT237" s="9"/>
      <c r="HU237" s="9"/>
      <c r="HV237" s="9"/>
      <c r="HW237" s="9"/>
      <c r="HX237" s="9"/>
      <c r="HY237" s="9"/>
      <c r="HZ237" s="9"/>
      <c r="IA237" s="9"/>
      <c r="IB237" s="67"/>
      <c r="IC237" s="68"/>
      <c r="ID237" s="63"/>
      <c r="IE237" s="71"/>
    </row>
    <row r="238" spans="1:239" s="11" customFormat="1" x14ac:dyDescent="0.2">
      <c r="A238" s="9">
        <v>20</v>
      </c>
      <c r="B238" s="9"/>
      <c r="C238" s="9"/>
      <c r="D238" s="9" t="s">
        <v>865</v>
      </c>
      <c r="E238" s="65" t="s">
        <v>241</v>
      </c>
      <c r="F238" s="65"/>
      <c r="G238" s="91" t="s">
        <v>2396</v>
      </c>
      <c r="H238" s="66" t="s">
        <v>1301</v>
      </c>
      <c r="I238" s="9"/>
      <c r="J238" s="9" t="s">
        <v>1101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 t="s">
        <v>1101</v>
      </c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/>
      <c r="HI238" s="9"/>
      <c r="HJ238" s="9"/>
      <c r="HK238" s="9"/>
      <c r="HL238" s="9"/>
      <c r="HM238" s="9"/>
      <c r="HN238" s="9"/>
      <c r="HO238" s="9"/>
      <c r="HP238" s="9"/>
      <c r="HQ238" s="9"/>
      <c r="HR238" s="9"/>
      <c r="HS238" s="9"/>
      <c r="HT238" s="9"/>
      <c r="HU238" s="9"/>
      <c r="HV238" s="9"/>
      <c r="HW238" s="9"/>
      <c r="HX238" s="9"/>
      <c r="HY238" s="9"/>
      <c r="HZ238" s="9"/>
      <c r="IA238" s="9"/>
      <c r="IB238" s="67"/>
      <c r="IC238" s="68"/>
      <c r="ID238" s="63"/>
      <c r="IE238" s="71"/>
    </row>
    <row r="239" spans="1:239" s="11" customFormat="1" x14ac:dyDescent="0.2">
      <c r="A239" s="9">
        <v>20</v>
      </c>
      <c r="B239" s="9"/>
      <c r="C239" s="9"/>
      <c r="D239" s="9" t="s">
        <v>455</v>
      </c>
      <c r="E239" s="65" t="s">
        <v>242</v>
      </c>
      <c r="F239" s="65"/>
      <c r="G239" s="91" t="s">
        <v>2397</v>
      </c>
      <c r="H239" s="66" t="s">
        <v>1302</v>
      </c>
      <c r="I239" s="9"/>
      <c r="J239" s="9" t="s">
        <v>1101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 t="s">
        <v>1101</v>
      </c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  <c r="HE239" s="9"/>
      <c r="HF239" s="9"/>
      <c r="HG239" s="9"/>
      <c r="HH239" s="9"/>
      <c r="HI239" s="9"/>
      <c r="HJ239" s="9"/>
      <c r="HK239" s="9"/>
      <c r="HL239" s="9"/>
      <c r="HM239" s="9"/>
      <c r="HN239" s="9"/>
      <c r="HO239" s="9"/>
      <c r="HP239" s="9"/>
      <c r="HQ239" s="9"/>
      <c r="HR239" s="9"/>
      <c r="HS239" s="9"/>
      <c r="HT239" s="9"/>
      <c r="HU239" s="9"/>
      <c r="HV239" s="9"/>
      <c r="HW239" s="9"/>
      <c r="HX239" s="9"/>
      <c r="HY239" s="9"/>
      <c r="HZ239" s="9"/>
      <c r="IA239" s="9"/>
      <c r="IB239" s="67"/>
      <c r="IC239" s="68"/>
      <c r="ID239" s="63"/>
      <c r="IE239" s="71"/>
    </row>
    <row r="240" spans="1:239" s="11" customFormat="1" x14ac:dyDescent="0.2">
      <c r="A240" s="9">
        <v>20</v>
      </c>
      <c r="B240" s="9"/>
      <c r="C240" s="9"/>
      <c r="D240" s="9" t="s">
        <v>456</v>
      </c>
      <c r="E240" s="65" t="s">
        <v>243</v>
      </c>
      <c r="F240" s="65"/>
      <c r="G240" s="91" t="s">
        <v>2398</v>
      </c>
      <c r="H240" s="66" t="s">
        <v>1303</v>
      </c>
      <c r="I240" s="9"/>
      <c r="J240" s="9" t="s">
        <v>1101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 t="s">
        <v>1101</v>
      </c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  <c r="HE240" s="9"/>
      <c r="HF240" s="9"/>
      <c r="HG240" s="9"/>
      <c r="HH240" s="9"/>
      <c r="HI240" s="9"/>
      <c r="HJ240" s="9"/>
      <c r="HK240" s="9"/>
      <c r="HL240" s="9"/>
      <c r="HM240" s="9"/>
      <c r="HN240" s="9"/>
      <c r="HO240" s="9"/>
      <c r="HP240" s="9"/>
      <c r="HQ240" s="9"/>
      <c r="HR240" s="9"/>
      <c r="HS240" s="9"/>
      <c r="HT240" s="9"/>
      <c r="HU240" s="9"/>
      <c r="HV240" s="9"/>
      <c r="HW240" s="9"/>
      <c r="HX240" s="9"/>
      <c r="HY240" s="9"/>
      <c r="HZ240" s="9"/>
      <c r="IA240" s="9"/>
      <c r="IB240" s="67"/>
      <c r="IC240" s="68"/>
      <c r="ID240" s="63"/>
      <c r="IE240" s="71"/>
    </row>
    <row r="241" spans="1:239" s="11" customFormat="1" x14ac:dyDescent="0.2">
      <c r="A241" s="9">
        <v>20</v>
      </c>
      <c r="B241" s="9"/>
      <c r="C241" s="9"/>
      <c r="D241" s="9" t="s">
        <v>647</v>
      </c>
      <c r="E241" s="65" t="s">
        <v>245</v>
      </c>
      <c r="F241" s="65"/>
      <c r="G241" s="91" t="s">
        <v>2399</v>
      </c>
      <c r="H241" s="66" t="s">
        <v>1304</v>
      </c>
      <c r="I241" s="9"/>
      <c r="J241" s="9" t="s">
        <v>1101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 t="s">
        <v>2144</v>
      </c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  <c r="HE241" s="9"/>
      <c r="HF241" s="9"/>
      <c r="HG241" s="9"/>
      <c r="HH241" s="9"/>
      <c r="HI241" s="9"/>
      <c r="HJ241" s="9"/>
      <c r="HK241" s="9"/>
      <c r="HL241" s="9"/>
      <c r="HM241" s="9"/>
      <c r="HN241" s="9"/>
      <c r="HO241" s="9"/>
      <c r="HP241" s="9"/>
      <c r="HQ241" s="9"/>
      <c r="HR241" s="9"/>
      <c r="HS241" s="9"/>
      <c r="HT241" s="9"/>
      <c r="HU241" s="9"/>
      <c r="HV241" s="9"/>
      <c r="HW241" s="9"/>
      <c r="HX241" s="9"/>
      <c r="HY241" s="9"/>
      <c r="HZ241" s="9"/>
      <c r="IA241" s="9"/>
      <c r="IB241" s="67"/>
      <c r="IC241" s="68"/>
      <c r="ID241" s="63"/>
      <c r="IE241" s="71"/>
    </row>
    <row r="242" spans="1:239" s="11" customFormat="1" ht="26" x14ac:dyDescent="0.2">
      <c r="A242" s="9">
        <v>20</v>
      </c>
      <c r="B242" s="9"/>
      <c r="C242" s="9"/>
      <c r="D242" s="9" t="s">
        <v>457</v>
      </c>
      <c r="E242" s="65" t="s">
        <v>245</v>
      </c>
      <c r="F242" s="65"/>
      <c r="G242" s="91" t="s">
        <v>2400</v>
      </c>
      <c r="H242" s="66" t="s">
        <v>1305</v>
      </c>
      <c r="I242" s="9"/>
      <c r="J242" s="9" t="s">
        <v>1101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 t="s">
        <v>2145</v>
      </c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  <c r="HE242" s="9"/>
      <c r="HF242" s="9"/>
      <c r="HG242" s="9"/>
      <c r="HH242" s="9"/>
      <c r="HI242" s="9"/>
      <c r="HJ242" s="9"/>
      <c r="HK242" s="9"/>
      <c r="HL242" s="9"/>
      <c r="HM242" s="9"/>
      <c r="HN242" s="9"/>
      <c r="HO242" s="9"/>
      <c r="HP242" s="9"/>
      <c r="HQ242" s="9"/>
      <c r="HR242" s="9"/>
      <c r="HS242" s="9"/>
      <c r="HT242" s="9"/>
      <c r="HU242" s="9"/>
      <c r="HV242" s="9"/>
      <c r="HW242" s="9"/>
      <c r="HX242" s="9"/>
      <c r="HY242" s="9"/>
      <c r="HZ242" s="9"/>
      <c r="IA242" s="9"/>
      <c r="IB242" s="67"/>
      <c r="IC242" s="68"/>
      <c r="ID242" s="63"/>
      <c r="IE242" s="71"/>
    </row>
    <row r="243" spans="1:239" s="11" customFormat="1" x14ac:dyDescent="0.2">
      <c r="A243" s="9">
        <v>20</v>
      </c>
      <c r="B243" s="9"/>
      <c r="C243" s="9"/>
      <c r="D243" s="9" t="s">
        <v>846</v>
      </c>
      <c r="E243" s="65" t="s">
        <v>848</v>
      </c>
      <c r="F243" s="65"/>
      <c r="G243" s="91" t="s">
        <v>2401</v>
      </c>
      <c r="H243" s="66" t="s">
        <v>1306</v>
      </c>
      <c r="I243" s="9"/>
      <c r="J243" s="9" t="s">
        <v>1101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 t="s">
        <v>1101</v>
      </c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  <c r="HE243" s="9"/>
      <c r="HF243" s="9"/>
      <c r="HG243" s="9"/>
      <c r="HH243" s="9"/>
      <c r="HI243" s="9"/>
      <c r="HJ243" s="9"/>
      <c r="HK243" s="9"/>
      <c r="HL243" s="9"/>
      <c r="HM243" s="9"/>
      <c r="HN243" s="9"/>
      <c r="HO243" s="9"/>
      <c r="HP243" s="9"/>
      <c r="HQ243" s="9"/>
      <c r="HR243" s="9"/>
      <c r="HS243" s="9"/>
      <c r="HT243" s="9"/>
      <c r="HU243" s="9"/>
      <c r="HV243" s="9"/>
      <c r="HW243" s="9"/>
      <c r="HX243" s="9"/>
      <c r="HY243" s="9"/>
      <c r="HZ243" s="9"/>
      <c r="IA243" s="9"/>
      <c r="IB243" s="67"/>
      <c r="IC243" s="68"/>
      <c r="ID243" s="63"/>
      <c r="IE243" s="71"/>
    </row>
    <row r="244" spans="1:239" s="11" customFormat="1" x14ac:dyDescent="0.2">
      <c r="A244" s="9">
        <v>20</v>
      </c>
      <c r="B244" s="9"/>
      <c r="C244" s="9"/>
      <c r="D244" s="9" t="s">
        <v>850</v>
      </c>
      <c r="E244" s="65" t="s">
        <v>848</v>
      </c>
      <c r="F244" s="65"/>
      <c r="G244" s="91" t="s">
        <v>2402</v>
      </c>
      <c r="H244" s="66" t="s">
        <v>1307</v>
      </c>
      <c r="I244" s="9"/>
      <c r="J244" s="9" t="s">
        <v>1101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 t="s">
        <v>1101</v>
      </c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  <c r="HE244" s="9"/>
      <c r="HF244" s="9"/>
      <c r="HG244" s="9"/>
      <c r="HH244" s="9"/>
      <c r="HI244" s="9"/>
      <c r="HJ244" s="9"/>
      <c r="HK244" s="9"/>
      <c r="HL244" s="9"/>
      <c r="HM244" s="9"/>
      <c r="HN244" s="9"/>
      <c r="HO244" s="9"/>
      <c r="HP244" s="9"/>
      <c r="HQ244" s="9"/>
      <c r="HR244" s="9"/>
      <c r="HS244" s="9"/>
      <c r="HT244" s="9"/>
      <c r="HU244" s="9"/>
      <c r="HV244" s="9"/>
      <c r="HW244" s="9"/>
      <c r="HX244" s="9"/>
      <c r="HY244" s="9"/>
      <c r="HZ244" s="9"/>
      <c r="IA244" s="9"/>
      <c r="IB244" s="67"/>
      <c r="IC244" s="68"/>
      <c r="ID244" s="63"/>
      <c r="IE244" s="71"/>
    </row>
    <row r="245" spans="1:239" s="11" customFormat="1" x14ac:dyDescent="0.2">
      <c r="A245" s="9">
        <v>20</v>
      </c>
      <c r="B245" s="9"/>
      <c r="C245" s="9"/>
      <c r="D245" s="9" t="s">
        <v>851</v>
      </c>
      <c r="E245" s="65" t="s">
        <v>848</v>
      </c>
      <c r="F245" s="65"/>
      <c r="G245" s="91" t="s">
        <v>2403</v>
      </c>
      <c r="H245" s="66" t="s">
        <v>1308</v>
      </c>
      <c r="I245" s="9"/>
      <c r="J245" s="9" t="s">
        <v>1101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 t="s">
        <v>1101</v>
      </c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  <c r="HE245" s="9"/>
      <c r="HF245" s="9"/>
      <c r="HG245" s="9"/>
      <c r="HH245" s="9"/>
      <c r="HI245" s="9"/>
      <c r="HJ245" s="9"/>
      <c r="HK245" s="9"/>
      <c r="HL245" s="9"/>
      <c r="HM245" s="9"/>
      <c r="HN245" s="9"/>
      <c r="HO245" s="9"/>
      <c r="HP245" s="9"/>
      <c r="HQ245" s="9"/>
      <c r="HR245" s="9"/>
      <c r="HS245" s="9"/>
      <c r="HT245" s="9"/>
      <c r="HU245" s="9"/>
      <c r="HV245" s="9"/>
      <c r="HW245" s="9"/>
      <c r="HX245" s="9"/>
      <c r="HY245" s="9"/>
      <c r="HZ245" s="9"/>
      <c r="IA245" s="9"/>
      <c r="IB245" s="67"/>
      <c r="IC245" s="68"/>
      <c r="ID245" s="63"/>
      <c r="IE245" s="71"/>
    </row>
    <row r="246" spans="1:239" s="11" customFormat="1" x14ac:dyDescent="0.2">
      <c r="A246" s="9">
        <v>20</v>
      </c>
      <c r="B246" s="9"/>
      <c r="C246" s="9"/>
      <c r="D246" s="9" t="s">
        <v>852</v>
      </c>
      <c r="E246" s="65" t="s">
        <v>848</v>
      </c>
      <c r="F246" s="65"/>
      <c r="G246" s="91" t="s">
        <v>2404</v>
      </c>
      <c r="H246" s="66" t="s">
        <v>1309</v>
      </c>
      <c r="I246" s="9"/>
      <c r="J246" s="9" t="s">
        <v>1101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 t="s">
        <v>1101</v>
      </c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  <c r="HE246" s="9"/>
      <c r="HF246" s="9"/>
      <c r="HG246" s="9"/>
      <c r="HH246" s="9"/>
      <c r="HI246" s="9"/>
      <c r="HJ246" s="9"/>
      <c r="HK246" s="9"/>
      <c r="HL246" s="9"/>
      <c r="HM246" s="9"/>
      <c r="HN246" s="9"/>
      <c r="HO246" s="9"/>
      <c r="HP246" s="9"/>
      <c r="HQ246" s="9"/>
      <c r="HR246" s="9"/>
      <c r="HS246" s="9"/>
      <c r="HT246" s="9"/>
      <c r="HU246" s="9"/>
      <c r="HV246" s="9"/>
      <c r="HW246" s="9"/>
      <c r="HX246" s="9"/>
      <c r="HY246" s="9"/>
      <c r="HZ246" s="9"/>
      <c r="IA246" s="9"/>
      <c r="IB246" s="67"/>
      <c r="IC246" s="68"/>
      <c r="ID246" s="63"/>
      <c r="IE246" s="71"/>
    </row>
    <row r="247" spans="1:239" s="11" customFormat="1" x14ac:dyDescent="0.2">
      <c r="A247" s="9">
        <v>20</v>
      </c>
      <c r="B247" s="9"/>
      <c r="C247" s="9"/>
      <c r="D247" s="9" t="s">
        <v>853</v>
      </c>
      <c r="E247" s="65" t="s">
        <v>848</v>
      </c>
      <c r="F247" s="65"/>
      <c r="G247" s="91" t="s">
        <v>2405</v>
      </c>
      <c r="H247" s="66" t="s">
        <v>1310</v>
      </c>
      <c r="I247" s="9"/>
      <c r="J247" s="9" t="s">
        <v>1101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 t="s">
        <v>1101</v>
      </c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  <c r="HE247" s="9"/>
      <c r="HF247" s="9"/>
      <c r="HG247" s="9"/>
      <c r="HH247" s="9"/>
      <c r="HI247" s="9"/>
      <c r="HJ247" s="9"/>
      <c r="HK247" s="9"/>
      <c r="HL247" s="9"/>
      <c r="HM247" s="9"/>
      <c r="HN247" s="9"/>
      <c r="HO247" s="9"/>
      <c r="HP247" s="9"/>
      <c r="HQ247" s="9"/>
      <c r="HR247" s="9"/>
      <c r="HS247" s="9"/>
      <c r="HT247" s="9"/>
      <c r="HU247" s="9"/>
      <c r="HV247" s="9"/>
      <c r="HW247" s="9"/>
      <c r="HX247" s="9"/>
      <c r="HY247" s="9"/>
      <c r="HZ247" s="9"/>
      <c r="IA247" s="9"/>
      <c r="IB247" s="67"/>
      <c r="IC247" s="68"/>
      <c r="ID247" s="63"/>
      <c r="IE247" s="71"/>
    </row>
    <row r="248" spans="1:239" s="11" customFormat="1" x14ac:dyDescent="0.2">
      <c r="A248" s="9">
        <v>20</v>
      </c>
      <c r="B248" s="9"/>
      <c r="C248" s="9"/>
      <c r="D248" s="9" t="s">
        <v>854</v>
      </c>
      <c r="E248" s="65" t="s">
        <v>848</v>
      </c>
      <c r="F248" s="65"/>
      <c r="G248" s="91" t="s">
        <v>2406</v>
      </c>
      <c r="H248" s="66" t="s">
        <v>1311</v>
      </c>
      <c r="I248" s="9"/>
      <c r="J248" s="9" t="s">
        <v>1101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 t="s">
        <v>1101</v>
      </c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  <c r="HE248" s="9"/>
      <c r="HF248" s="9"/>
      <c r="HG248" s="9"/>
      <c r="HH248" s="9"/>
      <c r="HI248" s="9"/>
      <c r="HJ248" s="9"/>
      <c r="HK248" s="9"/>
      <c r="HL248" s="9"/>
      <c r="HM248" s="9"/>
      <c r="HN248" s="9"/>
      <c r="HO248" s="9"/>
      <c r="HP248" s="9"/>
      <c r="HQ248" s="9"/>
      <c r="HR248" s="9"/>
      <c r="HS248" s="9"/>
      <c r="HT248" s="9"/>
      <c r="HU248" s="9"/>
      <c r="HV248" s="9"/>
      <c r="HW248" s="9"/>
      <c r="HX248" s="9"/>
      <c r="HY248" s="9"/>
      <c r="HZ248" s="9"/>
      <c r="IA248" s="9"/>
      <c r="IB248" s="67"/>
      <c r="IC248" s="68"/>
      <c r="ID248" s="63"/>
      <c r="IE248" s="71"/>
    </row>
    <row r="249" spans="1:239" s="11" customFormat="1" x14ac:dyDescent="0.2">
      <c r="A249" s="9">
        <v>20</v>
      </c>
      <c r="B249" s="9"/>
      <c r="C249" s="9"/>
      <c r="D249" s="9" t="s">
        <v>855</v>
      </c>
      <c r="E249" s="65" t="s">
        <v>848</v>
      </c>
      <c r="F249" s="65"/>
      <c r="G249" s="91" t="s">
        <v>2407</v>
      </c>
      <c r="H249" s="66" t="s">
        <v>1312</v>
      </c>
      <c r="I249" s="9"/>
      <c r="J249" s="9" t="s">
        <v>1101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 t="s">
        <v>1101</v>
      </c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  <c r="HE249" s="9"/>
      <c r="HF249" s="9"/>
      <c r="HG249" s="9"/>
      <c r="HH249" s="9"/>
      <c r="HI249" s="9"/>
      <c r="HJ249" s="9"/>
      <c r="HK249" s="9"/>
      <c r="HL249" s="9"/>
      <c r="HM249" s="9"/>
      <c r="HN249" s="9"/>
      <c r="HO249" s="9"/>
      <c r="HP249" s="9"/>
      <c r="HQ249" s="9"/>
      <c r="HR249" s="9"/>
      <c r="HS249" s="9"/>
      <c r="HT249" s="9"/>
      <c r="HU249" s="9"/>
      <c r="HV249" s="9"/>
      <c r="HW249" s="9"/>
      <c r="HX249" s="9"/>
      <c r="HY249" s="9"/>
      <c r="HZ249" s="9"/>
      <c r="IA249" s="9"/>
      <c r="IB249" s="67"/>
      <c r="IC249" s="68"/>
      <c r="ID249" s="63"/>
      <c r="IE249" s="71"/>
    </row>
    <row r="250" spans="1:239" s="11" customFormat="1" ht="26" x14ac:dyDescent="0.2">
      <c r="A250" s="9">
        <v>20</v>
      </c>
      <c r="B250" s="9"/>
      <c r="C250" s="9"/>
      <c r="D250" s="9" t="s">
        <v>458</v>
      </c>
      <c r="E250" s="65" t="s">
        <v>246</v>
      </c>
      <c r="F250" s="65"/>
      <c r="G250" s="91" t="s">
        <v>2408</v>
      </c>
      <c r="H250" s="66" t="s">
        <v>1313</v>
      </c>
      <c r="I250" s="9"/>
      <c r="J250" s="9" t="s">
        <v>1101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 t="s">
        <v>1101</v>
      </c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  <c r="HE250" s="9"/>
      <c r="HF250" s="9"/>
      <c r="HG250" s="9"/>
      <c r="HH250" s="9"/>
      <c r="HI250" s="9"/>
      <c r="HJ250" s="9"/>
      <c r="HK250" s="9"/>
      <c r="HL250" s="9"/>
      <c r="HM250" s="9"/>
      <c r="HN250" s="9"/>
      <c r="HO250" s="9"/>
      <c r="HP250" s="9"/>
      <c r="HQ250" s="9"/>
      <c r="HR250" s="9"/>
      <c r="HS250" s="9"/>
      <c r="HT250" s="9"/>
      <c r="HU250" s="9"/>
      <c r="HV250" s="9"/>
      <c r="HW250" s="9"/>
      <c r="HX250" s="9"/>
      <c r="HY250" s="9"/>
      <c r="HZ250" s="9"/>
      <c r="IA250" s="9"/>
      <c r="IB250" s="67"/>
      <c r="IC250" s="68"/>
      <c r="ID250" s="63"/>
      <c r="IE250" s="71"/>
    </row>
    <row r="251" spans="1:239" s="11" customFormat="1" ht="26" x14ac:dyDescent="0.2">
      <c r="A251" s="9">
        <v>20</v>
      </c>
      <c r="B251" s="9"/>
      <c r="C251" s="9"/>
      <c r="D251" s="9" t="s">
        <v>648</v>
      </c>
      <c r="E251" s="65" t="s">
        <v>248</v>
      </c>
      <c r="F251" s="65"/>
      <c r="G251" s="91" t="s">
        <v>2409</v>
      </c>
      <c r="H251" s="66" t="s">
        <v>1314</v>
      </c>
      <c r="I251" s="9"/>
      <c r="J251" s="9" t="s">
        <v>1101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 t="s">
        <v>2146</v>
      </c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  <c r="HE251" s="9"/>
      <c r="HF251" s="9"/>
      <c r="HG251" s="9"/>
      <c r="HH251" s="9"/>
      <c r="HI251" s="9"/>
      <c r="HJ251" s="9"/>
      <c r="HK251" s="9"/>
      <c r="HL251" s="9"/>
      <c r="HM251" s="9"/>
      <c r="HN251" s="9"/>
      <c r="HO251" s="9"/>
      <c r="HP251" s="9"/>
      <c r="HQ251" s="9"/>
      <c r="HR251" s="9"/>
      <c r="HS251" s="9"/>
      <c r="HT251" s="9"/>
      <c r="HU251" s="9"/>
      <c r="HV251" s="9"/>
      <c r="HW251" s="9"/>
      <c r="HX251" s="9"/>
      <c r="HY251" s="9"/>
      <c r="HZ251" s="9"/>
      <c r="IA251" s="9"/>
      <c r="IB251" s="67"/>
      <c r="IC251" s="68"/>
      <c r="ID251" s="63"/>
      <c r="IE251" s="71"/>
    </row>
    <row r="252" spans="1:239" s="11" customFormat="1" ht="26" x14ac:dyDescent="0.2">
      <c r="A252" s="9">
        <v>20</v>
      </c>
      <c r="B252" s="9"/>
      <c r="C252" s="9"/>
      <c r="D252" s="9" t="s">
        <v>459</v>
      </c>
      <c r="E252" s="65" t="s">
        <v>248</v>
      </c>
      <c r="F252" s="65"/>
      <c r="G252" s="91" t="s">
        <v>2410</v>
      </c>
      <c r="H252" s="66" t="s">
        <v>1315</v>
      </c>
      <c r="I252" s="9"/>
      <c r="J252" s="9" t="s">
        <v>1101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 t="s">
        <v>2147</v>
      </c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  <c r="HE252" s="9"/>
      <c r="HF252" s="9"/>
      <c r="HG252" s="9"/>
      <c r="HH252" s="9"/>
      <c r="HI252" s="9"/>
      <c r="HJ252" s="9"/>
      <c r="HK252" s="9"/>
      <c r="HL252" s="9"/>
      <c r="HM252" s="9"/>
      <c r="HN252" s="9"/>
      <c r="HO252" s="9"/>
      <c r="HP252" s="9"/>
      <c r="HQ252" s="9"/>
      <c r="HR252" s="9"/>
      <c r="HS252" s="9"/>
      <c r="HT252" s="9"/>
      <c r="HU252" s="9"/>
      <c r="HV252" s="9"/>
      <c r="HW252" s="9"/>
      <c r="HX252" s="9"/>
      <c r="HY252" s="9"/>
      <c r="HZ252" s="9"/>
      <c r="IA252" s="9"/>
      <c r="IB252" s="67"/>
      <c r="IC252" s="68"/>
      <c r="ID252" s="63"/>
      <c r="IE252" s="71"/>
    </row>
    <row r="253" spans="1:239" s="11" customFormat="1" x14ac:dyDescent="0.2">
      <c r="A253" s="9">
        <v>20</v>
      </c>
      <c r="B253" s="9"/>
      <c r="C253" s="9"/>
      <c r="D253" s="9" t="s">
        <v>460</v>
      </c>
      <c r="E253" s="65" t="s">
        <v>249</v>
      </c>
      <c r="F253" s="65"/>
      <c r="G253" s="91" t="s">
        <v>2411</v>
      </c>
      <c r="H253" s="66" t="s">
        <v>1316</v>
      </c>
      <c r="I253" s="9"/>
      <c r="J253" s="9" t="s">
        <v>1101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 t="s">
        <v>1101</v>
      </c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  <c r="HE253" s="9"/>
      <c r="HF253" s="9"/>
      <c r="HG253" s="9"/>
      <c r="HH253" s="9"/>
      <c r="HI253" s="9"/>
      <c r="HJ253" s="9"/>
      <c r="HK253" s="9"/>
      <c r="HL253" s="9"/>
      <c r="HM253" s="9"/>
      <c r="HN253" s="9"/>
      <c r="HO253" s="9"/>
      <c r="HP253" s="9"/>
      <c r="HQ253" s="9"/>
      <c r="HR253" s="9"/>
      <c r="HS253" s="9"/>
      <c r="HT253" s="9"/>
      <c r="HU253" s="9"/>
      <c r="HV253" s="9"/>
      <c r="HW253" s="9"/>
      <c r="HX253" s="9"/>
      <c r="HY253" s="9"/>
      <c r="HZ253" s="9"/>
      <c r="IA253" s="9"/>
      <c r="IB253" s="67"/>
      <c r="IC253" s="68"/>
      <c r="ID253" s="63"/>
      <c r="IE253" s="71"/>
    </row>
    <row r="254" spans="1:239" s="11" customFormat="1" x14ac:dyDescent="0.2">
      <c r="A254" s="9">
        <v>20</v>
      </c>
      <c r="B254" s="9"/>
      <c r="C254" s="9"/>
      <c r="D254" s="9" t="s">
        <v>649</v>
      </c>
      <c r="E254" s="65" t="s">
        <v>251</v>
      </c>
      <c r="F254" s="65"/>
      <c r="G254" s="91" t="s">
        <v>2412</v>
      </c>
      <c r="H254" s="66" t="s">
        <v>1317</v>
      </c>
      <c r="I254" s="9"/>
      <c r="J254" s="9" t="s">
        <v>1101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 t="s">
        <v>2148</v>
      </c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  <c r="HE254" s="9"/>
      <c r="HF254" s="9"/>
      <c r="HG254" s="9"/>
      <c r="HH254" s="9"/>
      <c r="HI254" s="9"/>
      <c r="HJ254" s="9"/>
      <c r="HK254" s="9"/>
      <c r="HL254" s="9"/>
      <c r="HM254" s="9"/>
      <c r="HN254" s="9"/>
      <c r="HO254" s="9"/>
      <c r="HP254" s="9"/>
      <c r="HQ254" s="9"/>
      <c r="HR254" s="9"/>
      <c r="HS254" s="9"/>
      <c r="HT254" s="9"/>
      <c r="HU254" s="9"/>
      <c r="HV254" s="9"/>
      <c r="HW254" s="9"/>
      <c r="HX254" s="9"/>
      <c r="HY254" s="9"/>
      <c r="HZ254" s="9"/>
      <c r="IA254" s="9"/>
      <c r="IB254" s="67"/>
      <c r="IC254" s="68"/>
      <c r="ID254" s="63"/>
      <c r="IE254" s="71"/>
    </row>
    <row r="255" spans="1:239" s="11" customFormat="1" ht="26" x14ac:dyDescent="0.2">
      <c r="A255" s="9">
        <v>20</v>
      </c>
      <c r="B255" s="9"/>
      <c r="C255" s="9"/>
      <c r="D255" s="9" t="s">
        <v>461</v>
      </c>
      <c r="E255" s="65" t="s">
        <v>251</v>
      </c>
      <c r="F255" s="65"/>
      <c r="G255" s="91" t="s">
        <v>2413</v>
      </c>
      <c r="H255" s="66" t="s">
        <v>1318</v>
      </c>
      <c r="I255" s="9"/>
      <c r="J255" s="9" t="s">
        <v>1101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 t="s">
        <v>2149</v>
      </c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/>
      <c r="GZ255" s="9"/>
      <c r="HA255" s="9"/>
      <c r="HB255" s="9"/>
      <c r="HC255" s="9"/>
      <c r="HD255" s="9"/>
      <c r="HE255" s="9"/>
      <c r="HF255" s="9"/>
      <c r="HG255" s="9"/>
      <c r="HH255" s="9"/>
      <c r="HI255" s="9"/>
      <c r="HJ255" s="9"/>
      <c r="HK255" s="9"/>
      <c r="HL255" s="9"/>
      <c r="HM255" s="9"/>
      <c r="HN255" s="9"/>
      <c r="HO255" s="9"/>
      <c r="HP255" s="9"/>
      <c r="HQ255" s="9"/>
      <c r="HR255" s="9"/>
      <c r="HS255" s="9"/>
      <c r="HT255" s="9"/>
      <c r="HU255" s="9"/>
      <c r="HV255" s="9"/>
      <c r="HW255" s="9"/>
      <c r="HX255" s="9"/>
      <c r="HY255" s="9"/>
      <c r="HZ255" s="9"/>
      <c r="IA255" s="9"/>
      <c r="IB255" s="67"/>
      <c r="IC255" s="68"/>
      <c r="ID255" s="63"/>
      <c r="IE255" s="71"/>
    </row>
    <row r="256" spans="1:239" s="11" customFormat="1" x14ac:dyDescent="0.2">
      <c r="A256" s="9">
        <v>20</v>
      </c>
      <c r="B256" s="9"/>
      <c r="C256" s="9"/>
      <c r="D256" s="9" t="s">
        <v>462</v>
      </c>
      <c r="E256" s="65" t="s">
        <v>176</v>
      </c>
      <c r="F256" s="65"/>
      <c r="G256" s="91" t="s">
        <v>2414</v>
      </c>
      <c r="H256" s="66" t="s">
        <v>1319</v>
      </c>
      <c r="I256" s="9"/>
      <c r="J256" s="9" t="s">
        <v>1101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 t="s">
        <v>1101</v>
      </c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  <c r="HE256" s="9"/>
      <c r="HF256" s="9"/>
      <c r="HG256" s="9"/>
      <c r="HH256" s="9"/>
      <c r="HI256" s="9"/>
      <c r="HJ256" s="9"/>
      <c r="HK256" s="9"/>
      <c r="HL256" s="9"/>
      <c r="HM256" s="9"/>
      <c r="HN256" s="9"/>
      <c r="HO256" s="9"/>
      <c r="HP256" s="9"/>
      <c r="HQ256" s="9"/>
      <c r="HR256" s="9"/>
      <c r="HS256" s="9"/>
      <c r="HT256" s="9"/>
      <c r="HU256" s="9"/>
      <c r="HV256" s="9"/>
      <c r="HW256" s="9"/>
      <c r="HX256" s="9"/>
      <c r="HY256" s="9"/>
      <c r="HZ256" s="9"/>
      <c r="IA256" s="9"/>
      <c r="IB256" s="67"/>
      <c r="IC256" s="68"/>
      <c r="ID256" s="63"/>
      <c r="IE256" s="71"/>
    </row>
    <row r="257" spans="1:239" s="11" customFormat="1" x14ac:dyDescent="0.2">
      <c r="A257" s="9">
        <v>20</v>
      </c>
      <c r="B257" s="9"/>
      <c r="C257" s="9"/>
      <c r="D257" s="9" t="s">
        <v>463</v>
      </c>
      <c r="E257" s="65" t="s">
        <v>176</v>
      </c>
      <c r="F257" s="65"/>
      <c r="G257" s="91" t="s">
        <v>2415</v>
      </c>
      <c r="H257" s="66" t="s">
        <v>1320</v>
      </c>
      <c r="I257" s="9"/>
      <c r="J257" s="9" t="s">
        <v>1098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 t="s">
        <v>1098</v>
      </c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  <c r="HJ257" s="9"/>
      <c r="HK257" s="9"/>
      <c r="HL257" s="9"/>
      <c r="HM257" s="9"/>
      <c r="HN257" s="9"/>
      <c r="HO257" s="9"/>
      <c r="HP257" s="9"/>
      <c r="HQ257" s="9"/>
      <c r="HR257" s="9"/>
      <c r="HS257" s="9"/>
      <c r="HT257" s="9"/>
      <c r="HU257" s="9"/>
      <c r="HV257" s="9"/>
      <c r="HW257" s="9"/>
      <c r="HX257" s="9"/>
      <c r="HY257" s="9"/>
      <c r="HZ257" s="9"/>
      <c r="IA257" s="9"/>
      <c r="IB257" s="67"/>
      <c r="IC257" s="68"/>
      <c r="ID257" s="63"/>
      <c r="IE257" s="71"/>
    </row>
    <row r="258" spans="1:239" s="11" customFormat="1" x14ac:dyDescent="0.2">
      <c r="A258" s="9">
        <v>20</v>
      </c>
      <c r="B258" s="9"/>
      <c r="C258" s="9"/>
      <c r="D258" s="9" t="s">
        <v>464</v>
      </c>
      <c r="E258" s="65" t="s">
        <v>252</v>
      </c>
      <c r="F258" s="65"/>
      <c r="G258" s="91" t="s">
        <v>2416</v>
      </c>
      <c r="H258" s="66" t="s">
        <v>1321</v>
      </c>
      <c r="I258" s="9"/>
      <c r="J258" s="9" t="s">
        <v>1101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 t="s">
        <v>1101</v>
      </c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  <c r="HJ258" s="9"/>
      <c r="HK258" s="9"/>
      <c r="HL258" s="9"/>
      <c r="HM258" s="9"/>
      <c r="HN258" s="9"/>
      <c r="HO258" s="9"/>
      <c r="HP258" s="9"/>
      <c r="HQ258" s="9"/>
      <c r="HR258" s="9"/>
      <c r="HS258" s="9"/>
      <c r="HT258" s="9"/>
      <c r="HU258" s="9"/>
      <c r="HV258" s="9"/>
      <c r="HW258" s="9"/>
      <c r="HX258" s="9"/>
      <c r="HY258" s="9"/>
      <c r="HZ258" s="9"/>
      <c r="IA258" s="9"/>
      <c r="IB258" s="67"/>
      <c r="IC258" s="68"/>
      <c r="ID258" s="63"/>
      <c r="IE258" s="71"/>
    </row>
    <row r="259" spans="1:239" s="11" customFormat="1" x14ac:dyDescent="0.2">
      <c r="A259" s="9">
        <v>20</v>
      </c>
      <c r="B259" s="9"/>
      <c r="C259" s="9"/>
      <c r="D259" s="9" t="s">
        <v>650</v>
      </c>
      <c r="E259" s="65" t="s">
        <v>254</v>
      </c>
      <c r="F259" s="65"/>
      <c r="G259" s="91" t="s">
        <v>2417</v>
      </c>
      <c r="H259" s="66" t="s">
        <v>1322</v>
      </c>
      <c r="I259" s="9"/>
      <c r="J259" s="9" t="s">
        <v>1101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 t="s">
        <v>2150</v>
      </c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  <c r="HE259" s="9"/>
      <c r="HF259" s="9"/>
      <c r="HG259" s="9"/>
      <c r="HH259" s="9"/>
      <c r="HI259" s="9"/>
      <c r="HJ259" s="9"/>
      <c r="HK259" s="9"/>
      <c r="HL259" s="9"/>
      <c r="HM259" s="9"/>
      <c r="HN259" s="9"/>
      <c r="HO259" s="9"/>
      <c r="HP259" s="9"/>
      <c r="HQ259" s="9"/>
      <c r="HR259" s="9"/>
      <c r="HS259" s="9"/>
      <c r="HT259" s="9"/>
      <c r="HU259" s="9"/>
      <c r="HV259" s="9"/>
      <c r="HW259" s="9"/>
      <c r="HX259" s="9"/>
      <c r="HY259" s="9"/>
      <c r="HZ259" s="9"/>
      <c r="IA259" s="9"/>
      <c r="IB259" s="67"/>
      <c r="IC259" s="68"/>
      <c r="ID259" s="63"/>
      <c r="IE259" s="71"/>
    </row>
    <row r="260" spans="1:239" s="11" customFormat="1" x14ac:dyDescent="0.2">
      <c r="A260" s="9">
        <v>20</v>
      </c>
      <c r="B260" s="9"/>
      <c r="C260" s="9"/>
      <c r="D260" s="9" t="s">
        <v>465</v>
      </c>
      <c r="E260" s="65" t="s">
        <v>254</v>
      </c>
      <c r="F260" s="65"/>
      <c r="G260" s="91" t="s">
        <v>2418</v>
      </c>
      <c r="H260" s="66" t="s">
        <v>1323</v>
      </c>
      <c r="I260" s="9"/>
      <c r="J260" s="9" t="s">
        <v>1101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 t="s">
        <v>2151</v>
      </c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  <c r="HE260" s="9"/>
      <c r="HF260" s="9"/>
      <c r="HG260" s="9"/>
      <c r="HH260" s="9"/>
      <c r="HI260" s="9"/>
      <c r="HJ260" s="9"/>
      <c r="HK260" s="9"/>
      <c r="HL260" s="9"/>
      <c r="HM260" s="9"/>
      <c r="HN260" s="9"/>
      <c r="HO260" s="9"/>
      <c r="HP260" s="9"/>
      <c r="HQ260" s="9"/>
      <c r="HR260" s="9"/>
      <c r="HS260" s="9"/>
      <c r="HT260" s="9"/>
      <c r="HU260" s="9"/>
      <c r="HV260" s="9"/>
      <c r="HW260" s="9"/>
      <c r="HX260" s="9"/>
      <c r="HY260" s="9"/>
      <c r="HZ260" s="9"/>
      <c r="IA260" s="9"/>
      <c r="IB260" s="67"/>
      <c r="IC260" s="68"/>
      <c r="ID260" s="63"/>
      <c r="IE260" s="71"/>
    </row>
    <row r="261" spans="1:239" s="11" customFormat="1" x14ac:dyDescent="0.2">
      <c r="A261" s="9">
        <v>20</v>
      </c>
      <c r="B261" s="9"/>
      <c r="C261" s="9"/>
      <c r="D261" s="9" t="s">
        <v>466</v>
      </c>
      <c r="E261" s="65" t="s">
        <v>176</v>
      </c>
      <c r="F261" s="65"/>
      <c r="G261" s="91" t="s">
        <v>2419</v>
      </c>
      <c r="H261" s="66" t="s">
        <v>1324</v>
      </c>
      <c r="I261" s="9"/>
      <c r="J261" s="9" t="s">
        <v>1101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 t="s">
        <v>1101</v>
      </c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9"/>
      <c r="IB261" s="67"/>
      <c r="IC261" s="68"/>
      <c r="ID261" s="63"/>
      <c r="IE261" s="71"/>
    </row>
    <row r="262" spans="1:239" s="11" customFormat="1" x14ac:dyDescent="0.2">
      <c r="A262" s="9">
        <v>20</v>
      </c>
      <c r="B262" s="9"/>
      <c r="C262" s="9"/>
      <c r="D262" s="9" t="s">
        <v>467</v>
      </c>
      <c r="E262" s="65" t="s">
        <v>255</v>
      </c>
      <c r="F262" s="65"/>
      <c r="G262" s="91" t="s">
        <v>2420</v>
      </c>
      <c r="H262" s="66" t="s">
        <v>1325</v>
      </c>
      <c r="I262" s="9"/>
      <c r="J262" s="9" t="s">
        <v>1101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 t="s">
        <v>1101</v>
      </c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  <c r="HE262" s="9"/>
      <c r="HF262" s="9"/>
      <c r="HG262" s="9"/>
      <c r="HH262" s="9"/>
      <c r="HI262" s="9"/>
      <c r="HJ262" s="9"/>
      <c r="HK262" s="9"/>
      <c r="HL262" s="9"/>
      <c r="HM262" s="9"/>
      <c r="HN262" s="9"/>
      <c r="HO262" s="9"/>
      <c r="HP262" s="9"/>
      <c r="HQ262" s="9"/>
      <c r="HR262" s="9"/>
      <c r="HS262" s="9"/>
      <c r="HT262" s="9"/>
      <c r="HU262" s="9"/>
      <c r="HV262" s="9"/>
      <c r="HW262" s="9"/>
      <c r="HX262" s="9"/>
      <c r="HY262" s="9"/>
      <c r="HZ262" s="9"/>
      <c r="IA262" s="9"/>
      <c r="IB262" s="67"/>
      <c r="IC262" s="68"/>
      <c r="ID262" s="63"/>
      <c r="IE262" s="71"/>
    </row>
    <row r="263" spans="1:239" s="11" customFormat="1" x14ac:dyDescent="0.2">
      <c r="A263" s="9">
        <v>20</v>
      </c>
      <c r="B263" s="9"/>
      <c r="C263" s="9"/>
      <c r="D263" s="9" t="s">
        <v>651</v>
      </c>
      <c r="E263" s="65" t="s">
        <v>257</v>
      </c>
      <c r="F263" s="65"/>
      <c r="G263" s="91" t="s">
        <v>2421</v>
      </c>
      <c r="H263" s="66" t="s">
        <v>1326</v>
      </c>
      <c r="I263" s="9"/>
      <c r="J263" s="9" t="s">
        <v>1101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 t="s">
        <v>2152</v>
      </c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  <c r="HE263" s="9"/>
      <c r="HF263" s="9"/>
      <c r="HG263" s="9"/>
      <c r="HH263" s="9"/>
      <c r="HI263" s="9"/>
      <c r="HJ263" s="9"/>
      <c r="HK263" s="9"/>
      <c r="HL263" s="9"/>
      <c r="HM263" s="9"/>
      <c r="HN263" s="9"/>
      <c r="HO263" s="9"/>
      <c r="HP263" s="9"/>
      <c r="HQ263" s="9"/>
      <c r="HR263" s="9"/>
      <c r="HS263" s="9"/>
      <c r="HT263" s="9"/>
      <c r="HU263" s="9"/>
      <c r="HV263" s="9"/>
      <c r="HW263" s="9"/>
      <c r="HX263" s="9"/>
      <c r="HY263" s="9"/>
      <c r="HZ263" s="9"/>
      <c r="IA263" s="9"/>
      <c r="IB263" s="67"/>
      <c r="IC263" s="68"/>
      <c r="ID263" s="63"/>
      <c r="IE263" s="71"/>
    </row>
    <row r="264" spans="1:239" s="11" customFormat="1" x14ac:dyDescent="0.2">
      <c r="A264" s="9">
        <v>20</v>
      </c>
      <c r="B264" s="9"/>
      <c r="C264" s="9"/>
      <c r="D264" s="9" t="s">
        <v>468</v>
      </c>
      <c r="E264" s="65" t="s">
        <v>257</v>
      </c>
      <c r="F264" s="65"/>
      <c r="G264" s="91" t="s">
        <v>2422</v>
      </c>
      <c r="H264" s="66" t="s">
        <v>1327</v>
      </c>
      <c r="I264" s="9"/>
      <c r="J264" s="9" t="s">
        <v>1101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 t="s">
        <v>2153</v>
      </c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9"/>
      <c r="IB264" s="67"/>
      <c r="IC264" s="68"/>
      <c r="ID264" s="63"/>
      <c r="IE264" s="71"/>
    </row>
    <row r="265" spans="1:239" s="11" customFormat="1" ht="26" x14ac:dyDescent="0.2">
      <c r="A265" s="9">
        <v>20</v>
      </c>
      <c r="B265" s="9"/>
      <c r="C265" s="9"/>
      <c r="D265" s="9" t="s">
        <v>469</v>
      </c>
      <c r="E265" s="65" t="s">
        <v>176</v>
      </c>
      <c r="F265" s="65"/>
      <c r="G265" s="91" t="s">
        <v>2423</v>
      </c>
      <c r="H265" s="66" t="s">
        <v>1328</v>
      </c>
      <c r="I265" s="9"/>
      <c r="J265" s="9" t="s">
        <v>1101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 t="s">
        <v>1101</v>
      </c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  <c r="HE265" s="9"/>
      <c r="HF265" s="9"/>
      <c r="HG265" s="9"/>
      <c r="HH265" s="9"/>
      <c r="HI265" s="9"/>
      <c r="HJ265" s="9"/>
      <c r="HK265" s="9"/>
      <c r="HL265" s="9"/>
      <c r="HM265" s="9"/>
      <c r="HN265" s="9"/>
      <c r="HO265" s="9"/>
      <c r="HP265" s="9"/>
      <c r="HQ265" s="9"/>
      <c r="HR265" s="9"/>
      <c r="HS265" s="9"/>
      <c r="HT265" s="9"/>
      <c r="HU265" s="9"/>
      <c r="HV265" s="9"/>
      <c r="HW265" s="9"/>
      <c r="HX265" s="9"/>
      <c r="HY265" s="9"/>
      <c r="HZ265" s="9"/>
      <c r="IA265" s="9"/>
      <c r="IB265" s="67"/>
      <c r="IC265" s="68"/>
      <c r="ID265" s="63"/>
      <c r="IE265" s="71"/>
    </row>
    <row r="266" spans="1:239" s="11" customFormat="1" ht="26" x14ac:dyDescent="0.2">
      <c r="A266" s="9">
        <v>20</v>
      </c>
      <c r="B266" s="9"/>
      <c r="C266" s="9"/>
      <c r="D266" s="9" t="s">
        <v>470</v>
      </c>
      <c r="E266" s="65" t="s">
        <v>176</v>
      </c>
      <c r="F266" s="65"/>
      <c r="G266" s="91" t="s">
        <v>2424</v>
      </c>
      <c r="H266" s="66" t="s">
        <v>1329</v>
      </c>
      <c r="I266" s="9"/>
      <c r="J266" s="9" t="s">
        <v>1101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 t="s">
        <v>1101</v>
      </c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  <c r="HE266" s="9"/>
      <c r="HF266" s="9"/>
      <c r="HG266" s="9"/>
      <c r="HH266" s="9"/>
      <c r="HI266" s="9"/>
      <c r="HJ266" s="9"/>
      <c r="HK266" s="9"/>
      <c r="HL266" s="9"/>
      <c r="HM266" s="9"/>
      <c r="HN266" s="9"/>
      <c r="HO266" s="9"/>
      <c r="HP266" s="9"/>
      <c r="HQ266" s="9"/>
      <c r="HR266" s="9"/>
      <c r="HS266" s="9"/>
      <c r="HT266" s="9"/>
      <c r="HU266" s="9"/>
      <c r="HV266" s="9"/>
      <c r="HW266" s="9"/>
      <c r="HX266" s="9"/>
      <c r="HY266" s="9"/>
      <c r="HZ266" s="9"/>
      <c r="IA266" s="9"/>
      <c r="IB266" s="67"/>
      <c r="IC266" s="68"/>
      <c r="ID266" s="63"/>
      <c r="IE266" s="71"/>
    </row>
    <row r="267" spans="1:239" s="11" customFormat="1" x14ac:dyDescent="0.2">
      <c r="A267" s="9">
        <v>20</v>
      </c>
      <c r="B267" s="9"/>
      <c r="C267" s="9"/>
      <c r="D267" s="9" t="s">
        <v>471</v>
      </c>
      <c r="E267" s="65" t="s">
        <v>258</v>
      </c>
      <c r="F267" s="65"/>
      <c r="G267" s="91" t="s">
        <v>2425</v>
      </c>
      <c r="H267" s="66" t="s">
        <v>1330</v>
      </c>
      <c r="I267" s="9"/>
      <c r="J267" s="9" t="s">
        <v>1101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 t="s">
        <v>1101</v>
      </c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  <c r="HE267" s="9"/>
      <c r="HF267" s="9"/>
      <c r="HG267" s="9"/>
      <c r="HH267" s="9"/>
      <c r="HI267" s="9"/>
      <c r="HJ267" s="9"/>
      <c r="HK267" s="9"/>
      <c r="HL267" s="9"/>
      <c r="HM267" s="9"/>
      <c r="HN267" s="9"/>
      <c r="HO267" s="9"/>
      <c r="HP267" s="9"/>
      <c r="HQ267" s="9"/>
      <c r="HR267" s="9"/>
      <c r="HS267" s="9"/>
      <c r="HT267" s="9"/>
      <c r="HU267" s="9"/>
      <c r="HV267" s="9"/>
      <c r="HW267" s="9"/>
      <c r="HX267" s="9"/>
      <c r="HY267" s="9"/>
      <c r="HZ267" s="9"/>
      <c r="IA267" s="9"/>
      <c r="IB267" s="67"/>
      <c r="IC267" s="68"/>
      <c r="ID267" s="63"/>
      <c r="IE267" s="71"/>
    </row>
    <row r="268" spans="1:239" s="11" customFormat="1" x14ac:dyDescent="0.2">
      <c r="A268" s="9">
        <v>20</v>
      </c>
      <c r="B268" s="9"/>
      <c r="C268" s="9"/>
      <c r="D268" s="9" t="s">
        <v>652</v>
      </c>
      <c r="E268" s="65" t="s">
        <v>260</v>
      </c>
      <c r="F268" s="65"/>
      <c r="G268" s="91" t="s">
        <v>2426</v>
      </c>
      <c r="H268" s="66" t="s">
        <v>1331</v>
      </c>
      <c r="I268" s="9"/>
      <c r="J268" s="9" t="s">
        <v>1101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 t="s">
        <v>2154</v>
      </c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9"/>
      <c r="IB268" s="67"/>
      <c r="IC268" s="68"/>
      <c r="ID268" s="63"/>
      <c r="IE268" s="71"/>
    </row>
    <row r="269" spans="1:239" s="11" customFormat="1" x14ac:dyDescent="0.2">
      <c r="A269" s="9">
        <v>20</v>
      </c>
      <c r="B269" s="9"/>
      <c r="C269" s="9"/>
      <c r="D269" s="9" t="s">
        <v>472</v>
      </c>
      <c r="E269" s="65" t="s">
        <v>260</v>
      </c>
      <c r="F269" s="65"/>
      <c r="G269" s="91" t="s">
        <v>2427</v>
      </c>
      <c r="H269" s="66" t="s">
        <v>1332</v>
      </c>
      <c r="I269" s="9"/>
      <c r="J269" s="9" t="s">
        <v>1101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 t="s">
        <v>2155</v>
      </c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  <c r="HE269" s="9"/>
      <c r="HF269" s="9"/>
      <c r="HG269" s="9"/>
      <c r="HH269" s="9"/>
      <c r="HI269" s="9"/>
      <c r="HJ269" s="9"/>
      <c r="HK269" s="9"/>
      <c r="HL269" s="9"/>
      <c r="HM269" s="9"/>
      <c r="HN269" s="9"/>
      <c r="HO269" s="9"/>
      <c r="HP269" s="9"/>
      <c r="HQ269" s="9"/>
      <c r="HR269" s="9"/>
      <c r="HS269" s="9"/>
      <c r="HT269" s="9"/>
      <c r="HU269" s="9"/>
      <c r="HV269" s="9"/>
      <c r="HW269" s="9"/>
      <c r="HX269" s="9"/>
      <c r="HY269" s="9"/>
      <c r="HZ269" s="9"/>
      <c r="IA269" s="9"/>
      <c r="IB269" s="67"/>
      <c r="IC269" s="68"/>
      <c r="ID269" s="63"/>
      <c r="IE269" s="71"/>
    </row>
    <row r="270" spans="1:239" s="11" customFormat="1" x14ac:dyDescent="0.2">
      <c r="A270" s="9">
        <v>20</v>
      </c>
      <c r="B270" s="9"/>
      <c r="C270" s="9"/>
      <c r="D270" s="9" t="s">
        <v>473</v>
      </c>
      <c r="E270" s="65" t="s">
        <v>261</v>
      </c>
      <c r="F270" s="65"/>
      <c r="G270" s="91" t="s">
        <v>2428</v>
      </c>
      <c r="H270" s="66" t="s">
        <v>1333</v>
      </c>
      <c r="I270" s="9"/>
      <c r="J270" s="9" t="s">
        <v>1101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 t="s">
        <v>1101</v>
      </c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  <c r="HE270" s="9"/>
      <c r="HF270" s="9"/>
      <c r="HG270" s="9"/>
      <c r="HH270" s="9"/>
      <c r="HI270" s="9"/>
      <c r="HJ270" s="9"/>
      <c r="HK270" s="9"/>
      <c r="HL270" s="9"/>
      <c r="HM270" s="9"/>
      <c r="HN270" s="9"/>
      <c r="HO270" s="9"/>
      <c r="HP270" s="9"/>
      <c r="HQ270" s="9"/>
      <c r="HR270" s="9"/>
      <c r="HS270" s="9"/>
      <c r="HT270" s="9"/>
      <c r="HU270" s="9"/>
      <c r="HV270" s="9"/>
      <c r="HW270" s="9"/>
      <c r="HX270" s="9"/>
      <c r="HY270" s="9"/>
      <c r="HZ270" s="9"/>
      <c r="IA270" s="9"/>
      <c r="IB270" s="67"/>
      <c r="IC270" s="68"/>
      <c r="ID270" s="63"/>
      <c r="IE270" s="71"/>
    </row>
    <row r="271" spans="1:239" s="11" customFormat="1" x14ac:dyDescent="0.2">
      <c r="A271" s="9">
        <v>20</v>
      </c>
      <c r="B271" s="9"/>
      <c r="C271" s="9"/>
      <c r="D271" s="9" t="s">
        <v>653</v>
      </c>
      <c r="E271" s="65" t="s">
        <v>263</v>
      </c>
      <c r="F271" s="65"/>
      <c r="G271" s="91" t="s">
        <v>2429</v>
      </c>
      <c r="H271" s="66" t="s">
        <v>1334</v>
      </c>
      <c r="I271" s="9"/>
      <c r="J271" s="9" t="s">
        <v>1101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 t="s">
        <v>2156</v>
      </c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  <c r="HE271" s="9"/>
      <c r="HF271" s="9"/>
      <c r="HG271" s="9"/>
      <c r="HH271" s="9"/>
      <c r="HI271" s="9"/>
      <c r="HJ271" s="9"/>
      <c r="HK271" s="9"/>
      <c r="HL271" s="9"/>
      <c r="HM271" s="9"/>
      <c r="HN271" s="9"/>
      <c r="HO271" s="9"/>
      <c r="HP271" s="9"/>
      <c r="HQ271" s="9"/>
      <c r="HR271" s="9"/>
      <c r="HS271" s="9"/>
      <c r="HT271" s="9"/>
      <c r="HU271" s="9"/>
      <c r="HV271" s="9"/>
      <c r="HW271" s="9"/>
      <c r="HX271" s="9"/>
      <c r="HY271" s="9"/>
      <c r="HZ271" s="9"/>
      <c r="IA271" s="9"/>
      <c r="IB271" s="67"/>
      <c r="IC271" s="68"/>
      <c r="ID271" s="63"/>
      <c r="IE271" s="71"/>
    </row>
    <row r="272" spans="1:239" s="11" customFormat="1" x14ac:dyDescent="0.2">
      <c r="A272" s="9">
        <v>20</v>
      </c>
      <c r="B272" s="9"/>
      <c r="C272" s="9"/>
      <c r="D272" s="9" t="s">
        <v>474</v>
      </c>
      <c r="E272" s="65" t="s">
        <v>263</v>
      </c>
      <c r="F272" s="65"/>
      <c r="G272" s="91" t="s">
        <v>2430</v>
      </c>
      <c r="H272" s="66" t="s">
        <v>1335</v>
      </c>
      <c r="I272" s="9"/>
      <c r="J272" s="9" t="s">
        <v>1101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 t="s">
        <v>2157</v>
      </c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  <c r="HE272" s="9"/>
      <c r="HF272" s="9"/>
      <c r="HG272" s="9"/>
      <c r="HH272" s="9"/>
      <c r="HI272" s="9"/>
      <c r="HJ272" s="9"/>
      <c r="HK272" s="9"/>
      <c r="HL272" s="9"/>
      <c r="HM272" s="9"/>
      <c r="HN272" s="9"/>
      <c r="HO272" s="9"/>
      <c r="HP272" s="9"/>
      <c r="HQ272" s="9"/>
      <c r="HR272" s="9"/>
      <c r="HS272" s="9"/>
      <c r="HT272" s="9"/>
      <c r="HU272" s="9"/>
      <c r="HV272" s="9"/>
      <c r="HW272" s="9"/>
      <c r="HX272" s="9"/>
      <c r="HY272" s="9"/>
      <c r="HZ272" s="9"/>
      <c r="IA272" s="9"/>
      <c r="IB272" s="67"/>
      <c r="IC272" s="68"/>
      <c r="ID272" s="63"/>
      <c r="IE272" s="71"/>
    </row>
    <row r="273" spans="1:239" s="11" customFormat="1" x14ac:dyDescent="0.2">
      <c r="A273" s="9">
        <v>20</v>
      </c>
      <c r="B273" s="9"/>
      <c r="C273" s="9"/>
      <c r="D273" s="9" t="s">
        <v>475</v>
      </c>
      <c r="E273" s="65" t="s">
        <v>264</v>
      </c>
      <c r="F273" s="65"/>
      <c r="G273" s="91" t="s">
        <v>2431</v>
      </c>
      <c r="H273" s="66" t="s">
        <v>1336</v>
      </c>
      <c r="I273" s="9"/>
      <c r="J273" s="9" t="s">
        <v>1101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 t="s">
        <v>1101</v>
      </c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  <c r="HE273" s="9"/>
      <c r="HF273" s="9"/>
      <c r="HG273" s="9"/>
      <c r="HH273" s="9"/>
      <c r="HI273" s="9"/>
      <c r="HJ273" s="9"/>
      <c r="HK273" s="9"/>
      <c r="HL273" s="9"/>
      <c r="HM273" s="9"/>
      <c r="HN273" s="9"/>
      <c r="HO273" s="9"/>
      <c r="HP273" s="9"/>
      <c r="HQ273" s="9"/>
      <c r="HR273" s="9"/>
      <c r="HS273" s="9"/>
      <c r="HT273" s="9"/>
      <c r="HU273" s="9"/>
      <c r="HV273" s="9"/>
      <c r="HW273" s="9"/>
      <c r="HX273" s="9"/>
      <c r="HY273" s="9"/>
      <c r="HZ273" s="9"/>
      <c r="IA273" s="9"/>
      <c r="IB273" s="67"/>
      <c r="IC273" s="68"/>
      <c r="ID273" s="63"/>
      <c r="IE273" s="71"/>
    </row>
    <row r="274" spans="1:239" s="11" customFormat="1" x14ac:dyDescent="0.2">
      <c r="A274" s="9">
        <v>20</v>
      </c>
      <c r="B274" s="9"/>
      <c r="C274" s="9"/>
      <c r="D274" s="9" t="s">
        <v>654</v>
      </c>
      <c r="E274" s="65" t="s">
        <v>266</v>
      </c>
      <c r="F274" s="65"/>
      <c r="G274" s="91" t="s">
        <v>2432</v>
      </c>
      <c r="H274" s="66" t="s">
        <v>1337</v>
      </c>
      <c r="I274" s="9"/>
      <c r="J274" s="9" t="s">
        <v>1101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 t="s">
        <v>2158</v>
      </c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  <c r="HE274" s="9"/>
      <c r="HF274" s="9"/>
      <c r="HG274" s="9"/>
      <c r="HH274" s="9"/>
      <c r="HI274" s="9"/>
      <c r="HJ274" s="9"/>
      <c r="HK274" s="9"/>
      <c r="HL274" s="9"/>
      <c r="HM274" s="9"/>
      <c r="HN274" s="9"/>
      <c r="HO274" s="9"/>
      <c r="HP274" s="9"/>
      <c r="HQ274" s="9"/>
      <c r="HR274" s="9"/>
      <c r="HS274" s="9"/>
      <c r="HT274" s="9"/>
      <c r="HU274" s="9"/>
      <c r="HV274" s="9"/>
      <c r="HW274" s="9"/>
      <c r="HX274" s="9"/>
      <c r="HY274" s="9"/>
      <c r="HZ274" s="9"/>
      <c r="IA274" s="9"/>
      <c r="IB274" s="67"/>
      <c r="IC274" s="68"/>
      <c r="ID274" s="63"/>
      <c r="IE274" s="71"/>
    </row>
    <row r="275" spans="1:239" s="11" customFormat="1" ht="26" x14ac:dyDescent="0.2">
      <c r="A275" s="9">
        <v>20</v>
      </c>
      <c r="B275" s="9"/>
      <c r="C275" s="9"/>
      <c r="D275" s="9" t="s">
        <v>476</v>
      </c>
      <c r="E275" s="65" t="s">
        <v>266</v>
      </c>
      <c r="F275" s="65"/>
      <c r="G275" s="91" t="s">
        <v>2433</v>
      </c>
      <c r="H275" s="66" t="s">
        <v>1338</v>
      </c>
      <c r="I275" s="9"/>
      <c r="J275" s="9" t="s">
        <v>1101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 t="s">
        <v>2159</v>
      </c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  <c r="HE275" s="9"/>
      <c r="HF275" s="9"/>
      <c r="HG275" s="9"/>
      <c r="HH275" s="9"/>
      <c r="HI275" s="9"/>
      <c r="HJ275" s="9"/>
      <c r="HK275" s="9"/>
      <c r="HL275" s="9"/>
      <c r="HM275" s="9"/>
      <c r="HN275" s="9"/>
      <c r="HO275" s="9"/>
      <c r="HP275" s="9"/>
      <c r="HQ275" s="9"/>
      <c r="HR275" s="9"/>
      <c r="HS275" s="9"/>
      <c r="HT275" s="9"/>
      <c r="HU275" s="9"/>
      <c r="HV275" s="9"/>
      <c r="HW275" s="9"/>
      <c r="HX275" s="9"/>
      <c r="HY275" s="9"/>
      <c r="HZ275" s="9"/>
      <c r="IA275" s="9"/>
      <c r="IB275" s="67"/>
      <c r="IC275" s="68"/>
      <c r="ID275" s="63"/>
      <c r="IE275" s="71"/>
    </row>
    <row r="276" spans="1:239" s="11" customFormat="1" x14ac:dyDescent="0.2">
      <c r="A276" s="9">
        <v>20</v>
      </c>
      <c r="B276" s="9"/>
      <c r="C276" s="9"/>
      <c r="D276" s="9" t="s">
        <v>680</v>
      </c>
      <c r="E276" s="65" t="s">
        <v>683</v>
      </c>
      <c r="F276" s="65"/>
      <c r="G276" s="91" t="s">
        <v>2434</v>
      </c>
      <c r="H276" s="66" t="s">
        <v>1339</v>
      </c>
      <c r="I276" s="9"/>
      <c r="J276" s="9" t="s">
        <v>1101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 t="s">
        <v>1101</v>
      </c>
      <c r="GD276" s="9"/>
      <c r="GE276" s="9"/>
      <c r="GF276" s="9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  <c r="HE276" s="9"/>
      <c r="HF276" s="9"/>
      <c r="HG276" s="9"/>
      <c r="HH276" s="9"/>
      <c r="HI276" s="9"/>
      <c r="HJ276" s="9"/>
      <c r="HK276" s="9"/>
      <c r="HL276" s="9"/>
      <c r="HM276" s="9"/>
      <c r="HN276" s="9"/>
      <c r="HO276" s="9"/>
      <c r="HP276" s="9"/>
      <c r="HQ276" s="9"/>
      <c r="HR276" s="9"/>
      <c r="HS276" s="9"/>
      <c r="HT276" s="9"/>
      <c r="HU276" s="9"/>
      <c r="HV276" s="9"/>
      <c r="HW276" s="9"/>
      <c r="HX276" s="9"/>
      <c r="HY276" s="9"/>
      <c r="HZ276" s="9"/>
      <c r="IA276" s="9"/>
      <c r="IB276" s="67"/>
      <c r="IC276" s="68"/>
      <c r="ID276" s="63"/>
      <c r="IE276" s="71"/>
    </row>
    <row r="277" spans="1:239" s="11" customFormat="1" x14ac:dyDescent="0.2">
      <c r="A277" s="9">
        <v>20</v>
      </c>
      <c r="B277" s="9"/>
      <c r="C277" s="9"/>
      <c r="D277" s="9" t="s">
        <v>681</v>
      </c>
      <c r="E277" s="65" t="s">
        <v>684</v>
      </c>
      <c r="F277" s="65"/>
      <c r="G277" s="91" t="s">
        <v>2435</v>
      </c>
      <c r="H277" s="66" t="s">
        <v>1340</v>
      </c>
      <c r="I277" s="9"/>
      <c r="J277" s="9" t="s">
        <v>1101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 t="s">
        <v>682</v>
      </c>
      <c r="GD277" s="9"/>
      <c r="GE277" s="9"/>
      <c r="GF277" s="9"/>
      <c r="GG277" s="9"/>
      <c r="GH277" s="9"/>
      <c r="GI277" s="9"/>
      <c r="GJ277" s="9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9"/>
      <c r="GY277" s="9"/>
      <c r="GZ277" s="9"/>
      <c r="HA277" s="9"/>
      <c r="HB277" s="9"/>
      <c r="HC277" s="9"/>
      <c r="HD277" s="9"/>
      <c r="HE277" s="9"/>
      <c r="HF277" s="9"/>
      <c r="HG277" s="9"/>
      <c r="HH277" s="9"/>
      <c r="HI277" s="9"/>
      <c r="HJ277" s="9"/>
      <c r="HK277" s="9"/>
      <c r="HL277" s="9"/>
      <c r="HM277" s="9"/>
      <c r="HN277" s="9"/>
      <c r="HO277" s="9"/>
      <c r="HP277" s="9"/>
      <c r="HQ277" s="9"/>
      <c r="HR277" s="9"/>
      <c r="HS277" s="9"/>
      <c r="HT277" s="9"/>
      <c r="HU277" s="9"/>
      <c r="HV277" s="9"/>
      <c r="HW277" s="9"/>
      <c r="HX277" s="9"/>
      <c r="HY277" s="9"/>
      <c r="HZ277" s="9"/>
      <c r="IA277" s="9"/>
      <c r="IB277" s="67"/>
      <c r="IC277" s="68"/>
      <c r="ID277" s="63"/>
      <c r="IE277" s="71"/>
    </row>
    <row r="278" spans="1:239" s="11" customFormat="1" ht="26" x14ac:dyDescent="0.2">
      <c r="A278" s="9">
        <v>20</v>
      </c>
      <c r="B278" s="9"/>
      <c r="C278" s="9"/>
      <c r="D278" s="9" t="s">
        <v>682</v>
      </c>
      <c r="E278" s="65" t="s">
        <v>684</v>
      </c>
      <c r="F278" s="65"/>
      <c r="G278" s="91" t="s">
        <v>2436</v>
      </c>
      <c r="H278" s="66" t="s">
        <v>1341</v>
      </c>
      <c r="I278" s="9"/>
      <c r="J278" s="9" t="s">
        <v>1101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 t="s">
        <v>2160</v>
      </c>
      <c r="GD278" s="9"/>
      <c r="GE278" s="9"/>
      <c r="GF278" s="9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  <c r="HE278" s="9"/>
      <c r="HF278" s="9"/>
      <c r="HG278" s="9"/>
      <c r="HH278" s="9"/>
      <c r="HI278" s="9"/>
      <c r="HJ278" s="9"/>
      <c r="HK278" s="9"/>
      <c r="HL278" s="9"/>
      <c r="HM278" s="9"/>
      <c r="HN278" s="9"/>
      <c r="HO278" s="9"/>
      <c r="HP278" s="9"/>
      <c r="HQ278" s="9"/>
      <c r="HR278" s="9"/>
      <c r="HS278" s="9"/>
      <c r="HT278" s="9"/>
      <c r="HU278" s="9"/>
      <c r="HV278" s="9"/>
      <c r="HW278" s="9"/>
      <c r="HX278" s="9"/>
      <c r="HY278" s="9"/>
      <c r="HZ278" s="9"/>
      <c r="IA278" s="9"/>
      <c r="IB278" s="67"/>
      <c r="IC278" s="68"/>
      <c r="ID278" s="63"/>
      <c r="IE278" s="71"/>
    </row>
    <row r="279" spans="1:239" s="11" customFormat="1" x14ac:dyDescent="0.2">
      <c r="A279" s="9">
        <v>20</v>
      </c>
      <c r="B279" s="9"/>
      <c r="C279" s="9"/>
      <c r="D279" s="9" t="s">
        <v>748</v>
      </c>
      <c r="E279" s="65" t="s">
        <v>751</v>
      </c>
      <c r="F279" s="65"/>
      <c r="G279" s="91" t="s">
        <v>2437</v>
      </c>
      <c r="H279" s="66" t="s">
        <v>1342</v>
      </c>
      <c r="I279" s="9"/>
      <c r="J279" s="9" t="s">
        <v>1101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 t="s">
        <v>1101</v>
      </c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  <c r="HE279" s="9"/>
      <c r="HF279" s="9"/>
      <c r="HG279" s="9"/>
      <c r="HH279" s="9"/>
      <c r="HI279" s="9"/>
      <c r="HJ279" s="9"/>
      <c r="HK279" s="9"/>
      <c r="HL279" s="9"/>
      <c r="HM279" s="9"/>
      <c r="HN279" s="9"/>
      <c r="HO279" s="9"/>
      <c r="HP279" s="9"/>
      <c r="HQ279" s="9"/>
      <c r="HR279" s="9"/>
      <c r="HS279" s="9"/>
      <c r="HT279" s="9"/>
      <c r="HU279" s="9"/>
      <c r="HV279" s="9"/>
      <c r="HW279" s="9"/>
      <c r="HX279" s="9"/>
      <c r="HY279" s="9"/>
      <c r="HZ279" s="9"/>
      <c r="IA279" s="9"/>
      <c r="IB279" s="67"/>
      <c r="IC279" s="68"/>
      <c r="ID279" s="63"/>
      <c r="IE279" s="71"/>
    </row>
    <row r="280" spans="1:239" s="11" customFormat="1" x14ac:dyDescent="0.2">
      <c r="A280" s="9">
        <v>20</v>
      </c>
      <c r="B280" s="9"/>
      <c r="C280" s="9"/>
      <c r="D280" s="9" t="s">
        <v>749</v>
      </c>
      <c r="E280" s="65" t="s">
        <v>752</v>
      </c>
      <c r="F280" s="65"/>
      <c r="G280" s="91" t="s">
        <v>2438</v>
      </c>
      <c r="H280" s="66" t="s">
        <v>1343</v>
      </c>
      <c r="I280" s="9"/>
      <c r="J280" s="9" t="s">
        <v>1101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 t="s">
        <v>750</v>
      </c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  <c r="HE280" s="9"/>
      <c r="HF280" s="9"/>
      <c r="HG280" s="9"/>
      <c r="HH280" s="9"/>
      <c r="HI280" s="9"/>
      <c r="HJ280" s="9"/>
      <c r="HK280" s="9"/>
      <c r="HL280" s="9"/>
      <c r="HM280" s="9"/>
      <c r="HN280" s="9"/>
      <c r="HO280" s="9"/>
      <c r="HP280" s="9"/>
      <c r="HQ280" s="9"/>
      <c r="HR280" s="9"/>
      <c r="HS280" s="9"/>
      <c r="HT280" s="9"/>
      <c r="HU280" s="9"/>
      <c r="HV280" s="9"/>
      <c r="HW280" s="9"/>
      <c r="HX280" s="9"/>
      <c r="HY280" s="9"/>
      <c r="HZ280" s="9"/>
      <c r="IA280" s="9"/>
      <c r="IB280" s="67"/>
      <c r="IC280" s="68"/>
      <c r="ID280" s="63"/>
      <c r="IE280" s="71"/>
    </row>
    <row r="281" spans="1:239" s="11" customFormat="1" ht="26" x14ac:dyDescent="0.2">
      <c r="A281" s="9">
        <v>20</v>
      </c>
      <c r="B281" s="9"/>
      <c r="C281" s="9"/>
      <c r="D281" s="9" t="s">
        <v>750</v>
      </c>
      <c r="E281" s="65" t="s">
        <v>752</v>
      </c>
      <c r="F281" s="65"/>
      <c r="G281" s="91" t="s">
        <v>2439</v>
      </c>
      <c r="H281" s="66" t="s">
        <v>1344</v>
      </c>
      <c r="I281" s="9"/>
      <c r="J281" s="9" t="s">
        <v>1101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 t="s">
        <v>2161</v>
      </c>
      <c r="GH281" s="9"/>
      <c r="GI281" s="9"/>
      <c r="GJ281" s="9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9"/>
      <c r="GY281" s="9"/>
      <c r="GZ281" s="9"/>
      <c r="HA281" s="9"/>
      <c r="HB281" s="9"/>
      <c r="HC281" s="9"/>
      <c r="HD281" s="9"/>
      <c r="HE281" s="9"/>
      <c r="HF281" s="9"/>
      <c r="HG281" s="9"/>
      <c r="HH281" s="9"/>
      <c r="HI281" s="9"/>
      <c r="HJ281" s="9"/>
      <c r="HK281" s="9"/>
      <c r="HL281" s="9"/>
      <c r="HM281" s="9"/>
      <c r="HN281" s="9"/>
      <c r="HO281" s="9"/>
      <c r="HP281" s="9"/>
      <c r="HQ281" s="9"/>
      <c r="HR281" s="9"/>
      <c r="HS281" s="9"/>
      <c r="HT281" s="9"/>
      <c r="HU281" s="9"/>
      <c r="HV281" s="9"/>
      <c r="HW281" s="9"/>
      <c r="HX281" s="9"/>
      <c r="HY281" s="9"/>
      <c r="HZ281" s="9"/>
      <c r="IA281" s="9"/>
      <c r="IB281" s="67"/>
      <c r="IC281" s="68"/>
      <c r="ID281" s="63"/>
      <c r="IE281" s="71"/>
    </row>
    <row r="282" spans="1:239" s="11" customFormat="1" x14ac:dyDescent="0.2">
      <c r="A282" s="9">
        <v>20</v>
      </c>
      <c r="B282" s="9"/>
      <c r="C282" s="9"/>
      <c r="D282" s="9" t="s">
        <v>829</v>
      </c>
      <c r="E282" s="65" t="s">
        <v>832</v>
      </c>
      <c r="F282" s="65"/>
      <c r="G282" s="91" t="s">
        <v>2440</v>
      </c>
      <c r="H282" s="66" t="s">
        <v>1345</v>
      </c>
      <c r="I282" s="9"/>
      <c r="J282" s="9" t="s">
        <v>1098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 t="s">
        <v>1098</v>
      </c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  <c r="HE282" s="9"/>
      <c r="HF282" s="9"/>
      <c r="HG282" s="9"/>
      <c r="HH282" s="9"/>
      <c r="HI282" s="9"/>
      <c r="HJ282" s="9"/>
      <c r="HK282" s="9"/>
      <c r="HL282" s="9"/>
      <c r="HM282" s="9"/>
      <c r="HN282" s="9"/>
      <c r="HO282" s="9"/>
      <c r="HP282" s="9"/>
      <c r="HQ282" s="9"/>
      <c r="HR282" s="9"/>
      <c r="HS282" s="9"/>
      <c r="HT282" s="9"/>
      <c r="HU282" s="9"/>
      <c r="HV282" s="9"/>
      <c r="HW282" s="9"/>
      <c r="HX282" s="9"/>
      <c r="HY282" s="9"/>
      <c r="HZ282" s="9"/>
      <c r="IA282" s="9"/>
      <c r="IB282" s="67"/>
      <c r="IC282" s="68"/>
      <c r="ID282" s="63"/>
      <c r="IE282" s="71"/>
    </row>
    <row r="283" spans="1:239" s="11" customFormat="1" x14ac:dyDescent="0.2">
      <c r="A283" s="9">
        <v>20</v>
      </c>
      <c r="B283" s="9"/>
      <c r="C283" s="9"/>
      <c r="D283" s="9" t="s">
        <v>830</v>
      </c>
      <c r="E283" s="65" t="s">
        <v>833</v>
      </c>
      <c r="F283" s="65"/>
      <c r="G283" s="91" t="s">
        <v>2441</v>
      </c>
      <c r="H283" s="66" t="s">
        <v>1346</v>
      </c>
      <c r="I283" s="9"/>
      <c r="J283" s="9" t="s">
        <v>1101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 t="s">
        <v>826</v>
      </c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  <c r="HE283" s="9"/>
      <c r="HF283" s="9"/>
      <c r="HG283" s="9"/>
      <c r="HH283" s="9"/>
      <c r="HI283" s="9"/>
      <c r="HJ283" s="9"/>
      <c r="HK283" s="9"/>
      <c r="HL283" s="9"/>
      <c r="HM283" s="9"/>
      <c r="HN283" s="9"/>
      <c r="HO283" s="9"/>
      <c r="HP283" s="9"/>
      <c r="HQ283" s="9"/>
      <c r="HR283" s="9"/>
      <c r="HS283" s="9"/>
      <c r="HT283" s="9"/>
      <c r="HU283" s="9"/>
      <c r="HV283" s="9"/>
      <c r="HW283" s="9"/>
      <c r="HX283" s="9"/>
      <c r="HY283" s="9"/>
      <c r="HZ283" s="9"/>
      <c r="IA283" s="9"/>
      <c r="IB283" s="67"/>
      <c r="IC283" s="68"/>
      <c r="ID283" s="63"/>
      <c r="IE283" s="71"/>
    </row>
    <row r="284" spans="1:239" s="11" customFormat="1" ht="26" x14ac:dyDescent="0.2">
      <c r="A284" s="9">
        <v>20</v>
      </c>
      <c r="B284" s="9"/>
      <c r="C284" s="9"/>
      <c r="D284" s="9" t="s">
        <v>831</v>
      </c>
      <c r="E284" s="65" t="s">
        <v>834</v>
      </c>
      <c r="F284" s="65"/>
      <c r="G284" s="91" t="s">
        <v>2442</v>
      </c>
      <c r="H284" s="66" t="s">
        <v>1347</v>
      </c>
      <c r="I284" s="9"/>
      <c r="J284" s="9" t="s">
        <v>1101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 t="s">
        <v>2162</v>
      </c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  <c r="HJ284" s="9"/>
      <c r="HK284" s="9"/>
      <c r="HL284" s="9"/>
      <c r="HM284" s="9"/>
      <c r="HN284" s="9"/>
      <c r="HO284" s="9"/>
      <c r="HP284" s="9"/>
      <c r="HQ284" s="9"/>
      <c r="HR284" s="9"/>
      <c r="HS284" s="9"/>
      <c r="HT284" s="9"/>
      <c r="HU284" s="9"/>
      <c r="HV284" s="9"/>
      <c r="HW284" s="9"/>
      <c r="HX284" s="9"/>
      <c r="HY284" s="9"/>
      <c r="HZ284" s="9"/>
      <c r="IA284" s="9"/>
      <c r="IB284" s="67"/>
      <c r="IC284" s="68"/>
      <c r="ID284" s="63"/>
      <c r="IE284" s="71"/>
    </row>
    <row r="285" spans="1:239" s="11" customFormat="1" x14ac:dyDescent="0.2">
      <c r="A285" s="83">
        <v>20</v>
      </c>
      <c r="B285" s="83"/>
      <c r="C285" s="83"/>
      <c r="D285" s="83" t="s">
        <v>2189</v>
      </c>
      <c r="E285" s="84" t="s">
        <v>496</v>
      </c>
      <c r="F285" s="84"/>
      <c r="G285" s="84" t="s">
        <v>2251</v>
      </c>
      <c r="H285" s="84" t="s">
        <v>1142</v>
      </c>
      <c r="I285" s="83"/>
      <c r="J285" s="83" t="s">
        <v>1041</v>
      </c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  <c r="BR285" s="83"/>
      <c r="BS285" s="83"/>
      <c r="BT285" s="83"/>
      <c r="BU285" s="83"/>
      <c r="BV285" s="83"/>
      <c r="BW285" s="83"/>
      <c r="BX285" s="83"/>
      <c r="BY285" s="83"/>
      <c r="BZ285" s="83"/>
      <c r="CA285" s="83"/>
      <c r="CB285" s="83"/>
      <c r="CC285" s="83"/>
      <c r="CD285" s="83"/>
      <c r="CE285" s="83"/>
      <c r="CF285" s="83"/>
      <c r="CG285" s="83"/>
      <c r="CH285" s="83"/>
      <c r="CI285" s="83"/>
      <c r="CJ285" s="83"/>
      <c r="CK285" s="83"/>
      <c r="CL285" s="83"/>
      <c r="CM285" s="83"/>
      <c r="CN285" s="83"/>
      <c r="CO285" s="83"/>
      <c r="CP285" s="83"/>
      <c r="CQ285" s="83"/>
      <c r="CR285" s="83"/>
      <c r="CS285" s="83"/>
      <c r="CT285" s="83"/>
      <c r="CU285" s="83"/>
      <c r="CV285" s="83"/>
      <c r="CW285" s="83"/>
      <c r="CX285" s="83"/>
      <c r="CY285" s="83"/>
      <c r="CZ285" s="83"/>
      <c r="DA285" s="83"/>
      <c r="DB285" s="83"/>
      <c r="DC285" s="83"/>
      <c r="DD285" s="83"/>
      <c r="DE285" s="83"/>
      <c r="DF285" s="83"/>
      <c r="DG285" s="83"/>
      <c r="DH285" s="83"/>
      <c r="DI285" s="83"/>
      <c r="DJ285" s="83"/>
      <c r="DK285" s="83"/>
      <c r="DL285" s="83"/>
      <c r="DM285" s="83"/>
      <c r="DN285" s="83"/>
      <c r="DO285" s="83"/>
      <c r="DP285" s="83"/>
      <c r="DQ285" s="83"/>
      <c r="DR285" s="83"/>
      <c r="DS285" s="83"/>
      <c r="DT285" s="83"/>
      <c r="DU285" s="83"/>
      <c r="DV285" s="83"/>
      <c r="DW285" s="83"/>
      <c r="DX285" s="83"/>
      <c r="DY285" s="83"/>
      <c r="DZ285" s="83"/>
      <c r="EA285" s="83"/>
      <c r="EB285" s="83"/>
      <c r="EC285" s="83"/>
      <c r="ED285" s="83"/>
      <c r="EE285" s="83"/>
      <c r="EF285" s="83"/>
      <c r="EG285" s="83"/>
      <c r="EH285" s="83"/>
      <c r="EI285" s="83"/>
      <c r="EJ285" s="83"/>
      <c r="EK285" s="83"/>
      <c r="EL285" s="83"/>
      <c r="EM285" s="83"/>
      <c r="EN285" s="83"/>
      <c r="EO285" s="83"/>
      <c r="EP285" s="83"/>
      <c r="EQ285" s="83"/>
      <c r="ER285" s="83"/>
      <c r="ES285" s="83"/>
      <c r="ET285" s="83"/>
      <c r="EU285" s="83"/>
      <c r="EV285" s="83"/>
      <c r="EW285" s="83"/>
      <c r="EX285" s="83"/>
      <c r="EY285" s="83"/>
      <c r="EZ285" s="83"/>
      <c r="FA285" s="83"/>
      <c r="FB285" s="83"/>
      <c r="FC285" s="83"/>
      <c r="FD285" s="83"/>
      <c r="FE285" s="83"/>
      <c r="FF285" s="83"/>
      <c r="FG285" s="83"/>
      <c r="FH285" s="83"/>
      <c r="FI285" s="83"/>
      <c r="FJ285" s="83"/>
      <c r="FK285" s="83"/>
      <c r="FL285" s="83"/>
      <c r="FM285" s="83"/>
      <c r="FN285" s="83"/>
      <c r="FO285" s="83"/>
      <c r="FP285" s="83"/>
      <c r="FQ285" s="83"/>
      <c r="FR285" s="83"/>
      <c r="FS285" s="83"/>
      <c r="FT285" s="83"/>
      <c r="FU285" s="83"/>
      <c r="FV285" s="83"/>
      <c r="FW285" s="83"/>
      <c r="FX285" s="83"/>
      <c r="FY285" s="83"/>
      <c r="FZ285" s="83"/>
      <c r="GA285" s="83"/>
      <c r="GB285" s="83"/>
      <c r="GC285" s="83"/>
      <c r="GD285" s="83"/>
      <c r="GE285" s="83"/>
      <c r="GF285" s="83"/>
      <c r="GG285" s="83"/>
      <c r="GH285" s="83"/>
      <c r="GI285" s="83"/>
      <c r="GJ285" s="83"/>
      <c r="GK285" s="83" t="s">
        <v>97</v>
      </c>
      <c r="GL285" s="83"/>
      <c r="GM285" s="83"/>
      <c r="GN285" s="83"/>
      <c r="GO285" s="83"/>
      <c r="GP285" s="83"/>
      <c r="GQ285" s="83"/>
      <c r="GR285" s="83"/>
      <c r="GS285" s="83"/>
      <c r="GT285" s="83"/>
      <c r="GU285" s="83"/>
      <c r="GV285" s="83"/>
      <c r="GW285" s="83"/>
      <c r="GX285" s="83"/>
      <c r="GY285" s="83"/>
      <c r="GZ285" s="83"/>
      <c r="HA285" s="83"/>
      <c r="HB285" s="83"/>
      <c r="HC285" s="83"/>
      <c r="HD285" s="83"/>
      <c r="HE285" s="83"/>
      <c r="HF285" s="83"/>
      <c r="HG285" s="83"/>
      <c r="HH285" s="83"/>
      <c r="HI285" s="83"/>
      <c r="HJ285" s="83"/>
      <c r="HK285" s="83"/>
      <c r="HL285" s="83"/>
      <c r="HM285" s="83"/>
      <c r="HN285" s="83"/>
      <c r="HO285" s="83"/>
      <c r="HP285" s="83"/>
      <c r="HQ285" s="83"/>
      <c r="HR285" s="83"/>
      <c r="HS285" s="83"/>
      <c r="HT285" s="83"/>
      <c r="HU285" s="83"/>
      <c r="HV285" s="83"/>
      <c r="HW285" s="83"/>
      <c r="HX285" s="83"/>
      <c r="HY285" s="83"/>
      <c r="HZ285" s="83"/>
      <c r="IA285" s="83"/>
      <c r="IB285" s="85"/>
      <c r="IC285" s="86"/>
      <c r="ID285" s="87"/>
      <c r="IE285" s="88"/>
    </row>
    <row r="286" spans="1:239" s="11" customFormat="1" x14ac:dyDescent="0.2">
      <c r="A286" s="83">
        <v>20</v>
      </c>
      <c r="B286" s="83"/>
      <c r="C286" s="83"/>
      <c r="D286" s="83" t="s">
        <v>2190</v>
      </c>
      <c r="E286" s="84" t="s">
        <v>153</v>
      </c>
      <c r="F286" s="84"/>
      <c r="G286" s="84" t="s">
        <v>2252</v>
      </c>
      <c r="H286" s="84" t="s">
        <v>1143</v>
      </c>
      <c r="I286" s="83"/>
      <c r="J286" s="83" t="s">
        <v>1041</v>
      </c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  <c r="BR286" s="83"/>
      <c r="BS286" s="83"/>
      <c r="BT286" s="83"/>
      <c r="BU286" s="83"/>
      <c r="BV286" s="83"/>
      <c r="BW286" s="83"/>
      <c r="BX286" s="83"/>
      <c r="BY286" s="83"/>
      <c r="BZ286" s="83"/>
      <c r="CA286" s="83"/>
      <c r="CB286" s="83"/>
      <c r="CC286" s="83"/>
      <c r="CD286" s="83"/>
      <c r="CE286" s="83"/>
      <c r="CF286" s="83"/>
      <c r="CG286" s="83"/>
      <c r="CH286" s="83"/>
      <c r="CI286" s="83"/>
      <c r="CJ286" s="83"/>
      <c r="CK286" s="83"/>
      <c r="CL286" s="83"/>
      <c r="CM286" s="83"/>
      <c r="CN286" s="83"/>
      <c r="CO286" s="83"/>
      <c r="CP286" s="83"/>
      <c r="CQ286" s="83"/>
      <c r="CR286" s="83"/>
      <c r="CS286" s="83"/>
      <c r="CT286" s="83"/>
      <c r="CU286" s="83"/>
      <c r="CV286" s="83"/>
      <c r="CW286" s="83"/>
      <c r="CX286" s="83"/>
      <c r="CY286" s="83"/>
      <c r="CZ286" s="83"/>
      <c r="DA286" s="83"/>
      <c r="DB286" s="83"/>
      <c r="DC286" s="83"/>
      <c r="DD286" s="83"/>
      <c r="DE286" s="83"/>
      <c r="DF286" s="83"/>
      <c r="DG286" s="83"/>
      <c r="DH286" s="83"/>
      <c r="DI286" s="83"/>
      <c r="DJ286" s="83"/>
      <c r="DK286" s="83"/>
      <c r="DL286" s="83"/>
      <c r="DM286" s="83"/>
      <c r="DN286" s="83"/>
      <c r="DO286" s="83"/>
      <c r="DP286" s="83"/>
      <c r="DQ286" s="83"/>
      <c r="DR286" s="83"/>
      <c r="DS286" s="83"/>
      <c r="DT286" s="83"/>
      <c r="DU286" s="83"/>
      <c r="DV286" s="83"/>
      <c r="DW286" s="83"/>
      <c r="DX286" s="83"/>
      <c r="DY286" s="83"/>
      <c r="DZ286" s="83"/>
      <c r="EA286" s="83"/>
      <c r="EB286" s="83"/>
      <c r="EC286" s="83"/>
      <c r="ED286" s="83"/>
      <c r="EE286" s="83"/>
      <c r="EF286" s="83"/>
      <c r="EG286" s="83"/>
      <c r="EH286" s="83"/>
      <c r="EI286" s="83"/>
      <c r="EJ286" s="83"/>
      <c r="EK286" s="83"/>
      <c r="EL286" s="83"/>
      <c r="EM286" s="83"/>
      <c r="EN286" s="83"/>
      <c r="EO286" s="83"/>
      <c r="EP286" s="83"/>
      <c r="EQ286" s="83"/>
      <c r="ER286" s="83"/>
      <c r="ES286" s="83"/>
      <c r="ET286" s="83"/>
      <c r="EU286" s="83"/>
      <c r="EV286" s="83"/>
      <c r="EW286" s="83"/>
      <c r="EX286" s="83"/>
      <c r="EY286" s="83"/>
      <c r="EZ286" s="83"/>
      <c r="FA286" s="83"/>
      <c r="FB286" s="83"/>
      <c r="FC286" s="83"/>
      <c r="FD286" s="83"/>
      <c r="FE286" s="83"/>
      <c r="FF286" s="83"/>
      <c r="FG286" s="83"/>
      <c r="FH286" s="83"/>
      <c r="FI286" s="83"/>
      <c r="FJ286" s="83"/>
      <c r="FK286" s="83"/>
      <c r="FL286" s="83"/>
      <c r="FM286" s="83"/>
      <c r="FN286" s="83"/>
      <c r="FO286" s="83"/>
      <c r="FP286" s="83"/>
      <c r="FQ286" s="83"/>
      <c r="FR286" s="83"/>
      <c r="FS286" s="83"/>
      <c r="FT286" s="83"/>
      <c r="FU286" s="83"/>
      <c r="FV286" s="83"/>
      <c r="FW286" s="83"/>
      <c r="FX286" s="83"/>
      <c r="FY286" s="83"/>
      <c r="FZ286" s="83"/>
      <c r="GA286" s="83"/>
      <c r="GB286" s="83"/>
      <c r="GC286" s="83"/>
      <c r="GD286" s="83"/>
      <c r="GE286" s="83"/>
      <c r="GF286" s="83"/>
      <c r="GG286" s="83"/>
      <c r="GH286" s="83"/>
      <c r="GI286" s="83"/>
      <c r="GJ286" s="83"/>
      <c r="GK286" s="83" t="s">
        <v>308</v>
      </c>
      <c r="GL286" s="83"/>
      <c r="GM286" s="83"/>
      <c r="GN286" s="83"/>
      <c r="GO286" s="83"/>
      <c r="GP286" s="83"/>
      <c r="GQ286" s="83"/>
      <c r="GR286" s="83"/>
      <c r="GS286" s="83"/>
      <c r="GT286" s="83"/>
      <c r="GU286" s="83"/>
      <c r="GV286" s="83"/>
      <c r="GW286" s="83"/>
      <c r="GX286" s="83"/>
      <c r="GY286" s="83"/>
      <c r="GZ286" s="83"/>
      <c r="HA286" s="83"/>
      <c r="HB286" s="83"/>
      <c r="HC286" s="83"/>
      <c r="HD286" s="83"/>
      <c r="HE286" s="83"/>
      <c r="HF286" s="83"/>
      <c r="HG286" s="83"/>
      <c r="HH286" s="83"/>
      <c r="HI286" s="83"/>
      <c r="HJ286" s="83"/>
      <c r="HK286" s="83"/>
      <c r="HL286" s="83"/>
      <c r="HM286" s="83"/>
      <c r="HN286" s="83"/>
      <c r="HO286" s="83"/>
      <c r="HP286" s="83"/>
      <c r="HQ286" s="83"/>
      <c r="HR286" s="83"/>
      <c r="HS286" s="83"/>
      <c r="HT286" s="83"/>
      <c r="HU286" s="83"/>
      <c r="HV286" s="83"/>
      <c r="HW286" s="83"/>
      <c r="HX286" s="83"/>
      <c r="HY286" s="83"/>
      <c r="HZ286" s="83"/>
      <c r="IA286" s="83"/>
      <c r="IB286" s="85"/>
      <c r="IC286" s="86"/>
      <c r="ID286" s="87"/>
      <c r="IE286" s="88"/>
    </row>
    <row r="287" spans="1:239" s="11" customFormat="1" x14ac:dyDescent="0.2">
      <c r="A287" s="9">
        <v>20</v>
      </c>
      <c r="B287" s="9"/>
      <c r="C287" s="9"/>
      <c r="D287" s="9" t="s">
        <v>771</v>
      </c>
      <c r="E287" s="65" t="s">
        <v>788</v>
      </c>
      <c r="F287" s="65"/>
      <c r="G287" s="91" t="s">
        <v>2443</v>
      </c>
      <c r="H287" s="66" t="s">
        <v>1348</v>
      </c>
      <c r="I287" s="9"/>
      <c r="J287" s="9" t="s">
        <v>1101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 s="9"/>
      <c r="GM287" s="9"/>
      <c r="GN287" s="9"/>
      <c r="GO287" s="9" t="s">
        <v>1101</v>
      </c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  <c r="HE287" s="9"/>
      <c r="HF287" s="9"/>
      <c r="HG287" s="9"/>
      <c r="HH287" s="9"/>
      <c r="HI287" s="9"/>
      <c r="HJ287" s="9"/>
      <c r="HK287" s="9"/>
      <c r="HL287" s="9"/>
      <c r="HM287" s="9"/>
      <c r="HN287" s="9"/>
      <c r="HO287" s="9"/>
      <c r="HP287" s="9"/>
      <c r="HQ287" s="9"/>
      <c r="HR287" s="9"/>
      <c r="HS287" s="9"/>
      <c r="HT287" s="9"/>
      <c r="HU287" s="9"/>
      <c r="HV287" s="9"/>
      <c r="HW287" s="9"/>
      <c r="HX287" s="9"/>
      <c r="HY287" s="9"/>
      <c r="HZ287" s="9"/>
      <c r="IA287" s="9"/>
      <c r="IB287" s="67"/>
      <c r="IC287" s="68"/>
      <c r="ID287" s="63"/>
      <c r="IE287" s="71"/>
    </row>
    <row r="288" spans="1:239" s="11" customFormat="1" x14ac:dyDescent="0.2">
      <c r="A288" s="9">
        <v>20</v>
      </c>
      <c r="B288" s="9"/>
      <c r="C288" s="9"/>
      <c r="D288" s="9" t="s">
        <v>772</v>
      </c>
      <c r="E288" s="65" t="s">
        <v>789</v>
      </c>
      <c r="F288" s="65"/>
      <c r="G288" s="91" t="s">
        <v>2444</v>
      </c>
      <c r="H288" s="66" t="s">
        <v>1349</v>
      </c>
      <c r="I288" s="9"/>
      <c r="J288" s="9" t="s">
        <v>1101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  <c r="GL288" s="9"/>
      <c r="GM288" s="9"/>
      <c r="GN288" s="9"/>
      <c r="GO288" s="9" t="s">
        <v>2163</v>
      </c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  <c r="HE288" s="9"/>
      <c r="HF288" s="9"/>
      <c r="HG288" s="9"/>
      <c r="HH288" s="9"/>
      <c r="HI288" s="9"/>
      <c r="HJ288" s="9"/>
      <c r="HK288" s="9"/>
      <c r="HL288" s="9"/>
      <c r="HM288" s="9"/>
      <c r="HN288" s="9"/>
      <c r="HO288" s="9"/>
      <c r="HP288" s="9"/>
      <c r="HQ288" s="9"/>
      <c r="HR288" s="9"/>
      <c r="HS288" s="9"/>
      <c r="HT288" s="9"/>
      <c r="HU288" s="9"/>
      <c r="HV288" s="9"/>
      <c r="HW288" s="9"/>
      <c r="HX288" s="9"/>
      <c r="HY288" s="9"/>
      <c r="HZ288" s="9"/>
      <c r="IA288" s="9"/>
      <c r="IB288" s="67"/>
      <c r="IC288" s="68"/>
      <c r="ID288" s="63"/>
      <c r="IE288" s="71"/>
    </row>
    <row r="289" spans="1:239" s="11" customFormat="1" x14ac:dyDescent="0.2">
      <c r="A289" s="9">
        <v>20</v>
      </c>
      <c r="B289" s="9"/>
      <c r="C289" s="9"/>
      <c r="D289" s="9" t="s">
        <v>773</v>
      </c>
      <c r="E289" s="65" t="s">
        <v>789</v>
      </c>
      <c r="F289" s="65"/>
      <c r="G289" s="91" t="s">
        <v>2445</v>
      </c>
      <c r="H289" s="66" t="s">
        <v>1350</v>
      </c>
      <c r="I289" s="9"/>
      <c r="J289" s="9" t="s">
        <v>1101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 s="9"/>
      <c r="GM289" s="9"/>
      <c r="GN289" s="9"/>
      <c r="GO289" s="9" t="s">
        <v>2164</v>
      </c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  <c r="HE289" s="9"/>
      <c r="HF289" s="9"/>
      <c r="HG289" s="9"/>
      <c r="HH289" s="9"/>
      <c r="HI289" s="9"/>
      <c r="HJ289" s="9"/>
      <c r="HK289" s="9"/>
      <c r="HL289" s="9"/>
      <c r="HM289" s="9"/>
      <c r="HN289" s="9"/>
      <c r="HO289" s="9"/>
      <c r="HP289" s="9"/>
      <c r="HQ289" s="9"/>
      <c r="HR289" s="9"/>
      <c r="HS289" s="9"/>
      <c r="HT289" s="9"/>
      <c r="HU289" s="9"/>
      <c r="HV289" s="9"/>
      <c r="HW289" s="9"/>
      <c r="HX289" s="9"/>
      <c r="HY289" s="9"/>
      <c r="HZ289" s="9"/>
      <c r="IA289" s="9"/>
      <c r="IB289" s="67"/>
      <c r="IC289" s="68"/>
      <c r="ID289" s="63"/>
      <c r="IE289" s="71"/>
    </row>
    <row r="290" spans="1:239" s="11" customFormat="1" x14ac:dyDescent="0.2">
      <c r="A290" s="9">
        <v>20</v>
      </c>
      <c r="B290" s="9"/>
      <c r="C290" s="9"/>
      <c r="D290" s="9" t="s">
        <v>774</v>
      </c>
      <c r="E290" s="65" t="s">
        <v>790</v>
      </c>
      <c r="F290" s="65"/>
      <c r="G290" s="91" t="s">
        <v>2446</v>
      </c>
      <c r="H290" s="66" t="s">
        <v>1351</v>
      </c>
      <c r="I290" s="9"/>
      <c r="J290" s="9" t="s">
        <v>1098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 t="s">
        <v>2178</v>
      </c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67"/>
      <c r="IC290" s="68"/>
      <c r="ID290" s="63"/>
      <c r="IE290" s="71"/>
    </row>
    <row r="291" spans="1:239" s="11" customFormat="1" x14ac:dyDescent="0.2">
      <c r="A291" s="9">
        <v>20</v>
      </c>
      <c r="B291" s="9"/>
      <c r="C291" s="9"/>
      <c r="D291" s="9" t="s">
        <v>775</v>
      </c>
      <c r="E291" s="65" t="s">
        <v>491</v>
      </c>
      <c r="F291" s="65"/>
      <c r="G291" s="91" t="s">
        <v>2245</v>
      </c>
      <c r="H291" s="66" t="s">
        <v>1134</v>
      </c>
      <c r="I291" s="9"/>
      <c r="J291" s="9" t="s">
        <v>1101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 s="9"/>
      <c r="GM291" s="9"/>
      <c r="GN291" s="9"/>
      <c r="GO291" s="9" t="s">
        <v>1248</v>
      </c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  <c r="HE291" s="9"/>
      <c r="HF291" s="9"/>
      <c r="HG291" s="9"/>
      <c r="HH291" s="9"/>
      <c r="HI291" s="9"/>
      <c r="HJ291" s="9"/>
      <c r="HK291" s="9"/>
      <c r="HL291" s="9"/>
      <c r="HM291" s="9"/>
      <c r="HN291" s="9"/>
      <c r="HO291" s="9"/>
      <c r="HP291" s="9"/>
      <c r="HQ291" s="9"/>
      <c r="HR291" s="9"/>
      <c r="HS291" s="9"/>
      <c r="HT291" s="9"/>
      <c r="HU291" s="9"/>
      <c r="HV291" s="9"/>
      <c r="HW291" s="9"/>
      <c r="HX291" s="9"/>
      <c r="HY291" s="9"/>
      <c r="HZ291" s="9"/>
      <c r="IA291" s="9"/>
      <c r="IB291" s="67"/>
      <c r="IC291" s="68"/>
      <c r="ID291" s="63"/>
      <c r="IE291" s="71"/>
    </row>
    <row r="292" spans="1:239" s="11" customFormat="1" x14ac:dyDescent="0.2">
      <c r="A292" s="9">
        <v>20</v>
      </c>
      <c r="B292" s="9"/>
      <c r="C292" s="9"/>
      <c r="D292" s="9" t="s">
        <v>776</v>
      </c>
      <c r="E292" s="65" t="s">
        <v>532</v>
      </c>
      <c r="F292" s="65"/>
      <c r="G292" s="91" t="s">
        <v>2246</v>
      </c>
      <c r="H292" s="66" t="s">
        <v>1135</v>
      </c>
      <c r="I292" s="9"/>
      <c r="J292" s="9" t="s">
        <v>1101</v>
      </c>
      <c r="K292" s="9" t="s">
        <v>1136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  <c r="GL292" s="9"/>
      <c r="GM292" s="9"/>
      <c r="GN292" s="9"/>
      <c r="GO292" s="9" t="s">
        <v>1137</v>
      </c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  <c r="HE292" s="9"/>
      <c r="HF292" s="9"/>
      <c r="HG292" s="9"/>
      <c r="HH292" s="9"/>
      <c r="HI292" s="9"/>
      <c r="HJ292" s="9"/>
      <c r="HK292" s="9"/>
      <c r="HL292" s="9"/>
      <c r="HM292" s="9"/>
      <c r="HN292" s="9"/>
      <c r="HO292" s="9"/>
      <c r="HP292" s="9"/>
      <c r="HQ292" s="9"/>
      <c r="HR292" s="9"/>
      <c r="HS292" s="9"/>
      <c r="HT292" s="9"/>
      <c r="HU292" s="9"/>
      <c r="HV292" s="9"/>
      <c r="HW292" s="9"/>
      <c r="HX292" s="9"/>
      <c r="HY292" s="9"/>
      <c r="HZ292" s="9"/>
      <c r="IA292" s="9"/>
      <c r="IB292" s="67"/>
      <c r="IC292" s="68"/>
      <c r="ID292" s="63"/>
      <c r="IE292" s="71"/>
    </row>
    <row r="293" spans="1:239" s="11" customFormat="1" x14ac:dyDescent="0.2">
      <c r="A293" s="9">
        <v>20</v>
      </c>
      <c r="B293" s="9"/>
      <c r="C293" s="9"/>
      <c r="D293" s="9" t="s">
        <v>777</v>
      </c>
      <c r="E293" s="65" t="s">
        <v>791</v>
      </c>
      <c r="F293" s="65"/>
      <c r="G293" s="91" t="s">
        <v>2247</v>
      </c>
      <c r="H293" s="66" t="s">
        <v>1138</v>
      </c>
      <c r="I293" s="9"/>
      <c r="J293" s="9" t="s">
        <v>1101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  <c r="HE293" s="9"/>
      <c r="HF293" s="9"/>
      <c r="HG293" s="9"/>
      <c r="HH293" s="9"/>
      <c r="HI293" s="9"/>
      <c r="HJ293" s="9"/>
      <c r="HK293" s="9"/>
      <c r="HL293" s="9"/>
      <c r="HM293" s="9"/>
      <c r="HN293" s="9"/>
      <c r="HO293" s="9"/>
      <c r="HP293" s="9"/>
      <c r="HQ293" s="9"/>
      <c r="HR293" s="9"/>
      <c r="HS293" s="9"/>
      <c r="HT293" s="9"/>
      <c r="HU293" s="9"/>
      <c r="HV293" s="9"/>
      <c r="HW293" s="9"/>
      <c r="HX293" s="9"/>
      <c r="HY293" s="9"/>
      <c r="HZ293" s="9"/>
      <c r="IA293" s="9"/>
      <c r="IB293" s="67"/>
      <c r="IC293" s="68"/>
      <c r="ID293" s="63"/>
      <c r="IE293" s="71"/>
    </row>
    <row r="294" spans="1:239" s="11" customFormat="1" x14ac:dyDescent="0.2">
      <c r="A294" s="9">
        <v>20</v>
      </c>
      <c r="B294" s="9"/>
      <c r="C294" s="9"/>
      <c r="D294" s="9" t="s">
        <v>778</v>
      </c>
      <c r="E294" s="65" t="s">
        <v>792</v>
      </c>
      <c r="F294" s="65"/>
      <c r="G294" s="91" t="s">
        <v>2447</v>
      </c>
      <c r="H294" s="66" t="s">
        <v>1352</v>
      </c>
      <c r="I294" s="9"/>
      <c r="J294" s="9" t="s">
        <v>1101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 t="s">
        <v>1101</v>
      </c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  <c r="HE294" s="9"/>
      <c r="HF294" s="9"/>
      <c r="HG294" s="9"/>
      <c r="HH294" s="9"/>
      <c r="HI294" s="9"/>
      <c r="HJ294" s="9"/>
      <c r="HK294" s="9"/>
      <c r="HL294" s="9"/>
      <c r="HM294" s="9"/>
      <c r="HN294" s="9"/>
      <c r="HO294" s="9"/>
      <c r="HP294" s="9"/>
      <c r="HQ294" s="9"/>
      <c r="HR294" s="9"/>
      <c r="HS294" s="9"/>
      <c r="HT294" s="9"/>
      <c r="HU294" s="9"/>
      <c r="HV294" s="9"/>
      <c r="HW294" s="9"/>
      <c r="HX294" s="9"/>
      <c r="HY294" s="9"/>
      <c r="HZ294" s="9"/>
      <c r="IA294" s="9"/>
      <c r="IB294" s="67"/>
      <c r="IC294" s="68"/>
      <c r="ID294" s="63"/>
      <c r="IE294" s="71"/>
    </row>
    <row r="295" spans="1:239" s="11" customFormat="1" x14ac:dyDescent="0.2">
      <c r="A295" s="9">
        <v>20</v>
      </c>
      <c r="B295" s="9"/>
      <c r="C295" s="9"/>
      <c r="D295" s="9" t="s">
        <v>779</v>
      </c>
      <c r="E295" s="65" t="s">
        <v>793</v>
      </c>
      <c r="F295" s="65"/>
      <c r="G295" s="91" t="s">
        <v>2448</v>
      </c>
      <c r="H295" s="66" t="s">
        <v>1353</v>
      </c>
      <c r="I295" s="9"/>
      <c r="J295" s="9" t="s">
        <v>1101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 t="s">
        <v>2165</v>
      </c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  <c r="HE295" s="9"/>
      <c r="HF295" s="9"/>
      <c r="HG295" s="9"/>
      <c r="HH295" s="9"/>
      <c r="HI295" s="9"/>
      <c r="HJ295" s="9"/>
      <c r="HK295" s="9"/>
      <c r="HL295" s="9"/>
      <c r="HM295" s="9"/>
      <c r="HN295" s="9"/>
      <c r="HO295" s="9"/>
      <c r="HP295" s="9"/>
      <c r="HQ295" s="9"/>
      <c r="HR295" s="9"/>
      <c r="HS295" s="9"/>
      <c r="HT295" s="9"/>
      <c r="HU295" s="9"/>
      <c r="HV295" s="9"/>
      <c r="HW295" s="9"/>
      <c r="HX295" s="9"/>
      <c r="HY295" s="9"/>
      <c r="HZ295" s="9"/>
      <c r="IA295" s="9"/>
      <c r="IB295" s="67"/>
      <c r="IC295" s="68"/>
      <c r="ID295" s="63"/>
      <c r="IE295" s="71"/>
    </row>
    <row r="296" spans="1:239" s="11" customFormat="1" ht="26" x14ac:dyDescent="0.2">
      <c r="A296" s="9">
        <v>20</v>
      </c>
      <c r="B296" s="9"/>
      <c r="C296" s="9"/>
      <c r="D296" s="9" t="s">
        <v>780</v>
      </c>
      <c r="E296" s="65" t="s">
        <v>793</v>
      </c>
      <c r="F296" s="65"/>
      <c r="G296" s="91" t="s">
        <v>2449</v>
      </c>
      <c r="H296" s="66" t="s">
        <v>1354</v>
      </c>
      <c r="I296" s="9"/>
      <c r="J296" s="9" t="s">
        <v>1101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 t="s">
        <v>2166</v>
      </c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  <c r="HE296" s="9"/>
      <c r="HF296" s="9"/>
      <c r="HG296" s="9"/>
      <c r="HH296" s="9"/>
      <c r="HI296" s="9"/>
      <c r="HJ296" s="9"/>
      <c r="HK296" s="9"/>
      <c r="HL296" s="9"/>
      <c r="HM296" s="9"/>
      <c r="HN296" s="9"/>
      <c r="HO296" s="9"/>
      <c r="HP296" s="9"/>
      <c r="HQ296" s="9"/>
      <c r="HR296" s="9"/>
      <c r="HS296" s="9"/>
      <c r="HT296" s="9"/>
      <c r="HU296" s="9"/>
      <c r="HV296" s="9"/>
      <c r="HW296" s="9"/>
      <c r="HX296" s="9"/>
      <c r="HY296" s="9"/>
      <c r="HZ296" s="9"/>
      <c r="IA296" s="9"/>
      <c r="IB296" s="67"/>
      <c r="IC296" s="68"/>
      <c r="ID296" s="63"/>
      <c r="IE296" s="71"/>
    </row>
    <row r="297" spans="1:239" s="11" customFormat="1" x14ac:dyDescent="0.2">
      <c r="A297" s="9">
        <v>20</v>
      </c>
      <c r="B297" s="9"/>
      <c r="C297" s="9"/>
      <c r="D297" s="9" t="s">
        <v>781</v>
      </c>
      <c r="E297" s="65" t="s">
        <v>794</v>
      </c>
      <c r="F297" s="65"/>
      <c r="G297" s="91" t="s">
        <v>2450</v>
      </c>
      <c r="H297" s="66" t="s">
        <v>1355</v>
      </c>
      <c r="I297" s="9"/>
      <c r="J297" s="9" t="s">
        <v>1101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 t="s">
        <v>1101</v>
      </c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  <c r="HE297" s="9"/>
      <c r="HF297" s="9"/>
      <c r="HG297" s="9"/>
      <c r="HH297" s="9"/>
      <c r="HI297" s="9"/>
      <c r="HJ297" s="9"/>
      <c r="HK297" s="9"/>
      <c r="HL297" s="9"/>
      <c r="HM297" s="9"/>
      <c r="HN297" s="9"/>
      <c r="HO297" s="9"/>
      <c r="HP297" s="9"/>
      <c r="HQ297" s="9"/>
      <c r="HR297" s="9"/>
      <c r="HS297" s="9"/>
      <c r="HT297" s="9"/>
      <c r="HU297" s="9"/>
      <c r="HV297" s="9"/>
      <c r="HW297" s="9"/>
      <c r="HX297" s="9"/>
      <c r="HY297" s="9"/>
      <c r="HZ297" s="9"/>
      <c r="IA297" s="9"/>
      <c r="IB297" s="67"/>
      <c r="IC297" s="68"/>
      <c r="ID297" s="63"/>
      <c r="IE297" s="71"/>
    </row>
    <row r="298" spans="1:239" s="11" customFormat="1" x14ac:dyDescent="0.2">
      <c r="A298" s="9">
        <v>20</v>
      </c>
      <c r="B298" s="9"/>
      <c r="C298" s="9"/>
      <c r="D298" s="9" t="s">
        <v>782</v>
      </c>
      <c r="E298" s="65" t="s">
        <v>795</v>
      </c>
      <c r="F298" s="65"/>
      <c r="G298" s="91" t="s">
        <v>2451</v>
      </c>
      <c r="H298" s="66" t="s">
        <v>1356</v>
      </c>
      <c r="I298" s="9"/>
      <c r="J298" s="9" t="s">
        <v>1101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 t="s">
        <v>1101</v>
      </c>
      <c r="GX298" s="9"/>
      <c r="GY298" s="9"/>
      <c r="GZ298" s="9"/>
      <c r="HA298" s="9"/>
      <c r="HB298" s="9"/>
      <c r="HC298" s="9"/>
      <c r="HD298" s="9"/>
      <c r="HE298" s="9"/>
      <c r="HF298" s="9"/>
      <c r="HG298" s="9"/>
      <c r="HH298" s="9"/>
      <c r="HI298" s="9"/>
      <c r="HJ298" s="9"/>
      <c r="HK298" s="9"/>
      <c r="HL298" s="9"/>
      <c r="HM298" s="9"/>
      <c r="HN298" s="9"/>
      <c r="HO298" s="9"/>
      <c r="HP298" s="9"/>
      <c r="HQ298" s="9"/>
      <c r="HR298" s="9"/>
      <c r="HS298" s="9"/>
      <c r="HT298" s="9"/>
      <c r="HU298" s="9"/>
      <c r="HV298" s="9"/>
      <c r="HW298" s="9"/>
      <c r="HX298" s="9"/>
      <c r="HY298" s="9"/>
      <c r="HZ298" s="9"/>
      <c r="IA298" s="9"/>
      <c r="IB298" s="67"/>
      <c r="IC298" s="68"/>
      <c r="ID298" s="63"/>
      <c r="IE298" s="71"/>
    </row>
    <row r="299" spans="1:239" s="11" customFormat="1" x14ac:dyDescent="0.2">
      <c r="A299" s="9">
        <v>20</v>
      </c>
      <c r="B299" s="9"/>
      <c r="C299" s="9"/>
      <c r="D299" s="9" t="s">
        <v>783</v>
      </c>
      <c r="E299" s="65" t="s">
        <v>796</v>
      </c>
      <c r="F299" s="65"/>
      <c r="G299" s="91" t="s">
        <v>2452</v>
      </c>
      <c r="H299" s="66" t="s">
        <v>1357</v>
      </c>
      <c r="I299" s="9"/>
      <c r="J299" s="9" t="s">
        <v>1101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 t="s">
        <v>2167</v>
      </c>
      <c r="GX299" s="9"/>
      <c r="GY299" s="9"/>
      <c r="GZ299" s="9"/>
      <c r="HA299" s="9"/>
      <c r="HB299" s="9"/>
      <c r="HC299" s="9"/>
      <c r="HD299" s="9"/>
      <c r="HE299" s="9"/>
      <c r="HF299" s="9"/>
      <c r="HG299" s="9"/>
      <c r="HH299" s="9"/>
      <c r="HI299" s="9"/>
      <c r="HJ299" s="9"/>
      <c r="HK299" s="9"/>
      <c r="HL299" s="9"/>
      <c r="HM299" s="9"/>
      <c r="HN299" s="9"/>
      <c r="HO299" s="9"/>
      <c r="HP299" s="9"/>
      <c r="HQ299" s="9"/>
      <c r="HR299" s="9"/>
      <c r="HS299" s="9"/>
      <c r="HT299" s="9"/>
      <c r="HU299" s="9"/>
      <c r="HV299" s="9"/>
      <c r="HW299" s="9"/>
      <c r="HX299" s="9"/>
      <c r="HY299" s="9"/>
      <c r="HZ299" s="9"/>
      <c r="IA299" s="9"/>
      <c r="IB299" s="67"/>
      <c r="IC299" s="68"/>
      <c r="ID299" s="63"/>
      <c r="IE299" s="71"/>
    </row>
    <row r="300" spans="1:239" s="11" customFormat="1" ht="26" x14ac:dyDescent="0.2">
      <c r="A300" s="9">
        <v>20</v>
      </c>
      <c r="B300" s="9"/>
      <c r="C300" s="9"/>
      <c r="D300" s="9" t="s">
        <v>784</v>
      </c>
      <c r="E300" s="65" t="s">
        <v>796</v>
      </c>
      <c r="F300" s="65"/>
      <c r="G300" s="91" t="s">
        <v>2453</v>
      </c>
      <c r="H300" s="66" t="s">
        <v>1358</v>
      </c>
      <c r="I300" s="9"/>
      <c r="J300" s="9" t="s">
        <v>1101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 t="s">
        <v>2168</v>
      </c>
      <c r="GX300" s="9"/>
      <c r="GY300" s="9"/>
      <c r="GZ300" s="9"/>
      <c r="HA300" s="9"/>
      <c r="HB300" s="9"/>
      <c r="HC300" s="9"/>
      <c r="HD300" s="9"/>
      <c r="HE300" s="9"/>
      <c r="HF300" s="9"/>
      <c r="HG300" s="9"/>
      <c r="HH300" s="9"/>
      <c r="HI300" s="9"/>
      <c r="HJ300" s="9"/>
      <c r="HK300" s="9"/>
      <c r="HL300" s="9"/>
      <c r="HM300" s="9"/>
      <c r="HN300" s="9"/>
      <c r="HO300" s="9"/>
      <c r="HP300" s="9"/>
      <c r="HQ300" s="9"/>
      <c r="HR300" s="9"/>
      <c r="HS300" s="9"/>
      <c r="HT300" s="9"/>
      <c r="HU300" s="9"/>
      <c r="HV300" s="9"/>
      <c r="HW300" s="9"/>
      <c r="HX300" s="9"/>
      <c r="HY300" s="9"/>
      <c r="HZ300" s="9"/>
      <c r="IA300" s="9"/>
      <c r="IB300" s="67"/>
      <c r="IC300" s="68"/>
      <c r="ID300" s="63"/>
      <c r="IE300" s="71"/>
    </row>
    <row r="301" spans="1:239" s="11" customFormat="1" x14ac:dyDescent="0.2">
      <c r="A301" s="9">
        <v>20</v>
      </c>
      <c r="B301" s="9"/>
      <c r="C301" s="9"/>
      <c r="D301" s="9" t="s">
        <v>785</v>
      </c>
      <c r="E301" s="65" t="s">
        <v>797</v>
      </c>
      <c r="F301" s="65"/>
      <c r="G301" s="91" t="s">
        <v>2454</v>
      </c>
      <c r="H301" s="66" t="s">
        <v>1359</v>
      </c>
      <c r="I301" s="9"/>
      <c r="J301" s="9" t="s">
        <v>1101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  <c r="FI301" s="9"/>
      <c r="FJ301" s="9"/>
      <c r="FK301" s="9"/>
      <c r="FL301" s="9"/>
      <c r="FM301" s="9"/>
      <c r="FN301" s="9"/>
      <c r="FO301" s="9"/>
      <c r="FP301" s="9"/>
      <c r="FQ301" s="9"/>
      <c r="FR301" s="9"/>
      <c r="FS301" s="9"/>
      <c r="FT301" s="9"/>
      <c r="FU301" s="9"/>
      <c r="FV301" s="9"/>
      <c r="FW301" s="9"/>
      <c r="FX301" s="9"/>
      <c r="FY301" s="9"/>
      <c r="FZ301" s="9"/>
      <c r="GA301" s="9"/>
      <c r="GB301" s="9"/>
      <c r="GC301" s="9"/>
      <c r="GD301" s="9"/>
      <c r="GE301" s="9"/>
      <c r="GF301" s="9"/>
      <c r="GG301" s="9"/>
      <c r="GH301" s="9"/>
      <c r="GI301" s="9"/>
      <c r="GJ301" s="9"/>
      <c r="GK301" s="9"/>
      <c r="GL301" s="9"/>
      <c r="GM301" s="9"/>
      <c r="GN301" s="9"/>
      <c r="GO301" s="9"/>
      <c r="GP301" s="9"/>
      <c r="GQ301" s="9"/>
      <c r="GR301" s="9"/>
      <c r="GS301" s="9"/>
      <c r="GT301" s="9"/>
      <c r="GU301" s="9"/>
      <c r="GV301" s="9"/>
      <c r="GW301" s="9"/>
      <c r="GX301" s="9"/>
      <c r="GY301" s="9"/>
      <c r="GZ301" s="9"/>
      <c r="HA301" s="9" t="s">
        <v>1101</v>
      </c>
      <c r="HB301" s="9"/>
      <c r="HC301" s="9"/>
      <c r="HD301" s="9"/>
      <c r="HE301" s="9"/>
      <c r="HF301" s="9"/>
      <c r="HG301" s="9"/>
      <c r="HH301" s="9"/>
      <c r="HI301" s="9"/>
      <c r="HJ301" s="9"/>
      <c r="HK301" s="9"/>
      <c r="HL301" s="9"/>
      <c r="HM301" s="9"/>
      <c r="HN301" s="9"/>
      <c r="HO301" s="9"/>
      <c r="HP301" s="9"/>
      <c r="HQ301" s="9"/>
      <c r="HR301" s="9"/>
      <c r="HS301" s="9"/>
      <c r="HT301" s="9"/>
      <c r="HU301" s="9"/>
      <c r="HV301" s="9"/>
      <c r="HW301" s="9"/>
      <c r="HX301" s="9"/>
      <c r="HY301" s="9"/>
      <c r="HZ301" s="9"/>
      <c r="IA301" s="9"/>
      <c r="IB301" s="67"/>
      <c r="IC301" s="68"/>
      <c r="ID301" s="63"/>
      <c r="IE301" s="71"/>
    </row>
    <row r="302" spans="1:239" s="11" customFormat="1" x14ac:dyDescent="0.2">
      <c r="A302" s="9">
        <v>20</v>
      </c>
      <c r="B302" s="9"/>
      <c r="C302" s="9"/>
      <c r="D302" s="9" t="s">
        <v>786</v>
      </c>
      <c r="E302" s="65" t="s">
        <v>798</v>
      </c>
      <c r="F302" s="65"/>
      <c r="G302" s="91" t="s">
        <v>2455</v>
      </c>
      <c r="H302" s="66" t="s">
        <v>1360</v>
      </c>
      <c r="I302" s="9"/>
      <c r="J302" s="9" t="s">
        <v>1098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  <c r="EN302" s="9"/>
      <c r="EO302" s="9"/>
      <c r="EP302" s="9"/>
      <c r="EQ302" s="9"/>
      <c r="ER302" s="9"/>
      <c r="ES302" s="9"/>
      <c r="ET302" s="9"/>
      <c r="EU302" s="9"/>
      <c r="EV302" s="9"/>
      <c r="EW302" s="9"/>
      <c r="EX302" s="9"/>
      <c r="EY302" s="9"/>
      <c r="EZ302" s="9"/>
      <c r="FA302" s="9"/>
      <c r="FB302" s="9"/>
      <c r="FC302" s="9"/>
      <c r="FD302" s="9"/>
      <c r="FE302" s="9"/>
      <c r="FF302" s="9"/>
      <c r="FG302" s="9"/>
      <c r="FH302" s="9"/>
      <c r="FI302" s="9"/>
      <c r="FJ302" s="9"/>
      <c r="FK302" s="9"/>
      <c r="FL302" s="9"/>
      <c r="FM302" s="9"/>
      <c r="FN302" s="9"/>
      <c r="FO302" s="9"/>
      <c r="FP302" s="9"/>
      <c r="FQ302" s="9"/>
      <c r="FR302" s="9"/>
      <c r="FS302" s="9"/>
      <c r="FT302" s="9"/>
      <c r="FU302" s="9"/>
      <c r="FV302" s="9"/>
      <c r="FW302" s="9"/>
      <c r="FX302" s="9"/>
      <c r="FY302" s="9"/>
      <c r="FZ302" s="9"/>
      <c r="GA302" s="9"/>
      <c r="GB302" s="9"/>
      <c r="GC302" s="9"/>
      <c r="GD302" s="9"/>
      <c r="GE302" s="9"/>
      <c r="GF302" s="9"/>
      <c r="GG302" s="9"/>
      <c r="GH302" s="9"/>
      <c r="GI302" s="9"/>
      <c r="GJ302" s="9"/>
      <c r="GK302" s="9"/>
      <c r="GL302" s="9"/>
      <c r="GM302" s="9"/>
      <c r="GN302" s="9"/>
      <c r="GO302" s="9"/>
      <c r="GP302" s="9"/>
      <c r="GQ302" s="9"/>
      <c r="GR302" s="9"/>
      <c r="GS302" s="9"/>
      <c r="GT302" s="9"/>
      <c r="GU302" s="9"/>
      <c r="GV302" s="9"/>
      <c r="GW302" s="9"/>
      <c r="GX302" s="9"/>
      <c r="GY302" s="9"/>
      <c r="GZ302" s="9"/>
      <c r="HA302" s="9" t="s">
        <v>2169</v>
      </c>
      <c r="HB302" s="9"/>
      <c r="HC302" s="9"/>
      <c r="HD302" s="9"/>
      <c r="HE302" s="9"/>
      <c r="HF302" s="9"/>
      <c r="HG302" s="9"/>
      <c r="HH302" s="9"/>
      <c r="HI302" s="9"/>
      <c r="HJ302" s="9"/>
      <c r="HK302" s="9"/>
      <c r="HL302" s="9"/>
      <c r="HM302" s="9"/>
      <c r="HN302" s="9"/>
      <c r="HO302" s="9"/>
      <c r="HP302" s="9"/>
      <c r="HQ302" s="9"/>
      <c r="HR302" s="9"/>
      <c r="HS302" s="9"/>
      <c r="HT302" s="9"/>
      <c r="HU302" s="9"/>
      <c r="HV302" s="9"/>
      <c r="HW302" s="9"/>
      <c r="HX302" s="9"/>
      <c r="HY302" s="9"/>
      <c r="HZ302" s="9"/>
      <c r="IA302" s="9"/>
      <c r="IB302" s="67"/>
      <c r="IC302" s="68"/>
      <c r="ID302" s="63"/>
      <c r="IE302" s="71"/>
    </row>
    <row r="303" spans="1:239" s="11" customFormat="1" ht="26" x14ac:dyDescent="0.2">
      <c r="A303" s="9">
        <v>20</v>
      </c>
      <c r="B303" s="9"/>
      <c r="C303" s="9"/>
      <c r="D303" s="9" t="s">
        <v>787</v>
      </c>
      <c r="E303" s="65" t="s">
        <v>798</v>
      </c>
      <c r="F303" s="65"/>
      <c r="G303" s="91" t="s">
        <v>2456</v>
      </c>
      <c r="H303" s="66" t="s">
        <v>1361</v>
      </c>
      <c r="I303" s="9"/>
      <c r="J303" s="9" t="s">
        <v>1101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  <c r="EN303" s="9"/>
      <c r="EO303" s="9"/>
      <c r="EP303" s="9"/>
      <c r="EQ303" s="9"/>
      <c r="ER303" s="9"/>
      <c r="ES303" s="9"/>
      <c r="ET303" s="9"/>
      <c r="EU303" s="9"/>
      <c r="EV303" s="9"/>
      <c r="EW303" s="9"/>
      <c r="EX303" s="9"/>
      <c r="EY303" s="9"/>
      <c r="EZ303" s="9"/>
      <c r="FA303" s="9"/>
      <c r="FB303" s="9"/>
      <c r="FC303" s="9"/>
      <c r="FD303" s="9"/>
      <c r="FE303" s="9"/>
      <c r="FF303" s="9"/>
      <c r="FG303" s="9"/>
      <c r="FH303" s="9"/>
      <c r="FI303" s="9"/>
      <c r="FJ303" s="9"/>
      <c r="FK303" s="9"/>
      <c r="FL303" s="9"/>
      <c r="FM303" s="9"/>
      <c r="FN303" s="9"/>
      <c r="FO303" s="9"/>
      <c r="FP303" s="9"/>
      <c r="FQ303" s="9"/>
      <c r="FR303" s="9"/>
      <c r="FS303" s="9"/>
      <c r="FT303" s="9"/>
      <c r="FU303" s="9"/>
      <c r="FV303" s="9"/>
      <c r="FW303" s="9"/>
      <c r="FX303" s="9"/>
      <c r="FY303" s="9"/>
      <c r="FZ303" s="9"/>
      <c r="GA303" s="9"/>
      <c r="GB303" s="9"/>
      <c r="GC303" s="9"/>
      <c r="GD303" s="9"/>
      <c r="GE303" s="9"/>
      <c r="GF303" s="9"/>
      <c r="GG303" s="9"/>
      <c r="GH303" s="9"/>
      <c r="GI303" s="9"/>
      <c r="GJ303" s="9"/>
      <c r="GK303" s="9"/>
      <c r="GL303" s="9"/>
      <c r="GM303" s="9"/>
      <c r="GN303" s="9"/>
      <c r="GO303" s="9"/>
      <c r="GP303" s="9"/>
      <c r="GQ303" s="9"/>
      <c r="GR303" s="9"/>
      <c r="GS303" s="9"/>
      <c r="GT303" s="9"/>
      <c r="GU303" s="9"/>
      <c r="GV303" s="9"/>
      <c r="GW303" s="9"/>
      <c r="GX303" s="9"/>
      <c r="GY303" s="9"/>
      <c r="GZ303" s="9"/>
      <c r="HA303" s="9" t="s">
        <v>2170</v>
      </c>
      <c r="HB303" s="9"/>
      <c r="HC303" s="9"/>
      <c r="HD303" s="9"/>
      <c r="HE303" s="9"/>
      <c r="HF303" s="9"/>
      <c r="HG303" s="9"/>
      <c r="HH303" s="9"/>
      <c r="HI303" s="9"/>
      <c r="HJ303" s="9"/>
      <c r="HK303" s="9"/>
      <c r="HL303" s="9"/>
      <c r="HM303" s="9"/>
      <c r="HN303" s="9"/>
      <c r="HO303" s="9"/>
      <c r="HP303" s="9"/>
      <c r="HQ303" s="9"/>
      <c r="HR303" s="9"/>
      <c r="HS303" s="9"/>
      <c r="HT303" s="9"/>
      <c r="HU303" s="9"/>
      <c r="HV303" s="9"/>
      <c r="HW303" s="9"/>
      <c r="HX303" s="9"/>
      <c r="HY303" s="9"/>
      <c r="HZ303" s="9"/>
      <c r="IA303" s="9"/>
      <c r="IB303" s="67"/>
      <c r="IC303" s="68"/>
      <c r="ID303" s="63"/>
      <c r="IE303" s="71"/>
    </row>
    <row r="304" spans="1:239" s="11" customFormat="1" x14ac:dyDescent="0.2">
      <c r="A304" s="9">
        <v>20</v>
      </c>
      <c r="B304" s="9"/>
      <c r="C304" s="9"/>
      <c r="D304" s="9" t="s">
        <v>931</v>
      </c>
      <c r="E304" s="65" t="s">
        <v>934</v>
      </c>
      <c r="F304" s="65"/>
      <c r="G304" s="91" t="s">
        <v>2457</v>
      </c>
      <c r="H304" s="66" t="s">
        <v>1362</v>
      </c>
      <c r="I304" s="9"/>
      <c r="J304" s="9" t="s">
        <v>1101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  <c r="EN304" s="9"/>
      <c r="EO304" s="9"/>
      <c r="EP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E304" s="9"/>
      <c r="FF304" s="9"/>
      <c r="FG304" s="9"/>
      <c r="FH304" s="9"/>
      <c r="FI304" s="9"/>
      <c r="FJ304" s="9"/>
      <c r="FK304" s="9"/>
      <c r="FL304" s="9"/>
      <c r="FM304" s="9"/>
      <c r="FN304" s="9"/>
      <c r="FO304" s="9"/>
      <c r="FP304" s="9"/>
      <c r="FQ304" s="9"/>
      <c r="FR304" s="9"/>
      <c r="FS304" s="9"/>
      <c r="FT304" s="9"/>
      <c r="FU304" s="9"/>
      <c r="FV304" s="9"/>
      <c r="FW304" s="9"/>
      <c r="FX304" s="9"/>
      <c r="FY304" s="9"/>
      <c r="FZ304" s="9"/>
      <c r="GA304" s="9"/>
      <c r="GB304" s="9"/>
      <c r="GC304" s="9"/>
      <c r="GD304" s="9"/>
      <c r="GE304" s="9"/>
      <c r="GF304" s="9"/>
      <c r="GG304" s="9"/>
      <c r="GH304" s="9"/>
      <c r="GI304" s="9"/>
      <c r="GJ304" s="9"/>
      <c r="GK304" s="9"/>
      <c r="GL304" s="9"/>
      <c r="GM304" s="9"/>
      <c r="GN304" s="9"/>
      <c r="GO304" s="9"/>
      <c r="GP304" s="9"/>
      <c r="GQ304" s="9"/>
      <c r="GR304" s="9"/>
      <c r="GS304" s="9"/>
      <c r="GT304" s="9"/>
      <c r="GU304" s="9"/>
      <c r="GV304" s="9"/>
      <c r="GW304" s="9"/>
      <c r="GX304" s="9"/>
      <c r="GY304" s="9"/>
      <c r="GZ304" s="9"/>
      <c r="HA304" s="9"/>
      <c r="HB304" s="9"/>
      <c r="HC304" s="9"/>
      <c r="HD304" s="9"/>
      <c r="HE304" s="9" t="s">
        <v>1101</v>
      </c>
      <c r="HF304" s="9"/>
      <c r="HG304" s="9"/>
      <c r="HH304" s="9"/>
      <c r="HI304" s="9"/>
      <c r="HJ304" s="9"/>
      <c r="HK304" s="9"/>
      <c r="HL304" s="9"/>
      <c r="HM304" s="9"/>
      <c r="HN304" s="9"/>
      <c r="HO304" s="9"/>
      <c r="HP304" s="9"/>
      <c r="HQ304" s="9"/>
      <c r="HR304" s="9"/>
      <c r="HS304" s="9"/>
      <c r="HT304" s="9"/>
      <c r="HU304" s="9"/>
      <c r="HV304" s="9"/>
      <c r="HW304" s="9"/>
      <c r="HX304" s="9"/>
      <c r="HY304" s="9"/>
      <c r="HZ304" s="9"/>
      <c r="IA304" s="9"/>
      <c r="IB304" s="67"/>
      <c r="IC304" s="68"/>
      <c r="ID304" s="63"/>
      <c r="IE304" s="71"/>
    </row>
    <row r="305" spans="1:239" s="11" customFormat="1" x14ac:dyDescent="0.2">
      <c r="A305" s="9">
        <v>20</v>
      </c>
      <c r="B305" s="9"/>
      <c r="C305" s="9"/>
      <c r="D305" s="9" t="s">
        <v>932</v>
      </c>
      <c r="E305" s="65" t="s">
        <v>935</v>
      </c>
      <c r="F305" s="65"/>
      <c r="G305" s="91" t="s">
        <v>2458</v>
      </c>
      <c r="H305" s="66" t="s">
        <v>1363</v>
      </c>
      <c r="I305" s="9"/>
      <c r="J305" s="9" t="s">
        <v>1101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9"/>
      <c r="GG305" s="9"/>
      <c r="GH305" s="9"/>
      <c r="GI305" s="9"/>
      <c r="GJ305" s="9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9"/>
      <c r="GY305" s="9"/>
      <c r="GZ305" s="9"/>
      <c r="HA305" s="9"/>
      <c r="HB305" s="9"/>
      <c r="HC305" s="9"/>
      <c r="HD305" s="9"/>
      <c r="HE305" s="9" t="s">
        <v>2171</v>
      </c>
      <c r="HF305" s="9"/>
      <c r="HG305" s="9"/>
      <c r="HH305" s="9"/>
      <c r="HI305" s="9"/>
      <c r="HJ305" s="9"/>
      <c r="HK305" s="9"/>
      <c r="HL305" s="9"/>
      <c r="HM305" s="9"/>
      <c r="HN305" s="9"/>
      <c r="HO305" s="9"/>
      <c r="HP305" s="9"/>
      <c r="HQ305" s="9"/>
      <c r="HR305" s="9"/>
      <c r="HS305" s="9"/>
      <c r="HT305" s="9"/>
      <c r="HU305" s="9"/>
      <c r="HV305" s="9"/>
      <c r="HW305" s="9"/>
      <c r="HX305" s="9"/>
      <c r="HY305" s="9"/>
      <c r="HZ305" s="9"/>
      <c r="IA305" s="9"/>
      <c r="IB305" s="67"/>
      <c r="IC305" s="68"/>
      <c r="ID305" s="63"/>
      <c r="IE305" s="71"/>
    </row>
    <row r="306" spans="1:239" s="11" customFormat="1" ht="26" x14ac:dyDescent="0.2">
      <c r="A306" s="9">
        <v>20</v>
      </c>
      <c r="B306" s="9"/>
      <c r="C306" s="9"/>
      <c r="D306" s="9" t="s">
        <v>933</v>
      </c>
      <c r="E306" s="65" t="s">
        <v>935</v>
      </c>
      <c r="F306" s="65"/>
      <c r="G306" s="91" t="s">
        <v>2459</v>
      </c>
      <c r="H306" s="66" t="s">
        <v>1364</v>
      </c>
      <c r="I306" s="9"/>
      <c r="J306" s="9" t="s">
        <v>1101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  <c r="FO306" s="9"/>
      <c r="FP306" s="9"/>
      <c r="FQ306" s="9"/>
      <c r="FR306" s="9"/>
      <c r="FS306" s="9"/>
      <c r="FT306" s="9"/>
      <c r="FU306" s="9"/>
      <c r="FV306" s="9"/>
      <c r="FW306" s="9"/>
      <c r="FX306" s="9"/>
      <c r="FY306" s="9"/>
      <c r="FZ306" s="9"/>
      <c r="GA306" s="9"/>
      <c r="GB306" s="9"/>
      <c r="GC306" s="9"/>
      <c r="GD306" s="9"/>
      <c r="GE306" s="9"/>
      <c r="GF306" s="9"/>
      <c r="GG306" s="9"/>
      <c r="GH306" s="9"/>
      <c r="GI306" s="9"/>
      <c r="GJ306" s="9"/>
      <c r="GK306" s="9"/>
      <c r="GL306" s="9"/>
      <c r="GM306" s="9"/>
      <c r="GN306" s="9"/>
      <c r="GO306" s="9"/>
      <c r="GP306" s="9"/>
      <c r="GQ306" s="9"/>
      <c r="GR306" s="9"/>
      <c r="GS306" s="9"/>
      <c r="GT306" s="9"/>
      <c r="GU306" s="9"/>
      <c r="GV306" s="9"/>
      <c r="GW306" s="9"/>
      <c r="GX306" s="9"/>
      <c r="GY306" s="9"/>
      <c r="GZ306" s="9"/>
      <c r="HA306" s="9"/>
      <c r="HB306" s="9"/>
      <c r="HC306" s="9"/>
      <c r="HD306" s="9"/>
      <c r="HE306" s="9" t="s">
        <v>2172</v>
      </c>
      <c r="HF306" s="9"/>
      <c r="HG306" s="9"/>
      <c r="HH306" s="9"/>
      <c r="HI306" s="9"/>
      <c r="HJ306" s="9"/>
      <c r="HK306" s="9"/>
      <c r="HL306" s="9"/>
      <c r="HM306" s="9"/>
      <c r="HN306" s="9"/>
      <c r="HO306" s="9"/>
      <c r="HP306" s="9"/>
      <c r="HQ306" s="9"/>
      <c r="HR306" s="9"/>
      <c r="HS306" s="9"/>
      <c r="HT306" s="9"/>
      <c r="HU306" s="9"/>
      <c r="HV306" s="9"/>
      <c r="HW306" s="9"/>
      <c r="HX306" s="9"/>
      <c r="HY306" s="9"/>
      <c r="HZ306" s="9"/>
      <c r="IA306" s="9"/>
      <c r="IB306" s="67"/>
      <c r="IC306" s="68"/>
      <c r="ID306" s="63"/>
      <c r="IE306" s="71"/>
    </row>
    <row r="307" spans="1:239" s="11" customFormat="1" ht="26" x14ac:dyDescent="0.2">
      <c r="A307" s="9">
        <v>20</v>
      </c>
      <c r="B307" s="9"/>
      <c r="C307" s="9"/>
      <c r="D307" s="9" t="s">
        <v>983</v>
      </c>
      <c r="E307" s="65" t="s">
        <v>985</v>
      </c>
      <c r="F307" s="65"/>
      <c r="G307" s="91" t="s">
        <v>2460</v>
      </c>
      <c r="H307" s="66" t="s">
        <v>1365</v>
      </c>
      <c r="I307" s="9"/>
      <c r="J307" s="9" t="s">
        <v>1098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9"/>
      <c r="EO307" s="9"/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  <c r="FI307" s="9"/>
      <c r="FJ307" s="9"/>
      <c r="FK307" s="9"/>
      <c r="FL307" s="9"/>
      <c r="FM307" s="9"/>
      <c r="FN307" s="9"/>
      <c r="FO307" s="9"/>
      <c r="FP307" s="9"/>
      <c r="FQ307" s="9"/>
      <c r="FR307" s="9"/>
      <c r="FS307" s="9"/>
      <c r="FT307" s="9"/>
      <c r="FU307" s="9"/>
      <c r="FV307" s="9"/>
      <c r="FW307" s="9"/>
      <c r="FX307" s="9"/>
      <c r="FY307" s="9"/>
      <c r="FZ307" s="9"/>
      <c r="GA307" s="9"/>
      <c r="GB307" s="9"/>
      <c r="GC307" s="9"/>
      <c r="GD307" s="9"/>
      <c r="GE307" s="9"/>
      <c r="GF307" s="9"/>
      <c r="GG307" s="9"/>
      <c r="GH307" s="9"/>
      <c r="GI307" s="9"/>
      <c r="GJ307" s="9"/>
      <c r="GK307" s="9"/>
      <c r="GL307" s="9"/>
      <c r="GM307" s="9"/>
      <c r="GN307" s="9"/>
      <c r="GO307" s="9"/>
      <c r="GP307" s="9"/>
      <c r="GQ307" s="9"/>
      <c r="GR307" s="9"/>
      <c r="GS307" s="9"/>
      <c r="GT307" s="9"/>
      <c r="GU307" s="9"/>
      <c r="GV307" s="9"/>
      <c r="GW307" s="9"/>
      <c r="GX307" s="9"/>
      <c r="GY307" s="9"/>
      <c r="GZ307" s="9"/>
      <c r="HA307" s="9"/>
      <c r="HB307" s="9"/>
      <c r="HC307" s="9"/>
      <c r="HD307" s="9"/>
      <c r="HE307" s="9"/>
      <c r="HF307" s="9"/>
      <c r="HG307" s="9"/>
      <c r="HH307" s="9"/>
      <c r="HI307" s="9" t="s">
        <v>1098</v>
      </c>
      <c r="HJ307" s="9"/>
      <c r="HK307" s="9"/>
      <c r="HL307" s="9"/>
      <c r="HM307" s="9"/>
      <c r="HN307" s="9"/>
      <c r="HO307" s="9"/>
      <c r="HP307" s="9"/>
      <c r="HQ307" s="9"/>
      <c r="HR307" s="9"/>
      <c r="HS307" s="9"/>
      <c r="HT307" s="9"/>
      <c r="HU307" s="9"/>
      <c r="HV307" s="9"/>
      <c r="HW307" s="9"/>
      <c r="HX307" s="9"/>
      <c r="HY307" s="9"/>
      <c r="HZ307" s="9"/>
      <c r="IA307" s="9"/>
      <c r="IB307" s="67"/>
      <c r="IC307" s="68"/>
      <c r="ID307" s="63"/>
      <c r="IE307" s="71"/>
    </row>
    <row r="308" spans="1:239" s="11" customFormat="1" ht="26" x14ac:dyDescent="0.2">
      <c r="A308" s="9">
        <v>20</v>
      </c>
      <c r="B308" s="9"/>
      <c r="C308" s="9"/>
      <c r="D308" s="9" t="s">
        <v>982</v>
      </c>
      <c r="E308" s="65" t="s">
        <v>961</v>
      </c>
      <c r="F308" s="65"/>
      <c r="G308" s="91" t="s">
        <v>2461</v>
      </c>
      <c r="H308" s="66" t="s">
        <v>1366</v>
      </c>
      <c r="I308" s="9"/>
      <c r="J308" s="9" t="s">
        <v>1098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  <c r="GA308" s="9"/>
      <c r="GB308" s="9"/>
      <c r="GC308" s="9"/>
      <c r="GD308" s="9"/>
      <c r="GE308" s="9"/>
      <c r="GF308" s="9"/>
      <c r="GG308" s="9"/>
      <c r="GH308" s="9"/>
      <c r="GI308" s="9"/>
      <c r="GJ308" s="9"/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9"/>
      <c r="GY308" s="9"/>
      <c r="GZ308" s="9"/>
      <c r="HA308" s="9"/>
      <c r="HB308" s="9"/>
      <c r="HC308" s="9"/>
      <c r="HD308" s="9"/>
      <c r="HE308" s="9"/>
      <c r="HF308" s="9"/>
      <c r="HG308" s="9"/>
      <c r="HH308" s="9"/>
      <c r="HI308" s="9" t="s">
        <v>959</v>
      </c>
      <c r="HJ308" s="9"/>
      <c r="HK308" s="9"/>
      <c r="HL308" s="9"/>
      <c r="HM308" s="9"/>
      <c r="HN308" s="9"/>
      <c r="HO308" s="9"/>
      <c r="HP308" s="9"/>
      <c r="HQ308" s="9"/>
      <c r="HR308" s="9"/>
      <c r="HS308" s="9"/>
      <c r="HT308" s="9"/>
      <c r="HU308" s="9"/>
      <c r="HV308" s="9"/>
      <c r="HW308" s="9"/>
      <c r="HX308" s="9"/>
      <c r="HY308" s="9"/>
      <c r="HZ308" s="9"/>
      <c r="IA308" s="9"/>
      <c r="IB308" s="67"/>
      <c r="IC308" s="68"/>
      <c r="ID308" s="63"/>
      <c r="IE308" s="71"/>
    </row>
    <row r="309" spans="1:239" s="11" customFormat="1" ht="26" x14ac:dyDescent="0.2">
      <c r="A309" s="9">
        <v>20</v>
      </c>
      <c r="B309" s="9"/>
      <c r="C309" s="9"/>
      <c r="D309" s="9" t="s">
        <v>959</v>
      </c>
      <c r="E309" s="65" t="s">
        <v>961</v>
      </c>
      <c r="F309" s="65"/>
      <c r="G309" s="91" t="s">
        <v>2462</v>
      </c>
      <c r="H309" s="66" t="s">
        <v>1367</v>
      </c>
      <c r="I309" s="9"/>
      <c r="J309" s="9" t="s">
        <v>1101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  <c r="EN309" s="9"/>
      <c r="EO309" s="9"/>
      <c r="EP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E309" s="9"/>
      <c r="FF309" s="9"/>
      <c r="FG309" s="9"/>
      <c r="FH309" s="9"/>
      <c r="FI309" s="9"/>
      <c r="FJ309" s="9"/>
      <c r="FK309" s="9"/>
      <c r="FL309" s="9"/>
      <c r="FM309" s="9"/>
      <c r="FN309" s="9"/>
      <c r="FO309" s="9"/>
      <c r="FP309" s="9"/>
      <c r="FQ309" s="9"/>
      <c r="FR309" s="9"/>
      <c r="FS309" s="9"/>
      <c r="FT309" s="9"/>
      <c r="FU309" s="9"/>
      <c r="FV309" s="9"/>
      <c r="FW309" s="9"/>
      <c r="FX309" s="9"/>
      <c r="FY309" s="9"/>
      <c r="FZ309" s="9"/>
      <c r="GA309" s="9"/>
      <c r="GB309" s="9"/>
      <c r="GC309" s="9"/>
      <c r="GD309" s="9"/>
      <c r="GE309" s="9"/>
      <c r="GF309" s="9"/>
      <c r="GG309" s="9"/>
      <c r="GH309" s="9"/>
      <c r="GI309" s="9"/>
      <c r="GJ309" s="9"/>
      <c r="GK309" s="9"/>
      <c r="GL309" s="9"/>
      <c r="GM309" s="9"/>
      <c r="GN309" s="9"/>
      <c r="GO309" s="9"/>
      <c r="GP309" s="9"/>
      <c r="GQ309" s="9"/>
      <c r="GR309" s="9"/>
      <c r="GS309" s="9"/>
      <c r="GT309" s="9"/>
      <c r="GU309" s="9"/>
      <c r="GV309" s="9"/>
      <c r="GW309" s="9"/>
      <c r="GX309" s="9"/>
      <c r="GY309" s="9"/>
      <c r="GZ309" s="9"/>
      <c r="HA309" s="9"/>
      <c r="HB309" s="9"/>
      <c r="HC309" s="9"/>
      <c r="HD309" s="9"/>
      <c r="HE309" s="9"/>
      <c r="HF309" s="9"/>
      <c r="HG309" s="9"/>
      <c r="HH309" s="9"/>
      <c r="HI309" s="9" t="s">
        <v>2173</v>
      </c>
      <c r="HJ309" s="9"/>
      <c r="HK309" s="9"/>
      <c r="HL309" s="9"/>
      <c r="HM309" s="9"/>
      <c r="HN309" s="9"/>
      <c r="HO309" s="9"/>
      <c r="HP309" s="9"/>
      <c r="HQ309" s="9"/>
      <c r="HR309" s="9"/>
      <c r="HS309" s="9"/>
      <c r="HT309" s="9"/>
      <c r="HU309" s="9"/>
      <c r="HV309" s="9"/>
      <c r="HW309" s="9"/>
      <c r="HX309" s="9"/>
      <c r="HY309" s="9"/>
      <c r="HZ309" s="9"/>
      <c r="IA309" s="9"/>
      <c r="IB309" s="67"/>
      <c r="IC309" s="68"/>
      <c r="ID309" s="63"/>
      <c r="IE309" s="71"/>
    </row>
    <row r="310" spans="1:239" s="11" customFormat="1" x14ac:dyDescent="0.2">
      <c r="A310" s="9">
        <v>20</v>
      </c>
      <c r="B310" s="9"/>
      <c r="C310" s="9"/>
      <c r="D310" s="9" t="s">
        <v>979</v>
      </c>
      <c r="E310" s="65" t="s">
        <v>981</v>
      </c>
      <c r="F310" s="65"/>
      <c r="G310" s="91" t="s">
        <v>2463</v>
      </c>
      <c r="H310" s="66" t="s">
        <v>1368</v>
      </c>
      <c r="I310" s="9"/>
      <c r="J310" s="9" t="s">
        <v>1098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9"/>
      <c r="FS310" s="9"/>
      <c r="FT310" s="9"/>
      <c r="FU310" s="9"/>
      <c r="FV310" s="9"/>
      <c r="FW310" s="9"/>
      <c r="FX310" s="9"/>
      <c r="FY310" s="9"/>
      <c r="FZ310" s="9"/>
      <c r="GA310" s="9"/>
      <c r="GB310" s="9"/>
      <c r="GC310" s="9"/>
      <c r="GD310" s="9"/>
      <c r="GE310" s="9"/>
      <c r="GF310" s="9"/>
      <c r="GG310" s="9"/>
      <c r="GH310" s="9"/>
      <c r="GI310" s="9"/>
      <c r="GJ310" s="9"/>
      <c r="GK310" s="9"/>
      <c r="GL310" s="9"/>
      <c r="GM310" s="9"/>
      <c r="GN310" s="9"/>
      <c r="GO310" s="9"/>
      <c r="GP310" s="9"/>
      <c r="GQ310" s="9"/>
      <c r="GR310" s="9"/>
      <c r="GS310" s="9"/>
      <c r="GT310" s="9"/>
      <c r="GU310" s="9"/>
      <c r="GV310" s="9"/>
      <c r="GW310" s="9"/>
      <c r="GX310" s="9"/>
      <c r="GY310" s="9"/>
      <c r="GZ310" s="9"/>
      <c r="HA310" s="9"/>
      <c r="HB310" s="9"/>
      <c r="HC310" s="9"/>
      <c r="HD310" s="9"/>
      <c r="HE310" s="9"/>
      <c r="HF310" s="9"/>
      <c r="HG310" s="9"/>
      <c r="HH310" s="9"/>
      <c r="HI310" s="9"/>
      <c r="HJ310" s="9"/>
      <c r="HK310" s="9"/>
      <c r="HL310" s="9"/>
      <c r="HM310" s="9" t="s">
        <v>1098</v>
      </c>
      <c r="HN310" s="9"/>
      <c r="HO310" s="9"/>
      <c r="HP310" s="9"/>
      <c r="HQ310" s="9"/>
      <c r="HR310" s="9"/>
      <c r="HS310" s="9"/>
      <c r="HT310" s="9"/>
      <c r="HU310" s="9"/>
      <c r="HV310" s="9"/>
      <c r="HW310" s="9"/>
      <c r="HX310" s="9"/>
      <c r="HY310" s="9"/>
      <c r="HZ310" s="9"/>
      <c r="IA310" s="9"/>
      <c r="IB310" s="67"/>
      <c r="IC310" s="68"/>
      <c r="ID310" s="63"/>
      <c r="IE310" s="71"/>
    </row>
    <row r="311" spans="1:239" s="11" customFormat="1" x14ac:dyDescent="0.2">
      <c r="A311" s="9">
        <v>20</v>
      </c>
      <c r="B311" s="9"/>
      <c r="C311" s="9"/>
      <c r="D311" s="9" t="s">
        <v>978</v>
      </c>
      <c r="E311" s="65" t="s">
        <v>967</v>
      </c>
      <c r="F311" s="65"/>
      <c r="G311" s="91" t="s">
        <v>2464</v>
      </c>
      <c r="H311" s="66" t="s">
        <v>1369</v>
      </c>
      <c r="I311" s="9"/>
      <c r="J311" s="9" t="s">
        <v>1098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  <c r="EN311" s="9"/>
      <c r="EO311" s="9"/>
      <c r="EP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E311" s="9"/>
      <c r="FF311" s="9"/>
      <c r="FG311" s="9"/>
      <c r="FH311" s="9"/>
      <c r="FI311" s="9"/>
      <c r="FJ311" s="9"/>
      <c r="FK311" s="9"/>
      <c r="FL311" s="9"/>
      <c r="FM311" s="9"/>
      <c r="FN311" s="9"/>
      <c r="FO311" s="9"/>
      <c r="FP311" s="9"/>
      <c r="FQ311" s="9"/>
      <c r="FR311" s="9"/>
      <c r="FS311" s="9"/>
      <c r="FT311" s="9"/>
      <c r="FU311" s="9"/>
      <c r="FV311" s="9"/>
      <c r="FW311" s="9"/>
      <c r="FX311" s="9"/>
      <c r="FY311" s="9"/>
      <c r="FZ311" s="9"/>
      <c r="GA311" s="9"/>
      <c r="GB311" s="9"/>
      <c r="GC311" s="9"/>
      <c r="GD311" s="9"/>
      <c r="GE311" s="9"/>
      <c r="GF311" s="9"/>
      <c r="GG311" s="9"/>
      <c r="GH311" s="9"/>
      <c r="GI311" s="9"/>
      <c r="GJ311" s="9"/>
      <c r="GK311" s="9"/>
      <c r="GL311" s="9"/>
      <c r="GM311" s="9"/>
      <c r="GN311" s="9"/>
      <c r="GO311" s="9"/>
      <c r="GP311" s="9"/>
      <c r="GQ311" s="9"/>
      <c r="GR311" s="9"/>
      <c r="GS311" s="9"/>
      <c r="GT311" s="9"/>
      <c r="GU311" s="9"/>
      <c r="GV311" s="9"/>
      <c r="GW311" s="9"/>
      <c r="GX311" s="9"/>
      <c r="GY311" s="9"/>
      <c r="GZ311" s="9"/>
      <c r="HA311" s="9"/>
      <c r="HB311" s="9"/>
      <c r="HC311" s="9"/>
      <c r="HD311" s="9"/>
      <c r="HE311" s="9"/>
      <c r="HF311" s="9"/>
      <c r="HG311" s="9"/>
      <c r="HH311" s="9"/>
      <c r="HI311" s="9"/>
      <c r="HJ311" s="9"/>
      <c r="HK311" s="9"/>
      <c r="HL311" s="9"/>
      <c r="HM311" s="9" t="s">
        <v>969</v>
      </c>
      <c r="HN311" s="9"/>
      <c r="HO311" s="9"/>
      <c r="HP311" s="9"/>
      <c r="HQ311" s="9"/>
      <c r="HR311" s="9"/>
      <c r="HS311" s="9"/>
      <c r="HT311" s="9"/>
      <c r="HU311" s="9"/>
      <c r="HV311" s="9"/>
      <c r="HW311" s="9"/>
      <c r="HX311" s="9"/>
      <c r="HY311" s="9"/>
      <c r="HZ311" s="9"/>
      <c r="IA311" s="9"/>
      <c r="IB311" s="67"/>
      <c r="IC311" s="68"/>
      <c r="ID311" s="63"/>
      <c r="IE311" s="71"/>
    </row>
    <row r="312" spans="1:239" s="11" customFormat="1" ht="26" x14ac:dyDescent="0.2">
      <c r="A312" s="9">
        <v>20</v>
      </c>
      <c r="B312" s="9"/>
      <c r="C312" s="9"/>
      <c r="D312" s="9" t="s">
        <v>969</v>
      </c>
      <c r="E312" s="65" t="s">
        <v>967</v>
      </c>
      <c r="F312" s="65"/>
      <c r="G312" s="91" t="s">
        <v>2465</v>
      </c>
      <c r="H312" s="66" t="s">
        <v>1370</v>
      </c>
      <c r="I312" s="9"/>
      <c r="J312" s="9" t="s">
        <v>1101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  <c r="EN312" s="9"/>
      <c r="EO312" s="9"/>
      <c r="EP312" s="9"/>
      <c r="EQ312" s="9"/>
      <c r="ER312" s="9"/>
      <c r="ES312" s="9"/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  <c r="FO312" s="9"/>
      <c r="FP312" s="9"/>
      <c r="FQ312" s="9"/>
      <c r="FR312" s="9"/>
      <c r="FS312" s="9"/>
      <c r="FT312" s="9"/>
      <c r="FU312" s="9"/>
      <c r="FV312" s="9"/>
      <c r="FW312" s="9"/>
      <c r="FX312" s="9"/>
      <c r="FY312" s="9"/>
      <c r="FZ312" s="9"/>
      <c r="GA312" s="9"/>
      <c r="GB312" s="9"/>
      <c r="GC312" s="9"/>
      <c r="GD312" s="9"/>
      <c r="GE312" s="9"/>
      <c r="GF312" s="9"/>
      <c r="GG312" s="9"/>
      <c r="GH312" s="9"/>
      <c r="GI312" s="9"/>
      <c r="GJ312" s="9"/>
      <c r="GK312" s="9"/>
      <c r="GL312" s="9"/>
      <c r="GM312" s="9"/>
      <c r="GN312" s="9"/>
      <c r="GO312" s="9"/>
      <c r="GP312" s="9"/>
      <c r="GQ312" s="9"/>
      <c r="GR312" s="9"/>
      <c r="GS312" s="9"/>
      <c r="GT312" s="9"/>
      <c r="GU312" s="9"/>
      <c r="GV312" s="9"/>
      <c r="GW312" s="9"/>
      <c r="GX312" s="9"/>
      <c r="GY312" s="9"/>
      <c r="GZ312" s="9"/>
      <c r="HA312" s="9"/>
      <c r="HB312" s="9"/>
      <c r="HC312" s="9"/>
      <c r="HD312" s="9"/>
      <c r="HE312" s="9"/>
      <c r="HF312" s="9"/>
      <c r="HG312" s="9"/>
      <c r="HH312" s="9"/>
      <c r="HI312" s="9"/>
      <c r="HJ312" s="9"/>
      <c r="HK312" s="9"/>
      <c r="HL312" s="9"/>
      <c r="HM312" s="9" t="s">
        <v>2174</v>
      </c>
      <c r="HN312" s="9"/>
      <c r="HO312" s="9"/>
      <c r="HP312" s="9"/>
      <c r="HQ312" s="9"/>
      <c r="HR312" s="9"/>
      <c r="HS312" s="9"/>
      <c r="HT312" s="9"/>
      <c r="HU312" s="9"/>
      <c r="HV312" s="9"/>
      <c r="HW312" s="9"/>
      <c r="HX312" s="9"/>
      <c r="HY312" s="9"/>
      <c r="HZ312" s="9"/>
      <c r="IA312" s="9"/>
      <c r="IB312" s="67"/>
      <c r="IC312" s="68"/>
      <c r="ID312" s="63"/>
      <c r="IE312" s="71"/>
    </row>
    <row r="313" spans="1:239" s="11" customFormat="1" x14ac:dyDescent="0.2">
      <c r="A313" s="9">
        <v>20</v>
      </c>
      <c r="B313" s="9"/>
      <c r="C313" s="9"/>
      <c r="D313" s="9" t="s">
        <v>974</v>
      </c>
      <c r="E313" s="65" t="s">
        <v>973</v>
      </c>
      <c r="F313" s="65"/>
      <c r="G313" s="91" t="s">
        <v>2466</v>
      </c>
      <c r="H313" s="66" t="s">
        <v>1371</v>
      </c>
      <c r="I313" s="9"/>
      <c r="J313" s="9" t="s">
        <v>1098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  <c r="EN313" s="9"/>
      <c r="EO313" s="9"/>
      <c r="EP313" s="9"/>
      <c r="EQ313" s="9"/>
      <c r="ER313" s="9"/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/>
      <c r="FD313" s="9"/>
      <c r="FE313" s="9"/>
      <c r="FF313" s="9"/>
      <c r="FG313" s="9"/>
      <c r="FH313" s="9"/>
      <c r="FI313" s="9"/>
      <c r="FJ313" s="9"/>
      <c r="FK313" s="9"/>
      <c r="FL313" s="9"/>
      <c r="FM313" s="9"/>
      <c r="FN313" s="9"/>
      <c r="FO313" s="9"/>
      <c r="FP313" s="9"/>
      <c r="FQ313" s="9"/>
      <c r="FR313" s="9"/>
      <c r="FS313" s="9"/>
      <c r="FT313" s="9"/>
      <c r="FU313" s="9"/>
      <c r="FV313" s="9"/>
      <c r="FW313" s="9"/>
      <c r="FX313" s="9"/>
      <c r="FY313" s="9"/>
      <c r="FZ313" s="9"/>
      <c r="GA313" s="9"/>
      <c r="GB313" s="9"/>
      <c r="GC313" s="9"/>
      <c r="GD313" s="9"/>
      <c r="GE313" s="9"/>
      <c r="GF313" s="9"/>
      <c r="GG313" s="9"/>
      <c r="GH313" s="9"/>
      <c r="GI313" s="9"/>
      <c r="GJ313" s="9"/>
      <c r="GK313" s="9"/>
      <c r="GL313" s="9"/>
      <c r="GM313" s="9"/>
      <c r="GN313" s="9"/>
      <c r="GO313" s="9"/>
      <c r="GP313" s="9"/>
      <c r="GQ313" s="9"/>
      <c r="GR313" s="9"/>
      <c r="GS313" s="9"/>
      <c r="GT313" s="9"/>
      <c r="GU313" s="9"/>
      <c r="GV313" s="9"/>
      <c r="GW313" s="9"/>
      <c r="GX313" s="9"/>
      <c r="GY313" s="9"/>
      <c r="GZ313" s="9"/>
      <c r="HA313" s="9"/>
      <c r="HB313" s="9"/>
      <c r="HC313" s="9"/>
      <c r="HD313" s="9"/>
      <c r="HE313" s="9"/>
      <c r="HF313" s="9"/>
      <c r="HG313" s="9"/>
      <c r="HH313" s="9"/>
      <c r="HI313" s="9"/>
      <c r="HJ313" s="9"/>
      <c r="HK313" s="9"/>
      <c r="HL313" s="9"/>
      <c r="HM313" s="9"/>
      <c r="HN313" s="9"/>
      <c r="HO313" s="9"/>
      <c r="HP313" s="9"/>
      <c r="HQ313" s="9" t="s">
        <v>1098</v>
      </c>
      <c r="HR313" s="9"/>
      <c r="HS313" s="9"/>
      <c r="HT313" s="9"/>
      <c r="HU313" s="9"/>
      <c r="HV313" s="9"/>
      <c r="HW313" s="9"/>
      <c r="HX313" s="9"/>
      <c r="HY313" s="9"/>
      <c r="HZ313" s="9"/>
      <c r="IA313" s="9"/>
      <c r="IB313" s="67"/>
      <c r="IC313" s="68"/>
      <c r="ID313" s="63"/>
      <c r="IE313" s="71"/>
    </row>
    <row r="314" spans="1:239" s="11" customFormat="1" x14ac:dyDescent="0.2">
      <c r="A314" s="9">
        <v>20</v>
      </c>
      <c r="B314" s="9"/>
      <c r="C314" s="9"/>
      <c r="D314" s="9" t="s">
        <v>975</v>
      </c>
      <c r="E314" s="65" t="s">
        <v>971</v>
      </c>
      <c r="F314" s="65"/>
      <c r="G314" s="91" t="s">
        <v>2467</v>
      </c>
      <c r="H314" s="66" t="s">
        <v>1372</v>
      </c>
      <c r="I314" s="9"/>
      <c r="J314" s="9" t="s">
        <v>1098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  <c r="FI314" s="9"/>
      <c r="FJ314" s="9"/>
      <c r="FK314" s="9"/>
      <c r="FL314" s="9"/>
      <c r="FM314" s="9"/>
      <c r="FN314" s="9"/>
      <c r="FO314" s="9"/>
      <c r="FP314" s="9"/>
      <c r="FQ314" s="9"/>
      <c r="FR314" s="9"/>
      <c r="FS314" s="9"/>
      <c r="FT314" s="9"/>
      <c r="FU314" s="9"/>
      <c r="FV314" s="9"/>
      <c r="FW314" s="9"/>
      <c r="FX314" s="9"/>
      <c r="FY314" s="9"/>
      <c r="FZ314" s="9"/>
      <c r="GA314" s="9"/>
      <c r="GB314" s="9"/>
      <c r="GC314" s="9"/>
      <c r="GD314" s="9"/>
      <c r="GE314" s="9"/>
      <c r="GF314" s="9"/>
      <c r="GG314" s="9"/>
      <c r="GH314" s="9"/>
      <c r="GI314" s="9"/>
      <c r="GJ314" s="9"/>
      <c r="GK314" s="9"/>
      <c r="GL314" s="9"/>
      <c r="GM314" s="9"/>
      <c r="GN314" s="9"/>
      <c r="GO314" s="9"/>
      <c r="GP314" s="9"/>
      <c r="GQ314" s="9"/>
      <c r="GR314" s="9"/>
      <c r="GS314" s="9"/>
      <c r="GT314" s="9"/>
      <c r="GU314" s="9"/>
      <c r="GV314" s="9"/>
      <c r="GW314" s="9"/>
      <c r="GX314" s="9"/>
      <c r="GY314" s="9"/>
      <c r="GZ314" s="9"/>
      <c r="HA314" s="9"/>
      <c r="HB314" s="9"/>
      <c r="HC314" s="9"/>
      <c r="HD314" s="9"/>
      <c r="HE314" s="9"/>
      <c r="HF314" s="9"/>
      <c r="HG314" s="9"/>
      <c r="HH314" s="9"/>
      <c r="HI314" s="9"/>
      <c r="HJ314" s="9"/>
      <c r="HK314" s="9"/>
      <c r="HL314" s="9"/>
      <c r="HM314" s="9"/>
      <c r="HN314" s="9"/>
      <c r="HO314" s="9"/>
      <c r="HP314" s="9"/>
      <c r="HQ314" s="9" t="s">
        <v>977</v>
      </c>
      <c r="HR314" s="9"/>
      <c r="HS314" s="9"/>
      <c r="HT314" s="9"/>
      <c r="HU314" s="9"/>
      <c r="HV314" s="9"/>
      <c r="HW314" s="9"/>
      <c r="HX314" s="9"/>
      <c r="HY314" s="9"/>
      <c r="HZ314" s="9"/>
      <c r="IA314" s="9"/>
      <c r="IB314" s="67"/>
      <c r="IC314" s="68"/>
      <c r="ID314" s="63"/>
      <c r="IE314" s="71"/>
    </row>
    <row r="315" spans="1:239" s="11" customFormat="1" x14ac:dyDescent="0.2">
      <c r="A315" s="9">
        <v>20</v>
      </c>
      <c r="B315" s="9"/>
      <c r="C315" s="9"/>
      <c r="D315" s="9" t="s">
        <v>977</v>
      </c>
      <c r="E315" s="65" t="s">
        <v>971</v>
      </c>
      <c r="F315" s="65"/>
      <c r="G315" s="91" t="s">
        <v>2468</v>
      </c>
      <c r="H315" s="66" t="s">
        <v>1373</v>
      </c>
      <c r="I315" s="9"/>
      <c r="J315" s="9" t="s">
        <v>1101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  <c r="EN315" s="9"/>
      <c r="EO315" s="9"/>
      <c r="EP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E315" s="9"/>
      <c r="FF315" s="9"/>
      <c r="FG315" s="9"/>
      <c r="FH315" s="9"/>
      <c r="FI315" s="9"/>
      <c r="FJ315" s="9"/>
      <c r="FK315" s="9"/>
      <c r="FL315" s="9"/>
      <c r="FM315" s="9"/>
      <c r="FN315" s="9"/>
      <c r="FO315" s="9"/>
      <c r="FP315" s="9"/>
      <c r="FQ315" s="9"/>
      <c r="FR315" s="9"/>
      <c r="FS315" s="9"/>
      <c r="FT315" s="9"/>
      <c r="FU315" s="9"/>
      <c r="FV315" s="9"/>
      <c r="FW315" s="9"/>
      <c r="FX315" s="9"/>
      <c r="FY315" s="9"/>
      <c r="FZ315" s="9"/>
      <c r="GA315" s="9"/>
      <c r="GB315" s="9"/>
      <c r="GC315" s="9"/>
      <c r="GD315" s="9"/>
      <c r="GE315" s="9"/>
      <c r="GF315" s="9"/>
      <c r="GG315" s="9"/>
      <c r="GH315" s="9"/>
      <c r="GI315" s="9"/>
      <c r="GJ315" s="9"/>
      <c r="GK315" s="9"/>
      <c r="GL315" s="9"/>
      <c r="GM315" s="9"/>
      <c r="GN315" s="9"/>
      <c r="GO315" s="9"/>
      <c r="GP315" s="9"/>
      <c r="GQ315" s="9"/>
      <c r="GR315" s="9"/>
      <c r="GS315" s="9"/>
      <c r="GT315" s="9"/>
      <c r="GU315" s="9"/>
      <c r="GV315" s="9"/>
      <c r="GW315" s="9"/>
      <c r="GX315" s="9"/>
      <c r="GY315" s="9"/>
      <c r="GZ315" s="9"/>
      <c r="HA315" s="9"/>
      <c r="HB315" s="9"/>
      <c r="HC315" s="9"/>
      <c r="HD315" s="9"/>
      <c r="HE315" s="9"/>
      <c r="HF315" s="9"/>
      <c r="HG315" s="9"/>
      <c r="HH315" s="9"/>
      <c r="HI315" s="9"/>
      <c r="HJ315" s="9"/>
      <c r="HK315" s="9"/>
      <c r="HL315" s="9"/>
      <c r="HM315" s="9"/>
      <c r="HN315" s="9"/>
      <c r="HO315" s="9"/>
      <c r="HP315" s="9"/>
      <c r="HQ315" s="9" t="s">
        <v>2175</v>
      </c>
      <c r="HR315" s="9"/>
      <c r="HS315" s="9"/>
      <c r="HT315" s="9"/>
      <c r="HU315" s="9"/>
      <c r="HV315" s="9"/>
      <c r="HW315" s="9"/>
      <c r="HX315" s="9"/>
      <c r="HY315" s="9"/>
      <c r="HZ315" s="9"/>
      <c r="IA315" s="9"/>
      <c r="IB315" s="67"/>
      <c r="IC315" s="68"/>
      <c r="ID315" s="63"/>
      <c r="IE315" s="71"/>
    </row>
    <row r="316" spans="1:239" s="11" customFormat="1" x14ac:dyDescent="0.2">
      <c r="A316" s="9">
        <v>20</v>
      </c>
      <c r="B316" s="9"/>
      <c r="C316" s="9"/>
      <c r="D316" s="9" t="s">
        <v>987</v>
      </c>
      <c r="E316" s="65" t="s">
        <v>989</v>
      </c>
      <c r="F316" s="65"/>
      <c r="G316" s="91" t="s">
        <v>2469</v>
      </c>
      <c r="H316" s="66" t="s">
        <v>1374</v>
      </c>
      <c r="I316" s="9"/>
      <c r="J316" s="9" t="s">
        <v>1098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  <c r="FO316" s="9"/>
      <c r="FP316" s="9"/>
      <c r="FQ316" s="9"/>
      <c r="FR316" s="9"/>
      <c r="FS316" s="9"/>
      <c r="FT316" s="9"/>
      <c r="FU316" s="9"/>
      <c r="FV316" s="9"/>
      <c r="FW316" s="9"/>
      <c r="FX316" s="9"/>
      <c r="FY316" s="9"/>
      <c r="FZ316" s="9"/>
      <c r="GA316" s="9"/>
      <c r="GB316" s="9"/>
      <c r="GC316" s="9"/>
      <c r="GD316" s="9"/>
      <c r="GE316" s="9"/>
      <c r="GF316" s="9"/>
      <c r="GG316" s="9"/>
      <c r="GH316" s="9"/>
      <c r="GI316" s="9"/>
      <c r="GJ316" s="9"/>
      <c r="GK316" s="9"/>
      <c r="GL316" s="9"/>
      <c r="GM316" s="9"/>
      <c r="GN316" s="9"/>
      <c r="GO316" s="9"/>
      <c r="GP316" s="9"/>
      <c r="GQ316" s="9"/>
      <c r="GR316" s="9"/>
      <c r="GS316" s="9"/>
      <c r="GT316" s="9"/>
      <c r="GU316" s="9"/>
      <c r="GV316" s="9"/>
      <c r="GW316" s="9"/>
      <c r="GX316" s="9"/>
      <c r="GY316" s="9"/>
      <c r="GZ316" s="9"/>
      <c r="HA316" s="9"/>
      <c r="HB316" s="9"/>
      <c r="HC316" s="9"/>
      <c r="HD316" s="9"/>
      <c r="HE316" s="9"/>
      <c r="HF316" s="9"/>
      <c r="HG316" s="9"/>
      <c r="HH316" s="9"/>
      <c r="HI316" s="9"/>
      <c r="HJ316" s="9"/>
      <c r="HK316" s="9"/>
      <c r="HL316" s="9"/>
      <c r="HM316" s="9"/>
      <c r="HN316" s="9"/>
      <c r="HO316" s="9"/>
      <c r="HP316" s="9"/>
      <c r="HQ316" s="9"/>
      <c r="HR316" s="9"/>
      <c r="HS316" s="9"/>
      <c r="HT316" s="9"/>
      <c r="HU316" s="9" t="s">
        <v>1098</v>
      </c>
      <c r="HV316" s="9"/>
      <c r="HW316" s="9"/>
      <c r="HX316" s="9"/>
      <c r="HY316" s="9"/>
      <c r="HZ316" s="9"/>
      <c r="IA316" s="9"/>
      <c r="IB316" s="67"/>
      <c r="IC316" s="68"/>
      <c r="ID316" s="63"/>
      <c r="IE316" s="71"/>
    </row>
    <row r="317" spans="1:239" s="11" customFormat="1" x14ac:dyDescent="0.2">
      <c r="A317" s="9">
        <v>20</v>
      </c>
      <c r="B317" s="9"/>
      <c r="C317" s="9"/>
      <c r="D317" s="9" t="s">
        <v>986</v>
      </c>
      <c r="E317" s="65" t="s">
        <v>963</v>
      </c>
      <c r="F317" s="65"/>
      <c r="G317" s="91" t="s">
        <v>2470</v>
      </c>
      <c r="H317" s="66" t="s">
        <v>1375</v>
      </c>
      <c r="I317" s="9"/>
      <c r="J317" s="9" t="s">
        <v>1098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  <c r="EN317" s="9"/>
      <c r="EO317" s="9"/>
      <c r="EP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E317" s="9"/>
      <c r="FF317" s="9"/>
      <c r="FG317" s="9"/>
      <c r="FH317" s="9"/>
      <c r="FI317" s="9"/>
      <c r="FJ317" s="9"/>
      <c r="FK317" s="9"/>
      <c r="FL317" s="9"/>
      <c r="FM317" s="9"/>
      <c r="FN317" s="9"/>
      <c r="FO317" s="9"/>
      <c r="FP317" s="9"/>
      <c r="FQ317" s="9"/>
      <c r="FR317" s="9"/>
      <c r="FS317" s="9"/>
      <c r="FT317" s="9"/>
      <c r="FU317" s="9"/>
      <c r="FV317" s="9"/>
      <c r="FW317" s="9"/>
      <c r="FX317" s="9"/>
      <c r="FY317" s="9"/>
      <c r="FZ317" s="9"/>
      <c r="GA317" s="9"/>
      <c r="GB317" s="9"/>
      <c r="GC317" s="9"/>
      <c r="GD317" s="9"/>
      <c r="GE317" s="9"/>
      <c r="GF317" s="9"/>
      <c r="GG317" s="9"/>
      <c r="GH317" s="9"/>
      <c r="GI317" s="9"/>
      <c r="GJ317" s="9"/>
      <c r="GK317" s="9"/>
      <c r="GL317" s="9"/>
      <c r="GM317" s="9"/>
      <c r="GN317" s="9"/>
      <c r="GO317" s="9"/>
      <c r="GP317" s="9"/>
      <c r="GQ317" s="9"/>
      <c r="GR317" s="9"/>
      <c r="GS317" s="9"/>
      <c r="GT317" s="9"/>
      <c r="GU317" s="9"/>
      <c r="GV317" s="9"/>
      <c r="GW317" s="9"/>
      <c r="GX317" s="9"/>
      <c r="GY317" s="9"/>
      <c r="GZ317" s="9"/>
      <c r="HA317" s="9"/>
      <c r="HB317" s="9"/>
      <c r="HC317" s="9"/>
      <c r="HD317" s="9"/>
      <c r="HE317" s="9"/>
      <c r="HF317" s="9"/>
      <c r="HG317" s="9"/>
      <c r="HH317" s="9"/>
      <c r="HI317" s="9"/>
      <c r="HJ317" s="9"/>
      <c r="HK317" s="9"/>
      <c r="HL317" s="9"/>
      <c r="HM317" s="9"/>
      <c r="HN317" s="9"/>
      <c r="HO317" s="9"/>
      <c r="HP317" s="9"/>
      <c r="HQ317" s="9"/>
      <c r="HR317" s="9"/>
      <c r="HS317" s="9"/>
      <c r="HT317" s="9"/>
      <c r="HU317" s="9" t="s">
        <v>965</v>
      </c>
      <c r="HV317" s="9"/>
      <c r="HW317" s="9"/>
      <c r="HX317" s="9"/>
      <c r="HY317" s="9"/>
      <c r="HZ317" s="9"/>
      <c r="IA317" s="9"/>
      <c r="IB317" s="67"/>
      <c r="IC317" s="68"/>
      <c r="ID317" s="63"/>
      <c r="IE317" s="71"/>
    </row>
    <row r="318" spans="1:239" s="11" customFormat="1" x14ac:dyDescent="0.2">
      <c r="A318" s="9">
        <v>20</v>
      </c>
      <c r="B318" s="9"/>
      <c r="C318" s="9"/>
      <c r="D318" s="9" t="s">
        <v>965</v>
      </c>
      <c r="E318" s="65" t="s">
        <v>963</v>
      </c>
      <c r="F318" s="65"/>
      <c r="G318" s="91" t="s">
        <v>2471</v>
      </c>
      <c r="H318" s="66" t="s">
        <v>1376</v>
      </c>
      <c r="I318" s="9"/>
      <c r="J318" s="9" t="s">
        <v>1101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  <c r="FI318" s="9"/>
      <c r="FJ318" s="9"/>
      <c r="FK318" s="9"/>
      <c r="FL318" s="9"/>
      <c r="FM318" s="9"/>
      <c r="FN318" s="9"/>
      <c r="FO318" s="9"/>
      <c r="FP318" s="9"/>
      <c r="FQ318" s="9"/>
      <c r="FR318" s="9"/>
      <c r="FS318" s="9"/>
      <c r="FT318" s="9"/>
      <c r="FU318" s="9"/>
      <c r="FV318" s="9"/>
      <c r="FW318" s="9"/>
      <c r="FX318" s="9"/>
      <c r="FY318" s="9"/>
      <c r="FZ318" s="9"/>
      <c r="GA318" s="9"/>
      <c r="GB318" s="9"/>
      <c r="GC318" s="9"/>
      <c r="GD318" s="9"/>
      <c r="GE318" s="9"/>
      <c r="GF318" s="9"/>
      <c r="GG318" s="9"/>
      <c r="GH318" s="9"/>
      <c r="GI318" s="9"/>
      <c r="GJ318" s="9"/>
      <c r="GK318" s="9"/>
      <c r="GL318" s="9"/>
      <c r="GM318" s="9"/>
      <c r="GN318" s="9"/>
      <c r="GO318" s="9"/>
      <c r="GP318" s="9"/>
      <c r="GQ318" s="9"/>
      <c r="GR318" s="9"/>
      <c r="GS318" s="9"/>
      <c r="GT318" s="9"/>
      <c r="GU318" s="9"/>
      <c r="GV318" s="9"/>
      <c r="GW318" s="9"/>
      <c r="GX318" s="9"/>
      <c r="GY318" s="9"/>
      <c r="GZ318" s="9"/>
      <c r="HA318" s="9"/>
      <c r="HB318" s="9"/>
      <c r="HC318" s="9"/>
      <c r="HD318" s="9"/>
      <c r="HE318" s="9"/>
      <c r="HF318" s="9"/>
      <c r="HG318" s="9"/>
      <c r="HH318" s="9"/>
      <c r="HI318" s="9"/>
      <c r="HJ318" s="9"/>
      <c r="HK318" s="9"/>
      <c r="HL318" s="9"/>
      <c r="HM318" s="9"/>
      <c r="HN318" s="9"/>
      <c r="HO318" s="9"/>
      <c r="HP318" s="9"/>
      <c r="HQ318" s="9"/>
      <c r="HR318" s="9"/>
      <c r="HS318" s="9"/>
      <c r="HT318" s="9"/>
      <c r="HU318" s="9" t="s">
        <v>2176</v>
      </c>
      <c r="HV318" s="9"/>
      <c r="HW318" s="9"/>
      <c r="HX318" s="9"/>
      <c r="HY318" s="9"/>
      <c r="HZ318" s="9"/>
      <c r="IA318" s="9"/>
      <c r="IB318" s="67"/>
      <c r="IC318" s="68"/>
      <c r="ID318" s="63"/>
      <c r="IE318" s="71"/>
    </row>
    <row r="319" spans="1:239" s="11" customFormat="1" x14ac:dyDescent="0.2">
      <c r="A319" s="9">
        <v>20</v>
      </c>
      <c r="B319" s="9"/>
      <c r="C319" s="9"/>
      <c r="D319" s="9" t="s">
        <v>2036</v>
      </c>
      <c r="E319" s="65" t="s">
        <v>2039</v>
      </c>
      <c r="F319" s="65"/>
      <c r="G319" s="91" t="s">
        <v>2310</v>
      </c>
      <c r="H319" s="66" t="s">
        <v>2041</v>
      </c>
      <c r="I319" s="9"/>
      <c r="J319" s="9" t="s">
        <v>1041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  <c r="EN319" s="9"/>
      <c r="EO319" s="9"/>
      <c r="EP319" s="9"/>
      <c r="EQ319" s="9"/>
      <c r="ER319" s="9"/>
      <c r="ES319" s="9"/>
      <c r="ET319" s="9"/>
      <c r="EU319" s="9"/>
      <c r="EV319" s="9"/>
      <c r="EW319" s="9"/>
      <c r="EX319" s="9"/>
      <c r="EY319" s="9"/>
      <c r="EZ319" s="9"/>
      <c r="FA319" s="9"/>
      <c r="FB319" s="9"/>
      <c r="FC319" s="9"/>
      <c r="FD319" s="9"/>
      <c r="FE319" s="9"/>
      <c r="FF319" s="9"/>
      <c r="FG319" s="9"/>
      <c r="FH319" s="9"/>
      <c r="FI319" s="9"/>
      <c r="FJ319" s="9"/>
      <c r="FK319" s="9"/>
      <c r="FL319" s="9"/>
      <c r="FM319" s="9"/>
      <c r="FN319" s="9"/>
      <c r="FO319" s="9"/>
      <c r="FP319" s="9"/>
      <c r="FQ319" s="9"/>
      <c r="FR319" s="9"/>
      <c r="FS319" s="9"/>
      <c r="FT319" s="9"/>
      <c r="FU319" s="9"/>
      <c r="FV319" s="9"/>
      <c r="FW319" s="9"/>
      <c r="FX319" s="9"/>
      <c r="FY319" s="9"/>
      <c r="FZ319" s="9"/>
      <c r="GA319" s="9"/>
      <c r="GB319" s="9"/>
      <c r="GC319" s="9"/>
      <c r="GD319" s="9"/>
      <c r="GE319" s="9"/>
      <c r="GF319" s="9"/>
      <c r="GG319" s="9"/>
      <c r="GH319" s="9"/>
      <c r="GI319" s="9"/>
      <c r="GJ319" s="9"/>
      <c r="GK319" s="9"/>
      <c r="GL319" s="9"/>
      <c r="GM319" s="9"/>
      <c r="GN319" s="9"/>
      <c r="GO319" s="9"/>
      <c r="GP319" s="9"/>
      <c r="GQ319" s="9"/>
      <c r="GR319" s="9"/>
      <c r="GS319" s="9"/>
      <c r="GT319" s="9"/>
      <c r="GU319" s="9"/>
      <c r="GV319" s="9"/>
      <c r="GW319" s="9"/>
      <c r="GX319" s="9"/>
      <c r="GY319" s="9"/>
      <c r="GZ319" s="9"/>
      <c r="HA319" s="9"/>
      <c r="HB319" s="9"/>
      <c r="HC319" s="9"/>
      <c r="HD319" s="9"/>
      <c r="HE319" s="9"/>
      <c r="HF319" s="9"/>
      <c r="HG319" s="9"/>
      <c r="HH319" s="9"/>
      <c r="HI319" s="9"/>
      <c r="HJ319" s="9"/>
      <c r="HK319" s="9"/>
      <c r="HL319" s="9"/>
      <c r="HM319" s="9"/>
      <c r="HN319" s="9"/>
      <c r="HO319" s="9"/>
      <c r="HP319" s="9"/>
      <c r="HQ319" s="9"/>
      <c r="HR319" s="9"/>
      <c r="HS319" s="9"/>
      <c r="HT319" s="9"/>
      <c r="HU319" s="9"/>
      <c r="HV319" s="9"/>
      <c r="HW319" s="9"/>
      <c r="HX319" s="9"/>
      <c r="HY319" s="9" t="s">
        <v>1098</v>
      </c>
      <c r="HZ319" s="9"/>
      <c r="IA319" s="9"/>
      <c r="IB319" s="67"/>
      <c r="IC319" s="68"/>
      <c r="ID319" s="63"/>
      <c r="IE319" s="71"/>
    </row>
    <row r="320" spans="1:239" s="11" customFormat="1" x14ac:dyDescent="0.2">
      <c r="A320" s="9">
        <v>20</v>
      </c>
      <c r="B320" s="9"/>
      <c r="C320" s="9"/>
      <c r="D320" s="9" t="s">
        <v>2037</v>
      </c>
      <c r="E320" s="65" t="s">
        <v>2040</v>
      </c>
      <c r="F320" s="65"/>
      <c r="G320" s="91" t="s">
        <v>2311</v>
      </c>
      <c r="H320" s="66" t="s">
        <v>2042</v>
      </c>
      <c r="I320" s="9"/>
      <c r="J320" s="9" t="s">
        <v>1041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9"/>
      <c r="FK320" s="9"/>
      <c r="FL320" s="9"/>
      <c r="FM320" s="9"/>
      <c r="FN320" s="9"/>
      <c r="FO320" s="9"/>
      <c r="FP320" s="9"/>
      <c r="FQ320" s="9"/>
      <c r="FR320" s="9"/>
      <c r="FS320" s="9"/>
      <c r="FT320" s="9"/>
      <c r="FU320" s="9"/>
      <c r="FV320" s="9"/>
      <c r="FW320" s="9"/>
      <c r="FX320" s="9"/>
      <c r="FY320" s="9"/>
      <c r="FZ320" s="9"/>
      <c r="GA320" s="9"/>
      <c r="GB320" s="9"/>
      <c r="GC320" s="9"/>
      <c r="GD320" s="9"/>
      <c r="GE320" s="9"/>
      <c r="GF320" s="9"/>
      <c r="GG320" s="9"/>
      <c r="GH320" s="9"/>
      <c r="GI320" s="9"/>
      <c r="GJ320" s="9"/>
      <c r="GK320" s="9"/>
      <c r="GL320" s="9"/>
      <c r="GM320" s="9"/>
      <c r="GN320" s="9"/>
      <c r="GO320" s="9"/>
      <c r="GP320" s="9"/>
      <c r="GQ320" s="9"/>
      <c r="GR320" s="9"/>
      <c r="GS320" s="9"/>
      <c r="GT320" s="9"/>
      <c r="GU320" s="9"/>
      <c r="GV320" s="9"/>
      <c r="GW320" s="9"/>
      <c r="GX320" s="9"/>
      <c r="GY320" s="9"/>
      <c r="GZ320" s="9"/>
      <c r="HA320" s="9"/>
      <c r="HB320" s="9"/>
      <c r="HC320" s="9"/>
      <c r="HD320" s="9"/>
      <c r="HE320" s="9"/>
      <c r="HF320" s="9"/>
      <c r="HG320" s="9"/>
      <c r="HH320" s="9"/>
      <c r="HI320" s="9"/>
      <c r="HJ320" s="9"/>
      <c r="HK320" s="9"/>
      <c r="HL320" s="9"/>
      <c r="HM320" s="9"/>
      <c r="HN320" s="9"/>
      <c r="HO320" s="9"/>
      <c r="HP320" s="9"/>
      <c r="HQ320" s="9"/>
      <c r="HR320" s="9"/>
      <c r="HS320" s="9"/>
      <c r="HT320" s="9"/>
      <c r="HU320" s="9"/>
      <c r="HV320" s="9"/>
      <c r="HW320" s="9"/>
      <c r="HX320" s="9"/>
      <c r="HY320" s="9" t="s">
        <v>2038</v>
      </c>
      <c r="HZ320" s="9"/>
      <c r="IA320" s="9"/>
      <c r="IB320" s="67"/>
      <c r="IC320" s="68"/>
      <c r="ID320" s="63"/>
      <c r="IE320" s="71"/>
    </row>
    <row r="321" spans="1:239" s="11" customFormat="1" ht="26" x14ac:dyDescent="0.2">
      <c r="A321" s="9">
        <v>20</v>
      </c>
      <c r="B321" s="9"/>
      <c r="C321" s="9"/>
      <c r="D321" s="9" t="s">
        <v>2038</v>
      </c>
      <c r="E321" s="65" t="s">
        <v>2040</v>
      </c>
      <c r="F321" s="65"/>
      <c r="G321" s="91" t="s">
        <v>2472</v>
      </c>
      <c r="H321" s="66" t="s">
        <v>2043</v>
      </c>
      <c r="I321" s="9"/>
      <c r="J321" s="9" t="s">
        <v>1041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  <c r="EN321" s="9"/>
      <c r="EO321" s="9"/>
      <c r="EP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E321" s="9"/>
      <c r="FF321" s="9"/>
      <c r="FG321" s="9"/>
      <c r="FH321" s="9"/>
      <c r="FI321" s="9"/>
      <c r="FJ321" s="9"/>
      <c r="FK321" s="9"/>
      <c r="FL321" s="9"/>
      <c r="FM321" s="9"/>
      <c r="FN321" s="9"/>
      <c r="FO321" s="9"/>
      <c r="FP321" s="9"/>
      <c r="FQ321" s="9"/>
      <c r="FR321" s="9"/>
      <c r="FS321" s="9"/>
      <c r="FT321" s="9"/>
      <c r="FU321" s="9"/>
      <c r="FV321" s="9"/>
      <c r="FW321" s="9"/>
      <c r="FX321" s="9"/>
      <c r="FY321" s="9"/>
      <c r="FZ321" s="9"/>
      <c r="GA321" s="9"/>
      <c r="GB321" s="9"/>
      <c r="GC321" s="9"/>
      <c r="GD321" s="9"/>
      <c r="GE321" s="9"/>
      <c r="GF321" s="9"/>
      <c r="GG321" s="9"/>
      <c r="GH321" s="9"/>
      <c r="GI321" s="9"/>
      <c r="GJ321" s="9"/>
      <c r="GK321" s="9"/>
      <c r="GL321" s="9"/>
      <c r="GM321" s="9"/>
      <c r="GN321" s="9"/>
      <c r="GO321" s="9"/>
      <c r="GP321" s="9"/>
      <c r="GQ321" s="9"/>
      <c r="GR321" s="9"/>
      <c r="GS321" s="9"/>
      <c r="GT321" s="9"/>
      <c r="GU321" s="9"/>
      <c r="GV321" s="9"/>
      <c r="GW321" s="9"/>
      <c r="GX321" s="9"/>
      <c r="GY321" s="9"/>
      <c r="GZ321" s="9"/>
      <c r="HA321" s="9"/>
      <c r="HB321" s="9"/>
      <c r="HC321" s="9"/>
      <c r="HD321" s="9"/>
      <c r="HE321" s="9"/>
      <c r="HF321" s="9"/>
      <c r="HG321" s="9"/>
      <c r="HH321" s="9"/>
      <c r="HI321" s="9"/>
      <c r="HJ321" s="9"/>
      <c r="HK321" s="9"/>
      <c r="HL321" s="9"/>
      <c r="HM321" s="9"/>
      <c r="HN321" s="9"/>
      <c r="HO321" s="9"/>
      <c r="HP321" s="9"/>
      <c r="HQ321" s="9"/>
      <c r="HR321" s="9"/>
      <c r="HS321" s="9"/>
      <c r="HT321" s="9"/>
      <c r="HU321" s="9"/>
      <c r="HV321" s="9"/>
      <c r="HW321" s="9"/>
      <c r="HX321" s="9"/>
      <c r="HY321" s="9" t="s">
        <v>2177</v>
      </c>
      <c r="HZ321" s="9"/>
      <c r="IA321" s="9"/>
      <c r="IB321" s="67"/>
      <c r="IC321" s="68"/>
      <c r="ID321" s="63"/>
      <c r="IE321" s="71"/>
    </row>
    <row r="322" spans="1:239" s="11" customFormat="1" x14ac:dyDescent="0.2">
      <c r="A322" s="9">
        <v>20</v>
      </c>
      <c r="B322" s="9"/>
      <c r="C322" s="9"/>
      <c r="D322" s="9" t="s">
        <v>41</v>
      </c>
      <c r="E322" s="65" t="s">
        <v>42</v>
      </c>
      <c r="F322" s="65"/>
      <c r="G322" s="92" t="s">
        <v>2212</v>
      </c>
      <c r="H322" s="66" t="s">
        <v>1377</v>
      </c>
      <c r="I322" s="9"/>
      <c r="J322" s="9" t="s">
        <v>1101</v>
      </c>
      <c r="K322" s="9"/>
      <c r="L322" s="9"/>
      <c r="M322" s="9" t="s">
        <v>1101</v>
      </c>
      <c r="N322" s="9"/>
      <c r="O322" s="9"/>
      <c r="P322" s="9"/>
      <c r="Q322" s="9" t="s">
        <v>1101</v>
      </c>
      <c r="R322" s="9"/>
      <c r="S322" s="9"/>
      <c r="T322" s="9"/>
      <c r="U322" s="9" t="s">
        <v>1101</v>
      </c>
      <c r="V322" s="9"/>
      <c r="W322" s="9"/>
      <c r="X322" s="9"/>
      <c r="Y322" s="9" t="s">
        <v>1101</v>
      </c>
      <c r="Z322" s="9"/>
      <c r="AA322" s="9"/>
      <c r="AB322" s="9"/>
      <c r="AC322" s="9" t="s">
        <v>1101</v>
      </c>
      <c r="AD322" s="9"/>
      <c r="AE322" s="9"/>
      <c r="AF322" s="9"/>
      <c r="AG322" s="9" t="s">
        <v>1101</v>
      </c>
      <c r="AH322" s="9"/>
      <c r="AI322" s="9"/>
      <c r="AJ322" s="9"/>
      <c r="AK322" s="9" t="s">
        <v>1101</v>
      </c>
      <c r="AL322" s="9"/>
      <c r="AM322" s="9"/>
      <c r="AN322" s="9"/>
      <c r="AO322" s="9" t="s">
        <v>1101</v>
      </c>
      <c r="AP322" s="9"/>
      <c r="AQ322" s="9"/>
      <c r="AR322" s="9"/>
      <c r="AS322" s="9" t="s">
        <v>1101</v>
      </c>
      <c r="AT322" s="9"/>
      <c r="AU322" s="9"/>
      <c r="AV322" s="9"/>
      <c r="AW322" s="9" t="s">
        <v>1101</v>
      </c>
      <c r="AX322" s="9"/>
      <c r="AY322" s="9"/>
      <c r="AZ322" s="9"/>
      <c r="BA322" s="9" t="s">
        <v>1101</v>
      </c>
      <c r="BB322" s="9"/>
      <c r="BC322" s="9"/>
      <c r="BD322" s="9"/>
      <c r="BE322" s="9" t="s">
        <v>1101</v>
      </c>
      <c r="BF322" s="9"/>
      <c r="BG322" s="9"/>
      <c r="BH322" s="9"/>
      <c r="BI322" s="9" t="s">
        <v>1101</v>
      </c>
      <c r="BJ322" s="9"/>
      <c r="BK322" s="9"/>
      <c r="BL322" s="9"/>
      <c r="BM322" s="9" t="s">
        <v>1101</v>
      </c>
      <c r="BN322" s="9"/>
      <c r="BO322" s="9"/>
      <c r="BP322" s="9"/>
      <c r="BQ322" s="9" t="s">
        <v>1101</v>
      </c>
      <c r="BR322" s="9"/>
      <c r="BS322" s="9"/>
      <c r="BT322" s="9"/>
      <c r="BU322" s="9" t="s">
        <v>1101</v>
      </c>
      <c r="BV322" s="9"/>
      <c r="BW322" s="9"/>
      <c r="BX322" s="9"/>
      <c r="BY322" s="9" t="s">
        <v>1101</v>
      </c>
      <c r="BZ322" s="9"/>
      <c r="CA322" s="9"/>
      <c r="CB322" s="9"/>
      <c r="CC322" s="9" t="s">
        <v>1101</v>
      </c>
      <c r="CD322" s="9"/>
      <c r="CE322" s="9"/>
      <c r="CF322" s="9"/>
      <c r="CG322" s="9" t="s">
        <v>1101</v>
      </c>
      <c r="CH322" s="9"/>
      <c r="CI322" s="9"/>
      <c r="CJ322" s="9"/>
      <c r="CK322" s="9" t="s">
        <v>1101</v>
      </c>
      <c r="CL322" s="9"/>
      <c r="CM322" s="9"/>
      <c r="CN322" s="9"/>
      <c r="CO322" s="9" t="s">
        <v>1101</v>
      </c>
      <c r="CP322" s="9"/>
      <c r="CQ322" s="9"/>
      <c r="CR322" s="9"/>
      <c r="CS322" s="9" t="s">
        <v>1101</v>
      </c>
      <c r="CT322" s="9"/>
      <c r="CU322" s="9"/>
      <c r="CV322" s="9"/>
      <c r="CW322" s="9" t="s">
        <v>1101</v>
      </c>
      <c r="CX322" s="9"/>
      <c r="CY322" s="9"/>
      <c r="CZ322" s="9"/>
      <c r="DA322" s="9" t="s">
        <v>1101</v>
      </c>
      <c r="DB322" s="9"/>
      <c r="DC322" s="9"/>
      <c r="DD322" s="9"/>
      <c r="DE322" s="9" t="s">
        <v>1101</v>
      </c>
      <c r="DF322" s="9"/>
      <c r="DG322" s="9"/>
      <c r="DH322" s="9"/>
      <c r="DI322" s="9" t="s">
        <v>1101</v>
      </c>
      <c r="DJ322" s="9"/>
      <c r="DK322" s="9"/>
      <c r="DL322" s="9"/>
      <c r="DM322" s="9" t="s">
        <v>1101</v>
      </c>
      <c r="DN322" s="9"/>
      <c r="DO322" s="9"/>
      <c r="DP322" s="9"/>
      <c r="DQ322" s="9" t="s">
        <v>1101</v>
      </c>
      <c r="DR322" s="9"/>
      <c r="DS322" s="9"/>
      <c r="DT322" s="9"/>
      <c r="DU322" s="9" t="s">
        <v>1101</v>
      </c>
      <c r="DV322" s="9"/>
      <c r="DW322" s="9"/>
      <c r="DX322" s="9"/>
      <c r="DY322" s="9" t="s">
        <v>1101</v>
      </c>
      <c r="DZ322" s="9"/>
      <c r="EA322" s="9"/>
      <c r="EB322" s="9"/>
      <c r="EC322" s="9" t="s">
        <v>1101</v>
      </c>
      <c r="ED322" s="9"/>
      <c r="EE322" s="9"/>
      <c r="EF322" s="9"/>
      <c r="EG322" s="9" t="s">
        <v>1101</v>
      </c>
      <c r="EH322" s="9"/>
      <c r="EI322" s="9"/>
      <c r="EJ322" s="9"/>
      <c r="EK322" s="9" t="s">
        <v>1101</v>
      </c>
      <c r="EL322" s="9"/>
      <c r="EM322" s="9"/>
      <c r="EN322" s="9"/>
      <c r="EO322" s="9" t="s">
        <v>1101</v>
      </c>
      <c r="EP322" s="9"/>
      <c r="EQ322" s="9"/>
      <c r="ER322" s="9"/>
      <c r="ES322" s="9" t="s">
        <v>1101</v>
      </c>
      <c r="ET322" s="9"/>
      <c r="EU322" s="9"/>
      <c r="EV322" s="9"/>
      <c r="EW322" s="9" t="s">
        <v>1101</v>
      </c>
      <c r="EX322" s="9"/>
      <c r="EY322" s="9"/>
      <c r="EZ322" s="9"/>
      <c r="FA322" s="9" t="s">
        <v>1101</v>
      </c>
      <c r="FB322" s="9"/>
      <c r="FC322" s="9"/>
      <c r="FD322" s="9"/>
      <c r="FE322" s="9" t="s">
        <v>1101</v>
      </c>
      <c r="FF322" s="9"/>
      <c r="FG322" s="9"/>
      <c r="FH322" s="9"/>
      <c r="FI322" s="9" t="s">
        <v>1101</v>
      </c>
      <c r="FJ322" s="9"/>
      <c r="FK322" s="9"/>
      <c r="FL322" s="9"/>
      <c r="FM322" s="9" t="s">
        <v>1101</v>
      </c>
      <c r="FN322" s="9"/>
      <c r="FO322" s="9"/>
      <c r="FP322" s="9"/>
      <c r="FQ322" s="9" t="s">
        <v>1101</v>
      </c>
      <c r="FR322" s="9"/>
      <c r="FS322" s="9"/>
      <c r="FT322" s="9"/>
      <c r="FU322" s="9" t="s">
        <v>1101</v>
      </c>
      <c r="FV322" s="9"/>
      <c r="FW322" s="9"/>
      <c r="FX322" s="9"/>
      <c r="FY322" s="9" t="s">
        <v>1101</v>
      </c>
      <c r="FZ322" s="9"/>
      <c r="GA322" s="9"/>
      <c r="GB322" s="9"/>
      <c r="GC322" s="9" t="s">
        <v>1101</v>
      </c>
      <c r="GD322" s="9"/>
      <c r="GE322" s="9"/>
      <c r="GF322" s="9"/>
      <c r="GG322" s="9" t="s">
        <v>1101</v>
      </c>
      <c r="GH322" s="9"/>
      <c r="GI322" s="9"/>
      <c r="GJ322" s="9"/>
      <c r="GK322" s="9" t="s">
        <v>1101</v>
      </c>
      <c r="GL322" s="9"/>
      <c r="GM322" s="9"/>
      <c r="GN322" s="9"/>
      <c r="GO322" s="9" t="s">
        <v>1101</v>
      </c>
      <c r="GP322" s="9"/>
      <c r="GQ322" s="9"/>
      <c r="GR322" s="9"/>
      <c r="GS322" s="9" t="s">
        <v>1101</v>
      </c>
      <c r="GT322" s="9"/>
      <c r="GU322" s="9"/>
      <c r="GV322" s="9"/>
      <c r="GW322" s="9" t="s">
        <v>1101</v>
      </c>
      <c r="GX322" s="9"/>
      <c r="GY322" s="9"/>
      <c r="GZ322" s="9"/>
      <c r="HA322" s="9" t="s">
        <v>1101</v>
      </c>
      <c r="HB322" s="9"/>
      <c r="HC322" s="9"/>
      <c r="HD322" s="9"/>
      <c r="HE322" s="9" t="s">
        <v>1101</v>
      </c>
      <c r="HF322" s="9"/>
      <c r="HG322" s="9"/>
      <c r="HH322" s="9"/>
      <c r="HI322" s="9" t="s">
        <v>1101</v>
      </c>
      <c r="HJ322" s="9"/>
      <c r="HK322" s="9"/>
      <c r="HL322" s="9"/>
      <c r="HM322" s="9" t="s">
        <v>1101</v>
      </c>
      <c r="HN322" s="9"/>
      <c r="HO322" s="9"/>
      <c r="HP322" s="9"/>
      <c r="HQ322" s="9" t="s">
        <v>1101</v>
      </c>
      <c r="HR322" s="9"/>
      <c r="HS322" s="9"/>
      <c r="HT322" s="9"/>
      <c r="HU322" s="9" t="s">
        <v>1101</v>
      </c>
      <c r="HV322" s="9"/>
      <c r="HW322" s="9"/>
      <c r="HX322" s="9"/>
      <c r="HY322" s="9" t="s">
        <v>1101</v>
      </c>
      <c r="HZ322" s="9"/>
      <c r="IA322" s="9"/>
      <c r="IB322" s="67"/>
      <c r="IC322" s="68"/>
      <c r="ID322" s="157"/>
      <c r="IE322" s="158"/>
    </row>
    <row r="323" spans="1:239" s="11" customFormat="1" x14ac:dyDescent="0.2">
      <c r="A323" s="9">
        <v>20</v>
      </c>
      <c r="B323" s="9"/>
      <c r="C323" s="9"/>
      <c r="D323" s="9" t="s">
        <v>45</v>
      </c>
      <c r="E323" s="65" t="s">
        <v>46</v>
      </c>
      <c r="F323" s="65"/>
      <c r="G323" s="92" t="s">
        <v>2213</v>
      </c>
      <c r="H323" s="66" t="s">
        <v>1378</v>
      </c>
      <c r="I323" s="9"/>
      <c r="J323" s="9" t="s">
        <v>1101</v>
      </c>
      <c r="K323" s="9"/>
      <c r="L323" s="9"/>
      <c r="M323" s="9" t="s">
        <v>1101</v>
      </c>
      <c r="N323" s="9"/>
      <c r="O323" s="9"/>
      <c r="P323" s="9"/>
      <c r="Q323" s="9" t="s">
        <v>1101</v>
      </c>
      <c r="R323" s="9"/>
      <c r="S323" s="9"/>
      <c r="T323" s="9"/>
      <c r="U323" s="9" t="s">
        <v>1101</v>
      </c>
      <c r="V323" s="9"/>
      <c r="W323" s="9"/>
      <c r="X323" s="9"/>
      <c r="Y323" s="9" t="s">
        <v>1101</v>
      </c>
      <c r="Z323" s="9"/>
      <c r="AA323" s="9"/>
      <c r="AB323" s="9"/>
      <c r="AC323" s="9" t="s">
        <v>1101</v>
      </c>
      <c r="AD323" s="9"/>
      <c r="AE323" s="9"/>
      <c r="AF323" s="9"/>
      <c r="AG323" s="9" t="s">
        <v>1101</v>
      </c>
      <c r="AH323" s="9"/>
      <c r="AI323" s="9"/>
      <c r="AJ323" s="9"/>
      <c r="AK323" s="9" t="s">
        <v>1101</v>
      </c>
      <c r="AL323" s="9"/>
      <c r="AM323" s="9"/>
      <c r="AN323" s="9"/>
      <c r="AO323" s="9" t="s">
        <v>1101</v>
      </c>
      <c r="AP323" s="9"/>
      <c r="AQ323" s="9"/>
      <c r="AR323" s="9"/>
      <c r="AS323" s="9" t="s">
        <v>1101</v>
      </c>
      <c r="AT323" s="9"/>
      <c r="AU323" s="9"/>
      <c r="AV323" s="9"/>
      <c r="AW323" s="9" t="s">
        <v>1101</v>
      </c>
      <c r="AX323" s="9"/>
      <c r="AY323" s="9"/>
      <c r="AZ323" s="9"/>
      <c r="BA323" s="9" t="s">
        <v>1101</v>
      </c>
      <c r="BB323" s="9"/>
      <c r="BC323" s="9"/>
      <c r="BD323" s="9"/>
      <c r="BE323" s="9" t="s">
        <v>1101</v>
      </c>
      <c r="BF323" s="9"/>
      <c r="BG323" s="9"/>
      <c r="BH323" s="9"/>
      <c r="BI323" s="9" t="s">
        <v>1101</v>
      </c>
      <c r="BJ323" s="9"/>
      <c r="BK323" s="9"/>
      <c r="BL323" s="9"/>
      <c r="BM323" s="9" t="s">
        <v>1101</v>
      </c>
      <c r="BN323" s="9"/>
      <c r="BO323" s="9"/>
      <c r="BP323" s="9"/>
      <c r="BQ323" s="9" t="s">
        <v>1101</v>
      </c>
      <c r="BR323" s="9"/>
      <c r="BS323" s="9"/>
      <c r="BT323" s="9"/>
      <c r="BU323" s="9" t="s">
        <v>1101</v>
      </c>
      <c r="BV323" s="9"/>
      <c r="BW323" s="9"/>
      <c r="BX323" s="9"/>
      <c r="BY323" s="9" t="s">
        <v>1101</v>
      </c>
      <c r="BZ323" s="9"/>
      <c r="CA323" s="9"/>
      <c r="CB323" s="9"/>
      <c r="CC323" s="9" t="s">
        <v>1101</v>
      </c>
      <c r="CD323" s="9"/>
      <c r="CE323" s="9"/>
      <c r="CF323" s="9"/>
      <c r="CG323" s="9" t="s">
        <v>1101</v>
      </c>
      <c r="CH323" s="9"/>
      <c r="CI323" s="9"/>
      <c r="CJ323" s="9"/>
      <c r="CK323" s="9" t="s">
        <v>1101</v>
      </c>
      <c r="CL323" s="9"/>
      <c r="CM323" s="9"/>
      <c r="CN323" s="9"/>
      <c r="CO323" s="9" t="s">
        <v>1101</v>
      </c>
      <c r="CP323" s="9"/>
      <c r="CQ323" s="9"/>
      <c r="CR323" s="9"/>
      <c r="CS323" s="9" t="s">
        <v>1101</v>
      </c>
      <c r="CT323" s="9"/>
      <c r="CU323" s="9"/>
      <c r="CV323" s="9"/>
      <c r="CW323" s="9" t="s">
        <v>1101</v>
      </c>
      <c r="CX323" s="9"/>
      <c r="CY323" s="9"/>
      <c r="CZ323" s="9"/>
      <c r="DA323" s="9" t="s">
        <v>1101</v>
      </c>
      <c r="DB323" s="9"/>
      <c r="DC323" s="9"/>
      <c r="DD323" s="9"/>
      <c r="DE323" s="9" t="s">
        <v>1101</v>
      </c>
      <c r="DF323" s="9"/>
      <c r="DG323" s="9"/>
      <c r="DH323" s="9"/>
      <c r="DI323" s="9" t="s">
        <v>1101</v>
      </c>
      <c r="DJ323" s="9"/>
      <c r="DK323" s="9"/>
      <c r="DL323" s="9"/>
      <c r="DM323" s="9" t="s">
        <v>1101</v>
      </c>
      <c r="DN323" s="9"/>
      <c r="DO323" s="9"/>
      <c r="DP323" s="9"/>
      <c r="DQ323" s="9" t="s">
        <v>1101</v>
      </c>
      <c r="DR323" s="9"/>
      <c r="DS323" s="9"/>
      <c r="DT323" s="9"/>
      <c r="DU323" s="9" t="s">
        <v>1101</v>
      </c>
      <c r="DV323" s="9"/>
      <c r="DW323" s="9"/>
      <c r="DX323" s="9"/>
      <c r="DY323" s="9" t="s">
        <v>1101</v>
      </c>
      <c r="DZ323" s="9"/>
      <c r="EA323" s="9"/>
      <c r="EB323" s="9"/>
      <c r="EC323" s="9" t="s">
        <v>1101</v>
      </c>
      <c r="ED323" s="9"/>
      <c r="EE323" s="9"/>
      <c r="EF323" s="9"/>
      <c r="EG323" s="9" t="s">
        <v>1101</v>
      </c>
      <c r="EH323" s="9"/>
      <c r="EI323" s="9"/>
      <c r="EJ323" s="9"/>
      <c r="EK323" s="9" t="s">
        <v>1101</v>
      </c>
      <c r="EL323" s="9"/>
      <c r="EM323" s="9"/>
      <c r="EN323" s="9"/>
      <c r="EO323" s="9" t="s">
        <v>1101</v>
      </c>
      <c r="EP323" s="9"/>
      <c r="EQ323" s="9"/>
      <c r="ER323" s="9"/>
      <c r="ES323" s="9" t="s">
        <v>1101</v>
      </c>
      <c r="ET323" s="9"/>
      <c r="EU323" s="9"/>
      <c r="EV323" s="9"/>
      <c r="EW323" s="9" t="s">
        <v>1101</v>
      </c>
      <c r="EX323" s="9"/>
      <c r="EY323" s="9"/>
      <c r="EZ323" s="9"/>
      <c r="FA323" s="9" t="s">
        <v>1101</v>
      </c>
      <c r="FB323" s="9"/>
      <c r="FC323" s="9"/>
      <c r="FD323" s="9"/>
      <c r="FE323" s="9" t="s">
        <v>1101</v>
      </c>
      <c r="FF323" s="9"/>
      <c r="FG323" s="9"/>
      <c r="FH323" s="9"/>
      <c r="FI323" s="9" t="s">
        <v>1101</v>
      </c>
      <c r="FJ323" s="9"/>
      <c r="FK323" s="9"/>
      <c r="FL323" s="9"/>
      <c r="FM323" s="9" t="s">
        <v>1101</v>
      </c>
      <c r="FN323" s="9"/>
      <c r="FO323" s="9"/>
      <c r="FP323" s="9"/>
      <c r="FQ323" s="9" t="s">
        <v>1101</v>
      </c>
      <c r="FR323" s="9"/>
      <c r="FS323" s="9"/>
      <c r="FT323" s="9"/>
      <c r="FU323" s="9" t="s">
        <v>1101</v>
      </c>
      <c r="FV323" s="9"/>
      <c r="FW323" s="9"/>
      <c r="FX323" s="9"/>
      <c r="FY323" s="9" t="s">
        <v>1101</v>
      </c>
      <c r="FZ323" s="9"/>
      <c r="GA323" s="9"/>
      <c r="GB323" s="9"/>
      <c r="GC323" s="9" t="s">
        <v>1101</v>
      </c>
      <c r="GD323" s="9"/>
      <c r="GE323" s="9"/>
      <c r="GF323" s="9"/>
      <c r="GG323" s="9" t="s">
        <v>1101</v>
      </c>
      <c r="GH323" s="9"/>
      <c r="GI323" s="9"/>
      <c r="GJ323" s="9"/>
      <c r="GK323" s="9" t="s">
        <v>1101</v>
      </c>
      <c r="GL323" s="9"/>
      <c r="GM323" s="9"/>
      <c r="GN323" s="9"/>
      <c r="GO323" s="9" t="s">
        <v>1101</v>
      </c>
      <c r="GP323" s="9"/>
      <c r="GQ323" s="9"/>
      <c r="GR323" s="9"/>
      <c r="GS323" s="9" t="s">
        <v>1101</v>
      </c>
      <c r="GT323" s="9"/>
      <c r="GU323" s="9"/>
      <c r="GV323" s="9"/>
      <c r="GW323" s="9" t="s">
        <v>1101</v>
      </c>
      <c r="GX323" s="9"/>
      <c r="GY323" s="9"/>
      <c r="GZ323" s="9"/>
      <c r="HA323" s="9" t="s">
        <v>1101</v>
      </c>
      <c r="HB323" s="9"/>
      <c r="HC323" s="9"/>
      <c r="HD323" s="9"/>
      <c r="HE323" s="9" t="s">
        <v>1101</v>
      </c>
      <c r="HF323" s="9"/>
      <c r="HG323" s="9"/>
      <c r="HH323" s="9"/>
      <c r="HI323" s="9" t="s">
        <v>1101</v>
      </c>
      <c r="HJ323" s="9"/>
      <c r="HK323" s="9"/>
      <c r="HL323" s="9"/>
      <c r="HM323" s="9" t="s">
        <v>1101</v>
      </c>
      <c r="HN323" s="9"/>
      <c r="HO323" s="9"/>
      <c r="HP323" s="9"/>
      <c r="HQ323" s="9" t="s">
        <v>1101</v>
      </c>
      <c r="HR323" s="9"/>
      <c r="HS323" s="9"/>
      <c r="HT323" s="9"/>
      <c r="HU323" s="9" t="s">
        <v>1101</v>
      </c>
      <c r="HV323" s="9"/>
      <c r="HW323" s="9"/>
      <c r="HX323" s="9"/>
      <c r="HY323" s="9" t="s">
        <v>1101</v>
      </c>
      <c r="HZ323" s="9"/>
      <c r="IA323" s="9"/>
      <c r="IB323" s="67"/>
      <c r="IC323" s="68"/>
      <c r="ID323" s="157"/>
      <c r="IE323" s="158"/>
    </row>
    <row r="324" spans="1:239" s="11" customFormat="1" x14ac:dyDescent="0.2">
      <c r="A324" s="9">
        <v>20</v>
      </c>
      <c r="B324" s="9"/>
      <c r="C324" s="9"/>
      <c r="D324" s="9" t="s">
        <v>43</v>
      </c>
      <c r="E324" s="65" t="s">
        <v>44</v>
      </c>
      <c r="F324" s="65"/>
      <c r="G324" s="92" t="s">
        <v>2214</v>
      </c>
      <c r="H324" s="66" t="s">
        <v>1102</v>
      </c>
      <c r="I324" s="9"/>
      <c r="J324" s="9" t="s">
        <v>1101</v>
      </c>
      <c r="K324" s="9"/>
      <c r="L324" s="9"/>
      <c r="M324" s="9" t="s">
        <v>1101</v>
      </c>
      <c r="N324" s="9"/>
      <c r="O324" s="9"/>
      <c r="P324" s="9"/>
      <c r="Q324" s="9" t="s">
        <v>1101</v>
      </c>
      <c r="R324" s="9"/>
      <c r="S324" s="9"/>
      <c r="T324" s="9"/>
      <c r="U324" s="9" t="s">
        <v>1101</v>
      </c>
      <c r="V324" s="9"/>
      <c r="W324" s="9"/>
      <c r="X324" s="9"/>
      <c r="Y324" s="9" t="s">
        <v>1101</v>
      </c>
      <c r="Z324" s="9"/>
      <c r="AA324" s="9"/>
      <c r="AB324" s="9"/>
      <c r="AC324" s="9" t="s">
        <v>1101</v>
      </c>
      <c r="AD324" s="9"/>
      <c r="AE324" s="9"/>
      <c r="AF324" s="9"/>
      <c r="AG324" s="9" t="s">
        <v>1101</v>
      </c>
      <c r="AH324" s="9"/>
      <c r="AI324" s="9"/>
      <c r="AJ324" s="9"/>
      <c r="AK324" s="9" t="s">
        <v>1101</v>
      </c>
      <c r="AL324" s="9"/>
      <c r="AM324" s="9"/>
      <c r="AN324" s="9"/>
      <c r="AO324" s="9" t="s">
        <v>1101</v>
      </c>
      <c r="AP324" s="9"/>
      <c r="AQ324" s="9"/>
      <c r="AR324" s="9"/>
      <c r="AS324" s="9" t="s">
        <v>1101</v>
      </c>
      <c r="AT324" s="9"/>
      <c r="AU324" s="9"/>
      <c r="AV324" s="9"/>
      <c r="AW324" s="9" t="s">
        <v>1101</v>
      </c>
      <c r="AX324" s="9"/>
      <c r="AY324" s="9"/>
      <c r="AZ324" s="9"/>
      <c r="BA324" s="9" t="s">
        <v>1101</v>
      </c>
      <c r="BB324" s="9"/>
      <c r="BC324" s="9"/>
      <c r="BD324" s="9"/>
      <c r="BE324" s="9" t="s">
        <v>1101</v>
      </c>
      <c r="BF324" s="9"/>
      <c r="BG324" s="9"/>
      <c r="BH324" s="9"/>
      <c r="BI324" s="9" t="s">
        <v>1101</v>
      </c>
      <c r="BJ324" s="9"/>
      <c r="BK324" s="9"/>
      <c r="BL324" s="9"/>
      <c r="BM324" s="9" t="s">
        <v>1101</v>
      </c>
      <c r="BN324" s="9"/>
      <c r="BO324" s="9"/>
      <c r="BP324" s="9"/>
      <c r="BQ324" s="9" t="s">
        <v>1101</v>
      </c>
      <c r="BR324" s="9"/>
      <c r="BS324" s="9"/>
      <c r="BT324" s="9"/>
      <c r="BU324" s="9" t="s">
        <v>1101</v>
      </c>
      <c r="BV324" s="9"/>
      <c r="BW324" s="9"/>
      <c r="BX324" s="9"/>
      <c r="BY324" s="9" t="s">
        <v>1101</v>
      </c>
      <c r="BZ324" s="9"/>
      <c r="CA324" s="9"/>
      <c r="CB324" s="9"/>
      <c r="CC324" s="9" t="s">
        <v>1101</v>
      </c>
      <c r="CD324" s="9"/>
      <c r="CE324" s="9"/>
      <c r="CF324" s="9"/>
      <c r="CG324" s="9" t="s">
        <v>1101</v>
      </c>
      <c r="CH324" s="9"/>
      <c r="CI324" s="9"/>
      <c r="CJ324" s="9"/>
      <c r="CK324" s="9" t="s">
        <v>1101</v>
      </c>
      <c r="CL324" s="9"/>
      <c r="CM324" s="9"/>
      <c r="CN324" s="9"/>
      <c r="CO324" s="9" t="s">
        <v>1101</v>
      </c>
      <c r="CP324" s="9"/>
      <c r="CQ324" s="9"/>
      <c r="CR324" s="9"/>
      <c r="CS324" s="9" t="s">
        <v>1101</v>
      </c>
      <c r="CT324" s="9"/>
      <c r="CU324" s="9"/>
      <c r="CV324" s="9"/>
      <c r="CW324" s="9" t="s">
        <v>1101</v>
      </c>
      <c r="CX324" s="9"/>
      <c r="CY324" s="9"/>
      <c r="CZ324" s="9"/>
      <c r="DA324" s="9" t="s">
        <v>1101</v>
      </c>
      <c r="DB324" s="9"/>
      <c r="DC324" s="9"/>
      <c r="DD324" s="9"/>
      <c r="DE324" s="9" t="s">
        <v>1101</v>
      </c>
      <c r="DF324" s="9"/>
      <c r="DG324" s="9"/>
      <c r="DH324" s="9"/>
      <c r="DI324" s="9" t="s">
        <v>1101</v>
      </c>
      <c r="DJ324" s="9"/>
      <c r="DK324" s="9"/>
      <c r="DL324" s="9"/>
      <c r="DM324" s="9" t="s">
        <v>1101</v>
      </c>
      <c r="DN324" s="9"/>
      <c r="DO324" s="9"/>
      <c r="DP324" s="9"/>
      <c r="DQ324" s="9" t="s">
        <v>1101</v>
      </c>
      <c r="DR324" s="9"/>
      <c r="DS324" s="9"/>
      <c r="DT324" s="9"/>
      <c r="DU324" s="9" t="s">
        <v>1101</v>
      </c>
      <c r="DV324" s="9"/>
      <c r="DW324" s="9"/>
      <c r="DX324" s="9"/>
      <c r="DY324" s="9" t="s">
        <v>1101</v>
      </c>
      <c r="DZ324" s="9"/>
      <c r="EA324" s="9"/>
      <c r="EB324" s="9"/>
      <c r="EC324" s="9" t="s">
        <v>1101</v>
      </c>
      <c r="ED324" s="9"/>
      <c r="EE324" s="9"/>
      <c r="EF324" s="9"/>
      <c r="EG324" s="9" t="s">
        <v>1101</v>
      </c>
      <c r="EH324" s="9"/>
      <c r="EI324" s="9"/>
      <c r="EJ324" s="9"/>
      <c r="EK324" s="9" t="s">
        <v>1101</v>
      </c>
      <c r="EL324" s="9"/>
      <c r="EM324" s="9"/>
      <c r="EN324" s="9"/>
      <c r="EO324" s="9" t="s">
        <v>1101</v>
      </c>
      <c r="EP324" s="9"/>
      <c r="EQ324" s="9"/>
      <c r="ER324" s="9"/>
      <c r="ES324" s="9" t="s">
        <v>1101</v>
      </c>
      <c r="ET324" s="9"/>
      <c r="EU324" s="9"/>
      <c r="EV324" s="9"/>
      <c r="EW324" s="9" t="s">
        <v>1101</v>
      </c>
      <c r="EX324" s="9"/>
      <c r="EY324" s="9"/>
      <c r="EZ324" s="9"/>
      <c r="FA324" s="9" t="s">
        <v>1101</v>
      </c>
      <c r="FB324" s="9"/>
      <c r="FC324" s="9"/>
      <c r="FD324" s="9"/>
      <c r="FE324" s="9" t="s">
        <v>1101</v>
      </c>
      <c r="FF324" s="9"/>
      <c r="FG324" s="9"/>
      <c r="FH324" s="9"/>
      <c r="FI324" s="9" t="s">
        <v>1101</v>
      </c>
      <c r="FJ324" s="9"/>
      <c r="FK324" s="9"/>
      <c r="FL324" s="9"/>
      <c r="FM324" s="9" t="s">
        <v>1101</v>
      </c>
      <c r="FN324" s="9"/>
      <c r="FO324" s="9"/>
      <c r="FP324" s="9"/>
      <c r="FQ324" s="9" t="s">
        <v>1101</v>
      </c>
      <c r="FR324" s="9"/>
      <c r="FS324" s="9"/>
      <c r="FT324" s="9"/>
      <c r="FU324" s="9" t="s">
        <v>1101</v>
      </c>
      <c r="FV324" s="9"/>
      <c r="FW324" s="9"/>
      <c r="FX324" s="9"/>
      <c r="FY324" s="9" t="s">
        <v>1101</v>
      </c>
      <c r="FZ324" s="9"/>
      <c r="GA324" s="9"/>
      <c r="GB324" s="9"/>
      <c r="GC324" s="9" t="s">
        <v>1101</v>
      </c>
      <c r="GD324" s="9"/>
      <c r="GE324" s="9"/>
      <c r="GF324" s="9"/>
      <c r="GG324" s="9" t="s">
        <v>1101</v>
      </c>
      <c r="GH324" s="9"/>
      <c r="GI324" s="9"/>
      <c r="GJ324" s="9"/>
      <c r="GK324" s="9" t="s">
        <v>1101</v>
      </c>
      <c r="GL324" s="9"/>
      <c r="GM324" s="9"/>
      <c r="GN324" s="9"/>
      <c r="GO324" s="9" t="s">
        <v>1101</v>
      </c>
      <c r="GP324" s="9"/>
      <c r="GQ324" s="9"/>
      <c r="GR324" s="9"/>
      <c r="GS324" s="9" t="s">
        <v>1101</v>
      </c>
      <c r="GT324" s="9"/>
      <c r="GU324" s="9"/>
      <c r="GV324" s="9"/>
      <c r="GW324" s="9" t="s">
        <v>1101</v>
      </c>
      <c r="GX324" s="9"/>
      <c r="GY324" s="9"/>
      <c r="GZ324" s="9"/>
      <c r="HA324" s="9" t="s">
        <v>1101</v>
      </c>
      <c r="HB324" s="9"/>
      <c r="HC324" s="9"/>
      <c r="HD324" s="9"/>
      <c r="HE324" s="9" t="s">
        <v>1101</v>
      </c>
      <c r="HF324" s="9"/>
      <c r="HG324" s="9"/>
      <c r="HH324" s="9"/>
      <c r="HI324" s="9" t="s">
        <v>1101</v>
      </c>
      <c r="HJ324" s="9"/>
      <c r="HK324" s="9"/>
      <c r="HL324" s="9"/>
      <c r="HM324" s="9" t="s">
        <v>1101</v>
      </c>
      <c r="HN324" s="9"/>
      <c r="HO324" s="9"/>
      <c r="HP324" s="9"/>
      <c r="HQ324" s="9" t="s">
        <v>1101</v>
      </c>
      <c r="HR324" s="9"/>
      <c r="HS324" s="9"/>
      <c r="HT324" s="9"/>
      <c r="HU324" s="9" t="s">
        <v>1101</v>
      </c>
      <c r="HV324" s="9"/>
      <c r="HW324" s="9"/>
      <c r="HX324" s="9"/>
      <c r="HY324" s="9" t="s">
        <v>1101</v>
      </c>
      <c r="HZ324" s="9"/>
      <c r="IA324" s="9"/>
      <c r="IB324" s="67"/>
      <c r="IC324" s="68"/>
      <c r="ID324" s="157"/>
      <c r="IE324" s="158"/>
    </row>
    <row r="325" spans="1:239" s="11" customFormat="1" x14ac:dyDescent="0.2">
      <c r="A325" s="9">
        <v>20</v>
      </c>
      <c r="B325" s="9"/>
      <c r="C325" s="9"/>
      <c r="D325" s="9" t="s">
        <v>67</v>
      </c>
      <c r="E325" s="65" t="s">
        <v>810</v>
      </c>
      <c r="F325" s="65"/>
      <c r="G325" s="92" t="s">
        <v>2473</v>
      </c>
      <c r="H325" s="66" t="s">
        <v>1379</v>
      </c>
      <c r="I325" s="9"/>
      <c r="J325" s="9" t="s">
        <v>1101</v>
      </c>
      <c r="K325" s="9"/>
      <c r="L325" s="9"/>
      <c r="M325" s="9" t="s">
        <v>1101</v>
      </c>
      <c r="N325" s="9"/>
      <c r="O325" s="9"/>
      <c r="P325" s="9"/>
      <c r="Q325" s="9" t="s">
        <v>1101</v>
      </c>
      <c r="R325" s="9"/>
      <c r="S325" s="9"/>
      <c r="T325" s="9"/>
      <c r="U325" s="9" t="s">
        <v>1101</v>
      </c>
      <c r="V325" s="9"/>
      <c r="W325" s="9"/>
      <c r="X325" s="9"/>
      <c r="Y325" s="9" t="s">
        <v>1101</v>
      </c>
      <c r="Z325" s="9"/>
      <c r="AA325" s="9"/>
      <c r="AB325" s="9"/>
      <c r="AC325" s="9" t="s">
        <v>1101</v>
      </c>
      <c r="AD325" s="9"/>
      <c r="AE325" s="9"/>
      <c r="AF325" s="9"/>
      <c r="AG325" s="9" t="s">
        <v>1101</v>
      </c>
      <c r="AH325" s="9"/>
      <c r="AI325" s="9"/>
      <c r="AJ325" s="9"/>
      <c r="AK325" s="9" t="s">
        <v>1101</v>
      </c>
      <c r="AL325" s="9"/>
      <c r="AM325" s="9"/>
      <c r="AN325" s="9"/>
      <c r="AO325" s="9" t="s">
        <v>1101</v>
      </c>
      <c r="AP325" s="9"/>
      <c r="AQ325" s="9"/>
      <c r="AR325" s="9"/>
      <c r="AS325" s="9" t="s">
        <v>1101</v>
      </c>
      <c r="AT325" s="9"/>
      <c r="AU325" s="9"/>
      <c r="AV325" s="9"/>
      <c r="AW325" s="9" t="s">
        <v>1101</v>
      </c>
      <c r="AX325" s="9"/>
      <c r="AY325" s="9"/>
      <c r="AZ325" s="9"/>
      <c r="BA325" s="9" t="s">
        <v>1101</v>
      </c>
      <c r="BB325" s="9"/>
      <c r="BC325" s="9"/>
      <c r="BD325" s="9"/>
      <c r="BE325" s="9" t="s">
        <v>1101</v>
      </c>
      <c r="BF325" s="9"/>
      <c r="BG325" s="9"/>
      <c r="BH325" s="9"/>
      <c r="BI325" s="9" t="s">
        <v>1101</v>
      </c>
      <c r="BJ325" s="9"/>
      <c r="BK325" s="9"/>
      <c r="BL325" s="9"/>
      <c r="BM325" s="9" t="s">
        <v>1101</v>
      </c>
      <c r="BN325" s="9"/>
      <c r="BO325" s="9"/>
      <c r="BP325" s="9"/>
      <c r="BQ325" s="9" t="s">
        <v>1101</v>
      </c>
      <c r="BR325" s="9"/>
      <c r="BS325" s="9"/>
      <c r="BT325" s="9"/>
      <c r="BU325" s="9" t="s">
        <v>1101</v>
      </c>
      <c r="BV325" s="9"/>
      <c r="BW325" s="9"/>
      <c r="BX325" s="9"/>
      <c r="BY325" s="9" t="s">
        <v>1101</v>
      </c>
      <c r="BZ325" s="9"/>
      <c r="CA325" s="9"/>
      <c r="CB325" s="9"/>
      <c r="CC325" s="9" t="s">
        <v>1101</v>
      </c>
      <c r="CD325" s="9"/>
      <c r="CE325" s="9"/>
      <c r="CF325" s="9"/>
      <c r="CG325" s="9" t="s">
        <v>1101</v>
      </c>
      <c r="CH325" s="9"/>
      <c r="CI325" s="9"/>
      <c r="CJ325" s="9"/>
      <c r="CK325" s="9" t="s">
        <v>1101</v>
      </c>
      <c r="CL325" s="9"/>
      <c r="CM325" s="9"/>
      <c r="CN325" s="9"/>
      <c r="CO325" s="9" t="s">
        <v>1101</v>
      </c>
      <c r="CP325" s="9"/>
      <c r="CQ325" s="9"/>
      <c r="CR325" s="9"/>
      <c r="CS325" s="9" t="s">
        <v>1101</v>
      </c>
      <c r="CT325" s="9"/>
      <c r="CU325" s="9"/>
      <c r="CV325" s="9"/>
      <c r="CW325" s="9" t="s">
        <v>1101</v>
      </c>
      <c r="CX325" s="9"/>
      <c r="CY325" s="9"/>
      <c r="CZ325" s="9"/>
      <c r="DA325" s="9" t="s">
        <v>1101</v>
      </c>
      <c r="DB325" s="9"/>
      <c r="DC325" s="9"/>
      <c r="DD325" s="9"/>
      <c r="DE325" s="9" t="s">
        <v>1101</v>
      </c>
      <c r="DF325" s="9"/>
      <c r="DG325" s="9"/>
      <c r="DH325" s="9"/>
      <c r="DI325" s="9" t="s">
        <v>1101</v>
      </c>
      <c r="DJ325" s="9"/>
      <c r="DK325" s="9"/>
      <c r="DL325" s="9"/>
      <c r="DM325" s="9" t="s">
        <v>1101</v>
      </c>
      <c r="DN325" s="9"/>
      <c r="DO325" s="9"/>
      <c r="DP325" s="9"/>
      <c r="DQ325" s="9" t="s">
        <v>1101</v>
      </c>
      <c r="DR325" s="9"/>
      <c r="DS325" s="9"/>
      <c r="DT325" s="9"/>
      <c r="DU325" s="9" t="s">
        <v>1101</v>
      </c>
      <c r="DV325" s="9"/>
      <c r="DW325" s="9"/>
      <c r="DX325" s="9"/>
      <c r="DY325" s="9" t="s">
        <v>1101</v>
      </c>
      <c r="DZ325" s="9"/>
      <c r="EA325" s="9"/>
      <c r="EB325" s="9"/>
      <c r="EC325" s="9" t="s">
        <v>1101</v>
      </c>
      <c r="ED325" s="9"/>
      <c r="EE325" s="9"/>
      <c r="EF325" s="9"/>
      <c r="EG325" s="9" t="s">
        <v>1101</v>
      </c>
      <c r="EH325" s="9"/>
      <c r="EI325" s="9"/>
      <c r="EJ325" s="9"/>
      <c r="EK325" s="9" t="s">
        <v>1101</v>
      </c>
      <c r="EL325" s="9"/>
      <c r="EM325" s="9"/>
      <c r="EN325" s="9"/>
      <c r="EO325" s="9" t="s">
        <v>1101</v>
      </c>
      <c r="EP325" s="9"/>
      <c r="EQ325" s="9"/>
      <c r="ER325" s="9"/>
      <c r="ES325" s="9" t="s">
        <v>1101</v>
      </c>
      <c r="ET325" s="9"/>
      <c r="EU325" s="9"/>
      <c r="EV325" s="9"/>
      <c r="EW325" s="9" t="s">
        <v>1101</v>
      </c>
      <c r="EX325" s="9"/>
      <c r="EY325" s="9"/>
      <c r="EZ325" s="9"/>
      <c r="FA325" s="9" t="s">
        <v>1101</v>
      </c>
      <c r="FB325" s="9"/>
      <c r="FC325" s="9"/>
      <c r="FD325" s="9"/>
      <c r="FE325" s="9" t="s">
        <v>1101</v>
      </c>
      <c r="FF325" s="9"/>
      <c r="FG325" s="9"/>
      <c r="FH325" s="9"/>
      <c r="FI325" s="9" t="s">
        <v>1101</v>
      </c>
      <c r="FJ325" s="9"/>
      <c r="FK325" s="9"/>
      <c r="FL325" s="9"/>
      <c r="FM325" s="9" t="s">
        <v>1101</v>
      </c>
      <c r="FN325" s="9"/>
      <c r="FO325" s="9"/>
      <c r="FP325" s="9"/>
      <c r="FQ325" s="9" t="s">
        <v>1101</v>
      </c>
      <c r="FR325" s="9"/>
      <c r="FS325" s="9"/>
      <c r="FT325" s="9"/>
      <c r="FU325" s="9" t="s">
        <v>1101</v>
      </c>
      <c r="FV325" s="9"/>
      <c r="FW325" s="9"/>
      <c r="FX325" s="9"/>
      <c r="FY325" s="9" t="s">
        <v>1101</v>
      </c>
      <c r="FZ325" s="9"/>
      <c r="GA325" s="9"/>
      <c r="GB325" s="9"/>
      <c r="GC325" s="9" t="s">
        <v>1101</v>
      </c>
      <c r="GD325" s="9"/>
      <c r="GE325" s="9"/>
      <c r="GF325" s="9"/>
      <c r="GG325" s="9" t="s">
        <v>1101</v>
      </c>
      <c r="GH325" s="9"/>
      <c r="GI325" s="9"/>
      <c r="GJ325" s="9"/>
      <c r="GK325" s="9" t="s">
        <v>1101</v>
      </c>
      <c r="GL325" s="9"/>
      <c r="GM325" s="9"/>
      <c r="GN325" s="9"/>
      <c r="GO325" s="9" t="s">
        <v>1101</v>
      </c>
      <c r="GP325" s="9"/>
      <c r="GQ325" s="9"/>
      <c r="GR325" s="9"/>
      <c r="GS325" s="9" t="s">
        <v>1101</v>
      </c>
      <c r="GT325" s="9"/>
      <c r="GU325" s="9"/>
      <c r="GV325" s="9"/>
      <c r="GW325" s="9" t="s">
        <v>1101</v>
      </c>
      <c r="GX325" s="9"/>
      <c r="GY325" s="9"/>
      <c r="GZ325" s="9"/>
      <c r="HA325" s="9" t="s">
        <v>1101</v>
      </c>
      <c r="HB325" s="9"/>
      <c r="HC325" s="9"/>
      <c r="HD325" s="9"/>
      <c r="HE325" s="9" t="s">
        <v>1101</v>
      </c>
      <c r="HF325" s="9"/>
      <c r="HG325" s="9"/>
      <c r="HH325" s="9"/>
      <c r="HI325" s="9" t="s">
        <v>1101</v>
      </c>
      <c r="HJ325" s="9"/>
      <c r="HK325" s="9"/>
      <c r="HL325" s="9"/>
      <c r="HM325" s="9" t="s">
        <v>1101</v>
      </c>
      <c r="HN325" s="9"/>
      <c r="HO325" s="9"/>
      <c r="HP325" s="9"/>
      <c r="HQ325" s="9" t="s">
        <v>1101</v>
      </c>
      <c r="HR325" s="9"/>
      <c r="HS325" s="9"/>
      <c r="HT325" s="9"/>
      <c r="HU325" s="9" t="s">
        <v>1101</v>
      </c>
      <c r="HV325" s="9"/>
      <c r="HW325" s="9"/>
      <c r="HX325" s="9"/>
      <c r="HY325" s="9" t="s">
        <v>1101</v>
      </c>
      <c r="HZ325" s="9"/>
      <c r="IA325" s="9"/>
      <c r="IB325" s="67"/>
      <c r="IC325" s="68"/>
      <c r="ID325" s="157"/>
      <c r="IE325" s="158"/>
    </row>
    <row r="326" spans="1:239" s="11" customFormat="1" x14ac:dyDescent="0.2">
      <c r="A326" s="9">
        <v>20</v>
      </c>
      <c r="B326" s="9"/>
      <c r="C326" s="9"/>
      <c r="D326" s="9" t="s">
        <v>68</v>
      </c>
      <c r="E326" s="65" t="s">
        <v>811</v>
      </c>
      <c r="F326" s="65"/>
      <c r="G326" s="92" t="s">
        <v>2474</v>
      </c>
      <c r="H326" s="66" t="s">
        <v>1380</v>
      </c>
      <c r="I326" s="9"/>
      <c r="J326" s="9" t="s">
        <v>1101</v>
      </c>
      <c r="K326" s="9"/>
      <c r="L326" s="9"/>
      <c r="M326" s="9" t="s">
        <v>1101</v>
      </c>
      <c r="N326" s="9"/>
      <c r="O326" s="9"/>
      <c r="P326" s="9"/>
      <c r="Q326" s="9" t="s">
        <v>1101</v>
      </c>
      <c r="R326" s="9"/>
      <c r="S326" s="9"/>
      <c r="T326" s="9"/>
      <c r="U326" s="9" t="s">
        <v>1101</v>
      </c>
      <c r="V326" s="9"/>
      <c r="W326" s="9"/>
      <c r="X326" s="9"/>
      <c r="Y326" s="9" t="s">
        <v>1101</v>
      </c>
      <c r="Z326" s="9"/>
      <c r="AA326" s="9"/>
      <c r="AB326" s="9"/>
      <c r="AC326" s="9" t="s">
        <v>1101</v>
      </c>
      <c r="AD326" s="9"/>
      <c r="AE326" s="9"/>
      <c r="AF326" s="9"/>
      <c r="AG326" s="9" t="s">
        <v>1101</v>
      </c>
      <c r="AH326" s="9"/>
      <c r="AI326" s="9"/>
      <c r="AJ326" s="9"/>
      <c r="AK326" s="9" t="s">
        <v>1101</v>
      </c>
      <c r="AL326" s="9"/>
      <c r="AM326" s="9"/>
      <c r="AN326" s="9"/>
      <c r="AO326" s="9" t="s">
        <v>1101</v>
      </c>
      <c r="AP326" s="9"/>
      <c r="AQ326" s="9"/>
      <c r="AR326" s="9"/>
      <c r="AS326" s="9" t="s">
        <v>1101</v>
      </c>
      <c r="AT326" s="9"/>
      <c r="AU326" s="9"/>
      <c r="AV326" s="9"/>
      <c r="AW326" s="9" t="s">
        <v>1101</v>
      </c>
      <c r="AX326" s="9"/>
      <c r="AY326" s="9"/>
      <c r="AZ326" s="9"/>
      <c r="BA326" s="9" t="s">
        <v>1101</v>
      </c>
      <c r="BB326" s="9"/>
      <c r="BC326" s="9"/>
      <c r="BD326" s="9"/>
      <c r="BE326" s="9" t="s">
        <v>1101</v>
      </c>
      <c r="BF326" s="9"/>
      <c r="BG326" s="9"/>
      <c r="BH326" s="9"/>
      <c r="BI326" s="9" t="s">
        <v>1101</v>
      </c>
      <c r="BJ326" s="9"/>
      <c r="BK326" s="9"/>
      <c r="BL326" s="9"/>
      <c r="BM326" s="9" t="s">
        <v>1101</v>
      </c>
      <c r="BN326" s="9"/>
      <c r="BO326" s="9"/>
      <c r="BP326" s="9"/>
      <c r="BQ326" s="9" t="s">
        <v>1101</v>
      </c>
      <c r="BR326" s="9"/>
      <c r="BS326" s="9"/>
      <c r="BT326" s="9"/>
      <c r="BU326" s="9" t="s">
        <v>1101</v>
      </c>
      <c r="BV326" s="9"/>
      <c r="BW326" s="9"/>
      <c r="BX326" s="9"/>
      <c r="BY326" s="9" t="s">
        <v>1101</v>
      </c>
      <c r="BZ326" s="9"/>
      <c r="CA326" s="9"/>
      <c r="CB326" s="9"/>
      <c r="CC326" s="9" t="s">
        <v>1101</v>
      </c>
      <c r="CD326" s="9"/>
      <c r="CE326" s="9"/>
      <c r="CF326" s="9"/>
      <c r="CG326" s="9" t="s">
        <v>1101</v>
      </c>
      <c r="CH326" s="9"/>
      <c r="CI326" s="9"/>
      <c r="CJ326" s="9"/>
      <c r="CK326" s="9" t="s">
        <v>1101</v>
      </c>
      <c r="CL326" s="9"/>
      <c r="CM326" s="9"/>
      <c r="CN326" s="9"/>
      <c r="CO326" s="9" t="s">
        <v>1101</v>
      </c>
      <c r="CP326" s="9"/>
      <c r="CQ326" s="9"/>
      <c r="CR326" s="9"/>
      <c r="CS326" s="9" t="s">
        <v>1101</v>
      </c>
      <c r="CT326" s="9"/>
      <c r="CU326" s="9"/>
      <c r="CV326" s="9"/>
      <c r="CW326" s="9" t="s">
        <v>1101</v>
      </c>
      <c r="CX326" s="9"/>
      <c r="CY326" s="9"/>
      <c r="CZ326" s="9"/>
      <c r="DA326" s="9" t="s">
        <v>1101</v>
      </c>
      <c r="DB326" s="9"/>
      <c r="DC326" s="9"/>
      <c r="DD326" s="9"/>
      <c r="DE326" s="9" t="s">
        <v>1101</v>
      </c>
      <c r="DF326" s="9"/>
      <c r="DG326" s="9"/>
      <c r="DH326" s="9"/>
      <c r="DI326" s="9" t="s">
        <v>1101</v>
      </c>
      <c r="DJ326" s="9"/>
      <c r="DK326" s="9"/>
      <c r="DL326" s="9"/>
      <c r="DM326" s="9" t="s">
        <v>1101</v>
      </c>
      <c r="DN326" s="9"/>
      <c r="DO326" s="9"/>
      <c r="DP326" s="9"/>
      <c r="DQ326" s="9" t="s">
        <v>1101</v>
      </c>
      <c r="DR326" s="9"/>
      <c r="DS326" s="9"/>
      <c r="DT326" s="9"/>
      <c r="DU326" s="9" t="s">
        <v>1101</v>
      </c>
      <c r="DV326" s="9"/>
      <c r="DW326" s="9"/>
      <c r="DX326" s="9"/>
      <c r="DY326" s="9" t="s">
        <v>1101</v>
      </c>
      <c r="DZ326" s="9"/>
      <c r="EA326" s="9"/>
      <c r="EB326" s="9"/>
      <c r="EC326" s="9" t="s">
        <v>1101</v>
      </c>
      <c r="ED326" s="9"/>
      <c r="EE326" s="9"/>
      <c r="EF326" s="9"/>
      <c r="EG326" s="9" t="s">
        <v>1101</v>
      </c>
      <c r="EH326" s="9"/>
      <c r="EI326" s="9"/>
      <c r="EJ326" s="9"/>
      <c r="EK326" s="9" t="s">
        <v>1101</v>
      </c>
      <c r="EL326" s="9"/>
      <c r="EM326" s="9"/>
      <c r="EN326" s="9"/>
      <c r="EO326" s="9" t="s">
        <v>1101</v>
      </c>
      <c r="EP326" s="9"/>
      <c r="EQ326" s="9"/>
      <c r="ER326" s="9"/>
      <c r="ES326" s="9" t="s">
        <v>1101</v>
      </c>
      <c r="ET326" s="9"/>
      <c r="EU326" s="9"/>
      <c r="EV326" s="9"/>
      <c r="EW326" s="9" t="s">
        <v>1101</v>
      </c>
      <c r="EX326" s="9"/>
      <c r="EY326" s="9"/>
      <c r="EZ326" s="9"/>
      <c r="FA326" s="9" t="s">
        <v>1101</v>
      </c>
      <c r="FB326" s="9"/>
      <c r="FC326" s="9"/>
      <c r="FD326" s="9"/>
      <c r="FE326" s="9" t="s">
        <v>1101</v>
      </c>
      <c r="FF326" s="9"/>
      <c r="FG326" s="9"/>
      <c r="FH326" s="9"/>
      <c r="FI326" s="9" t="s">
        <v>1101</v>
      </c>
      <c r="FJ326" s="9"/>
      <c r="FK326" s="9"/>
      <c r="FL326" s="9"/>
      <c r="FM326" s="9" t="s">
        <v>1101</v>
      </c>
      <c r="FN326" s="9"/>
      <c r="FO326" s="9"/>
      <c r="FP326" s="9"/>
      <c r="FQ326" s="9" t="s">
        <v>1101</v>
      </c>
      <c r="FR326" s="9"/>
      <c r="FS326" s="9"/>
      <c r="FT326" s="9"/>
      <c r="FU326" s="9" t="s">
        <v>1101</v>
      </c>
      <c r="FV326" s="9"/>
      <c r="FW326" s="9"/>
      <c r="FX326" s="9"/>
      <c r="FY326" s="9" t="s">
        <v>1101</v>
      </c>
      <c r="FZ326" s="9"/>
      <c r="GA326" s="9"/>
      <c r="GB326" s="9"/>
      <c r="GC326" s="9" t="s">
        <v>1101</v>
      </c>
      <c r="GD326" s="9"/>
      <c r="GE326" s="9"/>
      <c r="GF326" s="9"/>
      <c r="GG326" s="9" t="s">
        <v>1101</v>
      </c>
      <c r="GH326" s="9"/>
      <c r="GI326" s="9"/>
      <c r="GJ326" s="9"/>
      <c r="GK326" s="9" t="s">
        <v>1101</v>
      </c>
      <c r="GL326" s="9"/>
      <c r="GM326" s="9"/>
      <c r="GN326" s="9"/>
      <c r="GO326" s="9" t="s">
        <v>1101</v>
      </c>
      <c r="GP326" s="9"/>
      <c r="GQ326" s="9"/>
      <c r="GR326" s="9"/>
      <c r="GS326" s="9" t="s">
        <v>1101</v>
      </c>
      <c r="GT326" s="9"/>
      <c r="GU326" s="9"/>
      <c r="GV326" s="9"/>
      <c r="GW326" s="9" t="s">
        <v>1101</v>
      </c>
      <c r="GX326" s="9"/>
      <c r="GY326" s="9"/>
      <c r="GZ326" s="9"/>
      <c r="HA326" s="9" t="s">
        <v>1101</v>
      </c>
      <c r="HB326" s="9"/>
      <c r="HC326" s="9"/>
      <c r="HD326" s="9"/>
      <c r="HE326" s="9" t="s">
        <v>1101</v>
      </c>
      <c r="HF326" s="9"/>
      <c r="HG326" s="9"/>
      <c r="HH326" s="9"/>
      <c r="HI326" s="9" t="s">
        <v>1101</v>
      </c>
      <c r="HJ326" s="9"/>
      <c r="HK326" s="9"/>
      <c r="HL326" s="9"/>
      <c r="HM326" s="9" t="s">
        <v>1101</v>
      </c>
      <c r="HN326" s="9"/>
      <c r="HO326" s="9"/>
      <c r="HP326" s="9"/>
      <c r="HQ326" s="9" t="s">
        <v>1101</v>
      </c>
      <c r="HR326" s="9"/>
      <c r="HS326" s="9"/>
      <c r="HT326" s="9"/>
      <c r="HU326" s="9" t="s">
        <v>1101</v>
      </c>
      <c r="HV326" s="9"/>
      <c r="HW326" s="9"/>
      <c r="HX326" s="9"/>
      <c r="HY326" s="9" t="s">
        <v>1101</v>
      </c>
      <c r="HZ326" s="9"/>
      <c r="IA326" s="9"/>
      <c r="IB326" s="67"/>
      <c r="IC326" s="68"/>
      <c r="ID326" s="157"/>
      <c r="IE326" s="158"/>
    </row>
    <row r="327" spans="1:239" s="11" customFormat="1" x14ac:dyDescent="0.2">
      <c r="A327" s="9">
        <v>20</v>
      </c>
      <c r="B327" s="9"/>
      <c r="C327" s="9"/>
      <c r="D327" s="9" t="s">
        <v>14</v>
      </c>
      <c r="E327" s="65" t="s">
        <v>49</v>
      </c>
      <c r="F327" s="65"/>
      <c r="G327" s="92" t="s">
        <v>2475</v>
      </c>
      <c r="H327" s="66" t="s">
        <v>1381</v>
      </c>
      <c r="I327" s="9"/>
      <c r="J327" s="9" t="s">
        <v>1101</v>
      </c>
      <c r="K327" s="9"/>
      <c r="L327" s="9"/>
      <c r="M327" s="9" t="s">
        <v>1101</v>
      </c>
      <c r="N327" s="9"/>
      <c r="O327" s="9"/>
      <c r="P327" s="9"/>
      <c r="Q327" s="9" t="s">
        <v>1101</v>
      </c>
      <c r="R327" s="9"/>
      <c r="S327" s="9"/>
      <c r="T327" s="9"/>
      <c r="U327" s="9" t="s">
        <v>1101</v>
      </c>
      <c r="V327" s="9"/>
      <c r="W327" s="9"/>
      <c r="X327" s="9"/>
      <c r="Y327" s="9" t="s">
        <v>1101</v>
      </c>
      <c r="Z327" s="9"/>
      <c r="AA327" s="9"/>
      <c r="AB327" s="9"/>
      <c r="AC327" s="9" t="s">
        <v>1101</v>
      </c>
      <c r="AD327" s="9"/>
      <c r="AE327" s="9"/>
      <c r="AF327" s="9"/>
      <c r="AG327" s="9" t="s">
        <v>1101</v>
      </c>
      <c r="AH327" s="9"/>
      <c r="AI327" s="9"/>
      <c r="AJ327" s="9"/>
      <c r="AK327" s="9" t="s">
        <v>1101</v>
      </c>
      <c r="AL327" s="9"/>
      <c r="AM327" s="9"/>
      <c r="AN327" s="9"/>
      <c r="AO327" s="9" t="s">
        <v>1101</v>
      </c>
      <c r="AP327" s="9"/>
      <c r="AQ327" s="9"/>
      <c r="AR327" s="9"/>
      <c r="AS327" s="9" t="s">
        <v>1101</v>
      </c>
      <c r="AT327" s="9"/>
      <c r="AU327" s="9"/>
      <c r="AV327" s="9"/>
      <c r="AW327" s="9" t="s">
        <v>1101</v>
      </c>
      <c r="AX327" s="9"/>
      <c r="AY327" s="9"/>
      <c r="AZ327" s="9"/>
      <c r="BA327" s="9" t="s">
        <v>1101</v>
      </c>
      <c r="BB327" s="9"/>
      <c r="BC327" s="9"/>
      <c r="BD327" s="9"/>
      <c r="BE327" s="9" t="s">
        <v>1101</v>
      </c>
      <c r="BF327" s="9"/>
      <c r="BG327" s="9"/>
      <c r="BH327" s="9"/>
      <c r="BI327" s="9" t="s">
        <v>1101</v>
      </c>
      <c r="BJ327" s="9"/>
      <c r="BK327" s="9"/>
      <c r="BL327" s="9"/>
      <c r="BM327" s="9" t="s">
        <v>1101</v>
      </c>
      <c r="BN327" s="9"/>
      <c r="BO327" s="9"/>
      <c r="BP327" s="9"/>
      <c r="BQ327" s="9" t="s">
        <v>1101</v>
      </c>
      <c r="BR327" s="9"/>
      <c r="BS327" s="9"/>
      <c r="BT327" s="9"/>
      <c r="BU327" s="9" t="s">
        <v>1101</v>
      </c>
      <c r="BV327" s="9"/>
      <c r="BW327" s="9"/>
      <c r="BX327" s="9"/>
      <c r="BY327" s="9" t="s">
        <v>1101</v>
      </c>
      <c r="BZ327" s="9"/>
      <c r="CA327" s="9"/>
      <c r="CB327" s="9"/>
      <c r="CC327" s="9" t="s">
        <v>1101</v>
      </c>
      <c r="CD327" s="9"/>
      <c r="CE327" s="9"/>
      <c r="CF327" s="9"/>
      <c r="CG327" s="9" t="s">
        <v>1101</v>
      </c>
      <c r="CH327" s="9"/>
      <c r="CI327" s="9"/>
      <c r="CJ327" s="9"/>
      <c r="CK327" s="9" t="s">
        <v>1101</v>
      </c>
      <c r="CL327" s="9"/>
      <c r="CM327" s="9"/>
      <c r="CN327" s="9"/>
      <c r="CO327" s="9" t="s">
        <v>1101</v>
      </c>
      <c r="CP327" s="9"/>
      <c r="CQ327" s="9"/>
      <c r="CR327" s="9"/>
      <c r="CS327" s="9" t="s">
        <v>1101</v>
      </c>
      <c r="CT327" s="9"/>
      <c r="CU327" s="9"/>
      <c r="CV327" s="9"/>
      <c r="CW327" s="9" t="s">
        <v>1101</v>
      </c>
      <c r="CX327" s="9"/>
      <c r="CY327" s="9"/>
      <c r="CZ327" s="9"/>
      <c r="DA327" s="9" t="s">
        <v>1101</v>
      </c>
      <c r="DB327" s="9"/>
      <c r="DC327" s="9"/>
      <c r="DD327" s="9"/>
      <c r="DE327" s="9" t="s">
        <v>1101</v>
      </c>
      <c r="DF327" s="9"/>
      <c r="DG327" s="9"/>
      <c r="DH327" s="9"/>
      <c r="DI327" s="9" t="s">
        <v>1101</v>
      </c>
      <c r="DJ327" s="9"/>
      <c r="DK327" s="9"/>
      <c r="DL327" s="9"/>
      <c r="DM327" s="9" t="s">
        <v>1101</v>
      </c>
      <c r="DN327" s="9"/>
      <c r="DO327" s="9"/>
      <c r="DP327" s="9"/>
      <c r="DQ327" s="9" t="s">
        <v>1101</v>
      </c>
      <c r="DR327" s="9"/>
      <c r="DS327" s="9"/>
      <c r="DT327" s="9"/>
      <c r="DU327" s="9" t="s">
        <v>1101</v>
      </c>
      <c r="DV327" s="9"/>
      <c r="DW327" s="9"/>
      <c r="DX327" s="9"/>
      <c r="DY327" s="9" t="s">
        <v>1101</v>
      </c>
      <c r="DZ327" s="9"/>
      <c r="EA327" s="9"/>
      <c r="EB327" s="9"/>
      <c r="EC327" s="9" t="s">
        <v>1101</v>
      </c>
      <c r="ED327" s="9"/>
      <c r="EE327" s="9"/>
      <c r="EF327" s="9"/>
      <c r="EG327" s="9" t="s">
        <v>1101</v>
      </c>
      <c r="EH327" s="9"/>
      <c r="EI327" s="9"/>
      <c r="EJ327" s="9"/>
      <c r="EK327" s="9" t="s">
        <v>1101</v>
      </c>
      <c r="EL327" s="9"/>
      <c r="EM327" s="9"/>
      <c r="EN327" s="9"/>
      <c r="EO327" s="9" t="s">
        <v>1101</v>
      </c>
      <c r="EP327" s="9"/>
      <c r="EQ327" s="9"/>
      <c r="ER327" s="9"/>
      <c r="ES327" s="9" t="s">
        <v>1101</v>
      </c>
      <c r="ET327" s="9"/>
      <c r="EU327" s="9"/>
      <c r="EV327" s="9"/>
      <c r="EW327" s="9" t="s">
        <v>1101</v>
      </c>
      <c r="EX327" s="9"/>
      <c r="EY327" s="9"/>
      <c r="EZ327" s="9"/>
      <c r="FA327" s="9" t="s">
        <v>1101</v>
      </c>
      <c r="FB327" s="9"/>
      <c r="FC327" s="9"/>
      <c r="FD327" s="9"/>
      <c r="FE327" s="9" t="s">
        <v>1101</v>
      </c>
      <c r="FF327" s="9"/>
      <c r="FG327" s="9"/>
      <c r="FH327" s="9"/>
      <c r="FI327" s="9" t="s">
        <v>1101</v>
      </c>
      <c r="FJ327" s="9"/>
      <c r="FK327" s="9"/>
      <c r="FL327" s="9"/>
      <c r="FM327" s="9" t="s">
        <v>1101</v>
      </c>
      <c r="FN327" s="9"/>
      <c r="FO327" s="9"/>
      <c r="FP327" s="9"/>
      <c r="FQ327" s="9" t="s">
        <v>1101</v>
      </c>
      <c r="FR327" s="9"/>
      <c r="FS327" s="9"/>
      <c r="FT327" s="9"/>
      <c r="FU327" s="9" t="s">
        <v>1101</v>
      </c>
      <c r="FV327" s="9"/>
      <c r="FW327" s="9"/>
      <c r="FX327" s="9"/>
      <c r="FY327" s="9" t="s">
        <v>1101</v>
      </c>
      <c r="FZ327" s="9"/>
      <c r="GA327" s="9"/>
      <c r="GB327" s="9"/>
      <c r="GC327" s="9" t="s">
        <v>1101</v>
      </c>
      <c r="GD327" s="9"/>
      <c r="GE327" s="9"/>
      <c r="GF327" s="9"/>
      <c r="GG327" s="9" t="s">
        <v>1101</v>
      </c>
      <c r="GH327" s="9"/>
      <c r="GI327" s="9"/>
      <c r="GJ327" s="9"/>
      <c r="GK327" s="9" t="s">
        <v>1101</v>
      </c>
      <c r="GL327" s="9"/>
      <c r="GM327" s="9"/>
      <c r="GN327" s="9"/>
      <c r="GO327" s="9" t="s">
        <v>1101</v>
      </c>
      <c r="GP327" s="9"/>
      <c r="GQ327" s="9"/>
      <c r="GR327" s="9"/>
      <c r="GS327" s="9" t="s">
        <v>1101</v>
      </c>
      <c r="GT327" s="9"/>
      <c r="GU327" s="9"/>
      <c r="GV327" s="9"/>
      <c r="GW327" s="9" t="s">
        <v>1101</v>
      </c>
      <c r="GX327" s="9"/>
      <c r="GY327" s="9"/>
      <c r="GZ327" s="9"/>
      <c r="HA327" s="9" t="s">
        <v>1101</v>
      </c>
      <c r="HB327" s="9"/>
      <c r="HC327" s="9"/>
      <c r="HD327" s="9"/>
      <c r="HE327" s="9" t="s">
        <v>1101</v>
      </c>
      <c r="HF327" s="9"/>
      <c r="HG327" s="9"/>
      <c r="HH327" s="9"/>
      <c r="HI327" s="9" t="s">
        <v>1101</v>
      </c>
      <c r="HJ327" s="9"/>
      <c r="HK327" s="9"/>
      <c r="HL327" s="9"/>
      <c r="HM327" s="9" t="s">
        <v>1101</v>
      </c>
      <c r="HN327" s="9"/>
      <c r="HO327" s="9"/>
      <c r="HP327" s="9"/>
      <c r="HQ327" s="9" t="s">
        <v>1101</v>
      </c>
      <c r="HR327" s="9"/>
      <c r="HS327" s="9"/>
      <c r="HT327" s="9"/>
      <c r="HU327" s="9" t="s">
        <v>1101</v>
      </c>
      <c r="HV327" s="9"/>
      <c r="HW327" s="9"/>
      <c r="HX327" s="9"/>
      <c r="HY327" s="9" t="s">
        <v>1101</v>
      </c>
      <c r="HZ327" s="9"/>
      <c r="IA327" s="9"/>
      <c r="IB327" s="67"/>
      <c r="IC327" s="68"/>
      <c r="ID327" s="157"/>
      <c r="IE327" s="158"/>
    </row>
    <row r="328" spans="1:239" s="11" customFormat="1" x14ac:dyDescent="0.2">
      <c r="A328" s="9">
        <v>20</v>
      </c>
      <c r="B328" s="9"/>
      <c r="C328" s="9"/>
      <c r="D328" s="9" t="s">
        <v>69</v>
      </c>
      <c r="E328" s="65" t="s">
        <v>70</v>
      </c>
      <c r="F328" s="65"/>
      <c r="G328" s="92" t="s">
        <v>2476</v>
      </c>
      <c r="H328" s="66" t="s">
        <v>1382</v>
      </c>
      <c r="I328" s="9"/>
      <c r="J328" s="9" t="s">
        <v>1101</v>
      </c>
      <c r="K328" s="9"/>
      <c r="L328" s="9"/>
      <c r="M328" s="9" t="s">
        <v>1101</v>
      </c>
      <c r="N328" s="9"/>
      <c r="O328" s="9"/>
      <c r="P328" s="9"/>
      <c r="Q328" s="9" t="s">
        <v>1101</v>
      </c>
      <c r="R328" s="9"/>
      <c r="S328" s="9"/>
      <c r="T328" s="9"/>
      <c r="U328" s="9" t="s">
        <v>1101</v>
      </c>
      <c r="V328" s="9"/>
      <c r="W328" s="9"/>
      <c r="X328" s="9"/>
      <c r="Y328" s="9" t="s">
        <v>1101</v>
      </c>
      <c r="Z328" s="9"/>
      <c r="AA328" s="9"/>
      <c r="AB328" s="9"/>
      <c r="AC328" s="9" t="s">
        <v>1101</v>
      </c>
      <c r="AD328" s="9"/>
      <c r="AE328" s="9"/>
      <c r="AF328" s="9"/>
      <c r="AG328" s="9" t="s">
        <v>1101</v>
      </c>
      <c r="AH328" s="9"/>
      <c r="AI328" s="9"/>
      <c r="AJ328" s="9"/>
      <c r="AK328" s="9" t="s">
        <v>1101</v>
      </c>
      <c r="AL328" s="9"/>
      <c r="AM328" s="9"/>
      <c r="AN328" s="9"/>
      <c r="AO328" s="9" t="s">
        <v>1101</v>
      </c>
      <c r="AP328" s="9"/>
      <c r="AQ328" s="9"/>
      <c r="AR328" s="9"/>
      <c r="AS328" s="9" t="s">
        <v>1101</v>
      </c>
      <c r="AT328" s="9"/>
      <c r="AU328" s="9"/>
      <c r="AV328" s="9"/>
      <c r="AW328" s="9" t="s">
        <v>1101</v>
      </c>
      <c r="AX328" s="9"/>
      <c r="AY328" s="9"/>
      <c r="AZ328" s="9"/>
      <c r="BA328" s="9" t="s">
        <v>1101</v>
      </c>
      <c r="BB328" s="9"/>
      <c r="BC328" s="9"/>
      <c r="BD328" s="9"/>
      <c r="BE328" s="9" t="s">
        <v>1101</v>
      </c>
      <c r="BF328" s="9"/>
      <c r="BG328" s="9"/>
      <c r="BH328" s="9"/>
      <c r="BI328" s="9" t="s">
        <v>1101</v>
      </c>
      <c r="BJ328" s="9"/>
      <c r="BK328" s="9"/>
      <c r="BL328" s="9"/>
      <c r="BM328" s="9" t="s">
        <v>1101</v>
      </c>
      <c r="BN328" s="9"/>
      <c r="BO328" s="9"/>
      <c r="BP328" s="9"/>
      <c r="BQ328" s="9" t="s">
        <v>1101</v>
      </c>
      <c r="BR328" s="9"/>
      <c r="BS328" s="9"/>
      <c r="BT328" s="9"/>
      <c r="BU328" s="9" t="s">
        <v>1101</v>
      </c>
      <c r="BV328" s="9"/>
      <c r="BW328" s="9"/>
      <c r="BX328" s="9"/>
      <c r="BY328" s="9" t="s">
        <v>1101</v>
      </c>
      <c r="BZ328" s="9"/>
      <c r="CA328" s="9"/>
      <c r="CB328" s="9"/>
      <c r="CC328" s="9" t="s">
        <v>1101</v>
      </c>
      <c r="CD328" s="9"/>
      <c r="CE328" s="9"/>
      <c r="CF328" s="9"/>
      <c r="CG328" s="9" t="s">
        <v>1101</v>
      </c>
      <c r="CH328" s="9"/>
      <c r="CI328" s="9"/>
      <c r="CJ328" s="9"/>
      <c r="CK328" s="9" t="s">
        <v>1101</v>
      </c>
      <c r="CL328" s="9"/>
      <c r="CM328" s="9"/>
      <c r="CN328" s="9"/>
      <c r="CO328" s="9" t="s">
        <v>1101</v>
      </c>
      <c r="CP328" s="9"/>
      <c r="CQ328" s="9"/>
      <c r="CR328" s="9"/>
      <c r="CS328" s="9" t="s">
        <v>1101</v>
      </c>
      <c r="CT328" s="9"/>
      <c r="CU328" s="9"/>
      <c r="CV328" s="9"/>
      <c r="CW328" s="9" t="s">
        <v>1101</v>
      </c>
      <c r="CX328" s="9"/>
      <c r="CY328" s="9"/>
      <c r="CZ328" s="9"/>
      <c r="DA328" s="9" t="s">
        <v>1101</v>
      </c>
      <c r="DB328" s="9"/>
      <c r="DC328" s="9"/>
      <c r="DD328" s="9"/>
      <c r="DE328" s="9" t="s">
        <v>1101</v>
      </c>
      <c r="DF328" s="9"/>
      <c r="DG328" s="9"/>
      <c r="DH328" s="9"/>
      <c r="DI328" s="9" t="s">
        <v>1101</v>
      </c>
      <c r="DJ328" s="9"/>
      <c r="DK328" s="9"/>
      <c r="DL328" s="9"/>
      <c r="DM328" s="9" t="s">
        <v>1101</v>
      </c>
      <c r="DN328" s="9"/>
      <c r="DO328" s="9"/>
      <c r="DP328" s="9"/>
      <c r="DQ328" s="9" t="s">
        <v>1101</v>
      </c>
      <c r="DR328" s="9"/>
      <c r="DS328" s="9"/>
      <c r="DT328" s="9"/>
      <c r="DU328" s="9" t="s">
        <v>1101</v>
      </c>
      <c r="DV328" s="9"/>
      <c r="DW328" s="9"/>
      <c r="DX328" s="9"/>
      <c r="DY328" s="9" t="s">
        <v>1101</v>
      </c>
      <c r="DZ328" s="9"/>
      <c r="EA328" s="9"/>
      <c r="EB328" s="9"/>
      <c r="EC328" s="9" t="s">
        <v>1101</v>
      </c>
      <c r="ED328" s="9"/>
      <c r="EE328" s="9"/>
      <c r="EF328" s="9"/>
      <c r="EG328" s="9" t="s">
        <v>1101</v>
      </c>
      <c r="EH328" s="9"/>
      <c r="EI328" s="9"/>
      <c r="EJ328" s="9"/>
      <c r="EK328" s="9" t="s">
        <v>1101</v>
      </c>
      <c r="EL328" s="9"/>
      <c r="EM328" s="9"/>
      <c r="EN328" s="9"/>
      <c r="EO328" s="9" t="s">
        <v>1101</v>
      </c>
      <c r="EP328" s="9"/>
      <c r="EQ328" s="9"/>
      <c r="ER328" s="9"/>
      <c r="ES328" s="9" t="s">
        <v>1101</v>
      </c>
      <c r="ET328" s="9"/>
      <c r="EU328" s="9"/>
      <c r="EV328" s="9"/>
      <c r="EW328" s="9" t="s">
        <v>1101</v>
      </c>
      <c r="EX328" s="9"/>
      <c r="EY328" s="9"/>
      <c r="EZ328" s="9"/>
      <c r="FA328" s="9" t="s">
        <v>1101</v>
      </c>
      <c r="FB328" s="9"/>
      <c r="FC328" s="9"/>
      <c r="FD328" s="9"/>
      <c r="FE328" s="9" t="s">
        <v>1101</v>
      </c>
      <c r="FF328" s="9"/>
      <c r="FG328" s="9"/>
      <c r="FH328" s="9"/>
      <c r="FI328" s="9" t="s">
        <v>1101</v>
      </c>
      <c r="FJ328" s="9"/>
      <c r="FK328" s="9"/>
      <c r="FL328" s="9"/>
      <c r="FM328" s="9" t="s">
        <v>1101</v>
      </c>
      <c r="FN328" s="9"/>
      <c r="FO328" s="9"/>
      <c r="FP328" s="9"/>
      <c r="FQ328" s="9" t="s">
        <v>1101</v>
      </c>
      <c r="FR328" s="9"/>
      <c r="FS328" s="9"/>
      <c r="FT328" s="9"/>
      <c r="FU328" s="9" t="s">
        <v>1101</v>
      </c>
      <c r="FV328" s="9"/>
      <c r="FW328" s="9"/>
      <c r="FX328" s="9"/>
      <c r="FY328" s="9" t="s">
        <v>1101</v>
      </c>
      <c r="FZ328" s="9"/>
      <c r="GA328" s="9"/>
      <c r="GB328" s="9"/>
      <c r="GC328" s="9" t="s">
        <v>1101</v>
      </c>
      <c r="GD328" s="9"/>
      <c r="GE328" s="9"/>
      <c r="GF328" s="9"/>
      <c r="GG328" s="9" t="s">
        <v>1101</v>
      </c>
      <c r="GH328" s="9"/>
      <c r="GI328" s="9"/>
      <c r="GJ328" s="9"/>
      <c r="GK328" s="9" t="s">
        <v>1101</v>
      </c>
      <c r="GL328" s="9"/>
      <c r="GM328" s="9"/>
      <c r="GN328" s="9"/>
      <c r="GO328" s="9" t="s">
        <v>1101</v>
      </c>
      <c r="GP328" s="9"/>
      <c r="GQ328" s="9"/>
      <c r="GR328" s="9"/>
      <c r="GS328" s="9" t="s">
        <v>1101</v>
      </c>
      <c r="GT328" s="9"/>
      <c r="GU328" s="9"/>
      <c r="GV328" s="9"/>
      <c r="GW328" s="9" t="s">
        <v>1101</v>
      </c>
      <c r="GX328" s="9"/>
      <c r="GY328" s="9"/>
      <c r="GZ328" s="9"/>
      <c r="HA328" s="9" t="s">
        <v>1101</v>
      </c>
      <c r="HB328" s="9"/>
      <c r="HC328" s="9"/>
      <c r="HD328" s="9"/>
      <c r="HE328" s="9" t="s">
        <v>1101</v>
      </c>
      <c r="HF328" s="9"/>
      <c r="HG328" s="9"/>
      <c r="HH328" s="9"/>
      <c r="HI328" s="9" t="s">
        <v>1101</v>
      </c>
      <c r="HJ328" s="9"/>
      <c r="HK328" s="9"/>
      <c r="HL328" s="9"/>
      <c r="HM328" s="9" t="s">
        <v>1101</v>
      </c>
      <c r="HN328" s="9"/>
      <c r="HO328" s="9"/>
      <c r="HP328" s="9"/>
      <c r="HQ328" s="9" t="s">
        <v>1101</v>
      </c>
      <c r="HR328" s="9"/>
      <c r="HS328" s="9"/>
      <c r="HT328" s="9"/>
      <c r="HU328" s="9" t="s">
        <v>1101</v>
      </c>
      <c r="HV328" s="9"/>
      <c r="HW328" s="9"/>
      <c r="HX328" s="9"/>
      <c r="HY328" s="9" t="s">
        <v>1101</v>
      </c>
      <c r="HZ328" s="9"/>
      <c r="IA328" s="9"/>
      <c r="IB328" s="67"/>
      <c r="IC328" s="68"/>
      <c r="ID328" s="157"/>
      <c r="IE328" s="158"/>
    </row>
    <row r="329" spans="1:239" s="11" customFormat="1" x14ac:dyDescent="0.2">
      <c r="A329" s="9">
        <v>20</v>
      </c>
      <c r="B329" s="9"/>
      <c r="C329" s="9"/>
      <c r="D329" s="9" t="s">
        <v>71</v>
      </c>
      <c r="E329" s="65" t="s">
        <v>72</v>
      </c>
      <c r="F329" s="65"/>
      <c r="G329" s="92" t="s">
        <v>2477</v>
      </c>
      <c r="H329" s="66" t="s">
        <v>1383</v>
      </c>
      <c r="I329" s="9"/>
      <c r="J329" s="9" t="s">
        <v>1101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  <c r="EN329" s="9"/>
      <c r="EO329" s="9"/>
      <c r="EP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E329" s="9"/>
      <c r="FF329" s="9"/>
      <c r="FG329" s="9"/>
      <c r="FH329" s="9"/>
      <c r="FI329" s="9"/>
      <c r="FJ329" s="9"/>
      <c r="FK329" s="9"/>
      <c r="FL329" s="9"/>
      <c r="FM329" s="9"/>
      <c r="FN329" s="9"/>
      <c r="FO329" s="9"/>
      <c r="FP329" s="9"/>
      <c r="FQ329" s="9"/>
      <c r="FR329" s="9"/>
      <c r="FS329" s="9"/>
      <c r="FT329" s="9"/>
      <c r="FU329" s="9"/>
      <c r="FV329" s="9"/>
      <c r="FW329" s="9"/>
      <c r="FX329" s="9"/>
      <c r="FY329" s="9"/>
      <c r="FZ329" s="9"/>
      <c r="GA329" s="9"/>
      <c r="GB329" s="9"/>
      <c r="GC329" s="9"/>
      <c r="GD329" s="9"/>
      <c r="GE329" s="9"/>
      <c r="GF329" s="9"/>
      <c r="GG329" s="9"/>
      <c r="GH329" s="9"/>
      <c r="GI329" s="9"/>
      <c r="GJ329" s="9"/>
      <c r="GK329" s="9"/>
      <c r="GL329" s="9"/>
      <c r="GM329" s="9"/>
      <c r="GN329" s="9"/>
      <c r="GO329" s="9"/>
      <c r="GP329" s="9"/>
      <c r="GQ329" s="9"/>
      <c r="GR329" s="9"/>
      <c r="GS329" s="9"/>
      <c r="GT329" s="9"/>
      <c r="GU329" s="9"/>
      <c r="GV329" s="9"/>
      <c r="GW329" s="9"/>
      <c r="GX329" s="9"/>
      <c r="GY329" s="9"/>
      <c r="GZ329" s="9"/>
      <c r="HA329" s="9"/>
      <c r="HB329" s="9"/>
      <c r="HC329" s="9"/>
      <c r="HD329" s="9"/>
      <c r="HE329" s="9"/>
      <c r="HF329" s="9"/>
      <c r="HG329" s="9"/>
      <c r="HH329" s="9"/>
      <c r="HI329" s="9"/>
      <c r="HJ329" s="9"/>
      <c r="HK329" s="9"/>
      <c r="HL329" s="9"/>
      <c r="HM329" s="9"/>
      <c r="HN329" s="9"/>
      <c r="HO329" s="9"/>
      <c r="HP329" s="9"/>
      <c r="HQ329" s="9"/>
      <c r="HR329" s="9"/>
      <c r="HS329" s="9"/>
      <c r="HT329" s="9"/>
      <c r="HU329" s="9"/>
      <c r="HV329" s="9"/>
      <c r="HW329" s="9"/>
      <c r="HX329" s="9"/>
      <c r="HY329" s="9"/>
      <c r="HZ329" s="9"/>
      <c r="IA329" s="9"/>
      <c r="IB329" s="67"/>
      <c r="IC329" s="68"/>
      <c r="ID329" s="157"/>
      <c r="IE329" s="158"/>
    </row>
    <row r="330" spans="1:239" s="11" customFormat="1" x14ac:dyDescent="0.2">
      <c r="A330" s="9">
        <v>20</v>
      </c>
      <c r="B330" s="9"/>
      <c r="C330" s="9"/>
      <c r="D330" s="9" t="s">
        <v>63</v>
      </c>
      <c r="E330" s="65" t="s">
        <v>64</v>
      </c>
      <c r="F330" s="65"/>
      <c r="G330" s="92" t="s">
        <v>2478</v>
      </c>
      <c r="H330" s="66" t="s">
        <v>1384</v>
      </c>
      <c r="I330" s="9"/>
      <c r="J330" s="9" t="s">
        <v>1101</v>
      </c>
      <c r="K330" s="9"/>
      <c r="L330" s="9"/>
      <c r="M330" s="9" t="s">
        <v>1101</v>
      </c>
      <c r="N330" s="9"/>
      <c r="O330" s="9"/>
      <c r="P330" s="9"/>
      <c r="Q330" s="9" t="s">
        <v>1101</v>
      </c>
      <c r="R330" s="9"/>
      <c r="S330" s="9"/>
      <c r="T330" s="9"/>
      <c r="U330" s="9" t="s">
        <v>1101</v>
      </c>
      <c r="V330" s="9"/>
      <c r="W330" s="9"/>
      <c r="X330" s="9"/>
      <c r="Y330" s="9" t="s">
        <v>1101</v>
      </c>
      <c r="Z330" s="9"/>
      <c r="AA330" s="9"/>
      <c r="AB330" s="9"/>
      <c r="AC330" s="9" t="s">
        <v>1101</v>
      </c>
      <c r="AD330" s="9"/>
      <c r="AE330" s="9"/>
      <c r="AF330" s="9"/>
      <c r="AG330" s="9" t="s">
        <v>1101</v>
      </c>
      <c r="AH330" s="9"/>
      <c r="AI330" s="9"/>
      <c r="AJ330" s="9"/>
      <c r="AK330" s="9" t="s">
        <v>1101</v>
      </c>
      <c r="AL330" s="9"/>
      <c r="AM330" s="9"/>
      <c r="AN330" s="9"/>
      <c r="AO330" s="9" t="s">
        <v>1101</v>
      </c>
      <c r="AP330" s="9"/>
      <c r="AQ330" s="9"/>
      <c r="AR330" s="9"/>
      <c r="AS330" s="9" t="s">
        <v>1101</v>
      </c>
      <c r="AT330" s="9"/>
      <c r="AU330" s="9"/>
      <c r="AV330" s="9"/>
      <c r="AW330" s="9" t="s">
        <v>1101</v>
      </c>
      <c r="AX330" s="9"/>
      <c r="AY330" s="9"/>
      <c r="AZ330" s="9"/>
      <c r="BA330" s="9" t="s">
        <v>1101</v>
      </c>
      <c r="BB330" s="9"/>
      <c r="BC330" s="9"/>
      <c r="BD330" s="9"/>
      <c r="BE330" s="9" t="s">
        <v>1101</v>
      </c>
      <c r="BF330" s="9"/>
      <c r="BG330" s="9"/>
      <c r="BH330" s="9"/>
      <c r="BI330" s="9" t="s">
        <v>1101</v>
      </c>
      <c r="BJ330" s="9"/>
      <c r="BK330" s="9"/>
      <c r="BL330" s="9"/>
      <c r="BM330" s="9" t="s">
        <v>1101</v>
      </c>
      <c r="BN330" s="9"/>
      <c r="BO330" s="9"/>
      <c r="BP330" s="9"/>
      <c r="BQ330" s="9" t="s">
        <v>1101</v>
      </c>
      <c r="BR330" s="9"/>
      <c r="BS330" s="9"/>
      <c r="BT330" s="9"/>
      <c r="BU330" s="9" t="s">
        <v>1101</v>
      </c>
      <c r="BV330" s="9"/>
      <c r="BW330" s="9"/>
      <c r="BX330" s="9"/>
      <c r="BY330" s="9" t="s">
        <v>1101</v>
      </c>
      <c r="BZ330" s="9"/>
      <c r="CA330" s="9"/>
      <c r="CB330" s="9"/>
      <c r="CC330" s="9" t="s">
        <v>1101</v>
      </c>
      <c r="CD330" s="9"/>
      <c r="CE330" s="9"/>
      <c r="CF330" s="9"/>
      <c r="CG330" s="9" t="s">
        <v>1101</v>
      </c>
      <c r="CH330" s="9"/>
      <c r="CI330" s="9"/>
      <c r="CJ330" s="9"/>
      <c r="CK330" s="9" t="s">
        <v>1101</v>
      </c>
      <c r="CL330" s="9"/>
      <c r="CM330" s="9"/>
      <c r="CN330" s="9"/>
      <c r="CO330" s="9" t="s">
        <v>1101</v>
      </c>
      <c r="CP330" s="9"/>
      <c r="CQ330" s="9"/>
      <c r="CR330" s="9"/>
      <c r="CS330" s="9" t="s">
        <v>1101</v>
      </c>
      <c r="CT330" s="9"/>
      <c r="CU330" s="9"/>
      <c r="CV330" s="9"/>
      <c r="CW330" s="9" t="s">
        <v>1101</v>
      </c>
      <c r="CX330" s="9"/>
      <c r="CY330" s="9"/>
      <c r="CZ330" s="9"/>
      <c r="DA330" s="9" t="s">
        <v>1101</v>
      </c>
      <c r="DB330" s="9"/>
      <c r="DC330" s="9"/>
      <c r="DD330" s="9"/>
      <c r="DE330" s="9" t="s">
        <v>1101</v>
      </c>
      <c r="DF330" s="9"/>
      <c r="DG330" s="9"/>
      <c r="DH330" s="9"/>
      <c r="DI330" s="9" t="s">
        <v>1101</v>
      </c>
      <c r="DJ330" s="9"/>
      <c r="DK330" s="9"/>
      <c r="DL330" s="9"/>
      <c r="DM330" s="9" t="s">
        <v>1101</v>
      </c>
      <c r="DN330" s="9"/>
      <c r="DO330" s="9"/>
      <c r="DP330" s="9"/>
      <c r="DQ330" s="9" t="s">
        <v>1101</v>
      </c>
      <c r="DR330" s="9"/>
      <c r="DS330" s="9"/>
      <c r="DT330" s="9"/>
      <c r="DU330" s="9" t="s">
        <v>1101</v>
      </c>
      <c r="DV330" s="9"/>
      <c r="DW330" s="9"/>
      <c r="DX330" s="9"/>
      <c r="DY330" s="9" t="s">
        <v>1101</v>
      </c>
      <c r="DZ330" s="9"/>
      <c r="EA330" s="9"/>
      <c r="EB330" s="9"/>
      <c r="EC330" s="9" t="s">
        <v>1101</v>
      </c>
      <c r="ED330" s="9"/>
      <c r="EE330" s="9"/>
      <c r="EF330" s="9"/>
      <c r="EG330" s="9" t="s">
        <v>1101</v>
      </c>
      <c r="EH330" s="9"/>
      <c r="EI330" s="9"/>
      <c r="EJ330" s="9"/>
      <c r="EK330" s="9" t="s">
        <v>1101</v>
      </c>
      <c r="EL330" s="9"/>
      <c r="EM330" s="9"/>
      <c r="EN330" s="9"/>
      <c r="EO330" s="9" t="s">
        <v>1101</v>
      </c>
      <c r="EP330" s="9"/>
      <c r="EQ330" s="9"/>
      <c r="ER330" s="9"/>
      <c r="ES330" s="9" t="s">
        <v>1101</v>
      </c>
      <c r="ET330" s="9"/>
      <c r="EU330" s="9"/>
      <c r="EV330" s="9"/>
      <c r="EW330" s="9" t="s">
        <v>1101</v>
      </c>
      <c r="EX330" s="9"/>
      <c r="EY330" s="9"/>
      <c r="EZ330" s="9"/>
      <c r="FA330" s="9" t="s">
        <v>1101</v>
      </c>
      <c r="FB330" s="9"/>
      <c r="FC330" s="9"/>
      <c r="FD330" s="9"/>
      <c r="FE330" s="9" t="s">
        <v>1101</v>
      </c>
      <c r="FF330" s="9"/>
      <c r="FG330" s="9"/>
      <c r="FH330" s="9"/>
      <c r="FI330" s="9" t="s">
        <v>1101</v>
      </c>
      <c r="FJ330" s="9"/>
      <c r="FK330" s="9"/>
      <c r="FL330" s="9"/>
      <c r="FM330" s="9" t="s">
        <v>1101</v>
      </c>
      <c r="FN330" s="9"/>
      <c r="FO330" s="9"/>
      <c r="FP330" s="9"/>
      <c r="FQ330" s="9" t="s">
        <v>1101</v>
      </c>
      <c r="FR330" s="9"/>
      <c r="FS330" s="9"/>
      <c r="FT330" s="9"/>
      <c r="FU330" s="9" t="s">
        <v>1101</v>
      </c>
      <c r="FV330" s="9"/>
      <c r="FW330" s="9"/>
      <c r="FX330" s="9"/>
      <c r="FY330" s="9" t="s">
        <v>1101</v>
      </c>
      <c r="FZ330" s="9"/>
      <c r="GA330" s="9"/>
      <c r="GB330" s="9"/>
      <c r="GC330" s="9" t="s">
        <v>1101</v>
      </c>
      <c r="GD330" s="9"/>
      <c r="GE330" s="9"/>
      <c r="GF330" s="9"/>
      <c r="GG330" s="9" t="s">
        <v>1101</v>
      </c>
      <c r="GH330" s="9"/>
      <c r="GI330" s="9"/>
      <c r="GJ330" s="9"/>
      <c r="GK330" s="9" t="s">
        <v>1101</v>
      </c>
      <c r="GL330" s="9"/>
      <c r="GM330" s="9"/>
      <c r="GN330" s="9"/>
      <c r="GO330" s="9" t="s">
        <v>1101</v>
      </c>
      <c r="GP330" s="9"/>
      <c r="GQ330" s="9"/>
      <c r="GR330" s="9"/>
      <c r="GS330" s="9" t="s">
        <v>1101</v>
      </c>
      <c r="GT330" s="9"/>
      <c r="GU330" s="9"/>
      <c r="GV330" s="9"/>
      <c r="GW330" s="9" t="s">
        <v>1101</v>
      </c>
      <c r="GX330" s="9"/>
      <c r="GY330" s="9"/>
      <c r="GZ330" s="9"/>
      <c r="HA330" s="9" t="s">
        <v>1101</v>
      </c>
      <c r="HB330" s="9"/>
      <c r="HC330" s="9"/>
      <c r="HD330" s="9"/>
      <c r="HE330" s="9" t="s">
        <v>1101</v>
      </c>
      <c r="HF330" s="9"/>
      <c r="HG330" s="9"/>
      <c r="HH330" s="9"/>
      <c r="HI330" s="9" t="s">
        <v>1101</v>
      </c>
      <c r="HJ330" s="9"/>
      <c r="HK330" s="9"/>
      <c r="HL330" s="9"/>
      <c r="HM330" s="9" t="s">
        <v>1101</v>
      </c>
      <c r="HN330" s="9"/>
      <c r="HO330" s="9"/>
      <c r="HP330" s="9"/>
      <c r="HQ330" s="9" t="s">
        <v>1101</v>
      </c>
      <c r="HR330" s="9"/>
      <c r="HS330" s="9"/>
      <c r="HT330" s="9"/>
      <c r="HU330" s="9" t="s">
        <v>1101</v>
      </c>
      <c r="HV330" s="9"/>
      <c r="HW330" s="9"/>
      <c r="HX330" s="9"/>
      <c r="HY330" s="9" t="s">
        <v>1101</v>
      </c>
      <c r="HZ330" s="9"/>
      <c r="IA330" s="9"/>
      <c r="IB330" s="67"/>
      <c r="IC330" s="68"/>
      <c r="ID330" s="157"/>
      <c r="IE330" s="158"/>
    </row>
    <row r="331" spans="1:239" s="11" customFormat="1" x14ac:dyDescent="0.2">
      <c r="A331" s="9">
        <v>20</v>
      </c>
      <c r="B331" s="9"/>
      <c r="C331" s="9"/>
      <c r="D331" s="9" t="s">
        <v>73</v>
      </c>
      <c r="E331" s="65" t="s">
        <v>810</v>
      </c>
      <c r="F331" s="65"/>
      <c r="G331" s="92" t="s">
        <v>2479</v>
      </c>
      <c r="H331" s="66" t="s">
        <v>1385</v>
      </c>
      <c r="I331" s="9"/>
      <c r="J331" s="9" t="s">
        <v>1101</v>
      </c>
      <c r="K331" s="9"/>
      <c r="L331" s="9"/>
      <c r="M331" s="9" t="s">
        <v>1101</v>
      </c>
      <c r="N331" s="9"/>
      <c r="O331" s="9"/>
      <c r="P331" s="9"/>
      <c r="Q331" s="9" t="s">
        <v>1101</v>
      </c>
      <c r="R331" s="9"/>
      <c r="S331" s="9"/>
      <c r="T331" s="9"/>
      <c r="U331" s="9" t="s">
        <v>1101</v>
      </c>
      <c r="V331" s="9"/>
      <c r="W331" s="9"/>
      <c r="X331" s="9"/>
      <c r="Y331" s="9" t="s">
        <v>1101</v>
      </c>
      <c r="Z331" s="9"/>
      <c r="AA331" s="9"/>
      <c r="AB331" s="9"/>
      <c r="AC331" s="9" t="s">
        <v>1101</v>
      </c>
      <c r="AD331" s="9"/>
      <c r="AE331" s="9"/>
      <c r="AF331" s="9"/>
      <c r="AG331" s="9" t="s">
        <v>1101</v>
      </c>
      <c r="AH331" s="9"/>
      <c r="AI331" s="9"/>
      <c r="AJ331" s="9"/>
      <c r="AK331" s="9" t="s">
        <v>1101</v>
      </c>
      <c r="AL331" s="9"/>
      <c r="AM331" s="9"/>
      <c r="AN331" s="9"/>
      <c r="AO331" s="9" t="s">
        <v>1101</v>
      </c>
      <c r="AP331" s="9"/>
      <c r="AQ331" s="9"/>
      <c r="AR331" s="9"/>
      <c r="AS331" s="9" t="s">
        <v>1101</v>
      </c>
      <c r="AT331" s="9"/>
      <c r="AU331" s="9"/>
      <c r="AV331" s="9"/>
      <c r="AW331" s="9" t="s">
        <v>1101</v>
      </c>
      <c r="AX331" s="9"/>
      <c r="AY331" s="9"/>
      <c r="AZ331" s="9"/>
      <c r="BA331" s="9" t="s">
        <v>1101</v>
      </c>
      <c r="BB331" s="9"/>
      <c r="BC331" s="9"/>
      <c r="BD331" s="9"/>
      <c r="BE331" s="9" t="s">
        <v>1101</v>
      </c>
      <c r="BF331" s="9"/>
      <c r="BG331" s="9"/>
      <c r="BH331" s="9"/>
      <c r="BI331" s="9" t="s">
        <v>1101</v>
      </c>
      <c r="BJ331" s="9"/>
      <c r="BK331" s="9"/>
      <c r="BL331" s="9"/>
      <c r="BM331" s="9" t="s">
        <v>1101</v>
      </c>
      <c r="BN331" s="9"/>
      <c r="BO331" s="9"/>
      <c r="BP331" s="9"/>
      <c r="BQ331" s="9" t="s">
        <v>1101</v>
      </c>
      <c r="BR331" s="9"/>
      <c r="BS331" s="9"/>
      <c r="BT331" s="9"/>
      <c r="BU331" s="9" t="s">
        <v>1101</v>
      </c>
      <c r="BV331" s="9"/>
      <c r="BW331" s="9"/>
      <c r="BX331" s="9"/>
      <c r="BY331" s="9" t="s">
        <v>1101</v>
      </c>
      <c r="BZ331" s="9"/>
      <c r="CA331" s="9"/>
      <c r="CB331" s="9"/>
      <c r="CC331" s="9" t="s">
        <v>1101</v>
      </c>
      <c r="CD331" s="9"/>
      <c r="CE331" s="9"/>
      <c r="CF331" s="9"/>
      <c r="CG331" s="9" t="s">
        <v>1101</v>
      </c>
      <c r="CH331" s="9"/>
      <c r="CI331" s="9"/>
      <c r="CJ331" s="9"/>
      <c r="CK331" s="9" t="s">
        <v>1101</v>
      </c>
      <c r="CL331" s="9"/>
      <c r="CM331" s="9"/>
      <c r="CN331" s="9"/>
      <c r="CO331" s="9" t="s">
        <v>1101</v>
      </c>
      <c r="CP331" s="9"/>
      <c r="CQ331" s="9"/>
      <c r="CR331" s="9"/>
      <c r="CS331" s="9" t="s">
        <v>1101</v>
      </c>
      <c r="CT331" s="9"/>
      <c r="CU331" s="9"/>
      <c r="CV331" s="9"/>
      <c r="CW331" s="9" t="s">
        <v>1101</v>
      </c>
      <c r="CX331" s="9"/>
      <c r="CY331" s="9"/>
      <c r="CZ331" s="9"/>
      <c r="DA331" s="9" t="s">
        <v>1101</v>
      </c>
      <c r="DB331" s="9"/>
      <c r="DC331" s="9"/>
      <c r="DD331" s="9"/>
      <c r="DE331" s="9" t="s">
        <v>1101</v>
      </c>
      <c r="DF331" s="9"/>
      <c r="DG331" s="9"/>
      <c r="DH331" s="9"/>
      <c r="DI331" s="9" t="s">
        <v>1101</v>
      </c>
      <c r="DJ331" s="9"/>
      <c r="DK331" s="9"/>
      <c r="DL331" s="9"/>
      <c r="DM331" s="9" t="s">
        <v>1101</v>
      </c>
      <c r="DN331" s="9"/>
      <c r="DO331" s="9"/>
      <c r="DP331" s="9"/>
      <c r="DQ331" s="9" t="s">
        <v>1101</v>
      </c>
      <c r="DR331" s="9"/>
      <c r="DS331" s="9"/>
      <c r="DT331" s="9"/>
      <c r="DU331" s="9" t="s">
        <v>1101</v>
      </c>
      <c r="DV331" s="9"/>
      <c r="DW331" s="9"/>
      <c r="DX331" s="9"/>
      <c r="DY331" s="9" t="s">
        <v>1101</v>
      </c>
      <c r="DZ331" s="9"/>
      <c r="EA331" s="9"/>
      <c r="EB331" s="9"/>
      <c r="EC331" s="9" t="s">
        <v>1101</v>
      </c>
      <c r="ED331" s="9"/>
      <c r="EE331" s="9"/>
      <c r="EF331" s="9"/>
      <c r="EG331" s="9" t="s">
        <v>1101</v>
      </c>
      <c r="EH331" s="9"/>
      <c r="EI331" s="9"/>
      <c r="EJ331" s="9"/>
      <c r="EK331" s="9" t="s">
        <v>1101</v>
      </c>
      <c r="EL331" s="9"/>
      <c r="EM331" s="9"/>
      <c r="EN331" s="9"/>
      <c r="EO331" s="9" t="s">
        <v>1101</v>
      </c>
      <c r="EP331" s="9"/>
      <c r="EQ331" s="9"/>
      <c r="ER331" s="9"/>
      <c r="ES331" s="9" t="s">
        <v>1101</v>
      </c>
      <c r="ET331" s="9"/>
      <c r="EU331" s="9"/>
      <c r="EV331" s="9"/>
      <c r="EW331" s="9" t="s">
        <v>1101</v>
      </c>
      <c r="EX331" s="9"/>
      <c r="EY331" s="9"/>
      <c r="EZ331" s="9"/>
      <c r="FA331" s="9" t="s">
        <v>1101</v>
      </c>
      <c r="FB331" s="9"/>
      <c r="FC331" s="9"/>
      <c r="FD331" s="9"/>
      <c r="FE331" s="9" t="s">
        <v>1101</v>
      </c>
      <c r="FF331" s="9"/>
      <c r="FG331" s="9"/>
      <c r="FH331" s="9"/>
      <c r="FI331" s="9" t="s">
        <v>1101</v>
      </c>
      <c r="FJ331" s="9"/>
      <c r="FK331" s="9"/>
      <c r="FL331" s="9"/>
      <c r="FM331" s="9" t="s">
        <v>1101</v>
      </c>
      <c r="FN331" s="9"/>
      <c r="FO331" s="9"/>
      <c r="FP331" s="9"/>
      <c r="FQ331" s="9" t="s">
        <v>1101</v>
      </c>
      <c r="FR331" s="9"/>
      <c r="FS331" s="9"/>
      <c r="FT331" s="9"/>
      <c r="FU331" s="9" t="s">
        <v>1101</v>
      </c>
      <c r="FV331" s="9"/>
      <c r="FW331" s="9"/>
      <c r="FX331" s="9"/>
      <c r="FY331" s="9" t="s">
        <v>1101</v>
      </c>
      <c r="FZ331" s="9"/>
      <c r="GA331" s="9"/>
      <c r="GB331" s="9"/>
      <c r="GC331" s="9" t="s">
        <v>1101</v>
      </c>
      <c r="GD331" s="9"/>
      <c r="GE331" s="9"/>
      <c r="GF331" s="9"/>
      <c r="GG331" s="9" t="s">
        <v>1101</v>
      </c>
      <c r="GH331" s="9"/>
      <c r="GI331" s="9"/>
      <c r="GJ331" s="9"/>
      <c r="GK331" s="9" t="s">
        <v>1101</v>
      </c>
      <c r="GL331" s="9"/>
      <c r="GM331" s="9"/>
      <c r="GN331" s="9"/>
      <c r="GO331" s="9" t="s">
        <v>1101</v>
      </c>
      <c r="GP331" s="9"/>
      <c r="GQ331" s="9"/>
      <c r="GR331" s="9"/>
      <c r="GS331" s="9" t="s">
        <v>1101</v>
      </c>
      <c r="GT331" s="9"/>
      <c r="GU331" s="9"/>
      <c r="GV331" s="9"/>
      <c r="GW331" s="9" t="s">
        <v>1101</v>
      </c>
      <c r="GX331" s="9"/>
      <c r="GY331" s="9"/>
      <c r="GZ331" s="9"/>
      <c r="HA331" s="9" t="s">
        <v>1101</v>
      </c>
      <c r="HB331" s="9"/>
      <c r="HC331" s="9"/>
      <c r="HD331" s="9"/>
      <c r="HE331" s="9" t="s">
        <v>1101</v>
      </c>
      <c r="HF331" s="9"/>
      <c r="HG331" s="9"/>
      <c r="HH331" s="9"/>
      <c r="HI331" s="9" t="s">
        <v>1101</v>
      </c>
      <c r="HJ331" s="9"/>
      <c r="HK331" s="9"/>
      <c r="HL331" s="9"/>
      <c r="HM331" s="9" t="s">
        <v>1101</v>
      </c>
      <c r="HN331" s="9"/>
      <c r="HO331" s="9"/>
      <c r="HP331" s="9"/>
      <c r="HQ331" s="9" t="s">
        <v>1101</v>
      </c>
      <c r="HR331" s="9"/>
      <c r="HS331" s="9"/>
      <c r="HT331" s="9"/>
      <c r="HU331" s="9" t="s">
        <v>1101</v>
      </c>
      <c r="HV331" s="9"/>
      <c r="HW331" s="9"/>
      <c r="HX331" s="9"/>
      <c r="HY331" s="9" t="s">
        <v>1101</v>
      </c>
      <c r="HZ331" s="9"/>
      <c r="IA331" s="9"/>
      <c r="IB331" s="67"/>
      <c r="IC331" s="68"/>
      <c r="ID331" s="157"/>
      <c r="IE331" s="158"/>
    </row>
    <row r="332" spans="1:239" s="11" customFormat="1" x14ac:dyDescent="0.2">
      <c r="A332" s="9">
        <v>20</v>
      </c>
      <c r="B332" s="9"/>
      <c r="C332" s="9"/>
      <c r="D332" s="9" t="s">
        <v>74</v>
      </c>
      <c r="E332" s="65" t="s">
        <v>811</v>
      </c>
      <c r="F332" s="65"/>
      <c r="G332" s="92" t="s">
        <v>2480</v>
      </c>
      <c r="H332" s="66" t="s">
        <v>1386</v>
      </c>
      <c r="I332" s="9"/>
      <c r="J332" s="9" t="s">
        <v>1101</v>
      </c>
      <c r="K332" s="9"/>
      <c r="L332" s="9"/>
      <c r="M332" s="9" t="s">
        <v>1101</v>
      </c>
      <c r="N332" s="9"/>
      <c r="O332" s="9"/>
      <c r="P332" s="9"/>
      <c r="Q332" s="9" t="s">
        <v>1101</v>
      </c>
      <c r="R332" s="9"/>
      <c r="S332" s="9"/>
      <c r="T332" s="9"/>
      <c r="U332" s="9" t="s">
        <v>1101</v>
      </c>
      <c r="V332" s="9"/>
      <c r="W332" s="9"/>
      <c r="X332" s="9"/>
      <c r="Y332" s="9" t="s">
        <v>1101</v>
      </c>
      <c r="Z332" s="9"/>
      <c r="AA332" s="9"/>
      <c r="AB332" s="9"/>
      <c r="AC332" s="9" t="s">
        <v>1101</v>
      </c>
      <c r="AD332" s="9"/>
      <c r="AE332" s="9"/>
      <c r="AF332" s="9"/>
      <c r="AG332" s="9" t="s">
        <v>1101</v>
      </c>
      <c r="AH332" s="9"/>
      <c r="AI332" s="9"/>
      <c r="AJ332" s="9"/>
      <c r="AK332" s="9" t="s">
        <v>1101</v>
      </c>
      <c r="AL332" s="9"/>
      <c r="AM332" s="9"/>
      <c r="AN332" s="9"/>
      <c r="AO332" s="9" t="s">
        <v>1101</v>
      </c>
      <c r="AP332" s="9"/>
      <c r="AQ332" s="9"/>
      <c r="AR332" s="9"/>
      <c r="AS332" s="9" t="s">
        <v>1101</v>
      </c>
      <c r="AT332" s="9"/>
      <c r="AU332" s="9"/>
      <c r="AV332" s="9"/>
      <c r="AW332" s="9" t="s">
        <v>1101</v>
      </c>
      <c r="AX332" s="9"/>
      <c r="AY332" s="9"/>
      <c r="AZ332" s="9"/>
      <c r="BA332" s="9" t="s">
        <v>1101</v>
      </c>
      <c r="BB332" s="9"/>
      <c r="BC332" s="9"/>
      <c r="BD332" s="9"/>
      <c r="BE332" s="9" t="s">
        <v>1101</v>
      </c>
      <c r="BF332" s="9"/>
      <c r="BG332" s="9"/>
      <c r="BH332" s="9"/>
      <c r="BI332" s="9" t="s">
        <v>1101</v>
      </c>
      <c r="BJ332" s="9"/>
      <c r="BK332" s="9"/>
      <c r="BL332" s="9"/>
      <c r="BM332" s="9" t="s">
        <v>1101</v>
      </c>
      <c r="BN332" s="9"/>
      <c r="BO332" s="9"/>
      <c r="BP332" s="9"/>
      <c r="BQ332" s="9" t="s">
        <v>1101</v>
      </c>
      <c r="BR332" s="9"/>
      <c r="BS332" s="9"/>
      <c r="BT332" s="9"/>
      <c r="BU332" s="9" t="s">
        <v>1101</v>
      </c>
      <c r="BV332" s="9"/>
      <c r="BW332" s="9"/>
      <c r="BX332" s="9"/>
      <c r="BY332" s="9" t="s">
        <v>1101</v>
      </c>
      <c r="BZ332" s="9"/>
      <c r="CA332" s="9"/>
      <c r="CB332" s="9"/>
      <c r="CC332" s="9" t="s">
        <v>1101</v>
      </c>
      <c r="CD332" s="9"/>
      <c r="CE332" s="9"/>
      <c r="CF332" s="9"/>
      <c r="CG332" s="9" t="s">
        <v>1101</v>
      </c>
      <c r="CH332" s="9"/>
      <c r="CI332" s="9"/>
      <c r="CJ332" s="9"/>
      <c r="CK332" s="9" t="s">
        <v>1101</v>
      </c>
      <c r="CL332" s="9"/>
      <c r="CM332" s="9"/>
      <c r="CN332" s="9"/>
      <c r="CO332" s="9" t="s">
        <v>1101</v>
      </c>
      <c r="CP332" s="9"/>
      <c r="CQ332" s="9"/>
      <c r="CR332" s="9"/>
      <c r="CS332" s="9" t="s">
        <v>1101</v>
      </c>
      <c r="CT332" s="9"/>
      <c r="CU332" s="9"/>
      <c r="CV332" s="9"/>
      <c r="CW332" s="9" t="s">
        <v>1101</v>
      </c>
      <c r="CX332" s="9"/>
      <c r="CY332" s="9"/>
      <c r="CZ332" s="9"/>
      <c r="DA332" s="9" t="s">
        <v>1101</v>
      </c>
      <c r="DB332" s="9"/>
      <c r="DC332" s="9"/>
      <c r="DD332" s="9"/>
      <c r="DE332" s="9" t="s">
        <v>1101</v>
      </c>
      <c r="DF332" s="9"/>
      <c r="DG332" s="9"/>
      <c r="DH332" s="9"/>
      <c r="DI332" s="9" t="s">
        <v>1101</v>
      </c>
      <c r="DJ332" s="9"/>
      <c r="DK332" s="9"/>
      <c r="DL332" s="9"/>
      <c r="DM332" s="9" t="s">
        <v>1101</v>
      </c>
      <c r="DN332" s="9"/>
      <c r="DO332" s="9"/>
      <c r="DP332" s="9"/>
      <c r="DQ332" s="9" t="s">
        <v>1101</v>
      </c>
      <c r="DR332" s="9"/>
      <c r="DS332" s="9"/>
      <c r="DT332" s="9"/>
      <c r="DU332" s="9" t="s">
        <v>1101</v>
      </c>
      <c r="DV332" s="9"/>
      <c r="DW332" s="9"/>
      <c r="DX332" s="9"/>
      <c r="DY332" s="9" t="s">
        <v>1101</v>
      </c>
      <c r="DZ332" s="9"/>
      <c r="EA332" s="9"/>
      <c r="EB332" s="9"/>
      <c r="EC332" s="9" t="s">
        <v>1101</v>
      </c>
      <c r="ED332" s="9"/>
      <c r="EE332" s="9"/>
      <c r="EF332" s="9"/>
      <c r="EG332" s="9" t="s">
        <v>1101</v>
      </c>
      <c r="EH332" s="9"/>
      <c r="EI332" s="9"/>
      <c r="EJ332" s="9"/>
      <c r="EK332" s="9" t="s">
        <v>1101</v>
      </c>
      <c r="EL332" s="9"/>
      <c r="EM332" s="9"/>
      <c r="EN332" s="9"/>
      <c r="EO332" s="9" t="s">
        <v>1101</v>
      </c>
      <c r="EP332" s="9"/>
      <c r="EQ332" s="9"/>
      <c r="ER332" s="9"/>
      <c r="ES332" s="9" t="s">
        <v>1101</v>
      </c>
      <c r="ET332" s="9"/>
      <c r="EU332" s="9"/>
      <c r="EV332" s="9"/>
      <c r="EW332" s="9" t="s">
        <v>1101</v>
      </c>
      <c r="EX332" s="9"/>
      <c r="EY332" s="9"/>
      <c r="EZ332" s="9"/>
      <c r="FA332" s="9" t="s">
        <v>1101</v>
      </c>
      <c r="FB332" s="9"/>
      <c r="FC332" s="9"/>
      <c r="FD332" s="9"/>
      <c r="FE332" s="9" t="s">
        <v>1101</v>
      </c>
      <c r="FF332" s="9"/>
      <c r="FG332" s="9"/>
      <c r="FH332" s="9"/>
      <c r="FI332" s="9" t="s">
        <v>1101</v>
      </c>
      <c r="FJ332" s="9"/>
      <c r="FK332" s="9"/>
      <c r="FL332" s="9"/>
      <c r="FM332" s="9" t="s">
        <v>1101</v>
      </c>
      <c r="FN332" s="9"/>
      <c r="FO332" s="9"/>
      <c r="FP332" s="9"/>
      <c r="FQ332" s="9" t="s">
        <v>1101</v>
      </c>
      <c r="FR332" s="9"/>
      <c r="FS332" s="9"/>
      <c r="FT332" s="9"/>
      <c r="FU332" s="9" t="s">
        <v>1101</v>
      </c>
      <c r="FV332" s="9"/>
      <c r="FW332" s="9"/>
      <c r="FX332" s="9"/>
      <c r="FY332" s="9" t="s">
        <v>1101</v>
      </c>
      <c r="FZ332" s="9"/>
      <c r="GA332" s="9"/>
      <c r="GB332" s="9"/>
      <c r="GC332" s="9" t="s">
        <v>1101</v>
      </c>
      <c r="GD332" s="9"/>
      <c r="GE332" s="9"/>
      <c r="GF332" s="9"/>
      <c r="GG332" s="9" t="s">
        <v>1101</v>
      </c>
      <c r="GH332" s="9"/>
      <c r="GI332" s="9"/>
      <c r="GJ332" s="9"/>
      <c r="GK332" s="9" t="s">
        <v>1101</v>
      </c>
      <c r="GL332" s="9"/>
      <c r="GM332" s="9"/>
      <c r="GN332" s="9"/>
      <c r="GO332" s="9" t="s">
        <v>1101</v>
      </c>
      <c r="GP332" s="9"/>
      <c r="GQ332" s="9"/>
      <c r="GR332" s="9"/>
      <c r="GS332" s="9" t="s">
        <v>1101</v>
      </c>
      <c r="GT332" s="9"/>
      <c r="GU332" s="9"/>
      <c r="GV332" s="9"/>
      <c r="GW332" s="9" t="s">
        <v>1101</v>
      </c>
      <c r="GX332" s="9"/>
      <c r="GY332" s="9"/>
      <c r="GZ332" s="9"/>
      <c r="HA332" s="9" t="s">
        <v>1101</v>
      </c>
      <c r="HB332" s="9"/>
      <c r="HC332" s="9"/>
      <c r="HD332" s="9"/>
      <c r="HE332" s="9" t="s">
        <v>1101</v>
      </c>
      <c r="HF332" s="9"/>
      <c r="HG332" s="9"/>
      <c r="HH332" s="9"/>
      <c r="HI332" s="9" t="s">
        <v>1101</v>
      </c>
      <c r="HJ332" s="9"/>
      <c r="HK332" s="9"/>
      <c r="HL332" s="9"/>
      <c r="HM332" s="9" t="s">
        <v>1101</v>
      </c>
      <c r="HN332" s="9"/>
      <c r="HO332" s="9"/>
      <c r="HP332" s="9"/>
      <c r="HQ332" s="9" t="s">
        <v>1101</v>
      </c>
      <c r="HR332" s="9"/>
      <c r="HS332" s="9"/>
      <c r="HT332" s="9"/>
      <c r="HU332" s="9" t="s">
        <v>1101</v>
      </c>
      <c r="HV332" s="9"/>
      <c r="HW332" s="9"/>
      <c r="HX332" s="9"/>
      <c r="HY332" s="9" t="s">
        <v>1101</v>
      </c>
      <c r="HZ332" s="9"/>
      <c r="IA332" s="9"/>
      <c r="IB332" s="67"/>
      <c r="IC332" s="68"/>
      <c r="ID332" s="157"/>
      <c r="IE332" s="158"/>
    </row>
    <row r="333" spans="1:239" s="11" customFormat="1" x14ac:dyDescent="0.2">
      <c r="A333" s="9">
        <v>20</v>
      </c>
      <c r="B333" s="9"/>
      <c r="C333" s="9"/>
      <c r="D333" s="9" t="s">
        <v>15</v>
      </c>
      <c r="E333" s="65" t="s">
        <v>49</v>
      </c>
      <c r="F333" s="65"/>
      <c r="G333" s="92" t="s">
        <v>2481</v>
      </c>
      <c r="H333" s="66" t="s">
        <v>1387</v>
      </c>
      <c r="I333" s="9"/>
      <c r="J333" s="9" t="s">
        <v>1101</v>
      </c>
      <c r="K333" s="9"/>
      <c r="L333" s="9"/>
      <c r="M333" s="9" t="s">
        <v>1101</v>
      </c>
      <c r="N333" s="9"/>
      <c r="O333" s="9"/>
      <c r="P333" s="9"/>
      <c r="Q333" s="9" t="s">
        <v>1101</v>
      </c>
      <c r="R333" s="9"/>
      <c r="S333" s="9"/>
      <c r="T333" s="9"/>
      <c r="U333" s="9" t="s">
        <v>1101</v>
      </c>
      <c r="V333" s="9"/>
      <c r="W333" s="9"/>
      <c r="X333" s="9"/>
      <c r="Y333" s="9" t="s">
        <v>1101</v>
      </c>
      <c r="Z333" s="9"/>
      <c r="AA333" s="9"/>
      <c r="AB333" s="9"/>
      <c r="AC333" s="9" t="s">
        <v>1101</v>
      </c>
      <c r="AD333" s="9"/>
      <c r="AE333" s="9"/>
      <c r="AF333" s="9"/>
      <c r="AG333" s="9" t="s">
        <v>1101</v>
      </c>
      <c r="AH333" s="9"/>
      <c r="AI333" s="9"/>
      <c r="AJ333" s="9"/>
      <c r="AK333" s="9" t="s">
        <v>1101</v>
      </c>
      <c r="AL333" s="9"/>
      <c r="AM333" s="9"/>
      <c r="AN333" s="9"/>
      <c r="AO333" s="9" t="s">
        <v>1101</v>
      </c>
      <c r="AP333" s="9"/>
      <c r="AQ333" s="9"/>
      <c r="AR333" s="9"/>
      <c r="AS333" s="9" t="s">
        <v>1101</v>
      </c>
      <c r="AT333" s="9"/>
      <c r="AU333" s="9"/>
      <c r="AV333" s="9"/>
      <c r="AW333" s="9" t="s">
        <v>1101</v>
      </c>
      <c r="AX333" s="9"/>
      <c r="AY333" s="9"/>
      <c r="AZ333" s="9"/>
      <c r="BA333" s="9" t="s">
        <v>1101</v>
      </c>
      <c r="BB333" s="9"/>
      <c r="BC333" s="9"/>
      <c r="BD333" s="9"/>
      <c r="BE333" s="9" t="s">
        <v>1101</v>
      </c>
      <c r="BF333" s="9"/>
      <c r="BG333" s="9"/>
      <c r="BH333" s="9"/>
      <c r="BI333" s="9" t="s">
        <v>1101</v>
      </c>
      <c r="BJ333" s="9"/>
      <c r="BK333" s="9"/>
      <c r="BL333" s="9"/>
      <c r="BM333" s="9" t="s">
        <v>1101</v>
      </c>
      <c r="BN333" s="9"/>
      <c r="BO333" s="9"/>
      <c r="BP333" s="9"/>
      <c r="BQ333" s="9" t="s">
        <v>1101</v>
      </c>
      <c r="BR333" s="9"/>
      <c r="BS333" s="9"/>
      <c r="BT333" s="9"/>
      <c r="BU333" s="9" t="s">
        <v>1101</v>
      </c>
      <c r="BV333" s="9"/>
      <c r="BW333" s="9"/>
      <c r="BX333" s="9"/>
      <c r="BY333" s="9" t="s">
        <v>1101</v>
      </c>
      <c r="BZ333" s="9"/>
      <c r="CA333" s="9"/>
      <c r="CB333" s="9"/>
      <c r="CC333" s="9" t="s">
        <v>1101</v>
      </c>
      <c r="CD333" s="9"/>
      <c r="CE333" s="9"/>
      <c r="CF333" s="9"/>
      <c r="CG333" s="9" t="s">
        <v>1101</v>
      </c>
      <c r="CH333" s="9"/>
      <c r="CI333" s="9"/>
      <c r="CJ333" s="9"/>
      <c r="CK333" s="9" t="s">
        <v>1101</v>
      </c>
      <c r="CL333" s="9"/>
      <c r="CM333" s="9"/>
      <c r="CN333" s="9"/>
      <c r="CO333" s="9" t="s">
        <v>1101</v>
      </c>
      <c r="CP333" s="9"/>
      <c r="CQ333" s="9"/>
      <c r="CR333" s="9"/>
      <c r="CS333" s="9" t="s">
        <v>1101</v>
      </c>
      <c r="CT333" s="9"/>
      <c r="CU333" s="9"/>
      <c r="CV333" s="9"/>
      <c r="CW333" s="9" t="s">
        <v>1101</v>
      </c>
      <c r="CX333" s="9"/>
      <c r="CY333" s="9"/>
      <c r="CZ333" s="9"/>
      <c r="DA333" s="9" t="s">
        <v>1101</v>
      </c>
      <c r="DB333" s="9"/>
      <c r="DC333" s="9"/>
      <c r="DD333" s="9"/>
      <c r="DE333" s="9" t="s">
        <v>1101</v>
      </c>
      <c r="DF333" s="9"/>
      <c r="DG333" s="9"/>
      <c r="DH333" s="9"/>
      <c r="DI333" s="9" t="s">
        <v>1101</v>
      </c>
      <c r="DJ333" s="9"/>
      <c r="DK333" s="9"/>
      <c r="DL333" s="9"/>
      <c r="DM333" s="9" t="s">
        <v>1101</v>
      </c>
      <c r="DN333" s="9"/>
      <c r="DO333" s="9"/>
      <c r="DP333" s="9"/>
      <c r="DQ333" s="9" t="s">
        <v>1101</v>
      </c>
      <c r="DR333" s="9"/>
      <c r="DS333" s="9"/>
      <c r="DT333" s="9"/>
      <c r="DU333" s="9" t="s">
        <v>1101</v>
      </c>
      <c r="DV333" s="9"/>
      <c r="DW333" s="9"/>
      <c r="DX333" s="9"/>
      <c r="DY333" s="9" t="s">
        <v>1101</v>
      </c>
      <c r="DZ333" s="9"/>
      <c r="EA333" s="9"/>
      <c r="EB333" s="9"/>
      <c r="EC333" s="9" t="s">
        <v>1101</v>
      </c>
      <c r="ED333" s="9"/>
      <c r="EE333" s="9"/>
      <c r="EF333" s="9"/>
      <c r="EG333" s="9" t="s">
        <v>1101</v>
      </c>
      <c r="EH333" s="9"/>
      <c r="EI333" s="9"/>
      <c r="EJ333" s="9"/>
      <c r="EK333" s="9" t="s">
        <v>1101</v>
      </c>
      <c r="EL333" s="9"/>
      <c r="EM333" s="9"/>
      <c r="EN333" s="9"/>
      <c r="EO333" s="9" t="s">
        <v>1101</v>
      </c>
      <c r="EP333" s="9"/>
      <c r="EQ333" s="9"/>
      <c r="ER333" s="9"/>
      <c r="ES333" s="9" t="s">
        <v>1101</v>
      </c>
      <c r="ET333" s="9"/>
      <c r="EU333" s="9"/>
      <c r="EV333" s="9"/>
      <c r="EW333" s="9" t="s">
        <v>1101</v>
      </c>
      <c r="EX333" s="9"/>
      <c r="EY333" s="9"/>
      <c r="EZ333" s="9"/>
      <c r="FA333" s="9" t="s">
        <v>1101</v>
      </c>
      <c r="FB333" s="9"/>
      <c r="FC333" s="9"/>
      <c r="FD333" s="9"/>
      <c r="FE333" s="9" t="s">
        <v>1101</v>
      </c>
      <c r="FF333" s="9"/>
      <c r="FG333" s="9"/>
      <c r="FH333" s="9"/>
      <c r="FI333" s="9" t="s">
        <v>1101</v>
      </c>
      <c r="FJ333" s="9"/>
      <c r="FK333" s="9"/>
      <c r="FL333" s="9"/>
      <c r="FM333" s="9" t="s">
        <v>1101</v>
      </c>
      <c r="FN333" s="9"/>
      <c r="FO333" s="9"/>
      <c r="FP333" s="9"/>
      <c r="FQ333" s="9" t="s">
        <v>1101</v>
      </c>
      <c r="FR333" s="9"/>
      <c r="FS333" s="9"/>
      <c r="FT333" s="9"/>
      <c r="FU333" s="9" t="s">
        <v>1101</v>
      </c>
      <c r="FV333" s="9"/>
      <c r="FW333" s="9"/>
      <c r="FX333" s="9"/>
      <c r="FY333" s="9" t="s">
        <v>1101</v>
      </c>
      <c r="FZ333" s="9"/>
      <c r="GA333" s="9"/>
      <c r="GB333" s="9"/>
      <c r="GC333" s="9" t="s">
        <v>1101</v>
      </c>
      <c r="GD333" s="9"/>
      <c r="GE333" s="9"/>
      <c r="GF333" s="9"/>
      <c r="GG333" s="9" t="s">
        <v>1101</v>
      </c>
      <c r="GH333" s="9"/>
      <c r="GI333" s="9"/>
      <c r="GJ333" s="9"/>
      <c r="GK333" s="9" t="s">
        <v>1101</v>
      </c>
      <c r="GL333" s="9"/>
      <c r="GM333" s="9"/>
      <c r="GN333" s="9"/>
      <c r="GO333" s="9" t="s">
        <v>1101</v>
      </c>
      <c r="GP333" s="9"/>
      <c r="GQ333" s="9"/>
      <c r="GR333" s="9"/>
      <c r="GS333" s="9" t="s">
        <v>1101</v>
      </c>
      <c r="GT333" s="9"/>
      <c r="GU333" s="9"/>
      <c r="GV333" s="9"/>
      <c r="GW333" s="9" t="s">
        <v>1101</v>
      </c>
      <c r="GX333" s="9"/>
      <c r="GY333" s="9"/>
      <c r="GZ333" s="9"/>
      <c r="HA333" s="9" t="s">
        <v>1101</v>
      </c>
      <c r="HB333" s="9"/>
      <c r="HC333" s="9"/>
      <c r="HD333" s="9"/>
      <c r="HE333" s="9" t="s">
        <v>1101</v>
      </c>
      <c r="HF333" s="9"/>
      <c r="HG333" s="9"/>
      <c r="HH333" s="9"/>
      <c r="HI333" s="9" t="s">
        <v>1101</v>
      </c>
      <c r="HJ333" s="9"/>
      <c r="HK333" s="9"/>
      <c r="HL333" s="9"/>
      <c r="HM333" s="9" t="s">
        <v>1101</v>
      </c>
      <c r="HN333" s="9"/>
      <c r="HO333" s="9"/>
      <c r="HP333" s="9"/>
      <c r="HQ333" s="9" t="s">
        <v>1101</v>
      </c>
      <c r="HR333" s="9"/>
      <c r="HS333" s="9"/>
      <c r="HT333" s="9"/>
      <c r="HU333" s="9" t="s">
        <v>1101</v>
      </c>
      <c r="HV333" s="9"/>
      <c r="HW333" s="9"/>
      <c r="HX333" s="9"/>
      <c r="HY333" s="9" t="s">
        <v>1101</v>
      </c>
      <c r="HZ333" s="9"/>
      <c r="IA333" s="9"/>
      <c r="IB333" s="67"/>
      <c r="IC333" s="68"/>
      <c r="ID333" s="157"/>
      <c r="IE333" s="158"/>
    </row>
    <row r="334" spans="1:239" s="11" customFormat="1" x14ac:dyDescent="0.2">
      <c r="A334" s="9">
        <v>20</v>
      </c>
      <c r="B334" s="9"/>
      <c r="C334" s="9"/>
      <c r="D334" s="9" t="s">
        <v>75</v>
      </c>
      <c r="E334" s="65" t="s">
        <v>70</v>
      </c>
      <c r="F334" s="65"/>
      <c r="G334" s="92" t="s">
        <v>2482</v>
      </c>
      <c r="H334" s="66" t="s">
        <v>1388</v>
      </c>
      <c r="I334" s="9"/>
      <c r="J334" s="9" t="s">
        <v>1101</v>
      </c>
      <c r="K334" s="9"/>
      <c r="L334" s="9"/>
      <c r="M334" s="9" t="s">
        <v>1101</v>
      </c>
      <c r="N334" s="9"/>
      <c r="O334" s="9"/>
      <c r="P334" s="9"/>
      <c r="Q334" s="9" t="s">
        <v>1101</v>
      </c>
      <c r="R334" s="9"/>
      <c r="S334" s="9"/>
      <c r="T334" s="9"/>
      <c r="U334" s="9" t="s">
        <v>1101</v>
      </c>
      <c r="V334" s="9"/>
      <c r="W334" s="9"/>
      <c r="X334" s="9"/>
      <c r="Y334" s="9" t="s">
        <v>1101</v>
      </c>
      <c r="Z334" s="9"/>
      <c r="AA334" s="9"/>
      <c r="AB334" s="9"/>
      <c r="AC334" s="9" t="s">
        <v>1101</v>
      </c>
      <c r="AD334" s="9"/>
      <c r="AE334" s="9"/>
      <c r="AF334" s="9"/>
      <c r="AG334" s="9" t="s">
        <v>1101</v>
      </c>
      <c r="AH334" s="9"/>
      <c r="AI334" s="9"/>
      <c r="AJ334" s="9"/>
      <c r="AK334" s="9" t="s">
        <v>1101</v>
      </c>
      <c r="AL334" s="9"/>
      <c r="AM334" s="9"/>
      <c r="AN334" s="9"/>
      <c r="AO334" s="9" t="s">
        <v>1101</v>
      </c>
      <c r="AP334" s="9"/>
      <c r="AQ334" s="9"/>
      <c r="AR334" s="9"/>
      <c r="AS334" s="9" t="s">
        <v>1101</v>
      </c>
      <c r="AT334" s="9"/>
      <c r="AU334" s="9"/>
      <c r="AV334" s="9"/>
      <c r="AW334" s="9" t="s">
        <v>1101</v>
      </c>
      <c r="AX334" s="9"/>
      <c r="AY334" s="9"/>
      <c r="AZ334" s="9"/>
      <c r="BA334" s="9" t="s">
        <v>1101</v>
      </c>
      <c r="BB334" s="9"/>
      <c r="BC334" s="9"/>
      <c r="BD334" s="9"/>
      <c r="BE334" s="9" t="s">
        <v>1101</v>
      </c>
      <c r="BF334" s="9"/>
      <c r="BG334" s="9"/>
      <c r="BH334" s="9"/>
      <c r="BI334" s="9" t="s">
        <v>1101</v>
      </c>
      <c r="BJ334" s="9"/>
      <c r="BK334" s="9"/>
      <c r="BL334" s="9"/>
      <c r="BM334" s="9" t="s">
        <v>1101</v>
      </c>
      <c r="BN334" s="9"/>
      <c r="BO334" s="9"/>
      <c r="BP334" s="9"/>
      <c r="BQ334" s="9" t="s">
        <v>1101</v>
      </c>
      <c r="BR334" s="9"/>
      <c r="BS334" s="9"/>
      <c r="BT334" s="9"/>
      <c r="BU334" s="9" t="s">
        <v>1101</v>
      </c>
      <c r="BV334" s="9"/>
      <c r="BW334" s="9"/>
      <c r="BX334" s="9"/>
      <c r="BY334" s="9" t="s">
        <v>1101</v>
      </c>
      <c r="BZ334" s="9"/>
      <c r="CA334" s="9"/>
      <c r="CB334" s="9"/>
      <c r="CC334" s="9" t="s">
        <v>1101</v>
      </c>
      <c r="CD334" s="9"/>
      <c r="CE334" s="9"/>
      <c r="CF334" s="9"/>
      <c r="CG334" s="9" t="s">
        <v>1101</v>
      </c>
      <c r="CH334" s="9"/>
      <c r="CI334" s="9"/>
      <c r="CJ334" s="9"/>
      <c r="CK334" s="9" t="s">
        <v>1101</v>
      </c>
      <c r="CL334" s="9"/>
      <c r="CM334" s="9"/>
      <c r="CN334" s="9"/>
      <c r="CO334" s="9" t="s">
        <v>1101</v>
      </c>
      <c r="CP334" s="9"/>
      <c r="CQ334" s="9"/>
      <c r="CR334" s="9"/>
      <c r="CS334" s="9" t="s">
        <v>1101</v>
      </c>
      <c r="CT334" s="9"/>
      <c r="CU334" s="9"/>
      <c r="CV334" s="9"/>
      <c r="CW334" s="9" t="s">
        <v>1101</v>
      </c>
      <c r="CX334" s="9"/>
      <c r="CY334" s="9"/>
      <c r="CZ334" s="9"/>
      <c r="DA334" s="9" t="s">
        <v>1101</v>
      </c>
      <c r="DB334" s="9"/>
      <c r="DC334" s="9"/>
      <c r="DD334" s="9"/>
      <c r="DE334" s="9" t="s">
        <v>1101</v>
      </c>
      <c r="DF334" s="9"/>
      <c r="DG334" s="9"/>
      <c r="DH334" s="9"/>
      <c r="DI334" s="9" t="s">
        <v>1101</v>
      </c>
      <c r="DJ334" s="9"/>
      <c r="DK334" s="9"/>
      <c r="DL334" s="9"/>
      <c r="DM334" s="9" t="s">
        <v>1101</v>
      </c>
      <c r="DN334" s="9"/>
      <c r="DO334" s="9"/>
      <c r="DP334" s="9"/>
      <c r="DQ334" s="9" t="s">
        <v>1101</v>
      </c>
      <c r="DR334" s="9"/>
      <c r="DS334" s="9"/>
      <c r="DT334" s="9"/>
      <c r="DU334" s="9" t="s">
        <v>1101</v>
      </c>
      <c r="DV334" s="9"/>
      <c r="DW334" s="9"/>
      <c r="DX334" s="9"/>
      <c r="DY334" s="9" t="s">
        <v>1101</v>
      </c>
      <c r="DZ334" s="9"/>
      <c r="EA334" s="9"/>
      <c r="EB334" s="9"/>
      <c r="EC334" s="9" t="s">
        <v>1101</v>
      </c>
      <c r="ED334" s="9"/>
      <c r="EE334" s="9"/>
      <c r="EF334" s="9"/>
      <c r="EG334" s="9" t="s">
        <v>1101</v>
      </c>
      <c r="EH334" s="9"/>
      <c r="EI334" s="9"/>
      <c r="EJ334" s="9"/>
      <c r="EK334" s="9" t="s">
        <v>1101</v>
      </c>
      <c r="EL334" s="9"/>
      <c r="EM334" s="9"/>
      <c r="EN334" s="9"/>
      <c r="EO334" s="9" t="s">
        <v>1101</v>
      </c>
      <c r="EP334" s="9"/>
      <c r="EQ334" s="9"/>
      <c r="ER334" s="9"/>
      <c r="ES334" s="9" t="s">
        <v>1101</v>
      </c>
      <c r="ET334" s="9"/>
      <c r="EU334" s="9"/>
      <c r="EV334" s="9"/>
      <c r="EW334" s="9" t="s">
        <v>1101</v>
      </c>
      <c r="EX334" s="9"/>
      <c r="EY334" s="9"/>
      <c r="EZ334" s="9"/>
      <c r="FA334" s="9" t="s">
        <v>1101</v>
      </c>
      <c r="FB334" s="9"/>
      <c r="FC334" s="9"/>
      <c r="FD334" s="9"/>
      <c r="FE334" s="9" t="s">
        <v>1101</v>
      </c>
      <c r="FF334" s="9"/>
      <c r="FG334" s="9"/>
      <c r="FH334" s="9"/>
      <c r="FI334" s="9" t="s">
        <v>1101</v>
      </c>
      <c r="FJ334" s="9"/>
      <c r="FK334" s="9"/>
      <c r="FL334" s="9"/>
      <c r="FM334" s="9" t="s">
        <v>1101</v>
      </c>
      <c r="FN334" s="9"/>
      <c r="FO334" s="9"/>
      <c r="FP334" s="9"/>
      <c r="FQ334" s="9" t="s">
        <v>1101</v>
      </c>
      <c r="FR334" s="9"/>
      <c r="FS334" s="9"/>
      <c r="FT334" s="9"/>
      <c r="FU334" s="9" t="s">
        <v>1101</v>
      </c>
      <c r="FV334" s="9"/>
      <c r="FW334" s="9"/>
      <c r="FX334" s="9"/>
      <c r="FY334" s="9" t="s">
        <v>1101</v>
      </c>
      <c r="FZ334" s="9"/>
      <c r="GA334" s="9"/>
      <c r="GB334" s="9"/>
      <c r="GC334" s="9" t="s">
        <v>1101</v>
      </c>
      <c r="GD334" s="9"/>
      <c r="GE334" s="9"/>
      <c r="GF334" s="9"/>
      <c r="GG334" s="9" t="s">
        <v>1101</v>
      </c>
      <c r="GH334" s="9"/>
      <c r="GI334" s="9"/>
      <c r="GJ334" s="9"/>
      <c r="GK334" s="9" t="s">
        <v>1101</v>
      </c>
      <c r="GL334" s="9"/>
      <c r="GM334" s="9"/>
      <c r="GN334" s="9"/>
      <c r="GO334" s="9" t="s">
        <v>1101</v>
      </c>
      <c r="GP334" s="9"/>
      <c r="GQ334" s="9"/>
      <c r="GR334" s="9"/>
      <c r="GS334" s="9" t="s">
        <v>1101</v>
      </c>
      <c r="GT334" s="9"/>
      <c r="GU334" s="9"/>
      <c r="GV334" s="9"/>
      <c r="GW334" s="9" t="s">
        <v>1101</v>
      </c>
      <c r="GX334" s="9"/>
      <c r="GY334" s="9"/>
      <c r="GZ334" s="9"/>
      <c r="HA334" s="9" t="s">
        <v>1101</v>
      </c>
      <c r="HB334" s="9"/>
      <c r="HC334" s="9"/>
      <c r="HD334" s="9"/>
      <c r="HE334" s="9" t="s">
        <v>1101</v>
      </c>
      <c r="HF334" s="9"/>
      <c r="HG334" s="9"/>
      <c r="HH334" s="9"/>
      <c r="HI334" s="9" t="s">
        <v>1101</v>
      </c>
      <c r="HJ334" s="9"/>
      <c r="HK334" s="9"/>
      <c r="HL334" s="9"/>
      <c r="HM334" s="9" t="s">
        <v>1101</v>
      </c>
      <c r="HN334" s="9"/>
      <c r="HO334" s="9"/>
      <c r="HP334" s="9"/>
      <c r="HQ334" s="9" t="s">
        <v>1101</v>
      </c>
      <c r="HR334" s="9"/>
      <c r="HS334" s="9"/>
      <c r="HT334" s="9"/>
      <c r="HU334" s="9" t="s">
        <v>1101</v>
      </c>
      <c r="HV334" s="9"/>
      <c r="HW334" s="9"/>
      <c r="HX334" s="9"/>
      <c r="HY334" s="9" t="s">
        <v>1101</v>
      </c>
      <c r="HZ334" s="9"/>
      <c r="IA334" s="9"/>
      <c r="IB334" s="67"/>
      <c r="IC334" s="68"/>
      <c r="ID334" s="157"/>
      <c r="IE334" s="158"/>
    </row>
    <row r="335" spans="1:239" s="11" customFormat="1" x14ac:dyDescent="0.2">
      <c r="A335" s="9">
        <v>20</v>
      </c>
      <c r="B335" s="9"/>
      <c r="C335" s="9"/>
      <c r="D335" s="9" t="s">
        <v>76</v>
      </c>
      <c r="E335" s="65" t="s">
        <v>72</v>
      </c>
      <c r="F335" s="65"/>
      <c r="G335" s="92" t="s">
        <v>2483</v>
      </c>
      <c r="H335" s="66" t="s">
        <v>1389</v>
      </c>
      <c r="I335" s="9"/>
      <c r="J335" s="9" t="s">
        <v>1101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  <c r="EN335" s="9"/>
      <c r="EO335" s="9"/>
      <c r="EP335" s="9"/>
      <c r="EQ335" s="9"/>
      <c r="ER335" s="9"/>
      <c r="ES335" s="9"/>
      <c r="ET335" s="9"/>
      <c r="EU335" s="9"/>
      <c r="EV335" s="9"/>
      <c r="EW335" s="9"/>
      <c r="EX335" s="9"/>
      <c r="EY335" s="9"/>
      <c r="EZ335" s="9"/>
      <c r="FA335" s="9"/>
      <c r="FB335" s="9"/>
      <c r="FC335" s="9"/>
      <c r="FD335" s="9"/>
      <c r="FE335" s="9"/>
      <c r="FF335" s="9"/>
      <c r="FG335" s="9"/>
      <c r="FH335" s="9"/>
      <c r="FI335" s="9"/>
      <c r="FJ335" s="9"/>
      <c r="FK335" s="9"/>
      <c r="FL335" s="9"/>
      <c r="FM335" s="9"/>
      <c r="FN335" s="9"/>
      <c r="FO335" s="9"/>
      <c r="FP335" s="9"/>
      <c r="FQ335" s="9"/>
      <c r="FR335" s="9"/>
      <c r="FS335" s="9"/>
      <c r="FT335" s="9"/>
      <c r="FU335" s="9"/>
      <c r="FV335" s="9"/>
      <c r="FW335" s="9"/>
      <c r="FX335" s="9"/>
      <c r="FY335" s="9"/>
      <c r="FZ335" s="9"/>
      <c r="GA335" s="9"/>
      <c r="GB335" s="9"/>
      <c r="GC335" s="9"/>
      <c r="GD335" s="9"/>
      <c r="GE335" s="9"/>
      <c r="GF335" s="9"/>
      <c r="GG335" s="9"/>
      <c r="GH335" s="9"/>
      <c r="GI335" s="9"/>
      <c r="GJ335" s="9"/>
      <c r="GK335" s="9"/>
      <c r="GL335" s="9"/>
      <c r="GM335" s="9"/>
      <c r="GN335" s="9"/>
      <c r="GO335" s="9"/>
      <c r="GP335" s="9"/>
      <c r="GQ335" s="9"/>
      <c r="GR335" s="9"/>
      <c r="GS335" s="9"/>
      <c r="GT335" s="9"/>
      <c r="GU335" s="9"/>
      <c r="GV335" s="9"/>
      <c r="GW335" s="9"/>
      <c r="GX335" s="9"/>
      <c r="GY335" s="9"/>
      <c r="GZ335" s="9"/>
      <c r="HA335" s="9"/>
      <c r="HB335" s="9"/>
      <c r="HC335" s="9"/>
      <c r="HD335" s="9"/>
      <c r="HE335" s="9"/>
      <c r="HF335" s="9"/>
      <c r="HG335" s="9"/>
      <c r="HH335" s="9"/>
      <c r="HI335" s="9"/>
      <c r="HJ335" s="9"/>
      <c r="HK335" s="9"/>
      <c r="HL335" s="9"/>
      <c r="HM335" s="9"/>
      <c r="HN335" s="9"/>
      <c r="HO335" s="9"/>
      <c r="HP335" s="9"/>
      <c r="HQ335" s="9"/>
      <c r="HR335" s="9"/>
      <c r="HS335" s="9"/>
      <c r="HT335" s="9"/>
      <c r="HU335" s="9"/>
      <c r="HV335" s="9"/>
      <c r="HW335" s="9"/>
      <c r="HX335" s="9"/>
      <c r="HY335" s="9"/>
      <c r="HZ335" s="9"/>
      <c r="IA335" s="9"/>
      <c r="IB335" s="67"/>
      <c r="IC335" s="68"/>
      <c r="ID335" s="157"/>
      <c r="IE335" s="158"/>
    </row>
    <row r="336" spans="1:239" s="11" customFormat="1" x14ac:dyDescent="0.2">
      <c r="A336" s="9">
        <v>20</v>
      </c>
      <c r="B336" s="9"/>
      <c r="C336" s="9"/>
      <c r="D336" s="9" t="s">
        <v>77</v>
      </c>
      <c r="E336" s="65" t="s">
        <v>48</v>
      </c>
      <c r="F336" s="65"/>
      <c r="G336" s="92" t="s">
        <v>2484</v>
      </c>
      <c r="H336" s="66" t="s">
        <v>1390</v>
      </c>
      <c r="I336" s="9"/>
      <c r="J336" s="9" t="s">
        <v>1101</v>
      </c>
      <c r="K336" s="9"/>
      <c r="L336" s="9"/>
      <c r="M336" s="9" t="s">
        <v>1101</v>
      </c>
      <c r="N336" s="9"/>
      <c r="O336" s="9"/>
      <c r="P336" s="9"/>
      <c r="Q336" s="9" t="s">
        <v>1101</v>
      </c>
      <c r="R336" s="9"/>
      <c r="S336" s="9"/>
      <c r="T336" s="9"/>
      <c r="U336" s="9" t="s">
        <v>1101</v>
      </c>
      <c r="V336" s="9"/>
      <c r="W336" s="9"/>
      <c r="X336" s="9"/>
      <c r="Y336" s="9" t="s">
        <v>1101</v>
      </c>
      <c r="Z336" s="9"/>
      <c r="AA336" s="9"/>
      <c r="AB336" s="9"/>
      <c r="AC336" s="9" t="s">
        <v>1101</v>
      </c>
      <c r="AD336" s="9"/>
      <c r="AE336" s="9"/>
      <c r="AF336" s="9"/>
      <c r="AG336" s="9" t="s">
        <v>1101</v>
      </c>
      <c r="AH336" s="9"/>
      <c r="AI336" s="9"/>
      <c r="AJ336" s="9"/>
      <c r="AK336" s="9" t="s">
        <v>1101</v>
      </c>
      <c r="AL336" s="9"/>
      <c r="AM336" s="9"/>
      <c r="AN336" s="9"/>
      <c r="AO336" s="9" t="s">
        <v>1101</v>
      </c>
      <c r="AP336" s="9"/>
      <c r="AQ336" s="9"/>
      <c r="AR336" s="9"/>
      <c r="AS336" s="9" t="s">
        <v>1101</v>
      </c>
      <c r="AT336" s="9"/>
      <c r="AU336" s="9"/>
      <c r="AV336" s="9"/>
      <c r="AW336" s="9" t="s">
        <v>1101</v>
      </c>
      <c r="AX336" s="9"/>
      <c r="AY336" s="9"/>
      <c r="AZ336" s="9"/>
      <c r="BA336" s="9" t="s">
        <v>1101</v>
      </c>
      <c r="BB336" s="9"/>
      <c r="BC336" s="9"/>
      <c r="BD336" s="9"/>
      <c r="BE336" s="9" t="s">
        <v>1101</v>
      </c>
      <c r="BF336" s="9"/>
      <c r="BG336" s="9"/>
      <c r="BH336" s="9"/>
      <c r="BI336" s="9" t="s">
        <v>1101</v>
      </c>
      <c r="BJ336" s="9"/>
      <c r="BK336" s="9"/>
      <c r="BL336" s="9"/>
      <c r="BM336" s="9" t="s">
        <v>1101</v>
      </c>
      <c r="BN336" s="9"/>
      <c r="BO336" s="9"/>
      <c r="BP336" s="9"/>
      <c r="BQ336" s="9" t="s">
        <v>1101</v>
      </c>
      <c r="BR336" s="9"/>
      <c r="BS336" s="9"/>
      <c r="BT336" s="9"/>
      <c r="BU336" s="9" t="s">
        <v>1101</v>
      </c>
      <c r="BV336" s="9"/>
      <c r="BW336" s="9"/>
      <c r="BX336" s="9"/>
      <c r="BY336" s="9" t="s">
        <v>1101</v>
      </c>
      <c r="BZ336" s="9"/>
      <c r="CA336" s="9"/>
      <c r="CB336" s="9"/>
      <c r="CC336" s="9" t="s">
        <v>1101</v>
      </c>
      <c r="CD336" s="9"/>
      <c r="CE336" s="9"/>
      <c r="CF336" s="9"/>
      <c r="CG336" s="9" t="s">
        <v>1101</v>
      </c>
      <c r="CH336" s="9"/>
      <c r="CI336" s="9"/>
      <c r="CJ336" s="9"/>
      <c r="CK336" s="9" t="s">
        <v>1101</v>
      </c>
      <c r="CL336" s="9"/>
      <c r="CM336" s="9"/>
      <c r="CN336" s="9"/>
      <c r="CO336" s="9" t="s">
        <v>1101</v>
      </c>
      <c r="CP336" s="9"/>
      <c r="CQ336" s="9"/>
      <c r="CR336" s="9"/>
      <c r="CS336" s="9" t="s">
        <v>1101</v>
      </c>
      <c r="CT336" s="9"/>
      <c r="CU336" s="9"/>
      <c r="CV336" s="9"/>
      <c r="CW336" s="9" t="s">
        <v>1101</v>
      </c>
      <c r="CX336" s="9"/>
      <c r="CY336" s="9"/>
      <c r="CZ336" s="9"/>
      <c r="DA336" s="9" t="s">
        <v>1101</v>
      </c>
      <c r="DB336" s="9"/>
      <c r="DC336" s="9"/>
      <c r="DD336" s="9"/>
      <c r="DE336" s="9" t="s">
        <v>1101</v>
      </c>
      <c r="DF336" s="9"/>
      <c r="DG336" s="9"/>
      <c r="DH336" s="9"/>
      <c r="DI336" s="9" t="s">
        <v>1101</v>
      </c>
      <c r="DJ336" s="9"/>
      <c r="DK336" s="9"/>
      <c r="DL336" s="9"/>
      <c r="DM336" s="9" t="s">
        <v>1101</v>
      </c>
      <c r="DN336" s="9"/>
      <c r="DO336" s="9"/>
      <c r="DP336" s="9"/>
      <c r="DQ336" s="9" t="s">
        <v>1101</v>
      </c>
      <c r="DR336" s="9"/>
      <c r="DS336" s="9"/>
      <c r="DT336" s="9"/>
      <c r="DU336" s="9" t="s">
        <v>1101</v>
      </c>
      <c r="DV336" s="9"/>
      <c r="DW336" s="9"/>
      <c r="DX336" s="9"/>
      <c r="DY336" s="9" t="s">
        <v>1101</v>
      </c>
      <c r="DZ336" s="9"/>
      <c r="EA336" s="9"/>
      <c r="EB336" s="9"/>
      <c r="EC336" s="9" t="s">
        <v>1101</v>
      </c>
      <c r="ED336" s="9"/>
      <c r="EE336" s="9"/>
      <c r="EF336" s="9"/>
      <c r="EG336" s="9" t="s">
        <v>1101</v>
      </c>
      <c r="EH336" s="9"/>
      <c r="EI336" s="9"/>
      <c r="EJ336" s="9"/>
      <c r="EK336" s="9" t="s">
        <v>1101</v>
      </c>
      <c r="EL336" s="9"/>
      <c r="EM336" s="9"/>
      <c r="EN336" s="9"/>
      <c r="EO336" s="9" t="s">
        <v>1101</v>
      </c>
      <c r="EP336" s="9"/>
      <c r="EQ336" s="9"/>
      <c r="ER336" s="9"/>
      <c r="ES336" s="9" t="s">
        <v>1101</v>
      </c>
      <c r="ET336" s="9"/>
      <c r="EU336" s="9"/>
      <c r="EV336" s="9"/>
      <c r="EW336" s="9" t="s">
        <v>1101</v>
      </c>
      <c r="EX336" s="9"/>
      <c r="EY336" s="9"/>
      <c r="EZ336" s="9"/>
      <c r="FA336" s="9" t="s">
        <v>1101</v>
      </c>
      <c r="FB336" s="9"/>
      <c r="FC336" s="9"/>
      <c r="FD336" s="9"/>
      <c r="FE336" s="9" t="s">
        <v>1101</v>
      </c>
      <c r="FF336" s="9"/>
      <c r="FG336" s="9"/>
      <c r="FH336" s="9"/>
      <c r="FI336" s="9" t="s">
        <v>1101</v>
      </c>
      <c r="FJ336" s="9"/>
      <c r="FK336" s="9"/>
      <c r="FL336" s="9"/>
      <c r="FM336" s="9" t="s">
        <v>1101</v>
      </c>
      <c r="FN336" s="9"/>
      <c r="FO336" s="9"/>
      <c r="FP336" s="9"/>
      <c r="FQ336" s="9" t="s">
        <v>1101</v>
      </c>
      <c r="FR336" s="9"/>
      <c r="FS336" s="9"/>
      <c r="FT336" s="9"/>
      <c r="FU336" s="9" t="s">
        <v>1101</v>
      </c>
      <c r="FV336" s="9"/>
      <c r="FW336" s="9"/>
      <c r="FX336" s="9"/>
      <c r="FY336" s="9" t="s">
        <v>1101</v>
      </c>
      <c r="FZ336" s="9"/>
      <c r="GA336" s="9"/>
      <c r="GB336" s="9"/>
      <c r="GC336" s="9" t="s">
        <v>1101</v>
      </c>
      <c r="GD336" s="9"/>
      <c r="GE336" s="9"/>
      <c r="GF336" s="9"/>
      <c r="GG336" s="9" t="s">
        <v>1101</v>
      </c>
      <c r="GH336" s="9"/>
      <c r="GI336" s="9"/>
      <c r="GJ336" s="9"/>
      <c r="GK336" s="9" t="s">
        <v>1101</v>
      </c>
      <c r="GL336" s="9"/>
      <c r="GM336" s="9"/>
      <c r="GN336" s="9"/>
      <c r="GO336" s="9" t="s">
        <v>1101</v>
      </c>
      <c r="GP336" s="9"/>
      <c r="GQ336" s="9"/>
      <c r="GR336" s="9"/>
      <c r="GS336" s="9" t="s">
        <v>1101</v>
      </c>
      <c r="GT336" s="9"/>
      <c r="GU336" s="9"/>
      <c r="GV336" s="9"/>
      <c r="GW336" s="9" t="s">
        <v>1101</v>
      </c>
      <c r="GX336" s="9"/>
      <c r="GY336" s="9"/>
      <c r="GZ336" s="9"/>
      <c r="HA336" s="9" t="s">
        <v>1101</v>
      </c>
      <c r="HB336" s="9"/>
      <c r="HC336" s="9"/>
      <c r="HD336" s="9"/>
      <c r="HE336" s="9" t="s">
        <v>1101</v>
      </c>
      <c r="HF336" s="9"/>
      <c r="HG336" s="9"/>
      <c r="HH336" s="9"/>
      <c r="HI336" s="9" t="s">
        <v>1101</v>
      </c>
      <c r="HJ336" s="9"/>
      <c r="HK336" s="9"/>
      <c r="HL336" s="9"/>
      <c r="HM336" s="9" t="s">
        <v>1101</v>
      </c>
      <c r="HN336" s="9"/>
      <c r="HO336" s="9"/>
      <c r="HP336" s="9"/>
      <c r="HQ336" s="9" t="s">
        <v>1101</v>
      </c>
      <c r="HR336" s="9"/>
      <c r="HS336" s="9"/>
      <c r="HT336" s="9"/>
      <c r="HU336" s="9" t="s">
        <v>1101</v>
      </c>
      <c r="HV336" s="9"/>
      <c r="HW336" s="9"/>
      <c r="HX336" s="9"/>
      <c r="HY336" s="9" t="s">
        <v>1101</v>
      </c>
      <c r="HZ336" s="9"/>
      <c r="IA336" s="9"/>
      <c r="IB336" s="67"/>
      <c r="IC336" s="68"/>
      <c r="ID336" s="157"/>
      <c r="IE336" s="158"/>
    </row>
    <row r="337" spans="1:239" s="11" customFormat="1" x14ac:dyDescent="0.2">
      <c r="A337" s="9">
        <v>20</v>
      </c>
      <c r="B337" s="9"/>
      <c r="C337" s="9"/>
      <c r="D337" s="9" t="s">
        <v>60</v>
      </c>
      <c r="E337" s="65" t="s">
        <v>810</v>
      </c>
      <c r="F337" s="65"/>
      <c r="G337" s="92" t="s">
        <v>2485</v>
      </c>
      <c r="H337" s="66" t="s">
        <v>1391</v>
      </c>
      <c r="I337" s="9"/>
      <c r="J337" s="9" t="s">
        <v>1101</v>
      </c>
      <c r="K337" s="9"/>
      <c r="L337" s="9"/>
      <c r="M337" s="9" t="s">
        <v>1101</v>
      </c>
      <c r="N337" s="9"/>
      <c r="O337" s="9"/>
      <c r="P337" s="9"/>
      <c r="Q337" s="9" t="s">
        <v>1101</v>
      </c>
      <c r="R337" s="9"/>
      <c r="S337" s="9"/>
      <c r="T337" s="9"/>
      <c r="U337" s="9" t="s">
        <v>1101</v>
      </c>
      <c r="V337" s="9"/>
      <c r="W337" s="9"/>
      <c r="X337" s="9"/>
      <c r="Y337" s="9" t="s">
        <v>1101</v>
      </c>
      <c r="Z337" s="9"/>
      <c r="AA337" s="9"/>
      <c r="AB337" s="9"/>
      <c r="AC337" s="9" t="s">
        <v>1101</v>
      </c>
      <c r="AD337" s="9"/>
      <c r="AE337" s="9"/>
      <c r="AF337" s="9"/>
      <c r="AG337" s="9" t="s">
        <v>1101</v>
      </c>
      <c r="AH337" s="9"/>
      <c r="AI337" s="9"/>
      <c r="AJ337" s="9"/>
      <c r="AK337" s="9" t="s">
        <v>1101</v>
      </c>
      <c r="AL337" s="9"/>
      <c r="AM337" s="9"/>
      <c r="AN337" s="9"/>
      <c r="AO337" s="9" t="s">
        <v>1101</v>
      </c>
      <c r="AP337" s="9"/>
      <c r="AQ337" s="9"/>
      <c r="AR337" s="9"/>
      <c r="AS337" s="9" t="s">
        <v>1101</v>
      </c>
      <c r="AT337" s="9"/>
      <c r="AU337" s="9"/>
      <c r="AV337" s="9"/>
      <c r="AW337" s="9" t="s">
        <v>1101</v>
      </c>
      <c r="AX337" s="9"/>
      <c r="AY337" s="9"/>
      <c r="AZ337" s="9"/>
      <c r="BA337" s="9" t="s">
        <v>1101</v>
      </c>
      <c r="BB337" s="9"/>
      <c r="BC337" s="9"/>
      <c r="BD337" s="9"/>
      <c r="BE337" s="9" t="s">
        <v>1101</v>
      </c>
      <c r="BF337" s="9"/>
      <c r="BG337" s="9"/>
      <c r="BH337" s="9"/>
      <c r="BI337" s="9" t="s">
        <v>1101</v>
      </c>
      <c r="BJ337" s="9"/>
      <c r="BK337" s="9"/>
      <c r="BL337" s="9"/>
      <c r="BM337" s="9" t="s">
        <v>1101</v>
      </c>
      <c r="BN337" s="9"/>
      <c r="BO337" s="9"/>
      <c r="BP337" s="9"/>
      <c r="BQ337" s="9" t="s">
        <v>1101</v>
      </c>
      <c r="BR337" s="9"/>
      <c r="BS337" s="9"/>
      <c r="BT337" s="9"/>
      <c r="BU337" s="9" t="s">
        <v>1101</v>
      </c>
      <c r="BV337" s="9"/>
      <c r="BW337" s="9"/>
      <c r="BX337" s="9"/>
      <c r="BY337" s="9" t="s">
        <v>1101</v>
      </c>
      <c r="BZ337" s="9"/>
      <c r="CA337" s="9"/>
      <c r="CB337" s="9"/>
      <c r="CC337" s="9" t="s">
        <v>1101</v>
      </c>
      <c r="CD337" s="9"/>
      <c r="CE337" s="9"/>
      <c r="CF337" s="9"/>
      <c r="CG337" s="9" t="s">
        <v>1101</v>
      </c>
      <c r="CH337" s="9"/>
      <c r="CI337" s="9"/>
      <c r="CJ337" s="9"/>
      <c r="CK337" s="9" t="s">
        <v>1101</v>
      </c>
      <c r="CL337" s="9"/>
      <c r="CM337" s="9"/>
      <c r="CN337" s="9"/>
      <c r="CO337" s="9" t="s">
        <v>1101</v>
      </c>
      <c r="CP337" s="9"/>
      <c r="CQ337" s="9"/>
      <c r="CR337" s="9"/>
      <c r="CS337" s="9" t="s">
        <v>1101</v>
      </c>
      <c r="CT337" s="9"/>
      <c r="CU337" s="9"/>
      <c r="CV337" s="9"/>
      <c r="CW337" s="9" t="s">
        <v>1101</v>
      </c>
      <c r="CX337" s="9"/>
      <c r="CY337" s="9"/>
      <c r="CZ337" s="9"/>
      <c r="DA337" s="9" t="s">
        <v>1101</v>
      </c>
      <c r="DB337" s="9"/>
      <c r="DC337" s="9"/>
      <c r="DD337" s="9"/>
      <c r="DE337" s="9" t="s">
        <v>1101</v>
      </c>
      <c r="DF337" s="9"/>
      <c r="DG337" s="9"/>
      <c r="DH337" s="9"/>
      <c r="DI337" s="9" t="s">
        <v>1101</v>
      </c>
      <c r="DJ337" s="9"/>
      <c r="DK337" s="9"/>
      <c r="DL337" s="9"/>
      <c r="DM337" s="9" t="s">
        <v>1101</v>
      </c>
      <c r="DN337" s="9"/>
      <c r="DO337" s="9"/>
      <c r="DP337" s="9"/>
      <c r="DQ337" s="9" t="s">
        <v>1101</v>
      </c>
      <c r="DR337" s="9"/>
      <c r="DS337" s="9"/>
      <c r="DT337" s="9"/>
      <c r="DU337" s="9" t="s">
        <v>1101</v>
      </c>
      <c r="DV337" s="9"/>
      <c r="DW337" s="9"/>
      <c r="DX337" s="9"/>
      <c r="DY337" s="9" t="s">
        <v>1101</v>
      </c>
      <c r="DZ337" s="9"/>
      <c r="EA337" s="9"/>
      <c r="EB337" s="9"/>
      <c r="EC337" s="9" t="s">
        <v>1101</v>
      </c>
      <c r="ED337" s="9"/>
      <c r="EE337" s="9"/>
      <c r="EF337" s="9"/>
      <c r="EG337" s="9" t="s">
        <v>1101</v>
      </c>
      <c r="EH337" s="9"/>
      <c r="EI337" s="9"/>
      <c r="EJ337" s="9"/>
      <c r="EK337" s="9" t="s">
        <v>1101</v>
      </c>
      <c r="EL337" s="9"/>
      <c r="EM337" s="9"/>
      <c r="EN337" s="9"/>
      <c r="EO337" s="9" t="s">
        <v>1101</v>
      </c>
      <c r="EP337" s="9"/>
      <c r="EQ337" s="9"/>
      <c r="ER337" s="9"/>
      <c r="ES337" s="9" t="s">
        <v>1101</v>
      </c>
      <c r="ET337" s="9"/>
      <c r="EU337" s="9"/>
      <c r="EV337" s="9"/>
      <c r="EW337" s="9" t="s">
        <v>1101</v>
      </c>
      <c r="EX337" s="9"/>
      <c r="EY337" s="9"/>
      <c r="EZ337" s="9"/>
      <c r="FA337" s="9" t="s">
        <v>1101</v>
      </c>
      <c r="FB337" s="9"/>
      <c r="FC337" s="9"/>
      <c r="FD337" s="9"/>
      <c r="FE337" s="9" t="s">
        <v>1101</v>
      </c>
      <c r="FF337" s="9"/>
      <c r="FG337" s="9"/>
      <c r="FH337" s="9"/>
      <c r="FI337" s="9" t="s">
        <v>1101</v>
      </c>
      <c r="FJ337" s="9"/>
      <c r="FK337" s="9"/>
      <c r="FL337" s="9"/>
      <c r="FM337" s="9" t="s">
        <v>1101</v>
      </c>
      <c r="FN337" s="9"/>
      <c r="FO337" s="9"/>
      <c r="FP337" s="9"/>
      <c r="FQ337" s="9" t="s">
        <v>1101</v>
      </c>
      <c r="FR337" s="9"/>
      <c r="FS337" s="9"/>
      <c r="FT337" s="9"/>
      <c r="FU337" s="9" t="s">
        <v>1101</v>
      </c>
      <c r="FV337" s="9"/>
      <c r="FW337" s="9"/>
      <c r="FX337" s="9"/>
      <c r="FY337" s="9" t="s">
        <v>1101</v>
      </c>
      <c r="FZ337" s="9"/>
      <c r="GA337" s="9"/>
      <c r="GB337" s="9"/>
      <c r="GC337" s="9" t="s">
        <v>1101</v>
      </c>
      <c r="GD337" s="9"/>
      <c r="GE337" s="9"/>
      <c r="GF337" s="9"/>
      <c r="GG337" s="9" t="s">
        <v>1101</v>
      </c>
      <c r="GH337" s="9"/>
      <c r="GI337" s="9"/>
      <c r="GJ337" s="9"/>
      <c r="GK337" s="9" t="s">
        <v>1101</v>
      </c>
      <c r="GL337" s="9"/>
      <c r="GM337" s="9"/>
      <c r="GN337" s="9"/>
      <c r="GO337" s="9" t="s">
        <v>1101</v>
      </c>
      <c r="GP337" s="9"/>
      <c r="GQ337" s="9"/>
      <c r="GR337" s="9"/>
      <c r="GS337" s="9" t="s">
        <v>1101</v>
      </c>
      <c r="GT337" s="9"/>
      <c r="GU337" s="9"/>
      <c r="GV337" s="9"/>
      <c r="GW337" s="9" t="s">
        <v>1101</v>
      </c>
      <c r="GX337" s="9"/>
      <c r="GY337" s="9"/>
      <c r="GZ337" s="9"/>
      <c r="HA337" s="9" t="s">
        <v>1101</v>
      </c>
      <c r="HB337" s="9"/>
      <c r="HC337" s="9"/>
      <c r="HD337" s="9"/>
      <c r="HE337" s="9" t="s">
        <v>1101</v>
      </c>
      <c r="HF337" s="9"/>
      <c r="HG337" s="9"/>
      <c r="HH337" s="9"/>
      <c r="HI337" s="9" t="s">
        <v>1101</v>
      </c>
      <c r="HJ337" s="9"/>
      <c r="HK337" s="9"/>
      <c r="HL337" s="9"/>
      <c r="HM337" s="9" t="s">
        <v>1101</v>
      </c>
      <c r="HN337" s="9"/>
      <c r="HO337" s="9"/>
      <c r="HP337" s="9"/>
      <c r="HQ337" s="9" t="s">
        <v>1101</v>
      </c>
      <c r="HR337" s="9"/>
      <c r="HS337" s="9"/>
      <c r="HT337" s="9"/>
      <c r="HU337" s="9" t="s">
        <v>1101</v>
      </c>
      <c r="HV337" s="9"/>
      <c r="HW337" s="9"/>
      <c r="HX337" s="9"/>
      <c r="HY337" s="9" t="s">
        <v>1101</v>
      </c>
      <c r="HZ337" s="9"/>
      <c r="IA337" s="9"/>
      <c r="IB337" s="67"/>
      <c r="IC337" s="68"/>
      <c r="ID337" s="157"/>
      <c r="IE337" s="158"/>
    </row>
    <row r="338" spans="1:239" s="11" customFormat="1" x14ac:dyDescent="0.2">
      <c r="A338" s="9">
        <v>20</v>
      </c>
      <c r="B338" s="9"/>
      <c r="C338" s="9"/>
      <c r="D338" s="9" t="s">
        <v>61</v>
      </c>
      <c r="E338" s="65" t="s">
        <v>811</v>
      </c>
      <c r="F338" s="65"/>
      <c r="G338" s="92" t="s">
        <v>2486</v>
      </c>
      <c r="H338" s="66" t="s">
        <v>1392</v>
      </c>
      <c r="I338" s="9"/>
      <c r="J338" s="9" t="s">
        <v>1101</v>
      </c>
      <c r="K338" s="9"/>
      <c r="L338" s="9"/>
      <c r="M338" s="9" t="s">
        <v>1101</v>
      </c>
      <c r="N338" s="9"/>
      <c r="O338" s="9"/>
      <c r="P338" s="9"/>
      <c r="Q338" s="9" t="s">
        <v>1101</v>
      </c>
      <c r="R338" s="9"/>
      <c r="S338" s="9"/>
      <c r="T338" s="9"/>
      <c r="U338" s="9" t="s">
        <v>1101</v>
      </c>
      <c r="V338" s="9"/>
      <c r="W338" s="9"/>
      <c r="X338" s="9"/>
      <c r="Y338" s="9" t="s">
        <v>1101</v>
      </c>
      <c r="Z338" s="9"/>
      <c r="AA338" s="9"/>
      <c r="AB338" s="9"/>
      <c r="AC338" s="9" t="s">
        <v>1101</v>
      </c>
      <c r="AD338" s="9"/>
      <c r="AE338" s="9"/>
      <c r="AF338" s="9"/>
      <c r="AG338" s="9" t="s">
        <v>1101</v>
      </c>
      <c r="AH338" s="9"/>
      <c r="AI338" s="9"/>
      <c r="AJ338" s="9"/>
      <c r="AK338" s="9" t="s">
        <v>1101</v>
      </c>
      <c r="AL338" s="9"/>
      <c r="AM338" s="9"/>
      <c r="AN338" s="9"/>
      <c r="AO338" s="9" t="s">
        <v>1101</v>
      </c>
      <c r="AP338" s="9"/>
      <c r="AQ338" s="9"/>
      <c r="AR338" s="9"/>
      <c r="AS338" s="9" t="s">
        <v>1101</v>
      </c>
      <c r="AT338" s="9"/>
      <c r="AU338" s="9"/>
      <c r="AV338" s="9"/>
      <c r="AW338" s="9" t="s">
        <v>1101</v>
      </c>
      <c r="AX338" s="9"/>
      <c r="AY338" s="9"/>
      <c r="AZ338" s="9"/>
      <c r="BA338" s="9" t="s">
        <v>1101</v>
      </c>
      <c r="BB338" s="9"/>
      <c r="BC338" s="9"/>
      <c r="BD338" s="9"/>
      <c r="BE338" s="9" t="s">
        <v>1101</v>
      </c>
      <c r="BF338" s="9"/>
      <c r="BG338" s="9"/>
      <c r="BH338" s="9"/>
      <c r="BI338" s="9" t="s">
        <v>1101</v>
      </c>
      <c r="BJ338" s="9"/>
      <c r="BK338" s="9"/>
      <c r="BL338" s="9"/>
      <c r="BM338" s="9" t="s">
        <v>1101</v>
      </c>
      <c r="BN338" s="9"/>
      <c r="BO338" s="9"/>
      <c r="BP338" s="9"/>
      <c r="BQ338" s="9" t="s">
        <v>1101</v>
      </c>
      <c r="BR338" s="9"/>
      <c r="BS338" s="9"/>
      <c r="BT338" s="9"/>
      <c r="BU338" s="9" t="s">
        <v>1101</v>
      </c>
      <c r="BV338" s="9"/>
      <c r="BW338" s="9"/>
      <c r="BX338" s="9"/>
      <c r="BY338" s="9" t="s">
        <v>1101</v>
      </c>
      <c r="BZ338" s="9"/>
      <c r="CA338" s="9"/>
      <c r="CB338" s="9"/>
      <c r="CC338" s="9" t="s">
        <v>1101</v>
      </c>
      <c r="CD338" s="9"/>
      <c r="CE338" s="9"/>
      <c r="CF338" s="9"/>
      <c r="CG338" s="9" t="s">
        <v>1101</v>
      </c>
      <c r="CH338" s="9"/>
      <c r="CI338" s="9"/>
      <c r="CJ338" s="9"/>
      <c r="CK338" s="9" t="s">
        <v>1101</v>
      </c>
      <c r="CL338" s="9"/>
      <c r="CM338" s="9"/>
      <c r="CN338" s="9"/>
      <c r="CO338" s="9" t="s">
        <v>1101</v>
      </c>
      <c r="CP338" s="9"/>
      <c r="CQ338" s="9"/>
      <c r="CR338" s="9"/>
      <c r="CS338" s="9" t="s">
        <v>1101</v>
      </c>
      <c r="CT338" s="9"/>
      <c r="CU338" s="9"/>
      <c r="CV338" s="9"/>
      <c r="CW338" s="9" t="s">
        <v>1101</v>
      </c>
      <c r="CX338" s="9"/>
      <c r="CY338" s="9"/>
      <c r="CZ338" s="9"/>
      <c r="DA338" s="9" t="s">
        <v>1101</v>
      </c>
      <c r="DB338" s="9"/>
      <c r="DC338" s="9"/>
      <c r="DD338" s="9"/>
      <c r="DE338" s="9" t="s">
        <v>1101</v>
      </c>
      <c r="DF338" s="9"/>
      <c r="DG338" s="9"/>
      <c r="DH338" s="9"/>
      <c r="DI338" s="9" t="s">
        <v>1101</v>
      </c>
      <c r="DJ338" s="9"/>
      <c r="DK338" s="9"/>
      <c r="DL338" s="9"/>
      <c r="DM338" s="9" t="s">
        <v>1101</v>
      </c>
      <c r="DN338" s="9"/>
      <c r="DO338" s="9"/>
      <c r="DP338" s="9"/>
      <c r="DQ338" s="9" t="s">
        <v>1101</v>
      </c>
      <c r="DR338" s="9"/>
      <c r="DS338" s="9"/>
      <c r="DT338" s="9"/>
      <c r="DU338" s="9" t="s">
        <v>1101</v>
      </c>
      <c r="DV338" s="9"/>
      <c r="DW338" s="9"/>
      <c r="DX338" s="9"/>
      <c r="DY338" s="9" t="s">
        <v>1101</v>
      </c>
      <c r="DZ338" s="9"/>
      <c r="EA338" s="9"/>
      <c r="EB338" s="9"/>
      <c r="EC338" s="9" t="s">
        <v>1101</v>
      </c>
      <c r="ED338" s="9"/>
      <c r="EE338" s="9"/>
      <c r="EF338" s="9"/>
      <c r="EG338" s="9" t="s">
        <v>1101</v>
      </c>
      <c r="EH338" s="9"/>
      <c r="EI338" s="9"/>
      <c r="EJ338" s="9"/>
      <c r="EK338" s="9" t="s">
        <v>1101</v>
      </c>
      <c r="EL338" s="9"/>
      <c r="EM338" s="9"/>
      <c r="EN338" s="9"/>
      <c r="EO338" s="9" t="s">
        <v>1101</v>
      </c>
      <c r="EP338" s="9"/>
      <c r="EQ338" s="9"/>
      <c r="ER338" s="9"/>
      <c r="ES338" s="9" t="s">
        <v>1101</v>
      </c>
      <c r="ET338" s="9"/>
      <c r="EU338" s="9"/>
      <c r="EV338" s="9"/>
      <c r="EW338" s="9" t="s">
        <v>1101</v>
      </c>
      <c r="EX338" s="9"/>
      <c r="EY338" s="9"/>
      <c r="EZ338" s="9"/>
      <c r="FA338" s="9" t="s">
        <v>1101</v>
      </c>
      <c r="FB338" s="9"/>
      <c r="FC338" s="9"/>
      <c r="FD338" s="9"/>
      <c r="FE338" s="9" t="s">
        <v>1101</v>
      </c>
      <c r="FF338" s="9"/>
      <c r="FG338" s="9"/>
      <c r="FH338" s="9"/>
      <c r="FI338" s="9" t="s">
        <v>1101</v>
      </c>
      <c r="FJ338" s="9"/>
      <c r="FK338" s="9"/>
      <c r="FL338" s="9"/>
      <c r="FM338" s="9" t="s">
        <v>1101</v>
      </c>
      <c r="FN338" s="9"/>
      <c r="FO338" s="9"/>
      <c r="FP338" s="9"/>
      <c r="FQ338" s="9" t="s">
        <v>1101</v>
      </c>
      <c r="FR338" s="9"/>
      <c r="FS338" s="9"/>
      <c r="FT338" s="9"/>
      <c r="FU338" s="9" t="s">
        <v>1101</v>
      </c>
      <c r="FV338" s="9"/>
      <c r="FW338" s="9"/>
      <c r="FX338" s="9"/>
      <c r="FY338" s="9" t="s">
        <v>1101</v>
      </c>
      <c r="FZ338" s="9"/>
      <c r="GA338" s="9"/>
      <c r="GB338" s="9"/>
      <c r="GC338" s="9" t="s">
        <v>1101</v>
      </c>
      <c r="GD338" s="9"/>
      <c r="GE338" s="9"/>
      <c r="GF338" s="9"/>
      <c r="GG338" s="9" t="s">
        <v>1101</v>
      </c>
      <c r="GH338" s="9"/>
      <c r="GI338" s="9"/>
      <c r="GJ338" s="9"/>
      <c r="GK338" s="9" t="s">
        <v>1101</v>
      </c>
      <c r="GL338" s="9"/>
      <c r="GM338" s="9"/>
      <c r="GN338" s="9"/>
      <c r="GO338" s="9" t="s">
        <v>1101</v>
      </c>
      <c r="GP338" s="9"/>
      <c r="GQ338" s="9"/>
      <c r="GR338" s="9"/>
      <c r="GS338" s="9" t="s">
        <v>1101</v>
      </c>
      <c r="GT338" s="9"/>
      <c r="GU338" s="9"/>
      <c r="GV338" s="9"/>
      <c r="GW338" s="9" t="s">
        <v>1101</v>
      </c>
      <c r="GX338" s="9"/>
      <c r="GY338" s="9"/>
      <c r="GZ338" s="9"/>
      <c r="HA338" s="9" t="s">
        <v>1101</v>
      </c>
      <c r="HB338" s="9"/>
      <c r="HC338" s="9"/>
      <c r="HD338" s="9"/>
      <c r="HE338" s="9" t="s">
        <v>1101</v>
      </c>
      <c r="HF338" s="9"/>
      <c r="HG338" s="9"/>
      <c r="HH338" s="9"/>
      <c r="HI338" s="9" t="s">
        <v>1101</v>
      </c>
      <c r="HJ338" s="9"/>
      <c r="HK338" s="9"/>
      <c r="HL338" s="9"/>
      <c r="HM338" s="9" t="s">
        <v>1101</v>
      </c>
      <c r="HN338" s="9"/>
      <c r="HO338" s="9"/>
      <c r="HP338" s="9"/>
      <c r="HQ338" s="9" t="s">
        <v>1101</v>
      </c>
      <c r="HR338" s="9"/>
      <c r="HS338" s="9"/>
      <c r="HT338" s="9"/>
      <c r="HU338" s="9" t="s">
        <v>1101</v>
      </c>
      <c r="HV338" s="9"/>
      <c r="HW338" s="9"/>
      <c r="HX338" s="9"/>
      <c r="HY338" s="9" t="s">
        <v>1101</v>
      </c>
      <c r="HZ338" s="9"/>
      <c r="IA338" s="9"/>
      <c r="IB338" s="67"/>
      <c r="IC338" s="68"/>
      <c r="ID338" s="157"/>
      <c r="IE338" s="158"/>
    </row>
    <row r="339" spans="1:239" s="11" customFormat="1" x14ac:dyDescent="0.2">
      <c r="A339" s="9">
        <v>20</v>
      </c>
      <c r="B339" s="9"/>
      <c r="C339" s="9"/>
      <c r="D339" s="9" t="s">
        <v>62</v>
      </c>
      <c r="E339" s="65" t="s">
        <v>49</v>
      </c>
      <c r="F339" s="65"/>
      <c r="G339" s="92" t="s">
        <v>2487</v>
      </c>
      <c r="H339" s="66" t="s">
        <v>1393</v>
      </c>
      <c r="I339" s="9"/>
      <c r="J339" s="9" t="s">
        <v>1101</v>
      </c>
      <c r="K339" s="9"/>
      <c r="L339" s="9"/>
      <c r="M339" s="9" t="s">
        <v>1101</v>
      </c>
      <c r="N339" s="9"/>
      <c r="O339" s="9"/>
      <c r="P339" s="9"/>
      <c r="Q339" s="9" t="s">
        <v>1101</v>
      </c>
      <c r="R339" s="9"/>
      <c r="S339" s="9"/>
      <c r="T339" s="9"/>
      <c r="U339" s="9" t="s">
        <v>1101</v>
      </c>
      <c r="V339" s="9"/>
      <c r="W339" s="9"/>
      <c r="X339" s="9"/>
      <c r="Y339" s="9" t="s">
        <v>1101</v>
      </c>
      <c r="Z339" s="9"/>
      <c r="AA339" s="9"/>
      <c r="AB339" s="9"/>
      <c r="AC339" s="9" t="s">
        <v>1101</v>
      </c>
      <c r="AD339" s="9"/>
      <c r="AE339" s="9"/>
      <c r="AF339" s="9"/>
      <c r="AG339" s="9" t="s">
        <v>1101</v>
      </c>
      <c r="AH339" s="9"/>
      <c r="AI339" s="9"/>
      <c r="AJ339" s="9"/>
      <c r="AK339" s="9" t="s">
        <v>1101</v>
      </c>
      <c r="AL339" s="9"/>
      <c r="AM339" s="9"/>
      <c r="AN339" s="9"/>
      <c r="AO339" s="9" t="s">
        <v>1101</v>
      </c>
      <c r="AP339" s="9"/>
      <c r="AQ339" s="9"/>
      <c r="AR339" s="9"/>
      <c r="AS339" s="9" t="s">
        <v>1101</v>
      </c>
      <c r="AT339" s="9"/>
      <c r="AU339" s="9"/>
      <c r="AV339" s="9"/>
      <c r="AW339" s="9" t="s">
        <v>1101</v>
      </c>
      <c r="AX339" s="9"/>
      <c r="AY339" s="9"/>
      <c r="AZ339" s="9"/>
      <c r="BA339" s="9" t="s">
        <v>1101</v>
      </c>
      <c r="BB339" s="9"/>
      <c r="BC339" s="9"/>
      <c r="BD339" s="9"/>
      <c r="BE339" s="9" t="s">
        <v>1101</v>
      </c>
      <c r="BF339" s="9"/>
      <c r="BG339" s="9"/>
      <c r="BH339" s="9"/>
      <c r="BI339" s="9" t="s">
        <v>1101</v>
      </c>
      <c r="BJ339" s="9"/>
      <c r="BK339" s="9"/>
      <c r="BL339" s="9"/>
      <c r="BM339" s="9" t="s">
        <v>1101</v>
      </c>
      <c r="BN339" s="9"/>
      <c r="BO339" s="9"/>
      <c r="BP339" s="9"/>
      <c r="BQ339" s="9" t="s">
        <v>1101</v>
      </c>
      <c r="BR339" s="9"/>
      <c r="BS339" s="9"/>
      <c r="BT339" s="9"/>
      <c r="BU339" s="9" t="s">
        <v>1101</v>
      </c>
      <c r="BV339" s="9"/>
      <c r="BW339" s="9"/>
      <c r="BX339" s="9"/>
      <c r="BY339" s="9" t="s">
        <v>1101</v>
      </c>
      <c r="BZ339" s="9"/>
      <c r="CA339" s="9"/>
      <c r="CB339" s="9"/>
      <c r="CC339" s="9" t="s">
        <v>1101</v>
      </c>
      <c r="CD339" s="9"/>
      <c r="CE339" s="9"/>
      <c r="CF339" s="9"/>
      <c r="CG339" s="9" t="s">
        <v>1101</v>
      </c>
      <c r="CH339" s="9"/>
      <c r="CI339" s="9"/>
      <c r="CJ339" s="9"/>
      <c r="CK339" s="9" t="s">
        <v>1101</v>
      </c>
      <c r="CL339" s="9"/>
      <c r="CM339" s="9"/>
      <c r="CN339" s="9"/>
      <c r="CO339" s="9" t="s">
        <v>1101</v>
      </c>
      <c r="CP339" s="9"/>
      <c r="CQ339" s="9"/>
      <c r="CR339" s="9"/>
      <c r="CS339" s="9" t="s">
        <v>1101</v>
      </c>
      <c r="CT339" s="9"/>
      <c r="CU339" s="9"/>
      <c r="CV339" s="9"/>
      <c r="CW339" s="9" t="s">
        <v>1101</v>
      </c>
      <c r="CX339" s="9"/>
      <c r="CY339" s="9"/>
      <c r="CZ339" s="9"/>
      <c r="DA339" s="9" t="s">
        <v>1101</v>
      </c>
      <c r="DB339" s="9"/>
      <c r="DC339" s="9"/>
      <c r="DD339" s="9"/>
      <c r="DE339" s="9" t="s">
        <v>1101</v>
      </c>
      <c r="DF339" s="9"/>
      <c r="DG339" s="9"/>
      <c r="DH339" s="9"/>
      <c r="DI339" s="9" t="s">
        <v>1101</v>
      </c>
      <c r="DJ339" s="9"/>
      <c r="DK339" s="9"/>
      <c r="DL339" s="9"/>
      <c r="DM339" s="9" t="s">
        <v>1101</v>
      </c>
      <c r="DN339" s="9"/>
      <c r="DO339" s="9"/>
      <c r="DP339" s="9"/>
      <c r="DQ339" s="9" t="s">
        <v>1101</v>
      </c>
      <c r="DR339" s="9"/>
      <c r="DS339" s="9"/>
      <c r="DT339" s="9"/>
      <c r="DU339" s="9" t="s">
        <v>1101</v>
      </c>
      <c r="DV339" s="9"/>
      <c r="DW339" s="9"/>
      <c r="DX339" s="9"/>
      <c r="DY339" s="9" t="s">
        <v>1101</v>
      </c>
      <c r="DZ339" s="9"/>
      <c r="EA339" s="9"/>
      <c r="EB339" s="9"/>
      <c r="EC339" s="9" t="s">
        <v>1101</v>
      </c>
      <c r="ED339" s="9"/>
      <c r="EE339" s="9"/>
      <c r="EF339" s="9"/>
      <c r="EG339" s="9" t="s">
        <v>1101</v>
      </c>
      <c r="EH339" s="9"/>
      <c r="EI339" s="9"/>
      <c r="EJ339" s="9"/>
      <c r="EK339" s="9" t="s">
        <v>1101</v>
      </c>
      <c r="EL339" s="9"/>
      <c r="EM339" s="9"/>
      <c r="EN339" s="9"/>
      <c r="EO339" s="9" t="s">
        <v>1101</v>
      </c>
      <c r="EP339" s="9"/>
      <c r="EQ339" s="9"/>
      <c r="ER339" s="9"/>
      <c r="ES339" s="9" t="s">
        <v>1101</v>
      </c>
      <c r="ET339" s="9"/>
      <c r="EU339" s="9"/>
      <c r="EV339" s="9"/>
      <c r="EW339" s="9" t="s">
        <v>1101</v>
      </c>
      <c r="EX339" s="9"/>
      <c r="EY339" s="9"/>
      <c r="EZ339" s="9"/>
      <c r="FA339" s="9" t="s">
        <v>1101</v>
      </c>
      <c r="FB339" s="9"/>
      <c r="FC339" s="9"/>
      <c r="FD339" s="9"/>
      <c r="FE339" s="9" t="s">
        <v>1101</v>
      </c>
      <c r="FF339" s="9"/>
      <c r="FG339" s="9"/>
      <c r="FH339" s="9"/>
      <c r="FI339" s="9" t="s">
        <v>1101</v>
      </c>
      <c r="FJ339" s="9"/>
      <c r="FK339" s="9"/>
      <c r="FL339" s="9"/>
      <c r="FM339" s="9" t="s">
        <v>1101</v>
      </c>
      <c r="FN339" s="9"/>
      <c r="FO339" s="9"/>
      <c r="FP339" s="9"/>
      <c r="FQ339" s="9" t="s">
        <v>1101</v>
      </c>
      <c r="FR339" s="9"/>
      <c r="FS339" s="9"/>
      <c r="FT339" s="9"/>
      <c r="FU339" s="9" t="s">
        <v>1101</v>
      </c>
      <c r="FV339" s="9"/>
      <c r="FW339" s="9"/>
      <c r="FX339" s="9"/>
      <c r="FY339" s="9" t="s">
        <v>1101</v>
      </c>
      <c r="FZ339" s="9"/>
      <c r="GA339" s="9"/>
      <c r="GB339" s="9"/>
      <c r="GC339" s="9" t="s">
        <v>1101</v>
      </c>
      <c r="GD339" s="9"/>
      <c r="GE339" s="9"/>
      <c r="GF339" s="9"/>
      <c r="GG339" s="9" t="s">
        <v>1101</v>
      </c>
      <c r="GH339" s="9"/>
      <c r="GI339" s="9"/>
      <c r="GJ339" s="9"/>
      <c r="GK339" s="9" t="s">
        <v>1101</v>
      </c>
      <c r="GL339" s="9"/>
      <c r="GM339" s="9"/>
      <c r="GN339" s="9"/>
      <c r="GO339" s="9" t="s">
        <v>1101</v>
      </c>
      <c r="GP339" s="9"/>
      <c r="GQ339" s="9"/>
      <c r="GR339" s="9"/>
      <c r="GS339" s="9" t="s">
        <v>1101</v>
      </c>
      <c r="GT339" s="9"/>
      <c r="GU339" s="9"/>
      <c r="GV339" s="9"/>
      <c r="GW339" s="9" t="s">
        <v>1101</v>
      </c>
      <c r="GX339" s="9"/>
      <c r="GY339" s="9"/>
      <c r="GZ339" s="9"/>
      <c r="HA339" s="9" t="s">
        <v>1101</v>
      </c>
      <c r="HB339" s="9"/>
      <c r="HC339" s="9"/>
      <c r="HD339" s="9"/>
      <c r="HE339" s="9" t="s">
        <v>1101</v>
      </c>
      <c r="HF339" s="9"/>
      <c r="HG339" s="9"/>
      <c r="HH339" s="9"/>
      <c r="HI339" s="9" t="s">
        <v>1101</v>
      </c>
      <c r="HJ339" s="9"/>
      <c r="HK339" s="9"/>
      <c r="HL339" s="9"/>
      <c r="HM339" s="9" t="s">
        <v>1101</v>
      </c>
      <c r="HN339" s="9"/>
      <c r="HO339" s="9"/>
      <c r="HP339" s="9"/>
      <c r="HQ339" s="9" t="s">
        <v>1101</v>
      </c>
      <c r="HR339" s="9"/>
      <c r="HS339" s="9"/>
      <c r="HT339" s="9"/>
      <c r="HU339" s="9" t="s">
        <v>1101</v>
      </c>
      <c r="HV339" s="9"/>
      <c r="HW339" s="9"/>
      <c r="HX339" s="9"/>
      <c r="HY339" s="9" t="s">
        <v>1101</v>
      </c>
      <c r="HZ339" s="9"/>
      <c r="IA339" s="9"/>
      <c r="IB339" s="67"/>
      <c r="IC339" s="68"/>
      <c r="ID339" s="157"/>
      <c r="IE339" s="158"/>
    </row>
    <row r="340" spans="1:239" s="11" customFormat="1" x14ac:dyDescent="0.2">
      <c r="A340" s="34"/>
      <c r="G340" s="80"/>
      <c r="IE340" s="69"/>
    </row>
    <row r="341" spans="1:239" s="11" customFormat="1" x14ac:dyDescent="0.2">
      <c r="A341" s="9">
        <v>30</v>
      </c>
      <c r="B341" s="50" t="s">
        <v>0</v>
      </c>
      <c r="C341" s="51"/>
      <c r="D341" s="33" t="s">
        <v>2046</v>
      </c>
      <c r="E341" s="57" t="s">
        <v>21</v>
      </c>
      <c r="F341" s="70"/>
      <c r="G341" s="81"/>
      <c r="H341" s="59"/>
      <c r="I341" s="46"/>
      <c r="J341" s="47"/>
      <c r="K341" s="47"/>
      <c r="L341" s="62"/>
      <c r="M341" s="62"/>
      <c r="N341" s="62"/>
      <c r="O341" s="62" t="s">
        <v>1106</v>
      </c>
      <c r="P341" s="62"/>
      <c r="Q341" s="62"/>
      <c r="R341" s="62"/>
      <c r="S341" s="62" t="s">
        <v>1106</v>
      </c>
      <c r="T341" s="62"/>
      <c r="U341" s="62"/>
      <c r="V341" s="62"/>
      <c r="W341" s="62" t="s">
        <v>1106</v>
      </c>
      <c r="X341" s="62"/>
      <c r="Y341" s="62"/>
      <c r="Z341" s="62"/>
      <c r="AA341" s="62" t="s">
        <v>1106</v>
      </c>
      <c r="AB341" s="62"/>
      <c r="AC341" s="62"/>
      <c r="AD341" s="62"/>
      <c r="AE341" s="62" t="s">
        <v>1106</v>
      </c>
      <c r="AF341" s="62"/>
      <c r="AG341" s="62"/>
      <c r="AH341" s="62"/>
      <c r="AI341" s="62" t="s">
        <v>1106</v>
      </c>
      <c r="AJ341" s="62"/>
      <c r="AK341" s="62"/>
      <c r="AL341" s="62"/>
      <c r="AM341" s="62" t="s">
        <v>1106</v>
      </c>
      <c r="AN341" s="62"/>
      <c r="AO341" s="62"/>
      <c r="AP341" s="62"/>
      <c r="AQ341" s="62" t="s">
        <v>1106</v>
      </c>
      <c r="AR341" s="62"/>
      <c r="AS341" s="62"/>
      <c r="AT341" s="62"/>
      <c r="AU341" s="62" t="s">
        <v>1106</v>
      </c>
      <c r="AV341" s="62"/>
      <c r="AW341" s="62"/>
      <c r="AX341" s="62"/>
      <c r="AY341" s="62" t="s">
        <v>1106</v>
      </c>
      <c r="AZ341" s="62"/>
      <c r="BA341" s="62"/>
      <c r="BB341" s="62"/>
      <c r="BC341" s="62" t="s">
        <v>1106</v>
      </c>
      <c r="BD341" s="62"/>
      <c r="BE341" s="62"/>
      <c r="BF341" s="62"/>
      <c r="BG341" s="62" t="s">
        <v>1106</v>
      </c>
      <c r="BH341" s="62"/>
      <c r="BI341" s="62"/>
      <c r="BJ341" s="62"/>
      <c r="BK341" s="62" t="s">
        <v>1106</v>
      </c>
      <c r="BL341" s="62"/>
      <c r="BM341" s="62"/>
      <c r="BN341" s="62"/>
      <c r="BO341" s="62" t="s">
        <v>1106</v>
      </c>
      <c r="BP341" s="62"/>
      <c r="BQ341" s="62"/>
      <c r="BR341" s="62"/>
      <c r="BS341" s="62" t="s">
        <v>1106</v>
      </c>
      <c r="BT341" s="62"/>
      <c r="BU341" s="62"/>
      <c r="BV341" s="62"/>
      <c r="BW341" s="62" t="s">
        <v>1106</v>
      </c>
      <c r="BX341" s="62"/>
      <c r="BY341" s="62"/>
      <c r="BZ341" s="62"/>
      <c r="CA341" s="62" t="s">
        <v>1106</v>
      </c>
      <c r="CB341" s="62"/>
      <c r="CC341" s="62"/>
      <c r="CD341" s="62"/>
      <c r="CE341" s="62" t="s">
        <v>1106</v>
      </c>
      <c r="CF341" s="62"/>
      <c r="CG341" s="62"/>
      <c r="CH341" s="62"/>
      <c r="CI341" s="62" t="s">
        <v>1106</v>
      </c>
      <c r="CJ341" s="62"/>
      <c r="CK341" s="62"/>
      <c r="CL341" s="62"/>
      <c r="CM341" s="62" t="s">
        <v>1106</v>
      </c>
      <c r="CN341" s="62"/>
      <c r="CO341" s="62"/>
      <c r="CP341" s="62"/>
      <c r="CQ341" s="62" t="s">
        <v>1106</v>
      </c>
      <c r="CR341" s="62"/>
      <c r="CS341" s="62"/>
      <c r="CT341" s="62"/>
      <c r="CU341" s="62" t="s">
        <v>1106</v>
      </c>
      <c r="CV341" s="62"/>
      <c r="CW341" s="62"/>
      <c r="CX341" s="62"/>
      <c r="CY341" s="62" t="s">
        <v>1106</v>
      </c>
      <c r="CZ341" s="62"/>
      <c r="DA341" s="62"/>
      <c r="DB341" s="62"/>
      <c r="DC341" s="62" t="s">
        <v>1106</v>
      </c>
      <c r="DD341" s="62"/>
      <c r="DE341" s="62"/>
      <c r="DF341" s="62"/>
      <c r="DG341" s="62" t="s">
        <v>1106</v>
      </c>
      <c r="DH341" s="62"/>
      <c r="DI341" s="62"/>
      <c r="DJ341" s="62"/>
      <c r="DK341" s="62" t="s">
        <v>1106</v>
      </c>
      <c r="DL341" s="62"/>
      <c r="DM341" s="62"/>
      <c r="DN341" s="62"/>
      <c r="DO341" s="62" t="s">
        <v>1106</v>
      </c>
      <c r="DP341" s="62"/>
      <c r="DQ341" s="62"/>
      <c r="DR341" s="62"/>
      <c r="DS341" s="62" t="s">
        <v>1106</v>
      </c>
      <c r="DT341" s="62"/>
      <c r="DU341" s="62"/>
      <c r="DV341" s="62"/>
      <c r="DW341" s="62" t="s">
        <v>1106</v>
      </c>
      <c r="DX341" s="62"/>
      <c r="DY341" s="62"/>
      <c r="DZ341" s="62"/>
      <c r="EA341" s="62" t="s">
        <v>1106</v>
      </c>
      <c r="EB341" s="62"/>
      <c r="EC341" s="62"/>
      <c r="ED341" s="62"/>
      <c r="EE341" s="62" t="s">
        <v>1106</v>
      </c>
      <c r="EF341" s="62"/>
      <c r="EG341" s="62"/>
      <c r="EH341" s="62"/>
      <c r="EI341" s="62" t="s">
        <v>1106</v>
      </c>
      <c r="EJ341" s="62"/>
      <c r="EK341" s="62"/>
      <c r="EL341" s="62"/>
      <c r="EM341" s="62" t="s">
        <v>1106</v>
      </c>
      <c r="EN341" s="62"/>
      <c r="EO341" s="62"/>
      <c r="EP341" s="62"/>
      <c r="EQ341" s="62" t="s">
        <v>1106</v>
      </c>
      <c r="ER341" s="62"/>
      <c r="ES341" s="62"/>
      <c r="ET341" s="62"/>
      <c r="EU341" s="62" t="s">
        <v>1106</v>
      </c>
      <c r="EV341" s="62"/>
      <c r="EW341" s="62"/>
      <c r="EX341" s="62"/>
      <c r="EY341" s="62" t="s">
        <v>1106</v>
      </c>
      <c r="EZ341" s="62"/>
      <c r="FA341" s="62"/>
      <c r="FB341" s="62"/>
      <c r="FC341" s="62" t="s">
        <v>1106</v>
      </c>
      <c r="FD341" s="62"/>
      <c r="FE341" s="62"/>
      <c r="FF341" s="62"/>
      <c r="FG341" s="62" t="s">
        <v>1106</v>
      </c>
      <c r="FH341" s="62"/>
      <c r="FI341" s="62"/>
      <c r="FJ341" s="62"/>
      <c r="FK341" s="62" t="s">
        <v>1106</v>
      </c>
      <c r="FL341" s="62"/>
      <c r="FM341" s="62"/>
      <c r="FN341" s="62"/>
      <c r="FO341" s="62" t="s">
        <v>1106</v>
      </c>
      <c r="FP341" s="62"/>
      <c r="FQ341" s="62"/>
      <c r="FR341" s="62"/>
      <c r="FS341" s="62" t="s">
        <v>1106</v>
      </c>
      <c r="FT341" s="62"/>
      <c r="FU341" s="62"/>
      <c r="FV341" s="62"/>
      <c r="FW341" s="62" t="s">
        <v>1106</v>
      </c>
      <c r="FX341" s="62"/>
      <c r="FY341" s="62"/>
      <c r="FZ341" s="62"/>
      <c r="GA341" s="62" t="s">
        <v>1106</v>
      </c>
      <c r="GB341" s="62"/>
      <c r="GC341" s="62"/>
      <c r="GD341" s="62"/>
      <c r="GE341" s="62" t="s">
        <v>1106</v>
      </c>
      <c r="GF341" s="62"/>
      <c r="GG341" s="62"/>
      <c r="GH341" s="62"/>
      <c r="GI341" s="62" t="s">
        <v>1106</v>
      </c>
      <c r="GJ341" s="62"/>
      <c r="GK341" s="62"/>
      <c r="GL341" s="62"/>
      <c r="GM341" s="62" t="s">
        <v>1106</v>
      </c>
      <c r="GN341" s="62"/>
      <c r="GO341" s="62"/>
      <c r="GP341" s="62"/>
      <c r="GQ341" s="62" t="s">
        <v>1106</v>
      </c>
      <c r="GR341" s="62"/>
      <c r="GS341" s="62"/>
      <c r="GT341" s="62"/>
      <c r="GU341" s="62" t="s">
        <v>1106</v>
      </c>
      <c r="GV341" s="62"/>
      <c r="GW341" s="62"/>
      <c r="GX341" s="62"/>
      <c r="GY341" s="62" t="s">
        <v>1106</v>
      </c>
      <c r="GZ341" s="62"/>
      <c r="HA341" s="62"/>
      <c r="HB341" s="62"/>
      <c r="HC341" s="62" t="s">
        <v>1106</v>
      </c>
      <c r="HD341" s="62"/>
      <c r="HE341" s="62"/>
      <c r="HF341" s="62"/>
      <c r="HG341" s="62" t="s">
        <v>1106</v>
      </c>
      <c r="HH341" s="62"/>
      <c r="HI341" s="62"/>
      <c r="HJ341" s="62"/>
      <c r="HK341" s="62" t="s">
        <v>1106</v>
      </c>
      <c r="HL341" s="62"/>
      <c r="HM341" s="62"/>
      <c r="HN341" s="62"/>
      <c r="HO341" s="62" t="s">
        <v>1106</v>
      </c>
      <c r="HP341" s="62"/>
      <c r="HQ341" s="62"/>
      <c r="HR341" s="62"/>
      <c r="HS341" s="62" t="s">
        <v>1106</v>
      </c>
      <c r="HT341" s="62"/>
      <c r="HU341" s="62"/>
      <c r="HV341" s="62"/>
      <c r="HW341" s="62" t="s">
        <v>1106</v>
      </c>
      <c r="HX341" s="62"/>
      <c r="HY341" s="62"/>
      <c r="HZ341" s="62"/>
      <c r="IA341" s="62" t="s">
        <v>21</v>
      </c>
      <c r="IB341" s="48"/>
      <c r="IC341" s="49"/>
      <c r="ID341" s="63"/>
      <c r="IE341" s="64"/>
    </row>
    <row r="342" spans="1:239" s="11" customFormat="1" x14ac:dyDescent="0.2">
      <c r="A342" s="9">
        <v>30</v>
      </c>
      <c r="B342" s="9"/>
      <c r="C342" s="9"/>
      <c r="D342" s="9" t="s">
        <v>89</v>
      </c>
      <c r="E342" s="65" t="s">
        <v>133</v>
      </c>
      <c r="F342" s="65"/>
      <c r="G342" s="92" t="s">
        <v>2219</v>
      </c>
      <c r="H342" s="66" t="s">
        <v>1394</v>
      </c>
      <c r="I342" s="9"/>
      <c r="J342" s="9" t="s">
        <v>1101</v>
      </c>
      <c r="K342" s="9"/>
      <c r="L342" s="9"/>
      <c r="M342" s="9"/>
      <c r="N342" s="9"/>
      <c r="O342" s="9" t="s">
        <v>1101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  <c r="FO342" s="9"/>
      <c r="FP342" s="9"/>
      <c r="FQ342" s="9"/>
      <c r="FR342" s="9"/>
      <c r="FS342" s="9"/>
      <c r="FT342" s="9"/>
      <c r="FU342" s="9"/>
      <c r="FV342" s="9"/>
      <c r="FW342" s="9"/>
      <c r="FX342" s="9"/>
      <c r="FY342" s="9"/>
      <c r="FZ342" s="9"/>
      <c r="GA342" s="9"/>
      <c r="GB342" s="9"/>
      <c r="GC342" s="9"/>
      <c r="GD342" s="9"/>
      <c r="GE342" s="9"/>
      <c r="GF342" s="9"/>
      <c r="GG342" s="9"/>
      <c r="GH342" s="9"/>
      <c r="GI342" s="9"/>
      <c r="GJ342" s="9"/>
      <c r="GK342" s="9"/>
      <c r="GL342" s="9"/>
      <c r="GM342" s="9"/>
      <c r="GN342" s="9"/>
      <c r="GO342" s="9"/>
      <c r="GP342" s="9"/>
      <c r="GQ342" s="9"/>
      <c r="GR342" s="9"/>
      <c r="GS342" s="9"/>
      <c r="GT342" s="9"/>
      <c r="GU342" s="9"/>
      <c r="GV342" s="9"/>
      <c r="GW342" s="9"/>
      <c r="GX342" s="9"/>
      <c r="GY342" s="9"/>
      <c r="GZ342" s="9"/>
      <c r="HA342" s="9"/>
      <c r="HB342" s="9"/>
      <c r="HC342" s="9"/>
      <c r="HD342" s="9"/>
      <c r="HE342" s="9"/>
      <c r="HF342" s="9"/>
      <c r="HG342" s="9"/>
      <c r="HH342" s="9"/>
      <c r="HI342" s="9"/>
      <c r="HJ342" s="9"/>
      <c r="HK342" s="9"/>
      <c r="HL342" s="9"/>
      <c r="HM342" s="9"/>
      <c r="HN342" s="9"/>
      <c r="HO342" s="9"/>
      <c r="HP342" s="9"/>
      <c r="HQ342" s="9"/>
      <c r="HR342" s="9"/>
      <c r="HS342" s="9"/>
      <c r="HT342" s="9"/>
      <c r="HU342" s="9"/>
      <c r="HV342" s="9"/>
      <c r="HW342" s="9"/>
      <c r="HX342" s="9"/>
      <c r="HY342" s="9"/>
      <c r="HZ342" s="9"/>
      <c r="IA342" s="9"/>
      <c r="IB342" s="67"/>
      <c r="IC342" s="68"/>
      <c r="ID342" s="63"/>
      <c r="IE342" s="71"/>
    </row>
    <row r="343" spans="1:239" s="11" customFormat="1" x14ac:dyDescent="0.2">
      <c r="A343" s="9">
        <v>30</v>
      </c>
      <c r="B343" s="9"/>
      <c r="C343" s="9"/>
      <c r="D343" s="9" t="s">
        <v>671</v>
      </c>
      <c r="E343" s="65" t="s">
        <v>672</v>
      </c>
      <c r="F343" s="65"/>
      <c r="G343" s="92" t="s">
        <v>2222</v>
      </c>
      <c r="H343" s="66" t="s">
        <v>1395</v>
      </c>
      <c r="I343" s="9"/>
      <c r="J343" s="9" t="s">
        <v>1101</v>
      </c>
      <c r="K343" s="9"/>
      <c r="L343" s="9"/>
      <c r="M343" s="9"/>
      <c r="N343" s="9"/>
      <c r="O343" s="9"/>
      <c r="P343" s="9"/>
      <c r="Q343" s="9"/>
      <c r="R343" s="9"/>
      <c r="S343" s="9" t="s">
        <v>1101</v>
      </c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9"/>
      <c r="FJ343" s="9"/>
      <c r="FK343" s="9"/>
      <c r="FL343" s="9"/>
      <c r="FM343" s="9"/>
      <c r="FN343" s="9"/>
      <c r="FO343" s="9"/>
      <c r="FP343" s="9"/>
      <c r="FQ343" s="9"/>
      <c r="FR343" s="9"/>
      <c r="FS343" s="9"/>
      <c r="FT343" s="9"/>
      <c r="FU343" s="9"/>
      <c r="FV343" s="9"/>
      <c r="FW343" s="9"/>
      <c r="FX343" s="9"/>
      <c r="FY343" s="9"/>
      <c r="FZ343" s="9"/>
      <c r="GA343" s="9"/>
      <c r="GB343" s="9"/>
      <c r="GC343" s="9"/>
      <c r="GD343" s="9"/>
      <c r="GE343" s="9"/>
      <c r="GF343" s="9"/>
      <c r="GG343" s="9"/>
      <c r="GH343" s="9"/>
      <c r="GI343" s="9"/>
      <c r="GJ343" s="9"/>
      <c r="GK343" s="9"/>
      <c r="GL343" s="9"/>
      <c r="GM343" s="9"/>
      <c r="GN343" s="9"/>
      <c r="GO343" s="9"/>
      <c r="GP343" s="9"/>
      <c r="GQ343" s="9"/>
      <c r="GR343" s="9"/>
      <c r="GS343" s="9"/>
      <c r="GT343" s="9"/>
      <c r="GU343" s="9"/>
      <c r="GV343" s="9"/>
      <c r="GW343" s="9"/>
      <c r="GX343" s="9"/>
      <c r="GY343" s="9"/>
      <c r="GZ343" s="9"/>
      <c r="HA343" s="9"/>
      <c r="HB343" s="9"/>
      <c r="HC343" s="9"/>
      <c r="HD343" s="9"/>
      <c r="HE343" s="9"/>
      <c r="HF343" s="9"/>
      <c r="HG343" s="9"/>
      <c r="HH343" s="9"/>
      <c r="HI343" s="9"/>
      <c r="HJ343" s="9"/>
      <c r="HK343" s="9"/>
      <c r="HL343" s="9"/>
      <c r="HM343" s="9"/>
      <c r="HN343" s="9"/>
      <c r="HO343" s="9"/>
      <c r="HP343" s="9"/>
      <c r="HQ343" s="9"/>
      <c r="HR343" s="9"/>
      <c r="HS343" s="9"/>
      <c r="HT343" s="9"/>
      <c r="HU343" s="9"/>
      <c r="HV343" s="9"/>
      <c r="HW343" s="9"/>
      <c r="HX343" s="9"/>
      <c r="HY343" s="9"/>
      <c r="HZ343" s="9"/>
      <c r="IA343" s="9"/>
      <c r="IB343" s="67"/>
      <c r="IC343" s="68"/>
      <c r="ID343" s="63"/>
      <c r="IE343" s="71"/>
    </row>
    <row r="344" spans="1:239" s="11" customFormat="1" x14ac:dyDescent="0.2">
      <c r="A344" s="9">
        <v>30</v>
      </c>
      <c r="B344" s="9"/>
      <c r="C344" s="9"/>
      <c r="D344" s="9" t="s">
        <v>90</v>
      </c>
      <c r="E344" s="65" t="s">
        <v>137</v>
      </c>
      <c r="F344" s="65"/>
      <c r="G344" s="92" t="s">
        <v>2225</v>
      </c>
      <c r="H344" s="66" t="s">
        <v>1114</v>
      </c>
      <c r="I344" s="9"/>
      <c r="J344" s="9" t="s">
        <v>1101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 t="s">
        <v>1101</v>
      </c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  <c r="FI344" s="9"/>
      <c r="FJ344" s="9"/>
      <c r="FK344" s="9"/>
      <c r="FL344" s="9"/>
      <c r="FM344" s="9"/>
      <c r="FN344" s="9"/>
      <c r="FO344" s="9"/>
      <c r="FP344" s="9"/>
      <c r="FQ344" s="9"/>
      <c r="FR344" s="9"/>
      <c r="FS344" s="9"/>
      <c r="FT344" s="9"/>
      <c r="FU344" s="9"/>
      <c r="FV344" s="9"/>
      <c r="FW344" s="9"/>
      <c r="FX344" s="9"/>
      <c r="FY344" s="9"/>
      <c r="FZ344" s="9"/>
      <c r="GA344" s="9"/>
      <c r="GB344" s="9"/>
      <c r="GC344" s="9"/>
      <c r="GD344" s="9"/>
      <c r="GE344" s="9"/>
      <c r="GF344" s="9"/>
      <c r="GG344" s="9"/>
      <c r="GH344" s="9"/>
      <c r="GI344" s="9"/>
      <c r="GJ344" s="9"/>
      <c r="GK344" s="9"/>
      <c r="GL344" s="9"/>
      <c r="GM344" s="9"/>
      <c r="GN344" s="9"/>
      <c r="GO344" s="9"/>
      <c r="GP344" s="9"/>
      <c r="GQ344" s="9"/>
      <c r="GR344" s="9"/>
      <c r="GS344" s="9"/>
      <c r="GT344" s="9"/>
      <c r="GU344" s="9"/>
      <c r="GV344" s="9"/>
      <c r="GW344" s="9"/>
      <c r="GX344" s="9"/>
      <c r="GY344" s="9"/>
      <c r="GZ344" s="9"/>
      <c r="HA344" s="9"/>
      <c r="HB344" s="9"/>
      <c r="HC344" s="9"/>
      <c r="HD344" s="9"/>
      <c r="HE344" s="9"/>
      <c r="HF344" s="9"/>
      <c r="HG344" s="9"/>
      <c r="HH344" s="9"/>
      <c r="HI344" s="9"/>
      <c r="HJ344" s="9"/>
      <c r="HK344" s="9"/>
      <c r="HL344" s="9"/>
      <c r="HM344" s="9"/>
      <c r="HN344" s="9"/>
      <c r="HO344" s="9"/>
      <c r="HP344" s="9"/>
      <c r="HQ344" s="9"/>
      <c r="HR344" s="9"/>
      <c r="HS344" s="9"/>
      <c r="HT344" s="9"/>
      <c r="HU344" s="9"/>
      <c r="HV344" s="9"/>
      <c r="HW344" s="9"/>
      <c r="HX344" s="9"/>
      <c r="HY344" s="9"/>
      <c r="HZ344" s="9"/>
      <c r="IA344" s="9"/>
      <c r="IB344" s="67"/>
      <c r="IC344" s="68"/>
      <c r="ID344" s="63"/>
      <c r="IE344" s="71"/>
    </row>
    <row r="345" spans="1:239" s="11" customFormat="1" x14ac:dyDescent="0.2">
      <c r="A345" s="9">
        <v>30</v>
      </c>
      <c r="B345" s="9"/>
      <c r="C345" s="9"/>
      <c r="D345" s="9" t="s">
        <v>91</v>
      </c>
      <c r="E345" s="65" t="s">
        <v>139</v>
      </c>
      <c r="F345" s="65"/>
      <c r="G345" s="92" t="s">
        <v>2228</v>
      </c>
      <c r="H345" s="66" t="s">
        <v>1117</v>
      </c>
      <c r="I345" s="9"/>
      <c r="J345" s="9" t="s">
        <v>1101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 t="s">
        <v>1101</v>
      </c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  <c r="EN345" s="9"/>
      <c r="EO345" s="9"/>
      <c r="EP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  <c r="FI345" s="9"/>
      <c r="FJ345" s="9"/>
      <c r="FK345" s="9"/>
      <c r="FL345" s="9"/>
      <c r="FM345" s="9"/>
      <c r="FN345" s="9"/>
      <c r="FO345" s="9"/>
      <c r="FP345" s="9"/>
      <c r="FQ345" s="9"/>
      <c r="FR345" s="9"/>
      <c r="FS345" s="9"/>
      <c r="FT345" s="9"/>
      <c r="FU345" s="9"/>
      <c r="FV345" s="9"/>
      <c r="FW345" s="9"/>
      <c r="FX345" s="9"/>
      <c r="FY345" s="9"/>
      <c r="FZ345" s="9"/>
      <c r="GA345" s="9"/>
      <c r="GB345" s="9"/>
      <c r="GC345" s="9"/>
      <c r="GD345" s="9"/>
      <c r="GE345" s="9"/>
      <c r="GF345" s="9"/>
      <c r="GG345" s="9"/>
      <c r="GH345" s="9"/>
      <c r="GI345" s="9"/>
      <c r="GJ345" s="9"/>
      <c r="GK345" s="9"/>
      <c r="GL345" s="9"/>
      <c r="GM345" s="9"/>
      <c r="GN345" s="9"/>
      <c r="GO345" s="9"/>
      <c r="GP345" s="9"/>
      <c r="GQ345" s="9"/>
      <c r="GR345" s="9"/>
      <c r="GS345" s="9"/>
      <c r="GT345" s="9"/>
      <c r="GU345" s="9"/>
      <c r="GV345" s="9"/>
      <c r="GW345" s="9"/>
      <c r="GX345" s="9"/>
      <c r="GY345" s="9"/>
      <c r="GZ345" s="9"/>
      <c r="HA345" s="9"/>
      <c r="HB345" s="9"/>
      <c r="HC345" s="9"/>
      <c r="HD345" s="9"/>
      <c r="HE345" s="9"/>
      <c r="HF345" s="9"/>
      <c r="HG345" s="9"/>
      <c r="HH345" s="9"/>
      <c r="HI345" s="9"/>
      <c r="HJ345" s="9"/>
      <c r="HK345" s="9"/>
      <c r="HL345" s="9"/>
      <c r="HM345" s="9"/>
      <c r="HN345" s="9"/>
      <c r="HO345" s="9"/>
      <c r="HP345" s="9"/>
      <c r="HQ345" s="9"/>
      <c r="HR345" s="9"/>
      <c r="HS345" s="9"/>
      <c r="HT345" s="9"/>
      <c r="HU345" s="9"/>
      <c r="HV345" s="9"/>
      <c r="HW345" s="9"/>
      <c r="HX345" s="9"/>
      <c r="HY345" s="9"/>
      <c r="HZ345" s="9"/>
      <c r="IA345" s="9"/>
      <c r="IB345" s="67"/>
      <c r="IC345" s="68"/>
      <c r="ID345" s="63"/>
      <c r="IE345" s="71"/>
    </row>
    <row r="346" spans="1:239" s="11" customFormat="1" x14ac:dyDescent="0.2">
      <c r="A346" s="9">
        <v>30</v>
      </c>
      <c r="B346" s="9"/>
      <c r="C346" s="9"/>
      <c r="D346" s="9" t="s">
        <v>92</v>
      </c>
      <c r="E346" s="65" t="s">
        <v>141</v>
      </c>
      <c r="F346" s="65"/>
      <c r="G346" s="92" t="s">
        <v>2231</v>
      </c>
      <c r="H346" s="66" t="s">
        <v>1120</v>
      </c>
      <c r="I346" s="9"/>
      <c r="J346" s="9" t="s">
        <v>1101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 t="s">
        <v>1101</v>
      </c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  <c r="EN346" s="9"/>
      <c r="EO346" s="9"/>
      <c r="EP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  <c r="FI346" s="9"/>
      <c r="FJ346" s="9"/>
      <c r="FK346" s="9"/>
      <c r="FL346" s="9"/>
      <c r="FM346" s="9"/>
      <c r="FN346" s="9"/>
      <c r="FO346" s="9"/>
      <c r="FP346" s="9"/>
      <c r="FQ346" s="9"/>
      <c r="FR346" s="9"/>
      <c r="FS346" s="9"/>
      <c r="FT346" s="9"/>
      <c r="FU346" s="9"/>
      <c r="FV346" s="9"/>
      <c r="FW346" s="9"/>
      <c r="FX346" s="9"/>
      <c r="FY346" s="9"/>
      <c r="FZ346" s="9"/>
      <c r="GA346" s="9"/>
      <c r="GB346" s="9"/>
      <c r="GC346" s="9"/>
      <c r="GD346" s="9"/>
      <c r="GE346" s="9"/>
      <c r="GF346" s="9"/>
      <c r="GG346" s="9"/>
      <c r="GH346" s="9"/>
      <c r="GI346" s="9"/>
      <c r="GJ346" s="9"/>
      <c r="GK346" s="9"/>
      <c r="GL346" s="9"/>
      <c r="GM346" s="9"/>
      <c r="GN346" s="9"/>
      <c r="GO346" s="9"/>
      <c r="GP346" s="9"/>
      <c r="GQ346" s="9"/>
      <c r="GR346" s="9"/>
      <c r="GS346" s="9"/>
      <c r="GT346" s="9"/>
      <c r="GU346" s="9"/>
      <c r="GV346" s="9"/>
      <c r="GW346" s="9"/>
      <c r="GX346" s="9"/>
      <c r="GY346" s="9"/>
      <c r="GZ346" s="9"/>
      <c r="HA346" s="9"/>
      <c r="HB346" s="9"/>
      <c r="HC346" s="9"/>
      <c r="HD346" s="9"/>
      <c r="HE346" s="9"/>
      <c r="HF346" s="9"/>
      <c r="HG346" s="9"/>
      <c r="HH346" s="9"/>
      <c r="HI346" s="9"/>
      <c r="HJ346" s="9"/>
      <c r="HK346" s="9"/>
      <c r="HL346" s="9"/>
      <c r="HM346" s="9"/>
      <c r="HN346" s="9"/>
      <c r="HO346" s="9"/>
      <c r="HP346" s="9"/>
      <c r="HQ346" s="9"/>
      <c r="HR346" s="9"/>
      <c r="HS346" s="9"/>
      <c r="HT346" s="9"/>
      <c r="HU346" s="9"/>
      <c r="HV346" s="9"/>
      <c r="HW346" s="9"/>
      <c r="HX346" s="9"/>
      <c r="HY346" s="9"/>
      <c r="HZ346" s="9"/>
      <c r="IA346" s="9"/>
      <c r="IB346" s="67"/>
      <c r="IC346" s="68"/>
      <c r="ID346" s="63"/>
      <c r="IE346" s="71"/>
    </row>
    <row r="347" spans="1:239" s="11" customFormat="1" x14ac:dyDescent="0.2">
      <c r="A347" s="9">
        <v>30</v>
      </c>
      <c r="B347" s="9"/>
      <c r="C347" s="9"/>
      <c r="D347" s="9" t="s">
        <v>93</v>
      </c>
      <c r="E347" s="65" t="s">
        <v>143</v>
      </c>
      <c r="F347" s="65"/>
      <c r="G347" s="92" t="s">
        <v>2234</v>
      </c>
      <c r="H347" s="66" t="s">
        <v>1123</v>
      </c>
      <c r="I347" s="9"/>
      <c r="J347" s="9" t="s">
        <v>1101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 t="s">
        <v>1101</v>
      </c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  <c r="EN347" s="9"/>
      <c r="EO347" s="9"/>
      <c r="EP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E347" s="9"/>
      <c r="FF347" s="9"/>
      <c r="FG347" s="9"/>
      <c r="FH347" s="9"/>
      <c r="FI347" s="9"/>
      <c r="FJ347" s="9"/>
      <c r="FK347" s="9"/>
      <c r="FL347" s="9"/>
      <c r="FM347" s="9"/>
      <c r="FN347" s="9"/>
      <c r="FO347" s="9"/>
      <c r="FP347" s="9"/>
      <c r="FQ347" s="9"/>
      <c r="FR347" s="9"/>
      <c r="FS347" s="9"/>
      <c r="FT347" s="9"/>
      <c r="FU347" s="9"/>
      <c r="FV347" s="9"/>
      <c r="FW347" s="9"/>
      <c r="FX347" s="9"/>
      <c r="FY347" s="9"/>
      <c r="FZ347" s="9"/>
      <c r="GA347" s="9"/>
      <c r="GB347" s="9"/>
      <c r="GC347" s="9"/>
      <c r="GD347" s="9"/>
      <c r="GE347" s="9"/>
      <c r="GF347" s="9"/>
      <c r="GG347" s="9"/>
      <c r="GH347" s="9"/>
      <c r="GI347" s="9"/>
      <c r="GJ347" s="9"/>
      <c r="GK347" s="9"/>
      <c r="GL347" s="9"/>
      <c r="GM347" s="9"/>
      <c r="GN347" s="9"/>
      <c r="GO347" s="9"/>
      <c r="GP347" s="9"/>
      <c r="GQ347" s="9"/>
      <c r="GR347" s="9"/>
      <c r="GS347" s="9"/>
      <c r="GT347" s="9"/>
      <c r="GU347" s="9"/>
      <c r="GV347" s="9"/>
      <c r="GW347" s="9"/>
      <c r="GX347" s="9"/>
      <c r="GY347" s="9"/>
      <c r="GZ347" s="9"/>
      <c r="HA347" s="9"/>
      <c r="HB347" s="9"/>
      <c r="HC347" s="9"/>
      <c r="HD347" s="9"/>
      <c r="HE347" s="9"/>
      <c r="HF347" s="9"/>
      <c r="HG347" s="9"/>
      <c r="HH347" s="9"/>
      <c r="HI347" s="9"/>
      <c r="HJ347" s="9"/>
      <c r="HK347" s="9"/>
      <c r="HL347" s="9"/>
      <c r="HM347" s="9"/>
      <c r="HN347" s="9"/>
      <c r="HO347" s="9"/>
      <c r="HP347" s="9"/>
      <c r="HQ347" s="9"/>
      <c r="HR347" s="9"/>
      <c r="HS347" s="9"/>
      <c r="HT347" s="9"/>
      <c r="HU347" s="9"/>
      <c r="HV347" s="9"/>
      <c r="HW347" s="9"/>
      <c r="HX347" s="9"/>
      <c r="HY347" s="9"/>
      <c r="HZ347" s="9"/>
      <c r="IA347" s="9"/>
      <c r="IB347" s="67"/>
      <c r="IC347" s="68"/>
      <c r="ID347" s="63"/>
      <c r="IE347" s="71"/>
    </row>
    <row r="348" spans="1:239" s="11" customFormat="1" x14ac:dyDescent="0.2">
      <c r="A348" s="9">
        <v>30</v>
      </c>
      <c r="B348" s="9"/>
      <c r="C348" s="9"/>
      <c r="D348" s="9" t="s">
        <v>94</v>
      </c>
      <c r="E348" s="65" t="s">
        <v>145</v>
      </c>
      <c r="F348" s="65"/>
      <c r="G348" s="92" t="s">
        <v>2237</v>
      </c>
      <c r="H348" s="66" t="s">
        <v>1126</v>
      </c>
      <c r="I348" s="9"/>
      <c r="J348" s="9" t="s">
        <v>1101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 t="s">
        <v>1101</v>
      </c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  <c r="EN348" s="9"/>
      <c r="EO348" s="9"/>
      <c r="EP348" s="9"/>
      <c r="EQ348" s="9"/>
      <c r="ER348" s="9"/>
      <c r="ES348" s="9"/>
      <c r="ET348" s="9"/>
      <c r="EU348" s="9"/>
      <c r="EV348" s="9"/>
      <c r="EW348" s="9"/>
      <c r="EX348" s="9"/>
      <c r="EY348" s="9"/>
      <c r="EZ348" s="9"/>
      <c r="FA348" s="9"/>
      <c r="FB348" s="9"/>
      <c r="FC348" s="9"/>
      <c r="FD348" s="9"/>
      <c r="FE348" s="9"/>
      <c r="FF348" s="9"/>
      <c r="FG348" s="9"/>
      <c r="FH348" s="9"/>
      <c r="FI348" s="9"/>
      <c r="FJ348" s="9"/>
      <c r="FK348" s="9"/>
      <c r="FL348" s="9"/>
      <c r="FM348" s="9"/>
      <c r="FN348" s="9"/>
      <c r="FO348" s="9"/>
      <c r="FP348" s="9"/>
      <c r="FQ348" s="9"/>
      <c r="FR348" s="9"/>
      <c r="FS348" s="9"/>
      <c r="FT348" s="9"/>
      <c r="FU348" s="9"/>
      <c r="FV348" s="9"/>
      <c r="FW348" s="9"/>
      <c r="FX348" s="9"/>
      <c r="FY348" s="9"/>
      <c r="FZ348" s="9"/>
      <c r="GA348" s="9"/>
      <c r="GB348" s="9"/>
      <c r="GC348" s="9"/>
      <c r="GD348" s="9"/>
      <c r="GE348" s="9"/>
      <c r="GF348" s="9"/>
      <c r="GG348" s="9"/>
      <c r="GH348" s="9"/>
      <c r="GI348" s="9"/>
      <c r="GJ348" s="9"/>
      <c r="GK348" s="9"/>
      <c r="GL348" s="9"/>
      <c r="GM348" s="9"/>
      <c r="GN348" s="9"/>
      <c r="GO348" s="9"/>
      <c r="GP348" s="9"/>
      <c r="GQ348" s="9"/>
      <c r="GR348" s="9"/>
      <c r="GS348" s="9"/>
      <c r="GT348" s="9"/>
      <c r="GU348" s="9"/>
      <c r="GV348" s="9"/>
      <c r="GW348" s="9"/>
      <c r="GX348" s="9"/>
      <c r="GY348" s="9"/>
      <c r="GZ348" s="9"/>
      <c r="HA348" s="9"/>
      <c r="HB348" s="9"/>
      <c r="HC348" s="9"/>
      <c r="HD348" s="9"/>
      <c r="HE348" s="9"/>
      <c r="HF348" s="9"/>
      <c r="HG348" s="9"/>
      <c r="HH348" s="9"/>
      <c r="HI348" s="9"/>
      <c r="HJ348" s="9"/>
      <c r="HK348" s="9"/>
      <c r="HL348" s="9"/>
      <c r="HM348" s="9"/>
      <c r="HN348" s="9"/>
      <c r="HO348" s="9"/>
      <c r="HP348" s="9"/>
      <c r="HQ348" s="9"/>
      <c r="HR348" s="9"/>
      <c r="HS348" s="9"/>
      <c r="HT348" s="9"/>
      <c r="HU348" s="9"/>
      <c r="HV348" s="9"/>
      <c r="HW348" s="9"/>
      <c r="HX348" s="9"/>
      <c r="HY348" s="9"/>
      <c r="HZ348" s="9"/>
      <c r="IA348" s="9"/>
      <c r="IB348" s="67"/>
      <c r="IC348" s="68"/>
      <c r="ID348" s="63"/>
      <c r="IE348" s="71"/>
    </row>
    <row r="349" spans="1:239" s="11" customFormat="1" x14ac:dyDescent="0.2">
      <c r="A349" s="9">
        <v>30</v>
      </c>
      <c r="B349" s="9"/>
      <c r="C349" s="9"/>
      <c r="D349" s="9" t="s">
        <v>95</v>
      </c>
      <c r="E349" s="65" t="s">
        <v>148</v>
      </c>
      <c r="F349" s="65"/>
      <c r="G349" s="92" t="s">
        <v>2242</v>
      </c>
      <c r="H349" s="66" t="s">
        <v>1131</v>
      </c>
      <c r="I349" s="9"/>
      <c r="J349" s="9" t="s">
        <v>1101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 t="s">
        <v>1101</v>
      </c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  <c r="EN349" s="9"/>
      <c r="EO349" s="9"/>
      <c r="EP349" s="9"/>
      <c r="EQ349" s="9"/>
      <c r="ER349" s="9"/>
      <c r="ES349" s="9"/>
      <c r="ET349" s="9"/>
      <c r="EU349" s="9"/>
      <c r="EV349" s="9"/>
      <c r="EW349" s="9"/>
      <c r="EX349" s="9"/>
      <c r="EY349" s="9"/>
      <c r="EZ349" s="9"/>
      <c r="FA349" s="9"/>
      <c r="FB349" s="9"/>
      <c r="FC349" s="9"/>
      <c r="FD349" s="9"/>
      <c r="FE349" s="9"/>
      <c r="FF349" s="9"/>
      <c r="FG349" s="9"/>
      <c r="FH349" s="9"/>
      <c r="FI349" s="9"/>
      <c r="FJ349" s="9"/>
      <c r="FK349" s="9"/>
      <c r="FL349" s="9"/>
      <c r="FM349" s="9"/>
      <c r="FN349" s="9"/>
      <c r="FO349" s="9"/>
      <c r="FP349" s="9"/>
      <c r="FQ349" s="9"/>
      <c r="FR349" s="9"/>
      <c r="FS349" s="9"/>
      <c r="FT349" s="9"/>
      <c r="FU349" s="9"/>
      <c r="FV349" s="9"/>
      <c r="FW349" s="9"/>
      <c r="FX349" s="9"/>
      <c r="FY349" s="9"/>
      <c r="FZ349" s="9"/>
      <c r="GA349" s="9"/>
      <c r="GB349" s="9"/>
      <c r="GC349" s="9"/>
      <c r="GD349" s="9"/>
      <c r="GE349" s="9"/>
      <c r="GF349" s="9"/>
      <c r="GG349" s="9"/>
      <c r="GH349" s="9"/>
      <c r="GI349" s="9"/>
      <c r="GJ349" s="9"/>
      <c r="GK349" s="9"/>
      <c r="GL349" s="9"/>
      <c r="GM349" s="9"/>
      <c r="GN349" s="9"/>
      <c r="GO349" s="9"/>
      <c r="GP349" s="9"/>
      <c r="GQ349" s="9"/>
      <c r="GR349" s="9"/>
      <c r="GS349" s="9"/>
      <c r="GT349" s="9"/>
      <c r="GU349" s="9"/>
      <c r="GV349" s="9"/>
      <c r="GW349" s="9"/>
      <c r="GX349" s="9"/>
      <c r="GY349" s="9"/>
      <c r="GZ349" s="9"/>
      <c r="HA349" s="9"/>
      <c r="HB349" s="9"/>
      <c r="HC349" s="9"/>
      <c r="HD349" s="9"/>
      <c r="HE349" s="9"/>
      <c r="HF349" s="9"/>
      <c r="HG349" s="9"/>
      <c r="HH349" s="9"/>
      <c r="HI349" s="9"/>
      <c r="HJ349" s="9"/>
      <c r="HK349" s="9"/>
      <c r="HL349" s="9"/>
      <c r="HM349" s="9"/>
      <c r="HN349" s="9"/>
      <c r="HO349" s="9"/>
      <c r="HP349" s="9"/>
      <c r="HQ349" s="9"/>
      <c r="HR349" s="9"/>
      <c r="HS349" s="9"/>
      <c r="HT349" s="9"/>
      <c r="HU349" s="9"/>
      <c r="HV349" s="9"/>
      <c r="HW349" s="9"/>
      <c r="HX349" s="9"/>
      <c r="HY349" s="9"/>
      <c r="HZ349" s="9"/>
      <c r="IA349" s="9"/>
      <c r="IB349" s="67"/>
      <c r="IC349" s="68"/>
      <c r="ID349" s="63"/>
      <c r="IE349" s="71"/>
    </row>
    <row r="350" spans="1:239" s="11" customFormat="1" x14ac:dyDescent="0.2">
      <c r="A350" s="9">
        <v>30</v>
      </c>
      <c r="B350" s="9"/>
      <c r="C350" s="9"/>
      <c r="D350" s="9" t="s">
        <v>96</v>
      </c>
      <c r="E350" s="65" t="s">
        <v>150</v>
      </c>
      <c r="F350" s="65"/>
      <c r="G350" s="92" t="s">
        <v>2248</v>
      </c>
      <c r="H350" s="66" t="s">
        <v>1139</v>
      </c>
      <c r="I350" s="9"/>
      <c r="J350" s="9" t="s">
        <v>1101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 t="s">
        <v>1101</v>
      </c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  <c r="FI350" s="9"/>
      <c r="FJ350" s="9"/>
      <c r="FK350" s="9"/>
      <c r="FL350" s="9"/>
      <c r="FM350" s="9"/>
      <c r="FN350" s="9"/>
      <c r="FO350" s="9"/>
      <c r="FP350" s="9"/>
      <c r="FQ350" s="9"/>
      <c r="FR350" s="9"/>
      <c r="FS350" s="9"/>
      <c r="FT350" s="9"/>
      <c r="FU350" s="9"/>
      <c r="FV350" s="9"/>
      <c r="FW350" s="9"/>
      <c r="FX350" s="9"/>
      <c r="FY350" s="9"/>
      <c r="FZ350" s="9"/>
      <c r="GA350" s="9"/>
      <c r="GB350" s="9"/>
      <c r="GC350" s="9"/>
      <c r="GD350" s="9"/>
      <c r="GE350" s="9"/>
      <c r="GF350" s="9"/>
      <c r="GG350" s="9"/>
      <c r="GH350" s="9"/>
      <c r="GI350" s="9"/>
      <c r="GJ350" s="9"/>
      <c r="GK350" s="9"/>
      <c r="GL350" s="9"/>
      <c r="GM350" s="9"/>
      <c r="GN350" s="9"/>
      <c r="GO350" s="9"/>
      <c r="GP350" s="9"/>
      <c r="GQ350" s="9"/>
      <c r="GR350" s="9"/>
      <c r="GS350" s="9"/>
      <c r="GT350" s="9"/>
      <c r="GU350" s="9"/>
      <c r="GV350" s="9"/>
      <c r="GW350" s="9"/>
      <c r="GX350" s="9"/>
      <c r="GY350" s="9"/>
      <c r="GZ350" s="9"/>
      <c r="HA350" s="9"/>
      <c r="HB350" s="9"/>
      <c r="HC350" s="9"/>
      <c r="HD350" s="9"/>
      <c r="HE350" s="9"/>
      <c r="HF350" s="9"/>
      <c r="HG350" s="9"/>
      <c r="HH350" s="9"/>
      <c r="HI350" s="9"/>
      <c r="HJ350" s="9"/>
      <c r="HK350" s="9"/>
      <c r="HL350" s="9"/>
      <c r="HM350" s="9"/>
      <c r="HN350" s="9"/>
      <c r="HO350" s="9"/>
      <c r="HP350" s="9"/>
      <c r="HQ350" s="9"/>
      <c r="HR350" s="9"/>
      <c r="HS350" s="9"/>
      <c r="HT350" s="9"/>
      <c r="HU350" s="9"/>
      <c r="HV350" s="9"/>
      <c r="HW350" s="9"/>
      <c r="HX350" s="9"/>
      <c r="HY350" s="9"/>
      <c r="HZ350" s="9"/>
      <c r="IA350" s="9"/>
      <c r="IB350" s="67"/>
      <c r="IC350" s="68"/>
      <c r="ID350" s="63"/>
      <c r="IE350" s="71"/>
    </row>
    <row r="351" spans="1:239" s="11" customFormat="1" x14ac:dyDescent="0.2">
      <c r="A351" s="9">
        <v>30</v>
      </c>
      <c r="B351" s="9"/>
      <c r="C351" s="9"/>
      <c r="D351" s="9" t="s">
        <v>574</v>
      </c>
      <c r="E351" s="65" t="s">
        <v>150</v>
      </c>
      <c r="F351" s="65"/>
      <c r="G351" s="92" t="s">
        <v>2248</v>
      </c>
      <c r="H351" s="66" t="s">
        <v>1139</v>
      </c>
      <c r="I351" s="9"/>
      <c r="J351" s="9" t="s">
        <v>1101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 t="s">
        <v>1051</v>
      </c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  <c r="EN351" s="9"/>
      <c r="EO351" s="9"/>
      <c r="EP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E351" s="9"/>
      <c r="FF351" s="9"/>
      <c r="FG351" s="9"/>
      <c r="FH351" s="9"/>
      <c r="FI351" s="9"/>
      <c r="FJ351" s="9"/>
      <c r="FK351" s="9"/>
      <c r="FL351" s="9"/>
      <c r="FM351" s="9"/>
      <c r="FN351" s="9"/>
      <c r="FO351" s="9"/>
      <c r="FP351" s="9"/>
      <c r="FQ351" s="9"/>
      <c r="FR351" s="9"/>
      <c r="FS351" s="9"/>
      <c r="FT351" s="9"/>
      <c r="FU351" s="9"/>
      <c r="FV351" s="9"/>
      <c r="FW351" s="9"/>
      <c r="FX351" s="9"/>
      <c r="FY351" s="9"/>
      <c r="FZ351" s="9"/>
      <c r="GA351" s="9"/>
      <c r="GB351" s="9"/>
      <c r="GC351" s="9"/>
      <c r="GD351" s="9"/>
      <c r="GE351" s="9"/>
      <c r="GF351" s="9"/>
      <c r="GG351" s="9"/>
      <c r="GH351" s="9"/>
      <c r="GI351" s="9"/>
      <c r="GJ351" s="9"/>
      <c r="GK351" s="9"/>
      <c r="GL351" s="9"/>
      <c r="GM351" s="9"/>
      <c r="GN351" s="9"/>
      <c r="GO351" s="9"/>
      <c r="GP351" s="9"/>
      <c r="GQ351" s="9"/>
      <c r="GR351" s="9"/>
      <c r="GS351" s="9"/>
      <c r="GT351" s="9"/>
      <c r="GU351" s="9"/>
      <c r="GV351" s="9"/>
      <c r="GW351" s="9"/>
      <c r="GX351" s="9"/>
      <c r="GY351" s="9"/>
      <c r="GZ351" s="9"/>
      <c r="HA351" s="9"/>
      <c r="HB351" s="9"/>
      <c r="HC351" s="9"/>
      <c r="HD351" s="9"/>
      <c r="HE351" s="9"/>
      <c r="HF351" s="9"/>
      <c r="HG351" s="9"/>
      <c r="HH351" s="9"/>
      <c r="HI351" s="9"/>
      <c r="HJ351" s="9"/>
      <c r="HK351" s="9"/>
      <c r="HL351" s="9"/>
      <c r="HM351" s="9"/>
      <c r="HN351" s="9"/>
      <c r="HO351" s="9"/>
      <c r="HP351" s="9"/>
      <c r="HQ351" s="9"/>
      <c r="HR351" s="9"/>
      <c r="HS351" s="9"/>
      <c r="HT351" s="9"/>
      <c r="HU351" s="9"/>
      <c r="HV351" s="9"/>
      <c r="HW351" s="9"/>
      <c r="HX351" s="9"/>
      <c r="HY351" s="9"/>
      <c r="HZ351" s="9"/>
      <c r="IA351" s="9"/>
      <c r="IB351" s="67"/>
      <c r="IC351" s="68"/>
      <c r="ID351" s="63"/>
      <c r="IE351" s="71"/>
    </row>
    <row r="352" spans="1:239" s="11" customFormat="1" x14ac:dyDescent="0.2">
      <c r="A352" s="9">
        <v>30</v>
      </c>
      <c r="B352" s="9"/>
      <c r="C352" s="9"/>
      <c r="D352" s="9" t="s">
        <v>98</v>
      </c>
      <c r="E352" s="65" t="s">
        <v>154</v>
      </c>
      <c r="F352" s="65"/>
      <c r="G352" s="92" t="s">
        <v>2253</v>
      </c>
      <c r="H352" s="66" t="s">
        <v>1146</v>
      </c>
      <c r="I352" s="9"/>
      <c r="J352" s="9" t="s">
        <v>1101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 t="s">
        <v>1101</v>
      </c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  <c r="FI352" s="9"/>
      <c r="FJ352" s="9"/>
      <c r="FK352" s="9"/>
      <c r="FL352" s="9"/>
      <c r="FM352" s="9"/>
      <c r="FN352" s="9"/>
      <c r="FO352" s="9"/>
      <c r="FP352" s="9"/>
      <c r="FQ352" s="9"/>
      <c r="FR352" s="9"/>
      <c r="FS352" s="9"/>
      <c r="FT352" s="9"/>
      <c r="FU352" s="9"/>
      <c r="FV352" s="9"/>
      <c r="FW352" s="9"/>
      <c r="FX352" s="9"/>
      <c r="FY352" s="9"/>
      <c r="FZ352" s="9"/>
      <c r="GA352" s="9"/>
      <c r="GB352" s="9"/>
      <c r="GC352" s="9"/>
      <c r="GD352" s="9"/>
      <c r="GE352" s="9"/>
      <c r="GF352" s="9"/>
      <c r="GG352" s="9"/>
      <c r="GH352" s="9"/>
      <c r="GI352" s="9"/>
      <c r="GJ352" s="9"/>
      <c r="GK352" s="9"/>
      <c r="GL352" s="9"/>
      <c r="GM352" s="9"/>
      <c r="GN352" s="9"/>
      <c r="GO352" s="9"/>
      <c r="GP352" s="9"/>
      <c r="GQ352" s="9"/>
      <c r="GR352" s="9"/>
      <c r="GS352" s="9"/>
      <c r="GT352" s="9"/>
      <c r="GU352" s="9"/>
      <c r="GV352" s="9"/>
      <c r="GW352" s="9"/>
      <c r="GX352" s="9"/>
      <c r="GY352" s="9"/>
      <c r="GZ352" s="9"/>
      <c r="HA352" s="9"/>
      <c r="HB352" s="9"/>
      <c r="HC352" s="9"/>
      <c r="HD352" s="9"/>
      <c r="HE352" s="9"/>
      <c r="HF352" s="9"/>
      <c r="HG352" s="9"/>
      <c r="HH352" s="9"/>
      <c r="HI352" s="9"/>
      <c r="HJ352" s="9"/>
      <c r="HK352" s="9"/>
      <c r="HL352" s="9"/>
      <c r="HM352" s="9"/>
      <c r="HN352" s="9"/>
      <c r="HO352" s="9"/>
      <c r="HP352" s="9"/>
      <c r="HQ352" s="9"/>
      <c r="HR352" s="9"/>
      <c r="HS352" s="9"/>
      <c r="HT352" s="9"/>
      <c r="HU352" s="9"/>
      <c r="HV352" s="9"/>
      <c r="HW352" s="9"/>
      <c r="HX352" s="9"/>
      <c r="HY352" s="9"/>
      <c r="HZ352" s="9"/>
      <c r="IA352" s="9"/>
      <c r="IB352" s="67"/>
      <c r="IC352" s="68"/>
      <c r="ID352" s="63"/>
      <c r="IE352" s="71"/>
    </row>
    <row r="353" spans="1:239" s="11" customFormat="1" x14ac:dyDescent="0.2">
      <c r="A353" s="9">
        <v>30</v>
      </c>
      <c r="B353" s="9"/>
      <c r="C353" s="9"/>
      <c r="D353" s="9" t="s">
        <v>99</v>
      </c>
      <c r="E353" s="65" t="s">
        <v>156</v>
      </c>
      <c r="F353" s="65"/>
      <c r="G353" s="92" t="s">
        <v>2256</v>
      </c>
      <c r="H353" s="66" t="s">
        <v>1149</v>
      </c>
      <c r="I353" s="9"/>
      <c r="J353" s="9" t="s">
        <v>1101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 t="s">
        <v>1101</v>
      </c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  <c r="EN353" s="9"/>
      <c r="EO353" s="9"/>
      <c r="EP353" s="9"/>
      <c r="EQ353" s="9"/>
      <c r="ER353" s="9"/>
      <c r="ES353" s="9"/>
      <c r="ET353" s="9"/>
      <c r="EU353" s="9"/>
      <c r="EV353" s="9"/>
      <c r="EW353" s="9"/>
      <c r="EX353" s="9"/>
      <c r="EY353" s="9"/>
      <c r="EZ353" s="9"/>
      <c r="FA353" s="9"/>
      <c r="FB353" s="9"/>
      <c r="FC353" s="9"/>
      <c r="FD353" s="9"/>
      <c r="FE353" s="9"/>
      <c r="FF353" s="9"/>
      <c r="FG353" s="9"/>
      <c r="FH353" s="9"/>
      <c r="FI353" s="9"/>
      <c r="FJ353" s="9"/>
      <c r="FK353" s="9"/>
      <c r="FL353" s="9"/>
      <c r="FM353" s="9"/>
      <c r="FN353" s="9"/>
      <c r="FO353" s="9"/>
      <c r="FP353" s="9"/>
      <c r="FQ353" s="9"/>
      <c r="FR353" s="9"/>
      <c r="FS353" s="9"/>
      <c r="FT353" s="9"/>
      <c r="FU353" s="9"/>
      <c r="FV353" s="9"/>
      <c r="FW353" s="9"/>
      <c r="FX353" s="9"/>
      <c r="FY353" s="9"/>
      <c r="FZ353" s="9"/>
      <c r="GA353" s="9"/>
      <c r="GB353" s="9"/>
      <c r="GC353" s="9"/>
      <c r="GD353" s="9"/>
      <c r="GE353" s="9"/>
      <c r="GF353" s="9"/>
      <c r="GG353" s="9"/>
      <c r="GH353" s="9"/>
      <c r="GI353" s="9"/>
      <c r="GJ353" s="9"/>
      <c r="GK353" s="9"/>
      <c r="GL353" s="9"/>
      <c r="GM353" s="9"/>
      <c r="GN353" s="9"/>
      <c r="GO353" s="9"/>
      <c r="GP353" s="9"/>
      <c r="GQ353" s="9"/>
      <c r="GR353" s="9"/>
      <c r="GS353" s="9"/>
      <c r="GT353" s="9"/>
      <c r="GU353" s="9"/>
      <c r="GV353" s="9"/>
      <c r="GW353" s="9"/>
      <c r="GX353" s="9"/>
      <c r="GY353" s="9"/>
      <c r="GZ353" s="9"/>
      <c r="HA353" s="9"/>
      <c r="HB353" s="9"/>
      <c r="HC353" s="9"/>
      <c r="HD353" s="9"/>
      <c r="HE353" s="9"/>
      <c r="HF353" s="9"/>
      <c r="HG353" s="9"/>
      <c r="HH353" s="9"/>
      <c r="HI353" s="9"/>
      <c r="HJ353" s="9"/>
      <c r="HK353" s="9"/>
      <c r="HL353" s="9"/>
      <c r="HM353" s="9"/>
      <c r="HN353" s="9"/>
      <c r="HO353" s="9"/>
      <c r="HP353" s="9"/>
      <c r="HQ353" s="9"/>
      <c r="HR353" s="9"/>
      <c r="HS353" s="9"/>
      <c r="HT353" s="9"/>
      <c r="HU353" s="9"/>
      <c r="HV353" s="9"/>
      <c r="HW353" s="9"/>
      <c r="HX353" s="9"/>
      <c r="HY353" s="9"/>
      <c r="HZ353" s="9"/>
      <c r="IA353" s="9"/>
      <c r="IB353" s="67"/>
      <c r="IC353" s="68"/>
      <c r="ID353" s="63"/>
      <c r="IE353" s="71"/>
    </row>
    <row r="354" spans="1:239" s="11" customFormat="1" x14ac:dyDescent="0.2">
      <c r="A354" s="9">
        <v>30</v>
      </c>
      <c r="B354" s="9"/>
      <c r="C354" s="9"/>
      <c r="D354" s="9" t="s">
        <v>100</v>
      </c>
      <c r="E354" s="65" t="s">
        <v>268</v>
      </c>
      <c r="F354" s="65"/>
      <c r="G354" s="92" t="s">
        <v>2265</v>
      </c>
      <c r="H354" s="66" t="s">
        <v>1161</v>
      </c>
      <c r="I354" s="9"/>
      <c r="J354" s="9" t="s">
        <v>1101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 t="s">
        <v>1101</v>
      </c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  <c r="EN354" s="9"/>
      <c r="EO354" s="9"/>
      <c r="EP354" s="9"/>
      <c r="EQ354" s="9"/>
      <c r="ER354" s="9"/>
      <c r="ES354" s="9"/>
      <c r="ET354" s="9"/>
      <c r="EU354" s="9"/>
      <c r="EV354" s="9"/>
      <c r="EW354" s="9"/>
      <c r="EX354" s="9"/>
      <c r="EY354" s="9"/>
      <c r="EZ354" s="9"/>
      <c r="FA354" s="9"/>
      <c r="FB354" s="9"/>
      <c r="FC354" s="9"/>
      <c r="FD354" s="9"/>
      <c r="FE354" s="9"/>
      <c r="FF354" s="9"/>
      <c r="FG354" s="9"/>
      <c r="FH354" s="9"/>
      <c r="FI354" s="9"/>
      <c r="FJ354" s="9"/>
      <c r="FK354" s="9"/>
      <c r="FL354" s="9"/>
      <c r="FM354" s="9"/>
      <c r="FN354" s="9"/>
      <c r="FO354" s="9"/>
      <c r="FP354" s="9"/>
      <c r="FQ354" s="9"/>
      <c r="FR354" s="9"/>
      <c r="FS354" s="9"/>
      <c r="FT354" s="9"/>
      <c r="FU354" s="9"/>
      <c r="FV354" s="9"/>
      <c r="FW354" s="9"/>
      <c r="FX354" s="9"/>
      <c r="FY354" s="9"/>
      <c r="FZ354" s="9"/>
      <c r="GA354" s="9"/>
      <c r="GB354" s="9"/>
      <c r="GC354" s="9"/>
      <c r="GD354" s="9"/>
      <c r="GE354" s="9"/>
      <c r="GF354" s="9"/>
      <c r="GG354" s="9"/>
      <c r="GH354" s="9"/>
      <c r="GI354" s="9"/>
      <c r="GJ354" s="9"/>
      <c r="GK354" s="9"/>
      <c r="GL354" s="9"/>
      <c r="GM354" s="9"/>
      <c r="GN354" s="9"/>
      <c r="GO354" s="9"/>
      <c r="GP354" s="9"/>
      <c r="GQ354" s="9"/>
      <c r="GR354" s="9"/>
      <c r="GS354" s="9"/>
      <c r="GT354" s="9"/>
      <c r="GU354" s="9"/>
      <c r="GV354" s="9"/>
      <c r="GW354" s="9"/>
      <c r="GX354" s="9"/>
      <c r="GY354" s="9"/>
      <c r="GZ354" s="9"/>
      <c r="HA354" s="9"/>
      <c r="HB354" s="9"/>
      <c r="HC354" s="9"/>
      <c r="HD354" s="9"/>
      <c r="HE354" s="9"/>
      <c r="HF354" s="9"/>
      <c r="HG354" s="9"/>
      <c r="HH354" s="9"/>
      <c r="HI354" s="9"/>
      <c r="HJ354" s="9"/>
      <c r="HK354" s="9"/>
      <c r="HL354" s="9"/>
      <c r="HM354" s="9"/>
      <c r="HN354" s="9"/>
      <c r="HO354" s="9"/>
      <c r="HP354" s="9"/>
      <c r="HQ354" s="9"/>
      <c r="HR354" s="9"/>
      <c r="HS354" s="9"/>
      <c r="HT354" s="9"/>
      <c r="HU354" s="9"/>
      <c r="HV354" s="9"/>
      <c r="HW354" s="9"/>
      <c r="HX354" s="9"/>
      <c r="HY354" s="9"/>
      <c r="HZ354" s="9"/>
      <c r="IA354" s="9"/>
      <c r="IB354" s="67"/>
      <c r="IC354" s="68"/>
      <c r="ID354" s="63"/>
      <c r="IE354" s="71"/>
    </row>
    <row r="355" spans="1:239" s="11" customFormat="1" x14ac:dyDescent="0.2">
      <c r="A355" s="9">
        <v>30</v>
      </c>
      <c r="B355" s="9"/>
      <c r="C355" s="9"/>
      <c r="D355" s="9" t="s">
        <v>97</v>
      </c>
      <c r="E355" s="65" t="s">
        <v>152</v>
      </c>
      <c r="F355" s="65"/>
      <c r="G355" s="92" t="s">
        <v>2251</v>
      </c>
      <c r="H355" s="66" t="s">
        <v>1142</v>
      </c>
      <c r="I355" s="9"/>
      <c r="J355" s="9" t="s">
        <v>1101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 t="s">
        <v>1101</v>
      </c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  <c r="EN355" s="9"/>
      <c r="EO355" s="9"/>
      <c r="EP355" s="9"/>
      <c r="EQ355" s="9"/>
      <c r="ER355" s="9"/>
      <c r="ES355" s="9"/>
      <c r="ET355" s="9"/>
      <c r="EU355" s="9"/>
      <c r="EV355" s="9"/>
      <c r="EW355" s="9"/>
      <c r="EX355" s="9"/>
      <c r="EY355" s="9"/>
      <c r="EZ355" s="9"/>
      <c r="FA355" s="9"/>
      <c r="FB355" s="9"/>
      <c r="FC355" s="9"/>
      <c r="FD355" s="9"/>
      <c r="FE355" s="9"/>
      <c r="FF355" s="9"/>
      <c r="FG355" s="9"/>
      <c r="FH355" s="9"/>
      <c r="FI355" s="9"/>
      <c r="FJ355" s="9"/>
      <c r="FK355" s="9"/>
      <c r="FL355" s="9"/>
      <c r="FM355" s="9"/>
      <c r="FN355" s="9"/>
      <c r="FO355" s="9"/>
      <c r="FP355" s="9"/>
      <c r="FQ355" s="9"/>
      <c r="FR355" s="9"/>
      <c r="FS355" s="9"/>
      <c r="FT355" s="9"/>
      <c r="FU355" s="9"/>
      <c r="FV355" s="9"/>
      <c r="FW355" s="9"/>
      <c r="FX355" s="9"/>
      <c r="FY355" s="9"/>
      <c r="FZ355" s="9"/>
      <c r="GA355" s="9"/>
      <c r="GB355" s="9"/>
      <c r="GC355" s="9"/>
      <c r="GD355" s="9"/>
      <c r="GE355" s="9"/>
      <c r="GF355" s="9"/>
      <c r="GG355" s="9"/>
      <c r="GH355" s="9"/>
      <c r="GI355" s="9"/>
      <c r="GJ355" s="9"/>
      <c r="GK355" s="9"/>
      <c r="GL355" s="9"/>
      <c r="GM355" s="9"/>
      <c r="GN355" s="9"/>
      <c r="GO355" s="9"/>
      <c r="GP355" s="9"/>
      <c r="GQ355" s="9"/>
      <c r="GR355" s="9"/>
      <c r="GS355" s="9"/>
      <c r="GT355" s="9"/>
      <c r="GU355" s="9"/>
      <c r="GV355" s="9"/>
      <c r="GW355" s="9"/>
      <c r="GX355" s="9"/>
      <c r="GY355" s="9"/>
      <c r="GZ355" s="9"/>
      <c r="HA355" s="9"/>
      <c r="HB355" s="9"/>
      <c r="HC355" s="9"/>
      <c r="HD355" s="9"/>
      <c r="HE355" s="9"/>
      <c r="HF355" s="9"/>
      <c r="HG355" s="9"/>
      <c r="HH355" s="9"/>
      <c r="HI355" s="9"/>
      <c r="HJ355" s="9"/>
      <c r="HK355" s="9"/>
      <c r="HL355" s="9"/>
      <c r="HM355" s="9"/>
      <c r="HN355" s="9"/>
      <c r="HO355" s="9"/>
      <c r="HP355" s="9"/>
      <c r="HQ355" s="9"/>
      <c r="HR355" s="9"/>
      <c r="HS355" s="9"/>
      <c r="HT355" s="9"/>
      <c r="HU355" s="9"/>
      <c r="HV355" s="9"/>
      <c r="HW355" s="9"/>
      <c r="HX355" s="9"/>
      <c r="HY355" s="9"/>
      <c r="HZ355" s="9"/>
      <c r="IA355" s="9"/>
      <c r="IB355" s="67"/>
      <c r="IC355" s="68"/>
      <c r="ID355" s="63"/>
      <c r="IE355" s="71"/>
    </row>
    <row r="356" spans="1:239" s="11" customFormat="1" x14ac:dyDescent="0.2">
      <c r="A356" s="9">
        <v>30</v>
      </c>
      <c r="B356" s="9"/>
      <c r="C356" s="9"/>
      <c r="D356" s="9" t="s">
        <v>101</v>
      </c>
      <c r="E356" s="65" t="s">
        <v>269</v>
      </c>
      <c r="F356" s="65"/>
      <c r="G356" s="92" t="s">
        <v>2269</v>
      </c>
      <c r="H356" s="66" t="s">
        <v>1165</v>
      </c>
      <c r="I356" s="9"/>
      <c r="J356" s="9" t="s">
        <v>1101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 t="s">
        <v>1101</v>
      </c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  <c r="EN356" s="9"/>
      <c r="EO356" s="9"/>
      <c r="EP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E356" s="9"/>
      <c r="FF356" s="9"/>
      <c r="FG356" s="9"/>
      <c r="FH356" s="9"/>
      <c r="FI356" s="9"/>
      <c r="FJ356" s="9"/>
      <c r="FK356" s="9"/>
      <c r="FL356" s="9"/>
      <c r="FM356" s="9"/>
      <c r="FN356" s="9"/>
      <c r="FO356" s="9"/>
      <c r="FP356" s="9"/>
      <c r="FQ356" s="9"/>
      <c r="FR356" s="9"/>
      <c r="FS356" s="9"/>
      <c r="FT356" s="9"/>
      <c r="FU356" s="9"/>
      <c r="FV356" s="9"/>
      <c r="FW356" s="9"/>
      <c r="FX356" s="9"/>
      <c r="FY356" s="9"/>
      <c r="FZ356" s="9"/>
      <c r="GA356" s="9"/>
      <c r="GB356" s="9"/>
      <c r="GC356" s="9"/>
      <c r="GD356" s="9"/>
      <c r="GE356" s="9"/>
      <c r="GF356" s="9"/>
      <c r="GG356" s="9"/>
      <c r="GH356" s="9"/>
      <c r="GI356" s="9"/>
      <c r="GJ356" s="9"/>
      <c r="GK356" s="9"/>
      <c r="GL356" s="9"/>
      <c r="GM356" s="9"/>
      <c r="GN356" s="9"/>
      <c r="GO356" s="9"/>
      <c r="GP356" s="9"/>
      <c r="GQ356" s="9"/>
      <c r="GR356" s="9"/>
      <c r="GS356" s="9"/>
      <c r="GT356" s="9"/>
      <c r="GU356" s="9"/>
      <c r="GV356" s="9"/>
      <c r="GW356" s="9"/>
      <c r="GX356" s="9"/>
      <c r="GY356" s="9"/>
      <c r="GZ356" s="9"/>
      <c r="HA356" s="9"/>
      <c r="HB356" s="9"/>
      <c r="HC356" s="9"/>
      <c r="HD356" s="9"/>
      <c r="HE356" s="9"/>
      <c r="HF356" s="9"/>
      <c r="HG356" s="9"/>
      <c r="HH356" s="9"/>
      <c r="HI356" s="9"/>
      <c r="HJ356" s="9"/>
      <c r="HK356" s="9"/>
      <c r="HL356" s="9"/>
      <c r="HM356" s="9"/>
      <c r="HN356" s="9"/>
      <c r="HO356" s="9"/>
      <c r="HP356" s="9"/>
      <c r="HQ356" s="9"/>
      <c r="HR356" s="9"/>
      <c r="HS356" s="9"/>
      <c r="HT356" s="9"/>
      <c r="HU356" s="9"/>
      <c r="HV356" s="9"/>
      <c r="HW356" s="9"/>
      <c r="HX356" s="9"/>
      <c r="HY356" s="9"/>
      <c r="HZ356" s="9"/>
      <c r="IA356" s="9"/>
      <c r="IB356" s="67"/>
      <c r="IC356" s="68"/>
      <c r="ID356" s="63"/>
      <c r="IE356" s="71"/>
    </row>
    <row r="357" spans="1:239" s="11" customFormat="1" ht="26" x14ac:dyDescent="0.2">
      <c r="A357" s="9">
        <v>30</v>
      </c>
      <c r="B357" s="9"/>
      <c r="C357" s="9"/>
      <c r="D357" s="9" t="s">
        <v>102</v>
      </c>
      <c r="E357" s="65" t="s">
        <v>270</v>
      </c>
      <c r="F357" s="65"/>
      <c r="G357" s="92" t="s">
        <v>2276</v>
      </c>
      <c r="H357" s="66" t="s">
        <v>1174</v>
      </c>
      <c r="I357" s="9"/>
      <c r="J357" s="9" t="s">
        <v>1101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 t="s">
        <v>1101</v>
      </c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  <c r="EN357" s="9"/>
      <c r="EO357" s="9"/>
      <c r="EP357" s="9"/>
      <c r="EQ357" s="9"/>
      <c r="ER357" s="9"/>
      <c r="ES357" s="9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9"/>
      <c r="FE357" s="9"/>
      <c r="FF357" s="9"/>
      <c r="FG357" s="9"/>
      <c r="FH357" s="9"/>
      <c r="FI357" s="9"/>
      <c r="FJ357" s="9"/>
      <c r="FK357" s="9"/>
      <c r="FL357" s="9"/>
      <c r="FM357" s="9"/>
      <c r="FN357" s="9"/>
      <c r="FO357" s="9"/>
      <c r="FP357" s="9"/>
      <c r="FQ357" s="9"/>
      <c r="FR357" s="9"/>
      <c r="FS357" s="9"/>
      <c r="FT357" s="9"/>
      <c r="FU357" s="9"/>
      <c r="FV357" s="9"/>
      <c r="FW357" s="9"/>
      <c r="FX357" s="9"/>
      <c r="FY357" s="9"/>
      <c r="FZ357" s="9"/>
      <c r="GA357" s="9"/>
      <c r="GB357" s="9"/>
      <c r="GC357" s="9"/>
      <c r="GD357" s="9"/>
      <c r="GE357" s="9"/>
      <c r="GF357" s="9"/>
      <c r="GG357" s="9"/>
      <c r="GH357" s="9"/>
      <c r="GI357" s="9"/>
      <c r="GJ357" s="9"/>
      <c r="GK357" s="9"/>
      <c r="GL357" s="9"/>
      <c r="GM357" s="9"/>
      <c r="GN357" s="9"/>
      <c r="GO357" s="9"/>
      <c r="GP357" s="9"/>
      <c r="GQ357" s="9"/>
      <c r="GR357" s="9"/>
      <c r="GS357" s="9"/>
      <c r="GT357" s="9"/>
      <c r="GU357" s="9"/>
      <c r="GV357" s="9"/>
      <c r="GW357" s="9"/>
      <c r="GX357" s="9"/>
      <c r="GY357" s="9"/>
      <c r="GZ357" s="9"/>
      <c r="HA357" s="9"/>
      <c r="HB357" s="9"/>
      <c r="HC357" s="9"/>
      <c r="HD357" s="9"/>
      <c r="HE357" s="9"/>
      <c r="HF357" s="9"/>
      <c r="HG357" s="9"/>
      <c r="HH357" s="9"/>
      <c r="HI357" s="9"/>
      <c r="HJ357" s="9"/>
      <c r="HK357" s="9"/>
      <c r="HL357" s="9"/>
      <c r="HM357" s="9"/>
      <c r="HN357" s="9"/>
      <c r="HO357" s="9"/>
      <c r="HP357" s="9"/>
      <c r="HQ357" s="9"/>
      <c r="HR357" s="9"/>
      <c r="HS357" s="9"/>
      <c r="HT357" s="9"/>
      <c r="HU357" s="9"/>
      <c r="HV357" s="9"/>
      <c r="HW357" s="9"/>
      <c r="HX357" s="9"/>
      <c r="HY357" s="9"/>
      <c r="HZ357" s="9"/>
      <c r="IA357" s="9"/>
      <c r="IB357" s="67"/>
      <c r="IC357" s="68"/>
      <c r="ID357" s="63"/>
      <c r="IE357" s="71"/>
    </row>
    <row r="358" spans="1:239" s="11" customFormat="1" x14ac:dyDescent="0.2">
      <c r="A358" s="9">
        <v>30</v>
      </c>
      <c r="B358" s="9"/>
      <c r="C358" s="9"/>
      <c r="D358" s="9" t="s">
        <v>103</v>
      </c>
      <c r="E358" s="65" t="s">
        <v>739</v>
      </c>
      <c r="F358" s="65"/>
      <c r="G358" s="92" t="s">
        <v>2279</v>
      </c>
      <c r="H358" s="66" t="s">
        <v>1177</v>
      </c>
      <c r="I358" s="9"/>
      <c r="J358" s="9" t="s">
        <v>1101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 t="s">
        <v>1101</v>
      </c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  <c r="EN358" s="9"/>
      <c r="EO358" s="9"/>
      <c r="EP358" s="9"/>
      <c r="EQ358" s="9"/>
      <c r="ER358" s="9"/>
      <c r="ES358" s="9"/>
      <c r="ET358" s="9"/>
      <c r="EU358" s="9"/>
      <c r="EV358" s="9"/>
      <c r="EW358" s="9"/>
      <c r="EX358" s="9"/>
      <c r="EY358" s="9"/>
      <c r="EZ358" s="9"/>
      <c r="FA358" s="9"/>
      <c r="FB358" s="9"/>
      <c r="FC358" s="9"/>
      <c r="FD358" s="9"/>
      <c r="FE358" s="9"/>
      <c r="FF358" s="9"/>
      <c r="FG358" s="9"/>
      <c r="FH358" s="9"/>
      <c r="FI358" s="9"/>
      <c r="FJ358" s="9"/>
      <c r="FK358" s="9"/>
      <c r="FL358" s="9"/>
      <c r="FM358" s="9"/>
      <c r="FN358" s="9"/>
      <c r="FO358" s="9"/>
      <c r="FP358" s="9"/>
      <c r="FQ358" s="9"/>
      <c r="FR358" s="9"/>
      <c r="FS358" s="9"/>
      <c r="FT358" s="9"/>
      <c r="FU358" s="9"/>
      <c r="FV358" s="9"/>
      <c r="FW358" s="9"/>
      <c r="FX358" s="9"/>
      <c r="FY358" s="9"/>
      <c r="FZ358" s="9"/>
      <c r="GA358" s="9"/>
      <c r="GB358" s="9"/>
      <c r="GC358" s="9"/>
      <c r="GD358" s="9"/>
      <c r="GE358" s="9"/>
      <c r="GF358" s="9"/>
      <c r="GG358" s="9"/>
      <c r="GH358" s="9"/>
      <c r="GI358" s="9"/>
      <c r="GJ358" s="9"/>
      <c r="GK358" s="9"/>
      <c r="GL358" s="9"/>
      <c r="GM358" s="9"/>
      <c r="GN358" s="9"/>
      <c r="GO358" s="9"/>
      <c r="GP358" s="9"/>
      <c r="GQ358" s="9"/>
      <c r="GR358" s="9"/>
      <c r="GS358" s="9"/>
      <c r="GT358" s="9"/>
      <c r="GU358" s="9"/>
      <c r="GV358" s="9"/>
      <c r="GW358" s="9"/>
      <c r="GX358" s="9"/>
      <c r="GY358" s="9"/>
      <c r="GZ358" s="9"/>
      <c r="HA358" s="9"/>
      <c r="HB358" s="9"/>
      <c r="HC358" s="9"/>
      <c r="HD358" s="9"/>
      <c r="HE358" s="9"/>
      <c r="HF358" s="9"/>
      <c r="HG358" s="9"/>
      <c r="HH358" s="9"/>
      <c r="HI358" s="9"/>
      <c r="HJ358" s="9"/>
      <c r="HK358" s="9"/>
      <c r="HL358" s="9"/>
      <c r="HM358" s="9"/>
      <c r="HN358" s="9"/>
      <c r="HO358" s="9"/>
      <c r="HP358" s="9"/>
      <c r="HQ358" s="9"/>
      <c r="HR358" s="9"/>
      <c r="HS358" s="9"/>
      <c r="HT358" s="9"/>
      <c r="HU358" s="9"/>
      <c r="HV358" s="9"/>
      <c r="HW358" s="9"/>
      <c r="HX358" s="9"/>
      <c r="HY358" s="9"/>
      <c r="HZ358" s="9"/>
      <c r="IA358" s="9"/>
      <c r="IB358" s="67"/>
      <c r="IC358" s="68"/>
      <c r="ID358" s="63"/>
      <c r="IE358" s="71"/>
    </row>
    <row r="359" spans="1:239" s="11" customFormat="1" ht="26" x14ac:dyDescent="0.2">
      <c r="A359" s="9">
        <v>30</v>
      </c>
      <c r="B359" s="9"/>
      <c r="C359" s="9"/>
      <c r="D359" s="9" t="s">
        <v>104</v>
      </c>
      <c r="E359" s="65" t="s">
        <v>271</v>
      </c>
      <c r="F359" s="65"/>
      <c r="G359" s="92" t="s">
        <v>2284</v>
      </c>
      <c r="H359" s="66" t="s">
        <v>1184</v>
      </c>
      <c r="I359" s="9"/>
      <c r="J359" s="9" t="s">
        <v>1101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 t="s">
        <v>1101</v>
      </c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  <c r="EN359" s="9"/>
      <c r="EO359" s="9"/>
      <c r="EP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E359" s="9"/>
      <c r="FF359" s="9"/>
      <c r="FG359" s="9"/>
      <c r="FH359" s="9"/>
      <c r="FI359" s="9"/>
      <c r="FJ359" s="9"/>
      <c r="FK359" s="9"/>
      <c r="FL359" s="9"/>
      <c r="FM359" s="9"/>
      <c r="FN359" s="9"/>
      <c r="FO359" s="9"/>
      <c r="FP359" s="9"/>
      <c r="FQ359" s="9"/>
      <c r="FR359" s="9"/>
      <c r="FS359" s="9"/>
      <c r="FT359" s="9"/>
      <c r="FU359" s="9"/>
      <c r="FV359" s="9"/>
      <c r="FW359" s="9"/>
      <c r="FX359" s="9"/>
      <c r="FY359" s="9"/>
      <c r="FZ359" s="9"/>
      <c r="GA359" s="9"/>
      <c r="GB359" s="9"/>
      <c r="GC359" s="9"/>
      <c r="GD359" s="9"/>
      <c r="GE359" s="9"/>
      <c r="GF359" s="9"/>
      <c r="GG359" s="9"/>
      <c r="GH359" s="9"/>
      <c r="GI359" s="9"/>
      <c r="GJ359" s="9"/>
      <c r="GK359" s="9"/>
      <c r="GL359" s="9"/>
      <c r="GM359" s="9"/>
      <c r="GN359" s="9"/>
      <c r="GO359" s="9"/>
      <c r="GP359" s="9"/>
      <c r="GQ359" s="9"/>
      <c r="GR359" s="9"/>
      <c r="GS359" s="9"/>
      <c r="GT359" s="9"/>
      <c r="GU359" s="9"/>
      <c r="GV359" s="9"/>
      <c r="GW359" s="9"/>
      <c r="GX359" s="9"/>
      <c r="GY359" s="9"/>
      <c r="GZ359" s="9"/>
      <c r="HA359" s="9"/>
      <c r="HB359" s="9"/>
      <c r="HC359" s="9"/>
      <c r="HD359" s="9"/>
      <c r="HE359" s="9"/>
      <c r="HF359" s="9"/>
      <c r="HG359" s="9"/>
      <c r="HH359" s="9"/>
      <c r="HI359" s="9"/>
      <c r="HJ359" s="9"/>
      <c r="HK359" s="9"/>
      <c r="HL359" s="9"/>
      <c r="HM359" s="9"/>
      <c r="HN359" s="9"/>
      <c r="HO359" s="9"/>
      <c r="HP359" s="9"/>
      <c r="HQ359" s="9"/>
      <c r="HR359" s="9"/>
      <c r="HS359" s="9"/>
      <c r="HT359" s="9"/>
      <c r="HU359" s="9"/>
      <c r="HV359" s="9"/>
      <c r="HW359" s="9"/>
      <c r="HX359" s="9"/>
      <c r="HY359" s="9"/>
      <c r="HZ359" s="9"/>
      <c r="IA359" s="9"/>
      <c r="IB359" s="67"/>
      <c r="IC359" s="68"/>
      <c r="ID359" s="63"/>
      <c r="IE359" s="71"/>
    </row>
    <row r="360" spans="1:239" s="11" customFormat="1" x14ac:dyDescent="0.2">
      <c r="A360" s="9">
        <v>30</v>
      </c>
      <c r="B360" s="9"/>
      <c r="C360" s="9"/>
      <c r="D360" s="9" t="s">
        <v>108</v>
      </c>
      <c r="E360" s="65" t="s">
        <v>272</v>
      </c>
      <c r="F360" s="65"/>
      <c r="G360" s="92" t="s">
        <v>2295</v>
      </c>
      <c r="H360" s="66" t="s">
        <v>1195</v>
      </c>
      <c r="I360" s="9"/>
      <c r="J360" s="9" t="s">
        <v>1101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 t="s">
        <v>1101</v>
      </c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/>
      <c r="FK360" s="9"/>
      <c r="FL360" s="9"/>
      <c r="FM360" s="9"/>
      <c r="FN360" s="9"/>
      <c r="FO360" s="9"/>
      <c r="FP360" s="9"/>
      <c r="FQ360" s="9"/>
      <c r="FR360" s="9"/>
      <c r="FS360" s="9"/>
      <c r="FT360" s="9"/>
      <c r="FU360" s="9"/>
      <c r="FV360" s="9"/>
      <c r="FW360" s="9"/>
      <c r="FX360" s="9"/>
      <c r="FY360" s="9"/>
      <c r="FZ360" s="9"/>
      <c r="GA360" s="9"/>
      <c r="GB360" s="9"/>
      <c r="GC360" s="9"/>
      <c r="GD360" s="9"/>
      <c r="GE360" s="9"/>
      <c r="GF360" s="9"/>
      <c r="GG360" s="9"/>
      <c r="GH360" s="9"/>
      <c r="GI360" s="9"/>
      <c r="GJ360" s="9"/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9"/>
      <c r="GY360" s="9"/>
      <c r="GZ360" s="9"/>
      <c r="HA360" s="9"/>
      <c r="HB360" s="9"/>
      <c r="HC360" s="9"/>
      <c r="HD360" s="9"/>
      <c r="HE360" s="9"/>
      <c r="HF360" s="9"/>
      <c r="HG360" s="9"/>
      <c r="HH360" s="9"/>
      <c r="HI360" s="9"/>
      <c r="HJ360" s="9"/>
      <c r="HK360" s="9"/>
      <c r="HL360" s="9"/>
      <c r="HM360" s="9"/>
      <c r="HN360" s="9"/>
      <c r="HO360" s="9"/>
      <c r="HP360" s="9"/>
      <c r="HQ360" s="9"/>
      <c r="HR360" s="9"/>
      <c r="HS360" s="9"/>
      <c r="HT360" s="9"/>
      <c r="HU360" s="9"/>
      <c r="HV360" s="9"/>
      <c r="HW360" s="9"/>
      <c r="HX360" s="9"/>
      <c r="HY360" s="9"/>
      <c r="HZ360" s="9"/>
      <c r="IA360" s="9"/>
      <c r="IB360" s="67"/>
      <c r="IC360" s="68"/>
      <c r="ID360" s="63"/>
      <c r="IE360" s="71"/>
    </row>
    <row r="361" spans="1:239" s="11" customFormat="1" x14ac:dyDescent="0.2">
      <c r="A361" s="9">
        <v>30</v>
      </c>
      <c r="B361" s="9"/>
      <c r="C361" s="9"/>
      <c r="D361" s="9" t="s">
        <v>109</v>
      </c>
      <c r="E361" s="65" t="s">
        <v>273</v>
      </c>
      <c r="F361" s="65"/>
      <c r="G361" s="92" t="s">
        <v>2299</v>
      </c>
      <c r="H361" s="66" t="s">
        <v>1199</v>
      </c>
      <c r="I361" s="9"/>
      <c r="J361" s="9" t="s">
        <v>1101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 t="s">
        <v>1101</v>
      </c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  <c r="EN361" s="9"/>
      <c r="EO361" s="9"/>
      <c r="EP361" s="9"/>
      <c r="EQ361" s="9"/>
      <c r="ER361" s="9"/>
      <c r="ES361" s="9"/>
      <c r="ET361" s="9"/>
      <c r="EU361" s="9"/>
      <c r="EV361" s="9"/>
      <c r="EW361" s="9"/>
      <c r="EX361" s="9"/>
      <c r="EY361" s="9"/>
      <c r="EZ361" s="9"/>
      <c r="FA361" s="9"/>
      <c r="FB361" s="9"/>
      <c r="FC361" s="9"/>
      <c r="FD361" s="9"/>
      <c r="FE361" s="9"/>
      <c r="FF361" s="9"/>
      <c r="FG361" s="9"/>
      <c r="FH361" s="9"/>
      <c r="FI361" s="9"/>
      <c r="FJ361" s="9"/>
      <c r="FK361" s="9"/>
      <c r="FL361" s="9"/>
      <c r="FM361" s="9"/>
      <c r="FN361" s="9"/>
      <c r="FO361" s="9"/>
      <c r="FP361" s="9"/>
      <c r="FQ361" s="9"/>
      <c r="FR361" s="9"/>
      <c r="FS361" s="9"/>
      <c r="FT361" s="9"/>
      <c r="FU361" s="9"/>
      <c r="FV361" s="9"/>
      <c r="FW361" s="9"/>
      <c r="FX361" s="9"/>
      <c r="FY361" s="9"/>
      <c r="FZ361" s="9"/>
      <c r="GA361" s="9"/>
      <c r="GB361" s="9"/>
      <c r="GC361" s="9"/>
      <c r="GD361" s="9"/>
      <c r="GE361" s="9"/>
      <c r="GF361" s="9"/>
      <c r="GG361" s="9"/>
      <c r="GH361" s="9"/>
      <c r="GI361" s="9"/>
      <c r="GJ361" s="9"/>
      <c r="GK361" s="9"/>
      <c r="GL361" s="9"/>
      <c r="GM361" s="9"/>
      <c r="GN361" s="9"/>
      <c r="GO361" s="9"/>
      <c r="GP361" s="9"/>
      <c r="GQ361" s="9"/>
      <c r="GR361" s="9"/>
      <c r="GS361" s="9"/>
      <c r="GT361" s="9"/>
      <c r="GU361" s="9"/>
      <c r="GV361" s="9"/>
      <c r="GW361" s="9"/>
      <c r="GX361" s="9"/>
      <c r="GY361" s="9"/>
      <c r="GZ361" s="9"/>
      <c r="HA361" s="9"/>
      <c r="HB361" s="9"/>
      <c r="HC361" s="9"/>
      <c r="HD361" s="9"/>
      <c r="HE361" s="9"/>
      <c r="HF361" s="9"/>
      <c r="HG361" s="9"/>
      <c r="HH361" s="9"/>
      <c r="HI361" s="9"/>
      <c r="HJ361" s="9"/>
      <c r="HK361" s="9"/>
      <c r="HL361" s="9"/>
      <c r="HM361" s="9"/>
      <c r="HN361" s="9"/>
      <c r="HO361" s="9"/>
      <c r="HP361" s="9"/>
      <c r="HQ361" s="9"/>
      <c r="HR361" s="9"/>
      <c r="HS361" s="9"/>
      <c r="HT361" s="9"/>
      <c r="HU361" s="9"/>
      <c r="HV361" s="9"/>
      <c r="HW361" s="9"/>
      <c r="HX361" s="9"/>
      <c r="HY361" s="9"/>
      <c r="HZ361" s="9"/>
      <c r="IA361" s="9"/>
      <c r="IB361" s="67"/>
      <c r="IC361" s="68"/>
      <c r="ID361" s="63"/>
      <c r="IE361" s="71"/>
    </row>
    <row r="362" spans="1:239" s="11" customFormat="1" ht="26" x14ac:dyDescent="0.2">
      <c r="A362" s="9">
        <v>30</v>
      </c>
      <c r="B362" s="9"/>
      <c r="C362" s="9"/>
      <c r="D362" s="9" t="s">
        <v>110</v>
      </c>
      <c r="E362" s="65" t="s">
        <v>274</v>
      </c>
      <c r="F362" s="65"/>
      <c r="G362" s="92" t="s">
        <v>2297</v>
      </c>
      <c r="H362" s="66" t="s">
        <v>1197</v>
      </c>
      <c r="I362" s="9"/>
      <c r="J362" s="9" t="s">
        <v>1101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 t="s">
        <v>1101</v>
      </c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  <c r="EN362" s="9"/>
      <c r="EO362" s="9"/>
      <c r="EP362" s="9"/>
      <c r="EQ362" s="9"/>
      <c r="ER362" s="9"/>
      <c r="ES362" s="9"/>
      <c r="ET362" s="9"/>
      <c r="EU362" s="9"/>
      <c r="EV362" s="9"/>
      <c r="EW362" s="9"/>
      <c r="EX362" s="9"/>
      <c r="EY362" s="9"/>
      <c r="EZ362" s="9"/>
      <c r="FA362" s="9"/>
      <c r="FB362" s="9"/>
      <c r="FC362" s="9"/>
      <c r="FD362" s="9"/>
      <c r="FE362" s="9"/>
      <c r="FF362" s="9"/>
      <c r="FG362" s="9"/>
      <c r="FH362" s="9"/>
      <c r="FI362" s="9"/>
      <c r="FJ362" s="9"/>
      <c r="FK362" s="9"/>
      <c r="FL362" s="9"/>
      <c r="FM362" s="9"/>
      <c r="FN362" s="9"/>
      <c r="FO362" s="9"/>
      <c r="FP362" s="9"/>
      <c r="FQ362" s="9"/>
      <c r="FR362" s="9"/>
      <c r="FS362" s="9"/>
      <c r="FT362" s="9"/>
      <c r="FU362" s="9"/>
      <c r="FV362" s="9"/>
      <c r="FW362" s="9"/>
      <c r="FX362" s="9"/>
      <c r="FY362" s="9"/>
      <c r="FZ362" s="9"/>
      <c r="GA362" s="9"/>
      <c r="GB362" s="9"/>
      <c r="GC362" s="9"/>
      <c r="GD362" s="9"/>
      <c r="GE362" s="9"/>
      <c r="GF362" s="9"/>
      <c r="GG362" s="9"/>
      <c r="GH362" s="9"/>
      <c r="GI362" s="9"/>
      <c r="GJ362" s="9"/>
      <c r="GK362" s="9"/>
      <c r="GL362" s="9"/>
      <c r="GM362" s="9"/>
      <c r="GN362" s="9"/>
      <c r="GO362" s="9"/>
      <c r="GP362" s="9"/>
      <c r="GQ362" s="9"/>
      <c r="GR362" s="9"/>
      <c r="GS362" s="9"/>
      <c r="GT362" s="9"/>
      <c r="GU362" s="9"/>
      <c r="GV362" s="9"/>
      <c r="GW362" s="9"/>
      <c r="GX362" s="9"/>
      <c r="GY362" s="9"/>
      <c r="GZ362" s="9"/>
      <c r="HA362" s="9"/>
      <c r="HB362" s="9"/>
      <c r="HC362" s="9"/>
      <c r="HD362" s="9"/>
      <c r="HE362" s="9"/>
      <c r="HF362" s="9"/>
      <c r="HG362" s="9"/>
      <c r="HH362" s="9"/>
      <c r="HI362" s="9"/>
      <c r="HJ362" s="9"/>
      <c r="HK362" s="9"/>
      <c r="HL362" s="9"/>
      <c r="HM362" s="9"/>
      <c r="HN362" s="9"/>
      <c r="HO362" s="9"/>
      <c r="HP362" s="9"/>
      <c r="HQ362" s="9"/>
      <c r="HR362" s="9"/>
      <c r="HS362" s="9"/>
      <c r="HT362" s="9"/>
      <c r="HU362" s="9"/>
      <c r="HV362" s="9"/>
      <c r="HW362" s="9"/>
      <c r="HX362" s="9"/>
      <c r="HY362" s="9"/>
      <c r="HZ362" s="9"/>
      <c r="IA362" s="9"/>
      <c r="IB362" s="67"/>
      <c r="IC362" s="68"/>
      <c r="ID362" s="63"/>
      <c r="IE362" s="71"/>
    </row>
    <row r="363" spans="1:239" s="11" customFormat="1" x14ac:dyDescent="0.2">
      <c r="A363" s="9">
        <v>30</v>
      </c>
      <c r="B363" s="9"/>
      <c r="C363" s="9"/>
      <c r="D363" s="9" t="s">
        <v>111</v>
      </c>
      <c r="E363" s="65" t="s">
        <v>275</v>
      </c>
      <c r="F363" s="65"/>
      <c r="G363" s="92" t="s">
        <v>2302</v>
      </c>
      <c r="H363" s="66" t="s">
        <v>1202</v>
      </c>
      <c r="I363" s="9"/>
      <c r="J363" s="9" t="s">
        <v>1101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 t="s">
        <v>1101</v>
      </c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  <c r="FI363" s="9"/>
      <c r="FJ363" s="9"/>
      <c r="FK363" s="9"/>
      <c r="FL363" s="9"/>
      <c r="FM363" s="9"/>
      <c r="FN363" s="9"/>
      <c r="FO363" s="9"/>
      <c r="FP363" s="9"/>
      <c r="FQ363" s="9"/>
      <c r="FR363" s="9"/>
      <c r="FS363" s="9"/>
      <c r="FT363" s="9"/>
      <c r="FU363" s="9"/>
      <c r="FV363" s="9"/>
      <c r="FW363" s="9"/>
      <c r="FX363" s="9"/>
      <c r="FY363" s="9"/>
      <c r="FZ363" s="9"/>
      <c r="GA363" s="9"/>
      <c r="GB363" s="9"/>
      <c r="GC363" s="9"/>
      <c r="GD363" s="9"/>
      <c r="GE363" s="9"/>
      <c r="GF363" s="9"/>
      <c r="GG363" s="9"/>
      <c r="GH363" s="9"/>
      <c r="GI363" s="9"/>
      <c r="GJ363" s="9"/>
      <c r="GK363" s="9"/>
      <c r="GL363" s="9"/>
      <c r="GM363" s="9"/>
      <c r="GN363" s="9"/>
      <c r="GO363" s="9"/>
      <c r="GP363" s="9"/>
      <c r="GQ363" s="9"/>
      <c r="GR363" s="9"/>
      <c r="GS363" s="9"/>
      <c r="GT363" s="9"/>
      <c r="GU363" s="9"/>
      <c r="GV363" s="9"/>
      <c r="GW363" s="9"/>
      <c r="GX363" s="9"/>
      <c r="GY363" s="9"/>
      <c r="GZ363" s="9"/>
      <c r="HA363" s="9"/>
      <c r="HB363" s="9"/>
      <c r="HC363" s="9"/>
      <c r="HD363" s="9"/>
      <c r="HE363" s="9"/>
      <c r="HF363" s="9"/>
      <c r="HG363" s="9"/>
      <c r="HH363" s="9"/>
      <c r="HI363" s="9"/>
      <c r="HJ363" s="9"/>
      <c r="HK363" s="9"/>
      <c r="HL363" s="9"/>
      <c r="HM363" s="9"/>
      <c r="HN363" s="9"/>
      <c r="HO363" s="9"/>
      <c r="HP363" s="9"/>
      <c r="HQ363" s="9"/>
      <c r="HR363" s="9"/>
      <c r="HS363" s="9"/>
      <c r="HT363" s="9"/>
      <c r="HU363" s="9"/>
      <c r="HV363" s="9"/>
      <c r="HW363" s="9"/>
      <c r="HX363" s="9"/>
      <c r="HY363" s="9"/>
      <c r="HZ363" s="9"/>
      <c r="IA363" s="9"/>
      <c r="IB363" s="67"/>
      <c r="IC363" s="68"/>
      <c r="ID363" s="63"/>
      <c r="IE363" s="71"/>
    </row>
    <row r="364" spans="1:239" s="11" customFormat="1" x14ac:dyDescent="0.2">
      <c r="A364" s="9">
        <v>30</v>
      </c>
      <c r="B364" s="9"/>
      <c r="C364" s="9"/>
      <c r="D364" s="9" t="s">
        <v>112</v>
      </c>
      <c r="E364" s="65" t="s">
        <v>276</v>
      </c>
      <c r="F364" s="65"/>
      <c r="G364" s="92" t="s">
        <v>2340</v>
      </c>
      <c r="H364" s="66" t="s">
        <v>1240</v>
      </c>
      <c r="I364" s="9"/>
      <c r="J364" s="9" t="s">
        <v>1101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 t="s">
        <v>1101</v>
      </c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  <c r="EN364" s="9"/>
      <c r="EO364" s="9"/>
      <c r="EP364" s="9"/>
      <c r="EQ364" s="9"/>
      <c r="ER364" s="9"/>
      <c r="ES364" s="9"/>
      <c r="ET364" s="9"/>
      <c r="EU364" s="9"/>
      <c r="EV364" s="9"/>
      <c r="EW364" s="9"/>
      <c r="EX364" s="9"/>
      <c r="EY364" s="9"/>
      <c r="EZ364" s="9"/>
      <c r="FA364" s="9"/>
      <c r="FB364" s="9"/>
      <c r="FC364" s="9"/>
      <c r="FD364" s="9"/>
      <c r="FE364" s="9"/>
      <c r="FF364" s="9"/>
      <c r="FG364" s="9"/>
      <c r="FH364" s="9"/>
      <c r="FI364" s="9"/>
      <c r="FJ364" s="9"/>
      <c r="FK364" s="9"/>
      <c r="FL364" s="9"/>
      <c r="FM364" s="9"/>
      <c r="FN364" s="9"/>
      <c r="FO364" s="9"/>
      <c r="FP364" s="9"/>
      <c r="FQ364" s="9"/>
      <c r="FR364" s="9"/>
      <c r="FS364" s="9"/>
      <c r="FT364" s="9"/>
      <c r="FU364" s="9"/>
      <c r="FV364" s="9"/>
      <c r="FW364" s="9"/>
      <c r="FX364" s="9"/>
      <c r="FY364" s="9"/>
      <c r="FZ364" s="9"/>
      <c r="GA364" s="9"/>
      <c r="GB364" s="9"/>
      <c r="GC364" s="9"/>
      <c r="GD364" s="9"/>
      <c r="GE364" s="9"/>
      <c r="GF364" s="9"/>
      <c r="GG364" s="9"/>
      <c r="GH364" s="9"/>
      <c r="GI364" s="9"/>
      <c r="GJ364" s="9"/>
      <c r="GK364" s="9"/>
      <c r="GL364" s="9"/>
      <c r="GM364" s="9"/>
      <c r="GN364" s="9"/>
      <c r="GO364" s="9"/>
      <c r="GP364" s="9"/>
      <c r="GQ364" s="9"/>
      <c r="GR364" s="9"/>
      <c r="GS364" s="9"/>
      <c r="GT364" s="9"/>
      <c r="GU364" s="9"/>
      <c r="GV364" s="9"/>
      <c r="GW364" s="9"/>
      <c r="GX364" s="9"/>
      <c r="GY364" s="9"/>
      <c r="GZ364" s="9"/>
      <c r="HA364" s="9"/>
      <c r="HB364" s="9"/>
      <c r="HC364" s="9"/>
      <c r="HD364" s="9"/>
      <c r="HE364" s="9"/>
      <c r="HF364" s="9"/>
      <c r="HG364" s="9"/>
      <c r="HH364" s="9"/>
      <c r="HI364" s="9"/>
      <c r="HJ364" s="9"/>
      <c r="HK364" s="9"/>
      <c r="HL364" s="9"/>
      <c r="HM364" s="9"/>
      <c r="HN364" s="9"/>
      <c r="HO364" s="9"/>
      <c r="HP364" s="9"/>
      <c r="HQ364" s="9"/>
      <c r="HR364" s="9"/>
      <c r="HS364" s="9"/>
      <c r="HT364" s="9"/>
      <c r="HU364" s="9"/>
      <c r="HV364" s="9"/>
      <c r="HW364" s="9"/>
      <c r="HX364" s="9"/>
      <c r="HY364" s="9"/>
      <c r="HZ364" s="9"/>
      <c r="IA364" s="9"/>
      <c r="IB364" s="67"/>
      <c r="IC364" s="68"/>
      <c r="ID364" s="63"/>
      <c r="IE364" s="71"/>
    </row>
    <row r="365" spans="1:239" s="11" customFormat="1" x14ac:dyDescent="0.2">
      <c r="A365" s="9">
        <v>30</v>
      </c>
      <c r="B365" s="9"/>
      <c r="C365" s="9"/>
      <c r="D365" s="9" t="s">
        <v>113</v>
      </c>
      <c r="E365" s="65" t="s">
        <v>277</v>
      </c>
      <c r="F365" s="65"/>
      <c r="G365" s="92" t="s">
        <v>2344</v>
      </c>
      <c r="H365" s="66" t="s">
        <v>1244</v>
      </c>
      <c r="I365" s="9"/>
      <c r="J365" s="9" t="s">
        <v>1101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 t="s">
        <v>1101</v>
      </c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  <c r="EN365" s="9"/>
      <c r="EO365" s="9"/>
      <c r="EP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E365" s="9"/>
      <c r="FF365" s="9"/>
      <c r="FG365" s="9"/>
      <c r="FH365" s="9"/>
      <c r="FI365" s="9"/>
      <c r="FJ365" s="9"/>
      <c r="FK365" s="9"/>
      <c r="FL365" s="9"/>
      <c r="FM365" s="9"/>
      <c r="FN365" s="9"/>
      <c r="FO365" s="9"/>
      <c r="FP365" s="9"/>
      <c r="FQ365" s="9"/>
      <c r="FR365" s="9"/>
      <c r="FS365" s="9"/>
      <c r="FT365" s="9"/>
      <c r="FU365" s="9"/>
      <c r="FV365" s="9"/>
      <c r="FW365" s="9"/>
      <c r="FX365" s="9"/>
      <c r="FY365" s="9"/>
      <c r="FZ365" s="9"/>
      <c r="GA365" s="9"/>
      <c r="GB365" s="9"/>
      <c r="GC365" s="9"/>
      <c r="GD365" s="9"/>
      <c r="GE365" s="9"/>
      <c r="GF365" s="9"/>
      <c r="GG365" s="9"/>
      <c r="GH365" s="9"/>
      <c r="GI365" s="9"/>
      <c r="GJ365" s="9"/>
      <c r="GK365" s="9"/>
      <c r="GL365" s="9"/>
      <c r="GM365" s="9"/>
      <c r="GN365" s="9"/>
      <c r="GO365" s="9"/>
      <c r="GP365" s="9"/>
      <c r="GQ365" s="9"/>
      <c r="GR365" s="9"/>
      <c r="GS365" s="9"/>
      <c r="GT365" s="9"/>
      <c r="GU365" s="9"/>
      <c r="GV365" s="9"/>
      <c r="GW365" s="9"/>
      <c r="GX365" s="9"/>
      <c r="GY365" s="9"/>
      <c r="GZ365" s="9"/>
      <c r="HA365" s="9"/>
      <c r="HB365" s="9"/>
      <c r="HC365" s="9"/>
      <c r="HD365" s="9"/>
      <c r="HE365" s="9"/>
      <c r="HF365" s="9"/>
      <c r="HG365" s="9"/>
      <c r="HH365" s="9"/>
      <c r="HI365" s="9"/>
      <c r="HJ365" s="9"/>
      <c r="HK365" s="9"/>
      <c r="HL365" s="9"/>
      <c r="HM365" s="9"/>
      <c r="HN365" s="9"/>
      <c r="HO365" s="9"/>
      <c r="HP365" s="9"/>
      <c r="HQ365" s="9"/>
      <c r="HR365" s="9"/>
      <c r="HS365" s="9"/>
      <c r="HT365" s="9"/>
      <c r="HU365" s="9"/>
      <c r="HV365" s="9"/>
      <c r="HW365" s="9"/>
      <c r="HX365" s="9"/>
      <c r="HY365" s="9"/>
      <c r="HZ365" s="9"/>
      <c r="IA365" s="9"/>
      <c r="IB365" s="67"/>
      <c r="IC365" s="68"/>
      <c r="ID365" s="63"/>
      <c r="IE365" s="71"/>
    </row>
    <row r="366" spans="1:239" s="11" customFormat="1" x14ac:dyDescent="0.2">
      <c r="A366" s="9">
        <v>30</v>
      </c>
      <c r="B366" s="9"/>
      <c r="C366" s="9"/>
      <c r="D366" s="9" t="s">
        <v>267</v>
      </c>
      <c r="E366" s="65" t="s">
        <v>278</v>
      </c>
      <c r="F366" s="65"/>
      <c r="G366" s="92" t="s">
        <v>2348</v>
      </c>
      <c r="H366" s="66" t="s">
        <v>1249</v>
      </c>
      <c r="I366" s="9"/>
      <c r="J366" s="9" t="s">
        <v>1101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 t="s">
        <v>1101</v>
      </c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  <c r="EN366" s="9"/>
      <c r="EO366" s="9"/>
      <c r="EP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E366" s="9"/>
      <c r="FF366" s="9"/>
      <c r="FG366" s="9"/>
      <c r="FH366" s="9"/>
      <c r="FI366" s="9"/>
      <c r="FJ366" s="9"/>
      <c r="FK366" s="9"/>
      <c r="FL366" s="9"/>
      <c r="FM366" s="9"/>
      <c r="FN366" s="9"/>
      <c r="FO366" s="9"/>
      <c r="FP366" s="9"/>
      <c r="FQ366" s="9"/>
      <c r="FR366" s="9"/>
      <c r="FS366" s="9"/>
      <c r="FT366" s="9"/>
      <c r="FU366" s="9"/>
      <c r="FV366" s="9"/>
      <c r="FW366" s="9"/>
      <c r="FX366" s="9"/>
      <c r="FY366" s="9"/>
      <c r="FZ366" s="9"/>
      <c r="GA366" s="9"/>
      <c r="GB366" s="9"/>
      <c r="GC366" s="9"/>
      <c r="GD366" s="9"/>
      <c r="GE366" s="9"/>
      <c r="GF366" s="9"/>
      <c r="GG366" s="9"/>
      <c r="GH366" s="9"/>
      <c r="GI366" s="9"/>
      <c r="GJ366" s="9"/>
      <c r="GK366" s="9"/>
      <c r="GL366" s="9"/>
      <c r="GM366" s="9"/>
      <c r="GN366" s="9"/>
      <c r="GO366" s="9"/>
      <c r="GP366" s="9"/>
      <c r="GQ366" s="9"/>
      <c r="GR366" s="9"/>
      <c r="GS366" s="9"/>
      <c r="GT366" s="9"/>
      <c r="GU366" s="9"/>
      <c r="GV366" s="9"/>
      <c r="GW366" s="9"/>
      <c r="GX366" s="9"/>
      <c r="GY366" s="9"/>
      <c r="GZ366" s="9"/>
      <c r="HA366" s="9"/>
      <c r="HB366" s="9"/>
      <c r="HC366" s="9"/>
      <c r="HD366" s="9"/>
      <c r="HE366" s="9"/>
      <c r="HF366" s="9"/>
      <c r="HG366" s="9"/>
      <c r="HH366" s="9"/>
      <c r="HI366" s="9"/>
      <c r="HJ366" s="9"/>
      <c r="HK366" s="9"/>
      <c r="HL366" s="9"/>
      <c r="HM366" s="9"/>
      <c r="HN366" s="9"/>
      <c r="HO366" s="9"/>
      <c r="HP366" s="9"/>
      <c r="HQ366" s="9"/>
      <c r="HR366" s="9"/>
      <c r="HS366" s="9"/>
      <c r="HT366" s="9"/>
      <c r="HU366" s="9"/>
      <c r="HV366" s="9"/>
      <c r="HW366" s="9"/>
      <c r="HX366" s="9"/>
      <c r="HY366" s="9"/>
      <c r="HZ366" s="9"/>
      <c r="IA366" s="9"/>
      <c r="IB366" s="67"/>
      <c r="IC366" s="68"/>
      <c r="ID366" s="63"/>
      <c r="IE366" s="71"/>
    </row>
    <row r="367" spans="1:239" s="11" customFormat="1" ht="26" x14ac:dyDescent="0.2">
      <c r="A367" s="9">
        <v>30</v>
      </c>
      <c r="B367" s="9"/>
      <c r="C367" s="9"/>
      <c r="D367" s="9" t="s">
        <v>114</v>
      </c>
      <c r="E367" s="65" t="s">
        <v>279</v>
      </c>
      <c r="F367" s="65"/>
      <c r="G367" s="92" t="s">
        <v>2351</v>
      </c>
      <c r="H367" s="66" t="s">
        <v>1252</v>
      </c>
      <c r="I367" s="9"/>
      <c r="J367" s="9" t="s">
        <v>1101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 t="s">
        <v>1101</v>
      </c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  <c r="EN367" s="9"/>
      <c r="EO367" s="9"/>
      <c r="EP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E367" s="9"/>
      <c r="FF367" s="9"/>
      <c r="FG367" s="9"/>
      <c r="FH367" s="9"/>
      <c r="FI367" s="9"/>
      <c r="FJ367" s="9"/>
      <c r="FK367" s="9"/>
      <c r="FL367" s="9"/>
      <c r="FM367" s="9"/>
      <c r="FN367" s="9"/>
      <c r="FO367" s="9"/>
      <c r="FP367" s="9"/>
      <c r="FQ367" s="9"/>
      <c r="FR367" s="9"/>
      <c r="FS367" s="9"/>
      <c r="FT367" s="9"/>
      <c r="FU367" s="9"/>
      <c r="FV367" s="9"/>
      <c r="FW367" s="9"/>
      <c r="FX367" s="9"/>
      <c r="FY367" s="9"/>
      <c r="FZ367" s="9"/>
      <c r="GA367" s="9"/>
      <c r="GB367" s="9"/>
      <c r="GC367" s="9"/>
      <c r="GD367" s="9"/>
      <c r="GE367" s="9"/>
      <c r="GF367" s="9"/>
      <c r="GG367" s="9"/>
      <c r="GH367" s="9"/>
      <c r="GI367" s="9"/>
      <c r="GJ367" s="9"/>
      <c r="GK367" s="9"/>
      <c r="GL367" s="9"/>
      <c r="GM367" s="9"/>
      <c r="GN367" s="9"/>
      <c r="GO367" s="9"/>
      <c r="GP367" s="9"/>
      <c r="GQ367" s="9"/>
      <c r="GR367" s="9"/>
      <c r="GS367" s="9"/>
      <c r="GT367" s="9"/>
      <c r="GU367" s="9"/>
      <c r="GV367" s="9"/>
      <c r="GW367" s="9"/>
      <c r="GX367" s="9"/>
      <c r="GY367" s="9"/>
      <c r="GZ367" s="9"/>
      <c r="HA367" s="9"/>
      <c r="HB367" s="9"/>
      <c r="HC367" s="9"/>
      <c r="HD367" s="9"/>
      <c r="HE367" s="9"/>
      <c r="HF367" s="9"/>
      <c r="HG367" s="9"/>
      <c r="HH367" s="9"/>
      <c r="HI367" s="9"/>
      <c r="HJ367" s="9"/>
      <c r="HK367" s="9"/>
      <c r="HL367" s="9"/>
      <c r="HM367" s="9"/>
      <c r="HN367" s="9"/>
      <c r="HO367" s="9"/>
      <c r="HP367" s="9"/>
      <c r="HQ367" s="9"/>
      <c r="HR367" s="9"/>
      <c r="HS367" s="9"/>
      <c r="HT367" s="9"/>
      <c r="HU367" s="9"/>
      <c r="HV367" s="9"/>
      <c r="HW367" s="9"/>
      <c r="HX367" s="9"/>
      <c r="HY367" s="9"/>
      <c r="HZ367" s="9"/>
      <c r="IA367" s="9"/>
      <c r="IB367" s="67"/>
      <c r="IC367" s="68"/>
      <c r="ID367" s="63"/>
      <c r="IE367" s="71"/>
    </row>
    <row r="368" spans="1:239" s="11" customFormat="1" x14ac:dyDescent="0.2">
      <c r="A368" s="9">
        <v>30</v>
      </c>
      <c r="B368" s="9"/>
      <c r="C368" s="9"/>
      <c r="D368" s="9" t="s">
        <v>115</v>
      </c>
      <c r="E368" s="65" t="s">
        <v>280</v>
      </c>
      <c r="F368" s="65"/>
      <c r="G368" s="92" t="s">
        <v>2354</v>
      </c>
      <c r="H368" s="66" t="s">
        <v>1255</v>
      </c>
      <c r="I368" s="9"/>
      <c r="J368" s="9" t="s">
        <v>1101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 t="s">
        <v>1101</v>
      </c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  <c r="EN368" s="9"/>
      <c r="EO368" s="9"/>
      <c r="EP368" s="9"/>
      <c r="EQ368" s="9"/>
      <c r="ER368" s="9"/>
      <c r="ES368" s="9"/>
      <c r="ET368" s="9"/>
      <c r="EU368" s="9"/>
      <c r="EV368" s="9"/>
      <c r="EW368" s="9"/>
      <c r="EX368" s="9"/>
      <c r="EY368" s="9"/>
      <c r="EZ368" s="9"/>
      <c r="FA368" s="9"/>
      <c r="FB368" s="9"/>
      <c r="FC368" s="9"/>
      <c r="FD368" s="9"/>
      <c r="FE368" s="9"/>
      <c r="FF368" s="9"/>
      <c r="FG368" s="9"/>
      <c r="FH368" s="9"/>
      <c r="FI368" s="9"/>
      <c r="FJ368" s="9"/>
      <c r="FK368" s="9"/>
      <c r="FL368" s="9"/>
      <c r="FM368" s="9"/>
      <c r="FN368" s="9"/>
      <c r="FO368" s="9"/>
      <c r="FP368" s="9"/>
      <c r="FQ368" s="9"/>
      <c r="FR368" s="9"/>
      <c r="FS368" s="9"/>
      <c r="FT368" s="9"/>
      <c r="FU368" s="9"/>
      <c r="FV368" s="9"/>
      <c r="FW368" s="9"/>
      <c r="FX368" s="9"/>
      <c r="FY368" s="9"/>
      <c r="FZ368" s="9"/>
      <c r="GA368" s="9"/>
      <c r="GB368" s="9"/>
      <c r="GC368" s="9"/>
      <c r="GD368" s="9"/>
      <c r="GE368" s="9"/>
      <c r="GF368" s="9"/>
      <c r="GG368" s="9"/>
      <c r="GH368" s="9"/>
      <c r="GI368" s="9"/>
      <c r="GJ368" s="9"/>
      <c r="GK368" s="9"/>
      <c r="GL368" s="9"/>
      <c r="GM368" s="9"/>
      <c r="GN368" s="9"/>
      <c r="GO368" s="9"/>
      <c r="GP368" s="9"/>
      <c r="GQ368" s="9"/>
      <c r="GR368" s="9"/>
      <c r="GS368" s="9"/>
      <c r="GT368" s="9"/>
      <c r="GU368" s="9"/>
      <c r="GV368" s="9"/>
      <c r="GW368" s="9"/>
      <c r="GX368" s="9"/>
      <c r="GY368" s="9"/>
      <c r="GZ368" s="9"/>
      <c r="HA368" s="9"/>
      <c r="HB368" s="9"/>
      <c r="HC368" s="9"/>
      <c r="HD368" s="9"/>
      <c r="HE368" s="9"/>
      <c r="HF368" s="9"/>
      <c r="HG368" s="9"/>
      <c r="HH368" s="9"/>
      <c r="HI368" s="9"/>
      <c r="HJ368" s="9"/>
      <c r="HK368" s="9"/>
      <c r="HL368" s="9"/>
      <c r="HM368" s="9"/>
      <c r="HN368" s="9"/>
      <c r="HO368" s="9"/>
      <c r="HP368" s="9"/>
      <c r="HQ368" s="9"/>
      <c r="HR368" s="9"/>
      <c r="HS368" s="9"/>
      <c r="HT368" s="9"/>
      <c r="HU368" s="9"/>
      <c r="HV368" s="9"/>
      <c r="HW368" s="9"/>
      <c r="HX368" s="9"/>
      <c r="HY368" s="9"/>
      <c r="HZ368" s="9"/>
      <c r="IA368" s="9"/>
      <c r="IB368" s="67"/>
      <c r="IC368" s="68"/>
      <c r="ID368" s="63"/>
      <c r="IE368" s="71"/>
    </row>
    <row r="369" spans="1:239" s="11" customFormat="1" x14ac:dyDescent="0.2">
      <c r="A369" s="9">
        <v>30</v>
      </c>
      <c r="B369" s="9"/>
      <c r="C369" s="9"/>
      <c r="D369" s="9" t="s">
        <v>116</v>
      </c>
      <c r="E369" s="65" t="s">
        <v>281</v>
      </c>
      <c r="F369" s="65"/>
      <c r="G369" s="92" t="s">
        <v>2357</v>
      </c>
      <c r="H369" s="66" t="s">
        <v>1258</v>
      </c>
      <c r="I369" s="9"/>
      <c r="J369" s="9" t="s">
        <v>1101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 t="s">
        <v>1101</v>
      </c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  <c r="EN369" s="9"/>
      <c r="EO369" s="9"/>
      <c r="EP369" s="9"/>
      <c r="EQ369" s="9"/>
      <c r="ER369" s="9"/>
      <c r="ES369" s="9"/>
      <c r="ET369" s="9"/>
      <c r="EU369" s="9"/>
      <c r="EV369" s="9"/>
      <c r="EW369" s="9"/>
      <c r="EX369" s="9"/>
      <c r="EY369" s="9"/>
      <c r="EZ369" s="9"/>
      <c r="FA369" s="9"/>
      <c r="FB369" s="9"/>
      <c r="FC369" s="9"/>
      <c r="FD369" s="9"/>
      <c r="FE369" s="9"/>
      <c r="FF369" s="9"/>
      <c r="FG369" s="9"/>
      <c r="FH369" s="9"/>
      <c r="FI369" s="9"/>
      <c r="FJ369" s="9"/>
      <c r="FK369" s="9"/>
      <c r="FL369" s="9"/>
      <c r="FM369" s="9"/>
      <c r="FN369" s="9"/>
      <c r="FO369" s="9"/>
      <c r="FP369" s="9"/>
      <c r="FQ369" s="9"/>
      <c r="FR369" s="9"/>
      <c r="FS369" s="9"/>
      <c r="FT369" s="9"/>
      <c r="FU369" s="9"/>
      <c r="FV369" s="9"/>
      <c r="FW369" s="9"/>
      <c r="FX369" s="9"/>
      <c r="FY369" s="9"/>
      <c r="FZ369" s="9"/>
      <c r="GA369" s="9"/>
      <c r="GB369" s="9"/>
      <c r="GC369" s="9"/>
      <c r="GD369" s="9"/>
      <c r="GE369" s="9"/>
      <c r="GF369" s="9"/>
      <c r="GG369" s="9"/>
      <c r="GH369" s="9"/>
      <c r="GI369" s="9"/>
      <c r="GJ369" s="9"/>
      <c r="GK369" s="9"/>
      <c r="GL369" s="9"/>
      <c r="GM369" s="9"/>
      <c r="GN369" s="9"/>
      <c r="GO369" s="9"/>
      <c r="GP369" s="9"/>
      <c r="GQ369" s="9"/>
      <c r="GR369" s="9"/>
      <c r="GS369" s="9"/>
      <c r="GT369" s="9"/>
      <c r="GU369" s="9"/>
      <c r="GV369" s="9"/>
      <c r="GW369" s="9"/>
      <c r="GX369" s="9"/>
      <c r="GY369" s="9"/>
      <c r="GZ369" s="9"/>
      <c r="HA369" s="9"/>
      <c r="HB369" s="9"/>
      <c r="HC369" s="9"/>
      <c r="HD369" s="9"/>
      <c r="HE369" s="9"/>
      <c r="HF369" s="9"/>
      <c r="HG369" s="9"/>
      <c r="HH369" s="9"/>
      <c r="HI369" s="9"/>
      <c r="HJ369" s="9"/>
      <c r="HK369" s="9"/>
      <c r="HL369" s="9"/>
      <c r="HM369" s="9"/>
      <c r="HN369" s="9"/>
      <c r="HO369" s="9"/>
      <c r="HP369" s="9"/>
      <c r="HQ369" s="9"/>
      <c r="HR369" s="9"/>
      <c r="HS369" s="9"/>
      <c r="HT369" s="9"/>
      <c r="HU369" s="9"/>
      <c r="HV369" s="9"/>
      <c r="HW369" s="9"/>
      <c r="HX369" s="9"/>
      <c r="HY369" s="9"/>
      <c r="HZ369" s="9"/>
      <c r="IA369" s="9"/>
      <c r="IB369" s="67"/>
      <c r="IC369" s="68"/>
      <c r="ID369" s="63"/>
      <c r="IE369" s="71"/>
    </row>
    <row r="370" spans="1:239" s="11" customFormat="1" ht="26" x14ac:dyDescent="0.2">
      <c r="A370" s="9">
        <v>30</v>
      </c>
      <c r="B370" s="9"/>
      <c r="C370" s="9"/>
      <c r="D370" s="9" t="s">
        <v>117</v>
      </c>
      <c r="E370" s="65" t="s">
        <v>282</v>
      </c>
      <c r="F370" s="65"/>
      <c r="G370" s="92" t="s">
        <v>2360</v>
      </c>
      <c r="H370" s="66" t="s">
        <v>1261</v>
      </c>
      <c r="I370" s="9"/>
      <c r="J370" s="9" t="s">
        <v>1101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 t="s">
        <v>1101</v>
      </c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  <c r="EN370" s="9"/>
      <c r="EO370" s="9"/>
      <c r="EP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E370" s="9"/>
      <c r="FF370" s="9"/>
      <c r="FG370" s="9"/>
      <c r="FH370" s="9"/>
      <c r="FI370" s="9"/>
      <c r="FJ370" s="9"/>
      <c r="FK370" s="9"/>
      <c r="FL370" s="9"/>
      <c r="FM370" s="9"/>
      <c r="FN370" s="9"/>
      <c r="FO370" s="9"/>
      <c r="FP370" s="9"/>
      <c r="FQ370" s="9"/>
      <c r="FR370" s="9"/>
      <c r="FS370" s="9"/>
      <c r="FT370" s="9"/>
      <c r="FU370" s="9"/>
      <c r="FV370" s="9"/>
      <c r="FW370" s="9"/>
      <c r="FX370" s="9"/>
      <c r="FY370" s="9"/>
      <c r="FZ370" s="9"/>
      <c r="GA370" s="9"/>
      <c r="GB370" s="9"/>
      <c r="GC370" s="9"/>
      <c r="GD370" s="9"/>
      <c r="GE370" s="9"/>
      <c r="GF370" s="9"/>
      <c r="GG370" s="9"/>
      <c r="GH370" s="9"/>
      <c r="GI370" s="9"/>
      <c r="GJ370" s="9"/>
      <c r="GK370" s="9"/>
      <c r="GL370" s="9"/>
      <c r="GM370" s="9"/>
      <c r="GN370" s="9"/>
      <c r="GO370" s="9"/>
      <c r="GP370" s="9"/>
      <c r="GQ370" s="9"/>
      <c r="GR370" s="9"/>
      <c r="GS370" s="9"/>
      <c r="GT370" s="9"/>
      <c r="GU370" s="9"/>
      <c r="GV370" s="9"/>
      <c r="GW370" s="9"/>
      <c r="GX370" s="9"/>
      <c r="GY370" s="9"/>
      <c r="GZ370" s="9"/>
      <c r="HA370" s="9"/>
      <c r="HB370" s="9"/>
      <c r="HC370" s="9"/>
      <c r="HD370" s="9"/>
      <c r="HE370" s="9"/>
      <c r="HF370" s="9"/>
      <c r="HG370" s="9"/>
      <c r="HH370" s="9"/>
      <c r="HI370" s="9"/>
      <c r="HJ370" s="9"/>
      <c r="HK370" s="9"/>
      <c r="HL370" s="9"/>
      <c r="HM370" s="9"/>
      <c r="HN370" s="9"/>
      <c r="HO370" s="9"/>
      <c r="HP370" s="9"/>
      <c r="HQ370" s="9"/>
      <c r="HR370" s="9"/>
      <c r="HS370" s="9"/>
      <c r="HT370" s="9"/>
      <c r="HU370" s="9"/>
      <c r="HV370" s="9"/>
      <c r="HW370" s="9"/>
      <c r="HX370" s="9"/>
      <c r="HY370" s="9"/>
      <c r="HZ370" s="9"/>
      <c r="IA370" s="9"/>
      <c r="IB370" s="67"/>
      <c r="IC370" s="68"/>
      <c r="ID370" s="63"/>
      <c r="IE370" s="71"/>
    </row>
    <row r="371" spans="1:239" s="11" customFormat="1" x14ac:dyDescent="0.2">
      <c r="A371" s="9">
        <v>30</v>
      </c>
      <c r="B371" s="9"/>
      <c r="C371" s="9"/>
      <c r="D371" s="9" t="s">
        <v>118</v>
      </c>
      <c r="E371" s="65" t="s">
        <v>283</v>
      </c>
      <c r="F371" s="65"/>
      <c r="G371" s="92" t="s">
        <v>2363</v>
      </c>
      <c r="H371" s="66" t="s">
        <v>1264</v>
      </c>
      <c r="I371" s="9"/>
      <c r="J371" s="9" t="s">
        <v>1101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 t="s">
        <v>1101</v>
      </c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  <c r="FI371" s="9"/>
      <c r="FJ371" s="9"/>
      <c r="FK371" s="9"/>
      <c r="FL371" s="9"/>
      <c r="FM371" s="9"/>
      <c r="FN371" s="9"/>
      <c r="FO371" s="9"/>
      <c r="FP371" s="9"/>
      <c r="FQ371" s="9"/>
      <c r="FR371" s="9"/>
      <c r="FS371" s="9"/>
      <c r="FT371" s="9"/>
      <c r="FU371" s="9"/>
      <c r="FV371" s="9"/>
      <c r="FW371" s="9"/>
      <c r="FX371" s="9"/>
      <c r="FY371" s="9"/>
      <c r="FZ371" s="9"/>
      <c r="GA371" s="9"/>
      <c r="GB371" s="9"/>
      <c r="GC371" s="9"/>
      <c r="GD371" s="9"/>
      <c r="GE371" s="9"/>
      <c r="GF371" s="9"/>
      <c r="GG371" s="9"/>
      <c r="GH371" s="9"/>
      <c r="GI371" s="9"/>
      <c r="GJ371" s="9"/>
      <c r="GK371" s="9"/>
      <c r="GL371" s="9"/>
      <c r="GM371" s="9"/>
      <c r="GN371" s="9"/>
      <c r="GO371" s="9"/>
      <c r="GP371" s="9"/>
      <c r="GQ371" s="9"/>
      <c r="GR371" s="9"/>
      <c r="GS371" s="9"/>
      <c r="GT371" s="9"/>
      <c r="GU371" s="9"/>
      <c r="GV371" s="9"/>
      <c r="GW371" s="9"/>
      <c r="GX371" s="9"/>
      <c r="GY371" s="9"/>
      <c r="GZ371" s="9"/>
      <c r="HA371" s="9"/>
      <c r="HB371" s="9"/>
      <c r="HC371" s="9"/>
      <c r="HD371" s="9"/>
      <c r="HE371" s="9"/>
      <c r="HF371" s="9"/>
      <c r="HG371" s="9"/>
      <c r="HH371" s="9"/>
      <c r="HI371" s="9"/>
      <c r="HJ371" s="9"/>
      <c r="HK371" s="9"/>
      <c r="HL371" s="9"/>
      <c r="HM371" s="9"/>
      <c r="HN371" s="9"/>
      <c r="HO371" s="9"/>
      <c r="HP371" s="9"/>
      <c r="HQ371" s="9"/>
      <c r="HR371" s="9"/>
      <c r="HS371" s="9"/>
      <c r="HT371" s="9"/>
      <c r="HU371" s="9"/>
      <c r="HV371" s="9"/>
      <c r="HW371" s="9"/>
      <c r="HX371" s="9"/>
      <c r="HY371" s="9"/>
      <c r="HZ371" s="9"/>
      <c r="IA371" s="9"/>
      <c r="IB371" s="67"/>
      <c r="IC371" s="68"/>
      <c r="ID371" s="63"/>
      <c r="IE371" s="71"/>
    </row>
    <row r="372" spans="1:239" s="11" customFormat="1" x14ac:dyDescent="0.2">
      <c r="A372" s="9">
        <v>30</v>
      </c>
      <c r="B372" s="9"/>
      <c r="C372" s="9"/>
      <c r="D372" s="9" t="s">
        <v>119</v>
      </c>
      <c r="E372" s="65" t="s">
        <v>284</v>
      </c>
      <c r="F372" s="65"/>
      <c r="G372" s="92" t="s">
        <v>2366</v>
      </c>
      <c r="H372" s="66" t="s">
        <v>1267</v>
      </c>
      <c r="I372" s="9"/>
      <c r="J372" s="9" t="s">
        <v>1101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 t="s">
        <v>1101</v>
      </c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  <c r="EN372" s="9"/>
      <c r="EO372" s="9"/>
      <c r="EP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E372" s="9"/>
      <c r="FF372" s="9"/>
      <c r="FG372" s="9"/>
      <c r="FH372" s="9"/>
      <c r="FI372" s="9"/>
      <c r="FJ372" s="9"/>
      <c r="FK372" s="9"/>
      <c r="FL372" s="9"/>
      <c r="FM372" s="9"/>
      <c r="FN372" s="9"/>
      <c r="FO372" s="9"/>
      <c r="FP372" s="9"/>
      <c r="FQ372" s="9"/>
      <c r="FR372" s="9"/>
      <c r="FS372" s="9"/>
      <c r="FT372" s="9"/>
      <c r="FU372" s="9"/>
      <c r="FV372" s="9"/>
      <c r="FW372" s="9"/>
      <c r="FX372" s="9"/>
      <c r="FY372" s="9"/>
      <c r="FZ372" s="9"/>
      <c r="GA372" s="9"/>
      <c r="GB372" s="9"/>
      <c r="GC372" s="9"/>
      <c r="GD372" s="9"/>
      <c r="GE372" s="9"/>
      <c r="GF372" s="9"/>
      <c r="GG372" s="9"/>
      <c r="GH372" s="9"/>
      <c r="GI372" s="9"/>
      <c r="GJ372" s="9"/>
      <c r="GK372" s="9"/>
      <c r="GL372" s="9"/>
      <c r="GM372" s="9"/>
      <c r="GN372" s="9"/>
      <c r="GO372" s="9"/>
      <c r="GP372" s="9"/>
      <c r="GQ372" s="9"/>
      <c r="GR372" s="9"/>
      <c r="GS372" s="9"/>
      <c r="GT372" s="9"/>
      <c r="GU372" s="9"/>
      <c r="GV372" s="9"/>
      <c r="GW372" s="9"/>
      <c r="GX372" s="9"/>
      <c r="GY372" s="9"/>
      <c r="GZ372" s="9"/>
      <c r="HA372" s="9"/>
      <c r="HB372" s="9"/>
      <c r="HC372" s="9"/>
      <c r="HD372" s="9"/>
      <c r="HE372" s="9"/>
      <c r="HF372" s="9"/>
      <c r="HG372" s="9"/>
      <c r="HH372" s="9"/>
      <c r="HI372" s="9"/>
      <c r="HJ372" s="9"/>
      <c r="HK372" s="9"/>
      <c r="HL372" s="9"/>
      <c r="HM372" s="9"/>
      <c r="HN372" s="9"/>
      <c r="HO372" s="9"/>
      <c r="HP372" s="9"/>
      <c r="HQ372" s="9"/>
      <c r="HR372" s="9"/>
      <c r="HS372" s="9"/>
      <c r="HT372" s="9"/>
      <c r="HU372" s="9"/>
      <c r="HV372" s="9"/>
      <c r="HW372" s="9"/>
      <c r="HX372" s="9"/>
      <c r="HY372" s="9"/>
      <c r="HZ372" s="9"/>
      <c r="IA372" s="9"/>
      <c r="IB372" s="67"/>
      <c r="IC372" s="68"/>
      <c r="ID372" s="63"/>
      <c r="IE372" s="71"/>
    </row>
    <row r="373" spans="1:239" s="11" customFormat="1" x14ac:dyDescent="0.2">
      <c r="A373" s="9">
        <v>30</v>
      </c>
      <c r="B373" s="9"/>
      <c r="C373" s="9"/>
      <c r="D373" s="9" t="s">
        <v>120</v>
      </c>
      <c r="E373" s="65" t="s">
        <v>285</v>
      </c>
      <c r="F373" s="65"/>
      <c r="G373" s="92" t="s">
        <v>2370</v>
      </c>
      <c r="H373" s="66" t="s">
        <v>1272</v>
      </c>
      <c r="I373" s="9"/>
      <c r="J373" s="9" t="s">
        <v>1101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 t="s">
        <v>1101</v>
      </c>
      <c r="EF373" s="9"/>
      <c r="EG373" s="9"/>
      <c r="EH373" s="9"/>
      <c r="EI373" s="9"/>
      <c r="EJ373" s="9"/>
      <c r="EK373" s="9"/>
      <c r="EL373" s="9"/>
      <c r="EM373" s="9"/>
      <c r="EN373" s="9"/>
      <c r="EO373" s="9"/>
      <c r="EP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E373" s="9"/>
      <c r="FF373" s="9"/>
      <c r="FG373" s="9"/>
      <c r="FH373" s="9"/>
      <c r="FI373" s="9"/>
      <c r="FJ373" s="9"/>
      <c r="FK373" s="9"/>
      <c r="FL373" s="9"/>
      <c r="FM373" s="9"/>
      <c r="FN373" s="9"/>
      <c r="FO373" s="9"/>
      <c r="FP373" s="9"/>
      <c r="FQ373" s="9"/>
      <c r="FR373" s="9"/>
      <c r="FS373" s="9"/>
      <c r="FT373" s="9"/>
      <c r="FU373" s="9"/>
      <c r="FV373" s="9"/>
      <c r="FW373" s="9"/>
      <c r="FX373" s="9"/>
      <c r="FY373" s="9"/>
      <c r="FZ373" s="9"/>
      <c r="GA373" s="9"/>
      <c r="GB373" s="9"/>
      <c r="GC373" s="9"/>
      <c r="GD373" s="9"/>
      <c r="GE373" s="9"/>
      <c r="GF373" s="9"/>
      <c r="GG373" s="9"/>
      <c r="GH373" s="9"/>
      <c r="GI373" s="9"/>
      <c r="GJ373" s="9"/>
      <c r="GK373" s="9"/>
      <c r="GL373" s="9"/>
      <c r="GM373" s="9"/>
      <c r="GN373" s="9"/>
      <c r="GO373" s="9"/>
      <c r="GP373" s="9"/>
      <c r="GQ373" s="9"/>
      <c r="GR373" s="9"/>
      <c r="GS373" s="9"/>
      <c r="GT373" s="9"/>
      <c r="GU373" s="9"/>
      <c r="GV373" s="9"/>
      <c r="GW373" s="9"/>
      <c r="GX373" s="9"/>
      <c r="GY373" s="9"/>
      <c r="GZ373" s="9"/>
      <c r="HA373" s="9"/>
      <c r="HB373" s="9"/>
      <c r="HC373" s="9"/>
      <c r="HD373" s="9"/>
      <c r="HE373" s="9"/>
      <c r="HF373" s="9"/>
      <c r="HG373" s="9"/>
      <c r="HH373" s="9"/>
      <c r="HI373" s="9"/>
      <c r="HJ373" s="9"/>
      <c r="HK373" s="9"/>
      <c r="HL373" s="9"/>
      <c r="HM373" s="9"/>
      <c r="HN373" s="9"/>
      <c r="HO373" s="9"/>
      <c r="HP373" s="9"/>
      <c r="HQ373" s="9"/>
      <c r="HR373" s="9"/>
      <c r="HS373" s="9"/>
      <c r="HT373" s="9"/>
      <c r="HU373" s="9"/>
      <c r="HV373" s="9"/>
      <c r="HW373" s="9"/>
      <c r="HX373" s="9"/>
      <c r="HY373" s="9"/>
      <c r="HZ373" s="9"/>
      <c r="IA373" s="9"/>
      <c r="IB373" s="67"/>
      <c r="IC373" s="68"/>
      <c r="ID373" s="63"/>
      <c r="IE373" s="71"/>
    </row>
    <row r="374" spans="1:239" s="11" customFormat="1" x14ac:dyDescent="0.2">
      <c r="A374" s="9">
        <v>30</v>
      </c>
      <c r="B374" s="9"/>
      <c r="C374" s="9"/>
      <c r="D374" s="9" t="s">
        <v>121</v>
      </c>
      <c r="E374" s="65" t="s">
        <v>286</v>
      </c>
      <c r="F374" s="65"/>
      <c r="G374" s="92" t="s">
        <v>2374</v>
      </c>
      <c r="H374" s="66" t="s">
        <v>1276</v>
      </c>
      <c r="I374" s="9"/>
      <c r="J374" s="9" t="s">
        <v>1101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 t="s">
        <v>1101</v>
      </c>
      <c r="EJ374" s="9"/>
      <c r="EK374" s="9"/>
      <c r="EL374" s="9"/>
      <c r="EM374" s="9"/>
      <c r="EN374" s="9"/>
      <c r="EO374" s="9"/>
      <c r="EP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E374" s="9"/>
      <c r="FF374" s="9"/>
      <c r="FG374" s="9"/>
      <c r="FH374" s="9"/>
      <c r="FI374" s="9"/>
      <c r="FJ374" s="9"/>
      <c r="FK374" s="9"/>
      <c r="FL374" s="9"/>
      <c r="FM374" s="9"/>
      <c r="FN374" s="9"/>
      <c r="FO374" s="9"/>
      <c r="FP374" s="9"/>
      <c r="FQ374" s="9"/>
      <c r="FR374" s="9"/>
      <c r="FS374" s="9"/>
      <c r="FT374" s="9"/>
      <c r="FU374" s="9"/>
      <c r="FV374" s="9"/>
      <c r="FW374" s="9"/>
      <c r="FX374" s="9"/>
      <c r="FY374" s="9"/>
      <c r="FZ374" s="9"/>
      <c r="GA374" s="9"/>
      <c r="GB374" s="9"/>
      <c r="GC374" s="9"/>
      <c r="GD374" s="9"/>
      <c r="GE374" s="9"/>
      <c r="GF374" s="9"/>
      <c r="GG374" s="9"/>
      <c r="GH374" s="9"/>
      <c r="GI374" s="9"/>
      <c r="GJ374" s="9"/>
      <c r="GK374" s="9"/>
      <c r="GL374" s="9"/>
      <c r="GM374" s="9"/>
      <c r="GN374" s="9"/>
      <c r="GO374" s="9"/>
      <c r="GP374" s="9"/>
      <c r="GQ374" s="9"/>
      <c r="GR374" s="9"/>
      <c r="GS374" s="9"/>
      <c r="GT374" s="9"/>
      <c r="GU374" s="9"/>
      <c r="GV374" s="9"/>
      <c r="GW374" s="9"/>
      <c r="GX374" s="9"/>
      <c r="GY374" s="9"/>
      <c r="GZ374" s="9"/>
      <c r="HA374" s="9"/>
      <c r="HB374" s="9"/>
      <c r="HC374" s="9"/>
      <c r="HD374" s="9"/>
      <c r="HE374" s="9"/>
      <c r="HF374" s="9"/>
      <c r="HG374" s="9"/>
      <c r="HH374" s="9"/>
      <c r="HI374" s="9"/>
      <c r="HJ374" s="9"/>
      <c r="HK374" s="9"/>
      <c r="HL374" s="9"/>
      <c r="HM374" s="9"/>
      <c r="HN374" s="9"/>
      <c r="HO374" s="9"/>
      <c r="HP374" s="9"/>
      <c r="HQ374" s="9"/>
      <c r="HR374" s="9"/>
      <c r="HS374" s="9"/>
      <c r="HT374" s="9"/>
      <c r="HU374" s="9"/>
      <c r="HV374" s="9"/>
      <c r="HW374" s="9"/>
      <c r="HX374" s="9"/>
      <c r="HY374" s="9"/>
      <c r="HZ374" s="9"/>
      <c r="IA374" s="9"/>
      <c r="IB374" s="67"/>
      <c r="IC374" s="68"/>
      <c r="ID374" s="63"/>
      <c r="IE374" s="71"/>
    </row>
    <row r="375" spans="1:239" s="11" customFormat="1" x14ac:dyDescent="0.2">
      <c r="A375" s="9">
        <v>30</v>
      </c>
      <c r="B375" s="9"/>
      <c r="C375" s="9"/>
      <c r="D375" s="9" t="s">
        <v>122</v>
      </c>
      <c r="E375" s="65" t="s">
        <v>660</v>
      </c>
      <c r="F375" s="65"/>
      <c r="G375" s="92" t="s">
        <v>2377</v>
      </c>
      <c r="H375" s="66" t="s">
        <v>1280</v>
      </c>
      <c r="I375" s="9"/>
      <c r="J375" s="9" t="s">
        <v>1101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 t="s">
        <v>1101</v>
      </c>
      <c r="EN375" s="9"/>
      <c r="EO375" s="9"/>
      <c r="EP375" s="9"/>
      <c r="EQ375" s="9"/>
      <c r="ER375" s="9"/>
      <c r="ES375" s="9"/>
      <c r="ET375" s="9"/>
      <c r="EU375" s="9"/>
      <c r="EV375" s="9"/>
      <c r="EW375" s="9"/>
      <c r="EX375" s="9"/>
      <c r="EY375" s="9"/>
      <c r="EZ375" s="9"/>
      <c r="FA375" s="9"/>
      <c r="FB375" s="9"/>
      <c r="FC375" s="9"/>
      <c r="FD375" s="9"/>
      <c r="FE375" s="9"/>
      <c r="FF375" s="9"/>
      <c r="FG375" s="9"/>
      <c r="FH375" s="9"/>
      <c r="FI375" s="9"/>
      <c r="FJ375" s="9"/>
      <c r="FK375" s="9"/>
      <c r="FL375" s="9"/>
      <c r="FM375" s="9"/>
      <c r="FN375" s="9"/>
      <c r="FO375" s="9"/>
      <c r="FP375" s="9"/>
      <c r="FQ375" s="9"/>
      <c r="FR375" s="9"/>
      <c r="FS375" s="9"/>
      <c r="FT375" s="9"/>
      <c r="FU375" s="9"/>
      <c r="FV375" s="9"/>
      <c r="FW375" s="9"/>
      <c r="FX375" s="9"/>
      <c r="FY375" s="9"/>
      <c r="FZ375" s="9"/>
      <c r="GA375" s="9"/>
      <c r="GB375" s="9"/>
      <c r="GC375" s="9"/>
      <c r="GD375" s="9"/>
      <c r="GE375" s="9"/>
      <c r="GF375" s="9"/>
      <c r="GG375" s="9"/>
      <c r="GH375" s="9"/>
      <c r="GI375" s="9"/>
      <c r="GJ375" s="9"/>
      <c r="GK375" s="9"/>
      <c r="GL375" s="9"/>
      <c r="GM375" s="9"/>
      <c r="GN375" s="9"/>
      <c r="GO375" s="9"/>
      <c r="GP375" s="9"/>
      <c r="GQ375" s="9"/>
      <c r="GR375" s="9"/>
      <c r="GS375" s="9"/>
      <c r="GT375" s="9"/>
      <c r="GU375" s="9"/>
      <c r="GV375" s="9"/>
      <c r="GW375" s="9"/>
      <c r="GX375" s="9"/>
      <c r="GY375" s="9"/>
      <c r="GZ375" s="9"/>
      <c r="HA375" s="9"/>
      <c r="HB375" s="9"/>
      <c r="HC375" s="9"/>
      <c r="HD375" s="9"/>
      <c r="HE375" s="9"/>
      <c r="HF375" s="9"/>
      <c r="HG375" s="9"/>
      <c r="HH375" s="9"/>
      <c r="HI375" s="9"/>
      <c r="HJ375" s="9"/>
      <c r="HK375" s="9"/>
      <c r="HL375" s="9"/>
      <c r="HM375" s="9"/>
      <c r="HN375" s="9"/>
      <c r="HO375" s="9"/>
      <c r="HP375" s="9"/>
      <c r="HQ375" s="9"/>
      <c r="HR375" s="9"/>
      <c r="HS375" s="9"/>
      <c r="HT375" s="9"/>
      <c r="HU375" s="9"/>
      <c r="HV375" s="9"/>
      <c r="HW375" s="9"/>
      <c r="HX375" s="9"/>
      <c r="HY375" s="9"/>
      <c r="HZ375" s="9"/>
      <c r="IA375" s="9"/>
      <c r="IB375" s="67"/>
      <c r="IC375" s="68"/>
      <c r="ID375" s="63"/>
      <c r="IE375" s="71"/>
    </row>
    <row r="376" spans="1:239" s="11" customFormat="1" x14ac:dyDescent="0.2">
      <c r="A376" s="9">
        <v>30</v>
      </c>
      <c r="B376" s="9"/>
      <c r="C376" s="9"/>
      <c r="D376" s="9" t="s">
        <v>123</v>
      </c>
      <c r="E376" s="65" t="s">
        <v>287</v>
      </c>
      <c r="F376" s="65"/>
      <c r="G376" s="92" t="s">
        <v>2381</v>
      </c>
      <c r="H376" s="66" t="s">
        <v>1284</v>
      </c>
      <c r="I376" s="9"/>
      <c r="J376" s="9" t="s">
        <v>1101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  <c r="EN376" s="9"/>
      <c r="EO376" s="9"/>
      <c r="EP376" s="9"/>
      <c r="EQ376" s="9" t="s">
        <v>1101</v>
      </c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E376" s="9"/>
      <c r="FF376" s="9"/>
      <c r="FG376" s="9"/>
      <c r="FH376" s="9"/>
      <c r="FI376" s="9"/>
      <c r="FJ376" s="9"/>
      <c r="FK376" s="9"/>
      <c r="FL376" s="9"/>
      <c r="FM376" s="9"/>
      <c r="FN376" s="9"/>
      <c r="FO376" s="9"/>
      <c r="FP376" s="9"/>
      <c r="FQ376" s="9"/>
      <c r="FR376" s="9"/>
      <c r="FS376" s="9"/>
      <c r="FT376" s="9"/>
      <c r="FU376" s="9"/>
      <c r="FV376" s="9"/>
      <c r="FW376" s="9"/>
      <c r="FX376" s="9"/>
      <c r="FY376" s="9"/>
      <c r="FZ376" s="9"/>
      <c r="GA376" s="9"/>
      <c r="GB376" s="9"/>
      <c r="GC376" s="9"/>
      <c r="GD376" s="9"/>
      <c r="GE376" s="9"/>
      <c r="GF376" s="9"/>
      <c r="GG376" s="9"/>
      <c r="GH376" s="9"/>
      <c r="GI376" s="9"/>
      <c r="GJ376" s="9"/>
      <c r="GK376" s="9"/>
      <c r="GL376" s="9"/>
      <c r="GM376" s="9"/>
      <c r="GN376" s="9"/>
      <c r="GO376" s="9"/>
      <c r="GP376" s="9"/>
      <c r="GQ376" s="9"/>
      <c r="GR376" s="9"/>
      <c r="GS376" s="9"/>
      <c r="GT376" s="9"/>
      <c r="GU376" s="9"/>
      <c r="GV376" s="9"/>
      <c r="GW376" s="9"/>
      <c r="GX376" s="9"/>
      <c r="GY376" s="9"/>
      <c r="GZ376" s="9"/>
      <c r="HA376" s="9"/>
      <c r="HB376" s="9"/>
      <c r="HC376" s="9"/>
      <c r="HD376" s="9"/>
      <c r="HE376" s="9"/>
      <c r="HF376" s="9"/>
      <c r="HG376" s="9"/>
      <c r="HH376" s="9"/>
      <c r="HI376" s="9"/>
      <c r="HJ376" s="9"/>
      <c r="HK376" s="9"/>
      <c r="HL376" s="9"/>
      <c r="HM376" s="9"/>
      <c r="HN376" s="9"/>
      <c r="HO376" s="9"/>
      <c r="HP376" s="9"/>
      <c r="HQ376" s="9"/>
      <c r="HR376" s="9"/>
      <c r="HS376" s="9"/>
      <c r="HT376" s="9"/>
      <c r="HU376" s="9"/>
      <c r="HV376" s="9"/>
      <c r="HW376" s="9"/>
      <c r="HX376" s="9"/>
      <c r="HY376" s="9"/>
      <c r="HZ376" s="9"/>
      <c r="IA376" s="9"/>
      <c r="IB376" s="67"/>
      <c r="IC376" s="68"/>
      <c r="ID376" s="63"/>
      <c r="IE376" s="71"/>
    </row>
    <row r="377" spans="1:239" s="11" customFormat="1" x14ac:dyDescent="0.2">
      <c r="A377" s="9">
        <v>30</v>
      </c>
      <c r="B377" s="9"/>
      <c r="C377" s="9"/>
      <c r="D377" s="9" t="s">
        <v>124</v>
      </c>
      <c r="E377" s="65" t="s">
        <v>288</v>
      </c>
      <c r="F377" s="65"/>
      <c r="G377" s="92" t="s">
        <v>2389</v>
      </c>
      <c r="H377" s="66" t="s">
        <v>1295</v>
      </c>
      <c r="I377" s="9"/>
      <c r="J377" s="9" t="s">
        <v>1101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  <c r="EN377" s="9"/>
      <c r="EO377" s="9"/>
      <c r="EP377" s="9"/>
      <c r="EQ377" s="9"/>
      <c r="ER377" s="9"/>
      <c r="ES377" s="9"/>
      <c r="ET377" s="9"/>
      <c r="EU377" s="9" t="s">
        <v>1101</v>
      </c>
      <c r="EV377" s="9"/>
      <c r="EW377" s="9"/>
      <c r="EX377" s="9"/>
      <c r="EY377" s="9"/>
      <c r="EZ377" s="9"/>
      <c r="FA377" s="9"/>
      <c r="FB377" s="9"/>
      <c r="FC377" s="9"/>
      <c r="FD377" s="9"/>
      <c r="FE377" s="9"/>
      <c r="FF377" s="9"/>
      <c r="FG377" s="9"/>
      <c r="FH377" s="9"/>
      <c r="FI377" s="9"/>
      <c r="FJ377" s="9"/>
      <c r="FK377" s="9"/>
      <c r="FL377" s="9"/>
      <c r="FM377" s="9"/>
      <c r="FN377" s="9"/>
      <c r="FO377" s="9"/>
      <c r="FP377" s="9"/>
      <c r="FQ377" s="9"/>
      <c r="FR377" s="9"/>
      <c r="FS377" s="9"/>
      <c r="FT377" s="9"/>
      <c r="FU377" s="9"/>
      <c r="FV377" s="9"/>
      <c r="FW377" s="9"/>
      <c r="FX377" s="9"/>
      <c r="FY377" s="9"/>
      <c r="FZ377" s="9"/>
      <c r="GA377" s="9"/>
      <c r="GB377" s="9"/>
      <c r="GC377" s="9"/>
      <c r="GD377" s="9"/>
      <c r="GE377" s="9"/>
      <c r="GF377" s="9"/>
      <c r="GG377" s="9"/>
      <c r="GH377" s="9"/>
      <c r="GI377" s="9"/>
      <c r="GJ377" s="9"/>
      <c r="GK377" s="9"/>
      <c r="GL377" s="9"/>
      <c r="GM377" s="9"/>
      <c r="GN377" s="9"/>
      <c r="GO377" s="9"/>
      <c r="GP377" s="9"/>
      <c r="GQ377" s="9"/>
      <c r="GR377" s="9"/>
      <c r="GS377" s="9"/>
      <c r="GT377" s="9"/>
      <c r="GU377" s="9"/>
      <c r="GV377" s="9"/>
      <c r="GW377" s="9"/>
      <c r="GX377" s="9"/>
      <c r="GY377" s="9"/>
      <c r="GZ377" s="9"/>
      <c r="HA377" s="9"/>
      <c r="HB377" s="9"/>
      <c r="HC377" s="9"/>
      <c r="HD377" s="9"/>
      <c r="HE377" s="9"/>
      <c r="HF377" s="9"/>
      <c r="HG377" s="9"/>
      <c r="HH377" s="9"/>
      <c r="HI377" s="9"/>
      <c r="HJ377" s="9"/>
      <c r="HK377" s="9"/>
      <c r="HL377" s="9"/>
      <c r="HM377" s="9"/>
      <c r="HN377" s="9"/>
      <c r="HO377" s="9"/>
      <c r="HP377" s="9"/>
      <c r="HQ377" s="9"/>
      <c r="HR377" s="9"/>
      <c r="HS377" s="9"/>
      <c r="HT377" s="9"/>
      <c r="HU377" s="9"/>
      <c r="HV377" s="9"/>
      <c r="HW377" s="9"/>
      <c r="HX377" s="9"/>
      <c r="HY377" s="9"/>
      <c r="HZ377" s="9"/>
      <c r="IA377" s="9"/>
      <c r="IB377" s="67"/>
      <c r="IC377" s="68"/>
      <c r="ID377" s="63"/>
      <c r="IE377" s="71"/>
    </row>
    <row r="378" spans="1:239" s="11" customFormat="1" x14ac:dyDescent="0.2">
      <c r="A378" s="9">
        <v>30</v>
      </c>
      <c r="B378" s="9"/>
      <c r="C378" s="9"/>
      <c r="D378" s="9" t="s">
        <v>125</v>
      </c>
      <c r="E378" s="65" t="s">
        <v>289</v>
      </c>
      <c r="F378" s="65"/>
      <c r="G378" s="92" t="s">
        <v>2398</v>
      </c>
      <c r="H378" s="66" t="s">
        <v>1303</v>
      </c>
      <c r="I378" s="9"/>
      <c r="J378" s="9" t="s">
        <v>1101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  <c r="EN378" s="9"/>
      <c r="EO378" s="9"/>
      <c r="EP378" s="9"/>
      <c r="EQ378" s="9"/>
      <c r="ER378" s="9"/>
      <c r="ES378" s="9"/>
      <c r="ET378" s="9"/>
      <c r="EU378" s="9"/>
      <c r="EV378" s="9"/>
      <c r="EW378" s="9"/>
      <c r="EX378" s="9"/>
      <c r="EY378" s="9" t="s">
        <v>1101</v>
      </c>
      <c r="EZ378" s="9"/>
      <c r="FA378" s="9"/>
      <c r="FB378" s="9"/>
      <c r="FC378" s="9"/>
      <c r="FD378" s="9"/>
      <c r="FE378" s="9"/>
      <c r="FF378" s="9"/>
      <c r="FG378" s="9"/>
      <c r="FH378" s="9"/>
      <c r="FI378" s="9"/>
      <c r="FJ378" s="9"/>
      <c r="FK378" s="9"/>
      <c r="FL378" s="9"/>
      <c r="FM378" s="9"/>
      <c r="FN378" s="9"/>
      <c r="FO378" s="9"/>
      <c r="FP378" s="9"/>
      <c r="FQ378" s="9"/>
      <c r="FR378" s="9"/>
      <c r="FS378" s="9"/>
      <c r="FT378" s="9"/>
      <c r="FU378" s="9"/>
      <c r="FV378" s="9"/>
      <c r="FW378" s="9"/>
      <c r="FX378" s="9"/>
      <c r="FY378" s="9"/>
      <c r="FZ378" s="9"/>
      <c r="GA378" s="9"/>
      <c r="GB378" s="9"/>
      <c r="GC378" s="9"/>
      <c r="GD378" s="9"/>
      <c r="GE378" s="9"/>
      <c r="GF378" s="9"/>
      <c r="GG378" s="9"/>
      <c r="GH378" s="9"/>
      <c r="GI378" s="9"/>
      <c r="GJ378" s="9"/>
      <c r="GK378" s="9"/>
      <c r="GL378" s="9"/>
      <c r="GM378" s="9"/>
      <c r="GN378" s="9"/>
      <c r="GO378" s="9"/>
      <c r="GP378" s="9"/>
      <c r="GQ378" s="9"/>
      <c r="GR378" s="9"/>
      <c r="GS378" s="9"/>
      <c r="GT378" s="9"/>
      <c r="GU378" s="9"/>
      <c r="GV378" s="9"/>
      <c r="GW378" s="9"/>
      <c r="GX378" s="9"/>
      <c r="GY378" s="9"/>
      <c r="GZ378" s="9"/>
      <c r="HA378" s="9"/>
      <c r="HB378" s="9"/>
      <c r="HC378" s="9"/>
      <c r="HD378" s="9"/>
      <c r="HE378" s="9"/>
      <c r="HF378" s="9"/>
      <c r="HG378" s="9"/>
      <c r="HH378" s="9"/>
      <c r="HI378" s="9"/>
      <c r="HJ378" s="9"/>
      <c r="HK378" s="9"/>
      <c r="HL378" s="9"/>
      <c r="HM378" s="9"/>
      <c r="HN378" s="9"/>
      <c r="HO378" s="9"/>
      <c r="HP378" s="9"/>
      <c r="HQ378" s="9"/>
      <c r="HR378" s="9"/>
      <c r="HS378" s="9"/>
      <c r="HT378" s="9"/>
      <c r="HU378" s="9"/>
      <c r="HV378" s="9"/>
      <c r="HW378" s="9"/>
      <c r="HX378" s="9"/>
      <c r="HY378" s="9"/>
      <c r="HZ378" s="9"/>
      <c r="IA378" s="9"/>
      <c r="IB378" s="67"/>
      <c r="IC378" s="68"/>
      <c r="ID378" s="63"/>
      <c r="IE378" s="71"/>
    </row>
    <row r="379" spans="1:239" s="11" customFormat="1" ht="26" x14ac:dyDescent="0.2">
      <c r="A379" s="9">
        <v>30</v>
      </c>
      <c r="B379" s="9"/>
      <c r="C379" s="9"/>
      <c r="D379" s="9" t="s">
        <v>126</v>
      </c>
      <c r="E379" s="65" t="s">
        <v>290</v>
      </c>
      <c r="F379" s="65"/>
      <c r="G379" s="92" t="s">
        <v>2408</v>
      </c>
      <c r="H379" s="66" t="s">
        <v>1313</v>
      </c>
      <c r="I379" s="9"/>
      <c r="J379" s="9" t="s">
        <v>1101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  <c r="EN379" s="9"/>
      <c r="EO379" s="9"/>
      <c r="EP379" s="9"/>
      <c r="EQ379" s="9"/>
      <c r="ER379" s="9"/>
      <c r="ES379" s="9"/>
      <c r="ET379" s="9"/>
      <c r="EU379" s="9"/>
      <c r="EV379" s="9"/>
      <c r="EW379" s="9"/>
      <c r="EX379" s="9"/>
      <c r="EY379" s="9"/>
      <c r="EZ379" s="9"/>
      <c r="FA379" s="9"/>
      <c r="FB379" s="9"/>
      <c r="FC379" s="9" t="s">
        <v>1101</v>
      </c>
      <c r="FD379" s="9"/>
      <c r="FE379" s="9"/>
      <c r="FF379" s="9"/>
      <c r="FG379" s="9"/>
      <c r="FH379" s="9"/>
      <c r="FI379" s="9"/>
      <c r="FJ379" s="9"/>
      <c r="FK379" s="9"/>
      <c r="FL379" s="9"/>
      <c r="FM379" s="9"/>
      <c r="FN379" s="9"/>
      <c r="FO379" s="9"/>
      <c r="FP379" s="9"/>
      <c r="FQ379" s="9"/>
      <c r="FR379" s="9"/>
      <c r="FS379" s="9"/>
      <c r="FT379" s="9"/>
      <c r="FU379" s="9"/>
      <c r="FV379" s="9"/>
      <c r="FW379" s="9"/>
      <c r="FX379" s="9"/>
      <c r="FY379" s="9"/>
      <c r="FZ379" s="9"/>
      <c r="GA379" s="9"/>
      <c r="GB379" s="9"/>
      <c r="GC379" s="9"/>
      <c r="GD379" s="9"/>
      <c r="GE379" s="9"/>
      <c r="GF379" s="9"/>
      <c r="GG379" s="9"/>
      <c r="GH379" s="9"/>
      <c r="GI379" s="9"/>
      <c r="GJ379" s="9"/>
      <c r="GK379" s="9"/>
      <c r="GL379" s="9"/>
      <c r="GM379" s="9"/>
      <c r="GN379" s="9"/>
      <c r="GO379" s="9"/>
      <c r="GP379" s="9"/>
      <c r="GQ379" s="9"/>
      <c r="GR379" s="9"/>
      <c r="GS379" s="9"/>
      <c r="GT379" s="9"/>
      <c r="GU379" s="9"/>
      <c r="GV379" s="9"/>
      <c r="GW379" s="9"/>
      <c r="GX379" s="9"/>
      <c r="GY379" s="9"/>
      <c r="GZ379" s="9"/>
      <c r="HA379" s="9"/>
      <c r="HB379" s="9"/>
      <c r="HC379" s="9"/>
      <c r="HD379" s="9"/>
      <c r="HE379" s="9"/>
      <c r="HF379" s="9"/>
      <c r="HG379" s="9"/>
      <c r="HH379" s="9"/>
      <c r="HI379" s="9"/>
      <c r="HJ379" s="9"/>
      <c r="HK379" s="9"/>
      <c r="HL379" s="9"/>
      <c r="HM379" s="9"/>
      <c r="HN379" s="9"/>
      <c r="HO379" s="9"/>
      <c r="HP379" s="9"/>
      <c r="HQ379" s="9"/>
      <c r="HR379" s="9"/>
      <c r="HS379" s="9"/>
      <c r="HT379" s="9"/>
      <c r="HU379" s="9"/>
      <c r="HV379" s="9"/>
      <c r="HW379" s="9"/>
      <c r="HX379" s="9"/>
      <c r="HY379" s="9"/>
      <c r="HZ379" s="9"/>
      <c r="IA379" s="9"/>
      <c r="IB379" s="67"/>
      <c r="IC379" s="68"/>
      <c r="ID379" s="63"/>
      <c r="IE379" s="71"/>
    </row>
    <row r="380" spans="1:239" s="11" customFormat="1" x14ac:dyDescent="0.2">
      <c r="A380" s="9">
        <v>30</v>
      </c>
      <c r="B380" s="9"/>
      <c r="C380" s="9"/>
      <c r="D380" s="9" t="s">
        <v>127</v>
      </c>
      <c r="E380" s="65" t="s">
        <v>291</v>
      </c>
      <c r="F380" s="65"/>
      <c r="G380" s="92" t="s">
        <v>2411</v>
      </c>
      <c r="H380" s="66" t="s">
        <v>1316</v>
      </c>
      <c r="I380" s="9"/>
      <c r="J380" s="9" t="s">
        <v>1101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  <c r="EN380" s="9"/>
      <c r="EO380" s="9"/>
      <c r="EP380" s="9"/>
      <c r="EQ380" s="9"/>
      <c r="ER380" s="9"/>
      <c r="ES380" s="9"/>
      <c r="ET380" s="9"/>
      <c r="EU380" s="9"/>
      <c r="EV380" s="9"/>
      <c r="EW380" s="9"/>
      <c r="EX380" s="9"/>
      <c r="EY380" s="9"/>
      <c r="EZ380" s="9"/>
      <c r="FA380" s="9"/>
      <c r="FB380" s="9"/>
      <c r="FC380" s="9"/>
      <c r="FD380" s="9"/>
      <c r="FE380" s="9"/>
      <c r="FF380" s="9"/>
      <c r="FG380" s="9" t="s">
        <v>1101</v>
      </c>
      <c r="FH380" s="9"/>
      <c r="FI380" s="9"/>
      <c r="FJ380" s="9"/>
      <c r="FK380" s="9"/>
      <c r="FL380" s="9"/>
      <c r="FM380" s="9"/>
      <c r="FN380" s="9"/>
      <c r="FO380" s="9"/>
      <c r="FP380" s="9"/>
      <c r="FQ380" s="9"/>
      <c r="FR380" s="9"/>
      <c r="FS380" s="9"/>
      <c r="FT380" s="9"/>
      <c r="FU380" s="9"/>
      <c r="FV380" s="9"/>
      <c r="FW380" s="9"/>
      <c r="FX380" s="9"/>
      <c r="FY380" s="9"/>
      <c r="FZ380" s="9"/>
      <c r="GA380" s="9"/>
      <c r="GB380" s="9"/>
      <c r="GC380" s="9"/>
      <c r="GD380" s="9"/>
      <c r="GE380" s="9"/>
      <c r="GF380" s="9"/>
      <c r="GG380" s="9"/>
      <c r="GH380" s="9"/>
      <c r="GI380" s="9"/>
      <c r="GJ380" s="9"/>
      <c r="GK380" s="9"/>
      <c r="GL380" s="9"/>
      <c r="GM380" s="9"/>
      <c r="GN380" s="9"/>
      <c r="GO380" s="9"/>
      <c r="GP380" s="9"/>
      <c r="GQ380" s="9"/>
      <c r="GR380" s="9"/>
      <c r="GS380" s="9"/>
      <c r="GT380" s="9"/>
      <c r="GU380" s="9"/>
      <c r="GV380" s="9"/>
      <c r="GW380" s="9"/>
      <c r="GX380" s="9"/>
      <c r="GY380" s="9"/>
      <c r="GZ380" s="9"/>
      <c r="HA380" s="9"/>
      <c r="HB380" s="9"/>
      <c r="HC380" s="9"/>
      <c r="HD380" s="9"/>
      <c r="HE380" s="9"/>
      <c r="HF380" s="9"/>
      <c r="HG380" s="9"/>
      <c r="HH380" s="9"/>
      <c r="HI380" s="9"/>
      <c r="HJ380" s="9"/>
      <c r="HK380" s="9"/>
      <c r="HL380" s="9"/>
      <c r="HM380" s="9"/>
      <c r="HN380" s="9"/>
      <c r="HO380" s="9"/>
      <c r="HP380" s="9"/>
      <c r="HQ380" s="9"/>
      <c r="HR380" s="9"/>
      <c r="HS380" s="9"/>
      <c r="HT380" s="9"/>
      <c r="HU380" s="9"/>
      <c r="HV380" s="9"/>
      <c r="HW380" s="9"/>
      <c r="HX380" s="9"/>
      <c r="HY380" s="9"/>
      <c r="HZ380" s="9"/>
      <c r="IA380" s="9"/>
      <c r="IB380" s="67"/>
      <c r="IC380" s="68"/>
      <c r="ID380" s="63"/>
      <c r="IE380" s="71"/>
    </row>
    <row r="381" spans="1:239" s="11" customFormat="1" x14ac:dyDescent="0.2">
      <c r="A381" s="9">
        <v>30</v>
      </c>
      <c r="B381" s="9"/>
      <c r="C381" s="9"/>
      <c r="D381" s="9" t="s">
        <v>128</v>
      </c>
      <c r="E381" s="65" t="s">
        <v>292</v>
      </c>
      <c r="F381" s="65"/>
      <c r="G381" s="92" t="s">
        <v>2416</v>
      </c>
      <c r="H381" s="66" t="s">
        <v>1321</v>
      </c>
      <c r="I381" s="9"/>
      <c r="J381" s="9" t="s">
        <v>1101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  <c r="EN381" s="9"/>
      <c r="EO381" s="9"/>
      <c r="EP381" s="9"/>
      <c r="EQ381" s="9"/>
      <c r="ER381" s="9"/>
      <c r="ES381" s="9"/>
      <c r="ET381" s="9"/>
      <c r="EU381" s="9"/>
      <c r="EV381" s="9"/>
      <c r="EW381" s="9"/>
      <c r="EX381" s="9"/>
      <c r="EY381" s="9"/>
      <c r="EZ381" s="9"/>
      <c r="FA381" s="9"/>
      <c r="FB381" s="9"/>
      <c r="FC381" s="9"/>
      <c r="FD381" s="9"/>
      <c r="FE381" s="9"/>
      <c r="FF381" s="9"/>
      <c r="FG381" s="9"/>
      <c r="FH381" s="9"/>
      <c r="FI381" s="9"/>
      <c r="FJ381" s="9"/>
      <c r="FK381" s="9" t="s">
        <v>1101</v>
      </c>
      <c r="FL381" s="9"/>
      <c r="FM381" s="9"/>
      <c r="FN381" s="9"/>
      <c r="FO381" s="9"/>
      <c r="FP381" s="9"/>
      <c r="FQ381" s="9"/>
      <c r="FR381" s="9"/>
      <c r="FS381" s="9"/>
      <c r="FT381" s="9"/>
      <c r="FU381" s="9"/>
      <c r="FV381" s="9"/>
      <c r="FW381" s="9"/>
      <c r="FX381" s="9"/>
      <c r="FY381" s="9"/>
      <c r="FZ381" s="9"/>
      <c r="GA381" s="9"/>
      <c r="GB381" s="9"/>
      <c r="GC381" s="9"/>
      <c r="GD381" s="9"/>
      <c r="GE381" s="9"/>
      <c r="GF381" s="9"/>
      <c r="GG381" s="9"/>
      <c r="GH381" s="9"/>
      <c r="GI381" s="9"/>
      <c r="GJ381" s="9"/>
      <c r="GK381" s="9"/>
      <c r="GL381" s="9"/>
      <c r="GM381" s="9"/>
      <c r="GN381" s="9"/>
      <c r="GO381" s="9"/>
      <c r="GP381" s="9"/>
      <c r="GQ381" s="9"/>
      <c r="GR381" s="9"/>
      <c r="GS381" s="9"/>
      <c r="GT381" s="9"/>
      <c r="GU381" s="9"/>
      <c r="GV381" s="9"/>
      <c r="GW381" s="9"/>
      <c r="GX381" s="9"/>
      <c r="GY381" s="9"/>
      <c r="GZ381" s="9"/>
      <c r="HA381" s="9"/>
      <c r="HB381" s="9"/>
      <c r="HC381" s="9"/>
      <c r="HD381" s="9"/>
      <c r="HE381" s="9"/>
      <c r="HF381" s="9"/>
      <c r="HG381" s="9"/>
      <c r="HH381" s="9"/>
      <c r="HI381" s="9"/>
      <c r="HJ381" s="9"/>
      <c r="HK381" s="9"/>
      <c r="HL381" s="9"/>
      <c r="HM381" s="9"/>
      <c r="HN381" s="9"/>
      <c r="HO381" s="9"/>
      <c r="HP381" s="9"/>
      <c r="HQ381" s="9"/>
      <c r="HR381" s="9"/>
      <c r="HS381" s="9"/>
      <c r="HT381" s="9"/>
      <c r="HU381" s="9"/>
      <c r="HV381" s="9"/>
      <c r="HW381" s="9"/>
      <c r="HX381" s="9"/>
      <c r="HY381" s="9"/>
      <c r="HZ381" s="9"/>
      <c r="IA381" s="9"/>
      <c r="IB381" s="67"/>
      <c r="IC381" s="68"/>
      <c r="ID381" s="63"/>
      <c r="IE381" s="71"/>
    </row>
    <row r="382" spans="1:239" s="11" customFormat="1" x14ac:dyDescent="0.2">
      <c r="A382" s="9">
        <v>30</v>
      </c>
      <c r="B382" s="9"/>
      <c r="C382" s="9"/>
      <c r="D382" s="9" t="s">
        <v>129</v>
      </c>
      <c r="E382" s="65" t="s">
        <v>293</v>
      </c>
      <c r="F382" s="65"/>
      <c r="G382" s="92" t="s">
        <v>2420</v>
      </c>
      <c r="H382" s="66" t="s">
        <v>1325</v>
      </c>
      <c r="I382" s="9"/>
      <c r="J382" s="9" t="s">
        <v>1101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  <c r="EN382" s="9"/>
      <c r="EO382" s="9"/>
      <c r="EP382" s="9"/>
      <c r="EQ382" s="9"/>
      <c r="ER382" s="9"/>
      <c r="ES382" s="9"/>
      <c r="ET382" s="9"/>
      <c r="EU382" s="9"/>
      <c r="EV382" s="9"/>
      <c r="EW382" s="9"/>
      <c r="EX382" s="9"/>
      <c r="EY382" s="9"/>
      <c r="EZ382" s="9"/>
      <c r="FA382" s="9"/>
      <c r="FB382" s="9"/>
      <c r="FC382" s="9"/>
      <c r="FD382" s="9"/>
      <c r="FE382" s="9"/>
      <c r="FF382" s="9"/>
      <c r="FG382" s="9"/>
      <c r="FH382" s="9"/>
      <c r="FI382" s="9"/>
      <c r="FJ382" s="9"/>
      <c r="FK382" s="9"/>
      <c r="FL382" s="9"/>
      <c r="FM382" s="9"/>
      <c r="FN382" s="9"/>
      <c r="FO382" s="9" t="s">
        <v>1101</v>
      </c>
      <c r="FP382" s="9"/>
      <c r="FQ382" s="9"/>
      <c r="FR382" s="9"/>
      <c r="FS382" s="9"/>
      <c r="FT382" s="9"/>
      <c r="FU382" s="9"/>
      <c r="FV382" s="9"/>
      <c r="FW382" s="9"/>
      <c r="FX382" s="9"/>
      <c r="FY382" s="9"/>
      <c r="FZ382" s="9"/>
      <c r="GA382" s="9"/>
      <c r="GB382" s="9"/>
      <c r="GC382" s="9"/>
      <c r="GD382" s="9"/>
      <c r="GE382" s="9"/>
      <c r="GF382" s="9"/>
      <c r="GG382" s="9"/>
      <c r="GH382" s="9"/>
      <c r="GI382" s="9"/>
      <c r="GJ382" s="9"/>
      <c r="GK382" s="9"/>
      <c r="GL382" s="9"/>
      <c r="GM382" s="9"/>
      <c r="GN382" s="9"/>
      <c r="GO382" s="9"/>
      <c r="GP382" s="9"/>
      <c r="GQ382" s="9"/>
      <c r="GR382" s="9"/>
      <c r="GS382" s="9"/>
      <c r="GT382" s="9"/>
      <c r="GU382" s="9"/>
      <c r="GV382" s="9"/>
      <c r="GW382" s="9"/>
      <c r="GX382" s="9"/>
      <c r="GY382" s="9"/>
      <c r="GZ382" s="9"/>
      <c r="HA382" s="9"/>
      <c r="HB382" s="9"/>
      <c r="HC382" s="9"/>
      <c r="HD382" s="9"/>
      <c r="HE382" s="9"/>
      <c r="HF382" s="9"/>
      <c r="HG382" s="9"/>
      <c r="HH382" s="9"/>
      <c r="HI382" s="9"/>
      <c r="HJ382" s="9"/>
      <c r="HK382" s="9"/>
      <c r="HL382" s="9"/>
      <c r="HM382" s="9"/>
      <c r="HN382" s="9"/>
      <c r="HO382" s="9"/>
      <c r="HP382" s="9"/>
      <c r="HQ382" s="9"/>
      <c r="HR382" s="9"/>
      <c r="HS382" s="9"/>
      <c r="HT382" s="9"/>
      <c r="HU382" s="9"/>
      <c r="HV382" s="9"/>
      <c r="HW382" s="9"/>
      <c r="HX382" s="9"/>
      <c r="HY382" s="9"/>
      <c r="HZ382" s="9"/>
      <c r="IA382" s="9"/>
      <c r="IB382" s="67"/>
      <c r="IC382" s="68"/>
      <c r="ID382" s="63"/>
      <c r="IE382" s="71"/>
    </row>
    <row r="383" spans="1:239" s="11" customFormat="1" x14ac:dyDescent="0.2">
      <c r="A383" s="9">
        <v>30</v>
      </c>
      <c r="B383" s="9"/>
      <c r="C383" s="9"/>
      <c r="D383" s="9" t="s">
        <v>130</v>
      </c>
      <c r="E383" s="65" t="s">
        <v>294</v>
      </c>
      <c r="F383" s="65"/>
      <c r="G383" s="92" t="s">
        <v>2425</v>
      </c>
      <c r="H383" s="66" t="s">
        <v>1330</v>
      </c>
      <c r="I383" s="9"/>
      <c r="J383" s="9" t="s">
        <v>1101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  <c r="EN383" s="9"/>
      <c r="EO383" s="9"/>
      <c r="EP383" s="9"/>
      <c r="EQ383" s="9"/>
      <c r="ER383" s="9"/>
      <c r="ES383" s="9"/>
      <c r="ET383" s="9"/>
      <c r="EU383" s="9"/>
      <c r="EV383" s="9"/>
      <c r="EW383" s="9"/>
      <c r="EX383" s="9"/>
      <c r="EY383" s="9"/>
      <c r="EZ383" s="9"/>
      <c r="FA383" s="9"/>
      <c r="FB383" s="9"/>
      <c r="FC383" s="9"/>
      <c r="FD383" s="9"/>
      <c r="FE383" s="9"/>
      <c r="FF383" s="9"/>
      <c r="FG383" s="9"/>
      <c r="FH383" s="9"/>
      <c r="FI383" s="9"/>
      <c r="FJ383" s="9"/>
      <c r="FK383" s="9"/>
      <c r="FL383" s="9"/>
      <c r="FM383" s="9"/>
      <c r="FN383" s="9"/>
      <c r="FO383" s="9"/>
      <c r="FP383" s="9"/>
      <c r="FQ383" s="9"/>
      <c r="FR383" s="9"/>
      <c r="FS383" s="9" t="s">
        <v>1101</v>
      </c>
      <c r="FT383" s="9"/>
      <c r="FU383" s="9"/>
      <c r="FV383" s="9"/>
      <c r="FW383" s="9"/>
      <c r="FX383" s="9"/>
      <c r="FY383" s="9"/>
      <c r="FZ383" s="9"/>
      <c r="GA383" s="9"/>
      <c r="GB383" s="9"/>
      <c r="GC383" s="9"/>
      <c r="GD383" s="9"/>
      <c r="GE383" s="9"/>
      <c r="GF383" s="9"/>
      <c r="GG383" s="9"/>
      <c r="GH383" s="9"/>
      <c r="GI383" s="9"/>
      <c r="GJ383" s="9"/>
      <c r="GK383" s="9"/>
      <c r="GL383" s="9"/>
      <c r="GM383" s="9"/>
      <c r="GN383" s="9"/>
      <c r="GO383" s="9"/>
      <c r="GP383" s="9"/>
      <c r="GQ383" s="9"/>
      <c r="GR383" s="9"/>
      <c r="GS383" s="9"/>
      <c r="GT383" s="9"/>
      <c r="GU383" s="9"/>
      <c r="GV383" s="9"/>
      <c r="GW383" s="9"/>
      <c r="GX383" s="9"/>
      <c r="GY383" s="9"/>
      <c r="GZ383" s="9"/>
      <c r="HA383" s="9"/>
      <c r="HB383" s="9"/>
      <c r="HC383" s="9"/>
      <c r="HD383" s="9"/>
      <c r="HE383" s="9"/>
      <c r="HF383" s="9"/>
      <c r="HG383" s="9"/>
      <c r="HH383" s="9"/>
      <c r="HI383" s="9"/>
      <c r="HJ383" s="9"/>
      <c r="HK383" s="9"/>
      <c r="HL383" s="9"/>
      <c r="HM383" s="9"/>
      <c r="HN383" s="9"/>
      <c r="HO383" s="9"/>
      <c r="HP383" s="9"/>
      <c r="HQ383" s="9"/>
      <c r="HR383" s="9"/>
      <c r="HS383" s="9"/>
      <c r="HT383" s="9"/>
      <c r="HU383" s="9"/>
      <c r="HV383" s="9"/>
      <c r="HW383" s="9"/>
      <c r="HX383" s="9"/>
      <c r="HY383" s="9"/>
      <c r="HZ383" s="9"/>
      <c r="IA383" s="9"/>
      <c r="IB383" s="67"/>
      <c r="IC383" s="68"/>
      <c r="ID383" s="63"/>
      <c r="IE383" s="71"/>
    </row>
    <row r="384" spans="1:239" s="11" customFormat="1" x14ac:dyDescent="0.2">
      <c r="A384" s="9">
        <v>30</v>
      </c>
      <c r="B384" s="9"/>
      <c r="C384" s="9"/>
      <c r="D384" s="9" t="s">
        <v>131</v>
      </c>
      <c r="E384" s="65" t="s">
        <v>295</v>
      </c>
      <c r="F384" s="65"/>
      <c r="G384" s="92" t="s">
        <v>2428</v>
      </c>
      <c r="H384" s="66" t="s">
        <v>1333</v>
      </c>
      <c r="I384" s="9"/>
      <c r="J384" s="9" t="s">
        <v>1101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  <c r="EN384" s="9"/>
      <c r="EO384" s="9"/>
      <c r="EP384" s="9"/>
      <c r="EQ384" s="9"/>
      <c r="ER384" s="9"/>
      <c r="ES384" s="9"/>
      <c r="ET384" s="9"/>
      <c r="EU384" s="9"/>
      <c r="EV384" s="9"/>
      <c r="EW384" s="9"/>
      <c r="EX384" s="9"/>
      <c r="EY384" s="9"/>
      <c r="EZ384" s="9"/>
      <c r="FA384" s="9"/>
      <c r="FB384" s="9"/>
      <c r="FC384" s="9"/>
      <c r="FD384" s="9"/>
      <c r="FE384" s="9"/>
      <c r="FF384" s="9"/>
      <c r="FG384" s="9"/>
      <c r="FH384" s="9"/>
      <c r="FI384" s="9"/>
      <c r="FJ384" s="9"/>
      <c r="FK384" s="9"/>
      <c r="FL384" s="9"/>
      <c r="FM384" s="9"/>
      <c r="FN384" s="9"/>
      <c r="FO384" s="9"/>
      <c r="FP384" s="9"/>
      <c r="FQ384" s="9"/>
      <c r="FR384" s="9"/>
      <c r="FS384" s="9"/>
      <c r="FT384" s="9"/>
      <c r="FU384" s="9"/>
      <c r="FV384" s="9"/>
      <c r="FW384" s="9" t="s">
        <v>1101</v>
      </c>
      <c r="FX384" s="9"/>
      <c r="FY384" s="9"/>
      <c r="FZ384" s="9"/>
      <c r="GA384" s="9"/>
      <c r="GB384" s="9"/>
      <c r="GC384" s="9"/>
      <c r="GD384" s="9"/>
      <c r="GE384" s="9"/>
      <c r="GF384" s="9"/>
      <c r="GG384" s="9"/>
      <c r="GH384" s="9"/>
      <c r="GI384" s="9"/>
      <c r="GJ384" s="9"/>
      <c r="GK384" s="9"/>
      <c r="GL384" s="9"/>
      <c r="GM384" s="9"/>
      <c r="GN384" s="9"/>
      <c r="GO384" s="9"/>
      <c r="GP384" s="9"/>
      <c r="GQ384" s="9"/>
      <c r="GR384" s="9"/>
      <c r="GS384" s="9"/>
      <c r="GT384" s="9"/>
      <c r="GU384" s="9"/>
      <c r="GV384" s="9"/>
      <c r="GW384" s="9"/>
      <c r="GX384" s="9"/>
      <c r="GY384" s="9"/>
      <c r="GZ384" s="9"/>
      <c r="HA384" s="9"/>
      <c r="HB384" s="9"/>
      <c r="HC384" s="9"/>
      <c r="HD384" s="9"/>
      <c r="HE384" s="9"/>
      <c r="HF384" s="9"/>
      <c r="HG384" s="9"/>
      <c r="HH384" s="9"/>
      <c r="HI384" s="9"/>
      <c r="HJ384" s="9"/>
      <c r="HK384" s="9"/>
      <c r="HL384" s="9"/>
      <c r="HM384" s="9"/>
      <c r="HN384" s="9"/>
      <c r="HO384" s="9"/>
      <c r="HP384" s="9"/>
      <c r="HQ384" s="9"/>
      <c r="HR384" s="9"/>
      <c r="HS384" s="9"/>
      <c r="HT384" s="9"/>
      <c r="HU384" s="9"/>
      <c r="HV384" s="9"/>
      <c r="HW384" s="9"/>
      <c r="HX384" s="9"/>
      <c r="HY384" s="9"/>
      <c r="HZ384" s="9"/>
      <c r="IA384" s="9"/>
      <c r="IB384" s="67"/>
      <c r="IC384" s="68"/>
      <c r="ID384" s="63"/>
      <c r="IE384" s="71"/>
    </row>
    <row r="385" spans="1:239" s="11" customFormat="1" x14ac:dyDescent="0.2">
      <c r="A385" s="9">
        <v>30</v>
      </c>
      <c r="B385" s="9"/>
      <c r="C385" s="9"/>
      <c r="D385" s="9" t="s">
        <v>132</v>
      </c>
      <c r="E385" s="65" t="s">
        <v>296</v>
      </c>
      <c r="F385" s="65"/>
      <c r="G385" s="92" t="s">
        <v>2431</v>
      </c>
      <c r="H385" s="66" t="s">
        <v>1336</v>
      </c>
      <c r="I385" s="9"/>
      <c r="J385" s="9" t="s">
        <v>1101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  <c r="EN385" s="9"/>
      <c r="EO385" s="9"/>
      <c r="EP385" s="9"/>
      <c r="EQ385" s="9"/>
      <c r="ER385" s="9"/>
      <c r="ES385" s="9"/>
      <c r="ET385" s="9"/>
      <c r="EU385" s="9"/>
      <c r="EV385" s="9"/>
      <c r="EW385" s="9"/>
      <c r="EX385" s="9"/>
      <c r="EY385" s="9"/>
      <c r="EZ385" s="9"/>
      <c r="FA385" s="9"/>
      <c r="FB385" s="9"/>
      <c r="FC385" s="9"/>
      <c r="FD385" s="9"/>
      <c r="FE385" s="9"/>
      <c r="FF385" s="9"/>
      <c r="FG385" s="9"/>
      <c r="FH385" s="9"/>
      <c r="FI385" s="9"/>
      <c r="FJ385" s="9"/>
      <c r="FK385" s="9"/>
      <c r="FL385" s="9"/>
      <c r="FM385" s="9"/>
      <c r="FN385" s="9"/>
      <c r="FO385" s="9"/>
      <c r="FP385" s="9"/>
      <c r="FQ385" s="9"/>
      <c r="FR385" s="9"/>
      <c r="FS385" s="9"/>
      <c r="FT385" s="9"/>
      <c r="FU385" s="9"/>
      <c r="FV385" s="9"/>
      <c r="FW385" s="9"/>
      <c r="FX385" s="9"/>
      <c r="FY385" s="9"/>
      <c r="FZ385" s="9"/>
      <c r="GA385" s="9" t="s">
        <v>1101</v>
      </c>
      <c r="GB385" s="9"/>
      <c r="GC385" s="9"/>
      <c r="GD385" s="9"/>
      <c r="GE385" s="9"/>
      <c r="GF385" s="9"/>
      <c r="GG385" s="9"/>
      <c r="GH385" s="9"/>
      <c r="GI385" s="9"/>
      <c r="GJ385" s="9"/>
      <c r="GK385" s="9"/>
      <c r="GL385" s="9"/>
      <c r="GM385" s="9"/>
      <c r="GN385" s="9"/>
      <c r="GO385" s="9"/>
      <c r="GP385" s="9"/>
      <c r="GQ385" s="9"/>
      <c r="GR385" s="9"/>
      <c r="GS385" s="9"/>
      <c r="GT385" s="9"/>
      <c r="GU385" s="9"/>
      <c r="GV385" s="9"/>
      <c r="GW385" s="9"/>
      <c r="GX385" s="9"/>
      <c r="GY385" s="9"/>
      <c r="GZ385" s="9"/>
      <c r="HA385" s="9"/>
      <c r="HB385" s="9"/>
      <c r="HC385" s="9"/>
      <c r="HD385" s="9"/>
      <c r="HE385" s="9"/>
      <c r="HF385" s="9"/>
      <c r="HG385" s="9"/>
      <c r="HH385" s="9"/>
      <c r="HI385" s="9"/>
      <c r="HJ385" s="9"/>
      <c r="HK385" s="9"/>
      <c r="HL385" s="9"/>
      <c r="HM385" s="9"/>
      <c r="HN385" s="9"/>
      <c r="HO385" s="9"/>
      <c r="HP385" s="9"/>
      <c r="HQ385" s="9"/>
      <c r="HR385" s="9"/>
      <c r="HS385" s="9"/>
      <c r="HT385" s="9"/>
      <c r="HU385" s="9"/>
      <c r="HV385" s="9"/>
      <c r="HW385" s="9"/>
      <c r="HX385" s="9"/>
      <c r="HY385" s="9"/>
      <c r="HZ385" s="9"/>
      <c r="IA385" s="9"/>
      <c r="IB385" s="67"/>
      <c r="IC385" s="68"/>
      <c r="ID385" s="63"/>
      <c r="IE385" s="71"/>
    </row>
    <row r="386" spans="1:239" s="11" customFormat="1" x14ac:dyDescent="0.2">
      <c r="A386" s="9">
        <v>30</v>
      </c>
      <c r="B386" s="9"/>
      <c r="C386" s="9"/>
      <c r="D386" s="9" t="s">
        <v>728</v>
      </c>
      <c r="E386" s="65" t="s">
        <v>683</v>
      </c>
      <c r="F386" s="65"/>
      <c r="G386" s="92" t="s">
        <v>2434</v>
      </c>
      <c r="H386" s="66" t="s">
        <v>1339</v>
      </c>
      <c r="I386" s="9"/>
      <c r="J386" s="9" t="s">
        <v>1101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  <c r="EN386" s="9"/>
      <c r="EO386" s="9"/>
      <c r="EP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E386" s="9"/>
      <c r="FF386" s="9"/>
      <c r="FG386" s="9"/>
      <c r="FH386" s="9"/>
      <c r="FI386" s="9"/>
      <c r="FJ386" s="9"/>
      <c r="FK386" s="9"/>
      <c r="FL386" s="9"/>
      <c r="FM386" s="9"/>
      <c r="FN386" s="9"/>
      <c r="FO386" s="9"/>
      <c r="FP386" s="9"/>
      <c r="FQ386" s="9"/>
      <c r="FR386" s="9"/>
      <c r="FS386" s="9"/>
      <c r="FT386" s="9"/>
      <c r="FU386" s="9"/>
      <c r="FV386" s="9"/>
      <c r="FW386" s="9"/>
      <c r="FX386" s="9"/>
      <c r="FY386" s="9"/>
      <c r="FZ386" s="9"/>
      <c r="GA386" s="9"/>
      <c r="GB386" s="9"/>
      <c r="GC386" s="9"/>
      <c r="GD386" s="9"/>
      <c r="GE386" s="9" t="s">
        <v>1101</v>
      </c>
      <c r="GF386" s="9"/>
      <c r="GG386" s="9"/>
      <c r="GH386" s="9"/>
      <c r="GI386" s="9"/>
      <c r="GJ386" s="9"/>
      <c r="GK386" s="9"/>
      <c r="GL386" s="9"/>
      <c r="GM386" s="9"/>
      <c r="GN386" s="9"/>
      <c r="GO386" s="9"/>
      <c r="GP386" s="9"/>
      <c r="GQ386" s="9"/>
      <c r="GR386" s="9"/>
      <c r="GS386" s="9"/>
      <c r="GT386" s="9"/>
      <c r="GU386" s="9"/>
      <c r="GV386" s="9"/>
      <c r="GW386" s="9"/>
      <c r="GX386" s="9"/>
      <c r="GY386" s="9"/>
      <c r="GZ386" s="9"/>
      <c r="HA386" s="9"/>
      <c r="HB386" s="9"/>
      <c r="HC386" s="9"/>
      <c r="HD386" s="9"/>
      <c r="HE386" s="9"/>
      <c r="HF386" s="9"/>
      <c r="HG386" s="9"/>
      <c r="HH386" s="9"/>
      <c r="HI386" s="9"/>
      <c r="HJ386" s="9"/>
      <c r="HK386" s="9"/>
      <c r="HL386" s="9"/>
      <c r="HM386" s="9"/>
      <c r="HN386" s="9"/>
      <c r="HO386" s="9"/>
      <c r="HP386" s="9"/>
      <c r="HQ386" s="9"/>
      <c r="HR386" s="9"/>
      <c r="HS386" s="9"/>
      <c r="HT386" s="9"/>
      <c r="HU386" s="9"/>
      <c r="HV386" s="9"/>
      <c r="HW386" s="9"/>
      <c r="HX386" s="9"/>
      <c r="HY386" s="9"/>
      <c r="HZ386" s="9"/>
      <c r="IA386" s="9"/>
      <c r="IB386" s="67"/>
      <c r="IC386" s="68"/>
      <c r="ID386" s="63"/>
      <c r="IE386" s="71"/>
    </row>
    <row r="387" spans="1:239" s="11" customFormat="1" x14ac:dyDescent="0.2">
      <c r="A387" s="9">
        <v>30</v>
      </c>
      <c r="B387" s="9"/>
      <c r="C387" s="9"/>
      <c r="D387" s="9" t="s">
        <v>748</v>
      </c>
      <c r="E387" s="65" t="s">
        <v>753</v>
      </c>
      <c r="F387" s="65"/>
      <c r="G387" s="92" t="s">
        <v>2437</v>
      </c>
      <c r="H387" s="66" t="s">
        <v>1342</v>
      </c>
      <c r="I387" s="9"/>
      <c r="J387" s="9" t="s">
        <v>1101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  <c r="EN387" s="9"/>
      <c r="EO387" s="9"/>
      <c r="EP387" s="9"/>
      <c r="EQ387" s="9"/>
      <c r="ER387" s="9"/>
      <c r="ES387" s="9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9"/>
      <c r="FE387" s="9"/>
      <c r="FF387" s="9"/>
      <c r="FG387" s="9"/>
      <c r="FH387" s="9"/>
      <c r="FI387" s="9"/>
      <c r="FJ387" s="9"/>
      <c r="FK387" s="9"/>
      <c r="FL387" s="9"/>
      <c r="FM387" s="9"/>
      <c r="FN387" s="9"/>
      <c r="FO387" s="9"/>
      <c r="FP387" s="9"/>
      <c r="FQ387" s="9"/>
      <c r="FR387" s="9"/>
      <c r="FS387" s="9"/>
      <c r="FT387" s="9"/>
      <c r="FU387" s="9"/>
      <c r="FV387" s="9"/>
      <c r="FW387" s="9"/>
      <c r="FX387" s="9"/>
      <c r="FY387" s="9"/>
      <c r="FZ387" s="9"/>
      <c r="GA387" s="9"/>
      <c r="GB387" s="9"/>
      <c r="GC387" s="9"/>
      <c r="GD387" s="9"/>
      <c r="GE387" s="9"/>
      <c r="GF387" s="9"/>
      <c r="GG387" s="9"/>
      <c r="GH387" s="9"/>
      <c r="GI387" s="9" t="s">
        <v>1101</v>
      </c>
      <c r="GJ387" s="9"/>
      <c r="GK387" s="9"/>
      <c r="GL387" s="9"/>
      <c r="GM387" s="9"/>
      <c r="GN387" s="9"/>
      <c r="GO387" s="9"/>
      <c r="GP387" s="9"/>
      <c r="GQ387" s="9"/>
      <c r="GR387" s="9"/>
      <c r="GS387" s="9"/>
      <c r="GT387" s="9"/>
      <c r="GU387" s="9"/>
      <c r="GV387" s="9"/>
      <c r="GW387" s="9"/>
      <c r="GX387" s="9"/>
      <c r="GY387" s="9"/>
      <c r="GZ387" s="9"/>
      <c r="HA387" s="9"/>
      <c r="HB387" s="9"/>
      <c r="HC387" s="9"/>
      <c r="HD387" s="9"/>
      <c r="HE387" s="9"/>
      <c r="HF387" s="9"/>
      <c r="HG387" s="9"/>
      <c r="HH387" s="9"/>
      <c r="HI387" s="9"/>
      <c r="HJ387" s="9"/>
      <c r="HK387" s="9"/>
      <c r="HL387" s="9"/>
      <c r="HM387" s="9"/>
      <c r="HN387" s="9"/>
      <c r="HO387" s="9"/>
      <c r="HP387" s="9"/>
      <c r="HQ387" s="9"/>
      <c r="HR387" s="9"/>
      <c r="HS387" s="9"/>
      <c r="HT387" s="9"/>
      <c r="HU387" s="9"/>
      <c r="HV387" s="9"/>
      <c r="HW387" s="9"/>
      <c r="HX387" s="9"/>
      <c r="HY387" s="9"/>
      <c r="HZ387" s="9"/>
      <c r="IA387" s="9"/>
      <c r="IB387" s="67"/>
      <c r="IC387" s="68"/>
      <c r="ID387" s="63"/>
      <c r="IE387" s="71"/>
    </row>
    <row r="388" spans="1:239" s="11" customFormat="1" x14ac:dyDescent="0.2">
      <c r="A388" s="9">
        <v>30</v>
      </c>
      <c r="B388" s="9"/>
      <c r="C388" s="9"/>
      <c r="D388" s="9" t="s">
        <v>835</v>
      </c>
      <c r="E388" s="65" t="s">
        <v>836</v>
      </c>
      <c r="F388" s="65"/>
      <c r="G388" s="92" t="s">
        <v>2440</v>
      </c>
      <c r="H388" s="66" t="s">
        <v>1396</v>
      </c>
      <c r="I388" s="9"/>
      <c r="J388" s="9" t="s">
        <v>1101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  <c r="EN388" s="9"/>
      <c r="EO388" s="9"/>
      <c r="EP388" s="9"/>
      <c r="EQ388" s="9"/>
      <c r="ER388" s="9"/>
      <c r="ES388" s="9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9"/>
      <c r="FE388" s="9"/>
      <c r="FF388" s="9"/>
      <c r="FG388" s="9"/>
      <c r="FH388" s="9"/>
      <c r="FI388" s="9"/>
      <c r="FJ388" s="9"/>
      <c r="FK388" s="9"/>
      <c r="FL388" s="9"/>
      <c r="FM388" s="9"/>
      <c r="FN388" s="9"/>
      <c r="FO388" s="9"/>
      <c r="FP388" s="9"/>
      <c r="FQ388" s="9"/>
      <c r="FR388" s="9"/>
      <c r="FS388" s="9"/>
      <c r="FT388" s="9"/>
      <c r="FU388" s="9"/>
      <c r="FV388" s="9"/>
      <c r="FW388" s="9"/>
      <c r="FX388" s="9"/>
      <c r="FY388" s="9"/>
      <c r="FZ388" s="9"/>
      <c r="GA388" s="9"/>
      <c r="GB388" s="9"/>
      <c r="GC388" s="9"/>
      <c r="GD388" s="9"/>
      <c r="GE388" s="9"/>
      <c r="GF388" s="9"/>
      <c r="GG388" s="9"/>
      <c r="GH388" s="9"/>
      <c r="GI388" s="9"/>
      <c r="GJ388" s="9"/>
      <c r="GK388" s="9"/>
      <c r="GL388" s="9"/>
      <c r="GM388" s="9" t="s">
        <v>1101</v>
      </c>
      <c r="GN388" s="9"/>
      <c r="GO388" s="9"/>
      <c r="GP388" s="9"/>
      <c r="GQ388" s="9"/>
      <c r="GR388" s="9"/>
      <c r="GS388" s="9"/>
      <c r="GT388" s="9"/>
      <c r="GU388" s="9"/>
      <c r="GV388" s="9"/>
      <c r="GW388" s="9"/>
      <c r="GX388" s="9"/>
      <c r="GY388" s="9"/>
      <c r="GZ388" s="9"/>
      <c r="HA388" s="9"/>
      <c r="HB388" s="9"/>
      <c r="HC388" s="9"/>
      <c r="HD388" s="9"/>
      <c r="HE388" s="9"/>
      <c r="HF388" s="9"/>
      <c r="HG388" s="9"/>
      <c r="HH388" s="9"/>
      <c r="HI388" s="9"/>
      <c r="HJ388" s="9"/>
      <c r="HK388" s="9"/>
      <c r="HL388" s="9"/>
      <c r="HM388" s="9"/>
      <c r="HN388" s="9"/>
      <c r="HO388" s="9"/>
      <c r="HP388" s="9"/>
      <c r="HQ388" s="9"/>
      <c r="HR388" s="9"/>
      <c r="HS388" s="9"/>
      <c r="HT388" s="9"/>
      <c r="HU388" s="9"/>
      <c r="HV388" s="9"/>
      <c r="HW388" s="9"/>
      <c r="HX388" s="9"/>
      <c r="HY388" s="9"/>
      <c r="HZ388" s="9"/>
      <c r="IA388" s="9"/>
      <c r="IB388" s="67"/>
      <c r="IC388" s="68"/>
      <c r="ID388" s="63"/>
      <c r="IE388" s="71"/>
    </row>
    <row r="389" spans="1:239" s="11" customFormat="1" x14ac:dyDescent="0.2">
      <c r="A389" s="9">
        <v>30</v>
      </c>
      <c r="B389" s="9"/>
      <c r="C389" s="9"/>
      <c r="D389" s="9" t="s">
        <v>771</v>
      </c>
      <c r="E389" s="65" t="s">
        <v>788</v>
      </c>
      <c r="F389" s="65"/>
      <c r="G389" s="92" t="s">
        <v>2443</v>
      </c>
      <c r="H389" s="66" t="s">
        <v>1348</v>
      </c>
      <c r="I389" s="9"/>
      <c r="J389" s="9" t="s">
        <v>1101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  <c r="EN389" s="9"/>
      <c r="EO389" s="9"/>
      <c r="EP389" s="9"/>
      <c r="EQ389" s="9"/>
      <c r="ER389" s="9"/>
      <c r="ES389" s="9"/>
      <c r="ET389" s="9"/>
      <c r="EU389" s="9"/>
      <c r="EV389" s="9"/>
      <c r="EW389" s="9"/>
      <c r="EX389" s="9"/>
      <c r="EY389" s="9"/>
      <c r="EZ389" s="9"/>
      <c r="FA389" s="9"/>
      <c r="FB389" s="9"/>
      <c r="FC389" s="9"/>
      <c r="FD389" s="9"/>
      <c r="FE389" s="9"/>
      <c r="FF389" s="9"/>
      <c r="FG389" s="9"/>
      <c r="FH389" s="9"/>
      <c r="FI389" s="9"/>
      <c r="FJ389" s="9"/>
      <c r="FK389" s="9"/>
      <c r="FL389" s="9"/>
      <c r="FM389" s="9"/>
      <c r="FN389" s="9"/>
      <c r="FO389" s="9"/>
      <c r="FP389" s="9"/>
      <c r="FQ389" s="9"/>
      <c r="FR389" s="9"/>
      <c r="FS389" s="9"/>
      <c r="FT389" s="9"/>
      <c r="FU389" s="9"/>
      <c r="FV389" s="9"/>
      <c r="FW389" s="9"/>
      <c r="FX389" s="9"/>
      <c r="FY389" s="9"/>
      <c r="FZ389" s="9"/>
      <c r="GA389" s="9"/>
      <c r="GB389" s="9"/>
      <c r="GC389" s="9"/>
      <c r="GD389" s="9"/>
      <c r="GE389" s="9"/>
      <c r="GF389" s="9"/>
      <c r="GG389" s="9"/>
      <c r="GH389" s="9"/>
      <c r="GI389" s="9"/>
      <c r="GJ389" s="9"/>
      <c r="GK389" s="9"/>
      <c r="GL389" s="9"/>
      <c r="GM389" s="9"/>
      <c r="GN389" s="9"/>
      <c r="GO389" s="9"/>
      <c r="GP389" s="9"/>
      <c r="GQ389" s="9" t="s">
        <v>1101</v>
      </c>
      <c r="GR389" s="9"/>
      <c r="GS389" s="9"/>
      <c r="GT389" s="9"/>
      <c r="GU389" s="9"/>
      <c r="GV389" s="9"/>
      <c r="GW389" s="9"/>
      <c r="GX389" s="9"/>
      <c r="GY389" s="9"/>
      <c r="GZ389" s="9"/>
      <c r="HA389" s="9"/>
      <c r="HB389" s="9"/>
      <c r="HC389" s="9"/>
      <c r="HD389" s="9"/>
      <c r="HE389" s="9"/>
      <c r="HF389" s="9"/>
      <c r="HG389" s="9"/>
      <c r="HH389" s="9"/>
      <c r="HI389" s="9"/>
      <c r="HJ389" s="9"/>
      <c r="HK389" s="9"/>
      <c r="HL389" s="9"/>
      <c r="HM389" s="9"/>
      <c r="HN389" s="9"/>
      <c r="HO389" s="9"/>
      <c r="HP389" s="9"/>
      <c r="HQ389" s="9"/>
      <c r="HR389" s="9"/>
      <c r="HS389" s="9"/>
      <c r="HT389" s="9"/>
      <c r="HU389" s="9"/>
      <c r="HV389" s="9"/>
      <c r="HW389" s="9"/>
      <c r="HX389" s="9"/>
      <c r="HY389" s="9"/>
      <c r="HZ389" s="9"/>
      <c r="IA389" s="9"/>
      <c r="IB389" s="67"/>
      <c r="IC389" s="68"/>
      <c r="ID389" s="63"/>
      <c r="IE389" s="71"/>
    </row>
    <row r="390" spans="1:239" s="11" customFormat="1" x14ac:dyDescent="0.2">
      <c r="A390" s="9">
        <v>30</v>
      </c>
      <c r="B390" s="9"/>
      <c r="C390" s="9"/>
      <c r="D390" s="9" t="s">
        <v>778</v>
      </c>
      <c r="E390" s="65" t="s">
        <v>792</v>
      </c>
      <c r="F390" s="65"/>
      <c r="G390" s="92" t="s">
        <v>2447</v>
      </c>
      <c r="H390" s="66" t="s">
        <v>1352</v>
      </c>
      <c r="I390" s="9"/>
      <c r="J390" s="9" t="s">
        <v>1101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  <c r="EN390" s="9"/>
      <c r="EO390" s="9"/>
      <c r="EP390" s="9"/>
      <c r="EQ390" s="9"/>
      <c r="ER390" s="9"/>
      <c r="ES390" s="9"/>
      <c r="ET390" s="9"/>
      <c r="EU390" s="9"/>
      <c r="EV390" s="9"/>
      <c r="EW390" s="9"/>
      <c r="EX390" s="9"/>
      <c r="EY390" s="9"/>
      <c r="EZ390" s="9"/>
      <c r="FA390" s="9"/>
      <c r="FB390" s="9"/>
      <c r="FC390" s="9"/>
      <c r="FD390" s="9"/>
      <c r="FE390" s="9"/>
      <c r="FF390" s="9"/>
      <c r="FG390" s="9"/>
      <c r="FH390" s="9"/>
      <c r="FI390" s="9"/>
      <c r="FJ390" s="9"/>
      <c r="FK390" s="9"/>
      <c r="FL390" s="9"/>
      <c r="FM390" s="9"/>
      <c r="FN390" s="9"/>
      <c r="FO390" s="9"/>
      <c r="FP390" s="9"/>
      <c r="FQ390" s="9"/>
      <c r="FR390" s="9"/>
      <c r="FS390" s="9"/>
      <c r="FT390" s="9"/>
      <c r="FU390" s="9"/>
      <c r="FV390" s="9"/>
      <c r="FW390" s="9"/>
      <c r="FX390" s="9"/>
      <c r="FY390" s="9"/>
      <c r="FZ390" s="9"/>
      <c r="GA390" s="9"/>
      <c r="GB390" s="9"/>
      <c r="GC390" s="9"/>
      <c r="GD390" s="9"/>
      <c r="GE390" s="9"/>
      <c r="GF390" s="9"/>
      <c r="GG390" s="9"/>
      <c r="GH390" s="9"/>
      <c r="GI390" s="9"/>
      <c r="GJ390" s="9"/>
      <c r="GK390" s="9"/>
      <c r="GL390" s="9"/>
      <c r="GM390" s="9"/>
      <c r="GN390" s="9"/>
      <c r="GO390" s="9"/>
      <c r="GP390" s="9"/>
      <c r="GQ390" s="9"/>
      <c r="GR390" s="9"/>
      <c r="GS390" s="9"/>
      <c r="GT390" s="9"/>
      <c r="GU390" s="9" t="s">
        <v>1101</v>
      </c>
      <c r="GV390" s="9"/>
      <c r="GW390" s="9"/>
      <c r="GX390" s="9"/>
      <c r="GY390" s="9"/>
      <c r="GZ390" s="9"/>
      <c r="HA390" s="9"/>
      <c r="HB390" s="9"/>
      <c r="HC390" s="9"/>
      <c r="HD390" s="9"/>
      <c r="HE390" s="9"/>
      <c r="HF390" s="9"/>
      <c r="HG390" s="9"/>
      <c r="HH390" s="9"/>
      <c r="HI390" s="9"/>
      <c r="HJ390" s="9"/>
      <c r="HK390" s="9"/>
      <c r="HL390" s="9"/>
      <c r="HM390" s="9"/>
      <c r="HN390" s="9"/>
      <c r="HO390" s="9"/>
      <c r="HP390" s="9"/>
      <c r="HQ390" s="9"/>
      <c r="HR390" s="9"/>
      <c r="HS390" s="9"/>
      <c r="HT390" s="9"/>
      <c r="HU390" s="9"/>
      <c r="HV390" s="9"/>
      <c r="HW390" s="9"/>
      <c r="HX390" s="9"/>
      <c r="HY390" s="9"/>
      <c r="HZ390" s="9"/>
      <c r="IA390" s="9"/>
      <c r="IB390" s="67"/>
      <c r="IC390" s="68"/>
      <c r="ID390" s="63"/>
      <c r="IE390" s="71"/>
    </row>
    <row r="391" spans="1:239" s="11" customFormat="1" x14ac:dyDescent="0.2">
      <c r="A391" s="9">
        <v>30</v>
      </c>
      <c r="B391" s="9"/>
      <c r="C391" s="9"/>
      <c r="D391" s="9" t="s">
        <v>782</v>
      </c>
      <c r="E391" s="65" t="s">
        <v>795</v>
      </c>
      <c r="F391" s="65"/>
      <c r="G391" s="92" t="s">
        <v>2451</v>
      </c>
      <c r="H391" s="66" t="s">
        <v>1356</v>
      </c>
      <c r="I391" s="9"/>
      <c r="J391" s="9" t="s">
        <v>1101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  <c r="EN391" s="9"/>
      <c r="EO391" s="9"/>
      <c r="EP391" s="9"/>
      <c r="EQ391" s="9"/>
      <c r="ER391" s="9"/>
      <c r="ES391" s="9"/>
      <c r="ET391" s="9"/>
      <c r="EU391" s="9"/>
      <c r="EV391" s="9"/>
      <c r="EW391" s="9"/>
      <c r="EX391" s="9"/>
      <c r="EY391" s="9"/>
      <c r="EZ391" s="9"/>
      <c r="FA391" s="9"/>
      <c r="FB391" s="9"/>
      <c r="FC391" s="9"/>
      <c r="FD391" s="9"/>
      <c r="FE391" s="9"/>
      <c r="FF391" s="9"/>
      <c r="FG391" s="9"/>
      <c r="FH391" s="9"/>
      <c r="FI391" s="9"/>
      <c r="FJ391" s="9"/>
      <c r="FK391" s="9"/>
      <c r="FL391" s="9"/>
      <c r="FM391" s="9"/>
      <c r="FN391" s="9"/>
      <c r="FO391" s="9"/>
      <c r="FP391" s="9"/>
      <c r="FQ391" s="9"/>
      <c r="FR391" s="9"/>
      <c r="FS391" s="9"/>
      <c r="FT391" s="9"/>
      <c r="FU391" s="9"/>
      <c r="FV391" s="9"/>
      <c r="FW391" s="9"/>
      <c r="FX391" s="9"/>
      <c r="FY391" s="9"/>
      <c r="FZ391" s="9"/>
      <c r="GA391" s="9"/>
      <c r="GB391" s="9"/>
      <c r="GC391" s="9"/>
      <c r="GD391" s="9"/>
      <c r="GE391" s="9"/>
      <c r="GF391" s="9"/>
      <c r="GG391" s="9"/>
      <c r="GH391" s="9"/>
      <c r="GI391" s="9"/>
      <c r="GJ391" s="9"/>
      <c r="GK391" s="9"/>
      <c r="GL391" s="9"/>
      <c r="GM391" s="9"/>
      <c r="GN391" s="9"/>
      <c r="GO391" s="9"/>
      <c r="GP391" s="9"/>
      <c r="GQ391" s="9"/>
      <c r="GR391" s="9"/>
      <c r="GS391" s="9"/>
      <c r="GT391" s="9"/>
      <c r="GU391" s="9"/>
      <c r="GV391" s="9"/>
      <c r="GW391" s="9"/>
      <c r="GX391" s="9"/>
      <c r="GY391" s="9" t="s">
        <v>1101</v>
      </c>
      <c r="GZ391" s="9"/>
      <c r="HA391" s="9"/>
      <c r="HB391" s="9"/>
      <c r="HC391" s="9"/>
      <c r="HD391" s="9"/>
      <c r="HE391" s="9"/>
      <c r="HF391" s="9"/>
      <c r="HG391" s="9"/>
      <c r="HH391" s="9"/>
      <c r="HI391" s="9"/>
      <c r="HJ391" s="9"/>
      <c r="HK391" s="9"/>
      <c r="HL391" s="9"/>
      <c r="HM391" s="9"/>
      <c r="HN391" s="9"/>
      <c r="HO391" s="9"/>
      <c r="HP391" s="9"/>
      <c r="HQ391" s="9"/>
      <c r="HR391" s="9"/>
      <c r="HS391" s="9"/>
      <c r="HT391" s="9"/>
      <c r="HU391" s="9"/>
      <c r="HV391" s="9"/>
      <c r="HW391" s="9"/>
      <c r="HX391" s="9"/>
      <c r="HY391" s="9"/>
      <c r="HZ391" s="9"/>
      <c r="IA391" s="9"/>
      <c r="IB391" s="67"/>
      <c r="IC391" s="68"/>
      <c r="ID391" s="63"/>
      <c r="IE391" s="71"/>
    </row>
    <row r="392" spans="1:239" s="11" customFormat="1" x14ac:dyDescent="0.2">
      <c r="A392" s="9">
        <v>30</v>
      </c>
      <c r="B392" s="9"/>
      <c r="C392" s="9"/>
      <c r="D392" s="9" t="s">
        <v>785</v>
      </c>
      <c r="E392" s="65" t="s">
        <v>797</v>
      </c>
      <c r="F392" s="65"/>
      <c r="G392" s="92" t="s">
        <v>2454</v>
      </c>
      <c r="H392" s="66" t="s">
        <v>1359</v>
      </c>
      <c r="I392" s="9"/>
      <c r="J392" s="9" t="s">
        <v>1101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  <c r="EN392" s="9"/>
      <c r="EO392" s="9"/>
      <c r="EP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E392" s="9"/>
      <c r="FF392" s="9"/>
      <c r="FG392" s="9"/>
      <c r="FH392" s="9"/>
      <c r="FI392" s="9"/>
      <c r="FJ392" s="9"/>
      <c r="FK392" s="9"/>
      <c r="FL392" s="9"/>
      <c r="FM392" s="9"/>
      <c r="FN392" s="9"/>
      <c r="FO392" s="9"/>
      <c r="FP392" s="9"/>
      <c r="FQ392" s="9"/>
      <c r="FR392" s="9"/>
      <c r="FS392" s="9"/>
      <c r="FT392" s="9"/>
      <c r="FU392" s="9"/>
      <c r="FV392" s="9"/>
      <c r="FW392" s="9"/>
      <c r="FX392" s="9"/>
      <c r="FY392" s="9"/>
      <c r="FZ392" s="9"/>
      <c r="GA392" s="9"/>
      <c r="GB392" s="9"/>
      <c r="GC392" s="9"/>
      <c r="GD392" s="9"/>
      <c r="GE392" s="9"/>
      <c r="GF392" s="9"/>
      <c r="GG392" s="9"/>
      <c r="GH392" s="9"/>
      <c r="GI392" s="9"/>
      <c r="GJ392" s="9"/>
      <c r="GK392" s="9"/>
      <c r="GL392" s="9"/>
      <c r="GM392" s="9"/>
      <c r="GN392" s="9"/>
      <c r="GO392" s="9"/>
      <c r="GP392" s="9"/>
      <c r="GQ392" s="9"/>
      <c r="GR392" s="9"/>
      <c r="GS392" s="9"/>
      <c r="GT392" s="9"/>
      <c r="GU392" s="9"/>
      <c r="GV392" s="9"/>
      <c r="GW392" s="9"/>
      <c r="GX392" s="9"/>
      <c r="GY392" s="9"/>
      <c r="GZ392" s="9"/>
      <c r="HA392" s="9"/>
      <c r="HB392" s="9"/>
      <c r="HC392" s="9" t="s">
        <v>1101</v>
      </c>
      <c r="HD392" s="9"/>
      <c r="HE392" s="9"/>
      <c r="HF392" s="9"/>
      <c r="HG392" s="9"/>
      <c r="HH392" s="9"/>
      <c r="HI392" s="9"/>
      <c r="HJ392" s="9"/>
      <c r="HK392" s="9"/>
      <c r="HL392" s="9"/>
      <c r="HM392" s="9"/>
      <c r="HN392" s="9"/>
      <c r="HO392" s="9"/>
      <c r="HP392" s="9"/>
      <c r="HQ392" s="9"/>
      <c r="HR392" s="9"/>
      <c r="HS392" s="9"/>
      <c r="HT392" s="9"/>
      <c r="HU392" s="9"/>
      <c r="HV392" s="9"/>
      <c r="HW392" s="9"/>
      <c r="HX392" s="9"/>
      <c r="HY392" s="9"/>
      <c r="HZ392" s="9"/>
      <c r="IA392" s="9"/>
      <c r="IB392" s="67"/>
      <c r="IC392" s="68"/>
      <c r="ID392" s="63"/>
      <c r="IE392" s="71"/>
    </row>
    <row r="393" spans="1:239" s="11" customFormat="1" x14ac:dyDescent="0.2">
      <c r="A393" s="9">
        <v>30</v>
      </c>
      <c r="B393" s="9"/>
      <c r="C393" s="9"/>
      <c r="D393" s="9" t="s">
        <v>931</v>
      </c>
      <c r="E393" s="65" t="s">
        <v>940</v>
      </c>
      <c r="F393" s="65"/>
      <c r="G393" s="92" t="s">
        <v>2457</v>
      </c>
      <c r="H393" s="66" t="s">
        <v>1362</v>
      </c>
      <c r="I393" s="9"/>
      <c r="J393" s="9" t="s">
        <v>1101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  <c r="EN393" s="9"/>
      <c r="EO393" s="9"/>
      <c r="EP393" s="9"/>
      <c r="EQ393" s="9"/>
      <c r="ER393" s="9"/>
      <c r="ES393" s="9"/>
      <c r="ET393" s="9"/>
      <c r="EU393" s="9"/>
      <c r="EV393" s="9"/>
      <c r="EW393" s="9"/>
      <c r="EX393" s="9"/>
      <c r="EY393" s="9"/>
      <c r="EZ393" s="9"/>
      <c r="FA393" s="9"/>
      <c r="FB393" s="9"/>
      <c r="FC393" s="9"/>
      <c r="FD393" s="9"/>
      <c r="FE393" s="9"/>
      <c r="FF393" s="9"/>
      <c r="FG393" s="9"/>
      <c r="FH393" s="9"/>
      <c r="FI393" s="9"/>
      <c r="FJ393" s="9"/>
      <c r="FK393" s="9"/>
      <c r="FL393" s="9"/>
      <c r="FM393" s="9"/>
      <c r="FN393" s="9"/>
      <c r="FO393" s="9"/>
      <c r="FP393" s="9"/>
      <c r="FQ393" s="9"/>
      <c r="FR393" s="9"/>
      <c r="FS393" s="9"/>
      <c r="FT393" s="9"/>
      <c r="FU393" s="9"/>
      <c r="FV393" s="9"/>
      <c r="FW393" s="9"/>
      <c r="FX393" s="9"/>
      <c r="FY393" s="9"/>
      <c r="FZ393" s="9"/>
      <c r="GA393" s="9"/>
      <c r="GB393" s="9"/>
      <c r="GC393" s="9"/>
      <c r="GD393" s="9"/>
      <c r="GE393" s="9"/>
      <c r="GF393" s="9"/>
      <c r="GG393" s="9"/>
      <c r="GH393" s="9"/>
      <c r="GI393" s="9"/>
      <c r="GJ393" s="9"/>
      <c r="GK393" s="9"/>
      <c r="GL393" s="9"/>
      <c r="GM393" s="9"/>
      <c r="GN393" s="9"/>
      <c r="GO393" s="9"/>
      <c r="GP393" s="9"/>
      <c r="GQ393" s="9"/>
      <c r="GR393" s="9"/>
      <c r="GS393" s="9"/>
      <c r="GT393" s="9"/>
      <c r="GU393" s="9"/>
      <c r="GV393" s="9"/>
      <c r="GW393" s="9"/>
      <c r="GX393" s="9"/>
      <c r="GY393" s="9"/>
      <c r="GZ393" s="9"/>
      <c r="HA393" s="9"/>
      <c r="HB393" s="9"/>
      <c r="HC393" s="9"/>
      <c r="HD393" s="9"/>
      <c r="HE393" s="9"/>
      <c r="HF393" s="9"/>
      <c r="HG393" s="9" t="s">
        <v>1101</v>
      </c>
      <c r="HH393" s="9"/>
      <c r="HI393" s="9"/>
      <c r="HJ393" s="9"/>
      <c r="HK393" s="9"/>
      <c r="HL393" s="9"/>
      <c r="HM393" s="9"/>
      <c r="HN393" s="9"/>
      <c r="HO393" s="9"/>
      <c r="HP393" s="9"/>
      <c r="HQ393" s="9"/>
      <c r="HR393" s="9"/>
      <c r="HS393" s="9"/>
      <c r="HT393" s="9"/>
      <c r="HU393" s="9"/>
      <c r="HV393" s="9"/>
      <c r="HW393" s="9"/>
      <c r="HX393" s="9"/>
      <c r="HY393" s="9"/>
      <c r="HZ393" s="9"/>
      <c r="IA393" s="9"/>
      <c r="IB393" s="67"/>
      <c r="IC393" s="68"/>
      <c r="ID393" s="63"/>
      <c r="IE393" s="71"/>
    </row>
    <row r="394" spans="1:239" s="11" customFormat="1" ht="26" x14ac:dyDescent="0.2">
      <c r="A394" s="9">
        <v>30</v>
      </c>
      <c r="B394" s="9"/>
      <c r="C394" s="9"/>
      <c r="D394" s="9" t="s">
        <v>991</v>
      </c>
      <c r="E394" s="65" t="s">
        <v>997</v>
      </c>
      <c r="F394" s="65"/>
      <c r="G394" s="92" t="s">
        <v>2460</v>
      </c>
      <c r="H394" s="66" t="s">
        <v>1365</v>
      </c>
      <c r="I394" s="9"/>
      <c r="J394" s="9" t="s">
        <v>1101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  <c r="EN394" s="9"/>
      <c r="EO394" s="9"/>
      <c r="EP394" s="9"/>
      <c r="EQ394" s="9"/>
      <c r="ER394" s="9"/>
      <c r="ES394" s="9"/>
      <c r="ET394" s="9"/>
      <c r="EU394" s="9"/>
      <c r="EV394" s="9"/>
      <c r="EW394" s="9"/>
      <c r="EX394" s="9"/>
      <c r="EY394" s="9"/>
      <c r="EZ394" s="9"/>
      <c r="FA394" s="9"/>
      <c r="FB394" s="9"/>
      <c r="FC394" s="9"/>
      <c r="FD394" s="9"/>
      <c r="FE394" s="9"/>
      <c r="FF394" s="9"/>
      <c r="FG394" s="9"/>
      <c r="FH394" s="9"/>
      <c r="FI394" s="9"/>
      <c r="FJ394" s="9"/>
      <c r="FK394" s="9"/>
      <c r="FL394" s="9"/>
      <c r="FM394" s="9"/>
      <c r="FN394" s="9"/>
      <c r="FO394" s="9"/>
      <c r="FP394" s="9"/>
      <c r="FQ394" s="9"/>
      <c r="FR394" s="9"/>
      <c r="FS394" s="9"/>
      <c r="FT394" s="9"/>
      <c r="FU394" s="9"/>
      <c r="FV394" s="9"/>
      <c r="FW394" s="9"/>
      <c r="FX394" s="9"/>
      <c r="FY394" s="9"/>
      <c r="FZ394" s="9"/>
      <c r="GA394" s="9"/>
      <c r="GB394" s="9"/>
      <c r="GC394" s="9"/>
      <c r="GD394" s="9"/>
      <c r="GE394" s="9"/>
      <c r="GF394" s="9"/>
      <c r="GG394" s="9"/>
      <c r="GH394" s="9"/>
      <c r="GI394" s="9"/>
      <c r="GJ394" s="9"/>
      <c r="GK394" s="9"/>
      <c r="GL394" s="9"/>
      <c r="GM394" s="9"/>
      <c r="GN394" s="9"/>
      <c r="GO394" s="9"/>
      <c r="GP394" s="9"/>
      <c r="GQ394" s="9"/>
      <c r="GR394" s="9"/>
      <c r="GS394" s="9"/>
      <c r="GT394" s="9"/>
      <c r="GU394" s="9"/>
      <c r="GV394" s="9"/>
      <c r="GW394" s="9"/>
      <c r="GX394" s="9"/>
      <c r="GY394" s="9"/>
      <c r="GZ394" s="9"/>
      <c r="HA394" s="9"/>
      <c r="HB394" s="9"/>
      <c r="HC394" s="9"/>
      <c r="HD394" s="9"/>
      <c r="HE394" s="9"/>
      <c r="HF394" s="9"/>
      <c r="HG394" s="9"/>
      <c r="HH394" s="9"/>
      <c r="HI394" s="9"/>
      <c r="HJ394" s="9"/>
      <c r="HK394" s="9" t="s">
        <v>1101</v>
      </c>
      <c r="HL394" s="9"/>
      <c r="HM394" s="9"/>
      <c r="HN394" s="9"/>
      <c r="HO394" s="9"/>
      <c r="HP394" s="9"/>
      <c r="HQ394" s="9"/>
      <c r="HR394" s="9"/>
      <c r="HS394" s="9"/>
      <c r="HT394" s="9"/>
      <c r="HU394" s="9"/>
      <c r="HV394" s="9"/>
      <c r="HW394" s="9"/>
      <c r="HX394" s="9"/>
      <c r="HY394" s="9"/>
      <c r="HZ394" s="9"/>
      <c r="IA394" s="9"/>
      <c r="IB394" s="67"/>
      <c r="IC394" s="68"/>
      <c r="ID394" s="63"/>
      <c r="IE394" s="71"/>
    </row>
    <row r="395" spans="1:239" s="11" customFormat="1" x14ac:dyDescent="0.2">
      <c r="A395" s="9">
        <v>30</v>
      </c>
      <c r="B395" s="9"/>
      <c r="C395" s="9"/>
      <c r="D395" s="9" t="s">
        <v>992</v>
      </c>
      <c r="E395" s="65" t="s">
        <v>994</v>
      </c>
      <c r="F395" s="65"/>
      <c r="G395" s="92" t="s">
        <v>2463</v>
      </c>
      <c r="H395" s="66" t="s">
        <v>1368</v>
      </c>
      <c r="I395" s="9"/>
      <c r="J395" s="9" t="s">
        <v>1101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  <c r="EN395" s="9"/>
      <c r="EO395" s="9"/>
      <c r="EP395" s="9"/>
      <c r="EQ395" s="9"/>
      <c r="ER395" s="9"/>
      <c r="ES395" s="9"/>
      <c r="ET395" s="9"/>
      <c r="EU395" s="9"/>
      <c r="EV395" s="9"/>
      <c r="EW395" s="9"/>
      <c r="EX395" s="9"/>
      <c r="EY395" s="9"/>
      <c r="EZ395" s="9"/>
      <c r="FA395" s="9"/>
      <c r="FB395" s="9"/>
      <c r="FC395" s="9"/>
      <c r="FD395" s="9"/>
      <c r="FE395" s="9"/>
      <c r="FF395" s="9"/>
      <c r="FG395" s="9"/>
      <c r="FH395" s="9"/>
      <c r="FI395" s="9"/>
      <c r="FJ395" s="9"/>
      <c r="FK395" s="9"/>
      <c r="FL395" s="9"/>
      <c r="FM395" s="9"/>
      <c r="FN395" s="9"/>
      <c r="FO395" s="9"/>
      <c r="FP395" s="9"/>
      <c r="FQ395" s="9"/>
      <c r="FR395" s="9"/>
      <c r="FS395" s="9"/>
      <c r="FT395" s="9"/>
      <c r="FU395" s="9"/>
      <c r="FV395" s="9"/>
      <c r="FW395" s="9"/>
      <c r="FX395" s="9"/>
      <c r="FY395" s="9"/>
      <c r="FZ395" s="9"/>
      <c r="GA395" s="9"/>
      <c r="GB395" s="9"/>
      <c r="GC395" s="9"/>
      <c r="GD395" s="9"/>
      <c r="GE395" s="9"/>
      <c r="GF395" s="9"/>
      <c r="GG395" s="9"/>
      <c r="GH395" s="9"/>
      <c r="GI395" s="9"/>
      <c r="GJ395" s="9"/>
      <c r="GK395" s="9"/>
      <c r="GL395" s="9"/>
      <c r="GM395" s="9"/>
      <c r="GN395" s="9"/>
      <c r="GO395" s="9"/>
      <c r="GP395" s="9"/>
      <c r="GQ395" s="9"/>
      <c r="GR395" s="9"/>
      <c r="GS395" s="9"/>
      <c r="GT395" s="9"/>
      <c r="GU395" s="9"/>
      <c r="GV395" s="9"/>
      <c r="GW395" s="9"/>
      <c r="GX395" s="9"/>
      <c r="GY395" s="9"/>
      <c r="GZ395" s="9"/>
      <c r="HA395" s="9"/>
      <c r="HB395" s="9"/>
      <c r="HC395" s="9"/>
      <c r="HD395" s="9"/>
      <c r="HE395" s="9"/>
      <c r="HF395" s="9"/>
      <c r="HG395" s="9"/>
      <c r="HH395" s="9"/>
      <c r="HI395" s="9"/>
      <c r="HJ395" s="9"/>
      <c r="HK395" s="9"/>
      <c r="HL395" s="9"/>
      <c r="HM395" s="9"/>
      <c r="HN395" s="9"/>
      <c r="HO395" s="9" t="s">
        <v>1101</v>
      </c>
      <c r="HP395" s="9"/>
      <c r="HQ395" s="9"/>
      <c r="HR395" s="9"/>
      <c r="HS395" s="9"/>
      <c r="HT395" s="9"/>
      <c r="HU395" s="9"/>
      <c r="HV395" s="9"/>
      <c r="HW395" s="9"/>
      <c r="HX395" s="9"/>
      <c r="HY395" s="9"/>
      <c r="HZ395" s="9"/>
      <c r="IA395" s="9"/>
      <c r="IB395" s="67"/>
      <c r="IC395" s="68"/>
      <c r="ID395" s="63"/>
      <c r="IE395" s="71"/>
    </row>
    <row r="396" spans="1:239" s="11" customFormat="1" x14ac:dyDescent="0.2">
      <c r="A396" s="9">
        <v>30</v>
      </c>
      <c r="B396" s="9"/>
      <c r="C396" s="9"/>
      <c r="D396" s="9" t="s">
        <v>993</v>
      </c>
      <c r="E396" s="65" t="s">
        <v>996</v>
      </c>
      <c r="F396" s="65"/>
      <c r="G396" s="92" t="s">
        <v>2466</v>
      </c>
      <c r="H396" s="66" t="s">
        <v>1371</v>
      </c>
      <c r="I396" s="9"/>
      <c r="J396" s="9" t="s">
        <v>1101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  <c r="EN396" s="9"/>
      <c r="EO396" s="9"/>
      <c r="EP396" s="9"/>
      <c r="EQ396" s="9"/>
      <c r="ER396" s="9"/>
      <c r="ES396" s="9"/>
      <c r="ET396" s="9"/>
      <c r="EU396" s="9"/>
      <c r="EV396" s="9"/>
      <c r="EW396" s="9"/>
      <c r="EX396" s="9"/>
      <c r="EY396" s="9"/>
      <c r="EZ396" s="9"/>
      <c r="FA396" s="9"/>
      <c r="FB396" s="9"/>
      <c r="FC396" s="9"/>
      <c r="FD396" s="9"/>
      <c r="FE396" s="9"/>
      <c r="FF396" s="9"/>
      <c r="FG396" s="9"/>
      <c r="FH396" s="9"/>
      <c r="FI396" s="9"/>
      <c r="FJ396" s="9"/>
      <c r="FK396" s="9"/>
      <c r="FL396" s="9"/>
      <c r="FM396" s="9"/>
      <c r="FN396" s="9"/>
      <c r="FO396" s="9"/>
      <c r="FP396" s="9"/>
      <c r="FQ396" s="9"/>
      <c r="FR396" s="9"/>
      <c r="FS396" s="9"/>
      <c r="FT396" s="9"/>
      <c r="FU396" s="9"/>
      <c r="FV396" s="9"/>
      <c r="FW396" s="9"/>
      <c r="FX396" s="9"/>
      <c r="FY396" s="9"/>
      <c r="FZ396" s="9"/>
      <c r="GA396" s="9"/>
      <c r="GB396" s="9"/>
      <c r="GC396" s="9"/>
      <c r="GD396" s="9"/>
      <c r="GE396" s="9"/>
      <c r="GF396" s="9"/>
      <c r="GG396" s="9"/>
      <c r="GH396" s="9"/>
      <c r="GI396" s="9"/>
      <c r="GJ396" s="9"/>
      <c r="GK396" s="9"/>
      <c r="GL396" s="9"/>
      <c r="GM396" s="9"/>
      <c r="GN396" s="9"/>
      <c r="GO396" s="9"/>
      <c r="GP396" s="9"/>
      <c r="GQ396" s="9"/>
      <c r="GR396" s="9"/>
      <c r="GS396" s="9"/>
      <c r="GT396" s="9"/>
      <c r="GU396" s="9"/>
      <c r="GV396" s="9"/>
      <c r="GW396" s="9"/>
      <c r="GX396" s="9"/>
      <c r="GY396" s="9"/>
      <c r="GZ396" s="9"/>
      <c r="HA396" s="9"/>
      <c r="HB396" s="9"/>
      <c r="HC396" s="9"/>
      <c r="HD396" s="9"/>
      <c r="HE396" s="9"/>
      <c r="HF396" s="9"/>
      <c r="HG396" s="9"/>
      <c r="HH396" s="9"/>
      <c r="HI396" s="9"/>
      <c r="HJ396" s="9"/>
      <c r="HK396" s="9"/>
      <c r="HL396" s="9"/>
      <c r="HM396" s="9"/>
      <c r="HN396" s="9"/>
      <c r="HO396" s="9"/>
      <c r="HP396" s="9"/>
      <c r="HQ396" s="9"/>
      <c r="HR396" s="9"/>
      <c r="HS396" s="9" t="s">
        <v>1101</v>
      </c>
      <c r="HT396" s="9"/>
      <c r="HU396" s="9"/>
      <c r="HV396" s="9"/>
      <c r="HW396" s="9"/>
      <c r="HX396" s="9"/>
      <c r="HY396" s="9"/>
      <c r="HZ396" s="9"/>
      <c r="IA396" s="9"/>
      <c r="IB396" s="67"/>
      <c r="IC396" s="68"/>
      <c r="ID396" s="63"/>
      <c r="IE396" s="71"/>
    </row>
    <row r="397" spans="1:239" s="11" customFormat="1" x14ac:dyDescent="0.2">
      <c r="A397" s="9">
        <v>30</v>
      </c>
      <c r="B397" s="9"/>
      <c r="C397" s="9"/>
      <c r="D397" s="9" t="s">
        <v>987</v>
      </c>
      <c r="E397" s="65" t="s">
        <v>995</v>
      </c>
      <c r="F397" s="65"/>
      <c r="G397" s="92" t="s">
        <v>2469</v>
      </c>
      <c r="H397" s="66" t="s">
        <v>1374</v>
      </c>
      <c r="I397" s="9"/>
      <c r="J397" s="9" t="s">
        <v>1101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  <c r="EN397" s="9"/>
      <c r="EO397" s="9"/>
      <c r="EP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E397" s="9"/>
      <c r="FF397" s="9"/>
      <c r="FG397" s="9"/>
      <c r="FH397" s="9"/>
      <c r="FI397" s="9"/>
      <c r="FJ397" s="9"/>
      <c r="FK397" s="9"/>
      <c r="FL397" s="9"/>
      <c r="FM397" s="9"/>
      <c r="FN397" s="9"/>
      <c r="FO397" s="9"/>
      <c r="FP397" s="9"/>
      <c r="FQ397" s="9"/>
      <c r="FR397" s="9"/>
      <c r="FS397" s="9"/>
      <c r="FT397" s="9"/>
      <c r="FU397" s="9"/>
      <c r="FV397" s="9"/>
      <c r="FW397" s="9"/>
      <c r="FX397" s="9"/>
      <c r="FY397" s="9"/>
      <c r="FZ397" s="9"/>
      <c r="GA397" s="9"/>
      <c r="GB397" s="9"/>
      <c r="GC397" s="9"/>
      <c r="GD397" s="9"/>
      <c r="GE397" s="9"/>
      <c r="GF397" s="9"/>
      <c r="GG397" s="9"/>
      <c r="GH397" s="9"/>
      <c r="GI397" s="9"/>
      <c r="GJ397" s="9"/>
      <c r="GK397" s="9"/>
      <c r="GL397" s="9"/>
      <c r="GM397" s="9"/>
      <c r="GN397" s="9"/>
      <c r="GO397" s="9"/>
      <c r="GP397" s="9"/>
      <c r="GQ397" s="9"/>
      <c r="GR397" s="9"/>
      <c r="GS397" s="9"/>
      <c r="GT397" s="9"/>
      <c r="GU397" s="9"/>
      <c r="GV397" s="9"/>
      <c r="GW397" s="9"/>
      <c r="GX397" s="9"/>
      <c r="GY397" s="9"/>
      <c r="GZ397" s="9"/>
      <c r="HA397" s="9"/>
      <c r="HB397" s="9"/>
      <c r="HC397" s="9"/>
      <c r="HD397" s="9"/>
      <c r="HE397" s="9"/>
      <c r="HF397" s="9"/>
      <c r="HG397" s="9"/>
      <c r="HH397" s="9"/>
      <c r="HI397" s="9"/>
      <c r="HJ397" s="9"/>
      <c r="HK397" s="9"/>
      <c r="HL397" s="9"/>
      <c r="HM397" s="9"/>
      <c r="HN397" s="9"/>
      <c r="HO397" s="9"/>
      <c r="HP397" s="9"/>
      <c r="HQ397" s="9"/>
      <c r="HR397" s="9"/>
      <c r="HS397" s="9"/>
      <c r="HT397" s="9"/>
      <c r="HU397" s="9"/>
      <c r="HV397" s="9"/>
      <c r="HW397" s="9" t="s">
        <v>1101</v>
      </c>
      <c r="HX397" s="9"/>
      <c r="HY397" s="9"/>
      <c r="HZ397" s="9"/>
      <c r="IA397" s="9"/>
      <c r="IB397" s="67"/>
      <c r="IC397" s="68"/>
      <c r="ID397" s="63"/>
      <c r="IE397" s="71"/>
    </row>
    <row r="398" spans="1:239" s="11" customFormat="1" x14ac:dyDescent="0.2">
      <c r="A398" s="9">
        <v>30</v>
      </c>
      <c r="B398" s="9"/>
      <c r="C398" s="9"/>
      <c r="D398" s="9" t="s">
        <v>2036</v>
      </c>
      <c r="E398" s="65" t="s">
        <v>2039</v>
      </c>
      <c r="F398" s="65"/>
      <c r="G398" s="92" t="s">
        <v>2310</v>
      </c>
      <c r="H398" s="66" t="s">
        <v>2041</v>
      </c>
      <c r="I398" s="9"/>
      <c r="J398" s="9" t="s">
        <v>1041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  <c r="FI398" s="9"/>
      <c r="FJ398" s="9"/>
      <c r="FK398" s="9"/>
      <c r="FL398" s="9"/>
      <c r="FM398" s="9"/>
      <c r="FN398" s="9"/>
      <c r="FO398" s="9"/>
      <c r="FP398" s="9"/>
      <c r="FQ398" s="9"/>
      <c r="FR398" s="9"/>
      <c r="FS398" s="9"/>
      <c r="FT398" s="9"/>
      <c r="FU398" s="9"/>
      <c r="FV398" s="9"/>
      <c r="FW398" s="9"/>
      <c r="FX398" s="9"/>
      <c r="FY398" s="9"/>
      <c r="FZ398" s="9"/>
      <c r="GA398" s="9"/>
      <c r="GB398" s="9"/>
      <c r="GC398" s="9"/>
      <c r="GD398" s="9"/>
      <c r="GE398" s="9"/>
      <c r="GF398" s="9"/>
      <c r="GG398" s="9"/>
      <c r="GH398" s="9"/>
      <c r="GI398" s="9"/>
      <c r="GJ398" s="9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  <c r="HE398" s="9"/>
      <c r="HF398" s="9"/>
      <c r="HG398" s="9"/>
      <c r="HH398" s="9"/>
      <c r="HI398" s="9"/>
      <c r="HJ398" s="9"/>
      <c r="HK398" s="9"/>
      <c r="HL398" s="9"/>
      <c r="HM398" s="9"/>
      <c r="HN398" s="9"/>
      <c r="HO398" s="9"/>
      <c r="HP398" s="9"/>
      <c r="HQ398" s="9"/>
      <c r="HR398" s="9"/>
      <c r="HS398" s="9"/>
      <c r="HT398" s="9"/>
      <c r="HU398" s="9"/>
      <c r="HV398" s="9"/>
      <c r="HW398" s="9"/>
      <c r="HX398" s="9"/>
      <c r="HY398" s="9"/>
      <c r="HZ398" s="9"/>
      <c r="IA398" s="9" t="s">
        <v>1101</v>
      </c>
      <c r="IB398" s="67"/>
      <c r="IC398" s="68"/>
      <c r="ID398" s="63"/>
      <c r="IE398" s="71"/>
    </row>
    <row r="399" spans="1:239" s="11" customFormat="1" x14ac:dyDescent="0.2">
      <c r="A399" s="9">
        <v>30</v>
      </c>
      <c r="B399" s="9"/>
      <c r="C399" s="9"/>
      <c r="D399" s="9" t="s">
        <v>66</v>
      </c>
      <c r="E399" s="65" t="s">
        <v>65</v>
      </c>
      <c r="F399" s="65"/>
      <c r="G399" s="91" t="s">
        <v>2488</v>
      </c>
      <c r="H399" s="66" t="s">
        <v>1397</v>
      </c>
      <c r="I399" s="9"/>
      <c r="J399" s="9" t="s">
        <v>1101</v>
      </c>
      <c r="K399" s="9"/>
      <c r="L399" s="9"/>
      <c r="M399" s="9"/>
      <c r="N399" s="9"/>
      <c r="O399" s="9" t="s">
        <v>1101</v>
      </c>
      <c r="P399" s="9"/>
      <c r="Q399" s="9"/>
      <c r="R399" s="9"/>
      <c r="S399" s="9" t="s">
        <v>1101</v>
      </c>
      <c r="T399" s="9"/>
      <c r="U399" s="9"/>
      <c r="V399" s="9"/>
      <c r="W399" s="9" t="s">
        <v>1101</v>
      </c>
      <c r="X399" s="9"/>
      <c r="Y399" s="9"/>
      <c r="Z399" s="9"/>
      <c r="AA399" s="9" t="s">
        <v>1101</v>
      </c>
      <c r="AB399" s="9"/>
      <c r="AC399" s="9"/>
      <c r="AD399" s="9"/>
      <c r="AE399" s="9" t="s">
        <v>1101</v>
      </c>
      <c r="AF399" s="9"/>
      <c r="AG399" s="9"/>
      <c r="AH399" s="9"/>
      <c r="AI399" s="9" t="s">
        <v>1101</v>
      </c>
      <c r="AJ399" s="9"/>
      <c r="AK399" s="9"/>
      <c r="AL399" s="9"/>
      <c r="AM399" s="9" t="s">
        <v>1101</v>
      </c>
      <c r="AN399" s="9"/>
      <c r="AO399" s="9"/>
      <c r="AP399" s="9"/>
      <c r="AQ399" s="9" t="s">
        <v>1101</v>
      </c>
      <c r="AR399" s="9"/>
      <c r="AS399" s="9"/>
      <c r="AT399" s="9"/>
      <c r="AU399" s="9" t="s">
        <v>1101</v>
      </c>
      <c r="AV399" s="9"/>
      <c r="AW399" s="9"/>
      <c r="AX399" s="9"/>
      <c r="AY399" s="9" t="s">
        <v>1101</v>
      </c>
      <c r="AZ399" s="9"/>
      <c r="BA399" s="9"/>
      <c r="BB399" s="9"/>
      <c r="BC399" s="9" t="s">
        <v>1101</v>
      </c>
      <c r="BD399" s="9"/>
      <c r="BE399" s="9"/>
      <c r="BF399" s="9"/>
      <c r="BG399" s="9" t="s">
        <v>1101</v>
      </c>
      <c r="BH399" s="9"/>
      <c r="BI399" s="9"/>
      <c r="BJ399" s="9"/>
      <c r="BK399" s="9" t="s">
        <v>1101</v>
      </c>
      <c r="BL399" s="9"/>
      <c r="BM399" s="9"/>
      <c r="BN399" s="9"/>
      <c r="BO399" s="9" t="s">
        <v>1101</v>
      </c>
      <c r="BP399" s="9"/>
      <c r="BQ399" s="9"/>
      <c r="BR399" s="9"/>
      <c r="BS399" s="9" t="s">
        <v>1101</v>
      </c>
      <c r="BT399" s="9"/>
      <c r="BU399" s="9"/>
      <c r="BV399" s="9"/>
      <c r="BW399" s="9" t="s">
        <v>1101</v>
      </c>
      <c r="BX399" s="9"/>
      <c r="BY399" s="9"/>
      <c r="BZ399" s="9"/>
      <c r="CA399" s="9" t="s">
        <v>1101</v>
      </c>
      <c r="CB399" s="9"/>
      <c r="CC399" s="9"/>
      <c r="CD399" s="9"/>
      <c r="CE399" s="9" t="s">
        <v>1101</v>
      </c>
      <c r="CF399" s="9"/>
      <c r="CG399" s="9"/>
      <c r="CH399" s="9"/>
      <c r="CI399" s="9" t="s">
        <v>1101</v>
      </c>
      <c r="CJ399" s="9"/>
      <c r="CK399" s="9"/>
      <c r="CL399" s="9"/>
      <c r="CM399" s="9" t="s">
        <v>1101</v>
      </c>
      <c r="CN399" s="9"/>
      <c r="CO399" s="9"/>
      <c r="CP399" s="9"/>
      <c r="CQ399" s="9" t="s">
        <v>1101</v>
      </c>
      <c r="CR399" s="9"/>
      <c r="CS399" s="9"/>
      <c r="CT399" s="9"/>
      <c r="CU399" s="9" t="s">
        <v>1101</v>
      </c>
      <c r="CV399" s="9"/>
      <c r="CW399" s="9"/>
      <c r="CX399" s="9"/>
      <c r="CY399" s="9" t="s">
        <v>1101</v>
      </c>
      <c r="CZ399" s="9"/>
      <c r="DA399" s="9"/>
      <c r="DB399" s="9"/>
      <c r="DC399" s="9" t="s">
        <v>1101</v>
      </c>
      <c r="DD399" s="9"/>
      <c r="DE399" s="9"/>
      <c r="DF399" s="9"/>
      <c r="DG399" s="9" t="s">
        <v>1101</v>
      </c>
      <c r="DH399" s="9"/>
      <c r="DI399" s="9"/>
      <c r="DJ399" s="9"/>
      <c r="DK399" s="9" t="s">
        <v>1101</v>
      </c>
      <c r="DL399" s="9"/>
      <c r="DM399" s="9"/>
      <c r="DN399" s="9"/>
      <c r="DO399" s="9" t="s">
        <v>1101</v>
      </c>
      <c r="DP399" s="9"/>
      <c r="DQ399" s="9"/>
      <c r="DR399" s="9"/>
      <c r="DS399" s="9" t="s">
        <v>1101</v>
      </c>
      <c r="DT399" s="9"/>
      <c r="DU399" s="9"/>
      <c r="DV399" s="9"/>
      <c r="DW399" s="9" t="s">
        <v>1101</v>
      </c>
      <c r="DX399" s="9"/>
      <c r="DY399" s="9"/>
      <c r="DZ399" s="9"/>
      <c r="EA399" s="9" t="s">
        <v>1101</v>
      </c>
      <c r="EB399" s="9"/>
      <c r="EC399" s="9"/>
      <c r="ED399" s="9"/>
      <c r="EE399" s="9" t="s">
        <v>1101</v>
      </c>
      <c r="EF399" s="9"/>
      <c r="EG399" s="9"/>
      <c r="EH399" s="9"/>
      <c r="EI399" s="9" t="s">
        <v>1101</v>
      </c>
      <c r="EJ399" s="9"/>
      <c r="EK399" s="9"/>
      <c r="EL399" s="9"/>
      <c r="EM399" s="9" t="s">
        <v>1101</v>
      </c>
      <c r="EN399" s="9"/>
      <c r="EO399" s="9"/>
      <c r="EP399" s="9"/>
      <c r="EQ399" s="9" t="s">
        <v>1101</v>
      </c>
      <c r="ER399" s="9"/>
      <c r="ES399" s="9"/>
      <c r="ET399" s="9"/>
      <c r="EU399" s="9" t="s">
        <v>1101</v>
      </c>
      <c r="EV399" s="9"/>
      <c r="EW399" s="9"/>
      <c r="EX399" s="9"/>
      <c r="EY399" s="9" t="s">
        <v>1101</v>
      </c>
      <c r="EZ399" s="9"/>
      <c r="FA399" s="9"/>
      <c r="FB399" s="9"/>
      <c r="FC399" s="9" t="s">
        <v>1101</v>
      </c>
      <c r="FD399" s="9"/>
      <c r="FE399" s="9"/>
      <c r="FF399" s="9"/>
      <c r="FG399" s="9" t="s">
        <v>1101</v>
      </c>
      <c r="FH399" s="9"/>
      <c r="FI399" s="9"/>
      <c r="FJ399" s="9"/>
      <c r="FK399" s="9" t="s">
        <v>1101</v>
      </c>
      <c r="FL399" s="9"/>
      <c r="FM399" s="9"/>
      <c r="FN399" s="9"/>
      <c r="FO399" s="9" t="s">
        <v>1101</v>
      </c>
      <c r="FP399" s="9"/>
      <c r="FQ399" s="9"/>
      <c r="FR399" s="9"/>
      <c r="FS399" s="9" t="s">
        <v>1101</v>
      </c>
      <c r="FT399" s="9"/>
      <c r="FU399" s="9"/>
      <c r="FV399" s="9"/>
      <c r="FW399" s="9" t="s">
        <v>1101</v>
      </c>
      <c r="FX399" s="9"/>
      <c r="FY399" s="9"/>
      <c r="FZ399" s="9"/>
      <c r="GA399" s="9" t="s">
        <v>1101</v>
      </c>
      <c r="GB399" s="9"/>
      <c r="GC399" s="9"/>
      <c r="GD399" s="9"/>
      <c r="GE399" s="9" t="s">
        <v>1101</v>
      </c>
      <c r="GF399" s="9"/>
      <c r="GG399" s="9"/>
      <c r="GH399" s="9"/>
      <c r="GI399" s="9" t="s">
        <v>1101</v>
      </c>
      <c r="GJ399" s="9"/>
      <c r="GK399" s="9"/>
      <c r="GL399" s="9"/>
      <c r="GM399" s="9" t="s">
        <v>1101</v>
      </c>
      <c r="GN399" s="9"/>
      <c r="GO399" s="9"/>
      <c r="GP399" s="9"/>
      <c r="GQ399" s="9" t="s">
        <v>1101</v>
      </c>
      <c r="GR399" s="9"/>
      <c r="GS399" s="9"/>
      <c r="GT399" s="9"/>
      <c r="GU399" s="9" t="s">
        <v>1101</v>
      </c>
      <c r="GV399" s="9"/>
      <c r="GW399" s="9"/>
      <c r="GX399" s="9"/>
      <c r="GY399" s="9" t="s">
        <v>1101</v>
      </c>
      <c r="GZ399" s="9"/>
      <c r="HA399" s="9"/>
      <c r="HB399" s="9"/>
      <c r="HC399" s="9" t="s">
        <v>1101</v>
      </c>
      <c r="HD399" s="9"/>
      <c r="HE399" s="9"/>
      <c r="HF399" s="9"/>
      <c r="HG399" s="9" t="s">
        <v>1101</v>
      </c>
      <c r="HH399" s="9"/>
      <c r="HI399" s="9"/>
      <c r="HJ399" s="9"/>
      <c r="HK399" s="9" t="s">
        <v>1101</v>
      </c>
      <c r="HL399" s="9"/>
      <c r="HM399" s="9"/>
      <c r="HN399" s="9"/>
      <c r="HO399" s="9" t="s">
        <v>1101</v>
      </c>
      <c r="HP399" s="9"/>
      <c r="HQ399" s="9"/>
      <c r="HR399" s="9"/>
      <c r="HS399" s="9" t="s">
        <v>1101</v>
      </c>
      <c r="HT399" s="9"/>
      <c r="HU399" s="9"/>
      <c r="HV399" s="9"/>
      <c r="HW399" s="9" t="s">
        <v>1101</v>
      </c>
      <c r="HX399" s="9"/>
      <c r="HY399" s="9"/>
      <c r="HZ399" s="9"/>
      <c r="IA399" s="9" t="s">
        <v>1041</v>
      </c>
      <c r="IB399" s="67"/>
      <c r="IC399" s="68"/>
      <c r="ID399" s="157"/>
      <c r="IE399" s="158"/>
    </row>
    <row r="400" spans="1:239" s="11" customFormat="1" x14ac:dyDescent="0.2">
      <c r="A400" s="9">
        <v>30</v>
      </c>
      <c r="B400" s="9"/>
      <c r="C400" s="9"/>
      <c r="D400" s="9" t="s">
        <v>78</v>
      </c>
      <c r="E400" s="65" t="s">
        <v>79</v>
      </c>
      <c r="F400" s="65"/>
      <c r="G400" s="92" t="s">
        <v>2489</v>
      </c>
      <c r="H400" s="66" t="s">
        <v>1398</v>
      </c>
      <c r="I400" s="9"/>
      <c r="J400" s="9" t="s">
        <v>1101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9"/>
      <c r="FS400" s="9"/>
      <c r="FT400" s="9"/>
      <c r="FU400" s="9"/>
      <c r="FV400" s="9"/>
      <c r="FW400" s="9"/>
      <c r="FX400" s="9"/>
      <c r="FY400" s="9"/>
      <c r="FZ400" s="9"/>
      <c r="GA400" s="9"/>
      <c r="GB400" s="9"/>
      <c r="GC400" s="9"/>
      <c r="GD400" s="9"/>
      <c r="GE400" s="9"/>
      <c r="GF400" s="9"/>
      <c r="GG400" s="9"/>
      <c r="GH400" s="9"/>
      <c r="GI400" s="9"/>
      <c r="GJ400" s="9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  <c r="HE400" s="9"/>
      <c r="HF400" s="9"/>
      <c r="HG400" s="9"/>
      <c r="HH400" s="9"/>
      <c r="HI400" s="9"/>
      <c r="HJ400" s="9"/>
      <c r="HK400" s="9"/>
      <c r="HL400" s="9"/>
      <c r="HM400" s="9"/>
      <c r="HN400" s="9"/>
      <c r="HO400" s="9"/>
      <c r="HP400" s="9"/>
      <c r="HQ400" s="9"/>
      <c r="HR400" s="9"/>
      <c r="HS400" s="9"/>
      <c r="HT400" s="9"/>
      <c r="HU400" s="9"/>
      <c r="HV400" s="9"/>
      <c r="HW400" s="9"/>
      <c r="HX400" s="9"/>
      <c r="HY400" s="9"/>
      <c r="HZ400" s="9"/>
      <c r="IA400" s="9"/>
      <c r="IB400" s="67"/>
      <c r="IC400" s="68"/>
      <c r="ID400" s="157"/>
      <c r="IE400" s="158"/>
    </row>
    <row r="401" spans="1:239" s="11" customFormat="1" x14ac:dyDescent="0.2">
      <c r="A401" s="9">
        <v>30</v>
      </c>
      <c r="B401" s="9"/>
      <c r="C401" s="9"/>
      <c r="D401" s="9" t="s">
        <v>297</v>
      </c>
      <c r="E401" s="65" t="s">
        <v>134</v>
      </c>
      <c r="F401" s="65"/>
      <c r="G401" s="92" t="s">
        <v>2220</v>
      </c>
      <c r="H401" s="66" t="s">
        <v>1399</v>
      </c>
      <c r="I401" s="9"/>
      <c r="J401" s="9" t="s">
        <v>1101</v>
      </c>
      <c r="K401" s="9"/>
      <c r="L401" s="9"/>
      <c r="M401" s="9"/>
      <c r="N401" s="9"/>
      <c r="O401" s="9" t="s">
        <v>1101</v>
      </c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  <c r="EN401" s="9"/>
      <c r="EO401" s="9"/>
      <c r="EP401" s="9"/>
      <c r="EQ401" s="9"/>
      <c r="ER401" s="9"/>
      <c r="ES401" s="9"/>
      <c r="ET401" s="9"/>
      <c r="EU401" s="9"/>
      <c r="EV401" s="9"/>
      <c r="EW401" s="9"/>
      <c r="EX401" s="9"/>
      <c r="EY401" s="9"/>
      <c r="EZ401" s="9"/>
      <c r="FA401" s="9"/>
      <c r="FB401" s="9"/>
      <c r="FC401" s="9"/>
      <c r="FD401" s="9"/>
      <c r="FE401" s="9"/>
      <c r="FF401" s="9"/>
      <c r="FG401" s="9"/>
      <c r="FH401" s="9"/>
      <c r="FI401" s="9"/>
      <c r="FJ401" s="9"/>
      <c r="FK401" s="9"/>
      <c r="FL401" s="9"/>
      <c r="FM401" s="9"/>
      <c r="FN401" s="9"/>
      <c r="FO401" s="9"/>
      <c r="FP401" s="9"/>
      <c r="FQ401" s="9"/>
      <c r="FR401" s="9"/>
      <c r="FS401" s="9"/>
      <c r="FT401" s="9"/>
      <c r="FU401" s="9"/>
      <c r="FV401" s="9"/>
      <c r="FW401" s="9"/>
      <c r="FX401" s="9"/>
      <c r="FY401" s="9"/>
      <c r="FZ401" s="9"/>
      <c r="GA401" s="9"/>
      <c r="GB401" s="9"/>
      <c r="GC401" s="9"/>
      <c r="GD401" s="9"/>
      <c r="GE401" s="9"/>
      <c r="GF401" s="9"/>
      <c r="GG401" s="9"/>
      <c r="GH401" s="9"/>
      <c r="GI401" s="9"/>
      <c r="GJ401" s="9"/>
      <c r="GK401" s="9"/>
      <c r="GL401" s="9"/>
      <c r="GM401" s="9"/>
      <c r="GN401" s="9"/>
      <c r="GO401" s="9"/>
      <c r="GP401" s="9"/>
      <c r="GQ401" s="9"/>
      <c r="GR401" s="9"/>
      <c r="GS401" s="9"/>
      <c r="GT401" s="9"/>
      <c r="GU401" s="9"/>
      <c r="GV401" s="9"/>
      <c r="GW401" s="9"/>
      <c r="GX401" s="9"/>
      <c r="GY401" s="9"/>
      <c r="GZ401" s="9"/>
      <c r="HA401" s="9"/>
      <c r="HB401" s="9"/>
      <c r="HC401" s="9"/>
      <c r="HD401" s="9"/>
      <c r="HE401" s="9"/>
      <c r="HF401" s="9"/>
      <c r="HG401" s="9"/>
      <c r="HH401" s="9"/>
      <c r="HI401" s="9"/>
      <c r="HJ401" s="9"/>
      <c r="HK401" s="9"/>
      <c r="HL401" s="9"/>
      <c r="HM401" s="9"/>
      <c r="HN401" s="9"/>
      <c r="HO401" s="9"/>
      <c r="HP401" s="9"/>
      <c r="HQ401" s="9"/>
      <c r="HR401" s="9"/>
      <c r="HS401" s="9"/>
      <c r="HT401" s="9"/>
      <c r="HU401" s="9"/>
      <c r="HV401" s="9"/>
      <c r="HW401" s="9"/>
      <c r="HX401" s="9"/>
      <c r="HY401" s="9"/>
      <c r="HZ401" s="9"/>
      <c r="IA401" s="9"/>
      <c r="IB401" s="67"/>
      <c r="IC401" s="68"/>
      <c r="ID401" s="63"/>
      <c r="IE401" s="71"/>
    </row>
    <row r="402" spans="1:239" s="11" customFormat="1" x14ac:dyDescent="0.2">
      <c r="A402" s="9">
        <v>30</v>
      </c>
      <c r="B402" s="9"/>
      <c r="C402" s="9"/>
      <c r="D402" s="9" t="s">
        <v>673</v>
      </c>
      <c r="E402" s="65" t="s">
        <v>674</v>
      </c>
      <c r="F402" s="65"/>
      <c r="G402" s="92" t="s">
        <v>2223</v>
      </c>
      <c r="H402" s="66" t="s">
        <v>1400</v>
      </c>
      <c r="I402" s="9"/>
      <c r="J402" s="9" t="s">
        <v>1101</v>
      </c>
      <c r="K402" s="9"/>
      <c r="L402" s="9"/>
      <c r="M402" s="9"/>
      <c r="N402" s="9"/>
      <c r="O402" s="9"/>
      <c r="P402" s="9"/>
      <c r="Q402" s="9"/>
      <c r="R402" s="9"/>
      <c r="S402" s="9" t="s">
        <v>1101</v>
      </c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  <c r="EN402" s="9"/>
      <c r="EO402" s="9"/>
      <c r="EP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E402" s="9"/>
      <c r="FF402" s="9"/>
      <c r="FG402" s="9"/>
      <c r="FH402" s="9"/>
      <c r="FI402" s="9"/>
      <c r="FJ402" s="9"/>
      <c r="FK402" s="9"/>
      <c r="FL402" s="9"/>
      <c r="FM402" s="9"/>
      <c r="FN402" s="9"/>
      <c r="FO402" s="9"/>
      <c r="FP402" s="9"/>
      <c r="FQ402" s="9"/>
      <c r="FR402" s="9"/>
      <c r="FS402" s="9"/>
      <c r="FT402" s="9"/>
      <c r="FU402" s="9"/>
      <c r="FV402" s="9"/>
      <c r="FW402" s="9"/>
      <c r="FX402" s="9"/>
      <c r="FY402" s="9"/>
      <c r="FZ402" s="9"/>
      <c r="GA402" s="9"/>
      <c r="GB402" s="9"/>
      <c r="GC402" s="9"/>
      <c r="GD402" s="9"/>
      <c r="GE402" s="9"/>
      <c r="GF402" s="9"/>
      <c r="GG402" s="9"/>
      <c r="GH402" s="9"/>
      <c r="GI402" s="9"/>
      <c r="GJ402" s="9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  <c r="HE402" s="9"/>
      <c r="HF402" s="9"/>
      <c r="HG402" s="9"/>
      <c r="HH402" s="9"/>
      <c r="HI402" s="9"/>
      <c r="HJ402" s="9"/>
      <c r="HK402" s="9"/>
      <c r="HL402" s="9"/>
      <c r="HM402" s="9"/>
      <c r="HN402" s="9"/>
      <c r="HO402" s="9"/>
      <c r="HP402" s="9"/>
      <c r="HQ402" s="9"/>
      <c r="HR402" s="9"/>
      <c r="HS402" s="9"/>
      <c r="HT402" s="9"/>
      <c r="HU402" s="9"/>
      <c r="HV402" s="9"/>
      <c r="HW402" s="9"/>
      <c r="HX402" s="9"/>
      <c r="HY402" s="9"/>
      <c r="HZ402" s="9"/>
      <c r="IA402" s="9"/>
      <c r="IB402" s="67"/>
      <c r="IC402" s="68"/>
      <c r="ID402" s="63"/>
      <c r="IE402" s="71"/>
    </row>
    <row r="403" spans="1:239" s="11" customFormat="1" x14ac:dyDescent="0.2">
      <c r="A403" s="9">
        <v>30</v>
      </c>
      <c r="B403" s="9"/>
      <c r="C403" s="9"/>
      <c r="D403" s="9" t="s">
        <v>298</v>
      </c>
      <c r="E403" s="65" t="s">
        <v>138</v>
      </c>
      <c r="F403" s="65"/>
      <c r="G403" s="92" t="s">
        <v>2226</v>
      </c>
      <c r="H403" s="66" t="s">
        <v>1115</v>
      </c>
      <c r="I403" s="9"/>
      <c r="J403" s="9" t="s">
        <v>1101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 t="s">
        <v>1101</v>
      </c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  <c r="EN403" s="9"/>
      <c r="EO403" s="9"/>
      <c r="EP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E403" s="9"/>
      <c r="FF403" s="9"/>
      <c r="FG403" s="9"/>
      <c r="FH403" s="9"/>
      <c r="FI403" s="9"/>
      <c r="FJ403" s="9"/>
      <c r="FK403" s="9"/>
      <c r="FL403" s="9"/>
      <c r="FM403" s="9"/>
      <c r="FN403" s="9"/>
      <c r="FO403" s="9"/>
      <c r="FP403" s="9"/>
      <c r="FQ403" s="9"/>
      <c r="FR403" s="9"/>
      <c r="FS403" s="9"/>
      <c r="FT403" s="9"/>
      <c r="FU403" s="9"/>
      <c r="FV403" s="9"/>
      <c r="FW403" s="9"/>
      <c r="FX403" s="9"/>
      <c r="FY403" s="9"/>
      <c r="FZ403" s="9"/>
      <c r="GA403" s="9"/>
      <c r="GB403" s="9"/>
      <c r="GC403" s="9"/>
      <c r="GD403" s="9"/>
      <c r="GE403" s="9"/>
      <c r="GF403" s="9"/>
      <c r="GG403" s="9"/>
      <c r="GH403" s="9"/>
      <c r="GI403" s="9"/>
      <c r="GJ403" s="9"/>
      <c r="GK403" s="9"/>
      <c r="GL403" s="9"/>
      <c r="GM403" s="9"/>
      <c r="GN403" s="9"/>
      <c r="GO403" s="9"/>
      <c r="GP403" s="9"/>
      <c r="GQ403" s="9"/>
      <c r="GR403" s="9"/>
      <c r="GS403" s="9"/>
      <c r="GT403" s="9"/>
      <c r="GU403" s="9"/>
      <c r="GV403" s="9"/>
      <c r="GW403" s="9"/>
      <c r="GX403" s="9"/>
      <c r="GY403" s="9"/>
      <c r="GZ403" s="9"/>
      <c r="HA403" s="9"/>
      <c r="HB403" s="9"/>
      <c r="HC403" s="9"/>
      <c r="HD403" s="9"/>
      <c r="HE403" s="9"/>
      <c r="HF403" s="9"/>
      <c r="HG403" s="9"/>
      <c r="HH403" s="9"/>
      <c r="HI403" s="9"/>
      <c r="HJ403" s="9"/>
      <c r="HK403" s="9"/>
      <c r="HL403" s="9"/>
      <c r="HM403" s="9"/>
      <c r="HN403" s="9"/>
      <c r="HO403" s="9"/>
      <c r="HP403" s="9"/>
      <c r="HQ403" s="9"/>
      <c r="HR403" s="9"/>
      <c r="HS403" s="9"/>
      <c r="HT403" s="9"/>
      <c r="HU403" s="9"/>
      <c r="HV403" s="9"/>
      <c r="HW403" s="9"/>
      <c r="HX403" s="9"/>
      <c r="HY403" s="9"/>
      <c r="HZ403" s="9"/>
      <c r="IA403" s="9"/>
      <c r="IB403" s="67"/>
      <c r="IC403" s="68"/>
      <c r="ID403" s="63"/>
      <c r="IE403" s="71"/>
    </row>
    <row r="404" spans="1:239" s="11" customFormat="1" x14ac:dyDescent="0.2">
      <c r="A404" s="9">
        <v>30</v>
      </c>
      <c r="B404" s="9"/>
      <c r="C404" s="9"/>
      <c r="D404" s="9" t="s">
        <v>299</v>
      </c>
      <c r="E404" s="65" t="s">
        <v>140</v>
      </c>
      <c r="F404" s="65"/>
      <c r="G404" s="92" t="s">
        <v>2229</v>
      </c>
      <c r="H404" s="66" t="s">
        <v>1118</v>
      </c>
      <c r="I404" s="9"/>
      <c r="J404" s="9" t="s">
        <v>1101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 t="s">
        <v>1101</v>
      </c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9"/>
      <c r="FP404" s="9"/>
      <c r="FQ404" s="9"/>
      <c r="FR404" s="9"/>
      <c r="FS404" s="9"/>
      <c r="FT404" s="9"/>
      <c r="FU404" s="9"/>
      <c r="FV404" s="9"/>
      <c r="FW404" s="9"/>
      <c r="FX404" s="9"/>
      <c r="FY404" s="9"/>
      <c r="FZ404" s="9"/>
      <c r="GA404" s="9"/>
      <c r="GB404" s="9"/>
      <c r="GC404" s="9"/>
      <c r="GD404" s="9"/>
      <c r="GE404" s="9"/>
      <c r="GF404" s="9"/>
      <c r="GG404" s="9"/>
      <c r="GH404" s="9"/>
      <c r="GI404" s="9"/>
      <c r="GJ404" s="9"/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9"/>
      <c r="GY404" s="9"/>
      <c r="GZ404" s="9"/>
      <c r="HA404" s="9"/>
      <c r="HB404" s="9"/>
      <c r="HC404" s="9"/>
      <c r="HD404" s="9"/>
      <c r="HE404" s="9"/>
      <c r="HF404" s="9"/>
      <c r="HG404" s="9"/>
      <c r="HH404" s="9"/>
      <c r="HI404" s="9"/>
      <c r="HJ404" s="9"/>
      <c r="HK404" s="9"/>
      <c r="HL404" s="9"/>
      <c r="HM404" s="9"/>
      <c r="HN404" s="9"/>
      <c r="HO404" s="9"/>
      <c r="HP404" s="9"/>
      <c r="HQ404" s="9"/>
      <c r="HR404" s="9"/>
      <c r="HS404" s="9"/>
      <c r="HT404" s="9"/>
      <c r="HU404" s="9"/>
      <c r="HV404" s="9"/>
      <c r="HW404" s="9"/>
      <c r="HX404" s="9"/>
      <c r="HY404" s="9"/>
      <c r="HZ404" s="9"/>
      <c r="IA404" s="9"/>
      <c r="IB404" s="67"/>
      <c r="IC404" s="68"/>
      <c r="ID404" s="63"/>
      <c r="IE404" s="71"/>
    </row>
    <row r="405" spans="1:239" s="11" customFormat="1" x14ac:dyDescent="0.2">
      <c r="A405" s="9">
        <v>30</v>
      </c>
      <c r="B405" s="9"/>
      <c r="C405" s="9"/>
      <c r="D405" s="9" t="s">
        <v>300</v>
      </c>
      <c r="E405" s="65" t="s">
        <v>142</v>
      </c>
      <c r="F405" s="65"/>
      <c r="G405" s="92" t="s">
        <v>2232</v>
      </c>
      <c r="H405" s="66" t="s">
        <v>1121</v>
      </c>
      <c r="I405" s="9"/>
      <c r="J405" s="9" t="s">
        <v>1101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 t="s">
        <v>1101</v>
      </c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H405" s="9"/>
      <c r="GI405" s="9"/>
      <c r="GJ405" s="9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9"/>
      <c r="GY405" s="9"/>
      <c r="GZ405" s="9"/>
      <c r="HA405" s="9"/>
      <c r="HB405" s="9"/>
      <c r="HC405" s="9"/>
      <c r="HD405" s="9"/>
      <c r="HE405" s="9"/>
      <c r="HF405" s="9"/>
      <c r="HG405" s="9"/>
      <c r="HH405" s="9"/>
      <c r="HI405" s="9"/>
      <c r="HJ405" s="9"/>
      <c r="HK405" s="9"/>
      <c r="HL405" s="9"/>
      <c r="HM405" s="9"/>
      <c r="HN405" s="9"/>
      <c r="HO405" s="9"/>
      <c r="HP405" s="9"/>
      <c r="HQ405" s="9"/>
      <c r="HR405" s="9"/>
      <c r="HS405" s="9"/>
      <c r="HT405" s="9"/>
      <c r="HU405" s="9"/>
      <c r="HV405" s="9"/>
      <c r="HW405" s="9"/>
      <c r="HX405" s="9"/>
      <c r="HY405" s="9"/>
      <c r="HZ405" s="9"/>
      <c r="IA405" s="9"/>
      <c r="IB405" s="67"/>
      <c r="IC405" s="68"/>
      <c r="ID405" s="63"/>
      <c r="IE405" s="71"/>
    </row>
    <row r="406" spans="1:239" s="11" customFormat="1" x14ac:dyDescent="0.2">
      <c r="A406" s="9">
        <v>30</v>
      </c>
      <c r="B406" s="9"/>
      <c r="C406" s="9"/>
      <c r="D406" s="9" t="s">
        <v>301</v>
      </c>
      <c r="E406" s="65" t="s">
        <v>144</v>
      </c>
      <c r="F406" s="65"/>
      <c r="G406" s="92" t="s">
        <v>2235</v>
      </c>
      <c r="H406" s="66" t="s">
        <v>1124</v>
      </c>
      <c r="I406" s="9"/>
      <c r="J406" s="9" t="s">
        <v>1101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 t="s">
        <v>1101</v>
      </c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  <c r="EN406" s="9"/>
      <c r="EO406" s="9"/>
      <c r="EP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E406" s="9"/>
      <c r="FF406" s="9"/>
      <c r="FG406" s="9"/>
      <c r="FH406" s="9"/>
      <c r="FI406" s="9"/>
      <c r="FJ406" s="9"/>
      <c r="FK406" s="9"/>
      <c r="FL406" s="9"/>
      <c r="FM406" s="9"/>
      <c r="FN406" s="9"/>
      <c r="FO406" s="9"/>
      <c r="FP406" s="9"/>
      <c r="FQ406" s="9"/>
      <c r="FR406" s="9"/>
      <c r="FS406" s="9"/>
      <c r="FT406" s="9"/>
      <c r="FU406" s="9"/>
      <c r="FV406" s="9"/>
      <c r="FW406" s="9"/>
      <c r="FX406" s="9"/>
      <c r="FY406" s="9"/>
      <c r="FZ406" s="9"/>
      <c r="GA406" s="9"/>
      <c r="GB406" s="9"/>
      <c r="GC406" s="9"/>
      <c r="GD406" s="9"/>
      <c r="GE406" s="9"/>
      <c r="GF406" s="9"/>
      <c r="GG406" s="9"/>
      <c r="GH406" s="9"/>
      <c r="GI406" s="9"/>
      <c r="GJ406" s="9"/>
      <c r="GK406" s="9"/>
      <c r="GL406" s="9"/>
      <c r="GM406" s="9"/>
      <c r="GN406" s="9"/>
      <c r="GO406" s="9"/>
      <c r="GP406" s="9"/>
      <c r="GQ406" s="9"/>
      <c r="GR406" s="9"/>
      <c r="GS406" s="9"/>
      <c r="GT406" s="9"/>
      <c r="GU406" s="9"/>
      <c r="GV406" s="9"/>
      <c r="GW406" s="9"/>
      <c r="GX406" s="9"/>
      <c r="GY406" s="9"/>
      <c r="GZ406" s="9"/>
      <c r="HA406" s="9"/>
      <c r="HB406" s="9"/>
      <c r="HC406" s="9"/>
      <c r="HD406" s="9"/>
      <c r="HE406" s="9"/>
      <c r="HF406" s="9"/>
      <c r="HG406" s="9"/>
      <c r="HH406" s="9"/>
      <c r="HI406" s="9"/>
      <c r="HJ406" s="9"/>
      <c r="HK406" s="9"/>
      <c r="HL406" s="9"/>
      <c r="HM406" s="9"/>
      <c r="HN406" s="9"/>
      <c r="HO406" s="9"/>
      <c r="HP406" s="9"/>
      <c r="HQ406" s="9"/>
      <c r="HR406" s="9"/>
      <c r="HS406" s="9"/>
      <c r="HT406" s="9"/>
      <c r="HU406" s="9"/>
      <c r="HV406" s="9"/>
      <c r="HW406" s="9"/>
      <c r="HX406" s="9"/>
      <c r="HY406" s="9"/>
      <c r="HZ406" s="9"/>
      <c r="IA406" s="9"/>
      <c r="IB406" s="67"/>
      <c r="IC406" s="68"/>
      <c r="ID406" s="63"/>
      <c r="IE406" s="71"/>
    </row>
    <row r="407" spans="1:239" s="11" customFormat="1" x14ac:dyDescent="0.2">
      <c r="A407" s="9">
        <v>30</v>
      </c>
      <c r="B407" s="9"/>
      <c r="C407" s="9"/>
      <c r="D407" s="9" t="s">
        <v>302</v>
      </c>
      <c r="E407" s="65" t="s">
        <v>146</v>
      </c>
      <c r="F407" s="65"/>
      <c r="G407" s="92" t="s">
        <v>2238</v>
      </c>
      <c r="H407" s="66" t="s">
        <v>1127</v>
      </c>
      <c r="I407" s="9"/>
      <c r="J407" s="9" t="s">
        <v>1101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 t="s">
        <v>1101</v>
      </c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  <c r="EN407" s="9"/>
      <c r="EO407" s="9"/>
      <c r="EP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E407" s="9"/>
      <c r="FF407" s="9"/>
      <c r="FG407" s="9"/>
      <c r="FH407" s="9"/>
      <c r="FI407" s="9"/>
      <c r="FJ407" s="9"/>
      <c r="FK407" s="9"/>
      <c r="FL407" s="9"/>
      <c r="FM407" s="9"/>
      <c r="FN407" s="9"/>
      <c r="FO407" s="9"/>
      <c r="FP407" s="9"/>
      <c r="FQ407" s="9"/>
      <c r="FR407" s="9"/>
      <c r="FS407" s="9"/>
      <c r="FT407" s="9"/>
      <c r="FU407" s="9"/>
      <c r="FV407" s="9"/>
      <c r="FW407" s="9"/>
      <c r="FX407" s="9"/>
      <c r="FY407" s="9"/>
      <c r="FZ407" s="9"/>
      <c r="GA407" s="9"/>
      <c r="GB407" s="9"/>
      <c r="GC407" s="9"/>
      <c r="GD407" s="9"/>
      <c r="GE407" s="9"/>
      <c r="GF407" s="9"/>
      <c r="GG407" s="9"/>
      <c r="GH407" s="9"/>
      <c r="GI407" s="9"/>
      <c r="GJ407" s="9"/>
      <c r="GK407" s="9"/>
      <c r="GL407" s="9"/>
      <c r="GM407" s="9"/>
      <c r="GN407" s="9"/>
      <c r="GO407" s="9"/>
      <c r="GP407" s="9"/>
      <c r="GQ407" s="9"/>
      <c r="GR407" s="9"/>
      <c r="GS407" s="9"/>
      <c r="GT407" s="9"/>
      <c r="GU407" s="9"/>
      <c r="GV407" s="9"/>
      <c r="GW407" s="9"/>
      <c r="GX407" s="9"/>
      <c r="GY407" s="9"/>
      <c r="GZ407" s="9"/>
      <c r="HA407" s="9"/>
      <c r="HB407" s="9"/>
      <c r="HC407" s="9"/>
      <c r="HD407" s="9"/>
      <c r="HE407" s="9"/>
      <c r="HF407" s="9"/>
      <c r="HG407" s="9"/>
      <c r="HH407" s="9"/>
      <c r="HI407" s="9"/>
      <c r="HJ407" s="9"/>
      <c r="HK407" s="9"/>
      <c r="HL407" s="9"/>
      <c r="HM407" s="9"/>
      <c r="HN407" s="9"/>
      <c r="HO407" s="9"/>
      <c r="HP407" s="9"/>
      <c r="HQ407" s="9"/>
      <c r="HR407" s="9"/>
      <c r="HS407" s="9"/>
      <c r="HT407" s="9"/>
      <c r="HU407" s="9"/>
      <c r="HV407" s="9"/>
      <c r="HW407" s="9"/>
      <c r="HX407" s="9"/>
      <c r="HY407" s="9"/>
      <c r="HZ407" s="9"/>
      <c r="IA407" s="9"/>
      <c r="IB407" s="67"/>
      <c r="IC407" s="68"/>
      <c r="ID407" s="63"/>
      <c r="IE407" s="71"/>
    </row>
    <row r="408" spans="1:239" s="11" customFormat="1" x14ac:dyDescent="0.2">
      <c r="A408" s="9">
        <v>30</v>
      </c>
      <c r="B408" s="9"/>
      <c r="C408" s="9"/>
      <c r="D408" s="9" t="s">
        <v>303</v>
      </c>
      <c r="E408" s="65" t="s">
        <v>149</v>
      </c>
      <c r="F408" s="65"/>
      <c r="G408" s="92" t="s">
        <v>2243</v>
      </c>
      <c r="H408" s="66" t="s">
        <v>1132</v>
      </c>
      <c r="I408" s="9"/>
      <c r="J408" s="9" t="s">
        <v>1101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 t="s">
        <v>1101</v>
      </c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9"/>
      <c r="FU408" s="9"/>
      <c r="FV408" s="9"/>
      <c r="FW408" s="9"/>
      <c r="FX408" s="9"/>
      <c r="FY408" s="9"/>
      <c r="FZ408" s="9"/>
      <c r="GA408" s="9"/>
      <c r="GB408" s="9"/>
      <c r="GC408" s="9"/>
      <c r="GD408" s="9"/>
      <c r="GE408" s="9"/>
      <c r="GF408" s="9"/>
      <c r="GG408" s="9"/>
      <c r="GH408" s="9"/>
      <c r="GI408" s="9"/>
      <c r="GJ408" s="9"/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9"/>
      <c r="GY408" s="9"/>
      <c r="GZ408" s="9"/>
      <c r="HA408" s="9"/>
      <c r="HB408" s="9"/>
      <c r="HC408" s="9"/>
      <c r="HD408" s="9"/>
      <c r="HE408" s="9"/>
      <c r="HF408" s="9"/>
      <c r="HG408" s="9"/>
      <c r="HH408" s="9"/>
      <c r="HI408" s="9"/>
      <c r="HJ408" s="9"/>
      <c r="HK408" s="9"/>
      <c r="HL408" s="9"/>
      <c r="HM408" s="9"/>
      <c r="HN408" s="9"/>
      <c r="HO408" s="9"/>
      <c r="HP408" s="9"/>
      <c r="HQ408" s="9"/>
      <c r="HR408" s="9"/>
      <c r="HS408" s="9"/>
      <c r="HT408" s="9"/>
      <c r="HU408" s="9"/>
      <c r="HV408" s="9"/>
      <c r="HW408" s="9"/>
      <c r="HX408" s="9"/>
      <c r="HY408" s="9"/>
      <c r="HZ408" s="9"/>
      <c r="IA408" s="9"/>
      <c r="IB408" s="67"/>
      <c r="IC408" s="68"/>
      <c r="ID408" s="63"/>
      <c r="IE408" s="71"/>
    </row>
    <row r="409" spans="1:239" s="11" customFormat="1" x14ac:dyDescent="0.2">
      <c r="A409" s="9">
        <v>30</v>
      </c>
      <c r="B409" s="9"/>
      <c r="C409" s="9"/>
      <c r="D409" s="9" t="s">
        <v>304</v>
      </c>
      <c r="E409" s="65" t="s">
        <v>151</v>
      </c>
      <c r="F409" s="65"/>
      <c r="G409" s="92" t="s">
        <v>2249</v>
      </c>
      <c r="H409" s="66" t="s">
        <v>1140</v>
      </c>
      <c r="I409" s="9"/>
      <c r="J409" s="9" t="s">
        <v>1101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 t="s">
        <v>1101</v>
      </c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  <c r="EN409" s="9"/>
      <c r="EO409" s="9"/>
      <c r="EP409" s="9"/>
      <c r="EQ409" s="9"/>
      <c r="ER409" s="9"/>
      <c r="ES409" s="9"/>
      <c r="ET409" s="9"/>
      <c r="EU409" s="9"/>
      <c r="EV409" s="9"/>
      <c r="EW409" s="9"/>
      <c r="EX409" s="9"/>
      <c r="EY409" s="9"/>
      <c r="EZ409" s="9"/>
      <c r="FA409" s="9"/>
      <c r="FB409" s="9"/>
      <c r="FC409" s="9"/>
      <c r="FD409" s="9"/>
      <c r="FE409" s="9"/>
      <c r="FF409" s="9"/>
      <c r="FG409" s="9"/>
      <c r="FH409" s="9"/>
      <c r="FI409" s="9"/>
      <c r="FJ409" s="9"/>
      <c r="FK409" s="9"/>
      <c r="FL409" s="9"/>
      <c r="FM409" s="9"/>
      <c r="FN409" s="9"/>
      <c r="FO409" s="9"/>
      <c r="FP409" s="9"/>
      <c r="FQ409" s="9"/>
      <c r="FR409" s="9"/>
      <c r="FS409" s="9"/>
      <c r="FT409" s="9"/>
      <c r="FU409" s="9"/>
      <c r="FV409" s="9"/>
      <c r="FW409" s="9"/>
      <c r="FX409" s="9"/>
      <c r="FY409" s="9"/>
      <c r="FZ409" s="9"/>
      <c r="GA409" s="9"/>
      <c r="GB409" s="9"/>
      <c r="GC409" s="9"/>
      <c r="GD409" s="9"/>
      <c r="GE409" s="9"/>
      <c r="GF409" s="9"/>
      <c r="GG409" s="9"/>
      <c r="GH409" s="9"/>
      <c r="GI409" s="9"/>
      <c r="GJ409" s="9"/>
      <c r="GK409" s="9"/>
      <c r="GL409" s="9"/>
      <c r="GM409" s="9"/>
      <c r="GN409" s="9"/>
      <c r="GO409" s="9"/>
      <c r="GP409" s="9"/>
      <c r="GQ409" s="9"/>
      <c r="GR409" s="9"/>
      <c r="GS409" s="9"/>
      <c r="GT409" s="9"/>
      <c r="GU409" s="9"/>
      <c r="GV409" s="9"/>
      <c r="GW409" s="9"/>
      <c r="GX409" s="9"/>
      <c r="GY409" s="9"/>
      <c r="GZ409" s="9"/>
      <c r="HA409" s="9"/>
      <c r="HB409" s="9"/>
      <c r="HC409" s="9"/>
      <c r="HD409" s="9"/>
      <c r="HE409" s="9"/>
      <c r="HF409" s="9"/>
      <c r="HG409" s="9"/>
      <c r="HH409" s="9"/>
      <c r="HI409" s="9"/>
      <c r="HJ409" s="9"/>
      <c r="HK409" s="9"/>
      <c r="HL409" s="9"/>
      <c r="HM409" s="9"/>
      <c r="HN409" s="9"/>
      <c r="HO409" s="9"/>
      <c r="HP409" s="9"/>
      <c r="HQ409" s="9"/>
      <c r="HR409" s="9"/>
      <c r="HS409" s="9"/>
      <c r="HT409" s="9"/>
      <c r="HU409" s="9"/>
      <c r="HV409" s="9"/>
      <c r="HW409" s="9"/>
      <c r="HX409" s="9"/>
      <c r="HY409" s="9"/>
      <c r="HZ409" s="9"/>
      <c r="IA409" s="9"/>
      <c r="IB409" s="67"/>
      <c r="IC409" s="68"/>
      <c r="ID409" s="63"/>
      <c r="IE409" s="71"/>
    </row>
    <row r="410" spans="1:239" s="11" customFormat="1" x14ac:dyDescent="0.2">
      <c r="A410" s="9">
        <v>30</v>
      </c>
      <c r="B410" s="9"/>
      <c r="C410" s="9"/>
      <c r="D410" s="9" t="s">
        <v>305</v>
      </c>
      <c r="E410" s="65" t="s">
        <v>155</v>
      </c>
      <c r="F410" s="65"/>
      <c r="G410" s="92" t="s">
        <v>2254</v>
      </c>
      <c r="H410" s="66" t="s">
        <v>1147</v>
      </c>
      <c r="I410" s="9"/>
      <c r="J410" s="9" t="s">
        <v>1101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 t="s">
        <v>1101</v>
      </c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  <c r="EN410" s="9"/>
      <c r="EO410" s="9"/>
      <c r="EP410" s="9"/>
      <c r="EQ410" s="9"/>
      <c r="ER410" s="9"/>
      <c r="ES410" s="9"/>
      <c r="ET410" s="9"/>
      <c r="EU410" s="9"/>
      <c r="EV410" s="9"/>
      <c r="EW410" s="9"/>
      <c r="EX410" s="9"/>
      <c r="EY410" s="9"/>
      <c r="EZ410" s="9"/>
      <c r="FA410" s="9"/>
      <c r="FB410" s="9"/>
      <c r="FC410" s="9"/>
      <c r="FD410" s="9"/>
      <c r="FE410" s="9"/>
      <c r="FF410" s="9"/>
      <c r="FG410" s="9"/>
      <c r="FH410" s="9"/>
      <c r="FI410" s="9"/>
      <c r="FJ410" s="9"/>
      <c r="FK410" s="9"/>
      <c r="FL410" s="9"/>
      <c r="FM410" s="9"/>
      <c r="FN410" s="9"/>
      <c r="FO410" s="9"/>
      <c r="FP410" s="9"/>
      <c r="FQ410" s="9"/>
      <c r="FR410" s="9"/>
      <c r="FS410" s="9"/>
      <c r="FT410" s="9"/>
      <c r="FU410" s="9"/>
      <c r="FV410" s="9"/>
      <c r="FW410" s="9"/>
      <c r="FX410" s="9"/>
      <c r="FY410" s="9"/>
      <c r="FZ410" s="9"/>
      <c r="GA410" s="9"/>
      <c r="GB410" s="9"/>
      <c r="GC410" s="9"/>
      <c r="GD410" s="9"/>
      <c r="GE410" s="9"/>
      <c r="GF410" s="9"/>
      <c r="GG410" s="9"/>
      <c r="GH410" s="9"/>
      <c r="GI410" s="9"/>
      <c r="GJ410" s="9"/>
      <c r="GK410" s="9"/>
      <c r="GL410" s="9"/>
      <c r="GM410" s="9"/>
      <c r="GN410" s="9"/>
      <c r="GO410" s="9"/>
      <c r="GP410" s="9"/>
      <c r="GQ410" s="9"/>
      <c r="GR410" s="9"/>
      <c r="GS410" s="9"/>
      <c r="GT410" s="9"/>
      <c r="GU410" s="9"/>
      <c r="GV410" s="9"/>
      <c r="GW410" s="9"/>
      <c r="GX410" s="9"/>
      <c r="GY410" s="9"/>
      <c r="GZ410" s="9"/>
      <c r="HA410" s="9"/>
      <c r="HB410" s="9"/>
      <c r="HC410" s="9"/>
      <c r="HD410" s="9"/>
      <c r="HE410" s="9"/>
      <c r="HF410" s="9"/>
      <c r="HG410" s="9"/>
      <c r="HH410" s="9"/>
      <c r="HI410" s="9"/>
      <c r="HJ410" s="9"/>
      <c r="HK410" s="9"/>
      <c r="HL410" s="9"/>
      <c r="HM410" s="9"/>
      <c r="HN410" s="9"/>
      <c r="HO410" s="9"/>
      <c r="HP410" s="9"/>
      <c r="HQ410" s="9"/>
      <c r="HR410" s="9"/>
      <c r="HS410" s="9"/>
      <c r="HT410" s="9"/>
      <c r="HU410" s="9"/>
      <c r="HV410" s="9"/>
      <c r="HW410" s="9"/>
      <c r="HX410" s="9"/>
      <c r="HY410" s="9"/>
      <c r="HZ410" s="9"/>
      <c r="IA410" s="9"/>
      <c r="IB410" s="67"/>
      <c r="IC410" s="68"/>
      <c r="ID410" s="63"/>
      <c r="IE410" s="71"/>
    </row>
    <row r="411" spans="1:239" s="11" customFormat="1" x14ac:dyDescent="0.2">
      <c r="A411" s="9">
        <v>30</v>
      </c>
      <c r="B411" s="9"/>
      <c r="C411" s="9"/>
      <c r="D411" s="9" t="s">
        <v>306</v>
      </c>
      <c r="E411" s="65" t="s">
        <v>157</v>
      </c>
      <c r="F411" s="65"/>
      <c r="G411" s="92" t="s">
        <v>2257</v>
      </c>
      <c r="H411" s="66" t="s">
        <v>1150</v>
      </c>
      <c r="I411" s="9"/>
      <c r="J411" s="9" t="s">
        <v>1101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 t="s">
        <v>1101</v>
      </c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  <c r="EN411" s="9"/>
      <c r="EO411" s="9"/>
      <c r="EP411" s="9"/>
      <c r="EQ411" s="9"/>
      <c r="ER411" s="9"/>
      <c r="ES411" s="9"/>
      <c r="ET411" s="9"/>
      <c r="EU411" s="9"/>
      <c r="EV411" s="9"/>
      <c r="EW411" s="9"/>
      <c r="EX411" s="9"/>
      <c r="EY411" s="9"/>
      <c r="EZ411" s="9"/>
      <c r="FA411" s="9"/>
      <c r="FB411" s="9"/>
      <c r="FC411" s="9"/>
      <c r="FD411" s="9"/>
      <c r="FE411" s="9"/>
      <c r="FF411" s="9"/>
      <c r="FG411" s="9"/>
      <c r="FH411" s="9"/>
      <c r="FI411" s="9"/>
      <c r="FJ411" s="9"/>
      <c r="FK411" s="9"/>
      <c r="FL411" s="9"/>
      <c r="FM411" s="9"/>
      <c r="FN411" s="9"/>
      <c r="FO411" s="9"/>
      <c r="FP411" s="9"/>
      <c r="FQ411" s="9"/>
      <c r="FR411" s="9"/>
      <c r="FS411" s="9"/>
      <c r="FT411" s="9"/>
      <c r="FU411" s="9"/>
      <c r="FV411" s="9"/>
      <c r="FW411" s="9"/>
      <c r="FX411" s="9"/>
      <c r="FY411" s="9"/>
      <c r="FZ411" s="9"/>
      <c r="GA411" s="9"/>
      <c r="GB411" s="9"/>
      <c r="GC411" s="9"/>
      <c r="GD411" s="9"/>
      <c r="GE411" s="9"/>
      <c r="GF411" s="9"/>
      <c r="GG411" s="9"/>
      <c r="GH411" s="9"/>
      <c r="GI411" s="9"/>
      <c r="GJ411" s="9"/>
      <c r="GK411" s="9"/>
      <c r="GL411" s="9"/>
      <c r="GM411" s="9"/>
      <c r="GN411" s="9"/>
      <c r="GO411" s="9"/>
      <c r="GP411" s="9"/>
      <c r="GQ411" s="9"/>
      <c r="GR411" s="9"/>
      <c r="GS411" s="9"/>
      <c r="GT411" s="9"/>
      <c r="GU411" s="9"/>
      <c r="GV411" s="9"/>
      <c r="GW411" s="9"/>
      <c r="GX411" s="9"/>
      <c r="GY411" s="9"/>
      <c r="GZ411" s="9"/>
      <c r="HA411" s="9"/>
      <c r="HB411" s="9"/>
      <c r="HC411" s="9"/>
      <c r="HD411" s="9"/>
      <c r="HE411" s="9"/>
      <c r="HF411" s="9"/>
      <c r="HG411" s="9"/>
      <c r="HH411" s="9"/>
      <c r="HI411" s="9"/>
      <c r="HJ411" s="9"/>
      <c r="HK411" s="9"/>
      <c r="HL411" s="9"/>
      <c r="HM411" s="9"/>
      <c r="HN411" s="9"/>
      <c r="HO411" s="9"/>
      <c r="HP411" s="9"/>
      <c r="HQ411" s="9"/>
      <c r="HR411" s="9"/>
      <c r="HS411" s="9"/>
      <c r="HT411" s="9"/>
      <c r="HU411" s="9"/>
      <c r="HV411" s="9"/>
      <c r="HW411" s="9"/>
      <c r="HX411" s="9"/>
      <c r="HY411" s="9"/>
      <c r="HZ411" s="9"/>
      <c r="IA411" s="9"/>
      <c r="IB411" s="67"/>
      <c r="IC411" s="68"/>
      <c r="ID411" s="63"/>
      <c r="IE411" s="71"/>
    </row>
    <row r="412" spans="1:239" s="11" customFormat="1" x14ac:dyDescent="0.2">
      <c r="A412" s="9">
        <v>30</v>
      </c>
      <c r="B412" s="9"/>
      <c r="C412" s="9"/>
      <c r="D412" s="9" t="s">
        <v>307</v>
      </c>
      <c r="E412" s="65" t="s">
        <v>339</v>
      </c>
      <c r="F412" s="65"/>
      <c r="G412" s="92" t="s">
        <v>2266</v>
      </c>
      <c r="H412" s="66" t="s">
        <v>1162</v>
      </c>
      <c r="I412" s="9"/>
      <c r="J412" s="9" t="s">
        <v>1101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 t="s">
        <v>1101</v>
      </c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  <c r="EN412" s="9"/>
      <c r="EO412" s="9"/>
      <c r="EP412" s="9"/>
      <c r="EQ412" s="9"/>
      <c r="ER412" s="9"/>
      <c r="ES412" s="9"/>
      <c r="ET412" s="9"/>
      <c r="EU412" s="9"/>
      <c r="EV412" s="9"/>
      <c r="EW412" s="9"/>
      <c r="EX412" s="9"/>
      <c r="EY412" s="9"/>
      <c r="EZ412" s="9"/>
      <c r="FA412" s="9"/>
      <c r="FB412" s="9"/>
      <c r="FC412" s="9"/>
      <c r="FD412" s="9"/>
      <c r="FE412" s="9"/>
      <c r="FF412" s="9"/>
      <c r="FG412" s="9"/>
      <c r="FH412" s="9"/>
      <c r="FI412" s="9"/>
      <c r="FJ412" s="9"/>
      <c r="FK412" s="9"/>
      <c r="FL412" s="9"/>
      <c r="FM412" s="9"/>
      <c r="FN412" s="9"/>
      <c r="FO412" s="9"/>
      <c r="FP412" s="9"/>
      <c r="FQ412" s="9"/>
      <c r="FR412" s="9"/>
      <c r="FS412" s="9"/>
      <c r="FT412" s="9"/>
      <c r="FU412" s="9"/>
      <c r="FV412" s="9"/>
      <c r="FW412" s="9"/>
      <c r="FX412" s="9"/>
      <c r="FY412" s="9"/>
      <c r="FZ412" s="9"/>
      <c r="GA412" s="9"/>
      <c r="GB412" s="9"/>
      <c r="GC412" s="9"/>
      <c r="GD412" s="9"/>
      <c r="GE412" s="9"/>
      <c r="GF412" s="9"/>
      <c r="GG412" s="9"/>
      <c r="GH412" s="9"/>
      <c r="GI412" s="9"/>
      <c r="GJ412" s="9"/>
      <c r="GK412" s="9"/>
      <c r="GL412" s="9"/>
      <c r="GM412" s="9"/>
      <c r="GN412" s="9"/>
      <c r="GO412" s="9"/>
      <c r="GP412" s="9"/>
      <c r="GQ412" s="9"/>
      <c r="GR412" s="9"/>
      <c r="GS412" s="9"/>
      <c r="GT412" s="9"/>
      <c r="GU412" s="9"/>
      <c r="GV412" s="9"/>
      <c r="GW412" s="9"/>
      <c r="GX412" s="9"/>
      <c r="GY412" s="9"/>
      <c r="GZ412" s="9"/>
      <c r="HA412" s="9"/>
      <c r="HB412" s="9"/>
      <c r="HC412" s="9"/>
      <c r="HD412" s="9"/>
      <c r="HE412" s="9"/>
      <c r="HF412" s="9"/>
      <c r="HG412" s="9"/>
      <c r="HH412" s="9"/>
      <c r="HI412" s="9"/>
      <c r="HJ412" s="9"/>
      <c r="HK412" s="9"/>
      <c r="HL412" s="9"/>
      <c r="HM412" s="9"/>
      <c r="HN412" s="9"/>
      <c r="HO412" s="9"/>
      <c r="HP412" s="9"/>
      <c r="HQ412" s="9"/>
      <c r="HR412" s="9"/>
      <c r="HS412" s="9"/>
      <c r="HT412" s="9"/>
      <c r="HU412" s="9"/>
      <c r="HV412" s="9"/>
      <c r="HW412" s="9"/>
      <c r="HX412" s="9"/>
      <c r="HY412" s="9"/>
      <c r="HZ412" s="9"/>
      <c r="IA412" s="9"/>
      <c r="IB412" s="67"/>
      <c r="IC412" s="68"/>
      <c r="ID412" s="63"/>
      <c r="IE412" s="71"/>
    </row>
    <row r="413" spans="1:239" s="11" customFormat="1" x14ac:dyDescent="0.2">
      <c r="A413" s="9">
        <v>30</v>
      </c>
      <c r="B413" s="9"/>
      <c r="C413" s="9"/>
      <c r="D413" s="9" t="s">
        <v>308</v>
      </c>
      <c r="E413" s="65" t="s">
        <v>153</v>
      </c>
      <c r="F413" s="65"/>
      <c r="G413" s="92" t="s">
        <v>2252</v>
      </c>
      <c r="H413" s="66" t="s">
        <v>1143</v>
      </c>
      <c r="I413" s="9"/>
      <c r="J413" s="9" t="s">
        <v>1101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 t="s">
        <v>1101</v>
      </c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  <c r="EN413" s="9"/>
      <c r="EO413" s="9"/>
      <c r="EP413" s="9"/>
      <c r="EQ413" s="9"/>
      <c r="ER413" s="9"/>
      <c r="ES413" s="9"/>
      <c r="ET413" s="9"/>
      <c r="EU413" s="9"/>
      <c r="EV413" s="9"/>
      <c r="EW413" s="9"/>
      <c r="EX413" s="9"/>
      <c r="EY413" s="9"/>
      <c r="EZ413" s="9"/>
      <c r="FA413" s="9"/>
      <c r="FB413" s="9"/>
      <c r="FC413" s="9"/>
      <c r="FD413" s="9"/>
      <c r="FE413" s="9"/>
      <c r="FF413" s="9"/>
      <c r="FG413" s="9"/>
      <c r="FH413" s="9"/>
      <c r="FI413" s="9"/>
      <c r="FJ413" s="9"/>
      <c r="FK413" s="9"/>
      <c r="FL413" s="9"/>
      <c r="FM413" s="9"/>
      <c r="FN413" s="9"/>
      <c r="FO413" s="9"/>
      <c r="FP413" s="9"/>
      <c r="FQ413" s="9"/>
      <c r="FR413" s="9"/>
      <c r="FS413" s="9"/>
      <c r="FT413" s="9"/>
      <c r="FU413" s="9"/>
      <c r="FV413" s="9"/>
      <c r="FW413" s="9"/>
      <c r="FX413" s="9"/>
      <c r="FY413" s="9"/>
      <c r="FZ413" s="9"/>
      <c r="GA413" s="9"/>
      <c r="GB413" s="9"/>
      <c r="GC413" s="9"/>
      <c r="GD413" s="9"/>
      <c r="GE413" s="9"/>
      <c r="GF413" s="9"/>
      <c r="GG413" s="9"/>
      <c r="GH413" s="9"/>
      <c r="GI413" s="9"/>
      <c r="GJ413" s="9"/>
      <c r="GK413" s="9"/>
      <c r="GL413" s="9"/>
      <c r="GM413" s="9"/>
      <c r="GN413" s="9"/>
      <c r="GO413" s="9"/>
      <c r="GP413" s="9"/>
      <c r="GQ413" s="9"/>
      <c r="GR413" s="9"/>
      <c r="GS413" s="9"/>
      <c r="GT413" s="9"/>
      <c r="GU413" s="9"/>
      <c r="GV413" s="9"/>
      <c r="GW413" s="9"/>
      <c r="GX413" s="9"/>
      <c r="GY413" s="9"/>
      <c r="GZ413" s="9"/>
      <c r="HA413" s="9"/>
      <c r="HB413" s="9"/>
      <c r="HC413" s="9"/>
      <c r="HD413" s="9"/>
      <c r="HE413" s="9"/>
      <c r="HF413" s="9"/>
      <c r="HG413" s="9"/>
      <c r="HH413" s="9"/>
      <c r="HI413" s="9"/>
      <c r="HJ413" s="9"/>
      <c r="HK413" s="9"/>
      <c r="HL413" s="9"/>
      <c r="HM413" s="9"/>
      <c r="HN413" s="9"/>
      <c r="HO413" s="9"/>
      <c r="HP413" s="9"/>
      <c r="HQ413" s="9"/>
      <c r="HR413" s="9"/>
      <c r="HS413" s="9"/>
      <c r="HT413" s="9"/>
      <c r="HU413" s="9"/>
      <c r="HV413" s="9"/>
      <c r="HW413" s="9"/>
      <c r="HX413" s="9"/>
      <c r="HY413" s="9"/>
      <c r="HZ413" s="9"/>
      <c r="IA413" s="9"/>
      <c r="IB413" s="67"/>
      <c r="IC413" s="68"/>
      <c r="ID413" s="63"/>
      <c r="IE413" s="71"/>
    </row>
    <row r="414" spans="1:239" s="11" customFormat="1" x14ac:dyDescent="0.2">
      <c r="A414" s="9">
        <v>30</v>
      </c>
      <c r="B414" s="9"/>
      <c r="C414" s="9"/>
      <c r="D414" s="9" t="s">
        <v>309</v>
      </c>
      <c r="E414" s="65" t="s">
        <v>340</v>
      </c>
      <c r="F414" s="65"/>
      <c r="G414" s="92" t="s">
        <v>2270</v>
      </c>
      <c r="H414" s="66" t="s">
        <v>1166</v>
      </c>
      <c r="I414" s="9"/>
      <c r="J414" s="9" t="s">
        <v>1101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 t="s">
        <v>1101</v>
      </c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  <c r="EN414" s="9"/>
      <c r="EO414" s="9"/>
      <c r="EP414" s="9"/>
      <c r="EQ414" s="9"/>
      <c r="ER414" s="9"/>
      <c r="ES414" s="9"/>
      <c r="ET414" s="9"/>
      <c r="EU414" s="9"/>
      <c r="EV414" s="9"/>
      <c r="EW414" s="9"/>
      <c r="EX414" s="9"/>
      <c r="EY414" s="9"/>
      <c r="EZ414" s="9"/>
      <c r="FA414" s="9"/>
      <c r="FB414" s="9"/>
      <c r="FC414" s="9"/>
      <c r="FD414" s="9"/>
      <c r="FE414" s="9"/>
      <c r="FF414" s="9"/>
      <c r="FG414" s="9"/>
      <c r="FH414" s="9"/>
      <c r="FI414" s="9"/>
      <c r="FJ414" s="9"/>
      <c r="FK414" s="9"/>
      <c r="FL414" s="9"/>
      <c r="FM414" s="9"/>
      <c r="FN414" s="9"/>
      <c r="FO414" s="9"/>
      <c r="FP414" s="9"/>
      <c r="FQ414" s="9"/>
      <c r="FR414" s="9"/>
      <c r="FS414" s="9"/>
      <c r="FT414" s="9"/>
      <c r="FU414" s="9"/>
      <c r="FV414" s="9"/>
      <c r="FW414" s="9"/>
      <c r="FX414" s="9"/>
      <c r="FY414" s="9"/>
      <c r="FZ414" s="9"/>
      <c r="GA414" s="9"/>
      <c r="GB414" s="9"/>
      <c r="GC414" s="9"/>
      <c r="GD414" s="9"/>
      <c r="GE414" s="9"/>
      <c r="GF414" s="9"/>
      <c r="GG414" s="9"/>
      <c r="GH414" s="9"/>
      <c r="GI414" s="9"/>
      <c r="GJ414" s="9"/>
      <c r="GK414" s="9"/>
      <c r="GL414" s="9"/>
      <c r="GM414" s="9"/>
      <c r="GN414" s="9"/>
      <c r="GO414" s="9"/>
      <c r="GP414" s="9"/>
      <c r="GQ414" s="9"/>
      <c r="GR414" s="9"/>
      <c r="GS414" s="9"/>
      <c r="GT414" s="9"/>
      <c r="GU414" s="9"/>
      <c r="GV414" s="9"/>
      <c r="GW414" s="9"/>
      <c r="GX414" s="9"/>
      <c r="GY414" s="9"/>
      <c r="GZ414" s="9"/>
      <c r="HA414" s="9"/>
      <c r="HB414" s="9"/>
      <c r="HC414" s="9"/>
      <c r="HD414" s="9"/>
      <c r="HE414" s="9"/>
      <c r="HF414" s="9"/>
      <c r="HG414" s="9"/>
      <c r="HH414" s="9"/>
      <c r="HI414" s="9"/>
      <c r="HJ414" s="9"/>
      <c r="HK414" s="9"/>
      <c r="HL414" s="9"/>
      <c r="HM414" s="9"/>
      <c r="HN414" s="9"/>
      <c r="HO414" s="9"/>
      <c r="HP414" s="9"/>
      <c r="HQ414" s="9"/>
      <c r="HR414" s="9"/>
      <c r="HS414" s="9"/>
      <c r="HT414" s="9"/>
      <c r="HU414" s="9"/>
      <c r="HV414" s="9"/>
      <c r="HW414" s="9"/>
      <c r="HX414" s="9"/>
      <c r="HY414" s="9"/>
      <c r="HZ414" s="9"/>
      <c r="IA414" s="9"/>
      <c r="IB414" s="67"/>
      <c r="IC414" s="68"/>
      <c r="ID414" s="63"/>
      <c r="IE414" s="71"/>
    </row>
    <row r="415" spans="1:239" s="11" customFormat="1" ht="26" x14ac:dyDescent="0.2">
      <c r="A415" s="9">
        <v>30</v>
      </c>
      <c r="B415" s="9"/>
      <c r="C415" s="9"/>
      <c r="D415" s="9" t="s">
        <v>310</v>
      </c>
      <c r="E415" s="65" t="s">
        <v>341</v>
      </c>
      <c r="F415" s="65"/>
      <c r="G415" s="92" t="s">
        <v>2277</v>
      </c>
      <c r="H415" s="66" t="s">
        <v>1175</v>
      </c>
      <c r="I415" s="9"/>
      <c r="J415" s="9" t="s">
        <v>1101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 t="s">
        <v>1101</v>
      </c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  <c r="EN415" s="9"/>
      <c r="EO415" s="9"/>
      <c r="EP415" s="9"/>
      <c r="EQ415" s="9"/>
      <c r="ER415" s="9"/>
      <c r="ES415" s="9"/>
      <c r="ET415" s="9"/>
      <c r="EU415" s="9"/>
      <c r="EV415" s="9"/>
      <c r="EW415" s="9"/>
      <c r="EX415" s="9"/>
      <c r="EY415" s="9"/>
      <c r="EZ415" s="9"/>
      <c r="FA415" s="9"/>
      <c r="FB415" s="9"/>
      <c r="FC415" s="9"/>
      <c r="FD415" s="9"/>
      <c r="FE415" s="9"/>
      <c r="FF415" s="9"/>
      <c r="FG415" s="9"/>
      <c r="FH415" s="9"/>
      <c r="FI415" s="9"/>
      <c r="FJ415" s="9"/>
      <c r="FK415" s="9"/>
      <c r="FL415" s="9"/>
      <c r="FM415" s="9"/>
      <c r="FN415" s="9"/>
      <c r="FO415" s="9"/>
      <c r="FP415" s="9"/>
      <c r="FQ415" s="9"/>
      <c r="FR415" s="9"/>
      <c r="FS415" s="9"/>
      <c r="FT415" s="9"/>
      <c r="FU415" s="9"/>
      <c r="FV415" s="9"/>
      <c r="FW415" s="9"/>
      <c r="FX415" s="9"/>
      <c r="FY415" s="9"/>
      <c r="FZ415" s="9"/>
      <c r="GA415" s="9"/>
      <c r="GB415" s="9"/>
      <c r="GC415" s="9"/>
      <c r="GD415" s="9"/>
      <c r="GE415" s="9"/>
      <c r="GF415" s="9"/>
      <c r="GG415" s="9"/>
      <c r="GH415" s="9"/>
      <c r="GI415" s="9"/>
      <c r="GJ415" s="9"/>
      <c r="GK415" s="9"/>
      <c r="GL415" s="9"/>
      <c r="GM415" s="9"/>
      <c r="GN415" s="9"/>
      <c r="GO415" s="9"/>
      <c r="GP415" s="9"/>
      <c r="GQ415" s="9"/>
      <c r="GR415" s="9"/>
      <c r="GS415" s="9"/>
      <c r="GT415" s="9"/>
      <c r="GU415" s="9"/>
      <c r="GV415" s="9"/>
      <c r="GW415" s="9"/>
      <c r="GX415" s="9"/>
      <c r="GY415" s="9"/>
      <c r="GZ415" s="9"/>
      <c r="HA415" s="9"/>
      <c r="HB415" s="9"/>
      <c r="HC415" s="9"/>
      <c r="HD415" s="9"/>
      <c r="HE415" s="9"/>
      <c r="HF415" s="9"/>
      <c r="HG415" s="9"/>
      <c r="HH415" s="9"/>
      <c r="HI415" s="9"/>
      <c r="HJ415" s="9"/>
      <c r="HK415" s="9"/>
      <c r="HL415" s="9"/>
      <c r="HM415" s="9"/>
      <c r="HN415" s="9"/>
      <c r="HO415" s="9"/>
      <c r="HP415" s="9"/>
      <c r="HQ415" s="9"/>
      <c r="HR415" s="9"/>
      <c r="HS415" s="9"/>
      <c r="HT415" s="9"/>
      <c r="HU415" s="9"/>
      <c r="HV415" s="9"/>
      <c r="HW415" s="9"/>
      <c r="HX415" s="9"/>
      <c r="HY415" s="9"/>
      <c r="HZ415" s="9"/>
      <c r="IA415" s="9"/>
      <c r="IB415" s="67"/>
      <c r="IC415" s="68"/>
      <c r="ID415" s="63"/>
      <c r="IE415" s="71"/>
    </row>
    <row r="416" spans="1:239" s="11" customFormat="1" x14ac:dyDescent="0.2">
      <c r="A416" s="9">
        <v>30</v>
      </c>
      <c r="B416" s="9"/>
      <c r="C416" s="9"/>
      <c r="D416" s="9" t="s">
        <v>311</v>
      </c>
      <c r="E416" s="65" t="s">
        <v>740</v>
      </c>
      <c r="F416" s="65"/>
      <c r="G416" s="92" t="s">
        <v>2280</v>
      </c>
      <c r="H416" s="66" t="s">
        <v>1178</v>
      </c>
      <c r="I416" s="9"/>
      <c r="J416" s="9" t="s">
        <v>1101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 t="s">
        <v>1101</v>
      </c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  <c r="EN416" s="9"/>
      <c r="EO416" s="9"/>
      <c r="EP416" s="9"/>
      <c r="EQ416" s="9"/>
      <c r="ER416" s="9"/>
      <c r="ES416" s="9"/>
      <c r="ET416" s="9"/>
      <c r="EU416" s="9"/>
      <c r="EV416" s="9"/>
      <c r="EW416" s="9"/>
      <c r="EX416" s="9"/>
      <c r="EY416" s="9"/>
      <c r="EZ416" s="9"/>
      <c r="FA416" s="9"/>
      <c r="FB416" s="9"/>
      <c r="FC416" s="9"/>
      <c r="FD416" s="9"/>
      <c r="FE416" s="9"/>
      <c r="FF416" s="9"/>
      <c r="FG416" s="9"/>
      <c r="FH416" s="9"/>
      <c r="FI416" s="9"/>
      <c r="FJ416" s="9"/>
      <c r="FK416" s="9"/>
      <c r="FL416" s="9"/>
      <c r="FM416" s="9"/>
      <c r="FN416" s="9"/>
      <c r="FO416" s="9"/>
      <c r="FP416" s="9"/>
      <c r="FQ416" s="9"/>
      <c r="FR416" s="9"/>
      <c r="FS416" s="9"/>
      <c r="FT416" s="9"/>
      <c r="FU416" s="9"/>
      <c r="FV416" s="9"/>
      <c r="FW416" s="9"/>
      <c r="FX416" s="9"/>
      <c r="FY416" s="9"/>
      <c r="FZ416" s="9"/>
      <c r="GA416" s="9"/>
      <c r="GB416" s="9"/>
      <c r="GC416" s="9"/>
      <c r="GD416" s="9"/>
      <c r="GE416" s="9"/>
      <c r="GF416" s="9"/>
      <c r="GG416" s="9"/>
      <c r="GH416" s="9"/>
      <c r="GI416" s="9"/>
      <c r="GJ416" s="9"/>
      <c r="GK416" s="9"/>
      <c r="GL416" s="9"/>
      <c r="GM416" s="9"/>
      <c r="GN416" s="9"/>
      <c r="GO416" s="9"/>
      <c r="GP416" s="9"/>
      <c r="GQ416" s="9"/>
      <c r="GR416" s="9"/>
      <c r="GS416" s="9"/>
      <c r="GT416" s="9"/>
      <c r="GU416" s="9"/>
      <c r="GV416" s="9"/>
      <c r="GW416" s="9"/>
      <c r="GX416" s="9"/>
      <c r="GY416" s="9"/>
      <c r="GZ416" s="9"/>
      <c r="HA416" s="9"/>
      <c r="HB416" s="9"/>
      <c r="HC416" s="9"/>
      <c r="HD416" s="9"/>
      <c r="HE416" s="9"/>
      <c r="HF416" s="9"/>
      <c r="HG416" s="9"/>
      <c r="HH416" s="9"/>
      <c r="HI416" s="9"/>
      <c r="HJ416" s="9"/>
      <c r="HK416" s="9"/>
      <c r="HL416" s="9"/>
      <c r="HM416" s="9"/>
      <c r="HN416" s="9"/>
      <c r="HO416" s="9"/>
      <c r="HP416" s="9"/>
      <c r="HQ416" s="9"/>
      <c r="HR416" s="9"/>
      <c r="HS416" s="9"/>
      <c r="HT416" s="9"/>
      <c r="HU416" s="9"/>
      <c r="HV416" s="9"/>
      <c r="HW416" s="9"/>
      <c r="HX416" s="9"/>
      <c r="HY416" s="9"/>
      <c r="HZ416" s="9"/>
      <c r="IA416" s="9"/>
      <c r="IB416" s="67"/>
      <c r="IC416" s="68"/>
      <c r="ID416" s="63"/>
      <c r="IE416" s="71"/>
    </row>
    <row r="417" spans="1:239" s="11" customFormat="1" ht="26" x14ac:dyDescent="0.2">
      <c r="A417" s="9">
        <v>30</v>
      </c>
      <c r="B417" s="9"/>
      <c r="C417" s="9"/>
      <c r="D417" s="9" t="s">
        <v>312</v>
      </c>
      <c r="E417" s="65" t="s">
        <v>342</v>
      </c>
      <c r="F417" s="65"/>
      <c r="G417" s="92" t="s">
        <v>2285</v>
      </c>
      <c r="H417" s="66" t="s">
        <v>1401</v>
      </c>
      <c r="I417" s="9"/>
      <c r="J417" s="9" t="s">
        <v>1101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 t="s">
        <v>1101</v>
      </c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  <c r="EN417" s="9"/>
      <c r="EO417" s="9"/>
      <c r="EP417" s="9"/>
      <c r="EQ417" s="9"/>
      <c r="ER417" s="9"/>
      <c r="ES417" s="9"/>
      <c r="ET417" s="9"/>
      <c r="EU417" s="9"/>
      <c r="EV417" s="9"/>
      <c r="EW417" s="9"/>
      <c r="EX417" s="9"/>
      <c r="EY417" s="9"/>
      <c r="EZ417" s="9"/>
      <c r="FA417" s="9"/>
      <c r="FB417" s="9"/>
      <c r="FC417" s="9"/>
      <c r="FD417" s="9"/>
      <c r="FE417" s="9"/>
      <c r="FF417" s="9"/>
      <c r="FG417" s="9"/>
      <c r="FH417" s="9"/>
      <c r="FI417" s="9"/>
      <c r="FJ417" s="9"/>
      <c r="FK417" s="9"/>
      <c r="FL417" s="9"/>
      <c r="FM417" s="9"/>
      <c r="FN417" s="9"/>
      <c r="FO417" s="9"/>
      <c r="FP417" s="9"/>
      <c r="FQ417" s="9"/>
      <c r="FR417" s="9"/>
      <c r="FS417" s="9"/>
      <c r="FT417" s="9"/>
      <c r="FU417" s="9"/>
      <c r="FV417" s="9"/>
      <c r="FW417" s="9"/>
      <c r="FX417" s="9"/>
      <c r="FY417" s="9"/>
      <c r="FZ417" s="9"/>
      <c r="GA417" s="9"/>
      <c r="GB417" s="9"/>
      <c r="GC417" s="9"/>
      <c r="GD417" s="9"/>
      <c r="GE417" s="9"/>
      <c r="GF417" s="9"/>
      <c r="GG417" s="9"/>
      <c r="GH417" s="9"/>
      <c r="GI417" s="9"/>
      <c r="GJ417" s="9"/>
      <c r="GK417" s="9"/>
      <c r="GL417" s="9"/>
      <c r="GM417" s="9"/>
      <c r="GN417" s="9"/>
      <c r="GO417" s="9"/>
      <c r="GP417" s="9"/>
      <c r="GQ417" s="9"/>
      <c r="GR417" s="9"/>
      <c r="GS417" s="9"/>
      <c r="GT417" s="9"/>
      <c r="GU417" s="9"/>
      <c r="GV417" s="9"/>
      <c r="GW417" s="9"/>
      <c r="GX417" s="9"/>
      <c r="GY417" s="9"/>
      <c r="GZ417" s="9"/>
      <c r="HA417" s="9"/>
      <c r="HB417" s="9"/>
      <c r="HC417" s="9"/>
      <c r="HD417" s="9"/>
      <c r="HE417" s="9"/>
      <c r="HF417" s="9"/>
      <c r="HG417" s="9"/>
      <c r="HH417" s="9"/>
      <c r="HI417" s="9"/>
      <c r="HJ417" s="9"/>
      <c r="HK417" s="9"/>
      <c r="HL417" s="9"/>
      <c r="HM417" s="9"/>
      <c r="HN417" s="9"/>
      <c r="HO417" s="9"/>
      <c r="HP417" s="9"/>
      <c r="HQ417" s="9"/>
      <c r="HR417" s="9"/>
      <c r="HS417" s="9"/>
      <c r="HT417" s="9"/>
      <c r="HU417" s="9"/>
      <c r="HV417" s="9"/>
      <c r="HW417" s="9"/>
      <c r="HX417" s="9"/>
      <c r="HY417" s="9"/>
      <c r="HZ417" s="9"/>
      <c r="IA417" s="9"/>
      <c r="IB417" s="67"/>
      <c r="IC417" s="68"/>
      <c r="ID417" s="63"/>
      <c r="IE417" s="71"/>
    </row>
    <row r="418" spans="1:239" s="11" customFormat="1" x14ac:dyDescent="0.2">
      <c r="A418" s="9">
        <v>30</v>
      </c>
      <c r="B418" s="9"/>
      <c r="C418" s="9"/>
      <c r="D418" s="9" t="s">
        <v>394</v>
      </c>
      <c r="E418" s="65" t="s">
        <v>516</v>
      </c>
      <c r="F418" s="65"/>
      <c r="G418" s="92" t="s">
        <v>2288</v>
      </c>
      <c r="H418" s="66" t="s">
        <v>1188</v>
      </c>
      <c r="I418" s="9"/>
      <c r="J418" s="9" t="s">
        <v>1101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 t="s">
        <v>1101</v>
      </c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  <c r="EN418" s="9"/>
      <c r="EO418" s="9"/>
      <c r="EP418" s="9"/>
      <c r="EQ418" s="9"/>
      <c r="ER418" s="9"/>
      <c r="ES418" s="9"/>
      <c r="ET418" s="9"/>
      <c r="EU418" s="9"/>
      <c r="EV418" s="9"/>
      <c r="EW418" s="9"/>
      <c r="EX418" s="9"/>
      <c r="EY418" s="9"/>
      <c r="EZ418" s="9"/>
      <c r="FA418" s="9"/>
      <c r="FB418" s="9"/>
      <c r="FC418" s="9"/>
      <c r="FD418" s="9"/>
      <c r="FE418" s="9"/>
      <c r="FF418" s="9"/>
      <c r="FG418" s="9"/>
      <c r="FH418" s="9"/>
      <c r="FI418" s="9"/>
      <c r="FJ418" s="9"/>
      <c r="FK418" s="9"/>
      <c r="FL418" s="9"/>
      <c r="FM418" s="9"/>
      <c r="FN418" s="9"/>
      <c r="FO418" s="9"/>
      <c r="FP418" s="9"/>
      <c r="FQ418" s="9"/>
      <c r="FR418" s="9"/>
      <c r="FS418" s="9"/>
      <c r="FT418" s="9"/>
      <c r="FU418" s="9"/>
      <c r="FV418" s="9"/>
      <c r="FW418" s="9"/>
      <c r="FX418" s="9"/>
      <c r="FY418" s="9"/>
      <c r="FZ418" s="9"/>
      <c r="GA418" s="9"/>
      <c r="GB418" s="9"/>
      <c r="GC418" s="9"/>
      <c r="GD418" s="9"/>
      <c r="GE418" s="9"/>
      <c r="GF418" s="9"/>
      <c r="GG418" s="9"/>
      <c r="GH418" s="9"/>
      <c r="GI418" s="9"/>
      <c r="GJ418" s="9"/>
      <c r="GK418" s="9"/>
      <c r="GL418" s="9"/>
      <c r="GM418" s="9"/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9"/>
      <c r="GY418" s="9"/>
      <c r="GZ418" s="9"/>
      <c r="HA418" s="9"/>
      <c r="HB418" s="9"/>
      <c r="HC418" s="9"/>
      <c r="HD418" s="9"/>
      <c r="HE418" s="9"/>
      <c r="HF418" s="9"/>
      <c r="HG418" s="9"/>
      <c r="HH418" s="9"/>
      <c r="HI418" s="9"/>
      <c r="HJ418" s="9"/>
      <c r="HK418" s="9"/>
      <c r="HL418" s="9"/>
      <c r="HM418" s="9"/>
      <c r="HN418" s="9"/>
      <c r="HO418" s="9"/>
      <c r="HP418" s="9"/>
      <c r="HQ418" s="9"/>
      <c r="HR418" s="9"/>
      <c r="HS418" s="9"/>
      <c r="HT418" s="9"/>
      <c r="HU418" s="9"/>
      <c r="HV418" s="9"/>
      <c r="HW418" s="9"/>
      <c r="HX418" s="9"/>
      <c r="HY418" s="9"/>
      <c r="HZ418" s="9"/>
      <c r="IA418" s="9"/>
      <c r="IB418" s="67"/>
      <c r="IC418" s="68"/>
      <c r="ID418" s="63"/>
      <c r="IE418" s="71"/>
    </row>
    <row r="419" spans="1:239" s="11" customFormat="1" x14ac:dyDescent="0.2">
      <c r="A419" s="9">
        <v>30</v>
      </c>
      <c r="B419" s="9"/>
      <c r="C419" s="9"/>
      <c r="D419" s="9" t="s">
        <v>395</v>
      </c>
      <c r="E419" s="65" t="s">
        <v>517</v>
      </c>
      <c r="F419" s="65"/>
      <c r="G419" s="92" t="s">
        <v>2289</v>
      </c>
      <c r="H419" s="66" t="s">
        <v>1189</v>
      </c>
      <c r="I419" s="9"/>
      <c r="J419" s="9" t="s">
        <v>1101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 t="s">
        <v>1101</v>
      </c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  <c r="EN419" s="9"/>
      <c r="EO419" s="9"/>
      <c r="EP419" s="9"/>
      <c r="EQ419" s="9"/>
      <c r="ER419" s="9"/>
      <c r="ES419" s="9"/>
      <c r="ET419" s="9"/>
      <c r="EU419" s="9"/>
      <c r="EV419" s="9"/>
      <c r="EW419" s="9"/>
      <c r="EX419" s="9"/>
      <c r="EY419" s="9"/>
      <c r="EZ419" s="9"/>
      <c r="FA419" s="9"/>
      <c r="FB419" s="9"/>
      <c r="FC419" s="9"/>
      <c r="FD419" s="9"/>
      <c r="FE419" s="9"/>
      <c r="FF419" s="9"/>
      <c r="FG419" s="9"/>
      <c r="FH419" s="9"/>
      <c r="FI419" s="9"/>
      <c r="FJ419" s="9"/>
      <c r="FK419" s="9"/>
      <c r="FL419" s="9"/>
      <c r="FM419" s="9"/>
      <c r="FN419" s="9"/>
      <c r="FO419" s="9"/>
      <c r="FP419" s="9"/>
      <c r="FQ419" s="9"/>
      <c r="FR419" s="9"/>
      <c r="FS419" s="9"/>
      <c r="FT419" s="9"/>
      <c r="FU419" s="9"/>
      <c r="FV419" s="9"/>
      <c r="FW419" s="9"/>
      <c r="FX419" s="9"/>
      <c r="FY419" s="9"/>
      <c r="FZ419" s="9"/>
      <c r="GA419" s="9"/>
      <c r="GB419" s="9"/>
      <c r="GC419" s="9"/>
      <c r="GD419" s="9"/>
      <c r="GE419" s="9"/>
      <c r="GF419" s="9"/>
      <c r="GG419" s="9"/>
      <c r="GH419" s="9"/>
      <c r="GI419" s="9"/>
      <c r="GJ419" s="9"/>
      <c r="GK419" s="9"/>
      <c r="GL419" s="9"/>
      <c r="GM419" s="9"/>
      <c r="GN419" s="9"/>
      <c r="GO419" s="9"/>
      <c r="GP419" s="9"/>
      <c r="GQ419" s="9"/>
      <c r="GR419" s="9"/>
      <c r="GS419" s="9"/>
      <c r="GT419" s="9"/>
      <c r="GU419" s="9"/>
      <c r="GV419" s="9"/>
      <c r="GW419" s="9"/>
      <c r="GX419" s="9"/>
      <c r="GY419" s="9"/>
      <c r="GZ419" s="9"/>
      <c r="HA419" s="9"/>
      <c r="HB419" s="9"/>
      <c r="HC419" s="9"/>
      <c r="HD419" s="9"/>
      <c r="HE419" s="9"/>
      <c r="HF419" s="9"/>
      <c r="HG419" s="9"/>
      <c r="HH419" s="9"/>
      <c r="HI419" s="9"/>
      <c r="HJ419" s="9"/>
      <c r="HK419" s="9"/>
      <c r="HL419" s="9"/>
      <c r="HM419" s="9"/>
      <c r="HN419" s="9"/>
      <c r="HO419" s="9"/>
      <c r="HP419" s="9"/>
      <c r="HQ419" s="9"/>
      <c r="HR419" s="9"/>
      <c r="HS419" s="9"/>
      <c r="HT419" s="9"/>
      <c r="HU419" s="9"/>
      <c r="HV419" s="9"/>
      <c r="HW419" s="9"/>
      <c r="HX419" s="9"/>
      <c r="HY419" s="9"/>
      <c r="HZ419" s="9"/>
      <c r="IA419" s="9"/>
      <c r="IB419" s="67"/>
      <c r="IC419" s="68"/>
      <c r="ID419" s="63"/>
      <c r="IE419" s="71"/>
    </row>
    <row r="420" spans="1:239" s="11" customFormat="1" x14ac:dyDescent="0.2">
      <c r="A420" s="9">
        <v>30</v>
      </c>
      <c r="B420" s="9"/>
      <c r="C420" s="9"/>
      <c r="D420" s="9" t="s">
        <v>105</v>
      </c>
      <c r="E420" s="65" t="s">
        <v>181</v>
      </c>
      <c r="F420" s="65"/>
      <c r="G420" s="92" t="s">
        <v>2290</v>
      </c>
      <c r="H420" s="66" t="s">
        <v>1190</v>
      </c>
      <c r="I420" s="9"/>
      <c r="J420" s="9" t="s">
        <v>1101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 t="s">
        <v>1101</v>
      </c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  <c r="EN420" s="9"/>
      <c r="EO420" s="9"/>
      <c r="EP420" s="9"/>
      <c r="EQ420" s="9"/>
      <c r="ER420" s="9"/>
      <c r="ES420" s="9"/>
      <c r="ET420" s="9"/>
      <c r="EU420" s="9"/>
      <c r="EV420" s="9"/>
      <c r="EW420" s="9"/>
      <c r="EX420" s="9"/>
      <c r="EY420" s="9"/>
      <c r="EZ420" s="9"/>
      <c r="FA420" s="9"/>
      <c r="FB420" s="9"/>
      <c r="FC420" s="9"/>
      <c r="FD420" s="9"/>
      <c r="FE420" s="9"/>
      <c r="FF420" s="9"/>
      <c r="FG420" s="9"/>
      <c r="FH420" s="9"/>
      <c r="FI420" s="9"/>
      <c r="FJ420" s="9"/>
      <c r="FK420" s="9"/>
      <c r="FL420" s="9"/>
      <c r="FM420" s="9"/>
      <c r="FN420" s="9"/>
      <c r="FO420" s="9"/>
      <c r="FP420" s="9"/>
      <c r="FQ420" s="9"/>
      <c r="FR420" s="9"/>
      <c r="FS420" s="9"/>
      <c r="FT420" s="9"/>
      <c r="FU420" s="9"/>
      <c r="FV420" s="9"/>
      <c r="FW420" s="9"/>
      <c r="FX420" s="9"/>
      <c r="FY420" s="9"/>
      <c r="FZ420" s="9"/>
      <c r="GA420" s="9"/>
      <c r="GB420" s="9"/>
      <c r="GC420" s="9"/>
      <c r="GD420" s="9"/>
      <c r="GE420" s="9"/>
      <c r="GF420" s="9"/>
      <c r="GG420" s="9"/>
      <c r="GH420" s="9"/>
      <c r="GI420" s="9"/>
      <c r="GJ420" s="9"/>
      <c r="GK420" s="9"/>
      <c r="GL420" s="9"/>
      <c r="GM420" s="9"/>
      <c r="GN420" s="9"/>
      <c r="GO420" s="9"/>
      <c r="GP420" s="9"/>
      <c r="GQ420" s="9"/>
      <c r="GR420" s="9"/>
      <c r="GS420" s="9"/>
      <c r="GT420" s="9"/>
      <c r="GU420" s="9"/>
      <c r="GV420" s="9"/>
      <c r="GW420" s="9"/>
      <c r="GX420" s="9"/>
      <c r="GY420" s="9"/>
      <c r="GZ420" s="9"/>
      <c r="HA420" s="9"/>
      <c r="HB420" s="9"/>
      <c r="HC420" s="9"/>
      <c r="HD420" s="9"/>
      <c r="HE420" s="9"/>
      <c r="HF420" s="9"/>
      <c r="HG420" s="9"/>
      <c r="HH420" s="9"/>
      <c r="HI420" s="9"/>
      <c r="HJ420" s="9"/>
      <c r="HK420" s="9"/>
      <c r="HL420" s="9"/>
      <c r="HM420" s="9"/>
      <c r="HN420" s="9"/>
      <c r="HO420" s="9"/>
      <c r="HP420" s="9"/>
      <c r="HQ420" s="9"/>
      <c r="HR420" s="9"/>
      <c r="HS420" s="9"/>
      <c r="HT420" s="9"/>
      <c r="HU420" s="9"/>
      <c r="HV420" s="9"/>
      <c r="HW420" s="9"/>
      <c r="HX420" s="9"/>
      <c r="HY420" s="9"/>
      <c r="HZ420" s="9"/>
      <c r="IA420" s="9"/>
      <c r="IB420" s="67"/>
      <c r="IC420" s="68"/>
      <c r="ID420" s="63"/>
      <c r="IE420" s="71"/>
    </row>
    <row r="421" spans="1:239" s="11" customFormat="1" x14ac:dyDescent="0.2">
      <c r="A421" s="9">
        <v>30</v>
      </c>
      <c r="B421" s="9"/>
      <c r="C421" s="9"/>
      <c r="D421" s="9" t="s">
        <v>106</v>
      </c>
      <c r="E421" s="65" t="s">
        <v>182</v>
      </c>
      <c r="F421" s="65"/>
      <c r="G421" s="92" t="s">
        <v>2291</v>
      </c>
      <c r="H421" s="66" t="s">
        <v>1191</v>
      </c>
      <c r="I421" s="9"/>
      <c r="J421" s="9" t="s">
        <v>1101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 t="s">
        <v>1101</v>
      </c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  <c r="EN421" s="9"/>
      <c r="EO421" s="9"/>
      <c r="EP421" s="9"/>
      <c r="EQ421" s="9"/>
      <c r="ER421" s="9"/>
      <c r="ES421" s="9"/>
      <c r="ET421" s="9"/>
      <c r="EU421" s="9"/>
      <c r="EV421" s="9"/>
      <c r="EW421" s="9"/>
      <c r="EX421" s="9"/>
      <c r="EY421" s="9"/>
      <c r="EZ421" s="9"/>
      <c r="FA421" s="9"/>
      <c r="FB421" s="9"/>
      <c r="FC421" s="9"/>
      <c r="FD421" s="9"/>
      <c r="FE421" s="9"/>
      <c r="FF421" s="9"/>
      <c r="FG421" s="9"/>
      <c r="FH421" s="9"/>
      <c r="FI421" s="9"/>
      <c r="FJ421" s="9"/>
      <c r="FK421" s="9"/>
      <c r="FL421" s="9"/>
      <c r="FM421" s="9"/>
      <c r="FN421" s="9"/>
      <c r="FO421" s="9"/>
      <c r="FP421" s="9"/>
      <c r="FQ421" s="9"/>
      <c r="FR421" s="9"/>
      <c r="FS421" s="9"/>
      <c r="FT421" s="9"/>
      <c r="FU421" s="9"/>
      <c r="FV421" s="9"/>
      <c r="FW421" s="9"/>
      <c r="FX421" s="9"/>
      <c r="FY421" s="9"/>
      <c r="FZ421" s="9"/>
      <c r="GA421" s="9"/>
      <c r="GB421" s="9"/>
      <c r="GC421" s="9"/>
      <c r="GD421" s="9"/>
      <c r="GE421" s="9"/>
      <c r="GF421" s="9"/>
      <c r="GG421" s="9"/>
      <c r="GH421" s="9"/>
      <c r="GI421" s="9"/>
      <c r="GJ421" s="9"/>
      <c r="GK421" s="9"/>
      <c r="GL421" s="9"/>
      <c r="GM421" s="9"/>
      <c r="GN421" s="9"/>
      <c r="GO421" s="9"/>
      <c r="GP421" s="9"/>
      <c r="GQ421" s="9"/>
      <c r="GR421" s="9"/>
      <c r="GS421" s="9"/>
      <c r="GT421" s="9"/>
      <c r="GU421" s="9"/>
      <c r="GV421" s="9"/>
      <c r="GW421" s="9"/>
      <c r="GX421" s="9"/>
      <c r="GY421" s="9"/>
      <c r="GZ421" s="9"/>
      <c r="HA421" s="9"/>
      <c r="HB421" s="9"/>
      <c r="HC421" s="9"/>
      <c r="HD421" s="9"/>
      <c r="HE421" s="9"/>
      <c r="HF421" s="9"/>
      <c r="HG421" s="9"/>
      <c r="HH421" s="9"/>
      <c r="HI421" s="9"/>
      <c r="HJ421" s="9"/>
      <c r="HK421" s="9"/>
      <c r="HL421" s="9"/>
      <c r="HM421" s="9"/>
      <c r="HN421" s="9"/>
      <c r="HO421" s="9"/>
      <c r="HP421" s="9"/>
      <c r="HQ421" s="9"/>
      <c r="HR421" s="9"/>
      <c r="HS421" s="9"/>
      <c r="HT421" s="9"/>
      <c r="HU421" s="9"/>
      <c r="HV421" s="9"/>
      <c r="HW421" s="9"/>
      <c r="HX421" s="9"/>
      <c r="HY421" s="9"/>
      <c r="HZ421" s="9"/>
      <c r="IA421" s="9"/>
      <c r="IB421" s="67"/>
      <c r="IC421" s="68"/>
      <c r="ID421" s="63"/>
      <c r="IE421" s="71"/>
    </row>
    <row r="422" spans="1:239" s="11" customFormat="1" x14ac:dyDescent="0.2">
      <c r="A422" s="9">
        <v>30</v>
      </c>
      <c r="B422" s="9"/>
      <c r="C422" s="9"/>
      <c r="D422" s="9" t="s">
        <v>107</v>
      </c>
      <c r="E422" s="65" t="s">
        <v>183</v>
      </c>
      <c r="F422" s="65"/>
      <c r="G422" s="92" t="s">
        <v>2292</v>
      </c>
      <c r="H422" s="66" t="s">
        <v>1192</v>
      </c>
      <c r="I422" s="9"/>
      <c r="J422" s="9" t="s">
        <v>1101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 t="s">
        <v>1101</v>
      </c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  <c r="EN422" s="9"/>
      <c r="EO422" s="9"/>
      <c r="EP422" s="9"/>
      <c r="EQ422" s="9"/>
      <c r="ER422" s="9"/>
      <c r="ES422" s="9"/>
      <c r="ET422" s="9"/>
      <c r="EU422" s="9"/>
      <c r="EV422" s="9"/>
      <c r="EW422" s="9"/>
      <c r="EX422" s="9"/>
      <c r="EY422" s="9"/>
      <c r="EZ422" s="9"/>
      <c r="FA422" s="9"/>
      <c r="FB422" s="9"/>
      <c r="FC422" s="9"/>
      <c r="FD422" s="9"/>
      <c r="FE422" s="9"/>
      <c r="FF422" s="9"/>
      <c r="FG422" s="9"/>
      <c r="FH422" s="9"/>
      <c r="FI422" s="9"/>
      <c r="FJ422" s="9"/>
      <c r="FK422" s="9"/>
      <c r="FL422" s="9"/>
      <c r="FM422" s="9"/>
      <c r="FN422" s="9"/>
      <c r="FO422" s="9"/>
      <c r="FP422" s="9"/>
      <c r="FQ422" s="9"/>
      <c r="FR422" s="9"/>
      <c r="FS422" s="9"/>
      <c r="FT422" s="9"/>
      <c r="FU422" s="9"/>
      <c r="FV422" s="9"/>
      <c r="FW422" s="9"/>
      <c r="FX422" s="9"/>
      <c r="FY422" s="9"/>
      <c r="FZ422" s="9"/>
      <c r="GA422" s="9"/>
      <c r="GB422" s="9"/>
      <c r="GC422" s="9"/>
      <c r="GD422" s="9"/>
      <c r="GE422" s="9"/>
      <c r="GF422" s="9"/>
      <c r="GG422" s="9"/>
      <c r="GH422" s="9"/>
      <c r="GI422" s="9"/>
      <c r="GJ422" s="9"/>
      <c r="GK422" s="9"/>
      <c r="GL422" s="9"/>
      <c r="GM422" s="9"/>
      <c r="GN422" s="9"/>
      <c r="GO422" s="9"/>
      <c r="GP422" s="9"/>
      <c r="GQ422" s="9"/>
      <c r="GR422" s="9"/>
      <c r="GS422" s="9"/>
      <c r="GT422" s="9"/>
      <c r="GU422" s="9"/>
      <c r="GV422" s="9"/>
      <c r="GW422" s="9"/>
      <c r="GX422" s="9"/>
      <c r="GY422" s="9"/>
      <c r="GZ422" s="9"/>
      <c r="HA422" s="9"/>
      <c r="HB422" s="9"/>
      <c r="HC422" s="9"/>
      <c r="HD422" s="9"/>
      <c r="HE422" s="9"/>
      <c r="HF422" s="9"/>
      <c r="HG422" s="9"/>
      <c r="HH422" s="9"/>
      <c r="HI422" s="9"/>
      <c r="HJ422" s="9"/>
      <c r="HK422" s="9"/>
      <c r="HL422" s="9"/>
      <c r="HM422" s="9"/>
      <c r="HN422" s="9"/>
      <c r="HO422" s="9"/>
      <c r="HP422" s="9"/>
      <c r="HQ422" s="9"/>
      <c r="HR422" s="9"/>
      <c r="HS422" s="9"/>
      <c r="HT422" s="9"/>
      <c r="HU422" s="9"/>
      <c r="HV422" s="9"/>
      <c r="HW422" s="9"/>
      <c r="HX422" s="9"/>
      <c r="HY422" s="9"/>
      <c r="HZ422" s="9"/>
      <c r="IA422" s="9"/>
      <c r="IB422" s="67"/>
      <c r="IC422" s="68"/>
      <c r="ID422" s="63"/>
      <c r="IE422" s="71"/>
    </row>
    <row r="423" spans="1:239" s="11" customFormat="1" x14ac:dyDescent="0.2">
      <c r="A423" s="9">
        <v>30</v>
      </c>
      <c r="B423" s="9"/>
      <c r="C423" s="9"/>
      <c r="D423" s="9" t="s">
        <v>396</v>
      </c>
      <c r="E423" s="65" t="s">
        <v>518</v>
      </c>
      <c r="F423" s="65"/>
      <c r="G423" s="92" t="s">
        <v>2293</v>
      </c>
      <c r="H423" s="66" t="s">
        <v>1193</v>
      </c>
      <c r="I423" s="9"/>
      <c r="J423" s="9" t="s">
        <v>1101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 t="s">
        <v>1101</v>
      </c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  <c r="EN423" s="9"/>
      <c r="EO423" s="9"/>
      <c r="EP423" s="9"/>
      <c r="EQ423" s="9"/>
      <c r="ER423" s="9"/>
      <c r="ES423" s="9"/>
      <c r="ET423" s="9"/>
      <c r="EU423" s="9"/>
      <c r="EV423" s="9"/>
      <c r="EW423" s="9"/>
      <c r="EX423" s="9"/>
      <c r="EY423" s="9"/>
      <c r="EZ423" s="9"/>
      <c r="FA423" s="9"/>
      <c r="FB423" s="9"/>
      <c r="FC423" s="9"/>
      <c r="FD423" s="9"/>
      <c r="FE423" s="9"/>
      <c r="FF423" s="9"/>
      <c r="FG423" s="9"/>
      <c r="FH423" s="9"/>
      <c r="FI423" s="9"/>
      <c r="FJ423" s="9"/>
      <c r="FK423" s="9"/>
      <c r="FL423" s="9"/>
      <c r="FM423" s="9"/>
      <c r="FN423" s="9"/>
      <c r="FO423" s="9"/>
      <c r="FP423" s="9"/>
      <c r="FQ423" s="9"/>
      <c r="FR423" s="9"/>
      <c r="FS423" s="9"/>
      <c r="FT423" s="9"/>
      <c r="FU423" s="9"/>
      <c r="FV423" s="9"/>
      <c r="FW423" s="9"/>
      <c r="FX423" s="9"/>
      <c r="FY423" s="9"/>
      <c r="FZ423" s="9"/>
      <c r="GA423" s="9"/>
      <c r="GB423" s="9"/>
      <c r="GC423" s="9"/>
      <c r="GD423" s="9"/>
      <c r="GE423" s="9"/>
      <c r="GF423" s="9"/>
      <c r="GG423" s="9"/>
      <c r="GH423" s="9"/>
      <c r="GI423" s="9"/>
      <c r="GJ423" s="9"/>
      <c r="GK423" s="9"/>
      <c r="GL423" s="9"/>
      <c r="GM423" s="9"/>
      <c r="GN423" s="9"/>
      <c r="GO423" s="9"/>
      <c r="GP423" s="9"/>
      <c r="GQ423" s="9"/>
      <c r="GR423" s="9"/>
      <c r="GS423" s="9"/>
      <c r="GT423" s="9"/>
      <c r="GU423" s="9"/>
      <c r="GV423" s="9"/>
      <c r="GW423" s="9"/>
      <c r="GX423" s="9"/>
      <c r="GY423" s="9"/>
      <c r="GZ423" s="9"/>
      <c r="HA423" s="9"/>
      <c r="HB423" s="9"/>
      <c r="HC423" s="9"/>
      <c r="HD423" s="9"/>
      <c r="HE423" s="9"/>
      <c r="HF423" s="9"/>
      <c r="HG423" s="9"/>
      <c r="HH423" s="9"/>
      <c r="HI423" s="9"/>
      <c r="HJ423" s="9"/>
      <c r="HK423" s="9"/>
      <c r="HL423" s="9"/>
      <c r="HM423" s="9"/>
      <c r="HN423" s="9"/>
      <c r="HO423" s="9"/>
      <c r="HP423" s="9"/>
      <c r="HQ423" s="9"/>
      <c r="HR423" s="9"/>
      <c r="HS423" s="9"/>
      <c r="HT423" s="9"/>
      <c r="HU423" s="9"/>
      <c r="HV423" s="9"/>
      <c r="HW423" s="9"/>
      <c r="HX423" s="9"/>
      <c r="HY423" s="9"/>
      <c r="HZ423" s="9"/>
      <c r="IA423" s="9"/>
      <c r="IB423" s="67"/>
      <c r="IC423" s="68"/>
      <c r="ID423" s="63"/>
      <c r="IE423" s="71"/>
    </row>
    <row r="424" spans="1:239" s="11" customFormat="1" x14ac:dyDescent="0.2">
      <c r="A424" s="9">
        <v>30</v>
      </c>
      <c r="B424" s="9"/>
      <c r="C424" s="9"/>
      <c r="D424" s="9" t="s">
        <v>397</v>
      </c>
      <c r="E424" s="65" t="s">
        <v>518</v>
      </c>
      <c r="F424" s="65"/>
      <c r="G424" s="92" t="s">
        <v>2294</v>
      </c>
      <c r="H424" s="66" t="s">
        <v>1194</v>
      </c>
      <c r="I424" s="9"/>
      <c r="J424" s="9" t="s">
        <v>1101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 t="s">
        <v>1101</v>
      </c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  <c r="EN424" s="9"/>
      <c r="EO424" s="9"/>
      <c r="EP424" s="9"/>
      <c r="EQ424" s="9"/>
      <c r="ER424" s="9"/>
      <c r="ES424" s="9"/>
      <c r="ET424" s="9"/>
      <c r="EU424" s="9"/>
      <c r="EV424" s="9"/>
      <c r="EW424" s="9"/>
      <c r="EX424" s="9"/>
      <c r="EY424" s="9"/>
      <c r="EZ424" s="9"/>
      <c r="FA424" s="9"/>
      <c r="FB424" s="9"/>
      <c r="FC424" s="9"/>
      <c r="FD424" s="9"/>
      <c r="FE424" s="9"/>
      <c r="FF424" s="9"/>
      <c r="FG424" s="9"/>
      <c r="FH424" s="9"/>
      <c r="FI424" s="9"/>
      <c r="FJ424" s="9"/>
      <c r="FK424" s="9"/>
      <c r="FL424" s="9"/>
      <c r="FM424" s="9"/>
      <c r="FN424" s="9"/>
      <c r="FO424" s="9"/>
      <c r="FP424" s="9"/>
      <c r="FQ424" s="9"/>
      <c r="FR424" s="9"/>
      <c r="FS424" s="9"/>
      <c r="FT424" s="9"/>
      <c r="FU424" s="9"/>
      <c r="FV424" s="9"/>
      <c r="FW424" s="9"/>
      <c r="FX424" s="9"/>
      <c r="FY424" s="9"/>
      <c r="FZ424" s="9"/>
      <c r="GA424" s="9"/>
      <c r="GB424" s="9"/>
      <c r="GC424" s="9"/>
      <c r="GD424" s="9"/>
      <c r="GE424" s="9"/>
      <c r="GF424" s="9"/>
      <c r="GG424" s="9"/>
      <c r="GH424" s="9"/>
      <c r="GI424" s="9"/>
      <c r="GJ424" s="9"/>
      <c r="GK424" s="9"/>
      <c r="GL424" s="9"/>
      <c r="GM424" s="9"/>
      <c r="GN424" s="9"/>
      <c r="GO424" s="9"/>
      <c r="GP424" s="9"/>
      <c r="GQ424" s="9"/>
      <c r="GR424" s="9"/>
      <c r="GS424" s="9"/>
      <c r="GT424" s="9"/>
      <c r="GU424" s="9"/>
      <c r="GV424" s="9"/>
      <c r="GW424" s="9"/>
      <c r="GX424" s="9"/>
      <c r="GY424" s="9"/>
      <c r="GZ424" s="9"/>
      <c r="HA424" s="9"/>
      <c r="HB424" s="9"/>
      <c r="HC424" s="9"/>
      <c r="HD424" s="9"/>
      <c r="HE424" s="9"/>
      <c r="HF424" s="9"/>
      <c r="HG424" s="9"/>
      <c r="HH424" s="9"/>
      <c r="HI424" s="9"/>
      <c r="HJ424" s="9"/>
      <c r="HK424" s="9"/>
      <c r="HL424" s="9"/>
      <c r="HM424" s="9"/>
      <c r="HN424" s="9"/>
      <c r="HO424" s="9"/>
      <c r="HP424" s="9"/>
      <c r="HQ424" s="9"/>
      <c r="HR424" s="9"/>
      <c r="HS424" s="9"/>
      <c r="HT424" s="9"/>
      <c r="HU424" s="9"/>
      <c r="HV424" s="9"/>
      <c r="HW424" s="9"/>
      <c r="HX424" s="9"/>
      <c r="HY424" s="9"/>
      <c r="HZ424" s="9"/>
      <c r="IA424" s="9"/>
      <c r="IB424" s="67"/>
      <c r="IC424" s="68"/>
      <c r="ID424" s="63"/>
      <c r="IE424" s="71"/>
    </row>
    <row r="425" spans="1:239" s="11" customFormat="1" x14ac:dyDescent="0.2">
      <c r="A425" s="9">
        <v>30</v>
      </c>
      <c r="B425" s="9"/>
      <c r="C425" s="9"/>
      <c r="D425" s="9" t="s">
        <v>313</v>
      </c>
      <c r="E425" s="65" t="s">
        <v>343</v>
      </c>
      <c r="F425" s="65"/>
      <c r="G425" s="92" t="s">
        <v>2296</v>
      </c>
      <c r="H425" s="66" t="s">
        <v>1196</v>
      </c>
      <c r="I425" s="9"/>
      <c r="J425" s="9" t="s">
        <v>1101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 t="s">
        <v>1101</v>
      </c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  <c r="EN425" s="9"/>
      <c r="EO425" s="9"/>
      <c r="EP425" s="9"/>
      <c r="EQ425" s="9"/>
      <c r="ER425" s="9"/>
      <c r="ES425" s="9"/>
      <c r="ET425" s="9"/>
      <c r="EU425" s="9"/>
      <c r="EV425" s="9"/>
      <c r="EW425" s="9"/>
      <c r="EX425" s="9"/>
      <c r="EY425" s="9"/>
      <c r="EZ425" s="9"/>
      <c r="FA425" s="9"/>
      <c r="FB425" s="9"/>
      <c r="FC425" s="9"/>
      <c r="FD425" s="9"/>
      <c r="FE425" s="9"/>
      <c r="FF425" s="9"/>
      <c r="FG425" s="9"/>
      <c r="FH425" s="9"/>
      <c r="FI425" s="9"/>
      <c r="FJ425" s="9"/>
      <c r="FK425" s="9"/>
      <c r="FL425" s="9"/>
      <c r="FM425" s="9"/>
      <c r="FN425" s="9"/>
      <c r="FO425" s="9"/>
      <c r="FP425" s="9"/>
      <c r="FQ425" s="9"/>
      <c r="FR425" s="9"/>
      <c r="FS425" s="9"/>
      <c r="FT425" s="9"/>
      <c r="FU425" s="9"/>
      <c r="FV425" s="9"/>
      <c r="FW425" s="9"/>
      <c r="FX425" s="9"/>
      <c r="FY425" s="9"/>
      <c r="FZ425" s="9"/>
      <c r="GA425" s="9"/>
      <c r="GB425" s="9"/>
      <c r="GC425" s="9"/>
      <c r="GD425" s="9"/>
      <c r="GE425" s="9"/>
      <c r="GF425" s="9"/>
      <c r="GG425" s="9"/>
      <c r="GH425" s="9"/>
      <c r="GI425" s="9"/>
      <c r="GJ425" s="9"/>
      <c r="GK425" s="9"/>
      <c r="GL425" s="9"/>
      <c r="GM425" s="9"/>
      <c r="GN425" s="9"/>
      <c r="GO425" s="9"/>
      <c r="GP425" s="9"/>
      <c r="GQ425" s="9"/>
      <c r="GR425" s="9"/>
      <c r="GS425" s="9"/>
      <c r="GT425" s="9"/>
      <c r="GU425" s="9"/>
      <c r="GV425" s="9"/>
      <c r="GW425" s="9"/>
      <c r="GX425" s="9"/>
      <c r="GY425" s="9"/>
      <c r="GZ425" s="9"/>
      <c r="HA425" s="9"/>
      <c r="HB425" s="9"/>
      <c r="HC425" s="9"/>
      <c r="HD425" s="9"/>
      <c r="HE425" s="9"/>
      <c r="HF425" s="9"/>
      <c r="HG425" s="9"/>
      <c r="HH425" s="9"/>
      <c r="HI425" s="9"/>
      <c r="HJ425" s="9"/>
      <c r="HK425" s="9"/>
      <c r="HL425" s="9"/>
      <c r="HM425" s="9"/>
      <c r="HN425" s="9"/>
      <c r="HO425" s="9"/>
      <c r="HP425" s="9"/>
      <c r="HQ425" s="9"/>
      <c r="HR425" s="9"/>
      <c r="HS425" s="9"/>
      <c r="HT425" s="9"/>
      <c r="HU425" s="9"/>
      <c r="HV425" s="9"/>
      <c r="HW425" s="9"/>
      <c r="HX425" s="9"/>
      <c r="HY425" s="9"/>
      <c r="HZ425" s="9"/>
      <c r="IA425" s="9"/>
      <c r="IB425" s="67"/>
      <c r="IC425" s="68"/>
      <c r="ID425" s="63"/>
      <c r="IE425" s="71"/>
    </row>
    <row r="426" spans="1:239" s="11" customFormat="1" x14ac:dyDescent="0.2">
      <c r="A426" s="9">
        <v>30</v>
      </c>
      <c r="B426" s="9"/>
      <c r="C426" s="9"/>
      <c r="D426" s="9" t="s">
        <v>314</v>
      </c>
      <c r="E426" s="65" t="s">
        <v>344</v>
      </c>
      <c r="F426" s="65"/>
      <c r="G426" s="92" t="s">
        <v>2300</v>
      </c>
      <c r="H426" s="66" t="s">
        <v>1200</v>
      </c>
      <c r="I426" s="9"/>
      <c r="J426" s="9" t="s">
        <v>1101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 t="s">
        <v>1101</v>
      </c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  <c r="EN426" s="9"/>
      <c r="EO426" s="9"/>
      <c r="EP426" s="9"/>
      <c r="EQ426" s="9"/>
      <c r="ER426" s="9"/>
      <c r="ES426" s="9"/>
      <c r="ET426" s="9"/>
      <c r="EU426" s="9"/>
      <c r="EV426" s="9"/>
      <c r="EW426" s="9"/>
      <c r="EX426" s="9"/>
      <c r="EY426" s="9"/>
      <c r="EZ426" s="9"/>
      <c r="FA426" s="9"/>
      <c r="FB426" s="9"/>
      <c r="FC426" s="9"/>
      <c r="FD426" s="9"/>
      <c r="FE426" s="9"/>
      <c r="FF426" s="9"/>
      <c r="FG426" s="9"/>
      <c r="FH426" s="9"/>
      <c r="FI426" s="9"/>
      <c r="FJ426" s="9"/>
      <c r="FK426" s="9"/>
      <c r="FL426" s="9"/>
      <c r="FM426" s="9"/>
      <c r="FN426" s="9"/>
      <c r="FO426" s="9"/>
      <c r="FP426" s="9"/>
      <c r="FQ426" s="9"/>
      <c r="FR426" s="9"/>
      <c r="FS426" s="9"/>
      <c r="FT426" s="9"/>
      <c r="FU426" s="9"/>
      <c r="FV426" s="9"/>
      <c r="FW426" s="9"/>
      <c r="FX426" s="9"/>
      <c r="FY426" s="9"/>
      <c r="FZ426" s="9"/>
      <c r="GA426" s="9"/>
      <c r="GB426" s="9"/>
      <c r="GC426" s="9"/>
      <c r="GD426" s="9"/>
      <c r="GE426" s="9"/>
      <c r="GF426" s="9"/>
      <c r="GG426" s="9"/>
      <c r="GH426" s="9"/>
      <c r="GI426" s="9"/>
      <c r="GJ426" s="9"/>
      <c r="GK426" s="9"/>
      <c r="GL426" s="9"/>
      <c r="GM426" s="9"/>
      <c r="GN426" s="9"/>
      <c r="GO426" s="9"/>
      <c r="GP426" s="9"/>
      <c r="GQ426" s="9"/>
      <c r="GR426" s="9"/>
      <c r="GS426" s="9"/>
      <c r="GT426" s="9"/>
      <c r="GU426" s="9"/>
      <c r="GV426" s="9"/>
      <c r="GW426" s="9"/>
      <c r="GX426" s="9"/>
      <c r="GY426" s="9"/>
      <c r="GZ426" s="9"/>
      <c r="HA426" s="9"/>
      <c r="HB426" s="9"/>
      <c r="HC426" s="9"/>
      <c r="HD426" s="9"/>
      <c r="HE426" s="9"/>
      <c r="HF426" s="9"/>
      <c r="HG426" s="9"/>
      <c r="HH426" s="9"/>
      <c r="HI426" s="9"/>
      <c r="HJ426" s="9"/>
      <c r="HK426" s="9"/>
      <c r="HL426" s="9"/>
      <c r="HM426" s="9"/>
      <c r="HN426" s="9"/>
      <c r="HO426" s="9"/>
      <c r="HP426" s="9"/>
      <c r="HQ426" s="9"/>
      <c r="HR426" s="9"/>
      <c r="HS426" s="9"/>
      <c r="HT426" s="9"/>
      <c r="HU426" s="9"/>
      <c r="HV426" s="9"/>
      <c r="HW426" s="9"/>
      <c r="HX426" s="9"/>
      <c r="HY426" s="9"/>
      <c r="HZ426" s="9"/>
      <c r="IA426" s="9"/>
      <c r="IB426" s="67"/>
      <c r="IC426" s="68"/>
      <c r="ID426" s="63"/>
      <c r="IE426" s="71"/>
    </row>
    <row r="427" spans="1:239" s="11" customFormat="1" ht="26" x14ac:dyDescent="0.2">
      <c r="A427" s="9">
        <v>30</v>
      </c>
      <c r="B427" s="9"/>
      <c r="C427" s="9"/>
      <c r="D427" s="9" t="s">
        <v>315</v>
      </c>
      <c r="E427" s="65" t="s">
        <v>345</v>
      </c>
      <c r="F427" s="65"/>
      <c r="G427" s="92" t="s">
        <v>2298</v>
      </c>
      <c r="H427" s="66" t="s">
        <v>1198</v>
      </c>
      <c r="I427" s="9"/>
      <c r="J427" s="9" t="s">
        <v>1101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 t="s">
        <v>1101</v>
      </c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  <c r="EN427" s="9"/>
      <c r="EO427" s="9"/>
      <c r="EP427" s="9"/>
      <c r="EQ427" s="9"/>
      <c r="ER427" s="9"/>
      <c r="ES427" s="9"/>
      <c r="ET427" s="9"/>
      <c r="EU427" s="9"/>
      <c r="EV427" s="9"/>
      <c r="EW427" s="9"/>
      <c r="EX427" s="9"/>
      <c r="EY427" s="9"/>
      <c r="EZ427" s="9"/>
      <c r="FA427" s="9"/>
      <c r="FB427" s="9"/>
      <c r="FC427" s="9"/>
      <c r="FD427" s="9"/>
      <c r="FE427" s="9"/>
      <c r="FF427" s="9"/>
      <c r="FG427" s="9"/>
      <c r="FH427" s="9"/>
      <c r="FI427" s="9"/>
      <c r="FJ427" s="9"/>
      <c r="FK427" s="9"/>
      <c r="FL427" s="9"/>
      <c r="FM427" s="9"/>
      <c r="FN427" s="9"/>
      <c r="FO427" s="9"/>
      <c r="FP427" s="9"/>
      <c r="FQ427" s="9"/>
      <c r="FR427" s="9"/>
      <c r="FS427" s="9"/>
      <c r="FT427" s="9"/>
      <c r="FU427" s="9"/>
      <c r="FV427" s="9"/>
      <c r="FW427" s="9"/>
      <c r="FX427" s="9"/>
      <c r="FY427" s="9"/>
      <c r="FZ427" s="9"/>
      <c r="GA427" s="9"/>
      <c r="GB427" s="9"/>
      <c r="GC427" s="9"/>
      <c r="GD427" s="9"/>
      <c r="GE427" s="9"/>
      <c r="GF427" s="9"/>
      <c r="GG427" s="9"/>
      <c r="GH427" s="9"/>
      <c r="GI427" s="9"/>
      <c r="GJ427" s="9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9"/>
      <c r="GY427" s="9"/>
      <c r="GZ427" s="9"/>
      <c r="HA427" s="9"/>
      <c r="HB427" s="9"/>
      <c r="HC427" s="9"/>
      <c r="HD427" s="9"/>
      <c r="HE427" s="9"/>
      <c r="HF427" s="9"/>
      <c r="HG427" s="9"/>
      <c r="HH427" s="9"/>
      <c r="HI427" s="9"/>
      <c r="HJ427" s="9"/>
      <c r="HK427" s="9"/>
      <c r="HL427" s="9"/>
      <c r="HM427" s="9"/>
      <c r="HN427" s="9"/>
      <c r="HO427" s="9"/>
      <c r="HP427" s="9"/>
      <c r="HQ427" s="9"/>
      <c r="HR427" s="9"/>
      <c r="HS427" s="9"/>
      <c r="HT427" s="9"/>
      <c r="HU427" s="9"/>
      <c r="HV427" s="9"/>
      <c r="HW427" s="9"/>
      <c r="HX427" s="9"/>
      <c r="HY427" s="9"/>
      <c r="HZ427" s="9"/>
      <c r="IA427" s="9"/>
      <c r="IB427" s="67"/>
      <c r="IC427" s="68"/>
      <c r="ID427" s="63"/>
      <c r="IE427" s="71"/>
    </row>
    <row r="428" spans="1:239" s="11" customFormat="1" x14ac:dyDescent="0.2">
      <c r="A428" s="9">
        <v>30</v>
      </c>
      <c r="B428" s="9"/>
      <c r="C428" s="9"/>
      <c r="D428" s="9" t="s">
        <v>316</v>
      </c>
      <c r="E428" s="65" t="s">
        <v>192</v>
      </c>
      <c r="F428" s="65"/>
      <c r="G428" s="92" t="s">
        <v>2303</v>
      </c>
      <c r="H428" s="66" t="s">
        <v>1203</v>
      </c>
      <c r="I428" s="9"/>
      <c r="J428" s="9" t="s">
        <v>1101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 t="s">
        <v>1101</v>
      </c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  <c r="EN428" s="9"/>
      <c r="EO428" s="9"/>
      <c r="EP428" s="9"/>
      <c r="EQ428" s="9"/>
      <c r="ER428" s="9"/>
      <c r="ES428" s="9"/>
      <c r="ET428" s="9"/>
      <c r="EU428" s="9"/>
      <c r="EV428" s="9"/>
      <c r="EW428" s="9"/>
      <c r="EX428" s="9"/>
      <c r="EY428" s="9"/>
      <c r="EZ428" s="9"/>
      <c r="FA428" s="9"/>
      <c r="FB428" s="9"/>
      <c r="FC428" s="9"/>
      <c r="FD428" s="9"/>
      <c r="FE428" s="9"/>
      <c r="FF428" s="9"/>
      <c r="FG428" s="9"/>
      <c r="FH428" s="9"/>
      <c r="FI428" s="9"/>
      <c r="FJ428" s="9"/>
      <c r="FK428" s="9"/>
      <c r="FL428" s="9"/>
      <c r="FM428" s="9"/>
      <c r="FN428" s="9"/>
      <c r="FO428" s="9"/>
      <c r="FP428" s="9"/>
      <c r="FQ428" s="9"/>
      <c r="FR428" s="9"/>
      <c r="FS428" s="9"/>
      <c r="FT428" s="9"/>
      <c r="FU428" s="9"/>
      <c r="FV428" s="9"/>
      <c r="FW428" s="9"/>
      <c r="FX428" s="9"/>
      <c r="FY428" s="9"/>
      <c r="FZ428" s="9"/>
      <c r="GA428" s="9"/>
      <c r="GB428" s="9"/>
      <c r="GC428" s="9"/>
      <c r="GD428" s="9"/>
      <c r="GE428" s="9"/>
      <c r="GF428" s="9"/>
      <c r="GG428" s="9"/>
      <c r="GH428" s="9"/>
      <c r="GI428" s="9"/>
      <c r="GJ428" s="9"/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9"/>
      <c r="GY428" s="9"/>
      <c r="GZ428" s="9"/>
      <c r="HA428" s="9"/>
      <c r="HB428" s="9"/>
      <c r="HC428" s="9"/>
      <c r="HD428" s="9"/>
      <c r="HE428" s="9"/>
      <c r="HF428" s="9"/>
      <c r="HG428" s="9"/>
      <c r="HH428" s="9"/>
      <c r="HI428" s="9"/>
      <c r="HJ428" s="9"/>
      <c r="HK428" s="9"/>
      <c r="HL428" s="9"/>
      <c r="HM428" s="9"/>
      <c r="HN428" s="9"/>
      <c r="HO428" s="9"/>
      <c r="HP428" s="9"/>
      <c r="HQ428" s="9"/>
      <c r="HR428" s="9"/>
      <c r="HS428" s="9"/>
      <c r="HT428" s="9"/>
      <c r="HU428" s="9"/>
      <c r="HV428" s="9"/>
      <c r="HW428" s="9"/>
      <c r="HX428" s="9"/>
      <c r="HY428" s="9"/>
      <c r="HZ428" s="9"/>
      <c r="IA428" s="9"/>
      <c r="IB428" s="67"/>
      <c r="IC428" s="68"/>
      <c r="ID428" s="63"/>
      <c r="IE428" s="71"/>
    </row>
    <row r="429" spans="1:239" s="11" customFormat="1" x14ac:dyDescent="0.2">
      <c r="A429" s="9">
        <v>30</v>
      </c>
      <c r="B429" s="9"/>
      <c r="C429" s="9"/>
      <c r="D429" s="9" t="s">
        <v>317</v>
      </c>
      <c r="E429" s="65" t="s">
        <v>195</v>
      </c>
      <c r="F429" s="65"/>
      <c r="G429" s="92" t="s">
        <v>2341</v>
      </c>
      <c r="H429" s="66" t="s">
        <v>1241</v>
      </c>
      <c r="I429" s="9"/>
      <c r="J429" s="9" t="s">
        <v>1101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 t="s">
        <v>1101</v>
      </c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  <c r="EN429" s="9"/>
      <c r="EO429" s="9"/>
      <c r="EP429" s="9"/>
      <c r="EQ429" s="9"/>
      <c r="ER429" s="9"/>
      <c r="ES429" s="9"/>
      <c r="ET429" s="9"/>
      <c r="EU429" s="9"/>
      <c r="EV429" s="9"/>
      <c r="EW429" s="9"/>
      <c r="EX429" s="9"/>
      <c r="EY429" s="9"/>
      <c r="EZ429" s="9"/>
      <c r="FA429" s="9"/>
      <c r="FB429" s="9"/>
      <c r="FC429" s="9"/>
      <c r="FD429" s="9"/>
      <c r="FE429" s="9"/>
      <c r="FF429" s="9"/>
      <c r="FG429" s="9"/>
      <c r="FH429" s="9"/>
      <c r="FI429" s="9"/>
      <c r="FJ429" s="9"/>
      <c r="FK429" s="9"/>
      <c r="FL429" s="9"/>
      <c r="FM429" s="9"/>
      <c r="FN429" s="9"/>
      <c r="FO429" s="9"/>
      <c r="FP429" s="9"/>
      <c r="FQ429" s="9"/>
      <c r="FR429" s="9"/>
      <c r="FS429" s="9"/>
      <c r="FT429" s="9"/>
      <c r="FU429" s="9"/>
      <c r="FV429" s="9"/>
      <c r="FW429" s="9"/>
      <c r="FX429" s="9"/>
      <c r="FY429" s="9"/>
      <c r="FZ429" s="9"/>
      <c r="GA429" s="9"/>
      <c r="GB429" s="9"/>
      <c r="GC429" s="9"/>
      <c r="GD429" s="9"/>
      <c r="GE429" s="9"/>
      <c r="GF429" s="9"/>
      <c r="GG429" s="9"/>
      <c r="GH429" s="9"/>
      <c r="GI429" s="9"/>
      <c r="GJ429" s="9"/>
      <c r="GK429" s="9"/>
      <c r="GL429" s="9"/>
      <c r="GM429" s="9"/>
      <c r="GN429" s="9"/>
      <c r="GO429" s="9"/>
      <c r="GP429" s="9"/>
      <c r="GQ429" s="9"/>
      <c r="GR429" s="9"/>
      <c r="GS429" s="9"/>
      <c r="GT429" s="9"/>
      <c r="GU429" s="9"/>
      <c r="GV429" s="9"/>
      <c r="GW429" s="9"/>
      <c r="GX429" s="9"/>
      <c r="GY429" s="9"/>
      <c r="GZ429" s="9"/>
      <c r="HA429" s="9"/>
      <c r="HB429" s="9"/>
      <c r="HC429" s="9"/>
      <c r="HD429" s="9"/>
      <c r="HE429" s="9"/>
      <c r="HF429" s="9"/>
      <c r="HG429" s="9"/>
      <c r="HH429" s="9"/>
      <c r="HI429" s="9"/>
      <c r="HJ429" s="9"/>
      <c r="HK429" s="9"/>
      <c r="HL429" s="9"/>
      <c r="HM429" s="9"/>
      <c r="HN429" s="9"/>
      <c r="HO429" s="9"/>
      <c r="HP429" s="9"/>
      <c r="HQ429" s="9"/>
      <c r="HR429" s="9"/>
      <c r="HS429" s="9"/>
      <c r="HT429" s="9"/>
      <c r="HU429" s="9"/>
      <c r="HV429" s="9"/>
      <c r="HW429" s="9"/>
      <c r="HX429" s="9"/>
      <c r="HY429" s="9"/>
      <c r="HZ429" s="9"/>
      <c r="IA429" s="9"/>
      <c r="IB429" s="67"/>
      <c r="IC429" s="68"/>
      <c r="ID429" s="63"/>
      <c r="IE429" s="71"/>
    </row>
    <row r="430" spans="1:239" s="11" customFormat="1" x14ac:dyDescent="0.2">
      <c r="A430" s="9">
        <v>30</v>
      </c>
      <c r="B430" s="9"/>
      <c r="C430" s="9"/>
      <c r="D430" s="9" t="s">
        <v>318</v>
      </c>
      <c r="E430" s="65" t="s">
        <v>199</v>
      </c>
      <c r="F430" s="65"/>
      <c r="G430" s="92" t="s">
        <v>2345</v>
      </c>
      <c r="H430" s="66" t="s">
        <v>1245</v>
      </c>
      <c r="I430" s="9"/>
      <c r="J430" s="9" t="s">
        <v>1101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 t="s">
        <v>1101</v>
      </c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  <c r="EN430" s="9"/>
      <c r="EO430" s="9"/>
      <c r="EP430" s="9"/>
      <c r="EQ430" s="9"/>
      <c r="ER430" s="9"/>
      <c r="ES430" s="9"/>
      <c r="ET430" s="9"/>
      <c r="EU430" s="9"/>
      <c r="EV430" s="9"/>
      <c r="EW430" s="9"/>
      <c r="EX430" s="9"/>
      <c r="EY430" s="9"/>
      <c r="EZ430" s="9"/>
      <c r="FA430" s="9"/>
      <c r="FB430" s="9"/>
      <c r="FC430" s="9"/>
      <c r="FD430" s="9"/>
      <c r="FE430" s="9"/>
      <c r="FF430" s="9"/>
      <c r="FG430" s="9"/>
      <c r="FH430" s="9"/>
      <c r="FI430" s="9"/>
      <c r="FJ430" s="9"/>
      <c r="FK430" s="9"/>
      <c r="FL430" s="9"/>
      <c r="FM430" s="9"/>
      <c r="FN430" s="9"/>
      <c r="FO430" s="9"/>
      <c r="FP430" s="9"/>
      <c r="FQ430" s="9"/>
      <c r="FR430" s="9"/>
      <c r="FS430" s="9"/>
      <c r="FT430" s="9"/>
      <c r="FU430" s="9"/>
      <c r="FV430" s="9"/>
      <c r="FW430" s="9"/>
      <c r="FX430" s="9"/>
      <c r="FY430" s="9"/>
      <c r="FZ430" s="9"/>
      <c r="GA430" s="9"/>
      <c r="GB430" s="9"/>
      <c r="GC430" s="9"/>
      <c r="GD430" s="9"/>
      <c r="GE430" s="9"/>
      <c r="GF430" s="9"/>
      <c r="GG430" s="9"/>
      <c r="GH430" s="9"/>
      <c r="GI430" s="9"/>
      <c r="GJ430" s="9"/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9"/>
      <c r="GY430" s="9"/>
      <c r="GZ430" s="9"/>
      <c r="HA430" s="9"/>
      <c r="HB430" s="9"/>
      <c r="HC430" s="9"/>
      <c r="HD430" s="9"/>
      <c r="HE430" s="9"/>
      <c r="HF430" s="9"/>
      <c r="HG430" s="9"/>
      <c r="HH430" s="9"/>
      <c r="HI430" s="9"/>
      <c r="HJ430" s="9"/>
      <c r="HK430" s="9"/>
      <c r="HL430" s="9"/>
      <c r="HM430" s="9"/>
      <c r="HN430" s="9"/>
      <c r="HO430" s="9"/>
      <c r="HP430" s="9"/>
      <c r="HQ430" s="9"/>
      <c r="HR430" s="9"/>
      <c r="HS430" s="9"/>
      <c r="HT430" s="9"/>
      <c r="HU430" s="9"/>
      <c r="HV430" s="9"/>
      <c r="HW430" s="9"/>
      <c r="HX430" s="9"/>
      <c r="HY430" s="9"/>
      <c r="HZ430" s="9"/>
      <c r="IA430" s="9"/>
      <c r="IB430" s="67"/>
      <c r="IC430" s="68"/>
      <c r="ID430" s="63"/>
      <c r="IE430" s="71"/>
    </row>
    <row r="431" spans="1:239" s="11" customFormat="1" x14ac:dyDescent="0.2">
      <c r="A431" s="9">
        <v>30</v>
      </c>
      <c r="B431" s="9"/>
      <c r="C431" s="9"/>
      <c r="D431" s="9" t="s">
        <v>657</v>
      </c>
      <c r="E431" s="65" t="s">
        <v>677</v>
      </c>
      <c r="F431" s="65"/>
      <c r="G431" s="92" t="s">
        <v>2347</v>
      </c>
      <c r="H431" s="66" t="s">
        <v>1247</v>
      </c>
      <c r="I431" s="9"/>
      <c r="J431" s="9" t="s">
        <v>1101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 t="s">
        <v>1101</v>
      </c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  <c r="EN431" s="9"/>
      <c r="EO431" s="9"/>
      <c r="EP431" s="9"/>
      <c r="EQ431" s="9"/>
      <c r="ER431" s="9"/>
      <c r="ES431" s="9"/>
      <c r="ET431" s="9"/>
      <c r="EU431" s="9"/>
      <c r="EV431" s="9"/>
      <c r="EW431" s="9"/>
      <c r="EX431" s="9"/>
      <c r="EY431" s="9"/>
      <c r="EZ431" s="9"/>
      <c r="FA431" s="9"/>
      <c r="FB431" s="9"/>
      <c r="FC431" s="9"/>
      <c r="FD431" s="9"/>
      <c r="FE431" s="9"/>
      <c r="FF431" s="9"/>
      <c r="FG431" s="9"/>
      <c r="FH431" s="9"/>
      <c r="FI431" s="9"/>
      <c r="FJ431" s="9"/>
      <c r="FK431" s="9"/>
      <c r="FL431" s="9"/>
      <c r="FM431" s="9"/>
      <c r="FN431" s="9"/>
      <c r="FO431" s="9"/>
      <c r="FP431" s="9"/>
      <c r="FQ431" s="9"/>
      <c r="FR431" s="9"/>
      <c r="FS431" s="9"/>
      <c r="FT431" s="9"/>
      <c r="FU431" s="9"/>
      <c r="FV431" s="9"/>
      <c r="FW431" s="9"/>
      <c r="FX431" s="9"/>
      <c r="FY431" s="9"/>
      <c r="FZ431" s="9"/>
      <c r="GA431" s="9"/>
      <c r="GB431" s="9"/>
      <c r="GC431" s="9"/>
      <c r="GD431" s="9"/>
      <c r="GE431" s="9"/>
      <c r="GF431" s="9"/>
      <c r="GG431" s="9"/>
      <c r="GH431" s="9"/>
      <c r="GI431" s="9"/>
      <c r="GJ431" s="9"/>
      <c r="GK431" s="9"/>
      <c r="GL431" s="9"/>
      <c r="GM431" s="9"/>
      <c r="GN431" s="9"/>
      <c r="GO431" s="9"/>
      <c r="GP431" s="9"/>
      <c r="GQ431" s="9"/>
      <c r="GR431" s="9"/>
      <c r="GS431" s="9"/>
      <c r="GT431" s="9"/>
      <c r="GU431" s="9"/>
      <c r="GV431" s="9"/>
      <c r="GW431" s="9"/>
      <c r="GX431" s="9"/>
      <c r="GY431" s="9"/>
      <c r="GZ431" s="9"/>
      <c r="HA431" s="9"/>
      <c r="HB431" s="9"/>
      <c r="HC431" s="9"/>
      <c r="HD431" s="9"/>
      <c r="HE431" s="9"/>
      <c r="HF431" s="9"/>
      <c r="HG431" s="9"/>
      <c r="HH431" s="9"/>
      <c r="HI431" s="9"/>
      <c r="HJ431" s="9"/>
      <c r="HK431" s="9"/>
      <c r="HL431" s="9"/>
      <c r="HM431" s="9"/>
      <c r="HN431" s="9"/>
      <c r="HO431" s="9"/>
      <c r="HP431" s="9"/>
      <c r="HQ431" s="9"/>
      <c r="HR431" s="9"/>
      <c r="HS431" s="9"/>
      <c r="HT431" s="9"/>
      <c r="HU431" s="9"/>
      <c r="HV431" s="9"/>
      <c r="HW431" s="9"/>
      <c r="HX431" s="9"/>
      <c r="HY431" s="9"/>
      <c r="HZ431" s="9"/>
      <c r="IA431" s="9"/>
      <c r="IB431" s="67"/>
      <c r="IC431" s="68"/>
      <c r="ID431" s="63"/>
      <c r="IE431" s="71"/>
    </row>
    <row r="432" spans="1:239" s="11" customFormat="1" x14ac:dyDescent="0.2">
      <c r="A432" s="9">
        <v>30</v>
      </c>
      <c r="B432" s="9"/>
      <c r="C432" s="9"/>
      <c r="D432" s="9" t="s">
        <v>319</v>
      </c>
      <c r="E432" s="65" t="s">
        <v>205</v>
      </c>
      <c r="F432" s="65"/>
      <c r="G432" s="92" t="s">
        <v>2349</v>
      </c>
      <c r="H432" s="66" t="s">
        <v>1250</v>
      </c>
      <c r="I432" s="9"/>
      <c r="J432" s="9" t="s">
        <v>1101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 t="s">
        <v>1101</v>
      </c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  <c r="EN432" s="9"/>
      <c r="EO432" s="9"/>
      <c r="EP432" s="9"/>
      <c r="EQ432" s="9"/>
      <c r="ER432" s="9"/>
      <c r="ES432" s="9"/>
      <c r="ET432" s="9"/>
      <c r="EU432" s="9"/>
      <c r="EV432" s="9"/>
      <c r="EW432" s="9"/>
      <c r="EX432" s="9"/>
      <c r="EY432" s="9"/>
      <c r="EZ432" s="9"/>
      <c r="FA432" s="9"/>
      <c r="FB432" s="9"/>
      <c r="FC432" s="9"/>
      <c r="FD432" s="9"/>
      <c r="FE432" s="9"/>
      <c r="FF432" s="9"/>
      <c r="FG432" s="9"/>
      <c r="FH432" s="9"/>
      <c r="FI432" s="9"/>
      <c r="FJ432" s="9"/>
      <c r="FK432" s="9"/>
      <c r="FL432" s="9"/>
      <c r="FM432" s="9"/>
      <c r="FN432" s="9"/>
      <c r="FO432" s="9"/>
      <c r="FP432" s="9"/>
      <c r="FQ432" s="9"/>
      <c r="FR432" s="9"/>
      <c r="FS432" s="9"/>
      <c r="FT432" s="9"/>
      <c r="FU432" s="9"/>
      <c r="FV432" s="9"/>
      <c r="FW432" s="9"/>
      <c r="FX432" s="9"/>
      <c r="FY432" s="9"/>
      <c r="FZ432" s="9"/>
      <c r="GA432" s="9"/>
      <c r="GB432" s="9"/>
      <c r="GC432" s="9"/>
      <c r="GD432" s="9"/>
      <c r="GE432" s="9"/>
      <c r="GF432" s="9"/>
      <c r="GG432" s="9"/>
      <c r="GH432" s="9"/>
      <c r="GI432" s="9"/>
      <c r="GJ432" s="9"/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9"/>
      <c r="GY432" s="9"/>
      <c r="GZ432" s="9"/>
      <c r="HA432" s="9"/>
      <c r="HB432" s="9"/>
      <c r="HC432" s="9"/>
      <c r="HD432" s="9"/>
      <c r="HE432" s="9"/>
      <c r="HF432" s="9"/>
      <c r="HG432" s="9"/>
      <c r="HH432" s="9"/>
      <c r="HI432" s="9"/>
      <c r="HJ432" s="9"/>
      <c r="HK432" s="9"/>
      <c r="HL432" s="9"/>
      <c r="HM432" s="9"/>
      <c r="HN432" s="9"/>
      <c r="HO432" s="9"/>
      <c r="HP432" s="9"/>
      <c r="HQ432" s="9"/>
      <c r="HR432" s="9"/>
      <c r="HS432" s="9"/>
      <c r="HT432" s="9"/>
      <c r="HU432" s="9"/>
      <c r="HV432" s="9"/>
      <c r="HW432" s="9"/>
      <c r="HX432" s="9"/>
      <c r="HY432" s="9"/>
      <c r="HZ432" s="9"/>
      <c r="IA432" s="9"/>
      <c r="IB432" s="67"/>
      <c r="IC432" s="68"/>
      <c r="ID432" s="63"/>
      <c r="IE432" s="71"/>
    </row>
    <row r="433" spans="1:239" s="11" customFormat="1" ht="26" x14ac:dyDescent="0.2">
      <c r="A433" s="9">
        <v>30</v>
      </c>
      <c r="B433" s="9"/>
      <c r="C433" s="9"/>
      <c r="D433" s="9" t="s">
        <v>320</v>
      </c>
      <c r="E433" s="65" t="s">
        <v>208</v>
      </c>
      <c r="F433" s="65"/>
      <c r="G433" s="92" t="s">
        <v>2352</v>
      </c>
      <c r="H433" s="66" t="s">
        <v>1253</v>
      </c>
      <c r="I433" s="9"/>
      <c r="J433" s="9" t="s">
        <v>1101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 t="s">
        <v>1101</v>
      </c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  <c r="EN433" s="9"/>
      <c r="EO433" s="9"/>
      <c r="EP433" s="9"/>
      <c r="EQ433" s="9"/>
      <c r="ER433" s="9"/>
      <c r="ES433" s="9"/>
      <c r="ET433" s="9"/>
      <c r="EU433" s="9"/>
      <c r="EV433" s="9"/>
      <c r="EW433" s="9"/>
      <c r="EX433" s="9"/>
      <c r="EY433" s="9"/>
      <c r="EZ433" s="9"/>
      <c r="FA433" s="9"/>
      <c r="FB433" s="9"/>
      <c r="FC433" s="9"/>
      <c r="FD433" s="9"/>
      <c r="FE433" s="9"/>
      <c r="FF433" s="9"/>
      <c r="FG433" s="9"/>
      <c r="FH433" s="9"/>
      <c r="FI433" s="9"/>
      <c r="FJ433" s="9"/>
      <c r="FK433" s="9"/>
      <c r="FL433" s="9"/>
      <c r="FM433" s="9"/>
      <c r="FN433" s="9"/>
      <c r="FO433" s="9"/>
      <c r="FP433" s="9"/>
      <c r="FQ433" s="9"/>
      <c r="FR433" s="9"/>
      <c r="FS433" s="9"/>
      <c r="FT433" s="9"/>
      <c r="FU433" s="9"/>
      <c r="FV433" s="9"/>
      <c r="FW433" s="9"/>
      <c r="FX433" s="9"/>
      <c r="FY433" s="9"/>
      <c r="FZ433" s="9"/>
      <c r="GA433" s="9"/>
      <c r="GB433" s="9"/>
      <c r="GC433" s="9"/>
      <c r="GD433" s="9"/>
      <c r="GE433" s="9"/>
      <c r="GF433" s="9"/>
      <c r="GG433" s="9"/>
      <c r="GH433" s="9"/>
      <c r="GI433" s="9"/>
      <c r="GJ433" s="9"/>
      <c r="GK433" s="9"/>
      <c r="GL433" s="9"/>
      <c r="GM433" s="9"/>
      <c r="GN433" s="9"/>
      <c r="GO433" s="9"/>
      <c r="GP433" s="9"/>
      <c r="GQ433" s="9"/>
      <c r="GR433" s="9"/>
      <c r="GS433" s="9"/>
      <c r="GT433" s="9"/>
      <c r="GU433" s="9"/>
      <c r="GV433" s="9"/>
      <c r="GW433" s="9"/>
      <c r="GX433" s="9"/>
      <c r="GY433" s="9"/>
      <c r="GZ433" s="9"/>
      <c r="HA433" s="9"/>
      <c r="HB433" s="9"/>
      <c r="HC433" s="9"/>
      <c r="HD433" s="9"/>
      <c r="HE433" s="9"/>
      <c r="HF433" s="9"/>
      <c r="HG433" s="9"/>
      <c r="HH433" s="9"/>
      <c r="HI433" s="9"/>
      <c r="HJ433" s="9"/>
      <c r="HK433" s="9"/>
      <c r="HL433" s="9"/>
      <c r="HM433" s="9"/>
      <c r="HN433" s="9"/>
      <c r="HO433" s="9"/>
      <c r="HP433" s="9"/>
      <c r="HQ433" s="9"/>
      <c r="HR433" s="9"/>
      <c r="HS433" s="9"/>
      <c r="HT433" s="9"/>
      <c r="HU433" s="9"/>
      <c r="HV433" s="9"/>
      <c r="HW433" s="9"/>
      <c r="HX433" s="9"/>
      <c r="HY433" s="9"/>
      <c r="HZ433" s="9"/>
      <c r="IA433" s="9"/>
      <c r="IB433" s="67"/>
      <c r="IC433" s="68"/>
      <c r="ID433" s="63"/>
      <c r="IE433" s="71"/>
    </row>
    <row r="434" spans="1:239" s="11" customFormat="1" x14ac:dyDescent="0.2">
      <c r="A434" s="9">
        <v>30</v>
      </c>
      <c r="B434" s="9"/>
      <c r="C434" s="9"/>
      <c r="D434" s="9" t="s">
        <v>321</v>
      </c>
      <c r="E434" s="65" t="s">
        <v>211</v>
      </c>
      <c r="F434" s="65"/>
      <c r="G434" s="92" t="s">
        <v>2355</v>
      </c>
      <c r="H434" s="66" t="s">
        <v>1256</v>
      </c>
      <c r="I434" s="9"/>
      <c r="J434" s="9" t="s">
        <v>1101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 t="s">
        <v>1101</v>
      </c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  <c r="EN434" s="9"/>
      <c r="EO434" s="9"/>
      <c r="EP434" s="9"/>
      <c r="EQ434" s="9"/>
      <c r="ER434" s="9"/>
      <c r="ES434" s="9"/>
      <c r="ET434" s="9"/>
      <c r="EU434" s="9"/>
      <c r="EV434" s="9"/>
      <c r="EW434" s="9"/>
      <c r="EX434" s="9"/>
      <c r="EY434" s="9"/>
      <c r="EZ434" s="9"/>
      <c r="FA434" s="9"/>
      <c r="FB434" s="9"/>
      <c r="FC434" s="9"/>
      <c r="FD434" s="9"/>
      <c r="FE434" s="9"/>
      <c r="FF434" s="9"/>
      <c r="FG434" s="9"/>
      <c r="FH434" s="9"/>
      <c r="FI434" s="9"/>
      <c r="FJ434" s="9"/>
      <c r="FK434" s="9"/>
      <c r="FL434" s="9"/>
      <c r="FM434" s="9"/>
      <c r="FN434" s="9"/>
      <c r="FO434" s="9"/>
      <c r="FP434" s="9"/>
      <c r="FQ434" s="9"/>
      <c r="FR434" s="9"/>
      <c r="FS434" s="9"/>
      <c r="FT434" s="9"/>
      <c r="FU434" s="9"/>
      <c r="FV434" s="9"/>
      <c r="FW434" s="9"/>
      <c r="FX434" s="9"/>
      <c r="FY434" s="9"/>
      <c r="FZ434" s="9"/>
      <c r="GA434" s="9"/>
      <c r="GB434" s="9"/>
      <c r="GC434" s="9"/>
      <c r="GD434" s="9"/>
      <c r="GE434" s="9"/>
      <c r="GF434" s="9"/>
      <c r="GG434" s="9"/>
      <c r="GH434" s="9"/>
      <c r="GI434" s="9"/>
      <c r="GJ434" s="9"/>
      <c r="GK434" s="9"/>
      <c r="GL434" s="9"/>
      <c r="GM434" s="9"/>
      <c r="GN434" s="9"/>
      <c r="GO434" s="9"/>
      <c r="GP434" s="9"/>
      <c r="GQ434" s="9"/>
      <c r="GR434" s="9"/>
      <c r="GS434" s="9"/>
      <c r="GT434" s="9"/>
      <c r="GU434" s="9"/>
      <c r="GV434" s="9"/>
      <c r="GW434" s="9"/>
      <c r="GX434" s="9"/>
      <c r="GY434" s="9"/>
      <c r="GZ434" s="9"/>
      <c r="HA434" s="9"/>
      <c r="HB434" s="9"/>
      <c r="HC434" s="9"/>
      <c r="HD434" s="9"/>
      <c r="HE434" s="9"/>
      <c r="HF434" s="9"/>
      <c r="HG434" s="9"/>
      <c r="HH434" s="9"/>
      <c r="HI434" s="9"/>
      <c r="HJ434" s="9"/>
      <c r="HK434" s="9"/>
      <c r="HL434" s="9"/>
      <c r="HM434" s="9"/>
      <c r="HN434" s="9"/>
      <c r="HO434" s="9"/>
      <c r="HP434" s="9"/>
      <c r="HQ434" s="9"/>
      <c r="HR434" s="9"/>
      <c r="HS434" s="9"/>
      <c r="HT434" s="9"/>
      <c r="HU434" s="9"/>
      <c r="HV434" s="9"/>
      <c r="HW434" s="9"/>
      <c r="HX434" s="9"/>
      <c r="HY434" s="9"/>
      <c r="HZ434" s="9"/>
      <c r="IA434" s="9"/>
      <c r="IB434" s="67"/>
      <c r="IC434" s="68"/>
      <c r="ID434" s="63"/>
      <c r="IE434" s="71"/>
    </row>
    <row r="435" spans="1:239" s="11" customFormat="1" x14ac:dyDescent="0.2">
      <c r="A435" s="9">
        <v>30</v>
      </c>
      <c r="B435" s="9"/>
      <c r="C435" s="9"/>
      <c r="D435" s="9" t="s">
        <v>322</v>
      </c>
      <c r="E435" s="65" t="s">
        <v>214</v>
      </c>
      <c r="F435" s="65"/>
      <c r="G435" s="92" t="s">
        <v>2358</v>
      </c>
      <c r="H435" s="66" t="s">
        <v>1259</v>
      </c>
      <c r="I435" s="9"/>
      <c r="J435" s="9" t="s">
        <v>1101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 t="s">
        <v>1101</v>
      </c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  <c r="EN435" s="9"/>
      <c r="EO435" s="9"/>
      <c r="EP435" s="9"/>
      <c r="EQ435" s="9"/>
      <c r="ER435" s="9"/>
      <c r="ES435" s="9"/>
      <c r="ET435" s="9"/>
      <c r="EU435" s="9"/>
      <c r="EV435" s="9"/>
      <c r="EW435" s="9"/>
      <c r="EX435" s="9"/>
      <c r="EY435" s="9"/>
      <c r="EZ435" s="9"/>
      <c r="FA435" s="9"/>
      <c r="FB435" s="9"/>
      <c r="FC435" s="9"/>
      <c r="FD435" s="9"/>
      <c r="FE435" s="9"/>
      <c r="FF435" s="9"/>
      <c r="FG435" s="9"/>
      <c r="FH435" s="9"/>
      <c r="FI435" s="9"/>
      <c r="FJ435" s="9"/>
      <c r="FK435" s="9"/>
      <c r="FL435" s="9"/>
      <c r="FM435" s="9"/>
      <c r="FN435" s="9"/>
      <c r="FO435" s="9"/>
      <c r="FP435" s="9"/>
      <c r="FQ435" s="9"/>
      <c r="FR435" s="9"/>
      <c r="FS435" s="9"/>
      <c r="FT435" s="9"/>
      <c r="FU435" s="9"/>
      <c r="FV435" s="9"/>
      <c r="FW435" s="9"/>
      <c r="FX435" s="9"/>
      <c r="FY435" s="9"/>
      <c r="FZ435" s="9"/>
      <c r="GA435" s="9"/>
      <c r="GB435" s="9"/>
      <c r="GC435" s="9"/>
      <c r="GD435" s="9"/>
      <c r="GE435" s="9"/>
      <c r="GF435" s="9"/>
      <c r="GG435" s="9"/>
      <c r="GH435" s="9"/>
      <c r="GI435" s="9"/>
      <c r="GJ435" s="9"/>
      <c r="GK435" s="9"/>
      <c r="GL435" s="9"/>
      <c r="GM435" s="9"/>
      <c r="GN435" s="9"/>
      <c r="GO435" s="9"/>
      <c r="GP435" s="9"/>
      <c r="GQ435" s="9"/>
      <c r="GR435" s="9"/>
      <c r="GS435" s="9"/>
      <c r="GT435" s="9"/>
      <c r="GU435" s="9"/>
      <c r="GV435" s="9"/>
      <c r="GW435" s="9"/>
      <c r="GX435" s="9"/>
      <c r="GY435" s="9"/>
      <c r="GZ435" s="9"/>
      <c r="HA435" s="9"/>
      <c r="HB435" s="9"/>
      <c r="HC435" s="9"/>
      <c r="HD435" s="9"/>
      <c r="HE435" s="9"/>
      <c r="HF435" s="9"/>
      <c r="HG435" s="9"/>
      <c r="HH435" s="9"/>
      <c r="HI435" s="9"/>
      <c r="HJ435" s="9"/>
      <c r="HK435" s="9"/>
      <c r="HL435" s="9"/>
      <c r="HM435" s="9"/>
      <c r="HN435" s="9"/>
      <c r="HO435" s="9"/>
      <c r="HP435" s="9"/>
      <c r="HQ435" s="9"/>
      <c r="HR435" s="9"/>
      <c r="HS435" s="9"/>
      <c r="HT435" s="9"/>
      <c r="HU435" s="9"/>
      <c r="HV435" s="9"/>
      <c r="HW435" s="9"/>
      <c r="HX435" s="9"/>
      <c r="HY435" s="9"/>
      <c r="HZ435" s="9"/>
      <c r="IA435" s="9"/>
      <c r="IB435" s="67"/>
      <c r="IC435" s="68"/>
      <c r="ID435" s="63"/>
      <c r="IE435" s="71"/>
    </row>
    <row r="436" spans="1:239" s="11" customFormat="1" ht="26" x14ac:dyDescent="0.2">
      <c r="A436" s="9">
        <v>30</v>
      </c>
      <c r="B436" s="9"/>
      <c r="C436" s="9"/>
      <c r="D436" s="9" t="s">
        <v>323</v>
      </c>
      <c r="E436" s="65" t="s">
        <v>217</v>
      </c>
      <c r="F436" s="65"/>
      <c r="G436" s="92" t="s">
        <v>2361</v>
      </c>
      <c r="H436" s="66" t="s">
        <v>1262</v>
      </c>
      <c r="I436" s="9"/>
      <c r="J436" s="9" t="s">
        <v>1101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 t="s">
        <v>1101</v>
      </c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  <c r="EN436" s="9"/>
      <c r="EO436" s="9"/>
      <c r="EP436" s="9"/>
      <c r="EQ436" s="9"/>
      <c r="ER436" s="9"/>
      <c r="ES436" s="9"/>
      <c r="ET436" s="9"/>
      <c r="EU436" s="9"/>
      <c r="EV436" s="9"/>
      <c r="EW436" s="9"/>
      <c r="EX436" s="9"/>
      <c r="EY436" s="9"/>
      <c r="EZ436" s="9"/>
      <c r="FA436" s="9"/>
      <c r="FB436" s="9"/>
      <c r="FC436" s="9"/>
      <c r="FD436" s="9"/>
      <c r="FE436" s="9"/>
      <c r="FF436" s="9"/>
      <c r="FG436" s="9"/>
      <c r="FH436" s="9"/>
      <c r="FI436" s="9"/>
      <c r="FJ436" s="9"/>
      <c r="FK436" s="9"/>
      <c r="FL436" s="9"/>
      <c r="FM436" s="9"/>
      <c r="FN436" s="9"/>
      <c r="FO436" s="9"/>
      <c r="FP436" s="9"/>
      <c r="FQ436" s="9"/>
      <c r="FR436" s="9"/>
      <c r="FS436" s="9"/>
      <c r="FT436" s="9"/>
      <c r="FU436" s="9"/>
      <c r="FV436" s="9"/>
      <c r="FW436" s="9"/>
      <c r="FX436" s="9"/>
      <c r="FY436" s="9"/>
      <c r="FZ436" s="9"/>
      <c r="GA436" s="9"/>
      <c r="GB436" s="9"/>
      <c r="GC436" s="9"/>
      <c r="GD436" s="9"/>
      <c r="GE436" s="9"/>
      <c r="GF436" s="9"/>
      <c r="GG436" s="9"/>
      <c r="GH436" s="9"/>
      <c r="GI436" s="9"/>
      <c r="GJ436" s="9"/>
      <c r="GK436" s="9"/>
      <c r="GL436" s="9"/>
      <c r="GM436" s="9"/>
      <c r="GN436" s="9"/>
      <c r="GO436" s="9"/>
      <c r="GP436" s="9"/>
      <c r="GQ436" s="9"/>
      <c r="GR436" s="9"/>
      <c r="GS436" s="9"/>
      <c r="GT436" s="9"/>
      <c r="GU436" s="9"/>
      <c r="GV436" s="9"/>
      <c r="GW436" s="9"/>
      <c r="GX436" s="9"/>
      <c r="GY436" s="9"/>
      <c r="GZ436" s="9"/>
      <c r="HA436" s="9"/>
      <c r="HB436" s="9"/>
      <c r="HC436" s="9"/>
      <c r="HD436" s="9"/>
      <c r="HE436" s="9"/>
      <c r="HF436" s="9"/>
      <c r="HG436" s="9"/>
      <c r="HH436" s="9"/>
      <c r="HI436" s="9"/>
      <c r="HJ436" s="9"/>
      <c r="HK436" s="9"/>
      <c r="HL436" s="9"/>
      <c r="HM436" s="9"/>
      <c r="HN436" s="9"/>
      <c r="HO436" s="9"/>
      <c r="HP436" s="9"/>
      <c r="HQ436" s="9"/>
      <c r="HR436" s="9"/>
      <c r="HS436" s="9"/>
      <c r="HT436" s="9"/>
      <c r="HU436" s="9"/>
      <c r="HV436" s="9"/>
      <c r="HW436" s="9"/>
      <c r="HX436" s="9"/>
      <c r="HY436" s="9"/>
      <c r="HZ436" s="9"/>
      <c r="IA436" s="9"/>
      <c r="IB436" s="67"/>
      <c r="IC436" s="68"/>
      <c r="ID436" s="63"/>
      <c r="IE436" s="71"/>
    </row>
    <row r="437" spans="1:239" s="11" customFormat="1" x14ac:dyDescent="0.2">
      <c r="A437" s="9">
        <v>30</v>
      </c>
      <c r="B437" s="9"/>
      <c r="C437" s="9"/>
      <c r="D437" s="9" t="s">
        <v>324</v>
      </c>
      <c r="E437" s="65" t="s">
        <v>219</v>
      </c>
      <c r="F437" s="65"/>
      <c r="G437" s="92" t="s">
        <v>2364</v>
      </c>
      <c r="H437" s="66" t="s">
        <v>1265</v>
      </c>
      <c r="I437" s="9"/>
      <c r="J437" s="9" t="s">
        <v>1101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 t="s">
        <v>1101</v>
      </c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  <c r="EN437" s="9"/>
      <c r="EO437" s="9"/>
      <c r="EP437" s="9"/>
      <c r="EQ437" s="9"/>
      <c r="ER437" s="9"/>
      <c r="ES437" s="9"/>
      <c r="ET437" s="9"/>
      <c r="EU437" s="9"/>
      <c r="EV437" s="9"/>
      <c r="EW437" s="9"/>
      <c r="EX437" s="9"/>
      <c r="EY437" s="9"/>
      <c r="EZ437" s="9"/>
      <c r="FA437" s="9"/>
      <c r="FB437" s="9"/>
      <c r="FC437" s="9"/>
      <c r="FD437" s="9"/>
      <c r="FE437" s="9"/>
      <c r="FF437" s="9"/>
      <c r="FG437" s="9"/>
      <c r="FH437" s="9"/>
      <c r="FI437" s="9"/>
      <c r="FJ437" s="9"/>
      <c r="FK437" s="9"/>
      <c r="FL437" s="9"/>
      <c r="FM437" s="9"/>
      <c r="FN437" s="9"/>
      <c r="FO437" s="9"/>
      <c r="FP437" s="9"/>
      <c r="FQ437" s="9"/>
      <c r="FR437" s="9"/>
      <c r="FS437" s="9"/>
      <c r="FT437" s="9"/>
      <c r="FU437" s="9"/>
      <c r="FV437" s="9"/>
      <c r="FW437" s="9"/>
      <c r="FX437" s="9"/>
      <c r="FY437" s="9"/>
      <c r="FZ437" s="9"/>
      <c r="GA437" s="9"/>
      <c r="GB437" s="9"/>
      <c r="GC437" s="9"/>
      <c r="GD437" s="9"/>
      <c r="GE437" s="9"/>
      <c r="GF437" s="9"/>
      <c r="GG437" s="9"/>
      <c r="GH437" s="9"/>
      <c r="GI437" s="9"/>
      <c r="GJ437" s="9"/>
      <c r="GK437" s="9"/>
      <c r="GL437" s="9"/>
      <c r="GM437" s="9"/>
      <c r="GN437" s="9"/>
      <c r="GO437" s="9"/>
      <c r="GP437" s="9"/>
      <c r="GQ437" s="9"/>
      <c r="GR437" s="9"/>
      <c r="GS437" s="9"/>
      <c r="GT437" s="9"/>
      <c r="GU437" s="9"/>
      <c r="GV437" s="9"/>
      <c r="GW437" s="9"/>
      <c r="GX437" s="9"/>
      <c r="GY437" s="9"/>
      <c r="GZ437" s="9"/>
      <c r="HA437" s="9"/>
      <c r="HB437" s="9"/>
      <c r="HC437" s="9"/>
      <c r="HD437" s="9"/>
      <c r="HE437" s="9"/>
      <c r="HF437" s="9"/>
      <c r="HG437" s="9"/>
      <c r="HH437" s="9"/>
      <c r="HI437" s="9"/>
      <c r="HJ437" s="9"/>
      <c r="HK437" s="9"/>
      <c r="HL437" s="9"/>
      <c r="HM437" s="9"/>
      <c r="HN437" s="9"/>
      <c r="HO437" s="9"/>
      <c r="HP437" s="9"/>
      <c r="HQ437" s="9"/>
      <c r="HR437" s="9"/>
      <c r="HS437" s="9"/>
      <c r="HT437" s="9"/>
      <c r="HU437" s="9"/>
      <c r="HV437" s="9"/>
      <c r="HW437" s="9"/>
      <c r="HX437" s="9"/>
      <c r="HY437" s="9"/>
      <c r="HZ437" s="9"/>
      <c r="IA437" s="9"/>
      <c r="IB437" s="67"/>
      <c r="IC437" s="68"/>
      <c r="ID437" s="63"/>
      <c r="IE437" s="71"/>
    </row>
    <row r="438" spans="1:239" s="11" customFormat="1" x14ac:dyDescent="0.2">
      <c r="A438" s="9">
        <v>30</v>
      </c>
      <c r="B438" s="9"/>
      <c r="C438" s="9"/>
      <c r="D438" s="9" t="s">
        <v>325</v>
      </c>
      <c r="E438" s="65" t="s">
        <v>221</v>
      </c>
      <c r="F438" s="65"/>
      <c r="G438" s="92" t="s">
        <v>2367</v>
      </c>
      <c r="H438" s="66" t="s">
        <v>1268</v>
      </c>
      <c r="I438" s="9"/>
      <c r="J438" s="9" t="s">
        <v>1101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 t="s">
        <v>1101</v>
      </c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  <c r="EN438" s="9"/>
      <c r="EO438" s="9"/>
      <c r="EP438" s="9"/>
      <c r="EQ438" s="9"/>
      <c r="ER438" s="9"/>
      <c r="ES438" s="9"/>
      <c r="ET438" s="9"/>
      <c r="EU438" s="9"/>
      <c r="EV438" s="9"/>
      <c r="EW438" s="9"/>
      <c r="EX438" s="9"/>
      <c r="EY438" s="9"/>
      <c r="EZ438" s="9"/>
      <c r="FA438" s="9"/>
      <c r="FB438" s="9"/>
      <c r="FC438" s="9"/>
      <c r="FD438" s="9"/>
      <c r="FE438" s="9"/>
      <c r="FF438" s="9"/>
      <c r="FG438" s="9"/>
      <c r="FH438" s="9"/>
      <c r="FI438" s="9"/>
      <c r="FJ438" s="9"/>
      <c r="FK438" s="9"/>
      <c r="FL438" s="9"/>
      <c r="FM438" s="9"/>
      <c r="FN438" s="9"/>
      <c r="FO438" s="9"/>
      <c r="FP438" s="9"/>
      <c r="FQ438" s="9"/>
      <c r="FR438" s="9"/>
      <c r="FS438" s="9"/>
      <c r="FT438" s="9"/>
      <c r="FU438" s="9"/>
      <c r="FV438" s="9"/>
      <c r="FW438" s="9"/>
      <c r="FX438" s="9"/>
      <c r="FY438" s="9"/>
      <c r="FZ438" s="9"/>
      <c r="GA438" s="9"/>
      <c r="GB438" s="9"/>
      <c r="GC438" s="9"/>
      <c r="GD438" s="9"/>
      <c r="GE438" s="9"/>
      <c r="GF438" s="9"/>
      <c r="GG438" s="9"/>
      <c r="GH438" s="9"/>
      <c r="GI438" s="9"/>
      <c r="GJ438" s="9"/>
      <c r="GK438" s="9"/>
      <c r="GL438" s="9"/>
      <c r="GM438" s="9"/>
      <c r="GN438" s="9"/>
      <c r="GO438" s="9"/>
      <c r="GP438" s="9"/>
      <c r="GQ438" s="9"/>
      <c r="GR438" s="9"/>
      <c r="GS438" s="9"/>
      <c r="GT438" s="9"/>
      <c r="GU438" s="9"/>
      <c r="GV438" s="9"/>
      <c r="GW438" s="9"/>
      <c r="GX438" s="9"/>
      <c r="GY438" s="9"/>
      <c r="GZ438" s="9"/>
      <c r="HA438" s="9"/>
      <c r="HB438" s="9"/>
      <c r="HC438" s="9"/>
      <c r="HD438" s="9"/>
      <c r="HE438" s="9"/>
      <c r="HF438" s="9"/>
      <c r="HG438" s="9"/>
      <c r="HH438" s="9"/>
      <c r="HI438" s="9"/>
      <c r="HJ438" s="9"/>
      <c r="HK438" s="9"/>
      <c r="HL438" s="9"/>
      <c r="HM438" s="9"/>
      <c r="HN438" s="9"/>
      <c r="HO438" s="9"/>
      <c r="HP438" s="9"/>
      <c r="HQ438" s="9"/>
      <c r="HR438" s="9"/>
      <c r="HS438" s="9"/>
      <c r="HT438" s="9"/>
      <c r="HU438" s="9"/>
      <c r="HV438" s="9"/>
      <c r="HW438" s="9"/>
      <c r="HX438" s="9"/>
      <c r="HY438" s="9"/>
      <c r="HZ438" s="9"/>
      <c r="IA438" s="9"/>
      <c r="IB438" s="67"/>
      <c r="IC438" s="68"/>
      <c r="ID438" s="63"/>
      <c r="IE438" s="71"/>
    </row>
    <row r="439" spans="1:239" s="11" customFormat="1" x14ac:dyDescent="0.2">
      <c r="A439" s="9">
        <v>30</v>
      </c>
      <c r="B439" s="9"/>
      <c r="C439" s="9"/>
      <c r="D439" s="9" t="s">
        <v>326</v>
      </c>
      <c r="E439" s="65" t="s">
        <v>225</v>
      </c>
      <c r="F439" s="65"/>
      <c r="G439" s="92" t="s">
        <v>2371</v>
      </c>
      <c r="H439" s="66" t="s">
        <v>1273</v>
      </c>
      <c r="I439" s="9"/>
      <c r="J439" s="9" t="s">
        <v>1101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 t="s">
        <v>1101</v>
      </c>
      <c r="EF439" s="9"/>
      <c r="EG439" s="9"/>
      <c r="EH439" s="9"/>
      <c r="EI439" s="9"/>
      <c r="EJ439" s="9"/>
      <c r="EK439" s="9"/>
      <c r="EL439" s="9"/>
      <c r="EM439" s="9"/>
      <c r="EN439" s="9"/>
      <c r="EO439" s="9"/>
      <c r="EP439" s="9"/>
      <c r="EQ439" s="9"/>
      <c r="ER439" s="9"/>
      <c r="ES439" s="9"/>
      <c r="ET439" s="9"/>
      <c r="EU439" s="9"/>
      <c r="EV439" s="9"/>
      <c r="EW439" s="9"/>
      <c r="EX439" s="9"/>
      <c r="EY439" s="9"/>
      <c r="EZ439" s="9"/>
      <c r="FA439" s="9"/>
      <c r="FB439" s="9"/>
      <c r="FC439" s="9"/>
      <c r="FD439" s="9"/>
      <c r="FE439" s="9"/>
      <c r="FF439" s="9"/>
      <c r="FG439" s="9"/>
      <c r="FH439" s="9"/>
      <c r="FI439" s="9"/>
      <c r="FJ439" s="9"/>
      <c r="FK439" s="9"/>
      <c r="FL439" s="9"/>
      <c r="FM439" s="9"/>
      <c r="FN439" s="9"/>
      <c r="FO439" s="9"/>
      <c r="FP439" s="9"/>
      <c r="FQ439" s="9"/>
      <c r="FR439" s="9"/>
      <c r="FS439" s="9"/>
      <c r="FT439" s="9"/>
      <c r="FU439" s="9"/>
      <c r="FV439" s="9"/>
      <c r="FW439" s="9"/>
      <c r="FX439" s="9"/>
      <c r="FY439" s="9"/>
      <c r="FZ439" s="9"/>
      <c r="GA439" s="9"/>
      <c r="GB439" s="9"/>
      <c r="GC439" s="9"/>
      <c r="GD439" s="9"/>
      <c r="GE439" s="9"/>
      <c r="GF439" s="9"/>
      <c r="GG439" s="9"/>
      <c r="GH439" s="9"/>
      <c r="GI439" s="9"/>
      <c r="GJ439" s="9"/>
      <c r="GK439" s="9"/>
      <c r="GL439" s="9"/>
      <c r="GM439" s="9"/>
      <c r="GN439" s="9"/>
      <c r="GO439" s="9"/>
      <c r="GP439" s="9"/>
      <c r="GQ439" s="9"/>
      <c r="GR439" s="9"/>
      <c r="GS439" s="9"/>
      <c r="GT439" s="9"/>
      <c r="GU439" s="9"/>
      <c r="GV439" s="9"/>
      <c r="GW439" s="9"/>
      <c r="GX439" s="9"/>
      <c r="GY439" s="9"/>
      <c r="GZ439" s="9"/>
      <c r="HA439" s="9"/>
      <c r="HB439" s="9"/>
      <c r="HC439" s="9"/>
      <c r="HD439" s="9"/>
      <c r="HE439" s="9"/>
      <c r="HF439" s="9"/>
      <c r="HG439" s="9"/>
      <c r="HH439" s="9"/>
      <c r="HI439" s="9"/>
      <c r="HJ439" s="9"/>
      <c r="HK439" s="9"/>
      <c r="HL439" s="9"/>
      <c r="HM439" s="9"/>
      <c r="HN439" s="9"/>
      <c r="HO439" s="9"/>
      <c r="HP439" s="9"/>
      <c r="HQ439" s="9"/>
      <c r="HR439" s="9"/>
      <c r="HS439" s="9"/>
      <c r="HT439" s="9"/>
      <c r="HU439" s="9"/>
      <c r="HV439" s="9"/>
      <c r="HW439" s="9"/>
      <c r="HX439" s="9"/>
      <c r="HY439" s="9"/>
      <c r="HZ439" s="9"/>
      <c r="IA439" s="9"/>
      <c r="IB439" s="67"/>
      <c r="IC439" s="68"/>
      <c r="ID439" s="63"/>
      <c r="IE439" s="71"/>
    </row>
    <row r="440" spans="1:239" s="11" customFormat="1" x14ac:dyDescent="0.2">
      <c r="A440" s="9">
        <v>30</v>
      </c>
      <c r="B440" s="9"/>
      <c r="C440" s="9"/>
      <c r="D440" s="9" t="s">
        <v>327</v>
      </c>
      <c r="E440" s="65" t="s">
        <v>229</v>
      </c>
      <c r="F440" s="65"/>
      <c r="G440" s="92" t="s">
        <v>2375</v>
      </c>
      <c r="H440" s="66" t="s">
        <v>1277</v>
      </c>
      <c r="I440" s="9"/>
      <c r="J440" s="9" t="s">
        <v>1101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 t="s">
        <v>1101</v>
      </c>
      <c r="EJ440" s="9"/>
      <c r="EK440" s="9"/>
      <c r="EL440" s="9"/>
      <c r="EM440" s="9"/>
      <c r="EN440" s="9"/>
      <c r="EO440" s="9"/>
      <c r="EP440" s="9"/>
      <c r="EQ440" s="9"/>
      <c r="ER440" s="9"/>
      <c r="ES440" s="9"/>
      <c r="ET440" s="9"/>
      <c r="EU440" s="9"/>
      <c r="EV440" s="9"/>
      <c r="EW440" s="9"/>
      <c r="EX440" s="9"/>
      <c r="EY440" s="9"/>
      <c r="EZ440" s="9"/>
      <c r="FA440" s="9"/>
      <c r="FB440" s="9"/>
      <c r="FC440" s="9"/>
      <c r="FD440" s="9"/>
      <c r="FE440" s="9"/>
      <c r="FF440" s="9"/>
      <c r="FG440" s="9"/>
      <c r="FH440" s="9"/>
      <c r="FI440" s="9"/>
      <c r="FJ440" s="9"/>
      <c r="FK440" s="9"/>
      <c r="FL440" s="9"/>
      <c r="FM440" s="9"/>
      <c r="FN440" s="9"/>
      <c r="FO440" s="9"/>
      <c r="FP440" s="9"/>
      <c r="FQ440" s="9"/>
      <c r="FR440" s="9"/>
      <c r="FS440" s="9"/>
      <c r="FT440" s="9"/>
      <c r="FU440" s="9"/>
      <c r="FV440" s="9"/>
      <c r="FW440" s="9"/>
      <c r="FX440" s="9"/>
      <c r="FY440" s="9"/>
      <c r="FZ440" s="9"/>
      <c r="GA440" s="9"/>
      <c r="GB440" s="9"/>
      <c r="GC440" s="9"/>
      <c r="GD440" s="9"/>
      <c r="GE440" s="9"/>
      <c r="GF440" s="9"/>
      <c r="GG440" s="9"/>
      <c r="GH440" s="9"/>
      <c r="GI440" s="9"/>
      <c r="GJ440" s="9"/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9"/>
      <c r="GY440" s="9"/>
      <c r="GZ440" s="9"/>
      <c r="HA440" s="9"/>
      <c r="HB440" s="9"/>
      <c r="HC440" s="9"/>
      <c r="HD440" s="9"/>
      <c r="HE440" s="9"/>
      <c r="HF440" s="9"/>
      <c r="HG440" s="9"/>
      <c r="HH440" s="9"/>
      <c r="HI440" s="9"/>
      <c r="HJ440" s="9"/>
      <c r="HK440" s="9"/>
      <c r="HL440" s="9"/>
      <c r="HM440" s="9"/>
      <c r="HN440" s="9"/>
      <c r="HO440" s="9"/>
      <c r="HP440" s="9"/>
      <c r="HQ440" s="9"/>
      <c r="HR440" s="9"/>
      <c r="HS440" s="9"/>
      <c r="HT440" s="9"/>
      <c r="HU440" s="9"/>
      <c r="HV440" s="9"/>
      <c r="HW440" s="9"/>
      <c r="HX440" s="9"/>
      <c r="HY440" s="9"/>
      <c r="HZ440" s="9"/>
      <c r="IA440" s="9"/>
      <c r="IB440" s="67"/>
      <c r="IC440" s="68"/>
      <c r="ID440" s="63"/>
      <c r="IE440" s="71"/>
    </row>
    <row r="441" spans="1:239" s="11" customFormat="1" x14ac:dyDescent="0.2">
      <c r="A441" s="9">
        <v>30</v>
      </c>
      <c r="B441" s="9"/>
      <c r="C441" s="9"/>
      <c r="D441" s="9" t="s">
        <v>328</v>
      </c>
      <c r="E441" s="65" t="s">
        <v>661</v>
      </c>
      <c r="F441" s="65"/>
      <c r="G441" s="92" t="s">
        <v>2378</v>
      </c>
      <c r="H441" s="66" t="s">
        <v>1281</v>
      </c>
      <c r="I441" s="9"/>
      <c r="J441" s="9" t="s">
        <v>1101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 t="s">
        <v>1101</v>
      </c>
      <c r="EN441" s="9"/>
      <c r="EO441" s="9"/>
      <c r="EP441" s="9"/>
      <c r="EQ441" s="9"/>
      <c r="ER441" s="9"/>
      <c r="ES441" s="9"/>
      <c r="ET441" s="9"/>
      <c r="EU441" s="9"/>
      <c r="EV441" s="9"/>
      <c r="EW441" s="9"/>
      <c r="EX441" s="9"/>
      <c r="EY441" s="9"/>
      <c r="EZ441" s="9"/>
      <c r="FA441" s="9"/>
      <c r="FB441" s="9"/>
      <c r="FC441" s="9"/>
      <c r="FD441" s="9"/>
      <c r="FE441" s="9"/>
      <c r="FF441" s="9"/>
      <c r="FG441" s="9"/>
      <c r="FH441" s="9"/>
      <c r="FI441" s="9"/>
      <c r="FJ441" s="9"/>
      <c r="FK441" s="9"/>
      <c r="FL441" s="9"/>
      <c r="FM441" s="9"/>
      <c r="FN441" s="9"/>
      <c r="FO441" s="9"/>
      <c r="FP441" s="9"/>
      <c r="FQ441" s="9"/>
      <c r="FR441" s="9"/>
      <c r="FS441" s="9"/>
      <c r="FT441" s="9"/>
      <c r="FU441" s="9"/>
      <c r="FV441" s="9"/>
      <c r="FW441" s="9"/>
      <c r="FX441" s="9"/>
      <c r="FY441" s="9"/>
      <c r="FZ441" s="9"/>
      <c r="GA441" s="9"/>
      <c r="GB441" s="9"/>
      <c r="GC441" s="9"/>
      <c r="GD441" s="9"/>
      <c r="GE441" s="9"/>
      <c r="GF441" s="9"/>
      <c r="GG441" s="9"/>
      <c r="GH441" s="9"/>
      <c r="GI441" s="9"/>
      <c r="GJ441" s="9"/>
      <c r="GK441" s="9"/>
      <c r="GL441" s="9"/>
      <c r="GM441" s="9"/>
      <c r="GN441" s="9"/>
      <c r="GO441" s="9"/>
      <c r="GP441" s="9"/>
      <c r="GQ441" s="9"/>
      <c r="GR441" s="9"/>
      <c r="GS441" s="9"/>
      <c r="GT441" s="9"/>
      <c r="GU441" s="9"/>
      <c r="GV441" s="9"/>
      <c r="GW441" s="9"/>
      <c r="GX441" s="9"/>
      <c r="GY441" s="9"/>
      <c r="GZ441" s="9"/>
      <c r="HA441" s="9"/>
      <c r="HB441" s="9"/>
      <c r="HC441" s="9"/>
      <c r="HD441" s="9"/>
      <c r="HE441" s="9"/>
      <c r="HF441" s="9"/>
      <c r="HG441" s="9"/>
      <c r="HH441" s="9"/>
      <c r="HI441" s="9"/>
      <c r="HJ441" s="9"/>
      <c r="HK441" s="9"/>
      <c r="HL441" s="9"/>
      <c r="HM441" s="9"/>
      <c r="HN441" s="9"/>
      <c r="HO441" s="9"/>
      <c r="HP441" s="9"/>
      <c r="HQ441" s="9"/>
      <c r="HR441" s="9"/>
      <c r="HS441" s="9"/>
      <c r="HT441" s="9"/>
      <c r="HU441" s="9"/>
      <c r="HV441" s="9"/>
      <c r="HW441" s="9"/>
      <c r="HX441" s="9"/>
      <c r="HY441" s="9"/>
      <c r="HZ441" s="9"/>
      <c r="IA441" s="9"/>
      <c r="IB441" s="67"/>
      <c r="IC441" s="68"/>
      <c r="ID441" s="63"/>
      <c r="IE441" s="71"/>
    </row>
    <row r="442" spans="1:239" s="11" customFormat="1" x14ac:dyDescent="0.2">
      <c r="A442" s="9">
        <v>30</v>
      </c>
      <c r="B442" s="9"/>
      <c r="C442" s="9"/>
      <c r="D442" s="9" t="s">
        <v>329</v>
      </c>
      <c r="E442" s="65" t="s">
        <v>234</v>
      </c>
      <c r="F442" s="65"/>
      <c r="G442" s="92" t="s">
        <v>2382</v>
      </c>
      <c r="H442" s="66" t="s">
        <v>1285</v>
      </c>
      <c r="I442" s="9"/>
      <c r="J442" s="9" t="s">
        <v>1101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  <c r="EN442" s="9"/>
      <c r="EO442" s="9"/>
      <c r="EP442" s="9"/>
      <c r="EQ442" s="9" t="s">
        <v>1101</v>
      </c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9"/>
      <c r="FE442" s="9"/>
      <c r="FF442" s="9"/>
      <c r="FG442" s="9"/>
      <c r="FH442" s="9"/>
      <c r="FI442" s="9"/>
      <c r="FJ442" s="9"/>
      <c r="FK442" s="9"/>
      <c r="FL442" s="9"/>
      <c r="FM442" s="9"/>
      <c r="FN442" s="9"/>
      <c r="FO442" s="9"/>
      <c r="FP442" s="9"/>
      <c r="FQ442" s="9"/>
      <c r="FR442" s="9"/>
      <c r="FS442" s="9"/>
      <c r="FT442" s="9"/>
      <c r="FU442" s="9"/>
      <c r="FV442" s="9"/>
      <c r="FW442" s="9"/>
      <c r="FX442" s="9"/>
      <c r="FY442" s="9"/>
      <c r="FZ442" s="9"/>
      <c r="GA442" s="9"/>
      <c r="GB442" s="9"/>
      <c r="GC442" s="9"/>
      <c r="GD442" s="9"/>
      <c r="GE442" s="9"/>
      <c r="GF442" s="9"/>
      <c r="GG442" s="9"/>
      <c r="GH442" s="9"/>
      <c r="GI442" s="9"/>
      <c r="GJ442" s="9"/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  <c r="HE442" s="9"/>
      <c r="HF442" s="9"/>
      <c r="HG442" s="9"/>
      <c r="HH442" s="9"/>
      <c r="HI442" s="9"/>
      <c r="HJ442" s="9"/>
      <c r="HK442" s="9"/>
      <c r="HL442" s="9"/>
      <c r="HM442" s="9"/>
      <c r="HN442" s="9"/>
      <c r="HO442" s="9"/>
      <c r="HP442" s="9"/>
      <c r="HQ442" s="9"/>
      <c r="HR442" s="9"/>
      <c r="HS442" s="9"/>
      <c r="HT442" s="9"/>
      <c r="HU442" s="9"/>
      <c r="HV442" s="9"/>
      <c r="HW442" s="9"/>
      <c r="HX442" s="9"/>
      <c r="HY442" s="9"/>
      <c r="HZ442" s="9"/>
      <c r="IA442" s="9"/>
      <c r="IB442" s="67"/>
      <c r="IC442" s="68"/>
      <c r="ID442" s="63"/>
      <c r="IE442" s="71"/>
    </row>
    <row r="443" spans="1:239" s="11" customFormat="1" x14ac:dyDescent="0.2">
      <c r="A443" s="9">
        <v>30</v>
      </c>
      <c r="B443" s="9"/>
      <c r="C443" s="9"/>
      <c r="D443" s="9" t="s">
        <v>330</v>
      </c>
      <c r="E443" s="65" t="s">
        <v>239</v>
      </c>
      <c r="F443" s="65"/>
      <c r="G443" s="92" t="s">
        <v>2390</v>
      </c>
      <c r="H443" s="66" t="s">
        <v>1296</v>
      </c>
      <c r="I443" s="9"/>
      <c r="J443" s="9" t="s">
        <v>1101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  <c r="EN443" s="9"/>
      <c r="EO443" s="9"/>
      <c r="EP443" s="9"/>
      <c r="EQ443" s="9"/>
      <c r="ER443" s="9"/>
      <c r="ES443" s="9"/>
      <c r="ET443" s="9"/>
      <c r="EU443" s="9" t="s">
        <v>1101</v>
      </c>
      <c r="EV443" s="9"/>
      <c r="EW443" s="9"/>
      <c r="EX443" s="9"/>
      <c r="EY443" s="9"/>
      <c r="EZ443" s="9"/>
      <c r="FA443" s="9"/>
      <c r="FB443" s="9"/>
      <c r="FC443" s="9"/>
      <c r="FD443" s="9"/>
      <c r="FE443" s="9"/>
      <c r="FF443" s="9"/>
      <c r="FG443" s="9"/>
      <c r="FH443" s="9"/>
      <c r="FI443" s="9"/>
      <c r="FJ443" s="9"/>
      <c r="FK443" s="9"/>
      <c r="FL443" s="9"/>
      <c r="FM443" s="9"/>
      <c r="FN443" s="9"/>
      <c r="FO443" s="9"/>
      <c r="FP443" s="9"/>
      <c r="FQ443" s="9"/>
      <c r="FR443" s="9"/>
      <c r="FS443" s="9"/>
      <c r="FT443" s="9"/>
      <c r="FU443" s="9"/>
      <c r="FV443" s="9"/>
      <c r="FW443" s="9"/>
      <c r="FX443" s="9"/>
      <c r="FY443" s="9"/>
      <c r="FZ443" s="9"/>
      <c r="GA443" s="9"/>
      <c r="GB443" s="9"/>
      <c r="GC443" s="9"/>
      <c r="GD443" s="9"/>
      <c r="GE443" s="9"/>
      <c r="GF443" s="9"/>
      <c r="GG443" s="9"/>
      <c r="GH443" s="9"/>
      <c r="GI443" s="9"/>
      <c r="GJ443" s="9"/>
      <c r="GK443" s="9"/>
      <c r="GL443" s="9"/>
      <c r="GM443" s="9"/>
      <c r="GN443" s="9"/>
      <c r="GO443" s="9"/>
      <c r="GP443" s="9"/>
      <c r="GQ443" s="9"/>
      <c r="GR443" s="9"/>
      <c r="GS443" s="9"/>
      <c r="GT443" s="9"/>
      <c r="GU443" s="9"/>
      <c r="GV443" s="9"/>
      <c r="GW443" s="9"/>
      <c r="GX443" s="9"/>
      <c r="GY443" s="9"/>
      <c r="GZ443" s="9"/>
      <c r="HA443" s="9"/>
      <c r="HB443" s="9"/>
      <c r="HC443" s="9"/>
      <c r="HD443" s="9"/>
      <c r="HE443" s="9"/>
      <c r="HF443" s="9"/>
      <c r="HG443" s="9"/>
      <c r="HH443" s="9"/>
      <c r="HI443" s="9"/>
      <c r="HJ443" s="9"/>
      <c r="HK443" s="9"/>
      <c r="HL443" s="9"/>
      <c r="HM443" s="9"/>
      <c r="HN443" s="9"/>
      <c r="HO443" s="9"/>
      <c r="HP443" s="9"/>
      <c r="HQ443" s="9"/>
      <c r="HR443" s="9"/>
      <c r="HS443" s="9"/>
      <c r="HT443" s="9"/>
      <c r="HU443" s="9"/>
      <c r="HV443" s="9"/>
      <c r="HW443" s="9"/>
      <c r="HX443" s="9"/>
      <c r="HY443" s="9"/>
      <c r="HZ443" s="9"/>
      <c r="IA443" s="9"/>
      <c r="IB443" s="67"/>
      <c r="IC443" s="68"/>
      <c r="ID443" s="63"/>
      <c r="IE443" s="71"/>
    </row>
    <row r="444" spans="1:239" s="11" customFormat="1" x14ac:dyDescent="0.2">
      <c r="A444" s="9">
        <v>30</v>
      </c>
      <c r="B444" s="9"/>
      <c r="C444" s="9"/>
      <c r="D444" s="9" t="s">
        <v>331</v>
      </c>
      <c r="E444" s="65" t="s">
        <v>244</v>
      </c>
      <c r="F444" s="65"/>
      <c r="G444" s="92" t="s">
        <v>2399</v>
      </c>
      <c r="H444" s="66" t="s">
        <v>1304</v>
      </c>
      <c r="I444" s="9"/>
      <c r="J444" s="9" t="s">
        <v>1101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  <c r="EN444" s="9"/>
      <c r="EO444" s="9"/>
      <c r="EP444" s="9"/>
      <c r="EQ444" s="9"/>
      <c r="ER444" s="9"/>
      <c r="ES444" s="9"/>
      <c r="ET444" s="9"/>
      <c r="EU444" s="9"/>
      <c r="EV444" s="9"/>
      <c r="EW444" s="9"/>
      <c r="EX444" s="9"/>
      <c r="EY444" s="9" t="s">
        <v>1101</v>
      </c>
      <c r="EZ444" s="9"/>
      <c r="FA444" s="9"/>
      <c r="FB444" s="9"/>
      <c r="FC444" s="9"/>
      <c r="FD444" s="9"/>
      <c r="FE444" s="9"/>
      <c r="FF444" s="9"/>
      <c r="FG444" s="9"/>
      <c r="FH444" s="9"/>
      <c r="FI444" s="9"/>
      <c r="FJ444" s="9"/>
      <c r="FK444" s="9"/>
      <c r="FL444" s="9"/>
      <c r="FM444" s="9"/>
      <c r="FN444" s="9"/>
      <c r="FO444" s="9"/>
      <c r="FP444" s="9"/>
      <c r="FQ444" s="9"/>
      <c r="FR444" s="9"/>
      <c r="FS444" s="9"/>
      <c r="FT444" s="9"/>
      <c r="FU444" s="9"/>
      <c r="FV444" s="9"/>
      <c r="FW444" s="9"/>
      <c r="FX444" s="9"/>
      <c r="FY444" s="9"/>
      <c r="FZ444" s="9"/>
      <c r="GA444" s="9"/>
      <c r="GB444" s="9"/>
      <c r="GC444" s="9"/>
      <c r="GD444" s="9"/>
      <c r="GE444" s="9"/>
      <c r="GF444" s="9"/>
      <c r="GG444" s="9"/>
      <c r="GH444" s="9"/>
      <c r="GI444" s="9"/>
      <c r="GJ444" s="9"/>
      <c r="GK444" s="9"/>
      <c r="GL444" s="9"/>
      <c r="GM444" s="9"/>
      <c r="GN444" s="9"/>
      <c r="GO444" s="9"/>
      <c r="GP444" s="9"/>
      <c r="GQ444" s="9"/>
      <c r="GR444" s="9"/>
      <c r="GS444" s="9"/>
      <c r="GT444" s="9"/>
      <c r="GU444" s="9"/>
      <c r="GV444" s="9"/>
      <c r="GW444" s="9"/>
      <c r="GX444" s="9"/>
      <c r="GY444" s="9"/>
      <c r="GZ444" s="9"/>
      <c r="HA444" s="9"/>
      <c r="HB444" s="9"/>
      <c r="HC444" s="9"/>
      <c r="HD444" s="9"/>
      <c r="HE444" s="9"/>
      <c r="HF444" s="9"/>
      <c r="HG444" s="9"/>
      <c r="HH444" s="9"/>
      <c r="HI444" s="9"/>
      <c r="HJ444" s="9"/>
      <c r="HK444" s="9"/>
      <c r="HL444" s="9"/>
      <c r="HM444" s="9"/>
      <c r="HN444" s="9"/>
      <c r="HO444" s="9"/>
      <c r="HP444" s="9"/>
      <c r="HQ444" s="9"/>
      <c r="HR444" s="9"/>
      <c r="HS444" s="9"/>
      <c r="HT444" s="9"/>
      <c r="HU444" s="9"/>
      <c r="HV444" s="9"/>
      <c r="HW444" s="9"/>
      <c r="HX444" s="9"/>
      <c r="HY444" s="9"/>
      <c r="HZ444" s="9"/>
      <c r="IA444" s="9"/>
      <c r="IB444" s="67"/>
      <c r="IC444" s="68"/>
      <c r="ID444" s="63"/>
      <c r="IE444" s="71"/>
    </row>
    <row r="445" spans="1:239" s="11" customFormat="1" ht="26" x14ac:dyDescent="0.2">
      <c r="A445" s="9">
        <v>30</v>
      </c>
      <c r="B445" s="9"/>
      <c r="C445" s="9"/>
      <c r="D445" s="9" t="s">
        <v>332</v>
      </c>
      <c r="E445" s="65" t="s">
        <v>247</v>
      </c>
      <c r="F445" s="65"/>
      <c r="G445" s="92" t="s">
        <v>2409</v>
      </c>
      <c r="H445" s="66" t="s">
        <v>1314</v>
      </c>
      <c r="I445" s="9"/>
      <c r="J445" s="9" t="s">
        <v>1101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  <c r="EN445" s="9"/>
      <c r="EO445" s="9"/>
      <c r="EP445" s="9"/>
      <c r="EQ445" s="9"/>
      <c r="ER445" s="9"/>
      <c r="ES445" s="9"/>
      <c r="ET445" s="9"/>
      <c r="EU445" s="9"/>
      <c r="EV445" s="9"/>
      <c r="EW445" s="9"/>
      <c r="EX445" s="9"/>
      <c r="EY445" s="9"/>
      <c r="EZ445" s="9"/>
      <c r="FA445" s="9"/>
      <c r="FB445" s="9"/>
      <c r="FC445" s="9" t="s">
        <v>1101</v>
      </c>
      <c r="FD445" s="9"/>
      <c r="FE445" s="9"/>
      <c r="FF445" s="9"/>
      <c r="FG445" s="9"/>
      <c r="FH445" s="9"/>
      <c r="FI445" s="9"/>
      <c r="FJ445" s="9"/>
      <c r="FK445" s="9"/>
      <c r="FL445" s="9"/>
      <c r="FM445" s="9"/>
      <c r="FN445" s="9"/>
      <c r="FO445" s="9"/>
      <c r="FP445" s="9"/>
      <c r="FQ445" s="9"/>
      <c r="FR445" s="9"/>
      <c r="FS445" s="9"/>
      <c r="FT445" s="9"/>
      <c r="FU445" s="9"/>
      <c r="FV445" s="9"/>
      <c r="FW445" s="9"/>
      <c r="FX445" s="9"/>
      <c r="FY445" s="9"/>
      <c r="FZ445" s="9"/>
      <c r="GA445" s="9"/>
      <c r="GB445" s="9"/>
      <c r="GC445" s="9"/>
      <c r="GD445" s="9"/>
      <c r="GE445" s="9"/>
      <c r="GF445" s="9"/>
      <c r="GG445" s="9"/>
      <c r="GH445" s="9"/>
      <c r="GI445" s="9"/>
      <c r="GJ445" s="9"/>
      <c r="GK445" s="9"/>
      <c r="GL445" s="9"/>
      <c r="GM445" s="9"/>
      <c r="GN445" s="9"/>
      <c r="GO445" s="9"/>
      <c r="GP445" s="9"/>
      <c r="GQ445" s="9"/>
      <c r="GR445" s="9"/>
      <c r="GS445" s="9"/>
      <c r="GT445" s="9"/>
      <c r="GU445" s="9"/>
      <c r="GV445" s="9"/>
      <c r="GW445" s="9"/>
      <c r="GX445" s="9"/>
      <c r="GY445" s="9"/>
      <c r="GZ445" s="9"/>
      <c r="HA445" s="9"/>
      <c r="HB445" s="9"/>
      <c r="HC445" s="9"/>
      <c r="HD445" s="9"/>
      <c r="HE445" s="9"/>
      <c r="HF445" s="9"/>
      <c r="HG445" s="9"/>
      <c r="HH445" s="9"/>
      <c r="HI445" s="9"/>
      <c r="HJ445" s="9"/>
      <c r="HK445" s="9"/>
      <c r="HL445" s="9"/>
      <c r="HM445" s="9"/>
      <c r="HN445" s="9"/>
      <c r="HO445" s="9"/>
      <c r="HP445" s="9"/>
      <c r="HQ445" s="9"/>
      <c r="HR445" s="9"/>
      <c r="HS445" s="9"/>
      <c r="HT445" s="9"/>
      <c r="HU445" s="9"/>
      <c r="HV445" s="9"/>
      <c r="HW445" s="9"/>
      <c r="HX445" s="9"/>
      <c r="HY445" s="9"/>
      <c r="HZ445" s="9"/>
      <c r="IA445" s="9"/>
      <c r="IB445" s="67"/>
      <c r="IC445" s="68"/>
      <c r="ID445" s="63"/>
      <c r="IE445" s="71"/>
    </row>
    <row r="446" spans="1:239" s="11" customFormat="1" x14ac:dyDescent="0.2">
      <c r="A446" s="9">
        <v>30</v>
      </c>
      <c r="B446" s="9"/>
      <c r="C446" s="9"/>
      <c r="D446" s="9" t="s">
        <v>333</v>
      </c>
      <c r="E446" s="65" t="s">
        <v>250</v>
      </c>
      <c r="F446" s="65"/>
      <c r="G446" s="92" t="s">
        <v>2412</v>
      </c>
      <c r="H446" s="66" t="s">
        <v>1317</v>
      </c>
      <c r="I446" s="9"/>
      <c r="J446" s="9" t="s">
        <v>1101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  <c r="EN446" s="9"/>
      <c r="EO446" s="9"/>
      <c r="EP446" s="9"/>
      <c r="EQ446" s="9"/>
      <c r="ER446" s="9"/>
      <c r="ES446" s="9"/>
      <c r="ET446" s="9"/>
      <c r="EU446" s="9"/>
      <c r="EV446" s="9"/>
      <c r="EW446" s="9"/>
      <c r="EX446" s="9"/>
      <c r="EY446" s="9"/>
      <c r="EZ446" s="9"/>
      <c r="FA446" s="9"/>
      <c r="FB446" s="9"/>
      <c r="FC446" s="9"/>
      <c r="FD446" s="9"/>
      <c r="FE446" s="9"/>
      <c r="FF446" s="9"/>
      <c r="FG446" s="9" t="s">
        <v>1101</v>
      </c>
      <c r="FH446" s="9"/>
      <c r="FI446" s="9"/>
      <c r="FJ446" s="9"/>
      <c r="FK446" s="9"/>
      <c r="FL446" s="9"/>
      <c r="FM446" s="9"/>
      <c r="FN446" s="9"/>
      <c r="FO446" s="9"/>
      <c r="FP446" s="9"/>
      <c r="FQ446" s="9"/>
      <c r="FR446" s="9"/>
      <c r="FS446" s="9"/>
      <c r="FT446" s="9"/>
      <c r="FU446" s="9"/>
      <c r="FV446" s="9"/>
      <c r="FW446" s="9"/>
      <c r="FX446" s="9"/>
      <c r="FY446" s="9"/>
      <c r="FZ446" s="9"/>
      <c r="GA446" s="9"/>
      <c r="GB446" s="9"/>
      <c r="GC446" s="9"/>
      <c r="GD446" s="9"/>
      <c r="GE446" s="9"/>
      <c r="GF446" s="9"/>
      <c r="GG446" s="9"/>
      <c r="GH446" s="9"/>
      <c r="GI446" s="9"/>
      <c r="GJ446" s="9"/>
      <c r="GK446" s="9"/>
      <c r="GL446" s="9"/>
      <c r="GM446" s="9"/>
      <c r="GN446" s="9"/>
      <c r="GO446" s="9"/>
      <c r="GP446" s="9"/>
      <c r="GQ446" s="9"/>
      <c r="GR446" s="9"/>
      <c r="GS446" s="9"/>
      <c r="GT446" s="9"/>
      <c r="GU446" s="9"/>
      <c r="GV446" s="9"/>
      <c r="GW446" s="9"/>
      <c r="GX446" s="9"/>
      <c r="GY446" s="9"/>
      <c r="GZ446" s="9"/>
      <c r="HA446" s="9"/>
      <c r="HB446" s="9"/>
      <c r="HC446" s="9"/>
      <c r="HD446" s="9"/>
      <c r="HE446" s="9"/>
      <c r="HF446" s="9"/>
      <c r="HG446" s="9"/>
      <c r="HH446" s="9"/>
      <c r="HI446" s="9"/>
      <c r="HJ446" s="9"/>
      <c r="HK446" s="9"/>
      <c r="HL446" s="9"/>
      <c r="HM446" s="9"/>
      <c r="HN446" s="9"/>
      <c r="HO446" s="9"/>
      <c r="HP446" s="9"/>
      <c r="HQ446" s="9"/>
      <c r="HR446" s="9"/>
      <c r="HS446" s="9"/>
      <c r="HT446" s="9"/>
      <c r="HU446" s="9"/>
      <c r="HV446" s="9"/>
      <c r="HW446" s="9"/>
      <c r="HX446" s="9"/>
      <c r="HY446" s="9"/>
      <c r="HZ446" s="9"/>
      <c r="IA446" s="9"/>
      <c r="IB446" s="67"/>
      <c r="IC446" s="68"/>
      <c r="ID446" s="63"/>
      <c r="IE446" s="71"/>
    </row>
    <row r="447" spans="1:239" s="11" customFormat="1" x14ac:dyDescent="0.2">
      <c r="A447" s="9">
        <v>30</v>
      </c>
      <c r="B447" s="9"/>
      <c r="C447" s="9"/>
      <c r="D447" s="9" t="s">
        <v>334</v>
      </c>
      <c r="E447" s="65" t="s">
        <v>253</v>
      </c>
      <c r="F447" s="65"/>
      <c r="G447" s="92" t="s">
        <v>2417</v>
      </c>
      <c r="H447" s="66" t="s">
        <v>1322</v>
      </c>
      <c r="I447" s="9"/>
      <c r="J447" s="9" t="s">
        <v>1101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  <c r="EN447" s="9"/>
      <c r="EO447" s="9"/>
      <c r="EP447" s="9"/>
      <c r="EQ447" s="9"/>
      <c r="ER447" s="9"/>
      <c r="ES447" s="9"/>
      <c r="ET447" s="9"/>
      <c r="EU447" s="9"/>
      <c r="EV447" s="9"/>
      <c r="EW447" s="9"/>
      <c r="EX447" s="9"/>
      <c r="EY447" s="9"/>
      <c r="EZ447" s="9"/>
      <c r="FA447" s="9"/>
      <c r="FB447" s="9"/>
      <c r="FC447" s="9"/>
      <c r="FD447" s="9"/>
      <c r="FE447" s="9"/>
      <c r="FF447" s="9"/>
      <c r="FG447" s="9"/>
      <c r="FH447" s="9"/>
      <c r="FI447" s="9"/>
      <c r="FJ447" s="9"/>
      <c r="FK447" s="9" t="s">
        <v>1101</v>
      </c>
      <c r="FL447" s="9"/>
      <c r="FM447" s="9"/>
      <c r="FN447" s="9"/>
      <c r="FO447" s="9"/>
      <c r="FP447" s="9"/>
      <c r="FQ447" s="9"/>
      <c r="FR447" s="9"/>
      <c r="FS447" s="9"/>
      <c r="FT447" s="9"/>
      <c r="FU447" s="9"/>
      <c r="FV447" s="9"/>
      <c r="FW447" s="9"/>
      <c r="FX447" s="9"/>
      <c r="FY447" s="9"/>
      <c r="FZ447" s="9"/>
      <c r="GA447" s="9"/>
      <c r="GB447" s="9"/>
      <c r="GC447" s="9"/>
      <c r="GD447" s="9"/>
      <c r="GE447" s="9"/>
      <c r="GF447" s="9"/>
      <c r="GG447" s="9"/>
      <c r="GH447" s="9"/>
      <c r="GI447" s="9"/>
      <c r="GJ447" s="9"/>
      <c r="GK447" s="9"/>
      <c r="GL447" s="9"/>
      <c r="GM447" s="9"/>
      <c r="GN447" s="9"/>
      <c r="GO447" s="9"/>
      <c r="GP447" s="9"/>
      <c r="GQ447" s="9"/>
      <c r="GR447" s="9"/>
      <c r="GS447" s="9"/>
      <c r="GT447" s="9"/>
      <c r="GU447" s="9"/>
      <c r="GV447" s="9"/>
      <c r="GW447" s="9"/>
      <c r="GX447" s="9"/>
      <c r="GY447" s="9"/>
      <c r="GZ447" s="9"/>
      <c r="HA447" s="9"/>
      <c r="HB447" s="9"/>
      <c r="HC447" s="9"/>
      <c r="HD447" s="9"/>
      <c r="HE447" s="9"/>
      <c r="HF447" s="9"/>
      <c r="HG447" s="9"/>
      <c r="HH447" s="9"/>
      <c r="HI447" s="9"/>
      <c r="HJ447" s="9"/>
      <c r="HK447" s="9"/>
      <c r="HL447" s="9"/>
      <c r="HM447" s="9"/>
      <c r="HN447" s="9"/>
      <c r="HO447" s="9"/>
      <c r="HP447" s="9"/>
      <c r="HQ447" s="9"/>
      <c r="HR447" s="9"/>
      <c r="HS447" s="9"/>
      <c r="HT447" s="9"/>
      <c r="HU447" s="9"/>
      <c r="HV447" s="9"/>
      <c r="HW447" s="9"/>
      <c r="HX447" s="9"/>
      <c r="HY447" s="9"/>
      <c r="HZ447" s="9"/>
      <c r="IA447" s="9"/>
      <c r="IB447" s="67"/>
      <c r="IC447" s="68"/>
      <c r="ID447" s="63"/>
      <c r="IE447" s="71"/>
    </row>
    <row r="448" spans="1:239" s="11" customFormat="1" x14ac:dyDescent="0.2">
      <c r="A448" s="9">
        <v>30</v>
      </c>
      <c r="B448" s="9"/>
      <c r="C448" s="9"/>
      <c r="D448" s="9" t="s">
        <v>335</v>
      </c>
      <c r="E448" s="65" t="s">
        <v>256</v>
      </c>
      <c r="F448" s="65"/>
      <c r="G448" s="92" t="s">
        <v>2421</v>
      </c>
      <c r="H448" s="66" t="s">
        <v>1326</v>
      </c>
      <c r="I448" s="9"/>
      <c r="J448" s="9" t="s">
        <v>1101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  <c r="EN448" s="9"/>
      <c r="EO448" s="9"/>
      <c r="EP448" s="9"/>
      <c r="EQ448" s="9"/>
      <c r="ER448" s="9"/>
      <c r="ES448" s="9"/>
      <c r="ET448" s="9"/>
      <c r="EU448" s="9"/>
      <c r="EV448" s="9"/>
      <c r="EW448" s="9"/>
      <c r="EX448" s="9"/>
      <c r="EY448" s="9"/>
      <c r="EZ448" s="9"/>
      <c r="FA448" s="9"/>
      <c r="FB448" s="9"/>
      <c r="FC448" s="9"/>
      <c r="FD448" s="9"/>
      <c r="FE448" s="9"/>
      <c r="FF448" s="9"/>
      <c r="FG448" s="9"/>
      <c r="FH448" s="9"/>
      <c r="FI448" s="9"/>
      <c r="FJ448" s="9"/>
      <c r="FK448" s="9"/>
      <c r="FL448" s="9"/>
      <c r="FM448" s="9"/>
      <c r="FN448" s="9"/>
      <c r="FO448" s="9" t="s">
        <v>1101</v>
      </c>
      <c r="FP448" s="9"/>
      <c r="FQ448" s="9"/>
      <c r="FR448" s="9"/>
      <c r="FS448" s="9"/>
      <c r="FT448" s="9"/>
      <c r="FU448" s="9"/>
      <c r="FV448" s="9"/>
      <c r="FW448" s="9"/>
      <c r="FX448" s="9"/>
      <c r="FY448" s="9"/>
      <c r="FZ448" s="9"/>
      <c r="GA448" s="9"/>
      <c r="GB448" s="9"/>
      <c r="GC448" s="9"/>
      <c r="GD448" s="9"/>
      <c r="GE448" s="9"/>
      <c r="GF448" s="9"/>
      <c r="GG448" s="9"/>
      <c r="GH448" s="9"/>
      <c r="GI448" s="9"/>
      <c r="GJ448" s="9"/>
      <c r="GK448" s="9"/>
      <c r="GL448" s="9"/>
      <c r="GM448" s="9"/>
      <c r="GN448" s="9"/>
      <c r="GO448" s="9"/>
      <c r="GP448" s="9"/>
      <c r="GQ448" s="9"/>
      <c r="GR448" s="9"/>
      <c r="GS448" s="9"/>
      <c r="GT448" s="9"/>
      <c r="GU448" s="9"/>
      <c r="GV448" s="9"/>
      <c r="GW448" s="9"/>
      <c r="GX448" s="9"/>
      <c r="GY448" s="9"/>
      <c r="GZ448" s="9"/>
      <c r="HA448" s="9"/>
      <c r="HB448" s="9"/>
      <c r="HC448" s="9"/>
      <c r="HD448" s="9"/>
      <c r="HE448" s="9"/>
      <c r="HF448" s="9"/>
      <c r="HG448" s="9"/>
      <c r="HH448" s="9"/>
      <c r="HI448" s="9"/>
      <c r="HJ448" s="9"/>
      <c r="HK448" s="9"/>
      <c r="HL448" s="9"/>
      <c r="HM448" s="9"/>
      <c r="HN448" s="9"/>
      <c r="HO448" s="9"/>
      <c r="HP448" s="9"/>
      <c r="HQ448" s="9"/>
      <c r="HR448" s="9"/>
      <c r="HS448" s="9"/>
      <c r="HT448" s="9"/>
      <c r="HU448" s="9"/>
      <c r="HV448" s="9"/>
      <c r="HW448" s="9"/>
      <c r="HX448" s="9"/>
      <c r="HY448" s="9"/>
      <c r="HZ448" s="9"/>
      <c r="IA448" s="9"/>
      <c r="IB448" s="67"/>
      <c r="IC448" s="68"/>
      <c r="ID448" s="63"/>
      <c r="IE448" s="71"/>
    </row>
    <row r="449" spans="1:239" s="11" customFormat="1" x14ac:dyDescent="0.2">
      <c r="A449" s="9">
        <v>30</v>
      </c>
      <c r="B449" s="9"/>
      <c r="C449" s="9"/>
      <c r="D449" s="9" t="s">
        <v>336</v>
      </c>
      <c r="E449" s="65" t="s">
        <v>259</v>
      </c>
      <c r="F449" s="65"/>
      <c r="G449" s="92" t="s">
        <v>2426</v>
      </c>
      <c r="H449" s="66" t="s">
        <v>1331</v>
      </c>
      <c r="I449" s="9"/>
      <c r="J449" s="9" t="s">
        <v>1101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  <c r="EN449" s="9"/>
      <c r="EO449" s="9"/>
      <c r="EP449" s="9"/>
      <c r="EQ449" s="9"/>
      <c r="ER449" s="9"/>
      <c r="ES449" s="9"/>
      <c r="ET449" s="9"/>
      <c r="EU449" s="9"/>
      <c r="EV449" s="9"/>
      <c r="EW449" s="9"/>
      <c r="EX449" s="9"/>
      <c r="EY449" s="9"/>
      <c r="EZ449" s="9"/>
      <c r="FA449" s="9"/>
      <c r="FB449" s="9"/>
      <c r="FC449" s="9"/>
      <c r="FD449" s="9"/>
      <c r="FE449" s="9"/>
      <c r="FF449" s="9"/>
      <c r="FG449" s="9"/>
      <c r="FH449" s="9"/>
      <c r="FI449" s="9"/>
      <c r="FJ449" s="9"/>
      <c r="FK449" s="9"/>
      <c r="FL449" s="9"/>
      <c r="FM449" s="9"/>
      <c r="FN449" s="9"/>
      <c r="FO449" s="9"/>
      <c r="FP449" s="9"/>
      <c r="FQ449" s="9"/>
      <c r="FR449" s="9"/>
      <c r="FS449" s="9" t="s">
        <v>1101</v>
      </c>
      <c r="FT449" s="9"/>
      <c r="FU449" s="9"/>
      <c r="FV449" s="9"/>
      <c r="FW449" s="9"/>
      <c r="FX449" s="9"/>
      <c r="FY449" s="9"/>
      <c r="FZ449" s="9"/>
      <c r="GA449" s="9"/>
      <c r="GB449" s="9"/>
      <c r="GC449" s="9"/>
      <c r="GD449" s="9"/>
      <c r="GE449" s="9"/>
      <c r="GF449" s="9"/>
      <c r="GG449" s="9"/>
      <c r="GH449" s="9"/>
      <c r="GI449" s="9"/>
      <c r="GJ449" s="9"/>
      <c r="GK449" s="9"/>
      <c r="GL449" s="9"/>
      <c r="GM449" s="9"/>
      <c r="GN449" s="9"/>
      <c r="GO449" s="9"/>
      <c r="GP449" s="9"/>
      <c r="GQ449" s="9"/>
      <c r="GR449" s="9"/>
      <c r="GS449" s="9"/>
      <c r="GT449" s="9"/>
      <c r="GU449" s="9"/>
      <c r="GV449" s="9"/>
      <c r="GW449" s="9"/>
      <c r="GX449" s="9"/>
      <c r="GY449" s="9"/>
      <c r="GZ449" s="9"/>
      <c r="HA449" s="9"/>
      <c r="HB449" s="9"/>
      <c r="HC449" s="9"/>
      <c r="HD449" s="9"/>
      <c r="HE449" s="9"/>
      <c r="HF449" s="9"/>
      <c r="HG449" s="9"/>
      <c r="HH449" s="9"/>
      <c r="HI449" s="9"/>
      <c r="HJ449" s="9"/>
      <c r="HK449" s="9"/>
      <c r="HL449" s="9"/>
      <c r="HM449" s="9"/>
      <c r="HN449" s="9"/>
      <c r="HO449" s="9"/>
      <c r="HP449" s="9"/>
      <c r="HQ449" s="9"/>
      <c r="HR449" s="9"/>
      <c r="HS449" s="9"/>
      <c r="HT449" s="9"/>
      <c r="HU449" s="9"/>
      <c r="HV449" s="9"/>
      <c r="HW449" s="9"/>
      <c r="HX449" s="9"/>
      <c r="HY449" s="9"/>
      <c r="HZ449" s="9"/>
      <c r="IA449" s="9"/>
      <c r="IB449" s="67"/>
      <c r="IC449" s="68"/>
      <c r="ID449" s="63"/>
      <c r="IE449" s="71"/>
    </row>
    <row r="450" spans="1:239" s="11" customFormat="1" x14ac:dyDescent="0.2">
      <c r="A450" s="9">
        <v>30</v>
      </c>
      <c r="B450" s="9"/>
      <c r="C450" s="9"/>
      <c r="D450" s="9" t="s">
        <v>337</v>
      </c>
      <c r="E450" s="65" t="s">
        <v>262</v>
      </c>
      <c r="F450" s="65"/>
      <c r="G450" s="92" t="s">
        <v>2429</v>
      </c>
      <c r="H450" s="66" t="s">
        <v>1334</v>
      </c>
      <c r="I450" s="9"/>
      <c r="J450" s="9" t="s">
        <v>1101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  <c r="EN450" s="9"/>
      <c r="EO450" s="9"/>
      <c r="EP450" s="9"/>
      <c r="EQ450" s="9"/>
      <c r="ER450" s="9"/>
      <c r="ES450" s="9"/>
      <c r="ET450" s="9"/>
      <c r="EU450" s="9"/>
      <c r="EV450" s="9"/>
      <c r="EW450" s="9"/>
      <c r="EX450" s="9"/>
      <c r="EY450" s="9"/>
      <c r="EZ450" s="9"/>
      <c r="FA450" s="9"/>
      <c r="FB450" s="9"/>
      <c r="FC450" s="9"/>
      <c r="FD450" s="9"/>
      <c r="FE450" s="9"/>
      <c r="FF450" s="9"/>
      <c r="FG450" s="9"/>
      <c r="FH450" s="9"/>
      <c r="FI450" s="9"/>
      <c r="FJ450" s="9"/>
      <c r="FK450" s="9"/>
      <c r="FL450" s="9"/>
      <c r="FM450" s="9"/>
      <c r="FN450" s="9"/>
      <c r="FO450" s="9"/>
      <c r="FP450" s="9"/>
      <c r="FQ450" s="9"/>
      <c r="FR450" s="9"/>
      <c r="FS450" s="9"/>
      <c r="FT450" s="9"/>
      <c r="FU450" s="9"/>
      <c r="FV450" s="9"/>
      <c r="FW450" s="9" t="s">
        <v>1101</v>
      </c>
      <c r="FX450" s="9"/>
      <c r="FY450" s="9"/>
      <c r="FZ450" s="9"/>
      <c r="GA450" s="9"/>
      <c r="GB450" s="9"/>
      <c r="GC450" s="9"/>
      <c r="GD450" s="9"/>
      <c r="GE450" s="9"/>
      <c r="GF450" s="9"/>
      <c r="GG450" s="9"/>
      <c r="GH450" s="9"/>
      <c r="GI450" s="9"/>
      <c r="GJ450" s="9"/>
      <c r="GK450" s="9"/>
      <c r="GL450" s="9"/>
      <c r="GM450" s="9"/>
      <c r="GN450" s="9"/>
      <c r="GO450" s="9"/>
      <c r="GP450" s="9"/>
      <c r="GQ450" s="9"/>
      <c r="GR450" s="9"/>
      <c r="GS450" s="9"/>
      <c r="GT450" s="9"/>
      <c r="GU450" s="9"/>
      <c r="GV450" s="9"/>
      <c r="GW450" s="9"/>
      <c r="GX450" s="9"/>
      <c r="GY450" s="9"/>
      <c r="GZ450" s="9"/>
      <c r="HA450" s="9"/>
      <c r="HB450" s="9"/>
      <c r="HC450" s="9"/>
      <c r="HD450" s="9"/>
      <c r="HE450" s="9"/>
      <c r="HF450" s="9"/>
      <c r="HG450" s="9"/>
      <c r="HH450" s="9"/>
      <c r="HI450" s="9"/>
      <c r="HJ450" s="9"/>
      <c r="HK450" s="9"/>
      <c r="HL450" s="9"/>
      <c r="HM450" s="9"/>
      <c r="HN450" s="9"/>
      <c r="HO450" s="9"/>
      <c r="HP450" s="9"/>
      <c r="HQ450" s="9"/>
      <c r="HR450" s="9"/>
      <c r="HS450" s="9"/>
      <c r="HT450" s="9"/>
      <c r="HU450" s="9"/>
      <c r="HV450" s="9"/>
      <c r="HW450" s="9"/>
      <c r="HX450" s="9"/>
      <c r="HY450" s="9"/>
      <c r="HZ450" s="9"/>
      <c r="IA450" s="9"/>
      <c r="IB450" s="67"/>
      <c r="IC450" s="68"/>
      <c r="ID450" s="63"/>
      <c r="IE450" s="71"/>
    </row>
    <row r="451" spans="1:239" s="11" customFormat="1" x14ac:dyDescent="0.2">
      <c r="A451" s="9">
        <v>30</v>
      </c>
      <c r="B451" s="9"/>
      <c r="C451" s="9"/>
      <c r="D451" s="9" t="s">
        <v>338</v>
      </c>
      <c r="E451" s="65" t="s">
        <v>265</v>
      </c>
      <c r="F451" s="65"/>
      <c r="G451" s="92" t="s">
        <v>2432</v>
      </c>
      <c r="H451" s="66" t="s">
        <v>1337</v>
      </c>
      <c r="I451" s="9"/>
      <c r="J451" s="9" t="s">
        <v>1101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  <c r="EN451" s="9"/>
      <c r="EO451" s="9"/>
      <c r="EP451" s="9"/>
      <c r="EQ451" s="9"/>
      <c r="ER451" s="9"/>
      <c r="ES451" s="9"/>
      <c r="ET451" s="9"/>
      <c r="EU451" s="9"/>
      <c r="EV451" s="9"/>
      <c r="EW451" s="9"/>
      <c r="EX451" s="9"/>
      <c r="EY451" s="9"/>
      <c r="EZ451" s="9"/>
      <c r="FA451" s="9"/>
      <c r="FB451" s="9"/>
      <c r="FC451" s="9"/>
      <c r="FD451" s="9"/>
      <c r="FE451" s="9"/>
      <c r="FF451" s="9"/>
      <c r="FG451" s="9"/>
      <c r="FH451" s="9"/>
      <c r="FI451" s="9"/>
      <c r="FJ451" s="9"/>
      <c r="FK451" s="9"/>
      <c r="FL451" s="9"/>
      <c r="FM451" s="9"/>
      <c r="FN451" s="9"/>
      <c r="FO451" s="9"/>
      <c r="FP451" s="9"/>
      <c r="FQ451" s="9"/>
      <c r="FR451" s="9"/>
      <c r="FS451" s="9"/>
      <c r="FT451" s="9"/>
      <c r="FU451" s="9"/>
      <c r="FV451" s="9"/>
      <c r="FW451" s="9"/>
      <c r="FX451" s="9"/>
      <c r="FY451" s="9"/>
      <c r="FZ451" s="9"/>
      <c r="GA451" s="9" t="s">
        <v>1101</v>
      </c>
      <c r="GB451" s="9"/>
      <c r="GC451" s="9"/>
      <c r="GD451" s="9"/>
      <c r="GE451" s="9"/>
      <c r="GF451" s="9"/>
      <c r="GG451" s="9"/>
      <c r="GH451" s="9"/>
      <c r="GI451" s="9"/>
      <c r="GJ451" s="9"/>
      <c r="GK451" s="9"/>
      <c r="GL451" s="9"/>
      <c r="GM451" s="9"/>
      <c r="GN451" s="9"/>
      <c r="GO451" s="9"/>
      <c r="GP451" s="9"/>
      <c r="GQ451" s="9"/>
      <c r="GR451" s="9"/>
      <c r="GS451" s="9"/>
      <c r="GT451" s="9"/>
      <c r="GU451" s="9"/>
      <c r="GV451" s="9"/>
      <c r="GW451" s="9"/>
      <c r="GX451" s="9"/>
      <c r="GY451" s="9"/>
      <c r="GZ451" s="9"/>
      <c r="HA451" s="9"/>
      <c r="HB451" s="9"/>
      <c r="HC451" s="9"/>
      <c r="HD451" s="9"/>
      <c r="HE451" s="9"/>
      <c r="HF451" s="9"/>
      <c r="HG451" s="9"/>
      <c r="HH451" s="9"/>
      <c r="HI451" s="9"/>
      <c r="HJ451" s="9"/>
      <c r="HK451" s="9"/>
      <c r="HL451" s="9"/>
      <c r="HM451" s="9"/>
      <c r="HN451" s="9"/>
      <c r="HO451" s="9"/>
      <c r="HP451" s="9"/>
      <c r="HQ451" s="9"/>
      <c r="HR451" s="9"/>
      <c r="HS451" s="9"/>
      <c r="HT451" s="9"/>
      <c r="HU451" s="9"/>
      <c r="HV451" s="9"/>
      <c r="HW451" s="9"/>
      <c r="HX451" s="9"/>
      <c r="HY451" s="9"/>
      <c r="HZ451" s="9"/>
      <c r="IA451" s="9"/>
      <c r="IB451" s="67"/>
      <c r="IC451" s="68"/>
      <c r="ID451" s="63"/>
      <c r="IE451" s="71"/>
    </row>
    <row r="452" spans="1:239" s="11" customFormat="1" x14ac:dyDescent="0.2">
      <c r="A452" s="9">
        <v>30</v>
      </c>
      <c r="B452" s="9"/>
      <c r="C452" s="9"/>
      <c r="D452" s="9" t="s">
        <v>729</v>
      </c>
      <c r="E452" s="65" t="s">
        <v>730</v>
      </c>
      <c r="F452" s="65"/>
      <c r="G452" s="92" t="s">
        <v>2435</v>
      </c>
      <c r="H452" s="66" t="s">
        <v>1340</v>
      </c>
      <c r="I452" s="9"/>
      <c r="J452" s="9" t="s">
        <v>1101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  <c r="EN452" s="9"/>
      <c r="EO452" s="9"/>
      <c r="EP452" s="9"/>
      <c r="EQ452" s="9"/>
      <c r="ER452" s="9"/>
      <c r="ES452" s="9"/>
      <c r="ET452" s="9"/>
      <c r="EU452" s="9"/>
      <c r="EV452" s="9"/>
      <c r="EW452" s="9"/>
      <c r="EX452" s="9"/>
      <c r="EY452" s="9"/>
      <c r="EZ452" s="9"/>
      <c r="FA452" s="9"/>
      <c r="FB452" s="9"/>
      <c r="FC452" s="9"/>
      <c r="FD452" s="9"/>
      <c r="FE452" s="9"/>
      <c r="FF452" s="9"/>
      <c r="FG452" s="9"/>
      <c r="FH452" s="9"/>
      <c r="FI452" s="9"/>
      <c r="FJ452" s="9"/>
      <c r="FK452" s="9"/>
      <c r="FL452" s="9"/>
      <c r="FM452" s="9"/>
      <c r="FN452" s="9"/>
      <c r="FO452" s="9"/>
      <c r="FP452" s="9"/>
      <c r="FQ452" s="9"/>
      <c r="FR452" s="9"/>
      <c r="FS452" s="9"/>
      <c r="FT452" s="9"/>
      <c r="FU452" s="9"/>
      <c r="FV452" s="9"/>
      <c r="FW452" s="9"/>
      <c r="FX452" s="9"/>
      <c r="FY452" s="9"/>
      <c r="FZ452" s="9"/>
      <c r="GA452" s="9"/>
      <c r="GB452" s="9"/>
      <c r="GC452" s="9"/>
      <c r="GD452" s="9"/>
      <c r="GE452" s="9" t="s">
        <v>1101</v>
      </c>
      <c r="GF452" s="9"/>
      <c r="GG452" s="9"/>
      <c r="GH452" s="9"/>
      <c r="GI452" s="9"/>
      <c r="GJ452" s="9"/>
      <c r="GK452" s="9"/>
      <c r="GL452" s="9"/>
      <c r="GM452" s="9"/>
      <c r="GN452" s="9"/>
      <c r="GO452" s="9"/>
      <c r="GP452" s="9"/>
      <c r="GQ452" s="9"/>
      <c r="GR452" s="9"/>
      <c r="GS452" s="9"/>
      <c r="GT452" s="9"/>
      <c r="GU452" s="9"/>
      <c r="GV452" s="9"/>
      <c r="GW452" s="9"/>
      <c r="GX452" s="9"/>
      <c r="GY452" s="9"/>
      <c r="GZ452" s="9"/>
      <c r="HA452" s="9"/>
      <c r="HB452" s="9"/>
      <c r="HC452" s="9"/>
      <c r="HD452" s="9"/>
      <c r="HE452" s="9"/>
      <c r="HF452" s="9"/>
      <c r="HG452" s="9"/>
      <c r="HH452" s="9"/>
      <c r="HI452" s="9"/>
      <c r="HJ452" s="9"/>
      <c r="HK452" s="9"/>
      <c r="HL452" s="9"/>
      <c r="HM452" s="9"/>
      <c r="HN452" s="9"/>
      <c r="HO452" s="9"/>
      <c r="HP452" s="9"/>
      <c r="HQ452" s="9"/>
      <c r="HR452" s="9"/>
      <c r="HS452" s="9"/>
      <c r="HT452" s="9"/>
      <c r="HU452" s="9"/>
      <c r="HV452" s="9"/>
      <c r="HW452" s="9"/>
      <c r="HX452" s="9"/>
      <c r="HY452" s="9"/>
      <c r="HZ452" s="9"/>
      <c r="IA452" s="9"/>
      <c r="IB452" s="67"/>
      <c r="IC452" s="68"/>
      <c r="ID452" s="63"/>
      <c r="IE452" s="71"/>
    </row>
    <row r="453" spans="1:239" s="11" customFormat="1" x14ac:dyDescent="0.2">
      <c r="A453" s="9">
        <v>30</v>
      </c>
      <c r="B453" s="9"/>
      <c r="C453" s="9"/>
      <c r="D453" s="9" t="s">
        <v>750</v>
      </c>
      <c r="E453" s="65" t="s">
        <v>754</v>
      </c>
      <c r="F453" s="65"/>
      <c r="G453" s="92" t="s">
        <v>2438</v>
      </c>
      <c r="H453" s="66" t="s">
        <v>1343</v>
      </c>
      <c r="I453" s="9"/>
      <c r="J453" s="9" t="s">
        <v>1101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  <c r="EN453" s="9"/>
      <c r="EO453" s="9"/>
      <c r="EP453" s="9"/>
      <c r="EQ453" s="9"/>
      <c r="ER453" s="9"/>
      <c r="ES453" s="9"/>
      <c r="ET453" s="9"/>
      <c r="EU453" s="9"/>
      <c r="EV453" s="9"/>
      <c r="EW453" s="9"/>
      <c r="EX453" s="9"/>
      <c r="EY453" s="9"/>
      <c r="EZ453" s="9"/>
      <c r="FA453" s="9"/>
      <c r="FB453" s="9"/>
      <c r="FC453" s="9"/>
      <c r="FD453" s="9"/>
      <c r="FE453" s="9"/>
      <c r="FF453" s="9"/>
      <c r="FG453" s="9"/>
      <c r="FH453" s="9"/>
      <c r="FI453" s="9"/>
      <c r="FJ453" s="9"/>
      <c r="FK453" s="9"/>
      <c r="FL453" s="9"/>
      <c r="FM453" s="9"/>
      <c r="FN453" s="9"/>
      <c r="FO453" s="9"/>
      <c r="FP453" s="9"/>
      <c r="FQ453" s="9"/>
      <c r="FR453" s="9"/>
      <c r="FS453" s="9"/>
      <c r="FT453" s="9"/>
      <c r="FU453" s="9"/>
      <c r="FV453" s="9"/>
      <c r="FW453" s="9"/>
      <c r="FX453" s="9"/>
      <c r="FY453" s="9"/>
      <c r="FZ453" s="9"/>
      <c r="GA453" s="9"/>
      <c r="GB453" s="9"/>
      <c r="GC453" s="9"/>
      <c r="GD453" s="9"/>
      <c r="GE453" s="9"/>
      <c r="GF453" s="9"/>
      <c r="GG453" s="9"/>
      <c r="GH453" s="9"/>
      <c r="GI453" s="9" t="s">
        <v>1101</v>
      </c>
      <c r="GJ453" s="9"/>
      <c r="GK453" s="9"/>
      <c r="GL453" s="9"/>
      <c r="GM453" s="9"/>
      <c r="GN453" s="9"/>
      <c r="GO453" s="9"/>
      <c r="GP453" s="9"/>
      <c r="GQ453" s="9"/>
      <c r="GR453" s="9"/>
      <c r="GS453" s="9"/>
      <c r="GT453" s="9"/>
      <c r="GU453" s="9"/>
      <c r="GV453" s="9"/>
      <c r="GW453" s="9"/>
      <c r="GX453" s="9"/>
      <c r="GY453" s="9"/>
      <c r="GZ453" s="9"/>
      <c r="HA453" s="9"/>
      <c r="HB453" s="9"/>
      <c r="HC453" s="9"/>
      <c r="HD453" s="9"/>
      <c r="HE453" s="9"/>
      <c r="HF453" s="9"/>
      <c r="HG453" s="9"/>
      <c r="HH453" s="9"/>
      <c r="HI453" s="9"/>
      <c r="HJ453" s="9"/>
      <c r="HK453" s="9"/>
      <c r="HL453" s="9"/>
      <c r="HM453" s="9"/>
      <c r="HN453" s="9"/>
      <c r="HO453" s="9"/>
      <c r="HP453" s="9"/>
      <c r="HQ453" s="9"/>
      <c r="HR453" s="9"/>
      <c r="HS453" s="9"/>
      <c r="HT453" s="9"/>
      <c r="HU453" s="9"/>
      <c r="HV453" s="9"/>
      <c r="HW453" s="9"/>
      <c r="HX453" s="9"/>
      <c r="HY453" s="9"/>
      <c r="HZ453" s="9"/>
      <c r="IA453" s="9"/>
      <c r="IB453" s="67"/>
      <c r="IC453" s="68"/>
      <c r="ID453" s="63"/>
      <c r="IE453" s="71"/>
    </row>
    <row r="454" spans="1:239" s="11" customFormat="1" x14ac:dyDescent="0.2">
      <c r="A454" s="9">
        <v>30</v>
      </c>
      <c r="B454" s="9"/>
      <c r="C454" s="9"/>
      <c r="D454" s="9" t="s">
        <v>826</v>
      </c>
      <c r="E454" s="65" t="s">
        <v>828</v>
      </c>
      <c r="F454" s="65"/>
      <c r="G454" s="92" t="s">
        <v>2441</v>
      </c>
      <c r="H454" s="66" t="s">
        <v>1346</v>
      </c>
      <c r="I454" s="9"/>
      <c r="J454" s="9" t="s">
        <v>1101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  <c r="EN454" s="9"/>
      <c r="EO454" s="9"/>
      <c r="EP454" s="9"/>
      <c r="EQ454" s="9"/>
      <c r="ER454" s="9"/>
      <c r="ES454" s="9"/>
      <c r="ET454" s="9"/>
      <c r="EU454" s="9"/>
      <c r="EV454" s="9"/>
      <c r="EW454" s="9"/>
      <c r="EX454" s="9"/>
      <c r="EY454" s="9"/>
      <c r="EZ454" s="9"/>
      <c r="FA454" s="9"/>
      <c r="FB454" s="9"/>
      <c r="FC454" s="9"/>
      <c r="FD454" s="9"/>
      <c r="FE454" s="9"/>
      <c r="FF454" s="9"/>
      <c r="FG454" s="9"/>
      <c r="FH454" s="9"/>
      <c r="FI454" s="9"/>
      <c r="FJ454" s="9"/>
      <c r="FK454" s="9"/>
      <c r="FL454" s="9"/>
      <c r="FM454" s="9"/>
      <c r="FN454" s="9"/>
      <c r="FO454" s="9"/>
      <c r="FP454" s="9"/>
      <c r="FQ454" s="9"/>
      <c r="FR454" s="9"/>
      <c r="FS454" s="9"/>
      <c r="FT454" s="9"/>
      <c r="FU454" s="9"/>
      <c r="FV454" s="9"/>
      <c r="FW454" s="9"/>
      <c r="FX454" s="9"/>
      <c r="FY454" s="9"/>
      <c r="FZ454" s="9"/>
      <c r="GA454" s="9"/>
      <c r="GB454" s="9"/>
      <c r="GC454" s="9"/>
      <c r="GD454" s="9"/>
      <c r="GE454" s="9"/>
      <c r="GF454" s="9"/>
      <c r="GG454" s="9"/>
      <c r="GH454" s="9"/>
      <c r="GI454" s="9"/>
      <c r="GJ454" s="9"/>
      <c r="GK454" s="9"/>
      <c r="GL454" s="9"/>
      <c r="GM454" s="9" t="s">
        <v>1101</v>
      </c>
      <c r="GN454" s="9"/>
      <c r="GO454" s="9"/>
      <c r="GP454" s="9"/>
      <c r="GQ454" s="9"/>
      <c r="GR454" s="9"/>
      <c r="GS454" s="9"/>
      <c r="GT454" s="9"/>
      <c r="GU454" s="9"/>
      <c r="GV454" s="9"/>
      <c r="GW454" s="9"/>
      <c r="GX454" s="9"/>
      <c r="GY454" s="9"/>
      <c r="GZ454" s="9"/>
      <c r="HA454" s="9"/>
      <c r="HB454" s="9"/>
      <c r="HC454" s="9"/>
      <c r="HD454" s="9"/>
      <c r="HE454" s="9"/>
      <c r="HF454" s="9"/>
      <c r="HG454" s="9"/>
      <c r="HH454" s="9"/>
      <c r="HI454" s="9"/>
      <c r="HJ454" s="9"/>
      <c r="HK454" s="9"/>
      <c r="HL454" s="9"/>
      <c r="HM454" s="9"/>
      <c r="HN454" s="9"/>
      <c r="HO454" s="9"/>
      <c r="HP454" s="9"/>
      <c r="HQ454" s="9"/>
      <c r="HR454" s="9"/>
      <c r="HS454" s="9"/>
      <c r="HT454" s="9"/>
      <c r="HU454" s="9"/>
      <c r="HV454" s="9"/>
      <c r="HW454" s="9"/>
      <c r="HX454" s="9"/>
      <c r="HY454" s="9"/>
      <c r="HZ454" s="9"/>
      <c r="IA454" s="9"/>
      <c r="IB454" s="67"/>
      <c r="IC454" s="68"/>
      <c r="ID454" s="63"/>
      <c r="IE454" s="71"/>
    </row>
    <row r="455" spans="1:239" s="11" customFormat="1" x14ac:dyDescent="0.2">
      <c r="A455" s="9">
        <v>30</v>
      </c>
      <c r="B455" s="9"/>
      <c r="C455" s="9"/>
      <c r="D455" s="9" t="s">
        <v>773</v>
      </c>
      <c r="E455" s="65" t="s">
        <v>789</v>
      </c>
      <c r="F455" s="65"/>
      <c r="G455" s="92" t="s">
        <v>2444</v>
      </c>
      <c r="H455" s="66" t="s">
        <v>1349</v>
      </c>
      <c r="I455" s="9"/>
      <c r="J455" s="9" t="s">
        <v>1101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  <c r="EN455" s="9"/>
      <c r="EO455" s="9"/>
      <c r="EP455" s="9"/>
      <c r="EQ455" s="9"/>
      <c r="ER455" s="9"/>
      <c r="ES455" s="9"/>
      <c r="ET455" s="9"/>
      <c r="EU455" s="9"/>
      <c r="EV455" s="9"/>
      <c r="EW455" s="9"/>
      <c r="EX455" s="9"/>
      <c r="EY455" s="9"/>
      <c r="EZ455" s="9"/>
      <c r="FA455" s="9"/>
      <c r="FB455" s="9"/>
      <c r="FC455" s="9"/>
      <c r="FD455" s="9"/>
      <c r="FE455" s="9"/>
      <c r="FF455" s="9"/>
      <c r="FG455" s="9"/>
      <c r="FH455" s="9"/>
      <c r="FI455" s="9"/>
      <c r="FJ455" s="9"/>
      <c r="FK455" s="9"/>
      <c r="FL455" s="9"/>
      <c r="FM455" s="9"/>
      <c r="FN455" s="9"/>
      <c r="FO455" s="9"/>
      <c r="FP455" s="9"/>
      <c r="FQ455" s="9"/>
      <c r="FR455" s="9"/>
      <c r="FS455" s="9"/>
      <c r="FT455" s="9"/>
      <c r="FU455" s="9"/>
      <c r="FV455" s="9"/>
      <c r="FW455" s="9"/>
      <c r="FX455" s="9"/>
      <c r="FY455" s="9"/>
      <c r="FZ455" s="9"/>
      <c r="GA455" s="9"/>
      <c r="GB455" s="9"/>
      <c r="GC455" s="9"/>
      <c r="GD455" s="9"/>
      <c r="GE455" s="9"/>
      <c r="GF455" s="9"/>
      <c r="GG455" s="9"/>
      <c r="GH455" s="9"/>
      <c r="GI455" s="9"/>
      <c r="GJ455" s="9"/>
      <c r="GK455" s="9"/>
      <c r="GL455" s="9"/>
      <c r="GM455" s="9"/>
      <c r="GN455" s="9"/>
      <c r="GO455" s="9"/>
      <c r="GP455" s="9"/>
      <c r="GQ455" s="9" t="s">
        <v>1101</v>
      </c>
      <c r="GR455" s="9"/>
      <c r="GS455" s="9"/>
      <c r="GT455" s="9"/>
      <c r="GU455" s="9"/>
      <c r="GV455" s="9"/>
      <c r="GW455" s="9"/>
      <c r="GX455" s="9"/>
      <c r="GY455" s="9"/>
      <c r="GZ455" s="9"/>
      <c r="HA455" s="9"/>
      <c r="HB455" s="9"/>
      <c r="HC455" s="9"/>
      <c r="HD455" s="9"/>
      <c r="HE455" s="9"/>
      <c r="HF455" s="9"/>
      <c r="HG455" s="9"/>
      <c r="HH455" s="9"/>
      <c r="HI455" s="9"/>
      <c r="HJ455" s="9"/>
      <c r="HK455" s="9"/>
      <c r="HL455" s="9"/>
      <c r="HM455" s="9"/>
      <c r="HN455" s="9"/>
      <c r="HO455" s="9"/>
      <c r="HP455" s="9"/>
      <c r="HQ455" s="9"/>
      <c r="HR455" s="9"/>
      <c r="HS455" s="9"/>
      <c r="HT455" s="9"/>
      <c r="HU455" s="9"/>
      <c r="HV455" s="9"/>
      <c r="HW455" s="9"/>
      <c r="HX455" s="9"/>
      <c r="HY455" s="9"/>
      <c r="HZ455" s="9"/>
      <c r="IA455" s="9"/>
      <c r="IB455" s="67"/>
      <c r="IC455" s="68"/>
      <c r="ID455" s="63"/>
      <c r="IE455" s="71"/>
    </row>
    <row r="456" spans="1:239" s="11" customFormat="1" x14ac:dyDescent="0.2">
      <c r="A456" s="9">
        <v>30</v>
      </c>
      <c r="B456" s="9"/>
      <c r="C456" s="9"/>
      <c r="D456" s="9" t="s">
        <v>862</v>
      </c>
      <c r="E456" s="65" t="s">
        <v>790</v>
      </c>
      <c r="F456" s="65"/>
      <c r="G456" s="92" t="s">
        <v>2446</v>
      </c>
      <c r="H456" s="66" t="s">
        <v>1351</v>
      </c>
      <c r="I456" s="9"/>
      <c r="J456" s="9" t="s">
        <v>1101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  <c r="EN456" s="9"/>
      <c r="EO456" s="9"/>
      <c r="EP456" s="9"/>
      <c r="EQ456" s="9"/>
      <c r="ER456" s="9"/>
      <c r="ES456" s="9"/>
      <c r="ET456" s="9"/>
      <c r="EU456" s="9"/>
      <c r="EV456" s="9"/>
      <c r="EW456" s="9"/>
      <c r="EX456" s="9"/>
      <c r="EY456" s="9"/>
      <c r="EZ456" s="9"/>
      <c r="FA456" s="9"/>
      <c r="FB456" s="9"/>
      <c r="FC456" s="9"/>
      <c r="FD456" s="9"/>
      <c r="FE456" s="9"/>
      <c r="FF456" s="9"/>
      <c r="FG456" s="9"/>
      <c r="FH456" s="9"/>
      <c r="FI456" s="9"/>
      <c r="FJ456" s="9"/>
      <c r="FK456" s="9"/>
      <c r="FL456" s="9"/>
      <c r="FM456" s="9"/>
      <c r="FN456" s="9"/>
      <c r="FO456" s="9"/>
      <c r="FP456" s="9"/>
      <c r="FQ456" s="9"/>
      <c r="FR456" s="9"/>
      <c r="FS456" s="9"/>
      <c r="FT456" s="9"/>
      <c r="FU456" s="9"/>
      <c r="FV456" s="9"/>
      <c r="FW456" s="9"/>
      <c r="FX456" s="9"/>
      <c r="FY456" s="9"/>
      <c r="FZ456" s="9"/>
      <c r="GA456" s="9"/>
      <c r="GB456" s="9"/>
      <c r="GC456" s="9"/>
      <c r="GD456" s="9"/>
      <c r="GE456" s="9"/>
      <c r="GF456" s="9"/>
      <c r="GG456" s="9"/>
      <c r="GH456" s="9"/>
      <c r="GI456" s="9"/>
      <c r="GJ456" s="9"/>
      <c r="GK456" s="9"/>
      <c r="GL456" s="9"/>
      <c r="GM456" s="9"/>
      <c r="GN456" s="9"/>
      <c r="GO456" s="9"/>
      <c r="GP456" s="9"/>
      <c r="GQ456" s="9" t="s">
        <v>1101</v>
      </c>
      <c r="GR456" s="9"/>
      <c r="GS456" s="9"/>
      <c r="GT456" s="9"/>
      <c r="GU456" s="9"/>
      <c r="GV456" s="9"/>
      <c r="GW456" s="9"/>
      <c r="GX456" s="9"/>
      <c r="GY456" s="9"/>
      <c r="GZ456" s="9"/>
      <c r="HA456" s="9"/>
      <c r="HB456" s="9"/>
      <c r="HC456" s="9"/>
      <c r="HD456" s="9"/>
      <c r="HE456" s="9"/>
      <c r="HF456" s="9"/>
      <c r="HG456" s="9"/>
      <c r="HH456" s="9"/>
      <c r="HI456" s="9"/>
      <c r="HJ456" s="9"/>
      <c r="HK456" s="9"/>
      <c r="HL456" s="9"/>
      <c r="HM456" s="9"/>
      <c r="HN456" s="9"/>
      <c r="HO456" s="9"/>
      <c r="HP456" s="9"/>
      <c r="HQ456" s="9"/>
      <c r="HR456" s="9"/>
      <c r="HS456" s="9"/>
      <c r="HT456" s="9"/>
      <c r="HU456" s="9"/>
      <c r="HV456" s="9"/>
      <c r="HW456" s="9"/>
      <c r="HX456" s="9"/>
      <c r="HY456" s="9"/>
      <c r="HZ456" s="9"/>
      <c r="IA456" s="9"/>
      <c r="IB456" s="67"/>
      <c r="IC456" s="68"/>
      <c r="ID456" s="63"/>
      <c r="IE456" s="71"/>
    </row>
    <row r="457" spans="1:239" s="11" customFormat="1" x14ac:dyDescent="0.2">
      <c r="A457" s="9">
        <v>30</v>
      </c>
      <c r="B457" s="9"/>
      <c r="C457" s="9"/>
      <c r="D457" s="9" t="s">
        <v>780</v>
      </c>
      <c r="E457" s="65" t="s">
        <v>793</v>
      </c>
      <c r="F457" s="65"/>
      <c r="G457" s="92" t="s">
        <v>2448</v>
      </c>
      <c r="H457" s="66" t="s">
        <v>1353</v>
      </c>
      <c r="I457" s="9"/>
      <c r="J457" s="9" t="s">
        <v>1101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  <c r="EN457" s="9"/>
      <c r="EO457" s="9"/>
      <c r="EP457" s="9"/>
      <c r="EQ457" s="9"/>
      <c r="ER457" s="9"/>
      <c r="ES457" s="9"/>
      <c r="ET457" s="9"/>
      <c r="EU457" s="9"/>
      <c r="EV457" s="9"/>
      <c r="EW457" s="9"/>
      <c r="EX457" s="9"/>
      <c r="EY457" s="9"/>
      <c r="EZ457" s="9"/>
      <c r="FA457" s="9"/>
      <c r="FB457" s="9"/>
      <c r="FC457" s="9"/>
      <c r="FD457" s="9"/>
      <c r="FE457" s="9"/>
      <c r="FF457" s="9"/>
      <c r="FG457" s="9"/>
      <c r="FH457" s="9"/>
      <c r="FI457" s="9"/>
      <c r="FJ457" s="9"/>
      <c r="FK457" s="9"/>
      <c r="FL457" s="9"/>
      <c r="FM457" s="9"/>
      <c r="FN457" s="9"/>
      <c r="FO457" s="9"/>
      <c r="FP457" s="9"/>
      <c r="FQ457" s="9"/>
      <c r="FR457" s="9"/>
      <c r="FS457" s="9"/>
      <c r="FT457" s="9"/>
      <c r="FU457" s="9"/>
      <c r="FV457" s="9"/>
      <c r="FW457" s="9"/>
      <c r="FX457" s="9"/>
      <c r="FY457" s="9"/>
      <c r="FZ457" s="9"/>
      <c r="GA457" s="9"/>
      <c r="GB457" s="9"/>
      <c r="GC457" s="9"/>
      <c r="GD457" s="9"/>
      <c r="GE457" s="9"/>
      <c r="GF457" s="9"/>
      <c r="GG457" s="9"/>
      <c r="GH457" s="9"/>
      <c r="GI457" s="9"/>
      <c r="GJ457" s="9"/>
      <c r="GK457" s="9"/>
      <c r="GL457" s="9"/>
      <c r="GM457" s="9"/>
      <c r="GN457" s="9"/>
      <c r="GO457" s="9"/>
      <c r="GP457" s="9"/>
      <c r="GQ457" s="9"/>
      <c r="GR457" s="9"/>
      <c r="GS457" s="9"/>
      <c r="GT457" s="9"/>
      <c r="GU457" s="9" t="s">
        <v>1101</v>
      </c>
      <c r="GV457" s="9"/>
      <c r="GW457" s="9"/>
      <c r="GX457" s="9"/>
      <c r="GY457" s="9"/>
      <c r="GZ457" s="9"/>
      <c r="HA457" s="9"/>
      <c r="HB457" s="9"/>
      <c r="HC457" s="9"/>
      <c r="HD457" s="9"/>
      <c r="HE457" s="9"/>
      <c r="HF457" s="9"/>
      <c r="HG457" s="9"/>
      <c r="HH457" s="9"/>
      <c r="HI457" s="9"/>
      <c r="HJ457" s="9"/>
      <c r="HK457" s="9"/>
      <c r="HL457" s="9"/>
      <c r="HM457" s="9"/>
      <c r="HN457" s="9"/>
      <c r="HO457" s="9"/>
      <c r="HP457" s="9"/>
      <c r="HQ457" s="9"/>
      <c r="HR457" s="9"/>
      <c r="HS457" s="9"/>
      <c r="HT457" s="9"/>
      <c r="HU457" s="9"/>
      <c r="HV457" s="9"/>
      <c r="HW457" s="9"/>
      <c r="HX457" s="9"/>
      <c r="HY457" s="9"/>
      <c r="HZ457" s="9"/>
      <c r="IA457" s="9"/>
      <c r="IB457" s="67"/>
      <c r="IC457" s="68"/>
      <c r="ID457" s="63"/>
      <c r="IE457" s="71"/>
    </row>
    <row r="458" spans="1:239" s="11" customFormat="1" x14ac:dyDescent="0.2">
      <c r="A458" s="9">
        <v>30</v>
      </c>
      <c r="B458" s="9"/>
      <c r="C458" s="9"/>
      <c r="D458" s="9" t="s">
        <v>799</v>
      </c>
      <c r="E458" s="65" t="s">
        <v>800</v>
      </c>
      <c r="F458" s="65"/>
      <c r="G458" s="92" t="s">
        <v>2452</v>
      </c>
      <c r="H458" s="66" t="s">
        <v>1357</v>
      </c>
      <c r="I458" s="9"/>
      <c r="J458" s="9" t="s">
        <v>1101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  <c r="EN458" s="9"/>
      <c r="EO458" s="9"/>
      <c r="EP458" s="9"/>
      <c r="EQ458" s="9"/>
      <c r="ER458" s="9"/>
      <c r="ES458" s="9"/>
      <c r="ET458" s="9"/>
      <c r="EU458" s="9"/>
      <c r="EV458" s="9"/>
      <c r="EW458" s="9"/>
      <c r="EX458" s="9"/>
      <c r="EY458" s="9"/>
      <c r="EZ458" s="9"/>
      <c r="FA458" s="9"/>
      <c r="FB458" s="9"/>
      <c r="FC458" s="9"/>
      <c r="FD458" s="9"/>
      <c r="FE458" s="9"/>
      <c r="FF458" s="9"/>
      <c r="FG458" s="9"/>
      <c r="FH458" s="9"/>
      <c r="FI458" s="9"/>
      <c r="FJ458" s="9"/>
      <c r="FK458" s="9"/>
      <c r="FL458" s="9"/>
      <c r="FM458" s="9"/>
      <c r="FN458" s="9"/>
      <c r="FO458" s="9"/>
      <c r="FP458" s="9"/>
      <c r="FQ458" s="9"/>
      <c r="FR458" s="9"/>
      <c r="FS458" s="9"/>
      <c r="FT458" s="9"/>
      <c r="FU458" s="9"/>
      <c r="FV458" s="9"/>
      <c r="FW458" s="9"/>
      <c r="FX458" s="9"/>
      <c r="FY458" s="9"/>
      <c r="FZ458" s="9"/>
      <c r="GA458" s="9"/>
      <c r="GB458" s="9"/>
      <c r="GC458" s="9"/>
      <c r="GD458" s="9"/>
      <c r="GE458" s="9"/>
      <c r="GF458" s="9"/>
      <c r="GG458" s="9"/>
      <c r="GH458" s="9"/>
      <c r="GI458" s="9"/>
      <c r="GJ458" s="9"/>
      <c r="GK458" s="9"/>
      <c r="GL458" s="9"/>
      <c r="GM458" s="9"/>
      <c r="GN458" s="9"/>
      <c r="GO458" s="9"/>
      <c r="GP458" s="9"/>
      <c r="GQ458" s="9"/>
      <c r="GR458" s="9"/>
      <c r="GS458" s="9"/>
      <c r="GT458" s="9"/>
      <c r="GU458" s="9"/>
      <c r="GV458" s="9"/>
      <c r="GW458" s="9"/>
      <c r="GX458" s="9"/>
      <c r="GY458" s="9" t="s">
        <v>1101</v>
      </c>
      <c r="GZ458" s="9"/>
      <c r="HA458" s="9"/>
      <c r="HB458" s="9"/>
      <c r="HC458" s="9"/>
      <c r="HD458" s="9"/>
      <c r="HE458" s="9"/>
      <c r="HF458" s="9"/>
      <c r="HG458" s="9"/>
      <c r="HH458" s="9"/>
      <c r="HI458" s="9"/>
      <c r="HJ458" s="9"/>
      <c r="HK458" s="9"/>
      <c r="HL458" s="9"/>
      <c r="HM458" s="9"/>
      <c r="HN458" s="9"/>
      <c r="HO458" s="9"/>
      <c r="HP458" s="9"/>
      <c r="HQ458" s="9"/>
      <c r="HR458" s="9"/>
      <c r="HS458" s="9"/>
      <c r="HT458" s="9"/>
      <c r="HU458" s="9"/>
      <c r="HV458" s="9"/>
      <c r="HW458" s="9"/>
      <c r="HX458" s="9"/>
      <c r="HY458" s="9"/>
      <c r="HZ458" s="9"/>
      <c r="IA458" s="9"/>
      <c r="IB458" s="67"/>
      <c r="IC458" s="68"/>
      <c r="ID458" s="63"/>
      <c r="IE458" s="71"/>
    </row>
    <row r="459" spans="1:239" s="11" customFormat="1" x14ac:dyDescent="0.2">
      <c r="A459" s="9">
        <v>30</v>
      </c>
      <c r="B459" s="9"/>
      <c r="C459" s="9"/>
      <c r="D459" s="9" t="s">
        <v>787</v>
      </c>
      <c r="E459" s="65" t="s">
        <v>798</v>
      </c>
      <c r="F459" s="65"/>
      <c r="G459" s="92" t="s">
        <v>2455</v>
      </c>
      <c r="H459" s="66" t="s">
        <v>1360</v>
      </c>
      <c r="I459" s="9"/>
      <c r="J459" s="9" t="s">
        <v>1101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  <c r="EN459" s="9"/>
      <c r="EO459" s="9"/>
      <c r="EP459" s="9"/>
      <c r="EQ459" s="9"/>
      <c r="ER459" s="9"/>
      <c r="ES459" s="9"/>
      <c r="ET459" s="9"/>
      <c r="EU459" s="9"/>
      <c r="EV459" s="9"/>
      <c r="EW459" s="9"/>
      <c r="EX459" s="9"/>
      <c r="EY459" s="9"/>
      <c r="EZ459" s="9"/>
      <c r="FA459" s="9"/>
      <c r="FB459" s="9"/>
      <c r="FC459" s="9"/>
      <c r="FD459" s="9"/>
      <c r="FE459" s="9"/>
      <c r="FF459" s="9"/>
      <c r="FG459" s="9"/>
      <c r="FH459" s="9"/>
      <c r="FI459" s="9"/>
      <c r="FJ459" s="9"/>
      <c r="FK459" s="9"/>
      <c r="FL459" s="9"/>
      <c r="FM459" s="9"/>
      <c r="FN459" s="9"/>
      <c r="FO459" s="9"/>
      <c r="FP459" s="9"/>
      <c r="FQ459" s="9"/>
      <c r="FR459" s="9"/>
      <c r="FS459" s="9"/>
      <c r="FT459" s="9"/>
      <c r="FU459" s="9"/>
      <c r="FV459" s="9"/>
      <c r="FW459" s="9"/>
      <c r="FX459" s="9"/>
      <c r="FY459" s="9"/>
      <c r="FZ459" s="9"/>
      <c r="GA459" s="9"/>
      <c r="GB459" s="9"/>
      <c r="GC459" s="9"/>
      <c r="GD459" s="9"/>
      <c r="GE459" s="9"/>
      <c r="GF459" s="9"/>
      <c r="GG459" s="9"/>
      <c r="GH459" s="9"/>
      <c r="GI459" s="9"/>
      <c r="GJ459" s="9"/>
      <c r="GK459" s="9"/>
      <c r="GL459" s="9"/>
      <c r="GM459" s="9"/>
      <c r="GN459" s="9"/>
      <c r="GO459" s="9"/>
      <c r="GP459" s="9"/>
      <c r="GQ459" s="9"/>
      <c r="GR459" s="9"/>
      <c r="GS459" s="9"/>
      <c r="GT459" s="9"/>
      <c r="GU459" s="9"/>
      <c r="GV459" s="9"/>
      <c r="GW459" s="9"/>
      <c r="GX459" s="9"/>
      <c r="GY459" s="9"/>
      <c r="GZ459" s="9"/>
      <c r="HA459" s="9"/>
      <c r="HB459" s="9"/>
      <c r="HC459" s="9" t="s">
        <v>1101</v>
      </c>
      <c r="HD459" s="9"/>
      <c r="HE459" s="9"/>
      <c r="HF459" s="9"/>
      <c r="HG459" s="9"/>
      <c r="HH459" s="9"/>
      <c r="HI459" s="9"/>
      <c r="HJ459" s="9"/>
      <c r="HK459" s="9"/>
      <c r="HL459" s="9"/>
      <c r="HM459" s="9"/>
      <c r="HN459" s="9"/>
      <c r="HO459" s="9"/>
      <c r="HP459" s="9"/>
      <c r="HQ459" s="9"/>
      <c r="HR459" s="9"/>
      <c r="HS459" s="9"/>
      <c r="HT459" s="9"/>
      <c r="HU459" s="9"/>
      <c r="HV459" s="9"/>
      <c r="HW459" s="9"/>
      <c r="HX459" s="9"/>
      <c r="HY459" s="9"/>
      <c r="HZ459" s="9"/>
      <c r="IA459" s="9"/>
      <c r="IB459" s="67"/>
      <c r="IC459" s="68"/>
      <c r="ID459" s="63"/>
      <c r="IE459" s="71"/>
    </row>
    <row r="460" spans="1:239" s="11" customFormat="1" x14ac:dyDescent="0.2">
      <c r="A460" s="9">
        <v>30</v>
      </c>
      <c r="B460" s="9"/>
      <c r="C460" s="9"/>
      <c r="D460" s="9" t="s">
        <v>941</v>
      </c>
      <c r="E460" s="65" t="s">
        <v>942</v>
      </c>
      <c r="F460" s="65"/>
      <c r="G460" s="92" t="s">
        <v>2458</v>
      </c>
      <c r="H460" s="66" t="s">
        <v>1363</v>
      </c>
      <c r="I460" s="9"/>
      <c r="J460" s="9" t="s">
        <v>1101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  <c r="EN460" s="9"/>
      <c r="EO460" s="9"/>
      <c r="EP460" s="9"/>
      <c r="EQ460" s="9"/>
      <c r="ER460" s="9"/>
      <c r="ES460" s="9"/>
      <c r="ET460" s="9"/>
      <c r="EU460" s="9"/>
      <c r="EV460" s="9"/>
      <c r="EW460" s="9"/>
      <c r="EX460" s="9"/>
      <c r="EY460" s="9"/>
      <c r="EZ460" s="9"/>
      <c r="FA460" s="9"/>
      <c r="FB460" s="9"/>
      <c r="FC460" s="9"/>
      <c r="FD460" s="9"/>
      <c r="FE460" s="9"/>
      <c r="FF460" s="9"/>
      <c r="FG460" s="9"/>
      <c r="FH460" s="9"/>
      <c r="FI460" s="9"/>
      <c r="FJ460" s="9"/>
      <c r="FK460" s="9"/>
      <c r="FL460" s="9"/>
      <c r="FM460" s="9"/>
      <c r="FN460" s="9"/>
      <c r="FO460" s="9"/>
      <c r="FP460" s="9"/>
      <c r="FQ460" s="9"/>
      <c r="FR460" s="9"/>
      <c r="FS460" s="9"/>
      <c r="FT460" s="9"/>
      <c r="FU460" s="9"/>
      <c r="FV460" s="9"/>
      <c r="FW460" s="9"/>
      <c r="FX460" s="9"/>
      <c r="FY460" s="9"/>
      <c r="FZ460" s="9"/>
      <c r="GA460" s="9"/>
      <c r="GB460" s="9"/>
      <c r="GC460" s="9"/>
      <c r="GD460" s="9"/>
      <c r="GE460" s="9"/>
      <c r="GF460" s="9"/>
      <c r="GG460" s="9"/>
      <c r="GH460" s="9"/>
      <c r="GI460" s="9"/>
      <c r="GJ460" s="9"/>
      <c r="GK460" s="9"/>
      <c r="GL460" s="9"/>
      <c r="GM460" s="9"/>
      <c r="GN460" s="9"/>
      <c r="GO460" s="9"/>
      <c r="GP460" s="9"/>
      <c r="GQ460" s="9"/>
      <c r="GR460" s="9"/>
      <c r="GS460" s="9"/>
      <c r="GT460" s="9"/>
      <c r="GU460" s="9"/>
      <c r="GV460" s="9"/>
      <c r="GW460" s="9"/>
      <c r="GX460" s="9"/>
      <c r="GY460" s="9"/>
      <c r="GZ460" s="9"/>
      <c r="HA460" s="9"/>
      <c r="HB460" s="9"/>
      <c r="HC460" s="9"/>
      <c r="HD460" s="9"/>
      <c r="HE460" s="9"/>
      <c r="HF460" s="9"/>
      <c r="HG460" s="9" t="s">
        <v>1101</v>
      </c>
      <c r="HH460" s="9"/>
      <c r="HI460" s="9"/>
      <c r="HJ460" s="9"/>
      <c r="HK460" s="9"/>
      <c r="HL460" s="9"/>
      <c r="HM460" s="9"/>
      <c r="HN460" s="9"/>
      <c r="HO460" s="9"/>
      <c r="HP460" s="9"/>
      <c r="HQ460" s="9"/>
      <c r="HR460" s="9"/>
      <c r="HS460" s="9"/>
      <c r="HT460" s="9"/>
      <c r="HU460" s="9"/>
      <c r="HV460" s="9"/>
      <c r="HW460" s="9"/>
      <c r="HX460" s="9"/>
      <c r="HY460" s="9"/>
      <c r="HZ460" s="9"/>
      <c r="IA460" s="9"/>
      <c r="IB460" s="67"/>
      <c r="IC460" s="68"/>
      <c r="ID460" s="63"/>
      <c r="IE460" s="71"/>
    </row>
    <row r="461" spans="1:239" s="11" customFormat="1" ht="26" x14ac:dyDescent="0.2">
      <c r="A461" s="9">
        <v>30</v>
      </c>
      <c r="B461" s="9"/>
      <c r="C461" s="9"/>
      <c r="D461" s="9" t="s">
        <v>998</v>
      </c>
      <c r="E461" s="65" t="s">
        <v>999</v>
      </c>
      <c r="F461" s="65"/>
      <c r="G461" s="92" t="s">
        <v>2461</v>
      </c>
      <c r="H461" s="66" t="s">
        <v>1402</v>
      </c>
      <c r="I461" s="9"/>
      <c r="J461" s="9" t="s">
        <v>1101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  <c r="EN461" s="9"/>
      <c r="EO461" s="9"/>
      <c r="EP461" s="9"/>
      <c r="EQ461" s="9"/>
      <c r="ER461" s="9"/>
      <c r="ES461" s="9"/>
      <c r="ET461" s="9"/>
      <c r="EU461" s="9"/>
      <c r="EV461" s="9"/>
      <c r="EW461" s="9"/>
      <c r="EX461" s="9"/>
      <c r="EY461" s="9"/>
      <c r="EZ461" s="9"/>
      <c r="FA461" s="9"/>
      <c r="FB461" s="9"/>
      <c r="FC461" s="9"/>
      <c r="FD461" s="9"/>
      <c r="FE461" s="9"/>
      <c r="FF461" s="9"/>
      <c r="FG461" s="9"/>
      <c r="FH461" s="9"/>
      <c r="FI461" s="9"/>
      <c r="FJ461" s="9"/>
      <c r="FK461" s="9"/>
      <c r="FL461" s="9"/>
      <c r="FM461" s="9"/>
      <c r="FN461" s="9"/>
      <c r="FO461" s="9"/>
      <c r="FP461" s="9"/>
      <c r="FQ461" s="9"/>
      <c r="FR461" s="9"/>
      <c r="FS461" s="9"/>
      <c r="FT461" s="9"/>
      <c r="FU461" s="9"/>
      <c r="FV461" s="9"/>
      <c r="FW461" s="9"/>
      <c r="FX461" s="9"/>
      <c r="FY461" s="9"/>
      <c r="FZ461" s="9"/>
      <c r="GA461" s="9"/>
      <c r="GB461" s="9"/>
      <c r="GC461" s="9"/>
      <c r="GD461" s="9"/>
      <c r="GE461" s="9"/>
      <c r="GF461" s="9"/>
      <c r="GG461" s="9"/>
      <c r="GH461" s="9"/>
      <c r="GI461" s="9"/>
      <c r="GJ461" s="9"/>
      <c r="GK461" s="9"/>
      <c r="GL461" s="9"/>
      <c r="GM461" s="9"/>
      <c r="GN461" s="9"/>
      <c r="GO461" s="9"/>
      <c r="GP461" s="9"/>
      <c r="GQ461" s="9"/>
      <c r="GR461" s="9"/>
      <c r="GS461" s="9"/>
      <c r="GT461" s="9"/>
      <c r="GU461" s="9"/>
      <c r="GV461" s="9"/>
      <c r="GW461" s="9"/>
      <c r="GX461" s="9"/>
      <c r="GY461" s="9"/>
      <c r="GZ461" s="9"/>
      <c r="HA461" s="9"/>
      <c r="HB461" s="9"/>
      <c r="HC461" s="9"/>
      <c r="HD461" s="9"/>
      <c r="HE461" s="9"/>
      <c r="HF461" s="9"/>
      <c r="HG461" s="9"/>
      <c r="HH461" s="9"/>
      <c r="HI461" s="9"/>
      <c r="HJ461" s="9"/>
      <c r="HK461" s="9" t="s">
        <v>1101</v>
      </c>
      <c r="HL461" s="9"/>
      <c r="HM461" s="9"/>
      <c r="HN461" s="9"/>
      <c r="HO461" s="9"/>
      <c r="HP461" s="9"/>
      <c r="HQ461" s="9"/>
      <c r="HR461" s="9"/>
      <c r="HS461" s="9"/>
      <c r="HT461" s="9"/>
      <c r="HU461" s="9"/>
      <c r="HV461" s="9"/>
      <c r="HW461" s="9"/>
      <c r="HX461" s="9"/>
      <c r="HY461" s="9"/>
      <c r="HZ461" s="9"/>
      <c r="IA461" s="9"/>
      <c r="IB461" s="67"/>
      <c r="IC461" s="68"/>
      <c r="ID461" s="63"/>
      <c r="IE461" s="71"/>
    </row>
    <row r="462" spans="1:239" s="11" customFormat="1" x14ac:dyDescent="0.2">
      <c r="A462" s="9">
        <v>30</v>
      </c>
      <c r="B462" s="9"/>
      <c r="C462" s="9"/>
      <c r="D462" s="9" t="s">
        <v>1000</v>
      </c>
      <c r="E462" s="65" t="s">
        <v>1001</v>
      </c>
      <c r="F462" s="65"/>
      <c r="G462" s="92" t="s">
        <v>2464</v>
      </c>
      <c r="H462" s="66" t="s">
        <v>1403</v>
      </c>
      <c r="I462" s="9"/>
      <c r="J462" s="9" t="s">
        <v>1101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  <c r="EN462" s="9"/>
      <c r="EO462" s="9"/>
      <c r="EP462" s="9"/>
      <c r="EQ462" s="9"/>
      <c r="ER462" s="9"/>
      <c r="ES462" s="9"/>
      <c r="ET462" s="9"/>
      <c r="EU462" s="9"/>
      <c r="EV462" s="9"/>
      <c r="EW462" s="9"/>
      <c r="EX462" s="9"/>
      <c r="EY462" s="9"/>
      <c r="EZ462" s="9"/>
      <c r="FA462" s="9"/>
      <c r="FB462" s="9"/>
      <c r="FC462" s="9"/>
      <c r="FD462" s="9"/>
      <c r="FE462" s="9"/>
      <c r="FF462" s="9"/>
      <c r="FG462" s="9"/>
      <c r="FH462" s="9"/>
      <c r="FI462" s="9"/>
      <c r="FJ462" s="9"/>
      <c r="FK462" s="9"/>
      <c r="FL462" s="9"/>
      <c r="FM462" s="9"/>
      <c r="FN462" s="9"/>
      <c r="FO462" s="9"/>
      <c r="FP462" s="9"/>
      <c r="FQ462" s="9"/>
      <c r="FR462" s="9"/>
      <c r="FS462" s="9"/>
      <c r="FT462" s="9"/>
      <c r="FU462" s="9"/>
      <c r="FV462" s="9"/>
      <c r="FW462" s="9"/>
      <c r="FX462" s="9"/>
      <c r="FY462" s="9"/>
      <c r="FZ462" s="9"/>
      <c r="GA462" s="9"/>
      <c r="GB462" s="9"/>
      <c r="GC462" s="9"/>
      <c r="GD462" s="9"/>
      <c r="GE462" s="9"/>
      <c r="GF462" s="9"/>
      <c r="GG462" s="9"/>
      <c r="GH462" s="9"/>
      <c r="GI462" s="9"/>
      <c r="GJ462" s="9"/>
      <c r="GK462" s="9"/>
      <c r="GL462" s="9"/>
      <c r="GM462" s="9"/>
      <c r="GN462" s="9"/>
      <c r="GO462" s="9"/>
      <c r="GP462" s="9"/>
      <c r="GQ462" s="9"/>
      <c r="GR462" s="9"/>
      <c r="GS462" s="9"/>
      <c r="GT462" s="9"/>
      <c r="GU462" s="9"/>
      <c r="GV462" s="9"/>
      <c r="GW462" s="9"/>
      <c r="GX462" s="9"/>
      <c r="GY462" s="9"/>
      <c r="GZ462" s="9"/>
      <c r="HA462" s="9"/>
      <c r="HB462" s="9"/>
      <c r="HC462" s="9"/>
      <c r="HD462" s="9"/>
      <c r="HE462" s="9"/>
      <c r="HF462" s="9"/>
      <c r="HG462" s="9"/>
      <c r="HH462" s="9"/>
      <c r="HI462" s="9"/>
      <c r="HJ462" s="9"/>
      <c r="HK462" s="9"/>
      <c r="HL462" s="9"/>
      <c r="HM462" s="9"/>
      <c r="HN462" s="9"/>
      <c r="HO462" s="9" t="s">
        <v>1101</v>
      </c>
      <c r="HP462" s="9"/>
      <c r="HQ462" s="9"/>
      <c r="HR462" s="9"/>
      <c r="HS462" s="9"/>
      <c r="HT462" s="9"/>
      <c r="HU462" s="9"/>
      <c r="HV462" s="9"/>
      <c r="HW462" s="9"/>
      <c r="HX462" s="9"/>
      <c r="HY462" s="9"/>
      <c r="HZ462" s="9"/>
      <c r="IA462" s="9"/>
      <c r="IB462" s="67"/>
      <c r="IC462" s="68"/>
      <c r="ID462" s="63"/>
      <c r="IE462" s="71"/>
    </row>
    <row r="463" spans="1:239" s="11" customFormat="1" x14ac:dyDescent="0.2">
      <c r="A463" s="9">
        <v>30</v>
      </c>
      <c r="B463" s="9"/>
      <c r="C463" s="9"/>
      <c r="D463" s="9" t="s">
        <v>1002</v>
      </c>
      <c r="E463" s="65" t="s">
        <v>1003</v>
      </c>
      <c r="F463" s="65"/>
      <c r="G463" s="92" t="s">
        <v>2467</v>
      </c>
      <c r="H463" s="66" t="s">
        <v>1404</v>
      </c>
      <c r="I463" s="9"/>
      <c r="J463" s="9" t="s">
        <v>1101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  <c r="EN463" s="9"/>
      <c r="EO463" s="9"/>
      <c r="EP463" s="9"/>
      <c r="EQ463" s="9"/>
      <c r="ER463" s="9"/>
      <c r="ES463" s="9"/>
      <c r="ET463" s="9"/>
      <c r="EU463" s="9"/>
      <c r="EV463" s="9"/>
      <c r="EW463" s="9"/>
      <c r="EX463" s="9"/>
      <c r="EY463" s="9"/>
      <c r="EZ463" s="9"/>
      <c r="FA463" s="9"/>
      <c r="FB463" s="9"/>
      <c r="FC463" s="9"/>
      <c r="FD463" s="9"/>
      <c r="FE463" s="9"/>
      <c r="FF463" s="9"/>
      <c r="FG463" s="9"/>
      <c r="FH463" s="9"/>
      <c r="FI463" s="9"/>
      <c r="FJ463" s="9"/>
      <c r="FK463" s="9"/>
      <c r="FL463" s="9"/>
      <c r="FM463" s="9"/>
      <c r="FN463" s="9"/>
      <c r="FO463" s="9"/>
      <c r="FP463" s="9"/>
      <c r="FQ463" s="9"/>
      <c r="FR463" s="9"/>
      <c r="FS463" s="9"/>
      <c r="FT463" s="9"/>
      <c r="FU463" s="9"/>
      <c r="FV463" s="9"/>
      <c r="FW463" s="9"/>
      <c r="FX463" s="9"/>
      <c r="FY463" s="9"/>
      <c r="FZ463" s="9"/>
      <c r="GA463" s="9"/>
      <c r="GB463" s="9"/>
      <c r="GC463" s="9"/>
      <c r="GD463" s="9"/>
      <c r="GE463" s="9"/>
      <c r="GF463" s="9"/>
      <c r="GG463" s="9"/>
      <c r="GH463" s="9"/>
      <c r="GI463" s="9"/>
      <c r="GJ463" s="9"/>
      <c r="GK463" s="9"/>
      <c r="GL463" s="9"/>
      <c r="GM463" s="9"/>
      <c r="GN463" s="9"/>
      <c r="GO463" s="9"/>
      <c r="GP463" s="9"/>
      <c r="GQ463" s="9"/>
      <c r="GR463" s="9"/>
      <c r="GS463" s="9"/>
      <c r="GT463" s="9"/>
      <c r="GU463" s="9"/>
      <c r="GV463" s="9"/>
      <c r="GW463" s="9"/>
      <c r="GX463" s="9"/>
      <c r="GY463" s="9"/>
      <c r="GZ463" s="9"/>
      <c r="HA463" s="9"/>
      <c r="HB463" s="9"/>
      <c r="HC463" s="9"/>
      <c r="HD463" s="9"/>
      <c r="HE463" s="9"/>
      <c r="HF463" s="9"/>
      <c r="HG463" s="9"/>
      <c r="HH463" s="9"/>
      <c r="HI463" s="9"/>
      <c r="HJ463" s="9"/>
      <c r="HK463" s="9"/>
      <c r="HL463" s="9"/>
      <c r="HM463" s="9"/>
      <c r="HN463" s="9"/>
      <c r="HO463" s="9"/>
      <c r="HP463" s="9"/>
      <c r="HQ463" s="9"/>
      <c r="HR463" s="9"/>
      <c r="HS463" s="9" t="s">
        <v>1101</v>
      </c>
      <c r="HT463" s="9"/>
      <c r="HU463" s="9"/>
      <c r="HV463" s="9"/>
      <c r="HW463" s="9"/>
      <c r="HX463" s="9"/>
      <c r="HY463" s="9"/>
      <c r="HZ463" s="9"/>
      <c r="IA463" s="9"/>
      <c r="IB463" s="67"/>
      <c r="IC463" s="68"/>
      <c r="ID463" s="63"/>
      <c r="IE463" s="71"/>
    </row>
    <row r="464" spans="1:239" s="11" customFormat="1" x14ac:dyDescent="0.2">
      <c r="A464" s="9">
        <v>30</v>
      </c>
      <c r="B464" s="9"/>
      <c r="C464" s="9"/>
      <c r="D464" s="9" t="s">
        <v>1004</v>
      </c>
      <c r="E464" s="65" t="s">
        <v>1005</v>
      </c>
      <c r="F464" s="65"/>
      <c r="G464" s="92" t="s">
        <v>2470</v>
      </c>
      <c r="H464" s="66" t="s">
        <v>1405</v>
      </c>
      <c r="I464" s="9"/>
      <c r="J464" s="9" t="s">
        <v>1101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  <c r="EN464" s="9"/>
      <c r="EO464" s="9"/>
      <c r="EP464" s="9"/>
      <c r="EQ464" s="9"/>
      <c r="ER464" s="9"/>
      <c r="ES464" s="9"/>
      <c r="ET464" s="9"/>
      <c r="EU464" s="9"/>
      <c r="EV464" s="9"/>
      <c r="EW464" s="9"/>
      <c r="EX464" s="9"/>
      <c r="EY464" s="9"/>
      <c r="EZ464" s="9"/>
      <c r="FA464" s="9"/>
      <c r="FB464" s="9"/>
      <c r="FC464" s="9"/>
      <c r="FD464" s="9"/>
      <c r="FE464" s="9"/>
      <c r="FF464" s="9"/>
      <c r="FG464" s="9"/>
      <c r="FH464" s="9"/>
      <c r="FI464" s="9"/>
      <c r="FJ464" s="9"/>
      <c r="FK464" s="9"/>
      <c r="FL464" s="9"/>
      <c r="FM464" s="9"/>
      <c r="FN464" s="9"/>
      <c r="FO464" s="9"/>
      <c r="FP464" s="9"/>
      <c r="FQ464" s="9"/>
      <c r="FR464" s="9"/>
      <c r="FS464" s="9"/>
      <c r="FT464" s="9"/>
      <c r="FU464" s="9"/>
      <c r="FV464" s="9"/>
      <c r="FW464" s="9"/>
      <c r="FX464" s="9"/>
      <c r="FY464" s="9"/>
      <c r="FZ464" s="9"/>
      <c r="GA464" s="9"/>
      <c r="GB464" s="9"/>
      <c r="GC464" s="9"/>
      <c r="GD464" s="9"/>
      <c r="GE464" s="9"/>
      <c r="GF464" s="9"/>
      <c r="GG464" s="9"/>
      <c r="GH464" s="9"/>
      <c r="GI464" s="9"/>
      <c r="GJ464" s="9"/>
      <c r="GK464" s="9"/>
      <c r="GL464" s="9"/>
      <c r="GM464" s="9"/>
      <c r="GN464" s="9"/>
      <c r="GO464" s="9"/>
      <c r="GP464" s="9"/>
      <c r="GQ464" s="9"/>
      <c r="GR464" s="9"/>
      <c r="GS464" s="9"/>
      <c r="GT464" s="9"/>
      <c r="GU464" s="9"/>
      <c r="GV464" s="9"/>
      <c r="GW464" s="9"/>
      <c r="GX464" s="9"/>
      <c r="GY464" s="9"/>
      <c r="GZ464" s="9"/>
      <c r="HA464" s="9"/>
      <c r="HB464" s="9"/>
      <c r="HC464" s="9"/>
      <c r="HD464" s="9"/>
      <c r="HE464" s="9"/>
      <c r="HF464" s="9"/>
      <c r="HG464" s="9"/>
      <c r="HH464" s="9"/>
      <c r="HI464" s="9"/>
      <c r="HJ464" s="9"/>
      <c r="HK464" s="9"/>
      <c r="HL464" s="9"/>
      <c r="HM464" s="9"/>
      <c r="HN464" s="9"/>
      <c r="HO464" s="9"/>
      <c r="HP464" s="9"/>
      <c r="HQ464" s="9"/>
      <c r="HR464" s="9"/>
      <c r="HS464" s="9"/>
      <c r="HT464" s="9"/>
      <c r="HU464" s="9"/>
      <c r="HV464" s="9"/>
      <c r="HW464" s="9" t="s">
        <v>1101</v>
      </c>
      <c r="HX464" s="9"/>
      <c r="HY464" s="9"/>
      <c r="HZ464" s="9"/>
      <c r="IA464" s="9"/>
      <c r="IB464" s="67"/>
      <c r="IC464" s="68"/>
      <c r="ID464" s="63"/>
      <c r="IE464" s="71"/>
    </row>
    <row r="465" spans="1:239" s="11" customFormat="1" x14ac:dyDescent="0.2">
      <c r="A465" s="9">
        <v>30</v>
      </c>
      <c r="B465" s="9"/>
      <c r="C465" s="9"/>
      <c r="D465" s="9" t="s">
        <v>2038</v>
      </c>
      <c r="E465" s="65" t="s">
        <v>2040</v>
      </c>
      <c r="F465" s="65"/>
      <c r="G465" s="92" t="s">
        <v>2311</v>
      </c>
      <c r="H465" s="66" t="s">
        <v>2042</v>
      </c>
      <c r="I465" s="9"/>
      <c r="J465" s="9" t="s">
        <v>1041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  <c r="EN465" s="9"/>
      <c r="EO465" s="9"/>
      <c r="EP465" s="9"/>
      <c r="EQ465" s="9"/>
      <c r="ER465" s="9"/>
      <c r="ES465" s="9"/>
      <c r="ET465" s="9"/>
      <c r="EU465" s="9"/>
      <c r="EV465" s="9"/>
      <c r="EW465" s="9"/>
      <c r="EX465" s="9"/>
      <c r="EY465" s="9"/>
      <c r="EZ465" s="9"/>
      <c r="FA465" s="9"/>
      <c r="FB465" s="9"/>
      <c r="FC465" s="9"/>
      <c r="FD465" s="9"/>
      <c r="FE465" s="9"/>
      <c r="FF465" s="9"/>
      <c r="FG465" s="9"/>
      <c r="FH465" s="9"/>
      <c r="FI465" s="9"/>
      <c r="FJ465" s="9"/>
      <c r="FK465" s="9"/>
      <c r="FL465" s="9"/>
      <c r="FM465" s="9"/>
      <c r="FN465" s="9"/>
      <c r="FO465" s="9"/>
      <c r="FP465" s="9"/>
      <c r="FQ465" s="9"/>
      <c r="FR465" s="9"/>
      <c r="FS465" s="9"/>
      <c r="FT465" s="9"/>
      <c r="FU465" s="9"/>
      <c r="FV465" s="9"/>
      <c r="FW465" s="9"/>
      <c r="FX465" s="9"/>
      <c r="FY465" s="9"/>
      <c r="FZ465" s="9"/>
      <c r="GA465" s="9"/>
      <c r="GB465" s="9"/>
      <c r="GC465" s="9"/>
      <c r="GD465" s="9"/>
      <c r="GE465" s="9"/>
      <c r="GF465" s="9"/>
      <c r="GG465" s="9"/>
      <c r="GH465" s="9"/>
      <c r="GI465" s="9"/>
      <c r="GJ465" s="9"/>
      <c r="GK465" s="9"/>
      <c r="GL465" s="9"/>
      <c r="GM465" s="9"/>
      <c r="GN465" s="9"/>
      <c r="GO465" s="9"/>
      <c r="GP465" s="9"/>
      <c r="GQ465" s="9"/>
      <c r="GR465" s="9"/>
      <c r="GS465" s="9"/>
      <c r="GT465" s="9"/>
      <c r="GU465" s="9"/>
      <c r="GV465" s="9"/>
      <c r="GW465" s="9"/>
      <c r="GX465" s="9"/>
      <c r="GY465" s="9"/>
      <c r="GZ465" s="9"/>
      <c r="HA465" s="9"/>
      <c r="HB465" s="9"/>
      <c r="HC465" s="9"/>
      <c r="HD465" s="9"/>
      <c r="HE465" s="9"/>
      <c r="HF465" s="9"/>
      <c r="HG465" s="9"/>
      <c r="HH465" s="9"/>
      <c r="HI465" s="9"/>
      <c r="HJ465" s="9"/>
      <c r="HK465" s="9"/>
      <c r="HL465" s="9"/>
      <c r="HM465" s="9"/>
      <c r="HN465" s="9"/>
      <c r="HO465" s="9"/>
      <c r="HP465" s="9"/>
      <c r="HQ465" s="9"/>
      <c r="HR465" s="9"/>
      <c r="HS465" s="9"/>
      <c r="HT465" s="9"/>
      <c r="HU465" s="9"/>
      <c r="HV465" s="9"/>
      <c r="HW465" s="9"/>
      <c r="HX465" s="9"/>
      <c r="HY465" s="9"/>
      <c r="HZ465" s="9"/>
      <c r="IA465" s="9" t="s">
        <v>1101</v>
      </c>
      <c r="IB465" s="67"/>
      <c r="IC465" s="68"/>
      <c r="ID465" s="63"/>
      <c r="IE465" s="71"/>
    </row>
    <row r="466" spans="1:239" s="11" customFormat="1" x14ac:dyDescent="0.2">
      <c r="A466" s="9">
        <v>30</v>
      </c>
      <c r="B466" s="9"/>
      <c r="C466" s="9"/>
      <c r="D466" s="9" t="s">
        <v>41</v>
      </c>
      <c r="E466" s="65" t="s">
        <v>42</v>
      </c>
      <c r="F466" s="65"/>
      <c r="G466" s="92" t="s">
        <v>2212</v>
      </c>
      <c r="H466" s="66" t="s">
        <v>1377</v>
      </c>
      <c r="I466" s="9"/>
      <c r="J466" s="9" t="s">
        <v>1101</v>
      </c>
      <c r="K466" s="9"/>
      <c r="L466" s="9"/>
      <c r="M466" s="9"/>
      <c r="N466" s="9"/>
      <c r="O466" s="9" t="s">
        <v>1101</v>
      </c>
      <c r="P466" s="9"/>
      <c r="Q466" s="9"/>
      <c r="R466" s="9"/>
      <c r="S466" s="9" t="s">
        <v>1101</v>
      </c>
      <c r="T466" s="9"/>
      <c r="U466" s="9"/>
      <c r="V466" s="9"/>
      <c r="W466" s="9" t="s">
        <v>1101</v>
      </c>
      <c r="X466" s="9"/>
      <c r="Y466" s="9"/>
      <c r="Z466" s="9"/>
      <c r="AA466" s="9" t="s">
        <v>1101</v>
      </c>
      <c r="AB466" s="9"/>
      <c r="AC466" s="9"/>
      <c r="AD466" s="9"/>
      <c r="AE466" s="9" t="s">
        <v>1101</v>
      </c>
      <c r="AF466" s="9"/>
      <c r="AG466" s="9"/>
      <c r="AH466" s="9"/>
      <c r="AI466" s="9" t="s">
        <v>1101</v>
      </c>
      <c r="AJ466" s="9"/>
      <c r="AK466" s="9"/>
      <c r="AL466" s="9"/>
      <c r="AM466" s="9" t="s">
        <v>1101</v>
      </c>
      <c r="AN466" s="9"/>
      <c r="AO466" s="9"/>
      <c r="AP466" s="9"/>
      <c r="AQ466" s="9" t="s">
        <v>1101</v>
      </c>
      <c r="AR466" s="9"/>
      <c r="AS466" s="9"/>
      <c r="AT466" s="9"/>
      <c r="AU466" s="9" t="s">
        <v>1101</v>
      </c>
      <c r="AV466" s="9"/>
      <c r="AW466" s="9"/>
      <c r="AX466" s="9"/>
      <c r="AY466" s="9" t="s">
        <v>1101</v>
      </c>
      <c r="AZ466" s="9"/>
      <c r="BA466" s="9"/>
      <c r="BB466" s="9"/>
      <c r="BC466" s="9" t="s">
        <v>1101</v>
      </c>
      <c r="BD466" s="9"/>
      <c r="BE466" s="9"/>
      <c r="BF466" s="9"/>
      <c r="BG466" s="9" t="s">
        <v>1101</v>
      </c>
      <c r="BH466" s="9"/>
      <c r="BI466" s="9"/>
      <c r="BJ466" s="9"/>
      <c r="BK466" s="9" t="s">
        <v>1101</v>
      </c>
      <c r="BL466" s="9"/>
      <c r="BM466" s="9"/>
      <c r="BN466" s="9"/>
      <c r="BO466" s="9" t="s">
        <v>1101</v>
      </c>
      <c r="BP466" s="9"/>
      <c r="BQ466" s="9"/>
      <c r="BR466" s="9"/>
      <c r="BS466" s="9" t="s">
        <v>1101</v>
      </c>
      <c r="BT466" s="9"/>
      <c r="BU466" s="9"/>
      <c r="BV466" s="9"/>
      <c r="BW466" s="9" t="s">
        <v>1101</v>
      </c>
      <c r="BX466" s="9"/>
      <c r="BY466" s="9"/>
      <c r="BZ466" s="9"/>
      <c r="CA466" s="9" t="s">
        <v>1101</v>
      </c>
      <c r="CB466" s="9"/>
      <c r="CC466" s="9"/>
      <c r="CD466" s="9"/>
      <c r="CE466" s="9" t="s">
        <v>1101</v>
      </c>
      <c r="CF466" s="9"/>
      <c r="CG466" s="9"/>
      <c r="CH466" s="9"/>
      <c r="CI466" s="9" t="s">
        <v>1101</v>
      </c>
      <c r="CJ466" s="9"/>
      <c r="CK466" s="9"/>
      <c r="CL466" s="9"/>
      <c r="CM466" s="9" t="s">
        <v>1101</v>
      </c>
      <c r="CN466" s="9"/>
      <c r="CO466" s="9"/>
      <c r="CP466" s="9"/>
      <c r="CQ466" s="9" t="s">
        <v>1101</v>
      </c>
      <c r="CR466" s="9"/>
      <c r="CS466" s="9"/>
      <c r="CT466" s="9"/>
      <c r="CU466" s="9" t="s">
        <v>1101</v>
      </c>
      <c r="CV466" s="9"/>
      <c r="CW466" s="9"/>
      <c r="CX466" s="9"/>
      <c r="CY466" s="9" t="s">
        <v>1101</v>
      </c>
      <c r="CZ466" s="9"/>
      <c r="DA466" s="9"/>
      <c r="DB466" s="9"/>
      <c r="DC466" s="9" t="s">
        <v>1101</v>
      </c>
      <c r="DD466" s="9"/>
      <c r="DE466" s="9"/>
      <c r="DF466" s="9"/>
      <c r="DG466" s="9" t="s">
        <v>1101</v>
      </c>
      <c r="DH466" s="9"/>
      <c r="DI466" s="9"/>
      <c r="DJ466" s="9"/>
      <c r="DK466" s="9" t="s">
        <v>1101</v>
      </c>
      <c r="DL466" s="9"/>
      <c r="DM466" s="9"/>
      <c r="DN466" s="9"/>
      <c r="DO466" s="9" t="s">
        <v>1101</v>
      </c>
      <c r="DP466" s="9"/>
      <c r="DQ466" s="9"/>
      <c r="DR466" s="9"/>
      <c r="DS466" s="9" t="s">
        <v>1101</v>
      </c>
      <c r="DT466" s="9"/>
      <c r="DU466" s="9"/>
      <c r="DV466" s="9"/>
      <c r="DW466" s="9" t="s">
        <v>1101</v>
      </c>
      <c r="DX466" s="9"/>
      <c r="DY466" s="9"/>
      <c r="DZ466" s="9"/>
      <c r="EA466" s="9" t="s">
        <v>1101</v>
      </c>
      <c r="EB466" s="9"/>
      <c r="EC466" s="9"/>
      <c r="ED466" s="9"/>
      <c r="EE466" s="9" t="s">
        <v>1101</v>
      </c>
      <c r="EF466" s="9"/>
      <c r="EG466" s="9"/>
      <c r="EH466" s="9"/>
      <c r="EI466" s="9" t="s">
        <v>1101</v>
      </c>
      <c r="EJ466" s="9"/>
      <c r="EK466" s="9"/>
      <c r="EL466" s="9"/>
      <c r="EM466" s="9" t="s">
        <v>1101</v>
      </c>
      <c r="EN466" s="9"/>
      <c r="EO466" s="9"/>
      <c r="EP466" s="9"/>
      <c r="EQ466" s="9" t="s">
        <v>1101</v>
      </c>
      <c r="ER466" s="9"/>
      <c r="ES466" s="9"/>
      <c r="ET466" s="9"/>
      <c r="EU466" s="9" t="s">
        <v>1101</v>
      </c>
      <c r="EV466" s="9"/>
      <c r="EW466" s="9"/>
      <c r="EX466" s="9"/>
      <c r="EY466" s="9" t="s">
        <v>1101</v>
      </c>
      <c r="EZ466" s="9"/>
      <c r="FA466" s="9"/>
      <c r="FB466" s="9"/>
      <c r="FC466" s="9" t="s">
        <v>1101</v>
      </c>
      <c r="FD466" s="9"/>
      <c r="FE466" s="9"/>
      <c r="FF466" s="9"/>
      <c r="FG466" s="9" t="s">
        <v>1101</v>
      </c>
      <c r="FH466" s="9"/>
      <c r="FI466" s="9"/>
      <c r="FJ466" s="9"/>
      <c r="FK466" s="9" t="s">
        <v>1101</v>
      </c>
      <c r="FL466" s="9"/>
      <c r="FM466" s="9"/>
      <c r="FN466" s="9"/>
      <c r="FO466" s="9" t="s">
        <v>1101</v>
      </c>
      <c r="FP466" s="9"/>
      <c r="FQ466" s="9"/>
      <c r="FR466" s="9"/>
      <c r="FS466" s="9" t="s">
        <v>1101</v>
      </c>
      <c r="FT466" s="9"/>
      <c r="FU466" s="9"/>
      <c r="FV466" s="9"/>
      <c r="FW466" s="9" t="s">
        <v>1101</v>
      </c>
      <c r="FX466" s="9"/>
      <c r="FY466" s="9"/>
      <c r="FZ466" s="9"/>
      <c r="GA466" s="9" t="s">
        <v>1101</v>
      </c>
      <c r="GB466" s="9"/>
      <c r="GC466" s="9"/>
      <c r="GD466" s="9"/>
      <c r="GE466" s="9" t="s">
        <v>1101</v>
      </c>
      <c r="GF466" s="9"/>
      <c r="GG466" s="9"/>
      <c r="GH466" s="9"/>
      <c r="GI466" s="9" t="s">
        <v>1101</v>
      </c>
      <c r="GJ466" s="9"/>
      <c r="GK466" s="9"/>
      <c r="GL466" s="9"/>
      <c r="GM466" s="9" t="s">
        <v>1101</v>
      </c>
      <c r="GN466" s="9"/>
      <c r="GO466" s="9"/>
      <c r="GP466" s="9"/>
      <c r="GQ466" s="9" t="s">
        <v>1101</v>
      </c>
      <c r="GR466" s="9"/>
      <c r="GS466" s="9"/>
      <c r="GT466" s="9"/>
      <c r="GU466" s="9" t="s">
        <v>1101</v>
      </c>
      <c r="GV466" s="9"/>
      <c r="GW466" s="9"/>
      <c r="GX466" s="9"/>
      <c r="GY466" s="9" t="s">
        <v>1101</v>
      </c>
      <c r="GZ466" s="9"/>
      <c r="HA466" s="9"/>
      <c r="HB466" s="9"/>
      <c r="HC466" s="9" t="s">
        <v>1101</v>
      </c>
      <c r="HD466" s="9"/>
      <c r="HE466" s="9"/>
      <c r="HF466" s="9"/>
      <c r="HG466" s="9" t="s">
        <v>1101</v>
      </c>
      <c r="HH466" s="9"/>
      <c r="HI466" s="9"/>
      <c r="HJ466" s="9"/>
      <c r="HK466" s="9" t="s">
        <v>1101</v>
      </c>
      <c r="HL466" s="9"/>
      <c r="HM466" s="9"/>
      <c r="HN466" s="9"/>
      <c r="HO466" s="9" t="s">
        <v>1101</v>
      </c>
      <c r="HP466" s="9"/>
      <c r="HQ466" s="9"/>
      <c r="HR466" s="9"/>
      <c r="HS466" s="9" t="s">
        <v>1101</v>
      </c>
      <c r="HT466" s="9"/>
      <c r="HU466" s="9"/>
      <c r="HV466" s="9"/>
      <c r="HW466" s="9" t="s">
        <v>1101</v>
      </c>
      <c r="HX466" s="9"/>
      <c r="HY466" s="9"/>
      <c r="HZ466" s="9"/>
      <c r="IA466" s="9" t="s">
        <v>1041</v>
      </c>
      <c r="IB466" s="67"/>
      <c r="IC466" s="68"/>
      <c r="ID466" s="157"/>
      <c r="IE466" s="158"/>
    </row>
    <row r="467" spans="1:239" s="11" customFormat="1" x14ac:dyDescent="0.2">
      <c r="A467" s="9">
        <v>30</v>
      </c>
      <c r="B467" s="9"/>
      <c r="C467" s="9"/>
      <c r="D467" s="9" t="s">
        <v>45</v>
      </c>
      <c r="E467" s="65" t="s">
        <v>46</v>
      </c>
      <c r="F467" s="65"/>
      <c r="G467" s="92" t="s">
        <v>2213</v>
      </c>
      <c r="H467" s="66" t="s">
        <v>1378</v>
      </c>
      <c r="I467" s="9"/>
      <c r="J467" s="9" t="s">
        <v>1101</v>
      </c>
      <c r="K467" s="9"/>
      <c r="L467" s="9"/>
      <c r="M467" s="9"/>
      <c r="N467" s="9"/>
      <c r="O467" s="9" t="s">
        <v>1101</v>
      </c>
      <c r="P467" s="9"/>
      <c r="Q467" s="9"/>
      <c r="R467" s="9"/>
      <c r="S467" s="9" t="s">
        <v>1101</v>
      </c>
      <c r="T467" s="9"/>
      <c r="U467" s="9"/>
      <c r="V467" s="9"/>
      <c r="W467" s="9" t="s">
        <v>1101</v>
      </c>
      <c r="X467" s="9"/>
      <c r="Y467" s="9"/>
      <c r="Z467" s="9"/>
      <c r="AA467" s="9" t="s">
        <v>1101</v>
      </c>
      <c r="AB467" s="9"/>
      <c r="AC467" s="9"/>
      <c r="AD467" s="9"/>
      <c r="AE467" s="9" t="s">
        <v>1101</v>
      </c>
      <c r="AF467" s="9"/>
      <c r="AG467" s="9"/>
      <c r="AH467" s="9"/>
      <c r="AI467" s="9" t="s">
        <v>1101</v>
      </c>
      <c r="AJ467" s="9"/>
      <c r="AK467" s="9"/>
      <c r="AL467" s="9"/>
      <c r="AM467" s="9" t="s">
        <v>1101</v>
      </c>
      <c r="AN467" s="9"/>
      <c r="AO467" s="9"/>
      <c r="AP467" s="9"/>
      <c r="AQ467" s="9" t="s">
        <v>1101</v>
      </c>
      <c r="AR467" s="9"/>
      <c r="AS467" s="9"/>
      <c r="AT467" s="9"/>
      <c r="AU467" s="9" t="s">
        <v>1101</v>
      </c>
      <c r="AV467" s="9"/>
      <c r="AW467" s="9"/>
      <c r="AX467" s="9"/>
      <c r="AY467" s="9" t="s">
        <v>1101</v>
      </c>
      <c r="AZ467" s="9"/>
      <c r="BA467" s="9"/>
      <c r="BB467" s="9"/>
      <c r="BC467" s="9" t="s">
        <v>1101</v>
      </c>
      <c r="BD467" s="9"/>
      <c r="BE467" s="9"/>
      <c r="BF467" s="9"/>
      <c r="BG467" s="9" t="s">
        <v>1101</v>
      </c>
      <c r="BH467" s="9"/>
      <c r="BI467" s="9"/>
      <c r="BJ467" s="9"/>
      <c r="BK467" s="9" t="s">
        <v>1101</v>
      </c>
      <c r="BL467" s="9"/>
      <c r="BM467" s="9"/>
      <c r="BN467" s="9"/>
      <c r="BO467" s="9" t="s">
        <v>1101</v>
      </c>
      <c r="BP467" s="9"/>
      <c r="BQ467" s="9"/>
      <c r="BR467" s="9"/>
      <c r="BS467" s="9" t="s">
        <v>1101</v>
      </c>
      <c r="BT467" s="9"/>
      <c r="BU467" s="9"/>
      <c r="BV467" s="9"/>
      <c r="BW467" s="9" t="s">
        <v>1101</v>
      </c>
      <c r="BX467" s="9"/>
      <c r="BY467" s="9"/>
      <c r="BZ467" s="9"/>
      <c r="CA467" s="9" t="s">
        <v>1101</v>
      </c>
      <c r="CB467" s="9"/>
      <c r="CC467" s="9"/>
      <c r="CD467" s="9"/>
      <c r="CE467" s="9" t="s">
        <v>1101</v>
      </c>
      <c r="CF467" s="9"/>
      <c r="CG467" s="9"/>
      <c r="CH467" s="9"/>
      <c r="CI467" s="9" t="s">
        <v>1101</v>
      </c>
      <c r="CJ467" s="9"/>
      <c r="CK467" s="9"/>
      <c r="CL467" s="9"/>
      <c r="CM467" s="9" t="s">
        <v>1101</v>
      </c>
      <c r="CN467" s="9"/>
      <c r="CO467" s="9"/>
      <c r="CP467" s="9"/>
      <c r="CQ467" s="9" t="s">
        <v>1101</v>
      </c>
      <c r="CR467" s="9"/>
      <c r="CS467" s="9"/>
      <c r="CT467" s="9"/>
      <c r="CU467" s="9" t="s">
        <v>1101</v>
      </c>
      <c r="CV467" s="9"/>
      <c r="CW467" s="9"/>
      <c r="CX467" s="9"/>
      <c r="CY467" s="9" t="s">
        <v>1101</v>
      </c>
      <c r="CZ467" s="9"/>
      <c r="DA467" s="9"/>
      <c r="DB467" s="9"/>
      <c r="DC467" s="9" t="s">
        <v>1101</v>
      </c>
      <c r="DD467" s="9"/>
      <c r="DE467" s="9"/>
      <c r="DF467" s="9"/>
      <c r="DG467" s="9" t="s">
        <v>1101</v>
      </c>
      <c r="DH467" s="9"/>
      <c r="DI467" s="9"/>
      <c r="DJ467" s="9"/>
      <c r="DK467" s="9" t="s">
        <v>1101</v>
      </c>
      <c r="DL467" s="9"/>
      <c r="DM467" s="9"/>
      <c r="DN467" s="9"/>
      <c r="DO467" s="9" t="s">
        <v>1101</v>
      </c>
      <c r="DP467" s="9"/>
      <c r="DQ467" s="9"/>
      <c r="DR467" s="9"/>
      <c r="DS467" s="9" t="s">
        <v>1101</v>
      </c>
      <c r="DT467" s="9"/>
      <c r="DU467" s="9"/>
      <c r="DV467" s="9"/>
      <c r="DW467" s="9" t="s">
        <v>1101</v>
      </c>
      <c r="DX467" s="9"/>
      <c r="DY467" s="9"/>
      <c r="DZ467" s="9"/>
      <c r="EA467" s="9" t="s">
        <v>1101</v>
      </c>
      <c r="EB467" s="9"/>
      <c r="EC467" s="9"/>
      <c r="ED467" s="9"/>
      <c r="EE467" s="9" t="s">
        <v>1101</v>
      </c>
      <c r="EF467" s="9"/>
      <c r="EG467" s="9"/>
      <c r="EH467" s="9"/>
      <c r="EI467" s="9" t="s">
        <v>1101</v>
      </c>
      <c r="EJ467" s="9"/>
      <c r="EK467" s="9"/>
      <c r="EL467" s="9"/>
      <c r="EM467" s="9" t="s">
        <v>1101</v>
      </c>
      <c r="EN467" s="9"/>
      <c r="EO467" s="9"/>
      <c r="EP467" s="9"/>
      <c r="EQ467" s="9" t="s">
        <v>1101</v>
      </c>
      <c r="ER467" s="9"/>
      <c r="ES467" s="9"/>
      <c r="ET467" s="9"/>
      <c r="EU467" s="9" t="s">
        <v>1101</v>
      </c>
      <c r="EV467" s="9"/>
      <c r="EW467" s="9"/>
      <c r="EX467" s="9"/>
      <c r="EY467" s="9" t="s">
        <v>1101</v>
      </c>
      <c r="EZ467" s="9"/>
      <c r="FA467" s="9"/>
      <c r="FB467" s="9"/>
      <c r="FC467" s="9" t="s">
        <v>1101</v>
      </c>
      <c r="FD467" s="9"/>
      <c r="FE467" s="9"/>
      <c r="FF467" s="9"/>
      <c r="FG467" s="9" t="s">
        <v>1101</v>
      </c>
      <c r="FH467" s="9"/>
      <c r="FI467" s="9"/>
      <c r="FJ467" s="9"/>
      <c r="FK467" s="9" t="s">
        <v>1101</v>
      </c>
      <c r="FL467" s="9"/>
      <c r="FM467" s="9"/>
      <c r="FN467" s="9"/>
      <c r="FO467" s="9" t="s">
        <v>1101</v>
      </c>
      <c r="FP467" s="9"/>
      <c r="FQ467" s="9"/>
      <c r="FR467" s="9"/>
      <c r="FS467" s="9" t="s">
        <v>1101</v>
      </c>
      <c r="FT467" s="9"/>
      <c r="FU467" s="9"/>
      <c r="FV467" s="9"/>
      <c r="FW467" s="9" t="s">
        <v>1101</v>
      </c>
      <c r="FX467" s="9"/>
      <c r="FY467" s="9"/>
      <c r="FZ467" s="9"/>
      <c r="GA467" s="9" t="s">
        <v>1101</v>
      </c>
      <c r="GB467" s="9"/>
      <c r="GC467" s="9"/>
      <c r="GD467" s="9"/>
      <c r="GE467" s="9" t="s">
        <v>1101</v>
      </c>
      <c r="GF467" s="9"/>
      <c r="GG467" s="9"/>
      <c r="GH467" s="9"/>
      <c r="GI467" s="9" t="s">
        <v>1101</v>
      </c>
      <c r="GJ467" s="9"/>
      <c r="GK467" s="9"/>
      <c r="GL467" s="9"/>
      <c r="GM467" s="9" t="s">
        <v>1101</v>
      </c>
      <c r="GN467" s="9"/>
      <c r="GO467" s="9"/>
      <c r="GP467" s="9"/>
      <c r="GQ467" s="9" t="s">
        <v>1101</v>
      </c>
      <c r="GR467" s="9"/>
      <c r="GS467" s="9"/>
      <c r="GT467" s="9"/>
      <c r="GU467" s="9" t="s">
        <v>1101</v>
      </c>
      <c r="GV467" s="9"/>
      <c r="GW467" s="9"/>
      <c r="GX467" s="9"/>
      <c r="GY467" s="9" t="s">
        <v>1101</v>
      </c>
      <c r="GZ467" s="9"/>
      <c r="HA467" s="9"/>
      <c r="HB467" s="9"/>
      <c r="HC467" s="9" t="s">
        <v>1101</v>
      </c>
      <c r="HD467" s="9"/>
      <c r="HE467" s="9"/>
      <c r="HF467" s="9"/>
      <c r="HG467" s="9" t="s">
        <v>1101</v>
      </c>
      <c r="HH467" s="9"/>
      <c r="HI467" s="9"/>
      <c r="HJ467" s="9"/>
      <c r="HK467" s="9" t="s">
        <v>1101</v>
      </c>
      <c r="HL467" s="9"/>
      <c r="HM467" s="9"/>
      <c r="HN467" s="9"/>
      <c r="HO467" s="9" t="s">
        <v>1101</v>
      </c>
      <c r="HP467" s="9"/>
      <c r="HQ467" s="9"/>
      <c r="HR467" s="9"/>
      <c r="HS467" s="9" t="s">
        <v>1101</v>
      </c>
      <c r="HT467" s="9"/>
      <c r="HU467" s="9"/>
      <c r="HV467" s="9"/>
      <c r="HW467" s="9" t="s">
        <v>1101</v>
      </c>
      <c r="HX467" s="9"/>
      <c r="HY467" s="9"/>
      <c r="HZ467" s="9"/>
      <c r="IA467" s="9" t="s">
        <v>1041</v>
      </c>
      <c r="IB467" s="67"/>
      <c r="IC467" s="68"/>
      <c r="ID467" s="157"/>
      <c r="IE467" s="158"/>
    </row>
    <row r="468" spans="1:239" s="11" customFormat="1" x14ac:dyDescent="0.2">
      <c r="A468" s="9">
        <v>30</v>
      </c>
      <c r="B468" s="9"/>
      <c r="C468" s="9"/>
      <c r="D468" s="9" t="s">
        <v>43</v>
      </c>
      <c r="E468" s="65" t="s">
        <v>44</v>
      </c>
      <c r="F468" s="65"/>
      <c r="G468" s="92" t="s">
        <v>2214</v>
      </c>
      <c r="H468" s="66" t="s">
        <v>1102</v>
      </c>
      <c r="I468" s="9"/>
      <c r="J468" s="9" t="s">
        <v>1101</v>
      </c>
      <c r="K468" s="9"/>
      <c r="L468" s="9"/>
      <c r="M468" s="9"/>
      <c r="N468" s="9"/>
      <c r="O468" s="9" t="s">
        <v>1101</v>
      </c>
      <c r="P468" s="9"/>
      <c r="Q468" s="9"/>
      <c r="R468" s="9"/>
      <c r="S468" s="9" t="s">
        <v>1101</v>
      </c>
      <c r="T468" s="9"/>
      <c r="U468" s="9"/>
      <c r="V468" s="9"/>
      <c r="W468" s="9" t="s">
        <v>1101</v>
      </c>
      <c r="X468" s="9"/>
      <c r="Y468" s="9"/>
      <c r="Z468" s="9"/>
      <c r="AA468" s="9" t="s">
        <v>1101</v>
      </c>
      <c r="AB468" s="9"/>
      <c r="AC468" s="9"/>
      <c r="AD468" s="9"/>
      <c r="AE468" s="9" t="s">
        <v>1101</v>
      </c>
      <c r="AF468" s="9"/>
      <c r="AG468" s="9"/>
      <c r="AH468" s="9"/>
      <c r="AI468" s="9" t="s">
        <v>1101</v>
      </c>
      <c r="AJ468" s="9"/>
      <c r="AK468" s="9"/>
      <c r="AL468" s="9"/>
      <c r="AM468" s="9" t="s">
        <v>1101</v>
      </c>
      <c r="AN468" s="9"/>
      <c r="AO468" s="9"/>
      <c r="AP468" s="9"/>
      <c r="AQ468" s="9" t="s">
        <v>1101</v>
      </c>
      <c r="AR468" s="9"/>
      <c r="AS468" s="9"/>
      <c r="AT468" s="9"/>
      <c r="AU468" s="9" t="s">
        <v>1101</v>
      </c>
      <c r="AV468" s="9"/>
      <c r="AW468" s="9"/>
      <c r="AX468" s="9"/>
      <c r="AY468" s="9" t="s">
        <v>1101</v>
      </c>
      <c r="AZ468" s="9"/>
      <c r="BA468" s="9"/>
      <c r="BB468" s="9"/>
      <c r="BC468" s="9" t="s">
        <v>1101</v>
      </c>
      <c r="BD468" s="9"/>
      <c r="BE468" s="9"/>
      <c r="BF468" s="9"/>
      <c r="BG468" s="9" t="s">
        <v>1101</v>
      </c>
      <c r="BH468" s="9"/>
      <c r="BI468" s="9"/>
      <c r="BJ468" s="9"/>
      <c r="BK468" s="9" t="s">
        <v>1101</v>
      </c>
      <c r="BL468" s="9"/>
      <c r="BM468" s="9"/>
      <c r="BN468" s="9"/>
      <c r="BO468" s="9" t="s">
        <v>1101</v>
      </c>
      <c r="BP468" s="9"/>
      <c r="BQ468" s="9"/>
      <c r="BR468" s="9"/>
      <c r="BS468" s="9" t="s">
        <v>1101</v>
      </c>
      <c r="BT468" s="9"/>
      <c r="BU468" s="9"/>
      <c r="BV468" s="9"/>
      <c r="BW468" s="9" t="s">
        <v>1101</v>
      </c>
      <c r="BX468" s="9"/>
      <c r="BY468" s="9"/>
      <c r="BZ468" s="9"/>
      <c r="CA468" s="9" t="s">
        <v>1101</v>
      </c>
      <c r="CB468" s="9"/>
      <c r="CC468" s="9"/>
      <c r="CD468" s="9"/>
      <c r="CE468" s="9" t="s">
        <v>1101</v>
      </c>
      <c r="CF468" s="9"/>
      <c r="CG468" s="9"/>
      <c r="CH468" s="9"/>
      <c r="CI468" s="9" t="s">
        <v>1101</v>
      </c>
      <c r="CJ468" s="9"/>
      <c r="CK468" s="9"/>
      <c r="CL468" s="9"/>
      <c r="CM468" s="9" t="s">
        <v>1101</v>
      </c>
      <c r="CN468" s="9"/>
      <c r="CO468" s="9"/>
      <c r="CP468" s="9"/>
      <c r="CQ468" s="9" t="s">
        <v>1101</v>
      </c>
      <c r="CR468" s="9"/>
      <c r="CS468" s="9"/>
      <c r="CT468" s="9"/>
      <c r="CU468" s="9" t="s">
        <v>1101</v>
      </c>
      <c r="CV468" s="9"/>
      <c r="CW468" s="9"/>
      <c r="CX468" s="9"/>
      <c r="CY468" s="9" t="s">
        <v>1101</v>
      </c>
      <c r="CZ468" s="9"/>
      <c r="DA468" s="9"/>
      <c r="DB468" s="9"/>
      <c r="DC468" s="9" t="s">
        <v>1101</v>
      </c>
      <c r="DD468" s="9"/>
      <c r="DE468" s="9"/>
      <c r="DF468" s="9"/>
      <c r="DG468" s="9" t="s">
        <v>1101</v>
      </c>
      <c r="DH468" s="9"/>
      <c r="DI468" s="9"/>
      <c r="DJ468" s="9"/>
      <c r="DK468" s="9" t="s">
        <v>1101</v>
      </c>
      <c r="DL468" s="9"/>
      <c r="DM468" s="9"/>
      <c r="DN468" s="9"/>
      <c r="DO468" s="9" t="s">
        <v>1101</v>
      </c>
      <c r="DP468" s="9"/>
      <c r="DQ468" s="9"/>
      <c r="DR468" s="9"/>
      <c r="DS468" s="9" t="s">
        <v>1101</v>
      </c>
      <c r="DT468" s="9"/>
      <c r="DU468" s="9"/>
      <c r="DV468" s="9"/>
      <c r="DW468" s="9" t="s">
        <v>1101</v>
      </c>
      <c r="DX468" s="9"/>
      <c r="DY468" s="9"/>
      <c r="DZ468" s="9"/>
      <c r="EA468" s="9" t="s">
        <v>1101</v>
      </c>
      <c r="EB468" s="9"/>
      <c r="EC468" s="9"/>
      <c r="ED468" s="9"/>
      <c r="EE468" s="9" t="s">
        <v>1101</v>
      </c>
      <c r="EF468" s="9"/>
      <c r="EG468" s="9"/>
      <c r="EH468" s="9"/>
      <c r="EI468" s="9" t="s">
        <v>1101</v>
      </c>
      <c r="EJ468" s="9"/>
      <c r="EK468" s="9"/>
      <c r="EL468" s="9"/>
      <c r="EM468" s="9" t="s">
        <v>1101</v>
      </c>
      <c r="EN468" s="9"/>
      <c r="EO468" s="9"/>
      <c r="EP468" s="9"/>
      <c r="EQ468" s="9" t="s">
        <v>1101</v>
      </c>
      <c r="ER468" s="9"/>
      <c r="ES468" s="9"/>
      <c r="ET468" s="9"/>
      <c r="EU468" s="9" t="s">
        <v>1101</v>
      </c>
      <c r="EV468" s="9"/>
      <c r="EW468" s="9"/>
      <c r="EX468" s="9"/>
      <c r="EY468" s="9" t="s">
        <v>1101</v>
      </c>
      <c r="EZ468" s="9"/>
      <c r="FA468" s="9"/>
      <c r="FB468" s="9"/>
      <c r="FC468" s="9" t="s">
        <v>1101</v>
      </c>
      <c r="FD468" s="9"/>
      <c r="FE468" s="9"/>
      <c r="FF468" s="9"/>
      <c r="FG468" s="9" t="s">
        <v>1101</v>
      </c>
      <c r="FH468" s="9"/>
      <c r="FI468" s="9"/>
      <c r="FJ468" s="9"/>
      <c r="FK468" s="9" t="s">
        <v>1101</v>
      </c>
      <c r="FL468" s="9"/>
      <c r="FM468" s="9"/>
      <c r="FN468" s="9"/>
      <c r="FO468" s="9" t="s">
        <v>1101</v>
      </c>
      <c r="FP468" s="9"/>
      <c r="FQ468" s="9"/>
      <c r="FR468" s="9"/>
      <c r="FS468" s="9" t="s">
        <v>1101</v>
      </c>
      <c r="FT468" s="9"/>
      <c r="FU468" s="9"/>
      <c r="FV468" s="9"/>
      <c r="FW468" s="9" t="s">
        <v>1101</v>
      </c>
      <c r="FX468" s="9"/>
      <c r="FY468" s="9"/>
      <c r="FZ468" s="9"/>
      <c r="GA468" s="9" t="s">
        <v>1101</v>
      </c>
      <c r="GB468" s="9"/>
      <c r="GC468" s="9"/>
      <c r="GD468" s="9"/>
      <c r="GE468" s="9" t="s">
        <v>1101</v>
      </c>
      <c r="GF468" s="9"/>
      <c r="GG468" s="9"/>
      <c r="GH468" s="9"/>
      <c r="GI468" s="9" t="s">
        <v>1101</v>
      </c>
      <c r="GJ468" s="9"/>
      <c r="GK468" s="9"/>
      <c r="GL468" s="9"/>
      <c r="GM468" s="9" t="s">
        <v>1101</v>
      </c>
      <c r="GN468" s="9"/>
      <c r="GO468" s="9"/>
      <c r="GP468" s="9"/>
      <c r="GQ468" s="9" t="s">
        <v>1101</v>
      </c>
      <c r="GR468" s="9"/>
      <c r="GS468" s="9"/>
      <c r="GT468" s="9"/>
      <c r="GU468" s="9" t="s">
        <v>1101</v>
      </c>
      <c r="GV468" s="9"/>
      <c r="GW468" s="9"/>
      <c r="GX468" s="9"/>
      <c r="GY468" s="9" t="s">
        <v>1101</v>
      </c>
      <c r="GZ468" s="9"/>
      <c r="HA468" s="9"/>
      <c r="HB468" s="9"/>
      <c r="HC468" s="9" t="s">
        <v>1101</v>
      </c>
      <c r="HD468" s="9"/>
      <c r="HE468" s="9"/>
      <c r="HF468" s="9"/>
      <c r="HG468" s="9" t="s">
        <v>1101</v>
      </c>
      <c r="HH468" s="9"/>
      <c r="HI468" s="9"/>
      <c r="HJ468" s="9"/>
      <c r="HK468" s="9" t="s">
        <v>1101</v>
      </c>
      <c r="HL468" s="9"/>
      <c r="HM468" s="9"/>
      <c r="HN468" s="9"/>
      <c r="HO468" s="9" t="s">
        <v>1101</v>
      </c>
      <c r="HP468" s="9"/>
      <c r="HQ468" s="9"/>
      <c r="HR468" s="9"/>
      <c r="HS468" s="9" t="s">
        <v>1101</v>
      </c>
      <c r="HT468" s="9"/>
      <c r="HU468" s="9"/>
      <c r="HV468" s="9"/>
      <c r="HW468" s="9" t="s">
        <v>1101</v>
      </c>
      <c r="HX468" s="9"/>
      <c r="HY468" s="9"/>
      <c r="HZ468" s="9"/>
      <c r="IA468" s="9" t="s">
        <v>1041</v>
      </c>
      <c r="IB468" s="67"/>
      <c r="IC468" s="68"/>
      <c r="ID468" s="157"/>
      <c r="IE468" s="158"/>
    </row>
    <row r="469" spans="1:239" s="11" customFormat="1" x14ac:dyDescent="0.2">
      <c r="A469" s="9">
        <v>30</v>
      </c>
      <c r="B469" s="9"/>
      <c r="C469" s="9"/>
      <c r="D469" s="9" t="s">
        <v>67</v>
      </c>
      <c r="E469" s="65" t="s">
        <v>810</v>
      </c>
      <c r="F469" s="65"/>
      <c r="G469" s="92" t="s">
        <v>2473</v>
      </c>
      <c r="H469" s="66" t="s">
        <v>1379</v>
      </c>
      <c r="I469" s="9"/>
      <c r="J469" s="9" t="s">
        <v>1101</v>
      </c>
      <c r="K469" s="9"/>
      <c r="L469" s="9"/>
      <c r="M469" s="9"/>
      <c r="N469" s="9"/>
      <c r="O469" s="9" t="s">
        <v>1101</v>
      </c>
      <c r="P469" s="9"/>
      <c r="Q469" s="9"/>
      <c r="R469" s="9"/>
      <c r="S469" s="9" t="s">
        <v>1101</v>
      </c>
      <c r="T469" s="9"/>
      <c r="U469" s="9"/>
      <c r="V469" s="9"/>
      <c r="W469" s="9" t="s">
        <v>1101</v>
      </c>
      <c r="X469" s="9"/>
      <c r="Y469" s="9"/>
      <c r="Z469" s="9"/>
      <c r="AA469" s="9" t="s">
        <v>1101</v>
      </c>
      <c r="AB469" s="9"/>
      <c r="AC469" s="9"/>
      <c r="AD469" s="9"/>
      <c r="AE469" s="9" t="s">
        <v>1101</v>
      </c>
      <c r="AF469" s="9"/>
      <c r="AG469" s="9"/>
      <c r="AH469" s="9"/>
      <c r="AI469" s="9" t="s">
        <v>1101</v>
      </c>
      <c r="AJ469" s="9"/>
      <c r="AK469" s="9"/>
      <c r="AL469" s="9"/>
      <c r="AM469" s="9" t="s">
        <v>1101</v>
      </c>
      <c r="AN469" s="9"/>
      <c r="AO469" s="9"/>
      <c r="AP469" s="9"/>
      <c r="AQ469" s="9" t="s">
        <v>1101</v>
      </c>
      <c r="AR469" s="9"/>
      <c r="AS469" s="9"/>
      <c r="AT469" s="9"/>
      <c r="AU469" s="9" t="s">
        <v>1101</v>
      </c>
      <c r="AV469" s="9"/>
      <c r="AW469" s="9"/>
      <c r="AX469" s="9"/>
      <c r="AY469" s="9" t="s">
        <v>1101</v>
      </c>
      <c r="AZ469" s="9"/>
      <c r="BA469" s="9"/>
      <c r="BB469" s="9"/>
      <c r="BC469" s="9" t="s">
        <v>1101</v>
      </c>
      <c r="BD469" s="9"/>
      <c r="BE469" s="9"/>
      <c r="BF469" s="9"/>
      <c r="BG469" s="9" t="s">
        <v>1101</v>
      </c>
      <c r="BH469" s="9"/>
      <c r="BI469" s="9"/>
      <c r="BJ469" s="9"/>
      <c r="BK469" s="9" t="s">
        <v>1101</v>
      </c>
      <c r="BL469" s="9"/>
      <c r="BM469" s="9"/>
      <c r="BN469" s="9"/>
      <c r="BO469" s="9" t="s">
        <v>1101</v>
      </c>
      <c r="BP469" s="9"/>
      <c r="BQ469" s="9"/>
      <c r="BR469" s="9"/>
      <c r="BS469" s="9" t="s">
        <v>1101</v>
      </c>
      <c r="BT469" s="9"/>
      <c r="BU469" s="9"/>
      <c r="BV469" s="9"/>
      <c r="BW469" s="9" t="s">
        <v>1101</v>
      </c>
      <c r="BX469" s="9"/>
      <c r="BY469" s="9"/>
      <c r="BZ469" s="9"/>
      <c r="CA469" s="9" t="s">
        <v>1101</v>
      </c>
      <c r="CB469" s="9"/>
      <c r="CC469" s="9"/>
      <c r="CD469" s="9"/>
      <c r="CE469" s="9" t="s">
        <v>1101</v>
      </c>
      <c r="CF469" s="9"/>
      <c r="CG469" s="9"/>
      <c r="CH469" s="9"/>
      <c r="CI469" s="9" t="s">
        <v>1101</v>
      </c>
      <c r="CJ469" s="9"/>
      <c r="CK469" s="9"/>
      <c r="CL469" s="9"/>
      <c r="CM469" s="9" t="s">
        <v>1101</v>
      </c>
      <c r="CN469" s="9"/>
      <c r="CO469" s="9"/>
      <c r="CP469" s="9"/>
      <c r="CQ469" s="9" t="s">
        <v>1101</v>
      </c>
      <c r="CR469" s="9"/>
      <c r="CS469" s="9"/>
      <c r="CT469" s="9"/>
      <c r="CU469" s="9" t="s">
        <v>1101</v>
      </c>
      <c r="CV469" s="9"/>
      <c r="CW469" s="9"/>
      <c r="CX469" s="9"/>
      <c r="CY469" s="9" t="s">
        <v>1101</v>
      </c>
      <c r="CZ469" s="9"/>
      <c r="DA469" s="9"/>
      <c r="DB469" s="9"/>
      <c r="DC469" s="9" t="s">
        <v>1101</v>
      </c>
      <c r="DD469" s="9"/>
      <c r="DE469" s="9"/>
      <c r="DF469" s="9"/>
      <c r="DG469" s="9" t="s">
        <v>1101</v>
      </c>
      <c r="DH469" s="9"/>
      <c r="DI469" s="9"/>
      <c r="DJ469" s="9"/>
      <c r="DK469" s="9" t="s">
        <v>1101</v>
      </c>
      <c r="DL469" s="9"/>
      <c r="DM469" s="9"/>
      <c r="DN469" s="9"/>
      <c r="DO469" s="9" t="s">
        <v>1101</v>
      </c>
      <c r="DP469" s="9"/>
      <c r="DQ469" s="9"/>
      <c r="DR469" s="9"/>
      <c r="DS469" s="9" t="s">
        <v>1101</v>
      </c>
      <c r="DT469" s="9"/>
      <c r="DU469" s="9"/>
      <c r="DV469" s="9"/>
      <c r="DW469" s="9" t="s">
        <v>1101</v>
      </c>
      <c r="DX469" s="9"/>
      <c r="DY469" s="9"/>
      <c r="DZ469" s="9"/>
      <c r="EA469" s="9" t="s">
        <v>1101</v>
      </c>
      <c r="EB469" s="9"/>
      <c r="EC469" s="9"/>
      <c r="ED469" s="9"/>
      <c r="EE469" s="9" t="s">
        <v>1101</v>
      </c>
      <c r="EF469" s="9"/>
      <c r="EG469" s="9"/>
      <c r="EH469" s="9"/>
      <c r="EI469" s="9" t="s">
        <v>1101</v>
      </c>
      <c r="EJ469" s="9"/>
      <c r="EK469" s="9"/>
      <c r="EL469" s="9"/>
      <c r="EM469" s="9" t="s">
        <v>1101</v>
      </c>
      <c r="EN469" s="9"/>
      <c r="EO469" s="9"/>
      <c r="EP469" s="9"/>
      <c r="EQ469" s="9" t="s">
        <v>1101</v>
      </c>
      <c r="ER469" s="9"/>
      <c r="ES469" s="9"/>
      <c r="ET469" s="9"/>
      <c r="EU469" s="9" t="s">
        <v>1101</v>
      </c>
      <c r="EV469" s="9"/>
      <c r="EW469" s="9"/>
      <c r="EX469" s="9"/>
      <c r="EY469" s="9" t="s">
        <v>1101</v>
      </c>
      <c r="EZ469" s="9"/>
      <c r="FA469" s="9"/>
      <c r="FB469" s="9"/>
      <c r="FC469" s="9" t="s">
        <v>1101</v>
      </c>
      <c r="FD469" s="9"/>
      <c r="FE469" s="9"/>
      <c r="FF469" s="9"/>
      <c r="FG469" s="9" t="s">
        <v>1101</v>
      </c>
      <c r="FH469" s="9"/>
      <c r="FI469" s="9"/>
      <c r="FJ469" s="9"/>
      <c r="FK469" s="9" t="s">
        <v>1101</v>
      </c>
      <c r="FL469" s="9"/>
      <c r="FM469" s="9"/>
      <c r="FN469" s="9"/>
      <c r="FO469" s="9" t="s">
        <v>1101</v>
      </c>
      <c r="FP469" s="9"/>
      <c r="FQ469" s="9"/>
      <c r="FR469" s="9"/>
      <c r="FS469" s="9" t="s">
        <v>1101</v>
      </c>
      <c r="FT469" s="9"/>
      <c r="FU469" s="9"/>
      <c r="FV469" s="9"/>
      <c r="FW469" s="9" t="s">
        <v>1101</v>
      </c>
      <c r="FX469" s="9"/>
      <c r="FY469" s="9"/>
      <c r="FZ469" s="9"/>
      <c r="GA469" s="9" t="s">
        <v>1101</v>
      </c>
      <c r="GB469" s="9"/>
      <c r="GC469" s="9"/>
      <c r="GD469" s="9"/>
      <c r="GE469" s="9" t="s">
        <v>1101</v>
      </c>
      <c r="GF469" s="9"/>
      <c r="GG469" s="9"/>
      <c r="GH469" s="9"/>
      <c r="GI469" s="9" t="s">
        <v>1101</v>
      </c>
      <c r="GJ469" s="9"/>
      <c r="GK469" s="9"/>
      <c r="GL469" s="9"/>
      <c r="GM469" s="9" t="s">
        <v>1101</v>
      </c>
      <c r="GN469" s="9"/>
      <c r="GO469" s="9"/>
      <c r="GP469" s="9"/>
      <c r="GQ469" s="9" t="s">
        <v>1101</v>
      </c>
      <c r="GR469" s="9"/>
      <c r="GS469" s="9"/>
      <c r="GT469" s="9"/>
      <c r="GU469" s="9" t="s">
        <v>1101</v>
      </c>
      <c r="GV469" s="9"/>
      <c r="GW469" s="9"/>
      <c r="GX469" s="9"/>
      <c r="GY469" s="9" t="s">
        <v>1101</v>
      </c>
      <c r="GZ469" s="9"/>
      <c r="HA469" s="9"/>
      <c r="HB469" s="9"/>
      <c r="HC469" s="9" t="s">
        <v>1101</v>
      </c>
      <c r="HD469" s="9"/>
      <c r="HE469" s="9"/>
      <c r="HF469" s="9"/>
      <c r="HG469" s="9" t="s">
        <v>1101</v>
      </c>
      <c r="HH469" s="9"/>
      <c r="HI469" s="9"/>
      <c r="HJ469" s="9"/>
      <c r="HK469" s="9" t="s">
        <v>1101</v>
      </c>
      <c r="HL469" s="9"/>
      <c r="HM469" s="9"/>
      <c r="HN469" s="9"/>
      <c r="HO469" s="9" t="s">
        <v>1101</v>
      </c>
      <c r="HP469" s="9"/>
      <c r="HQ469" s="9"/>
      <c r="HR469" s="9"/>
      <c r="HS469" s="9" t="s">
        <v>1101</v>
      </c>
      <c r="HT469" s="9"/>
      <c r="HU469" s="9"/>
      <c r="HV469" s="9"/>
      <c r="HW469" s="9" t="s">
        <v>1101</v>
      </c>
      <c r="HX469" s="9"/>
      <c r="HY469" s="9"/>
      <c r="HZ469" s="9"/>
      <c r="IA469" s="9" t="s">
        <v>1041</v>
      </c>
      <c r="IB469" s="67"/>
      <c r="IC469" s="68"/>
      <c r="ID469" s="157"/>
      <c r="IE469" s="158"/>
    </row>
    <row r="470" spans="1:239" s="11" customFormat="1" x14ac:dyDescent="0.2">
      <c r="A470" s="9">
        <v>30</v>
      </c>
      <c r="B470" s="9"/>
      <c r="C470" s="9"/>
      <c r="D470" s="9" t="s">
        <v>68</v>
      </c>
      <c r="E470" s="65" t="s">
        <v>811</v>
      </c>
      <c r="F470" s="65"/>
      <c r="G470" s="92" t="s">
        <v>2474</v>
      </c>
      <c r="H470" s="66" t="s">
        <v>1380</v>
      </c>
      <c r="I470" s="9"/>
      <c r="J470" s="9" t="s">
        <v>1101</v>
      </c>
      <c r="K470" s="9"/>
      <c r="L470" s="9"/>
      <c r="M470" s="9"/>
      <c r="N470" s="9"/>
      <c r="O470" s="9" t="s">
        <v>1101</v>
      </c>
      <c r="P470" s="9"/>
      <c r="Q470" s="9"/>
      <c r="R470" s="9"/>
      <c r="S470" s="9" t="s">
        <v>1101</v>
      </c>
      <c r="T470" s="9"/>
      <c r="U470" s="9"/>
      <c r="V470" s="9"/>
      <c r="W470" s="9" t="s">
        <v>1101</v>
      </c>
      <c r="X470" s="9"/>
      <c r="Y470" s="9"/>
      <c r="Z470" s="9"/>
      <c r="AA470" s="9" t="s">
        <v>1101</v>
      </c>
      <c r="AB470" s="9"/>
      <c r="AC470" s="9"/>
      <c r="AD470" s="9"/>
      <c r="AE470" s="9" t="s">
        <v>1101</v>
      </c>
      <c r="AF470" s="9"/>
      <c r="AG470" s="9"/>
      <c r="AH470" s="9"/>
      <c r="AI470" s="9" t="s">
        <v>1101</v>
      </c>
      <c r="AJ470" s="9"/>
      <c r="AK470" s="9"/>
      <c r="AL470" s="9"/>
      <c r="AM470" s="9" t="s">
        <v>1101</v>
      </c>
      <c r="AN470" s="9"/>
      <c r="AO470" s="9"/>
      <c r="AP470" s="9"/>
      <c r="AQ470" s="9" t="s">
        <v>1101</v>
      </c>
      <c r="AR470" s="9"/>
      <c r="AS470" s="9"/>
      <c r="AT470" s="9"/>
      <c r="AU470" s="9" t="s">
        <v>1101</v>
      </c>
      <c r="AV470" s="9"/>
      <c r="AW470" s="9"/>
      <c r="AX470" s="9"/>
      <c r="AY470" s="9" t="s">
        <v>1101</v>
      </c>
      <c r="AZ470" s="9"/>
      <c r="BA470" s="9"/>
      <c r="BB470" s="9"/>
      <c r="BC470" s="9" t="s">
        <v>1101</v>
      </c>
      <c r="BD470" s="9"/>
      <c r="BE470" s="9"/>
      <c r="BF470" s="9"/>
      <c r="BG470" s="9" t="s">
        <v>1101</v>
      </c>
      <c r="BH470" s="9"/>
      <c r="BI470" s="9"/>
      <c r="BJ470" s="9"/>
      <c r="BK470" s="9" t="s">
        <v>1101</v>
      </c>
      <c r="BL470" s="9"/>
      <c r="BM470" s="9"/>
      <c r="BN470" s="9"/>
      <c r="BO470" s="9" t="s">
        <v>1101</v>
      </c>
      <c r="BP470" s="9"/>
      <c r="BQ470" s="9"/>
      <c r="BR470" s="9"/>
      <c r="BS470" s="9" t="s">
        <v>1101</v>
      </c>
      <c r="BT470" s="9"/>
      <c r="BU470" s="9"/>
      <c r="BV470" s="9"/>
      <c r="BW470" s="9" t="s">
        <v>1101</v>
      </c>
      <c r="BX470" s="9"/>
      <c r="BY470" s="9"/>
      <c r="BZ470" s="9"/>
      <c r="CA470" s="9" t="s">
        <v>1101</v>
      </c>
      <c r="CB470" s="9"/>
      <c r="CC470" s="9"/>
      <c r="CD470" s="9"/>
      <c r="CE470" s="9" t="s">
        <v>1101</v>
      </c>
      <c r="CF470" s="9"/>
      <c r="CG470" s="9"/>
      <c r="CH470" s="9"/>
      <c r="CI470" s="9" t="s">
        <v>1101</v>
      </c>
      <c r="CJ470" s="9"/>
      <c r="CK470" s="9"/>
      <c r="CL470" s="9"/>
      <c r="CM470" s="9" t="s">
        <v>1101</v>
      </c>
      <c r="CN470" s="9"/>
      <c r="CO470" s="9"/>
      <c r="CP470" s="9"/>
      <c r="CQ470" s="9" t="s">
        <v>1101</v>
      </c>
      <c r="CR470" s="9"/>
      <c r="CS470" s="9"/>
      <c r="CT470" s="9"/>
      <c r="CU470" s="9" t="s">
        <v>1101</v>
      </c>
      <c r="CV470" s="9"/>
      <c r="CW470" s="9"/>
      <c r="CX470" s="9"/>
      <c r="CY470" s="9" t="s">
        <v>1101</v>
      </c>
      <c r="CZ470" s="9"/>
      <c r="DA470" s="9"/>
      <c r="DB470" s="9"/>
      <c r="DC470" s="9" t="s">
        <v>1101</v>
      </c>
      <c r="DD470" s="9"/>
      <c r="DE470" s="9"/>
      <c r="DF470" s="9"/>
      <c r="DG470" s="9" t="s">
        <v>1101</v>
      </c>
      <c r="DH470" s="9"/>
      <c r="DI470" s="9"/>
      <c r="DJ470" s="9"/>
      <c r="DK470" s="9" t="s">
        <v>1101</v>
      </c>
      <c r="DL470" s="9"/>
      <c r="DM470" s="9"/>
      <c r="DN470" s="9"/>
      <c r="DO470" s="9" t="s">
        <v>1101</v>
      </c>
      <c r="DP470" s="9"/>
      <c r="DQ470" s="9"/>
      <c r="DR470" s="9"/>
      <c r="DS470" s="9" t="s">
        <v>1101</v>
      </c>
      <c r="DT470" s="9"/>
      <c r="DU470" s="9"/>
      <c r="DV470" s="9"/>
      <c r="DW470" s="9" t="s">
        <v>1101</v>
      </c>
      <c r="DX470" s="9"/>
      <c r="DY470" s="9"/>
      <c r="DZ470" s="9"/>
      <c r="EA470" s="9" t="s">
        <v>1101</v>
      </c>
      <c r="EB470" s="9"/>
      <c r="EC470" s="9"/>
      <c r="ED470" s="9"/>
      <c r="EE470" s="9" t="s">
        <v>1101</v>
      </c>
      <c r="EF470" s="9"/>
      <c r="EG470" s="9"/>
      <c r="EH470" s="9"/>
      <c r="EI470" s="9" t="s">
        <v>1101</v>
      </c>
      <c r="EJ470" s="9"/>
      <c r="EK470" s="9"/>
      <c r="EL470" s="9"/>
      <c r="EM470" s="9" t="s">
        <v>1101</v>
      </c>
      <c r="EN470" s="9"/>
      <c r="EO470" s="9"/>
      <c r="EP470" s="9"/>
      <c r="EQ470" s="9" t="s">
        <v>1101</v>
      </c>
      <c r="ER470" s="9"/>
      <c r="ES470" s="9"/>
      <c r="ET470" s="9"/>
      <c r="EU470" s="9" t="s">
        <v>1101</v>
      </c>
      <c r="EV470" s="9"/>
      <c r="EW470" s="9"/>
      <c r="EX470" s="9"/>
      <c r="EY470" s="9" t="s">
        <v>1101</v>
      </c>
      <c r="EZ470" s="9"/>
      <c r="FA470" s="9"/>
      <c r="FB470" s="9"/>
      <c r="FC470" s="9" t="s">
        <v>1101</v>
      </c>
      <c r="FD470" s="9"/>
      <c r="FE470" s="9"/>
      <c r="FF470" s="9"/>
      <c r="FG470" s="9" t="s">
        <v>1101</v>
      </c>
      <c r="FH470" s="9"/>
      <c r="FI470" s="9"/>
      <c r="FJ470" s="9"/>
      <c r="FK470" s="9" t="s">
        <v>1101</v>
      </c>
      <c r="FL470" s="9"/>
      <c r="FM470" s="9"/>
      <c r="FN470" s="9"/>
      <c r="FO470" s="9" t="s">
        <v>1101</v>
      </c>
      <c r="FP470" s="9"/>
      <c r="FQ470" s="9"/>
      <c r="FR470" s="9"/>
      <c r="FS470" s="9" t="s">
        <v>1101</v>
      </c>
      <c r="FT470" s="9"/>
      <c r="FU470" s="9"/>
      <c r="FV470" s="9"/>
      <c r="FW470" s="9" t="s">
        <v>1101</v>
      </c>
      <c r="FX470" s="9"/>
      <c r="FY470" s="9"/>
      <c r="FZ470" s="9"/>
      <c r="GA470" s="9" t="s">
        <v>1101</v>
      </c>
      <c r="GB470" s="9"/>
      <c r="GC470" s="9"/>
      <c r="GD470" s="9"/>
      <c r="GE470" s="9" t="s">
        <v>1101</v>
      </c>
      <c r="GF470" s="9"/>
      <c r="GG470" s="9"/>
      <c r="GH470" s="9"/>
      <c r="GI470" s="9" t="s">
        <v>1101</v>
      </c>
      <c r="GJ470" s="9"/>
      <c r="GK470" s="9"/>
      <c r="GL470" s="9"/>
      <c r="GM470" s="9" t="s">
        <v>1101</v>
      </c>
      <c r="GN470" s="9"/>
      <c r="GO470" s="9"/>
      <c r="GP470" s="9"/>
      <c r="GQ470" s="9" t="s">
        <v>1101</v>
      </c>
      <c r="GR470" s="9"/>
      <c r="GS470" s="9"/>
      <c r="GT470" s="9"/>
      <c r="GU470" s="9" t="s">
        <v>1101</v>
      </c>
      <c r="GV470" s="9"/>
      <c r="GW470" s="9"/>
      <c r="GX470" s="9"/>
      <c r="GY470" s="9" t="s">
        <v>1101</v>
      </c>
      <c r="GZ470" s="9"/>
      <c r="HA470" s="9"/>
      <c r="HB470" s="9"/>
      <c r="HC470" s="9" t="s">
        <v>1101</v>
      </c>
      <c r="HD470" s="9"/>
      <c r="HE470" s="9"/>
      <c r="HF470" s="9"/>
      <c r="HG470" s="9" t="s">
        <v>1101</v>
      </c>
      <c r="HH470" s="9"/>
      <c r="HI470" s="9"/>
      <c r="HJ470" s="9"/>
      <c r="HK470" s="9" t="s">
        <v>1101</v>
      </c>
      <c r="HL470" s="9"/>
      <c r="HM470" s="9"/>
      <c r="HN470" s="9"/>
      <c r="HO470" s="9" t="s">
        <v>1101</v>
      </c>
      <c r="HP470" s="9"/>
      <c r="HQ470" s="9"/>
      <c r="HR470" s="9"/>
      <c r="HS470" s="9" t="s">
        <v>1101</v>
      </c>
      <c r="HT470" s="9"/>
      <c r="HU470" s="9"/>
      <c r="HV470" s="9"/>
      <c r="HW470" s="9" t="s">
        <v>1101</v>
      </c>
      <c r="HX470" s="9"/>
      <c r="HY470" s="9"/>
      <c r="HZ470" s="9"/>
      <c r="IA470" s="9" t="s">
        <v>1041</v>
      </c>
      <c r="IB470" s="67"/>
      <c r="IC470" s="68"/>
      <c r="ID470" s="157"/>
      <c r="IE470" s="158"/>
    </row>
    <row r="471" spans="1:239" s="11" customFormat="1" x14ac:dyDescent="0.2">
      <c r="A471" s="9">
        <v>30</v>
      </c>
      <c r="B471" s="9"/>
      <c r="C471" s="9"/>
      <c r="D471" s="9" t="s">
        <v>14</v>
      </c>
      <c r="E471" s="65" t="s">
        <v>49</v>
      </c>
      <c r="F471" s="65"/>
      <c r="G471" s="92" t="s">
        <v>2475</v>
      </c>
      <c r="H471" s="66" t="s">
        <v>1381</v>
      </c>
      <c r="I471" s="9"/>
      <c r="J471" s="9" t="s">
        <v>1101</v>
      </c>
      <c r="K471" s="9"/>
      <c r="L471" s="9"/>
      <c r="M471" s="9"/>
      <c r="N471" s="9"/>
      <c r="O471" s="9" t="s">
        <v>1101</v>
      </c>
      <c r="P471" s="9"/>
      <c r="Q471" s="9"/>
      <c r="R471" s="9"/>
      <c r="S471" s="9" t="s">
        <v>1101</v>
      </c>
      <c r="T471" s="9"/>
      <c r="U471" s="9"/>
      <c r="V471" s="9"/>
      <c r="W471" s="9" t="s">
        <v>1101</v>
      </c>
      <c r="X471" s="9"/>
      <c r="Y471" s="9"/>
      <c r="Z471" s="9"/>
      <c r="AA471" s="9" t="s">
        <v>1101</v>
      </c>
      <c r="AB471" s="9"/>
      <c r="AC471" s="9"/>
      <c r="AD471" s="9"/>
      <c r="AE471" s="9" t="s">
        <v>1101</v>
      </c>
      <c r="AF471" s="9"/>
      <c r="AG471" s="9"/>
      <c r="AH471" s="9"/>
      <c r="AI471" s="9" t="s">
        <v>1101</v>
      </c>
      <c r="AJ471" s="9"/>
      <c r="AK471" s="9"/>
      <c r="AL471" s="9"/>
      <c r="AM471" s="9" t="s">
        <v>1101</v>
      </c>
      <c r="AN471" s="9"/>
      <c r="AO471" s="9"/>
      <c r="AP471" s="9"/>
      <c r="AQ471" s="9" t="s">
        <v>1101</v>
      </c>
      <c r="AR471" s="9"/>
      <c r="AS471" s="9"/>
      <c r="AT471" s="9"/>
      <c r="AU471" s="9" t="s">
        <v>1101</v>
      </c>
      <c r="AV471" s="9"/>
      <c r="AW471" s="9"/>
      <c r="AX471" s="9"/>
      <c r="AY471" s="9" t="s">
        <v>1101</v>
      </c>
      <c r="AZ471" s="9"/>
      <c r="BA471" s="9"/>
      <c r="BB471" s="9"/>
      <c r="BC471" s="9" t="s">
        <v>1101</v>
      </c>
      <c r="BD471" s="9"/>
      <c r="BE471" s="9"/>
      <c r="BF471" s="9"/>
      <c r="BG471" s="9" t="s">
        <v>1101</v>
      </c>
      <c r="BH471" s="9"/>
      <c r="BI471" s="9"/>
      <c r="BJ471" s="9"/>
      <c r="BK471" s="9" t="s">
        <v>1101</v>
      </c>
      <c r="BL471" s="9"/>
      <c r="BM471" s="9"/>
      <c r="BN471" s="9"/>
      <c r="BO471" s="9" t="s">
        <v>1101</v>
      </c>
      <c r="BP471" s="9"/>
      <c r="BQ471" s="9"/>
      <c r="BR471" s="9"/>
      <c r="BS471" s="9" t="s">
        <v>1101</v>
      </c>
      <c r="BT471" s="9"/>
      <c r="BU471" s="9"/>
      <c r="BV471" s="9"/>
      <c r="BW471" s="9" t="s">
        <v>1101</v>
      </c>
      <c r="BX471" s="9"/>
      <c r="BY471" s="9"/>
      <c r="BZ471" s="9"/>
      <c r="CA471" s="9" t="s">
        <v>1101</v>
      </c>
      <c r="CB471" s="9"/>
      <c r="CC471" s="9"/>
      <c r="CD471" s="9"/>
      <c r="CE471" s="9" t="s">
        <v>1101</v>
      </c>
      <c r="CF471" s="9"/>
      <c r="CG471" s="9"/>
      <c r="CH471" s="9"/>
      <c r="CI471" s="9" t="s">
        <v>1101</v>
      </c>
      <c r="CJ471" s="9"/>
      <c r="CK471" s="9"/>
      <c r="CL471" s="9"/>
      <c r="CM471" s="9" t="s">
        <v>1101</v>
      </c>
      <c r="CN471" s="9"/>
      <c r="CO471" s="9"/>
      <c r="CP471" s="9"/>
      <c r="CQ471" s="9" t="s">
        <v>1101</v>
      </c>
      <c r="CR471" s="9"/>
      <c r="CS471" s="9"/>
      <c r="CT471" s="9"/>
      <c r="CU471" s="9" t="s">
        <v>1101</v>
      </c>
      <c r="CV471" s="9"/>
      <c r="CW471" s="9"/>
      <c r="CX471" s="9"/>
      <c r="CY471" s="9" t="s">
        <v>1101</v>
      </c>
      <c r="CZ471" s="9"/>
      <c r="DA471" s="9"/>
      <c r="DB471" s="9"/>
      <c r="DC471" s="9" t="s">
        <v>1101</v>
      </c>
      <c r="DD471" s="9"/>
      <c r="DE471" s="9"/>
      <c r="DF471" s="9"/>
      <c r="DG471" s="9" t="s">
        <v>1101</v>
      </c>
      <c r="DH471" s="9"/>
      <c r="DI471" s="9"/>
      <c r="DJ471" s="9"/>
      <c r="DK471" s="9" t="s">
        <v>1101</v>
      </c>
      <c r="DL471" s="9"/>
      <c r="DM471" s="9"/>
      <c r="DN471" s="9"/>
      <c r="DO471" s="9" t="s">
        <v>1101</v>
      </c>
      <c r="DP471" s="9"/>
      <c r="DQ471" s="9"/>
      <c r="DR471" s="9"/>
      <c r="DS471" s="9" t="s">
        <v>1101</v>
      </c>
      <c r="DT471" s="9"/>
      <c r="DU471" s="9"/>
      <c r="DV471" s="9"/>
      <c r="DW471" s="9" t="s">
        <v>1101</v>
      </c>
      <c r="DX471" s="9"/>
      <c r="DY471" s="9"/>
      <c r="DZ471" s="9"/>
      <c r="EA471" s="9" t="s">
        <v>1101</v>
      </c>
      <c r="EB471" s="9"/>
      <c r="EC471" s="9"/>
      <c r="ED471" s="9"/>
      <c r="EE471" s="9" t="s">
        <v>1101</v>
      </c>
      <c r="EF471" s="9"/>
      <c r="EG471" s="9"/>
      <c r="EH471" s="9"/>
      <c r="EI471" s="9" t="s">
        <v>1101</v>
      </c>
      <c r="EJ471" s="9"/>
      <c r="EK471" s="9"/>
      <c r="EL471" s="9"/>
      <c r="EM471" s="9" t="s">
        <v>1101</v>
      </c>
      <c r="EN471" s="9"/>
      <c r="EO471" s="9"/>
      <c r="EP471" s="9"/>
      <c r="EQ471" s="9" t="s">
        <v>1101</v>
      </c>
      <c r="ER471" s="9"/>
      <c r="ES471" s="9"/>
      <c r="ET471" s="9"/>
      <c r="EU471" s="9" t="s">
        <v>1101</v>
      </c>
      <c r="EV471" s="9"/>
      <c r="EW471" s="9"/>
      <c r="EX471" s="9"/>
      <c r="EY471" s="9" t="s">
        <v>1101</v>
      </c>
      <c r="EZ471" s="9"/>
      <c r="FA471" s="9"/>
      <c r="FB471" s="9"/>
      <c r="FC471" s="9" t="s">
        <v>1101</v>
      </c>
      <c r="FD471" s="9"/>
      <c r="FE471" s="9"/>
      <c r="FF471" s="9"/>
      <c r="FG471" s="9" t="s">
        <v>1101</v>
      </c>
      <c r="FH471" s="9"/>
      <c r="FI471" s="9"/>
      <c r="FJ471" s="9"/>
      <c r="FK471" s="9" t="s">
        <v>1101</v>
      </c>
      <c r="FL471" s="9"/>
      <c r="FM471" s="9"/>
      <c r="FN471" s="9"/>
      <c r="FO471" s="9" t="s">
        <v>1101</v>
      </c>
      <c r="FP471" s="9"/>
      <c r="FQ471" s="9"/>
      <c r="FR471" s="9"/>
      <c r="FS471" s="9" t="s">
        <v>1101</v>
      </c>
      <c r="FT471" s="9"/>
      <c r="FU471" s="9"/>
      <c r="FV471" s="9"/>
      <c r="FW471" s="9" t="s">
        <v>1101</v>
      </c>
      <c r="FX471" s="9"/>
      <c r="FY471" s="9"/>
      <c r="FZ471" s="9"/>
      <c r="GA471" s="9" t="s">
        <v>1101</v>
      </c>
      <c r="GB471" s="9"/>
      <c r="GC471" s="9"/>
      <c r="GD471" s="9"/>
      <c r="GE471" s="9" t="s">
        <v>1101</v>
      </c>
      <c r="GF471" s="9"/>
      <c r="GG471" s="9"/>
      <c r="GH471" s="9"/>
      <c r="GI471" s="9" t="s">
        <v>1101</v>
      </c>
      <c r="GJ471" s="9"/>
      <c r="GK471" s="9"/>
      <c r="GL471" s="9"/>
      <c r="GM471" s="9" t="s">
        <v>1101</v>
      </c>
      <c r="GN471" s="9"/>
      <c r="GO471" s="9"/>
      <c r="GP471" s="9"/>
      <c r="GQ471" s="9" t="s">
        <v>1101</v>
      </c>
      <c r="GR471" s="9"/>
      <c r="GS471" s="9"/>
      <c r="GT471" s="9"/>
      <c r="GU471" s="9" t="s">
        <v>1101</v>
      </c>
      <c r="GV471" s="9"/>
      <c r="GW471" s="9"/>
      <c r="GX471" s="9"/>
      <c r="GY471" s="9" t="s">
        <v>1101</v>
      </c>
      <c r="GZ471" s="9"/>
      <c r="HA471" s="9"/>
      <c r="HB471" s="9"/>
      <c r="HC471" s="9" t="s">
        <v>1101</v>
      </c>
      <c r="HD471" s="9"/>
      <c r="HE471" s="9"/>
      <c r="HF471" s="9"/>
      <c r="HG471" s="9" t="s">
        <v>1101</v>
      </c>
      <c r="HH471" s="9"/>
      <c r="HI471" s="9"/>
      <c r="HJ471" s="9"/>
      <c r="HK471" s="9" t="s">
        <v>1101</v>
      </c>
      <c r="HL471" s="9"/>
      <c r="HM471" s="9"/>
      <c r="HN471" s="9"/>
      <c r="HO471" s="9" t="s">
        <v>1101</v>
      </c>
      <c r="HP471" s="9"/>
      <c r="HQ471" s="9"/>
      <c r="HR471" s="9"/>
      <c r="HS471" s="9" t="s">
        <v>1101</v>
      </c>
      <c r="HT471" s="9"/>
      <c r="HU471" s="9"/>
      <c r="HV471" s="9"/>
      <c r="HW471" s="9" t="s">
        <v>1101</v>
      </c>
      <c r="HX471" s="9"/>
      <c r="HY471" s="9"/>
      <c r="HZ471" s="9"/>
      <c r="IA471" s="9" t="s">
        <v>1041</v>
      </c>
      <c r="IB471" s="67"/>
      <c r="IC471" s="68"/>
      <c r="ID471" s="157"/>
      <c r="IE471" s="158"/>
    </row>
    <row r="472" spans="1:239" s="11" customFormat="1" x14ac:dyDescent="0.2">
      <c r="A472" s="9">
        <v>30</v>
      </c>
      <c r="B472" s="9"/>
      <c r="C472" s="9"/>
      <c r="D472" s="9" t="s">
        <v>69</v>
      </c>
      <c r="E472" s="65" t="s">
        <v>70</v>
      </c>
      <c r="F472" s="65"/>
      <c r="G472" s="92" t="s">
        <v>2476</v>
      </c>
      <c r="H472" s="66" t="s">
        <v>1382</v>
      </c>
      <c r="I472" s="9"/>
      <c r="J472" s="9" t="s">
        <v>1101</v>
      </c>
      <c r="K472" s="9"/>
      <c r="L472" s="9"/>
      <c r="M472" s="9"/>
      <c r="N472" s="9"/>
      <c r="O472" s="9" t="s">
        <v>1101</v>
      </c>
      <c r="P472" s="9"/>
      <c r="Q472" s="9"/>
      <c r="R472" s="9"/>
      <c r="S472" s="9" t="s">
        <v>1101</v>
      </c>
      <c r="T472" s="9"/>
      <c r="U472" s="9"/>
      <c r="V472" s="9"/>
      <c r="W472" s="9" t="s">
        <v>1101</v>
      </c>
      <c r="X472" s="9"/>
      <c r="Y472" s="9"/>
      <c r="Z472" s="9"/>
      <c r="AA472" s="9" t="s">
        <v>1101</v>
      </c>
      <c r="AB472" s="9"/>
      <c r="AC472" s="9"/>
      <c r="AD472" s="9"/>
      <c r="AE472" s="9" t="s">
        <v>1101</v>
      </c>
      <c r="AF472" s="9"/>
      <c r="AG472" s="9"/>
      <c r="AH472" s="9"/>
      <c r="AI472" s="9" t="s">
        <v>1101</v>
      </c>
      <c r="AJ472" s="9"/>
      <c r="AK472" s="9"/>
      <c r="AL472" s="9"/>
      <c r="AM472" s="9" t="s">
        <v>1101</v>
      </c>
      <c r="AN472" s="9"/>
      <c r="AO472" s="9"/>
      <c r="AP472" s="9"/>
      <c r="AQ472" s="9" t="s">
        <v>1101</v>
      </c>
      <c r="AR472" s="9"/>
      <c r="AS472" s="9"/>
      <c r="AT472" s="9"/>
      <c r="AU472" s="9" t="s">
        <v>1101</v>
      </c>
      <c r="AV472" s="9"/>
      <c r="AW472" s="9"/>
      <c r="AX472" s="9"/>
      <c r="AY472" s="9" t="s">
        <v>1101</v>
      </c>
      <c r="AZ472" s="9"/>
      <c r="BA472" s="9"/>
      <c r="BB472" s="9"/>
      <c r="BC472" s="9" t="s">
        <v>1101</v>
      </c>
      <c r="BD472" s="9"/>
      <c r="BE472" s="9"/>
      <c r="BF472" s="9"/>
      <c r="BG472" s="9" t="s">
        <v>1101</v>
      </c>
      <c r="BH472" s="9"/>
      <c r="BI472" s="9"/>
      <c r="BJ472" s="9"/>
      <c r="BK472" s="9" t="s">
        <v>1101</v>
      </c>
      <c r="BL472" s="9"/>
      <c r="BM472" s="9"/>
      <c r="BN472" s="9"/>
      <c r="BO472" s="9" t="s">
        <v>1101</v>
      </c>
      <c r="BP472" s="9"/>
      <c r="BQ472" s="9"/>
      <c r="BR472" s="9"/>
      <c r="BS472" s="9" t="s">
        <v>1101</v>
      </c>
      <c r="BT472" s="9"/>
      <c r="BU472" s="9"/>
      <c r="BV472" s="9"/>
      <c r="BW472" s="9" t="s">
        <v>1101</v>
      </c>
      <c r="BX472" s="9"/>
      <c r="BY472" s="9"/>
      <c r="BZ472" s="9"/>
      <c r="CA472" s="9" t="s">
        <v>1101</v>
      </c>
      <c r="CB472" s="9"/>
      <c r="CC472" s="9"/>
      <c r="CD472" s="9"/>
      <c r="CE472" s="9" t="s">
        <v>1101</v>
      </c>
      <c r="CF472" s="9"/>
      <c r="CG472" s="9"/>
      <c r="CH472" s="9"/>
      <c r="CI472" s="9" t="s">
        <v>1101</v>
      </c>
      <c r="CJ472" s="9"/>
      <c r="CK472" s="9"/>
      <c r="CL472" s="9"/>
      <c r="CM472" s="9" t="s">
        <v>1101</v>
      </c>
      <c r="CN472" s="9"/>
      <c r="CO472" s="9"/>
      <c r="CP472" s="9"/>
      <c r="CQ472" s="9" t="s">
        <v>1101</v>
      </c>
      <c r="CR472" s="9"/>
      <c r="CS472" s="9"/>
      <c r="CT472" s="9"/>
      <c r="CU472" s="9" t="s">
        <v>1101</v>
      </c>
      <c r="CV472" s="9"/>
      <c r="CW472" s="9"/>
      <c r="CX472" s="9"/>
      <c r="CY472" s="9" t="s">
        <v>1101</v>
      </c>
      <c r="CZ472" s="9"/>
      <c r="DA472" s="9"/>
      <c r="DB472" s="9"/>
      <c r="DC472" s="9" t="s">
        <v>1101</v>
      </c>
      <c r="DD472" s="9"/>
      <c r="DE472" s="9"/>
      <c r="DF472" s="9"/>
      <c r="DG472" s="9" t="s">
        <v>1101</v>
      </c>
      <c r="DH472" s="9"/>
      <c r="DI472" s="9"/>
      <c r="DJ472" s="9"/>
      <c r="DK472" s="9" t="s">
        <v>1101</v>
      </c>
      <c r="DL472" s="9"/>
      <c r="DM472" s="9"/>
      <c r="DN472" s="9"/>
      <c r="DO472" s="9" t="s">
        <v>1101</v>
      </c>
      <c r="DP472" s="9"/>
      <c r="DQ472" s="9"/>
      <c r="DR472" s="9"/>
      <c r="DS472" s="9" t="s">
        <v>1101</v>
      </c>
      <c r="DT472" s="9"/>
      <c r="DU472" s="9"/>
      <c r="DV472" s="9"/>
      <c r="DW472" s="9" t="s">
        <v>1101</v>
      </c>
      <c r="DX472" s="9"/>
      <c r="DY472" s="9"/>
      <c r="DZ472" s="9"/>
      <c r="EA472" s="9" t="s">
        <v>1101</v>
      </c>
      <c r="EB472" s="9"/>
      <c r="EC472" s="9"/>
      <c r="ED472" s="9"/>
      <c r="EE472" s="9" t="s">
        <v>1101</v>
      </c>
      <c r="EF472" s="9"/>
      <c r="EG472" s="9"/>
      <c r="EH472" s="9"/>
      <c r="EI472" s="9" t="s">
        <v>1101</v>
      </c>
      <c r="EJ472" s="9"/>
      <c r="EK472" s="9"/>
      <c r="EL472" s="9"/>
      <c r="EM472" s="9" t="s">
        <v>1101</v>
      </c>
      <c r="EN472" s="9"/>
      <c r="EO472" s="9"/>
      <c r="EP472" s="9"/>
      <c r="EQ472" s="9" t="s">
        <v>1101</v>
      </c>
      <c r="ER472" s="9"/>
      <c r="ES472" s="9"/>
      <c r="ET472" s="9"/>
      <c r="EU472" s="9" t="s">
        <v>1101</v>
      </c>
      <c r="EV472" s="9"/>
      <c r="EW472" s="9"/>
      <c r="EX472" s="9"/>
      <c r="EY472" s="9" t="s">
        <v>1101</v>
      </c>
      <c r="EZ472" s="9"/>
      <c r="FA472" s="9"/>
      <c r="FB472" s="9"/>
      <c r="FC472" s="9" t="s">
        <v>1101</v>
      </c>
      <c r="FD472" s="9"/>
      <c r="FE472" s="9"/>
      <c r="FF472" s="9"/>
      <c r="FG472" s="9" t="s">
        <v>1101</v>
      </c>
      <c r="FH472" s="9"/>
      <c r="FI472" s="9"/>
      <c r="FJ472" s="9"/>
      <c r="FK472" s="9" t="s">
        <v>1101</v>
      </c>
      <c r="FL472" s="9"/>
      <c r="FM472" s="9"/>
      <c r="FN472" s="9"/>
      <c r="FO472" s="9" t="s">
        <v>1101</v>
      </c>
      <c r="FP472" s="9"/>
      <c r="FQ472" s="9"/>
      <c r="FR472" s="9"/>
      <c r="FS472" s="9" t="s">
        <v>1101</v>
      </c>
      <c r="FT472" s="9"/>
      <c r="FU472" s="9"/>
      <c r="FV472" s="9"/>
      <c r="FW472" s="9" t="s">
        <v>1101</v>
      </c>
      <c r="FX472" s="9"/>
      <c r="FY472" s="9"/>
      <c r="FZ472" s="9"/>
      <c r="GA472" s="9" t="s">
        <v>1101</v>
      </c>
      <c r="GB472" s="9"/>
      <c r="GC472" s="9"/>
      <c r="GD472" s="9"/>
      <c r="GE472" s="9" t="s">
        <v>1101</v>
      </c>
      <c r="GF472" s="9"/>
      <c r="GG472" s="9"/>
      <c r="GH472" s="9"/>
      <c r="GI472" s="9" t="s">
        <v>1101</v>
      </c>
      <c r="GJ472" s="9"/>
      <c r="GK472" s="9"/>
      <c r="GL472" s="9"/>
      <c r="GM472" s="9" t="s">
        <v>1101</v>
      </c>
      <c r="GN472" s="9"/>
      <c r="GO472" s="9"/>
      <c r="GP472" s="9"/>
      <c r="GQ472" s="9" t="s">
        <v>1101</v>
      </c>
      <c r="GR472" s="9"/>
      <c r="GS472" s="9"/>
      <c r="GT472" s="9"/>
      <c r="GU472" s="9" t="s">
        <v>1101</v>
      </c>
      <c r="GV472" s="9"/>
      <c r="GW472" s="9"/>
      <c r="GX472" s="9"/>
      <c r="GY472" s="9" t="s">
        <v>1101</v>
      </c>
      <c r="GZ472" s="9"/>
      <c r="HA472" s="9"/>
      <c r="HB472" s="9"/>
      <c r="HC472" s="9" t="s">
        <v>1101</v>
      </c>
      <c r="HD472" s="9"/>
      <c r="HE472" s="9"/>
      <c r="HF472" s="9"/>
      <c r="HG472" s="9" t="s">
        <v>1101</v>
      </c>
      <c r="HH472" s="9"/>
      <c r="HI472" s="9"/>
      <c r="HJ472" s="9"/>
      <c r="HK472" s="9" t="s">
        <v>1101</v>
      </c>
      <c r="HL472" s="9"/>
      <c r="HM472" s="9"/>
      <c r="HN472" s="9"/>
      <c r="HO472" s="9" t="s">
        <v>1101</v>
      </c>
      <c r="HP472" s="9"/>
      <c r="HQ472" s="9"/>
      <c r="HR472" s="9"/>
      <c r="HS472" s="9" t="s">
        <v>1101</v>
      </c>
      <c r="HT472" s="9"/>
      <c r="HU472" s="9"/>
      <c r="HV472" s="9"/>
      <c r="HW472" s="9" t="s">
        <v>1101</v>
      </c>
      <c r="HX472" s="9"/>
      <c r="HY472" s="9"/>
      <c r="HZ472" s="9"/>
      <c r="IA472" s="9" t="s">
        <v>1041</v>
      </c>
      <c r="IB472" s="67"/>
      <c r="IC472" s="68"/>
      <c r="ID472" s="157"/>
      <c r="IE472" s="158"/>
    </row>
    <row r="473" spans="1:239" s="11" customFormat="1" x14ac:dyDescent="0.2">
      <c r="A473" s="9">
        <v>30</v>
      </c>
      <c r="B473" s="9"/>
      <c r="C473" s="9"/>
      <c r="D473" s="9" t="s">
        <v>71</v>
      </c>
      <c r="E473" s="65" t="s">
        <v>72</v>
      </c>
      <c r="F473" s="65"/>
      <c r="G473" s="92" t="s">
        <v>2477</v>
      </c>
      <c r="H473" s="66" t="s">
        <v>1383</v>
      </c>
      <c r="I473" s="9"/>
      <c r="J473" s="9" t="s">
        <v>1101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  <c r="EN473" s="9"/>
      <c r="EO473" s="9"/>
      <c r="EP473" s="9"/>
      <c r="EQ473" s="9"/>
      <c r="ER473" s="9"/>
      <c r="ES473" s="9"/>
      <c r="ET473" s="9"/>
      <c r="EU473" s="9"/>
      <c r="EV473" s="9"/>
      <c r="EW473" s="9"/>
      <c r="EX473" s="9"/>
      <c r="EY473" s="9"/>
      <c r="EZ473" s="9"/>
      <c r="FA473" s="9"/>
      <c r="FB473" s="9"/>
      <c r="FC473" s="9"/>
      <c r="FD473" s="9"/>
      <c r="FE473" s="9"/>
      <c r="FF473" s="9"/>
      <c r="FG473" s="9"/>
      <c r="FH473" s="9"/>
      <c r="FI473" s="9"/>
      <c r="FJ473" s="9"/>
      <c r="FK473" s="9"/>
      <c r="FL473" s="9"/>
      <c r="FM473" s="9"/>
      <c r="FN473" s="9"/>
      <c r="FO473" s="9"/>
      <c r="FP473" s="9"/>
      <c r="FQ473" s="9"/>
      <c r="FR473" s="9"/>
      <c r="FS473" s="9"/>
      <c r="FT473" s="9"/>
      <c r="FU473" s="9"/>
      <c r="FV473" s="9"/>
      <c r="FW473" s="9"/>
      <c r="FX473" s="9"/>
      <c r="FY473" s="9"/>
      <c r="FZ473" s="9"/>
      <c r="GA473" s="9"/>
      <c r="GB473" s="9"/>
      <c r="GC473" s="9"/>
      <c r="GD473" s="9"/>
      <c r="GE473" s="9"/>
      <c r="GF473" s="9"/>
      <c r="GG473" s="9"/>
      <c r="GH473" s="9"/>
      <c r="GI473" s="9"/>
      <c r="GJ473" s="9"/>
      <c r="GK473" s="9"/>
      <c r="GL473" s="9"/>
      <c r="GM473" s="9"/>
      <c r="GN473" s="9"/>
      <c r="GO473" s="9"/>
      <c r="GP473" s="9"/>
      <c r="GQ473" s="9"/>
      <c r="GR473" s="9"/>
      <c r="GS473" s="9"/>
      <c r="GT473" s="9"/>
      <c r="GU473" s="9"/>
      <c r="GV473" s="9"/>
      <c r="GW473" s="9"/>
      <c r="GX473" s="9"/>
      <c r="GY473" s="9"/>
      <c r="GZ473" s="9"/>
      <c r="HA473" s="9"/>
      <c r="HB473" s="9"/>
      <c r="HC473" s="9"/>
      <c r="HD473" s="9"/>
      <c r="HE473" s="9"/>
      <c r="HF473" s="9"/>
      <c r="HG473" s="9"/>
      <c r="HH473" s="9"/>
      <c r="HI473" s="9"/>
      <c r="HJ473" s="9"/>
      <c r="HK473" s="9"/>
      <c r="HL473" s="9"/>
      <c r="HM473" s="9"/>
      <c r="HN473" s="9"/>
      <c r="HO473" s="9"/>
      <c r="HP473" s="9"/>
      <c r="HQ473" s="9"/>
      <c r="HR473" s="9"/>
      <c r="HS473" s="9"/>
      <c r="HT473" s="9"/>
      <c r="HU473" s="9"/>
      <c r="HV473" s="9"/>
      <c r="HW473" s="9"/>
      <c r="HX473" s="9"/>
      <c r="HY473" s="9"/>
      <c r="HZ473" s="9"/>
      <c r="IA473" s="9"/>
      <c r="IB473" s="67"/>
      <c r="IC473" s="68"/>
      <c r="ID473" s="157"/>
      <c r="IE473" s="158"/>
    </row>
    <row r="474" spans="1:239" s="11" customFormat="1" x14ac:dyDescent="0.2">
      <c r="A474" s="9">
        <v>30</v>
      </c>
      <c r="B474" s="9"/>
      <c r="C474" s="9"/>
      <c r="D474" s="9" t="s">
        <v>63</v>
      </c>
      <c r="E474" s="65" t="s">
        <v>64</v>
      </c>
      <c r="F474" s="65"/>
      <c r="G474" s="92" t="s">
        <v>2478</v>
      </c>
      <c r="H474" s="66" t="s">
        <v>1384</v>
      </c>
      <c r="I474" s="9"/>
      <c r="J474" s="9" t="s">
        <v>1101</v>
      </c>
      <c r="K474" s="9"/>
      <c r="L474" s="9"/>
      <c r="M474" s="9"/>
      <c r="N474" s="9"/>
      <c r="O474" s="9" t="s">
        <v>1101</v>
      </c>
      <c r="P474" s="9"/>
      <c r="Q474" s="9"/>
      <c r="R474" s="9"/>
      <c r="S474" s="9" t="s">
        <v>1101</v>
      </c>
      <c r="T474" s="9"/>
      <c r="U474" s="9"/>
      <c r="V474" s="9"/>
      <c r="W474" s="9" t="s">
        <v>1101</v>
      </c>
      <c r="X474" s="9"/>
      <c r="Y474" s="9"/>
      <c r="Z474" s="9"/>
      <c r="AA474" s="9" t="s">
        <v>1101</v>
      </c>
      <c r="AB474" s="9"/>
      <c r="AC474" s="9"/>
      <c r="AD474" s="9"/>
      <c r="AE474" s="9" t="s">
        <v>1101</v>
      </c>
      <c r="AF474" s="9"/>
      <c r="AG474" s="9"/>
      <c r="AH474" s="9"/>
      <c r="AI474" s="9" t="s">
        <v>1101</v>
      </c>
      <c r="AJ474" s="9"/>
      <c r="AK474" s="9"/>
      <c r="AL474" s="9"/>
      <c r="AM474" s="9" t="s">
        <v>1101</v>
      </c>
      <c r="AN474" s="9"/>
      <c r="AO474" s="9"/>
      <c r="AP474" s="9"/>
      <c r="AQ474" s="9" t="s">
        <v>1101</v>
      </c>
      <c r="AR474" s="9"/>
      <c r="AS474" s="9"/>
      <c r="AT474" s="9"/>
      <c r="AU474" s="9" t="s">
        <v>1101</v>
      </c>
      <c r="AV474" s="9"/>
      <c r="AW474" s="9"/>
      <c r="AX474" s="9"/>
      <c r="AY474" s="9" t="s">
        <v>1101</v>
      </c>
      <c r="AZ474" s="9"/>
      <c r="BA474" s="9"/>
      <c r="BB474" s="9"/>
      <c r="BC474" s="9" t="s">
        <v>1101</v>
      </c>
      <c r="BD474" s="9"/>
      <c r="BE474" s="9"/>
      <c r="BF474" s="9"/>
      <c r="BG474" s="9" t="s">
        <v>1101</v>
      </c>
      <c r="BH474" s="9"/>
      <c r="BI474" s="9"/>
      <c r="BJ474" s="9"/>
      <c r="BK474" s="9" t="s">
        <v>1101</v>
      </c>
      <c r="BL474" s="9"/>
      <c r="BM474" s="9"/>
      <c r="BN474" s="9"/>
      <c r="BO474" s="9" t="s">
        <v>1101</v>
      </c>
      <c r="BP474" s="9"/>
      <c r="BQ474" s="9"/>
      <c r="BR474" s="9"/>
      <c r="BS474" s="9" t="s">
        <v>1101</v>
      </c>
      <c r="BT474" s="9"/>
      <c r="BU474" s="9"/>
      <c r="BV474" s="9"/>
      <c r="BW474" s="9" t="s">
        <v>1101</v>
      </c>
      <c r="BX474" s="9"/>
      <c r="BY474" s="9"/>
      <c r="BZ474" s="9"/>
      <c r="CA474" s="9" t="s">
        <v>1101</v>
      </c>
      <c r="CB474" s="9"/>
      <c r="CC474" s="9"/>
      <c r="CD474" s="9"/>
      <c r="CE474" s="9" t="s">
        <v>1101</v>
      </c>
      <c r="CF474" s="9"/>
      <c r="CG474" s="9"/>
      <c r="CH474" s="9"/>
      <c r="CI474" s="9" t="s">
        <v>1101</v>
      </c>
      <c r="CJ474" s="9"/>
      <c r="CK474" s="9"/>
      <c r="CL474" s="9"/>
      <c r="CM474" s="9" t="s">
        <v>1101</v>
      </c>
      <c r="CN474" s="9"/>
      <c r="CO474" s="9"/>
      <c r="CP474" s="9"/>
      <c r="CQ474" s="9" t="s">
        <v>1101</v>
      </c>
      <c r="CR474" s="9"/>
      <c r="CS474" s="9"/>
      <c r="CT474" s="9"/>
      <c r="CU474" s="9" t="s">
        <v>1101</v>
      </c>
      <c r="CV474" s="9"/>
      <c r="CW474" s="9"/>
      <c r="CX474" s="9"/>
      <c r="CY474" s="9" t="s">
        <v>1101</v>
      </c>
      <c r="CZ474" s="9"/>
      <c r="DA474" s="9"/>
      <c r="DB474" s="9"/>
      <c r="DC474" s="9" t="s">
        <v>1101</v>
      </c>
      <c r="DD474" s="9"/>
      <c r="DE474" s="9"/>
      <c r="DF474" s="9"/>
      <c r="DG474" s="9" t="s">
        <v>1101</v>
      </c>
      <c r="DH474" s="9"/>
      <c r="DI474" s="9"/>
      <c r="DJ474" s="9"/>
      <c r="DK474" s="9" t="s">
        <v>1101</v>
      </c>
      <c r="DL474" s="9"/>
      <c r="DM474" s="9"/>
      <c r="DN474" s="9"/>
      <c r="DO474" s="9" t="s">
        <v>1101</v>
      </c>
      <c r="DP474" s="9"/>
      <c r="DQ474" s="9"/>
      <c r="DR474" s="9"/>
      <c r="DS474" s="9" t="s">
        <v>1101</v>
      </c>
      <c r="DT474" s="9"/>
      <c r="DU474" s="9"/>
      <c r="DV474" s="9"/>
      <c r="DW474" s="9" t="s">
        <v>1101</v>
      </c>
      <c r="DX474" s="9"/>
      <c r="DY474" s="9"/>
      <c r="DZ474" s="9"/>
      <c r="EA474" s="9" t="s">
        <v>1101</v>
      </c>
      <c r="EB474" s="9"/>
      <c r="EC474" s="9"/>
      <c r="ED474" s="9"/>
      <c r="EE474" s="9" t="s">
        <v>1101</v>
      </c>
      <c r="EF474" s="9"/>
      <c r="EG474" s="9"/>
      <c r="EH474" s="9"/>
      <c r="EI474" s="9" t="s">
        <v>1101</v>
      </c>
      <c r="EJ474" s="9"/>
      <c r="EK474" s="9"/>
      <c r="EL474" s="9"/>
      <c r="EM474" s="9" t="s">
        <v>1101</v>
      </c>
      <c r="EN474" s="9"/>
      <c r="EO474" s="9"/>
      <c r="EP474" s="9"/>
      <c r="EQ474" s="9" t="s">
        <v>1101</v>
      </c>
      <c r="ER474" s="9"/>
      <c r="ES474" s="9"/>
      <c r="ET474" s="9"/>
      <c r="EU474" s="9" t="s">
        <v>1101</v>
      </c>
      <c r="EV474" s="9"/>
      <c r="EW474" s="9"/>
      <c r="EX474" s="9"/>
      <c r="EY474" s="9" t="s">
        <v>1101</v>
      </c>
      <c r="EZ474" s="9"/>
      <c r="FA474" s="9"/>
      <c r="FB474" s="9"/>
      <c r="FC474" s="9" t="s">
        <v>1101</v>
      </c>
      <c r="FD474" s="9"/>
      <c r="FE474" s="9"/>
      <c r="FF474" s="9"/>
      <c r="FG474" s="9" t="s">
        <v>1101</v>
      </c>
      <c r="FH474" s="9"/>
      <c r="FI474" s="9"/>
      <c r="FJ474" s="9"/>
      <c r="FK474" s="9" t="s">
        <v>1101</v>
      </c>
      <c r="FL474" s="9"/>
      <c r="FM474" s="9"/>
      <c r="FN474" s="9"/>
      <c r="FO474" s="9" t="s">
        <v>1101</v>
      </c>
      <c r="FP474" s="9"/>
      <c r="FQ474" s="9"/>
      <c r="FR474" s="9"/>
      <c r="FS474" s="9" t="s">
        <v>1101</v>
      </c>
      <c r="FT474" s="9"/>
      <c r="FU474" s="9"/>
      <c r="FV474" s="9"/>
      <c r="FW474" s="9" t="s">
        <v>1101</v>
      </c>
      <c r="FX474" s="9"/>
      <c r="FY474" s="9"/>
      <c r="FZ474" s="9"/>
      <c r="GA474" s="9" t="s">
        <v>1101</v>
      </c>
      <c r="GB474" s="9"/>
      <c r="GC474" s="9"/>
      <c r="GD474" s="9"/>
      <c r="GE474" s="9" t="s">
        <v>1101</v>
      </c>
      <c r="GF474" s="9"/>
      <c r="GG474" s="9"/>
      <c r="GH474" s="9"/>
      <c r="GI474" s="9" t="s">
        <v>1101</v>
      </c>
      <c r="GJ474" s="9"/>
      <c r="GK474" s="9"/>
      <c r="GL474" s="9"/>
      <c r="GM474" s="9" t="s">
        <v>1101</v>
      </c>
      <c r="GN474" s="9"/>
      <c r="GO474" s="9"/>
      <c r="GP474" s="9"/>
      <c r="GQ474" s="9" t="s">
        <v>1101</v>
      </c>
      <c r="GR474" s="9"/>
      <c r="GS474" s="9"/>
      <c r="GT474" s="9"/>
      <c r="GU474" s="9" t="s">
        <v>1101</v>
      </c>
      <c r="GV474" s="9"/>
      <c r="GW474" s="9"/>
      <c r="GX474" s="9"/>
      <c r="GY474" s="9" t="s">
        <v>1101</v>
      </c>
      <c r="GZ474" s="9"/>
      <c r="HA474" s="9"/>
      <c r="HB474" s="9"/>
      <c r="HC474" s="9" t="s">
        <v>1101</v>
      </c>
      <c r="HD474" s="9"/>
      <c r="HE474" s="9"/>
      <c r="HF474" s="9"/>
      <c r="HG474" s="9" t="s">
        <v>1101</v>
      </c>
      <c r="HH474" s="9"/>
      <c r="HI474" s="9"/>
      <c r="HJ474" s="9"/>
      <c r="HK474" s="9" t="s">
        <v>1101</v>
      </c>
      <c r="HL474" s="9"/>
      <c r="HM474" s="9"/>
      <c r="HN474" s="9"/>
      <c r="HO474" s="9" t="s">
        <v>1101</v>
      </c>
      <c r="HP474" s="9"/>
      <c r="HQ474" s="9"/>
      <c r="HR474" s="9"/>
      <c r="HS474" s="9" t="s">
        <v>1101</v>
      </c>
      <c r="HT474" s="9"/>
      <c r="HU474" s="9"/>
      <c r="HV474" s="9"/>
      <c r="HW474" s="9" t="s">
        <v>1101</v>
      </c>
      <c r="HX474" s="9"/>
      <c r="HY474" s="9"/>
      <c r="HZ474" s="9"/>
      <c r="IA474" s="9" t="s">
        <v>1041</v>
      </c>
      <c r="IB474" s="67"/>
      <c r="IC474" s="68"/>
      <c r="ID474" s="157"/>
      <c r="IE474" s="158"/>
    </row>
    <row r="475" spans="1:239" s="11" customFormat="1" x14ac:dyDescent="0.2">
      <c r="A475" s="9">
        <v>30</v>
      </c>
      <c r="B475" s="9"/>
      <c r="C475" s="9"/>
      <c r="D475" s="9" t="s">
        <v>73</v>
      </c>
      <c r="E475" s="65" t="s">
        <v>810</v>
      </c>
      <c r="F475" s="65"/>
      <c r="G475" s="92" t="s">
        <v>2479</v>
      </c>
      <c r="H475" s="66" t="s">
        <v>1385</v>
      </c>
      <c r="I475" s="9"/>
      <c r="J475" s="9" t="s">
        <v>1101</v>
      </c>
      <c r="K475" s="9"/>
      <c r="L475" s="9"/>
      <c r="M475" s="9"/>
      <c r="N475" s="9"/>
      <c r="O475" s="9" t="s">
        <v>1101</v>
      </c>
      <c r="P475" s="9"/>
      <c r="Q475" s="9"/>
      <c r="R475" s="9"/>
      <c r="S475" s="9" t="s">
        <v>1101</v>
      </c>
      <c r="T475" s="9"/>
      <c r="U475" s="9"/>
      <c r="V475" s="9"/>
      <c r="W475" s="9" t="s">
        <v>1101</v>
      </c>
      <c r="X475" s="9"/>
      <c r="Y475" s="9"/>
      <c r="Z475" s="9"/>
      <c r="AA475" s="9" t="s">
        <v>1101</v>
      </c>
      <c r="AB475" s="9"/>
      <c r="AC475" s="9"/>
      <c r="AD475" s="9"/>
      <c r="AE475" s="9" t="s">
        <v>1101</v>
      </c>
      <c r="AF475" s="9"/>
      <c r="AG475" s="9"/>
      <c r="AH475" s="9"/>
      <c r="AI475" s="9" t="s">
        <v>1101</v>
      </c>
      <c r="AJ475" s="9"/>
      <c r="AK475" s="9"/>
      <c r="AL475" s="9"/>
      <c r="AM475" s="9" t="s">
        <v>1101</v>
      </c>
      <c r="AN475" s="9"/>
      <c r="AO475" s="9"/>
      <c r="AP475" s="9"/>
      <c r="AQ475" s="9" t="s">
        <v>1101</v>
      </c>
      <c r="AR475" s="9"/>
      <c r="AS475" s="9"/>
      <c r="AT475" s="9"/>
      <c r="AU475" s="9" t="s">
        <v>1101</v>
      </c>
      <c r="AV475" s="9"/>
      <c r="AW475" s="9"/>
      <c r="AX475" s="9"/>
      <c r="AY475" s="9" t="s">
        <v>1101</v>
      </c>
      <c r="AZ475" s="9"/>
      <c r="BA475" s="9"/>
      <c r="BB475" s="9"/>
      <c r="BC475" s="9" t="s">
        <v>1101</v>
      </c>
      <c r="BD475" s="9"/>
      <c r="BE475" s="9"/>
      <c r="BF475" s="9"/>
      <c r="BG475" s="9" t="s">
        <v>1101</v>
      </c>
      <c r="BH475" s="9"/>
      <c r="BI475" s="9"/>
      <c r="BJ475" s="9"/>
      <c r="BK475" s="9" t="s">
        <v>1101</v>
      </c>
      <c r="BL475" s="9"/>
      <c r="BM475" s="9"/>
      <c r="BN475" s="9"/>
      <c r="BO475" s="9" t="s">
        <v>1101</v>
      </c>
      <c r="BP475" s="9"/>
      <c r="BQ475" s="9"/>
      <c r="BR475" s="9"/>
      <c r="BS475" s="9" t="s">
        <v>1101</v>
      </c>
      <c r="BT475" s="9"/>
      <c r="BU475" s="9"/>
      <c r="BV475" s="9"/>
      <c r="BW475" s="9" t="s">
        <v>1101</v>
      </c>
      <c r="BX475" s="9"/>
      <c r="BY475" s="9"/>
      <c r="BZ475" s="9"/>
      <c r="CA475" s="9" t="s">
        <v>1101</v>
      </c>
      <c r="CB475" s="9"/>
      <c r="CC475" s="9"/>
      <c r="CD475" s="9"/>
      <c r="CE475" s="9" t="s">
        <v>1101</v>
      </c>
      <c r="CF475" s="9"/>
      <c r="CG475" s="9"/>
      <c r="CH475" s="9"/>
      <c r="CI475" s="9" t="s">
        <v>1101</v>
      </c>
      <c r="CJ475" s="9"/>
      <c r="CK475" s="9"/>
      <c r="CL475" s="9"/>
      <c r="CM475" s="9" t="s">
        <v>1101</v>
      </c>
      <c r="CN475" s="9"/>
      <c r="CO475" s="9"/>
      <c r="CP475" s="9"/>
      <c r="CQ475" s="9" t="s">
        <v>1101</v>
      </c>
      <c r="CR475" s="9"/>
      <c r="CS475" s="9"/>
      <c r="CT475" s="9"/>
      <c r="CU475" s="9" t="s">
        <v>1101</v>
      </c>
      <c r="CV475" s="9"/>
      <c r="CW475" s="9"/>
      <c r="CX475" s="9"/>
      <c r="CY475" s="9" t="s">
        <v>1101</v>
      </c>
      <c r="CZ475" s="9"/>
      <c r="DA475" s="9"/>
      <c r="DB475" s="9"/>
      <c r="DC475" s="9" t="s">
        <v>1101</v>
      </c>
      <c r="DD475" s="9"/>
      <c r="DE475" s="9"/>
      <c r="DF475" s="9"/>
      <c r="DG475" s="9" t="s">
        <v>1101</v>
      </c>
      <c r="DH475" s="9"/>
      <c r="DI475" s="9"/>
      <c r="DJ475" s="9"/>
      <c r="DK475" s="9" t="s">
        <v>1101</v>
      </c>
      <c r="DL475" s="9"/>
      <c r="DM475" s="9"/>
      <c r="DN475" s="9"/>
      <c r="DO475" s="9" t="s">
        <v>1101</v>
      </c>
      <c r="DP475" s="9"/>
      <c r="DQ475" s="9"/>
      <c r="DR475" s="9"/>
      <c r="DS475" s="9" t="s">
        <v>1101</v>
      </c>
      <c r="DT475" s="9"/>
      <c r="DU475" s="9"/>
      <c r="DV475" s="9"/>
      <c r="DW475" s="9" t="s">
        <v>1101</v>
      </c>
      <c r="DX475" s="9"/>
      <c r="DY475" s="9"/>
      <c r="DZ475" s="9"/>
      <c r="EA475" s="9" t="s">
        <v>1101</v>
      </c>
      <c r="EB475" s="9"/>
      <c r="EC475" s="9"/>
      <c r="ED475" s="9"/>
      <c r="EE475" s="9" t="s">
        <v>1101</v>
      </c>
      <c r="EF475" s="9"/>
      <c r="EG475" s="9"/>
      <c r="EH475" s="9"/>
      <c r="EI475" s="9" t="s">
        <v>1101</v>
      </c>
      <c r="EJ475" s="9"/>
      <c r="EK475" s="9"/>
      <c r="EL475" s="9"/>
      <c r="EM475" s="9" t="s">
        <v>1101</v>
      </c>
      <c r="EN475" s="9"/>
      <c r="EO475" s="9"/>
      <c r="EP475" s="9"/>
      <c r="EQ475" s="9" t="s">
        <v>1101</v>
      </c>
      <c r="ER475" s="9"/>
      <c r="ES475" s="9"/>
      <c r="ET475" s="9"/>
      <c r="EU475" s="9" t="s">
        <v>1101</v>
      </c>
      <c r="EV475" s="9"/>
      <c r="EW475" s="9"/>
      <c r="EX475" s="9"/>
      <c r="EY475" s="9" t="s">
        <v>1101</v>
      </c>
      <c r="EZ475" s="9"/>
      <c r="FA475" s="9"/>
      <c r="FB475" s="9"/>
      <c r="FC475" s="9" t="s">
        <v>1101</v>
      </c>
      <c r="FD475" s="9"/>
      <c r="FE475" s="9"/>
      <c r="FF475" s="9"/>
      <c r="FG475" s="9" t="s">
        <v>1101</v>
      </c>
      <c r="FH475" s="9"/>
      <c r="FI475" s="9"/>
      <c r="FJ475" s="9"/>
      <c r="FK475" s="9" t="s">
        <v>1101</v>
      </c>
      <c r="FL475" s="9"/>
      <c r="FM475" s="9"/>
      <c r="FN475" s="9"/>
      <c r="FO475" s="9" t="s">
        <v>1101</v>
      </c>
      <c r="FP475" s="9"/>
      <c r="FQ475" s="9"/>
      <c r="FR475" s="9"/>
      <c r="FS475" s="9" t="s">
        <v>1101</v>
      </c>
      <c r="FT475" s="9"/>
      <c r="FU475" s="9"/>
      <c r="FV475" s="9"/>
      <c r="FW475" s="9" t="s">
        <v>1101</v>
      </c>
      <c r="FX475" s="9"/>
      <c r="FY475" s="9"/>
      <c r="FZ475" s="9"/>
      <c r="GA475" s="9" t="s">
        <v>1101</v>
      </c>
      <c r="GB475" s="9"/>
      <c r="GC475" s="9"/>
      <c r="GD475" s="9"/>
      <c r="GE475" s="9" t="s">
        <v>1101</v>
      </c>
      <c r="GF475" s="9"/>
      <c r="GG475" s="9"/>
      <c r="GH475" s="9"/>
      <c r="GI475" s="9" t="s">
        <v>1101</v>
      </c>
      <c r="GJ475" s="9"/>
      <c r="GK475" s="9"/>
      <c r="GL475" s="9"/>
      <c r="GM475" s="9" t="s">
        <v>1101</v>
      </c>
      <c r="GN475" s="9"/>
      <c r="GO475" s="9"/>
      <c r="GP475" s="9"/>
      <c r="GQ475" s="9" t="s">
        <v>1101</v>
      </c>
      <c r="GR475" s="9"/>
      <c r="GS475" s="9"/>
      <c r="GT475" s="9"/>
      <c r="GU475" s="9" t="s">
        <v>1101</v>
      </c>
      <c r="GV475" s="9"/>
      <c r="GW475" s="9"/>
      <c r="GX475" s="9"/>
      <c r="GY475" s="9" t="s">
        <v>1101</v>
      </c>
      <c r="GZ475" s="9"/>
      <c r="HA475" s="9"/>
      <c r="HB475" s="9"/>
      <c r="HC475" s="9" t="s">
        <v>1101</v>
      </c>
      <c r="HD475" s="9"/>
      <c r="HE475" s="9"/>
      <c r="HF475" s="9"/>
      <c r="HG475" s="9" t="s">
        <v>1101</v>
      </c>
      <c r="HH475" s="9"/>
      <c r="HI475" s="9"/>
      <c r="HJ475" s="9"/>
      <c r="HK475" s="9" t="s">
        <v>1101</v>
      </c>
      <c r="HL475" s="9"/>
      <c r="HM475" s="9"/>
      <c r="HN475" s="9"/>
      <c r="HO475" s="9" t="s">
        <v>1101</v>
      </c>
      <c r="HP475" s="9"/>
      <c r="HQ475" s="9"/>
      <c r="HR475" s="9"/>
      <c r="HS475" s="9" t="s">
        <v>1101</v>
      </c>
      <c r="HT475" s="9"/>
      <c r="HU475" s="9"/>
      <c r="HV475" s="9"/>
      <c r="HW475" s="9" t="s">
        <v>1101</v>
      </c>
      <c r="HX475" s="9"/>
      <c r="HY475" s="9"/>
      <c r="HZ475" s="9"/>
      <c r="IA475" s="9" t="s">
        <v>1041</v>
      </c>
      <c r="IB475" s="67"/>
      <c r="IC475" s="68"/>
      <c r="ID475" s="157"/>
      <c r="IE475" s="158"/>
    </row>
    <row r="476" spans="1:239" s="11" customFormat="1" x14ac:dyDescent="0.2">
      <c r="A476" s="9">
        <v>30</v>
      </c>
      <c r="B476" s="9"/>
      <c r="C476" s="9"/>
      <c r="D476" s="9" t="s">
        <v>74</v>
      </c>
      <c r="E476" s="65" t="s">
        <v>811</v>
      </c>
      <c r="F476" s="65"/>
      <c r="G476" s="92" t="s">
        <v>2480</v>
      </c>
      <c r="H476" s="66" t="s">
        <v>1386</v>
      </c>
      <c r="I476" s="9"/>
      <c r="J476" s="9" t="s">
        <v>1101</v>
      </c>
      <c r="K476" s="9"/>
      <c r="L476" s="9"/>
      <c r="M476" s="9"/>
      <c r="N476" s="9"/>
      <c r="O476" s="9" t="s">
        <v>1101</v>
      </c>
      <c r="P476" s="9"/>
      <c r="Q476" s="9"/>
      <c r="R476" s="9"/>
      <c r="S476" s="9" t="s">
        <v>1101</v>
      </c>
      <c r="T476" s="9"/>
      <c r="U476" s="9"/>
      <c r="V476" s="9"/>
      <c r="W476" s="9" t="s">
        <v>1101</v>
      </c>
      <c r="X476" s="9"/>
      <c r="Y476" s="9"/>
      <c r="Z476" s="9"/>
      <c r="AA476" s="9" t="s">
        <v>1101</v>
      </c>
      <c r="AB476" s="9"/>
      <c r="AC476" s="9"/>
      <c r="AD476" s="9"/>
      <c r="AE476" s="9" t="s">
        <v>1101</v>
      </c>
      <c r="AF476" s="9"/>
      <c r="AG476" s="9"/>
      <c r="AH476" s="9"/>
      <c r="AI476" s="9" t="s">
        <v>1101</v>
      </c>
      <c r="AJ476" s="9"/>
      <c r="AK476" s="9"/>
      <c r="AL476" s="9"/>
      <c r="AM476" s="9" t="s">
        <v>1101</v>
      </c>
      <c r="AN476" s="9"/>
      <c r="AO476" s="9"/>
      <c r="AP476" s="9"/>
      <c r="AQ476" s="9" t="s">
        <v>1101</v>
      </c>
      <c r="AR476" s="9"/>
      <c r="AS476" s="9"/>
      <c r="AT476" s="9"/>
      <c r="AU476" s="9" t="s">
        <v>1101</v>
      </c>
      <c r="AV476" s="9"/>
      <c r="AW476" s="9"/>
      <c r="AX476" s="9"/>
      <c r="AY476" s="9" t="s">
        <v>1101</v>
      </c>
      <c r="AZ476" s="9"/>
      <c r="BA476" s="9"/>
      <c r="BB476" s="9"/>
      <c r="BC476" s="9" t="s">
        <v>1101</v>
      </c>
      <c r="BD476" s="9"/>
      <c r="BE476" s="9"/>
      <c r="BF476" s="9"/>
      <c r="BG476" s="9" t="s">
        <v>1101</v>
      </c>
      <c r="BH476" s="9"/>
      <c r="BI476" s="9"/>
      <c r="BJ476" s="9"/>
      <c r="BK476" s="9" t="s">
        <v>1101</v>
      </c>
      <c r="BL476" s="9"/>
      <c r="BM476" s="9"/>
      <c r="BN476" s="9"/>
      <c r="BO476" s="9" t="s">
        <v>1101</v>
      </c>
      <c r="BP476" s="9"/>
      <c r="BQ476" s="9"/>
      <c r="BR476" s="9"/>
      <c r="BS476" s="9" t="s">
        <v>1101</v>
      </c>
      <c r="BT476" s="9"/>
      <c r="BU476" s="9"/>
      <c r="BV476" s="9"/>
      <c r="BW476" s="9" t="s">
        <v>1101</v>
      </c>
      <c r="BX476" s="9"/>
      <c r="BY476" s="9"/>
      <c r="BZ476" s="9"/>
      <c r="CA476" s="9" t="s">
        <v>1101</v>
      </c>
      <c r="CB476" s="9"/>
      <c r="CC476" s="9"/>
      <c r="CD476" s="9"/>
      <c r="CE476" s="9" t="s">
        <v>1101</v>
      </c>
      <c r="CF476" s="9"/>
      <c r="CG476" s="9"/>
      <c r="CH476" s="9"/>
      <c r="CI476" s="9" t="s">
        <v>1101</v>
      </c>
      <c r="CJ476" s="9"/>
      <c r="CK476" s="9"/>
      <c r="CL476" s="9"/>
      <c r="CM476" s="9" t="s">
        <v>1101</v>
      </c>
      <c r="CN476" s="9"/>
      <c r="CO476" s="9"/>
      <c r="CP476" s="9"/>
      <c r="CQ476" s="9" t="s">
        <v>1101</v>
      </c>
      <c r="CR476" s="9"/>
      <c r="CS476" s="9"/>
      <c r="CT476" s="9"/>
      <c r="CU476" s="9" t="s">
        <v>1101</v>
      </c>
      <c r="CV476" s="9"/>
      <c r="CW476" s="9"/>
      <c r="CX476" s="9"/>
      <c r="CY476" s="9" t="s">
        <v>1101</v>
      </c>
      <c r="CZ476" s="9"/>
      <c r="DA476" s="9"/>
      <c r="DB476" s="9"/>
      <c r="DC476" s="9" t="s">
        <v>1101</v>
      </c>
      <c r="DD476" s="9"/>
      <c r="DE476" s="9"/>
      <c r="DF476" s="9"/>
      <c r="DG476" s="9" t="s">
        <v>1101</v>
      </c>
      <c r="DH476" s="9"/>
      <c r="DI476" s="9"/>
      <c r="DJ476" s="9"/>
      <c r="DK476" s="9" t="s">
        <v>1101</v>
      </c>
      <c r="DL476" s="9"/>
      <c r="DM476" s="9"/>
      <c r="DN476" s="9"/>
      <c r="DO476" s="9" t="s">
        <v>1101</v>
      </c>
      <c r="DP476" s="9"/>
      <c r="DQ476" s="9"/>
      <c r="DR476" s="9"/>
      <c r="DS476" s="9" t="s">
        <v>1101</v>
      </c>
      <c r="DT476" s="9"/>
      <c r="DU476" s="9"/>
      <c r="DV476" s="9"/>
      <c r="DW476" s="9" t="s">
        <v>1101</v>
      </c>
      <c r="DX476" s="9"/>
      <c r="DY476" s="9"/>
      <c r="DZ476" s="9"/>
      <c r="EA476" s="9" t="s">
        <v>1101</v>
      </c>
      <c r="EB476" s="9"/>
      <c r="EC476" s="9"/>
      <c r="ED476" s="9"/>
      <c r="EE476" s="9" t="s">
        <v>1101</v>
      </c>
      <c r="EF476" s="9"/>
      <c r="EG476" s="9"/>
      <c r="EH476" s="9"/>
      <c r="EI476" s="9" t="s">
        <v>1101</v>
      </c>
      <c r="EJ476" s="9"/>
      <c r="EK476" s="9"/>
      <c r="EL476" s="9"/>
      <c r="EM476" s="9" t="s">
        <v>1101</v>
      </c>
      <c r="EN476" s="9"/>
      <c r="EO476" s="9"/>
      <c r="EP476" s="9"/>
      <c r="EQ476" s="9" t="s">
        <v>1101</v>
      </c>
      <c r="ER476" s="9"/>
      <c r="ES476" s="9"/>
      <c r="ET476" s="9"/>
      <c r="EU476" s="9" t="s">
        <v>1101</v>
      </c>
      <c r="EV476" s="9"/>
      <c r="EW476" s="9"/>
      <c r="EX476" s="9"/>
      <c r="EY476" s="9" t="s">
        <v>1101</v>
      </c>
      <c r="EZ476" s="9"/>
      <c r="FA476" s="9"/>
      <c r="FB476" s="9"/>
      <c r="FC476" s="9" t="s">
        <v>1101</v>
      </c>
      <c r="FD476" s="9"/>
      <c r="FE476" s="9"/>
      <c r="FF476" s="9"/>
      <c r="FG476" s="9" t="s">
        <v>1101</v>
      </c>
      <c r="FH476" s="9"/>
      <c r="FI476" s="9"/>
      <c r="FJ476" s="9"/>
      <c r="FK476" s="9" t="s">
        <v>1101</v>
      </c>
      <c r="FL476" s="9"/>
      <c r="FM476" s="9"/>
      <c r="FN476" s="9"/>
      <c r="FO476" s="9" t="s">
        <v>1101</v>
      </c>
      <c r="FP476" s="9"/>
      <c r="FQ476" s="9"/>
      <c r="FR476" s="9"/>
      <c r="FS476" s="9" t="s">
        <v>1101</v>
      </c>
      <c r="FT476" s="9"/>
      <c r="FU476" s="9"/>
      <c r="FV476" s="9"/>
      <c r="FW476" s="9" t="s">
        <v>1101</v>
      </c>
      <c r="FX476" s="9"/>
      <c r="FY476" s="9"/>
      <c r="FZ476" s="9"/>
      <c r="GA476" s="9" t="s">
        <v>1101</v>
      </c>
      <c r="GB476" s="9"/>
      <c r="GC476" s="9"/>
      <c r="GD476" s="9"/>
      <c r="GE476" s="9" t="s">
        <v>1101</v>
      </c>
      <c r="GF476" s="9"/>
      <c r="GG476" s="9"/>
      <c r="GH476" s="9"/>
      <c r="GI476" s="9" t="s">
        <v>1101</v>
      </c>
      <c r="GJ476" s="9"/>
      <c r="GK476" s="9"/>
      <c r="GL476" s="9"/>
      <c r="GM476" s="9" t="s">
        <v>1101</v>
      </c>
      <c r="GN476" s="9"/>
      <c r="GO476" s="9"/>
      <c r="GP476" s="9"/>
      <c r="GQ476" s="9" t="s">
        <v>1101</v>
      </c>
      <c r="GR476" s="9"/>
      <c r="GS476" s="9"/>
      <c r="GT476" s="9"/>
      <c r="GU476" s="9" t="s">
        <v>1101</v>
      </c>
      <c r="GV476" s="9"/>
      <c r="GW476" s="9"/>
      <c r="GX476" s="9"/>
      <c r="GY476" s="9" t="s">
        <v>1101</v>
      </c>
      <c r="GZ476" s="9"/>
      <c r="HA476" s="9"/>
      <c r="HB476" s="9"/>
      <c r="HC476" s="9" t="s">
        <v>1101</v>
      </c>
      <c r="HD476" s="9"/>
      <c r="HE476" s="9"/>
      <c r="HF476" s="9"/>
      <c r="HG476" s="9" t="s">
        <v>1101</v>
      </c>
      <c r="HH476" s="9"/>
      <c r="HI476" s="9"/>
      <c r="HJ476" s="9"/>
      <c r="HK476" s="9" t="s">
        <v>1101</v>
      </c>
      <c r="HL476" s="9"/>
      <c r="HM476" s="9"/>
      <c r="HN476" s="9"/>
      <c r="HO476" s="9" t="s">
        <v>1101</v>
      </c>
      <c r="HP476" s="9"/>
      <c r="HQ476" s="9"/>
      <c r="HR476" s="9"/>
      <c r="HS476" s="9" t="s">
        <v>1101</v>
      </c>
      <c r="HT476" s="9"/>
      <c r="HU476" s="9"/>
      <c r="HV476" s="9"/>
      <c r="HW476" s="9" t="s">
        <v>1101</v>
      </c>
      <c r="HX476" s="9"/>
      <c r="HY476" s="9"/>
      <c r="HZ476" s="9"/>
      <c r="IA476" s="9" t="s">
        <v>1041</v>
      </c>
      <c r="IB476" s="67"/>
      <c r="IC476" s="68"/>
      <c r="ID476" s="157"/>
      <c r="IE476" s="158"/>
    </row>
    <row r="477" spans="1:239" s="11" customFormat="1" x14ac:dyDescent="0.2">
      <c r="A477" s="9">
        <v>30</v>
      </c>
      <c r="B477" s="9"/>
      <c r="C477" s="9"/>
      <c r="D477" s="9" t="s">
        <v>859</v>
      </c>
      <c r="E477" s="65" t="s">
        <v>49</v>
      </c>
      <c r="F477" s="65"/>
      <c r="G477" s="92" t="s">
        <v>2481</v>
      </c>
      <c r="H477" s="66" t="s">
        <v>1387</v>
      </c>
      <c r="I477" s="9"/>
      <c r="J477" s="9" t="s">
        <v>1101</v>
      </c>
      <c r="K477" s="9"/>
      <c r="L477" s="9"/>
      <c r="M477" s="9"/>
      <c r="N477" s="9"/>
      <c r="O477" s="9" t="s">
        <v>1101</v>
      </c>
      <c r="P477" s="9"/>
      <c r="Q477" s="9"/>
      <c r="R477" s="9"/>
      <c r="S477" s="9" t="s">
        <v>1101</v>
      </c>
      <c r="T477" s="9"/>
      <c r="U477" s="9"/>
      <c r="V477" s="9"/>
      <c r="W477" s="9" t="s">
        <v>1101</v>
      </c>
      <c r="X477" s="9"/>
      <c r="Y477" s="9"/>
      <c r="Z477" s="9"/>
      <c r="AA477" s="9" t="s">
        <v>1101</v>
      </c>
      <c r="AB477" s="9"/>
      <c r="AC477" s="9"/>
      <c r="AD477" s="9"/>
      <c r="AE477" s="9" t="s">
        <v>1101</v>
      </c>
      <c r="AF477" s="9"/>
      <c r="AG477" s="9"/>
      <c r="AH477" s="9"/>
      <c r="AI477" s="9" t="s">
        <v>1101</v>
      </c>
      <c r="AJ477" s="9"/>
      <c r="AK477" s="9"/>
      <c r="AL477" s="9"/>
      <c r="AM477" s="9" t="s">
        <v>1101</v>
      </c>
      <c r="AN477" s="9"/>
      <c r="AO477" s="9"/>
      <c r="AP477" s="9"/>
      <c r="AQ477" s="9" t="s">
        <v>1101</v>
      </c>
      <c r="AR477" s="9"/>
      <c r="AS477" s="9"/>
      <c r="AT477" s="9"/>
      <c r="AU477" s="9" t="s">
        <v>1101</v>
      </c>
      <c r="AV477" s="9"/>
      <c r="AW477" s="9"/>
      <c r="AX477" s="9"/>
      <c r="AY477" s="9" t="s">
        <v>1101</v>
      </c>
      <c r="AZ477" s="9"/>
      <c r="BA477" s="9"/>
      <c r="BB477" s="9"/>
      <c r="BC477" s="9" t="s">
        <v>1101</v>
      </c>
      <c r="BD477" s="9"/>
      <c r="BE477" s="9"/>
      <c r="BF477" s="9"/>
      <c r="BG477" s="9" t="s">
        <v>1101</v>
      </c>
      <c r="BH477" s="9"/>
      <c r="BI477" s="9"/>
      <c r="BJ477" s="9"/>
      <c r="BK477" s="9" t="s">
        <v>1101</v>
      </c>
      <c r="BL477" s="9"/>
      <c r="BM477" s="9"/>
      <c r="BN477" s="9"/>
      <c r="BO477" s="9" t="s">
        <v>1101</v>
      </c>
      <c r="BP477" s="9"/>
      <c r="BQ477" s="9"/>
      <c r="BR477" s="9"/>
      <c r="BS477" s="9" t="s">
        <v>1101</v>
      </c>
      <c r="BT477" s="9"/>
      <c r="BU477" s="9"/>
      <c r="BV477" s="9"/>
      <c r="BW477" s="9" t="s">
        <v>1101</v>
      </c>
      <c r="BX477" s="9"/>
      <c r="BY477" s="9"/>
      <c r="BZ477" s="9"/>
      <c r="CA477" s="9" t="s">
        <v>1101</v>
      </c>
      <c r="CB477" s="9"/>
      <c r="CC477" s="9"/>
      <c r="CD477" s="9"/>
      <c r="CE477" s="9" t="s">
        <v>1101</v>
      </c>
      <c r="CF477" s="9"/>
      <c r="CG477" s="9"/>
      <c r="CH477" s="9"/>
      <c r="CI477" s="9" t="s">
        <v>1101</v>
      </c>
      <c r="CJ477" s="9"/>
      <c r="CK477" s="9"/>
      <c r="CL477" s="9"/>
      <c r="CM477" s="9" t="s">
        <v>1101</v>
      </c>
      <c r="CN477" s="9"/>
      <c r="CO477" s="9"/>
      <c r="CP477" s="9"/>
      <c r="CQ477" s="9" t="s">
        <v>1101</v>
      </c>
      <c r="CR477" s="9"/>
      <c r="CS477" s="9"/>
      <c r="CT477" s="9"/>
      <c r="CU477" s="9" t="s">
        <v>1101</v>
      </c>
      <c r="CV477" s="9"/>
      <c r="CW477" s="9"/>
      <c r="CX477" s="9"/>
      <c r="CY477" s="9" t="s">
        <v>1101</v>
      </c>
      <c r="CZ477" s="9"/>
      <c r="DA477" s="9"/>
      <c r="DB477" s="9"/>
      <c r="DC477" s="9" t="s">
        <v>1101</v>
      </c>
      <c r="DD477" s="9"/>
      <c r="DE477" s="9"/>
      <c r="DF477" s="9"/>
      <c r="DG477" s="9" t="s">
        <v>1101</v>
      </c>
      <c r="DH477" s="9"/>
      <c r="DI477" s="9"/>
      <c r="DJ477" s="9"/>
      <c r="DK477" s="9" t="s">
        <v>1101</v>
      </c>
      <c r="DL477" s="9"/>
      <c r="DM477" s="9"/>
      <c r="DN477" s="9"/>
      <c r="DO477" s="9" t="s">
        <v>1101</v>
      </c>
      <c r="DP477" s="9"/>
      <c r="DQ477" s="9"/>
      <c r="DR477" s="9"/>
      <c r="DS477" s="9" t="s">
        <v>1101</v>
      </c>
      <c r="DT477" s="9"/>
      <c r="DU477" s="9"/>
      <c r="DV477" s="9"/>
      <c r="DW477" s="9" t="s">
        <v>1101</v>
      </c>
      <c r="DX477" s="9"/>
      <c r="DY477" s="9"/>
      <c r="DZ477" s="9"/>
      <c r="EA477" s="9" t="s">
        <v>1101</v>
      </c>
      <c r="EB477" s="9"/>
      <c r="EC477" s="9"/>
      <c r="ED477" s="9"/>
      <c r="EE477" s="9" t="s">
        <v>1101</v>
      </c>
      <c r="EF477" s="9"/>
      <c r="EG477" s="9"/>
      <c r="EH477" s="9"/>
      <c r="EI477" s="9" t="s">
        <v>1101</v>
      </c>
      <c r="EJ477" s="9"/>
      <c r="EK477" s="9"/>
      <c r="EL477" s="9"/>
      <c r="EM477" s="9" t="s">
        <v>1101</v>
      </c>
      <c r="EN477" s="9"/>
      <c r="EO477" s="9"/>
      <c r="EP477" s="9"/>
      <c r="EQ477" s="9" t="s">
        <v>1101</v>
      </c>
      <c r="ER477" s="9"/>
      <c r="ES477" s="9"/>
      <c r="ET477" s="9"/>
      <c r="EU477" s="9" t="s">
        <v>1101</v>
      </c>
      <c r="EV477" s="9"/>
      <c r="EW477" s="9"/>
      <c r="EX477" s="9"/>
      <c r="EY477" s="9" t="s">
        <v>1101</v>
      </c>
      <c r="EZ477" s="9"/>
      <c r="FA477" s="9"/>
      <c r="FB477" s="9"/>
      <c r="FC477" s="9" t="s">
        <v>1101</v>
      </c>
      <c r="FD477" s="9"/>
      <c r="FE477" s="9"/>
      <c r="FF477" s="9"/>
      <c r="FG477" s="9" t="s">
        <v>1101</v>
      </c>
      <c r="FH477" s="9"/>
      <c r="FI477" s="9"/>
      <c r="FJ477" s="9"/>
      <c r="FK477" s="9" t="s">
        <v>1101</v>
      </c>
      <c r="FL477" s="9"/>
      <c r="FM477" s="9"/>
      <c r="FN477" s="9"/>
      <c r="FO477" s="9" t="s">
        <v>1101</v>
      </c>
      <c r="FP477" s="9"/>
      <c r="FQ477" s="9"/>
      <c r="FR477" s="9"/>
      <c r="FS477" s="9" t="s">
        <v>1101</v>
      </c>
      <c r="FT477" s="9"/>
      <c r="FU477" s="9"/>
      <c r="FV477" s="9"/>
      <c r="FW477" s="9" t="s">
        <v>1101</v>
      </c>
      <c r="FX477" s="9"/>
      <c r="FY477" s="9"/>
      <c r="FZ477" s="9"/>
      <c r="GA477" s="9" t="s">
        <v>1101</v>
      </c>
      <c r="GB477" s="9"/>
      <c r="GC477" s="9"/>
      <c r="GD477" s="9"/>
      <c r="GE477" s="9" t="s">
        <v>1101</v>
      </c>
      <c r="GF477" s="9"/>
      <c r="GG477" s="9"/>
      <c r="GH477" s="9"/>
      <c r="GI477" s="9" t="s">
        <v>1101</v>
      </c>
      <c r="GJ477" s="9"/>
      <c r="GK477" s="9"/>
      <c r="GL477" s="9"/>
      <c r="GM477" s="9" t="s">
        <v>1101</v>
      </c>
      <c r="GN477" s="9"/>
      <c r="GO477" s="9"/>
      <c r="GP477" s="9"/>
      <c r="GQ477" s="9" t="s">
        <v>1101</v>
      </c>
      <c r="GR477" s="9"/>
      <c r="GS477" s="9"/>
      <c r="GT477" s="9"/>
      <c r="GU477" s="9" t="s">
        <v>1101</v>
      </c>
      <c r="GV477" s="9"/>
      <c r="GW477" s="9"/>
      <c r="GX477" s="9"/>
      <c r="GY477" s="9" t="s">
        <v>1101</v>
      </c>
      <c r="GZ477" s="9"/>
      <c r="HA477" s="9"/>
      <c r="HB477" s="9"/>
      <c r="HC477" s="9" t="s">
        <v>1101</v>
      </c>
      <c r="HD477" s="9"/>
      <c r="HE477" s="9"/>
      <c r="HF477" s="9"/>
      <c r="HG477" s="9" t="s">
        <v>1101</v>
      </c>
      <c r="HH477" s="9"/>
      <c r="HI477" s="9"/>
      <c r="HJ477" s="9"/>
      <c r="HK477" s="9" t="s">
        <v>1101</v>
      </c>
      <c r="HL477" s="9"/>
      <c r="HM477" s="9"/>
      <c r="HN477" s="9"/>
      <c r="HO477" s="9" t="s">
        <v>1101</v>
      </c>
      <c r="HP477" s="9"/>
      <c r="HQ477" s="9"/>
      <c r="HR477" s="9"/>
      <c r="HS477" s="9" t="s">
        <v>1101</v>
      </c>
      <c r="HT477" s="9"/>
      <c r="HU477" s="9"/>
      <c r="HV477" s="9"/>
      <c r="HW477" s="9" t="s">
        <v>1101</v>
      </c>
      <c r="HX477" s="9"/>
      <c r="HY477" s="9"/>
      <c r="HZ477" s="9"/>
      <c r="IA477" s="9" t="s">
        <v>1041</v>
      </c>
      <c r="IB477" s="67"/>
      <c r="IC477" s="68"/>
      <c r="ID477" s="157"/>
      <c r="IE477" s="158"/>
    </row>
    <row r="478" spans="1:239" s="11" customFormat="1" x14ac:dyDescent="0.2">
      <c r="A478" s="9">
        <v>30</v>
      </c>
      <c r="B478" s="9"/>
      <c r="C478" s="9"/>
      <c r="D478" s="9" t="s">
        <v>75</v>
      </c>
      <c r="E478" s="65" t="s">
        <v>70</v>
      </c>
      <c r="F478" s="65"/>
      <c r="G478" s="92" t="s">
        <v>2482</v>
      </c>
      <c r="H478" s="66" t="s">
        <v>1388</v>
      </c>
      <c r="I478" s="9"/>
      <c r="J478" s="9" t="s">
        <v>1101</v>
      </c>
      <c r="K478" s="9"/>
      <c r="L478" s="9"/>
      <c r="M478" s="9"/>
      <c r="N478" s="9"/>
      <c r="O478" s="9" t="s">
        <v>1101</v>
      </c>
      <c r="P478" s="9"/>
      <c r="Q478" s="9"/>
      <c r="R478" s="9"/>
      <c r="S478" s="9" t="s">
        <v>1101</v>
      </c>
      <c r="T478" s="9"/>
      <c r="U478" s="9"/>
      <c r="V478" s="9"/>
      <c r="W478" s="9" t="s">
        <v>1101</v>
      </c>
      <c r="X478" s="9"/>
      <c r="Y478" s="9"/>
      <c r="Z478" s="9"/>
      <c r="AA478" s="9" t="s">
        <v>1101</v>
      </c>
      <c r="AB478" s="9"/>
      <c r="AC478" s="9"/>
      <c r="AD478" s="9"/>
      <c r="AE478" s="9" t="s">
        <v>1101</v>
      </c>
      <c r="AF478" s="9"/>
      <c r="AG478" s="9"/>
      <c r="AH478" s="9"/>
      <c r="AI478" s="9" t="s">
        <v>1101</v>
      </c>
      <c r="AJ478" s="9"/>
      <c r="AK478" s="9"/>
      <c r="AL478" s="9"/>
      <c r="AM478" s="9" t="s">
        <v>1101</v>
      </c>
      <c r="AN478" s="9"/>
      <c r="AO478" s="9"/>
      <c r="AP478" s="9"/>
      <c r="AQ478" s="9" t="s">
        <v>1101</v>
      </c>
      <c r="AR478" s="9"/>
      <c r="AS478" s="9"/>
      <c r="AT478" s="9"/>
      <c r="AU478" s="9" t="s">
        <v>1101</v>
      </c>
      <c r="AV478" s="9"/>
      <c r="AW478" s="9"/>
      <c r="AX478" s="9"/>
      <c r="AY478" s="9" t="s">
        <v>1101</v>
      </c>
      <c r="AZ478" s="9"/>
      <c r="BA478" s="9"/>
      <c r="BB478" s="9"/>
      <c r="BC478" s="9" t="s">
        <v>1101</v>
      </c>
      <c r="BD478" s="9"/>
      <c r="BE478" s="9"/>
      <c r="BF478" s="9"/>
      <c r="BG478" s="9" t="s">
        <v>1101</v>
      </c>
      <c r="BH478" s="9"/>
      <c r="BI478" s="9"/>
      <c r="BJ478" s="9"/>
      <c r="BK478" s="9" t="s">
        <v>1101</v>
      </c>
      <c r="BL478" s="9"/>
      <c r="BM478" s="9"/>
      <c r="BN478" s="9"/>
      <c r="BO478" s="9" t="s">
        <v>1101</v>
      </c>
      <c r="BP478" s="9"/>
      <c r="BQ478" s="9"/>
      <c r="BR478" s="9"/>
      <c r="BS478" s="9" t="s">
        <v>1101</v>
      </c>
      <c r="BT478" s="9"/>
      <c r="BU478" s="9"/>
      <c r="BV478" s="9"/>
      <c r="BW478" s="9" t="s">
        <v>1101</v>
      </c>
      <c r="BX478" s="9"/>
      <c r="BY478" s="9"/>
      <c r="BZ478" s="9"/>
      <c r="CA478" s="9" t="s">
        <v>1101</v>
      </c>
      <c r="CB478" s="9"/>
      <c r="CC478" s="9"/>
      <c r="CD478" s="9"/>
      <c r="CE478" s="9" t="s">
        <v>1101</v>
      </c>
      <c r="CF478" s="9"/>
      <c r="CG478" s="9"/>
      <c r="CH478" s="9"/>
      <c r="CI478" s="9" t="s">
        <v>1101</v>
      </c>
      <c r="CJ478" s="9"/>
      <c r="CK478" s="9"/>
      <c r="CL478" s="9"/>
      <c r="CM478" s="9" t="s">
        <v>1101</v>
      </c>
      <c r="CN478" s="9"/>
      <c r="CO478" s="9"/>
      <c r="CP478" s="9"/>
      <c r="CQ478" s="9" t="s">
        <v>1101</v>
      </c>
      <c r="CR478" s="9"/>
      <c r="CS478" s="9"/>
      <c r="CT478" s="9"/>
      <c r="CU478" s="9" t="s">
        <v>1101</v>
      </c>
      <c r="CV478" s="9"/>
      <c r="CW478" s="9"/>
      <c r="CX478" s="9"/>
      <c r="CY478" s="9" t="s">
        <v>1101</v>
      </c>
      <c r="CZ478" s="9"/>
      <c r="DA478" s="9"/>
      <c r="DB478" s="9"/>
      <c r="DC478" s="9" t="s">
        <v>1101</v>
      </c>
      <c r="DD478" s="9"/>
      <c r="DE478" s="9"/>
      <c r="DF478" s="9"/>
      <c r="DG478" s="9" t="s">
        <v>1101</v>
      </c>
      <c r="DH478" s="9"/>
      <c r="DI478" s="9"/>
      <c r="DJ478" s="9"/>
      <c r="DK478" s="9" t="s">
        <v>1101</v>
      </c>
      <c r="DL478" s="9"/>
      <c r="DM478" s="9"/>
      <c r="DN478" s="9"/>
      <c r="DO478" s="9" t="s">
        <v>1101</v>
      </c>
      <c r="DP478" s="9"/>
      <c r="DQ478" s="9"/>
      <c r="DR478" s="9"/>
      <c r="DS478" s="9" t="s">
        <v>1101</v>
      </c>
      <c r="DT478" s="9"/>
      <c r="DU478" s="9"/>
      <c r="DV478" s="9"/>
      <c r="DW478" s="9" t="s">
        <v>1101</v>
      </c>
      <c r="DX478" s="9"/>
      <c r="DY478" s="9"/>
      <c r="DZ478" s="9"/>
      <c r="EA478" s="9" t="s">
        <v>1101</v>
      </c>
      <c r="EB478" s="9"/>
      <c r="EC478" s="9"/>
      <c r="ED478" s="9"/>
      <c r="EE478" s="9" t="s">
        <v>1101</v>
      </c>
      <c r="EF478" s="9"/>
      <c r="EG478" s="9"/>
      <c r="EH478" s="9"/>
      <c r="EI478" s="9" t="s">
        <v>1101</v>
      </c>
      <c r="EJ478" s="9"/>
      <c r="EK478" s="9"/>
      <c r="EL478" s="9"/>
      <c r="EM478" s="9" t="s">
        <v>1101</v>
      </c>
      <c r="EN478" s="9"/>
      <c r="EO478" s="9"/>
      <c r="EP478" s="9"/>
      <c r="EQ478" s="9" t="s">
        <v>1101</v>
      </c>
      <c r="ER478" s="9"/>
      <c r="ES478" s="9"/>
      <c r="ET478" s="9"/>
      <c r="EU478" s="9" t="s">
        <v>1101</v>
      </c>
      <c r="EV478" s="9"/>
      <c r="EW478" s="9"/>
      <c r="EX478" s="9"/>
      <c r="EY478" s="9" t="s">
        <v>1101</v>
      </c>
      <c r="EZ478" s="9"/>
      <c r="FA478" s="9"/>
      <c r="FB478" s="9"/>
      <c r="FC478" s="9" t="s">
        <v>1101</v>
      </c>
      <c r="FD478" s="9"/>
      <c r="FE478" s="9"/>
      <c r="FF478" s="9"/>
      <c r="FG478" s="9" t="s">
        <v>1101</v>
      </c>
      <c r="FH478" s="9"/>
      <c r="FI478" s="9"/>
      <c r="FJ478" s="9"/>
      <c r="FK478" s="9" t="s">
        <v>1101</v>
      </c>
      <c r="FL478" s="9"/>
      <c r="FM478" s="9"/>
      <c r="FN478" s="9"/>
      <c r="FO478" s="9" t="s">
        <v>1101</v>
      </c>
      <c r="FP478" s="9"/>
      <c r="FQ478" s="9"/>
      <c r="FR478" s="9"/>
      <c r="FS478" s="9" t="s">
        <v>1101</v>
      </c>
      <c r="FT478" s="9"/>
      <c r="FU478" s="9"/>
      <c r="FV478" s="9"/>
      <c r="FW478" s="9" t="s">
        <v>1101</v>
      </c>
      <c r="FX478" s="9"/>
      <c r="FY478" s="9"/>
      <c r="FZ478" s="9"/>
      <c r="GA478" s="9" t="s">
        <v>1101</v>
      </c>
      <c r="GB478" s="9"/>
      <c r="GC478" s="9"/>
      <c r="GD478" s="9"/>
      <c r="GE478" s="9" t="s">
        <v>1101</v>
      </c>
      <c r="GF478" s="9"/>
      <c r="GG478" s="9"/>
      <c r="GH478" s="9"/>
      <c r="GI478" s="9" t="s">
        <v>1101</v>
      </c>
      <c r="GJ478" s="9"/>
      <c r="GK478" s="9"/>
      <c r="GL478" s="9"/>
      <c r="GM478" s="9" t="s">
        <v>1101</v>
      </c>
      <c r="GN478" s="9"/>
      <c r="GO478" s="9"/>
      <c r="GP478" s="9"/>
      <c r="GQ478" s="9" t="s">
        <v>1101</v>
      </c>
      <c r="GR478" s="9"/>
      <c r="GS478" s="9"/>
      <c r="GT478" s="9"/>
      <c r="GU478" s="9" t="s">
        <v>1101</v>
      </c>
      <c r="GV478" s="9"/>
      <c r="GW478" s="9"/>
      <c r="GX478" s="9"/>
      <c r="GY478" s="9" t="s">
        <v>1101</v>
      </c>
      <c r="GZ478" s="9"/>
      <c r="HA478" s="9"/>
      <c r="HB478" s="9"/>
      <c r="HC478" s="9" t="s">
        <v>1101</v>
      </c>
      <c r="HD478" s="9"/>
      <c r="HE478" s="9"/>
      <c r="HF478" s="9"/>
      <c r="HG478" s="9" t="s">
        <v>1101</v>
      </c>
      <c r="HH478" s="9"/>
      <c r="HI478" s="9"/>
      <c r="HJ478" s="9"/>
      <c r="HK478" s="9" t="s">
        <v>1101</v>
      </c>
      <c r="HL478" s="9"/>
      <c r="HM478" s="9"/>
      <c r="HN478" s="9"/>
      <c r="HO478" s="9" t="s">
        <v>1101</v>
      </c>
      <c r="HP478" s="9"/>
      <c r="HQ478" s="9"/>
      <c r="HR478" s="9"/>
      <c r="HS478" s="9" t="s">
        <v>1101</v>
      </c>
      <c r="HT478" s="9"/>
      <c r="HU478" s="9"/>
      <c r="HV478" s="9"/>
      <c r="HW478" s="9" t="s">
        <v>1101</v>
      </c>
      <c r="HX478" s="9"/>
      <c r="HY478" s="9"/>
      <c r="HZ478" s="9"/>
      <c r="IA478" s="9" t="s">
        <v>1041</v>
      </c>
      <c r="IB478" s="67"/>
      <c r="IC478" s="68"/>
      <c r="ID478" s="157"/>
      <c r="IE478" s="158"/>
    </row>
    <row r="479" spans="1:239" s="11" customFormat="1" x14ac:dyDescent="0.2">
      <c r="A479" s="9">
        <v>30</v>
      </c>
      <c r="B479" s="9"/>
      <c r="C479" s="9"/>
      <c r="D479" s="9" t="s">
        <v>76</v>
      </c>
      <c r="E479" s="65" t="s">
        <v>72</v>
      </c>
      <c r="F479" s="65"/>
      <c r="G479" s="92" t="s">
        <v>2483</v>
      </c>
      <c r="H479" s="66" t="s">
        <v>1389</v>
      </c>
      <c r="I479" s="9"/>
      <c r="J479" s="9" t="s">
        <v>1101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  <c r="EN479" s="9"/>
      <c r="EO479" s="9"/>
      <c r="EP479" s="9"/>
      <c r="EQ479" s="9"/>
      <c r="ER479" s="9"/>
      <c r="ES479" s="9"/>
      <c r="ET479" s="9"/>
      <c r="EU479" s="9"/>
      <c r="EV479" s="9"/>
      <c r="EW479" s="9"/>
      <c r="EX479" s="9"/>
      <c r="EY479" s="9"/>
      <c r="EZ479" s="9"/>
      <c r="FA479" s="9"/>
      <c r="FB479" s="9"/>
      <c r="FC479" s="9"/>
      <c r="FD479" s="9"/>
      <c r="FE479" s="9"/>
      <c r="FF479" s="9"/>
      <c r="FG479" s="9"/>
      <c r="FH479" s="9"/>
      <c r="FI479" s="9"/>
      <c r="FJ479" s="9"/>
      <c r="FK479" s="9"/>
      <c r="FL479" s="9"/>
      <c r="FM479" s="9"/>
      <c r="FN479" s="9"/>
      <c r="FO479" s="9"/>
      <c r="FP479" s="9"/>
      <c r="FQ479" s="9"/>
      <c r="FR479" s="9"/>
      <c r="FS479" s="9"/>
      <c r="FT479" s="9"/>
      <c r="FU479" s="9"/>
      <c r="FV479" s="9"/>
      <c r="FW479" s="9"/>
      <c r="FX479" s="9"/>
      <c r="FY479" s="9"/>
      <c r="FZ479" s="9"/>
      <c r="GA479" s="9"/>
      <c r="GB479" s="9"/>
      <c r="GC479" s="9"/>
      <c r="GD479" s="9"/>
      <c r="GE479" s="9"/>
      <c r="GF479" s="9"/>
      <c r="GG479" s="9"/>
      <c r="GH479" s="9"/>
      <c r="GI479" s="9"/>
      <c r="GJ479" s="9"/>
      <c r="GK479" s="9"/>
      <c r="GL479" s="9"/>
      <c r="GM479" s="9"/>
      <c r="GN479" s="9"/>
      <c r="GO479" s="9"/>
      <c r="GP479" s="9"/>
      <c r="GQ479" s="9"/>
      <c r="GR479" s="9"/>
      <c r="GS479" s="9"/>
      <c r="GT479" s="9"/>
      <c r="GU479" s="9"/>
      <c r="GV479" s="9"/>
      <c r="GW479" s="9"/>
      <c r="GX479" s="9"/>
      <c r="GY479" s="9"/>
      <c r="GZ479" s="9"/>
      <c r="HA479" s="9"/>
      <c r="HB479" s="9"/>
      <c r="HC479" s="9"/>
      <c r="HD479" s="9"/>
      <c r="HE479" s="9"/>
      <c r="HF479" s="9"/>
      <c r="HG479" s="9"/>
      <c r="HH479" s="9"/>
      <c r="HI479" s="9"/>
      <c r="HJ479" s="9"/>
      <c r="HK479" s="9"/>
      <c r="HL479" s="9"/>
      <c r="HM479" s="9"/>
      <c r="HN479" s="9"/>
      <c r="HO479" s="9"/>
      <c r="HP479" s="9"/>
      <c r="HQ479" s="9"/>
      <c r="HR479" s="9"/>
      <c r="HS479" s="9"/>
      <c r="HT479" s="9"/>
      <c r="HU479" s="9"/>
      <c r="HV479" s="9"/>
      <c r="HW479" s="9"/>
      <c r="HX479" s="9"/>
      <c r="HY479" s="9"/>
      <c r="HZ479" s="9"/>
      <c r="IA479" s="9"/>
      <c r="IB479" s="67"/>
      <c r="IC479" s="68"/>
      <c r="ID479" s="157"/>
      <c r="IE479" s="158"/>
    </row>
    <row r="480" spans="1:239" s="11" customFormat="1" x14ac:dyDescent="0.2">
      <c r="A480" s="9">
        <v>30</v>
      </c>
      <c r="B480" s="9"/>
      <c r="C480" s="9"/>
      <c r="D480" s="9" t="s">
        <v>77</v>
      </c>
      <c r="E480" s="65" t="s">
        <v>48</v>
      </c>
      <c r="F480" s="65"/>
      <c r="G480" s="92" t="s">
        <v>2484</v>
      </c>
      <c r="H480" s="66" t="s">
        <v>1390</v>
      </c>
      <c r="I480" s="9"/>
      <c r="J480" s="9" t="s">
        <v>1101</v>
      </c>
      <c r="K480" s="9"/>
      <c r="L480" s="9"/>
      <c r="M480" s="9"/>
      <c r="N480" s="9"/>
      <c r="O480" s="9" t="s">
        <v>1101</v>
      </c>
      <c r="P480" s="9"/>
      <c r="Q480" s="9"/>
      <c r="R480" s="9"/>
      <c r="S480" s="9" t="s">
        <v>1101</v>
      </c>
      <c r="T480" s="9"/>
      <c r="U480" s="9"/>
      <c r="V480" s="9"/>
      <c r="W480" s="9" t="s">
        <v>1101</v>
      </c>
      <c r="X480" s="9"/>
      <c r="Y480" s="9"/>
      <c r="Z480" s="9"/>
      <c r="AA480" s="9" t="s">
        <v>1101</v>
      </c>
      <c r="AB480" s="9"/>
      <c r="AC480" s="9"/>
      <c r="AD480" s="9"/>
      <c r="AE480" s="9" t="s">
        <v>1101</v>
      </c>
      <c r="AF480" s="9"/>
      <c r="AG480" s="9"/>
      <c r="AH480" s="9"/>
      <c r="AI480" s="9" t="s">
        <v>1101</v>
      </c>
      <c r="AJ480" s="9"/>
      <c r="AK480" s="9"/>
      <c r="AL480" s="9"/>
      <c r="AM480" s="9" t="s">
        <v>1101</v>
      </c>
      <c r="AN480" s="9"/>
      <c r="AO480" s="9"/>
      <c r="AP480" s="9"/>
      <c r="AQ480" s="9" t="s">
        <v>1101</v>
      </c>
      <c r="AR480" s="9"/>
      <c r="AS480" s="9"/>
      <c r="AT480" s="9"/>
      <c r="AU480" s="9" t="s">
        <v>1101</v>
      </c>
      <c r="AV480" s="9"/>
      <c r="AW480" s="9"/>
      <c r="AX480" s="9"/>
      <c r="AY480" s="9" t="s">
        <v>1101</v>
      </c>
      <c r="AZ480" s="9"/>
      <c r="BA480" s="9"/>
      <c r="BB480" s="9"/>
      <c r="BC480" s="9" t="s">
        <v>1101</v>
      </c>
      <c r="BD480" s="9"/>
      <c r="BE480" s="9"/>
      <c r="BF480" s="9"/>
      <c r="BG480" s="9" t="s">
        <v>1101</v>
      </c>
      <c r="BH480" s="9"/>
      <c r="BI480" s="9"/>
      <c r="BJ480" s="9"/>
      <c r="BK480" s="9" t="s">
        <v>1101</v>
      </c>
      <c r="BL480" s="9"/>
      <c r="BM480" s="9"/>
      <c r="BN480" s="9"/>
      <c r="BO480" s="9" t="s">
        <v>1101</v>
      </c>
      <c r="BP480" s="9"/>
      <c r="BQ480" s="9"/>
      <c r="BR480" s="9"/>
      <c r="BS480" s="9" t="s">
        <v>1101</v>
      </c>
      <c r="BT480" s="9"/>
      <c r="BU480" s="9"/>
      <c r="BV480" s="9"/>
      <c r="BW480" s="9" t="s">
        <v>1101</v>
      </c>
      <c r="BX480" s="9"/>
      <c r="BY480" s="9"/>
      <c r="BZ480" s="9"/>
      <c r="CA480" s="9" t="s">
        <v>1101</v>
      </c>
      <c r="CB480" s="9"/>
      <c r="CC480" s="9"/>
      <c r="CD480" s="9"/>
      <c r="CE480" s="9" t="s">
        <v>1101</v>
      </c>
      <c r="CF480" s="9"/>
      <c r="CG480" s="9"/>
      <c r="CH480" s="9"/>
      <c r="CI480" s="9" t="s">
        <v>1101</v>
      </c>
      <c r="CJ480" s="9"/>
      <c r="CK480" s="9"/>
      <c r="CL480" s="9"/>
      <c r="CM480" s="9" t="s">
        <v>1101</v>
      </c>
      <c r="CN480" s="9"/>
      <c r="CO480" s="9"/>
      <c r="CP480" s="9"/>
      <c r="CQ480" s="9" t="s">
        <v>1101</v>
      </c>
      <c r="CR480" s="9"/>
      <c r="CS480" s="9"/>
      <c r="CT480" s="9"/>
      <c r="CU480" s="9" t="s">
        <v>1101</v>
      </c>
      <c r="CV480" s="9"/>
      <c r="CW480" s="9"/>
      <c r="CX480" s="9"/>
      <c r="CY480" s="9" t="s">
        <v>1101</v>
      </c>
      <c r="CZ480" s="9"/>
      <c r="DA480" s="9"/>
      <c r="DB480" s="9"/>
      <c r="DC480" s="9" t="s">
        <v>1101</v>
      </c>
      <c r="DD480" s="9"/>
      <c r="DE480" s="9"/>
      <c r="DF480" s="9"/>
      <c r="DG480" s="9" t="s">
        <v>1101</v>
      </c>
      <c r="DH480" s="9"/>
      <c r="DI480" s="9"/>
      <c r="DJ480" s="9"/>
      <c r="DK480" s="9" t="s">
        <v>1101</v>
      </c>
      <c r="DL480" s="9"/>
      <c r="DM480" s="9"/>
      <c r="DN480" s="9"/>
      <c r="DO480" s="9" t="s">
        <v>1101</v>
      </c>
      <c r="DP480" s="9"/>
      <c r="DQ480" s="9"/>
      <c r="DR480" s="9"/>
      <c r="DS480" s="9" t="s">
        <v>1101</v>
      </c>
      <c r="DT480" s="9"/>
      <c r="DU480" s="9"/>
      <c r="DV480" s="9"/>
      <c r="DW480" s="9" t="s">
        <v>1101</v>
      </c>
      <c r="DX480" s="9"/>
      <c r="DY480" s="9"/>
      <c r="DZ480" s="9"/>
      <c r="EA480" s="9" t="s">
        <v>1101</v>
      </c>
      <c r="EB480" s="9"/>
      <c r="EC480" s="9"/>
      <c r="ED480" s="9"/>
      <c r="EE480" s="9" t="s">
        <v>1101</v>
      </c>
      <c r="EF480" s="9"/>
      <c r="EG480" s="9"/>
      <c r="EH480" s="9"/>
      <c r="EI480" s="9" t="s">
        <v>1101</v>
      </c>
      <c r="EJ480" s="9"/>
      <c r="EK480" s="9"/>
      <c r="EL480" s="9"/>
      <c r="EM480" s="9" t="s">
        <v>1101</v>
      </c>
      <c r="EN480" s="9"/>
      <c r="EO480" s="9"/>
      <c r="EP480" s="9"/>
      <c r="EQ480" s="9" t="s">
        <v>1101</v>
      </c>
      <c r="ER480" s="9"/>
      <c r="ES480" s="9"/>
      <c r="ET480" s="9"/>
      <c r="EU480" s="9" t="s">
        <v>1101</v>
      </c>
      <c r="EV480" s="9"/>
      <c r="EW480" s="9"/>
      <c r="EX480" s="9"/>
      <c r="EY480" s="9" t="s">
        <v>1101</v>
      </c>
      <c r="EZ480" s="9"/>
      <c r="FA480" s="9"/>
      <c r="FB480" s="9"/>
      <c r="FC480" s="9" t="s">
        <v>1101</v>
      </c>
      <c r="FD480" s="9"/>
      <c r="FE480" s="9"/>
      <c r="FF480" s="9"/>
      <c r="FG480" s="9" t="s">
        <v>1101</v>
      </c>
      <c r="FH480" s="9"/>
      <c r="FI480" s="9"/>
      <c r="FJ480" s="9"/>
      <c r="FK480" s="9" t="s">
        <v>1101</v>
      </c>
      <c r="FL480" s="9"/>
      <c r="FM480" s="9"/>
      <c r="FN480" s="9"/>
      <c r="FO480" s="9" t="s">
        <v>1101</v>
      </c>
      <c r="FP480" s="9"/>
      <c r="FQ480" s="9"/>
      <c r="FR480" s="9"/>
      <c r="FS480" s="9" t="s">
        <v>1101</v>
      </c>
      <c r="FT480" s="9"/>
      <c r="FU480" s="9"/>
      <c r="FV480" s="9"/>
      <c r="FW480" s="9" t="s">
        <v>1101</v>
      </c>
      <c r="FX480" s="9"/>
      <c r="FY480" s="9"/>
      <c r="FZ480" s="9"/>
      <c r="GA480" s="9" t="s">
        <v>1101</v>
      </c>
      <c r="GB480" s="9"/>
      <c r="GC480" s="9"/>
      <c r="GD480" s="9"/>
      <c r="GE480" s="9" t="s">
        <v>1101</v>
      </c>
      <c r="GF480" s="9"/>
      <c r="GG480" s="9"/>
      <c r="GH480" s="9"/>
      <c r="GI480" s="9" t="s">
        <v>1101</v>
      </c>
      <c r="GJ480" s="9"/>
      <c r="GK480" s="9"/>
      <c r="GL480" s="9"/>
      <c r="GM480" s="9" t="s">
        <v>1101</v>
      </c>
      <c r="GN480" s="9"/>
      <c r="GO480" s="9"/>
      <c r="GP480" s="9"/>
      <c r="GQ480" s="9" t="s">
        <v>1101</v>
      </c>
      <c r="GR480" s="9"/>
      <c r="GS480" s="9"/>
      <c r="GT480" s="9"/>
      <c r="GU480" s="9" t="s">
        <v>1101</v>
      </c>
      <c r="GV480" s="9"/>
      <c r="GW480" s="9"/>
      <c r="GX480" s="9"/>
      <c r="GY480" s="9" t="s">
        <v>1101</v>
      </c>
      <c r="GZ480" s="9"/>
      <c r="HA480" s="9"/>
      <c r="HB480" s="9"/>
      <c r="HC480" s="9" t="s">
        <v>1101</v>
      </c>
      <c r="HD480" s="9"/>
      <c r="HE480" s="9"/>
      <c r="HF480" s="9"/>
      <c r="HG480" s="9" t="s">
        <v>1101</v>
      </c>
      <c r="HH480" s="9"/>
      <c r="HI480" s="9"/>
      <c r="HJ480" s="9"/>
      <c r="HK480" s="9" t="s">
        <v>1101</v>
      </c>
      <c r="HL480" s="9"/>
      <c r="HM480" s="9"/>
      <c r="HN480" s="9"/>
      <c r="HO480" s="9" t="s">
        <v>1101</v>
      </c>
      <c r="HP480" s="9"/>
      <c r="HQ480" s="9"/>
      <c r="HR480" s="9"/>
      <c r="HS480" s="9" t="s">
        <v>1101</v>
      </c>
      <c r="HT480" s="9"/>
      <c r="HU480" s="9"/>
      <c r="HV480" s="9"/>
      <c r="HW480" s="9" t="s">
        <v>1101</v>
      </c>
      <c r="HX480" s="9"/>
      <c r="HY480" s="9"/>
      <c r="HZ480" s="9"/>
      <c r="IA480" s="9" t="s">
        <v>1041</v>
      </c>
      <c r="IB480" s="67"/>
      <c r="IC480" s="68"/>
      <c r="ID480" s="157"/>
      <c r="IE480" s="158"/>
    </row>
    <row r="481" spans="1:239" s="11" customFormat="1" x14ac:dyDescent="0.2">
      <c r="A481" s="34"/>
      <c r="IE481" s="69"/>
    </row>
    <row r="482" spans="1:239" s="11" customFormat="1" x14ac:dyDescent="0.2">
      <c r="A482" s="34"/>
      <c r="IE482" s="69"/>
    </row>
    <row r="483" spans="1:239" s="11" customFormat="1" x14ac:dyDescent="0.2">
      <c r="A483" s="34"/>
      <c r="IE483" s="69"/>
    </row>
    <row r="484" spans="1:239" s="11" customFormat="1" x14ac:dyDescent="0.2">
      <c r="A484" s="34"/>
      <c r="IE484" s="69"/>
    </row>
    <row r="485" spans="1:239" s="11" customFormat="1" x14ac:dyDescent="0.2">
      <c r="A485" s="3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  <c r="CZ485" s="19"/>
      <c r="DA485" s="19"/>
      <c r="DB485" s="19"/>
      <c r="DC485" s="19"/>
      <c r="DD485" s="19"/>
      <c r="DE485" s="19"/>
      <c r="DF485" s="19"/>
      <c r="DG485" s="19"/>
      <c r="DH485" s="19"/>
      <c r="DI485" s="19"/>
      <c r="DJ485" s="19"/>
      <c r="DK485" s="19"/>
      <c r="DL485" s="19"/>
      <c r="DM485" s="19"/>
      <c r="DN485" s="19"/>
      <c r="DO485" s="19"/>
      <c r="DP485" s="19"/>
      <c r="DQ485" s="19"/>
      <c r="DR485" s="19"/>
      <c r="DS485" s="19"/>
      <c r="DT485" s="19"/>
      <c r="DU485" s="19"/>
      <c r="DV485" s="19"/>
      <c r="DW485" s="19"/>
      <c r="DX485" s="19"/>
      <c r="DY485" s="19"/>
      <c r="DZ485" s="19"/>
      <c r="EA485" s="19"/>
      <c r="EB485" s="19"/>
      <c r="EC485" s="19"/>
      <c r="ED485" s="19"/>
      <c r="EE485" s="19"/>
      <c r="EF485" s="19"/>
      <c r="EG485" s="19"/>
      <c r="EH485" s="19"/>
      <c r="EI485" s="19"/>
      <c r="EJ485" s="19"/>
      <c r="EK485" s="19"/>
      <c r="EL485" s="19"/>
      <c r="EM485" s="19"/>
      <c r="EN485" s="19"/>
      <c r="EO485" s="19"/>
      <c r="EP485" s="19"/>
      <c r="EQ485" s="19"/>
      <c r="ER485" s="19"/>
      <c r="ES485" s="19"/>
      <c r="ET485" s="19"/>
      <c r="EU485" s="19"/>
      <c r="EV485" s="19"/>
      <c r="EW485" s="19"/>
      <c r="EX485" s="19"/>
      <c r="EY485" s="19"/>
      <c r="EZ485" s="19"/>
      <c r="FA485" s="19"/>
      <c r="FB485" s="19"/>
      <c r="FC485" s="19"/>
      <c r="FD485" s="19"/>
      <c r="FE485" s="19"/>
      <c r="FF485" s="19"/>
      <c r="FG485" s="19"/>
      <c r="FH485" s="19"/>
      <c r="FI485" s="19"/>
      <c r="FJ485" s="19"/>
      <c r="FK485" s="19"/>
      <c r="FL485" s="19"/>
      <c r="FM485" s="19"/>
      <c r="FN485" s="19"/>
      <c r="FO485" s="19"/>
      <c r="FP485" s="19"/>
      <c r="FQ485" s="19"/>
      <c r="FR485" s="19"/>
      <c r="FS485" s="19"/>
      <c r="FT485" s="19"/>
      <c r="FU485" s="19"/>
      <c r="FV485" s="19"/>
      <c r="FW485" s="19"/>
      <c r="FX485" s="19"/>
      <c r="FY485" s="19"/>
      <c r="FZ485" s="19"/>
      <c r="GA485" s="19"/>
      <c r="GB485" s="19"/>
      <c r="GC485" s="19"/>
      <c r="GD485" s="19"/>
      <c r="GE485" s="19"/>
      <c r="GF485" s="19"/>
      <c r="GG485" s="19"/>
      <c r="GH485" s="19"/>
      <c r="GI485" s="19"/>
      <c r="GJ485" s="19"/>
      <c r="GK485" s="19"/>
      <c r="GL485" s="19"/>
      <c r="GM485" s="19"/>
      <c r="GN485" s="19"/>
      <c r="GO485" s="19"/>
      <c r="GP485" s="19"/>
      <c r="GQ485" s="19"/>
      <c r="GR485" s="19"/>
      <c r="GS485" s="19"/>
      <c r="GT485" s="19"/>
      <c r="GU485" s="19"/>
      <c r="GV485" s="19"/>
      <c r="GW485" s="19"/>
      <c r="GX485" s="19"/>
      <c r="GY485" s="19"/>
      <c r="GZ485" s="19"/>
      <c r="HA485" s="19"/>
      <c r="HB485" s="19"/>
      <c r="HC485" s="19"/>
      <c r="HD485" s="19"/>
      <c r="HE485" s="19"/>
      <c r="HF485" s="19"/>
      <c r="HG485" s="19"/>
      <c r="HH485" s="19"/>
      <c r="HI485" s="19"/>
      <c r="HJ485" s="19"/>
      <c r="HK485" s="19"/>
      <c r="HL485" s="19"/>
      <c r="HM485" s="19"/>
      <c r="HN485" s="19"/>
      <c r="HO485" s="19"/>
      <c r="HP485" s="19"/>
      <c r="HQ485" s="19"/>
      <c r="HR485" s="19"/>
      <c r="HS485" s="19"/>
      <c r="HT485" s="19"/>
      <c r="HU485" s="19"/>
      <c r="HV485" s="19"/>
      <c r="HW485" s="19"/>
      <c r="HX485" s="19"/>
      <c r="HY485" s="19"/>
      <c r="HZ485" s="19"/>
      <c r="IA485" s="19"/>
      <c r="IB485" s="19"/>
      <c r="IC485" s="19"/>
      <c r="ID485" s="19"/>
      <c r="IE485" s="20"/>
    </row>
  </sheetData>
  <mergeCells count="45">
    <mergeCell ref="ID323:IE323"/>
    <mergeCell ref="ID331:IE331"/>
    <mergeCell ref="ID332:IE332"/>
    <mergeCell ref="ID333:IE333"/>
    <mergeCell ref="ID334:IE334"/>
    <mergeCell ref="ID328:IE328"/>
    <mergeCell ref="ID329:IE329"/>
    <mergeCell ref="ID324:IE324"/>
    <mergeCell ref="ID326:IE326"/>
    <mergeCell ref="ID480:IE480"/>
    <mergeCell ref="ID338:IE338"/>
    <mergeCell ref="ID400:IE400"/>
    <mergeCell ref="ID475:IE475"/>
    <mergeCell ref="ID476:IE476"/>
    <mergeCell ref="ID477:IE477"/>
    <mergeCell ref="ID478:IE478"/>
    <mergeCell ref="ID469:IE469"/>
    <mergeCell ref="ID471:IE471"/>
    <mergeCell ref="ID479:IE479"/>
    <mergeCell ref="ID470:IE470"/>
    <mergeCell ref="ID399:IE399"/>
    <mergeCell ref="ID474:IE474"/>
    <mergeCell ref="ID339:IE339"/>
    <mergeCell ref="ID466:IE466"/>
    <mergeCell ref="ID467:IE467"/>
    <mergeCell ref="ID473:IE473"/>
    <mergeCell ref="ID325:IE325"/>
    <mergeCell ref="ID330:IE330"/>
    <mergeCell ref="ID468:IE468"/>
    <mergeCell ref="ID472:IE472"/>
    <mergeCell ref="ID327:IE327"/>
    <mergeCell ref="ID337:IE337"/>
    <mergeCell ref="ID335:IE335"/>
    <mergeCell ref="ID336:IE336"/>
    <mergeCell ref="ID23:IE23"/>
    <mergeCell ref="ID322:IE322"/>
    <mergeCell ref="ID12:IE12"/>
    <mergeCell ref="ID13:IE13"/>
    <mergeCell ref="ID14:IE14"/>
    <mergeCell ref="ID18:IE18"/>
    <mergeCell ref="ID19:IE19"/>
    <mergeCell ref="ID15:IE15"/>
    <mergeCell ref="ID16:IE16"/>
    <mergeCell ref="ID17:IE17"/>
    <mergeCell ref="ID20:IE20"/>
  </mergeCells>
  <phoneticPr fontId="1"/>
  <pageMargins left="0.47244094488188981" right="0.43307086614173229" top="0.55118110236220474" bottom="0.59055118110236227" header="0.55118110236220474" footer="0.11811023622047245"/>
  <pageSetup paperSize="9" scale="10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QT364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8" customWidth="1"/>
    <col min="2" max="2" width="2.6328125" style="28" bestFit="1" customWidth="1"/>
    <col min="3" max="3" width="3.36328125" style="28" customWidth="1"/>
    <col min="4" max="4" width="19.1796875" style="29" customWidth="1"/>
    <col min="5" max="5" width="25.81640625" style="29" customWidth="1"/>
    <col min="6" max="6" width="7.453125" style="28" bestFit="1" customWidth="1"/>
    <col min="7" max="7" width="30.81640625" style="28" customWidth="1"/>
    <col min="8" max="8" width="20.90625" style="28" bestFit="1" customWidth="1"/>
    <col min="9" max="10" width="15.81640625" style="28" customWidth="1"/>
    <col min="11" max="11" width="6.90625" style="28" customWidth="1"/>
    <col min="12" max="12" width="7" style="28" customWidth="1"/>
    <col min="13" max="13" width="6.90625" style="28" customWidth="1"/>
    <col min="14" max="14" width="50.81640625" style="28" customWidth="1"/>
    <col min="15" max="16" width="6.90625" style="28" customWidth="1"/>
    <col min="17" max="17" width="6.90625" style="29" customWidth="1"/>
    <col min="18" max="18" width="7" style="29" customWidth="1"/>
    <col min="19" max="19" width="6.90625" style="29" customWidth="1"/>
    <col min="20" max="20" width="7.08984375" style="29" customWidth="1"/>
    <col min="21" max="458" width="6.90625" style="29" customWidth="1"/>
    <col min="459" max="459" width="30.81640625" style="29" customWidth="1"/>
    <col min="460" max="460" width="9" style="29"/>
    <col min="461" max="461" width="15.81640625" style="29" customWidth="1"/>
    <col min="462" max="16384" width="9" style="29"/>
  </cols>
  <sheetData>
    <row r="1" spans="1:462" s="11" customFormat="1" x14ac:dyDescent="0.2">
      <c r="A1" s="27" t="s">
        <v>1407</v>
      </c>
      <c r="B1" s="27" t="s">
        <v>1407</v>
      </c>
      <c r="C1" s="27"/>
      <c r="D1" s="1" t="s">
        <v>1408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9"/>
      <c r="S1" s="4"/>
      <c r="T1" s="29"/>
      <c r="U1" s="29"/>
      <c r="V1" s="29"/>
      <c r="W1" s="29"/>
      <c r="X1" s="29"/>
      <c r="Y1" s="29"/>
      <c r="Z1" s="29"/>
      <c r="AA1" s="4"/>
      <c r="AB1" s="29"/>
      <c r="AC1" s="29"/>
      <c r="AD1" s="29"/>
      <c r="AE1" s="29"/>
      <c r="AF1" s="29"/>
      <c r="AG1" s="29"/>
      <c r="AH1" s="29"/>
      <c r="AI1" s="4"/>
      <c r="AJ1" s="29"/>
      <c r="AK1" s="29"/>
      <c r="AL1" s="29"/>
      <c r="AM1" s="29"/>
      <c r="AN1" s="29"/>
      <c r="AO1" s="29"/>
      <c r="AP1" s="29"/>
      <c r="AQ1" s="4"/>
      <c r="AR1" s="29"/>
      <c r="AS1" s="29"/>
      <c r="AT1" s="29"/>
      <c r="AU1" s="29"/>
      <c r="AV1" s="29"/>
      <c r="AW1" s="29"/>
      <c r="AX1" s="29"/>
      <c r="AY1" s="4"/>
      <c r="AZ1" s="29"/>
      <c r="BA1" s="29"/>
      <c r="BB1" s="29"/>
      <c r="BC1" s="29"/>
      <c r="BD1" s="29"/>
      <c r="BE1" s="29"/>
      <c r="BF1" s="29"/>
      <c r="BG1" s="4"/>
      <c r="BH1" s="29"/>
      <c r="BI1" s="29"/>
      <c r="BJ1" s="29"/>
      <c r="BK1" s="29"/>
      <c r="BL1" s="29"/>
      <c r="BM1" s="29"/>
      <c r="BN1" s="29"/>
      <c r="BO1" s="4"/>
      <c r="BP1" s="29"/>
      <c r="BQ1" s="29"/>
      <c r="BR1" s="29"/>
      <c r="BS1" s="29"/>
      <c r="BT1" s="29"/>
      <c r="BU1" s="29"/>
      <c r="BV1" s="29"/>
      <c r="BW1" s="4"/>
      <c r="BX1" s="29"/>
      <c r="BY1" s="29"/>
      <c r="BZ1" s="29"/>
      <c r="CA1" s="29"/>
      <c r="CB1" s="29"/>
      <c r="CC1" s="29"/>
      <c r="CD1" s="29"/>
      <c r="CE1" s="4"/>
      <c r="CF1" s="29"/>
      <c r="CG1" s="29"/>
      <c r="CH1" s="29"/>
      <c r="CI1" s="29"/>
      <c r="CJ1" s="29"/>
      <c r="CK1" s="29"/>
      <c r="CL1" s="29"/>
      <c r="CM1" s="4"/>
      <c r="CN1" s="29"/>
      <c r="CO1" s="29"/>
      <c r="CP1" s="29"/>
      <c r="CQ1" s="29"/>
      <c r="CR1" s="29"/>
      <c r="CS1" s="29"/>
      <c r="CT1" s="29"/>
      <c r="CU1" s="4"/>
      <c r="CV1" s="29"/>
      <c r="CW1" s="29"/>
      <c r="CX1" s="29"/>
      <c r="CY1" s="29"/>
      <c r="CZ1" s="29"/>
      <c r="DA1" s="29"/>
      <c r="DB1" s="29"/>
      <c r="DC1" s="4"/>
      <c r="DD1" s="29"/>
      <c r="DE1" s="29"/>
      <c r="DF1" s="29"/>
      <c r="DG1" s="29"/>
      <c r="DH1" s="29"/>
      <c r="DI1" s="29"/>
      <c r="DJ1" s="29"/>
      <c r="DK1" s="4"/>
      <c r="DL1" s="29"/>
      <c r="DM1" s="29"/>
      <c r="DN1" s="29"/>
      <c r="DO1" s="29"/>
      <c r="DP1" s="29"/>
      <c r="DQ1" s="29"/>
      <c r="DR1" s="29"/>
      <c r="DS1" s="4"/>
      <c r="DT1" s="29"/>
      <c r="DU1" s="29"/>
      <c r="DV1" s="29"/>
      <c r="DW1" s="29"/>
      <c r="DX1" s="29"/>
      <c r="DY1" s="29"/>
      <c r="DZ1" s="29"/>
      <c r="EA1" s="4"/>
      <c r="EB1" s="29"/>
      <c r="EC1" s="29"/>
      <c r="ED1" s="29"/>
      <c r="EE1" s="29"/>
      <c r="EF1" s="29"/>
      <c r="EG1" s="29"/>
      <c r="EH1" s="29"/>
      <c r="EI1" s="4"/>
      <c r="EJ1" s="29"/>
      <c r="EK1" s="29"/>
      <c r="EL1" s="29"/>
      <c r="EM1" s="29"/>
      <c r="EN1" s="29"/>
      <c r="EO1" s="29"/>
      <c r="EP1" s="29"/>
      <c r="EQ1" s="4"/>
      <c r="ER1" s="29"/>
      <c r="ES1" s="29"/>
      <c r="ET1" s="29"/>
      <c r="EU1" s="29"/>
      <c r="EV1" s="29"/>
      <c r="EW1" s="29"/>
      <c r="EX1" s="29"/>
      <c r="EY1" s="4"/>
      <c r="EZ1" s="29"/>
      <c r="FA1" s="29"/>
      <c r="FB1" s="29"/>
      <c r="FC1" s="29"/>
      <c r="FD1" s="29"/>
      <c r="FE1" s="29"/>
      <c r="FF1" s="29"/>
      <c r="FG1" s="4"/>
      <c r="FH1" s="29"/>
      <c r="FI1" s="29"/>
      <c r="FJ1" s="29"/>
      <c r="FK1" s="29"/>
      <c r="FL1" s="29"/>
      <c r="FM1" s="29"/>
      <c r="FN1" s="29"/>
      <c r="FO1" s="4"/>
      <c r="FP1" s="29"/>
      <c r="FQ1" s="29"/>
      <c r="FR1" s="29"/>
      <c r="FS1" s="29"/>
      <c r="FT1" s="29"/>
      <c r="FU1" s="29"/>
      <c r="FV1" s="29"/>
      <c r="FW1" s="4"/>
      <c r="FX1" s="29"/>
      <c r="FY1" s="29"/>
      <c r="FZ1" s="29"/>
      <c r="GA1" s="29"/>
      <c r="GB1" s="29"/>
      <c r="GC1" s="29"/>
      <c r="GD1" s="29"/>
      <c r="GE1" s="4"/>
      <c r="GF1" s="29"/>
      <c r="GG1" s="29"/>
      <c r="GH1" s="29"/>
      <c r="GI1" s="29"/>
      <c r="GJ1" s="29"/>
      <c r="GK1" s="29"/>
      <c r="GL1" s="29"/>
      <c r="GM1" s="4"/>
      <c r="GN1" s="29"/>
      <c r="GO1" s="29"/>
      <c r="GP1" s="29"/>
      <c r="GQ1" s="29"/>
      <c r="GR1" s="29"/>
      <c r="GS1" s="29"/>
      <c r="GT1" s="29"/>
      <c r="GU1" s="4"/>
      <c r="GV1" s="29"/>
      <c r="GW1" s="29"/>
      <c r="GX1" s="29"/>
      <c r="GY1" s="29"/>
      <c r="GZ1" s="29"/>
      <c r="HA1" s="29"/>
      <c r="HB1" s="29"/>
      <c r="HC1" s="4"/>
      <c r="HD1" s="29"/>
      <c r="HE1" s="29"/>
      <c r="HF1" s="29"/>
      <c r="HG1" s="29"/>
      <c r="HH1" s="29"/>
      <c r="HI1" s="29"/>
      <c r="HJ1" s="29"/>
      <c r="HK1" s="4"/>
      <c r="HL1" s="29"/>
      <c r="HM1" s="29"/>
      <c r="HN1" s="29"/>
      <c r="HO1" s="29"/>
      <c r="HP1" s="29"/>
      <c r="HQ1" s="29"/>
      <c r="HR1" s="29"/>
      <c r="HS1" s="4"/>
      <c r="HT1" s="29"/>
      <c r="HU1" s="29"/>
      <c r="HV1" s="29"/>
      <c r="HW1" s="29"/>
      <c r="HX1" s="29"/>
      <c r="HY1" s="29"/>
      <c r="HZ1" s="29"/>
      <c r="IA1" s="4"/>
      <c r="IB1" s="29"/>
      <c r="IC1" s="29"/>
      <c r="ID1" s="29"/>
      <c r="IE1" s="29"/>
      <c r="IF1" s="29"/>
      <c r="IG1" s="29"/>
      <c r="IH1" s="29"/>
      <c r="II1" s="4"/>
      <c r="IJ1" s="29"/>
      <c r="IK1" s="29"/>
      <c r="IL1" s="29"/>
      <c r="IM1" s="29"/>
      <c r="IN1" s="29"/>
      <c r="IO1" s="29"/>
      <c r="IP1" s="29"/>
      <c r="IQ1" s="4"/>
      <c r="IR1" s="29"/>
      <c r="IS1" s="29"/>
      <c r="IT1" s="29"/>
      <c r="IU1" s="29"/>
      <c r="IV1" s="29"/>
      <c r="IW1" s="29"/>
      <c r="IX1" s="29"/>
      <c r="IY1" s="4"/>
      <c r="IZ1" s="29"/>
      <c r="JA1" s="29"/>
      <c r="JB1" s="29"/>
      <c r="JC1" s="29"/>
      <c r="JD1" s="29"/>
      <c r="JE1" s="29"/>
      <c r="JF1" s="29"/>
      <c r="JG1" s="4"/>
      <c r="JH1" s="29"/>
      <c r="JI1" s="29"/>
      <c r="JJ1" s="29"/>
      <c r="JK1" s="29"/>
      <c r="JL1" s="29"/>
      <c r="JM1" s="29"/>
      <c r="JN1" s="29"/>
      <c r="JO1" s="4"/>
      <c r="JP1" s="29"/>
      <c r="JQ1" s="29"/>
      <c r="JR1" s="29"/>
      <c r="JS1" s="29"/>
      <c r="JT1" s="29"/>
      <c r="JU1" s="29"/>
      <c r="JV1" s="29"/>
      <c r="JW1" s="4"/>
      <c r="JX1" s="29"/>
      <c r="JY1" s="29"/>
      <c r="JZ1" s="29"/>
      <c r="KA1" s="29"/>
      <c r="KB1" s="29"/>
      <c r="KC1" s="29"/>
      <c r="KD1" s="29"/>
      <c r="KE1" s="4"/>
      <c r="KF1" s="29"/>
      <c r="KG1" s="29"/>
      <c r="KH1" s="29"/>
      <c r="KI1" s="29"/>
      <c r="KJ1" s="29"/>
      <c r="KK1" s="29"/>
      <c r="KL1" s="29"/>
      <c r="KM1" s="4"/>
      <c r="KN1" s="29"/>
      <c r="KO1" s="29"/>
      <c r="KP1" s="29"/>
      <c r="KQ1" s="29"/>
      <c r="KR1" s="29"/>
      <c r="KS1" s="29"/>
      <c r="KT1" s="29"/>
      <c r="KU1" s="4"/>
      <c r="KV1" s="29"/>
      <c r="KW1" s="29"/>
      <c r="KX1" s="29"/>
      <c r="KY1" s="29"/>
      <c r="KZ1" s="29"/>
      <c r="LA1" s="29"/>
      <c r="LB1" s="29"/>
      <c r="LC1" s="4"/>
      <c r="LD1" s="29"/>
      <c r="LE1" s="29"/>
      <c r="LF1" s="29"/>
      <c r="LG1" s="29"/>
      <c r="LH1" s="29"/>
      <c r="LI1" s="29"/>
      <c r="LJ1" s="29"/>
      <c r="LK1" s="4"/>
      <c r="LL1" s="29"/>
      <c r="LM1" s="29"/>
      <c r="LN1" s="29"/>
      <c r="LO1" s="29"/>
      <c r="LP1" s="29"/>
      <c r="LQ1" s="29"/>
      <c r="LR1" s="29"/>
      <c r="LS1" s="4"/>
      <c r="LT1" s="29"/>
      <c r="LU1" s="29"/>
      <c r="LV1" s="29"/>
      <c r="LW1" s="29"/>
      <c r="LX1" s="29"/>
      <c r="LY1" s="29"/>
      <c r="LZ1" s="29"/>
      <c r="MA1" s="4"/>
      <c r="MB1" s="29"/>
      <c r="MC1" s="29"/>
      <c r="MD1" s="29"/>
      <c r="ME1" s="29"/>
      <c r="MF1" s="29"/>
      <c r="MG1" s="29"/>
      <c r="MH1" s="29"/>
      <c r="MI1" s="4"/>
      <c r="MJ1" s="29"/>
      <c r="MK1" s="29"/>
      <c r="ML1" s="29"/>
      <c r="MM1" s="29"/>
      <c r="MN1" s="29"/>
      <c r="MO1" s="29"/>
      <c r="MP1" s="29"/>
      <c r="MQ1" s="4"/>
      <c r="MR1" s="29"/>
      <c r="MS1" s="29"/>
      <c r="MT1" s="29"/>
      <c r="MU1" s="29"/>
      <c r="MV1" s="29"/>
      <c r="MW1" s="29"/>
      <c r="MX1" s="29"/>
      <c r="MY1" s="4"/>
      <c r="MZ1" s="29"/>
      <c r="NA1" s="29"/>
      <c r="NB1" s="29"/>
      <c r="NC1" s="29"/>
      <c r="ND1" s="29"/>
      <c r="NE1" s="29"/>
      <c r="NF1" s="29"/>
      <c r="NG1" s="4"/>
      <c r="NH1" s="29"/>
      <c r="NI1" s="29"/>
      <c r="NJ1" s="29"/>
      <c r="NK1" s="29"/>
      <c r="NL1" s="29"/>
      <c r="NM1" s="29"/>
      <c r="NN1" s="29"/>
      <c r="NO1" s="4"/>
      <c r="NP1" s="29"/>
      <c r="NQ1" s="29"/>
      <c r="NR1" s="29"/>
      <c r="NS1" s="29"/>
      <c r="NT1" s="29"/>
      <c r="NU1" s="29"/>
      <c r="NV1" s="29"/>
      <c r="NW1" s="4"/>
      <c r="NX1" s="29"/>
      <c r="NY1" s="29"/>
      <c r="NZ1" s="29"/>
      <c r="OA1" s="29"/>
      <c r="OB1" s="29"/>
      <c r="OC1" s="29"/>
      <c r="OD1" s="29"/>
      <c r="OE1" s="4"/>
      <c r="OF1" s="29"/>
      <c r="OG1" s="29"/>
      <c r="OH1" s="29"/>
      <c r="OI1" s="29"/>
      <c r="OJ1" s="29"/>
      <c r="OK1" s="29"/>
      <c r="OL1" s="29"/>
      <c r="OM1" s="4"/>
      <c r="ON1" s="29"/>
      <c r="OO1" s="29"/>
      <c r="OP1" s="29"/>
      <c r="OQ1" s="29"/>
      <c r="OR1" s="29"/>
      <c r="OS1" s="29"/>
      <c r="OT1" s="29"/>
      <c r="OU1" s="4"/>
      <c r="OV1" s="29"/>
      <c r="OW1" s="29"/>
      <c r="OX1" s="29"/>
      <c r="OY1" s="29"/>
      <c r="OZ1" s="29"/>
      <c r="PA1" s="29"/>
      <c r="PB1" s="29"/>
      <c r="PC1" s="4"/>
      <c r="PD1" s="29"/>
      <c r="PE1" s="29"/>
      <c r="PF1" s="29"/>
      <c r="PG1" s="29"/>
      <c r="PH1" s="29"/>
      <c r="PI1" s="29"/>
      <c r="PJ1" s="29"/>
      <c r="PK1" s="4"/>
      <c r="PL1" s="29"/>
      <c r="PM1" s="29"/>
      <c r="PN1" s="29"/>
      <c r="PO1" s="29"/>
      <c r="PP1" s="29"/>
      <c r="PQ1" s="29"/>
      <c r="PR1" s="29"/>
      <c r="PS1" s="4"/>
      <c r="PT1" s="29"/>
      <c r="PU1" s="29"/>
      <c r="PV1" s="29"/>
      <c r="PW1" s="29"/>
      <c r="PX1" s="29"/>
      <c r="PY1" s="29"/>
      <c r="PZ1" s="29"/>
      <c r="QA1" s="4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</row>
    <row r="2" spans="1:462" s="11" customFormat="1" ht="40" customHeight="1" x14ac:dyDescent="0.2">
      <c r="A2" s="30" t="s">
        <v>1407</v>
      </c>
      <c r="B2" s="31"/>
      <c r="C2" s="31"/>
      <c r="D2" s="89" t="s">
        <v>2195</v>
      </c>
      <c r="E2" s="7" t="s">
        <v>1409</v>
      </c>
      <c r="F2" s="32" t="str">
        <f>IF(LogicCommon!C2="","",LogicCommon!C2)</f>
        <v>MA</v>
      </c>
      <c r="G2" s="7" t="s">
        <v>1410</v>
      </c>
      <c r="H2" s="32" t="str">
        <f>IF(LogicCommon!E2="","",LogicCommon!E2)</f>
        <v>MABCL0030</v>
      </c>
      <c r="I2" s="7" t="s">
        <v>1411</v>
      </c>
      <c r="J2" s="9" t="s">
        <v>31</v>
      </c>
      <c r="K2" s="7" t="s">
        <v>1412</v>
      </c>
      <c r="L2" s="32" t="str">
        <f>IF(LogicCommon!G2="","",LogicCommon!G2)</f>
        <v>MC</v>
      </c>
      <c r="M2" s="5" t="s">
        <v>1413</v>
      </c>
      <c r="N2" s="33" t="s">
        <v>2073</v>
      </c>
      <c r="O2" s="7"/>
      <c r="P2" s="7"/>
      <c r="Q2" s="4"/>
      <c r="R2" s="29"/>
      <c r="S2" s="4"/>
      <c r="T2" s="29"/>
      <c r="U2" s="29"/>
      <c r="V2" s="29"/>
      <c r="W2" s="29"/>
      <c r="X2" s="29"/>
      <c r="Y2" s="29"/>
      <c r="Z2" s="29"/>
      <c r="AA2" s="4"/>
      <c r="AB2" s="29"/>
      <c r="AC2" s="29"/>
      <c r="AD2" s="29"/>
      <c r="AE2" s="29"/>
      <c r="AF2" s="29"/>
      <c r="AG2" s="29"/>
      <c r="AH2" s="29"/>
      <c r="AI2" s="4"/>
      <c r="AJ2" s="29"/>
      <c r="AK2" s="29"/>
      <c r="AL2" s="29"/>
      <c r="AM2" s="29"/>
      <c r="AN2" s="29"/>
      <c r="AO2" s="29"/>
      <c r="AP2" s="29"/>
      <c r="AQ2" s="4"/>
      <c r="AR2" s="29"/>
      <c r="AS2" s="29"/>
      <c r="AT2" s="29"/>
      <c r="AU2" s="29"/>
      <c r="AV2" s="29"/>
      <c r="AW2" s="29"/>
      <c r="AX2" s="29"/>
      <c r="AY2" s="4"/>
      <c r="AZ2" s="29"/>
      <c r="BA2" s="29"/>
      <c r="BB2" s="29"/>
      <c r="BC2" s="29"/>
      <c r="BD2" s="29"/>
      <c r="BE2" s="29"/>
      <c r="BF2" s="29"/>
      <c r="BG2" s="4"/>
      <c r="BH2" s="29"/>
      <c r="BI2" s="29"/>
      <c r="BJ2" s="29"/>
      <c r="BK2" s="29"/>
      <c r="BL2" s="29"/>
      <c r="BM2" s="29"/>
      <c r="BN2" s="29"/>
      <c r="BO2" s="4"/>
      <c r="BP2" s="29"/>
      <c r="BQ2" s="29"/>
      <c r="BR2" s="29"/>
      <c r="BS2" s="29"/>
      <c r="BT2" s="29"/>
      <c r="BU2" s="29"/>
      <c r="BV2" s="29"/>
      <c r="BW2" s="4"/>
      <c r="BX2" s="29"/>
      <c r="BY2" s="29"/>
      <c r="BZ2" s="29"/>
      <c r="CA2" s="29"/>
      <c r="CB2" s="29"/>
      <c r="CC2" s="29"/>
      <c r="CD2" s="29"/>
      <c r="CE2" s="4"/>
      <c r="CF2" s="29"/>
      <c r="CG2" s="29"/>
      <c r="CH2" s="29"/>
      <c r="CI2" s="29"/>
      <c r="CJ2" s="29"/>
      <c r="CK2" s="29"/>
      <c r="CL2" s="29"/>
      <c r="CM2" s="4"/>
      <c r="CN2" s="29"/>
      <c r="CO2" s="29"/>
      <c r="CP2" s="29"/>
      <c r="CQ2" s="29"/>
      <c r="CR2" s="29"/>
      <c r="CS2" s="29"/>
      <c r="CT2" s="29"/>
      <c r="CU2" s="4"/>
      <c r="CV2" s="29"/>
      <c r="CW2" s="29"/>
      <c r="CX2" s="29"/>
      <c r="CY2" s="29"/>
      <c r="CZ2" s="29"/>
      <c r="DA2" s="29"/>
      <c r="DB2" s="29"/>
      <c r="DC2" s="4"/>
      <c r="DD2" s="29"/>
      <c r="DE2" s="29"/>
      <c r="DF2" s="29"/>
      <c r="DG2" s="29"/>
      <c r="DH2" s="29"/>
      <c r="DI2" s="29"/>
      <c r="DJ2" s="29"/>
      <c r="DK2" s="4"/>
      <c r="DL2" s="29"/>
      <c r="DM2" s="29"/>
      <c r="DN2" s="29"/>
      <c r="DO2" s="29"/>
      <c r="DP2" s="29"/>
      <c r="DQ2" s="29"/>
      <c r="DR2" s="29"/>
      <c r="DS2" s="4"/>
      <c r="DT2" s="29"/>
      <c r="DU2" s="29"/>
      <c r="DV2" s="29"/>
      <c r="DW2" s="29"/>
      <c r="DX2" s="29"/>
      <c r="DY2" s="29"/>
      <c r="DZ2" s="29"/>
      <c r="EA2" s="4"/>
      <c r="EB2" s="29"/>
      <c r="EC2" s="29"/>
      <c r="ED2" s="29"/>
      <c r="EE2" s="29"/>
      <c r="EF2" s="29"/>
      <c r="EG2" s="29"/>
      <c r="EH2" s="29"/>
      <c r="EI2" s="4"/>
      <c r="EJ2" s="29"/>
      <c r="EK2" s="29"/>
      <c r="EL2" s="29"/>
      <c r="EM2" s="29"/>
      <c r="EN2" s="29"/>
      <c r="EO2" s="29"/>
      <c r="EP2" s="29"/>
      <c r="EQ2" s="4"/>
      <c r="ER2" s="29"/>
      <c r="ES2" s="29"/>
      <c r="ET2" s="29"/>
      <c r="EU2" s="29"/>
      <c r="EV2" s="29"/>
      <c r="EW2" s="29"/>
      <c r="EX2" s="29"/>
      <c r="EY2" s="4"/>
      <c r="EZ2" s="29"/>
      <c r="FA2" s="29"/>
      <c r="FB2" s="29"/>
      <c r="FC2" s="29"/>
      <c r="FD2" s="29"/>
      <c r="FE2" s="29"/>
      <c r="FF2" s="29"/>
      <c r="FG2" s="4"/>
      <c r="FH2" s="29"/>
      <c r="FI2" s="29"/>
      <c r="FJ2" s="29"/>
      <c r="FK2" s="29"/>
      <c r="FL2" s="29"/>
      <c r="FM2" s="29"/>
      <c r="FN2" s="29"/>
      <c r="FO2" s="4"/>
      <c r="FP2" s="29"/>
      <c r="FQ2" s="29"/>
      <c r="FR2" s="29"/>
      <c r="FS2" s="29"/>
      <c r="FT2" s="29"/>
      <c r="FU2" s="29"/>
      <c r="FV2" s="29"/>
      <c r="FW2" s="4"/>
      <c r="FX2" s="29"/>
      <c r="FY2" s="29"/>
      <c r="FZ2" s="29"/>
      <c r="GA2" s="29"/>
      <c r="GB2" s="29"/>
      <c r="GC2" s="29"/>
      <c r="GD2" s="29"/>
      <c r="GE2" s="4"/>
      <c r="GF2" s="29"/>
      <c r="GG2" s="29"/>
      <c r="GH2" s="29"/>
      <c r="GI2" s="29"/>
      <c r="GJ2" s="29"/>
      <c r="GK2" s="29"/>
      <c r="GL2" s="29"/>
      <c r="GM2" s="4"/>
      <c r="GN2" s="29"/>
      <c r="GO2" s="29"/>
      <c r="GP2" s="29"/>
      <c r="GQ2" s="29"/>
      <c r="GR2" s="29"/>
      <c r="GS2" s="29"/>
      <c r="GT2" s="29"/>
      <c r="GU2" s="4"/>
      <c r="GV2" s="29"/>
      <c r="GW2" s="29"/>
      <c r="GX2" s="29"/>
      <c r="GY2" s="29"/>
      <c r="GZ2" s="29"/>
      <c r="HA2" s="29"/>
      <c r="HB2" s="29"/>
      <c r="HC2" s="4"/>
      <c r="HD2" s="29"/>
      <c r="HE2" s="29"/>
      <c r="HF2" s="29"/>
      <c r="HG2" s="29"/>
      <c r="HH2" s="29"/>
      <c r="HI2" s="29"/>
      <c r="HJ2" s="29"/>
      <c r="HK2" s="4"/>
      <c r="HL2" s="29"/>
      <c r="HM2" s="29"/>
      <c r="HN2" s="29"/>
      <c r="HO2" s="29"/>
      <c r="HP2" s="29"/>
      <c r="HQ2" s="29"/>
      <c r="HR2" s="29"/>
      <c r="HS2" s="4"/>
      <c r="HT2" s="29"/>
      <c r="HU2" s="29"/>
      <c r="HV2" s="29"/>
      <c r="HW2" s="29"/>
      <c r="HX2" s="29"/>
      <c r="HY2" s="29"/>
      <c r="HZ2" s="29"/>
      <c r="IA2" s="4"/>
      <c r="IB2" s="29"/>
      <c r="IC2" s="29"/>
      <c r="ID2" s="29"/>
      <c r="IE2" s="29"/>
      <c r="IF2" s="29"/>
      <c r="IG2" s="29"/>
      <c r="IH2" s="29"/>
      <c r="II2" s="4"/>
      <c r="IJ2" s="29"/>
      <c r="IK2" s="29"/>
      <c r="IL2" s="29"/>
      <c r="IM2" s="29"/>
      <c r="IN2" s="29"/>
      <c r="IO2" s="29"/>
      <c r="IP2" s="29"/>
      <c r="IQ2" s="4"/>
      <c r="IR2" s="29"/>
      <c r="IS2" s="29"/>
      <c r="IT2" s="29"/>
      <c r="IU2" s="29"/>
      <c r="IV2" s="29"/>
      <c r="IW2" s="29"/>
      <c r="IX2" s="29"/>
      <c r="IY2" s="4"/>
      <c r="IZ2" s="29"/>
      <c r="JA2" s="29"/>
      <c r="JB2" s="29"/>
      <c r="JC2" s="29"/>
      <c r="JD2" s="29"/>
      <c r="JE2" s="29"/>
      <c r="JF2" s="29"/>
      <c r="JG2" s="4"/>
      <c r="JH2" s="29"/>
      <c r="JI2" s="29"/>
      <c r="JJ2" s="29"/>
      <c r="JK2" s="29"/>
      <c r="JL2" s="29"/>
      <c r="JM2" s="29"/>
      <c r="JN2" s="29"/>
      <c r="JO2" s="4"/>
      <c r="JP2" s="29"/>
      <c r="JQ2" s="29"/>
      <c r="JR2" s="29"/>
      <c r="JS2" s="29"/>
      <c r="JT2" s="29"/>
      <c r="JU2" s="29"/>
      <c r="JV2" s="29"/>
      <c r="JW2" s="4"/>
      <c r="JX2" s="29"/>
      <c r="JY2" s="29"/>
      <c r="JZ2" s="29"/>
      <c r="KA2" s="29"/>
      <c r="KB2" s="29"/>
      <c r="KC2" s="29"/>
      <c r="KD2" s="29"/>
      <c r="KE2" s="4"/>
      <c r="KF2" s="29"/>
      <c r="KG2" s="29"/>
      <c r="KH2" s="29"/>
      <c r="KI2" s="29"/>
      <c r="KJ2" s="29"/>
      <c r="KK2" s="29"/>
      <c r="KL2" s="29"/>
      <c r="KM2" s="4"/>
      <c r="KN2" s="29"/>
      <c r="KO2" s="29"/>
      <c r="KP2" s="29"/>
      <c r="KQ2" s="29"/>
      <c r="KR2" s="29"/>
      <c r="KS2" s="29"/>
      <c r="KT2" s="29"/>
      <c r="KU2" s="4"/>
      <c r="KV2" s="29"/>
      <c r="KW2" s="29"/>
      <c r="KX2" s="29"/>
      <c r="KY2" s="29"/>
      <c r="KZ2" s="29"/>
      <c r="LA2" s="29"/>
      <c r="LB2" s="29"/>
      <c r="LC2" s="4"/>
      <c r="LD2" s="29"/>
      <c r="LE2" s="29"/>
      <c r="LF2" s="29"/>
      <c r="LG2" s="29"/>
      <c r="LH2" s="29"/>
      <c r="LI2" s="29"/>
      <c r="LJ2" s="29"/>
      <c r="LK2" s="4"/>
      <c r="LL2" s="29"/>
      <c r="LM2" s="29"/>
      <c r="LN2" s="29"/>
      <c r="LO2" s="29"/>
      <c r="LP2" s="29"/>
      <c r="LQ2" s="29"/>
      <c r="LR2" s="29"/>
      <c r="LS2" s="4"/>
      <c r="LT2" s="29"/>
      <c r="LU2" s="29"/>
      <c r="LV2" s="29"/>
      <c r="LW2" s="29"/>
      <c r="LX2" s="29"/>
      <c r="LY2" s="29"/>
      <c r="LZ2" s="29"/>
      <c r="MA2" s="4"/>
      <c r="MB2" s="29"/>
      <c r="MC2" s="29"/>
      <c r="MD2" s="29"/>
      <c r="ME2" s="29"/>
      <c r="MF2" s="29"/>
      <c r="MG2" s="29"/>
      <c r="MH2" s="29"/>
      <c r="MI2" s="4"/>
      <c r="MJ2" s="29"/>
      <c r="MK2" s="29"/>
      <c r="ML2" s="29"/>
      <c r="MM2" s="29"/>
      <c r="MN2" s="29"/>
      <c r="MO2" s="29"/>
      <c r="MP2" s="29"/>
      <c r="MQ2" s="4"/>
      <c r="MR2" s="29"/>
      <c r="MS2" s="29"/>
      <c r="MT2" s="29"/>
      <c r="MU2" s="29"/>
      <c r="MV2" s="29"/>
      <c r="MW2" s="29"/>
      <c r="MX2" s="29"/>
      <c r="MY2" s="4"/>
      <c r="MZ2" s="29"/>
      <c r="NA2" s="29"/>
      <c r="NB2" s="29"/>
      <c r="NC2" s="29"/>
      <c r="ND2" s="29"/>
      <c r="NE2" s="29"/>
      <c r="NF2" s="29"/>
      <c r="NG2" s="4"/>
      <c r="NH2" s="29"/>
      <c r="NI2" s="29"/>
      <c r="NJ2" s="29"/>
      <c r="NK2" s="29"/>
      <c r="NL2" s="29"/>
      <c r="NM2" s="29"/>
      <c r="NN2" s="29"/>
      <c r="NO2" s="4"/>
      <c r="NP2" s="29"/>
      <c r="NQ2" s="29"/>
      <c r="NR2" s="29"/>
      <c r="NS2" s="29"/>
      <c r="NT2" s="29"/>
      <c r="NU2" s="29"/>
      <c r="NV2" s="29"/>
      <c r="NW2" s="4"/>
      <c r="NX2" s="29"/>
      <c r="NY2" s="29"/>
      <c r="NZ2" s="29"/>
      <c r="OA2" s="29"/>
      <c r="OB2" s="29"/>
      <c r="OC2" s="29"/>
      <c r="OD2" s="29"/>
      <c r="OE2" s="4"/>
      <c r="OF2" s="29"/>
      <c r="OG2" s="29"/>
      <c r="OH2" s="29"/>
      <c r="OI2" s="29"/>
      <c r="OJ2" s="29"/>
      <c r="OK2" s="29"/>
      <c r="OL2" s="29"/>
      <c r="OM2" s="4"/>
      <c r="ON2" s="29"/>
      <c r="OO2" s="29"/>
      <c r="OP2" s="29"/>
      <c r="OQ2" s="29"/>
      <c r="OR2" s="29"/>
      <c r="OS2" s="29"/>
      <c r="OT2" s="29"/>
      <c r="OU2" s="4"/>
      <c r="OV2" s="29"/>
      <c r="OW2" s="29"/>
      <c r="OX2" s="29"/>
      <c r="OY2" s="29"/>
      <c r="OZ2" s="29"/>
      <c r="PA2" s="29"/>
      <c r="PB2" s="29"/>
      <c r="PC2" s="4"/>
      <c r="PD2" s="29"/>
      <c r="PE2" s="29"/>
      <c r="PF2" s="29"/>
      <c r="PG2" s="29"/>
      <c r="PH2" s="29"/>
      <c r="PI2" s="29"/>
      <c r="PJ2" s="29"/>
      <c r="PK2" s="4"/>
      <c r="PL2" s="29"/>
      <c r="PM2" s="29"/>
      <c r="PN2" s="29"/>
      <c r="PO2" s="29"/>
      <c r="PP2" s="29"/>
      <c r="PQ2" s="29"/>
      <c r="PR2" s="29"/>
      <c r="PS2" s="4"/>
      <c r="PT2" s="29"/>
      <c r="PU2" s="29"/>
      <c r="PV2" s="29"/>
      <c r="PW2" s="29"/>
      <c r="PX2" s="29"/>
      <c r="PY2" s="29"/>
      <c r="PZ2" s="29"/>
      <c r="QA2" s="4"/>
      <c r="QB2" s="29"/>
      <c r="QC2" s="29"/>
      <c r="QD2" s="29"/>
      <c r="QE2" s="29"/>
      <c r="QF2" s="29"/>
      <c r="QG2" s="29"/>
      <c r="QH2" s="29"/>
      <c r="QI2" s="29"/>
      <c r="QJ2" s="29"/>
      <c r="QK2" s="29"/>
      <c r="QL2" s="29"/>
      <c r="QM2" s="29"/>
      <c r="QN2" s="29"/>
      <c r="QO2" s="29"/>
      <c r="QP2" s="29"/>
      <c r="QQ2" s="29"/>
      <c r="QR2" s="29"/>
      <c r="QS2" s="29"/>
      <c r="QT2" s="29"/>
    </row>
    <row r="3" spans="1:462" s="11" customFormat="1" x14ac:dyDescent="0.2">
      <c r="A3" s="34" t="s">
        <v>1407</v>
      </c>
      <c r="B3" s="35"/>
      <c r="C3" s="35"/>
      <c r="D3" s="36" t="str">
        <f>IF(LogicCommon!A3="","",LogicCommon!A3)</f>
        <v/>
      </c>
      <c r="E3" s="7" t="s">
        <v>1414</v>
      </c>
      <c r="F3" s="32" t="str">
        <f>IF(LogicCommon!C3="","",LogicCommon!C3)</f>
        <v>MABC</v>
      </c>
      <c r="G3" s="7" t="s">
        <v>1415</v>
      </c>
      <c r="H3" s="32" t="str">
        <f>IF(LogicCommon!E3="","",LogicCommon!E3)</f>
        <v>MABCL_MultiReg</v>
      </c>
      <c r="I3" s="7" t="s">
        <v>1416</v>
      </c>
      <c r="J3" s="9" t="s">
        <v>29</v>
      </c>
      <c r="K3" s="7" t="s">
        <v>1417</v>
      </c>
      <c r="L3" s="32" t="str">
        <f>IF(LogicCommon!G3="","",LogicCommon!G3)</f>
        <v/>
      </c>
      <c r="M3" s="37" t="s">
        <v>30</v>
      </c>
      <c r="N3" s="7"/>
      <c r="O3" s="7" t="s">
        <v>1418</v>
      </c>
      <c r="P3" s="9" t="s">
        <v>1419</v>
      </c>
      <c r="Q3" s="4"/>
      <c r="R3" s="29"/>
      <c r="S3" s="4"/>
      <c r="T3" s="29"/>
      <c r="U3" s="29"/>
      <c r="V3" s="29"/>
      <c r="W3" s="29"/>
      <c r="X3" s="29"/>
      <c r="Y3" s="29"/>
      <c r="Z3" s="29"/>
      <c r="AA3" s="4"/>
      <c r="AB3" s="29"/>
      <c r="AC3" s="29"/>
      <c r="AD3" s="29"/>
      <c r="AE3" s="29"/>
      <c r="AF3" s="29"/>
      <c r="AG3" s="29"/>
      <c r="AH3" s="29"/>
      <c r="AI3" s="4"/>
      <c r="AJ3" s="29"/>
      <c r="AK3" s="29"/>
      <c r="AL3" s="29"/>
      <c r="AM3" s="29"/>
      <c r="AN3" s="29"/>
      <c r="AO3" s="29"/>
      <c r="AP3" s="29"/>
      <c r="AQ3" s="4"/>
      <c r="AR3" s="29"/>
      <c r="AS3" s="29"/>
      <c r="AT3" s="29"/>
      <c r="AU3" s="29"/>
      <c r="AV3" s="29"/>
      <c r="AW3" s="29"/>
      <c r="AX3" s="29"/>
      <c r="AY3" s="4"/>
      <c r="AZ3" s="29"/>
      <c r="BA3" s="29"/>
      <c r="BB3" s="29"/>
      <c r="BC3" s="29"/>
      <c r="BD3" s="29"/>
      <c r="BE3" s="29"/>
      <c r="BF3" s="29"/>
      <c r="BG3" s="4"/>
      <c r="BH3" s="29"/>
      <c r="BI3" s="29"/>
      <c r="BJ3" s="29"/>
      <c r="BK3" s="29"/>
      <c r="BL3" s="29"/>
      <c r="BM3" s="29"/>
      <c r="BN3" s="29"/>
      <c r="BO3" s="4"/>
      <c r="BP3" s="29"/>
      <c r="BQ3" s="29"/>
      <c r="BR3" s="29"/>
      <c r="BS3" s="29"/>
      <c r="BT3" s="29"/>
      <c r="BU3" s="29"/>
      <c r="BV3" s="29"/>
      <c r="BW3" s="4"/>
      <c r="BX3" s="29"/>
      <c r="BY3" s="29"/>
      <c r="BZ3" s="29"/>
      <c r="CA3" s="29"/>
      <c r="CB3" s="29"/>
      <c r="CC3" s="29"/>
      <c r="CD3" s="29"/>
      <c r="CE3" s="4"/>
      <c r="CF3" s="29"/>
      <c r="CG3" s="29"/>
      <c r="CH3" s="29"/>
      <c r="CI3" s="29"/>
      <c r="CJ3" s="29"/>
      <c r="CK3" s="29"/>
      <c r="CL3" s="29"/>
      <c r="CM3" s="4"/>
      <c r="CN3" s="29"/>
      <c r="CO3" s="29"/>
      <c r="CP3" s="29"/>
      <c r="CQ3" s="29"/>
      <c r="CR3" s="29"/>
      <c r="CS3" s="29"/>
      <c r="CT3" s="29"/>
      <c r="CU3" s="4"/>
      <c r="CV3" s="29"/>
      <c r="CW3" s="29"/>
      <c r="CX3" s="29"/>
      <c r="CY3" s="29"/>
      <c r="CZ3" s="29"/>
      <c r="DA3" s="29"/>
      <c r="DB3" s="29"/>
      <c r="DC3" s="4"/>
      <c r="DD3" s="29"/>
      <c r="DE3" s="29"/>
      <c r="DF3" s="29"/>
      <c r="DG3" s="29"/>
      <c r="DH3" s="29"/>
      <c r="DI3" s="29"/>
      <c r="DJ3" s="29"/>
      <c r="DK3" s="4"/>
      <c r="DL3" s="29"/>
      <c r="DM3" s="29"/>
      <c r="DN3" s="29"/>
      <c r="DO3" s="29"/>
      <c r="DP3" s="29"/>
      <c r="DQ3" s="29"/>
      <c r="DR3" s="29"/>
      <c r="DS3" s="4"/>
      <c r="DT3" s="29"/>
      <c r="DU3" s="29"/>
      <c r="DV3" s="29"/>
      <c r="DW3" s="29"/>
      <c r="DX3" s="29"/>
      <c r="DY3" s="29"/>
      <c r="DZ3" s="29"/>
      <c r="EA3" s="4"/>
      <c r="EB3" s="29"/>
      <c r="EC3" s="29"/>
      <c r="ED3" s="29"/>
      <c r="EE3" s="29"/>
      <c r="EF3" s="29"/>
      <c r="EG3" s="29"/>
      <c r="EH3" s="29"/>
      <c r="EI3" s="4"/>
      <c r="EJ3" s="29"/>
      <c r="EK3" s="29"/>
      <c r="EL3" s="29"/>
      <c r="EM3" s="29"/>
      <c r="EN3" s="29"/>
      <c r="EO3" s="29"/>
      <c r="EP3" s="29"/>
      <c r="EQ3" s="4"/>
      <c r="ER3" s="29"/>
      <c r="ES3" s="29"/>
      <c r="ET3" s="29"/>
      <c r="EU3" s="29"/>
      <c r="EV3" s="29"/>
      <c r="EW3" s="29"/>
      <c r="EX3" s="29"/>
      <c r="EY3" s="4"/>
      <c r="EZ3" s="29"/>
      <c r="FA3" s="29"/>
      <c r="FB3" s="29"/>
      <c r="FC3" s="29"/>
      <c r="FD3" s="29"/>
      <c r="FE3" s="29"/>
      <c r="FF3" s="29"/>
      <c r="FG3" s="4"/>
      <c r="FH3" s="29"/>
      <c r="FI3" s="29"/>
      <c r="FJ3" s="29"/>
      <c r="FK3" s="29"/>
      <c r="FL3" s="29"/>
      <c r="FM3" s="29"/>
      <c r="FN3" s="29"/>
      <c r="FO3" s="4"/>
      <c r="FP3" s="29"/>
      <c r="FQ3" s="29"/>
      <c r="FR3" s="29"/>
      <c r="FS3" s="29"/>
      <c r="FT3" s="29"/>
      <c r="FU3" s="29"/>
      <c r="FV3" s="29"/>
      <c r="FW3" s="4"/>
      <c r="FX3" s="29"/>
      <c r="FY3" s="29"/>
      <c r="FZ3" s="29"/>
      <c r="GA3" s="29"/>
      <c r="GB3" s="29"/>
      <c r="GC3" s="29"/>
      <c r="GD3" s="29"/>
      <c r="GE3" s="4"/>
      <c r="GF3" s="29"/>
      <c r="GG3" s="29"/>
      <c r="GH3" s="29"/>
      <c r="GI3" s="29"/>
      <c r="GJ3" s="29"/>
      <c r="GK3" s="29"/>
      <c r="GL3" s="29"/>
      <c r="GM3" s="4"/>
      <c r="GN3" s="29"/>
      <c r="GO3" s="29"/>
      <c r="GP3" s="29"/>
      <c r="GQ3" s="29"/>
      <c r="GR3" s="29"/>
      <c r="GS3" s="29"/>
      <c r="GT3" s="29"/>
      <c r="GU3" s="4"/>
      <c r="GV3" s="29"/>
      <c r="GW3" s="29"/>
      <c r="GX3" s="29"/>
      <c r="GY3" s="29"/>
      <c r="GZ3" s="29"/>
      <c r="HA3" s="29"/>
      <c r="HB3" s="29"/>
      <c r="HC3" s="4"/>
      <c r="HD3" s="29"/>
      <c r="HE3" s="29"/>
      <c r="HF3" s="29"/>
      <c r="HG3" s="29"/>
      <c r="HH3" s="29"/>
      <c r="HI3" s="29"/>
      <c r="HJ3" s="29"/>
      <c r="HK3" s="4"/>
      <c r="HL3" s="29"/>
      <c r="HM3" s="29"/>
      <c r="HN3" s="29"/>
      <c r="HO3" s="29"/>
      <c r="HP3" s="29"/>
      <c r="HQ3" s="29"/>
      <c r="HR3" s="29"/>
      <c r="HS3" s="4"/>
      <c r="HT3" s="29"/>
      <c r="HU3" s="29"/>
      <c r="HV3" s="29"/>
      <c r="HW3" s="29"/>
      <c r="HX3" s="29"/>
      <c r="HY3" s="29"/>
      <c r="HZ3" s="29"/>
      <c r="IA3" s="4"/>
      <c r="IB3" s="29"/>
      <c r="IC3" s="29"/>
      <c r="ID3" s="29"/>
      <c r="IE3" s="29"/>
      <c r="IF3" s="29"/>
      <c r="IG3" s="29"/>
      <c r="IH3" s="29"/>
      <c r="II3" s="4"/>
      <c r="IJ3" s="29"/>
      <c r="IK3" s="29"/>
      <c r="IL3" s="29"/>
      <c r="IM3" s="29"/>
      <c r="IN3" s="29"/>
      <c r="IO3" s="29"/>
      <c r="IP3" s="29"/>
      <c r="IQ3" s="4"/>
      <c r="IR3" s="29"/>
      <c r="IS3" s="29"/>
      <c r="IT3" s="29"/>
      <c r="IU3" s="29"/>
      <c r="IV3" s="29"/>
      <c r="IW3" s="29"/>
      <c r="IX3" s="29"/>
      <c r="IY3" s="4"/>
      <c r="IZ3" s="29"/>
      <c r="JA3" s="29"/>
      <c r="JB3" s="29"/>
      <c r="JC3" s="29"/>
      <c r="JD3" s="29"/>
      <c r="JE3" s="29"/>
      <c r="JF3" s="29"/>
      <c r="JG3" s="4"/>
      <c r="JH3" s="29"/>
      <c r="JI3" s="29"/>
      <c r="JJ3" s="29"/>
      <c r="JK3" s="29"/>
      <c r="JL3" s="29"/>
      <c r="JM3" s="29"/>
      <c r="JN3" s="29"/>
      <c r="JO3" s="4"/>
      <c r="JP3" s="29"/>
      <c r="JQ3" s="29"/>
      <c r="JR3" s="29"/>
      <c r="JS3" s="29"/>
      <c r="JT3" s="29"/>
      <c r="JU3" s="29"/>
      <c r="JV3" s="29"/>
      <c r="JW3" s="4"/>
      <c r="JX3" s="29"/>
      <c r="JY3" s="29"/>
      <c r="JZ3" s="29"/>
      <c r="KA3" s="29"/>
      <c r="KB3" s="29"/>
      <c r="KC3" s="29"/>
      <c r="KD3" s="29"/>
      <c r="KE3" s="4"/>
      <c r="KF3" s="29"/>
      <c r="KG3" s="29"/>
      <c r="KH3" s="29"/>
      <c r="KI3" s="29"/>
      <c r="KJ3" s="29"/>
      <c r="KK3" s="29"/>
      <c r="KL3" s="29"/>
      <c r="KM3" s="4"/>
      <c r="KN3" s="29"/>
      <c r="KO3" s="29"/>
      <c r="KP3" s="29"/>
      <c r="KQ3" s="29"/>
      <c r="KR3" s="29"/>
      <c r="KS3" s="29"/>
      <c r="KT3" s="29"/>
      <c r="KU3" s="4"/>
      <c r="KV3" s="29"/>
      <c r="KW3" s="29"/>
      <c r="KX3" s="29"/>
      <c r="KY3" s="29"/>
      <c r="KZ3" s="29"/>
      <c r="LA3" s="29"/>
      <c r="LB3" s="29"/>
      <c r="LC3" s="4"/>
      <c r="LD3" s="29"/>
      <c r="LE3" s="29"/>
      <c r="LF3" s="29"/>
      <c r="LG3" s="29"/>
      <c r="LH3" s="29"/>
      <c r="LI3" s="29"/>
      <c r="LJ3" s="29"/>
      <c r="LK3" s="4"/>
      <c r="LL3" s="29"/>
      <c r="LM3" s="29"/>
      <c r="LN3" s="29"/>
      <c r="LO3" s="29"/>
      <c r="LP3" s="29"/>
      <c r="LQ3" s="29"/>
      <c r="LR3" s="29"/>
      <c r="LS3" s="4"/>
      <c r="LT3" s="29"/>
      <c r="LU3" s="29"/>
      <c r="LV3" s="29"/>
      <c r="LW3" s="29"/>
      <c r="LX3" s="29"/>
      <c r="LY3" s="29"/>
      <c r="LZ3" s="29"/>
      <c r="MA3" s="4"/>
      <c r="MB3" s="29"/>
      <c r="MC3" s="29"/>
      <c r="MD3" s="29"/>
      <c r="ME3" s="29"/>
      <c r="MF3" s="29"/>
      <c r="MG3" s="29"/>
      <c r="MH3" s="29"/>
      <c r="MI3" s="4"/>
      <c r="MJ3" s="29"/>
      <c r="MK3" s="29"/>
      <c r="ML3" s="29"/>
      <c r="MM3" s="29"/>
      <c r="MN3" s="29"/>
      <c r="MO3" s="29"/>
      <c r="MP3" s="29"/>
      <c r="MQ3" s="4"/>
      <c r="MR3" s="29"/>
      <c r="MS3" s="29"/>
      <c r="MT3" s="29"/>
      <c r="MU3" s="29"/>
      <c r="MV3" s="29"/>
      <c r="MW3" s="29"/>
      <c r="MX3" s="29"/>
      <c r="MY3" s="4"/>
      <c r="MZ3" s="29"/>
      <c r="NA3" s="29"/>
      <c r="NB3" s="29"/>
      <c r="NC3" s="29"/>
      <c r="ND3" s="29"/>
      <c r="NE3" s="29"/>
      <c r="NF3" s="29"/>
      <c r="NG3" s="4"/>
      <c r="NH3" s="29"/>
      <c r="NI3" s="29"/>
      <c r="NJ3" s="29"/>
      <c r="NK3" s="29"/>
      <c r="NL3" s="29"/>
      <c r="NM3" s="29"/>
      <c r="NN3" s="29"/>
      <c r="NO3" s="4"/>
      <c r="NP3" s="29"/>
      <c r="NQ3" s="29"/>
      <c r="NR3" s="29"/>
      <c r="NS3" s="29"/>
      <c r="NT3" s="29"/>
      <c r="NU3" s="29"/>
      <c r="NV3" s="29"/>
      <c r="NW3" s="4"/>
      <c r="NX3" s="29"/>
      <c r="NY3" s="29"/>
      <c r="NZ3" s="29"/>
      <c r="OA3" s="29"/>
      <c r="OB3" s="29"/>
      <c r="OC3" s="29"/>
      <c r="OD3" s="29"/>
      <c r="OE3" s="4"/>
      <c r="OF3" s="29"/>
      <c r="OG3" s="29"/>
      <c r="OH3" s="29"/>
      <c r="OI3" s="29"/>
      <c r="OJ3" s="29"/>
      <c r="OK3" s="29"/>
      <c r="OL3" s="29"/>
      <c r="OM3" s="4"/>
      <c r="ON3" s="29"/>
      <c r="OO3" s="29"/>
      <c r="OP3" s="29"/>
      <c r="OQ3" s="29"/>
      <c r="OR3" s="29"/>
      <c r="OS3" s="29"/>
      <c r="OT3" s="29"/>
      <c r="OU3" s="4"/>
      <c r="OV3" s="29"/>
      <c r="OW3" s="29"/>
      <c r="OX3" s="29"/>
      <c r="OY3" s="29"/>
      <c r="OZ3" s="29"/>
      <c r="PA3" s="29"/>
      <c r="PB3" s="29"/>
      <c r="PC3" s="4"/>
      <c r="PD3" s="29"/>
      <c r="PE3" s="29"/>
      <c r="PF3" s="29"/>
      <c r="PG3" s="29"/>
      <c r="PH3" s="29"/>
      <c r="PI3" s="29"/>
      <c r="PJ3" s="29"/>
      <c r="PK3" s="4"/>
      <c r="PL3" s="29"/>
      <c r="PM3" s="29"/>
      <c r="PN3" s="29"/>
      <c r="PO3" s="29"/>
      <c r="PP3" s="29"/>
      <c r="PQ3" s="29"/>
      <c r="PR3" s="29"/>
      <c r="PS3" s="4"/>
      <c r="PT3" s="29"/>
      <c r="PU3" s="29"/>
      <c r="PV3" s="29"/>
      <c r="PW3" s="29"/>
      <c r="PX3" s="29"/>
      <c r="PY3" s="29"/>
      <c r="PZ3" s="29"/>
      <c r="QA3" s="4"/>
      <c r="QB3" s="29"/>
      <c r="QC3" s="29"/>
      <c r="QD3" s="29"/>
      <c r="QE3" s="29"/>
      <c r="QF3" s="29"/>
      <c r="QG3" s="29"/>
      <c r="QH3" s="29"/>
      <c r="QI3" s="29"/>
      <c r="QJ3" s="29"/>
      <c r="QK3" s="29"/>
      <c r="QL3" s="29"/>
      <c r="QM3" s="29"/>
      <c r="QN3" s="29"/>
      <c r="QO3" s="29"/>
      <c r="QP3" s="29"/>
      <c r="QQ3" s="29"/>
      <c r="QR3" s="29"/>
      <c r="QS3" s="29"/>
      <c r="QT3" s="29"/>
    </row>
    <row r="4" spans="1:462" s="11" customFormat="1" x14ac:dyDescent="0.2">
      <c r="A4" s="34" t="s">
        <v>1407</v>
      </c>
      <c r="B4" s="35"/>
      <c r="C4" s="35"/>
      <c r="D4" s="4"/>
      <c r="E4" s="7" t="s">
        <v>8</v>
      </c>
      <c r="F4" s="10" t="s">
        <v>1975</v>
      </c>
      <c r="G4" s="7" t="s">
        <v>1420</v>
      </c>
      <c r="H4" s="32" t="str">
        <f>IF(LogicCommon!E4="","",LogicCommon!E4)</f>
        <v>マルチマスタ登録</v>
      </c>
      <c r="I4" s="7" t="s">
        <v>1421</v>
      </c>
      <c r="J4" s="9" t="s">
        <v>52</v>
      </c>
      <c r="K4" s="7" t="s">
        <v>1422</v>
      </c>
      <c r="L4" s="32" t="str">
        <f>IF(LogicCommon!G4="","",LogicCommon!G4)</f>
        <v>MA.MAUDL5010</v>
      </c>
      <c r="M4" s="38"/>
      <c r="N4" s="33"/>
      <c r="O4" s="14"/>
      <c r="P4" s="4"/>
      <c r="Q4" s="4"/>
      <c r="R4" s="29"/>
      <c r="S4" s="4"/>
      <c r="T4" s="29"/>
      <c r="U4" s="29"/>
      <c r="V4" s="29"/>
      <c r="W4" s="29"/>
      <c r="X4" s="29"/>
      <c r="Y4" s="29"/>
      <c r="Z4" s="29"/>
      <c r="AA4" s="4"/>
      <c r="AB4" s="29"/>
      <c r="AC4" s="29"/>
      <c r="AD4" s="29"/>
      <c r="AE4" s="29"/>
      <c r="AF4" s="29"/>
      <c r="AG4" s="29"/>
      <c r="AH4" s="29"/>
      <c r="AI4" s="4"/>
      <c r="AJ4" s="29"/>
      <c r="AK4" s="29"/>
      <c r="AL4" s="29"/>
      <c r="AM4" s="29"/>
      <c r="AN4" s="29"/>
      <c r="AO4" s="29"/>
      <c r="AP4" s="29"/>
      <c r="AQ4" s="4"/>
      <c r="AR4" s="29"/>
      <c r="AS4" s="29"/>
      <c r="AT4" s="29"/>
      <c r="AU4" s="29"/>
      <c r="AV4" s="29"/>
      <c r="AW4" s="29"/>
      <c r="AX4" s="29"/>
      <c r="AY4" s="4"/>
      <c r="AZ4" s="29"/>
      <c r="BA4" s="29"/>
      <c r="BB4" s="29"/>
      <c r="BC4" s="29"/>
      <c r="BD4" s="29"/>
      <c r="BE4" s="29"/>
      <c r="BF4" s="29"/>
      <c r="BG4" s="4"/>
      <c r="BH4" s="29"/>
      <c r="BI4" s="29"/>
      <c r="BJ4" s="29"/>
      <c r="BK4" s="29"/>
      <c r="BL4" s="29"/>
      <c r="BM4" s="29"/>
      <c r="BN4" s="29"/>
      <c r="BO4" s="4"/>
      <c r="BP4" s="29"/>
      <c r="BQ4" s="29"/>
      <c r="BR4" s="29"/>
      <c r="BS4" s="29"/>
      <c r="BT4" s="29"/>
      <c r="BU4" s="29"/>
      <c r="BV4" s="29"/>
      <c r="BW4" s="4"/>
      <c r="BX4" s="29"/>
      <c r="BY4" s="29"/>
      <c r="BZ4" s="29"/>
      <c r="CA4" s="29"/>
      <c r="CB4" s="29"/>
      <c r="CC4" s="29"/>
      <c r="CD4" s="29"/>
      <c r="CE4" s="4"/>
      <c r="CF4" s="29"/>
      <c r="CG4" s="29"/>
      <c r="CH4" s="29"/>
      <c r="CI4" s="29"/>
      <c r="CJ4" s="29"/>
      <c r="CK4" s="29"/>
      <c r="CL4" s="29"/>
      <c r="CM4" s="4"/>
      <c r="CN4" s="29"/>
      <c r="CO4" s="29"/>
      <c r="CP4" s="29"/>
      <c r="CQ4" s="29"/>
      <c r="CR4" s="29"/>
      <c r="CS4" s="29"/>
      <c r="CT4" s="29"/>
      <c r="CU4" s="4"/>
      <c r="CV4" s="29"/>
      <c r="CW4" s="29"/>
      <c r="CX4" s="29"/>
      <c r="CY4" s="29"/>
      <c r="CZ4" s="29"/>
      <c r="DA4" s="29"/>
      <c r="DB4" s="29"/>
      <c r="DC4" s="4"/>
      <c r="DD4" s="29"/>
      <c r="DE4" s="29"/>
      <c r="DF4" s="29"/>
      <c r="DG4" s="29"/>
      <c r="DH4" s="29"/>
      <c r="DI4" s="29"/>
      <c r="DJ4" s="29"/>
      <c r="DK4" s="4"/>
      <c r="DL4" s="29"/>
      <c r="DM4" s="29"/>
      <c r="DN4" s="29"/>
      <c r="DO4" s="29"/>
      <c r="DP4" s="29"/>
      <c r="DQ4" s="29"/>
      <c r="DR4" s="29"/>
      <c r="DS4" s="4"/>
      <c r="DT4" s="29"/>
      <c r="DU4" s="29"/>
      <c r="DV4" s="29"/>
      <c r="DW4" s="29"/>
      <c r="DX4" s="29"/>
      <c r="DY4" s="29"/>
      <c r="DZ4" s="29"/>
      <c r="EA4" s="4"/>
      <c r="EB4" s="29"/>
      <c r="EC4" s="29"/>
      <c r="ED4" s="29"/>
      <c r="EE4" s="29"/>
      <c r="EF4" s="29"/>
      <c r="EG4" s="29"/>
      <c r="EH4" s="29"/>
      <c r="EI4" s="4"/>
      <c r="EJ4" s="29"/>
      <c r="EK4" s="29"/>
      <c r="EL4" s="29"/>
      <c r="EM4" s="29"/>
      <c r="EN4" s="29"/>
      <c r="EO4" s="29"/>
      <c r="EP4" s="29"/>
      <c r="EQ4" s="4"/>
      <c r="ER4" s="29"/>
      <c r="ES4" s="29"/>
      <c r="ET4" s="29"/>
      <c r="EU4" s="29"/>
      <c r="EV4" s="29"/>
      <c r="EW4" s="29"/>
      <c r="EX4" s="29"/>
      <c r="EY4" s="4"/>
      <c r="EZ4" s="29"/>
      <c r="FA4" s="29"/>
      <c r="FB4" s="29"/>
      <c r="FC4" s="29"/>
      <c r="FD4" s="29"/>
      <c r="FE4" s="29"/>
      <c r="FF4" s="29"/>
      <c r="FG4" s="4"/>
      <c r="FH4" s="29"/>
      <c r="FI4" s="29"/>
      <c r="FJ4" s="29"/>
      <c r="FK4" s="29"/>
      <c r="FL4" s="29"/>
      <c r="FM4" s="29"/>
      <c r="FN4" s="29"/>
      <c r="FO4" s="4"/>
      <c r="FP4" s="29"/>
      <c r="FQ4" s="29"/>
      <c r="FR4" s="29"/>
      <c r="FS4" s="29"/>
      <c r="FT4" s="29"/>
      <c r="FU4" s="29"/>
      <c r="FV4" s="29"/>
      <c r="FW4" s="4"/>
      <c r="FX4" s="29"/>
      <c r="FY4" s="29"/>
      <c r="FZ4" s="29"/>
      <c r="GA4" s="29"/>
      <c r="GB4" s="29"/>
      <c r="GC4" s="29"/>
      <c r="GD4" s="29"/>
      <c r="GE4" s="4"/>
      <c r="GF4" s="29"/>
      <c r="GG4" s="29"/>
      <c r="GH4" s="29"/>
      <c r="GI4" s="29"/>
      <c r="GJ4" s="29"/>
      <c r="GK4" s="29"/>
      <c r="GL4" s="29"/>
      <c r="GM4" s="4"/>
      <c r="GN4" s="29"/>
      <c r="GO4" s="29"/>
      <c r="GP4" s="29"/>
      <c r="GQ4" s="29"/>
      <c r="GR4" s="29"/>
      <c r="GS4" s="29"/>
      <c r="GT4" s="29"/>
      <c r="GU4" s="4"/>
      <c r="GV4" s="29"/>
      <c r="GW4" s="29"/>
      <c r="GX4" s="29"/>
      <c r="GY4" s="29"/>
      <c r="GZ4" s="29"/>
      <c r="HA4" s="29"/>
      <c r="HB4" s="29"/>
      <c r="HC4" s="4"/>
      <c r="HD4" s="29"/>
      <c r="HE4" s="29"/>
      <c r="HF4" s="29"/>
      <c r="HG4" s="29"/>
      <c r="HH4" s="29"/>
      <c r="HI4" s="29"/>
      <c r="HJ4" s="29"/>
      <c r="HK4" s="4"/>
      <c r="HL4" s="29"/>
      <c r="HM4" s="29"/>
      <c r="HN4" s="29"/>
      <c r="HO4" s="29"/>
      <c r="HP4" s="29"/>
      <c r="HQ4" s="29"/>
      <c r="HR4" s="29"/>
      <c r="HS4" s="4"/>
      <c r="HT4" s="29"/>
      <c r="HU4" s="29"/>
      <c r="HV4" s="29"/>
      <c r="HW4" s="29"/>
      <c r="HX4" s="29"/>
      <c r="HY4" s="29"/>
      <c r="HZ4" s="29"/>
      <c r="IA4" s="4"/>
      <c r="IB4" s="29"/>
      <c r="IC4" s="29"/>
      <c r="ID4" s="29"/>
      <c r="IE4" s="29"/>
      <c r="IF4" s="29"/>
      <c r="IG4" s="29"/>
      <c r="IH4" s="29"/>
      <c r="II4" s="4"/>
      <c r="IJ4" s="29"/>
      <c r="IK4" s="29"/>
      <c r="IL4" s="29"/>
      <c r="IM4" s="29"/>
      <c r="IN4" s="29"/>
      <c r="IO4" s="29"/>
      <c r="IP4" s="29"/>
      <c r="IQ4" s="4"/>
      <c r="IR4" s="29"/>
      <c r="IS4" s="29"/>
      <c r="IT4" s="29"/>
      <c r="IU4" s="29"/>
      <c r="IV4" s="29"/>
      <c r="IW4" s="29"/>
      <c r="IX4" s="29"/>
      <c r="IY4" s="4"/>
      <c r="IZ4" s="29"/>
      <c r="JA4" s="29"/>
      <c r="JB4" s="29"/>
      <c r="JC4" s="29"/>
      <c r="JD4" s="29"/>
      <c r="JE4" s="29"/>
      <c r="JF4" s="29"/>
      <c r="JG4" s="4"/>
      <c r="JH4" s="29"/>
      <c r="JI4" s="29"/>
      <c r="JJ4" s="29"/>
      <c r="JK4" s="29"/>
      <c r="JL4" s="29"/>
      <c r="JM4" s="29"/>
      <c r="JN4" s="29"/>
      <c r="JO4" s="4"/>
      <c r="JP4" s="29"/>
      <c r="JQ4" s="29"/>
      <c r="JR4" s="29"/>
      <c r="JS4" s="29"/>
      <c r="JT4" s="29"/>
      <c r="JU4" s="29"/>
      <c r="JV4" s="29"/>
      <c r="JW4" s="4"/>
      <c r="JX4" s="29"/>
      <c r="JY4" s="29"/>
      <c r="JZ4" s="29"/>
      <c r="KA4" s="29"/>
      <c r="KB4" s="29"/>
      <c r="KC4" s="29"/>
      <c r="KD4" s="29"/>
      <c r="KE4" s="4"/>
      <c r="KF4" s="29"/>
      <c r="KG4" s="29"/>
      <c r="KH4" s="29"/>
      <c r="KI4" s="29"/>
      <c r="KJ4" s="29"/>
      <c r="KK4" s="29"/>
      <c r="KL4" s="29"/>
      <c r="KM4" s="4"/>
      <c r="KN4" s="29"/>
      <c r="KO4" s="29"/>
      <c r="KP4" s="29"/>
      <c r="KQ4" s="29"/>
      <c r="KR4" s="29"/>
      <c r="KS4" s="29"/>
      <c r="KT4" s="29"/>
      <c r="KU4" s="4"/>
      <c r="KV4" s="29"/>
      <c r="KW4" s="29"/>
      <c r="KX4" s="29"/>
      <c r="KY4" s="29"/>
      <c r="KZ4" s="29"/>
      <c r="LA4" s="29"/>
      <c r="LB4" s="29"/>
      <c r="LC4" s="4"/>
      <c r="LD4" s="29"/>
      <c r="LE4" s="29"/>
      <c r="LF4" s="29"/>
      <c r="LG4" s="29"/>
      <c r="LH4" s="29"/>
      <c r="LI4" s="29"/>
      <c r="LJ4" s="29"/>
      <c r="LK4" s="4"/>
      <c r="LL4" s="29"/>
      <c r="LM4" s="29"/>
      <c r="LN4" s="29"/>
      <c r="LO4" s="29"/>
      <c r="LP4" s="29"/>
      <c r="LQ4" s="29"/>
      <c r="LR4" s="29"/>
      <c r="LS4" s="4"/>
      <c r="LT4" s="29"/>
      <c r="LU4" s="29"/>
      <c r="LV4" s="29"/>
      <c r="LW4" s="29"/>
      <c r="LX4" s="29"/>
      <c r="LY4" s="29"/>
      <c r="LZ4" s="29"/>
      <c r="MA4" s="4"/>
      <c r="MB4" s="29"/>
      <c r="MC4" s="29"/>
      <c r="MD4" s="29"/>
      <c r="ME4" s="29"/>
      <c r="MF4" s="29"/>
      <c r="MG4" s="29"/>
      <c r="MH4" s="29"/>
      <c r="MI4" s="4"/>
      <c r="MJ4" s="29"/>
      <c r="MK4" s="29"/>
      <c r="ML4" s="29"/>
      <c r="MM4" s="29"/>
      <c r="MN4" s="29"/>
      <c r="MO4" s="29"/>
      <c r="MP4" s="29"/>
      <c r="MQ4" s="4"/>
      <c r="MR4" s="29"/>
      <c r="MS4" s="29"/>
      <c r="MT4" s="29"/>
      <c r="MU4" s="29"/>
      <c r="MV4" s="29"/>
      <c r="MW4" s="29"/>
      <c r="MX4" s="29"/>
      <c r="MY4" s="4"/>
      <c r="MZ4" s="29"/>
      <c r="NA4" s="29"/>
      <c r="NB4" s="29"/>
      <c r="NC4" s="29"/>
      <c r="ND4" s="29"/>
      <c r="NE4" s="29"/>
      <c r="NF4" s="29"/>
      <c r="NG4" s="4"/>
      <c r="NH4" s="29"/>
      <c r="NI4" s="29"/>
      <c r="NJ4" s="29"/>
      <c r="NK4" s="29"/>
      <c r="NL4" s="29"/>
      <c r="NM4" s="29"/>
      <c r="NN4" s="29"/>
      <c r="NO4" s="4"/>
      <c r="NP4" s="29"/>
      <c r="NQ4" s="29"/>
      <c r="NR4" s="29"/>
      <c r="NS4" s="29"/>
      <c r="NT4" s="29"/>
      <c r="NU4" s="29"/>
      <c r="NV4" s="29"/>
      <c r="NW4" s="4"/>
      <c r="NX4" s="29"/>
      <c r="NY4" s="29"/>
      <c r="NZ4" s="29"/>
      <c r="OA4" s="29"/>
      <c r="OB4" s="29"/>
      <c r="OC4" s="29"/>
      <c r="OD4" s="29"/>
      <c r="OE4" s="4"/>
      <c r="OF4" s="29"/>
      <c r="OG4" s="29"/>
      <c r="OH4" s="29"/>
      <c r="OI4" s="29"/>
      <c r="OJ4" s="29"/>
      <c r="OK4" s="29"/>
      <c r="OL4" s="29"/>
      <c r="OM4" s="4"/>
      <c r="ON4" s="29"/>
      <c r="OO4" s="29"/>
      <c r="OP4" s="29"/>
      <c r="OQ4" s="29"/>
      <c r="OR4" s="29"/>
      <c r="OS4" s="29"/>
      <c r="OT4" s="29"/>
      <c r="OU4" s="4"/>
      <c r="OV4" s="29"/>
      <c r="OW4" s="29"/>
      <c r="OX4" s="29"/>
      <c r="OY4" s="29"/>
      <c r="OZ4" s="29"/>
      <c r="PA4" s="29"/>
      <c r="PB4" s="29"/>
      <c r="PC4" s="4"/>
      <c r="PD4" s="29"/>
      <c r="PE4" s="29"/>
      <c r="PF4" s="29"/>
      <c r="PG4" s="29"/>
      <c r="PH4" s="29"/>
      <c r="PI4" s="29"/>
      <c r="PJ4" s="29"/>
      <c r="PK4" s="4"/>
      <c r="PL4" s="29"/>
      <c r="PM4" s="29"/>
      <c r="PN4" s="29"/>
      <c r="PO4" s="29"/>
      <c r="PP4" s="29"/>
      <c r="PQ4" s="29"/>
      <c r="PR4" s="29"/>
      <c r="PS4" s="4"/>
      <c r="PT4" s="29"/>
      <c r="PU4" s="29"/>
      <c r="PV4" s="29"/>
      <c r="PW4" s="29"/>
      <c r="PX4" s="29"/>
      <c r="PY4" s="29"/>
      <c r="PZ4" s="29"/>
      <c r="QA4" s="4"/>
      <c r="QB4" s="29"/>
      <c r="QC4" s="29"/>
      <c r="QD4" s="29"/>
      <c r="QE4" s="29"/>
      <c r="QF4" s="29"/>
      <c r="QG4" s="29"/>
      <c r="QH4" s="29"/>
      <c r="QI4" s="29"/>
      <c r="QJ4" s="29"/>
      <c r="QK4" s="29"/>
      <c r="QL4" s="29"/>
      <c r="QM4" s="29"/>
      <c r="QN4" s="29"/>
      <c r="QO4" s="29"/>
      <c r="QP4" s="29"/>
      <c r="QQ4" s="29"/>
      <c r="QR4" s="29"/>
      <c r="QS4" s="29"/>
      <c r="QT4" s="29"/>
    </row>
    <row r="5" spans="1:462" s="11" customFormat="1" x14ac:dyDescent="0.2">
      <c r="A5" s="39" t="s">
        <v>1407</v>
      </c>
      <c r="B5" s="27"/>
      <c r="C5" s="27"/>
      <c r="D5" s="26"/>
      <c r="E5" s="7" t="s">
        <v>1423</v>
      </c>
      <c r="F5" s="10"/>
      <c r="G5" s="40"/>
      <c r="H5" s="40"/>
      <c r="I5" s="40"/>
      <c r="J5" s="40"/>
      <c r="K5" s="6">
        <v>1</v>
      </c>
      <c r="L5" s="6"/>
      <c r="M5" s="5"/>
      <c r="N5" s="5"/>
      <c r="O5" s="14">
        <v>2</v>
      </c>
      <c r="P5" s="4"/>
      <c r="Q5" s="4"/>
      <c r="R5" s="5"/>
      <c r="S5" s="4">
        <v>3</v>
      </c>
      <c r="T5" s="4"/>
      <c r="U5" s="5"/>
      <c r="V5" s="5"/>
      <c r="W5" s="4">
        <v>4</v>
      </c>
      <c r="X5" s="4"/>
      <c r="Y5" s="5"/>
      <c r="Z5" s="5"/>
      <c r="AA5" s="4">
        <v>5</v>
      </c>
      <c r="AB5" s="4"/>
      <c r="AC5" s="5"/>
      <c r="AD5" s="5"/>
      <c r="AE5" s="4">
        <v>6</v>
      </c>
      <c r="AF5" s="4"/>
      <c r="AG5" s="5"/>
      <c r="AH5" s="5"/>
      <c r="AI5" s="4">
        <v>7</v>
      </c>
      <c r="AJ5" s="4"/>
      <c r="AK5" s="5"/>
      <c r="AL5" s="5"/>
      <c r="AM5" s="4">
        <v>8</v>
      </c>
      <c r="AN5" s="4"/>
      <c r="AO5" s="5"/>
      <c r="AP5" s="5"/>
      <c r="AQ5" s="4">
        <v>9</v>
      </c>
      <c r="AR5" s="4"/>
      <c r="AS5" s="5"/>
      <c r="AT5" s="5"/>
      <c r="AU5" s="4">
        <v>10</v>
      </c>
      <c r="AV5" s="4"/>
      <c r="AW5" s="5"/>
      <c r="AX5" s="5"/>
      <c r="AY5" s="4">
        <v>11</v>
      </c>
      <c r="AZ5" s="4"/>
      <c r="BA5" s="5"/>
      <c r="BB5" s="5"/>
      <c r="BC5" s="4">
        <v>12</v>
      </c>
      <c r="BD5" s="4"/>
      <c r="BE5" s="5"/>
      <c r="BF5" s="5"/>
      <c r="BG5" s="4">
        <v>13</v>
      </c>
      <c r="BH5" s="4"/>
      <c r="BI5" s="5"/>
      <c r="BJ5" s="5"/>
      <c r="BK5" s="4">
        <v>14</v>
      </c>
      <c r="BL5" s="4"/>
      <c r="BM5" s="5"/>
      <c r="BN5" s="5"/>
      <c r="BO5" s="4">
        <v>15</v>
      </c>
      <c r="BP5" s="4"/>
      <c r="BQ5" s="5"/>
      <c r="BR5" s="5"/>
      <c r="BS5" s="4">
        <v>16</v>
      </c>
      <c r="BT5" s="4"/>
      <c r="BU5" s="5"/>
      <c r="BV5" s="5"/>
      <c r="BW5" s="4">
        <v>17</v>
      </c>
      <c r="BX5" s="4"/>
      <c r="BY5" s="5"/>
      <c r="BZ5" s="5"/>
      <c r="CA5" s="4">
        <v>18</v>
      </c>
      <c r="CB5" s="4"/>
      <c r="CC5" s="5"/>
      <c r="CD5" s="5"/>
      <c r="CE5" s="4">
        <v>19</v>
      </c>
      <c r="CF5" s="4"/>
      <c r="CG5" s="5"/>
      <c r="CH5" s="5"/>
      <c r="CI5" s="4">
        <v>20</v>
      </c>
      <c r="CJ5" s="4"/>
      <c r="CK5" s="5"/>
      <c r="CL5" s="5"/>
      <c r="CM5" s="4">
        <v>21</v>
      </c>
      <c r="CN5" s="4"/>
      <c r="CO5" s="5"/>
      <c r="CP5" s="5"/>
      <c r="CQ5" s="4">
        <v>22</v>
      </c>
      <c r="CR5" s="4"/>
      <c r="CS5" s="5"/>
      <c r="CT5" s="5"/>
      <c r="CU5" s="4">
        <v>23</v>
      </c>
      <c r="CV5" s="4"/>
      <c r="CW5" s="5"/>
      <c r="CX5" s="5"/>
      <c r="CY5" s="4">
        <v>24</v>
      </c>
      <c r="CZ5" s="4"/>
      <c r="DA5" s="5"/>
      <c r="DB5" s="5"/>
      <c r="DC5" s="4">
        <v>25</v>
      </c>
      <c r="DD5" s="4"/>
      <c r="DE5" s="5"/>
      <c r="DF5" s="5"/>
      <c r="DG5" s="4">
        <v>26</v>
      </c>
      <c r="DH5" s="4"/>
      <c r="DI5" s="5"/>
      <c r="DJ5" s="5"/>
      <c r="DK5" s="4">
        <v>27</v>
      </c>
      <c r="DL5" s="4"/>
      <c r="DM5" s="5"/>
      <c r="DN5" s="5"/>
      <c r="DO5" s="4">
        <v>28</v>
      </c>
      <c r="DP5" s="4"/>
      <c r="DQ5" s="5"/>
      <c r="DR5" s="5"/>
      <c r="DS5" s="4">
        <v>29</v>
      </c>
      <c r="DT5" s="4"/>
      <c r="DU5" s="5"/>
      <c r="DV5" s="5"/>
      <c r="DW5" s="4">
        <v>30</v>
      </c>
      <c r="DX5" s="4"/>
      <c r="DY5" s="5"/>
      <c r="DZ5" s="5"/>
      <c r="EA5" s="4">
        <v>31</v>
      </c>
      <c r="EB5" s="4"/>
      <c r="EC5" s="5"/>
      <c r="ED5" s="5"/>
      <c r="EE5" s="4">
        <v>32</v>
      </c>
      <c r="EF5" s="4"/>
      <c r="EG5" s="5"/>
      <c r="EH5" s="5"/>
      <c r="EI5" s="4">
        <v>33</v>
      </c>
      <c r="EJ5" s="4"/>
      <c r="EK5" s="5"/>
      <c r="EL5" s="5"/>
      <c r="EM5" s="4">
        <v>34</v>
      </c>
      <c r="EN5" s="4"/>
      <c r="EO5" s="5"/>
      <c r="EP5" s="5"/>
      <c r="EQ5" s="4">
        <v>35</v>
      </c>
      <c r="ER5" s="4"/>
      <c r="ES5" s="5"/>
      <c r="ET5" s="5"/>
      <c r="EU5" s="4">
        <v>36</v>
      </c>
      <c r="EV5" s="4"/>
      <c r="EW5" s="5"/>
      <c r="EX5" s="5"/>
      <c r="EY5" s="4">
        <v>37</v>
      </c>
      <c r="EZ5" s="4"/>
      <c r="FA5" s="5"/>
      <c r="FB5" s="5"/>
      <c r="FC5" s="4">
        <v>38</v>
      </c>
      <c r="FD5" s="4"/>
      <c r="FE5" s="5"/>
      <c r="FF5" s="5"/>
      <c r="FG5" s="4">
        <v>39</v>
      </c>
      <c r="FH5" s="4"/>
      <c r="FI5" s="5"/>
      <c r="FJ5" s="5"/>
      <c r="FK5" s="4">
        <v>40</v>
      </c>
      <c r="FL5" s="4"/>
      <c r="FM5" s="5"/>
      <c r="FN5" s="5"/>
      <c r="FO5" s="4">
        <v>41</v>
      </c>
      <c r="FP5" s="4"/>
      <c r="FQ5" s="5"/>
      <c r="FR5" s="5"/>
      <c r="FS5" s="4">
        <v>42</v>
      </c>
      <c r="FT5" s="4"/>
      <c r="FU5" s="5"/>
      <c r="FV5" s="5"/>
      <c r="FW5" s="4">
        <v>43</v>
      </c>
      <c r="FX5" s="4"/>
      <c r="FY5" s="5"/>
      <c r="FZ5" s="5"/>
      <c r="GA5" s="4">
        <v>44</v>
      </c>
      <c r="GB5" s="4"/>
      <c r="GC5" s="5"/>
      <c r="GD5" s="5"/>
      <c r="GE5" s="4">
        <v>45</v>
      </c>
      <c r="GF5" s="4"/>
      <c r="GG5" s="5"/>
      <c r="GH5" s="5"/>
      <c r="GI5" s="4">
        <v>46</v>
      </c>
      <c r="GJ5" s="4"/>
      <c r="GK5" s="5"/>
      <c r="GL5" s="5"/>
      <c r="GM5" s="4">
        <v>47</v>
      </c>
      <c r="GN5" s="4"/>
      <c r="GO5" s="5"/>
      <c r="GP5" s="5"/>
      <c r="GQ5" s="4">
        <v>48</v>
      </c>
      <c r="GR5" s="4"/>
      <c r="GS5" s="5"/>
      <c r="GT5" s="5"/>
      <c r="GU5" s="4">
        <v>49</v>
      </c>
      <c r="GV5" s="4"/>
      <c r="GW5" s="5"/>
      <c r="GX5" s="5"/>
      <c r="GY5" s="4">
        <v>50</v>
      </c>
      <c r="GZ5" s="4"/>
      <c r="HA5" s="5"/>
      <c r="HB5" s="5"/>
      <c r="HC5" s="4">
        <v>51</v>
      </c>
      <c r="HD5" s="4"/>
      <c r="HE5" s="5"/>
      <c r="HF5" s="5"/>
      <c r="HG5" s="4">
        <v>52</v>
      </c>
      <c r="HH5" s="4"/>
      <c r="HI5" s="5"/>
      <c r="HJ5" s="5"/>
      <c r="HK5" s="4">
        <v>53</v>
      </c>
      <c r="HL5" s="4"/>
      <c r="HM5" s="5"/>
      <c r="HN5" s="5"/>
      <c r="HO5" s="4">
        <v>54</v>
      </c>
      <c r="HP5" s="4"/>
      <c r="HQ5" s="5"/>
      <c r="HR5" s="5"/>
      <c r="HS5" s="4">
        <v>55</v>
      </c>
      <c r="HT5" s="4"/>
      <c r="HU5" s="5"/>
      <c r="HV5" s="5"/>
      <c r="HW5" s="4">
        <v>56</v>
      </c>
      <c r="HX5" s="4"/>
      <c r="HY5" s="5"/>
      <c r="HZ5" s="5"/>
      <c r="IA5" s="4">
        <v>57</v>
      </c>
      <c r="IB5" s="4"/>
      <c r="IC5" s="5"/>
      <c r="ID5" s="5"/>
      <c r="IE5" s="4">
        <v>58</v>
      </c>
      <c r="IF5" s="4"/>
      <c r="IG5" s="5"/>
      <c r="IH5" s="5"/>
      <c r="II5" s="4">
        <v>59</v>
      </c>
      <c r="IJ5" s="4"/>
      <c r="IK5" s="5"/>
      <c r="IL5" s="5"/>
      <c r="IM5" s="4">
        <v>60</v>
      </c>
      <c r="IN5" s="4"/>
      <c r="IO5" s="5"/>
      <c r="IP5" s="5"/>
      <c r="IQ5" s="4">
        <v>61</v>
      </c>
      <c r="IR5" s="4"/>
      <c r="IS5" s="5"/>
      <c r="IT5" s="5"/>
      <c r="IU5" s="4">
        <v>62</v>
      </c>
      <c r="IV5" s="4"/>
      <c r="IW5" s="5"/>
      <c r="IX5" s="5"/>
      <c r="IY5" s="4">
        <v>63</v>
      </c>
      <c r="IZ5" s="4"/>
      <c r="JA5" s="5"/>
      <c r="JB5" s="5"/>
      <c r="JC5" s="4">
        <v>64</v>
      </c>
      <c r="JD5" s="4"/>
      <c r="JE5" s="5"/>
      <c r="JF5" s="5"/>
      <c r="JG5" s="4">
        <v>65</v>
      </c>
      <c r="JH5" s="4"/>
      <c r="JI5" s="5"/>
      <c r="JJ5" s="5"/>
      <c r="JK5" s="4">
        <v>66</v>
      </c>
      <c r="JL5" s="4"/>
      <c r="JM5" s="5"/>
      <c r="JN5" s="5"/>
      <c r="JO5" s="4">
        <v>67</v>
      </c>
      <c r="JP5" s="4"/>
      <c r="JQ5" s="5"/>
      <c r="JR5" s="5"/>
      <c r="JS5" s="4">
        <v>68</v>
      </c>
      <c r="JT5" s="4"/>
      <c r="JU5" s="5"/>
      <c r="JV5" s="5"/>
      <c r="JW5" s="4">
        <v>69</v>
      </c>
      <c r="JX5" s="4"/>
      <c r="JY5" s="5"/>
      <c r="JZ5" s="5"/>
      <c r="KA5" s="4">
        <v>70</v>
      </c>
      <c r="KB5" s="4"/>
      <c r="KC5" s="5"/>
      <c r="KD5" s="5"/>
      <c r="KE5" s="4">
        <v>71</v>
      </c>
      <c r="KF5" s="4"/>
      <c r="KG5" s="5"/>
      <c r="KH5" s="5"/>
      <c r="KI5" s="4">
        <v>72</v>
      </c>
      <c r="KJ5" s="4"/>
      <c r="KK5" s="5"/>
      <c r="KL5" s="5"/>
      <c r="KM5" s="4">
        <v>73</v>
      </c>
      <c r="KN5" s="4"/>
      <c r="KO5" s="5"/>
      <c r="KP5" s="5"/>
      <c r="KQ5" s="4">
        <v>74</v>
      </c>
      <c r="KR5" s="4"/>
      <c r="KS5" s="5"/>
      <c r="KT5" s="5"/>
      <c r="KU5" s="4">
        <v>75</v>
      </c>
      <c r="KV5" s="4"/>
      <c r="KW5" s="5"/>
      <c r="KX5" s="5"/>
      <c r="KY5" s="4">
        <v>76</v>
      </c>
      <c r="KZ5" s="4"/>
      <c r="LA5" s="5"/>
      <c r="LB5" s="5"/>
      <c r="LC5" s="4">
        <v>77</v>
      </c>
      <c r="LD5" s="4"/>
      <c r="LE5" s="5"/>
      <c r="LF5" s="5"/>
      <c r="LG5" s="4">
        <v>78</v>
      </c>
      <c r="LH5" s="4"/>
      <c r="LI5" s="5"/>
      <c r="LJ5" s="5"/>
      <c r="LK5" s="4">
        <v>79</v>
      </c>
      <c r="LL5" s="4"/>
      <c r="LM5" s="5"/>
      <c r="LN5" s="5"/>
      <c r="LO5" s="4">
        <v>80</v>
      </c>
      <c r="LP5" s="4"/>
      <c r="LQ5" s="5"/>
      <c r="LR5" s="5"/>
      <c r="LS5" s="4">
        <v>81</v>
      </c>
      <c r="LT5" s="4"/>
      <c r="LU5" s="5"/>
      <c r="LV5" s="5"/>
      <c r="LW5" s="4">
        <v>82</v>
      </c>
      <c r="LX5" s="4"/>
      <c r="LY5" s="5"/>
      <c r="LZ5" s="5"/>
      <c r="MA5" s="4">
        <v>83</v>
      </c>
      <c r="MB5" s="4"/>
      <c r="MC5" s="5"/>
      <c r="MD5" s="5"/>
      <c r="ME5" s="4">
        <v>84</v>
      </c>
      <c r="MF5" s="4"/>
      <c r="MG5" s="5"/>
      <c r="MH5" s="5"/>
      <c r="MI5" s="4">
        <v>85</v>
      </c>
      <c r="MJ5" s="4"/>
      <c r="MK5" s="5"/>
      <c r="ML5" s="5"/>
      <c r="MM5" s="4">
        <v>86</v>
      </c>
      <c r="MN5" s="4"/>
      <c r="MO5" s="5"/>
      <c r="MP5" s="5"/>
      <c r="MQ5" s="4">
        <v>87</v>
      </c>
      <c r="MR5" s="4"/>
      <c r="MS5" s="5"/>
      <c r="MT5" s="5"/>
      <c r="MU5" s="4">
        <v>88</v>
      </c>
      <c r="MV5" s="4"/>
      <c r="MW5" s="5"/>
      <c r="MX5" s="5"/>
      <c r="MY5" s="4">
        <v>89</v>
      </c>
      <c r="MZ5" s="4"/>
      <c r="NA5" s="5"/>
      <c r="NB5" s="5"/>
      <c r="NC5" s="4">
        <v>90</v>
      </c>
      <c r="ND5" s="4"/>
      <c r="NE5" s="5"/>
      <c r="NF5" s="5"/>
      <c r="NG5" s="4">
        <v>91</v>
      </c>
      <c r="NH5" s="4"/>
      <c r="NI5" s="5"/>
      <c r="NJ5" s="5"/>
      <c r="NK5" s="4">
        <v>92</v>
      </c>
      <c r="NL5" s="4"/>
      <c r="NM5" s="5"/>
      <c r="NN5" s="5"/>
      <c r="NO5" s="4">
        <v>93</v>
      </c>
      <c r="NP5" s="4"/>
      <c r="NQ5" s="5"/>
      <c r="NR5" s="5"/>
      <c r="NS5" s="4">
        <v>94</v>
      </c>
      <c r="NT5" s="4"/>
      <c r="NU5" s="5"/>
      <c r="NV5" s="5"/>
      <c r="NW5" s="4">
        <v>95</v>
      </c>
      <c r="NX5" s="4"/>
      <c r="NY5" s="5"/>
      <c r="NZ5" s="5"/>
      <c r="OA5" s="4">
        <v>96</v>
      </c>
      <c r="OB5" s="4"/>
      <c r="OC5" s="5"/>
      <c r="OD5" s="5"/>
      <c r="OE5" s="4">
        <v>97</v>
      </c>
      <c r="OF5" s="4"/>
      <c r="OG5" s="5"/>
      <c r="OH5" s="5"/>
      <c r="OI5" s="4">
        <v>98</v>
      </c>
      <c r="OJ5" s="4"/>
      <c r="OK5" s="5"/>
      <c r="OL5" s="5"/>
      <c r="OM5" s="4">
        <v>99</v>
      </c>
      <c r="ON5" s="4"/>
      <c r="OO5" s="5"/>
      <c r="OP5" s="5"/>
      <c r="OQ5" s="4">
        <v>100</v>
      </c>
      <c r="OR5" s="4"/>
      <c r="OS5" s="5"/>
      <c r="OT5" s="5"/>
      <c r="OU5" s="4">
        <v>101</v>
      </c>
      <c r="OV5" s="4"/>
      <c r="OW5" s="5"/>
      <c r="OX5" s="5"/>
      <c r="OY5" s="4">
        <v>102</v>
      </c>
      <c r="OZ5" s="4"/>
      <c r="PA5" s="5"/>
      <c r="PB5" s="5"/>
      <c r="PC5" s="4">
        <v>103</v>
      </c>
      <c r="PD5" s="4"/>
      <c r="PE5" s="5"/>
      <c r="PF5" s="5"/>
      <c r="PG5" s="4">
        <v>104</v>
      </c>
      <c r="PH5" s="4"/>
      <c r="PI5" s="5"/>
      <c r="PJ5" s="5"/>
      <c r="PK5" s="4">
        <v>105</v>
      </c>
      <c r="PL5" s="4"/>
      <c r="PM5" s="5"/>
      <c r="PN5" s="5"/>
      <c r="PO5" s="4">
        <v>106</v>
      </c>
      <c r="PP5" s="4"/>
      <c r="PQ5" s="5"/>
      <c r="PR5" s="5"/>
      <c r="PS5" s="4">
        <v>107</v>
      </c>
      <c r="PT5" s="4"/>
      <c r="PU5" s="5"/>
      <c r="PV5" s="5"/>
      <c r="PW5" s="4">
        <v>108</v>
      </c>
      <c r="PX5" s="4"/>
      <c r="PY5" s="5"/>
      <c r="PZ5" s="5"/>
      <c r="QA5" s="4">
        <v>109</v>
      </c>
      <c r="QB5" s="4"/>
      <c r="QC5" s="5"/>
      <c r="QD5" s="5"/>
      <c r="QE5" s="4">
        <v>110</v>
      </c>
      <c r="QF5" s="4"/>
      <c r="QG5" s="5"/>
      <c r="QH5" s="5"/>
      <c r="QI5" s="5">
        <v>111</v>
      </c>
      <c r="QJ5" s="5"/>
      <c r="QK5" s="5"/>
      <c r="QL5" s="5"/>
      <c r="QM5" s="5">
        <v>112</v>
      </c>
      <c r="QN5" s="5"/>
      <c r="QO5" s="5"/>
      <c r="QP5" s="5"/>
      <c r="QQ5" s="29"/>
      <c r="QR5" s="29"/>
      <c r="QS5" s="29"/>
      <c r="QT5" s="29"/>
    </row>
    <row r="6" spans="1:462" s="11" customFormat="1" x14ac:dyDescent="0.2">
      <c r="A6" s="34" t="s">
        <v>1407</v>
      </c>
      <c r="B6" s="35"/>
      <c r="C6" s="35"/>
      <c r="D6" s="4" t="s">
        <v>1424</v>
      </c>
      <c r="E6" s="16" t="s">
        <v>667</v>
      </c>
      <c r="F6" s="16"/>
      <c r="G6" s="16"/>
      <c r="H6" s="16"/>
      <c r="I6" s="16"/>
      <c r="J6" s="16"/>
      <c r="K6" s="41" t="s">
        <v>1976</v>
      </c>
      <c r="L6" s="3" t="s">
        <v>879</v>
      </c>
      <c r="M6" s="19"/>
      <c r="N6" s="19"/>
      <c r="O6" s="19"/>
      <c r="P6" s="19"/>
      <c r="Q6" s="19"/>
      <c r="R6" s="3"/>
      <c r="S6" s="3" t="s">
        <v>1977</v>
      </c>
      <c r="T6" s="3" t="s">
        <v>879</v>
      </c>
      <c r="U6" s="3"/>
      <c r="V6" s="3"/>
      <c r="W6" s="3"/>
      <c r="X6" s="3"/>
      <c r="Y6" s="3"/>
      <c r="Z6" s="3"/>
      <c r="AA6" s="3" t="s">
        <v>1978</v>
      </c>
      <c r="AB6" s="3" t="s">
        <v>879</v>
      </c>
      <c r="AC6" s="3"/>
      <c r="AD6" s="3"/>
      <c r="AE6" s="3"/>
      <c r="AF6" s="3"/>
      <c r="AG6" s="3"/>
      <c r="AH6" s="3"/>
      <c r="AI6" s="3" t="s">
        <v>1979</v>
      </c>
      <c r="AJ6" s="3" t="s">
        <v>879</v>
      </c>
      <c r="AK6" s="3"/>
      <c r="AL6" s="3"/>
      <c r="AM6" s="3"/>
      <c r="AN6" s="3"/>
      <c r="AO6" s="3"/>
      <c r="AP6" s="3"/>
      <c r="AQ6" s="3" t="s">
        <v>1980</v>
      </c>
      <c r="AR6" s="3" t="s">
        <v>879</v>
      </c>
      <c r="AS6" s="3"/>
      <c r="AT6" s="3"/>
      <c r="AU6" s="3"/>
      <c r="AV6" s="3"/>
      <c r="AW6" s="3"/>
      <c r="AX6" s="3"/>
      <c r="AY6" s="3" t="s">
        <v>1981</v>
      </c>
      <c r="AZ6" s="3" t="s">
        <v>879</v>
      </c>
      <c r="BA6" s="3"/>
      <c r="BB6" s="3"/>
      <c r="BC6" s="3"/>
      <c r="BD6" s="3"/>
      <c r="BE6" s="3"/>
      <c r="BF6" s="3"/>
      <c r="BG6" s="3" t="s">
        <v>1982</v>
      </c>
      <c r="BH6" s="3" t="s">
        <v>879</v>
      </c>
      <c r="BI6" s="3"/>
      <c r="BJ6" s="3"/>
      <c r="BK6" s="3"/>
      <c r="BL6" s="3"/>
      <c r="BM6" s="3"/>
      <c r="BN6" s="3"/>
      <c r="BO6" s="3" t="s">
        <v>1983</v>
      </c>
      <c r="BP6" s="3" t="s">
        <v>879</v>
      </c>
      <c r="BQ6" s="3"/>
      <c r="BR6" s="3"/>
      <c r="BS6" s="3"/>
      <c r="BT6" s="3"/>
      <c r="BU6" s="3"/>
      <c r="BV6" s="3"/>
      <c r="BW6" s="3" t="s">
        <v>1984</v>
      </c>
      <c r="BX6" s="3" t="s">
        <v>879</v>
      </c>
      <c r="BY6" s="3"/>
      <c r="BZ6" s="3"/>
      <c r="CA6" s="3"/>
      <c r="CB6" s="3"/>
      <c r="CC6" s="3"/>
      <c r="CD6" s="3"/>
      <c r="CE6" s="3" t="s">
        <v>1985</v>
      </c>
      <c r="CF6" s="3" t="s">
        <v>879</v>
      </c>
      <c r="CG6" s="3"/>
      <c r="CH6" s="3"/>
      <c r="CI6" s="3"/>
      <c r="CJ6" s="3"/>
      <c r="CK6" s="3"/>
      <c r="CL6" s="3"/>
      <c r="CM6" s="3" t="s">
        <v>1986</v>
      </c>
      <c r="CN6" s="3" t="s">
        <v>1010</v>
      </c>
      <c r="CO6" s="3"/>
      <c r="CP6" s="3"/>
      <c r="CQ6" s="3"/>
      <c r="CR6" s="3"/>
      <c r="CS6" s="3"/>
      <c r="CT6" s="3"/>
      <c r="CU6" s="3" t="s">
        <v>1987</v>
      </c>
      <c r="CV6" s="3" t="s">
        <v>1010</v>
      </c>
      <c r="CW6" s="3"/>
      <c r="CX6" s="3"/>
      <c r="CY6" s="3"/>
      <c r="CZ6" s="3"/>
      <c r="DA6" s="3"/>
      <c r="DB6" s="3"/>
      <c r="DC6" s="3" t="s">
        <v>1988</v>
      </c>
      <c r="DD6" s="3" t="s">
        <v>1010</v>
      </c>
      <c r="DE6" s="3"/>
      <c r="DF6" s="3"/>
      <c r="DG6" s="3"/>
      <c r="DH6" s="3"/>
      <c r="DI6" s="3"/>
      <c r="DJ6" s="3"/>
      <c r="DK6" s="3" t="s">
        <v>1989</v>
      </c>
      <c r="DL6" s="3" t="s">
        <v>1010</v>
      </c>
      <c r="DM6" s="3"/>
      <c r="DN6" s="3"/>
      <c r="DO6" s="3"/>
      <c r="DP6" s="3"/>
      <c r="DQ6" s="3"/>
      <c r="DR6" s="3"/>
      <c r="DS6" s="3" t="s">
        <v>1990</v>
      </c>
      <c r="DT6" s="3" t="s">
        <v>1010</v>
      </c>
      <c r="DU6" s="3"/>
      <c r="DV6" s="3"/>
      <c r="DW6" s="3"/>
      <c r="DX6" s="3"/>
      <c r="DY6" s="3"/>
      <c r="DZ6" s="3"/>
      <c r="EA6" s="3" t="s">
        <v>1991</v>
      </c>
      <c r="EB6" s="3" t="s">
        <v>1010</v>
      </c>
      <c r="EC6" s="3"/>
      <c r="ED6" s="3"/>
      <c r="EE6" s="3"/>
      <c r="EF6" s="3"/>
      <c r="EG6" s="3"/>
      <c r="EH6" s="3"/>
      <c r="EI6" s="3" t="s">
        <v>1992</v>
      </c>
      <c r="EJ6" s="3" t="s">
        <v>1010</v>
      </c>
      <c r="EK6" s="3"/>
      <c r="EL6" s="3"/>
      <c r="EM6" s="3"/>
      <c r="EN6" s="3"/>
      <c r="EO6" s="3"/>
      <c r="EP6" s="3"/>
      <c r="EQ6" s="3" t="s">
        <v>1993</v>
      </c>
      <c r="ER6" s="3" t="s">
        <v>1010</v>
      </c>
      <c r="ES6" s="3"/>
      <c r="ET6" s="3"/>
      <c r="EU6" s="3"/>
      <c r="EV6" s="3"/>
      <c r="EW6" s="3"/>
      <c r="EX6" s="3"/>
      <c r="EY6" s="3" t="s">
        <v>1994</v>
      </c>
      <c r="EZ6" s="3" t="s">
        <v>1010</v>
      </c>
      <c r="FA6" s="3"/>
      <c r="FB6" s="3"/>
      <c r="FC6" s="3"/>
      <c r="FD6" s="3"/>
      <c r="FE6" s="3"/>
      <c r="FF6" s="3"/>
      <c r="FG6" s="3" t="s">
        <v>1995</v>
      </c>
      <c r="FH6" s="3" t="s">
        <v>1010</v>
      </c>
      <c r="FI6" s="3"/>
      <c r="FJ6" s="3"/>
      <c r="FK6" s="3"/>
      <c r="FL6" s="3"/>
      <c r="FM6" s="3"/>
      <c r="FN6" s="3"/>
      <c r="FO6" s="3" t="s">
        <v>1996</v>
      </c>
      <c r="FP6" s="3" t="s">
        <v>1011</v>
      </c>
      <c r="FQ6" s="3"/>
      <c r="FR6" s="3"/>
      <c r="FS6" s="3"/>
      <c r="FT6" s="3"/>
      <c r="FU6" s="3"/>
      <c r="FV6" s="3"/>
      <c r="FW6" s="3" t="s">
        <v>1997</v>
      </c>
      <c r="FX6" s="3" t="s">
        <v>1011</v>
      </c>
      <c r="FY6" s="3"/>
      <c r="FZ6" s="3"/>
      <c r="GA6" s="3"/>
      <c r="GB6" s="3"/>
      <c r="GC6" s="3"/>
      <c r="GD6" s="3"/>
      <c r="GE6" s="3" t="s">
        <v>1998</v>
      </c>
      <c r="GF6" s="3" t="s">
        <v>1011</v>
      </c>
      <c r="GG6" s="3"/>
      <c r="GH6" s="3"/>
      <c r="GI6" s="3"/>
      <c r="GJ6" s="3"/>
      <c r="GK6" s="3"/>
      <c r="GL6" s="3"/>
      <c r="GM6" s="3" t="s">
        <v>1999</v>
      </c>
      <c r="GN6" s="3" t="s">
        <v>1011</v>
      </c>
      <c r="GO6" s="3"/>
      <c r="GP6" s="3"/>
      <c r="GQ6" s="3"/>
      <c r="GR6" s="3"/>
      <c r="GS6" s="3"/>
      <c r="GT6" s="3"/>
      <c r="GU6" s="3" t="s">
        <v>2000</v>
      </c>
      <c r="GV6" s="3" t="s">
        <v>1011</v>
      </c>
      <c r="GW6" s="3"/>
      <c r="GX6" s="3"/>
      <c r="GY6" s="3"/>
      <c r="GZ6" s="3"/>
      <c r="HA6" s="3"/>
      <c r="HB6" s="3"/>
      <c r="HC6" s="3" t="s">
        <v>2001</v>
      </c>
      <c r="HD6" s="3" t="s">
        <v>1011</v>
      </c>
      <c r="HE6" s="3"/>
      <c r="HF6" s="3"/>
      <c r="HG6" s="3"/>
      <c r="HH6" s="3"/>
      <c r="HI6" s="3"/>
      <c r="HJ6" s="3"/>
      <c r="HK6" s="3" t="s">
        <v>2002</v>
      </c>
      <c r="HL6" s="3" t="s">
        <v>1011</v>
      </c>
      <c r="HM6" s="3"/>
      <c r="HN6" s="3"/>
      <c r="HO6" s="3"/>
      <c r="HP6" s="3"/>
      <c r="HQ6" s="3"/>
      <c r="HR6" s="3"/>
      <c r="HS6" s="3" t="s">
        <v>2003</v>
      </c>
      <c r="HT6" s="3" t="s">
        <v>1011</v>
      </c>
      <c r="HU6" s="3"/>
      <c r="HV6" s="3"/>
      <c r="HW6" s="3"/>
      <c r="HX6" s="3"/>
      <c r="HY6" s="3"/>
      <c r="HZ6" s="3"/>
      <c r="IA6" s="3" t="s">
        <v>2004</v>
      </c>
      <c r="IB6" s="3" t="s">
        <v>1011</v>
      </c>
      <c r="IC6" s="3"/>
      <c r="ID6" s="3"/>
      <c r="IE6" s="3"/>
      <c r="IF6" s="3"/>
      <c r="IG6" s="3"/>
      <c r="IH6" s="3"/>
      <c r="II6" s="3" t="s">
        <v>2005</v>
      </c>
      <c r="IJ6" s="3" t="s">
        <v>1011</v>
      </c>
      <c r="IK6" s="3"/>
      <c r="IL6" s="3"/>
      <c r="IM6" s="3"/>
      <c r="IN6" s="3"/>
      <c r="IO6" s="3"/>
      <c r="IP6" s="3"/>
      <c r="IQ6" s="3" t="s">
        <v>2006</v>
      </c>
      <c r="IR6" s="3" t="s">
        <v>1007</v>
      </c>
      <c r="IS6" s="3"/>
      <c r="IT6" s="3"/>
      <c r="IU6" s="3"/>
      <c r="IV6" s="3"/>
      <c r="IW6" s="3"/>
      <c r="IX6" s="3"/>
      <c r="IY6" s="3" t="s">
        <v>2007</v>
      </c>
      <c r="IZ6" s="3" t="s">
        <v>1007</v>
      </c>
      <c r="JA6" s="3"/>
      <c r="JB6" s="3"/>
      <c r="JC6" s="3"/>
      <c r="JD6" s="3"/>
      <c r="JE6" s="3"/>
      <c r="JF6" s="3"/>
      <c r="JG6" s="3" t="s">
        <v>2008</v>
      </c>
      <c r="JH6" s="3" t="s">
        <v>1007</v>
      </c>
      <c r="JI6" s="3"/>
      <c r="JJ6" s="3"/>
      <c r="JK6" s="3"/>
      <c r="JL6" s="3"/>
      <c r="JM6" s="3"/>
      <c r="JN6" s="3"/>
      <c r="JO6" s="3" t="s">
        <v>2009</v>
      </c>
      <c r="JP6" s="3" t="s">
        <v>1007</v>
      </c>
      <c r="JQ6" s="3"/>
      <c r="JR6" s="3"/>
      <c r="JS6" s="3"/>
      <c r="JT6" s="3"/>
      <c r="JU6" s="3"/>
      <c r="JV6" s="3"/>
      <c r="JW6" s="3" t="s">
        <v>2010</v>
      </c>
      <c r="JX6" s="3" t="s">
        <v>1007</v>
      </c>
      <c r="JY6" s="3"/>
      <c r="JZ6" s="3"/>
      <c r="KA6" s="3"/>
      <c r="KB6" s="3"/>
      <c r="KC6" s="3"/>
      <c r="KD6" s="3"/>
      <c r="KE6" s="3" t="s">
        <v>2011</v>
      </c>
      <c r="KF6" s="3" t="s">
        <v>1007</v>
      </c>
      <c r="KG6" s="3"/>
      <c r="KH6" s="3"/>
      <c r="KI6" s="3"/>
      <c r="KJ6" s="3"/>
      <c r="KK6" s="3"/>
      <c r="KL6" s="3"/>
      <c r="KM6" s="3" t="s">
        <v>2012</v>
      </c>
      <c r="KN6" s="3" t="s">
        <v>1007</v>
      </c>
      <c r="KO6" s="3"/>
      <c r="KP6" s="3"/>
      <c r="KQ6" s="3"/>
      <c r="KR6" s="3"/>
      <c r="KS6" s="3"/>
      <c r="KT6" s="3"/>
      <c r="KU6" s="3" t="s">
        <v>2013</v>
      </c>
      <c r="KV6" s="3" t="s">
        <v>1007</v>
      </c>
      <c r="KW6" s="3"/>
      <c r="KX6" s="3"/>
      <c r="KY6" s="3"/>
      <c r="KZ6" s="3"/>
      <c r="LA6" s="3"/>
      <c r="LB6" s="3"/>
      <c r="LC6" s="3" t="s">
        <v>2014</v>
      </c>
      <c r="LD6" s="3" t="s">
        <v>1007</v>
      </c>
      <c r="LE6" s="3"/>
      <c r="LF6" s="3"/>
      <c r="LG6" s="3"/>
      <c r="LH6" s="3"/>
      <c r="LI6" s="3"/>
      <c r="LJ6" s="3"/>
      <c r="LK6" s="3" t="s">
        <v>2015</v>
      </c>
      <c r="LL6" s="3" t="s">
        <v>1007</v>
      </c>
      <c r="LM6" s="3"/>
      <c r="LN6" s="3"/>
      <c r="LO6" s="3"/>
      <c r="LP6" s="3"/>
      <c r="LQ6" s="3"/>
      <c r="LR6" s="3"/>
      <c r="LS6" s="3" t="s">
        <v>2016</v>
      </c>
      <c r="LT6" s="3" t="s">
        <v>1008</v>
      </c>
      <c r="LU6" s="3"/>
      <c r="LV6" s="3"/>
      <c r="LW6" s="3"/>
      <c r="LX6" s="3"/>
      <c r="LY6" s="3"/>
      <c r="LZ6" s="3"/>
      <c r="MA6" s="3" t="s">
        <v>2017</v>
      </c>
      <c r="MB6" s="3" t="s">
        <v>1008</v>
      </c>
      <c r="MC6" s="3"/>
      <c r="MD6" s="3"/>
      <c r="ME6" s="3"/>
      <c r="MF6" s="3"/>
      <c r="MG6" s="3"/>
      <c r="MH6" s="3"/>
      <c r="MI6" s="3" t="s">
        <v>2018</v>
      </c>
      <c r="MJ6" s="3" t="s">
        <v>1008</v>
      </c>
      <c r="MK6" s="3"/>
      <c r="ML6" s="3"/>
      <c r="MM6" s="3"/>
      <c r="MN6" s="3"/>
      <c r="MO6" s="3"/>
      <c r="MP6" s="3"/>
      <c r="MQ6" s="3" t="s">
        <v>2019</v>
      </c>
      <c r="MR6" s="3" t="s">
        <v>1008</v>
      </c>
      <c r="MS6" s="3"/>
      <c r="MT6" s="3"/>
      <c r="MU6" s="3"/>
      <c r="MV6" s="3"/>
      <c r="MW6" s="3"/>
      <c r="MX6" s="3"/>
      <c r="MY6" s="3" t="s">
        <v>2020</v>
      </c>
      <c r="MZ6" s="3" t="s">
        <v>1008</v>
      </c>
      <c r="NA6" s="3"/>
      <c r="NB6" s="3"/>
      <c r="NC6" s="3"/>
      <c r="ND6" s="3"/>
      <c r="NE6" s="3"/>
      <c r="NF6" s="3"/>
      <c r="NG6" s="3" t="s">
        <v>2021</v>
      </c>
      <c r="NH6" s="3" t="s">
        <v>1008</v>
      </c>
      <c r="NI6" s="3"/>
      <c r="NJ6" s="3"/>
      <c r="NK6" s="3"/>
      <c r="NL6" s="3"/>
      <c r="NM6" s="3"/>
      <c r="NN6" s="3"/>
      <c r="NO6" s="3" t="s">
        <v>2022</v>
      </c>
      <c r="NP6" s="3" t="s">
        <v>1008</v>
      </c>
      <c r="NQ6" s="3"/>
      <c r="NR6" s="3"/>
      <c r="NS6" s="3"/>
      <c r="NT6" s="3"/>
      <c r="NU6" s="3"/>
      <c r="NV6" s="3"/>
      <c r="NW6" s="3" t="s">
        <v>2023</v>
      </c>
      <c r="NX6" s="3" t="s">
        <v>1008</v>
      </c>
      <c r="NY6" s="3"/>
      <c r="NZ6" s="3"/>
      <c r="OA6" s="3"/>
      <c r="OB6" s="3"/>
      <c r="OC6" s="3"/>
      <c r="OD6" s="3"/>
      <c r="OE6" s="3" t="s">
        <v>2024</v>
      </c>
      <c r="OF6" s="3" t="s">
        <v>1008</v>
      </c>
      <c r="OG6" s="3"/>
      <c r="OH6" s="3"/>
      <c r="OI6" s="3"/>
      <c r="OJ6" s="3"/>
      <c r="OK6" s="3"/>
      <c r="OL6" s="3"/>
      <c r="OM6" s="3" t="s">
        <v>2025</v>
      </c>
      <c r="ON6" s="3" t="s">
        <v>1008</v>
      </c>
      <c r="OO6" s="3"/>
      <c r="OP6" s="3"/>
      <c r="OQ6" s="3"/>
      <c r="OR6" s="3"/>
      <c r="OS6" s="3"/>
      <c r="OT6" s="3"/>
      <c r="OU6" s="3" t="s">
        <v>2026</v>
      </c>
      <c r="OV6" s="3" t="s">
        <v>1008</v>
      </c>
      <c r="OW6" s="3"/>
      <c r="OX6" s="3"/>
      <c r="OY6" s="3"/>
      <c r="OZ6" s="3"/>
      <c r="PA6" s="3"/>
      <c r="PB6" s="3"/>
      <c r="PC6" s="3" t="s">
        <v>2027</v>
      </c>
      <c r="PD6" s="3" t="s">
        <v>2028</v>
      </c>
      <c r="PE6" s="3"/>
      <c r="PF6" s="3"/>
      <c r="PG6" s="3"/>
      <c r="PH6" s="3"/>
      <c r="PI6" s="3"/>
      <c r="PJ6" s="3"/>
      <c r="PK6" s="3" t="s">
        <v>2029</v>
      </c>
      <c r="PL6" s="3" t="s">
        <v>2028</v>
      </c>
      <c r="PM6" s="3"/>
      <c r="PN6" s="3"/>
      <c r="PO6" s="3"/>
      <c r="PP6" s="3"/>
      <c r="PQ6" s="3"/>
      <c r="PR6" s="3"/>
      <c r="PS6" s="3" t="s">
        <v>2030</v>
      </c>
      <c r="PT6" s="3" t="s">
        <v>2028</v>
      </c>
      <c r="PU6" s="3"/>
      <c r="PV6" s="3"/>
      <c r="PW6" s="3"/>
      <c r="PX6" s="3"/>
      <c r="PY6" s="3"/>
      <c r="PZ6" s="3"/>
      <c r="QA6" s="3" t="s">
        <v>2031</v>
      </c>
      <c r="QB6" s="3" t="s">
        <v>2028</v>
      </c>
      <c r="QC6" s="3"/>
      <c r="QD6" s="3"/>
      <c r="QE6" s="3"/>
      <c r="QF6" s="3"/>
      <c r="QG6" s="3"/>
      <c r="QH6" s="3"/>
      <c r="QI6" s="3" t="s">
        <v>2047</v>
      </c>
      <c r="QJ6" s="3" t="s">
        <v>2028</v>
      </c>
      <c r="QK6" s="3"/>
      <c r="QL6" s="3"/>
      <c r="QM6" s="3"/>
      <c r="QN6" s="3"/>
      <c r="QO6" s="3"/>
      <c r="QP6" s="3"/>
      <c r="QQ6" s="4"/>
      <c r="QR6" s="28"/>
      <c r="QS6" s="28"/>
      <c r="QT6" s="29"/>
    </row>
    <row r="7" spans="1:462" s="11" customFormat="1" x14ac:dyDescent="0.2">
      <c r="A7" s="42" t="s">
        <v>18</v>
      </c>
      <c r="B7" s="42"/>
      <c r="C7" s="42"/>
      <c r="D7" s="43"/>
      <c r="E7" s="43"/>
      <c r="F7" s="43"/>
      <c r="G7" s="43"/>
      <c r="H7" s="43"/>
      <c r="I7" s="43" t="s">
        <v>36</v>
      </c>
      <c r="J7" s="43"/>
      <c r="K7" s="78" t="s">
        <v>37</v>
      </c>
      <c r="L7" s="44" t="str">
        <f>UPPER(K6)&amp;".chk"&amp;TEXT(K5,"00")</f>
        <v>DA.chk01</v>
      </c>
      <c r="M7" s="45" t="s">
        <v>55</v>
      </c>
      <c r="N7" s="44" t="str">
        <f>UPPER(K6)&amp;".upd"&amp;TEXT(K5,"00")</f>
        <v>DA.upd01</v>
      </c>
      <c r="O7" s="45" t="s">
        <v>55</v>
      </c>
      <c r="P7" s="44" t="str">
        <f>UPPER(K6)&amp;".chk"&amp;TEXT(O5,"00")</f>
        <v>DA.chk02</v>
      </c>
      <c r="Q7" s="45" t="s">
        <v>55</v>
      </c>
      <c r="R7" s="79" t="str">
        <f>UPPER(K6)&amp;".upd"&amp;TEXT(O5,"00")</f>
        <v>DA.upd02</v>
      </c>
      <c r="S7" s="78" t="s">
        <v>35</v>
      </c>
      <c r="T7" s="79" t="str">
        <f t="shared" ref="T7" si="0">UPPER(S6)&amp;".chk"&amp;TEXT(S5,"00")</f>
        <v>DPT_BASE.chk03</v>
      </c>
      <c r="U7" s="78" t="s">
        <v>55</v>
      </c>
      <c r="V7" s="79" t="str">
        <f t="shared" ref="V7" si="1">UPPER(S6)&amp;".upd"&amp;TEXT(S5,"00")</f>
        <v>DPT_BASE.upd03</v>
      </c>
      <c r="W7" s="78" t="s">
        <v>55</v>
      </c>
      <c r="X7" s="79" t="str">
        <f t="shared" ref="X7" si="2">UPPER(S6)&amp;".chk"&amp;TEXT(W5,"00")</f>
        <v>DPT_BASE.chk04</v>
      </c>
      <c r="Y7" s="78" t="s">
        <v>55</v>
      </c>
      <c r="Z7" s="79" t="str">
        <f t="shared" ref="Z7" si="3">UPPER(S6)&amp;".upd"&amp;TEXT(W5,"00")</f>
        <v>DPT_BASE.upd04</v>
      </c>
      <c r="AA7" s="78" t="s">
        <v>35</v>
      </c>
      <c r="AB7" s="79" t="str">
        <f t="shared" ref="AB7" si="4">UPPER(AA6)&amp;".chk"&amp;TEXT(AA5,"00")</f>
        <v>DPT_LVL.chk05</v>
      </c>
      <c r="AC7" s="78" t="s">
        <v>55</v>
      </c>
      <c r="AD7" s="79" t="str">
        <f t="shared" ref="AD7" si="5">UPPER(AA6)&amp;".upd"&amp;TEXT(AA5,"00")</f>
        <v>DPT_LVL.upd05</v>
      </c>
      <c r="AE7" s="78" t="s">
        <v>55</v>
      </c>
      <c r="AF7" s="79" t="str">
        <f t="shared" ref="AF7" si="6">UPPER(AA6)&amp;".chk"&amp;TEXT(AE5,"00")</f>
        <v>DPT_LVL.chk06</v>
      </c>
      <c r="AG7" s="78" t="s">
        <v>55</v>
      </c>
      <c r="AH7" s="79" t="str">
        <f t="shared" ref="AH7" si="7">UPPER(AA6)&amp;".upd"&amp;TEXT(AE5,"00")</f>
        <v>DPT_LVL.upd06</v>
      </c>
      <c r="AI7" s="78" t="s">
        <v>35</v>
      </c>
      <c r="AJ7" s="79" t="str">
        <f t="shared" ref="AJ7" si="8">UPPER(AI6)&amp;".chk"&amp;TEXT(AI5,"00")</f>
        <v>APRV_ROLE.chk07</v>
      </c>
      <c r="AK7" s="78" t="s">
        <v>55</v>
      </c>
      <c r="AL7" s="79" t="str">
        <f t="shared" ref="AL7" si="9">UPPER(AI6)&amp;".upd"&amp;TEXT(AI5,"00")</f>
        <v>APRV_ROLE.upd07</v>
      </c>
      <c r="AM7" s="78" t="s">
        <v>55</v>
      </c>
      <c r="AN7" s="79" t="str">
        <f t="shared" ref="AN7" si="10">UPPER(AI6)&amp;".chk"&amp;TEXT(AM5,"00")</f>
        <v>APRV_ROLE.chk08</v>
      </c>
      <c r="AO7" s="78" t="s">
        <v>55</v>
      </c>
      <c r="AP7" s="79" t="str">
        <f t="shared" ref="AP7" si="11">UPPER(AI6)&amp;".upd"&amp;TEXT(AM5,"00")</f>
        <v>APRV_ROLE.upd08</v>
      </c>
      <c r="AQ7" s="78" t="s">
        <v>35</v>
      </c>
      <c r="AR7" s="79" t="str">
        <f t="shared" ref="AR7" si="12">UPPER(AQ6)&amp;".chk"&amp;TEXT(AQ5,"00")</f>
        <v>CNTRY.chk09</v>
      </c>
      <c r="AS7" s="78" t="s">
        <v>55</v>
      </c>
      <c r="AT7" s="79" t="str">
        <f t="shared" ref="AT7" si="13">UPPER(AQ6)&amp;".upd"&amp;TEXT(AQ5,"00")</f>
        <v>CNTRY.upd09</v>
      </c>
      <c r="AU7" s="78" t="s">
        <v>55</v>
      </c>
      <c r="AV7" s="79" t="str">
        <f t="shared" ref="AV7" si="14">UPPER(AQ6)&amp;".chk"&amp;TEXT(AU5,"00")</f>
        <v>CNTRY.chk10</v>
      </c>
      <c r="AW7" s="78" t="s">
        <v>55</v>
      </c>
      <c r="AX7" s="79" t="str">
        <f t="shared" ref="AX7" si="15">UPPER(AQ6)&amp;".upd"&amp;TEXT(AU5,"00")</f>
        <v>CNTRY.upd10</v>
      </c>
      <c r="AY7" s="78" t="s">
        <v>35</v>
      </c>
      <c r="AZ7" s="79" t="str">
        <f t="shared" ref="AZ7" si="16">UPPER(AY6)&amp;".chk"&amp;TEXT(AY5,"00")</f>
        <v>AREA.chk11</v>
      </c>
      <c r="BA7" s="78" t="s">
        <v>55</v>
      </c>
      <c r="BB7" s="79" t="str">
        <f t="shared" ref="BB7" si="17">UPPER(AY6)&amp;".upd"&amp;TEXT(AY5,"00")</f>
        <v>AREA.upd11</v>
      </c>
      <c r="BC7" s="78" t="s">
        <v>55</v>
      </c>
      <c r="BD7" s="79" t="str">
        <f t="shared" ref="BD7" si="18">UPPER(AY6)&amp;".chk"&amp;TEXT(BC5,"00")</f>
        <v>AREA.chk12</v>
      </c>
      <c r="BE7" s="78" t="s">
        <v>55</v>
      </c>
      <c r="BF7" s="79" t="str">
        <f t="shared" ref="BF7" si="19">UPPER(AY6)&amp;".upd"&amp;TEXT(BC5,"00")</f>
        <v>AREA.upd12</v>
      </c>
      <c r="BG7" s="78" t="s">
        <v>35</v>
      </c>
      <c r="BH7" s="79" t="str">
        <f t="shared" ref="BH7" si="20">UPPER(BG6)&amp;".chk"&amp;TEXT(BG5,"00")</f>
        <v>CUR.chk13</v>
      </c>
      <c r="BI7" s="78" t="s">
        <v>55</v>
      </c>
      <c r="BJ7" s="79" t="str">
        <f t="shared" ref="BJ7" si="21">UPPER(BG6)&amp;".upd"&amp;TEXT(BG5,"00")</f>
        <v>CUR.upd13</v>
      </c>
      <c r="BK7" s="78" t="s">
        <v>55</v>
      </c>
      <c r="BL7" s="79" t="str">
        <f t="shared" ref="BL7" si="22">UPPER(BG6)&amp;".chk"&amp;TEXT(BK5,"00")</f>
        <v>CUR.chk14</v>
      </c>
      <c r="BM7" s="78" t="s">
        <v>55</v>
      </c>
      <c r="BN7" s="79" t="str">
        <f t="shared" ref="BN7" si="23">UPPER(BG6)&amp;".upd"&amp;TEXT(BK5,"00")</f>
        <v>CUR.upd14</v>
      </c>
      <c r="BO7" s="78" t="s">
        <v>35</v>
      </c>
      <c r="BP7" s="79" t="str">
        <f t="shared" ref="BP7" si="24">UPPER(BO6)&amp;".chk"&amp;TEXT(BO5,"00")</f>
        <v>UNIT.chk15</v>
      </c>
      <c r="BQ7" s="78" t="s">
        <v>55</v>
      </c>
      <c r="BR7" s="79" t="str">
        <f t="shared" ref="BR7" si="25">UPPER(BO6)&amp;".upd"&amp;TEXT(BO5,"00")</f>
        <v>UNIT.upd15</v>
      </c>
      <c r="BS7" s="78" t="s">
        <v>55</v>
      </c>
      <c r="BT7" s="79" t="str">
        <f t="shared" ref="BT7" si="26">UPPER(BO6)&amp;".chk"&amp;TEXT(BS5,"00")</f>
        <v>UNIT.chk16</v>
      </c>
      <c r="BU7" s="78" t="s">
        <v>55</v>
      </c>
      <c r="BV7" s="79" t="str">
        <f t="shared" ref="BV7" si="27">UPPER(BO6)&amp;".upd"&amp;TEXT(BS5,"00")</f>
        <v>UNIT.upd16</v>
      </c>
      <c r="BW7" s="78" t="s">
        <v>35</v>
      </c>
      <c r="BX7" s="79" t="str">
        <f t="shared" ref="BX7" si="28">UPPER(BW6)&amp;".chk"&amp;TEXT(BW5,"00")</f>
        <v>BANK.chk17</v>
      </c>
      <c r="BY7" s="78" t="s">
        <v>55</v>
      </c>
      <c r="BZ7" s="79" t="str">
        <f t="shared" ref="BZ7" si="29">UPPER(BW6)&amp;".upd"&amp;TEXT(BW5,"00")</f>
        <v>BANK.upd17</v>
      </c>
      <c r="CA7" s="78" t="s">
        <v>55</v>
      </c>
      <c r="CB7" s="79" t="str">
        <f t="shared" ref="CB7" si="30">UPPER(BW6)&amp;".chk"&amp;TEXT(CA5,"00")</f>
        <v>BANK.chk18</v>
      </c>
      <c r="CC7" s="78" t="s">
        <v>55</v>
      </c>
      <c r="CD7" s="79" t="str">
        <f t="shared" ref="CD7" si="31">UPPER(BW6)&amp;".upd"&amp;TEXT(CA5,"00")</f>
        <v>BANK.upd18</v>
      </c>
      <c r="CE7" s="78" t="s">
        <v>35</v>
      </c>
      <c r="CF7" s="79" t="str">
        <f t="shared" ref="CF7" si="32">UPPER(CE6)&amp;".chk"&amp;TEXT(CE5,"00")</f>
        <v>BANK_BRANCH.chk19</v>
      </c>
      <c r="CG7" s="78" t="s">
        <v>55</v>
      </c>
      <c r="CH7" s="79" t="str">
        <f t="shared" ref="CH7" si="33">UPPER(CE6)&amp;".upd"&amp;TEXT(CE5,"00")</f>
        <v>BANK_BRANCH.upd19</v>
      </c>
      <c r="CI7" s="78" t="s">
        <v>55</v>
      </c>
      <c r="CJ7" s="79" t="str">
        <f t="shared" ref="CJ7" si="34">UPPER(CE6)&amp;".chk"&amp;TEXT(CI5,"00")</f>
        <v>BANK_BRANCH.chk20</v>
      </c>
      <c r="CK7" s="78" t="s">
        <v>55</v>
      </c>
      <c r="CL7" s="79" t="str">
        <f t="shared" ref="CL7" si="35">UPPER(CE6)&amp;".upd"&amp;TEXT(CI5,"00")</f>
        <v>BANK_BRANCH.upd20</v>
      </c>
      <c r="CM7" s="78" t="s">
        <v>35</v>
      </c>
      <c r="CN7" s="79" t="str">
        <f t="shared" ref="CN7" si="36">UPPER(CM6)&amp;".chk"&amp;TEXT(CM5,"00")</f>
        <v>BANK_AC.chk21</v>
      </c>
      <c r="CO7" s="78" t="s">
        <v>55</v>
      </c>
      <c r="CP7" s="79" t="str">
        <f t="shared" ref="CP7" si="37">UPPER(CM6)&amp;".upd"&amp;TEXT(CM5,"00")</f>
        <v>BANK_AC.upd21</v>
      </c>
      <c r="CQ7" s="78" t="s">
        <v>55</v>
      </c>
      <c r="CR7" s="79" t="str">
        <f t="shared" ref="CR7" si="38">UPPER(CM6)&amp;".chk"&amp;TEXT(CQ5,"00")</f>
        <v>BANK_AC.chk22</v>
      </c>
      <c r="CS7" s="78" t="s">
        <v>55</v>
      </c>
      <c r="CT7" s="79" t="str">
        <f t="shared" ref="CT7" si="39">UPPER(CM6)&amp;".upd"&amp;TEXT(CQ5,"00")</f>
        <v>BANK_AC.upd22</v>
      </c>
      <c r="CU7" s="78" t="s">
        <v>35</v>
      </c>
      <c r="CV7" s="79" t="str">
        <f t="shared" ref="CV7" si="40">UPPER(CU6)&amp;".chk"&amp;TEXT(CU5,"00")</f>
        <v>XRATE.chk23</v>
      </c>
      <c r="CW7" s="78" t="s">
        <v>55</v>
      </c>
      <c r="CX7" s="79" t="str">
        <f t="shared" ref="CX7" si="41">UPPER(CU6)&amp;".upd"&amp;TEXT(CU5,"00")</f>
        <v>XRATE.upd23</v>
      </c>
      <c r="CY7" s="78" t="s">
        <v>55</v>
      </c>
      <c r="CZ7" s="79" t="str">
        <f t="shared" ref="CZ7" si="42">UPPER(CU6)&amp;".chk"&amp;TEXT(CY5,"00")</f>
        <v>XRATE.chk24</v>
      </c>
      <c r="DA7" s="78" t="s">
        <v>55</v>
      </c>
      <c r="DB7" s="79" t="str">
        <f t="shared" ref="DB7" si="43">UPPER(CU6)&amp;".upd"&amp;TEXT(CY5,"00")</f>
        <v>XRATE.upd24</v>
      </c>
      <c r="DC7" s="78" t="s">
        <v>35</v>
      </c>
      <c r="DD7" s="79" t="str">
        <f t="shared" ref="DD7" si="44">UPPER(DC6)&amp;".chk"&amp;TEXT(DC5,"00")</f>
        <v>CAL_BASE.chk25</v>
      </c>
      <c r="DE7" s="78" t="s">
        <v>55</v>
      </c>
      <c r="DF7" s="79" t="str">
        <f t="shared" ref="DF7" si="45">UPPER(DC6)&amp;".upd"&amp;TEXT(DC5,"00")</f>
        <v>CAL_BASE.upd25</v>
      </c>
      <c r="DG7" s="78" t="s">
        <v>55</v>
      </c>
      <c r="DH7" s="79" t="str">
        <f t="shared" ref="DH7" si="46">UPPER(DC6)&amp;".chk"&amp;TEXT(DG5,"00")</f>
        <v>CAL_BASE.chk26</v>
      </c>
      <c r="DI7" s="78" t="s">
        <v>55</v>
      </c>
      <c r="DJ7" s="79" t="str">
        <f t="shared" ref="DJ7" si="47">UPPER(DC6)&amp;".upd"&amp;TEXT(DG5,"00")</f>
        <v>CAL_BASE.upd26</v>
      </c>
      <c r="DK7" s="78" t="s">
        <v>35</v>
      </c>
      <c r="DL7" s="79" t="str">
        <f t="shared" ref="DL7" si="48">UPPER(DK6)&amp;".chk"&amp;TEXT(DK5,"00")</f>
        <v>ITM_JNL.chk27</v>
      </c>
      <c r="DM7" s="78" t="s">
        <v>55</v>
      </c>
      <c r="DN7" s="79" t="str">
        <f t="shared" ref="DN7" si="49">UPPER(DK6)&amp;".upd"&amp;TEXT(DK5,"00")</f>
        <v>ITM_JNL.upd27</v>
      </c>
      <c r="DO7" s="78" t="s">
        <v>55</v>
      </c>
      <c r="DP7" s="79" t="str">
        <f t="shared" ref="DP7" si="50">UPPER(DK6)&amp;".chk"&amp;TEXT(DO5,"00")</f>
        <v>ITM_JNL.chk28</v>
      </c>
      <c r="DQ7" s="78" t="s">
        <v>55</v>
      </c>
      <c r="DR7" s="79" t="str">
        <f t="shared" ref="DR7" si="51">UPPER(DK6)&amp;".upd"&amp;TEXT(DO5,"00")</f>
        <v>ITM_JNL.upd28</v>
      </c>
      <c r="DS7" s="78" t="s">
        <v>35</v>
      </c>
      <c r="DT7" s="79" t="str">
        <f t="shared" ref="DT7" si="52">UPPER(DS6)&amp;".chk"&amp;TEXT(DS5,"00")</f>
        <v>AC_ITM_GRP.chk29</v>
      </c>
      <c r="DU7" s="78" t="s">
        <v>55</v>
      </c>
      <c r="DV7" s="79" t="str">
        <f t="shared" ref="DV7" si="53">UPPER(DS6)&amp;".upd"&amp;TEXT(DS5,"00")</f>
        <v>AC_ITM_GRP.upd29</v>
      </c>
      <c r="DW7" s="78" t="s">
        <v>55</v>
      </c>
      <c r="DX7" s="79" t="str">
        <f t="shared" ref="DX7" si="54">UPPER(DS6)&amp;".chk"&amp;TEXT(DW5,"00")</f>
        <v>AC_ITM_GRP.chk30</v>
      </c>
      <c r="DY7" s="78" t="s">
        <v>55</v>
      </c>
      <c r="DZ7" s="79" t="str">
        <f t="shared" ref="DZ7" si="55">UPPER(DS6)&amp;".upd"&amp;TEXT(DW5,"00")</f>
        <v>AC_ITM_GRP.upd30</v>
      </c>
      <c r="EA7" s="78" t="s">
        <v>35</v>
      </c>
      <c r="EB7" s="79" t="str">
        <f t="shared" ref="EB7" si="56">UPPER(EA6)&amp;".chk"&amp;TEXT(EA5,"00")</f>
        <v>AC_RSN.chk31</v>
      </c>
      <c r="EC7" s="78" t="s">
        <v>55</v>
      </c>
      <c r="ED7" s="79" t="str">
        <f t="shared" ref="ED7" si="57">UPPER(EA6)&amp;".upd"&amp;TEXT(EA5,"00")</f>
        <v>AC_RSN.upd31</v>
      </c>
      <c r="EE7" s="78" t="s">
        <v>55</v>
      </c>
      <c r="EF7" s="79" t="str">
        <f t="shared" ref="EF7" si="58">UPPER(EA6)&amp;".chk"&amp;TEXT(EE5,"00")</f>
        <v>AC_RSN.chk32</v>
      </c>
      <c r="EG7" s="78" t="s">
        <v>55</v>
      </c>
      <c r="EH7" s="79" t="str">
        <f t="shared" ref="EH7" si="59">UPPER(EA6)&amp;".upd"&amp;TEXT(EE5,"00")</f>
        <v>AC_RSN.upd32</v>
      </c>
      <c r="EI7" s="78" t="s">
        <v>35</v>
      </c>
      <c r="EJ7" s="79" t="str">
        <f t="shared" ref="EJ7" si="60">UPPER(EI6)&amp;".chk"&amp;TEXT(EI5,"00")</f>
        <v>SITE.chk33</v>
      </c>
      <c r="EK7" s="78" t="s">
        <v>55</v>
      </c>
      <c r="EL7" s="79" t="str">
        <f t="shared" ref="EL7" si="61">UPPER(EI6)&amp;".upd"&amp;TEXT(EI5,"00")</f>
        <v>SITE.upd33</v>
      </c>
      <c r="EM7" s="78" t="s">
        <v>55</v>
      </c>
      <c r="EN7" s="79" t="str">
        <f t="shared" ref="EN7" si="62">UPPER(EI6)&amp;".chk"&amp;TEXT(EM5,"00")</f>
        <v>SITE.chk34</v>
      </c>
      <c r="EO7" s="78" t="s">
        <v>55</v>
      </c>
      <c r="EP7" s="79" t="str">
        <f t="shared" ref="EP7" si="63">UPPER(EI6)&amp;".upd"&amp;TEXT(EM5,"00")</f>
        <v>SITE.upd34</v>
      </c>
      <c r="EQ7" s="78" t="s">
        <v>35</v>
      </c>
      <c r="ER7" s="79" t="str">
        <f t="shared" ref="ER7" si="64">UPPER(EQ6)&amp;".chk"&amp;TEXT(EQ5,"00")</f>
        <v>LOC_GRP.chk35</v>
      </c>
      <c r="ES7" s="78" t="s">
        <v>55</v>
      </c>
      <c r="ET7" s="79" t="str">
        <f t="shared" ref="ET7" si="65">UPPER(EQ6)&amp;".upd"&amp;TEXT(EQ5,"00")</f>
        <v>LOC_GRP.upd35</v>
      </c>
      <c r="EU7" s="78" t="s">
        <v>55</v>
      </c>
      <c r="EV7" s="79" t="str">
        <f t="shared" ref="EV7" si="66">UPPER(EQ6)&amp;".chk"&amp;TEXT(EU5,"00")</f>
        <v>LOC_GRP.chk36</v>
      </c>
      <c r="EW7" s="78" t="s">
        <v>55</v>
      </c>
      <c r="EX7" s="79" t="str">
        <f t="shared" ref="EX7" si="67">UPPER(EQ6)&amp;".upd"&amp;TEXT(EU5,"00")</f>
        <v>LOC_GRP.upd36</v>
      </c>
      <c r="EY7" s="78" t="s">
        <v>35</v>
      </c>
      <c r="EZ7" s="79" t="str">
        <f t="shared" ref="EZ7" si="68">UPPER(EY6)&amp;".chk"&amp;TEXT(EY5,"00")</f>
        <v>LG_GRP.chk37</v>
      </c>
      <c r="FA7" s="78" t="s">
        <v>55</v>
      </c>
      <c r="FB7" s="79" t="str">
        <f t="shared" ref="FB7" si="69">UPPER(EY6)&amp;".upd"&amp;TEXT(EY5,"00")</f>
        <v>LG_GRP.upd37</v>
      </c>
      <c r="FC7" s="78" t="s">
        <v>55</v>
      </c>
      <c r="FD7" s="79" t="str">
        <f t="shared" ref="FD7" si="70">UPPER(EY6)&amp;".chk"&amp;TEXT(FC5,"00")</f>
        <v>LG_GRP.chk38</v>
      </c>
      <c r="FE7" s="78" t="s">
        <v>55</v>
      </c>
      <c r="FF7" s="79" t="str">
        <f t="shared" ref="FF7" si="71">UPPER(EY6)&amp;".upd"&amp;TEXT(FC5,"00")</f>
        <v>LG_GRP.upd38</v>
      </c>
      <c r="FG7" s="78" t="s">
        <v>35</v>
      </c>
      <c r="FH7" s="79" t="str">
        <f t="shared" ref="FH7" si="72">UPPER(FG6)&amp;".chk"&amp;TEXT(FG5,"00")</f>
        <v>ALLOC_GRP.chk39</v>
      </c>
      <c r="FI7" s="78" t="s">
        <v>55</v>
      </c>
      <c r="FJ7" s="79" t="str">
        <f t="shared" ref="FJ7" si="73">UPPER(FG6)&amp;".upd"&amp;TEXT(FG5,"00")</f>
        <v>ALLOC_GRP.upd39</v>
      </c>
      <c r="FK7" s="78" t="s">
        <v>55</v>
      </c>
      <c r="FL7" s="79" t="str">
        <f t="shared" ref="FL7" si="74">UPPER(FG6)&amp;".chk"&amp;TEXT(FK5,"00")</f>
        <v>ALLOC_GRP.chk40</v>
      </c>
      <c r="FM7" s="78" t="s">
        <v>55</v>
      </c>
      <c r="FN7" s="79" t="str">
        <f t="shared" ref="FN7" si="75">UPPER(FG6)&amp;".upd"&amp;TEXT(FK5,"00")</f>
        <v>ALLOC_GRP.upd40</v>
      </c>
      <c r="FO7" s="78" t="s">
        <v>35</v>
      </c>
      <c r="FP7" s="79" t="str">
        <f t="shared" ref="FP7" si="76">UPPER(FO6)&amp;".chk"&amp;TEXT(FO5,"00")</f>
        <v>WG.chk41</v>
      </c>
      <c r="FQ7" s="78" t="s">
        <v>55</v>
      </c>
      <c r="FR7" s="79" t="str">
        <f t="shared" ref="FR7" si="77">UPPER(FO6)&amp;".upd"&amp;TEXT(FO5,"00")</f>
        <v>WG.upd41</v>
      </c>
      <c r="FS7" s="78" t="s">
        <v>55</v>
      </c>
      <c r="FT7" s="79" t="str">
        <f t="shared" ref="FT7" si="78">UPPER(FO6)&amp;".chk"&amp;TEXT(FS5,"00")</f>
        <v>WG.chk42</v>
      </c>
      <c r="FU7" s="78" t="s">
        <v>55</v>
      </c>
      <c r="FV7" s="79" t="str">
        <f t="shared" ref="FV7" si="79">UPPER(FO6)&amp;".upd"&amp;TEXT(FS5,"00")</f>
        <v>WG.upd42</v>
      </c>
      <c r="FW7" s="78" t="s">
        <v>35</v>
      </c>
      <c r="FX7" s="79" t="str">
        <f t="shared" ref="FX7" si="80">UPPER(FW6)&amp;".chk"&amp;TEXT(FW5,"00")</f>
        <v>OPER.chk43</v>
      </c>
      <c r="FY7" s="78" t="s">
        <v>55</v>
      </c>
      <c r="FZ7" s="79" t="str">
        <f t="shared" ref="FZ7" si="81">UPPER(FW6)&amp;".upd"&amp;TEXT(FW5,"00")</f>
        <v>OPER.upd43</v>
      </c>
      <c r="GA7" s="78" t="s">
        <v>55</v>
      </c>
      <c r="GB7" s="79" t="str">
        <f t="shared" ref="GB7" si="82">UPPER(FW6)&amp;".chk"&amp;TEXT(GA5,"00")</f>
        <v>OPER.chk44</v>
      </c>
      <c r="GC7" s="78" t="s">
        <v>55</v>
      </c>
      <c r="GD7" s="79" t="str">
        <f t="shared" ref="GD7" si="83">UPPER(FW6)&amp;".upd"&amp;TEXT(GA5,"00")</f>
        <v>OPER.upd44</v>
      </c>
      <c r="GE7" s="78" t="s">
        <v>35</v>
      </c>
      <c r="GF7" s="79" t="str">
        <f t="shared" ref="GF7" si="84">UPPER(GE6)&amp;".chk"&amp;TEXT(GE5,"00")</f>
        <v>WK_COST.chk45</v>
      </c>
      <c r="GG7" s="78" t="s">
        <v>55</v>
      </c>
      <c r="GH7" s="79" t="str">
        <f t="shared" ref="GH7" si="85">UPPER(GE6)&amp;".upd"&amp;TEXT(GE5,"00")</f>
        <v>WK_COST.upd45</v>
      </c>
      <c r="GI7" s="78" t="s">
        <v>55</v>
      </c>
      <c r="GJ7" s="79" t="str">
        <f t="shared" ref="GJ7" si="86">UPPER(GE6)&amp;".chk"&amp;TEXT(GI5,"00")</f>
        <v>WK_COST.chk46</v>
      </c>
      <c r="GK7" s="78" t="s">
        <v>55</v>
      </c>
      <c r="GL7" s="79" t="str">
        <f t="shared" ref="GL7" si="87">UPPER(GE6)&amp;".upd"&amp;TEXT(GI5,"00")</f>
        <v>WK_COST.upd46</v>
      </c>
      <c r="GM7" s="78" t="s">
        <v>35</v>
      </c>
      <c r="GN7" s="79" t="str">
        <f t="shared" ref="GN7" si="88">UPPER(GM6)&amp;".chk"&amp;TEXT(GM5,"00")</f>
        <v>WK_RSN.chk47</v>
      </c>
      <c r="GO7" s="78" t="s">
        <v>55</v>
      </c>
      <c r="GP7" s="79" t="str">
        <f t="shared" ref="GP7" si="89">UPPER(GM6)&amp;".upd"&amp;TEXT(GM5,"00")</f>
        <v>WK_RSN.upd47</v>
      </c>
      <c r="GQ7" s="78" t="s">
        <v>55</v>
      </c>
      <c r="GR7" s="79" t="str">
        <f t="shared" ref="GR7" si="90">UPPER(GM6)&amp;".chk"&amp;TEXT(GQ5,"00")</f>
        <v>WK_RSN.chk48</v>
      </c>
      <c r="GS7" s="78" t="s">
        <v>55</v>
      </c>
      <c r="GT7" s="79" t="str">
        <f t="shared" ref="GT7" si="91">UPPER(GM6)&amp;".upd"&amp;TEXT(GQ5,"00")</f>
        <v>WK_RSN.upd48</v>
      </c>
      <c r="GU7" s="78" t="s">
        <v>35</v>
      </c>
      <c r="GV7" s="79" t="str">
        <f t="shared" ref="GV7" si="92">UPPER(GU6)&amp;".chk"&amp;TEXT(GU5,"00")</f>
        <v>SLS_UPRI_GRP.chk49</v>
      </c>
      <c r="GW7" s="78" t="s">
        <v>55</v>
      </c>
      <c r="GX7" s="79" t="str">
        <f t="shared" ref="GX7" si="93">UPPER(GU6)&amp;".upd"&amp;TEXT(GU5,"00")</f>
        <v>SLS_UPRI_GRP.upd49</v>
      </c>
      <c r="GY7" s="78" t="s">
        <v>55</v>
      </c>
      <c r="GZ7" s="79" t="str">
        <f t="shared" ref="GZ7" si="94">UPPER(GU6)&amp;".chk"&amp;TEXT(GY5,"00")</f>
        <v>SLS_UPRI_GRP.chk50</v>
      </c>
      <c r="HA7" s="78" t="s">
        <v>55</v>
      </c>
      <c r="HB7" s="79" t="str">
        <f t="shared" ref="HB7" si="95">UPPER(GU6)&amp;".upd"&amp;TEXT(GY5,"00")</f>
        <v>SLS_UPRI_GRP.upd50</v>
      </c>
      <c r="HC7" s="78" t="s">
        <v>35</v>
      </c>
      <c r="HD7" s="79" t="str">
        <f t="shared" ref="HD7" si="96">UPPER(HC6)&amp;".chk"&amp;TEXT(HC5,"00")</f>
        <v>SLS_UPRI_RANK.chk51</v>
      </c>
      <c r="HE7" s="78" t="s">
        <v>55</v>
      </c>
      <c r="HF7" s="79" t="str">
        <f t="shared" ref="HF7" si="97">UPPER(HC6)&amp;".upd"&amp;TEXT(HC5,"00")</f>
        <v>SLS_UPRI_RANK.upd51</v>
      </c>
      <c r="HG7" s="78" t="s">
        <v>55</v>
      </c>
      <c r="HH7" s="79" t="str">
        <f t="shared" ref="HH7" si="98">UPPER(HC6)&amp;".chk"&amp;TEXT(HG5,"00")</f>
        <v>SLS_UPRI_RANK.chk52</v>
      </c>
      <c r="HI7" s="78" t="s">
        <v>55</v>
      </c>
      <c r="HJ7" s="79" t="str">
        <f t="shared" ref="HJ7" si="99">UPPER(HC6)&amp;".upd"&amp;TEXT(HG5,"00")</f>
        <v>SLS_UPRI_RANK.upd52</v>
      </c>
      <c r="HK7" s="78" t="s">
        <v>35</v>
      </c>
      <c r="HL7" s="79" t="str">
        <f t="shared" ref="HL7" si="100">UPPER(HK6)&amp;".chk"&amp;TEXT(HK5,"00")</f>
        <v>SETOFF_GRP.chk53</v>
      </c>
      <c r="HM7" s="78" t="s">
        <v>55</v>
      </c>
      <c r="HN7" s="79" t="str">
        <f t="shared" ref="HN7" si="101">UPPER(HK6)&amp;".upd"&amp;TEXT(HK5,"00")</f>
        <v>SETOFF_GRP.upd53</v>
      </c>
      <c r="HO7" s="78" t="s">
        <v>55</v>
      </c>
      <c r="HP7" s="79" t="str">
        <f t="shared" ref="HP7" si="102">UPPER(HK6)&amp;".chk"&amp;TEXT(HO5,"00")</f>
        <v>SETOFF_GRP.chk54</v>
      </c>
      <c r="HQ7" s="78" t="s">
        <v>55</v>
      </c>
      <c r="HR7" s="79" t="str">
        <f t="shared" ref="HR7" si="103">UPPER(HK6)&amp;".upd"&amp;TEXT(HO5,"00")</f>
        <v>SETOFF_GRP.upd54</v>
      </c>
      <c r="HS7" s="78" t="s">
        <v>35</v>
      </c>
      <c r="HT7" s="79" t="str">
        <f t="shared" ref="HT7" si="104">UPPER(HS6)&amp;".chk"&amp;TEXT(HS5,"00")</f>
        <v>SHIP_VALID.chk55</v>
      </c>
      <c r="HU7" s="78" t="s">
        <v>55</v>
      </c>
      <c r="HV7" s="79" t="str">
        <f t="shared" ref="HV7" si="105">UPPER(HS6)&amp;".upd"&amp;TEXT(HS5,"00")</f>
        <v>SHIP_VALID.upd55</v>
      </c>
      <c r="HW7" s="78" t="s">
        <v>55</v>
      </c>
      <c r="HX7" s="79" t="str">
        <f t="shared" ref="HX7" si="106">UPPER(HS6)&amp;".chk"&amp;TEXT(HW5,"00")</f>
        <v>SHIP_VALID.chk56</v>
      </c>
      <c r="HY7" s="78" t="s">
        <v>55</v>
      </c>
      <c r="HZ7" s="79" t="str">
        <f t="shared" ref="HZ7" si="107">UPPER(HS6)&amp;".upd"&amp;TEXT(HW5,"00")</f>
        <v>SHIP_VALID.upd56</v>
      </c>
      <c r="IA7" s="78" t="s">
        <v>35</v>
      </c>
      <c r="IB7" s="79" t="str">
        <f t="shared" ref="IB7" si="108">UPPER(IA6)&amp;".chk"&amp;TEXT(IA5,"00")</f>
        <v>ITM_SHIP_GRP.chk57</v>
      </c>
      <c r="IC7" s="78" t="s">
        <v>55</v>
      </c>
      <c r="ID7" s="79" t="str">
        <f t="shared" ref="ID7" si="109">UPPER(IA6)&amp;".upd"&amp;TEXT(IA5,"00")</f>
        <v>ITM_SHIP_GRP.upd57</v>
      </c>
      <c r="IE7" s="78" t="s">
        <v>55</v>
      </c>
      <c r="IF7" s="79" t="str">
        <f t="shared" ref="IF7" si="110">UPPER(IA6)&amp;".chk"&amp;TEXT(IE5,"00")</f>
        <v>ITM_SHIP_GRP.chk58</v>
      </c>
      <c r="IG7" s="78" t="s">
        <v>55</v>
      </c>
      <c r="IH7" s="79" t="str">
        <f t="shared" ref="IH7" si="111">UPPER(IA6)&amp;".upd"&amp;TEXT(IE5,"00")</f>
        <v>ITM_SHIP_GRP.upd58</v>
      </c>
      <c r="II7" s="78" t="s">
        <v>35</v>
      </c>
      <c r="IJ7" s="79" t="str">
        <f t="shared" ref="IJ7" si="112">UPPER(II6)&amp;".chk"&amp;TEXT(II5,"00")</f>
        <v>TRNSPT.chk59</v>
      </c>
      <c r="IK7" s="78" t="s">
        <v>55</v>
      </c>
      <c r="IL7" s="79" t="str">
        <f t="shared" ref="IL7" si="113">UPPER(II6)&amp;".upd"&amp;TEXT(II5,"00")</f>
        <v>TRNSPT.upd59</v>
      </c>
      <c r="IM7" s="78" t="s">
        <v>55</v>
      </c>
      <c r="IN7" s="79" t="str">
        <f t="shared" ref="IN7" si="114">UPPER(II6)&amp;".chk"&amp;TEXT(IM5,"00")</f>
        <v>TRNSPT.chk60</v>
      </c>
      <c r="IO7" s="78" t="s">
        <v>55</v>
      </c>
      <c r="IP7" s="79" t="str">
        <f t="shared" ref="IP7" si="115">UPPER(II6)&amp;".upd"&amp;TEXT(IM5,"00")</f>
        <v>TRNSPT.upd60</v>
      </c>
      <c r="IQ7" s="78" t="s">
        <v>35</v>
      </c>
      <c r="IR7" s="79" t="str">
        <f t="shared" ref="IR7" si="116">UPPER(IQ6)&amp;".chk"&amp;TEXT(IQ5,"00")</f>
        <v>EX_CNTNR.chk61</v>
      </c>
      <c r="IS7" s="78" t="s">
        <v>55</v>
      </c>
      <c r="IT7" s="79" t="str">
        <f t="shared" ref="IT7" si="117">UPPER(IQ6)&amp;".upd"&amp;TEXT(IQ5,"00")</f>
        <v>EX_CNTNR.upd61</v>
      </c>
      <c r="IU7" s="78" t="s">
        <v>55</v>
      </c>
      <c r="IV7" s="79" t="str">
        <f t="shared" ref="IV7" si="118">UPPER(IQ6)&amp;".chk"&amp;TEXT(IU5,"00")</f>
        <v>EX_CNTNR.chk62</v>
      </c>
      <c r="IW7" s="78" t="s">
        <v>55</v>
      </c>
      <c r="IX7" s="79" t="str">
        <f t="shared" ref="IX7" si="119">UPPER(IQ6)&amp;".upd"&amp;TEXT(IU5,"00")</f>
        <v>EX_CNTNR.upd62</v>
      </c>
      <c r="IY7" s="78" t="s">
        <v>35</v>
      </c>
      <c r="IZ7" s="79" t="str">
        <f t="shared" ref="IZ7" si="120">UPPER(IY6)&amp;".chk"&amp;TEXT(IY5,"00")</f>
        <v>EXIM_PORT.chk63</v>
      </c>
      <c r="JA7" s="78" t="s">
        <v>55</v>
      </c>
      <c r="JB7" s="79" t="str">
        <f t="shared" ref="JB7" si="121">UPPER(IY6)&amp;".upd"&amp;TEXT(IY5,"00")</f>
        <v>EXIM_PORT.upd63</v>
      </c>
      <c r="JC7" s="78" t="s">
        <v>55</v>
      </c>
      <c r="JD7" s="79" t="str">
        <f t="shared" ref="JD7" si="122">UPPER(IY6)&amp;".chk"&amp;TEXT(JC5,"00")</f>
        <v>EXIM_PORT.chk64</v>
      </c>
      <c r="JE7" s="78" t="s">
        <v>55</v>
      </c>
      <c r="JF7" s="79" t="str">
        <f t="shared" ref="JF7" si="123">UPPER(IY6)&amp;".upd"&amp;TEXT(JC5,"00")</f>
        <v>EXIM_PORT.upd64</v>
      </c>
      <c r="JG7" s="78" t="s">
        <v>35</v>
      </c>
      <c r="JH7" s="79" t="str">
        <f t="shared" ref="JH7" si="124">UPPER(JG6)&amp;".chk"&amp;TEXT(JG5,"00")</f>
        <v>STK_GD.chk65</v>
      </c>
      <c r="JI7" s="78" t="s">
        <v>55</v>
      </c>
      <c r="JJ7" s="79" t="str">
        <f t="shared" ref="JJ7" si="125">UPPER(JG6)&amp;".upd"&amp;TEXT(JG5,"00")</f>
        <v>STK_GD.upd65</v>
      </c>
      <c r="JK7" s="78" t="s">
        <v>55</v>
      </c>
      <c r="JL7" s="79" t="str">
        <f t="shared" ref="JL7" si="126">UPPER(JG6)&amp;".chk"&amp;TEXT(JK5,"00")</f>
        <v>STK_GD.chk66</v>
      </c>
      <c r="JM7" s="78" t="s">
        <v>55</v>
      </c>
      <c r="JN7" s="79" t="str">
        <f t="shared" ref="JN7" si="127">UPPER(JG6)&amp;".upd"&amp;TEXT(JK5,"00")</f>
        <v>STK_GD.upd66</v>
      </c>
      <c r="JO7" s="78" t="s">
        <v>35</v>
      </c>
      <c r="JP7" s="79" t="str">
        <f t="shared" ref="JP7" si="128">UPPER(JO6)&amp;".chk"&amp;TEXT(JO5,"00")</f>
        <v>TRD.chk67</v>
      </c>
      <c r="JQ7" s="78" t="s">
        <v>55</v>
      </c>
      <c r="JR7" s="79" t="str">
        <f t="shared" ref="JR7" si="129">UPPER(JO6)&amp;".upd"&amp;TEXT(JO5,"00")</f>
        <v>TRD.upd67</v>
      </c>
      <c r="JS7" s="78" t="s">
        <v>55</v>
      </c>
      <c r="JT7" s="79" t="str">
        <f t="shared" ref="JT7" si="130">UPPER(JO6)&amp;".chk"&amp;TEXT(JS5,"00")</f>
        <v>TRD.chk68</v>
      </c>
      <c r="JU7" s="78" t="s">
        <v>55</v>
      </c>
      <c r="JV7" s="79" t="str">
        <f t="shared" ref="JV7" si="131">UPPER(JO6)&amp;".upd"&amp;TEXT(JS5,"00")</f>
        <v>TRD.upd68</v>
      </c>
      <c r="JW7" s="78" t="s">
        <v>35</v>
      </c>
      <c r="JX7" s="79" t="str">
        <f t="shared" ref="JX7" si="132">UPPER(JW6)&amp;".chk"&amp;TEXT(JW5,"00")</f>
        <v>SLIP_FORM.chk69</v>
      </c>
      <c r="JY7" s="78" t="s">
        <v>55</v>
      </c>
      <c r="JZ7" s="79" t="str">
        <f t="shared" ref="JZ7" si="133">UPPER(JW6)&amp;".upd"&amp;TEXT(JW5,"00")</f>
        <v>SLIP_FORM.upd69</v>
      </c>
      <c r="KA7" s="78" t="s">
        <v>55</v>
      </c>
      <c r="KB7" s="79" t="str">
        <f t="shared" ref="KB7" si="134">UPPER(JW6)&amp;".chk"&amp;TEXT(KA5,"00")</f>
        <v>SLIP_FORM.chk70</v>
      </c>
      <c r="KC7" s="78" t="s">
        <v>55</v>
      </c>
      <c r="KD7" s="79" t="str">
        <f t="shared" ref="KD7" si="135">UPPER(JW6)&amp;".upd"&amp;TEXT(KA5,"00")</f>
        <v>SLIP_FORM.upd70</v>
      </c>
      <c r="KE7" s="78" t="s">
        <v>35</v>
      </c>
      <c r="KF7" s="79" t="str">
        <f t="shared" ref="KF7" si="136">UPPER(KE6)&amp;".chk"&amp;TEXT(KE5,"00")</f>
        <v>PF_GRP.chk71</v>
      </c>
      <c r="KG7" s="78" t="s">
        <v>55</v>
      </c>
      <c r="KH7" s="79" t="str">
        <f t="shared" ref="KH7" si="137">UPPER(KE6)&amp;".upd"&amp;TEXT(KE5,"00")</f>
        <v>PF_GRP.upd71</v>
      </c>
      <c r="KI7" s="78" t="s">
        <v>55</v>
      </c>
      <c r="KJ7" s="79" t="str">
        <f t="shared" ref="KJ7" si="138">UPPER(KE6)&amp;".chk"&amp;TEXT(KI5,"00")</f>
        <v>PF_GRP.chk72</v>
      </c>
      <c r="KK7" s="78" t="s">
        <v>55</v>
      </c>
      <c r="KL7" s="79" t="str">
        <f t="shared" ref="KL7" si="139">UPPER(KE6)&amp;".upd"&amp;TEXT(KI5,"00")</f>
        <v>PF_GRP.upd72</v>
      </c>
      <c r="KM7" s="78" t="s">
        <v>35</v>
      </c>
      <c r="KN7" s="79" t="str">
        <f t="shared" ref="KN7" si="140">UPPER(KM6)&amp;".chk"&amp;TEXT(KM5,"00")</f>
        <v>ITM_SPEC_GRP.chk73</v>
      </c>
      <c r="KO7" s="78" t="s">
        <v>55</v>
      </c>
      <c r="KP7" s="79" t="str">
        <f t="shared" ref="KP7" si="141">UPPER(KM6)&amp;".upd"&amp;TEXT(KM5,"00")</f>
        <v>ITM_SPEC_GRP.upd73</v>
      </c>
      <c r="KQ7" s="78" t="s">
        <v>55</v>
      </c>
      <c r="KR7" s="79" t="str">
        <f t="shared" ref="KR7" si="142">UPPER(KM6)&amp;".chk"&amp;TEXT(KQ5,"00")</f>
        <v>ITM_SPEC_GRP.chk74</v>
      </c>
      <c r="KS7" s="78" t="s">
        <v>55</v>
      </c>
      <c r="KT7" s="79" t="str">
        <f t="shared" ref="KT7" si="143">UPPER(KM6)&amp;".upd"&amp;TEXT(KQ5,"00")</f>
        <v>ITM_SPEC_GRP.upd74</v>
      </c>
      <c r="KU7" s="78" t="s">
        <v>35</v>
      </c>
      <c r="KV7" s="79" t="str">
        <f t="shared" ref="KV7" si="144">UPPER(KU6)&amp;".chk"&amp;TEXT(KU5,"00")</f>
        <v>ITM_COMP_GRP.chk75</v>
      </c>
      <c r="KW7" s="78" t="s">
        <v>55</v>
      </c>
      <c r="KX7" s="79" t="str">
        <f t="shared" ref="KX7" si="145">UPPER(KU6)&amp;".upd"&amp;TEXT(KU5,"00")</f>
        <v>ITM_COMP_GRP.upd75</v>
      </c>
      <c r="KY7" s="78" t="s">
        <v>55</v>
      </c>
      <c r="KZ7" s="79" t="str">
        <f t="shared" ref="KZ7" si="146">UPPER(KU6)&amp;".chk"&amp;TEXT(KY5,"00")</f>
        <v>ITM_COMP_GRP.chk76</v>
      </c>
      <c r="LA7" s="78" t="s">
        <v>55</v>
      </c>
      <c r="LB7" s="79" t="str">
        <f t="shared" ref="LB7" si="147">UPPER(KU6)&amp;".upd"&amp;TEXT(KY5,"00")</f>
        <v>ITM_COMP_GRP.upd76</v>
      </c>
      <c r="LC7" s="78" t="s">
        <v>35</v>
      </c>
      <c r="LD7" s="79" t="str">
        <f t="shared" ref="LD7" si="148">UPPER(LC6)&amp;".chk"&amp;TEXT(LC5,"00")</f>
        <v>JNL_ACT.chk77</v>
      </c>
      <c r="LE7" s="78" t="s">
        <v>55</v>
      </c>
      <c r="LF7" s="79" t="str">
        <f t="shared" ref="LF7" si="149">UPPER(LC6)&amp;".upd"&amp;TEXT(LC5,"00")</f>
        <v>JNL_ACT.upd77</v>
      </c>
      <c r="LG7" s="78" t="s">
        <v>55</v>
      </c>
      <c r="LH7" s="79" t="str">
        <f t="shared" ref="LH7" si="150">UPPER(LC6)&amp;".chk"&amp;TEXT(LG5,"00")</f>
        <v>JNL_ACT.chk78</v>
      </c>
      <c r="LI7" s="78" t="s">
        <v>55</v>
      </c>
      <c r="LJ7" s="79" t="str">
        <f t="shared" ref="LJ7" si="151">UPPER(LC6)&amp;".upd"&amp;TEXT(LG5,"00")</f>
        <v>JNL_ACT.upd78</v>
      </c>
      <c r="LK7" s="78" t="s">
        <v>35</v>
      </c>
      <c r="LL7" s="79" t="str">
        <f t="shared" ref="LL7" si="152">UPPER(LK6)&amp;".chk"&amp;TEXT(LK5,"00")</f>
        <v>JNL_GRP.chk79</v>
      </c>
      <c r="LM7" s="78" t="s">
        <v>55</v>
      </c>
      <c r="LN7" s="79" t="str">
        <f t="shared" ref="LN7" si="153">UPPER(LK6)&amp;".upd"&amp;TEXT(LK5,"00")</f>
        <v>JNL_GRP.upd79</v>
      </c>
      <c r="LO7" s="78" t="s">
        <v>55</v>
      </c>
      <c r="LP7" s="79" t="str">
        <f t="shared" ref="LP7" si="154">UPPER(LK6)&amp;".chk"&amp;TEXT(LO5,"00")</f>
        <v>JNL_GRP.chk80</v>
      </c>
      <c r="LQ7" s="78" t="s">
        <v>55</v>
      </c>
      <c r="LR7" s="79" t="str">
        <f t="shared" ref="LR7" si="155">UPPER(LK6)&amp;".upd"&amp;TEXT(LO5,"00")</f>
        <v>JNL_GRP.upd80</v>
      </c>
      <c r="LS7" s="78" t="s">
        <v>35</v>
      </c>
      <c r="LT7" s="79" t="str">
        <f t="shared" ref="LT7" si="156">UPPER(LS6)&amp;".chk"&amp;TEXT(LS5,"00")</f>
        <v>JNL_PTN_BASE.chk81</v>
      </c>
      <c r="LU7" s="78" t="s">
        <v>55</v>
      </c>
      <c r="LV7" s="79" t="str">
        <f t="shared" ref="LV7" si="157">UPPER(LS6)&amp;".upd"&amp;TEXT(LS5,"00")</f>
        <v>JNL_PTN_BASE.upd81</v>
      </c>
      <c r="LW7" s="78" t="s">
        <v>55</v>
      </c>
      <c r="LX7" s="79" t="str">
        <f t="shared" ref="LX7" si="158">UPPER(LS6)&amp;".chk"&amp;TEXT(LW5,"00")</f>
        <v>JNL_PTN_BASE.chk82</v>
      </c>
      <c r="LY7" s="78" t="s">
        <v>55</v>
      </c>
      <c r="LZ7" s="79" t="str">
        <f t="shared" ref="LZ7" si="159">UPPER(LS6)&amp;".upd"&amp;TEXT(LW5,"00")</f>
        <v>JNL_PTN_BASE.upd82</v>
      </c>
      <c r="MA7" s="78" t="s">
        <v>35</v>
      </c>
      <c r="MB7" s="79" t="str">
        <f t="shared" ref="MB7" si="160">UPPER(MA6)&amp;".chk"&amp;TEXT(MA5,"00")</f>
        <v>AUTO_JNL_KEY.chk83</v>
      </c>
      <c r="MC7" s="78" t="s">
        <v>55</v>
      </c>
      <c r="MD7" s="79" t="str">
        <f t="shared" ref="MD7" si="161">UPPER(MA6)&amp;".upd"&amp;TEXT(MA5,"00")</f>
        <v>AUTO_JNL_KEY.upd83</v>
      </c>
      <c r="ME7" s="78" t="s">
        <v>55</v>
      </c>
      <c r="MF7" s="79" t="str">
        <f t="shared" ref="MF7" si="162">UPPER(MA6)&amp;".chk"&amp;TEXT(ME5,"00")</f>
        <v>AUTO_JNL_KEY.chk84</v>
      </c>
      <c r="MG7" s="78" t="s">
        <v>55</v>
      </c>
      <c r="MH7" s="79" t="str">
        <f t="shared" ref="MH7" si="163">UPPER(MA6)&amp;".upd"&amp;TEXT(ME5,"00")</f>
        <v>AUTO_JNL_KEY.upd84</v>
      </c>
      <c r="MI7" s="78" t="s">
        <v>35</v>
      </c>
      <c r="MJ7" s="79" t="str">
        <f t="shared" ref="MJ7" si="164">UPPER(MI6)&amp;".chk"&amp;TEXT(MI5,"00")</f>
        <v>INSP_PTN.chk85</v>
      </c>
      <c r="MK7" s="78" t="s">
        <v>55</v>
      </c>
      <c r="ML7" s="79" t="str">
        <f t="shared" ref="ML7" si="165">UPPER(MI6)&amp;".upd"&amp;TEXT(MI5,"00")</f>
        <v>INSP_PTN.upd85</v>
      </c>
      <c r="MM7" s="78" t="s">
        <v>55</v>
      </c>
      <c r="MN7" s="79" t="str">
        <f t="shared" ref="MN7" si="166">UPPER(MI6)&amp;".chk"&amp;TEXT(MM5,"00")</f>
        <v>INSP_PTN.chk86</v>
      </c>
      <c r="MO7" s="78" t="s">
        <v>55</v>
      </c>
      <c r="MP7" s="79" t="str">
        <f t="shared" ref="MP7" si="167">UPPER(MI6)&amp;".upd"&amp;TEXT(MM5,"00")</f>
        <v>INSP_PTN.upd86</v>
      </c>
      <c r="MQ7" s="78" t="s">
        <v>35</v>
      </c>
      <c r="MR7" s="79" t="str">
        <f t="shared" ref="MR7" si="168">UPPER(MQ6)&amp;".chk"&amp;TEXT(MQ5,"00")</f>
        <v>WK_DAY.chk87</v>
      </c>
      <c r="MS7" s="78" t="s">
        <v>55</v>
      </c>
      <c r="MT7" s="79" t="str">
        <f t="shared" ref="MT7" si="169">UPPER(MQ6)&amp;".upd"&amp;TEXT(MQ5,"00")</f>
        <v>WK_DAY.upd87</v>
      </c>
      <c r="MU7" s="78" t="s">
        <v>55</v>
      </c>
      <c r="MV7" s="79" t="str">
        <f t="shared" ref="MV7" si="170">UPPER(MQ6)&amp;".chk"&amp;TEXT(MU5,"00")</f>
        <v>WK_DAY.chk88</v>
      </c>
      <c r="MW7" s="78" t="s">
        <v>55</v>
      </c>
      <c r="MX7" s="79" t="str">
        <f t="shared" ref="MX7" si="171">UPPER(MQ6)&amp;".upd"&amp;TEXT(MU5,"00")</f>
        <v>WK_DAY.upd88</v>
      </c>
      <c r="MY7" s="78" t="s">
        <v>35</v>
      </c>
      <c r="MZ7" s="79" t="str">
        <f t="shared" ref="MZ7" si="172">UPPER(MY6)&amp;".chk"&amp;TEXT(MY5,"00")</f>
        <v>SHIP_TERM.chk89</v>
      </c>
      <c r="NA7" s="78" t="s">
        <v>55</v>
      </c>
      <c r="NB7" s="79" t="str">
        <f t="shared" ref="NB7" si="173">UPPER(MY6)&amp;".upd"&amp;TEXT(MY5,"00")</f>
        <v>SHIP_TERM.upd89</v>
      </c>
      <c r="NC7" s="78" t="s">
        <v>55</v>
      </c>
      <c r="ND7" s="79" t="str">
        <f t="shared" ref="ND7" si="174">UPPER(MY6)&amp;".chk"&amp;TEXT(NC5,"00")</f>
        <v>SHIP_TERM.chk90</v>
      </c>
      <c r="NE7" s="78" t="s">
        <v>55</v>
      </c>
      <c r="NF7" s="79" t="str">
        <f t="shared" ref="NF7" si="175">UPPER(MY6)&amp;".upd"&amp;TEXT(NC5,"00")</f>
        <v>SHIP_TERM.upd90</v>
      </c>
      <c r="NG7" s="78" t="s">
        <v>35</v>
      </c>
      <c r="NH7" s="79" t="str">
        <f t="shared" ref="NH7" si="176">UPPER(NG6)&amp;".chk"&amp;TEXT(NG5,"00")</f>
        <v>SHIP_WK.chk91</v>
      </c>
      <c r="NI7" s="78" t="s">
        <v>55</v>
      </c>
      <c r="NJ7" s="79" t="str">
        <f t="shared" ref="NJ7" si="177">UPPER(NG6)&amp;".upd"&amp;TEXT(NG5,"00")</f>
        <v>SHIP_WK.upd91</v>
      </c>
      <c r="NK7" s="78" t="s">
        <v>55</v>
      </c>
      <c r="NL7" s="79" t="str">
        <f t="shared" ref="NL7" si="178">UPPER(NG6)&amp;".chk"&amp;TEXT(NK5,"00")</f>
        <v>SHIP_WK.chk92</v>
      </c>
      <c r="NM7" s="78" t="s">
        <v>55</v>
      </c>
      <c r="NN7" s="79" t="str">
        <f t="shared" ref="NN7" si="179">UPPER(NG6)&amp;".upd"&amp;TEXT(NK5,"00")</f>
        <v>SHIP_WK.upd92</v>
      </c>
      <c r="NO7" s="78" t="s">
        <v>35</v>
      </c>
      <c r="NP7" s="79" t="str">
        <f t="shared" ref="NP7" si="180">UPPER(NO6)&amp;".chk"&amp;TEXT(NO5,"00")</f>
        <v>RSRC.chk93</v>
      </c>
      <c r="NQ7" s="78" t="s">
        <v>55</v>
      </c>
      <c r="NR7" s="79" t="str">
        <f t="shared" ref="NR7" si="181">UPPER(NO6)&amp;".upd"&amp;TEXT(NO5,"00")</f>
        <v>RSRC.upd93</v>
      </c>
      <c r="NS7" s="78" t="s">
        <v>55</v>
      </c>
      <c r="NT7" s="79" t="str">
        <f t="shared" ref="NT7" si="182">UPPER(NO6)&amp;".chk"&amp;TEXT(NS5,"00")</f>
        <v>RSRC.chk94</v>
      </c>
      <c r="NU7" s="78" t="s">
        <v>55</v>
      </c>
      <c r="NV7" s="79" t="str">
        <f t="shared" ref="NV7" si="183">UPPER(NO6)&amp;".upd"&amp;TEXT(NS5,"00")</f>
        <v>RSRC.upd94</v>
      </c>
      <c r="NW7" s="78" t="s">
        <v>35</v>
      </c>
      <c r="NX7" s="79" t="str">
        <f t="shared" ref="NX7" si="184">UPPER(NW6)&amp;".chk"&amp;TEXT(NW5,"00")</f>
        <v>HS_GRP.chk95</v>
      </c>
      <c r="NY7" s="78" t="s">
        <v>55</v>
      </c>
      <c r="NZ7" s="79" t="str">
        <f t="shared" ref="NZ7" si="185">UPPER(NW6)&amp;".upd"&amp;TEXT(NW5,"00")</f>
        <v>HS_GRP.upd95</v>
      </c>
      <c r="OA7" s="78" t="s">
        <v>55</v>
      </c>
      <c r="OB7" s="79" t="str">
        <f t="shared" ref="OB7" si="186">UPPER(NW6)&amp;".chk"&amp;TEXT(OA5,"00")</f>
        <v>HS_GRP.chk96</v>
      </c>
      <c r="OC7" s="78" t="s">
        <v>55</v>
      </c>
      <c r="OD7" s="79" t="str">
        <f t="shared" ref="OD7" si="187">UPPER(NW6)&amp;".upd"&amp;TEXT(OA5,"00")</f>
        <v>HS_GRP.upd96</v>
      </c>
      <c r="OE7" s="78" t="s">
        <v>35</v>
      </c>
      <c r="OF7" s="79" t="str">
        <f t="shared" ref="OF7" si="188">UPPER(OE6)&amp;".chk"&amp;TEXT(OE5,"00")</f>
        <v>ALC_PTN.chk97</v>
      </c>
      <c r="OG7" s="78" t="s">
        <v>55</v>
      </c>
      <c r="OH7" s="79" t="str">
        <f t="shared" ref="OH7" si="189">UPPER(OE6)&amp;".upd"&amp;TEXT(OE5,"00")</f>
        <v>ALC_PTN.upd97</v>
      </c>
      <c r="OI7" s="78" t="s">
        <v>55</v>
      </c>
      <c r="OJ7" s="79" t="str">
        <f t="shared" ref="OJ7" si="190">UPPER(OE6)&amp;".chk"&amp;TEXT(OI5,"00")</f>
        <v>ALC_PTN.chk98</v>
      </c>
      <c r="OK7" s="78" t="s">
        <v>55</v>
      </c>
      <c r="OL7" s="79" t="str">
        <f t="shared" ref="OL7" si="191">UPPER(OE6)&amp;".upd"&amp;TEXT(OI5,"00")</f>
        <v>ALC_PTN.upd98</v>
      </c>
      <c r="OM7" s="78" t="s">
        <v>35</v>
      </c>
      <c r="ON7" s="79" t="str">
        <f t="shared" ref="ON7" si="192">UPPER(OM6)&amp;".chk"&amp;TEXT(OM5,"00")</f>
        <v>CTG_GRP.chk99</v>
      </c>
      <c r="OO7" s="78" t="s">
        <v>55</v>
      </c>
      <c r="OP7" s="79" t="str">
        <f t="shared" ref="OP7" si="193">UPPER(OM6)&amp;".upd"&amp;TEXT(OM5,"00")</f>
        <v>CTG_GRP.upd99</v>
      </c>
      <c r="OQ7" s="78" t="s">
        <v>55</v>
      </c>
      <c r="OR7" s="79" t="str">
        <f t="shared" ref="OR7" si="194">UPPER(OM6)&amp;".chk"&amp;TEXT(OQ5,"00")</f>
        <v>CTG_GRP.chk100</v>
      </c>
      <c r="OS7" s="78" t="s">
        <v>55</v>
      </c>
      <c r="OT7" s="79" t="str">
        <f t="shared" ref="OT7" si="195">UPPER(OM6)&amp;".upd"&amp;TEXT(OQ5,"00")</f>
        <v>CTG_GRP.upd100</v>
      </c>
      <c r="OU7" s="78" t="s">
        <v>35</v>
      </c>
      <c r="OV7" s="79" t="str">
        <f t="shared" ref="OV7" si="196">UPPER(OU6)&amp;".chk"&amp;TEXT(OU5,"00")</f>
        <v>ACT_PTN.chk101</v>
      </c>
      <c r="OW7" s="78" t="s">
        <v>55</v>
      </c>
      <c r="OX7" s="79" t="str">
        <f t="shared" ref="OX7" si="197">UPPER(OU6)&amp;".upd"&amp;TEXT(OU5,"00")</f>
        <v>ACT_PTN.upd101</v>
      </c>
      <c r="OY7" s="78" t="s">
        <v>55</v>
      </c>
      <c r="OZ7" s="79" t="str">
        <f t="shared" ref="OZ7" si="198">UPPER(OU6)&amp;".chk"&amp;TEXT(OY5,"00")</f>
        <v>ACT_PTN.chk102</v>
      </c>
      <c r="PA7" s="78" t="s">
        <v>55</v>
      </c>
      <c r="PB7" s="79" t="str">
        <f t="shared" ref="PB7" si="199">UPPER(OU6)&amp;".upd"&amp;TEXT(OY5,"00")</f>
        <v>ACT_PTN.upd102</v>
      </c>
      <c r="PC7" s="78" t="s">
        <v>35</v>
      </c>
      <c r="PD7" s="79" t="str">
        <f t="shared" ref="PD7" si="200">UPPER(PC6)&amp;".chk"&amp;TEXT(PC5,"00")</f>
        <v>GP_ALC.chk103</v>
      </c>
      <c r="PE7" s="78" t="s">
        <v>55</v>
      </c>
      <c r="PF7" s="79" t="str">
        <f t="shared" ref="PF7" si="201">UPPER(PC6)&amp;".upd"&amp;TEXT(PC5,"00")</f>
        <v>GP_ALC.upd103</v>
      </c>
      <c r="PG7" s="78" t="s">
        <v>55</v>
      </c>
      <c r="PH7" s="79" t="str">
        <f t="shared" ref="PH7" si="202">UPPER(PC6)&amp;".chk"&amp;TEXT(PG5,"00")</f>
        <v>GP_ALC.chk104</v>
      </c>
      <c r="PI7" s="78" t="s">
        <v>55</v>
      </c>
      <c r="PJ7" s="79" t="str">
        <f t="shared" ref="PJ7" si="203">UPPER(PC6)&amp;".upd"&amp;TEXT(PG5,"00")</f>
        <v>GP_ALC.upd104</v>
      </c>
      <c r="PK7" s="78" t="s">
        <v>35</v>
      </c>
      <c r="PL7" s="79" t="str">
        <f t="shared" ref="PL7" si="204">UPPER(PK6)&amp;".chk"&amp;TEXT(PK5,"00")</f>
        <v>CALC_CTG.chk105</v>
      </c>
      <c r="PM7" s="78" t="s">
        <v>55</v>
      </c>
      <c r="PN7" s="79" t="str">
        <f t="shared" ref="PN7" si="205">UPPER(PK6)&amp;".upd"&amp;TEXT(PK5,"00")</f>
        <v>CALC_CTG.upd105</v>
      </c>
      <c r="PO7" s="78" t="s">
        <v>55</v>
      </c>
      <c r="PP7" s="79" t="str">
        <f t="shared" ref="PP7" si="206">UPPER(PK6)&amp;".chk"&amp;TEXT(PO5,"00")</f>
        <v>CALC_CTG.chk106</v>
      </c>
      <c r="PQ7" s="78" t="s">
        <v>55</v>
      </c>
      <c r="PR7" s="79" t="str">
        <f t="shared" ref="PR7" si="207">UPPER(PK6)&amp;".upd"&amp;TEXT(PO5,"00")</f>
        <v>CALC_CTG.upd106</v>
      </c>
      <c r="PS7" s="78" t="s">
        <v>35</v>
      </c>
      <c r="PT7" s="79" t="str">
        <f t="shared" ref="PT7" si="208">UPPER(PS6)&amp;".chk"&amp;TEXT(PS5,"00")</f>
        <v>RPT_PTN.chk107</v>
      </c>
      <c r="PU7" s="78" t="s">
        <v>55</v>
      </c>
      <c r="PV7" s="79" t="str">
        <f t="shared" ref="PV7" si="209">UPPER(PS6)&amp;".upd"&amp;TEXT(PS5,"00")</f>
        <v>RPT_PTN.upd107</v>
      </c>
      <c r="PW7" s="78" t="s">
        <v>55</v>
      </c>
      <c r="PX7" s="79" t="str">
        <f t="shared" ref="PX7" si="210">UPPER(PS6)&amp;".chk"&amp;TEXT(PW5,"00")</f>
        <v>RPT_PTN.chk108</v>
      </c>
      <c r="PY7" s="78" t="s">
        <v>55</v>
      </c>
      <c r="PZ7" s="79" t="str">
        <f t="shared" ref="PZ7" si="211">UPPER(PS6)&amp;".upd"&amp;TEXT(PW5,"00")</f>
        <v>RPT_PTN.upd108</v>
      </c>
      <c r="QA7" s="78" t="s">
        <v>35</v>
      </c>
      <c r="QB7" s="79" t="str">
        <f t="shared" ref="QB7" si="212">UPPER(QA6)&amp;".chk"&amp;TEXT(QA5,"00")</f>
        <v>COST_MENU.chk109</v>
      </c>
      <c r="QC7" s="78" t="s">
        <v>55</v>
      </c>
      <c r="QD7" s="79" t="str">
        <f t="shared" ref="QD7" si="213">UPPER(QA6)&amp;".upd"&amp;TEXT(QA5,"00")</f>
        <v>COST_MENU.upd109</v>
      </c>
      <c r="QE7" s="78" t="s">
        <v>55</v>
      </c>
      <c r="QF7" s="79" t="str">
        <f t="shared" ref="QF7" si="214">UPPER(QA6)&amp;".chk"&amp;TEXT(QE5,"00")</f>
        <v>COST_MENU.chk110</v>
      </c>
      <c r="QG7" s="78" t="s">
        <v>55</v>
      </c>
      <c r="QH7" s="79" t="str">
        <f t="shared" ref="QH7" si="215">UPPER(QA6)&amp;".upd"&amp;TEXT(QE5,"00")</f>
        <v>COST_MENU.upd110</v>
      </c>
      <c r="QI7" s="78" t="s">
        <v>35</v>
      </c>
      <c r="QJ7" s="79" t="str">
        <f>UPPER(QI6)&amp;".chk"&amp;TEXT(QI5,"00")</f>
        <v>SITE_CO.chk111</v>
      </c>
      <c r="QK7" s="78" t="s">
        <v>55</v>
      </c>
      <c r="QL7" s="79" t="str">
        <f>UPPER(QI6)&amp;".upd"&amp;TEXT(QI5,"00")</f>
        <v>SITE_CO.upd111</v>
      </c>
      <c r="QM7" s="78" t="s">
        <v>55</v>
      </c>
      <c r="QN7" s="79" t="str">
        <f>UPPER(QI6)&amp;".chk"&amp;TEXT(QM5,"00")</f>
        <v>SITE_CO.chk112</v>
      </c>
      <c r="QO7" s="78" t="s">
        <v>55</v>
      </c>
      <c r="QP7" s="79" t="str">
        <f>UPPER(QI6)&amp;".upd"&amp;TEXT(QM5,"00")</f>
        <v>SITE_CO.upd112</v>
      </c>
      <c r="QQ7" s="28"/>
      <c r="QR7" s="28"/>
      <c r="QS7" s="28"/>
      <c r="QT7" s="28"/>
    </row>
    <row r="8" spans="1:462" s="11" customFormat="1" ht="60" customHeight="1" x14ac:dyDescent="0.2">
      <c r="A8" s="65" t="s">
        <v>1425</v>
      </c>
      <c r="B8" s="94"/>
      <c r="C8" s="95"/>
      <c r="D8" s="90" t="s">
        <v>2196</v>
      </c>
      <c r="E8" s="90" t="s">
        <v>2197</v>
      </c>
      <c r="F8" s="41"/>
      <c r="G8" s="90" t="s">
        <v>1406</v>
      </c>
      <c r="H8" s="90" t="s">
        <v>2198</v>
      </c>
      <c r="I8" s="41"/>
      <c r="J8" s="3"/>
      <c r="K8" s="45" t="s">
        <v>16</v>
      </c>
      <c r="L8" s="9" t="str">
        <f>"OPE.MA."&amp;L6&amp;"."&amp;SUBSTITUTE(K6,"_","")&amp;"_UpdChk01"</f>
        <v>OPE.MA.MABCL0031.Da_UpdChk01</v>
      </c>
      <c r="M8" s="45" t="s">
        <v>56</v>
      </c>
      <c r="N8" s="9" t="str">
        <f>"OPE.MA."&amp;L6&amp;"."&amp;SUBSTITUTE(K6,"_","")&amp;"_Upd01"</f>
        <v>OPE.MA.MABCL0031.Da_Upd01</v>
      </c>
      <c r="O8" s="45" t="s">
        <v>56</v>
      </c>
      <c r="P8" s="9" t="str">
        <f>"OPE.MA."&amp;L6&amp;"."&amp;SUBSTITUTE(K6,"_","")&amp;"Lcl_UpdChk01"</f>
        <v>OPE.MA.MABCL0031.DaLcl_UpdChk01</v>
      </c>
      <c r="Q8" s="45" t="s">
        <v>56</v>
      </c>
      <c r="R8" s="9" t="str">
        <f>"OPE.MA."&amp;L6&amp;"."&amp;SUBSTITUTE(K6,"_","")&amp;"Lcl_Upd01"</f>
        <v>OPE.MA.MABCL0031.DaLcl_Upd01</v>
      </c>
      <c r="S8" s="45" t="s">
        <v>16</v>
      </c>
      <c r="T8" s="9" t="str">
        <f t="shared" ref="T8" si="216">"OPE.MA."&amp;T6&amp;"."&amp;SUBSTITUTE(S6,"_","")&amp;"_UpdChk01"</f>
        <v>OPE.MA.MABCL0031.DptBase_UpdChk01</v>
      </c>
      <c r="U8" s="45" t="s">
        <v>56</v>
      </c>
      <c r="V8" s="9" t="str">
        <f t="shared" ref="V8" si="217">"OPE.MA."&amp;T6&amp;"."&amp;SUBSTITUTE(S6,"_","")&amp;"_Upd01"</f>
        <v>OPE.MA.MABCL0031.DptBase_Upd01</v>
      </c>
      <c r="W8" s="45" t="s">
        <v>56</v>
      </c>
      <c r="X8" s="9" t="str">
        <f t="shared" ref="X8" si="218">"OPE.MA."&amp;T6&amp;"."&amp;SUBSTITUTE(S6,"_","")&amp;"Lcl_UpdChk01"</f>
        <v>OPE.MA.MABCL0031.DptBaseLcl_UpdChk01</v>
      </c>
      <c r="Y8" s="45" t="s">
        <v>56</v>
      </c>
      <c r="Z8" s="9" t="str">
        <f t="shared" ref="Z8" si="219">"OPE.MA."&amp;T6&amp;"."&amp;SUBSTITUTE(S6,"_","")&amp;"Lcl_Upd01"</f>
        <v>OPE.MA.MABCL0031.DptBaseLcl_Upd01</v>
      </c>
      <c r="AA8" s="45" t="s">
        <v>16</v>
      </c>
      <c r="AB8" s="9" t="str">
        <f t="shared" ref="AB8" si="220">"OPE.MA."&amp;AB6&amp;"."&amp;SUBSTITUTE(AA6,"_","")&amp;"_UpdChk01"</f>
        <v>OPE.MA.MABCL0031.DptLvl_UpdChk01</v>
      </c>
      <c r="AC8" s="45" t="s">
        <v>56</v>
      </c>
      <c r="AD8" s="9" t="str">
        <f t="shared" ref="AD8" si="221">"OPE.MA."&amp;AB6&amp;"."&amp;SUBSTITUTE(AA6,"_","")&amp;"_Upd01"</f>
        <v>OPE.MA.MABCL0031.DptLvl_Upd01</v>
      </c>
      <c r="AE8" s="45" t="s">
        <v>56</v>
      </c>
      <c r="AF8" s="9" t="str">
        <f t="shared" ref="AF8" si="222">"OPE.MA."&amp;AB6&amp;"."&amp;SUBSTITUTE(AA6,"_","")&amp;"Lcl_UpdChk01"</f>
        <v>OPE.MA.MABCL0031.DptLvlLcl_UpdChk01</v>
      </c>
      <c r="AG8" s="45" t="s">
        <v>56</v>
      </c>
      <c r="AH8" s="9" t="str">
        <f t="shared" ref="AH8" si="223">"OPE.MA."&amp;AB6&amp;"."&amp;SUBSTITUTE(AA6,"_","")&amp;"Lcl_Upd01"</f>
        <v>OPE.MA.MABCL0031.DptLvlLcl_Upd01</v>
      </c>
      <c r="AI8" s="45" t="s">
        <v>16</v>
      </c>
      <c r="AJ8" s="9" t="str">
        <f t="shared" ref="AJ8" si="224">"OPE.MA."&amp;AJ6&amp;"."&amp;SUBSTITUTE(AI6,"_","")&amp;"_UpdChk01"</f>
        <v>OPE.MA.MABCL0031.AprvRole_UpdChk01</v>
      </c>
      <c r="AK8" s="45" t="s">
        <v>56</v>
      </c>
      <c r="AL8" s="9" t="str">
        <f t="shared" ref="AL8" si="225">"OPE.MA."&amp;AJ6&amp;"."&amp;SUBSTITUTE(AI6,"_","")&amp;"_Upd01"</f>
        <v>OPE.MA.MABCL0031.AprvRole_Upd01</v>
      </c>
      <c r="AM8" s="45" t="s">
        <v>56</v>
      </c>
      <c r="AN8" s="9" t="str">
        <f t="shared" ref="AN8" si="226">"OPE.MA."&amp;AJ6&amp;"."&amp;SUBSTITUTE(AI6,"_","")&amp;"Lcl_UpdChk01"</f>
        <v>OPE.MA.MABCL0031.AprvRoleLcl_UpdChk01</v>
      </c>
      <c r="AO8" s="45" t="s">
        <v>56</v>
      </c>
      <c r="AP8" s="9" t="str">
        <f t="shared" ref="AP8" si="227">"OPE.MA."&amp;AJ6&amp;"."&amp;SUBSTITUTE(AI6,"_","")&amp;"Lcl_Upd01"</f>
        <v>OPE.MA.MABCL0031.AprvRoleLcl_Upd01</v>
      </c>
      <c r="AQ8" s="45" t="s">
        <v>16</v>
      </c>
      <c r="AR8" s="9" t="str">
        <f t="shared" ref="AR8" si="228">"OPE.MA."&amp;AR6&amp;"."&amp;SUBSTITUTE(AQ6,"_","")&amp;"_UpdChk01"</f>
        <v>OPE.MA.MABCL0031.Cntry_UpdChk01</v>
      </c>
      <c r="AS8" s="45" t="s">
        <v>56</v>
      </c>
      <c r="AT8" s="9" t="str">
        <f t="shared" ref="AT8" si="229">"OPE.MA."&amp;AR6&amp;"."&amp;SUBSTITUTE(AQ6,"_","")&amp;"_Upd01"</f>
        <v>OPE.MA.MABCL0031.Cntry_Upd01</v>
      </c>
      <c r="AU8" s="45" t="s">
        <v>56</v>
      </c>
      <c r="AV8" s="9" t="str">
        <f t="shared" ref="AV8" si="230">"OPE.MA."&amp;AR6&amp;"."&amp;SUBSTITUTE(AQ6,"_","")&amp;"Lcl_UpdChk01"</f>
        <v>OPE.MA.MABCL0031.CntryLcl_UpdChk01</v>
      </c>
      <c r="AW8" s="45" t="s">
        <v>56</v>
      </c>
      <c r="AX8" s="9" t="str">
        <f t="shared" ref="AX8" si="231">"OPE.MA."&amp;AR6&amp;"."&amp;SUBSTITUTE(AQ6,"_","")&amp;"Lcl_Upd01"</f>
        <v>OPE.MA.MABCL0031.CntryLcl_Upd01</v>
      </c>
      <c r="AY8" s="45" t="s">
        <v>16</v>
      </c>
      <c r="AZ8" s="9" t="str">
        <f t="shared" ref="AZ8" si="232">"OPE.MA."&amp;AZ6&amp;"."&amp;SUBSTITUTE(AY6,"_","")&amp;"_UpdChk01"</f>
        <v>OPE.MA.MABCL0031.Area_UpdChk01</v>
      </c>
      <c r="BA8" s="45" t="s">
        <v>56</v>
      </c>
      <c r="BB8" s="9" t="str">
        <f t="shared" ref="BB8" si="233">"OPE.MA."&amp;AZ6&amp;"."&amp;SUBSTITUTE(AY6,"_","")&amp;"_Upd01"</f>
        <v>OPE.MA.MABCL0031.Area_Upd01</v>
      </c>
      <c r="BC8" s="45" t="s">
        <v>56</v>
      </c>
      <c r="BD8" s="9" t="str">
        <f t="shared" ref="BD8" si="234">"OPE.MA."&amp;AZ6&amp;"."&amp;SUBSTITUTE(AY6,"_","")&amp;"Lcl_UpdChk01"</f>
        <v>OPE.MA.MABCL0031.AreaLcl_UpdChk01</v>
      </c>
      <c r="BE8" s="45" t="s">
        <v>56</v>
      </c>
      <c r="BF8" s="9" t="str">
        <f t="shared" ref="BF8" si="235">"OPE.MA."&amp;AZ6&amp;"."&amp;SUBSTITUTE(AY6,"_","")&amp;"Lcl_Upd01"</f>
        <v>OPE.MA.MABCL0031.AreaLcl_Upd01</v>
      </c>
      <c r="BG8" s="45" t="s">
        <v>16</v>
      </c>
      <c r="BH8" s="9" t="str">
        <f t="shared" ref="BH8" si="236">"OPE.MA."&amp;BH6&amp;"."&amp;SUBSTITUTE(BG6,"_","")&amp;"_UpdChk01"</f>
        <v>OPE.MA.MABCL0031.Cur_UpdChk01</v>
      </c>
      <c r="BI8" s="45" t="s">
        <v>56</v>
      </c>
      <c r="BJ8" s="9" t="str">
        <f t="shared" ref="BJ8" si="237">"OPE.MA."&amp;BH6&amp;"."&amp;SUBSTITUTE(BG6,"_","")&amp;"_Upd01"</f>
        <v>OPE.MA.MABCL0031.Cur_Upd01</v>
      </c>
      <c r="BK8" s="45" t="s">
        <v>56</v>
      </c>
      <c r="BL8" s="9" t="str">
        <f t="shared" ref="BL8" si="238">"OPE.MA."&amp;BH6&amp;"."&amp;SUBSTITUTE(BG6,"_","")&amp;"Lcl_UpdChk01"</f>
        <v>OPE.MA.MABCL0031.CurLcl_UpdChk01</v>
      </c>
      <c r="BM8" s="45" t="s">
        <v>56</v>
      </c>
      <c r="BN8" s="9" t="str">
        <f t="shared" ref="BN8" si="239">"OPE.MA."&amp;BH6&amp;"."&amp;SUBSTITUTE(BG6,"_","")&amp;"Lcl_Upd01"</f>
        <v>OPE.MA.MABCL0031.CurLcl_Upd01</v>
      </c>
      <c r="BO8" s="45" t="s">
        <v>16</v>
      </c>
      <c r="BP8" s="9" t="str">
        <f t="shared" ref="BP8" si="240">"OPE.MA."&amp;BP6&amp;"."&amp;SUBSTITUTE(BO6,"_","")&amp;"_UpdChk01"</f>
        <v>OPE.MA.MABCL0031.Unit_UpdChk01</v>
      </c>
      <c r="BQ8" s="45" t="s">
        <v>56</v>
      </c>
      <c r="BR8" s="9" t="str">
        <f t="shared" ref="BR8" si="241">"OPE.MA."&amp;BP6&amp;"."&amp;SUBSTITUTE(BO6,"_","")&amp;"_Upd01"</f>
        <v>OPE.MA.MABCL0031.Unit_Upd01</v>
      </c>
      <c r="BS8" s="45" t="s">
        <v>56</v>
      </c>
      <c r="BT8" s="9" t="str">
        <f t="shared" ref="BT8" si="242">"OPE.MA."&amp;BP6&amp;"."&amp;SUBSTITUTE(BO6,"_","")&amp;"Lcl_UpdChk01"</f>
        <v>OPE.MA.MABCL0031.UnitLcl_UpdChk01</v>
      </c>
      <c r="BU8" s="45" t="s">
        <v>56</v>
      </c>
      <c r="BV8" s="9" t="str">
        <f t="shared" ref="BV8" si="243">"OPE.MA."&amp;BP6&amp;"."&amp;SUBSTITUTE(BO6,"_","")&amp;"Lcl_Upd01"</f>
        <v>OPE.MA.MABCL0031.UnitLcl_Upd01</v>
      </c>
      <c r="BW8" s="45" t="s">
        <v>16</v>
      </c>
      <c r="BX8" s="9" t="str">
        <f t="shared" ref="BX8" si="244">"OPE.MA."&amp;BX6&amp;"."&amp;SUBSTITUTE(BW6,"_","")&amp;"_UpdChk01"</f>
        <v>OPE.MA.MABCL0031.Bank_UpdChk01</v>
      </c>
      <c r="BY8" s="45" t="s">
        <v>56</v>
      </c>
      <c r="BZ8" s="9" t="str">
        <f t="shared" ref="BZ8" si="245">"OPE.MA."&amp;BX6&amp;"."&amp;SUBSTITUTE(BW6,"_","")&amp;"_Upd01"</f>
        <v>OPE.MA.MABCL0031.Bank_Upd01</v>
      </c>
      <c r="CA8" s="45" t="s">
        <v>56</v>
      </c>
      <c r="CB8" s="9" t="str">
        <f t="shared" ref="CB8" si="246">"OPE.MA."&amp;BX6&amp;"."&amp;SUBSTITUTE(BW6,"_","")&amp;"Lcl_UpdChk01"</f>
        <v>OPE.MA.MABCL0031.BankLcl_UpdChk01</v>
      </c>
      <c r="CC8" s="45" t="s">
        <v>56</v>
      </c>
      <c r="CD8" s="9" t="str">
        <f t="shared" ref="CD8" si="247">"OPE.MA."&amp;BX6&amp;"."&amp;SUBSTITUTE(BW6,"_","")&amp;"Lcl_Upd01"</f>
        <v>OPE.MA.MABCL0031.BankLcl_Upd01</v>
      </c>
      <c r="CE8" s="45" t="s">
        <v>16</v>
      </c>
      <c r="CF8" s="9" t="str">
        <f t="shared" ref="CF8" si="248">"OPE.MA."&amp;CF6&amp;"."&amp;SUBSTITUTE(CE6,"_","")&amp;"_UpdChk01"</f>
        <v>OPE.MA.MABCL0031.BankBranch_UpdChk01</v>
      </c>
      <c r="CG8" s="45" t="s">
        <v>56</v>
      </c>
      <c r="CH8" s="9" t="str">
        <f t="shared" ref="CH8" si="249">"OPE.MA."&amp;CF6&amp;"."&amp;SUBSTITUTE(CE6,"_","")&amp;"_Upd01"</f>
        <v>OPE.MA.MABCL0031.BankBranch_Upd01</v>
      </c>
      <c r="CI8" s="45" t="s">
        <v>56</v>
      </c>
      <c r="CJ8" s="9" t="str">
        <f t="shared" ref="CJ8" si="250">"OPE.MA."&amp;CF6&amp;"."&amp;SUBSTITUTE(CE6,"_","")&amp;"Lcl_UpdChk01"</f>
        <v>OPE.MA.MABCL0031.BankBranchLcl_UpdChk01</v>
      </c>
      <c r="CK8" s="45" t="s">
        <v>56</v>
      </c>
      <c r="CL8" s="9" t="str">
        <f t="shared" ref="CL8" si="251">"OPE.MA."&amp;CF6&amp;"."&amp;SUBSTITUTE(CE6,"_","")&amp;"Lcl_Upd01"</f>
        <v>OPE.MA.MABCL0031.BankBranchLcl_Upd01</v>
      </c>
      <c r="CM8" s="45" t="s">
        <v>16</v>
      </c>
      <c r="CN8" s="9" t="str">
        <f t="shared" ref="CN8" si="252">"OPE.MA."&amp;CN6&amp;"."&amp;SUBSTITUTE(CM6,"_","")&amp;"_UpdChk01"</f>
        <v>OPE.MA.MABCL0032.BankAc_UpdChk01</v>
      </c>
      <c r="CO8" s="45" t="s">
        <v>56</v>
      </c>
      <c r="CP8" s="9" t="str">
        <f t="shared" ref="CP8" si="253">"OPE.MA."&amp;CN6&amp;"."&amp;SUBSTITUTE(CM6,"_","")&amp;"_Upd01"</f>
        <v>OPE.MA.MABCL0032.BankAc_Upd01</v>
      </c>
      <c r="CQ8" s="45" t="s">
        <v>56</v>
      </c>
      <c r="CR8" s="9" t="str">
        <f t="shared" ref="CR8" si="254">"OPE.MA."&amp;CN6&amp;"."&amp;SUBSTITUTE(CM6,"_","")&amp;"Lcl_UpdChk01"</f>
        <v>OPE.MA.MABCL0032.BankAcLcl_UpdChk01</v>
      </c>
      <c r="CS8" s="45" t="s">
        <v>56</v>
      </c>
      <c r="CT8" s="9" t="str">
        <f t="shared" ref="CT8" si="255">"OPE.MA."&amp;CN6&amp;"."&amp;SUBSTITUTE(CM6,"_","")&amp;"Lcl_Upd01"</f>
        <v>OPE.MA.MABCL0032.BankAcLcl_Upd01</v>
      </c>
      <c r="CU8" s="45" t="s">
        <v>16</v>
      </c>
      <c r="CV8" s="9" t="str">
        <f t="shared" ref="CV8" si="256">"OPE.MA."&amp;CV6&amp;"."&amp;SUBSTITUTE(CU6,"_","")&amp;"_UpdChk01"</f>
        <v>OPE.MA.MABCL0032.Xrate_UpdChk01</v>
      </c>
      <c r="CW8" s="45" t="s">
        <v>56</v>
      </c>
      <c r="CX8" s="9" t="str">
        <f t="shared" ref="CX8" si="257">"OPE.MA."&amp;CV6&amp;"."&amp;SUBSTITUTE(CU6,"_","")&amp;"_Upd01"</f>
        <v>OPE.MA.MABCL0032.Xrate_Upd01</v>
      </c>
      <c r="CY8" s="45" t="s">
        <v>56</v>
      </c>
      <c r="CZ8" s="9" t="str">
        <f t="shared" ref="CZ8" si="258">"OPE.MA."&amp;CV6&amp;"."&amp;SUBSTITUTE(CU6,"_","")&amp;"Lcl_UpdChk01"</f>
        <v>OPE.MA.MABCL0032.XrateLcl_UpdChk01</v>
      </c>
      <c r="DA8" s="45" t="s">
        <v>56</v>
      </c>
      <c r="DB8" s="9" t="str">
        <f t="shared" ref="DB8" si="259">"OPE.MA."&amp;CV6&amp;"."&amp;SUBSTITUTE(CU6,"_","")&amp;"Lcl_Upd01"</f>
        <v>OPE.MA.MABCL0032.XrateLcl_Upd01</v>
      </c>
      <c r="DC8" s="45" t="s">
        <v>16</v>
      </c>
      <c r="DD8" s="9" t="str">
        <f t="shared" ref="DD8" si="260">"OPE.MA."&amp;DD6&amp;"."&amp;SUBSTITUTE(DC6,"_","")&amp;"_UpdChk01"</f>
        <v>OPE.MA.MABCL0032.CalBase_UpdChk01</v>
      </c>
      <c r="DE8" s="45" t="s">
        <v>56</v>
      </c>
      <c r="DF8" s="9" t="str">
        <f t="shared" ref="DF8" si="261">"OPE.MA."&amp;DD6&amp;"."&amp;SUBSTITUTE(DC6,"_","")&amp;"_Upd01"</f>
        <v>OPE.MA.MABCL0032.CalBase_Upd01</v>
      </c>
      <c r="DG8" s="45" t="s">
        <v>56</v>
      </c>
      <c r="DH8" s="9" t="str">
        <f t="shared" ref="DH8" si="262">"OPE.MA."&amp;DD6&amp;"."&amp;SUBSTITUTE(DC6,"_","")&amp;"Lcl_UpdChk01"</f>
        <v>OPE.MA.MABCL0032.CalBaseLcl_UpdChk01</v>
      </c>
      <c r="DI8" s="45" t="s">
        <v>56</v>
      </c>
      <c r="DJ8" s="9" t="str">
        <f t="shared" ref="DJ8" si="263">"OPE.MA."&amp;DD6&amp;"."&amp;SUBSTITUTE(DC6,"_","")&amp;"Lcl_Upd01"</f>
        <v>OPE.MA.MABCL0032.CalBaseLcl_Upd01</v>
      </c>
      <c r="DK8" s="45" t="s">
        <v>16</v>
      </c>
      <c r="DL8" s="9" t="str">
        <f t="shared" ref="DL8" si="264">"OPE.MA."&amp;DL6&amp;"."&amp;SUBSTITUTE(DK6,"_","")&amp;"_UpdChk01"</f>
        <v>OPE.MA.MABCL0032.ItmJnl_UpdChk01</v>
      </c>
      <c r="DM8" s="45" t="s">
        <v>56</v>
      </c>
      <c r="DN8" s="9" t="str">
        <f t="shared" ref="DN8" si="265">"OPE.MA."&amp;DL6&amp;"."&amp;SUBSTITUTE(DK6,"_","")&amp;"_Upd01"</f>
        <v>OPE.MA.MABCL0032.ItmJnl_Upd01</v>
      </c>
      <c r="DO8" s="45" t="s">
        <v>56</v>
      </c>
      <c r="DP8" s="9" t="str">
        <f t="shared" ref="DP8" si="266">"OPE.MA."&amp;DL6&amp;"."&amp;SUBSTITUTE(DK6,"_","")&amp;"Lcl_UpdChk01"</f>
        <v>OPE.MA.MABCL0032.ItmJnlLcl_UpdChk01</v>
      </c>
      <c r="DQ8" s="45" t="s">
        <v>56</v>
      </c>
      <c r="DR8" s="9" t="str">
        <f t="shared" ref="DR8" si="267">"OPE.MA."&amp;DL6&amp;"."&amp;SUBSTITUTE(DK6,"_","")&amp;"Lcl_Upd01"</f>
        <v>OPE.MA.MABCL0032.ItmJnlLcl_Upd01</v>
      </c>
      <c r="DS8" s="45" t="s">
        <v>16</v>
      </c>
      <c r="DT8" s="9" t="str">
        <f t="shared" ref="DT8" si="268">"OPE.MA."&amp;DT6&amp;"."&amp;SUBSTITUTE(DS6,"_","")&amp;"_UpdChk01"</f>
        <v>OPE.MA.MABCL0032.AcItmGrp_UpdChk01</v>
      </c>
      <c r="DU8" s="45" t="s">
        <v>56</v>
      </c>
      <c r="DV8" s="9" t="str">
        <f t="shared" ref="DV8" si="269">"OPE.MA."&amp;DT6&amp;"."&amp;SUBSTITUTE(DS6,"_","")&amp;"_Upd01"</f>
        <v>OPE.MA.MABCL0032.AcItmGrp_Upd01</v>
      </c>
      <c r="DW8" s="45" t="s">
        <v>56</v>
      </c>
      <c r="DX8" s="9" t="str">
        <f t="shared" ref="DX8" si="270">"OPE.MA."&amp;DT6&amp;"."&amp;SUBSTITUTE(DS6,"_","")&amp;"Lcl_UpdChk01"</f>
        <v>OPE.MA.MABCL0032.AcItmGrpLcl_UpdChk01</v>
      </c>
      <c r="DY8" s="45" t="s">
        <v>56</v>
      </c>
      <c r="DZ8" s="9" t="str">
        <f t="shared" ref="DZ8" si="271">"OPE.MA."&amp;DT6&amp;"."&amp;SUBSTITUTE(DS6,"_","")&amp;"Lcl_Upd01"</f>
        <v>OPE.MA.MABCL0032.AcItmGrpLcl_Upd01</v>
      </c>
      <c r="EA8" s="45" t="s">
        <v>16</v>
      </c>
      <c r="EB8" s="9" t="str">
        <f t="shared" ref="EB8" si="272">"OPE.MA."&amp;EB6&amp;"."&amp;SUBSTITUTE(EA6,"_","")&amp;"_UpdChk01"</f>
        <v>OPE.MA.MABCL0032.AcRsn_UpdChk01</v>
      </c>
      <c r="EC8" s="45" t="s">
        <v>56</v>
      </c>
      <c r="ED8" s="9" t="str">
        <f t="shared" ref="ED8" si="273">"OPE.MA."&amp;EB6&amp;"."&amp;SUBSTITUTE(EA6,"_","")&amp;"_Upd01"</f>
        <v>OPE.MA.MABCL0032.AcRsn_Upd01</v>
      </c>
      <c r="EE8" s="45" t="s">
        <v>56</v>
      </c>
      <c r="EF8" s="9" t="str">
        <f t="shared" ref="EF8" si="274">"OPE.MA."&amp;EB6&amp;"."&amp;SUBSTITUTE(EA6,"_","")&amp;"Lcl_UpdChk01"</f>
        <v>OPE.MA.MABCL0032.AcRsnLcl_UpdChk01</v>
      </c>
      <c r="EG8" s="45" t="s">
        <v>56</v>
      </c>
      <c r="EH8" s="9" t="str">
        <f t="shared" ref="EH8" si="275">"OPE.MA."&amp;EB6&amp;"."&amp;SUBSTITUTE(EA6,"_","")&amp;"Lcl_Upd01"</f>
        <v>OPE.MA.MABCL0032.AcRsnLcl_Upd01</v>
      </c>
      <c r="EI8" s="45" t="s">
        <v>16</v>
      </c>
      <c r="EJ8" s="9" t="str">
        <f t="shared" ref="EJ8" si="276">"OPE.MA."&amp;EJ6&amp;"."&amp;SUBSTITUTE(EI6,"_","")&amp;"_UpdChk01"</f>
        <v>OPE.MA.MABCL0032.Site_UpdChk01</v>
      </c>
      <c r="EK8" s="45" t="s">
        <v>56</v>
      </c>
      <c r="EL8" s="9" t="str">
        <f t="shared" ref="EL8" si="277">"OPE.MA."&amp;EJ6&amp;"."&amp;SUBSTITUTE(EI6,"_","")&amp;"_Upd01"</f>
        <v>OPE.MA.MABCL0032.Site_Upd01</v>
      </c>
      <c r="EM8" s="45" t="s">
        <v>56</v>
      </c>
      <c r="EN8" s="9" t="str">
        <f t="shared" ref="EN8" si="278">"OPE.MA."&amp;EJ6&amp;"."&amp;SUBSTITUTE(EI6,"_","")&amp;"Lcl_UpdChk01"</f>
        <v>OPE.MA.MABCL0032.SiteLcl_UpdChk01</v>
      </c>
      <c r="EO8" s="45" t="s">
        <v>56</v>
      </c>
      <c r="EP8" s="9" t="str">
        <f t="shared" ref="EP8" si="279">"OPE.MA."&amp;EJ6&amp;"."&amp;SUBSTITUTE(EI6,"_","")&amp;"Lcl_Upd01"</f>
        <v>OPE.MA.MABCL0032.SiteLcl_Upd01</v>
      </c>
      <c r="EQ8" s="45" t="s">
        <v>16</v>
      </c>
      <c r="ER8" s="9" t="str">
        <f t="shared" ref="ER8" si="280">"OPE.MA."&amp;ER6&amp;"."&amp;SUBSTITUTE(EQ6,"_","")&amp;"_UpdChk01"</f>
        <v>OPE.MA.MABCL0032.LocGrp_UpdChk01</v>
      </c>
      <c r="ES8" s="45" t="s">
        <v>56</v>
      </c>
      <c r="ET8" s="9" t="str">
        <f t="shared" ref="ET8" si="281">"OPE.MA."&amp;ER6&amp;"."&amp;SUBSTITUTE(EQ6,"_","")&amp;"_Upd01"</f>
        <v>OPE.MA.MABCL0032.LocGrp_Upd01</v>
      </c>
      <c r="EU8" s="45" t="s">
        <v>56</v>
      </c>
      <c r="EV8" s="9" t="str">
        <f t="shared" ref="EV8" si="282">"OPE.MA."&amp;ER6&amp;"."&amp;SUBSTITUTE(EQ6,"_","")&amp;"Lcl_UpdChk01"</f>
        <v>OPE.MA.MABCL0032.LocGrpLcl_UpdChk01</v>
      </c>
      <c r="EW8" s="45" t="s">
        <v>56</v>
      </c>
      <c r="EX8" s="9" t="str">
        <f t="shared" ref="EX8" si="283">"OPE.MA."&amp;ER6&amp;"."&amp;SUBSTITUTE(EQ6,"_","")&amp;"Lcl_Upd01"</f>
        <v>OPE.MA.MABCL0032.LocGrpLcl_Upd01</v>
      </c>
      <c r="EY8" s="45" t="s">
        <v>16</v>
      </c>
      <c r="EZ8" s="9" t="str">
        <f t="shared" ref="EZ8" si="284">"OPE.MA."&amp;EZ6&amp;"."&amp;SUBSTITUTE(EY6,"_","")&amp;"_UpdChk01"</f>
        <v>OPE.MA.MABCL0032.LgGrp_UpdChk01</v>
      </c>
      <c r="FA8" s="45" t="s">
        <v>56</v>
      </c>
      <c r="FB8" s="9" t="str">
        <f t="shared" ref="FB8" si="285">"OPE.MA."&amp;EZ6&amp;"."&amp;SUBSTITUTE(EY6,"_","")&amp;"_Upd01"</f>
        <v>OPE.MA.MABCL0032.LgGrp_Upd01</v>
      </c>
      <c r="FC8" s="45" t="s">
        <v>56</v>
      </c>
      <c r="FD8" s="9" t="str">
        <f t="shared" ref="FD8" si="286">"OPE.MA."&amp;EZ6&amp;"."&amp;SUBSTITUTE(EY6,"_","")&amp;"Lcl_UpdChk01"</f>
        <v>OPE.MA.MABCL0032.LgGrpLcl_UpdChk01</v>
      </c>
      <c r="FE8" s="45" t="s">
        <v>56</v>
      </c>
      <c r="FF8" s="9" t="str">
        <f t="shared" ref="FF8" si="287">"OPE.MA."&amp;EZ6&amp;"."&amp;SUBSTITUTE(EY6,"_","")&amp;"Lcl_Upd01"</f>
        <v>OPE.MA.MABCL0032.LgGrpLcl_Upd01</v>
      </c>
      <c r="FG8" s="45" t="s">
        <v>16</v>
      </c>
      <c r="FH8" s="9" t="str">
        <f t="shared" ref="FH8" si="288">"OPE.MA."&amp;FH6&amp;"."&amp;SUBSTITUTE(FG6,"_","")&amp;"_UpdChk01"</f>
        <v>OPE.MA.MABCL0032.AllocGrp_UpdChk01</v>
      </c>
      <c r="FI8" s="45" t="s">
        <v>56</v>
      </c>
      <c r="FJ8" s="9" t="str">
        <f t="shared" ref="FJ8" si="289">"OPE.MA."&amp;FH6&amp;"."&amp;SUBSTITUTE(FG6,"_","")&amp;"_Upd01"</f>
        <v>OPE.MA.MABCL0032.AllocGrp_Upd01</v>
      </c>
      <c r="FK8" s="45" t="s">
        <v>56</v>
      </c>
      <c r="FL8" s="9" t="str">
        <f t="shared" ref="FL8" si="290">"OPE.MA."&amp;FH6&amp;"."&amp;SUBSTITUTE(FG6,"_","")&amp;"Lcl_UpdChk01"</f>
        <v>OPE.MA.MABCL0032.AllocGrpLcl_UpdChk01</v>
      </c>
      <c r="FM8" s="45" t="s">
        <v>56</v>
      </c>
      <c r="FN8" s="9" t="str">
        <f t="shared" ref="FN8" si="291">"OPE.MA."&amp;FH6&amp;"."&amp;SUBSTITUTE(FG6,"_","")&amp;"Lcl_Upd01"</f>
        <v>OPE.MA.MABCL0032.AllocGrpLcl_Upd01</v>
      </c>
      <c r="FO8" s="45" t="s">
        <v>16</v>
      </c>
      <c r="FP8" s="9" t="str">
        <f t="shared" ref="FP8" si="292">"OPE.MA."&amp;FP6&amp;"."&amp;SUBSTITUTE(FO6,"_","")&amp;"_UpdChk01"</f>
        <v>OPE.MA.MABCL0033.Wg_UpdChk01</v>
      </c>
      <c r="FQ8" s="45" t="s">
        <v>56</v>
      </c>
      <c r="FR8" s="9" t="str">
        <f t="shared" ref="FR8" si="293">"OPE.MA."&amp;FP6&amp;"."&amp;SUBSTITUTE(FO6,"_","")&amp;"_Upd01"</f>
        <v>OPE.MA.MABCL0033.Wg_Upd01</v>
      </c>
      <c r="FS8" s="45" t="s">
        <v>56</v>
      </c>
      <c r="FT8" s="9" t="str">
        <f t="shared" ref="FT8" si="294">"OPE.MA."&amp;FP6&amp;"."&amp;SUBSTITUTE(FO6,"_","")&amp;"Lcl_UpdChk01"</f>
        <v>OPE.MA.MABCL0033.WgLcl_UpdChk01</v>
      </c>
      <c r="FU8" s="45" t="s">
        <v>56</v>
      </c>
      <c r="FV8" s="9" t="str">
        <f t="shared" ref="FV8" si="295">"OPE.MA."&amp;FP6&amp;"."&amp;SUBSTITUTE(FO6,"_","")&amp;"Lcl_Upd01"</f>
        <v>OPE.MA.MABCL0033.WgLcl_Upd01</v>
      </c>
      <c r="FW8" s="45" t="s">
        <v>16</v>
      </c>
      <c r="FX8" s="9" t="str">
        <f t="shared" ref="FX8" si="296">"OPE.MA."&amp;FX6&amp;"."&amp;SUBSTITUTE(FW6,"_","")&amp;"_UpdChk01"</f>
        <v>OPE.MA.MABCL0033.Oper_UpdChk01</v>
      </c>
      <c r="FY8" s="45" t="s">
        <v>56</v>
      </c>
      <c r="FZ8" s="9" t="str">
        <f t="shared" ref="FZ8" si="297">"OPE.MA."&amp;FX6&amp;"."&amp;SUBSTITUTE(FW6,"_","")&amp;"_Upd01"</f>
        <v>OPE.MA.MABCL0033.Oper_Upd01</v>
      </c>
      <c r="GA8" s="45" t="s">
        <v>56</v>
      </c>
      <c r="GB8" s="9" t="str">
        <f t="shared" ref="GB8" si="298">"OPE.MA."&amp;FX6&amp;"."&amp;SUBSTITUTE(FW6,"_","")&amp;"Lcl_UpdChk01"</f>
        <v>OPE.MA.MABCL0033.OperLcl_UpdChk01</v>
      </c>
      <c r="GC8" s="45" t="s">
        <v>56</v>
      </c>
      <c r="GD8" s="9" t="str">
        <f t="shared" ref="GD8" si="299">"OPE.MA."&amp;FX6&amp;"."&amp;SUBSTITUTE(FW6,"_","")&amp;"Lcl_Upd01"</f>
        <v>OPE.MA.MABCL0033.OperLcl_Upd01</v>
      </c>
      <c r="GE8" s="45" t="s">
        <v>16</v>
      </c>
      <c r="GF8" s="9" t="str">
        <f t="shared" ref="GF8" si="300">"OPE.MA."&amp;GF6&amp;"."&amp;SUBSTITUTE(GE6,"_","")&amp;"_UpdChk01"</f>
        <v>OPE.MA.MABCL0033.WkCost_UpdChk01</v>
      </c>
      <c r="GG8" s="45" t="s">
        <v>56</v>
      </c>
      <c r="GH8" s="9" t="str">
        <f t="shared" ref="GH8" si="301">"OPE.MA."&amp;GF6&amp;"."&amp;SUBSTITUTE(GE6,"_","")&amp;"_Upd01"</f>
        <v>OPE.MA.MABCL0033.WkCost_Upd01</v>
      </c>
      <c r="GI8" s="45" t="s">
        <v>56</v>
      </c>
      <c r="GJ8" s="9" t="str">
        <f t="shared" ref="GJ8" si="302">"OPE.MA."&amp;GF6&amp;"."&amp;SUBSTITUTE(GE6,"_","")&amp;"Lcl_UpdChk01"</f>
        <v>OPE.MA.MABCL0033.WkCostLcl_UpdChk01</v>
      </c>
      <c r="GK8" s="45" t="s">
        <v>56</v>
      </c>
      <c r="GL8" s="9" t="str">
        <f t="shared" ref="GL8" si="303">"OPE.MA."&amp;GF6&amp;"."&amp;SUBSTITUTE(GE6,"_","")&amp;"Lcl_Upd01"</f>
        <v>OPE.MA.MABCL0033.WkCostLcl_Upd01</v>
      </c>
      <c r="GM8" s="45" t="s">
        <v>16</v>
      </c>
      <c r="GN8" s="9" t="str">
        <f t="shared" ref="GN8" si="304">"OPE.MA."&amp;GN6&amp;"."&amp;SUBSTITUTE(GM6,"_","")&amp;"_UpdChk01"</f>
        <v>OPE.MA.MABCL0033.WkRsn_UpdChk01</v>
      </c>
      <c r="GO8" s="45" t="s">
        <v>56</v>
      </c>
      <c r="GP8" s="9" t="str">
        <f t="shared" ref="GP8" si="305">"OPE.MA."&amp;GN6&amp;"."&amp;SUBSTITUTE(GM6,"_","")&amp;"_Upd01"</f>
        <v>OPE.MA.MABCL0033.WkRsn_Upd01</v>
      </c>
      <c r="GQ8" s="45" t="s">
        <v>56</v>
      </c>
      <c r="GR8" s="9" t="str">
        <f t="shared" ref="GR8" si="306">"OPE.MA."&amp;GN6&amp;"."&amp;SUBSTITUTE(GM6,"_","")&amp;"Lcl_UpdChk01"</f>
        <v>OPE.MA.MABCL0033.WkRsnLcl_UpdChk01</v>
      </c>
      <c r="GS8" s="45" t="s">
        <v>56</v>
      </c>
      <c r="GT8" s="9" t="str">
        <f t="shared" ref="GT8" si="307">"OPE.MA."&amp;GN6&amp;"."&amp;SUBSTITUTE(GM6,"_","")&amp;"Lcl_Upd01"</f>
        <v>OPE.MA.MABCL0033.WkRsnLcl_Upd01</v>
      </c>
      <c r="GU8" s="45" t="s">
        <v>16</v>
      </c>
      <c r="GV8" s="9" t="str">
        <f t="shared" ref="GV8" si="308">"OPE.MA."&amp;GV6&amp;"."&amp;SUBSTITUTE(GU6,"_","")&amp;"_UpdChk01"</f>
        <v>OPE.MA.MABCL0033.SlsUpriGrp_UpdChk01</v>
      </c>
      <c r="GW8" s="45" t="s">
        <v>56</v>
      </c>
      <c r="GX8" s="9" t="str">
        <f t="shared" ref="GX8" si="309">"OPE.MA."&amp;GV6&amp;"."&amp;SUBSTITUTE(GU6,"_","")&amp;"_Upd01"</f>
        <v>OPE.MA.MABCL0033.SlsUpriGrp_Upd01</v>
      </c>
      <c r="GY8" s="45" t="s">
        <v>56</v>
      </c>
      <c r="GZ8" s="9" t="str">
        <f t="shared" ref="GZ8" si="310">"OPE.MA."&amp;GV6&amp;"."&amp;SUBSTITUTE(GU6,"_","")&amp;"Lcl_UpdChk01"</f>
        <v>OPE.MA.MABCL0033.SlsUpriGrpLcl_UpdChk01</v>
      </c>
      <c r="HA8" s="45" t="s">
        <v>56</v>
      </c>
      <c r="HB8" s="9" t="str">
        <f t="shared" ref="HB8" si="311">"OPE.MA."&amp;GV6&amp;"."&amp;SUBSTITUTE(GU6,"_","")&amp;"Lcl_Upd01"</f>
        <v>OPE.MA.MABCL0033.SlsUpriGrpLcl_Upd01</v>
      </c>
      <c r="HC8" s="45" t="s">
        <v>16</v>
      </c>
      <c r="HD8" s="9" t="str">
        <f t="shared" ref="HD8" si="312">"OPE.MA."&amp;HD6&amp;"."&amp;SUBSTITUTE(HC6,"_","")&amp;"_UpdChk01"</f>
        <v>OPE.MA.MABCL0033.SlsUpriRank_UpdChk01</v>
      </c>
      <c r="HE8" s="45" t="s">
        <v>56</v>
      </c>
      <c r="HF8" s="9" t="str">
        <f t="shared" ref="HF8" si="313">"OPE.MA."&amp;HD6&amp;"."&amp;SUBSTITUTE(HC6,"_","")&amp;"_Upd01"</f>
        <v>OPE.MA.MABCL0033.SlsUpriRank_Upd01</v>
      </c>
      <c r="HG8" s="45" t="s">
        <v>56</v>
      </c>
      <c r="HH8" s="9" t="str">
        <f t="shared" ref="HH8" si="314">"OPE.MA."&amp;HD6&amp;"."&amp;SUBSTITUTE(HC6,"_","")&amp;"Lcl_UpdChk01"</f>
        <v>OPE.MA.MABCL0033.SlsUpriRankLcl_UpdChk01</v>
      </c>
      <c r="HI8" s="45" t="s">
        <v>56</v>
      </c>
      <c r="HJ8" s="9" t="str">
        <f t="shared" ref="HJ8" si="315">"OPE.MA."&amp;HD6&amp;"."&amp;SUBSTITUTE(HC6,"_","")&amp;"Lcl_Upd01"</f>
        <v>OPE.MA.MABCL0033.SlsUpriRankLcl_Upd01</v>
      </c>
      <c r="HK8" s="45" t="s">
        <v>16</v>
      </c>
      <c r="HL8" s="9" t="str">
        <f t="shared" ref="HL8" si="316">"OPE.MA."&amp;HL6&amp;"."&amp;SUBSTITUTE(HK6,"_","")&amp;"_UpdChk01"</f>
        <v>OPE.MA.MABCL0033.SetoffGrp_UpdChk01</v>
      </c>
      <c r="HM8" s="45" t="s">
        <v>56</v>
      </c>
      <c r="HN8" s="9" t="str">
        <f t="shared" ref="HN8" si="317">"OPE.MA."&amp;HL6&amp;"."&amp;SUBSTITUTE(HK6,"_","")&amp;"_Upd01"</f>
        <v>OPE.MA.MABCL0033.SetoffGrp_Upd01</v>
      </c>
      <c r="HO8" s="45" t="s">
        <v>56</v>
      </c>
      <c r="HP8" s="9" t="str">
        <f t="shared" ref="HP8" si="318">"OPE.MA."&amp;HL6&amp;"."&amp;SUBSTITUTE(HK6,"_","")&amp;"Lcl_UpdChk01"</f>
        <v>OPE.MA.MABCL0033.SetoffGrpLcl_UpdChk01</v>
      </c>
      <c r="HQ8" s="45" t="s">
        <v>56</v>
      </c>
      <c r="HR8" s="9" t="str">
        <f t="shared" ref="HR8" si="319">"OPE.MA."&amp;HL6&amp;"."&amp;SUBSTITUTE(HK6,"_","")&amp;"Lcl_Upd01"</f>
        <v>OPE.MA.MABCL0033.SetoffGrpLcl_Upd01</v>
      </c>
      <c r="HS8" s="45" t="s">
        <v>16</v>
      </c>
      <c r="HT8" s="9" t="str">
        <f t="shared" ref="HT8" si="320">"OPE.MA."&amp;HT6&amp;"."&amp;SUBSTITUTE(HS6,"_","")&amp;"_UpdChk01"</f>
        <v>OPE.MA.MABCL0033.ShipValid_UpdChk01</v>
      </c>
      <c r="HU8" s="45" t="s">
        <v>56</v>
      </c>
      <c r="HV8" s="9" t="str">
        <f t="shared" ref="HV8" si="321">"OPE.MA."&amp;HT6&amp;"."&amp;SUBSTITUTE(HS6,"_","")&amp;"_Upd01"</f>
        <v>OPE.MA.MABCL0033.ShipValid_Upd01</v>
      </c>
      <c r="HW8" s="45" t="s">
        <v>56</v>
      </c>
      <c r="HX8" s="9" t="str">
        <f t="shared" ref="HX8" si="322">"OPE.MA."&amp;HT6&amp;"."&amp;SUBSTITUTE(HS6,"_","")&amp;"Lcl_UpdChk01"</f>
        <v>OPE.MA.MABCL0033.ShipValidLcl_UpdChk01</v>
      </c>
      <c r="HY8" s="45" t="s">
        <v>56</v>
      </c>
      <c r="HZ8" s="9" t="str">
        <f t="shared" ref="HZ8" si="323">"OPE.MA."&amp;HT6&amp;"."&amp;SUBSTITUTE(HS6,"_","")&amp;"Lcl_Upd01"</f>
        <v>OPE.MA.MABCL0033.ShipValidLcl_Upd01</v>
      </c>
      <c r="IA8" s="45" t="s">
        <v>16</v>
      </c>
      <c r="IB8" s="9" t="str">
        <f t="shared" ref="IB8" si="324">"OPE.MA."&amp;IB6&amp;"."&amp;SUBSTITUTE(IA6,"_","")&amp;"_UpdChk01"</f>
        <v>OPE.MA.MABCL0033.ItmShipGrp_UpdChk01</v>
      </c>
      <c r="IC8" s="45" t="s">
        <v>56</v>
      </c>
      <c r="ID8" s="9" t="str">
        <f t="shared" ref="ID8" si="325">"OPE.MA."&amp;IB6&amp;"."&amp;SUBSTITUTE(IA6,"_","")&amp;"_Upd01"</f>
        <v>OPE.MA.MABCL0033.ItmShipGrp_Upd01</v>
      </c>
      <c r="IE8" s="45" t="s">
        <v>56</v>
      </c>
      <c r="IF8" s="9" t="str">
        <f t="shared" ref="IF8" si="326">"OPE.MA."&amp;IB6&amp;"."&amp;SUBSTITUTE(IA6,"_","")&amp;"Lcl_UpdChk01"</f>
        <v>OPE.MA.MABCL0033.ItmShipGrpLcl_UpdChk01</v>
      </c>
      <c r="IG8" s="45" t="s">
        <v>56</v>
      </c>
      <c r="IH8" s="9" t="str">
        <f t="shared" ref="IH8" si="327">"OPE.MA."&amp;IB6&amp;"."&amp;SUBSTITUTE(IA6,"_","")&amp;"Lcl_Upd01"</f>
        <v>OPE.MA.MABCL0033.ItmShipGrpLcl_Upd01</v>
      </c>
      <c r="II8" s="45" t="s">
        <v>16</v>
      </c>
      <c r="IJ8" s="9" t="str">
        <f t="shared" ref="IJ8" si="328">"OPE.MA."&amp;IJ6&amp;"."&amp;SUBSTITUTE(II6,"_","")&amp;"_UpdChk01"</f>
        <v>OPE.MA.MABCL0033.Trnspt_UpdChk01</v>
      </c>
      <c r="IK8" s="45" t="s">
        <v>56</v>
      </c>
      <c r="IL8" s="9" t="str">
        <f t="shared" ref="IL8" si="329">"OPE.MA."&amp;IJ6&amp;"."&amp;SUBSTITUTE(II6,"_","")&amp;"_Upd01"</f>
        <v>OPE.MA.MABCL0033.Trnspt_Upd01</v>
      </c>
      <c r="IM8" s="45" t="s">
        <v>56</v>
      </c>
      <c r="IN8" s="9" t="str">
        <f t="shared" ref="IN8" si="330">"OPE.MA."&amp;IJ6&amp;"."&amp;SUBSTITUTE(II6,"_","")&amp;"Lcl_UpdChk01"</f>
        <v>OPE.MA.MABCL0033.TrnsptLcl_UpdChk01</v>
      </c>
      <c r="IO8" s="45" t="s">
        <v>56</v>
      </c>
      <c r="IP8" s="9" t="str">
        <f t="shared" ref="IP8" si="331">"OPE.MA."&amp;IJ6&amp;"."&amp;SUBSTITUTE(II6,"_","")&amp;"Lcl_Upd01"</f>
        <v>OPE.MA.MABCL0033.TrnsptLcl_Upd01</v>
      </c>
      <c r="IQ8" s="45" t="s">
        <v>16</v>
      </c>
      <c r="IR8" s="9" t="str">
        <f t="shared" ref="IR8" si="332">"OPE.MA."&amp;IR6&amp;"."&amp;SUBSTITUTE(IQ6,"_","")&amp;"_UpdChk01"</f>
        <v>OPE.MA.MABCL0034.ExCntnr_UpdChk01</v>
      </c>
      <c r="IS8" s="45" t="s">
        <v>56</v>
      </c>
      <c r="IT8" s="9" t="str">
        <f t="shared" ref="IT8" si="333">"OPE.MA."&amp;IR6&amp;"."&amp;SUBSTITUTE(IQ6,"_","")&amp;"_Upd01"</f>
        <v>OPE.MA.MABCL0034.ExCntnr_Upd01</v>
      </c>
      <c r="IU8" s="45" t="s">
        <v>56</v>
      </c>
      <c r="IV8" s="9" t="str">
        <f t="shared" ref="IV8" si="334">"OPE.MA."&amp;IR6&amp;"."&amp;SUBSTITUTE(IQ6,"_","")&amp;"Lcl_UpdChk01"</f>
        <v>OPE.MA.MABCL0034.ExCntnrLcl_UpdChk01</v>
      </c>
      <c r="IW8" s="45" t="s">
        <v>56</v>
      </c>
      <c r="IX8" s="9" t="str">
        <f t="shared" ref="IX8" si="335">"OPE.MA."&amp;IR6&amp;"."&amp;SUBSTITUTE(IQ6,"_","")&amp;"Lcl_Upd01"</f>
        <v>OPE.MA.MABCL0034.ExCntnrLcl_Upd01</v>
      </c>
      <c r="IY8" s="45" t="s">
        <v>16</v>
      </c>
      <c r="IZ8" s="9" t="str">
        <f t="shared" ref="IZ8" si="336">"OPE.MA."&amp;IZ6&amp;"."&amp;SUBSTITUTE(IY6,"_","")&amp;"_UpdChk01"</f>
        <v>OPE.MA.MABCL0034.EximPort_UpdChk01</v>
      </c>
      <c r="JA8" s="45" t="s">
        <v>56</v>
      </c>
      <c r="JB8" s="9" t="str">
        <f t="shared" ref="JB8" si="337">"OPE.MA."&amp;IZ6&amp;"."&amp;SUBSTITUTE(IY6,"_","")&amp;"_Upd01"</f>
        <v>OPE.MA.MABCL0034.EximPort_Upd01</v>
      </c>
      <c r="JC8" s="45" t="s">
        <v>56</v>
      </c>
      <c r="JD8" s="9" t="str">
        <f t="shared" ref="JD8" si="338">"OPE.MA."&amp;IZ6&amp;"."&amp;SUBSTITUTE(IY6,"_","")&amp;"Lcl_UpdChk01"</f>
        <v>OPE.MA.MABCL0034.EximPortLcl_UpdChk01</v>
      </c>
      <c r="JE8" s="45" t="s">
        <v>56</v>
      </c>
      <c r="JF8" s="9" t="str">
        <f t="shared" ref="JF8" si="339">"OPE.MA."&amp;IZ6&amp;"."&amp;SUBSTITUTE(IY6,"_","")&amp;"Lcl_Upd01"</f>
        <v>OPE.MA.MABCL0034.EximPortLcl_Upd01</v>
      </c>
      <c r="JG8" s="45" t="s">
        <v>16</v>
      </c>
      <c r="JH8" s="9" t="str">
        <f t="shared" ref="JH8" si="340">"OPE.MA."&amp;JH6&amp;"."&amp;SUBSTITUTE(JG6,"_","")&amp;"_UpdChk01"</f>
        <v>OPE.MA.MABCL0034.StkGd_UpdChk01</v>
      </c>
      <c r="JI8" s="45" t="s">
        <v>56</v>
      </c>
      <c r="JJ8" s="9" t="str">
        <f t="shared" ref="JJ8" si="341">"OPE.MA."&amp;JH6&amp;"."&amp;SUBSTITUTE(JG6,"_","")&amp;"_Upd01"</f>
        <v>OPE.MA.MABCL0034.StkGd_Upd01</v>
      </c>
      <c r="JK8" s="45" t="s">
        <v>56</v>
      </c>
      <c r="JL8" s="9" t="str">
        <f t="shared" ref="JL8" si="342">"OPE.MA."&amp;JH6&amp;"."&amp;SUBSTITUTE(JG6,"_","")&amp;"Lcl_UpdChk01"</f>
        <v>OPE.MA.MABCL0034.StkGdLcl_UpdChk01</v>
      </c>
      <c r="JM8" s="45" t="s">
        <v>56</v>
      </c>
      <c r="JN8" s="9" t="str">
        <f t="shared" ref="JN8" si="343">"OPE.MA."&amp;JH6&amp;"."&amp;SUBSTITUTE(JG6,"_","")&amp;"Lcl_Upd01"</f>
        <v>OPE.MA.MABCL0034.StkGdLcl_Upd01</v>
      </c>
      <c r="JO8" s="45" t="s">
        <v>16</v>
      </c>
      <c r="JP8" s="9" t="str">
        <f t="shared" ref="JP8" si="344">"OPE.MA."&amp;JP6&amp;"."&amp;SUBSTITUTE(JO6,"_","")&amp;"_UpdChk01"</f>
        <v>OPE.MA.MABCL0034.Trd_UpdChk01</v>
      </c>
      <c r="JQ8" s="45" t="s">
        <v>56</v>
      </c>
      <c r="JR8" s="9" t="str">
        <f t="shared" ref="JR8" si="345">"OPE.MA."&amp;JP6&amp;"."&amp;SUBSTITUTE(JO6,"_","")&amp;"_Upd01"</f>
        <v>OPE.MA.MABCL0034.Trd_Upd01</v>
      </c>
      <c r="JS8" s="45" t="s">
        <v>56</v>
      </c>
      <c r="JT8" s="9" t="str">
        <f t="shared" ref="JT8" si="346">"OPE.MA."&amp;JP6&amp;"."&amp;SUBSTITUTE(JO6,"_","")&amp;"Lcl_UpdChk01"</f>
        <v>OPE.MA.MABCL0034.TrdLcl_UpdChk01</v>
      </c>
      <c r="JU8" s="45" t="s">
        <v>56</v>
      </c>
      <c r="JV8" s="9" t="str">
        <f t="shared" ref="JV8" si="347">"OPE.MA."&amp;JP6&amp;"."&amp;SUBSTITUTE(JO6,"_","")&amp;"Lcl_Upd01"</f>
        <v>OPE.MA.MABCL0034.TrdLcl_Upd01</v>
      </c>
      <c r="JW8" s="45" t="s">
        <v>16</v>
      </c>
      <c r="JX8" s="9" t="str">
        <f t="shared" ref="JX8" si="348">"OPE.MA."&amp;JX6&amp;"."&amp;SUBSTITUTE(JW6,"_","")&amp;"_UpdChk01"</f>
        <v>OPE.MA.MABCL0034.SlipForm_UpdChk01</v>
      </c>
      <c r="JY8" s="45" t="s">
        <v>56</v>
      </c>
      <c r="JZ8" s="9" t="str">
        <f t="shared" ref="JZ8" si="349">"OPE.MA."&amp;JX6&amp;"."&amp;SUBSTITUTE(JW6,"_","")&amp;"_Upd01"</f>
        <v>OPE.MA.MABCL0034.SlipForm_Upd01</v>
      </c>
      <c r="KA8" s="45" t="s">
        <v>56</v>
      </c>
      <c r="KB8" s="9" t="str">
        <f t="shared" ref="KB8" si="350">"OPE.MA."&amp;JX6&amp;"."&amp;SUBSTITUTE(JW6,"_","")&amp;"Lcl_UpdChk01"</f>
        <v>OPE.MA.MABCL0034.SlipFormLcl_UpdChk01</v>
      </c>
      <c r="KC8" s="45" t="s">
        <v>56</v>
      </c>
      <c r="KD8" s="9" t="str">
        <f t="shared" ref="KD8" si="351">"OPE.MA."&amp;JX6&amp;"."&amp;SUBSTITUTE(JW6,"_","")&amp;"Lcl_Upd01"</f>
        <v>OPE.MA.MABCL0034.SlipFormLcl_Upd01</v>
      </c>
      <c r="KE8" s="45" t="s">
        <v>16</v>
      </c>
      <c r="KF8" s="9" t="str">
        <f t="shared" ref="KF8" si="352">"OPE.MA."&amp;KF6&amp;"."&amp;SUBSTITUTE(KE6,"_","")&amp;"_UpdChk01"</f>
        <v>OPE.MA.MABCL0034.PfGrp_UpdChk01</v>
      </c>
      <c r="KG8" s="45" t="s">
        <v>56</v>
      </c>
      <c r="KH8" s="9" t="str">
        <f t="shared" ref="KH8" si="353">"OPE.MA."&amp;KF6&amp;"."&amp;SUBSTITUTE(KE6,"_","")&amp;"_Upd01"</f>
        <v>OPE.MA.MABCL0034.PfGrp_Upd01</v>
      </c>
      <c r="KI8" s="45" t="s">
        <v>56</v>
      </c>
      <c r="KJ8" s="9" t="str">
        <f t="shared" ref="KJ8" si="354">"OPE.MA."&amp;KF6&amp;"."&amp;SUBSTITUTE(KE6,"_","")&amp;"Lcl_UpdChk01"</f>
        <v>OPE.MA.MABCL0034.PfGrpLcl_UpdChk01</v>
      </c>
      <c r="KK8" s="45" t="s">
        <v>56</v>
      </c>
      <c r="KL8" s="9" t="str">
        <f t="shared" ref="KL8" si="355">"OPE.MA."&amp;KF6&amp;"."&amp;SUBSTITUTE(KE6,"_","")&amp;"Lcl_Upd01"</f>
        <v>OPE.MA.MABCL0034.PfGrpLcl_Upd01</v>
      </c>
      <c r="KM8" s="45" t="s">
        <v>16</v>
      </c>
      <c r="KN8" s="9" t="str">
        <f t="shared" ref="KN8" si="356">"OPE.MA."&amp;KN6&amp;"."&amp;SUBSTITUTE(KM6,"_","")&amp;"_UpdChk01"</f>
        <v>OPE.MA.MABCL0034.ItmSpecGrp_UpdChk01</v>
      </c>
      <c r="KO8" s="45" t="s">
        <v>56</v>
      </c>
      <c r="KP8" s="9" t="str">
        <f t="shared" ref="KP8" si="357">"OPE.MA."&amp;KN6&amp;"."&amp;SUBSTITUTE(KM6,"_","")&amp;"_Upd01"</f>
        <v>OPE.MA.MABCL0034.ItmSpecGrp_Upd01</v>
      </c>
      <c r="KQ8" s="45" t="s">
        <v>56</v>
      </c>
      <c r="KR8" s="9" t="str">
        <f t="shared" ref="KR8" si="358">"OPE.MA."&amp;KN6&amp;"."&amp;SUBSTITUTE(KM6,"_","")&amp;"Lcl_UpdChk01"</f>
        <v>OPE.MA.MABCL0034.ItmSpecGrpLcl_UpdChk01</v>
      </c>
      <c r="KS8" s="45" t="s">
        <v>56</v>
      </c>
      <c r="KT8" s="9" t="str">
        <f t="shared" ref="KT8" si="359">"OPE.MA."&amp;KN6&amp;"."&amp;SUBSTITUTE(KM6,"_","")&amp;"Lcl_Upd01"</f>
        <v>OPE.MA.MABCL0034.ItmSpecGrpLcl_Upd01</v>
      </c>
      <c r="KU8" s="45" t="s">
        <v>16</v>
      </c>
      <c r="KV8" s="9" t="str">
        <f t="shared" ref="KV8" si="360">"OPE.MA."&amp;KV6&amp;"."&amp;SUBSTITUTE(KU6,"_","")&amp;"_UpdChk01"</f>
        <v>OPE.MA.MABCL0034.ItmCompGrp_UpdChk01</v>
      </c>
      <c r="KW8" s="45" t="s">
        <v>56</v>
      </c>
      <c r="KX8" s="9" t="str">
        <f t="shared" ref="KX8" si="361">"OPE.MA."&amp;KV6&amp;"."&amp;SUBSTITUTE(KU6,"_","")&amp;"_Upd01"</f>
        <v>OPE.MA.MABCL0034.ItmCompGrp_Upd01</v>
      </c>
      <c r="KY8" s="45" t="s">
        <v>56</v>
      </c>
      <c r="KZ8" s="9" t="str">
        <f t="shared" ref="KZ8" si="362">"OPE.MA."&amp;KV6&amp;"."&amp;SUBSTITUTE(KU6,"_","")&amp;"Lcl_UpdChk01"</f>
        <v>OPE.MA.MABCL0034.ItmCompGrpLcl_UpdChk01</v>
      </c>
      <c r="LA8" s="45" t="s">
        <v>56</v>
      </c>
      <c r="LB8" s="9" t="str">
        <f t="shared" ref="LB8" si="363">"OPE.MA."&amp;KV6&amp;"."&amp;SUBSTITUTE(KU6,"_","")&amp;"Lcl_Upd01"</f>
        <v>OPE.MA.MABCL0034.ItmCompGrpLcl_Upd01</v>
      </c>
      <c r="LC8" s="45" t="s">
        <v>16</v>
      </c>
      <c r="LD8" s="9" t="str">
        <f t="shared" ref="LD8" si="364">"OPE.MA."&amp;LD6&amp;"."&amp;SUBSTITUTE(LC6,"_","")&amp;"_UpdChk01"</f>
        <v>OPE.MA.MABCL0034.JnlAct_UpdChk01</v>
      </c>
      <c r="LE8" s="45" t="s">
        <v>56</v>
      </c>
      <c r="LF8" s="9" t="str">
        <f t="shared" ref="LF8" si="365">"OPE.MA."&amp;LD6&amp;"."&amp;SUBSTITUTE(LC6,"_","")&amp;"_Upd01"</f>
        <v>OPE.MA.MABCL0034.JnlAct_Upd01</v>
      </c>
      <c r="LG8" s="45" t="s">
        <v>56</v>
      </c>
      <c r="LH8" s="9" t="str">
        <f t="shared" ref="LH8" si="366">"OPE.MA."&amp;LD6&amp;"."&amp;SUBSTITUTE(LC6,"_","")&amp;"Lcl_UpdChk01"</f>
        <v>OPE.MA.MABCL0034.JnlActLcl_UpdChk01</v>
      </c>
      <c r="LI8" s="45" t="s">
        <v>56</v>
      </c>
      <c r="LJ8" s="9" t="str">
        <f t="shared" ref="LJ8" si="367">"OPE.MA."&amp;LD6&amp;"."&amp;SUBSTITUTE(LC6,"_","")&amp;"Lcl_Upd01"</f>
        <v>OPE.MA.MABCL0034.JnlActLcl_Upd01</v>
      </c>
      <c r="LK8" s="45" t="s">
        <v>16</v>
      </c>
      <c r="LL8" s="9" t="str">
        <f t="shared" ref="LL8" si="368">"OPE.MA."&amp;LL6&amp;"."&amp;SUBSTITUTE(LK6,"_","")&amp;"_UpdChk01"</f>
        <v>OPE.MA.MABCL0034.JnlGrp_UpdChk01</v>
      </c>
      <c r="LM8" s="45" t="s">
        <v>56</v>
      </c>
      <c r="LN8" s="9" t="str">
        <f t="shared" ref="LN8" si="369">"OPE.MA."&amp;LL6&amp;"."&amp;SUBSTITUTE(LK6,"_","")&amp;"_Upd01"</f>
        <v>OPE.MA.MABCL0034.JnlGrp_Upd01</v>
      </c>
      <c r="LO8" s="45" t="s">
        <v>56</v>
      </c>
      <c r="LP8" s="9" t="str">
        <f t="shared" ref="LP8" si="370">"OPE.MA."&amp;LL6&amp;"."&amp;SUBSTITUTE(LK6,"_","")&amp;"Lcl_UpdChk01"</f>
        <v>OPE.MA.MABCL0034.JnlGrpLcl_UpdChk01</v>
      </c>
      <c r="LQ8" s="45" t="s">
        <v>56</v>
      </c>
      <c r="LR8" s="9" t="str">
        <f t="shared" ref="LR8" si="371">"OPE.MA."&amp;LL6&amp;"."&amp;SUBSTITUTE(LK6,"_","")&amp;"Lcl_Upd01"</f>
        <v>OPE.MA.MABCL0034.JnlGrpLcl_Upd01</v>
      </c>
      <c r="LS8" s="45" t="s">
        <v>16</v>
      </c>
      <c r="LT8" s="9" t="str">
        <f t="shared" ref="LT8" si="372">"OPE.MA."&amp;LT6&amp;"."&amp;SUBSTITUTE(LS6,"_","")&amp;"_UpdChk01"</f>
        <v>OPE.MA.MABCL0035.JnlPtnBase_UpdChk01</v>
      </c>
      <c r="LU8" s="45" t="s">
        <v>56</v>
      </c>
      <c r="LV8" s="9" t="str">
        <f t="shared" ref="LV8" si="373">"OPE.MA."&amp;LT6&amp;"."&amp;SUBSTITUTE(LS6,"_","")&amp;"_Upd01"</f>
        <v>OPE.MA.MABCL0035.JnlPtnBase_Upd01</v>
      </c>
      <c r="LW8" s="45" t="s">
        <v>56</v>
      </c>
      <c r="LX8" s="9" t="str">
        <f t="shared" ref="LX8" si="374">"OPE.MA."&amp;LT6&amp;"."&amp;SUBSTITUTE(LS6,"_","")&amp;"Lcl_UpdChk01"</f>
        <v>OPE.MA.MABCL0035.JnlPtnBaseLcl_UpdChk01</v>
      </c>
      <c r="LY8" s="45" t="s">
        <v>56</v>
      </c>
      <c r="LZ8" s="9" t="str">
        <f t="shared" ref="LZ8" si="375">"OPE.MA."&amp;LT6&amp;"."&amp;SUBSTITUTE(LS6,"_","")&amp;"Lcl_Upd01"</f>
        <v>OPE.MA.MABCL0035.JnlPtnBaseLcl_Upd01</v>
      </c>
      <c r="MA8" s="45" t="s">
        <v>16</v>
      </c>
      <c r="MB8" s="9" t="str">
        <f t="shared" ref="MB8" si="376">"OPE.MA."&amp;MB6&amp;"."&amp;SUBSTITUTE(MA6,"_","")&amp;"_UpdChk01"</f>
        <v>OPE.MA.MABCL0035.AutoJnlKey_UpdChk01</v>
      </c>
      <c r="MC8" s="45" t="s">
        <v>56</v>
      </c>
      <c r="MD8" s="9" t="str">
        <f t="shared" ref="MD8" si="377">"OPE.MA."&amp;MB6&amp;"."&amp;SUBSTITUTE(MA6,"_","")&amp;"_Upd01"</f>
        <v>OPE.MA.MABCL0035.AutoJnlKey_Upd01</v>
      </c>
      <c r="ME8" s="45" t="s">
        <v>56</v>
      </c>
      <c r="MF8" s="9" t="str">
        <f t="shared" ref="MF8" si="378">"OPE.MA."&amp;MB6&amp;"."&amp;SUBSTITUTE(MA6,"_","")&amp;"Lcl_UpdChk01"</f>
        <v>OPE.MA.MABCL0035.AutoJnlKeyLcl_UpdChk01</v>
      </c>
      <c r="MG8" s="45" t="s">
        <v>56</v>
      </c>
      <c r="MH8" s="9" t="str">
        <f t="shared" ref="MH8" si="379">"OPE.MA."&amp;MB6&amp;"."&amp;SUBSTITUTE(MA6,"_","")&amp;"Lcl_Upd01"</f>
        <v>OPE.MA.MABCL0035.AutoJnlKeyLcl_Upd01</v>
      </c>
      <c r="MI8" s="45" t="s">
        <v>16</v>
      </c>
      <c r="MJ8" s="9" t="str">
        <f t="shared" ref="MJ8" si="380">"OPE.MA."&amp;MJ6&amp;"."&amp;SUBSTITUTE(MI6,"_","")&amp;"_UpdChk01"</f>
        <v>OPE.MA.MABCL0035.InspPtn_UpdChk01</v>
      </c>
      <c r="MK8" s="45" t="s">
        <v>56</v>
      </c>
      <c r="ML8" s="9" t="str">
        <f t="shared" ref="ML8" si="381">"OPE.MA."&amp;MJ6&amp;"."&amp;SUBSTITUTE(MI6,"_","")&amp;"_Upd01"</f>
        <v>OPE.MA.MABCL0035.InspPtn_Upd01</v>
      </c>
      <c r="MM8" s="45" t="s">
        <v>56</v>
      </c>
      <c r="MN8" s="9" t="str">
        <f t="shared" ref="MN8" si="382">"OPE.MA."&amp;MJ6&amp;"."&amp;SUBSTITUTE(MI6,"_","")&amp;"Lcl_UpdChk01"</f>
        <v>OPE.MA.MABCL0035.InspPtnLcl_UpdChk01</v>
      </c>
      <c r="MO8" s="45" t="s">
        <v>56</v>
      </c>
      <c r="MP8" s="9" t="str">
        <f t="shared" ref="MP8" si="383">"OPE.MA."&amp;MJ6&amp;"."&amp;SUBSTITUTE(MI6,"_","")&amp;"Lcl_Upd01"</f>
        <v>OPE.MA.MABCL0035.InspPtnLcl_Upd01</v>
      </c>
      <c r="MQ8" s="45" t="s">
        <v>16</v>
      </c>
      <c r="MR8" s="9" t="str">
        <f t="shared" ref="MR8" si="384">"OPE.MA."&amp;MR6&amp;"."&amp;SUBSTITUTE(MQ6,"_","")&amp;"_UpdChk01"</f>
        <v>OPE.MA.MABCL0035.WkDay_UpdChk01</v>
      </c>
      <c r="MS8" s="45" t="s">
        <v>56</v>
      </c>
      <c r="MT8" s="9" t="str">
        <f t="shared" ref="MT8" si="385">"OPE.MA."&amp;MR6&amp;"."&amp;SUBSTITUTE(MQ6,"_","")&amp;"_Upd01"</f>
        <v>OPE.MA.MABCL0035.WkDay_Upd01</v>
      </c>
      <c r="MU8" s="45" t="s">
        <v>56</v>
      </c>
      <c r="MV8" s="9" t="str">
        <f t="shared" ref="MV8" si="386">"OPE.MA."&amp;MR6&amp;"."&amp;SUBSTITUTE(MQ6,"_","")&amp;"Lcl_UpdChk01"</f>
        <v>OPE.MA.MABCL0035.WkDayLcl_UpdChk01</v>
      </c>
      <c r="MW8" s="45" t="s">
        <v>56</v>
      </c>
      <c r="MX8" s="9" t="str">
        <f t="shared" ref="MX8" si="387">"OPE.MA."&amp;MR6&amp;"."&amp;SUBSTITUTE(MQ6,"_","")&amp;"Lcl_Upd01"</f>
        <v>OPE.MA.MABCL0035.WkDayLcl_Upd01</v>
      </c>
      <c r="MY8" s="45" t="s">
        <v>16</v>
      </c>
      <c r="MZ8" s="9" t="str">
        <f t="shared" ref="MZ8" si="388">"OPE.MA."&amp;MZ6&amp;"."&amp;SUBSTITUTE(MY6,"_","")&amp;"_UpdChk01"</f>
        <v>OPE.MA.MABCL0035.ShipTerm_UpdChk01</v>
      </c>
      <c r="NA8" s="45" t="s">
        <v>56</v>
      </c>
      <c r="NB8" s="9" t="str">
        <f t="shared" ref="NB8" si="389">"OPE.MA."&amp;MZ6&amp;"."&amp;SUBSTITUTE(MY6,"_","")&amp;"_Upd01"</f>
        <v>OPE.MA.MABCL0035.ShipTerm_Upd01</v>
      </c>
      <c r="NC8" s="45" t="s">
        <v>56</v>
      </c>
      <c r="ND8" s="9" t="str">
        <f t="shared" ref="ND8" si="390">"OPE.MA."&amp;MZ6&amp;"."&amp;SUBSTITUTE(MY6,"_","")&amp;"Lcl_UpdChk01"</f>
        <v>OPE.MA.MABCL0035.ShipTermLcl_UpdChk01</v>
      </c>
      <c r="NE8" s="45" t="s">
        <v>56</v>
      </c>
      <c r="NF8" s="9" t="str">
        <f t="shared" ref="NF8" si="391">"OPE.MA."&amp;MZ6&amp;"."&amp;SUBSTITUTE(MY6,"_","")&amp;"Lcl_Upd01"</f>
        <v>OPE.MA.MABCL0035.ShipTermLcl_Upd01</v>
      </c>
      <c r="NG8" s="45" t="s">
        <v>16</v>
      </c>
      <c r="NH8" s="9" t="str">
        <f t="shared" ref="NH8" si="392">"OPE.MA."&amp;NH6&amp;"."&amp;SUBSTITUTE(NG6,"_","")&amp;"_UpdChk01"</f>
        <v>OPE.MA.MABCL0035.ShipWk_UpdChk01</v>
      </c>
      <c r="NI8" s="45" t="s">
        <v>56</v>
      </c>
      <c r="NJ8" s="9" t="str">
        <f t="shared" ref="NJ8" si="393">"OPE.MA."&amp;NH6&amp;"."&amp;SUBSTITUTE(NG6,"_","")&amp;"_Upd01"</f>
        <v>OPE.MA.MABCL0035.ShipWk_Upd01</v>
      </c>
      <c r="NK8" s="45" t="s">
        <v>56</v>
      </c>
      <c r="NL8" s="9" t="str">
        <f t="shared" ref="NL8" si="394">"OPE.MA."&amp;NH6&amp;"."&amp;SUBSTITUTE(NG6,"_","")&amp;"Lcl_UpdChk01"</f>
        <v>OPE.MA.MABCL0035.ShipWkLcl_UpdChk01</v>
      </c>
      <c r="NM8" s="45" t="s">
        <v>56</v>
      </c>
      <c r="NN8" s="9" t="str">
        <f t="shared" ref="NN8" si="395">"OPE.MA."&amp;NH6&amp;"."&amp;SUBSTITUTE(NG6,"_","")&amp;"Lcl_Upd01"</f>
        <v>OPE.MA.MABCL0035.ShipWkLcl_Upd01</v>
      </c>
      <c r="NO8" s="45" t="s">
        <v>16</v>
      </c>
      <c r="NP8" s="9" t="str">
        <f t="shared" ref="NP8" si="396">"OPE.MA."&amp;NP6&amp;"."&amp;SUBSTITUTE(NO6,"_","")&amp;"_UpdChk01"</f>
        <v>OPE.MA.MABCL0035.Rsrc_UpdChk01</v>
      </c>
      <c r="NQ8" s="45" t="s">
        <v>56</v>
      </c>
      <c r="NR8" s="9" t="str">
        <f t="shared" ref="NR8" si="397">"OPE.MA."&amp;NP6&amp;"."&amp;SUBSTITUTE(NO6,"_","")&amp;"_Upd01"</f>
        <v>OPE.MA.MABCL0035.Rsrc_Upd01</v>
      </c>
      <c r="NS8" s="45" t="s">
        <v>56</v>
      </c>
      <c r="NT8" s="9" t="str">
        <f t="shared" ref="NT8" si="398">"OPE.MA."&amp;NP6&amp;"."&amp;SUBSTITUTE(NO6,"_","")&amp;"Lcl_UpdChk01"</f>
        <v>OPE.MA.MABCL0035.RsrcLcl_UpdChk01</v>
      </c>
      <c r="NU8" s="45" t="s">
        <v>56</v>
      </c>
      <c r="NV8" s="9" t="str">
        <f t="shared" ref="NV8" si="399">"OPE.MA."&amp;NP6&amp;"."&amp;SUBSTITUTE(NO6,"_","")&amp;"Lcl_Upd01"</f>
        <v>OPE.MA.MABCL0035.RsrcLcl_Upd01</v>
      </c>
      <c r="NW8" s="45" t="s">
        <v>16</v>
      </c>
      <c r="NX8" s="9" t="str">
        <f t="shared" ref="NX8" si="400">"OPE.MA."&amp;NX6&amp;"."&amp;SUBSTITUTE(NW6,"_","")&amp;"_UpdChk01"</f>
        <v>OPE.MA.MABCL0035.HsGrp_UpdChk01</v>
      </c>
      <c r="NY8" s="45" t="s">
        <v>56</v>
      </c>
      <c r="NZ8" s="9" t="str">
        <f t="shared" ref="NZ8" si="401">"OPE.MA."&amp;NX6&amp;"."&amp;SUBSTITUTE(NW6,"_","")&amp;"_Upd01"</f>
        <v>OPE.MA.MABCL0035.HsGrp_Upd01</v>
      </c>
      <c r="OA8" s="45" t="s">
        <v>56</v>
      </c>
      <c r="OB8" s="9" t="str">
        <f t="shared" ref="OB8" si="402">"OPE.MA."&amp;NX6&amp;"."&amp;SUBSTITUTE(NW6,"_","")&amp;"Lcl_UpdChk01"</f>
        <v>OPE.MA.MABCL0035.HsGrpLcl_UpdChk01</v>
      </c>
      <c r="OC8" s="45" t="s">
        <v>56</v>
      </c>
      <c r="OD8" s="9" t="str">
        <f t="shared" ref="OD8" si="403">"OPE.MA."&amp;NX6&amp;"."&amp;SUBSTITUTE(NW6,"_","")&amp;"Lcl_Upd01"</f>
        <v>OPE.MA.MABCL0035.HsGrpLcl_Upd01</v>
      </c>
      <c r="OE8" s="45" t="s">
        <v>16</v>
      </c>
      <c r="OF8" s="9" t="str">
        <f t="shared" ref="OF8" si="404">"OPE.MA."&amp;OF6&amp;"."&amp;SUBSTITUTE(OE6,"_","")&amp;"_UpdChk01"</f>
        <v>OPE.MA.MABCL0035.AlcPtn_UpdChk01</v>
      </c>
      <c r="OG8" s="45" t="s">
        <v>56</v>
      </c>
      <c r="OH8" s="9" t="str">
        <f t="shared" ref="OH8" si="405">"OPE.MA."&amp;OF6&amp;"."&amp;SUBSTITUTE(OE6,"_","")&amp;"_Upd01"</f>
        <v>OPE.MA.MABCL0035.AlcPtn_Upd01</v>
      </c>
      <c r="OI8" s="45" t="s">
        <v>56</v>
      </c>
      <c r="OJ8" s="9" t="str">
        <f t="shared" ref="OJ8" si="406">"OPE.MA."&amp;OF6&amp;"."&amp;SUBSTITUTE(OE6,"_","")&amp;"Lcl_UpdChk01"</f>
        <v>OPE.MA.MABCL0035.AlcPtnLcl_UpdChk01</v>
      </c>
      <c r="OK8" s="45" t="s">
        <v>56</v>
      </c>
      <c r="OL8" s="9" t="str">
        <f t="shared" ref="OL8" si="407">"OPE.MA."&amp;OF6&amp;"."&amp;SUBSTITUTE(OE6,"_","")&amp;"Lcl_Upd01"</f>
        <v>OPE.MA.MABCL0035.AlcPtnLcl_Upd01</v>
      </c>
      <c r="OM8" s="45" t="s">
        <v>16</v>
      </c>
      <c r="ON8" s="9" t="str">
        <f t="shared" ref="ON8" si="408">"OPE.MA."&amp;ON6&amp;"."&amp;SUBSTITUTE(OM6,"_","")&amp;"_UpdChk01"</f>
        <v>OPE.MA.MABCL0035.CtgGrp_UpdChk01</v>
      </c>
      <c r="OO8" s="45" t="s">
        <v>56</v>
      </c>
      <c r="OP8" s="9" t="str">
        <f t="shared" ref="OP8" si="409">"OPE.MA."&amp;ON6&amp;"."&amp;SUBSTITUTE(OM6,"_","")&amp;"_Upd01"</f>
        <v>OPE.MA.MABCL0035.CtgGrp_Upd01</v>
      </c>
      <c r="OQ8" s="45" t="s">
        <v>56</v>
      </c>
      <c r="OR8" s="9" t="str">
        <f t="shared" ref="OR8" si="410">"OPE.MA."&amp;ON6&amp;"."&amp;SUBSTITUTE(OM6,"_","")&amp;"Lcl_UpdChk01"</f>
        <v>OPE.MA.MABCL0035.CtgGrpLcl_UpdChk01</v>
      </c>
      <c r="OS8" s="45" t="s">
        <v>56</v>
      </c>
      <c r="OT8" s="9" t="str">
        <f t="shared" ref="OT8" si="411">"OPE.MA."&amp;ON6&amp;"."&amp;SUBSTITUTE(OM6,"_","")&amp;"Lcl_Upd01"</f>
        <v>OPE.MA.MABCL0035.CtgGrpLcl_Upd01</v>
      </c>
      <c r="OU8" s="45" t="s">
        <v>16</v>
      </c>
      <c r="OV8" s="9" t="str">
        <f t="shared" ref="OV8" si="412">"OPE.MA."&amp;OV6&amp;"."&amp;SUBSTITUTE(OU6,"_","")&amp;"_UpdChk01"</f>
        <v>OPE.MA.MABCL0035.ActPtn_UpdChk01</v>
      </c>
      <c r="OW8" s="45" t="s">
        <v>56</v>
      </c>
      <c r="OX8" s="9" t="str">
        <f t="shared" ref="OX8" si="413">"OPE.MA."&amp;OV6&amp;"."&amp;SUBSTITUTE(OU6,"_","")&amp;"_Upd01"</f>
        <v>OPE.MA.MABCL0035.ActPtn_Upd01</v>
      </c>
      <c r="OY8" s="45" t="s">
        <v>56</v>
      </c>
      <c r="OZ8" s="9" t="str">
        <f t="shared" ref="OZ8" si="414">"OPE.MA."&amp;OV6&amp;"."&amp;SUBSTITUTE(OU6,"_","")&amp;"Lcl_UpdChk01"</f>
        <v>OPE.MA.MABCL0035.ActPtnLcl_UpdChk01</v>
      </c>
      <c r="PA8" s="45" t="s">
        <v>56</v>
      </c>
      <c r="PB8" s="9" t="str">
        <f t="shared" ref="PB8" si="415">"OPE.MA."&amp;OV6&amp;"."&amp;SUBSTITUTE(OU6,"_","")&amp;"Lcl_Upd01"</f>
        <v>OPE.MA.MABCL0035.ActPtnLcl_Upd01</v>
      </c>
      <c r="PC8" s="45" t="s">
        <v>16</v>
      </c>
      <c r="PD8" s="9" t="str">
        <f t="shared" ref="PD8" si="416">"OPE.MA."&amp;PD6&amp;"."&amp;SUBSTITUTE(PC6,"_","")&amp;"_UpdChk01"</f>
        <v>OPE.MA.MABCL0036.GpAlc_UpdChk01</v>
      </c>
      <c r="PE8" s="45" t="s">
        <v>56</v>
      </c>
      <c r="PF8" s="9" t="str">
        <f t="shared" ref="PF8" si="417">"OPE.MA."&amp;PD6&amp;"."&amp;SUBSTITUTE(PC6,"_","")&amp;"_Upd01"</f>
        <v>OPE.MA.MABCL0036.GpAlc_Upd01</v>
      </c>
      <c r="PG8" s="45" t="s">
        <v>56</v>
      </c>
      <c r="PH8" s="9" t="str">
        <f t="shared" ref="PH8" si="418">"OPE.MA."&amp;PD6&amp;"."&amp;SUBSTITUTE(PC6,"_","")&amp;"Lcl_UpdChk01"</f>
        <v>OPE.MA.MABCL0036.GpAlcLcl_UpdChk01</v>
      </c>
      <c r="PI8" s="45" t="s">
        <v>56</v>
      </c>
      <c r="PJ8" s="9" t="str">
        <f t="shared" ref="PJ8" si="419">"OPE.MA."&amp;PD6&amp;"."&amp;SUBSTITUTE(PC6,"_","")&amp;"Lcl_Upd01"</f>
        <v>OPE.MA.MABCL0036.GpAlcLcl_Upd01</v>
      </c>
      <c r="PK8" s="45" t="s">
        <v>16</v>
      </c>
      <c r="PL8" s="9" t="str">
        <f t="shared" ref="PL8" si="420">"OPE.MA."&amp;PL6&amp;"."&amp;SUBSTITUTE(PK6,"_","")&amp;"_UpdChk01"</f>
        <v>OPE.MA.MABCL0036.CalcCtg_UpdChk01</v>
      </c>
      <c r="PM8" s="45" t="s">
        <v>56</v>
      </c>
      <c r="PN8" s="9" t="str">
        <f t="shared" ref="PN8" si="421">"OPE.MA."&amp;PL6&amp;"."&amp;SUBSTITUTE(PK6,"_","")&amp;"_Upd01"</f>
        <v>OPE.MA.MABCL0036.CalcCtg_Upd01</v>
      </c>
      <c r="PO8" s="45" t="s">
        <v>56</v>
      </c>
      <c r="PP8" s="9" t="str">
        <f t="shared" ref="PP8" si="422">"OPE.MA."&amp;PL6&amp;"."&amp;SUBSTITUTE(PK6,"_","")&amp;"Lcl_UpdChk01"</f>
        <v>OPE.MA.MABCL0036.CalcCtgLcl_UpdChk01</v>
      </c>
      <c r="PQ8" s="45" t="s">
        <v>56</v>
      </c>
      <c r="PR8" s="9" t="str">
        <f t="shared" ref="PR8" si="423">"OPE.MA."&amp;PL6&amp;"."&amp;SUBSTITUTE(PK6,"_","")&amp;"Lcl_Upd01"</f>
        <v>OPE.MA.MABCL0036.CalcCtgLcl_Upd01</v>
      </c>
      <c r="PS8" s="45" t="s">
        <v>16</v>
      </c>
      <c r="PT8" s="9" t="str">
        <f t="shared" ref="PT8" si="424">"OPE.MA."&amp;PT6&amp;"."&amp;SUBSTITUTE(PS6,"_","")&amp;"_UpdChk01"</f>
        <v>OPE.MA.MABCL0036.RptPtn_UpdChk01</v>
      </c>
      <c r="PU8" s="45" t="s">
        <v>56</v>
      </c>
      <c r="PV8" s="9" t="str">
        <f t="shared" ref="PV8" si="425">"OPE.MA."&amp;PT6&amp;"."&amp;SUBSTITUTE(PS6,"_","")&amp;"_Upd01"</f>
        <v>OPE.MA.MABCL0036.RptPtn_Upd01</v>
      </c>
      <c r="PW8" s="45" t="s">
        <v>56</v>
      </c>
      <c r="PX8" s="9" t="str">
        <f t="shared" ref="PX8" si="426">"OPE.MA."&amp;PT6&amp;"."&amp;SUBSTITUTE(PS6,"_","")&amp;"Lcl_UpdChk01"</f>
        <v>OPE.MA.MABCL0036.RptPtnLcl_UpdChk01</v>
      </c>
      <c r="PY8" s="45" t="s">
        <v>56</v>
      </c>
      <c r="PZ8" s="9" t="str">
        <f t="shared" ref="PZ8" si="427">"OPE.MA."&amp;PT6&amp;"."&amp;SUBSTITUTE(PS6,"_","")&amp;"Lcl_Upd01"</f>
        <v>OPE.MA.MABCL0036.RptPtnLcl_Upd01</v>
      </c>
      <c r="QA8" s="45" t="s">
        <v>16</v>
      </c>
      <c r="QB8" s="9" t="str">
        <f t="shared" ref="QB8" si="428">"OPE.MA."&amp;QB6&amp;"."&amp;SUBSTITUTE(QA6,"_","")&amp;"_UpdChk01"</f>
        <v>OPE.MA.MABCL0036.CostMenu_UpdChk01</v>
      </c>
      <c r="QC8" s="45" t="s">
        <v>56</v>
      </c>
      <c r="QD8" s="9" t="str">
        <f t="shared" ref="QD8" si="429">"OPE.MA."&amp;QB6&amp;"."&amp;SUBSTITUTE(QA6,"_","")&amp;"_Upd01"</f>
        <v>OPE.MA.MABCL0036.CostMenu_Upd01</v>
      </c>
      <c r="QE8" s="45" t="s">
        <v>56</v>
      </c>
      <c r="QF8" s="9" t="str">
        <f t="shared" ref="QF8" si="430">"OPE.MA."&amp;QB6&amp;"."&amp;SUBSTITUTE(QA6,"_","")&amp;"Lcl_UpdChk01"</f>
        <v>OPE.MA.MABCL0036.CostMenuLcl_UpdChk01</v>
      </c>
      <c r="QG8" s="45" t="s">
        <v>56</v>
      </c>
      <c r="QH8" s="9" t="str">
        <f t="shared" ref="QH8" si="431">"OPE.MA."&amp;QB6&amp;"."&amp;SUBSTITUTE(QA6,"_","")&amp;"Lcl_Upd01"</f>
        <v>OPE.MA.MABCL0036.CostMenuLcl_Upd01</v>
      </c>
      <c r="QI8" s="45" t="s">
        <v>16</v>
      </c>
      <c r="QJ8" s="9" t="str">
        <f>"OPE.MA."&amp;QJ6&amp;"."&amp;SUBSTITUTE(QI6,"_","")&amp;"_UpdChk01"</f>
        <v>OPE.MA.MABCL0036.SiteCo_UpdChk01</v>
      </c>
      <c r="QK8" s="45" t="s">
        <v>56</v>
      </c>
      <c r="QL8" s="9" t="str">
        <f>"OPE.MA."&amp;QJ6&amp;"."&amp;SUBSTITUTE(QI6,"_","")&amp;"_Upd01"</f>
        <v>OPE.MA.MABCL0036.SiteCo_Upd01</v>
      </c>
      <c r="QM8" s="45" t="s">
        <v>56</v>
      </c>
      <c r="QN8" s="9" t="str">
        <f>"OPE.MA."&amp;QJ6&amp;"."&amp;SUBSTITUTE(QI6,"_","")&amp;"Lcl_UpdChk01"</f>
        <v>OPE.MA.MABCL0036.SiteCoLcl_UpdChk01</v>
      </c>
      <c r="QO8" s="45" t="s">
        <v>56</v>
      </c>
      <c r="QP8" s="9" t="str">
        <f>"OPE.MA."&amp;QJ6&amp;"."&amp;SUBSTITUTE(QI6,"_","")&amp;"Lcl_Upd01"</f>
        <v>OPE.MA.MABCL0036.SiteCoLcl_Upd01</v>
      </c>
      <c r="QQ8" s="96"/>
      <c r="QR8" s="97"/>
      <c r="QS8" s="98" t="s">
        <v>2207</v>
      </c>
      <c r="QT8" s="68"/>
    </row>
    <row r="9" spans="1:462" s="11" customFormat="1" ht="60" customHeight="1" x14ac:dyDescent="0.2">
      <c r="A9" s="9" t="s">
        <v>1038</v>
      </c>
      <c r="B9" s="50"/>
      <c r="C9" s="51"/>
      <c r="D9" s="90" t="s">
        <v>2199</v>
      </c>
      <c r="E9" s="99" t="s">
        <v>2200</v>
      </c>
      <c r="F9" s="90" t="s">
        <v>2201</v>
      </c>
      <c r="G9" s="90" t="s">
        <v>2202</v>
      </c>
      <c r="H9" s="90" t="s">
        <v>2203</v>
      </c>
      <c r="I9" s="100" t="s">
        <v>2204</v>
      </c>
      <c r="J9" s="90" t="s">
        <v>2205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98" t="s">
        <v>2206</v>
      </c>
      <c r="QR9" s="68"/>
      <c r="QS9" s="98" t="s">
        <v>2208</v>
      </c>
      <c r="QT9" s="68"/>
    </row>
    <row r="10" spans="1:462" s="11" customFormat="1" ht="91" x14ac:dyDescent="0.2">
      <c r="A10" s="52" t="s">
        <v>18</v>
      </c>
      <c r="B10" s="53"/>
      <c r="C10" s="53"/>
      <c r="D10" s="54"/>
      <c r="E10" s="55"/>
      <c r="F10" s="55"/>
      <c r="G10" s="56"/>
      <c r="H10" s="56"/>
      <c r="I10" s="55"/>
      <c r="J10" s="55"/>
      <c r="K10" s="93" t="s">
        <v>2204</v>
      </c>
      <c r="L10" s="93" t="s">
        <v>2205</v>
      </c>
      <c r="M10" s="93" t="s">
        <v>2204</v>
      </c>
      <c r="N10" s="93" t="s">
        <v>2205</v>
      </c>
      <c r="O10" s="93" t="s">
        <v>2204</v>
      </c>
      <c r="P10" s="93" t="s">
        <v>2205</v>
      </c>
      <c r="Q10" s="93" t="s">
        <v>2204</v>
      </c>
      <c r="R10" s="93" t="s">
        <v>2205</v>
      </c>
      <c r="S10" s="93" t="s">
        <v>2204</v>
      </c>
      <c r="T10" s="93" t="s">
        <v>2205</v>
      </c>
      <c r="U10" s="93" t="s">
        <v>2204</v>
      </c>
      <c r="V10" s="93" t="s">
        <v>2205</v>
      </c>
      <c r="W10" s="93" t="s">
        <v>2204</v>
      </c>
      <c r="X10" s="93" t="s">
        <v>2205</v>
      </c>
      <c r="Y10" s="93" t="s">
        <v>2204</v>
      </c>
      <c r="Z10" s="93" t="s">
        <v>2205</v>
      </c>
      <c r="AA10" s="93" t="s">
        <v>2204</v>
      </c>
      <c r="AB10" s="93" t="s">
        <v>2205</v>
      </c>
      <c r="AC10" s="93" t="s">
        <v>2204</v>
      </c>
      <c r="AD10" s="93" t="s">
        <v>2205</v>
      </c>
      <c r="AE10" s="93" t="s">
        <v>2204</v>
      </c>
      <c r="AF10" s="93" t="s">
        <v>2205</v>
      </c>
      <c r="AG10" s="93" t="s">
        <v>2204</v>
      </c>
      <c r="AH10" s="93" t="s">
        <v>2205</v>
      </c>
      <c r="AI10" s="93" t="s">
        <v>2204</v>
      </c>
      <c r="AJ10" s="93" t="s">
        <v>2205</v>
      </c>
      <c r="AK10" s="93" t="s">
        <v>2204</v>
      </c>
      <c r="AL10" s="93" t="s">
        <v>2205</v>
      </c>
      <c r="AM10" s="93" t="s">
        <v>2204</v>
      </c>
      <c r="AN10" s="93" t="s">
        <v>2205</v>
      </c>
      <c r="AO10" s="93" t="s">
        <v>2204</v>
      </c>
      <c r="AP10" s="93" t="s">
        <v>2205</v>
      </c>
      <c r="AQ10" s="93" t="s">
        <v>2204</v>
      </c>
      <c r="AR10" s="93" t="s">
        <v>2205</v>
      </c>
      <c r="AS10" s="93" t="s">
        <v>2204</v>
      </c>
      <c r="AT10" s="93" t="s">
        <v>2205</v>
      </c>
      <c r="AU10" s="93" t="s">
        <v>2204</v>
      </c>
      <c r="AV10" s="93" t="s">
        <v>2205</v>
      </c>
      <c r="AW10" s="93" t="s">
        <v>2204</v>
      </c>
      <c r="AX10" s="93" t="s">
        <v>2205</v>
      </c>
      <c r="AY10" s="93" t="s">
        <v>2204</v>
      </c>
      <c r="AZ10" s="93" t="s">
        <v>2205</v>
      </c>
      <c r="BA10" s="93" t="s">
        <v>2204</v>
      </c>
      <c r="BB10" s="93" t="s">
        <v>2205</v>
      </c>
      <c r="BC10" s="93" t="s">
        <v>2204</v>
      </c>
      <c r="BD10" s="93" t="s">
        <v>2205</v>
      </c>
      <c r="BE10" s="93" t="s">
        <v>2204</v>
      </c>
      <c r="BF10" s="93" t="s">
        <v>2205</v>
      </c>
      <c r="BG10" s="93" t="s">
        <v>2204</v>
      </c>
      <c r="BH10" s="93" t="s">
        <v>2205</v>
      </c>
      <c r="BI10" s="93" t="s">
        <v>2204</v>
      </c>
      <c r="BJ10" s="93" t="s">
        <v>2205</v>
      </c>
      <c r="BK10" s="93" t="s">
        <v>2204</v>
      </c>
      <c r="BL10" s="93" t="s">
        <v>2205</v>
      </c>
      <c r="BM10" s="93" t="s">
        <v>2204</v>
      </c>
      <c r="BN10" s="93" t="s">
        <v>2205</v>
      </c>
      <c r="BO10" s="93" t="s">
        <v>2204</v>
      </c>
      <c r="BP10" s="93" t="s">
        <v>2205</v>
      </c>
      <c r="BQ10" s="93" t="s">
        <v>2204</v>
      </c>
      <c r="BR10" s="93" t="s">
        <v>2205</v>
      </c>
      <c r="BS10" s="93" t="s">
        <v>2204</v>
      </c>
      <c r="BT10" s="93" t="s">
        <v>2205</v>
      </c>
      <c r="BU10" s="93" t="s">
        <v>2204</v>
      </c>
      <c r="BV10" s="93" t="s">
        <v>2205</v>
      </c>
      <c r="BW10" s="93" t="s">
        <v>2204</v>
      </c>
      <c r="BX10" s="93" t="s">
        <v>2205</v>
      </c>
      <c r="BY10" s="93" t="s">
        <v>2204</v>
      </c>
      <c r="BZ10" s="93" t="s">
        <v>2205</v>
      </c>
      <c r="CA10" s="93" t="s">
        <v>2204</v>
      </c>
      <c r="CB10" s="93" t="s">
        <v>2205</v>
      </c>
      <c r="CC10" s="93" t="s">
        <v>2204</v>
      </c>
      <c r="CD10" s="93" t="s">
        <v>2205</v>
      </c>
      <c r="CE10" s="93" t="s">
        <v>2204</v>
      </c>
      <c r="CF10" s="93" t="s">
        <v>2205</v>
      </c>
      <c r="CG10" s="93" t="s">
        <v>2204</v>
      </c>
      <c r="CH10" s="93" t="s">
        <v>2205</v>
      </c>
      <c r="CI10" s="93" t="s">
        <v>2204</v>
      </c>
      <c r="CJ10" s="93" t="s">
        <v>2205</v>
      </c>
      <c r="CK10" s="93" t="s">
        <v>2204</v>
      </c>
      <c r="CL10" s="93" t="s">
        <v>2205</v>
      </c>
      <c r="CM10" s="93" t="s">
        <v>2204</v>
      </c>
      <c r="CN10" s="93" t="s">
        <v>2205</v>
      </c>
      <c r="CO10" s="93" t="s">
        <v>2204</v>
      </c>
      <c r="CP10" s="93" t="s">
        <v>2205</v>
      </c>
      <c r="CQ10" s="93" t="s">
        <v>2204</v>
      </c>
      <c r="CR10" s="93" t="s">
        <v>2205</v>
      </c>
      <c r="CS10" s="93" t="s">
        <v>2204</v>
      </c>
      <c r="CT10" s="93" t="s">
        <v>2205</v>
      </c>
      <c r="CU10" s="93" t="s">
        <v>2204</v>
      </c>
      <c r="CV10" s="93" t="s">
        <v>2205</v>
      </c>
      <c r="CW10" s="93" t="s">
        <v>2204</v>
      </c>
      <c r="CX10" s="93" t="s">
        <v>2205</v>
      </c>
      <c r="CY10" s="93" t="s">
        <v>2204</v>
      </c>
      <c r="CZ10" s="93" t="s">
        <v>2205</v>
      </c>
      <c r="DA10" s="93" t="s">
        <v>2204</v>
      </c>
      <c r="DB10" s="93" t="s">
        <v>2205</v>
      </c>
      <c r="DC10" s="93" t="s">
        <v>2204</v>
      </c>
      <c r="DD10" s="93" t="s">
        <v>2205</v>
      </c>
      <c r="DE10" s="93" t="s">
        <v>2204</v>
      </c>
      <c r="DF10" s="93" t="s">
        <v>2205</v>
      </c>
      <c r="DG10" s="93" t="s">
        <v>2204</v>
      </c>
      <c r="DH10" s="93" t="s">
        <v>2205</v>
      </c>
      <c r="DI10" s="93" t="s">
        <v>2204</v>
      </c>
      <c r="DJ10" s="93" t="s">
        <v>2205</v>
      </c>
      <c r="DK10" s="93" t="s">
        <v>2204</v>
      </c>
      <c r="DL10" s="93" t="s">
        <v>2205</v>
      </c>
      <c r="DM10" s="93" t="s">
        <v>2204</v>
      </c>
      <c r="DN10" s="93" t="s">
        <v>2205</v>
      </c>
      <c r="DO10" s="93" t="s">
        <v>2204</v>
      </c>
      <c r="DP10" s="93" t="s">
        <v>2205</v>
      </c>
      <c r="DQ10" s="93" t="s">
        <v>2204</v>
      </c>
      <c r="DR10" s="93" t="s">
        <v>2205</v>
      </c>
      <c r="DS10" s="93" t="s">
        <v>2204</v>
      </c>
      <c r="DT10" s="93" t="s">
        <v>2205</v>
      </c>
      <c r="DU10" s="93" t="s">
        <v>2204</v>
      </c>
      <c r="DV10" s="93" t="s">
        <v>2205</v>
      </c>
      <c r="DW10" s="93" t="s">
        <v>2204</v>
      </c>
      <c r="DX10" s="93" t="s">
        <v>2205</v>
      </c>
      <c r="DY10" s="93" t="s">
        <v>2204</v>
      </c>
      <c r="DZ10" s="93" t="s">
        <v>2205</v>
      </c>
      <c r="EA10" s="93" t="s">
        <v>2204</v>
      </c>
      <c r="EB10" s="93" t="s">
        <v>2205</v>
      </c>
      <c r="EC10" s="93" t="s">
        <v>2204</v>
      </c>
      <c r="ED10" s="93" t="s">
        <v>2205</v>
      </c>
      <c r="EE10" s="93" t="s">
        <v>2204</v>
      </c>
      <c r="EF10" s="93" t="s">
        <v>2205</v>
      </c>
      <c r="EG10" s="93" t="s">
        <v>2204</v>
      </c>
      <c r="EH10" s="93" t="s">
        <v>2205</v>
      </c>
      <c r="EI10" s="93" t="s">
        <v>2204</v>
      </c>
      <c r="EJ10" s="93" t="s">
        <v>2205</v>
      </c>
      <c r="EK10" s="93" t="s">
        <v>2204</v>
      </c>
      <c r="EL10" s="93" t="s">
        <v>2205</v>
      </c>
      <c r="EM10" s="93" t="s">
        <v>2204</v>
      </c>
      <c r="EN10" s="93" t="s">
        <v>2205</v>
      </c>
      <c r="EO10" s="93" t="s">
        <v>2204</v>
      </c>
      <c r="EP10" s="93" t="s">
        <v>2205</v>
      </c>
      <c r="EQ10" s="93" t="s">
        <v>2204</v>
      </c>
      <c r="ER10" s="93" t="s">
        <v>2205</v>
      </c>
      <c r="ES10" s="93" t="s">
        <v>2204</v>
      </c>
      <c r="ET10" s="93" t="s">
        <v>2205</v>
      </c>
      <c r="EU10" s="93" t="s">
        <v>2204</v>
      </c>
      <c r="EV10" s="93" t="s">
        <v>2205</v>
      </c>
      <c r="EW10" s="93" t="s">
        <v>2204</v>
      </c>
      <c r="EX10" s="93" t="s">
        <v>2205</v>
      </c>
      <c r="EY10" s="93" t="s">
        <v>2204</v>
      </c>
      <c r="EZ10" s="93" t="s">
        <v>2205</v>
      </c>
      <c r="FA10" s="93" t="s">
        <v>2204</v>
      </c>
      <c r="FB10" s="93" t="s">
        <v>2205</v>
      </c>
      <c r="FC10" s="93" t="s">
        <v>2204</v>
      </c>
      <c r="FD10" s="93" t="s">
        <v>2205</v>
      </c>
      <c r="FE10" s="93" t="s">
        <v>2204</v>
      </c>
      <c r="FF10" s="93" t="s">
        <v>2205</v>
      </c>
      <c r="FG10" s="93" t="s">
        <v>2204</v>
      </c>
      <c r="FH10" s="93" t="s">
        <v>2205</v>
      </c>
      <c r="FI10" s="93" t="s">
        <v>2204</v>
      </c>
      <c r="FJ10" s="93" t="s">
        <v>2205</v>
      </c>
      <c r="FK10" s="93" t="s">
        <v>2204</v>
      </c>
      <c r="FL10" s="93" t="s">
        <v>2205</v>
      </c>
      <c r="FM10" s="93" t="s">
        <v>2204</v>
      </c>
      <c r="FN10" s="93" t="s">
        <v>2205</v>
      </c>
      <c r="FO10" s="93" t="s">
        <v>2204</v>
      </c>
      <c r="FP10" s="93" t="s">
        <v>2205</v>
      </c>
      <c r="FQ10" s="93" t="s">
        <v>2204</v>
      </c>
      <c r="FR10" s="93" t="s">
        <v>2205</v>
      </c>
      <c r="FS10" s="93" t="s">
        <v>2204</v>
      </c>
      <c r="FT10" s="93" t="s">
        <v>2205</v>
      </c>
      <c r="FU10" s="93" t="s">
        <v>2204</v>
      </c>
      <c r="FV10" s="93" t="s">
        <v>2205</v>
      </c>
      <c r="FW10" s="93" t="s">
        <v>2204</v>
      </c>
      <c r="FX10" s="93" t="s">
        <v>2205</v>
      </c>
      <c r="FY10" s="93" t="s">
        <v>2204</v>
      </c>
      <c r="FZ10" s="93" t="s">
        <v>2205</v>
      </c>
      <c r="GA10" s="93" t="s">
        <v>2204</v>
      </c>
      <c r="GB10" s="93" t="s">
        <v>2205</v>
      </c>
      <c r="GC10" s="93" t="s">
        <v>2204</v>
      </c>
      <c r="GD10" s="93" t="s">
        <v>2205</v>
      </c>
      <c r="GE10" s="93" t="s">
        <v>2204</v>
      </c>
      <c r="GF10" s="93" t="s">
        <v>2205</v>
      </c>
      <c r="GG10" s="93" t="s">
        <v>2204</v>
      </c>
      <c r="GH10" s="93" t="s">
        <v>2205</v>
      </c>
      <c r="GI10" s="93" t="s">
        <v>2204</v>
      </c>
      <c r="GJ10" s="93" t="s">
        <v>2205</v>
      </c>
      <c r="GK10" s="93" t="s">
        <v>2204</v>
      </c>
      <c r="GL10" s="93" t="s">
        <v>2205</v>
      </c>
      <c r="GM10" s="93" t="s">
        <v>2204</v>
      </c>
      <c r="GN10" s="93" t="s">
        <v>2205</v>
      </c>
      <c r="GO10" s="93" t="s">
        <v>2204</v>
      </c>
      <c r="GP10" s="93" t="s">
        <v>2205</v>
      </c>
      <c r="GQ10" s="93" t="s">
        <v>2204</v>
      </c>
      <c r="GR10" s="93" t="s">
        <v>2205</v>
      </c>
      <c r="GS10" s="93" t="s">
        <v>2204</v>
      </c>
      <c r="GT10" s="93" t="s">
        <v>2205</v>
      </c>
      <c r="GU10" s="93" t="s">
        <v>2204</v>
      </c>
      <c r="GV10" s="93" t="s">
        <v>2205</v>
      </c>
      <c r="GW10" s="93" t="s">
        <v>2204</v>
      </c>
      <c r="GX10" s="93" t="s">
        <v>2205</v>
      </c>
      <c r="GY10" s="93" t="s">
        <v>2204</v>
      </c>
      <c r="GZ10" s="93" t="s">
        <v>2205</v>
      </c>
      <c r="HA10" s="93" t="s">
        <v>2204</v>
      </c>
      <c r="HB10" s="93" t="s">
        <v>2205</v>
      </c>
      <c r="HC10" s="93" t="s">
        <v>2204</v>
      </c>
      <c r="HD10" s="93" t="s">
        <v>2205</v>
      </c>
      <c r="HE10" s="93" t="s">
        <v>2204</v>
      </c>
      <c r="HF10" s="93" t="s">
        <v>2205</v>
      </c>
      <c r="HG10" s="93" t="s">
        <v>2204</v>
      </c>
      <c r="HH10" s="93" t="s">
        <v>2205</v>
      </c>
      <c r="HI10" s="93" t="s">
        <v>2204</v>
      </c>
      <c r="HJ10" s="93" t="s">
        <v>2205</v>
      </c>
      <c r="HK10" s="93" t="s">
        <v>2204</v>
      </c>
      <c r="HL10" s="93" t="s">
        <v>2205</v>
      </c>
      <c r="HM10" s="93" t="s">
        <v>2204</v>
      </c>
      <c r="HN10" s="93" t="s">
        <v>2205</v>
      </c>
      <c r="HO10" s="93" t="s">
        <v>2204</v>
      </c>
      <c r="HP10" s="93" t="s">
        <v>2205</v>
      </c>
      <c r="HQ10" s="93" t="s">
        <v>2204</v>
      </c>
      <c r="HR10" s="93" t="s">
        <v>2205</v>
      </c>
      <c r="HS10" s="93" t="s">
        <v>2204</v>
      </c>
      <c r="HT10" s="93" t="s">
        <v>2205</v>
      </c>
      <c r="HU10" s="93" t="s">
        <v>2204</v>
      </c>
      <c r="HV10" s="93" t="s">
        <v>2205</v>
      </c>
      <c r="HW10" s="93" t="s">
        <v>2204</v>
      </c>
      <c r="HX10" s="93" t="s">
        <v>2205</v>
      </c>
      <c r="HY10" s="93" t="s">
        <v>2204</v>
      </c>
      <c r="HZ10" s="93" t="s">
        <v>2205</v>
      </c>
      <c r="IA10" s="93" t="s">
        <v>2204</v>
      </c>
      <c r="IB10" s="93" t="s">
        <v>2205</v>
      </c>
      <c r="IC10" s="93" t="s">
        <v>2204</v>
      </c>
      <c r="ID10" s="93" t="s">
        <v>2205</v>
      </c>
      <c r="IE10" s="93" t="s">
        <v>2204</v>
      </c>
      <c r="IF10" s="93" t="s">
        <v>2205</v>
      </c>
      <c r="IG10" s="93" t="s">
        <v>2204</v>
      </c>
      <c r="IH10" s="93" t="s">
        <v>2205</v>
      </c>
      <c r="II10" s="93" t="s">
        <v>2204</v>
      </c>
      <c r="IJ10" s="93" t="s">
        <v>2205</v>
      </c>
      <c r="IK10" s="93" t="s">
        <v>2204</v>
      </c>
      <c r="IL10" s="93" t="s">
        <v>2205</v>
      </c>
      <c r="IM10" s="93" t="s">
        <v>2204</v>
      </c>
      <c r="IN10" s="93" t="s">
        <v>2205</v>
      </c>
      <c r="IO10" s="93" t="s">
        <v>2204</v>
      </c>
      <c r="IP10" s="93" t="s">
        <v>2205</v>
      </c>
      <c r="IQ10" s="93" t="s">
        <v>2204</v>
      </c>
      <c r="IR10" s="93" t="s">
        <v>2205</v>
      </c>
      <c r="IS10" s="93" t="s">
        <v>2204</v>
      </c>
      <c r="IT10" s="93" t="s">
        <v>2205</v>
      </c>
      <c r="IU10" s="93" t="s">
        <v>2204</v>
      </c>
      <c r="IV10" s="93" t="s">
        <v>2205</v>
      </c>
      <c r="IW10" s="93" t="s">
        <v>2204</v>
      </c>
      <c r="IX10" s="93" t="s">
        <v>2205</v>
      </c>
      <c r="IY10" s="93" t="s">
        <v>2204</v>
      </c>
      <c r="IZ10" s="93" t="s">
        <v>2205</v>
      </c>
      <c r="JA10" s="93" t="s">
        <v>2204</v>
      </c>
      <c r="JB10" s="93" t="s">
        <v>2205</v>
      </c>
      <c r="JC10" s="93" t="s">
        <v>2204</v>
      </c>
      <c r="JD10" s="93" t="s">
        <v>2205</v>
      </c>
      <c r="JE10" s="93" t="s">
        <v>2204</v>
      </c>
      <c r="JF10" s="93" t="s">
        <v>2205</v>
      </c>
      <c r="JG10" s="93" t="s">
        <v>2204</v>
      </c>
      <c r="JH10" s="93" t="s">
        <v>2205</v>
      </c>
      <c r="JI10" s="93" t="s">
        <v>2204</v>
      </c>
      <c r="JJ10" s="93" t="s">
        <v>2205</v>
      </c>
      <c r="JK10" s="93" t="s">
        <v>2204</v>
      </c>
      <c r="JL10" s="93" t="s">
        <v>2205</v>
      </c>
      <c r="JM10" s="93" t="s">
        <v>2204</v>
      </c>
      <c r="JN10" s="93" t="s">
        <v>2205</v>
      </c>
      <c r="JO10" s="93" t="s">
        <v>2204</v>
      </c>
      <c r="JP10" s="93" t="s">
        <v>2205</v>
      </c>
      <c r="JQ10" s="93" t="s">
        <v>2204</v>
      </c>
      <c r="JR10" s="93" t="s">
        <v>2205</v>
      </c>
      <c r="JS10" s="93" t="s">
        <v>2204</v>
      </c>
      <c r="JT10" s="93" t="s">
        <v>2205</v>
      </c>
      <c r="JU10" s="93" t="s">
        <v>2204</v>
      </c>
      <c r="JV10" s="93" t="s">
        <v>2205</v>
      </c>
      <c r="JW10" s="93" t="s">
        <v>2204</v>
      </c>
      <c r="JX10" s="93" t="s">
        <v>2205</v>
      </c>
      <c r="JY10" s="93" t="s">
        <v>2204</v>
      </c>
      <c r="JZ10" s="93" t="s">
        <v>2205</v>
      </c>
      <c r="KA10" s="93" t="s">
        <v>2204</v>
      </c>
      <c r="KB10" s="93" t="s">
        <v>2205</v>
      </c>
      <c r="KC10" s="93" t="s">
        <v>2204</v>
      </c>
      <c r="KD10" s="93" t="s">
        <v>2205</v>
      </c>
      <c r="KE10" s="93" t="s">
        <v>2204</v>
      </c>
      <c r="KF10" s="93" t="s">
        <v>2205</v>
      </c>
      <c r="KG10" s="93" t="s">
        <v>2204</v>
      </c>
      <c r="KH10" s="93" t="s">
        <v>2205</v>
      </c>
      <c r="KI10" s="93" t="s">
        <v>2204</v>
      </c>
      <c r="KJ10" s="93" t="s">
        <v>2205</v>
      </c>
      <c r="KK10" s="93" t="s">
        <v>2204</v>
      </c>
      <c r="KL10" s="93" t="s">
        <v>2205</v>
      </c>
      <c r="KM10" s="93" t="s">
        <v>2204</v>
      </c>
      <c r="KN10" s="93" t="s">
        <v>2205</v>
      </c>
      <c r="KO10" s="93" t="s">
        <v>2204</v>
      </c>
      <c r="KP10" s="93" t="s">
        <v>2205</v>
      </c>
      <c r="KQ10" s="93" t="s">
        <v>2204</v>
      </c>
      <c r="KR10" s="93" t="s">
        <v>2205</v>
      </c>
      <c r="KS10" s="93" t="s">
        <v>2204</v>
      </c>
      <c r="KT10" s="93" t="s">
        <v>2205</v>
      </c>
      <c r="KU10" s="93" t="s">
        <v>2204</v>
      </c>
      <c r="KV10" s="93" t="s">
        <v>2205</v>
      </c>
      <c r="KW10" s="93" t="s">
        <v>2204</v>
      </c>
      <c r="KX10" s="93" t="s">
        <v>2205</v>
      </c>
      <c r="KY10" s="93" t="s">
        <v>2204</v>
      </c>
      <c r="KZ10" s="93" t="s">
        <v>2205</v>
      </c>
      <c r="LA10" s="93" t="s">
        <v>2204</v>
      </c>
      <c r="LB10" s="93" t="s">
        <v>2205</v>
      </c>
      <c r="LC10" s="93" t="s">
        <v>2204</v>
      </c>
      <c r="LD10" s="93" t="s">
        <v>2205</v>
      </c>
      <c r="LE10" s="93" t="s">
        <v>2204</v>
      </c>
      <c r="LF10" s="93" t="s">
        <v>2205</v>
      </c>
      <c r="LG10" s="93" t="s">
        <v>2204</v>
      </c>
      <c r="LH10" s="93" t="s">
        <v>2205</v>
      </c>
      <c r="LI10" s="93" t="s">
        <v>2204</v>
      </c>
      <c r="LJ10" s="93" t="s">
        <v>2205</v>
      </c>
      <c r="LK10" s="93" t="s">
        <v>2204</v>
      </c>
      <c r="LL10" s="93" t="s">
        <v>2205</v>
      </c>
      <c r="LM10" s="93" t="s">
        <v>2204</v>
      </c>
      <c r="LN10" s="93" t="s">
        <v>2205</v>
      </c>
      <c r="LO10" s="93" t="s">
        <v>2204</v>
      </c>
      <c r="LP10" s="93" t="s">
        <v>2205</v>
      </c>
      <c r="LQ10" s="93" t="s">
        <v>2204</v>
      </c>
      <c r="LR10" s="93" t="s">
        <v>2205</v>
      </c>
      <c r="LS10" s="93" t="s">
        <v>2204</v>
      </c>
      <c r="LT10" s="93" t="s">
        <v>2205</v>
      </c>
      <c r="LU10" s="93" t="s">
        <v>2204</v>
      </c>
      <c r="LV10" s="93" t="s">
        <v>2205</v>
      </c>
      <c r="LW10" s="93" t="s">
        <v>2204</v>
      </c>
      <c r="LX10" s="93" t="s">
        <v>2205</v>
      </c>
      <c r="LY10" s="93" t="s">
        <v>2204</v>
      </c>
      <c r="LZ10" s="93" t="s">
        <v>2205</v>
      </c>
      <c r="MA10" s="93" t="s">
        <v>2204</v>
      </c>
      <c r="MB10" s="93" t="s">
        <v>2205</v>
      </c>
      <c r="MC10" s="93" t="s">
        <v>2204</v>
      </c>
      <c r="MD10" s="93" t="s">
        <v>2205</v>
      </c>
      <c r="ME10" s="93" t="s">
        <v>2204</v>
      </c>
      <c r="MF10" s="93" t="s">
        <v>2205</v>
      </c>
      <c r="MG10" s="93" t="s">
        <v>2204</v>
      </c>
      <c r="MH10" s="93" t="s">
        <v>2205</v>
      </c>
      <c r="MI10" s="93" t="s">
        <v>2204</v>
      </c>
      <c r="MJ10" s="93" t="s">
        <v>2205</v>
      </c>
      <c r="MK10" s="93" t="s">
        <v>2204</v>
      </c>
      <c r="ML10" s="93" t="s">
        <v>2205</v>
      </c>
      <c r="MM10" s="93" t="s">
        <v>2204</v>
      </c>
      <c r="MN10" s="93" t="s">
        <v>2205</v>
      </c>
      <c r="MO10" s="93" t="s">
        <v>2204</v>
      </c>
      <c r="MP10" s="93" t="s">
        <v>2205</v>
      </c>
      <c r="MQ10" s="93" t="s">
        <v>2204</v>
      </c>
      <c r="MR10" s="93" t="s">
        <v>2205</v>
      </c>
      <c r="MS10" s="93" t="s">
        <v>2204</v>
      </c>
      <c r="MT10" s="93" t="s">
        <v>2205</v>
      </c>
      <c r="MU10" s="93" t="s">
        <v>2204</v>
      </c>
      <c r="MV10" s="93" t="s">
        <v>2205</v>
      </c>
      <c r="MW10" s="93" t="s">
        <v>2204</v>
      </c>
      <c r="MX10" s="93" t="s">
        <v>2205</v>
      </c>
      <c r="MY10" s="93" t="s">
        <v>2204</v>
      </c>
      <c r="MZ10" s="93" t="s">
        <v>2205</v>
      </c>
      <c r="NA10" s="93" t="s">
        <v>2204</v>
      </c>
      <c r="NB10" s="93" t="s">
        <v>2205</v>
      </c>
      <c r="NC10" s="93" t="s">
        <v>2204</v>
      </c>
      <c r="ND10" s="93" t="s">
        <v>2205</v>
      </c>
      <c r="NE10" s="93" t="s">
        <v>2204</v>
      </c>
      <c r="NF10" s="93" t="s">
        <v>2205</v>
      </c>
      <c r="NG10" s="93" t="s">
        <v>2204</v>
      </c>
      <c r="NH10" s="93" t="s">
        <v>2205</v>
      </c>
      <c r="NI10" s="93" t="s">
        <v>2204</v>
      </c>
      <c r="NJ10" s="93" t="s">
        <v>2205</v>
      </c>
      <c r="NK10" s="93" t="s">
        <v>2204</v>
      </c>
      <c r="NL10" s="93" t="s">
        <v>2205</v>
      </c>
      <c r="NM10" s="93" t="s">
        <v>2204</v>
      </c>
      <c r="NN10" s="93" t="s">
        <v>2205</v>
      </c>
      <c r="NO10" s="93" t="s">
        <v>2204</v>
      </c>
      <c r="NP10" s="93" t="s">
        <v>2205</v>
      </c>
      <c r="NQ10" s="93" t="s">
        <v>2204</v>
      </c>
      <c r="NR10" s="93" t="s">
        <v>2205</v>
      </c>
      <c r="NS10" s="93" t="s">
        <v>2204</v>
      </c>
      <c r="NT10" s="93" t="s">
        <v>2205</v>
      </c>
      <c r="NU10" s="93" t="s">
        <v>2204</v>
      </c>
      <c r="NV10" s="93" t="s">
        <v>2205</v>
      </c>
      <c r="NW10" s="93" t="s">
        <v>2204</v>
      </c>
      <c r="NX10" s="93" t="s">
        <v>2205</v>
      </c>
      <c r="NY10" s="93" t="s">
        <v>2204</v>
      </c>
      <c r="NZ10" s="93" t="s">
        <v>2205</v>
      </c>
      <c r="OA10" s="93" t="s">
        <v>2204</v>
      </c>
      <c r="OB10" s="93" t="s">
        <v>2205</v>
      </c>
      <c r="OC10" s="93" t="s">
        <v>2204</v>
      </c>
      <c r="OD10" s="93" t="s">
        <v>2205</v>
      </c>
      <c r="OE10" s="93" t="s">
        <v>2204</v>
      </c>
      <c r="OF10" s="93" t="s">
        <v>2205</v>
      </c>
      <c r="OG10" s="93" t="s">
        <v>2204</v>
      </c>
      <c r="OH10" s="93" t="s">
        <v>2205</v>
      </c>
      <c r="OI10" s="93" t="s">
        <v>2204</v>
      </c>
      <c r="OJ10" s="93" t="s">
        <v>2205</v>
      </c>
      <c r="OK10" s="93" t="s">
        <v>2204</v>
      </c>
      <c r="OL10" s="93" t="s">
        <v>2205</v>
      </c>
      <c r="OM10" s="93" t="s">
        <v>2204</v>
      </c>
      <c r="ON10" s="93" t="s">
        <v>2205</v>
      </c>
      <c r="OO10" s="93" t="s">
        <v>2204</v>
      </c>
      <c r="OP10" s="93" t="s">
        <v>2205</v>
      </c>
      <c r="OQ10" s="93" t="s">
        <v>2204</v>
      </c>
      <c r="OR10" s="93" t="s">
        <v>2205</v>
      </c>
      <c r="OS10" s="93" t="s">
        <v>2204</v>
      </c>
      <c r="OT10" s="93" t="s">
        <v>2205</v>
      </c>
      <c r="OU10" s="93" t="s">
        <v>2204</v>
      </c>
      <c r="OV10" s="93" t="s">
        <v>2205</v>
      </c>
      <c r="OW10" s="93" t="s">
        <v>2204</v>
      </c>
      <c r="OX10" s="93" t="s">
        <v>2205</v>
      </c>
      <c r="OY10" s="93" t="s">
        <v>2204</v>
      </c>
      <c r="OZ10" s="93" t="s">
        <v>2205</v>
      </c>
      <c r="PA10" s="93" t="s">
        <v>2204</v>
      </c>
      <c r="PB10" s="93" t="s">
        <v>2205</v>
      </c>
      <c r="PC10" s="93" t="s">
        <v>2204</v>
      </c>
      <c r="PD10" s="93" t="s">
        <v>2205</v>
      </c>
      <c r="PE10" s="93" t="s">
        <v>2204</v>
      </c>
      <c r="PF10" s="93" t="s">
        <v>2205</v>
      </c>
      <c r="PG10" s="93" t="s">
        <v>2204</v>
      </c>
      <c r="PH10" s="93" t="s">
        <v>2205</v>
      </c>
      <c r="PI10" s="93" t="s">
        <v>2204</v>
      </c>
      <c r="PJ10" s="93" t="s">
        <v>2205</v>
      </c>
      <c r="PK10" s="93" t="s">
        <v>2204</v>
      </c>
      <c r="PL10" s="93" t="s">
        <v>2205</v>
      </c>
      <c r="PM10" s="93" t="s">
        <v>2204</v>
      </c>
      <c r="PN10" s="93" t="s">
        <v>2205</v>
      </c>
      <c r="PO10" s="93" t="s">
        <v>2204</v>
      </c>
      <c r="PP10" s="93" t="s">
        <v>2205</v>
      </c>
      <c r="PQ10" s="93" t="s">
        <v>2204</v>
      </c>
      <c r="PR10" s="93" t="s">
        <v>2205</v>
      </c>
      <c r="PS10" s="93" t="s">
        <v>2204</v>
      </c>
      <c r="PT10" s="93" t="s">
        <v>2205</v>
      </c>
      <c r="PU10" s="93" t="s">
        <v>2204</v>
      </c>
      <c r="PV10" s="93" t="s">
        <v>2205</v>
      </c>
      <c r="PW10" s="93" t="s">
        <v>2204</v>
      </c>
      <c r="PX10" s="93" t="s">
        <v>2205</v>
      </c>
      <c r="PY10" s="93" t="s">
        <v>2204</v>
      </c>
      <c r="PZ10" s="93" t="s">
        <v>2205</v>
      </c>
      <c r="QA10" s="93" t="s">
        <v>2204</v>
      </c>
      <c r="QB10" s="93" t="s">
        <v>2205</v>
      </c>
      <c r="QC10" s="93" t="s">
        <v>2204</v>
      </c>
      <c r="QD10" s="93" t="s">
        <v>2205</v>
      </c>
      <c r="QE10" s="93" t="s">
        <v>2204</v>
      </c>
      <c r="QF10" s="93" t="s">
        <v>2205</v>
      </c>
      <c r="QG10" s="93" t="s">
        <v>2204</v>
      </c>
      <c r="QH10" s="93" t="s">
        <v>2205</v>
      </c>
      <c r="QI10" s="93" t="s">
        <v>2204</v>
      </c>
      <c r="QJ10" s="93" t="s">
        <v>2205</v>
      </c>
      <c r="QK10" s="93" t="s">
        <v>2204</v>
      </c>
      <c r="QL10" s="93" t="s">
        <v>2205</v>
      </c>
      <c r="QM10" s="93" t="s">
        <v>2204</v>
      </c>
      <c r="QN10" s="93" t="s">
        <v>2205</v>
      </c>
      <c r="QO10" s="93" t="s">
        <v>2204</v>
      </c>
      <c r="QP10" s="93" t="s">
        <v>2205</v>
      </c>
      <c r="QQ10" s="55"/>
      <c r="QR10" s="55"/>
      <c r="QS10" s="56"/>
      <c r="QT10" s="49"/>
    </row>
    <row r="11" spans="1:462" s="11" customFormat="1" x14ac:dyDescent="0.2">
      <c r="A11" s="9">
        <v>10</v>
      </c>
      <c r="B11" s="50" t="s">
        <v>0</v>
      </c>
      <c r="C11" s="51"/>
      <c r="D11" s="33" t="s">
        <v>53</v>
      </c>
      <c r="E11" s="57" t="s">
        <v>21</v>
      </c>
      <c r="F11" s="58"/>
      <c r="G11" s="81"/>
      <c r="H11" s="59"/>
      <c r="I11" s="60"/>
      <c r="J11" s="61"/>
      <c r="K11" s="62" t="s">
        <v>1426</v>
      </c>
      <c r="L11" s="62"/>
      <c r="M11" s="62" t="s">
        <v>1427</v>
      </c>
      <c r="N11" s="62"/>
      <c r="O11" s="62"/>
      <c r="P11" s="62"/>
      <c r="Q11" s="62"/>
      <c r="R11" s="62"/>
      <c r="S11" s="62" t="s">
        <v>1428</v>
      </c>
      <c r="T11" s="62"/>
      <c r="U11" s="62" t="s">
        <v>1429</v>
      </c>
      <c r="V11" s="62"/>
      <c r="W11" s="62"/>
      <c r="X11" s="62"/>
      <c r="Y11" s="62"/>
      <c r="Z11" s="62"/>
      <c r="AA11" s="62" t="s">
        <v>1430</v>
      </c>
      <c r="AB11" s="62"/>
      <c r="AC11" s="62" t="s">
        <v>1431</v>
      </c>
      <c r="AD11" s="62"/>
      <c r="AE11" s="62"/>
      <c r="AF11" s="62"/>
      <c r="AG11" s="62"/>
      <c r="AH11" s="62"/>
      <c r="AI11" s="62" t="s">
        <v>1432</v>
      </c>
      <c r="AJ11" s="62"/>
      <c r="AK11" s="62" t="s">
        <v>1433</v>
      </c>
      <c r="AL11" s="62"/>
      <c r="AM11" s="62"/>
      <c r="AN11" s="62"/>
      <c r="AO11" s="62"/>
      <c r="AP11" s="62"/>
      <c r="AQ11" s="62" t="s">
        <v>1434</v>
      </c>
      <c r="AR11" s="62"/>
      <c r="AS11" s="62" t="s">
        <v>1435</v>
      </c>
      <c r="AT11" s="62"/>
      <c r="AU11" s="62"/>
      <c r="AV11" s="62"/>
      <c r="AW11" s="62"/>
      <c r="AX11" s="62"/>
      <c r="AY11" s="62" t="s">
        <v>1436</v>
      </c>
      <c r="AZ11" s="62"/>
      <c r="BA11" s="62" t="s">
        <v>1437</v>
      </c>
      <c r="BB11" s="62"/>
      <c r="BC11" s="62"/>
      <c r="BD11" s="62"/>
      <c r="BE11" s="62"/>
      <c r="BF11" s="62"/>
      <c r="BG11" s="62" t="s">
        <v>1438</v>
      </c>
      <c r="BH11" s="62"/>
      <c r="BI11" s="62" t="s">
        <v>1439</v>
      </c>
      <c r="BJ11" s="62"/>
      <c r="BK11" s="62"/>
      <c r="BL11" s="62"/>
      <c r="BM11" s="62"/>
      <c r="BN11" s="62"/>
      <c r="BO11" s="62" t="s">
        <v>1440</v>
      </c>
      <c r="BP11" s="62"/>
      <c r="BQ11" s="62" t="s">
        <v>1441</v>
      </c>
      <c r="BR11" s="62"/>
      <c r="BS11" s="62"/>
      <c r="BT11" s="62"/>
      <c r="BU11" s="62"/>
      <c r="BV11" s="62"/>
      <c r="BW11" s="62" t="s">
        <v>1442</v>
      </c>
      <c r="BX11" s="62"/>
      <c r="BY11" s="62" t="s">
        <v>1443</v>
      </c>
      <c r="BZ11" s="62"/>
      <c r="CA11" s="62"/>
      <c r="CB11" s="62"/>
      <c r="CC11" s="62"/>
      <c r="CD11" s="62"/>
      <c r="CE11" s="62" t="s">
        <v>1444</v>
      </c>
      <c r="CF11" s="62"/>
      <c r="CG11" s="62" t="s">
        <v>1445</v>
      </c>
      <c r="CH11" s="62"/>
      <c r="CI11" s="62"/>
      <c r="CJ11" s="62"/>
      <c r="CK11" s="62"/>
      <c r="CL11" s="62"/>
      <c r="CM11" s="62" t="s">
        <v>1446</v>
      </c>
      <c r="CN11" s="62"/>
      <c r="CO11" s="62" t="s">
        <v>1447</v>
      </c>
      <c r="CP11" s="62"/>
      <c r="CQ11" s="62"/>
      <c r="CR11" s="62"/>
      <c r="CS11" s="62"/>
      <c r="CT11" s="62"/>
      <c r="CU11" s="62" t="s">
        <v>1448</v>
      </c>
      <c r="CV11" s="62"/>
      <c r="CW11" s="62" t="s">
        <v>1449</v>
      </c>
      <c r="CX11" s="62"/>
      <c r="CY11" s="62"/>
      <c r="CZ11" s="62"/>
      <c r="DA11" s="62"/>
      <c r="DB11" s="62"/>
      <c r="DC11" s="62" t="s">
        <v>1450</v>
      </c>
      <c r="DD11" s="62"/>
      <c r="DE11" s="62" t="s">
        <v>1451</v>
      </c>
      <c r="DF11" s="62"/>
      <c r="DG11" s="62"/>
      <c r="DH11" s="62"/>
      <c r="DI11" s="62"/>
      <c r="DJ11" s="62"/>
      <c r="DK11" s="62" t="s">
        <v>1452</v>
      </c>
      <c r="DL11" s="62"/>
      <c r="DM11" s="62" t="s">
        <v>1453</v>
      </c>
      <c r="DN11" s="62"/>
      <c r="DO11" s="62"/>
      <c r="DP11" s="62"/>
      <c r="DQ11" s="62"/>
      <c r="DR11" s="62"/>
      <c r="DS11" s="62" t="s">
        <v>1454</v>
      </c>
      <c r="DT11" s="62"/>
      <c r="DU11" s="62" t="s">
        <v>1455</v>
      </c>
      <c r="DV11" s="62"/>
      <c r="DW11" s="62"/>
      <c r="DX11" s="62"/>
      <c r="DY11" s="62"/>
      <c r="DZ11" s="62"/>
      <c r="EA11" s="62" t="s">
        <v>1456</v>
      </c>
      <c r="EB11" s="62"/>
      <c r="EC11" s="62" t="s">
        <v>1457</v>
      </c>
      <c r="ED11" s="62"/>
      <c r="EE11" s="62"/>
      <c r="EF11" s="62"/>
      <c r="EG11" s="62"/>
      <c r="EH11" s="62"/>
      <c r="EI11" s="62" t="s">
        <v>1458</v>
      </c>
      <c r="EJ11" s="62"/>
      <c r="EK11" s="62" t="s">
        <v>1459</v>
      </c>
      <c r="EL11" s="62"/>
      <c r="EM11" s="62"/>
      <c r="EN11" s="62"/>
      <c r="EO11" s="62"/>
      <c r="EP11" s="62"/>
      <c r="EQ11" s="62" t="s">
        <v>1460</v>
      </c>
      <c r="ER11" s="62"/>
      <c r="ES11" s="62" t="s">
        <v>1461</v>
      </c>
      <c r="ET11" s="62"/>
      <c r="EU11" s="62"/>
      <c r="EV11" s="62"/>
      <c r="EW11" s="62"/>
      <c r="EX11" s="62"/>
      <c r="EY11" s="62" t="s">
        <v>1462</v>
      </c>
      <c r="EZ11" s="62"/>
      <c r="FA11" s="62" t="s">
        <v>1463</v>
      </c>
      <c r="FB11" s="62"/>
      <c r="FC11" s="62"/>
      <c r="FD11" s="62"/>
      <c r="FE11" s="62"/>
      <c r="FF11" s="62"/>
      <c r="FG11" s="62" t="s">
        <v>1464</v>
      </c>
      <c r="FH11" s="62"/>
      <c r="FI11" s="62" t="s">
        <v>1465</v>
      </c>
      <c r="FJ11" s="62"/>
      <c r="FK11" s="62"/>
      <c r="FL11" s="62"/>
      <c r="FM11" s="62"/>
      <c r="FN11" s="62"/>
      <c r="FO11" s="62" t="s">
        <v>1466</v>
      </c>
      <c r="FP11" s="62"/>
      <c r="FQ11" s="62" t="s">
        <v>1467</v>
      </c>
      <c r="FR11" s="62"/>
      <c r="FS11" s="62"/>
      <c r="FT11" s="62"/>
      <c r="FU11" s="62"/>
      <c r="FV11" s="62"/>
      <c r="FW11" s="62" t="s">
        <v>1468</v>
      </c>
      <c r="FX11" s="62"/>
      <c r="FY11" s="62" t="s">
        <v>1469</v>
      </c>
      <c r="FZ11" s="62"/>
      <c r="GA11" s="62"/>
      <c r="GB11" s="62"/>
      <c r="GC11" s="62"/>
      <c r="GD11" s="62"/>
      <c r="GE11" s="62" t="s">
        <v>1470</v>
      </c>
      <c r="GF11" s="62"/>
      <c r="GG11" s="62" t="s">
        <v>1471</v>
      </c>
      <c r="GH11" s="62"/>
      <c r="GI11" s="62"/>
      <c r="GJ11" s="62"/>
      <c r="GK11" s="62"/>
      <c r="GL11" s="62"/>
      <c r="GM11" s="62" t="s">
        <v>1472</v>
      </c>
      <c r="GN11" s="62"/>
      <c r="GO11" s="62" t="s">
        <v>1473</v>
      </c>
      <c r="GP11" s="62"/>
      <c r="GQ11" s="62"/>
      <c r="GR11" s="62"/>
      <c r="GS11" s="62"/>
      <c r="GT11" s="62"/>
      <c r="GU11" s="62" t="s">
        <v>1474</v>
      </c>
      <c r="GV11" s="62"/>
      <c r="GW11" s="62" t="s">
        <v>1475</v>
      </c>
      <c r="GX11" s="62"/>
      <c r="GY11" s="62"/>
      <c r="GZ11" s="62"/>
      <c r="HA11" s="62"/>
      <c r="HB11" s="62"/>
      <c r="HC11" s="62" t="s">
        <v>1476</v>
      </c>
      <c r="HD11" s="62"/>
      <c r="HE11" s="62" t="s">
        <v>1477</v>
      </c>
      <c r="HF11" s="62"/>
      <c r="HG11" s="62"/>
      <c r="HH11" s="62"/>
      <c r="HI11" s="62"/>
      <c r="HJ11" s="62"/>
      <c r="HK11" s="62" t="s">
        <v>1478</v>
      </c>
      <c r="HL11" s="62"/>
      <c r="HM11" s="62" t="s">
        <v>1479</v>
      </c>
      <c r="HN11" s="62"/>
      <c r="HO11" s="62"/>
      <c r="HP11" s="62"/>
      <c r="HQ11" s="62"/>
      <c r="HR11" s="62"/>
      <c r="HS11" s="62" t="s">
        <v>1480</v>
      </c>
      <c r="HT11" s="62"/>
      <c r="HU11" s="62" t="s">
        <v>1481</v>
      </c>
      <c r="HV11" s="62"/>
      <c r="HW11" s="62"/>
      <c r="HX11" s="62"/>
      <c r="HY11" s="62"/>
      <c r="HZ11" s="62"/>
      <c r="IA11" s="62" t="s">
        <v>1482</v>
      </c>
      <c r="IB11" s="62"/>
      <c r="IC11" s="62" t="s">
        <v>1483</v>
      </c>
      <c r="ID11" s="62"/>
      <c r="IE11" s="62"/>
      <c r="IF11" s="62"/>
      <c r="IG11" s="62"/>
      <c r="IH11" s="62"/>
      <c r="II11" s="62" t="s">
        <v>1484</v>
      </c>
      <c r="IJ11" s="62"/>
      <c r="IK11" s="62" t="s">
        <v>1485</v>
      </c>
      <c r="IL11" s="62"/>
      <c r="IM11" s="62"/>
      <c r="IN11" s="62"/>
      <c r="IO11" s="62"/>
      <c r="IP11" s="62"/>
      <c r="IQ11" s="62" t="s">
        <v>1486</v>
      </c>
      <c r="IR11" s="62"/>
      <c r="IS11" s="62" t="s">
        <v>1487</v>
      </c>
      <c r="IT11" s="62"/>
      <c r="IU11" s="62"/>
      <c r="IV11" s="62"/>
      <c r="IW11" s="62"/>
      <c r="IX11" s="62"/>
      <c r="IY11" s="62" t="s">
        <v>1488</v>
      </c>
      <c r="IZ11" s="62"/>
      <c r="JA11" s="62" t="s">
        <v>1489</v>
      </c>
      <c r="JB11" s="62"/>
      <c r="JC11" s="62"/>
      <c r="JD11" s="62"/>
      <c r="JE11" s="62"/>
      <c r="JF11" s="62"/>
      <c r="JG11" s="62" t="s">
        <v>1490</v>
      </c>
      <c r="JH11" s="62"/>
      <c r="JI11" s="62" t="s">
        <v>1491</v>
      </c>
      <c r="JJ11" s="62"/>
      <c r="JK11" s="62"/>
      <c r="JL11" s="62"/>
      <c r="JM11" s="62"/>
      <c r="JN11" s="62"/>
      <c r="JO11" s="62" t="s">
        <v>1492</v>
      </c>
      <c r="JP11" s="62"/>
      <c r="JQ11" s="62" t="s">
        <v>1493</v>
      </c>
      <c r="JR11" s="62"/>
      <c r="JS11" s="62"/>
      <c r="JT11" s="62"/>
      <c r="JU11" s="62"/>
      <c r="JV11" s="62"/>
      <c r="JW11" s="62" t="s">
        <v>1494</v>
      </c>
      <c r="JX11" s="62"/>
      <c r="JY11" s="62" t="s">
        <v>1495</v>
      </c>
      <c r="JZ11" s="62"/>
      <c r="KA11" s="62"/>
      <c r="KB11" s="62"/>
      <c r="KC11" s="62"/>
      <c r="KD11" s="62"/>
      <c r="KE11" s="62" t="s">
        <v>1496</v>
      </c>
      <c r="KF11" s="62"/>
      <c r="KG11" s="62" t="s">
        <v>1497</v>
      </c>
      <c r="KH11" s="62"/>
      <c r="KI11" s="62"/>
      <c r="KJ11" s="62"/>
      <c r="KK11" s="62"/>
      <c r="KL11" s="62"/>
      <c r="KM11" s="62" t="s">
        <v>1498</v>
      </c>
      <c r="KN11" s="62"/>
      <c r="KO11" s="62" t="s">
        <v>1499</v>
      </c>
      <c r="KP11" s="62"/>
      <c r="KQ11" s="62"/>
      <c r="KR11" s="62"/>
      <c r="KS11" s="62"/>
      <c r="KT11" s="62"/>
      <c r="KU11" s="62" t="s">
        <v>1500</v>
      </c>
      <c r="KV11" s="62"/>
      <c r="KW11" s="62" t="s">
        <v>1501</v>
      </c>
      <c r="KX11" s="62"/>
      <c r="KY11" s="62"/>
      <c r="KZ11" s="62"/>
      <c r="LA11" s="62"/>
      <c r="LB11" s="62"/>
      <c r="LC11" s="62" t="s">
        <v>1502</v>
      </c>
      <c r="LD11" s="62"/>
      <c r="LE11" s="62" t="s">
        <v>1503</v>
      </c>
      <c r="LF11" s="62"/>
      <c r="LG11" s="62"/>
      <c r="LH11" s="62"/>
      <c r="LI11" s="62"/>
      <c r="LJ11" s="62"/>
      <c r="LK11" s="62" t="s">
        <v>1504</v>
      </c>
      <c r="LL11" s="62"/>
      <c r="LM11" s="62" t="s">
        <v>1505</v>
      </c>
      <c r="LN11" s="62"/>
      <c r="LO11" s="62"/>
      <c r="LP11" s="62"/>
      <c r="LQ11" s="62"/>
      <c r="LR11" s="62"/>
      <c r="LS11" s="62" t="s">
        <v>1506</v>
      </c>
      <c r="LT11" s="62"/>
      <c r="LU11" s="62" t="s">
        <v>1507</v>
      </c>
      <c r="LV11" s="62"/>
      <c r="LW11" s="62"/>
      <c r="LX11" s="62"/>
      <c r="LY11" s="62"/>
      <c r="LZ11" s="62"/>
      <c r="MA11" s="62" t="s">
        <v>1508</v>
      </c>
      <c r="MB11" s="62"/>
      <c r="MC11" s="62" t="s">
        <v>1509</v>
      </c>
      <c r="MD11" s="62"/>
      <c r="ME11" s="62"/>
      <c r="MF11" s="62"/>
      <c r="MG11" s="62"/>
      <c r="MH11" s="62"/>
      <c r="MI11" s="62" t="s">
        <v>1510</v>
      </c>
      <c r="MJ11" s="62"/>
      <c r="MK11" s="62" t="s">
        <v>1511</v>
      </c>
      <c r="ML11" s="62"/>
      <c r="MM11" s="62"/>
      <c r="MN11" s="62"/>
      <c r="MO11" s="62"/>
      <c r="MP11" s="62"/>
      <c r="MQ11" s="62" t="s">
        <v>1512</v>
      </c>
      <c r="MR11" s="62"/>
      <c r="MS11" s="62" t="s">
        <v>1513</v>
      </c>
      <c r="MT11" s="62"/>
      <c r="MU11" s="62"/>
      <c r="MV11" s="62"/>
      <c r="MW11" s="62"/>
      <c r="MX11" s="62"/>
      <c r="MY11" s="62" t="s">
        <v>1514</v>
      </c>
      <c r="MZ11" s="62"/>
      <c r="NA11" s="62" t="s">
        <v>1515</v>
      </c>
      <c r="NB11" s="62"/>
      <c r="NC11" s="62"/>
      <c r="ND11" s="62"/>
      <c r="NE11" s="62"/>
      <c r="NF11" s="62"/>
      <c r="NG11" s="62" t="s">
        <v>1516</v>
      </c>
      <c r="NH11" s="62"/>
      <c r="NI11" s="62" t="s">
        <v>1517</v>
      </c>
      <c r="NJ11" s="62"/>
      <c r="NK11" s="62"/>
      <c r="NL11" s="62"/>
      <c r="NM11" s="62"/>
      <c r="NN11" s="62"/>
      <c r="NO11" s="62" t="s">
        <v>1518</v>
      </c>
      <c r="NP11" s="62"/>
      <c r="NQ11" s="62" t="s">
        <v>1519</v>
      </c>
      <c r="NR11" s="62"/>
      <c r="NS11" s="62"/>
      <c r="NT11" s="62"/>
      <c r="NU11" s="62"/>
      <c r="NV11" s="62"/>
      <c r="NW11" s="62" t="s">
        <v>1520</v>
      </c>
      <c r="NX11" s="62"/>
      <c r="NY11" s="62" t="s">
        <v>1521</v>
      </c>
      <c r="NZ11" s="62"/>
      <c r="OA11" s="62"/>
      <c r="OB11" s="62"/>
      <c r="OC11" s="62"/>
      <c r="OD11" s="62"/>
      <c r="OE11" s="62" t="s">
        <v>1522</v>
      </c>
      <c r="OF11" s="62"/>
      <c r="OG11" s="62" t="s">
        <v>1523</v>
      </c>
      <c r="OH11" s="62"/>
      <c r="OI11" s="62"/>
      <c r="OJ11" s="62"/>
      <c r="OK11" s="62"/>
      <c r="OL11" s="62"/>
      <c r="OM11" s="62" t="s">
        <v>1524</v>
      </c>
      <c r="ON11" s="62"/>
      <c r="OO11" s="62" t="s">
        <v>1525</v>
      </c>
      <c r="OP11" s="62"/>
      <c r="OQ11" s="62"/>
      <c r="OR11" s="62"/>
      <c r="OS11" s="62"/>
      <c r="OT11" s="62"/>
      <c r="OU11" s="62" t="s">
        <v>1526</v>
      </c>
      <c r="OV11" s="62"/>
      <c r="OW11" s="62" t="s">
        <v>1527</v>
      </c>
      <c r="OX11" s="62"/>
      <c r="OY11" s="62"/>
      <c r="OZ11" s="62"/>
      <c r="PA11" s="62"/>
      <c r="PB11" s="62"/>
      <c r="PC11" s="62" t="s">
        <v>1528</v>
      </c>
      <c r="PD11" s="62"/>
      <c r="PE11" s="62" t="s">
        <v>1529</v>
      </c>
      <c r="PF11" s="62"/>
      <c r="PG11" s="62"/>
      <c r="PH11" s="62"/>
      <c r="PI11" s="62"/>
      <c r="PJ11" s="62"/>
      <c r="PK11" s="62" t="s">
        <v>1530</v>
      </c>
      <c r="PL11" s="62"/>
      <c r="PM11" s="62" t="s">
        <v>1531</v>
      </c>
      <c r="PN11" s="62"/>
      <c r="PO11" s="62"/>
      <c r="PP11" s="62"/>
      <c r="PQ11" s="62"/>
      <c r="PR11" s="62"/>
      <c r="PS11" s="62" t="s">
        <v>1532</v>
      </c>
      <c r="PT11" s="62"/>
      <c r="PU11" s="62" t="s">
        <v>1533</v>
      </c>
      <c r="PV11" s="62"/>
      <c r="PW11" s="62"/>
      <c r="PX11" s="62"/>
      <c r="PY11" s="62"/>
      <c r="PZ11" s="62"/>
      <c r="QA11" s="62" t="s">
        <v>1534</v>
      </c>
      <c r="QB11" s="62"/>
      <c r="QC11" s="62" t="s">
        <v>1535</v>
      </c>
      <c r="QD11" s="62"/>
      <c r="QE11" s="62"/>
      <c r="QF11" s="62"/>
      <c r="QG11" s="62"/>
      <c r="QH11" s="62"/>
      <c r="QI11" s="62" t="s">
        <v>2048</v>
      </c>
      <c r="QJ11" s="62"/>
      <c r="QK11" s="62" t="s">
        <v>2049</v>
      </c>
      <c r="QL11" s="62"/>
      <c r="QM11" s="62"/>
      <c r="QN11" s="62"/>
      <c r="QO11" s="62"/>
      <c r="QP11" s="62"/>
      <c r="QQ11" s="48"/>
      <c r="QR11" s="49"/>
      <c r="QS11" s="63"/>
      <c r="QT11" s="64"/>
    </row>
    <row r="12" spans="1:462" s="11" customFormat="1" x14ac:dyDescent="0.2">
      <c r="A12" s="9">
        <v>10</v>
      </c>
      <c r="B12" s="9"/>
      <c r="C12" s="9"/>
      <c r="D12" s="9" t="s">
        <v>346</v>
      </c>
      <c r="E12" s="65" t="s">
        <v>477</v>
      </c>
      <c r="F12" s="65"/>
      <c r="G12" s="91" t="s">
        <v>2219</v>
      </c>
      <c r="H12" s="66" t="s">
        <v>1108</v>
      </c>
      <c r="I12" s="9" t="s">
        <v>1098</v>
      </c>
      <c r="J12" s="9"/>
      <c r="K12" s="9" t="s">
        <v>1098</v>
      </c>
      <c r="L12" s="9"/>
      <c r="M12" s="9" t="s">
        <v>1098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67"/>
      <c r="QR12" s="68"/>
      <c r="QS12" s="63"/>
      <c r="QT12" s="71"/>
    </row>
    <row r="13" spans="1:462" s="11" customFormat="1" x14ac:dyDescent="0.2">
      <c r="A13" s="9">
        <v>10</v>
      </c>
      <c r="B13" s="9"/>
      <c r="C13" s="9"/>
      <c r="D13" s="9" t="s">
        <v>347</v>
      </c>
      <c r="E13" s="65" t="s">
        <v>478</v>
      </c>
      <c r="F13" s="65"/>
      <c r="G13" s="91" t="s">
        <v>2221</v>
      </c>
      <c r="H13" s="66" t="s">
        <v>1110</v>
      </c>
      <c r="I13" s="9" t="s">
        <v>1098</v>
      </c>
      <c r="J13" s="9"/>
      <c r="K13" s="9" t="s">
        <v>1098</v>
      </c>
      <c r="L13" s="9"/>
      <c r="M13" s="9" t="s">
        <v>1098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67"/>
      <c r="QR13" s="68"/>
      <c r="QS13" s="63"/>
      <c r="QT13" s="71"/>
    </row>
    <row r="14" spans="1:462" s="11" customFormat="1" x14ac:dyDescent="0.2">
      <c r="A14" s="9">
        <v>10</v>
      </c>
      <c r="B14" s="9"/>
      <c r="C14" s="9"/>
      <c r="D14" s="9" t="s">
        <v>348</v>
      </c>
      <c r="E14" s="65" t="s">
        <v>479</v>
      </c>
      <c r="F14" s="65"/>
      <c r="G14" s="91" t="s">
        <v>2222</v>
      </c>
      <c r="H14" s="66" t="s">
        <v>1111</v>
      </c>
      <c r="I14" s="9" t="s">
        <v>1098</v>
      </c>
      <c r="J14" s="9"/>
      <c r="K14" s="9"/>
      <c r="L14" s="9"/>
      <c r="M14" s="9"/>
      <c r="N14" s="9"/>
      <c r="O14" s="9"/>
      <c r="P14" s="9"/>
      <c r="Q14" s="9"/>
      <c r="R14" s="9"/>
      <c r="S14" s="9" t="s">
        <v>1098</v>
      </c>
      <c r="T14" s="9"/>
      <c r="U14" s="9" t="s">
        <v>1098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67"/>
      <c r="QR14" s="68"/>
      <c r="QS14" s="63"/>
      <c r="QT14" s="71"/>
    </row>
    <row r="15" spans="1:462" s="11" customFormat="1" x14ac:dyDescent="0.2">
      <c r="A15" s="9">
        <v>10</v>
      </c>
      <c r="B15" s="9"/>
      <c r="C15" s="9"/>
      <c r="D15" s="9" t="s">
        <v>349</v>
      </c>
      <c r="E15" s="65" t="s">
        <v>480</v>
      </c>
      <c r="F15" s="65"/>
      <c r="G15" s="91" t="s">
        <v>2224</v>
      </c>
      <c r="H15" s="66" t="s">
        <v>1536</v>
      </c>
      <c r="I15" s="9" t="s">
        <v>1098</v>
      </c>
      <c r="J15" s="9"/>
      <c r="K15" s="9"/>
      <c r="L15" s="9"/>
      <c r="M15" s="9"/>
      <c r="N15" s="9"/>
      <c r="O15" s="9"/>
      <c r="P15" s="9"/>
      <c r="Q15" s="9"/>
      <c r="R15" s="9"/>
      <c r="S15" s="9" t="s">
        <v>1098</v>
      </c>
      <c r="T15" s="9"/>
      <c r="U15" s="9" t="s">
        <v>1098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67"/>
      <c r="QR15" s="68"/>
      <c r="QS15" s="63"/>
      <c r="QT15" s="71"/>
    </row>
    <row r="16" spans="1:462" s="11" customFormat="1" x14ac:dyDescent="0.2">
      <c r="A16" s="9">
        <v>10</v>
      </c>
      <c r="B16" s="9"/>
      <c r="C16" s="9"/>
      <c r="D16" s="9" t="s">
        <v>350</v>
      </c>
      <c r="E16" s="65" t="s">
        <v>481</v>
      </c>
      <c r="F16" s="65"/>
      <c r="G16" s="91" t="s">
        <v>2225</v>
      </c>
      <c r="H16" s="66" t="s">
        <v>1537</v>
      </c>
      <c r="I16" s="9" t="s">
        <v>1098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 t="s">
        <v>1098</v>
      </c>
      <c r="AB16" s="9"/>
      <c r="AC16" s="9" t="s">
        <v>1098</v>
      </c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67"/>
      <c r="QR16" s="68"/>
      <c r="QS16" s="63"/>
      <c r="QT16" s="71"/>
    </row>
    <row r="17" spans="1:462" s="11" customFormat="1" x14ac:dyDescent="0.2">
      <c r="A17" s="9">
        <v>10</v>
      </c>
      <c r="B17" s="9"/>
      <c r="C17" s="9"/>
      <c r="D17" s="9" t="s">
        <v>351</v>
      </c>
      <c r="E17" s="65" t="s">
        <v>482</v>
      </c>
      <c r="F17" s="65"/>
      <c r="G17" s="91" t="s">
        <v>2227</v>
      </c>
      <c r="H17" s="66" t="s">
        <v>1538</v>
      </c>
      <c r="I17" s="9" t="s">
        <v>1098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 t="s">
        <v>1098</v>
      </c>
      <c r="AB17" s="9"/>
      <c r="AC17" s="9" t="s">
        <v>1098</v>
      </c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67"/>
      <c r="QR17" s="68"/>
      <c r="QS17" s="63"/>
      <c r="QT17" s="71"/>
    </row>
    <row r="18" spans="1:462" s="11" customFormat="1" x14ac:dyDescent="0.2">
      <c r="A18" s="9">
        <v>10</v>
      </c>
      <c r="B18" s="9"/>
      <c r="C18" s="9"/>
      <c r="D18" s="9" t="s">
        <v>352</v>
      </c>
      <c r="E18" s="65" t="s">
        <v>483</v>
      </c>
      <c r="F18" s="65"/>
      <c r="G18" s="91" t="s">
        <v>2228</v>
      </c>
      <c r="H18" s="66" t="s">
        <v>1539</v>
      </c>
      <c r="I18" s="9" t="s">
        <v>1098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 t="s">
        <v>1098</v>
      </c>
      <c r="AJ18" s="9"/>
      <c r="AK18" s="9" t="s">
        <v>1098</v>
      </c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67"/>
      <c r="QR18" s="68"/>
      <c r="QS18" s="63"/>
      <c r="QT18" s="71"/>
    </row>
    <row r="19" spans="1:462" s="11" customFormat="1" x14ac:dyDescent="0.2">
      <c r="A19" s="9">
        <v>10</v>
      </c>
      <c r="B19" s="9"/>
      <c r="C19" s="9"/>
      <c r="D19" s="9" t="s">
        <v>353</v>
      </c>
      <c r="E19" s="65" t="s">
        <v>484</v>
      </c>
      <c r="F19" s="65"/>
      <c r="G19" s="91" t="s">
        <v>2230</v>
      </c>
      <c r="H19" s="66" t="s">
        <v>1540</v>
      </c>
      <c r="I19" s="9" t="s">
        <v>1098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 t="s">
        <v>1098</v>
      </c>
      <c r="AJ19" s="9"/>
      <c r="AK19" s="9" t="s">
        <v>1098</v>
      </c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67"/>
      <c r="QR19" s="68"/>
      <c r="QS19" s="63"/>
      <c r="QT19" s="71"/>
    </row>
    <row r="20" spans="1:462" s="11" customFormat="1" x14ac:dyDescent="0.2">
      <c r="A20" s="9">
        <v>10</v>
      </c>
      <c r="B20" s="9"/>
      <c r="C20" s="9"/>
      <c r="D20" s="9" t="s">
        <v>354</v>
      </c>
      <c r="E20" s="65" t="s">
        <v>485</v>
      </c>
      <c r="F20" s="65"/>
      <c r="G20" s="91" t="s">
        <v>2231</v>
      </c>
      <c r="H20" s="66" t="s">
        <v>1541</v>
      </c>
      <c r="I20" s="9" t="s">
        <v>1098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 t="s">
        <v>1098</v>
      </c>
      <c r="AR20" s="9"/>
      <c r="AS20" s="9" t="s">
        <v>1098</v>
      </c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67"/>
      <c r="QR20" s="68"/>
      <c r="QS20" s="63"/>
      <c r="QT20" s="71"/>
    </row>
    <row r="21" spans="1:462" s="11" customFormat="1" x14ac:dyDescent="0.2">
      <c r="A21" s="9">
        <v>10</v>
      </c>
      <c r="B21" s="9"/>
      <c r="C21" s="9"/>
      <c r="D21" s="9" t="s">
        <v>355</v>
      </c>
      <c r="E21" s="65" t="s">
        <v>486</v>
      </c>
      <c r="F21" s="65"/>
      <c r="G21" s="92" t="s">
        <v>2233</v>
      </c>
      <c r="H21" s="66" t="s">
        <v>1542</v>
      </c>
      <c r="I21" s="9" t="s">
        <v>1098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 t="s">
        <v>1098</v>
      </c>
      <c r="AR21" s="9"/>
      <c r="AS21" s="9" t="s">
        <v>1098</v>
      </c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67"/>
      <c r="QR21" s="68"/>
      <c r="QS21" s="63"/>
      <c r="QT21" s="71"/>
    </row>
    <row r="22" spans="1:462" s="11" customFormat="1" x14ac:dyDescent="0.2">
      <c r="A22" s="9">
        <v>10</v>
      </c>
      <c r="B22" s="9"/>
      <c r="C22" s="9"/>
      <c r="D22" s="9" t="s">
        <v>356</v>
      </c>
      <c r="E22" s="65" t="s">
        <v>487</v>
      </c>
      <c r="F22" s="65"/>
      <c r="G22" s="91" t="s">
        <v>2234</v>
      </c>
      <c r="H22" s="66" t="s">
        <v>1543</v>
      </c>
      <c r="I22" s="9" t="s">
        <v>1098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 t="s">
        <v>1098</v>
      </c>
      <c r="AZ22" s="9"/>
      <c r="BA22" s="9" t="s">
        <v>1098</v>
      </c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67"/>
      <c r="QR22" s="68"/>
      <c r="QS22" s="63"/>
      <c r="QT22" s="71"/>
    </row>
    <row r="23" spans="1:462" s="11" customFormat="1" x14ac:dyDescent="0.2">
      <c r="A23" s="9">
        <v>10</v>
      </c>
      <c r="B23" s="9"/>
      <c r="C23" s="9"/>
      <c r="D23" s="9" t="s">
        <v>357</v>
      </c>
      <c r="E23" s="65" t="s">
        <v>488</v>
      </c>
      <c r="F23" s="65"/>
      <c r="G23" s="92" t="s">
        <v>2236</v>
      </c>
      <c r="H23" s="66" t="s">
        <v>1544</v>
      </c>
      <c r="I23" s="9" t="s">
        <v>1098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 t="s">
        <v>1098</v>
      </c>
      <c r="AZ23" s="9"/>
      <c r="BA23" s="9" t="s">
        <v>1098</v>
      </c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67"/>
      <c r="QR23" s="68"/>
      <c r="QS23" s="63"/>
      <c r="QT23" s="71"/>
    </row>
    <row r="24" spans="1:462" s="11" customFormat="1" x14ac:dyDescent="0.2">
      <c r="A24" s="9">
        <v>10</v>
      </c>
      <c r="B24" s="9"/>
      <c r="C24" s="9"/>
      <c r="D24" s="9" t="s">
        <v>358</v>
      </c>
      <c r="E24" s="65" t="s">
        <v>489</v>
      </c>
      <c r="F24" s="65"/>
      <c r="G24" s="91" t="s">
        <v>2237</v>
      </c>
      <c r="H24" s="66" t="s">
        <v>1545</v>
      </c>
      <c r="I24" s="9" t="s">
        <v>1098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 t="s">
        <v>1098</v>
      </c>
      <c r="BH24" s="9"/>
      <c r="BI24" s="9" t="s">
        <v>1098</v>
      </c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67"/>
      <c r="QR24" s="68"/>
      <c r="QS24" s="63"/>
      <c r="QT24" s="71"/>
    </row>
    <row r="25" spans="1:462" s="11" customFormat="1" x14ac:dyDescent="0.2">
      <c r="A25" s="9">
        <v>10</v>
      </c>
      <c r="B25" s="9"/>
      <c r="C25" s="9"/>
      <c r="D25" s="9" t="s">
        <v>359</v>
      </c>
      <c r="E25" s="65" t="s">
        <v>490</v>
      </c>
      <c r="F25" s="65"/>
      <c r="G25" s="92" t="s">
        <v>2239</v>
      </c>
      <c r="H25" s="66" t="s">
        <v>1546</v>
      </c>
      <c r="I25" s="9" t="s">
        <v>1098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 t="s">
        <v>1098</v>
      </c>
      <c r="BH25" s="9"/>
      <c r="BI25" s="9" t="s">
        <v>1098</v>
      </c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67"/>
      <c r="QR25" s="68"/>
      <c r="QS25" s="63"/>
      <c r="QT25" s="71"/>
    </row>
    <row r="26" spans="1:462" s="11" customFormat="1" ht="26" x14ac:dyDescent="0.2">
      <c r="A26" s="9">
        <v>10</v>
      </c>
      <c r="B26" s="9"/>
      <c r="C26" s="9"/>
      <c r="D26" s="9" t="s">
        <v>360</v>
      </c>
      <c r="E26" s="65" t="s">
        <v>491</v>
      </c>
      <c r="F26" s="65"/>
      <c r="G26" s="92" t="s">
        <v>2240</v>
      </c>
      <c r="H26" s="66" t="s">
        <v>1547</v>
      </c>
      <c r="I26" s="9" t="s">
        <v>1098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 t="s">
        <v>1098</v>
      </c>
      <c r="BH26" s="9"/>
      <c r="BI26" s="9" t="s">
        <v>1098</v>
      </c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67"/>
      <c r="QR26" s="68"/>
      <c r="QS26" s="63"/>
      <c r="QT26" s="71"/>
    </row>
    <row r="27" spans="1:462" s="11" customFormat="1" ht="26" x14ac:dyDescent="0.2">
      <c r="A27" s="9">
        <v>10</v>
      </c>
      <c r="B27" s="9"/>
      <c r="C27" s="9"/>
      <c r="D27" s="9" t="s">
        <v>361</v>
      </c>
      <c r="E27" s="65" t="s">
        <v>491</v>
      </c>
      <c r="F27" s="65"/>
      <c r="G27" s="92" t="s">
        <v>2241</v>
      </c>
      <c r="H27" s="66" t="s">
        <v>1548</v>
      </c>
      <c r="I27" s="9" t="s">
        <v>1098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 t="s">
        <v>1098</v>
      </c>
      <c r="BH27" s="9"/>
      <c r="BI27" s="9" t="s">
        <v>1098</v>
      </c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67"/>
      <c r="QR27" s="68"/>
      <c r="QS27" s="63"/>
      <c r="QT27" s="71"/>
    </row>
    <row r="28" spans="1:462" s="11" customFormat="1" x14ac:dyDescent="0.2">
      <c r="A28" s="9">
        <v>10</v>
      </c>
      <c r="B28" s="9"/>
      <c r="C28" s="9"/>
      <c r="D28" s="9" t="s">
        <v>362</v>
      </c>
      <c r="E28" s="65" t="s">
        <v>492</v>
      </c>
      <c r="F28" s="65"/>
      <c r="G28" s="91" t="s">
        <v>2242</v>
      </c>
      <c r="H28" s="66" t="s">
        <v>1549</v>
      </c>
      <c r="I28" s="9" t="s">
        <v>1098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 t="s">
        <v>1098</v>
      </c>
      <c r="BP28" s="9"/>
      <c r="BQ28" s="9" t="s">
        <v>1098</v>
      </c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67"/>
      <c r="QR28" s="68"/>
      <c r="QS28" s="63"/>
      <c r="QT28" s="71"/>
    </row>
    <row r="29" spans="1:462" s="11" customFormat="1" x14ac:dyDescent="0.2">
      <c r="A29" s="9">
        <v>10</v>
      </c>
      <c r="B29" s="9"/>
      <c r="C29" s="9"/>
      <c r="D29" s="9" t="s">
        <v>363</v>
      </c>
      <c r="E29" s="65" t="s">
        <v>493</v>
      </c>
      <c r="F29" s="65"/>
      <c r="G29" s="92" t="s">
        <v>2244</v>
      </c>
      <c r="H29" s="66" t="s">
        <v>1550</v>
      </c>
      <c r="I29" s="9" t="s">
        <v>1098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 t="s">
        <v>1098</v>
      </c>
      <c r="BP29" s="9"/>
      <c r="BQ29" s="9" t="s">
        <v>1098</v>
      </c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67"/>
      <c r="QR29" s="68"/>
      <c r="QS29" s="63"/>
      <c r="QT29" s="71"/>
    </row>
    <row r="30" spans="1:462" s="11" customFormat="1" x14ac:dyDescent="0.2">
      <c r="A30" s="9">
        <v>10</v>
      </c>
      <c r="B30" s="9"/>
      <c r="C30" s="9"/>
      <c r="D30" s="9" t="s">
        <v>364</v>
      </c>
      <c r="E30" s="65" t="s">
        <v>491</v>
      </c>
      <c r="F30" s="65"/>
      <c r="G30" s="92" t="s">
        <v>2245</v>
      </c>
      <c r="H30" s="66" t="s">
        <v>1551</v>
      </c>
      <c r="I30" s="9" t="s">
        <v>1098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 t="s">
        <v>1098</v>
      </c>
      <c r="BP30" s="9"/>
      <c r="BQ30" s="9" t="s">
        <v>1098</v>
      </c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67"/>
      <c r="QR30" s="68"/>
      <c r="QS30" s="63"/>
      <c r="QT30" s="71"/>
    </row>
    <row r="31" spans="1:462" s="11" customFormat="1" x14ac:dyDescent="0.2">
      <c r="A31" s="9">
        <v>10</v>
      </c>
      <c r="B31" s="9"/>
      <c r="C31" s="9"/>
      <c r="D31" s="9" t="s">
        <v>761</v>
      </c>
      <c r="E31" s="65" t="s">
        <v>768</v>
      </c>
      <c r="F31" s="65"/>
      <c r="G31" s="92" t="s">
        <v>2246</v>
      </c>
      <c r="H31" s="66" t="s">
        <v>1552</v>
      </c>
      <c r="I31" s="9" t="s">
        <v>1098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 t="s">
        <v>1553</v>
      </c>
      <c r="BP31" s="9"/>
      <c r="BQ31" s="9" t="s">
        <v>1553</v>
      </c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67"/>
      <c r="QR31" s="68"/>
      <c r="QS31" s="63"/>
      <c r="QT31" s="71"/>
    </row>
    <row r="32" spans="1:462" s="11" customFormat="1" x14ac:dyDescent="0.2">
      <c r="A32" s="9">
        <v>10</v>
      </c>
      <c r="B32" s="9"/>
      <c r="C32" s="9"/>
      <c r="D32" s="9" t="s">
        <v>365</v>
      </c>
      <c r="E32" s="65" t="s">
        <v>494</v>
      </c>
      <c r="F32" s="65"/>
      <c r="G32" s="91" t="s">
        <v>2248</v>
      </c>
      <c r="H32" s="66" t="s">
        <v>1554</v>
      </c>
      <c r="I32" s="9" t="s">
        <v>1098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 t="s">
        <v>1098</v>
      </c>
      <c r="BX32" s="9"/>
      <c r="BY32" s="9" t="s">
        <v>1098</v>
      </c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67"/>
      <c r="QR32" s="68"/>
      <c r="QS32" s="63"/>
      <c r="QT32" s="71"/>
    </row>
    <row r="33" spans="1:462" s="11" customFormat="1" x14ac:dyDescent="0.2">
      <c r="A33" s="9">
        <v>10</v>
      </c>
      <c r="B33" s="9"/>
      <c r="C33" s="9"/>
      <c r="D33" s="9" t="s">
        <v>366</v>
      </c>
      <c r="E33" s="65" t="s">
        <v>495</v>
      </c>
      <c r="F33" s="65"/>
      <c r="G33" s="92" t="s">
        <v>2250</v>
      </c>
      <c r="H33" s="66" t="s">
        <v>1555</v>
      </c>
      <c r="I33" s="9" t="s">
        <v>1098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 t="s">
        <v>1098</v>
      </c>
      <c r="BX33" s="9"/>
      <c r="BY33" s="9" t="s">
        <v>1098</v>
      </c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LY33" s="9"/>
      <c r="LZ33" s="9"/>
      <c r="MA33" s="9"/>
      <c r="MB33" s="9"/>
      <c r="MC33" s="9"/>
      <c r="MD33" s="9"/>
      <c r="ME33" s="9"/>
      <c r="MF33" s="9"/>
      <c r="MG33" s="9"/>
      <c r="MH33" s="9"/>
      <c r="MI33" s="9"/>
      <c r="MJ33" s="9"/>
      <c r="MK33" s="9"/>
      <c r="ML33" s="9"/>
      <c r="MM33" s="9"/>
      <c r="MN33" s="9"/>
      <c r="MO33" s="9"/>
      <c r="MP33" s="9"/>
      <c r="MQ33" s="9"/>
      <c r="MR33" s="9"/>
      <c r="MS33" s="9"/>
      <c r="MT33" s="9"/>
      <c r="MU33" s="9"/>
      <c r="MV33" s="9"/>
      <c r="MW33" s="9"/>
      <c r="MX33" s="9"/>
      <c r="MY33" s="9"/>
      <c r="MZ33" s="9"/>
      <c r="NA33" s="9"/>
      <c r="NB33" s="9"/>
      <c r="NC33" s="9"/>
      <c r="ND33" s="9"/>
      <c r="NE33" s="9"/>
      <c r="NF33" s="9"/>
      <c r="NG33" s="9"/>
      <c r="NH33" s="9"/>
      <c r="NI33" s="9"/>
      <c r="NJ33" s="9"/>
      <c r="NK33" s="9"/>
      <c r="NL33" s="9"/>
      <c r="NM33" s="9"/>
      <c r="NN33" s="9"/>
      <c r="NO33" s="9"/>
      <c r="NP33" s="9"/>
      <c r="NQ33" s="9"/>
      <c r="NR33" s="9"/>
      <c r="NS33" s="9"/>
      <c r="NT33" s="9"/>
      <c r="NU33" s="9"/>
      <c r="NV33" s="9"/>
      <c r="NW33" s="9"/>
      <c r="NX33" s="9"/>
      <c r="NY33" s="9"/>
      <c r="NZ33" s="9"/>
      <c r="OA33" s="9"/>
      <c r="OB33" s="9"/>
      <c r="OC33" s="9"/>
      <c r="OD33" s="9"/>
      <c r="OE33" s="9"/>
      <c r="OF33" s="9"/>
      <c r="OG33" s="9"/>
      <c r="OH33" s="9"/>
      <c r="OI33" s="9"/>
      <c r="OJ33" s="9"/>
      <c r="OK33" s="9"/>
      <c r="OL33" s="9"/>
      <c r="OM33" s="9"/>
      <c r="ON33" s="9"/>
      <c r="OO33" s="9"/>
      <c r="OP33" s="9"/>
      <c r="OQ33" s="9"/>
      <c r="OR33" s="9"/>
      <c r="OS33" s="9"/>
      <c r="OT33" s="9"/>
      <c r="OU33" s="9"/>
      <c r="OV33" s="9"/>
      <c r="OW33" s="9"/>
      <c r="OX33" s="9"/>
      <c r="OY33" s="9"/>
      <c r="OZ33" s="9"/>
      <c r="PA33" s="9"/>
      <c r="PB33" s="9"/>
      <c r="PC33" s="9"/>
      <c r="PD33" s="9"/>
      <c r="PE33" s="9"/>
      <c r="PF33" s="9"/>
      <c r="PG33" s="9"/>
      <c r="PH33" s="9"/>
      <c r="PI33" s="9"/>
      <c r="PJ33" s="9"/>
      <c r="PK33" s="9"/>
      <c r="PL33" s="9"/>
      <c r="PM33" s="9"/>
      <c r="PN33" s="9"/>
      <c r="PO33" s="9"/>
      <c r="PP33" s="9"/>
      <c r="PQ33" s="9"/>
      <c r="PR33" s="9"/>
      <c r="PS33" s="9"/>
      <c r="PT33" s="9"/>
      <c r="PU33" s="9"/>
      <c r="PV33" s="9"/>
      <c r="PW33" s="9"/>
      <c r="PX33" s="9"/>
      <c r="PY33" s="9"/>
      <c r="PZ33" s="9"/>
      <c r="QA33" s="9"/>
      <c r="QB33" s="9"/>
      <c r="QC33" s="9"/>
      <c r="QD33" s="9"/>
      <c r="QE33" s="9"/>
      <c r="QF33" s="9"/>
      <c r="QG33" s="9"/>
      <c r="QH33" s="9"/>
      <c r="QI33" s="9"/>
      <c r="QJ33" s="9"/>
      <c r="QK33" s="9"/>
      <c r="QL33" s="9"/>
      <c r="QM33" s="9"/>
      <c r="QN33" s="9"/>
      <c r="QO33" s="9"/>
      <c r="QP33" s="9"/>
      <c r="QQ33" s="67"/>
      <c r="QR33" s="68"/>
      <c r="QS33" s="63"/>
      <c r="QT33" s="71"/>
    </row>
    <row r="34" spans="1:462" s="11" customFormat="1" x14ac:dyDescent="0.2">
      <c r="A34" s="9">
        <v>10</v>
      </c>
      <c r="B34" s="9"/>
      <c r="C34" s="9"/>
      <c r="D34" s="9" t="s">
        <v>573</v>
      </c>
      <c r="E34" s="65" t="s">
        <v>496</v>
      </c>
      <c r="F34" s="65"/>
      <c r="G34" s="92" t="s">
        <v>2251</v>
      </c>
      <c r="H34" s="66" t="s">
        <v>1556</v>
      </c>
      <c r="I34" s="9" t="s">
        <v>1098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 t="s">
        <v>1557</v>
      </c>
      <c r="BX34" s="9"/>
      <c r="BY34" s="9" t="s">
        <v>1557</v>
      </c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9"/>
      <c r="PD34" s="9"/>
      <c r="PE34" s="9"/>
      <c r="PF34" s="9"/>
      <c r="PG34" s="9"/>
      <c r="PH34" s="9"/>
      <c r="PI34" s="9"/>
      <c r="PJ34" s="9"/>
      <c r="PK34" s="9"/>
      <c r="PL34" s="9"/>
      <c r="PM34" s="9"/>
      <c r="PN34" s="9"/>
      <c r="PO34" s="9"/>
      <c r="PP34" s="9"/>
      <c r="PQ34" s="9"/>
      <c r="PR34" s="9"/>
      <c r="PS34" s="9"/>
      <c r="PT34" s="9"/>
      <c r="PU34" s="9"/>
      <c r="PV34" s="9"/>
      <c r="PW34" s="9"/>
      <c r="PX34" s="9"/>
      <c r="PY34" s="9"/>
      <c r="PZ34" s="9"/>
      <c r="QA34" s="9"/>
      <c r="QB34" s="9"/>
      <c r="QC34" s="9"/>
      <c r="QD34" s="9"/>
      <c r="QE34" s="9"/>
      <c r="QF34" s="9"/>
      <c r="QG34" s="9"/>
      <c r="QH34" s="9"/>
      <c r="QI34" s="9"/>
      <c r="QJ34" s="9"/>
      <c r="QK34" s="9"/>
      <c r="QL34" s="9"/>
      <c r="QM34" s="9"/>
      <c r="QN34" s="9"/>
      <c r="QO34" s="9"/>
      <c r="QP34" s="9"/>
      <c r="QQ34" s="67"/>
      <c r="QR34" s="68"/>
      <c r="QS34" s="63"/>
      <c r="QT34" s="71"/>
    </row>
    <row r="35" spans="1:462" s="11" customFormat="1" x14ac:dyDescent="0.2">
      <c r="A35" s="9">
        <v>10</v>
      </c>
      <c r="B35" s="9"/>
      <c r="C35" s="9"/>
      <c r="D35" s="9" t="s">
        <v>574</v>
      </c>
      <c r="E35" s="65" t="s">
        <v>494</v>
      </c>
      <c r="F35" s="65"/>
      <c r="G35" s="91" t="s">
        <v>2248</v>
      </c>
      <c r="H35" s="66" t="s">
        <v>1554</v>
      </c>
      <c r="I35" s="9" t="s">
        <v>1098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 t="s">
        <v>1558</v>
      </c>
      <c r="CF35" s="9"/>
      <c r="CG35" s="9" t="s">
        <v>1558</v>
      </c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67"/>
      <c r="QR35" s="68"/>
      <c r="QS35" s="63"/>
      <c r="QT35" s="71"/>
    </row>
    <row r="36" spans="1:462" s="11" customFormat="1" x14ac:dyDescent="0.2">
      <c r="A36" s="9">
        <v>10</v>
      </c>
      <c r="B36" s="9"/>
      <c r="C36" s="9"/>
      <c r="D36" s="9" t="s">
        <v>369</v>
      </c>
      <c r="E36" s="65" t="s">
        <v>498</v>
      </c>
      <c r="F36" s="65"/>
      <c r="G36" s="92" t="s">
        <v>2253</v>
      </c>
      <c r="H36" s="66" t="s">
        <v>1559</v>
      </c>
      <c r="I36" s="9" t="s">
        <v>1098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 t="s">
        <v>1098</v>
      </c>
      <c r="CF36" s="9"/>
      <c r="CG36" s="9" t="s">
        <v>1098</v>
      </c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67"/>
      <c r="QR36" s="68"/>
      <c r="QS36" s="63"/>
      <c r="QT36" s="71"/>
    </row>
    <row r="37" spans="1:462" s="11" customFormat="1" x14ac:dyDescent="0.2">
      <c r="A37" s="9">
        <v>10</v>
      </c>
      <c r="B37" s="9"/>
      <c r="C37" s="9"/>
      <c r="D37" s="9" t="s">
        <v>370</v>
      </c>
      <c r="E37" s="65" t="s">
        <v>499</v>
      </c>
      <c r="F37" s="65"/>
      <c r="G37" s="92" t="s">
        <v>2255</v>
      </c>
      <c r="H37" s="66" t="s">
        <v>1560</v>
      </c>
      <c r="I37" s="9" t="s">
        <v>1098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 t="s">
        <v>1098</v>
      </c>
      <c r="CF37" s="9"/>
      <c r="CG37" s="9" t="s">
        <v>1098</v>
      </c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  <c r="PL37" s="9"/>
      <c r="PM37" s="9"/>
      <c r="PN37" s="9"/>
      <c r="PO37" s="9"/>
      <c r="PP37" s="9"/>
      <c r="PQ37" s="9"/>
      <c r="PR37" s="9"/>
      <c r="PS37" s="9"/>
      <c r="PT37" s="9"/>
      <c r="PU37" s="9"/>
      <c r="PV37" s="9"/>
      <c r="PW37" s="9"/>
      <c r="PX37" s="9"/>
      <c r="PY37" s="9"/>
      <c r="PZ37" s="9"/>
      <c r="QA37" s="9"/>
      <c r="QB37" s="9"/>
      <c r="QC37" s="9"/>
      <c r="QD37" s="9"/>
      <c r="QE37" s="9"/>
      <c r="QF37" s="9"/>
      <c r="QG37" s="9"/>
      <c r="QH37" s="9"/>
      <c r="QI37" s="9"/>
      <c r="QJ37" s="9"/>
      <c r="QK37" s="9"/>
      <c r="QL37" s="9"/>
      <c r="QM37" s="9"/>
      <c r="QN37" s="9"/>
      <c r="QO37" s="9"/>
      <c r="QP37" s="9"/>
      <c r="QQ37" s="67"/>
      <c r="QR37" s="68"/>
      <c r="QS37" s="63"/>
      <c r="QT37" s="71"/>
    </row>
    <row r="38" spans="1:462" s="11" customFormat="1" x14ac:dyDescent="0.2">
      <c r="A38" s="9">
        <v>10</v>
      </c>
      <c r="B38" s="9"/>
      <c r="C38" s="9"/>
      <c r="D38" s="9" t="s">
        <v>575</v>
      </c>
      <c r="E38" s="65" t="s">
        <v>496</v>
      </c>
      <c r="F38" s="65"/>
      <c r="G38" s="92" t="s">
        <v>2251</v>
      </c>
      <c r="H38" s="66" t="s">
        <v>1556</v>
      </c>
      <c r="I38" s="9" t="s">
        <v>1098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 t="s">
        <v>1557</v>
      </c>
      <c r="CF38" s="9"/>
      <c r="CG38" s="9" t="s">
        <v>1557</v>
      </c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67"/>
      <c r="QR38" s="68"/>
      <c r="QS38" s="63"/>
      <c r="QT38" s="71"/>
    </row>
    <row r="39" spans="1:462" s="11" customFormat="1" x14ac:dyDescent="0.2">
      <c r="A39" s="9">
        <v>10</v>
      </c>
      <c r="B39" s="9"/>
      <c r="C39" s="9"/>
      <c r="D39" s="9" t="s">
        <v>371</v>
      </c>
      <c r="E39" s="65" t="s">
        <v>500</v>
      </c>
      <c r="F39" s="65"/>
      <c r="G39" s="91" t="s">
        <v>2256</v>
      </c>
      <c r="H39" s="66" t="s">
        <v>1561</v>
      </c>
      <c r="I39" s="9" t="s">
        <v>1098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 t="s">
        <v>1098</v>
      </c>
      <c r="CN39" s="9"/>
      <c r="CO39" s="9" t="s">
        <v>1098</v>
      </c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67"/>
      <c r="QR39" s="68"/>
      <c r="QS39" s="63"/>
      <c r="QT39" s="71"/>
    </row>
    <row r="40" spans="1:462" s="11" customFormat="1" x14ac:dyDescent="0.2">
      <c r="A40" s="9">
        <v>10</v>
      </c>
      <c r="B40" s="9"/>
      <c r="C40" s="9"/>
      <c r="D40" s="9" t="s">
        <v>372</v>
      </c>
      <c r="E40" s="65" t="s">
        <v>501</v>
      </c>
      <c r="F40" s="65"/>
      <c r="G40" s="92" t="s">
        <v>2258</v>
      </c>
      <c r="H40" s="66" t="s">
        <v>1562</v>
      </c>
      <c r="I40" s="9" t="s">
        <v>1098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 t="s">
        <v>1098</v>
      </c>
      <c r="CN40" s="9"/>
      <c r="CO40" s="9" t="s">
        <v>1098</v>
      </c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9"/>
      <c r="LG40" s="9"/>
      <c r="LH40" s="9"/>
      <c r="LI40" s="9"/>
      <c r="LJ40" s="9"/>
      <c r="LK40" s="9"/>
      <c r="LL40" s="9"/>
      <c r="LM40" s="9"/>
      <c r="LN40" s="9"/>
      <c r="LO40" s="9"/>
      <c r="LP40" s="9"/>
      <c r="LQ40" s="9"/>
      <c r="LR40" s="9"/>
      <c r="LS40" s="9"/>
      <c r="LT40" s="9"/>
      <c r="LU40" s="9"/>
      <c r="LV40" s="9"/>
      <c r="LW40" s="9"/>
      <c r="LX40" s="9"/>
      <c r="LY40" s="9"/>
      <c r="LZ40" s="9"/>
      <c r="MA40" s="9"/>
      <c r="MB40" s="9"/>
      <c r="MC40" s="9"/>
      <c r="MD40" s="9"/>
      <c r="ME40" s="9"/>
      <c r="MF40" s="9"/>
      <c r="MG40" s="9"/>
      <c r="MH40" s="9"/>
      <c r="MI40" s="9"/>
      <c r="MJ40" s="9"/>
      <c r="MK40" s="9"/>
      <c r="ML40" s="9"/>
      <c r="MM40" s="9"/>
      <c r="MN40" s="9"/>
      <c r="MO40" s="9"/>
      <c r="MP40" s="9"/>
      <c r="MQ40" s="9"/>
      <c r="MR40" s="9"/>
      <c r="MS40" s="9"/>
      <c r="MT40" s="9"/>
      <c r="MU40" s="9"/>
      <c r="MV40" s="9"/>
      <c r="MW40" s="9"/>
      <c r="MX40" s="9"/>
      <c r="MY40" s="9"/>
      <c r="MZ40" s="9"/>
      <c r="NA40" s="9"/>
      <c r="NB40" s="9"/>
      <c r="NC40" s="9"/>
      <c r="ND40" s="9"/>
      <c r="NE40" s="9"/>
      <c r="NF40" s="9"/>
      <c r="NG40" s="9"/>
      <c r="NH40" s="9"/>
      <c r="NI40" s="9"/>
      <c r="NJ40" s="9"/>
      <c r="NK40" s="9"/>
      <c r="NL40" s="9"/>
      <c r="NM40" s="9"/>
      <c r="NN40" s="9"/>
      <c r="NO40" s="9"/>
      <c r="NP40" s="9"/>
      <c r="NQ40" s="9"/>
      <c r="NR40" s="9"/>
      <c r="NS40" s="9"/>
      <c r="NT40" s="9"/>
      <c r="NU40" s="9"/>
      <c r="NV40" s="9"/>
      <c r="NW40" s="9"/>
      <c r="NX40" s="9"/>
      <c r="NY40" s="9"/>
      <c r="NZ40" s="9"/>
      <c r="OA40" s="9"/>
      <c r="OB40" s="9"/>
      <c r="OC40" s="9"/>
      <c r="OD40" s="9"/>
      <c r="OE40" s="9"/>
      <c r="OF40" s="9"/>
      <c r="OG40" s="9"/>
      <c r="OH40" s="9"/>
      <c r="OI40" s="9"/>
      <c r="OJ40" s="9"/>
      <c r="OK40" s="9"/>
      <c r="OL40" s="9"/>
      <c r="OM40" s="9"/>
      <c r="ON40" s="9"/>
      <c r="OO40" s="9"/>
      <c r="OP40" s="9"/>
      <c r="OQ40" s="9"/>
      <c r="OR40" s="9"/>
      <c r="OS40" s="9"/>
      <c r="OT40" s="9"/>
      <c r="OU40" s="9"/>
      <c r="OV40" s="9"/>
      <c r="OW40" s="9"/>
      <c r="OX40" s="9"/>
      <c r="OY40" s="9"/>
      <c r="OZ40" s="9"/>
      <c r="PA40" s="9"/>
      <c r="PB40" s="9"/>
      <c r="PC40" s="9"/>
      <c r="PD40" s="9"/>
      <c r="PE40" s="9"/>
      <c r="PF40" s="9"/>
      <c r="PG40" s="9"/>
      <c r="PH40" s="9"/>
      <c r="PI40" s="9"/>
      <c r="PJ40" s="9"/>
      <c r="PK40" s="9"/>
      <c r="PL40" s="9"/>
      <c r="PM40" s="9"/>
      <c r="PN40" s="9"/>
      <c r="PO40" s="9"/>
      <c r="PP40" s="9"/>
      <c r="PQ40" s="9"/>
      <c r="PR40" s="9"/>
      <c r="PS40" s="9"/>
      <c r="PT40" s="9"/>
      <c r="PU40" s="9"/>
      <c r="PV40" s="9"/>
      <c r="PW40" s="9"/>
      <c r="PX40" s="9"/>
      <c r="PY40" s="9"/>
      <c r="PZ40" s="9"/>
      <c r="QA40" s="9"/>
      <c r="QB40" s="9"/>
      <c r="QC40" s="9"/>
      <c r="QD40" s="9"/>
      <c r="QE40" s="9"/>
      <c r="QF40" s="9"/>
      <c r="QG40" s="9"/>
      <c r="QH40" s="9"/>
      <c r="QI40" s="9"/>
      <c r="QJ40" s="9"/>
      <c r="QK40" s="9"/>
      <c r="QL40" s="9"/>
      <c r="QM40" s="9"/>
      <c r="QN40" s="9"/>
      <c r="QO40" s="9"/>
      <c r="QP40" s="9"/>
      <c r="QQ40" s="67"/>
      <c r="QR40" s="68"/>
      <c r="QS40" s="63"/>
      <c r="QT40" s="71"/>
    </row>
    <row r="41" spans="1:462" s="11" customFormat="1" x14ac:dyDescent="0.2">
      <c r="A41" s="9">
        <v>10</v>
      </c>
      <c r="B41" s="9"/>
      <c r="C41" s="9"/>
      <c r="D41" s="9" t="s">
        <v>373</v>
      </c>
      <c r="E41" s="65" t="s">
        <v>47</v>
      </c>
      <c r="F41" s="65"/>
      <c r="G41" s="92" t="s">
        <v>2259</v>
      </c>
      <c r="H41" s="66" t="s">
        <v>1563</v>
      </c>
      <c r="I41" s="9" t="s">
        <v>1098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 t="s">
        <v>1098</v>
      </c>
      <c r="CN41" s="9"/>
      <c r="CO41" s="9" t="s">
        <v>1098</v>
      </c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67"/>
      <c r="QR41" s="68"/>
      <c r="QS41" s="63"/>
      <c r="QT41" s="71"/>
    </row>
    <row r="42" spans="1:462" s="11" customFormat="1" x14ac:dyDescent="0.2">
      <c r="A42" s="9">
        <v>10</v>
      </c>
      <c r="B42" s="9"/>
      <c r="C42" s="9"/>
      <c r="D42" s="9" t="s">
        <v>576</v>
      </c>
      <c r="E42" s="65" t="s">
        <v>494</v>
      </c>
      <c r="F42" s="65"/>
      <c r="G42" s="92" t="s">
        <v>2248</v>
      </c>
      <c r="H42" s="66" t="s">
        <v>1554</v>
      </c>
      <c r="I42" s="9" t="s">
        <v>1098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 t="s">
        <v>1558</v>
      </c>
      <c r="CN42" s="9"/>
      <c r="CO42" s="9" t="s">
        <v>1558</v>
      </c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  <c r="LR42" s="9"/>
      <c r="LS42" s="9"/>
      <c r="LT42" s="9"/>
      <c r="LU42" s="9"/>
      <c r="LV42" s="9"/>
      <c r="LW42" s="9"/>
      <c r="LX42" s="9"/>
      <c r="LY42" s="9"/>
      <c r="LZ42" s="9"/>
      <c r="MA42" s="9"/>
      <c r="MB42" s="9"/>
      <c r="MC42" s="9"/>
      <c r="MD42" s="9"/>
      <c r="ME42" s="9"/>
      <c r="MF42" s="9"/>
      <c r="MG42" s="9"/>
      <c r="MH42" s="9"/>
      <c r="MI42" s="9"/>
      <c r="MJ42" s="9"/>
      <c r="MK42" s="9"/>
      <c r="ML42" s="9"/>
      <c r="MM42" s="9"/>
      <c r="MN42" s="9"/>
      <c r="MO42" s="9"/>
      <c r="MP42" s="9"/>
      <c r="MQ42" s="9"/>
      <c r="MR42" s="9"/>
      <c r="MS42" s="9"/>
      <c r="MT42" s="9"/>
      <c r="MU42" s="9"/>
      <c r="MV42" s="9"/>
      <c r="MW42" s="9"/>
      <c r="MX42" s="9"/>
      <c r="MY42" s="9"/>
      <c r="MZ42" s="9"/>
      <c r="NA42" s="9"/>
      <c r="NB42" s="9"/>
      <c r="NC42" s="9"/>
      <c r="ND42" s="9"/>
      <c r="NE42" s="9"/>
      <c r="NF42" s="9"/>
      <c r="NG42" s="9"/>
      <c r="NH42" s="9"/>
      <c r="NI42" s="9"/>
      <c r="NJ42" s="9"/>
      <c r="NK42" s="9"/>
      <c r="NL42" s="9"/>
      <c r="NM42" s="9"/>
      <c r="NN42" s="9"/>
      <c r="NO42" s="9"/>
      <c r="NP42" s="9"/>
      <c r="NQ42" s="9"/>
      <c r="NR42" s="9"/>
      <c r="NS42" s="9"/>
      <c r="NT42" s="9"/>
      <c r="NU42" s="9"/>
      <c r="NV42" s="9"/>
      <c r="NW42" s="9"/>
      <c r="NX42" s="9"/>
      <c r="NY42" s="9"/>
      <c r="NZ42" s="9"/>
      <c r="OA42" s="9"/>
      <c r="OB42" s="9"/>
      <c r="OC42" s="9"/>
      <c r="OD42" s="9"/>
      <c r="OE42" s="9"/>
      <c r="OF42" s="9"/>
      <c r="OG42" s="9"/>
      <c r="OH42" s="9"/>
      <c r="OI42" s="9"/>
      <c r="OJ42" s="9"/>
      <c r="OK42" s="9"/>
      <c r="OL42" s="9"/>
      <c r="OM42" s="9"/>
      <c r="ON42" s="9"/>
      <c r="OO42" s="9"/>
      <c r="OP42" s="9"/>
      <c r="OQ42" s="9"/>
      <c r="OR42" s="9"/>
      <c r="OS42" s="9"/>
      <c r="OT42" s="9"/>
      <c r="OU42" s="9"/>
      <c r="OV42" s="9"/>
      <c r="OW42" s="9"/>
      <c r="OX42" s="9"/>
      <c r="OY42" s="9"/>
      <c r="OZ42" s="9"/>
      <c r="PA42" s="9"/>
      <c r="PB42" s="9"/>
      <c r="PC42" s="9"/>
      <c r="PD42" s="9"/>
      <c r="PE42" s="9"/>
      <c r="PF42" s="9"/>
      <c r="PG42" s="9"/>
      <c r="PH42" s="9"/>
      <c r="PI42" s="9"/>
      <c r="PJ42" s="9"/>
      <c r="PK42" s="9"/>
      <c r="PL42" s="9"/>
      <c r="PM42" s="9"/>
      <c r="PN42" s="9"/>
      <c r="PO42" s="9"/>
      <c r="PP42" s="9"/>
      <c r="PQ42" s="9"/>
      <c r="PR42" s="9"/>
      <c r="PS42" s="9"/>
      <c r="PT42" s="9"/>
      <c r="PU42" s="9"/>
      <c r="PV42" s="9"/>
      <c r="PW42" s="9"/>
      <c r="PX42" s="9"/>
      <c r="PY42" s="9"/>
      <c r="PZ42" s="9"/>
      <c r="QA42" s="9"/>
      <c r="QB42" s="9"/>
      <c r="QC42" s="9"/>
      <c r="QD42" s="9"/>
      <c r="QE42" s="9"/>
      <c r="QF42" s="9"/>
      <c r="QG42" s="9"/>
      <c r="QH42" s="9"/>
      <c r="QI42" s="9"/>
      <c r="QJ42" s="9"/>
      <c r="QK42" s="9"/>
      <c r="QL42" s="9"/>
      <c r="QM42" s="9"/>
      <c r="QN42" s="9"/>
      <c r="QO42" s="9"/>
      <c r="QP42" s="9"/>
      <c r="QQ42" s="67"/>
      <c r="QR42" s="68"/>
      <c r="QS42" s="63"/>
      <c r="QT42" s="71"/>
    </row>
    <row r="43" spans="1:462" s="11" customFormat="1" x14ac:dyDescent="0.2">
      <c r="A43" s="9">
        <v>10</v>
      </c>
      <c r="B43" s="9"/>
      <c r="C43" s="9"/>
      <c r="D43" s="9" t="s">
        <v>577</v>
      </c>
      <c r="E43" s="65" t="s">
        <v>498</v>
      </c>
      <c r="F43" s="65"/>
      <c r="G43" s="92" t="s">
        <v>2253</v>
      </c>
      <c r="H43" s="66" t="s">
        <v>1559</v>
      </c>
      <c r="I43" s="9" t="s">
        <v>1098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 t="s">
        <v>1564</v>
      </c>
      <c r="CN43" s="9"/>
      <c r="CO43" s="9" t="s">
        <v>1564</v>
      </c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  <c r="PL43" s="9"/>
      <c r="PM43" s="9"/>
      <c r="PN43" s="9"/>
      <c r="PO43" s="9"/>
      <c r="PP43" s="9"/>
      <c r="PQ43" s="9"/>
      <c r="PR43" s="9"/>
      <c r="PS43" s="9"/>
      <c r="PT43" s="9"/>
      <c r="PU43" s="9"/>
      <c r="PV43" s="9"/>
      <c r="PW43" s="9"/>
      <c r="PX43" s="9"/>
      <c r="PY43" s="9"/>
      <c r="PZ43" s="9"/>
      <c r="QA43" s="9"/>
      <c r="QB43" s="9"/>
      <c r="QC43" s="9"/>
      <c r="QD43" s="9"/>
      <c r="QE43" s="9"/>
      <c r="QF43" s="9"/>
      <c r="QG43" s="9"/>
      <c r="QH43" s="9"/>
      <c r="QI43" s="9"/>
      <c r="QJ43" s="9"/>
      <c r="QK43" s="9"/>
      <c r="QL43" s="9"/>
      <c r="QM43" s="9"/>
      <c r="QN43" s="9"/>
      <c r="QO43" s="9"/>
      <c r="QP43" s="9"/>
      <c r="QQ43" s="67"/>
      <c r="QR43" s="68"/>
      <c r="QS43" s="63"/>
      <c r="QT43" s="71"/>
    </row>
    <row r="44" spans="1:462" s="11" customFormat="1" x14ac:dyDescent="0.2">
      <c r="A44" s="9">
        <v>10</v>
      </c>
      <c r="B44" s="9"/>
      <c r="C44" s="9"/>
      <c r="D44" s="9" t="s">
        <v>374</v>
      </c>
      <c r="E44" s="65" t="s">
        <v>502</v>
      </c>
      <c r="F44" s="65"/>
      <c r="G44" s="92" t="s">
        <v>2260</v>
      </c>
      <c r="H44" s="66" t="s">
        <v>1565</v>
      </c>
      <c r="I44" s="9" t="s">
        <v>1098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 t="s">
        <v>1098</v>
      </c>
      <c r="CN44" s="9"/>
      <c r="CO44" s="9" t="s">
        <v>1098</v>
      </c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9"/>
      <c r="QN44" s="9"/>
      <c r="QO44" s="9"/>
      <c r="QP44" s="9"/>
      <c r="QQ44" s="67"/>
      <c r="QR44" s="68"/>
      <c r="QS44" s="63"/>
      <c r="QT44" s="71"/>
    </row>
    <row r="45" spans="1:462" s="11" customFormat="1" x14ac:dyDescent="0.2">
      <c r="A45" s="9">
        <v>10</v>
      </c>
      <c r="B45" s="9"/>
      <c r="C45" s="9"/>
      <c r="D45" s="9" t="s">
        <v>375</v>
      </c>
      <c r="E45" s="65" t="s">
        <v>503</v>
      </c>
      <c r="F45" s="65"/>
      <c r="G45" s="92" t="s">
        <v>2261</v>
      </c>
      <c r="H45" s="66" t="s">
        <v>1566</v>
      </c>
      <c r="I45" s="9" t="s">
        <v>1098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 t="s">
        <v>1098</v>
      </c>
      <c r="CN45" s="9"/>
      <c r="CO45" s="9" t="s">
        <v>1098</v>
      </c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  <c r="MB45" s="9"/>
      <c r="MC45" s="9"/>
      <c r="MD45" s="9"/>
      <c r="ME45" s="9"/>
      <c r="MF45" s="9"/>
      <c r="MG45" s="9"/>
      <c r="MH45" s="9"/>
      <c r="MI45" s="9"/>
      <c r="MJ45" s="9"/>
      <c r="MK45" s="9"/>
      <c r="ML45" s="9"/>
      <c r="MM45" s="9"/>
      <c r="MN45" s="9"/>
      <c r="MO45" s="9"/>
      <c r="MP45" s="9"/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/>
      <c r="ND45" s="9"/>
      <c r="NE45" s="9"/>
      <c r="NF45" s="9"/>
      <c r="NG45" s="9"/>
      <c r="NH45" s="9"/>
      <c r="NI45" s="9"/>
      <c r="NJ45" s="9"/>
      <c r="NK45" s="9"/>
      <c r="NL45" s="9"/>
      <c r="NM45" s="9"/>
      <c r="NN45" s="9"/>
      <c r="NO45" s="9"/>
      <c r="NP45" s="9"/>
      <c r="NQ45" s="9"/>
      <c r="NR45" s="9"/>
      <c r="NS45" s="9"/>
      <c r="NT45" s="9"/>
      <c r="NU45" s="9"/>
      <c r="NV45" s="9"/>
      <c r="NW45" s="9"/>
      <c r="NX45" s="9"/>
      <c r="NY45" s="9"/>
      <c r="NZ45" s="9"/>
      <c r="OA45" s="9"/>
      <c r="OB45" s="9"/>
      <c r="OC45" s="9"/>
      <c r="OD45" s="9"/>
      <c r="OE45" s="9"/>
      <c r="OF45" s="9"/>
      <c r="OG45" s="9"/>
      <c r="OH45" s="9"/>
      <c r="OI45" s="9"/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  <c r="OU45" s="9"/>
      <c r="OV45" s="9"/>
      <c r="OW45" s="9"/>
      <c r="OX45" s="9"/>
      <c r="OY45" s="9"/>
      <c r="OZ45" s="9"/>
      <c r="PA45" s="9"/>
      <c r="PB45" s="9"/>
      <c r="PC45" s="9"/>
      <c r="PD45" s="9"/>
      <c r="PE45" s="9"/>
      <c r="PF45" s="9"/>
      <c r="PG45" s="9"/>
      <c r="PH45" s="9"/>
      <c r="PI45" s="9"/>
      <c r="PJ45" s="9"/>
      <c r="PK45" s="9"/>
      <c r="PL45" s="9"/>
      <c r="PM45" s="9"/>
      <c r="PN45" s="9"/>
      <c r="PO45" s="9"/>
      <c r="PP45" s="9"/>
      <c r="PQ45" s="9"/>
      <c r="PR45" s="9"/>
      <c r="PS45" s="9"/>
      <c r="PT45" s="9"/>
      <c r="PU45" s="9"/>
      <c r="PV45" s="9"/>
      <c r="PW45" s="9"/>
      <c r="PX45" s="9"/>
      <c r="PY45" s="9"/>
      <c r="PZ45" s="9"/>
      <c r="QA45" s="9"/>
      <c r="QB45" s="9"/>
      <c r="QC45" s="9"/>
      <c r="QD45" s="9"/>
      <c r="QE45" s="9"/>
      <c r="QF45" s="9"/>
      <c r="QG45" s="9"/>
      <c r="QH45" s="9"/>
      <c r="QI45" s="9"/>
      <c r="QJ45" s="9"/>
      <c r="QK45" s="9"/>
      <c r="QL45" s="9"/>
      <c r="QM45" s="9"/>
      <c r="QN45" s="9"/>
      <c r="QO45" s="9"/>
      <c r="QP45" s="9"/>
      <c r="QQ45" s="67"/>
      <c r="QR45" s="68"/>
      <c r="QS45" s="63"/>
      <c r="QT45" s="71"/>
    </row>
    <row r="46" spans="1:462" s="11" customFormat="1" x14ac:dyDescent="0.2">
      <c r="A46" s="9">
        <v>10</v>
      </c>
      <c r="B46" s="9"/>
      <c r="C46" s="9"/>
      <c r="D46" s="9" t="s">
        <v>377</v>
      </c>
      <c r="E46" s="65" t="s">
        <v>504</v>
      </c>
      <c r="F46" s="65"/>
      <c r="G46" s="92" t="s">
        <v>2263</v>
      </c>
      <c r="H46" s="66" t="s">
        <v>1567</v>
      </c>
      <c r="I46" s="9" t="s">
        <v>1098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 t="s">
        <v>1098</v>
      </c>
      <c r="CN46" s="9"/>
      <c r="CO46" s="9" t="s">
        <v>1098</v>
      </c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9"/>
      <c r="LG46" s="9"/>
      <c r="LH46" s="9"/>
      <c r="LI46" s="9"/>
      <c r="LJ46" s="9"/>
      <c r="LK46" s="9"/>
      <c r="LL46" s="9"/>
      <c r="LM46" s="9"/>
      <c r="LN46" s="9"/>
      <c r="LO46" s="9"/>
      <c r="LP46" s="9"/>
      <c r="LQ46" s="9"/>
      <c r="LR46" s="9"/>
      <c r="LS46" s="9"/>
      <c r="LT46" s="9"/>
      <c r="LU46" s="9"/>
      <c r="LV46" s="9"/>
      <c r="LW46" s="9"/>
      <c r="LX46" s="9"/>
      <c r="LY46" s="9"/>
      <c r="LZ46" s="9"/>
      <c r="MA46" s="9"/>
      <c r="MB46" s="9"/>
      <c r="MC46" s="9"/>
      <c r="MD46" s="9"/>
      <c r="ME46" s="9"/>
      <c r="MF46" s="9"/>
      <c r="MG46" s="9"/>
      <c r="MH46" s="9"/>
      <c r="MI46" s="9"/>
      <c r="MJ46" s="9"/>
      <c r="MK46" s="9"/>
      <c r="ML46" s="9"/>
      <c r="MM46" s="9"/>
      <c r="MN46" s="9"/>
      <c r="MO46" s="9"/>
      <c r="MP46" s="9"/>
      <c r="MQ46" s="9"/>
      <c r="MR46" s="9"/>
      <c r="MS46" s="9"/>
      <c r="MT46" s="9"/>
      <c r="MU46" s="9"/>
      <c r="MV46" s="9"/>
      <c r="MW46" s="9"/>
      <c r="MX46" s="9"/>
      <c r="MY46" s="9"/>
      <c r="MZ46" s="9"/>
      <c r="NA46" s="9"/>
      <c r="NB46" s="9"/>
      <c r="NC46" s="9"/>
      <c r="ND46" s="9"/>
      <c r="NE46" s="9"/>
      <c r="NF46" s="9"/>
      <c r="NG46" s="9"/>
      <c r="NH46" s="9"/>
      <c r="NI46" s="9"/>
      <c r="NJ46" s="9"/>
      <c r="NK46" s="9"/>
      <c r="NL46" s="9"/>
      <c r="NM46" s="9"/>
      <c r="NN46" s="9"/>
      <c r="NO46" s="9"/>
      <c r="NP46" s="9"/>
      <c r="NQ46" s="9"/>
      <c r="NR46" s="9"/>
      <c r="NS46" s="9"/>
      <c r="NT46" s="9"/>
      <c r="NU46" s="9"/>
      <c r="NV46" s="9"/>
      <c r="NW46" s="9"/>
      <c r="NX46" s="9"/>
      <c r="NY46" s="9"/>
      <c r="NZ46" s="9"/>
      <c r="OA46" s="9"/>
      <c r="OB46" s="9"/>
      <c r="OC46" s="9"/>
      <c r="OD46" s="9"/>
      <c r="OE46" s="9"/>
      <c r="OF46" s="9"/>
      <c r="OG46" s="9"/>
      <c r="OH46" s="9"/>
      <c r="OI46" s="9"/>
      <c r="OJ46" s="9"/>
      <c r="OK46" s="9"/>
      <c r="OL46" s="9"/>
      <c r="OM46" s="9"/>
      <c r="ON46" s="9"/>
      <c r="OO46" s="9"/>
      <c r="OP46" s="9"/>
      <c r="OQ46" s="9"/>
      <c r="OR46" s="9"/>
      <c r="OS46" s="9"/>
      <c r="OT46" s="9"/>
      <c r="OU46" s="9"/>
      <c r="OV46" s="9"/>
      <c r="OW46" s="9"/>
      <c r="OX46" s="9"/>
      <c r="OY46" s="9"/>
      <c r="OZ46" s="9"/>
      <c r="PA46" s="9"/>
      <c r="PB46" s="9"/>
      <c r="PC46" s="9"/>
      <c r="PD46" s="9"/>
      <c r="PE46" s="9"/>
      <c r="PF46" s="9"/>
      <c r="PG46" s="9"/>
      <c r="PH46" s="9"/>
      <c r="PI46" s="9"/>
      <c r="PJ46" s="9"/>
      <c r="PK46" s="9"/>
      <c r="PL46" s="9"/>
      <c r="PM46" s="9"/>
      <c r="PN46" s="9"/>
      <c r="PO46" s="9"/>
      <c r="PP46" s="9"/>
      <c r="PQ46" s="9"/>
      <c r="PR46" s="9"/>
      <c r="PS46" s="9"/>
      <c r="PT46" s="9"/>
      <c r="PU46" s="9"/>
      <c r="PV46" s="9"/>
      <c r="PW46" s="9"/>
      <c r="PX46" s="9"/>
      <c r="PY46" s="9"/>
      <c r="PZ46" s="9"/>
      <c r="QA46" s="9"/>
      <c r="QB46" s="9"/>
      <c r="QC46" s="9"/>
      <c r="QD46" s="9"/>
      <c r="QE46" s="9"/>
      <c r="QF46" s="9"/>
      <c r="QG46" s="9"/>
      <c r="QH46" s="9"/>
      <c r="QI46" s="9"/>
      <c r="QJ46" s="9"/>
      <c r="QK46" s="9"/>
      <c r="QL46" s="9"/>
      <c r="QM46" s="9"/>
      <c r="QN46" s="9"/>
      <c r="QO46" s="9"/>
      <c r="QP46" s="9"/>
      <c r="QQ46" s="67"/>
      <c r="QR46" s="68"/>
      <c r="QS46" s="63"/>
      <c r="QT46" s="71"/>
    </row>
    <row r="47" spans="1:462" s="11" customFormat="1" x14ac:dyDescent="0.2">
      <c r="A47" s="9">
        <v>10</v>
      </c>
      <c r="B47" s="9"/>
      <c r="C47" s="9"/>
      <c r="D47" s="9" t="s">
        <v>378</v>
      </c>
      <c r="E47" s="65" t="s">
        <v>505</v>
      </c>
      <c r="F47" s="65"/>
      <c r="G47" s="92" t="s">
        <v>2264</v>
      </c>
      <c r="H47" s="66" t="s">
        <v>1568</v>
      </c>
      <c r="I47" s="9" t="s">
        <v>1098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 t="s">
        <v>1098</v>
      </c>
      <c r="CN47" s="9"/>
      <c r="CO47" s="9" t="s">
        <v>1098</v>
      </c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67"/>
      <c r="QR47" s="68"/>
      <c r="QS47" s="63"/>
      <c r="QT47" s="71"/>
    </row>
    <row r="48" spans="1:462" s="11" customFormat="1" x14ac:dyDescent="0.2">
      <c r="A48" s="9">
        <v>10</v>
      </c>
      <c r="B48" s="9"/>
      <c r="C48" s="9"/>
      <c r="D48" s="9" t="s">
        <v>379</v>
      </c>
      <c r="E48" s="65" t="s">
        <v>506</v>
      </c>
      <c r="F48" s="65"/>
      <c r="G48" s="91" t="s">
        <v>2265</v>
      </c>
      <c r="H48" s="66" t="s">
        <v>1569</v>
      </c>
      <c r="I48" s="9" t="s">
        <v>1098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 t="s">
        <v>1098</v>
      </c>
      <c r="CV48" s="9"/>
      <c r="CW48" s="9" t="s">
        <v>1098</v>
      </c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9"/>
      <c r="LC48" s="9"/>
      <c r="LD48" s="9"/>
      <c r="LE48" s="9"/>
      <c r="LF48" s="9"/>
      <c r="LG48" s="9"/>
      <c r="LH48" s="9"/>
      <c r="LI48" s="9"/>
      <c r="LJ48" s="9"/>
      <c r="LK48" s="9"/>
      <c r="LL48" s="9"/>
      <c r="LM48" s="9"/>
      <c r="LN48" s="9"/>
      <c r="LO48" s="9"/>
      <c r="LP48" s="9"/>
      <c r="LQ48" s="9"/>
      <c r="LR48" s="9"/>
      <c r="LS48" s="9"/>
      <c r="LT48" s="9"/>
      <c r="LU48" s="9"/>
      <c r="LV48" s="9"/>
      <c r="LW48" s="9"/>
      <c r="LX48" s="9"/>
      <c r="LY48" s="9"/>
      <c r="LZ48" s="9"/>
      <c r="MA48" s="9"/>
      <c r="MB48" s="9"/>
      <c r="MC48" s="9"/>
      <c r="MD48" s="9"/>
      <c r="ME48" s="9"/>
      <c r="MF48" s="9"/>
      <c r="MG48" s="9"/>
      <c r="MH48" s="9"/>
      <c r="MI48" s="9"/>
      <c r="MJ48" s="9"/>
      <c r="MK48" s="9"/>
      <c r="ML48" s="9"/>
      <c r="MM48" s="9"/>
      <c r="MN48" s="9"/>
      <c r="MO48" s="9"/>
      <c r="MP48" s="9"/>
      <c r="MQ48" s="9"/>
      <c r="MR48" s="9"/>
      <c r="MS48" s="9"/>
      <c r="MT48" s="9"/>
      <c r="MU48" s="9"/>
      <c r="MV48" s="9"/>
      <c r="MW48" s="9"/>
      <c r="MX48" s="9"/>
      <c r="MY48" s="9"/>
      <c r="MZ48" s="9"/>
      <c r="NA48" s="9"/>
      <c r="NB48" s="9"/>
      <c r="NC48" s="9"/>
      <c r="ND48" s="9"/>
      <c r="NE48" s="9"/>
      <c r="NF48" s="9"/>
      <c r="NG48" s="9"/>
      <c r="NH48" s="9"/>
      <c r="NI48" s="9"/>
      <c r="NJ48" s="9"/>
      <c r="NK48" s="9"/>
      <c r="NL48" s="9"/>
      <c r="NM48" s="9"/>
      <c r="NN48" s="9"/>
      <c r="NO48" s="9"/>
      <c r="NP48" s="9"/>
      <c r="NQ48" s="9"/>
      <c r="NR48" s="9"/>
      <c r="NS48" s="9"/>
      <c r="NT48" s="9"/>
      <c r="NU48" s="9"/>
      <c r="NV48" s="9"/>
      <c r="NW48" s="9"/>
      <c r="NX48" s="9"/>
      <c r="NY48" s="9"/>
      <c r="NZ48" s="9"/>
      <c r="OA48" s="9"/>
      <c r="OB48" s="9"/>
      <c r="OC48" s="9"/>
      <c r="OD48" s="9"/>
      <c r="OE48" s="9"/>
      <c r="OF48" s="9"/>
      <c r="OG48" s="9"/>
      <c r="OH48" s="9"/>
      <c r="OI48" s="9"/>
      <c r="OJ48" s="9"/>
      <c r="OK48" s="9"/>
      <c r="OL48" s="9"/>
      <c r="OM48" s="9"/>
      <c r="ON48" s="9"/>
      <c r="OO48" s="9"/>
      <c r="OP48" s="9"/>
      <c r="OQ48" s="9"/>
      <c r="OR48" s="9"/>
      <c r="OS48" s="9"/>
      <c r="OT48" s="9"/>
      <c r="OU48" s="9"/>
      <c r="OV48" s="9"/>
      <c r="OW48" s="9"/>
      <c r="OX48" s="9"/>
      <c r="OY48" s="9"/>
      <c r="OZ48" s="9"/>
      <c r="PA48" s="9"/>
      <c r="PB48" s="9"/>
      <c r="PC48" s="9"/>
      <c r="PD48" s="9"/>
      <c r="PE48" s="9"/>
      <c r="PF48" s="9"/>
      <c r="PG48" s="9"/>
      <c r="PH48" s="9"/>
      <c r="PI48" s="9"/>
      <c r="PJ48" s="9"/>
      <c r="PK48" s="9"/>
      <c r="PL48" s="9"/>
      <c r="PM48" s="9"/>
      <c r="PN48" s="9"/>
      <c r="PO48" s="9"/>
      <c r="PP48" s="9"/>
      <c r="PQ48" s="9"/>
      <c r="PR48" s="9"/>
      <c r="PS48" s="9"/>
      <c r="PT48" s="9"/>
      <c r="PU48" s="9"/>
      <c r="PV48" s="9"/>
      <c r="PW48" s="9"/>
      <c r="PX48" s="9"/>
      <c r="PY48" s="9"/>
      <c r="PZ48" s="9"/>
      <c r="QA48" s="9"/>
      <c r="QB48" s="9"/>
      <c r="QC48" s="9"/>
      <c r="QD48" s="9"/>
      <c r="QE48" s="9"/>
      <c r="QF48" s="9"/>
      <c r="QG48" s="9"/>
      <c r="QH48" s="9"/>
      <c r="QI48" s="9"/>
      <c r="QJ48" s="9"/>
      <c r="QK48" s="9"/>
      <c r="QL48" s="9"/>
      <c r="QM48" s="9"/>
      <c r="QN48" s="9"/>
      <c r="QO48" s="9"/>
      <c r="QP48" s="9"/>
      <c r="QQ48" s="67"/>
      <c r="QR48" s="68"/>
      <c r="QS48" s="63"/>
      <c r="QT48" s="71"/>
    </row>
    <row r="49" spans="1:462" s="11" customFormat="1" x14ac:dyDescent="0.2">
      <c r="A49" s="9">
        <v>10</v>
      </c>
      <c r="B49" s="9"/>
      <c r="C49" s="9"/>
      <c r="D49" s="9" t="s">
        <v>380</v>
      </c>
      <c r="E49" s="65" t="s">
        <v>507</v>
      </c>
      <c r="F49" s="65"/>
      <c r="G49" s="92" t="s">
        <v>2267</v>
      </c>
      <c r="H49" s="66" t="s">
        <v>1570</v>
      </c>
      <c r="I49" s="9" t="s">
        <v>1098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 t="s">
        <v>1098</v>
      </c>
      <c r="CV49" s="9"/>
      <c r="CW49" s="9" t="s">
        <v>1098</v>
      </c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9"/>
      <c r="QN49" s="9"/>
      <c r="QO49" s="9"/>
      <c r="QP49" s="9"/>
      <c r="QQ49" s="67"/>
      <c r="QR49" s="68"/>
      <c r="QS49" s="63"/>
      <c r="QT49" s="71"/>
    </row>
    <row r="50" spans="1:462" s="11" customFormat="1" x14ac:dyDescent="0.2">
      <c r="A50" s="9">
        <v>10</v>
      </c>
      <c r="B50" s="9"/>
      <c r="C50" s="9"/>
      <c r="D50" s="9" t="s">
        <v>367</v>
      </c>
      <c r="E50" s="65" t="s">
        <v>496</v>
      </c>
      <c r="F50" s="65"/>
      <c r="G50" s="91" t="s">
        <v>2251</v>
      </c>
      <c r="H50" s="66" t="s">
        <v>1556</v>
      </c>
      <c r="I50" s="9" t="s">
        <v>1098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 t="s">
        <v>1098</v>
      </c>
      <c r="DD50" s="9"/>
      <c r="DE50" s="9" t="s">
        <v>1098</v>
      </c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  <c r="LR50" s="9"/>
      <c r="LS50" s="9"/>
      <c r="LT50" s="9"/>
      <c r="LU50" s="9"/>
      <c r="LV50" s="9"/>
      <c r="LW50" s="9"/>
      <c r="LX50" s="9"/>
      <c r="LY50" s="9"/>
      <c r="LZ50" s="9"/>
      <c r="MA50" s="9"/>
      <c r="MB50" s="9"/>
      <c r="MC50" s="9"/>
      <c r="MD50" s="9"/>
      <c r="ME50" s="9"/>
      <c r="MF50" s="9"/>
      <c r="MG50" s="9"/>
      <c r="MH50" s="9"/>
      <c r="MI50" s="9"/>
      <c r="MJ50" s="9"/>
      <c r="MK50" s="9"/>
      <c r="ML50" s="9"/>
      <c r="MM50" s="9"/>
      <c r="MN50" s="9"/>
      <c r="MO50" s="9"/>
      <c r="MP50" s="9"/>
      <c r="MQ50" s="9"/>
      <c r="MR50" s="9"/>
      <c r="MS50" s="9"/>
      <c r="MT50" s="9"/>
      <c r="MU50" s="9"/>
      <c r="MV50" s="9"/>
      <c r="MW50" s="9"/>
      <c r="MX50" s="9"/>
      <c r="MY50" s="9"/>
      <c r="MZ50" s="9"/>
      <c r="NA50" s="9"/>
      <c r="NB50" s="9"/>
      <c r="NC50" s="9"/>
      <c r="ND50" s="9"/>
      <c r="NE50" s="9"/>
      <c r="NF50" s="9"/>
      <c r="NG50" s="9"/>
      <c r="NH50" s="9"/>
      <c r="NI50" s="9"/>
      <c r="NJ50" s="9"/>
      <c r="NK50" s="9"/>
      <c r="NL50" s="9"/>
      <c r="NM50" s="9"/>
      <c r="NN50" s="9"/>
      <c r="NO50" s="9"/>
      <c r="NP50" s="9"/>
      <c r="NQ50" s="9"/>
      <c r="NR50" s="9"/>
      <c r="NS50" s="9"/>
      <c r="NT50" s="9"/>
      <c r="NU50" s="9"/>
      <c r="NV50" s="9"/>
      <c r="NW50" s="9"/>
      <c r="NX50" s="9"/>
      <c r="NY50" s="9"/>
      <c r="NZ50" s="9"/>
      <c r="OA50" s="9"/>
      <c r="OB50" s="9"/>
      <c r="OC50" s="9"/>
      <c r="OD50" s="9"/>
      <c r="OE50" s="9"/>
      <c r="OF50" s="9"/>
      <c r="OG50" s="9"/>
      <c r="OH50" s="9"/>
      <c r="OI50" s="9"/>
      <c r="OJ50" s="9"/>
      <c r="OK50" s="9"/>
      <c r="OL50" s="9"/>
      <c r="OM50" s="9"/>
      <c r="ON50" s="9"/>
      <c r="OO50" s="9"/>
      <c r="OP50" s="9"/>
      <c r="OQ50" s="9"/>
      <c r="OR50" s="9"/>
      <c r="OS50" s="9"/>
      <c r="OT50" s="9"/>
      <c r="OU50" s="9"/>
      <c r="OV50" s="9"/>
      <c r="OW50" s="9"/>
      <c r="OX50" s="9"/>
      <c r="OY50" s="9"/>
      <c r="OZ50" s="9"/>
      <c r="PA50" s="9"/>
      <c r="PB50" s="9"/>
      <c r="PC50" s="9"/>
      <c r="PD50" s="9"/>
      <c r="PE50" s="9"/>
      <c r="PF50" s="9"/>
      <c r="PG50" s="9"/>
      <c r="PH50" s="9"/>
      <c r="PI50" s="9"/>
      <c r="PJ50" s="9"/>
      <c r="PK50" s="9"/>
      <c r="PL50" s="9"/>
      <c r="PM50" s="9"/>
      <c r="PN50" s="9"/>
      <c r="PO50" s="9"/>
      <c r="PP50" s="9"/>
      <c r="PQ50" s="9"/>
      <c r="PR50" s="9"/>
      <c r="PS50" s="9"/>
      <c r="PT50" s="9"/>
      <c r="PU50" s="9"/>
      <c r="PV50" s="9"/>
      <c r="PW50" s="9"/>
      <c r="PX50" s="9"/>
      <c r="PY50" s="9"/>
      <c r="PZ50" s="9"/>
      <c r="QA50" s="9"/>
      <c r="QB50" s="9"/>
      <c r="QC50" s="9"/>
      <c r="QD50" s="9"/>
      <c r="QE50" s="9"/>
      <c r="QF50" s="9"/>
      <c r="QG50" s="9"/>
      <c r="QH50" s="9"/>
      <c r="QI50" s="9"/>
      <c r="QJ50" s="9"/>
      <c r="QK50" s="9"/>
      <c r="QL50" s="9"/>
      <c r="QM50" s="9"/>
      <c r="QN50" s="9"/>
      <c r="QO50" s="9"/>
      <c r="QP50" s="9"/>
      <c r="QQ50" s="67"/>
      <c r="QR50" s="68"/>
      <c r="QS50" s="63"/>
      <c r="QT50" s="71"/>
    </row>
    <row r="51" spans="1:462" s="11" customFormat="1" x14ac:dyDescent="0.2">
      <c r="A51" s="9">
        <v>10</v>
      </c>
      <c r="B51" s="9"/>
      <c r="C51" s="9"/>
      <c r="D51" s="9" t="s">
        <v>368</v>
      </c>
      <c r="E51" s="65" t="s">
        <v>497</v>
      </c>
      <c r="F51" s="65"/>
      <c r="G51" s="92" t="s">
        <v>2268</v>
      </c>
      <c r="H51" s="66" t="s">
        <v>1571</v>
      </c>
      <c r="I51" s="9" t="s">
        <v>1098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 t="s">
        <v>1098</v>
      </c>
      <c r="DD51" s="9"/>
      <c r="DE51" s="9" t="s">
        <v>1098</v>
      </c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9"/>
      <c r="LG51" s="9"/>
      <c r="LH51" s="9"/>
      <c r="LI51" s="9"/>
      <c r="LJ51" s="9"/>
      <c r="LK51" s="9"/>
      <c r="LL51" s="9"/>
      <c r="LM51" s="9"/>
      <c r="LN51" s="9"/>
      <c r="LO51" s="9"/>
      <c r="LP51" s="9"/>
      <c r="LQ51" s="9"/>
      <c r="LR51" s="9"/>
      <c r="LS51" s="9"/>
      <c r="LT51" s="9"/>
      <c r="LU51" s="9"/>
      <c r="LV51" s="9"/>
      <c r="LW51" s="9"/>
      <c r="LX51" s="9"/>
      <c r="LY51" s="9"/>
      <c r="LZ51" s="9"/>
      <c r="MA51" s="9"/>
      <c r="MB51" s="9"/>
      <c r="MC51" s="9"/>
      <c r="MD51" s="9"/>
      <c r="ME51" s="9"/>
      <c r="MF51" s="9"/>
      <c r="MG51" s="9"/>
      <c r="MH51" s="9"/>
      <c r="MI51" s="9"/>
      <c r="MJ51" s="9"/>
      <c r="MK51" s="9"/>
      <c r="ML51" s="9"/>
      <c r="MM51" s="9"/>
      <c r="MN51" s="9"/>
      <c r="MO51" s="9"/>
      <c r="MP51" s="9"/>
      <c r="MQ51" s="9"/>
      <c r="MR51" s="9"/>
      <c r="MS51" s="9"/>
      <c r="MT51" s="9"/>
      <c r="MU51" s="9"/>
      <c r="MV51" s="9"/>
      <c r="MW51" s="9"/>
      <c r="MX51" s="9"/>
      <c r="MY51" s="9"/>
      <c r="MZ51" s="9"/>
      <c r="NA51" s="9"/>
      <c r="NB51" s="9"/>
      <c r="NC51" s="9"/>
      <c r="ND51" s="9"/>
      <c r="NE51" s="9"/>
      <c r="NF51" s="9"/>
      <c r="NG51" s="9"/>
      <c r="NH51" s="9"/>
      <c r="NI51" s="9"/>
      <c r="NJ51" s="9"/>
      <c r="NK51" s="9"/>
      <c r="NL51" s="9"/>
      <c r="NM51" s="9"/>
      <c r="NN51" s="9"/>
      <c r="NO51" s="9"/>
      <c r="NP51" s="9"/>
      <c r="NQ51" s="9"/>
      <c r="NR51" s="9"/>
      <c r="NS51" s="9"/>
      <c r="NT51" s="9"/>
      <c r="NU51" s="9"/>
      <c r="NV51" s="9"/>
      <c r="NW51" s="9"/>
      <c r="NX51" s="9"/>
      <c r="NY51" s="9"/>
      <c r="NZ51" s="9"/>
      <c r="OA51" s="9"/>
      <c r="OB51" s="9"/>
      <c r="OC51" s="9"/>
      <c r="OD51" s="9"/>
      <c r="OE51" s="9"/>
      <c r="OF51" s="9"/>
      <c r="OG51" s="9"/>
      <c r="OH51" s="9"/>
      <c r="OI51" s="9"/>
      <c r="OJ51" s="9"/>
      <c r="OK51" s="9"/>
      <c r="OL51" s="9"/>
      <c r="OM51" s="9"/>
      <c r="ON51" s="9"/>
      <c r="OO51" s="9"/>
      <c r="OP51" s="9"/>
      <c r="OQ51" s="9"/>
      <c r="OR51" s="9"/>
      <c r="OS51" s="9"/>
      <c r="OT51" s="9"/>
      <c r="OU51" s="9"/>
      <c r="OV51" s="9"/>
      <c r="OW51" s="9"/>
      <c r="OX51" s="9"/>
      <c r="OY51" s="9"/>
      <c r="OZ51" s="9"/>
      <c r="PA51" s="9"/>
      <c r="PB51" s="9"/>
      <c r="PC51" s="9"/>
      <c r="PD51" s="9"/>
      <c r="PE51" s="9"/>
      <c r="PF51" s="9"/>
      <c r="PG51" s="9"/>
      <c r="PH51" s="9"/>
      <c r="PI51" s="9"/>
      <c r="PJ51" s="9"/>
      <c r="PK51" s="9"/>
      <c r="PL51" s="9"/>
      <c r="PM51" s="9"/>
      <c r="PN51" s="9"/>
      <c r="PO51" s="9"/>
      <c r="PP51" s="9"/>
      <c r="PQ51" s="9"/>
      <c r="PR51" s="9"/>
      <c r="PS51" s="9"/>
      <c r="PT51" s="9"/>
      <c r="PU51" s="9"/>
      <c r="PV51" s="9"/>
      <c r="PW51" s="9"/>
      <c r="PX51" s="9"/>
      <c r="PY51" s="9"/>
      <c r="PZ51" s="9"/>
      <c r="QA51" s="9"/>
      <c r="QB51" s="9"/>
      <c r="QC51" s="9"/>
      <c r="QD51" s="9"/>
      <c r="QE51" s="9"/>
      <c r="QF51" s="9"/>
      <c r="QG51" s="9"/>
      <c r="QH51" s="9"/>
      <c r="QI51" s="9"/>
      <c r="QJ51" s="9"/>
      <c r="QK51" s="9"/>
      <c r="QL51" s="9"/>
      <c r="QM51" s="9"/>
      <c r="QN51" s="9"/>
      <c r="QO51" s="9"/>
      <c r="QP51" s="9"/>
      <c r="QQ51" s="67"/>
      <c r="QR51" s="68"/>
      <c r="QS51" s="63"/>
      <c r="QT51" s="71"/>
    </row>
    <row r="52" spans="1:462" s="11" customFormat="1" x14ac:dyDescent="0.2">
      <c r="A52" s="9">
        <v>10</v>
      </c>
      <c r="B52" s="9"/>
      <c r="C52" s="9"/>
      <c r="D52" s="9" t="s">
        <v>381</v>
      </c>
      <c r="E52" s="65" t="s">
        <v>508</v>
      </c>
      <c r="F52" s="65"/>
      <c r="G52" s="91" t="s">
        <v>2269</v>
      </c>
      <c r="H52" s="66" t="s">
        <v>1572</v>
      </c>
      <c r="I52" s="9" t="s">
        <v>1098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 t="s">
        <v>1098</v>
      </c>
      <c r="DL52" s="9"/>
      <c r="DM52" s="9" t="s">
        <v>1098</v>
      </c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9"/>
      <c r="LG52" s="9"/>
      <c r="LH52" s="9"/>
      <c r="LI52" s="9"/>
      <c r="LJ52" s="9"/>
      <c r="LK52" s="9"/>
      <c r="LL52" s="9"/>
      <c r="LM52" s="9"/>
      <c r="LN52" s="9"/>
      <c r="LO52" s="9"/>
      <c r="LP52" s="9"/>
      <c r="LQ52" s="9"/>
      <c r="LR52" s="9"/>
      <c r="LS52" s="9"/>
      <c r="LT52" s="9"/>
      <c r="LU52" s="9"/>
      <c r="LV52" s="9"/>
      <c r="LW52" s="9"/>
      <c r="LX52" s="9"/>
      <c r="LY52" s="9"/>
      <c r="LZ52" s="9"/>
      <c r="MA52" s="9"/>
      <c r="MB52" s="9"/>
      <c r="MC52" s="9"/>
      <c r="MD52" s="9"/>
      <c r="ME52" s="9"/>
      <c r="MF52" s="9"/>
      <c r="MG52" s="9"/>
      <c r="MH52" s="9"/>
      <c r="MI52" s="9"/>
      <c r="MJ52" s="9"/>
      <c r="MK52" s="9"/>
      <c r="ML52" s="9"/>
      <c r="MM52" s="9"/>
      <c r="MN52" s="9"/>
      <c r="MO52" s="9"/>
      <c r="MP52" s="9"/>
      <c r="MQ52" s="9"/>
      <c r="MR52" s="9"/>
      <c r="MS52" s="9"/>
      <c r="MT52" s="9"/>
      <c r="MU52" s="9"/>
      <c r="MV52" s="9"/>
      <c r="MW52" s="9"/>
      <c r="MX52" s="9"/>
      <c r="MY52" s="9"/>
      <c r="MZ52" s="9"/>
      <c r="NA52" s="9"/>
      <c r="NB52" s="9"/>
      <c r="NC52" s="9"/>
      <c r="ND52" s="9"/>
      <c r="NE52" s="9"/>
      <c r="NF52" s="9"/>
      <c r="NG52" s="9"/>
      <c r="NH52" s="9"/>
      <c r="NI52" s="9"/>
      <c r="NJ52" s="9"/>
      <c r="NK52" s="9"/>
      <c r="NL52" s="9"/>
      <c r="NM52" s="9"/>
      <c r="NN52" s="9"/>
      <c r="NO52" s="9"/>
      <c r="NP52" s="9"/>
      <c r="NQ52" s="9"/>
      <c r="NR52" s="9"/>
      <c r="NS52" s="9"/>
      <c r="NT52" s="9"/>
      <c r="NU52" s="9"/>
      <c r="NV52" s="9"/>
      <c r="NW52" s="9"/>
      <c r="NX52" s="9"/>
      <c r="NY52" s="9"/>
      <c r="NZ52" s="9"/>
      <c r="OA52" s="9"/>
      <c r="OB52" s="9"/>
      <c r="OC52" s="9"/>
      <c r="OD52" s="9"/>
      <c r="OE52" s="9"/>
      <c r="OF52" s="9"/>
      <c r="OG52" s="9"/>
      <c r="OH52" s="9"/>
      <c r="OI52" s="9"/>
      <c r="OJ52" s="9"/>
      <c r="OK52" s="9"/>
      <c r="OL52" s="9"/>
      <c r="OM52" s="9"/>
      <c r="ON52" s="9"/>
      <c r="OO52" s="9"/>
      <c r="OP52" s="9"/>
      <c r="OQ52" s="9"/>
      <c r="OR52" s="9"/>
      <c r="OS52" s="9"/>
      <c r="OT52" s="9"/>
      <c r="OU52" s="9"/>
      <c r="OV52" s="9"/>
      <c r="OW52" s="9"/>
      <c r="OX52" s="9"/>
      <c r="OY52" s="9"/>
      <c r="OZ52" s="9"/>
      <c r="PA52" s="9"/>
      <c r="PB52" s="9"/>
      <c r="PC52" s="9"/>
      <c r="PD52" s="9"/>
      <c r="PE52" s="9"/>
      <c r="PF52" s="9"/>
      <c r="PG52" s="9"/>
      <c r="PH52" s="9"/>
      <c r="PI52" s="9"/>
      <c r="PJ52" s="9"/>
      <c r="PK52" s="9"/>
      <c r="PL52" s="9"/>
      <c r="PM52" s="9"/>
      <c r="PN52" s="9"/>
      <c r="PO52" s="9"/>
      <c r="PP52" s="9"/>
      <c r="PQ52" s="9"/>
      <c r="PR52" s="9"/>
      <c r="PS52" s="9"/>
      <c r="PT52" s="9"/>
      <c r="PU52" s="9"/>
      <c r="PV52" s="9"/>
      <c r="PW52" s="9"/>
      <c r="PX52" s="9"/>
      <c r="PY52" s="9"/>
      <c r="PZ52" s="9"/>
      <c r="QA52" s="9"/>
      <c r="QB52" s="9"/>
      <c r="QC52" s="9"/>
      <c r="QD52" s="9"/>
      <c r="QE52" s="9"/>
      <c r="QF52" s="9"/>
      <c r="QG52" s="9"/>
      <c r="QH52" s="9"/>
      <c r="QI52" s="9"/>
      <c r="QJ52" s="9"/>
      <c r="QK52" s="9"/>
      <c r="QL52" s="9"/>
      <c r="QM52" s="9"/>
      <c r="QN52" s="9"/>
      <c r="QO52" s="9"/>
      <c r="QP52" s="9"/>
      <c r="QQ52" s="67"/>
      <c r="QR52" s="68"/>
      <c r="QS52" s="63"/>
      <c r="QT52" s="71"/>
    </row>
    <row r="53" spans="1:462" s="11" customFormat="1" x14ac:dyDescent="0.2">
      <c r="A53" s="9">
        <v>10</v>
      </c>
      <c r="B53" s="9"/>
      <c r="C53" s="9"/>
      <c r="D53" s="9" t="s">
        <v>382</v>
      </c>
      <c r="E53" s="65" t="s">
        <v>509</v>
      </c>
      <c r="F53" s="65"/>
      <c r="G53" s="92" t="s">
        <v>2271</v>
      </c>
      <c r="H53" s="66" t="s">
        <v>1573</v>
      </c>
      <c r="I53" s="9" t="s">
        <v>1098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 t="s">
        <v>1098</v>
      </c>
      <c r="DL53" s="9"/>
      <c r="DM53" s="9" t="s">
        <v>1098</v>
      </c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/>
      <c r="NF53" s="9"/>
      <c r="NG53" s="9"/>
      <c r="NH53" s="9"/>
      <c r="NI53" s="9"/>
      <c r="NJ53" s="9"/>
      <c r="NK53" s="9"/>
      <c r="NL53" s="9"/>
      <c r="NM53" s="9"/>
      <c r="NN53" s="9"/>
      <c r="NO53" s="9"/>
      <c r="NP53" s="9"/>
      <c r="NQ53" s="9"/>
      <c r="NR53" s="9"/>
      <c r="NS53" s="9"/>
      <c r="NT53" s="9"/>
      <c r="NU53" s="9"/>
      <c r="NV53" s="9"/>
      <c r="NW53" s="9"/>
      <c r="NX53" s="9"/>
      <c r="NY53" s="9"/>
      <c r="NZ53" s="9"/>
      <c r="OA53" s="9"/>
      <c r="OB53" s="9"/>
      <c r="OC53" s="9"/>
      <c r="OD53" s="9"/>
      <c r="OE53" s="9"/>
      <c r="OF53" s="9"/>
      <c r="OG53" s="9"/>
      <c r="OH53" s="9"/>
      <c r="OI53" s="9"/>
      <c r="OJ53" s="9"/>
      <c r="OK53" s="9"/>
      <c r="OL53" s="9"/>
      <c r="OM53" s="9"/>
      <c r="ON53" s="9"/>
      <c r="OO53" s="9"/>
      <c r="OP53" s="9"/>
      <c r="OQ53" s="9"/>
      <c r="OR53" s="9"/>
      <c r="OS53" s="9"/>
      <c r="OT53" s="9"/>
      <c r="OU53" s="9"/>
      <c r="OV53" s="9"/>
      <c r="OW53" s="9"/>
      <c r="OX53" s="9"/>
      <c r="OY53" s="9"/>
      <c r="OZ53" s="9"/>
      <c r="PA53" s="9"/>
      <c r="PB53" s="9"/>
      <c r="PC53" s="9"/>
      <c r="PD53" s="9"/>
      <c r="PE53" s="9"/>
      <c r="PF53" s="9"/>
      <c r="PG53" s="9"/>
      <c r="PH53" s="9"/>
      <c r="PI53" s="9"/>
      <c r="PJ53" s="9"/>
      <c r="PK53" s="9"/>
      <c r="PL53" s="9"/>
      <c r="PM53" s="9"/>
      <c r="PN53" s="9"/>
      <c r="PO53" s="9"/>
      <c r="PP53" s="9"/>
      <c r="PQ53" s="9"/>
      <c r="PR53" s="9"/>
      <c r="PS53" s="9"/>
      <c r="PT53" s="9"/>
      <c r="PU53" s="9"/>
      <c r="PV53" s="9"/>
      <c r="PW53" s="9"/>
      <c r="PX53" s="9"/>
      <c r="PY53" s="9"/>
      <c r="PZ53" s="9"/>
      <c r="QA53" s="9"/>
      <c r="QB53" s="9"/>
      <c r="QC53" s="9"/>
      <c r="QD53" s="9"/>
      <c r="QE53" s="9"/>
      <c r="QF53" s="9"/>
      <c r="QG53" s="9"/>
      <c r="QH53" s="9"/>
      <c r="QI53" s="9"/>
      <c r="QJ53" s="9"/>
      <c r="QK53" s="9"/>
      <c r="QL53" s="9"/>
      <c r="QM53" s="9"/>
      <c r="QN53" s="9"/>
      <c r="QO53" s="9"/>
      <c r="QP53" s="9"/>
      <c r="QQ53" s="67"/>
      <c r="QR53" s="68"/>
      <c r="QS53" s="63"/>
      <c r="QT53" s="71"/>
    </row>
    <row r="54" spans="1:462" s="11" customFormat="1" x14ac:dyDescent="0.2">
      <c r="A54" s="9">
        <v>10</v>
      </c>
      <c r="B54" s="9"/>
      <c r="C54" s="9"/>
      <c r="D54" s="9" t="s">
        <v>383</v>
      </c>
      <c r="E54" s="65" t="s">
        <v>510</v>
      </c>
      <c r="F54" s="65"/>
      <c r="G54" s="92" t="s">
        <v>2272</v>
      </c>
      <c r="H54" s="66" t="s">
        <v>1574</v>
      </c>
      <c r="I54" s="9" t="s">
        <v>1098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 t="s">
        <v>1098</v>
      </c>
      <c r="DL54" s="9"/>
      <c r="DM54" s="9" t="s">
        <v>1098</v>
      </c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9"/>
      <c r="LG54" s="9"/>
      <c r="LH54" s="9"/>
      <c r="LI54" s="9"/>
      <c r="LJ54" s="9"/>
      <c r="LK54" s="9"/>
      <c r="LL54" s="9"/>
      <c r="LM54" s="9"/>
      <c r="LN54" s="9"/>
      <c r="LO54" s="9"/>
      <c r="LP54" s="9"/>
      <c r="LQ54" s="9"/>
      <c r="LR54" s="9"/>
      <c r="LS54" s="9"/>
      <c r="LT54" s="9"/>
      <c r="LU54" s="9"/>
      <c r="LV54" s="9"/>
      <c r="LW54" s="9"/>
      <c r="LX54" s="9"/>
      <c r="LY54" s="9"/>
      <c r="LZ54" s="9"/>
      <c r="MA54" s="9"/>
      <c r="MB54" s="9"/>
      <c r="MC54" s="9"/>
      <c r="MD54" s="9"/>
      <c r="ME54" s="9"/>
      <c r="MF54" s="9"/>
      <c r="MG54" s="9"/>
      <c r="MH54" s="9"/>
      <c r="MI54" s="9"/>
      <c r="MJ54" s="9"/>
      <c r="MK54" s="9"/>
      <c r="ML54" s="9"/>
      <c r="MM54" s="9"/>
      <c r="MN54" s="9"/>
      <c r="MO54" s="9"/>
      <c r="MP54" s="9"/>
      <c r="MQ54" s="9"/>
      <c r="MR54" s="9"/>
      <c r="MS54" s="9"/>
      <c r="MT54" s="9"/>
      <c r="MU54" s="9"/>
      <c r="MV54" s="9"/>
      <c r="MW54" s="9"/>
      <c r="MX54" s="9"/>
      <c r="MY54" s="9"/>
      <c r="MZ54" s="9"/>
      <c r="NA54" s="9"/>
      <c r="NB54" s="9"/>
      <c r="NC54" s="9"/>
      <c r="ND54" s="9"/>
      <c r="NE54" s="9"/>
      <c r="NF54" s="9"/>
      <c r="NG54" s="9"/>
      <c r="NH54" s="9"/>
      <c r="NI54" s="9"/>
      <c r="NJ54" s="9"/>
      <c r="NK54" s="9"/>
      <c r="NL54" s="9"/>
      <c r="NM54" s="9"/>
      <c r="NN54" s="9"/>
      <c r="NO54" s="9"/>
      <c r="NP54" s="9"/>
      <c r="NQ54" s="9"/>
      <c r="NR54" s="9"/>
      <c r="NS54" s="9"/>
      <c r="NT54" s="9"/>
      <c r="NU54" s="9"/>
      <c r="NV54" s="9"/>
      <c r="NW54" s="9"/>
      <c r="NX54" s="9"/>
      <c r="NY54" s="9"/>
      <c r="NZ54" s="9"/>
      <c r="OA54" s="9"/>
      <c r="OB54" s="9"/>
      <c r="OC54" s="9"/>
      <c r="OD54" s="9"/>
      <c r="OE54" s="9"/>
      <c r="OF54" s="9"/>
      <c r="OG54" s="9"/>
      <c r="OH54" s="9"/>
      <c r="OI54" s="9"/>
      <c r="OJ54" s="9"/>
      <c r="OK54" s="9"/>
      <c r="OL54" s="9"/>
      <c r="OM54" s="9"/>
      <c r="ON54" s="9"/>
      <c r="OO54" s="9"/>
      <c r="OP54" s="9"/>
      <c r="OQ54" s="9"/>
      <c r="OR54" s="9"/>
      <c r="OS54" s="9"/>
      <c r="OT54" s="9"/>
      <c r="OU54" s="9"/>
      <c r="OV54" s="9"/>
      <c r="OW54" s="9"/>
      <c r="OX54" s="9"/>
      <c r="OY54" s="9"/>
      <c r="OZ54" s="9"/>
      <c r="PA54" s="9"/>
      <c r="PB54" s="9"/>
      <c r="PC54" s="9"/>
      <c r="PD54" s="9"/>
      <c r="PE54" s="9"/>
      <c r="PF54" s="9"/>
      <c r="PG54" s="9"/>
      <c r="PH54" s="9"/>
      <c r="PI54" s="9"/>
      <c r="PJ54" s="9"/>
      <c r="PK54" s="9"/>
      <c r="PL54" s="9"/>
      <c r="PM54" s="9"/>
      <c r="PN54" s="9"/>
      <c r="PO54" s="9"/>
      <c r="PP54" s="9"/>
      <c r="PQ54" s="9"/>
      <c r="PR54" s="9"/>
      <c r="PS54" s="9"/>
      <c r="PT54" s="9"/>
      <c r="PU54" s="9"/>
      <c r="PV54" s="9"/>
      <c r="PW54" s="9"/>
      <c r="PX54" s="9"/>
      <c r="PY54" s="9"/>
      <c r="PZ54" s="9"/>
      <c r="QA54" s="9"/>
      <c r="QB54" s="9"/>
      <c r="QC54" s="9"/>
      <c r="QD54" s="9"/>
      <c r="QE54" s="9"/>
      <c r="QF54" s="9"/>
      <c r="QG54" s="9"/>
      <c r="QH54" s="9"/>
      <c r="QI54" s="9"/>
      <c r="QJ54" s="9"/>
      <c r="QK54" s="9"/>
      <c r="QL54" s="9"/>
      <c r="QM54" s="9"/>
      <c r="QN54" s="9"/>
      <c r="QO54" s="9"/>
      <c r="QP54" s="9"/>
      <c r="QQ54" s="67"/>
      <c r="QR54" s="68"/>
      <c r="QS54" s="63"/>
      <c r="QT54" s="71"/>
    </row>
    <row r="55" spans="1:462" s="11" customFormat="1" x14ac:dyDescent="0.2">
      <c r="A55" s="9">
        <v>10</v>
      </c>
      <c r="B55" s="9"/>
      <c r="C55" s="9"/>
      <c r="D55" s="9" t="s">
        <v>384</v>
      </c>
      <c r="E55" s="65" t="s">
        <v>511</v>
      </c>
      <c r="F55" s="65"/>
      <c r="G55" s="92" t="s">
        <v>2274</v>
      </c>
      <c r="H55" s="66" t="s">
        <v>1575</v>
      </c>
      <c r="I55" s="9" t="s">
        <v>1098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 t="s">
        <v>1098</v>
      </c>
      <c r="DL55" s="9"/>
      <c r="DM55" s="9" t="s">
        <v>1098</v>
      </c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  <c r="LR55" s="9"/>
      <c r="LS55" s="9"/>
      <c r="LT55" s="9"/>
      <c r="LU55" s="9"/>
      <c r="LV55" s="9"/>
      <c r="LW55" s="9"/>
      <c r="LX55" s="9"/>
      <c r="LY55" s="9"/>
      <c r="LZ55" s="9"/>
      <c r="MA55" s="9"/>
      <c r="MB55" s="9"/>
      <c r="MC55" s="9"/>
      <c r="MD55" s="9"/>
      <c r="ME55" s="9"/>
      <c r="MF55" s="9"/>
      <c r="MG55" s="9"/>
      <c r="MH55" s="9"/>
      <c r="MI55" s="9"/>
      <c r="MJ55" s="9"/>
      <c r="MK55" s="9"/>
      <c r="ML55" s="9"/>
      <c r="MM55" s="9"/>
      <c r="MN55" s="9"/>
      <c r="MO55" s="9"/>
      <c r="MP55" s="9"/>
      <c r="MQ55" s="9"/>
      <c r="MR55" s="9"/>
      <c r="MS55" s="9"/>
      <c r="MT55" s="9"/>
      <c r="MU55" s="9"/>
      <c r="MV55" s="9"/>
      <c r="MW55" s="9"/>
      <c r="MX55" s="9"/>
      <c r="MY55" s="9"/>
      <c r="MZ55" s="9"/>
      <c r="NA55" s="9"/>
      <c r="NB55" s="9"/>
      <c r="NC55" s="9"/>
      <c r="ND55" s="9"/>
      <c r="NE55" s="9"/>
      <c r="NF55" s="9"/>
      <c r="NG55" s="9"/>
      <c r="NH55" s="9"/>
      <c r="NI55" s="9"/>
      <c r="NJ55" s="9"/>
      <c r="NK55" s="9"/>
      <c r="NL55" s="9"/>
      <c r="NM55" s="9"/>
      <c r="NN55" s="9"/>
      <c r="NO55" s="9"/>
      <c r="NP55" s="9"/>
      <c r="NQ55" s="9"/>
      <c r="NR55" s="9"/>
      <c r="NS55" s="9"/>
      <c r="NT55" s="9"/>
      <c r="NU55" s="9"/>
      <c r="NV55" s="9"/>
      <c r="NW55" s="9"/>
      <c r="NX55" s="9"/>
      <c r="NY55" s="9"/>
      <c r="NZ55" s="9"/>
      <c r="OA55" s="9"/>
      <c r="OB55" s="9"/>
      <c r="OC55" s="9"/>
      <c r="OD55" s="9"/>
      <c r="OE55" s="9"/>
      <c r="OF55" s="9"/>
      <c r="OG55" s="9"/>
      <c r="OH55" s="9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  <c r="OU55" s="9"/>
      <c r="OV55" s="9"/>
      <c r="OW55" s="9"/>
      <c r="OX55" s="9"/>
      <c r="OY55" s="9"/>
      <c r="OZ55" s="9"/>
      <c r="PA55" s="9"/>
      <c r="PB55" s="9"/>
      <c r="PC55" s="9"/>
      <c r="PD55" s="9"/>
      <c r="PE55" s="9"/>
      <c r="PF55" s="9"/>
      <c r="PG55" s="9"/>
      <c r="PH55" s="9"/>
      <c r="PI55" s="9"/>
      <c r="PJ55" s="9"/>
      <c r="PK55" s="9"/>
      <c r="PL55" s="9"/>
      <c r="PM55" s="9"/>
      <c r="PN55" s="9"/>
      <c r="PO55" s="9"/>
      <c r="PP55" s="9"/>
      <c r="PQ55" s="9"/>
      <c r="PR55" s="9"/>
      <c r="PS55" s="9"/>
      <c r="PT55" s="9"/>
      <c r="PU55" s="9"/>
      <c r="PV55" s="9"/>
      <c r="PW55" s="9"/>
      <c r="PX55" s="9"/>
      <c r="PY55" s="9"/>
      <c r="PZ55" s="9"/>
      <c r="QA55" s="9"/>
      <c r="QB55" s="9"/>
      <c r="QC55" s="9"/>
      <c r="QD55" s="9"/>
      <c r="QE55" s="9"/>
      <c r="QF55" s="9"/>
      <c r="QG55" s="9"/>
      <c r="QH55" s="9"/>
      <c r="QI55" s="9"/>
      <c r="QJ55" s="9"/>
      <c r="QK55" s="9"/>
      <c r="QL55" s="9"/>
      <c r="QM55" s="9"/>
      <c r="QN55" s="9"/>
      <c r="QO55" s="9"/>
      <c r="QP55" s="9"/>
      <c r="QQ55" s="67"/>
      <c r="QR55" s="68"/>
      <c r="QS55" s="63"/>
      <c r="QT55" s="71"/>
    </row>
    <row r="56" spans="1:462" s="11" customFormat="1" ht="26" x14ac:dyDescent="0.2">
      <c r="A56" s="9">
        <v>10</v>
      </c>
      <c r="B56" s="9"/>
      <c r="C56" s="9"/>
      <c r="D56" s="9" t="s">
        <v>385</v>
      </c>
      <c r="E56" s="65" t="s">
        <v>512</v>
      </c>
      <c r="F56" s="65"/>
      <c r="G56" s="91" t="s">
        <v>2276</v>
      </c>
      <c r="H56" s="66" t="s">
        <v>1576</v>
      </c>
      <c r="I56" s="9" t="s">
        <v>1098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 t="s">
        <v>1098</v>
      </c>
      <c r="DT56" s="9"/>
      <c r="DU56" s="9" t="s">
        <v>1098</v>
      </c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9"/>
      <c r="LG56" s="9"/>
      <c r="LH56" s="9"/>
      <c r="LI56" s="9"/>
      <c r="LJ56" s="9"/>
      <c r="LK56" s="9"/>
      <c r="LL56" s="9"/>
      <c r="LM56" s="9"/>
      <c r="LN56" s="9"/>
      <c r="LO56" s="9"/>
      <c r="LP56" s="9"/>
      <c r="LQ56" s="9"/>
      <c r="LR56" s="9"/>
      <c r="LS56" s="9"/>
      <c r="LT56" s="9"/>
      <c r="LU56" s="9"/>
      <c r="LV56" s="9"/>
      <c r="LW56" s="9"/>
      <c r="LX56" s="9"/>
      <c r="LY56" s="9"/>
      <c r="LZ56" s="9"/>
      <c r="MA56" s="9"/>
      <c r="MB56" s="9"/>
      <c r="MC56" s="9"/>
      <c r="MD56" s="9"/>
      <c r="ME56" s="9"/>
      <c r="MF56" s="9"/>
      <c r="MG56" s="9"/>
      <c r="MH56" s="9"/>
      <c r="MI56" s="9"/>
      <c r="MJ56" s="9"/>
      <c r="MK56" s="9"/>
      <c r="ML56" s="9"/>
      <c r="MM56" s="9"/>
      <c r="MN56" s="9"/>
      <c r="MO56" s="9"/>
      <c r="MP56" s="9"/>
      <c r="MQ56" s="9"/>
      <c r="MR56" s="9"/>
      <c r="MS56" s="9"/>
      <c r="MT56" s="9"/>
      <c r="MU56" s="9"/>
      <c r="MV56" s="9"/>
      <c r="MW56" s="9"/>
      <c r="MX56" s="9"/>
      <c r="MY56" s="9"/>
      <c r="MZ56" s="9"/>
      <c r="NA56" s="9"/>
      <c r="NB56" s="9"/>
      <c r="NC56" s="9"/>
      <c r="ND56" s="9"/>
      <c r="NE56" s="9"/>
      <c r="NF56" s="9"/>
      <c r="NG56" s="9"/>
      <c r="NH56" s="9"/>
      <c r="NI56" s="9"/>
      <c r="NJ56" s="9"/>
      <c r="NK56" s="9"/>
      <c r="NL56" s="9"/>
      <c r="NM56" s="9"/>
      <c r="NN56" s="9"/>
      <c r="NO56" s="9"/>
      <c r="NP56" s="9"/>
      <c r="NQ56" s="9"/>
      <c r="NR56" s="9"/>
      <c r="NS56" s="9"/>
      <c r="NT56" s="9"/>
      <c r="NU56" s="9"/>
      <c r="NV56" s="9"/>
      <c r="NW56" s="9"/>
      <c r="NX56" s="9"/>
      <c r="NY56" s="9"/>
      <c r="NZ56" s="9"/>
      <c r="OA56" s="9"/>
      <c r="OB56" s="9"/>
      <c r="OC56" s="9"/>
      <c r="OD56" s="9"/>
      <c r="OE56" s="9"/>
      <c r="OF56" s="9"/>
      <c r="OG56" s="9"/>
      <c r="OH56" s="9"/>
      <c r="OI56" s="9"/>
      <c r="OJ56" s="9"/>
      <c r="OK56" s="9"/>
      <c r="OL56" s="9"/>
      <c r="OM56" s="9"/>
      <c r="ON56" s="9"/>
      <c r="OO56" s="9"/>
      <c r="OP56" s="9"/>
      <c r="OQ56" s="9"/>
      <c r="OR56" s="9"/>
      <c r="OS56" s="9"/>
      <c r="OT56" s="9"/>
      <c r="OU56" s="9"/>
      <c r="OV56" s="9"/>
      <c r="OW56" s="9"/>
      <c r="OX56" s="9"/>
      <c r="OY56" s="9"/>
      <c r="OZ56" s="9"/>
      <c r="PA56" s="9"/>
      <c r="PB56" s="9"/>
      <c r="PC56" s="9"/>
      <c r="PD56" s="9"/>
      <c r="PE56" s="9"/>
      <c r="PF56" s="9"/>
      <c r="PG56" s="9"/>
      <c r="PH56" s="9"/>
      <c r="PI56" s="9"/>
      <c r="PJ56" s="9"/>
      <c r="PK56" s="9"/>
      <c r="PL56" s="9"/>
      <c r="PM56" s="9"/>
      <c r="PN56" s="9"/>
      <c r="PO56" s="9"/>
      <c r="PP56" s="9"/>
      <c r="PQ56" s="9"/>
      <c r="PR56" s="9"/>
      <c r="PS56" s="9"/>
      <c r="PT56" s="9"/>
      <c r="PU56" s="9"/>
      <c r="PV56" s="9"/>
      <c r="PW56" s="9"/>
      <c r="PX56" s="9"/>
      <c r="PY56" s="9"/>
      <c r="PZ56" s="9"/>
      <c r="QA56" s="9"/>
      <c r="QB56" s="9"/>
      <c r="QC56" s="9"/>
      <c r="QD56" s="9"/>
      <c r="QE56" s="9"/>
      <c r="QF56" s="9"/>
      <c r="QG56" s="9"/>
      <c r="QH56" s="9"/>
      <c r="QI56" s="9"/>
      <c r="QJ56" s="9"/>
      <c r="QK56" s="9"/>
      <c r="QL56" s="9"/>
      <c r="QM56" s="9"/>
      <c r="QN56" s="9"/>
      <c r="QO56" s="9"/>
      <c r="QP56" s="9"/>
      <c r="QQ56" s="67"/>
      <c r="QR56" s="68"/>
      <c r="QS56" s="63"/>
      <c r="QT56" s="71"/>
    </row>
    <row r="57" spans="1:462" s="11" customFormat="1" ht="26" x14ac:dyDescent="0.2">
      <c r="A57" s="9">
        <v>10</v>
      </c>
      <c r="B57" s="9"/>
      <c r="C57" s="9"/>
      <c r="D57" s="9" t="s">
        <v>386</v>
      </c>
      <c r="E57" s="65" t="s">
        <v>513</v>
      </c>
      <c r="F57" s="65"/>
      <c r="G57" s="92" t="s">
        <v>2278</v>
      </c>
      <c r="H57" s="66" t="s">
        <v>1577</v>
      </c>
      <c r="I57" s="9" t="s">
        <v>1098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 t="s">
        <v>1098</v>
      </c>
      <c r="DT57" s="9"/>
      <c r="DU57" s="9" t="s">
        <v>1098</v>
      </c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  <c r="LZ57" s="9"/>
      <c r="MA57" s="9"/>
      <c r="MB57" s="9"/>
      <c r="MC57" s="9"/>
      <c r="MD57" s="9"/>
      <c r="ME57" s="9"/>
      <c r="MF57" s="9"/>
      <c r="MG57" s="9"/>
      <c r="MH57" s="9"/>
      <c r="MI57" s="9"/>
      <c r="MJ57" s="9"/>
      <c r="MK57" s="9"/>
      <c r="ML57" s="9"/>
      <c r="MM57" s="9"/>
      <c r="MN57" s="9"/>
      <c r="MO57" s="9"/>
      <c r="MP57" s="9"/>
      <c r="MQ57" s="9"/>
      <c r="MR57" s="9"/>
      <c r="MS57" s="9"/>
      <c r="MT57" s="9"/>
      <c r="MU57" s="9"/>
      <c r="MV57" s="9"/>
      <c r="MW57" s="9"/>
      <c r="MX57" s="9"/>
      <c r="MY57" s="9"/>
      <c r="MZ57" s="9"/>
      <c r="NA57" s="9"/>
      <c r="NB57" s="9"/>
      <c r="NC57" s="9"/>
      <c r="ND57" s="9"/>
      <c r="NE57" s="9"/>
      <c r="NF57" s="9"/>
      <c r="NG57" s="9"/>
      <c r="NH57" s="9"/>
      <c r="NI57" s="9"/>
      <c r="NJ57" s="9"/>
      <c r="NK57" s="9"/>
      <c r="NL57" s="9"/>
      <c r="NM57" s="9"/>
      <c r="NN57" s="9"/>
      <c r="NO57" s="9"/>
      <c r="NP57" s="9"/>
      <c r="NQ57" s="9"/>
      <c r="NR57" s="9"/>
      <c r="NS57" s="9"/>
      <c r="NT57" s="9"/>
      <c r="NU57" s="9"/>
      <c r="NV57" s="9"/>
      <c r="NW57" s="9"/>
      <c r="NX57" s="9"/>
      <c r="NY57" s="9"/>
      <c r="NZ57" s="9"/>
      <c r="OA57" s="9"/>
      <c r="OB57" s="9"/>
      <c r="OC57" s="9"/>
      <c r="OD57" s="9"/>
      <c r="OE57" s="9"/>
      <c r="OF57" s="9"/>
      <c r="OG57" s="9"/>
      <c r="OH57" s="9"/>
      <c r="OI57" s="9"/>
      <c r="OJ57" s="9"/>
      <c r="OK57" s="9"/>
      <c r="OL57" s="9"/>
      <c r="OM57" s="9"/>
      <c r="ON57" s="9"/>
      <c r="OO57" s="9"/>
      <c r="OP57" s="9"/>
      <c r="OQ57" s="9"/>
      <c r="OR57" s="9"/>
      <c r="OS57" s="9"/>
      <c r="OT57" s="9"/>
      <c r="OU57" s="9"/>
      <c r="OV57" s="9"/>
      <c r="OW57" s="9"/>
      <c r="OX57" s="9"/>
      <c r="OY57" s="9"/>
      <c r="OZ57" s="9"/>
      <c r="PA57" s="9"/>
      <c r="PB57" s="9"/>
      <c r="PC57" s="9"/>
      <c r="PD57" s="9"/>
      <c r="PE57" s="9"/>
      <c r="PF57" s="9"/>
      <c r="PG57" s="9"/>
      <c r="PH57" s="9"/>
      <c r="PI57" s="9"/>
      <c r="PJ57" s="9"/>
      <c r="PK57" s="9"/>
      <c r="PL57" s="9"/>
      <c r="PM57" s="9"/>
      <c r="PN57" s="9"/>
      <c r="PO57" s="9"/>
      <c r="PP57" s="9"/>
      <c r="PQ57" s="9"/>
      <c r="PR57" s="9"/>
      <c r="PS57" s="9"/>
      <c r="PT57" s="9"/>
      <c r="PU57" s="9"/>
      <c r="PV57" s="9"/>
      <c r="PW57" s="9"/>
      <c r="PX57" s="9"/>
      <c r="PY57" s="9"/>
      <c r="PZ57" s="9"/>
      <c r="QA57" s="9"/>
      <c r="QB57" s="9"/>
      <c r="QC57" s="9"/>
      <c r="QD57" s="9"/>
      <c r="QE57" s="9"/>
      <c r="QF57" s="9"/>
      <c r="QG57" s="9"/>
      <c r="QH57" s="9"/>
      <c r="QI57" s="9"/>
      <c r="QJ57" s="9"/>
      <c r="QK57" s="9"/>
      <c r="QL57" s="9"/>
      <c r="QM57" s="9"/>
      <c r="QN57" s="9"/>
      <c r="QO57" s="9"/>
      <c r="QP57" s="9"/>
      <c r="QQ57" s="67"/>
      <c r="QR57" s="68"/>
      <c r="QS57" s="63"/>
      <c r="QT57" s="71"/>
    </row>
    <row r="58" spans="1:462" s="11" customFormat="1" x14ac:dyDescent="0.2">
      <c r="A58" s="9">
        <v>10</v>
      </c>
      <c r="B58" s="9"/>
      <c r="C58" s="9"/>
      <c r="D58" s="9" t="s">
        <v>387</v>
      </c>
      <c r="E58" s="65" t="s">
        <v>741</v>
      </c>
      <c r="F58" s="65"/>
      <c r="G58" s="91" t="s">
        <v>2279</v>
      </c>
      <c r="H58" s="66" t="s">
        <v>1578</v>
      </c>
      <c r="I58" s="9" t="s">
        <v>1098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 t="s">
        <v>1098</v>
      </c>
      <c r="EB58" s="9"/>
      <c r="EC58" s="9" t="s">
        <v>1098</v>
      </c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  <c r="LZ58" s="9"/>
      <c r="MA58" s="9"/>
      <c r="MB58" s="9"/>
      <c r="MC58" s="9"/>
      <c r="MD58" s="9"/>
      <c r="ME58" s="9"/>
      <c r="MF58" s="9"/>
      <c r="MG58" s="9"/>
      <c r="MH58" s="9"/>
      <c r="MI58" s="9"/>
      <c r="MJ58" s="9"/>
      <c r="MK58" s="9"/>
      <c r="ML58" s="9"/>
      <c r="MM58" s="9"/>
      <c r="MN58" s="9"/>
      <c r="MO58" s="9"/>
      <c r="MP58" s="9"/>
      <c r="MQ58" s="9"/>
      <c r="MR58" s="9"/>
      <c r="MS58" s="9"/>
      <c r="MT58" s="9"/>
      <c r="MU58" s="9"/>
      <c r="MV58" s="9"/>
      <c r="MW58" s="9"/>
      <c r="MX58" s="9"/>
      <c r="MY58" s="9"/>
      <c r="MZ58" s="9"/>
      <c r="NA58" s="9"/>
      <c r="NB58" s="9"/>
      <c r="NC58" s="9"/>
      <c r="ND58" s="9"/>
      <c r="NE58" s="9"/>
      <c r="NF58" s="9"/>
      <c r="NG58" s="9"/>
      <c r="NH58" s="9"/>
      <c r="NI58" s="9"/>
      <c r="NJ58" s="9"/>
      <c r="NK58" s="9"/>
      <c r="NL58" s="9"/>
      <c r="NM58" s="9"/>
      <c r="NN58" s="9"/>
      <c r="NO58" s="9"/>
      <c r="NP58" s="9"/>
      <c r="NQ58" s="9"/>
      <c r="NR58" s="9"/>
      <c r="NS58" s="9"/>
      <c r="NT58" s="9"/>
      <c r="NU58" s="9"/>
      <c r="NV58" s="9"/>
      <c r="NW58" s="9"/>
      <c r="NX58" s="9"/>
      <c r="NY58" s="9"/>
      <c r="NZ58" s="9"/>
      <c r="OA58" s="9"/>
      <c r="OB58" s="9"/>
      <c r="OC58" s="9"/>
      <c r="OD58" s="9"/>
      <c r="OE58" s="9"/>
      <c r="OF58" s="9"/>
      <c r="OG58" s="9"/>
      <c r="OH58" s="9"/>
      <c r="OI58" s="9"/>
      <c r="OJ58" s="9"/>
      <c r="OK58" s="9"/>
      <c r="OL58" s="9"/>
      <c r="OM58" s="9"/>
      <c r="ON58" s="9"/>
      <c r="OO58" s="9"/>
      <c r="OP58" s="9"/>
      <c r="OQ58" s="9"/>
      <c r="OR58" s="9"/>
      <c r="OS58" s="9"/>
      <c r="OT58" s="9"/>
      <c r="OU58" s="9"/>
      <c r="OV58" s="9"/>
      <c r="OW58" s="9"/>
      <c r="OX58" s="9"/>
      <c r="OY58" s="9"/>
      <c r="OZ58" s="9"/>
      <c r="PA58" s="9"/>
      <c r="PB58" s="9"/>
      <c r="PC58" s="9"/>
      <c r="PD58" s="9"/>
      <c r="PE58" s="9"/>
      <c r="PF58" s="9"/>
      <c r="PG58" s="9"/>
      <c r="PH58" s="9"/>
      <c r="PI58" s="9"/>
      <c r="PJ58" s="9"/>
      <c r="PK58" s="9"/>
      <c r="PL58" s="9"/>
      <c r="PM58" s="9"/>
      <c r="PN58" s="9"/>
      <c r="PO58" s="9"/>
      <c r="PP58" s="9"/>
      <c r="PQ58" s="9"/>
      <c r="PR58" s="9"/>
      <c r="PS58" s="9"/>
      <c r="PT58" s="9"/>
      <c r="PU58" s="9"/>
      <c r="PV58" s="9"/>
      <c r="PW58" s="9"/>
      <c r="PX58" s="9"/>
      <c r="PY58" s="9"/>
      <c r="PZ58" s="9"/>
      <c r="QA58" s="9"/>
      <c r="QB58" s="9"/>
      <c r="QC58" s="9"/>
      <c r="QD58" s="9"/>
      <c r="QE58" s="9"/>
      <c r="QF58" s="9"/>
      <c r="QG58" s="9"/>
      <c r="QH58" s="9"/>
      <c r="QI58" s="9"/>
      <c r="QJ58" s="9"/>
      <c r="QK58" s="9"/>
      <c r="QL58" s="9"/>
      <c r="QM58" s="9"/>
      <c r="QN58" s="9"/>
      <c r="QO58" s="9"/>
      <c r="QP58" s="9"/>
      <c r="QQ58" s="67"/>
      <c r="QR58" s="68"/>
      <c r="QS58" s="63"/>
      <c r="QT58" s="71"/>
    </row>
    <row r="59" spans="1:462" s="11" customFormat="1" ht="26" x14ac:dyDescent="0.2">
      <c r="A59" s="9">
        <v>10</v>
      </c>
      <c r="B59" s="9"/>
      <c r="C59" s="9"/>
      <c r="D59" s="9" t="s">
        <v>388</v>
      </c>
      <c r="E59" s="65" t="s">
        <v>742</v>
      </c>
      <c r="F59" s="65"/>
      <c r="G59" s="92" t="s">
        <v>2281</v>
      </c>
      <c r="H59" s="66" t="s">
        <v>1579</v>
      </c>
      <c r="I59" s="9" t="s">
        <v>1098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 t="s">
        <v>1098</v>
      </c>
      <c r="EB59" s="9"/>
      <c r="EC59" s="9" t="s">
        <v>1098</v>
      </c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  <c r="MB59" s="9"/>
      <c r="MC59" s="9"/>
      <c r="MD59" s="9"/>
      <c r="ME59" s="9"/>
      <c r="MF59" s="9"/>
      <c r="MG59" s="9"/>
      <c r="MH59" s="9"/>
      <c r="MI59" s="9"/>
      <c r="MJ59" s="9"/>
      <c r="MK59" s="9"/>
      <c r="ML59" s="9"/>
      <c r="MM59" s="9"/>
      <c r="MN59" s="9"/>
      <c r="MO59" s="9"/>
      <c r="MP59" s="9"/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/>
      <c r="NF59" s="9"/>
      <c r="NG59" s="9"/>
      <c r="NH59" s="9"/>
      <c r="NI59" s="9"/>
      <c r="NJ59" s="9"/>
      <c r="NK59" s="9"/>
      <c r="NL59" s="9"/>
      <c r="NM59" s="9"/>
      <c r="NN59" s="9"/>
      <c r="NO59" s="9"/>
      <c r="NP59" s="9"/>
      <c r="NQ59" s="9"/>
      <c r="NR59" s="9"/>
      <c r="NS59" s="9"/>
      <c r="NT59" s="9"/>
      <c r="NU59" s="9"/>
      <c r="NV59" s="9"/>
      <c r="NW59" s="9"/>
      <c r="NX59" s="9"/>
      <c r="NY59" s="9"/>
      <c r="NZ59" s="9"/>
      <c r="OA59" s="9"/>
      <c r="OB59" s="9"/>
      <c r="OC59" s="9"/>
      <c r="OD59" s="9"/>
      <c r="OE59" s="9"/>
      <c r="OF59" s="9"/>
      <c r="OG59" s="9"/>
      <c r="OH59" s="9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  <c r="OU59" s="9"/>
      <c r="OV59" s="9"/>
      <c r="OW59" s="9"/>
      <c r="OX59" s="9"/>
      <c r="OY59" s="9"/>
      <c r="OZ59" s="9"/>
      <c r="PA59" s="9"/>
      <c r="PB59" s="9"/>
      <c r="PC59" s="9"/>
      <c r="PD59" s="9"/>
      <c r="PE59" s="9"/>
      <c r="PF59" s="9"/>
      <c r="PG59" s="9"/>
      <c r="PH59" s="9"/>
      <c r="PI59" s="9"/>
      <c r="PJ59" s="9"/>
      <c r="PK59" s="9"/>
      <c r="PL59" s="9"/>
      <c r="PM59" s="9"/>
      <c r="PN59" s="9"/>
      <c r="PO59" s="9"/>
      <c r="PP59" s="9"/>
      <c r="PQ59" s="9"/>
      <c r="PR59" s="9"/>
      <c r="PS59" s="9"/>
      <c r="PT59" s="9"/>
      <c r="PU59" s="9"/>
      <c r="PV59" s="9"/>
      <c r="PW59" s="9"/>
      <c r="PX59" s="9"/>
      <c r="PY59" s="9"/>
      <c r="PZ59" s="9"/>
      <c r="QA59" s="9"/>
      <c r="QB59" s="9"/>
      <c r="QC59" s="9"/>
      <c r="QD59" s="9"/>
      <c r="QE59" s="9"/>
      <c r="QF59" s="9"/>
      <c r="QG59" s="9"/>
      <c r="QH59" s="9"/>
      <c r="QI59" s="9"/>
      <c r="QJ59" s="9"/>
      <c r="QK59" s="9"/>
      <c r="QL59" s="9"/>
      <c r="QM59" s="9"/>
      <c r="QN59" s="9"/>
      <c r="QO59" s="9"/>
      <c r="QP59" s="9"/>
      <c r="QQ59" s="67"/>
      <c r="QR59" s="68"/>
      <c r="QS59" s="63"/>
      <c r="QT59" s="71"/>
    </row>
    <row r="60" spans="1:462" s="11" customFormat="1" x14ac:dyDescent="0.2">
      <c r="A60" s="9">
        <v>10</v>
      </c>
      <c r="B60" s="9"/>
      <c r="C60" s="9"/>
      <c r="D60" s="9" t="s">
        <v>578</v>
      </c>
      <c r="E60" s="65" t="s">
        <v>510</v>
      </c>
      <c r="F60" s="65"/>
      <c r="G60" s="92" t="s">
        <v>2272</v>
      </c>
      <c r="H60" s="66" t="s">
        <v>1574</v>
      </c>
      <c r="I60" s="9" t="s">
        <v>1098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 t="s">
        <v>1580</v>
      </c>
      <c r="EB60" s="9"/>
      <c r="EC60" s="9" t="s">
        <v>1580</v>
      </c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  <c r="LW60" s="9"/>
      <c r="LX60" s="9"/>
      <c r="LY60" s="9"/>
      <c r="LZ60" s="9"/>
      <c r="MA60" s="9"/>
      <c r="MB60" s="9"/>
      <c r="MC60" s="9"/>
      <c r="MD60" s="9"/>
      <c r="ME60" s="9"/>
      <c r="MF60" s="9"/>
      <c r="MG60" s="9"/>
      <c r="MH60" s="9"/>
      <c r="MI60" s="9"/>
      <c r="MJ60" s="9"/>
      <c r="MK60" s="9"/>
      <c r="ML60" s="9"/>
      <c r="MM60" s="9"/>
      <c r="MN60" s="9"/>
      <c r="MO60" s="9"/>
      <c r="MP60" s="9"/>
      <c r="MQ60" s="9"/>
      <c r="MR60" s="9"/>
      <c r="MS60" s="9"/>
      <c r="MT60" s="9"/>
      <c r="MU60" s="9"/>
      <c r="MV60" s="9"/>
      <c r="MW60" s="9"/>
      <c r="MX60" s="9"/>
      <c r="MY60" s="9"/>
      <c r="MZ60" s="9"/>
      <c r="NA60" s="9"/>
      <c r="NB60" s="9"/>
      <c r="NC60" s="9"/>
      <c r="ND60" s="9"/>
      <c r="NE60" s="9"/>
      <c r="NF60" s="9"/>
      <c r="NG60" s="9"/>
      <c r="NH60" s="9"/>
      <c r="NI60" s="9"/>
      <c r="NJ60" s="9"/>
      <c r="NK60" s="9"/>
      <c r="NL60" s="9"/>
      <c r="NM60" s="9"/>
      <c r="NN60" s="9"/>
      <c r="NO60" s="9"/>
      <c r="NP60" s="9"/>
      <c r="NQ60" s="9"/>
      <c r="NR60" s="9"/>
      <c r="NS60" s="9"/>
      <c r="NT60" s="9"/>
      <c r="NU60" s="9"/>
      <c r="NV60" s="9"/>
      <c r="NW60" s="9"/>
      <c r="NX60" s="9"/>
      <c r="NY60" s="9"/>
      <c r="NZ60" s="9"/>
      <c r="OA60" s="9"/>
      <c r="OB60" s="9"/>
      <c r="OC60" s="9"/>
      <c r="OD60" s="9"/>
      <c r="OE60" s="9"/>
      <c r="OF60" s="9"/>
      <c r="OG60" s="9"/>
      <c r="OH60" s="9"/>
      <c r="OI60" s="9"/>
      <c r="OJ60" s="9"/>
      <c r="OK60" s="9"/>
      <c r="OL60" s="9"/>
      <c r="OM60" s="9"/>
      <c r="ON60" s="9"/>
      <c r="OO60" s="9"/>
      <c r="OP60" s="9"/>
      <c r="OQ60" s="9"/>
      <c r="OR60" s="9"/>
      <c r="OS60" s="9"/>
      <c r="OT60" s="9"/>
      <c r="OU60" s="9"/>
      <c r="OV60" s="9"/>
      <c r="OW60" s="9"/>
      <c r="OX60" s="9"/>
      <c r="OY60" s="9"/>
      <c r="OZ60" s="9"/>
      <c r="PA60" s="9"/>
      <c r="PB60" s="9"/>
      <c r="PC60" s="9"/>
      <c r="PD60" s="9"/>
      <c r="PE60" s="9"/>
      <c r="PF60" s="9"/>
      <c r="PG60" s="9"/>
      <c r="PH60" s="9"/>
      <c r="PI60" s="9"/>
      <c r="PJ60" s="9"/>
      <c r="PK60" s="9"/>
      <c r="PL60" s="9"/>
      <c r="PM60" s="9"/>
      <c r="PN60" s="9"/>
      <c r="PO60" s="9"/>
      <c r="PP60" s="9"/>
      <c r="PQ60" s="9"/>
      <c r="PR60" s="9"/>
      <c r="PS60" s="9"/>
      <c r="PT60" s="9"/>
      <c r="PU60" s="9"/>
      <c r="PV60" s="9"/>
      <c r="PW60" s="9"/>
      <c r="PX60" s="9"/>
      <c r="PY60" s="9"/>
      <c r="PZ60" s="9"/>
      <c r="QA60" s="9"/>
      <c r="QB60" s="9"/>
      <c r="QC60" s="9"/>
      <c r="QD60" s="9"/>
      <c r="QE60" s="9"/>
      <c r="QF60" s="9"/>
      <c r="QG60" s="9"/>
      <c r="QH60" s="9"/>
      <c r="QI60" s="9"/>
      <c r="QJ60" s="9"/>
      <c r="QK60" s="9"/>
      <c r="QL60" s="9"/>
      <c r="QM60" s="9"/>
      <c r="QN60" s="9"/>
      <c r="QO60" s="9"/>
      <c r="QP60" s="9"/>
      <c r="QQ60" s="67"/>
      <c r="QR60" s="68"/>
      <c r="QS60" s="63"/>
      <c r="QT60" s="71"/>
    </row>
    <row r="61" spans="1:462" s="11" customFormat="1" x14ac:dyDescent="0.2">
      <c r="A61" s="9">
        <v>10</v>
      </c>
      <c r="B61" s="9"/>
      <c r="C61" s="9"/>
      <c r="D61" s="9" t="s">
        <v>579</v>
      </c>
      <c r="E61" s="65" t="s">
        <v>511</v>
      </c>
      <c r="F61" s="65"/>
      <c r="G61" s="92" t="s">
        <v>2274</v>
      </c>
      <c r="H61" s="66" t="s">
        <v>1575</v>
      </c>
      <c r="I61" s="9" t="s">
        <v>1098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 t="s">
        <v>1581</v>
      </c>
      <c r="EB61" s="9"/>
      <c r="EC61" s="9" t="s">
        <v>1581</v>
      </c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9"/>
      <c r="LC61" s="9"/>
      <c r="LD61" s="9"/>
      <c r="LE61" s="9"/>
      <c r="LF61" s="9"/>
      <c r="LG61" s="9"/>
      <c r="LH61" s="9"/>
      <c r="LI61" s="9"/>
      <c r="LJ61" s="9"/>
      <c r="LK61" s="9"/>
      <c r="LL61" s="9"/>
      <c r="LM61" s="9"/>
      <c r="LN61" s="9"/>
      <c r="LO61" s="9"/>
      <c r="LP61" s="9"/>
      <c r="LQ61" s="9"/>
      <c r="LR61" s="9"/>
      <c r="LS61" s="9"/>
      <c r="LT61" s="9"/>
      <c r="LU61" s="9"/>
      <c r="LV61" s="9"/>
      <c r="LW61" s="9"/>
      <c r="LX61" s="9"/>
      <c r="LY61" s="9"/>
      <c r="LZ61" s="9"/>
      <c r="MA61" s="9"/>
      <c r="MB61" s="9"/>
      <c r="MC61" s="9"/>
      <c r="MD61" s="9"/>
      <c r="ME61" s="9"/>
      <c r="MF61" s="9"/>
      <c r="MG61" s="9"/>
      <c r="MH61" s="9"/>
      <c r="MI61" s="9"/>
      <c r="MJ61" s="9"/>
      <c r="MK61" s="9"/>
      <c r="ML61" s="9"/>
      <c r="MM61" s="9"/>
      <c r="MN61" s="9"/>
      <c r="MO61" s="9"/>
      <c r="MP61" s="9"/>
      <c r="MQ61" s="9"/>
      <c r="MR61" s="9"/>
      <c r="MS61" s="9"/>
      <c r="MT61" s="9"/>
      <c r="MU61" s="9"/>
      <c r="MV61" s="9"/>
      <c r="MW61" s="9"/>
      <c r="MX61" s="9"/>
      <c r="MY61" s="9"/>
      <c r="MZ61" s="9"/>
      <c r="NA61" s="9"/>
      <c r="NB61" s="9"/>
      <c r="NC61" s="9"/>
      <c r="ND61" s="9"/>
      <c r="NE61" s="9"/>
      <c r="NF61" s="9"/>
      <c r="NG61" s="9"/>
      <c r="NH61" s="9"/>
      <c r="NI61" s="9"/>
      <c r="NJ61" s="9"/>
      <c r="NK61" s="9"/>
      <c r="NL61" s="9"/>
      <c r="NM61" s="9"/>
      <c r="NN61" s="9"/>
      <c r="NO61" s="9"/>
      <c r="NP61" s="9"/>
      <c r="NQ61" s="9"/>
      <c r="NR61" s="9"/>
      <c r="NS61" s="9"/>
      <c r="NT61" s="9"/>
      <c r="NU61" s="9"/>
      <c r="NV61" s="9"/>
      <c r="NW61" s="9"/>
      <c r="NX61" s="9"/>
      <c r="NY61" s="9"/>
      <c r="NZ61" s="9"/>
      <c r="OA61" s="9"/>
      <c r="OB61" s="9"/>
      <c r="OC61" s="9"/>
      <c r="OD61" s="9"/>
      <c r="OE61" s="9"/>
      <c r="OF61" s="9"/>
      <c r="OG61" s="9"/>
      <c r="OH61" s="9"/>
      <c r="OI61" s="9"/>
      <c r="OJ61" s="9"/>
      <c r="OK61" s="9"/>
      <c r="OL61" s="9"/>
      <c r="OM61" s="9"/>
      <c r="ON61" s="9"/>
      <c r="OO61" s="9"/>
      <c r="OP61" s="9"/>
      <c r="OQ61" s="9"/>
      <c r="OR61" s="9"/>
      <c r="OS61" s="9"/>
      <c r="OT61" s="9"/>
      <c r="OU61" s="9"/>
      <c r="OV61" s="9"/>
      <c r="OW61" s="9"/>
      <c r="OX61" s="9"/>
      <c r="OY61" s="9"/>
      <c r="OZ61" s="9"/>
      <c r="PA61" s="9"/>
      <c r="PB61" s="9"/>
      <c r="PC61" s="9"/>
      <c r="PD61" s="9"/>
      <c r="PE61" s="9"/>
      <c r="PF61" s="9"/>
      <c r="PG61" s="9"/>
      <c r="PH61" s="9"/>
      <c r="PI61" s="9"/>
      <c r="PJ61" s="9"/>
      <c r="PK61" s="9"/>
      <c r="PL61" s="9"/>
      <c r="PM61" s="9"/>
      <c r="PN61" s="9"/>
      <c r="PO61" s="9"/>
      <c r="PP61" s="9"/>
      <c r="PQ61" s="9"/>
      <c r="PR61" s="9"/>
      <c r="PS61" s="9"/>
      <c r="PT61" s="9"/>
      <c r="PU61" s="9"/>
      <c r="PV61" s="9"/>
      <c r="PW61" s="9"/>
      <c r="PX61" s="9"/>
      <c r="PY61" s="9"/>
      <c r="PZ61" s="9"/>
      <c r="QA61" s="9"/>
      <c r="QB61" s="9"/>
      <c r="QC61" s="9"/>
      <c r="QD61" s="9"/>
      <c r="QE61" s="9"/>
      <c r="QF61" s="9"/>
      <c r="QG61" s="9"/>
      <c r="QH61" s="9"/>
      <c r="QI61" s="9"/>
      <c r="QJ61" s="9"/>
      <c r="QK61" s="9"/>
      <c r="QL61" s="9"/>
      <c r="QM61" s="9"/>
      <c r="QN61" s="9"/>
      <c r="QO61" s="9"/>
      <c r="QP61" s="9"/>
      <c r="QQ61" s="67"/>
      <c r="QR61" s="68"/>
      <c r="QS61" s="63"/>
      <c r="QT61" s="71"/>
    </row>
    <row r="62" spans="1:462" s="11" customFormat="1" x14ac:dyDescent="0.2">
      <c r="A62" s="9">
        <v>10</v>
      </c>
      <c r="B62" s="9"/>
      <c r="C62" s="9"/>
      <c r="D62" s="9" t="s">
        <v>389</v>
      </c>
      <c r="E62" s="65" t="s">
        <v>47</v>
      </c>
      <c r="F62" s="65"/>
      <c r="G62" s="92" t="s">
        <v>2282</v>
      </c>
      <c r="H62" s="66" t="s">
        <v>1582</v>
      </c>
      <c r="I62" s="9" t="s">
        <v>1098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 t="s">
        <v>1098</v>
      </c>
      <c r="EB62" s="9"/>
      <c r="EC62" s="9" t="s">
        <v>1098</v>
      </c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  <c r="LR62" s="9"/>
      <c r="LS62" s="9"/>
      <c r="LT62" s="9"/>
      <c r="LU62" s="9"/>
      <c r="LV62" s="9"/>
      <c r="LW62" s="9"/>
      <c r="LX62" s="9"/>
      <c r="LY62" s="9"/>
      <c r="LZ62" s="9"/>
      <c r="MA62" s="9"/>
      <c r="MB62" s="9"/>
      <c r="MC62" s="9"/>
      <c r="MD62" s="9"/>
      <c r="ME62" s="9"/>
      <c r="MF62" s="9"/>
      <c r="MG62" s="9"/>
      <c r="MH62" s="9"/>
      <c r="MI62" s="9"/>
      <c r="MJ62" s="9"/>
      <c r="MK62" s="9"/>
      <c r="ML62" s="9"/>
      <c r="MM62" s="9"/>
      <c r="MN62" s="9"/>
      <c r="MO62" s="9"/>
      <c r="MP62" s="9"/>
      <c r="MQ62" s="9"/>
      <c r="MR62" s="9"/>
      <c r="MS62" s="9"/>
      <c r="MT62" s="9"/>
      <c r="MU62" s="9"/>
      <c r="MV62" s="9"/>
      <c r="MW62" s="9"/>
      <c r="MX62" s="9"/>
      <c r="MY62" s="9"/>
      <c r="MZ62" s="9"/>
      <c r="NA62" s="9"/>
      <c r="NB62" s="9"/>
      <c r="NC62" s="9"/>
      <c r="ND62" s="9"/>
      <c r="NE62" s="9"/>
      <c r="NF62" s="9"/>
      <c r="NG62" s="9"/>
      <c r="NH62" s="9"/>
      <c r="NI62" s="9"/>
      <c r="NJ62" s="9"/>
      <c r="NK62" s="9"/>
      <c r="NL62" s="9"/>
      <c r="NM62" s="9"/>
      <c r="NN62" s="9"/>
      <c r="NO62" s="9"/>
      <c r="NP62" s="9"/>
      <c r="NQ62" s="9"/>
      <c r="NR62" s="9"/>
      <c r="NS62" s="9"/>
      <c r="NT62" s="9"/>
      <c r="NU62" s="9"/>
      <c r="NV62" s="9"/>
      <c r="NW62" s="9"/>
      <c r="NX62" s="9"/>
      <c r="NY62" s="9"/>
      <c r="NZ62" s="9"/>
      <c r="OA62" s="9"/>
      <c r="OB62" s="9"/>
      <c r="OC62" s="9"/>
      <c r="OD62" s="9"/>
      <c r="OE62" s="9"/>
      <c r="OF62" s="9"/>
      <c r="OG62" s="9"/>
      <c r="OH62" s="9"/>
      <c r="OI62" s="9"/>
      <c r="OJ62" s="9"/>
      <c r="OK62" s="9"/>
      <c r="OL62" s="9"/>
      <c r="OM62" s="9"/>
      <c r="ON62" s="9"/>
      <c r="OO62" s="9"/>
      <c r="OP62" s="9"/>
      <c r="OQ62" s="9"/>
      <c r="OR62" s="9"/>
      <c r="OS62" s="9"/>
      <c r="OT62" s="9"/>
      <c r="OU62" s="9"/>
      <c r="OV62" s="9"/>
      <c r="OW62" s="9"/>
      <c r="OX62" s="9"/>
      <c r="OY62" s="9"/>
      <c r="OZ62" s="9"/>
      <c r="PA62" s="9"/>
      <c r="PB62" s="9"/>
      <c r="PC62" s="9"/>
      <c r="PD62" s="9"/>
      <c r="PE62" s="9"/>
      <c r="PF62" s="9"/>
      <c r="PG62" s="9"/>
      <c r="PH62" s="9"/>
      <c r="PI62" s="9"/>
      <c r="PJ62" s="9"/>
      <c r="PK62" s="9"/>
      <c r="PL62" s="9"/>
      <c r="PM62" s="9"/>
      <c r="PN62" s="9"/>
      <c r="PO62" s="9"/>
      <c r="PP62" s="9"/>
      <c r="PQ62" s="9"/>
      <c r="PR62" s="9"/>
      <c r="PS62" s="9"/>
      <c r="PT62" s="9"/>
      <c r="PU62" s="9"/>
      <c r="PV62" s="9"/>
      <c r="PW62" s="9"/>
      <c r="PX62" s="9"/>
      <c r="PY62" s="9"/>
      <c r="PZ62" s="9"/>
      <c r="QA62" s="9"/>
      <c r="QB62" s="9"/>
      <c r="QC62" s="9"/>
      <c r="QD62" s="9"/>
      <c r="QE62" s="9"/>
      <c r="QF62" s="9"/>
      <c r="QG62" s="9"/>
      <c r="QH62" s="9"/>
      <c r="QI62" s="9"/>
      <c r="QJ62" s="9"/>
      <c r="QK62" s="9"/>
      <c r="QL62" s="9"/>
      <c r="QM62" s="9"/>
      <c r="QN62" s="9"/>
      <c r="QO62" s="9"/>
      <c r="QP62" s="9"/>
      <c r="QQ62" s="67"/>
      <c r="QR62" s="68"/>
      <c r="QS62" s="63"/>
      <c r="QT62" s="71"/>
    </row>
    <row r="63" spans="1:462" s="11" customFormat="1" x14ac:dyDescent="0.2">
      <c r="A63" s="9">
        <v>10</v>
      </c>
      <c r="B63" s="9"/>
      <c r="C63" s="9"/>
      <c r="D63" s="9" t="s">
        <v>390</v>
      </c>
      <c r="E63" s="65" t="s">
        <v>47</v>
      </c>
      <c r="F63" s="65"/>
      <c r="G63" s="92" t="s">
        <v>2283</v>
      </c>
      <c r="H63" s="66" t="s">
        <v>1583</v>
      </c>
      <c r="I63" s="9" t="s">
        <v>1098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 t="s">
        <v>1098</v>
      </c>
      <c r="EB63" s="9"/>
      <c r="EC63" s="9" t="s">
        <v>1098</v>
      </c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9"/>
      <c r="LG63" s="9"/>
      <c r="LH63" s="9"/>
      <c r="LI63" s="9"/>
      <c r="LJ63" s="9"/>
      <c r="LK63" s="9"/>
      <c r="LL63" s="9"/>
      <c r="LM63" s="9"/>
      <c r="LN63" s="9"/>
      <c r="LO63" s="9"/>
      <c r="LP63" s="9"/>
      <c r="LQ63" s="9"/>
      <c r="LR63" s="9"/>
      <c r="LS63" s="9"/>
      <c r="LT63" s="9"/>
      <c r="LU63" s="9"/>
      <c r="LV63" s="9"/>
      <c r="LW63" s="9"/>
      <c r="LX63" s="9"/>
      <c r="LY63" s="9"/>
      <c r="LZ63" s="9"/>
      <c r="MA63" s="9"/>
      <c r="MB63" s="9"/>
      <c r="MC63" s="9"/>
      <c r="MD63" s="9"/>
      <c r="ME63" s="9"/>
      <c r="MF63" s="9"/>
      <c r="MG63" s="9"/>
      <c r="MH63" s="9"/>
      <c r="MI63" s="9"/>
      <c r="MJ63" s="9"/>
      <c r="MK63" s="9"/>
      <c r="ML63" s="9"/>
      <c r="MM63" s="9"/>
      <c r="MN63" s="9"/>
      <c r="MO63" s="9"/>
      <c r="MP63" s="9"/>
      <c r="MQ63" s="9"/>
      <c r="MR63" s="9"/>
      <c r="MS63" s="9"/>
      <c r="MT63" s="9"/>
      <c r="MU63" s="9"/>
      <c r="MV63" s="9"/>
      <c r="MW63" s="9"/>
      <c r="MX63" s="9"/>
      <c r="MY63" s="9"/>
      <c r="MZ63" s="9"/>
      <c r="NA63" s="9"/>
      <c r="NB63" s="9"/>
      <c r="NC63" s="9"/>
      <c r="ND63" s="9"/>
      <c r="NE63" s="9"/>
      <c r="NF63" s="9"/>
      <c r="NG63" s="9"/>
      <c r="NH63" s="9"/>
      <c r="NI63" s="9"/>
      <c r="NJ63" s="9"/>
      <c r="NK63" s="9"/>
      <c r="NL63" s="9"/>
      <c r="NM63" s="9"/>
      <c r="NN63" s="9"/>
      <c r="NO63" s="9"/>
      <c r="NP63" s="9"/>
      <c r="NQ63" s="9"/>
      <c r="NR63" s="9"/>
      <c r="NS63" s="9"/>
      <c r="NT63" s="9"/>
      <c r="NU63" s="9"/>
      <c r="NV63" s="9"/>
      <c r="NW63" s="9"/>
      <c r="NX63" s="9"/>
      <c r="NY63" s="9"/>
      <c r="NZ63" s="9"/>
      <c r="OA63" s="9"/>
      <c r="OB63" s="9"/>
      <c r="OC63" s="9"/>
      <c r="OD63" s="9"/>
      <c r="OE63" s="9"/>
      <c r="OF63" s="9"/>
      <c r="OG63" s="9"/>
      <c r="OH63" s="9"/>
      <c r="OI63" s="9"/>
      <c r="OJ63" s="9"/>
      <c r="OK63" s="9"/>
      <c r="OL63" s="9"/>
      <c r="OM63" s="9"/>
      <c r="ON63" s="9"/>
      <c r="OO63" s="9"/>
      <c r="OP63" s="9"/>
      <c r="OQ63" s="9"/>
      <c r="OR63" s="9"/>
      <c r="OS63" s="9"/>
      <c r="OT63" s="9"/>
      <c r="OU63" s="9"/>
      <c r="OV63" s="9"/>
      <c r="OW63" s="9"/>
      <c r="OX63" s="9"/>
      <c r="OY63" s="9"/>
      <c r="OZ63" s="9"/>
      <c r="PA63" s="9"/>
      <c r="PB63" s="9"/>
      <c r="PC63" s="9"/>
      <c r="PD63" s="9"/>
      <c r="PE63" s="9"/>
      <c r="PF63" s="9"/>
      <c r="PG63" s="9"/>
      <c r="PH63" s="9"/>
      <c r="PI63" s="9"/>
      <c r="PJ63" s="9"/>
      <c r="PK63" s="9"/>
      <c r="PL63" s="9"/>
      <c r="PM63" s="9"/>
      <c r="PN63" s="9"/>
      <c r="PO63" s="9"/>
      <c r="PP63" s="9"/>
      <c r="PQ63" s="9"/>
      <c r="PR63" s="9"/>
      <c r="PS63" s="9"/>
      <c r="PT63" s="9"/>
      <c r="PU63" s="9"/>
      <c r="PV63" s="9"/>
      <c r="PW63" s="9"/>
      <c r="PX63" s="9"/>
      <c r="PY63" s="9"/>
      <c r="PZ63" s="9"/>
      <c r="QA63" s="9"/>
      <c r="QB63" s="9"/>
      <c r="QC63" s="9"/>
      <c r="QD63" s="9"/>
      <c r="QE63" s="9"/>
      <c r="QF63" s="9"/>
      <c r="QG63" s="9"/>
      <c r="QH63" s="9"/>
      <c r="QI63" s="9"/>
      <c r="QJ63" s="9"/>
      <c r="QK63" s="9"/>
      <c r="QL63" s="9"/>
      <c r="QM63" s="9"/>
      <c r="QN63" s="9"/>
      <c r="QO63" s="9"/>
      <c r="QP63" s="9"/>
      <c r="QQ63" s="67"/>
      <c r="QR63" s="68"/>
      <c r="QS63" s="63"/>
      <c r="QT63" s="71"/>
    </row>
    <row r="64" spans="1:462" s="11" customFormat="1" ht="26" x14ac:dyDescent="0.2">
      <c r="A64" s="9">
        <v>10</v>
      </c>
      <c r="B64" s="9"/>
      <c r="C64" s="9"/>
      <c r="D64" s="9" t="s">
        <v>391</v>
      </c>
      <c r="E64" s="65" t="s">
        <v>514</v>
      </c>
      <c r="F64" s="65"/>
      <c r="G64" s="91" t="s">
        <v>2284</v>
      </c>
      <c r="H64" s="66" t="s">
        <v>1584</v>
      </c>
      <c r="I64" s="9" t="s">
        <v>1098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 t="s">
        <v>1098</v>
      </c>
      <c r="EJ64" s="9"/>
      <c r="EK64" s="9" t="s">
        <v>1098</v>
      </c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  <c r="LW64" s="9"/>
      <c r="LX64" s="9"/>
      <c r="LY64" s="9"/>
      <c r="LZ64" s="9"/>
      <c r="MA64" s="9"/>
      <c r="MB64" s="9"/>
      <c r="MC64" s="9"/>
      <c r="MD64" s="9"/>
      <c r="ME64" s="9"/>
      <c r="MF64" s="9"/>
      <c r="MG64" s="9"/>
      <c r="MH64" s="9"/>
      <c r="MI64" s="9"/>
      <c r="MJ64" s="9"/>
      <c r="MK64" s="9"/>
      <c r="ML64" s="9"/>
      <c r="MM64" s="9"/>
      <c r="MN64" s="9"/>
      <c r="MO64" s="9"/>
      <c r="MP64" s="9"/>
      <c r="MQ64" s="9"/>
      <c r="MR64" s="9"/>
      <c r="MS64" s="9"/>
      <c r="MT64" s="9"/>
      <c r="MU64" s="9"/>
      <c r="MV64" s="9"/>
      <c r="MW64" s="9"/>
      <c r="MX64" s="9"/>
      <c r="MY64" s="9"/>
      <c r="MZ64" s="9"/>
      <c r="NA64" s="9"/>
      <c r="NB64" s="9"/>
      <c r="NC64" s="9"/>
      <c r="ND64" s="9"/>
      <c r="NE64" s="9"/>
      <c r="NF64" s="9"/>
      <c r="NG64" s="9"/>
      <c r="NH64" s="9"/>
      <c r="NI64" s="9"/>
      <c r="NJ64" s="9"/>
      <c r="NK64" s="9"/>
      <c r="NL64" s="9"/>
      <c r="NM64" s="9"/>
      <c r="NN64" s="9"/>
      <c r="NO64" s="9"/>
      <c r="NP64" s="9"/>
      <c r="NQ64" s="9"/>
      <c r="NR64" s="9"/>
      <c r="NS64" s="9"/>
      <c r="NT64" s="9"/>
      <c r="NU64" s="9"/>
      <c r="NV64" s="9"/>
      <c r="NW64" s="9"/>
      <c r="NX64" s="9"/>
      <c r="NY64" s="9"/>
      <c r="NZ64" s="9"/>
      <c r="OA64" s="9"/>
      <c r="OB64" s="9"/>
      <c r="OC64" s="9"/>
      <c r="OD64" s="9"/>
      <c r="OE64" s="9"/>
      <c r="OF64" s="9"/>
      <c r="OG64" s="9"/>
      <c r="OH64" s="9"/>
      <c r="OI64" s="9"/>
      <c r="OJ64" s="9"/>
      <c r="OK64" s="9"/>
      <c r="OL64" s="9"/>
      <c r="OM64" s="9"/>
      <c r="ON64" s="9"/>
      <c r="OO64" s="9"/>
      <c r="OP64" s="9"/>
      <c r="OQ64" s="9"/>
      <c r="OR64" s="9"/>
      <c r="OS64" s="9"/>
      <c r="OT64" s="9"/>
      <c r="OU64" s="9"/>
      <c r="OV64" s="9"/>
      <c r="OW64" s="9"/>
      <c r="OX64" s="9"/>
      <c r="OY64" s="9"/>
      <c r="OZ64" s="9"/>
      <c r="PA64" s="9"/>
      <c r="PB64" s="9"/>
      <c r="PC64" s="9"/>
      <c r="PD64" s="9"/>
      <c r="PE64" s="9"/>
      <c r="PF64" s="9"/>
      <c r="PG64" s="9"/>
      <c r="PH64" s="9"/>
      <c r="PI64" s="9"/>
      <c r="PJ64" s="9"/>
      <c r="PK64" s="9"/>
      <c r="PL64" s="9"/>
      <c r="PM64" s="9"/>
      <c r="PN64" s="9"/>
      <c r="PO64" s="9"/>
      <c r="PP64" s="9"/>
      <c r="PQ64" s="9"/>
      <c r="PR64" s="9"/>
      <c r="PS64" s="9"/>
      <c r="PT64" s="9"/>
      <c r="PU64" s="9"/>
      <c r="PV64" s="9"/>
      <c r="PW64" s="9"/>
      <c r="PX64" s="9"/>
      <c r="PY64" s="9"/>
      <c r="PZ64" s="9"/>
      <c r="QA64" s="9"/>
      <c r="QB64" s="9"/>
      <c r="QC64" s="9"/>
      <c r="QD64" s="9"/>
      <c r="QE64" s="9"/>
      <c r="QF64" s="9"/>
      <c r="QG64" s="9"/>
      <c r="QH64" s="9"/>
      <c r="QI64" s="9"/>
      <c r="QJ64" s="9"/>
      <c r="QK64" s="9"/>
      <c r="QL64" s="9"/>
      <c r="QM64" s="9"/>
      <c r="QN64" s="9"/>
      <c r="QO64" s="9"/>
      <c r="QP64" s="9"/>
      <c r="QQ64" s="67"/>
      <c r="QR64" s="68"/>
      <c r="QS64" s="63"/>
      <c r="QT64" s="71"/>
    </row>
    <row r="65" spans="1:462" s="11" customFormat="1" ht="26" x14ac:dyDescent="0.2">
      <c r="A65" s="9">
        <v>10</v>
      </c>
      <c r="B65" s="9"/>
      <c r="C65" s="9"/>
      <c r="D65" s="9" t="s">
        <v>392</v>
      </c>
      <c r="E65" s="65" t="s">
        <v>515</v>
      </c>
      <c r="F65" s="65"/>
      <c r="G65" s="92" t="s">
        <v>2286</v>
      </c>
      <c r="H65" s="66" t="s">
        <v>1585</v>
      </c>
      <c r="I65" s="9" t="s">
        <v>1098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 t="s">
        <v>1098</v>
      </c>
      <c r="EJ65" s="9"/>
      <c r="EK65" s="9" t="s">
        <v>1098</v>
      </c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  <c r="LZ65" s="9"/>
      <c r="MA65" s="9"/>
      <c r="MB65" s="9"/>
      <c r="MC65" s="9"/>
      <c r="MD65" s="9"/>
      <c r="ME65" s="9"/>
      <c r="MF65" s="9"/>
      <c r="MG65" s="9"/>
      <c r="MH65" s="9"/>
      <c r="MI65" s="9"/>
      <c r="MJ65" s="9"/>
      <c r="MK65" s="9"/>
      <c r="ML65" s="9"/>
      <c r="MM65" s="9"/>
      <c r="MN65" s="9"/>
      <c r="MO65" s="9"/>
      <c r="MP65" s="9"/>
      <c r="MQ65" s="9"/>
      <c r="MR65" s="9"/>
      <c r="MS65" s="9"/>
      <c r="MT65" s="9"/>
      <c r="MU65" s="9"/>
      <c r="MV65" s="9"/>
      <c r="MW65" s="9"/>
      <c r="MX65" s="9"/>
      <c r="MY65" s="9"/>
      <c r="MZ65" s="9"/>
      <c r="NA65" s="9"/>
      <c r="NB65" s="9"/>
      <c r="NC65" s="9"/>
      <c r="ND65" s="9"/>
      <c r="NE65" s="9"/>
      <c r="NF65" s="9"/>
      <c r="NG65" s="9"/>
      <c r="NH65" s="9"/>
      <c r="NI65" s="9"/>
      <c r="NJ65" s="9"/>
      <c r="NK65" s="9"/>
      <c r="NL65" s="9"/>
      <c r="NM65" s="9"/>
      <c r="NN65" s="9"/>
      <c r="NO65" s="9"/>
      <c r="NP65" s="9"/>
      <c r="NQ65" s="9"/>
      <c r="NR65" s="9"/>
      <c r="NS65" s="9"/>
      <c r="NT65" s="9"/>
      <c r="NU65" s="9"/>
      <c r="NV65" s="9"/>
      <c r="NW65" s="9"/>
      <c r="NX65" s="9"/>
      <c r="NY65" s="9"/>
      <c r="NZ65" s="9"/>
      <c r="OA65" s="9"/>
      <c r="OB65" s="9"/>
      <c r="OC65" s="9"/>
      <c r="OD65" s="9"/>
      <c r="OE65" s="9"/>
      <c r="OF65" s="9"/>
      <c r="OG65" s="9"/>
      <c r="OH65" s="9"/>
      <c r="OI65" s="9"/>
      <c r="OJ65" s="9"/>
      <c r="OK65" s="9"/>
      <c r="OL65" s="9"/>
      <c r="OM65" s="9"/>
      <c r="ON65" s="9"/>
      <c r="OO65" s="9"/>
      <c r="OP65" s="9"/>
      <c r="OQ65" s="9"/>
      <c r="OR65" s="9"/>
      <c r="OS65" s="9"/>
      <c r="OT65" s="9"/>
      <c r="OU65" s="9"/>
      <c r="OV65" s="9"/>
      <c r="OW65" s="9"/>
      <c r="OX65" s="9"/>
      <c r="OY65" s="9"/>
      <c r="OZ65" s="9"/>
      <c r="PA65" s="9"/>
      <c r="PB65" s="9"/>
      <c r="PC65" s="9"/>
      <c r="PD65" s="9"/>
      <c r="PE65" s="9"/>
      <c r="PF65" s="9"/>
      <c r="PG65" s="9"/>
      <c r="PH65" s="9"/>
      <c r="PI65" s="9"/>
      <c r="PJ65" s="9"/>
      <c r="PK65" s="9"/>
      <c r="PL65" s="9"/>
      <c r="PM65" s="9"/>
      <c r="PN65" s="9"/>
      <c r="PO65" s="9"/>
      <c r="PP65" s="9"/>
      <c r="PQ65" s="9"/>
      <c r="PR65" s="9"/>
      <c r="PS65" s="9"/>
      <c r="PT65" s="9"/>
      <c r="PU65" s="9"/>
      <c r="PV65" s="9"/>
      <c r="PW65" s="9"/>
      <c r="PX65" s="9"/>
      <c r="PY65" s="9"/>
      <c r="PZ65" s="9"/>
      <c r="QA65" s="9"/>
      <c r="QB65" s="9"/>
      <c r="QC65" s="9"/>
      <c r="QD65" s="9"/>
      <c r="QE65" s="9"/>
      <c r="QF65" s="9"/>
      <c r="QG65" s="9"/>
      <c r="QH65" s="9"/>
      <c r="QI65" s="9"/>
      <c r="QJ65" s="9"/>
      <c r="QK65" s="9"/>
      <c r="QL65" s="9"/>
      <c r="QM65" s="9"/>
      <c r="QN65" s="9"/>
      <c r="QO65" s="9"/>
      <c r="QP65" s="9"/>
      <c r="QQ65" s="67"/>
      <c r="QR65" s="68"/>
      <c r="QS65" s="63"/>
      <c r="QT65" s="71"/>
    </row>
    <row r="66" spans="1:462" s="11" customFormat="1" x14ac:dyDescent="0.2">
      <c r="A66" s="9">
        <v>10</v>
      </c>
      <c r="B66" s="9"/>
      <c r="C66" s="9"/>
      <c r="D66" s="9" t="s">
        <v>393</v>
      </c>
      <c r="E66" s="65" t="s">
        <v>47</v>
      </c>
      <c r="F66" s="65"/>
      <c r="G66" s="92" t="s">
        <v>2287</v>
      </c>
      <c r="H66" s="66" t="s">
        <v>1586</v>
      </c>
      <c r="I66" s="9" t="s">
        <v>1098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 t="s">
        <v>1098</v>
      </c>
      <c r="EJ66" s="9"/>
      <c r="EK66" s="9" t="s">
        <v>1098</v>
      </c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9"/>
      <c r="LG66" s="9"/>
      <c r="LH66" s="9"/>
      <c r="LI66" s="9"/>
      <c r="LJ66" s="9"/>
      <c r="LK66" s="9"/>
      <c r="LL66" s="9"/>
      <c r="LM66" s="9"/>
      <c r="LN66" s="9"/>
      <c r="LO66" s="9"/>
      <c r="LP66" s="9"/>
      <c r="LQ66" s="9"/>
      <c r="LR66" s="9"/>
      <c r="LS66" s="9"/>
      <c r="LT66" s="9"/>
      <c r="LU66" s="9"/>
      <c r="LV66" s="9"/>
      <c r="LW66" s="9"/>
      <c r="LX66" s="9"/>
      <c r="LY66" s="9"/>
      <c r="LZ66" s="9"/>
      <c r="MA66" s="9"/>
      <c r="MB66" s="9"/>
      <c r="MC66" s="9"/>
      <c r="MD66" s="9"/>
      <c r="ME66" s="9"/>
      <c r="MF66" s="9"/>
      <c r="MG66" s="9"/>
      <c r="MH66" s="9"/>
      <c r="MI66" s="9"/>
      <c r="MJ66" s="9"/>
      <c r="MK66" s="9"/>
      <c r="ML66" s="9"/>
      <c r="MM66" s="9"/>
      <c r="MN66" s="9"/>
      <c r="MO66" s="9"/>
      <c r="MP66" s="9"/>
      <c r="MQ66" s="9"/>
      <c r="MR66" s="9"/>
      <c r="MS66" s="9"/>
      <c r="MT66" s="9"/>
      <c r="MU66" s="9"/>
      <c r="MV66" s="9"/>
      <c r="MW66" s="9"/>
      <c r="MX66" s="9"/>
      <c r="MY66" s="9"/>
      <c r="MZ66" s="9"/>
      <c r="NA66" s="9"/>
      <c r="NB66" s="9"/>
      <c r="NC66" s="9"/>
      <c r="ND66" s="9"/>
      <c r="NE66" s="9"/>
      <c r="NF66" s="9"/>
      <c r="NG66" s="9"/>
      <c r="NH66" s="9"/>
      <c r="NI66" s="9"/>
      <c r="NJ66" s="9"/>
      <c r="NK66" s="9"/>
      <c r="NL66" s="9"/>
      <c r="NM66" s="9"/>
      <c r="NN66" s="9"/>
      <c r="NO66" s="9"/>
      <c r="NP66" s="9"/>
      <c r="NQ66" s="9"/>
      <c r="NR66" s="9"/>
      <c r="NS66" s="9"/>
      <c r="NT66" s="9"/>
      <c r="NU66" s="9"/>
      <c r="NV66" s="9"/>
      <c r="NW66" s="9"/>
      <c r="NX66" s="9"/>
      <c r="NY66" s="9"/>
      <c r="NZ66" s="9"/>
      <c r="OA66" s="9"/>
      <c r="OB66" s="9"/>
      <c r="OC66" s="9"/>
      <c r="OD66" s="9"/>
      <c r="OE66" s="9"/>
      <c r="OF66" s="9"/>
      <c r="OG66" s="9"/>
      <c r="OH66" s="9"/>
      <c r="OI66" s="9"/>
      <c r="OJ66" s="9"/>
      <c r="OK66" s="9"/>
      <c r="OL66" s="9"/>
      <c r="OM66" s="9"/>
      <c r="ON66" s="9"/>
      <c r="OO66" s="9"/>
      <c r="OP66" s="9"/>
      <c r="OQ66" s="9"/>
      <c r="OR66" s="9"/>
      <c r="OS66" s="9"/>
      <c r="OT66" s="9"/>
      <c r="OU66" s="9"/>
      <c r="OV66" s="9"/>
      <c r="OW66" s="9"/>
      <c r="OX66" s="9"/>
      <c r="OY66" s="9"/>
      <c r="OZ66" s="9"/>
      <c r="PA66" s="9"/>
      <c r="PB66" s="9"/>
      <c r="PC66" s="9"/>
      <c r="PD66" s="9"/>
      <c r="PE66" s="9"/>
      <c r="PF66" s="9"/>
      <c r="PG66" s="9"/>
      <c r="PH66" s="9"/>
      <c r="PI66" s="9"/>
      <c r="PJ66" s="9"/>
      <c r="PK66" s="9"/>
      <c r="PL66" s="9"/>
      <c r="PM66" s="9"/>
      <c r="PN66" s="9"/>
      <c r="PO66" s="9"/>
      <c r="PP66" s="9"/>
      <c r="PQ66" s="9"/>
      <c r="PR66" s="9"/>
      <c r="PS66" s="9"/>
      <c r="PT66" s="9"/>
      <c r="PU66" s="9"/>
      <c r="PV66" s="9"/>
      <c r="PW66" s="9"/>
      <c r="PX66" s="9"/>
      <c r="PY66" s="9"/>
      <c r="PZ66" s="9"/>
      <c r="QA66" s="9"/>
      <c r="QB66" s="9"/>
      <c r="QC66" s="9"/>
      <c r="QD66" s="9"/>
      <c r="QE66" s="9"/>
      <c r="QF66" s="9"/>
      <c r="QG66" s="9"/>
      <c r="QH66" s="9"/>
      <c r="QI66" s="9"/>
      <c r="QJ66" s="9"/>
      <c r="QK66" s="9"/>
      <c r="QL66" s="9"/>
      <c r="QM66" s="9"/>
      <c r="QN66" s="9"/>
      <c r="QO66" s="9"/>
      <c r="QP66" s="9"/>
      <c r="QQ66" s="67"/>
      <c r="QR66" s="68"/>
      <c r="QS66" s="63"/>
      <c r="QT66" s="71"/>
    </row>
    <row r="67" spans="1:462" s="11" customFormat="1" x14ac:dyDescent="0.2">
      <c r="A67" s="9">
        <v>10</v>
      </c>
      <c r="B67" s="9"/>
      <c r="C67" s="9"/>
      <c r="D67" s="9" t="s">
        <v>394</v>
      </c>
      <c r="E67" s="65" t="s">
        <v>516</v>
      </c>
      <c r="F67" s="65"/>
      <c r="G67" s="92" t="s">
        <v>2288</v>
      </c>
      <c r="H67" s="66" t="s">
        <v>1587</v>
      </c>
      <c r="I67" s="9" t="s">
        <v>1098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 t="s">
        <v>1098</v>
      </c>
      <c r="EJ67" s="9"/>
      <c r="EK67" s="9" t="s">
        <v>1098</v>
      </c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9"/>
      <c r="LV67" s="9"/>
      <c r="LW67" s="9"/>
      <c r="LX67" s="9"/>
      <c r="LY67" s="9"/>
      <c r="LZ67" s="9"/>
      <c r="MA67" s="9"/>
      <c r="MB67" s="9"/>
      <c r="MC67" s="9"/>
      <c r="MD67" s="9"/>
      <c r="ME67" s="9"/>
      <c r="MF67" s="9"/>
      <c r="MG67" s="9"/>
      <c r="MH67" s="9"/>
      <c r="MI67" s="9"/>
      <c r="MJ67" s="9"/>
      <c r="MK67" s="9"/>
      <c r="ML67" s="9"/>
      <c r="MM67" s="9"/>
      <c r="MN67" s="9"/>
      <c r="MO67" s="9"/>
      <c r="MP67" s="9"/>
      <c r="MQ67" s="9"/>
      <c r="MR67" s="9"/>
      <c r="MS67" s="9"/>
      <c r="MT67" s="9"/>
      <c r="MU67" s="9"/>
      <c r="MV67" s="9"/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/>
      <c r="NH67" s="9"/>
      <c r="NI67" s="9"/>
      <c r="NJ67" s="9"/>
      <c r="NK67" s="9"/>
      <c r="NL67" s="9"/>
      <c r="NM67" s="9"/>
      <c r="NN67" s="9"/>
      <c r="NO67" s="9"/>
      <c r="NP67" s="9"/>
      <c r="NQ67" s="9"/>
      <c r="NR67" s="9"/>
      <c r="NS67" s="9"/>
      <c r="NT67" s="9"/>
      <c r="NU67" s="9"/>
      <c r="NV67" s="9"/>
      <c r="NW67" s="9"/>
      <c r="NX67" s="9"/>
      <c r="NY67" s="9"/>
      <c r="NZ67" s="9"/>
      <c r="OA67" s="9"/>
      <c r="OB67" s="9"/>
      <c r="OC67" s="9"/>
      <c r="OD67" s="9"/>
      <c r="OE67" s="9"/>
      <c r="OF67" s="9"/>
      <c r="OG67" s="9"/>
      <c r="OH67" s="9"/>
      <c r="OI67" s="9"/>
      <c r="OJ67" s="9"/>
      <c r="OK67" s="9"/>
      <c r="OL67" s="9"/>
      <c r="OM67" s="9"/>
      <c r="ON67" s="9"/>
      <c r="OO67" s="9"/>
      <c r="OP67" s="9"/>
      <c r="OQ67" s="9"/>
      <c r="OR67" s="9"/>
      <c r="OS67" s="9"/>
      <c r="OT67" s="9"/>
      <c r="OU67" s="9"/>
      <c r="OV67" s="9"/>
      <c r="OW67" s="9"/>
      <c r="OX67" s="9"/>
      <c r="OY67" s="9"/>
      <c r="OZ67" s="9"/>
      <c r="PA67" s="9"/>
      <c r="PB67" s="9"/>
      <c r="PC67" s="9"/>
      <c r="PD67" s="9"/>
      <c r="PE67" s="9"/>
      <c r="PF67" s="9"/>
      <c r="PG67" s="9"/>
      <c r="PH67" s="9"/>
      <c r="PI67" s="9"/>
      <c r="PJ67" s="9"/>
      <c r="PK67" s="9"/>
      <c r="PL67" s="9"/>
      <c r="PM67" s="9"/>
      <c r="PN67" s="9"/>
      <c r="PO67" s="9"/>
      <c r="PP67" s="9"/>
      <c r="PQ67" s="9"/>
      <c r="PR67" s="9"/>
      <c r="PS67" s="9"/>
      <c r="PT67" s="9"/>
      <c r="PU67" s="9"/>
      <c r="PV67" s="9"/>
      <c r="PW67" s="9"/>
      <c r="PX67" s="9"/>
      <c r="PY67" s="9"/>
      <c r="PZ67" s="9"/>
      <c r="QA67" s="9"/>
      <c r="QB67" s="9"/>
      <c r="QC67" s="9"/>
      <c r="QD67" s="9"/>
      <c r="QE67" s="9"/>
      <c r="QF67" s="9"/>
      <c r="QG67" s="9"/>
      <c r="QH67" s="9"/>
      <c r="QI67" s="9"/>
      <c r="QJ67" s="9"/>
      <c r="QK67" s="9"/>
      <c r="QL67" s="9"/>
      <c r="QM67" s="9"/>
      <c r="QN67" s="9"/>
      <c r="QO67" s="9"/>
      <c r="QP67" s="9"/>
      <c r="QQ67" s="67"/>
      <c r="QR67" s="68"/>
      <c r="QS67" s="63"/>
      <c r="QT67" s="71"/>
    </row>
    <row r="68" spans="1:462" s="11" customFormat="1" x14ac:dyDescent="0.2">
      <c r="A68" s="9">
        <v>10</v>
      </c>
      <c r="B68" s="9"/>
      <c r="C68" s="9"/>
      <c r="D68" s="9" t="s">
        <v>395</v>
      </c>
      <c r="E68" s="65" t="s">
        <v>517</v>
      </c>
      <c r="F68" s="65"/>
      <c r="G68" s="92" t="s">
        <v>2289</v>
      </c>
      <c r="H68" s="66" t="s">
        <v>1588</v>
      </c>
      <c r="I68" s="9" t="s">
        <v>1098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 t="s">
        <v>1098</v>
      </c>
      <c r="EJ68" s="9"/>
      <c r="EK68" s="9" t="s">
        <v>1098</v>
      </c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9"/>
      <c r="LG68" s="9"/>
      <c r="LH68" s="9"/>
      <c r="LI68" s="9"/>
      <c r="LJ68" s="9"/>
      <c r="LK68" s="9"/>
      <c r="LL68" s="9"/>
      <c r="LM68" s="9"/>
      <c r="LN68" s="9"/>
      <c r="LO68" s="9"/>
      <c r="LP68" s="9"/>
      <c r="LQ68" s="9"/>
      <c r="LR68" s="9"/>
      <c r="LS68" s="9"/>
      <c r="LT68" s="9"/>
      <c r="LU68" s="9"/>
      <c r="LV68" s="9"/>
      <c r="LW68" s="9"/>
      <c r="LX68" s="9"/>
      <c r="LY68" s="9"/>
      <c r="LZ68" s="9"/>
      <c r="MA68" s="9"/>
      <c r="MB68" s="9"/>
      <c r="MC68" s="9"/>
      <c r="MD68" s="9"/>
      <c r="ME68" s="9"/>
      <c r="MF68" s="9"/>
      <c r="MG68" s="9"/>
      <c r="MH68" s="9"/>
      <c r="MI68" s="9"/>
      <c r="MJ68" s="9"/>
      <c r="MK68" s="9"/>
      <c r="ML68" s="9"/>
      <c r="MM68" s="9"/>
      <c r="MN68" s="9"/>
      <c r="MO68" s="9"/>
      <c r="MP68" s="9"/>
      <c r="MQ68" s="9"/>
      <c r="MR68" s="9"/>
      <c r="MS68" s="9"/>
      <c r="MT68" s="9"/>
      <c r="MU68" s="9"/>
      <c r="MV68" s="9"/>
      <c r="MW68" s="9"/>
      <c r="MX68" s="9"/>
      <c r="MY68" s="9"/>
      <c r="MZ68" s="9"/>
      <c r="NA68" s="9"/>
      <c r="NB68" s="9"/>
      <c r="NC68" s="9"/>
      <c r="ND68" s="9"/>
      <c r="NE68" s="9"/>
      <c r="NF68" s="9"/>
      <c r="NG68" s="9"/>
      <c r="NH68" s="9"/>
      <c r="NI68" s="9"/>
      <c r="NJ68" s="9"/>
      <c r="NK68" s="9"/>
      <c r="NL68" s="9"/>
      <c r="NM68" s="9"/>
      <c r="NN68" s="9"/>
      <c r="NO68" s="9"/>
      <c r="NP68" s="9"/>
      <c r="NQ68" s="9"/>
      <c r="NR68" s="9"/>
      <c r="NS68" s="9"/>
      <c r="NT68" s="9"/>
      <c r="NU68" s="9"/>
      <c r="NV68" s="9"/>
      <c r="NW68" s="9"/>
      <c r="NX68" s="9"/>
      <c r="NY68" s="9"/>
      <c r="NZ68" s="9"/>
      <c r="OA68" s="9"/>
      <c r="OB68" s="9"/>
      <c r="OC68" s="9"/>
      <c r="OD68" s="9"/>
      <c r="OE68" s="9"/>
      <c r="OF68" s="9"/>
      <c r="OG68" s="9"/>
      <c r="OH68" s="9"/>
      <c r="OI68" s="9"/>
      <c r="OJ68" s="9"/>
      <c r="OK68" s="9"/>
      <c r="OL68" s="9"/>
      <c r="OM68" s="9"/>
      <c r="ON68" s="9"/>
      <c r="OO68" s="9"/>
      <c r="OP68" s="9"/>
      <c r="OQ68" s="9"/>
      <c r="OR68" s="9"/>
      <c r="OS68" s="9"/>
      <c r="OT68" s="9"/>
      <c r="OU68" s="9"/>
      <c r="OV68" s="9"/>
      <c r="OW68" s="9"/>
      <c r="OX68" s="9"/>
      <c r="OY68" s="9"/>
      <c r="OZ68" s="9"/>
      <c r="PA68" s="9"/>
      <c r="PB68" s="9"/>
      <c r="PC68" s="9"/>
      <c r="PD68" s="9"/>
      <c r="PE68" s="9"/>
      <c r="PF68" s="9"/>
      <c r="PG68" s="9"/>
      <c r="PH68" s="9"/>
      <c r="PI68" s="9"/>
      <c r="PJ68" s="9"/>
      <c r="PK68" s="9"/>
      <c r="PL68" s="9"/>
      <c r="PM68" s="9"/>
      <c r="PN68" s="9"/>
      <c r="PO68" s="9"/>
      <c r="PP68" s="9"/>
      <c r="PQ68" s="9"/>
      <c r="PR68" s="9"/>
      <c r="PS68" s="9"/>
      <c r="PT68" s="9"/>
      <c r="PU68" s="9"/>
      <c r="PV68" s="9"/>
      <c r="PW68" s="9"/>
      <c r="PX68" s="9"/>
      <c r="PY68" s="9"/>
      <c r="PZ68" s="9"/>
      <c r="QA68" s="9"/>
      <c r="QB68" s="9"/>
      <c r="QC68" s="9"/>
      <c r="QD68" s="9"/>
      <c r="QE68" s="9"/>
      <c r="QF68" s="9"/>
      <c r="QG68" s="9"/>
      <c r="QH68" s="9"/>
      <c r="QI68" s="9"/>
      <c r="QJ68" s="9"/>
      <c r="QK68" s="9"/>
      <c r="QL68" s="9"/>
      <c r="QM68" s="9"/>
      <c r="QN68" s="9"/>
      <c r="QO68" s="9"/>
      <c r="QP68" s="9"/>
      <c r="QQ68" s="67"/>
      <c r="QR68" s="68"/>
      <c r="QS68" s="63"/>
      <c r="QT68" s="71"/>
    </row>
    <row r="69" spans="1:462" s="11" customFormat="1" x14ac:dyDescent="0.2">
      <c r="A69" s="9">
        <v>10</v>
      </c>
      <c r="B69" s="9"/>
      <c r="C69" s="9"/>
      <c r="D69" s="9" t="s">
        <v>105</v>
      </c>
      <c r="E69" s="65" t="s">
        <v>181</v>
      </c>
      <c r="F69" s="65"/>
      <c r="G69" s="92" t="s">
        <v>2290</v>
      </c>
      <c r="H69" s="66" t="s">
        <v>1589</v>
      </c>
      <c r="I69" s="9" t="s">
        <v>1098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 t="s">
        <v>1098</v>
      </c>
      <c r="EJ69" s="9"/>
      <c r="EK69" s="9" t="s">
        <v>1098</v>
      </c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  <c r="LR69" s="9"/>
      <c r="LS69" s="9"/>
      <c r="LT69" s="9"/>
      <c r="LU69" s="9"/>
      <c r="LV69" s="9"/>
      <c r="LW69" s="9"/>
      <c r="LX69" s="9"/>
      <c r="LY69" s="9"/>
      <c r="LZ69" s="9"/>
      <c r="MA69" s="9"/>
      <c r="MB69" s="9"/>
      <c r="MC69" s="9"/>
      <c r="MD69" s="9"/>
      <c r="ME69" s="9"/>
      <c r="MF69" s="9"/>
      <c r="MG69" s="9"/>
      <c r="MH69" s="9"/>
      <c r="MI69" s="9"/>
      <c r="MJ69" s="9"/>
      <c r="MK69" s="9"/>
      <c r="ML69" s="9"/>
      <c r="MM69" s="9"/>
      <c r="MN69" s="9"/>
      <c r="MO69" s="9"/>
      <c r="MP69" s="9"/>
      <c r="MQ69" s="9"/>
      <c r="MR69" s="9"/>
      <c r="MS69" s="9"/>
      <c r="MT69" s="9"/>
      <c r="MU69" s="9"/>
      <c r="MV69" s="9"/>
      <c r="MW69" s="9"/>
      <c r="MX69" s="9"/>
      <c r="MY69" s="9"/>
      <c r="MZ69" s="9"/>
      <c r="NA69" s="9"/>
      <c r="NB69" s="9"/>
      <c r="NC69" s="9"/>
      <c r="ND69" s="9"/>
      <c r="NE69" s="9"/>
      <c r="NF69" s="9"/>
      <c r="NG69" s="9"/>
      <c r="NH69" s="9"/>
      <c r="NI69" s="9"/>
      <c r="NJ69" s="9"/>
      <c r="NK69" s="9"/>
      <c r="NL69" s="9"/>
      <c r="NM69" s="9"/>
      <c r="NN69" s="9"/>
      <c r="NO69" s="9"/>
      <c r="NP69" s="9"/>
      <c r="NQ69" s="9"/>
      <c r="NR69" s="9"/>
      <c r="NS69" s="9"/>
      <c r="NT69" s="9"/>
      <c r="NU69" s="9"/>
      <c r="NV69" s="9"/>
      <c r="NW69" s="9"/>
      <c r="NX69" s="9"/>
      <c r="NY69" s="9"/>
      <c r="NZ69" s="9"/>
      <c r="OA69" s="9"/>
      <c r="OB69" s="9"/>
      <c r="OC69" s="9"/>
      <c r="OD69" s="9"/>
      <c r="OE69" s="9"/>
      <c r="OF69" s="9"/>
      <c r="OG69" s="9"/>
      <c r="OH69" s="9"/>
      <c r="OI69" s="9"/>
      <c r="OJ69" s="9"/>
      <c r="OK69" s="9"/>
      <c r="OL69" s="9"/>
      <c r="OM69" s="9"/>
      <c r="ON69" s="9"/>
      <c r="OO69" s="9"/>
      <c r="OP69" s="9"/>
      <c r="OQ69" s="9"/>
      <c r="OR69" s="9"/>
      <c r="OS69" s="9"/>
      <c r="OT69" s="9"/>
      <c r="OU69" s="9"/>
      <c r="OV69" s="9"/>
      <c r="OW69" s="9"/>
      <c r="OX69" s="9"/>
      <c r="OY69" s="9"/>
      <c r="OZ69" s="9"/>
      <c r="PA69" s="9"/>
      <c r="PB69" s="9"/>
      <c r="PC69" s="9"/>
      <c r="PD69" s="9"/>
      <c r="PE69" s="9"/>
      <c r="PF69" s="9"/>
      <c r="PG69" s="9"/>
      <c r="PH69" s="9"/>
      <c r="PI69" s="9"/>
      <c r="PJ69" s="9"/>
      <c r="PK69" s="9"/>
      <c r="PL69" s="9"/>
      <c r="PM69" s="9"/>
      <c r="PN69" s="9"/>
      <c r="PO69" s="9"/>
      <c r="PP69" s="9"/>
      <c r="PQ69" s="9"/>
      <c r="PR69" s="9"/>
      <c r="PS69" s="9"/>
      <c r="PT69" s="9"/>
      <c r="PU69" s="9"/>
      <c r="PV69" s="9"/>
      <c r="PW69" s="9"/>
      <c r="PX69" s="9"/>
      <c r="PY69" s="9"/>
      <c r="PZ69" s="9"/>
      <c r="QA69" s="9"/>
      <c r="QB69" s="9"/>
      <c r="QC69" s="9"/>
      <c r="QD69" s="9"/>
      <c r="QE69" s="9"/>
      <c r="QF69" s="9"/>
      <c r="QG69" s="9"/>
      <c r="QH69" s="9"/>
      <c r="QI69" s="9"/>
      <c r="QJ69" s="9"/>
      <c r="QK69" s="9"/>
      <c r="QL69" s="9"/>
      <c r="QM69" s="9"/>
      <c r="QN69" s="9"/>
      <c r="QO69" s="9"/>
      <c r="QP69" s="9"/>
      <c r="QQ69" s="67"/>
      <c r="QR69" s="68"/>
      <c r="QS69" s="63"/>
      <c r="QT69" s="71"/>
    </row>
    <row r="70" spans="1:462" s="11" customFormat="1" x14ac:dyDescent="0.2">
      <c r="A70" s="9">
        <v>10</v>
      </c>
      <c r="B70" s="9"/>
      <c r="C70" s="9"/>
      <c r="D70" s="9" t="s">
        <v>106</v>
      </c>
      <c r="E70" s="65" t="s">
        <v>182</v>
      </c>
      <c r="F70" s="65"/>
      <c r="G70" s="92" t="s">
        <v>2291</v>
      </c>
      <c r="H70" s="66" t="s">
        <v>1590</v>
      </c>
      <c r="I70" s="9" t="s">
        <v>1098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 t="s">
        <v>1098</v>
      </c>
      <c r="EJ70" s="9"/>
      <c r="EK70" s="9" t="s">
        <v>1098</v>
      </c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  <c r="LR70" s="9"/>
      <c r="LS70" s="9"/>
      <c r="LT70" s="9"/>
      <c r="LU70" s="9"/>
      <c r="LV70" s="9"/>
      <c r="LW70" s="9"/>
      <c r="LX70" s="9"/>
      <c r="LY70" s="9"/>
      <c r="LZ70" s="9"/>
      <c r="MA70" s="9"/>
      <c r="MB70" s="9"/>
      <c r="MC70" s="9"/>
      <c r="MD70" s="9"/>
      <c r="ME70" s="9"/>
      <c r="MF70" s="9"/>
      <c r="MG70" s="9"/>
      <c r="MH70" s="9"/>
      <c r="MI70" s="9"/>
      <c r="MJ70" s="9"/>
      <c r="MK70" s="9"/>
      <c r="ML70" s="9"/>
      <c r="MM70" s="9"/>
      <c r="MN70" s="9"/>
      <c r="MO70" s="9"/>
      <c r="MP70" s="9"/>
      <c r="MQ70" s="9"/>
      <c r="MR70" s="9"/>
      <c r="MS70" s="9"/>
      <c r="MT70" s="9"/>
      <c r="MU70" s="9"/>
      <c r="MV70" s="9"/>
      <c r="MW70" s="9"/>
      <c r="MX70" s="9"/>
      <c r="MY70" s="9"/>
      <c r="MZ70" s="9"/>
      <c r="NA70" s="9"/>
      <c r="NB70" s="9"/>
      <c r="NC70" s="9"/>
      <c r="ND70" s="9"/>
      <c r="NE70" s="9"/>
      <c r="NF70" s="9"/>
      <c r="NG70" s="9"/>
      <c r="NH70" s="9"/>
      <c r="NI70" s="9"/>
      <c r="NJ70" s="9"/>
      <c r="NK70" s="9"/>
      <c r="NL70" s="9"/>
      <c r="NM70" s="9"/>
      <c r="NN70" s="9"/>
      <c r="NO70" s="9"/>
      <c r="NP70" s="9"/>
      <c r="NQ70" s="9"/>
      <c r="NR70" s="9"/>
      <c r="NS70" s="9"/>
      <c r="NT70" s="9"/>
      <c r="NU70" s="9"/>
      <c r="NV70" s="9"/>
      <c r="NW70" s="9"/>
      <c r="NX70" s="9"/>
      <c r="NY70" s="9"/>
      <c r="NZ70" s="9"/>
      <c r="OA70" s="9"/>
      <c r="OB70" s="9"/>
      <c r="OC70" s="9"/>
      <c r="OD70" s="9"/>
      <c r="OE70" s="9"/>
      <c r="OF70" s="9"/>
      <c r="OG70" s="9"/>
      <c r="OH70" s="9"/>
      <c r="OI70" s="9"/>
      <c r="OJ70" s="9"/>
      <c r="OK70" s="9"/>
      <c r="OL70" s="9"/>
      <c r="OM70" s="9"/>
      <c r="ON70" s="9"/>
      <c r="OO70" s="9"/>
      <c r="OP70" s="9"/>
      <c r="OQ70" s="9"/>
      <c r="OR70" s="9"/>
      <c r="OS70" s="9"/>
      <c r="OT70" s="9"/>
      <c r="OU70" s="9"/>
      <c r="OV70" s="9"/>
      <c r="OW70" s="9"/>
      <c r="OX70" s="9"/>
      <c r="OY70" s="9"/>
      <c r="OZ70" s="9"/>
      <c r="PA70" s="9"/>
      <c r="PB70" s="9"/>
      <c r="PC70" s="9"/>
      <c r="PD70" s="9"/>
      <c r="PE70" s="9"/>
      <c r="PF70" s="9"/>
      <c r="PG70" s="9"/>
      <c r="PH70" s="9"/>
      <c r="PI70" s="9"/>
      <c r="PJ70" s="9"/>
      <c r="PK70" s="9"/>
      <c r="PL70" s="9"/>
      <c r="PM70" s="9"/>
      <c r="PN70" s="9"/>
      <c r="PO70" s="9"/>
      <c r="PP70" s="9"/>
      <c r="PQ70" s="9"/>
      <c r="PR70" s="9"/>
      <c r="PS70" s="9"/>
      <c r="PT70" s="9"/>
      <c r="PU70" s="9"/>
      <c r="PV70" s="9"/>
      <c r="PW70" s="9"/>
      <c r="PX70" s="9"/>
      <c r="PY70" s="9"/>
      <c r="PZ70" s="9"/>
      <c r="QA70" s="9"/>
      <c r="QB70" s="9"/>
      <c r="QC70" s="9"/>
      <c r="QD70" s="9"/>
      <c r="QE70" s="9"/>
      <c r="QF70" s="9"/>
      <c r="QG70" s="9"/>
      <c r="QH70" s="9"/>
      <c r="QI70" s="9"/>
      <c r="QJ70" s="9"/>
      <c r="QK70" s="9"/>
      <c r="QL70" s="9"/>
      <c r="QM70" s="9"/>
      <c r="QN70" s="9"/>
      <c r="QO70" s="9"/>
      <c r="QP70" s="9"/>
      <c r="QQ70" s="67"/>
      <c r="QR70" s="68"/>
      <c r="QS70" s="63"/>
      <c r="QT70" s="71"/>
    </row>
    <row r="71" spans="1:462" s="11" customFormat="1" x14ac:dyDescent="0.2">
      <c r="A71" s="9">
        <v>10</v>
      </c>
      <c r="B71" s="9"/>
      <c r="C71" s="9"/>
      <c r="D71" s="9" t="s">
        <v>107</v>
      </c>
      <c r="E71" s="65" t="s">
        <v>183</v>
      </c>
      <c r="F71" s="65"/>
      <c r="G71" s="92" t="s">
        <v>2292</v>
      </c>
      <c r="H71" s="66" t="s">
        <v>1591</v>
      </c>
      <c r="I71" s="9" t="s">
        <v>1098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 t="s">
        <v>1098</v>
      </c>
      <c r="EJ71" s="9"/>
      <c r="EK71" s="9" t="s">
        <v>1098</v>
      </c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9"/>
      <c r="KN71" s="9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  <c r="LR71" s="9"/>
      <c r="LS71" s="9"/>
      <c r="LT71" s="9"/>
      <c r="LU71" s="9"/>
      <c r="LV71" s="9"/>
      <c r="LW71" s="9"/>
      <c r="LX71" s="9"/>
      <c r="LY71" s="9"/>
      <c r="LZ71" s="9"/>
      <c r="MA71" s="9"/>
      <c r="MB71" s="9"/>
      <c r="MC71" s="9"/>
      <c r="MD71" s="9"/>
      <c r="ME71" s="9"/>
      <c r="MF71" s="9"/>
      <c r="MG71" s="9"/>
      <c r="MH71" s="9"/>
      <c r="MI71" s="9"/>
      <c r="MJ71" s="9"/>
      <c r="MK71" s="9"/>
      <c r="ML71" s="9"/>
      <c r="MM71" s="9"/>
      <c r="MN71" s="9"/>
      <c r="MO71" s="9"/>
      <c r="MP71" s="9"/>
      <c r="MQ71" s="9"/>
      <c r="MR71" s="9"/>
      <c r="MS71" s="9"/>
      <c r="MT71" s="9"/>
      <c r="MU71" s="9"/>
      <c r="MV71" s="9"/>
      <c r="MW71" s="9"/>
      <c r="MX71" s="9"/>
      <c r="MY71" s="9"/>
      <c r="MZ71" s="9"/>
      <c r="NA71" s="9"/>
      <c r="NB71" s="9"/>
      <c r="NC71" s="9"/>
      <c r="ND71" s="9"/>
      <c r="NE71" s="9"/>
      <c r="NF71" s="9"/>
      <c r="NG71" s="9"/>
      <c r="NH71" s="9"/>
      <c r="NI71" s="9"/>
      <c r="NJ71" s="9"/>
      <c r="NK71" s="9"/>
      <c r="NL71" s="9"/>
      <c r="NM71" s="9"/>
      <c r="NN71" s="9"/>
      <c r="NO71" s="9"/>
      <c r="NP71" s="9"/>
      <c r="NQ71" s="9"/>
      <c r="NR71" s="9"/>
      <c r="NS71" s="9"/>
      <c r="NT71" s="9"/>
      <c r="NU71" s="9"/>
      <c r="NV71" s="9"/>
      <c r="NW71" s="9"/>
      <c r="NX71" s="9"/>
      <c r="NY71" s="9"/>
      <c r="NZ71" s="9"/>
      <c r="OA71" s="9"/>
      <c r="OB71" s="9"/>
      <c r="OC71" s="9"/>
      <c r="OD71" s="9"/>
      <c r="OE71" s="9"/>
      <c r="OF71" s="9"/>
      <c r="OG71" s="9"/>
      <c r="OH71" s="9"/>
      <c r="OI71" s="9"/>
      <c r="OJ71" s="9"/>
      <c r="OK71" s="9"/>
      <c r="OL71" s="9"/>
      <c r="OM71" s="9"/>
      <c r="ON71" s="9"/>
      <c r="OO71" s="9"/>
      <c r="OP71" s="9"/>
      <c r="OQ71" s="9"/>
      <c r="OR71" s="9"/>
      <c r="OS71" s="9"/>
      <c r="OT71" s="9"/>
      <c r="OU71" s="9"/>
      <c r="OV71" s="9"/>
      <c r="OW71" s="9"/>
      <c r="OX71" s="9"/>
      <c r="OY71" s="9"/>
      <c r="OZ71" s="9"/>
      <c r="PA71" s="9"/>
      <c r="PB71" s="9"/>
      <c r="PC71" s="9"/>
      <c r="PD71" s="9"/>
      <c r="PE71" s="9"/>
      <c r="PF71" s="9"/>
      <c r="PG71" s="9"/>
      <c r="PH71" s="9"/>
      <c r="PI71" s="9"/>
      <c r="PJ71" s="9"/>
      <c r="PK71" s="9"/>
      <c r="PL71" s="9"/>
      <c r="PM71" s="9"/>
      <c r="PN71" s="9"/>
      <c r="PO71" s="9"/>
      <c r="PP71" s="9"/>
      <c r="PQ71" s="9"/>
      <c r="PR71" s="9"/>
      <c r="PS71" s="9"/>
      <c r="PT71" s="9"/>
      <c r="PU71" s="9"/>
      <c r="PV71" s="9"/>
      <c r="PW71" s="9"/>
      <c r="PX71" s="9"/>
      <c r="PY71" s="9"/>
      <c r="PZ71" s="9"/>
      <c r="QA71" s="9"/>
      <c r="QB71" s="9"/>
      <c r="QC71" s="9"/>
      <c r="QD71" s="9"/>
      <c r="QE71" s="9"/>
      <c r="QF71" s="9"/>
      <c r="QG71" s="9"/>
      <c r="QH71" s="9"/>
      <c r="QI71" s="9"/>
      <c r="QJ71" s="9"/>
      <c r="QK71" s="9"/>
      <c r="QL71" s="9"/>
      <c r="QM71" s="9"/>
      <c r="QN71" s="9"/>
      <c r="QO71" s="9"/>
      <c r="QP71" s="9"/>
      <c r="QQ71" s="67"/>
      <c r="QR71" s="68"/>
      <c r="QS71" s="63"/>
      <c r="QT71" s="71"/>
    </row>
    <row r="72" spans="1:462" s="11" customFormat="1" x14ac:dyDescent="0.2">
      <c r="A72" s="9">
        <v>10</v>
      </c>
      <c r="B72" s="9"/>
      <c r="C72" s="9"/>
      <c r="D72" s="9" t="s">
        <v>396</v>
      </c>
      <c r="E72" s="65" t="s">
        <v>518</v>
      </c>
      <c r="F72" s="65"/>
      <c r="G72" s="92" t="s">
        <v>2293</v>
      </c>
      <c r="H72" s="66" t="s">
        <v>1592</v>
      </c>
      <c r="I72" s="9" t="s">
        <v>1098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 t="s">
        <v>1098</v>
      </c>
      <c r="EJ72" s="9"/>
      <c r="EK72" s="9" t="s">
        <v>1098</v>
      </c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  <c r="KK72" s="9"/>
      <c r="KL72" s="9"/>
      <c r="KM72" s="9"/>
      <c r="KN72" s="9"/>
      <c r="KO72" s="9"/>
      <c r="KP72" s="9"/>
      <c r="KQ72" s="9"/>
      <c r="KR72" s="9"/>
      <c r="KS72" s="9"/>
      <c r="KT72" s="9"/>
      <c r="KU72" s="9"/>
      <c r="KV72" s="9"/>
      <c r="KW72" s="9"/>
      <c r="KX72" s="9"/>
      <c r="KY72" s="9"/>
      <c r="KZ72" s="9"/>
      <c r="LA72" s="9"/>
      <c r="LB72" s="9"/>
      <c r="LC72" s="9"/>
      <c r="LD72" s="9"/>
      <c r="LE72" s="9"/>
      <c r="LF72" s="9"/>
      <c r="LG72" s="9"/>
      <c r="LH72" s="9"/>
      <c r="LI72" s="9"/>
      <c r="LJ72" s="9"/>
      <c r="LK72" s="9"/>
      <c r="LL72" s="9"/>
      <c r="LM72" s="9"/>
      <c r="LN72" s="9"/>
      <c r="LO72" s="9"/>
      <c r="LP72" s="9"/>
      <c r="LQ72" s="9"/>
      <c r="LR72" s="9"/>
      <c r="LS72" s="9"/>
      <c r="LT72" s="9"/>
      <c r="LU72" s="9"/>
      <c r="LV72" s="9"/>
      <c r="LW72" s="9"/>
      <c r="LX72" s="9"/>
      <c r="LY72" s="9"/>
      <c r="LZ72" s="9"/>
      <c r="MA72" s="9"/>
      <c r="MB72" s="9"/>
      <c r="MC72" s="9"/>
      <c r="MD72" s="9"/>
      <c r="ME72" s="9"/>
      <c r="MF72" s="9"/>
      <c r="MG72" s="9"/>
      <c r="MH72" s="9"/>
      <c r="MI72" s="9"/>
      <c r="MJ72" s="9"/>
      <c r="MK72" s="9"/>
      <c r="ML72" s="9"/>
      <c r="MM72" s="9"/>
      <c r="MN72" s="9"/>
      <c r="MO72" s="9"/>
      <c r="MP72" s="9"/>
      <c r="MQ72" s="9"/>
      <c r="MR72" s="9"/>
      <c r="MS72" s="9"/>
      <c r="MT72" s="9"/>
      <c r="MU72" s="9"/>
      <c r="MV72" s="9"/>
      <c r="MW72" s="9"/>
      <c r="MX72" s="9"/>
      <c r="MY72" s="9"/>
      <c r="MZ72" s="9"/>
      <c r="NA72" s="9"/>
      <c r="NB72" s="9"/>
      <c r="NC72" s="9"/>
      <c r="ND72" s="9"/>
      <c r="NE72" s="9"/>
      <c r="NF72" s="9"/>
      <c r="NG72" s="9"/>
      <c r="NH72" s="9"/>
      <c r="NI72" s="9"/>
      <c r="NJ72" s="9"/>
      <c r="NK72" s="9"/>
      <c r="NL72" s="9"/>
      <c r="NM72" s="9"/>
      <c r="NN72" s="9"/>
      <c r="NO72" s="9"/>
      <c r="NP72" s="9"/>
      <c r="NQ72" s="9"/>
      <c r="NR72" s="9"/>
      <c r="NS72" s="9"/>
      <c r="NT72" s="9"/>
      <c r="NU72" s="9"/>
      <c r="NV72" s="9"/>
      <c r="NW72" s="9"/>
      <c r="NX72" s="9"/>
      <c r="NY72" s="9"/>
      <c r="NZ72" s="9"/>
      <c r="OA72" s="9"/>
      <c r="OB72" s="9"/>
      <c r="OC72" s="9"/>
      <c r="OD72" s="9"/>
      <c r="OE72" s="9"/>
      <c r="OF72" s="9"/>
      <c r="OG72" s="9"/>
      <c r="OH72" s="9"/>
      <c r="OI72" s="9"/>
      <c r="OJ72" s="9"/>
      <c r="OK72" s="9"/>
      <c r="OL72" s="9"/>
      <c r="OM72" s="9"/>
      <c r="ON72" s="9"/>
      <c r="OO72" s="9"/>
      <c r="OP72" s="9"/>
      <c r="OQ72" s="9"/>
      <c r="OR72" s="9"/>
      <c r="OS72" s="9"/>
      <c r="OT72" s="9"/>
      <c r="OU72" s="9"/>
      <c r="OV72" s="9"/>
      <c r="OW72" s="9"/>
      <c r="OX72" s="9"/>
      <c r="OY72" s="9"/>
      <c r="OZ72" s="9"/>
      <c r="PA72" s="9"/>
      <c r="PB72" s="9"/>
      <c r="PC72" s="9"/>
      <c r="PD72" s="9"/>
      <c r="PE72" s="9"/>
      <c r="PF72" s="9"/>
      <c r="PG72" s="9"/>
      <c r="PH72" s="9"/>
      <c r="PI72" s="9"/>
      <c r="PJ72" s="9"/>
      <c r="PK72" s="9"/>
      <c r="PL72" s="9"/>
      <c r="PM72" s="9"/>
      <c r="PN72" s="9"/>
      <c r="PO72" s="9"/>
      <c r="PP72" s="9"/>
      <c r="PQ72" s="9"/>
      <c r="PR72" s="9"/>
      <c r="PS72" s="9"/>
      <c r="PT72" s="9"/>
      <c r="PU72" s="9"/>
      <c r="PV72" s="9"/>
      <c r="PW72" s="9"/>
      <c r="PX72" s="9"/>
      <c r="PY72" s="9"/>
      <c r="PZ72" s="9"/>
      <c r="QA72" s="9"/>
      <c r="QB72" s="9"/>
      <c r="QC72" s="9"/>
      <c r="QD72" s="9"/>
      <c r="QE72" s="9"/>
      <c r="QF72" s="9"/>
      <c r="QG72" s="9"/>
      <c r="QH72" s="9"/>
      <c r="QI72" s="9"/>
      <c r="QJ72" s="9"/>
      <c r="QK72" s="9"/>
      <c r="QL72" s="9"/>
      <c r="QM72" s="9"/>
      <c r="QN72" s="9"/>
      <c r="QO72" s="9"/>
      <c r="QP72" s="9"/>
      <c r="QQ72" s="67"/>
      <c r="QR72" s="68"/>
      <c r="QS72" s="63"/>
      <c r="QT72" s="71"/>
    </row>
    <row r="73" spans="1:462" s="11" customFormat="1" x14ac:dyDescent="0.2">
      <c r="A73" s="9">
        <v>10</v>
      </c>
      <c r="B73" s="9"/>
      <c r="C73" s="9"/>
      <c r="D73" s="9" t="s">
        <v>397</v>
      </c>
      <c r="E73" s="65" t="s">
        <v>518</v>
      </c>
      <c r="F73" s="65"/>
      <c r="G73" s="92" t="s">
        <v>2294</v>
      </c>
      <c r="H73" s="66" t="s">
        <v>1593</v>
      </c>
      <c r="I73" s="9" t="s">
        <v>1098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 t="s">
        <v>1098</v>
      </c>
      <c r="EJ73" s="9"/>
      <c r="EK73" s="9" t="s">
        <v>1098</v>
      </c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9"/>
      <c r="LL73" s="9"/>
      <c r="LM73" s="9"/>
      <c r="LN73" s="9"/>
      <c r="LO73" s="9"/>
      <c r="LP73" s="9"/>
      <c r="LQ73" s="9"/>
      <c r="LR73" s="9"/>
      <c r="LS73" s="9"/>
      <c r="LT73" s="9"/>
      <c r="LU73" s="9"/>
      <c r="LV73" s="9"/>
      <c r="LW73" s="9"/>
      <c r="LX73" s="9"/>
      <c r="LY73" s="9"/>
      <c r="LZ73" s="9"/>
      <c r="MA73" s="9"/>
      <c r="MB73" s="9"/>
      <c r="MC73" s="9"/>
      <c r="MD73" s="9"/>
      <c r="ME73" s="9"/>
      <c r="MF73" s="9"/>
      <c r="MG73" s="9"/>
      <c r="MH73" s="9"/>
      <c r="MI73" s="9"/>
      <c r="MJ73" s="9"/>
      <c r="MK73" s="9"/>
      <c r="ML73" s="9"/>
      <c r="MM73" s="9"/>
      <c r="MN73" s="9"/>
      <c r="MO73" s="9"/>
      <c r="MP73" s="9"/>
      <c r="MQ73" s="9"/>
      <c r="MR73" s="9"/>
      <c r="MS73" s="9"/>
      <c r="MT73" s="9"/>
      <c r="MU73" s="9"/>
      <c r="MV73" s="9"/>
      <c r="MW73" s="9"/>
      <c r="MX73" s="9"/>
      <c r="MY73" s="9"/>
      <c r="MZ73" s="9"/>
      <c r="NA73" s="9"/>
      <c r="NB73" s="9"/>
      <c r="NC73" s="9"/>
      <c r="ND73" s="9"/>
      <c r="NE73" s="9"/>
      <c r="NF73" s="9"/>
      <c r="NG73" s="9"/>
      <c r="NH73" s="9"/>
      <c r="NI73" s="9"/>
      <c r="NJ73" s="9"/>
      <c r="NK73" s="9"/>
      <c r="NL73" s="9"/>
      <c r="NM73" s="9"/>
      <c r="NN73" s="9"/>
      <c r="NO73" s="9"/>
      <c r="NP73" s="9"/>
      <c r="NQ73" s="9"/>
      <c r="NR73" s="9"/>
      <c r="NS73" s="9"/>
      <c r="NT73" s="9"/>
      <c r="NU73" s="9"/>
      <c r="NV73" s="9"/>
      <c r="NW73" s="9"/>
      <c r="NX73" s="9"/>
      <c r="NY73" s="9"/>
      <c r="NZ73" s="9"/>
      <c r="OA73" s="9"/>
      <c r="OB73" s="9"/>
      <c r="OC73" s="9"/>
      <c r="OD73" s="9"/>
      <c r="OE73" s="9"/>
      <c r="OF73" s="9"/>
      <c r="OG73" s="9"/>
      <c r="OH73" s="9"/>
      <c r="OI73" s="9"/>
      <c r="OJ73" s="9"/>
      <c r="OK73" s="9"/>
      <c r="OL73" s="9"/>
      <c r="OM73" s="9"/>
      <c r="ON73" s="9"/>
      <c r="OO73" s="9"/>
      <c r="OP73" s="9"/>
      <c r="OQ73" s="9"/>
      <c r="OR73" s="9"/>
      <c r="OS73" s="9"/>
      <c r="OT73" s="9"/>
      <c r="OU73" s="9"/>
      <c r="OV73" s="9"/>
      <c r="OW73" s="9"/>
      <c r="OX73" s="9"/>
      <c r="OY73" s="9"/>
      <c r="OZ73" s="9"/>
      <c r="PA73" s="9"/>
      <c r="PB73" s="9"/>
      <c r="PC73" s="9"/>
      <c r="PD73" s="9"/>
      <c r="PE73" s="9"/>
      <c r="PF73" s="9"/>
      <c r="PG73" s="9"/>
      <c r="PH73" s="9"/>
      <c r="PI73" s="9"/>
      <c r="PJ73" s="9"/>
      <c r="PK73" s="9"/>
      <c r="PL73" s="9"/>
      <c r="PM73" s="9"/>
      <c r="PN73" s="9"/>
      <c r="PO73" s="9"/>
      <c r="PP73" s="9"/>
      <c r="PQ73" s="9"/>
      <c r="PR73" s="9"/>
      <c r="PS73" s="9"/>
      <c r="PT73" s="9"/>
      <c r="PU73" s="9"/>
      <c r="PV73" s="9"/>
      <c r="PW73" s="9"/>
      <c r="PX73" s="9"/>
      <c r="PY73" s="9"/>
      <c r="PZ73" s="9"/>
      <c r="QA73" s="9"/>
      <c r="QB73" s="9"/>
      <c r="QC73" s="9"/>
      <c r="QD73" s="9"/>
      <c r="QE73" s="9"/>
      <c r="QF73" s="9"/>
      <c r="QG73" s="9"/>
      <c r="QH73" s="9"/>
      <c r="QI73" s="9"/>
      <c r="QJ73" s="9"/>
      <c r="QK73" s="9"/>
      <c r="QL73" s="9"/>
      <c r="QM73" s="9"/>
      <c r="QN73" s="9"/>
      <c r="QO73" s="9"/>
      <c r="QP73" s="9"/>
      <c r="QQ73" s="67"/>
      <c r="QR73" s="68"/>
      <c r="QS73" s="63"/>
      <c r="QT73" s="71"/>
    </row>
    <row r="74" spans="1:462" s="11" customFormat="1" x14ac:dyDescent="0.2">
      <c r="A74" s="9">
        <v>10</v>
      </c>
      <c r="B74" s="9"/>
      <c r="C74" s="9"/>
      <c r="D74" s="9" t="s">
        <v>398</v>
      </c>
      <c r="E74" s="65" t="s">
        <v>519</v>
      </c>
      <c r="F74" s="65"/>
      <c r="G74" s="92" t="s">
        <v>2295</v>
      </c>
      <c r="H74" s="66" t="s">
        <v>1594</v>
      </c>
      <c r="I74" s="9" t="s">
        <v>1098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 t="s">
        <v>1098</v>
      </c>
      <c r="EJ74" s="9"/>
      <c r="EK74" s="9" t="s">
        <v>1098</v>
      </c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  <c r="KK74" s="9"/>
      <c r="KL74" s="9"/>
      <c r="KM74" s="9"/>
      <c r="KN74" s="9"/>
      <c r="KO74" s="9"/>
      <c r="KP74" s="9"/>
      <c r="KQ74" s="9"/>
      <c r="KR74" s="9"/>
      <c r="KS74" s="9"/>
      <c r="KT74" s="9"/>
      <c r="KU74" s="9"/>
      <c r="KV74" s="9"/>
      <c r="KW74" s="9"/>
      <c r="KX74" s="9"/>
      <c r="KY74" s="9"/>
      <c r="KZ74" s="9"/>
      <c r="LA74" s="9"/>
      <c r="LB74" s="9"/>
      <c r="LC74" s="9"/>
      <c r="LD74" s="9"/>
      <c r="LE74" s="9"/>
      <c r="LF74" s="9"/>
      <c r="LG74" s="9"/>
      <c r="LH74" s="9"/>
      <c r="LI74" s="9"/>
      <c r="LJ74" s="9"/>
      <c r="LK74" s="9"/>
      <c r="LL74" s="9"/>
      <c r="LM74" s="9"/>
      <c r="LN74" s="9"/>
      <c r="LO74" s="9"/>
      <c r="LP74" s="9"/>
      <c r="LQ74" s="9"/>
      <c r="LR74" s="9"/>
      <c r="LS74" s="9"/>
      <c r="LT74" s="9"/>
      <c r="LU74" s="9"/>
      <c r="LV74" s="9"/>
      <c r="LW74" s="9"/>
      <c r="LX74" s="9"/>
      <c r="LY74" s="9"/>
      <c r="LZ74" s="9"/>
      <c r="MA74" s="9"/>
      <c r="MB74" s="9"/>
      <c r="MC74" s="9"/>
      <c r="MD74" s="9"/>
      <c r="ME74" s="9"/>
      <c r="MF74" s="9"/>
      <c r="MG74" s="9"/>
      <c r="MH74" s="9"/>
      <c r="MI74" s="9"/>
      <c r="MJ74" s="9"/>
      <c r="MK74" s="9"/>
      <c r="ML74" s="9"/>
      <c r="MM74" s="9"/>
      <c r="MN74" s="9"/>
      <c r="MO74" s="9"/>
      <c r="MP74" s="9"/>
      <c r="MQ74" s="9"/>
      <c r="MR74" s="9"/>
      <c r="MS74" s="9"/>
      <c r="MT74" s="9"/>
      <c r="MU74" s="9"/>
      <c r="MV74" s="9"/>
      <c r="MW74" s="9"/>
      <c r="MX74" s="9"/>
      <c r="MY74" s="9"/>
      <c r="MZ74" s="9"/>
      <c r="NA74" s="9"/>
      <c r="NB74" s="9"/>
      <c r="NC74" s="9"/>
      <c r="ND74" s="9"/>
      <c r="NE74" s="9"/>
      <c r="NF74" s="9"/>
      <c r="NG74" s="9"/>
      <c r="NH74" s="9"/>
      <c r="NI74" s="9"/>
      <c r="NJ74" s="9"/>
      <c r="NK74" s="9"/>
      <c r="NL74" s="9"/>
      <c r="NM74" s="9"/>
      <c r="NN74" s="9"/>
      <c r="NO74" s="9"/>
      <c r="NP74" s="9"/>
      <c r="NQ74" s="9"/>
      <c r="NR74" s="9"/>
      <c r="NS74" s="9"/>
      <c r="NT74" s="9"/>
      <c r="NU74" s="9"/>
      <c r="NV74" s="9"/>
      <c r="NW74" s="9"/>
      <c r="NX74" s="9"/>
      <c r="NY74" s="9"/>
      <c r="NZ74" s="9"/>
      <c r="OA74" s="9"/>
      <c r="OB74" s="9"/>
      <c r="OC74" s="9"/>
      <c r="OD74" s="9"/>
      <c r="OE74" s="9"/>
      <c r="OF74" s="9"/>
      <c r="OG74" s="9"/>
      <c r="OH74" s="9"/>
      <c r="OI74" s="9"/>
      <c r="OJ74" s="9"/>
      <c r="OK74" s="9"/>
      <c r="OL74" s="9"/>
      <c r="OM74" s="9"/>
      <c r="ON74" s="9"/>
      <c r="OO74" s="9"/>
      <c r="OP74" s="9"/>
      <c r="OQ74" s="9"/>
      <c r="OR74" s="9"/>
      <c r="OS74" s="9"/>
      <c r="OT74" s="9"/>
      <c r="OU74" s="9"/>
      <c r="OV74" s="9"/>
      <c r="OW74" s="9"/>
      <c r="OX74" s="9"/>
      <c r="OY74" s="9"/>
      <c r="OZ74" s="9"/>
      <c r="PA74" s="9"/>
      <c r="PB74" s="9"/>
      <c r="PC74" s="9"/>
      <c r="PD74" s="9"/>
      <c r="PE74" s="9"/>
      <c r="PF74" s="9"/>
      <c r="PG74" s="9"/>
      <c r="PH74" s="9"/>
      <c r="PI74" s="9"/>
      <c r="PJ74" s="9"/>
      <c r="PK74" s="9"/>
      <c r="PL74" s="9"/>
      <c r="PM74" s="9"/>
      <c r="PN74" s="9"/>
      <c r="PO74" s="9"/>
      <c r="PP74" s="9"/>
      <c r="PQ74" s="9"/>
      <c r="PR74" s="9"/>
      <c r="PS74" s="9"/>
      <c r="PT74" s="9"/>
      <c r="PU74" s="9"/>
      <c r="PV74" s="9"/>
      <c r="PW74" s="9"/>
      <c r="PX74" s="9"/>
      <c r="PY74" s="9"/>
      <c r="PZ74" s="9"/>
      <c r="QA74" s="9"/>
      <c r="QB74" s="9"/>
      <c r="QC74" s="9"/>
      <c r="QD74" s="9"/>
      <c r="QE74" s="9"/>
      <c r="QF74" s="9"/>
      <c r="QG74" s="9"/>
      <c r="QH74" s="9"/>
      <c r="QI74" s="9"/>
      <c r="QJ74" s="9"/>
      <c r="QK74" s="9"/>
      <c r="QL74" s="9"/>
      <c r="QM74" s="9"/>
      <c r="QN74" s="9"/>
      <c r="QO74" s="9"/>
      <c r="QP74" s="9"/>
      <c r="QQ74" s="67"/>
      <c r="QR74" s="68"/>
      <c r="QS74" s="63"/>
      <c r="QT74" s="71"/>
    </row>
    <row r="75" spans="1:462" s="11" customFormat="1" ht="26" x14ac:dyDescent="0.2">
      <c r="A75" s="9">
        <v>10</v>
      </c>
      <c r="B75" s="9"/>
      <c r="C75" s="9"/>
      <c r="D75" s="9" t="s">
        <v>399</v>
      </c>
      <c r="E75" s="65" t="s">
        <v>521</v>
      </c>
      <c r="F75" s="65"/>
      <c r="G75" s="92" t="s">
        <v>2297</v>
      </c>
      <c r="H75" s="66" t="s">
        <v>1595</v>
      </c>
      <c r="I75" s="9" t="s">
        <v>1098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 t="s">
        <v>1098</v>
      </c>
      <c r="EJ75" s="9"/>
      <c r="EK75" s="9" t="s">
        <v>1098</v>
      </c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9"/>
      <c r="KK75" s="9"/>
      <c r="KL75" s="9"/>
      <c r="KM75" s="9"/>
      <c r="KN75" s="9"/>
      <c r="KO75" s="9"/>
      <c r="KP75" s="9"/>
      <c r="KQ75" s="9"/>
      <c r="KR75" s="9"/>
      <c r="KS75" s="9"/>
      <c r="KT75" s="9"/>
      <c r="KU75" s="9"/>
      <c r="KV75" s="9"/>
      <c r="KW75" s="9"/>
      <c r="KX75" s="9"/>
      <c r="KY75" s="9"/>
      <c r="KZ75" s="9"/>
      <c r="LA75" s="9"/>
      <c r="LB75" s="9"/>
      <c r="LC75" s="9"/>
      <c r="LD75" s="9"/>
      <c r="LE75" s="9"/>
      <c r="LF75" s="9"/>
      <c r="LG75" s="9"/>
      <c r="LH75" s="9"/>
      <c r="LI75" s="9"/>
      <c r="LJ75" s="9"/>
      <c r="LK75" s="9"/>
      <c r="LL75" s="9"/>
      <c r="LM75" s="9"/>
      <c r="LN75" s="9"/>
      <c r="LO75" s="9"/>
      <c r="LP75" s="9"/>
      <c r="LQ75" s="9"/>
      <c r="LR75" s="9"/>
      <c r="LS75" s="9"/>
      <c r="LT75" s="9"/>
      <c r="LU75" s="9"/>
      <c r="LV75" s="9"/>
      <c r="LW75" s="9"/>
      <c r="LX75" s="9"/>
      <c r="LY75" s="9"/>
      <c r="LZ75" s="9"/>
      <c r="MA75" s="9"/>
      <c r="MB75" s="9"/>
      <c r="MC75" s="9"/>
      <c r="MD75" s="9"/>
      <c r="ME75" s="9"/>
      <c r="MF75" s="9"/>
      <c r="MG75" s="9"/>
      <c r="MH75" s="9"/>
      <c r="MI75" s="9"/>
      <c r="MJ75" s="9"/>
      <c r="MK75" s="9"/>
      <c r="ML75" s="9"/>
      <c r="MM75" s="9"/>
      <c r="MN75" s="9"/>
      <c r="MO75" s="9"/>
      <c r="MP75" s="9"/>
      <c r="MQ75" s="9"/>
      <c r="MR75" s="9"/>
      <c r="MS75" s="9"/>
      <c r="MT75" s="9"/>
      <c r="MU75" s="9"/>
      <c r="MV75" s="9"/>
      <c r="MW75" s="9"/>
      <c r="MX75" s="9"/>
      <c r="MY75" s="9"/>
      <c r="MZ75" s="9"/>
      <c r="NA75" s="9"/>
      <c r="NB75" s="9"/>
      <c r="NC75" s="9"/>
      <c r="ND75" s="9"/>
      <c r="NE75" s="9"/>
      <c r="NF75" s="9"/>
      <c r="NG75" s="9"/>
      <c r="NH75" s="9"/>
      <c r="NI75" s="9"/>
      <c r="NJ75" s="9"/>
      <c r="NK75" s="9"/>
      <c r="NL75" s="9"/>
      <c r="NM75" s="9"/>
      <c r="NN75" s="9"/>
      <c r="NO75" s="9"/>
      <c r="NP75" s="9"/>
      <c r="NQ75" s="9"/>
      <c r="NR75" s="9"/>
      <c r="NS75" s="9"/>
      <c r="NT75" s="9"/>
      <c r="NU75" s="9"/>
      <c r="NV75" s="9"/>
      <c r="NW75" s="9"/>
      <c r="NX75" s="9"/>
      <c r="NY75" s="9"/>
      <c r="NZ75" s="9"/>
      <c r="OA75" s="9"/>
      <c r="OB75" s="9"/>
      <c r="OC75" s="9"/>
      <c r="OD75" s="9"/>
      <c r="OE75" s="9"/>
      <c r="OF75" s="9"/>
      <c r="OG75" s="9"/>
      <c r="OH75" s="9"/>
      <c r="OI75" s="9"/>
      <c r="OJ75" s="9"/>
      <c r="OK75" s="9"/>
      <c r="OL75" s="9"/>
      <c r="OM75" s="9"/>
      <c r="ON75" s="9"/>
      <c r="OO75" s="9"/>
      <c r="OP75" s="9"/>
      <c r="OQ75" s="9"/>
      <c r="OR75" s="9"/>
      <c r="OS75" s="9"/>
      <c r="OT75" s="9"/>
      <c r="OU75" s="9"/>
      <c r="OV75" s="9"/>
      <c r="OW75" s="9"/>
      <c r="OX75" s="9"/>
      <c r="OY75" s="9"/>
      <c r="OZ75" s="9"/>
      <c r="PA75" s="9"/>
      <c r="PB75" s="9"/>
      <c r="PC75" s="9"/>
      <c r="PD75" s="9"/>
      <c r="PE75" s="9"/>
      <c r="PF75" s="9"/>
      <c r="PG75" s="9"/>
      <c r="PH75" s="9"/>
      <c r="PI75" s="9"/>
      <c r="PJ75" s="9"/>
      <c r="PK75" s="9"/>
      <c r="PL75" s="9"/>
      <c r="PM75" s="9"/>
      <c r="PN75" s="9"/>
      <c r="PO75" s="9"/>
      <c r="PP75" s="9"/>
      <c r="PQ75" s="9"/>
      <c r="PR75" s="9"/>
      <c r="PS75" s="9"/>
      <c r="PT75" s="9"/>
      <c r="PU75" s="9"/>
      <c r="PV75" s="9"/>
      <c r="PW75" s="9"/>
      <c r="PX75" s="9"/>
      <c r="PY75" s="9"/>
      <c r="PZ75" s="9"/>
      <c r="QA75" s="9"/>
      <c r="QB75" s="9"/>
      <c r="QC75" s="9"/>
      <c r="QD75" s="9"/>
      <c r="QE75" s="9"/>
      <c r="QF75" s="9"/>
      <c r="QG75" s="9"/>
      <c r="QH75" s="9"/>
      <c r="QI75" s="9"/>
      <c r="QJ75" s="9"/>
      <c r="QK75" s="9"/>
      <c r="QL75" s="9"/>
      <c r="QM75" s="9"/>
      <c r="QN75" s="9"/>
      <c r="QO75" s="9"/>
      <c r="QP75" s="9"/>
      <c r="QQ75" s="67"/>
      <c r="QR75" s="68"/>
      <c r="QS75" s="63"/>
      <c r="QT75" s="71"/>
    </row>
    <row r="76" spans="1:462" s="11" customFormat="1" x14ac:dyDescent="0.2">
      <c r="A76" s="9">
        <v>10</v>
      </c>
      <c r="B76" s="9"/>
      <c r="C76" s="9"/>
      <c r="D76" s="9" t="s">
        <v>400</v>
      </c>
      <c r="E76" s="65" t="s">
        <v>523</v>
      </c>
      <c r="F76" s="65"/>
      <c r="G76" s="91" t="s">
        <v>2299</v>
      </c>
      <c r="H76" s="66" t="s">
        <v>1596</v>
      </c>
      <c r="I76" s="9" t="s">
        <v>1098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 t="s">
        <v>1098</v>
      </c>
      <c r="EJ76" s="9"/>
      <c r="EK76" s="9" t="s">
        <v>1098</v>
      </c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9"/>
      <c r="LC76" s="9"/>
      <c r="LD76" s="9"/>
      <c r="LE76" s="9"/>
      <c r="LF76" s="9"/>
      <c r="LG76" s="9"/>
      <c r="LH76" s="9"/>
      <c r="LI76" s="9"/>
      <c r="LJ76" s="9"/>
      <c r="LK76" s="9"/>
      <c r="LL76" s="9"/>
      <c r="LM76" s="9"/>
      <c r="LN76" s="9"/>
      <c r="LO76" s="9"/>
      <c r="LP76" s="9"/>
      <c r="LQ76" s="9"/>
      <c r="LR76" s="9"/>
      <c r="LS76" s="9"/>
      <c r="LT76" s="9"/>
      <c r="LU76" s="9"/>
      <c r="LV76" s="9"/>
      <c r="LW76" s="9"/>
      <c r="LX76" s="9"/>
      <c r="LY76" s="9"/>
      <c r="LZ76" s="9"/>
      <c r="MA76" s="9"/>
      <c r="MB76" s="9"/>
      <c r="MC76" s="9"/>
      <c r="MD76" s="9"/>
      <c r="ME76" s="9"/>
      <c r="MF76" s="9"/>
      <c r="MG76" s="9"/>
      <c r="MH76" s="9"/>
      <c r="MI76" s="9"/>
      <c r="MJ76" s="9"/>
      <c r="MK76" s="9"/>
      <c r="ML76" s="9"/>
      <c r="MM76" s="9"/>
      <c r="MN76" s="9"/>
      <c r="MO76" s="9"/>
      <c r="MP76" s="9"/>
      <c r="MQ76" s="9"/>
      <c r="MR76" s="9"/>
      <c r="MS76" s="9"/>
      <c r="MT76" s="9"/>
      <c r="MU76" s="9"/>
      <c r="MV76" s="9"/>
      <c r="MW76" s="9"/>
      <c r="MX76" s="9"/>
      <c r="MY76" s="9"/>
      <c r="MZ76" s="9"/>
      <c r="NA76" s="9"/>
      <c r="NB76" s="9"/>
      <c r="NC76" s="9"/>
      <c r="ND76" s="9"/>
      <c r="NE76" s="9"/>
      <c r="NF76" s="9"/>
      <c r="NG76" s="9"/>
      <c r="NH76" s="9"/>
      <c r="NI76" s="9"/>
      <c r="NJ76" s="9"/>
      <c r="NK76" s="9"/>
      <c r="NL76" s="9"/>
      <c r="NM76" s="9"/>
      <c r="NN76" s="9"/>
      <c r="NO76" s="9"/>
      <c r="NP76" s="9"/>
      <c r="NQ76" s="9"/>
      <c r="NR76" s="9"/>
      <c r="NS76" s="9"/>
      <c r="NT76" s="9"/>
      <c r="NU76" s="9"/>
      <c r="NV76" s="9"/>
      <c r="NW76" s="9"/>
      <c r="NX76" s="9"/>
      <c r="NY76" s="9"/>
      <c r="NZ76" s="9"/>
      <c r="OA76" s="9"/>
      <c r="OB76" s="9"/>
      <c r="OC76" s="9"/>
      <c r="OD76" s="9"/>
      <c r="OE76" s="9"/>
      <c r="OF76" s="9"/>
      <c r="OG76" s="9"/>
      <c r="OH76" s="9"/>
      <c r="OI76" s="9"/>
      <c r="OJ76" s="9"/>
      <c r="OK76" s="9"/>
      <c r="OL76" s="9"/>
      <c r="OM76" s="9"/>
      <c r="ON76" s="9"/>
      <c r="OO76" s="9"/>
      <c r="OP76" s="9"/>
      <c r="OQ76" s="9"/>
      <c r="OR76" s="9"/>
      <c r="OS76" s="9"/>
      <c r="OT76" s="9"/>
      <c r="OU76" s="9"/>
      <c r="OV76" s="9"/>
      <c r="OW76" s="9"/>
      <c r="OX76" s="9"/>
      <c r="OY76" s="9"/>
      <c r="OZ76" s="9"/>
      <c r="PA76" s="9"/>
      <c r="PB76" s="9"/>
      <c r="PC76" s="9"/>
      <c r="PD76" s="9"/>
      <c r="PE76" s="9"/>
      <c r="PF76" s="9"/>
      <c r="PG76" s="9"/>
      <c r="PH76" s="9"/>
      <c r="PI76" s="9"/>
      <c r="PJ76" s="9"/>
      <c r="PK76" s="9"/>
      <c r="PL76" s="9"/>
      <c r="PM76" s="9"/>
      <c r="PN76" s="9"/>
      <c r="PO76" s="9"/>
      <c r="PP76" s="9"/>
      <c r="PQ76" s="9"/>
      <c r="PR76" s="9"/>
      <c r="PS76" s="9"/>
      <c r="PT76" s="9"/>
      <c r="PU76" s="9"/>
      <c r="PV76" s="9"/>
      <c r="PW76" s="9"/>
      <c r="PX76" s="9"/>
      <c r="PY76" s="9"/>
      <c r="PZ76" s="9"/>
      <c r="QA76" s="9"/>
      <c r="QB76" s="9"/>
      <c r="QC76" s="9"/>
      <c r="QD76" s="9"/>
      <c r="QE76" s="9"/>
      <c r="QF76" s="9"/>
      <c r="QG76" s="9"/>
      <c r="QH76" s="9"/>
      <c r="QI76" s="9"/>
      <c r="QJ76" s="9"/>
      <c r="QK76" s="9"/>
      <c r="QL76" s="9"/>
      <c r="QM76" s="9"/>
      <c r="QN76" s="9"/>
      <c r="QO76" s="9"/>
      <c r="QP76" s="9"/>
      <c r="QQ76" s="67"/>
      <c r="QR76" s="68"/>
      <c r="QS76" s="63"/>
      <c r="QT76" s="71"/>
    </row>
    <row r="77" spans="1:462" s="11" customFormat="1" x14ac:dyDescent="0.2">
      <c r="A77" s="9">
        <v>10</v>
      </c>
      <c r="B77" s="9"/>
      <c r="C77" s="9"/>
      <c r="D77" s="9" t="s">
        <v>401</v>
      </c>
      <c r="E77" s="65" t="s">
        <v>496</v>
      </c>
      <c r="F77" s="65"/>
      <c r="G77" s="92" t="s">
        <v>2251</v>
      </c>
      <c r="H77" s="66" t="s">
        <v>1556</v>
      </c>
      <c r="I77" s="9" t="s">
        <v>1098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 t="s">
        <v>1098</v>
      </c>
      <c r="EJ77" s="9"/>
      <c r="EK77" s="9" t="s">
        <v>1098</v>
      </c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9"/>
      <c r="LC77" s="9"/>
      <c r="LD77" s="9"/>
      <c r="LE77" s="9"/>
      <c r="LF77" s="9"/>
      <c r="LG77" s="9"/>
      <c r="LH77" s="9"/>
      <c r="LI77" s="9"/>
      <c r="LJ77" s="9"/>
      <c r="LK77" s="9"/>
      <c r="LL77" s="9"/>
      <c r="LM77" s="9"/>
      <c r="LN77" s="9"/>
      <c r="LO77" s="9"/>
      <c r="LP77" s="9"/>
      <c r="LQ77" s="9"/>
      <c r="LR77" s="9"/>
      <c r="LS77" s="9"/>
      <c r="LT77" s="9"/>
      <c r="LU77" s="9"/>
      <c r="LV77" s="9"/>
      <c r="LW77" s="9"/>
      <c r="LX77" s="9"/>
      <c r="LY77" s="9"/>
      <c r="LZ77" s="9"/>
      <c r="MA77" s="9"/>
      <c r="MB77" s="9"/>
      <c r="MC77" s="9"/>
      <c r="MD77" s="9"/>
      <c r="ME77" s="9"/>
      <c r="MF77" s="9"/>
      <c r="MG77" s="9"/>
      <c r="MH77" s="9"/>
      <c r="MI77" s="9"/>
      <c r="MJ77" s="9"/>
      <c r="MK77" s="9"/>
      <c r="ML77" s="9"/>
      <c r="MM77" s="9"/>
      <c r="MN77" s="9"/>
      <c r="MO77" s="9"/>
      <c r="MP77" s="9"/>
      <c r="MQ77" s="9"/>
      <c r="MR77" s="9"/>
      <c r="MS77" s="9"/>
      <c r="MT77" s="9"/>
      <c r="MU77" s="9"/>
      <c r="MV77" s="9"/>
      <c r="MW77" s="9"/>
      <c r="MX77" s="9"/>
      <c r="MY77" s="9"/>
      <c r="MZ77" s="9"/>
      <c r="NA77" s="9"/>
      <c r="NB77" s="9"/>
      <c r="NC77" s="9"/>
      <c r="ND77" s="9"/>
      <c r="NE77" s="9"/>
      <c r="NF77" s="9"/>
      <c r="NG77" s="9"/>
      <c r="NH77" s="9"/>
      <c r="NI77" s="9"/>
      <c r="NJ77" s="9"/>
      <c r="NK77" s="9"/>
      <c r="NL77" s="9"/>
      <c r="NM77" s="9"/>
      <c r="NN77" s="9"/>
      <c r="NO77" s="9"/>
      <c r="NP77" s="9"/>
      <c r="NQ77" s="9"/>
      <c r="NR77" s="9"/>
      <c r="NS77" s="9"/>
      <c r="NT77" s="9"/>
      <c r="NU77" s="9"/>
      <c r="NV77" s="9"/>
      <c r="NW77" s="9"/>
      <c r="NX77" s="9"/>
      <c r="NY77" s="9"/>
      <c r="NZ77" s="9"/>
      <c r="OA77" s="9"/>
      <c r="OB77" s="9"/>
      <c r="OC77" s="9"/>
      <c r="OD77" s="9"/>
      <c r="OE77" s="9"/>
      <c r="OF77" s="9"/>
      <c r="OG77" s="9"/>
      <c r="OH77" s="9"/>
      <c r="OI77" s="9"/>
      <c r="OJ77" s="9"/>
      <c r="OK77" s="9"/>
      <c r="OL77" s="9"/>
      <c r="OM77" s="9"/>
      <c r="ON77" s="9"/>
      <c r="OO77" s="9"/>
      <c r="OP77" s="9"/>
      <c r="OQ77" s="9"/>
      <c r="OR77" s="9"/>
      <c r="OS77" s="9"/>
      <c r="OT77" s="9"/>
      <c r="OU77" s="9"/>
      <c r="OV77" s="9"/>
      <c r="OW77" s="9"/>
      <c r="OX77" s="9"/>
      <c r="OY77" s="9"/>
      <c r="OZ77" s="9"/>
      <c r="PA77" s="9"/>
      <c r="PB77" s="9"/>
      <c r="PC77" s="9"/>
      <c r="PD77" s="9"/>
      <c r="PE77" s="9"/>
      <c r="PF77" s="9"/>
      <c r="PG77" s="9"/>
      <c r="PH77" s="9"/>
      <c r="PI77" s="9"/>
      <c r="PJ77" s="9"/>
      <c r="PK77" s="9"/>
      <c r="PL77" s="9"/>
      <c r="PM77" s="9"/>
      <c r="PN77" s="9"/>
      <c r="PO77" s="9"/>
      <c r="PP77" s="9"/>
      <c r="PQ77" s="9"/>
      <c r="PR77" s="9"/>
      <c r="PS77" s="9"/>
      <c r="PT77" s="9"/>
      <c r="PU77" s="9"/>
      <c r="PV77" s="9"/>
      <c r="PW77" s="9"/>
      <c r="PX77" s="9"/>
      <c r="PY77" s="9"/>
      <c r="PZ77" s="9"/>
      <c r="QA77" s="9"/>
      <c r="QB77" s="9"/>
      <c r="QC77" s="9"/>
      <c r="QD77" s="9"/>
      <c r="QE77" s="9"/>
      <c r="QF77" s="9"/>
      <c r="QG77" s="9"/>
      <c r="QH77" s="9"/>
      <c r="QI77" s="9"/>
      <c r="QJ77" s="9"/>
      <c r="QK77" s="9"/>
      <c r="QL77" s="9"/>
      <c r="QM77" s="9"/>
      <c r="QN77" s="9"/>
      <c r="QO77" s="9"/>
      <c r="QP77" s="9"/>
      <c r="QQ77" s="67"/>
      <c r="QR77" s="68"/>
      <c r="QS77" s="63"/>
      <c r="QT77" s="71"/>
    </row>
    <row r="78" spans="1:462" s="11" customFormat="1" x14ac:dyDescent="0.2">
      <c r="A78" s="9">
        <v>10</v>
      </c>
      <c r="B78" s="9"/>
      <c r="C78" s="9"/>
      <c r="D78" s="9" t="s">
        <v>402</v>
      </c>
      <c r="E78" s="65" t="s">
        <v>519</v>
      </c>
      <c r="F78" s="65"/>
      <c r="G78" s="91" t="s">
        <v>2295</v>
      </c>
      <c r="H78" s="66" t="s">
        <v>1594</v>
      </c>
      <c r="I78" s="9" t="s">
        <v>1098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 t="s">
        <v>1098</v>
      </c>
      <c r="ER78" s="9"/>
      <c r="ES78" s="9" t="s">
        <v>1098</v>
      </c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  <c r="KM78" s="9"/>
      <c r="KN78" s="9"/>
      <c r="KO78" s="9"/>
      <c r="KP78" s="9"/>
      <c r="KQ78" s="9"/>
      <c r="KR78" s="9"/>
      <c r="KS78" s="9"/>
      <c r="KT78" s="9"/>
      <c r="KU78" s="9"/>
      <c r="KV78" s="9"/>
      <c r="KW78" s="9"/>
      <c r="KX78" s="9"/>
      <c r="KY78" s="9"/>
      <c r="KZ78" s="9"/>
      <c r="LA78" s="9"/>
      <c r="LB78" s="9"/>
      <c r="LC78" s="9"/>
      <c r="LD78" s="9"/>
      <c r="LE78" s="9"/>
      <c r="LF78" s="9"/>
      <c r="LG78" s="9"/>
      <c r="LH78" s="9"/>
      <c r="LI78" s="9"/>
      <c r="LJ78" s="9"/>
      <c r="LK78" s="9"/>
      <c r="LL78" s="9"/>
      <c r="LM78" s="9"/>
      <c r="LN78" s="9"/>
      <c r="LO78" s="9"/>
      <c r="LP78" s="9"/>
      <c r="LQ78" s="9"/>
      <c r="LR78" s="9"/>
      <c r="LS78" s="9"/>
      <c r="LT78" s="9"/>
      <c r="LU78" s="9"/>
      <c r="LV78" s="9"/>
      <c r="LW78" s="9"/>
      <c r="LX78" s="9"/>
      <c r="LY78" s="9"/>
      <c r="LZ78" s="9"/>
      <c r="MA78" s="9"/>
      <c r="MB78" s="9"/>
      <c r="MC78" s="9"/>
      <c r="MD78" s="9"/>
      <c r="ME78" s="9"/>
      <c r="MF78" s="9"/>
      <c r="MG78" s="9"/>
      <c r="MH78" s="9"/>
      <c r="MI78" s="9"/>
      <c r="MJ78" s="9"/>
      <c r="MK78" s="9"/>
      <c r="ML78" s="9"/>
      <c r="MM78" s="9"/>
      <c r="MN78" s="9"/>
      <c r="MO78" s="9"/>
      <c r="MP78" s="9"/>
      <c r="MQ78" s="9"/>
      <c r="MR78" s="9"/>
      <c r="MS78" s="9"/>
      <c r="MT78" s="9"/>
      <c r="MU78" s="9"/>
      <c r="MV78" s="9"/>
      <c r="MW78" s="9"/>
      <c r="MX78" s="9"/>
      <c r="MY78" s="9"/>
      <c r="MZ78" s="9"/>
      <c r="NA78" s="9"/>
      <c r="NB78" s="9"/>
      <c r="NC78" s="9"/>
      <c r="ND78" s="9"/>
      <c r="NE78" s="9"/>
      <c r="NF78" s="9"/>
      <c r="NG78" s="9"/>
      <c r="NH78" s="9"/>
      <c r="NI78" s="9"/>
      <c r="NJ78" s="9"/>
      <c r="NK78" s="9"/>
      <c r="NL78" s="9"/>
      <c r="NM78" s="9"/>
      <c r="NN78" s="9"/>
      <c r="NO78" s="9"/>
      <c r="NP78" s="9"/>
      <c r="NQ78" s="9"/>
      <c r="NR78" s="9"/>
      <c r="NS78" s="9"/>
      <c r="NT78" s="9"/>
      <c r="NU78" s="9"/>
      <c r="NV78" s="9"/>
      <c r="NW78" s="9"/>
      <c r="NX78" s="9"/>
      <c r="NY78" s="9"/>
      <c r="NZ78" s="9"/>
      <c r="OA78" s="9"/>
      <c r="OB78" s="9"/>
      <c r="OC78" s="9"/>
      <c r="OD78" s="9"/>
      <c r="OE78" s="9"/>
      <c r="OF78" s="9"/>
      <c r="OG78" s="9"/>
      <c r="OH78" s="9"/>
      <c r="OI78" s="9"/>
      <c r="OJ78" s="9"/>
      <c r="OK78" s="9"/>
      <c r="OL78" s="9"/>
      <c r="OM78" s="9"/>
      <c r="ON78" s="9"/>
      <c r="OO78" s="9"/>
      <c r="OP78" s="9"/>
      <c r="OQ78" s="9"/>
      <c r="OR78" s="9"/>
      <c r="OS78" s="9"/>
      <c r="OT78" s="9"/>
      <c r="OU78" s="9"/>
      <c r="OV78" s="9"/>
      <c r="OW78" s="9"/>
      <c r="OX78" s="9"/>
      <c r="OY78" s="9"/>
      <c r="OZ78" s="9"/>
      <c r="PA78" s="9"/>
      <c r="PB78" s="9"/>
      <c r="PC78" s="9"/>
      <c r="PD78" s="9"/>
      <c r="PE78" s="9"/>
      <c r="PF78" s="9"/>
      <c r="PG78" s="9"/>
      <c r="PH78" s="9"/>
      <c r="PI78" s="9"/>
      <c r="PJ78" s="9"/>
      <c r="PK78" s="9"/>
      <c r="PL78" s="9"/>
      <c r="PM78" s="9"/>
      <c r="PN78" s="9"/>
      <c r="PO78" s="9"/>
      <c r="PP78" s="9"/>
      <c r="PQ78" s="9"/>
      <c r="PR78" s="9"/>
      <c r="PS78" s="9"/>
      <c r="PT78" s="9"/>
      <c r="PU78" s="9"/>
      <c r="PV78" s="9"/>
      <c r="PW78" s="9"/>
      <c r="PX78" s="9"/>
      <c r="PY78" s="9"/>
      <c r="PZ78" s="9"/>
      <c r="QA78" s="9"/>
      <c r="QB78" s="9"/>
      <c r="QC78" s="9"/>
      <c r="QD78" s="9"/>
      <c r="QE78" s="9"/>
      <c r="QF78" s="9"/>
      <c r="QG78" s="9"/>
      <c r="QH78" s="9"/>
      <c r="QI78" s="9"/>
      <c r="QJ78" s="9"/>
      <c r="QK78" s="9"/>
      <c r="QL78" s="9"/>
      <c r="QM78" s="9"/>
      <c r="QN78" s="9"/>
      <c r="QO78" s="9"/>
      <c r="QP78" s="9"/>
      <c r="QQ78" s="67"/>
      <c r="QR78" s="68"/>
      <c r="QS78" s="63"/>
      <c r="QT78" s="71"/>
    </row>
    <row r="79" spans="1:462" s="11" customFormat="1" ht="26" x14ac:dyDescent="0.2">
      <c r="A79" s="9">
        <v>10</v>
      </c>
      <c r="B79" s="9"/>
      <c r="C79" s="9"/>
      <c r="D79" s="9" t="s">
        <v>403</v>
      </c>
      <c r="E79" s="65" t="s">
        <v>520</v>
      </c>
      <c r="F79" s="65"/>
      <c r="G79" s="92" t="s">
        <v>2301</v>
      </c>
      <c r="H79" s="66" t="s">
        <v>1597</v>
      </c>
      <c r="I79" s="9" t="s">
        <v>1098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 t="s">
        <v>1098</v>
      </c>
      <c r="ER79" s="9"/>
      <c r="ES79" s="9" t="s">
        <v>1098</v>
      </c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9"/>
      <c r="LL79" s="9"/>
      <c r="LM79" s="9"/>
      <c r="LN79" s="9"/>
      <c r="LO79" s="9"/>
      <c r="LP79" s="9"/>
      <c r="LQ79" s="9"/>
      <c r="LR79" s="9"/>
      <c r="LS79" s="9"/>
      <c r="LT79" s="9"/>
      <c r="LU79" s="9"/>
      <c r="LV79" s="9"/>
      <c r="LW79" s="9"/>
      <c r="LX79" s="9"/>
      <c r="LY79" s="9"/>
      <c r="LZ79" s="9"/>
      <c r="MA79" s="9"/>
      <c r="MB79" s="9"/>
      <c r="MC79" s="9"/>
      <c r="MD79" s="9"/>
      <c r="ME79" s="9"/>
      <c r="MF79" s="9"/>
      <c r="MG79" s="9"/>
      <c r="MH79" s="9"/>
      <c r="MI79" s="9"/>
      <c r="MJ79" s="9"/>
      <c r="MK79" s="9"/>
      <c r="ML79" s="9"/>
      <c r="MM79" s="9"/>
      <c r="MN79" s="9"/>
      <c r="MO79" s="9"/>
      <c r="MP79" s="9"/>
      <c r="MQ79" s="9"/>
      <c r="MR79" s="9"/>
      <c r="MS79" s="9"/>
      <c r="MT79" s="9"/>
      <c r="MU79" s="9"/>
      <c r="MV79" s="9"/>
      <c r="MW79" s="9"/>
      <c r="MX79" s="9"/>
      <c r="MY79" s="9"/>
      <c r="MZ79" s="9"/>
      <c r="NA79" s="9"/>
      <c r="NB79" s="9"/>
      <c r="NC79" s="9"/>
      <c r="ND79" s="9"/>
      <c r="NE79" s="9"/>
      <c r="NF79" s="9"/>
      <c r="NG79" s="9"/>
      <c r="NH79" s="9"/>
      <c r="NI79" s="9"/>
      <c r="NJ79" s="9"/>
      <c r="NK79" s="9"/>
      <c r="NL79" s="9"/>
      <c r="NM79" s="9"/>
      <c r="NN79" s="9"/>
      <c r="NO79" s="9"/>
      <c r="NP79" s="9"/>
      <c r="NQ79" s="9"/>
      <c r="NR79" s="9"/>
      <c r="NS79" s="9"/>
      <c r="NT79" s="9"/>
      <c r="NU79" s="9"/>
      <c r="NV79" s="9"/>
      <c r="NW79" s="9"/>
      <c r="NX79" s="9"/>
      <c r="NY79" s="9"/>
      <c r="NZ79" s="9"/>
      <c r="OA79" s="9"/>
      <c r="OB79" s="9"/>
      <c r="OC79" s="9"/>
      <c r="OD79" s="9"/>
      <c r="OE79" s="9"/>
      <c r="OF79" s="9"/>
      <c r="OG79" s="9"/>
      <c r="OH79" s="9"/>
      <c r="OI79" s="9"/>
      <c r="OJ79" s="9"/>
      <c r="OK79" s="9"/>
      <c r="OL79" s="9"/>
      <c r="OM79" s="9"/>
      <c r="ON79" s="9"/>
      <c r="OO79" s="9"/>
      <c r="OP79" s="9"/>
      <c r="OQ79" s="9"/>
      <c r="OR79" s="9"/>
      <c r="OS79" s="9"/>
      <c r="OT79" s="9"/>
      <c r="OU79" s="9"/>
      <c r="OV79" s="9"/>
      <c r="OW79" s="9"/>
      <c r="OX79" s="9"/>
      <c r="OY79" s="9"/>
      <c r="OZ79" s="9"/>
      <c r="PA79" s="9"/>
      <c r="PB79" s="9"/>
      <c r="PC79" s="9"/>
      <c r="PD79" s="9"/>
      <c r="PE79" s="9"/>
      <c r="PF79" s="9"/>
      <c r="PG79" s="9"/>
      <c r="PH79" s="9"/>
      <c r="PI79" s="9"/>
      <c r="PJ79" s="9"/>
      <c r="PK79" s="9"/>
      <c r="PL79" s="9"/>
      <c r="PM79" s="9"/>
      <c r="PN79" s="9"/>
      <c r="PO79" s="9"/>
      <c r="PP79" s="9"/>
      <c r="PQ79" s="9"/>
      <c r="PR79" s="9"/>
      <c r="PS79" s="9"/>
      <c r="PT79" s="9"/>
      <c r="PU79" s="9"/>
      <c r="PV79" s="9"/>
      <c r="PW79" s="9"/>
      <c r="PX79" s="9"/>
      <c r="PY79" s="9"/>
      <c r="PZ79" s="9"/>
      <c r="QA79" s="9"/>
      <c r="QB79" s="9"/>
      <c r="QC79" s="9"/>
      <c r="QD79" s="9"/>
      <c r="QE79" s="9"/>
      <c r="QF79" s="9"/>
      <c r="QG79" s="9"/>
      <c r="QH79" s="9"/>
      <c r="QI79" s="9"/>
      <c r="QJ79" s="9"/>
      <c r="QK79" s="9"/>
      <c r="QL79" s="9"/>
      <c r="QM79" s="9"/>
      <c r="QN79" s="9"/>
      <c r="QO79" s="9"/>
      <c r="QP79" s="9"/>
      <c r="QQ79" s="67"/>
      <c r="QR79" s="68"/>
      <c r="QS79" s="63"/>
      <c r="QT79" s="71"/>
    </row>
    <row r="80" spans="1:462" s="11" customFormat="1" ht="26" x14ac:dyDescent="0.2">
      <c r="A80" s="9">
        <v>10</v>
      </c>
      <c r="B80" s="9"/>
      <c r="C80" s="9"/>
      <c r="D80" s="9" t="s">
        <v>763</v>
      </c>
      <c r="E80" s="65" t="s">
        <v>769</v>
      </c>
      <c r="F80" s="65"/>
      <c r="G80" s="92" t="s">
        <v>2302</v>
      </c>
      <c r="H80" s="66" t="s">
        <v>1598</v>
      </c>
      <c r="I80" s="9" t="s">
        <v>1098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 t="s">
        <v>1599</v>
      </c>
      <c r="ER80" s="9"/>
      <c r="ES80" s="9" t="s">
        <v>1599</v>
      </c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9"/>
      <c r="KZ80" s="9"/>
      <c r="LA80" s="9"/>
      <c r="LB80" s="9"/>
      <c r="LC80" s="9"/>
      <c r="LD80" s="9"/>
      <c r="LE80" s="9"/>
      <c r="LF80" s="9"/>
      <c r="LG80" s="9"/>
      <c r="LH80" s="9"/>
      <c r="LI80" s="9"/>
      <c r="LJ80" s="9"/>
      <c r="LK80" s="9"/>
      <c r="LL80" s="9"/>
      <c r="LM80" s="9"/>
      <c r="LN80" s="9"/>
      <c r="LO80" s="9"/>
      <c r="LP80" s="9"/>
      <c r="LQ80" s="9"/>
      <c r="LR80" s="9"/>
      <c r="LS80" s="9"/>
      <c r="LT80" s="9"/>
      <c r="LU80" s="9"/>
      <c r="LV80" s="9"/>
      <c r="LW80" s="9"/>
      <c r="LX80" s="9"/>
      <c r="LY80" s="9"/>
      <c r="LZ80" s="9"/>
      <c r="MA80" s="9"/>
      <c r="MB80" s="9"/>
      <c r="MC80" s="9"/>
      <c r="MD80" s="9"/>
      <c r="ME80" s="9"/>
      <c r="MF80" s="9"/>
      <c r="MG80" s="9"/>
      <c r="MH80" s="9"/>
      <c r="MI80" s="9"/>
      <c r="MJ80" s="9"/>
      <c r="MK80" s="9"/>
      <c r="ML80" s="9"/>
      <c r="MM80" s="9"/>
      <c r="MN80" s="9"/>
      <c r="MO80" s="9"/>
      <c r="MP80" s="9"/>
      <c r="MQ80" s="9"/>
      <c r="MR80" s="9"/>
      <c r="MS80" s="9"/>
      <c r="MT80" s="9"/>
      <c r="MU80" s="9"/>
      <c r="MV80" s="9"/>
      <c r="MW80" s="9"/>
      <c r="MX80" s="9"/>
      <c r="MY80" s="9"/>
      <c r="MZ80" s="9"/>
      <c r="NA80" s="9"/>
      <c r="NB80" s="9"/>
      <c r="NC80" s="9"/>
      <c r="ND80" s="9"/>
      <c r="NE80" s="9"/>
      <c r="NF80" s="9"/>
      <c r="NG80" s="9"/>
      <c r="NH80" s="9"/>
      <c r="NI80" s="9"/>
      <c r="NJ80" s="9"/>
      <c r="NK80" s="9"/>
      <c r="NL80" s="9"/>
      <c r="NM80" s="9"/>
      <c r="NN80" s="9"/>
      <c r="NO80" s="9"/>
      <c r="NP80" s="9"/>
      <c r="NQ80" s="9"/>
      <c r="NR80" s="9"/>
      <c r="NS80" s="9"/>
      <c r="NT80" s="9"/>
      <c r="NU80" s="9"/>
      <c r="NV80" s="9"/>
      <c r="NW80" s="9"/>
      <c r="NX80" s="9"/>
      <c r="NY80" s="9"/>
      <c r="NZ80" s="9"/>
      <c r="OA80" s="9"/>
      <c r="OB80" s="9"/>
      <c r="OC80" s="9"/>
      <c r="OD80" s="9"/>
      <c r="OE80" s="9"/>
      <c r="OF80" s="9"/>
      <c r="OG80" s="9"/>
      <c r="OH80" s="9"/>
      <c r="OI80" s="9"/>
      <c r="OJ80" s="9"/>
      <c r="OK80" s="9"/>
      <c r="OL80" s="9"/>
      <c r="OM80" s="9"/>
      <c r="ON80" s="9"/>
      <c r="OO80" s="9"/>
      <c r="OP80" s="9"/>
      <c r="OQ80" s="9"/>
      <c r="OR80" s="9"/>
      <c r="OS80" s="9"/>
      <c r="OT80" s="9"/>
      <c r="OU80" s="9"/>
      <c r="OV80" s="9"/>
      <c r="OW80" s="9"/>
      <c r="OX80" s="9"/>
      <c r="OY80" s="9"/>
      <c r="OZ80" s="9"/>
      <c r="PA80" s="9"/>
      <c r="PB80" s="9"/>
      <c r="PC80" s="9"/>
      <c r="PD80" s="9"/>
      <c r="PE80" s="9"/>
      <c r="PF80" s="9"/>
      <c r="PG80" s="9"/>
      <c r="PH80" s="9"/>
      <c r="PI80" s="9"/>
      <c r="PJ80" s="9"/>
      <c r="PK80" s="9"/>
      <c r="PL80" s="9"/>
      <c r="PM80" s="9"/>
      <c r="PN80" s="9"/>
      <c r="PO80" s="9"/>
      <c r="PP80" s="9"/>
      <c r="PQ80" s="9"/>
      <c r="PR80" s="9"/>
      <c r="PS80" s="9"/>
      <c r="PT80" s="9"/>
      <c r="PU80" s="9"/>
      <c r="PV80" s="9"/>
      <c r="PW80" s="9"/>
      <c r="PX80" s="9"/>
      <c r="PY80" s="9"/>
      <c r="PZ80" s="9"/>
      <c r="QA80" s="9"/>
      <c r="QB80" s="9"/>
      <c r="QC80" s="9"/>
      <c r="QD80" s="9"/>
      <c r="QE80" s="9"/>
      <c r="QF80" s="9"/>
      <c r="QG80" s="9"/>
      <c r="QH80" s="9"/>
      <c r="QI80" s="9"/>
      <c r="QJ80" s="9"/>
      <c r="QK80" s="9"/>
      <c r="QL80" s="9"/>
      <c r="QM80" s="9"/>
      <c r="QN80" s="9"/>
      <c r="QO80" s="9"/>
      <c r="QP80" s="9"/>
      <c r="QQ80" s="67"/>
      <c r="QR80" s="68"/>
      <c r="QS80" s="63"/>
      <c r="QT80" s="71"/>
    </row>
    <row r="81" spans="1:462" s="11" customFormat="1" x14ac:dyDescent="0.2">
      <c r="A81" s="9">
        <v>10</v>
      </c>
      <c r="B81" s="9"/>
      <c r="C81" s="9"/>
      <c r="D81" s="9" t="s">
        <v>404</v>
      </c>
      <c r="E81" s="65" t="s">
        <v>523</v>
      </c>
      <c r="F81" s="65"/>
      <c r="G81" s="91" t="s">
        <v>2299</v>
      </c>
      <c r="H81" s="66" t="s">
        <v>1596</v>
      </c>
      <c r="I81" s="9" t="s">
        <v>1098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 t="s">
        <v>1098</v>
      </c>
      <c r="EZ81" s="9"/>
      <c r="FA81" s="9" t="s">
        <v>1098</v>
      </c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9"/>
      <c r="KZ81" s="9"/>
      <c r="LA81" s="9"/>
      <c r="LB81" s="9"/>
      <c r="LC81" s="9"/>
      <c r="LD81" s="9"/>
      <c r="LE81" s="9"/>
      <c r="LF81" s="9"/>
      <c r="LG81" s="9"/>
      <c r="LH81" s="9"/>
      <c r="LI81" s="9"/>
      <c r="LJ81" s="9"/>
      <c r="LK81" s="9"/>
      <c r="LL81" s="9"/>
      <c r="LM81" s="9"/>
      <c r="LN81" s="9"/>
      <c r="LO81" s="9"/>
      <c r="LP81" s="9"/>
      <c r="LQ81" s="9"/>
      <c r="LR81" s="9"/>
      <c r="LS81" s="9"/>
      <c r="LT81" s="9"/>
      <c r="LU81" s="9"/>
      <c r="LV81" s="9"/>
      <c r="LW81" s="9"/>
      <c r="LX81" s="9"/>
      <c r="LY81" s="9"/>
      <c r="LZ81" s="9"/>
      <c r="MA81" s="9"/>
      <c r="MB81" s="9"/>
      <c r="MC81" s="9"/>
      <c r="MD81" s="9"/>
      <c r="ME81" s="9"/>
      <c r="MF81" s="9"/>
      <c r="MG81" s="9"/>
      <c r="MH81" s="9"/>
      <c r="MI81" s="9"/>
      <c r="MJ81" s="9"/>
      <c r="MK81" s="9"/>
      <c r="ML81" s="9"/>
      <c r="MM81" s="9"/>
      <c r="MN81" s="9"/>
      <c r="MO81" s="9"/>
      <c r="MP81" s="9"/>
      <c r="MQ81" s="9"/>
      <c r="MR81" s="9"/>
      <c r="MS81" s="9"/>
      <c r="MT81" s="9"/>
      <c r="MU81" s="9"/>
      <c r="MV81" s="9"/>
      <c r="MW81" s="9"/>
      <c r="MX81" s="9"/>
      <c r="MY81" s="9"/>
      <c r="MZ81" s="9"/>
      <c r="NA81" s="9"/>
      <c r="NB81" s="9"/>
      <c r="NC81" s="9"/>
      <c r="ND81" s="9"/>
      <c r="NE81" s="9"/>
      <c r="NF81" s="9"/>
      <c r="NG81" s="9"/>
      <c r="NH81" s="9"/>
      <c r="NI81" s="9"/>
      <c r="NJ81" s="9"/>
      <c r="NK81" s="9"/>
      <c r="NL81" s="9"/>
      <c r="NM81" s="9"/>
      <c r="NN81" s="9"/>
      <c r="NO81" s="9"/>
      <c r="NP81" s="9"/>
      <c r="NQ81" s="9"/>
      <c r="NR81" s="9"/>
      <c r="NS81" s="9"/>
      <c r="NT81" s="9"/>
      <c r="NU81" s="9"/>
      <c r="NV81" s="9"/>
      <c r="NW81" s="9"/>
      <c r="NX81" s="9"/>
      <c r="NY81" s="9"/>
      <c r="NZ81" s="9"/>
      <c r="OA81" s="9"/>
      <c r="OB81" s="9"/>
      <c r="OC81" s="9"/>
      <c r="OD81" s="9"/>
      <c r="OE81" s="9"/>
      <c r="OF81" s="9"/>
      <c r="OG81" s="9"/>
      <c r="OH81" s="9"/>
      <c r="OI81" s="9"/>
      <c r="OJ81" s="9"/>
      <c r="OK81" s="9"/>
      <c r="OL81" s="9"/>
      <c r="OM81" s="9"/>
      <c r="ON81" s="9"/>
      <c r="OO81" s="9"/>
      <c r="OP81" s="9"/>
      <c r="OQ81" s="9"/>
      <c r="OR81" s="9"/>
      <c r="OS81" s="9"/>
      <c r="OT81" s="9"/>
      <c r="OU81" s="9"/>
      <c r="OV81" s="9"/>
      <c r="OW81" s="9"/>
      <c r="OX81" s="9"/>
      <c r="OY81" s="9"/>
      <c r="OZ81" s="9"/>
      <c r="PA81" s="9"/>
      <c r="PB81" s="9"/>
      <c r="PC81" s="9"/>
      <c r="PD81" s="9"/>
      <c r="PE81" s="9"/>
      <c r="PF81" s="9"/>
      <c r="PG81" s="9"/>
      <c r="PH81" s="9"/>
      <c r="PI81" s="9"/>
      <c r="PJ81" s="9"/>
      <c r="PK81" s="9"/>
      <c r="PL81" s="9"/>
      <c r="PM81" s="9"/>
      <c r="PN81" s="9"/>
      <c r="PO81" s="9"/>
      <c r="PP81" s="9"/>
      <c r="PQ81" s="9"/>
      <c r="PR81" s="9"/>
      <c r="PS81" s="9"/>
      <c r="PT81" s="9"/>
      <c r="PU81" s="9"/>
      <c r="PV81" s="9"/>
      <c r="PW81" s="9"/>
      <c r="PX81" s="9"/>
      <c r="PY81" s="9"/>
      <c r="PZ81" s="9"/>
      <c r="QA81" s="9"/>
      <c r="QB81" s="9"/>
      <c r="QC81" s="9"/>
      <c r="QD81" s="9"/>
      <c r="QE81" s="9"/>
      <c r="QF81" s="9"/>
      <c r="QG81" s="9"/>
      <c r="QH81" s="9"/>
      <c r="QI81" s="9"/>
      <c r="QJ81" s="9"/>
      <c r="QK81" s="9"/>
      <c r="QL81" s="9"/>
      <c r="QM81" s="9"/>
      <c r="QN81" s="9"/>
      <c r="QO81" s="9"/>
      <c r="QP81" s="9"/>
      <c r="QQ81" s="67"/>
      <c r="QR81" s="68"/>
      <c r="QS81" s="63"/>
      <c r="QT81" s="71"/>
    </row>
    <row r="82" spans="1:462" s="11" customFormat="1" ht="26" x14ac:dyDescent="0.2">
      <c r="A82" s="9">
        <v>10</v>
      </c>
      <c r="B82" s="9"/>
      <c r="C82" s="9"/>
      <c r="D82" s="9" t="s">
        <v>405</v>
      </c>
      <c r="E82" s="65" t="s">
        <v>524</v>
      </c>
      <c r="F82" s="65"/>
      <c r="G82" s="92" t="s">
        <v>2304</v>
      </c>
      <c r="H82" s="66" t="s">
        <v>1600</v>
      </c>
      <c r="I82" s="9" t="s">
        <v>1098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 t="s">
        <v>1098</v>
      </c>
      <c r="EZ82" s="9"/>
      <c r="FA82" s="9" t="s">
        <v>1098</v>
      </c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  <c r="IW82" s="9"/>
      <c r="IX82" s="9"/>
      <c r="IY82" s="9"/>
      <c r="IZ82" s="9"/>
      <c r="JA82" s="9"/>
      <c r="JB82" s="9"/>
      <c r="JC82" s="9"/>
      <c r="JD82" s="9"/>
      <c r="JE82" s="9"/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  <c r="KM82" s="9"/>
      <c r="KN82" s="9"/>
      <c r="KO82" s="9"/>
      <c r="KP82" s="9"/>
      <c r="KQ82" s="9"/>
      <c r="KR82" s="9"/>
      <c r="KS82" s="9"/>
      <c r="KT82" s="9"/>
      <c r="KU82" s="9"/>
      <c r="KV82" s="9"/>
      <c r="KW82" s="9"/>
      <c r="KX82" s="9"/>
      <c r="KY82" s="9"/>
      <c r="KZ82" s="9"/>
      <c r="LA82" s="9"/>
      <c r="LB82" s="9"/>
      <c r="LC82" s="9"/>
      <c r="LD82" s="9"/>
      <c r="LE82" s="9"/>
      <c r="LF82" s="9"/>
      <c r="LG82" s="9"/>
      <c r="LH82" s="9"/>
      <c r="LI82" s="9"/>
      <c r="LJ82" s="9"/>
      <c r="LK82" s="9"/>
      <c r="LL82" s="9"/>
      <c r="LM82" s="9"/>
      <c r="LN82" s="9"/>
      <c r="LO82" s="9"/>
      <c r="LP82" s="9"/>
      <c r="LQ82" s="9"/>
      <c r="LR82" s="9"/>
      <c r="LS82" s="9"/>
      <c r="LT82" s="9"/>
      <c r="LU82" s="9"/>
      <c r="LV82" s="9"/>
      <c r="LW82" s="9"/>
      <c r="LX82" s="9"/>
      <c r="LY82" s="9"/>
      <c r="LZ82" s="9"/>
      <c r="MA82" s="9"/>
      <c r="MB82" s="9"/>
      <c r="MC82" s="9"/>
      <c r="MD82" s="9"/>
      <c r="ME82" s="9"/>
      <c r="MF82" s="9"/>
      <c r="MG82" s="9"/>
      <c r="MH82" s="9"/>
      <c r="MI82" s="9"/>
      <c r="MJ82" s="9"/>
      <c r="MK82" s="9"/>
      <c r="ML82" s="9"/>
      <c r="MM82" s="9"/>
      <c r="MN82" s="9"/>
      <c r="MO82" s="9"/>
      <c r="MP82" s="9"/>
      <c r="MQ82" s="9"/>
      <c r="MR82" s="9"/>
      <c r="MS82" s="9"/>
      <c r="MT82" s="9"/>
      <c r="MU82" s="9"/>
      <c r="MV82" s="9"/>
      <c r="MW82" s="9"/>
      <c r="MX82" s="9"/>
      <c r="MY82" s="9"/>
      <c r="MZ82" s="9"/>
      <c r="NA82" s="9"/>
      <c r="NB82" s="9"/>
      <c r="NC82" s="9"/>
      <c r="ND82" s="9"/>
      <c r="NE82" s="9"/>
      <c r="NF82" s="9"/>
      <c r="NG82" s="9"/>
      <c r="NH82" s="9"/>
      <c r="NI82" s="9"/>
      <c r="NJ82" s="9"/>
      <c r="NK82" s="9"/>
      <c r="NL82" s="9"/>
      <c r="NM82" s="9"/>
      <c r="NN82" s="9"/>
      <c r="NO82" s="9"/>
      <c r="NP82" s="9"/>
      <c r="NQ82" s="9"/>
      <c r="NR82" s="9"/>
      <c r="NS82" s="9"/>
      <c r="NT82" s="9"/>
      <c r="NU82" s="9"/>
      <c r="NV82" s="9"/>
      <c r="NW82" s="9"/>
      <c r="NX82" s="9"/>
      <c r="NY82" s="9"/>
      <c r="NZ82" s="9"/>
      <c r="OA82" s="9"/>
      <c r="OB82" s="9"/>
      <c r="OC82" s="9"/>
      <c r="OD82" s="9"/>
      <c r="OE82" s="9"/>
      <c r="OF82" s="9"/>
      <c r="OG82" s="9"/>
      <c r="OH82" s="9"/>
      <c r="OI82" s="9"/>
      <c r="OJ82" s="9"/>
      <c r="OK82" s="9"/>
      <c r="OL82" s="9"/>
      <c r="OM82" s="9"/>
      <c r="ON82" s="9"/>
      <c r="OO82" s="9"/>
      <c r="OP82" s="9"/>
      <c r="OQ82" s="9"/>
      <c r="OR82" s="9"/>
      <c r="OS82" s="9"/>
      <c r="OT82" s="9"/>
      <c r="OU82" s="9"/>
      <c r="OV82" s="9"/>
      <c r="OW82" s="9"/>
      <c r="OX82" s="9"/>
      <c r="OY82" s="9"/>
      <c r="OZ82" s="9"/>
      <c r="PA82" s="9"/>
      <c r="PB82" s="9"/>
      <c r="PC82" s="9"/>
      <c r="PD82" s="9"/>
      <c r="PE82" s="9"/>
      <c r="PF82" s="9"/>
      <c r="PG82" s="9"/>
      <c r="PH82" s="9"/>
      <c r="PI82" s="9"/>
      <c r="PJ82" s="9"/>
      <c r="PK82" s="9"/>
      <c r="PL82" s="9"/>
      <c r="PM82" s="9"/>
      <c r="PN82" s="9"/>
      <c r="PO82" s="9"/>
      <c r="PP82" s="9"/>
      <c r="PQ82" s="9"/>
      <c r="PR82" s="9"/>
      <c r="PS82" s="9"/>
      <c r="PT82" s="9"/>
      <c r="PU82" s="9"/>
      <c r="PV82" s="9"/>
      <c r="PW82" s="9"/>
      <c r="PX82" s="9"/>
      <c r="PY82" s="9"/>
      <c r="PZ82" s="9"/>
      <c r="QA82" s="9"/>
      <c r="QB82" s="9"/>
      <c r="QC82" s="9"/>
      <c r="QD82" s="9"/>
      <c r="QE82" s="9"/>
      <c r="QF82" s="9"/>
      <c r="QG82" s="9"/>
      <c r="QH82" s="9"/>
      <c r="QI82" s="9"/>
      <c r="QJ82" s="9"/>
      <c r="QK82" s="9"/>
      <c r="QL82" s="9"/>
      <c r="QM82" s="9"/>
      <c r="QN82" s="9"/>
      <c r="QO82" s="9"/>
      <c r="QP82" s="9"/>
      <c r="QQ82" s="67"/>
      <c r="QR82" s="68"/>
      <c r="QS82" s="63"/>
      <c r="QT82" s="71"/>
    </row>
    <row r="83" spans="1:462" s="11" customFormat="1" x14ac:dyDescent="0.2">
      <c r="A83" s="9">
        <v>10</v>
      </c>
      <c r="B83" s="9"/>
      <c r="C83" s="9"/>
      <c r="D83" s="9" t="s">
        <v>406</v>
      </c>
      <c r="E83" s="65" t="s">
        <v>47</v>
      </c>
      <c r="F83" s="65"/>
      <c r="G83" s="92" t="s">
        <v>2305</v>
      </c>
      <c r="H83" s="66" t="s">
        <v>1601</v>
      </c>
      <c r="I83" s="9" t="s">
        <v>1098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 t="s">
        <v>1098</v>
      </c>
      <c r="EZ83" s="9"/>
      <c r="FA83" s="9" t="s">
        <v>1098</v>
      </c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  <c r="LW83" s="9"/>
      <c r="LX83" s="9"/>
      <c r="LY83" s="9"/>
      <c r="LZ83" s="9"/>
      <c r="MA83" s="9"/>
      <c r="MB83" s="9"/>
      <c r="MC83" s="9"/>
      <c r="MD83" s="9"/>
      <c r="ME83" s="9"/>
      <c r="MF83" s="9"/>
      <c r="MG83" s="9"/>
      <c r="MH83" s="9"/>
      <c r="MI83" s="9"/>
      <c r="MJ83" s="9"/>
      <c r="MK83" s="9"/>
      <c r="ML83" s="9"/>
      <c r="MM83" s="9"/>
      <c r="MN83" s="9"/>
      <c r="MO83" s="9"/>
      <c r="MP83" s="9"/>
      <c r="MQ83" s="9"/>
      <c r="MR83" s="9"/>
      <c r="MS83" s="9"/>
      <c r="MT83" s="9"/>
      <c r="MU83" s="9"/>
      <c r="MV83" s="9"/>
      <c r="MW83" s="9"/>
      <c r="MX83" s="9"/>
      <c r="MY83" s="9"/>
      <c r="MZ83" s="9"/>
      <c r="NA83" s="9"/>
      <c r="NB83" s="9"/>
      <c r="NC83" s="9"/>
      <c r="ND83" s="9"/>
      <c r="NE83" s="9"/>
      <c r="NF83" s="9"/>
      <c r="NG83" s="9"/>
      <c r="NH83" s="9"/>
      <c r="NI83" s="9"/>
      <c r="NJ83" s="9"/>
      <c r="NK83" s="9"/>
      <c r="NL83" s="9"/>
      <c r="NM83" s="9"/>
      <c r="NN83" s="9"/>
      <c r="NO83" s="9"/>
      <c r="NP83" s="9"/>
      <c r="NQ83" s="9"/>
      <c r="NR83" s="9"/>
      <c r="NS83" s="9"/>
      <c r="NT83" s="9"/>
      <c r="NU83" s="9"/>
      <c r="NV83" s="9"/>
      <c r="NW83" s="9"/>
      <c r="NX83" s="9"/>
      <c r="NY83" s="9"/>
      <c r="NZ83" s="9"/>
      <c r="OA83" s="9"/>
      <c r="OB83" s="9"/>
      <c r="OC83" s="9"/>
      <c r="OD83" s="9"/>
      <c r="OE83" s="9"/>
      <c r="OF83" s="9"/>
      <c r="OG83" s="9"/>
      <c r="OH83" s="9"/>
      <c r="OI83" s="9"/>
      <c r="OJ83" s="9"/>
      <c r="OK83" s="9"/>
      <c r="OL83" s="9"/>
      <c r="OM83" s="9"/>
      <c r="ON83" s="9"/>
      <c r="OO83" s="9"/>
      <c r="OP83" s="9"/>
      <c r="OQ83" s="9"/>
      <c r="OR83" s="9"/>
      <c r="OS83" s="9"/>
      <c r="OT83" s="9"/>
      <c r="OU83" s="9"/>
      <c r="OV83" s="9"/>
      <c r="OW83" s="9"/>
      <c r="OX83" s="9"/>
      <c r="OY83" s="9"/>
      <c r="OZ83" s="9"/>
      <c r="PA83" s="9"/>
      <c r="PB83" s="9"/>
      <c r="PC83" s="9"/>
      <c r="PD83" s="9"/>
      <c r="PE83" s="9"/>
      <c r="PF83" s="9"/>
      <c r="PG83" s="9"/>
      <c r="PH83" s="9"/>
      <c r="PI83" s="9"/>
      <c r="PJ83" s="9"/>
      <c r="PK83" s="9"/>
      <c r="PL83" s="9"/>
      <c r="PM83" s="9"/>
      <c r="PN83" s="9"/>
      <c r="PO83" s="9"/>
      <c r="PP83" s="9"/>
      <c r="PQ83" s="9"/>
      <c r="PR83" s="9"/>
      <c r="PS83" s="9"/>
      <c r="PT83" s="9"/>
      <c r="PU83" s="9"/>
      <c r="PV83" s="9"/>
      <c r="PW83" s="9"/>
      <c r="PX83" s="9"/>
      <c r="PY83" s="9"/>
      <c r="PZ83" s="9"/>
      <c r="QA83" s="9"/>
      <c r="QB83" s="9"/>
      <c r="QC83" s="9"/>
      <c r="QD83" s="9"/>
      <c r="QE83" s="9"/>
      <c r="QF83" s="9"/>
      <c r="QG83" s="9"/>
      <c r="QH83" s="9"/>
      <c r="QI83" s="9"/>
      <c r="QJ83" s="9"/>
      <c r="QK83" s="9"/>
      <c r="QL83" s="9"/>
      <c r="QM83" s="9"/>
      <c r="QN83" s="9"/>
      <c r="QO83" s="9"/>
      <c r="QP83" s="9"/>
      <c r="QQ83" s="67"/>
      <c r="QR83" s="68"/>
      <c r="QS83" s="63"/>
      <c r="QT83" s="71"/>
    </row>
    <row r="84" spans="1:462" s="11" customFormat="1" ht="26" x14ac:dyDescent="0.2">
      <c r="A84" s="9">
        <v>10</v>
      </c>
      <c r="B84" s="9"/>
      <c r="C84" s="9"/>
      <c r="D84" s="9" t="s">
        <v>766</v>
      </c>
      <c r="E84" s="65" t="s">
        <v>770</v>
      </c>
      <c r="F84" s="65"/>
      <c r="G84" s="91" t="s">
        <v>2302</v>
      </c>
      <c r="H84" s="66" t="s">
        <v>1598</v>
      </c>
      <c r="I84" s="9" t="s">
        <v>1098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 t="s">
        <v>1599</v>
      </c>
      <c r="EZ84" s="9"/>
      <c r="FA84" s="9" t="s">
        <v>1599</v>
      </c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9"/>
      <c r="KZ84" s="9"/>
      <c r="LA84" s="9"/>
      <c r="LB84" s="9"/>
      <c r="LC84" s="9"/>
      <c r="LD84" s="9"/>
      <c r="LE84" s="9"/>
      <c r="LF84" s="9"/>
      <c r="LG84" s="9"/>
      <c r="LH84" s="9"/>
      <c r="LI84" s="9"/>
      <c r="LJ84" s="9"/>
      <c r="LK84" s="9"/>
      <c r="LL84" s="9"/>
      <c r="LM84" s="9"/>
      <c r="LN84" s="9"/>
      <c r="LO84" s="9"/>
      <c r="LP84" s="9"/>
      <c r="LQ84" s="9"/>
      <c r="LR84" s="9"/>
      <c r="LS84" s="9"/>
      <c r="LT84" s="9"/>
      <c r="LU84" s="9"/>
      <c r="LV84" s="9"/>
      <c r="LW84" s="9"/>
      <c r="LX84" s="9"/>
      <c r="LY84" s="9"/>
      <c r="LZ84" s="9"/>
      <c r="MA84" s="9"/>
      <c r="MB84" s="9"/>
      <c r="MC84" s="9"/>
      <c r="MD84" s="9"/>
      <c r="ME84" s="9"/>
      <c r="MF84" s="9"/>
      <c r="MG84" s="9"/>
      <c r="MH84" s="9"/>
      <c r="MI84" s="9"/>
      <c r="MJ84" s="9"/>
      <c r="MK84" s="9"/>
      <c r="ML84" s="9"/>
      <c r="MM84" s="9"/>
      <c r="MN84" s="9"/>
      <c r="MO84" s="9"/>
      <c r="MP84" s="9"/>
      <c r="MQ84" s="9"/>
      <c r="MR84" s="9"/>
      <c r="MS84" s="9"/>
      <c r="MT84" s="9"/>
      <c r="MU84" s="9"/>
      <c r="MV84" s="9"/>
      <c r="MW84" s="9"/>
      <c r="MX84" s="9"/>
      <c r="MY84" s="9"/>
      <c r="MZ84" s="9"/>
      <c r="NA84" s="9"/>
      <c r="NB84" s="9"/>
      <c r="NC84" s="9"/>
      <c r="ND84" s="9"/>
      <c r="NE84" s="9"/>
      <c r="NF84" s="9"/>
      <c r="NG84" s="9"/>
      <c r="NH84" s="9"/>
      <c r="NI84" s="9"/>
      <c r="NJ84" s="9"/>
      <c r="NK84" s="9"/>
      <c r="NL84" s="9"/>
      <c r="NM84" s="9"/>
      <c r="NN84" s="9"/>
      <c r="NO84" s="9"/>
      <c r="NP84" s="9"/>
      <c r="NQ84" s="9"/>
      <c r="NR84" s="9"/>
      <c r="NS84" s="9"/>
      <c r="NT84" s="9"/>
      <c r="NU84" s="9"/>
      <c r="NV84" s="9"/>
      <c r="NW84" s="9"/>
      <c r="NX84" s="9"/>
      <c r="NY84" s="9"/>
      <c r="NZ84" s="9"/>
      <c r="OA84" s="9"/>
      <c r="OB84" s="9"/>
      <c r="OC84" s="9"/>
      <c r="OD84" s="9"/>
      <c r="OE84" s="9"/>
      <c r="OF84" s="9"/>
      <c r="OG84" s="9"/>
      <c r="OH84" s="9"/>
      <c r="OI84" s="9"/>
      <c r="OJ84" s="9"/>
      <c r="OK84" s="9"/>
      <c r="OL84" s="9"/>
      <c r="OM84" s="9"/>
      <c r="ON84" s="9"/>
      <c r="OO84" s="9"/>
      <c r="OP84" s="9"/>
      <c r="OQ84" s="9"/>
      <c r="OR84" s="9"/>
      <c r="OS84" s="9"/>
      <c r="OT84" s="9"/>
      <c r="OU84" s="9"/>
      <c r="OV84" s="9"/>
      <c r="OW84" s="9"/>
      <c r="OX84" s="9"/>
      <c r="OY84" s="9"/>
      <c r="OZ84" s="9"/>
      <c r="PA84" s="9"/>
      <c r="PB84" s="9"/>
      <c r="PC84" s="9"/>
      <c r="PD84" s="9"/>
      <c r="PE84" s="9"/>
      <c r="PF84" s="9"/>
      <c r="PG84" s="9"/>
      <c r="PH84" s="9"/>
      <c r="PI84" s="9"/>
      <c r="PJ84" s="9"/>
      <c r="PK84" s="9"/>
      <c r="PL84" s="9"/>
      <c r="PM84" s="9"/>
      <c r="PN84" s="9"/>
      <c r="PO84" s="9"/>
      <c r="PP84" s="9"/>
      <c r="PQ84" s="9"/>
      <c r="PR84" s="9"/>
      <c r="PS84" s="9"/>
      <c r="PT84" s="9"/>
      <c r="PU84" s="9"/>
      <c r="PV84" s="9"/>
      <c r="PW84" s="9"/>
      <c r="PX84" s="9"/>
      <c r="PY84" s="9"/>
      <c r="PZ84" s="9"/>
      <c r="QA84" s="9"/>
      <c r="QB84" s="9"/>
      <c r="QC84" s="9"/>
      <c r="QD84" s="9"/>
      <c r="QE84" s="9"/>
      <c r="QF84" s="9"/>
      <c r="QG84" s="9"/>
      <c r="QH84" s="9"/>
      <c r="QI84" s="9"/>
      <c r="QJ84" s="9"/>
      <c r="QK84" s="9"/>
      <c r="QL84" s="9"/>
      <c r="QM84" s="9"/>
      <c r="QN84" s="9"/>
      <c r="QO84" s="9"/>
      <c r="QP84" s="9"/>
      <c r="QQ84" s="67"/>
      <c r="QR84" s="68"/>
      <c r="QS84" s="63"/>
      <c r="QT84" s="71"/>
    </row>
    <row r="85" spans="1:462" s="11" customFormat="1" x14ac:dyDescent="0.2">
      <c r="A85" s="9">
        <v>10</v>
      </c>
      <c r="B85" s="9"/>
      <c r="C85" s="9"/>
      <c r="D85" s="9" t="s">
        <v>407</v>
      </c>
      <c r="E85" s="65" t="s">
        <v>47</v>
      </c>
      <c r="F85" s="65"/>
      <c r="G85" s="92" t="s">
        <v>2306</v>
      </c>
      <c r="H85" s="66" t="s">
        <v>1602</v>
      </c>
      <c r="I85" s="9" t="s">
        <v>1098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 t="s">
        <v>1098</v>
      </c>
      <c r="EZ85" s="9"/>
      <c r="FA85" s="9" t="s">
        <v>1098</v>
      </c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  <c r="KM85" s="9"/>
      <c r="KN85" s="9"/>
      <c r="KO85" s="9"/>
      <c r="KP85" s="9"/>
      <c r="KQ85" s="9"/>
      <c r="KR85" s="9"/>
      <c r="KS85" s="9"/>
      <c r="KT85" s="9"/>
      <c r="KU85" s="9"/>
      <c r="KV85" s="9"/>
      <c r="KW85" s="9"/>
      <c r="KX85" s="9"/>
      <c r="KY85" s="9"/>
      <c r="KZ85" s="9"/>
      <c r="LA85" s="9"/>
      <c r="LB85" s="9"/>
      <c r="LC85" s="9"/>
      <c r="LD85" s="9"/>
      <c r="LE85" s="9"/>
      <c r="LF85" s="9"/>
      <c r="LG85" s="9"/>
      <c r="LH85" s="9"/>
      <c r="LI85" s="9"/>
      <c r="LJ85" s="9"/>
      <c r="LK85" s="9"/>
      <c r="LL85" s="9"/>
      <c r="LM85" s="9"/>
      <c r="LN85" s="9"/>
      <c r="LO85" s="9"/>
      <c r="LP85" s="9"/>
      <c r="LQ85" s="9"/>
      <c r="LR85" s="9"/>
      <c r="LS85" s="9"/>
      <c r="LT85" s="9"/>
      <c r="LU85" s="9"/>
      <c r="LV85" s="9"/>
      <c r="LW85" s="9"/>
      <c r="LX85" s="9"/>
      <c r="LY85" s="9"/>
      <c r="LZ85" s="9"/>
      <c r="MA85" s="9"/>
      <c r="MB85" s="9"/>
      <c r="MC85" s="9"/>
      <c r="MD85" s="9"/>
      <c r="ME85" s="9"/>
      <c r="MF85" s="9"/>
      <c r="MG85" s="9"/>
      <c r="MH85" s="9"/>
      <c r="MI85" s="9"/>
      <c r="MJ85" s="9"/>
      <c r="MK85" s="9"/>
      <c r="ML85" s="9"/>
      <c r="MM85" s="9"/>
      <c r="MN85" s="9"/>
      <c r="MO85" s="9"/>
      <c r="MP85" s="9"/>
      <c r="MQ85" s="9"/>
      <c r="MR85" s="9"/>
      <c r="MS85" s="9"/>
      <c r="MT85" s="9"/>
      <c r="MU85" s="9"/>
      <c r="MV85" s="9"/>
      <c r="MW85" s="9"/>
      <c r="MX85" s="9"/>
      <c r="MY85" s="9"/>
      <c r="MZ85" s="9"/>
      <c r="NA85" s="9"/>
      <c r="NB85" s="9"/>
      <c r="NC85" s="9"/>
      <c r="ND85" s="9"/>
      <c r="NE85" s="9"/>
      <c r="NF85" s="9"/>
      <c r="NG85" s="9"/>
      <c r="NH85" s="9"/>
      <c r="NI85" s="9"/>
      <c r="NJ85" s="9"/>
      <c r="NK85" s="9"/>
      <c r="NL85" s="9"/>
      <c r="NM85" s="9"/>
      <c r="NN85" s="9"/>
      <c r="NO85" s="9"/>
      <c r="NP85" s="9"/>
      <c r="NQ85" s="9"/>
      <c r="NR85" s="9"/>
      <c r="NS85" s="9"/>
      <c r="NT85" s="9"/>
      <c r="NU85" s="9"/>
      <c r="NV85" s="9"/>
      <c r="NW85" s="9"/>
      <c r="NX85" s="9"/>
      <c r="NY85" s="9"/>
      <c r="NZ85" s="9"/>
      <c r="OA85" s="9"/>
      <c r="OB85" s="9"/>
      <c r="OC85" s="9"/>
      <c r="OD85" s="9"/>
      <c r="OE85" s="9"/>
      <c r="OF85" s="9"/>
      <c r="OG85" s="9"/>
      <c r="OH85" s="9"/>
      <c r="OI85" s="9"/>
      <c r="OJ85" s="9"/>
      <c r="OK85" s="9"/>
      <c r="OL85" s="9"/>
      <c r="OM85" s="9"/>
      <c r="ON85" s="9"/>
      <c r="OO85" s="9"/>
      <c r="OP85" s="9"/>
      <c r="OQ85" s="9"/>
      <c r="OR85" s="9"/>
      <c r="OS85" s="9"/>
      <c r="OT85" s="9"/>
      <c r="OU85" s="9"/>
      <c r="OV85" s="9"/>
      <c r="OW85" s="9"/>
      <c r="OX85" s="9"/>
      <c r="OY85" s="9"/>
      <c r="OZ85" s="9"/>
      <c r="PA85" s="9"/>
      <c r="PB85" s="9"/>
      <c r="PC85" s="9"/>
      <c r="PD85" s="9"/>
      <c r="PE85" s="9"/>
      <c r="PF85" s="9"/>
      <c r="PG85" s="9"/>
      <c r="PH85" s="9"/>
      <c r="PI85" s="9"/>
      <c r="PJ85" s="9"/>
      <c r="PK85" s="9"/>
      <c r="PL85" s="9"/>
      <c r="PM85" s="9"/>
      <c r="PN85" s="9"/>
      <c r="PO85" s="9"/>
      <c r="PP85" s="9"/>
      <c r="PQ85" s="9"/>
      <c r="PR85" s="9"/>
      <c r="PS85" s="9"/>
      <c r="PT85" s="9"/>
      <c r="PU85" s="9"/>
      <c r="PV85" s="9"/>
      <c r="PW85" s="9"/>
      <c r="PX85" s="9"/>
      <c r="PY85" s="9"/>
      <c r="PZ85" s="9"/>
      <c r="QA85" s="9"/>
      <c r="QB85" s="9"/>
      <c r="QC85" s="9"/>
      <c r="QD85" s="9"/>
      <c r="QE85" s="9"/>
      <c r="QF85" s="9"/>
      <c r="QG85" s="9"/>
      <c r="QH85" s="9"/>
      <c r="QI85" s="9"/>
      <c r="QJ85" s="9"/>
      <c r="QK85" s="9"/>
      <c r="QL85" s="9"/>
      <c r="QM85" s="9"/>
      <c r="QN85" s="9"/>
      <c r="QO85" s="9"/>
      <c r="QP85" s="9"/>
      <c r="QQ85" s="67"/>
      <c r="QR85" s="68"/>
      <c r="QS85" s="63"/>
      <c r="QT85" s="71"/>
    </row>
    <row r="86" spans="1:462" s="11" customFormat="1" x14ac:dyDescent="0.2">
      <c r="A86" s="9">
        <v>10</v>
      </c>
      <c r="B86" s="9"/>
      <c r="C86" s="9"/>
      <c r="D86" s="9" t="s">
        <v>408</v>
      </c>
      <c r="E86" s="65" t="s">
        <v>47</v>
      </c>
      <c r="F86" s="65"/>
      <c r="G86" s="92" t="s">
        <v>2307</v>
      </c>
      <c r="H86" s="66" t="s">
        <v>1603</v>
      </c>
      <c r="I86" s="9" t="s">
        <v>1098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 t="s">
        <v>1098</v>
      </c>
      <c r="EZ86" s="9"/>
      <c r="FA86" s="9" t="s">
        <v>1098</v>
      </c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9"/>
      <c r="KZ86" s="9"/>
      <c r="LA86" s="9"/>
      <c r="LB86" s="9"/>
      <c r="LC86" s="9"/>
      <c r="LD86" s="9"/>
      <c r="LE86" s="9"/>
      <c r="LF86" s="9"/>
      <c r="LG86" s="9"/>
      <c r="LH86" s="9"/>
      <c r="LI86" s="9"/>
      <c r="LJ86" s="9"/>
      <c r="LK86" s="9"/>
      <c r="LL86" s="9"/>
      <c r="LM86" s="9"/>
      <c r="LN86" s="9"/>
      <c r="LO86" s="9"/>
      <c r="LP86" s="9"/>
      <c r="LQ86" s="9"/>
      <c r="LR86" s="9"/>
      <c r="LS86" s="9"/>
      <c r="LT86" s="9"/>
      <c r="LU86" s="9"/>
      <c r="LV86" s="9"/>
      <c r="LW86" s="9"/>
      <c r="LX86" s="9"/>
      <c r="LY86" s="9"/>
      <c r="LZ86" s="9"/>
      <c r="MA86" s="9"/>
      <c r="MB86" s="9"/>
      <c r="MC86" s="9"/>
      <c r="MD86" s="9"/>
      <c r="ME86" s="9"/>
      <c r="MF86" s="9"/>
      <c r="MG86" s="9"/>
      <c r="MH86" s="9"/>
      <c r="MI86" s="9"/>
      <c r="MJ86" s="9"/>
      <c r="MK86" s="9"/>
      <c r="ML86" s="9"/>
      <c r="MM86" s="9"/>
      <c r="MN86" s="9"/>
      <c r="MO86" s="9"/>
      <c r="MP86" s="9"/>
      <c r="MQ86" s="9"/>
      <c r="MR86" s="9"/>
      <c r="MS86" s="9"/>
      <c r="MT86" s="9"/>
      <c r="MU86" s="9"/>
      <c r="MV86" s="9"/>
      <c r="MW86" s="9"/>
      <c r="MX86" s="9"/>
      <c r="MY86" s="9"/>
      <c r="MZ86" s="9"/>
      <c r="NA86" s="9"/>
      <c r="NB86" s="9"/>
      <c r="NC86" s="9"/>
      <c r="ND86" s="9"/>
      <c r="NE86" s="9"/>
      <c r="NF86" s="9"/>
      <c r="NG86" s="9"/>
      <c r="NH86" s="9"/>
      <c r="NI86" s="9"/>
      <c r="NJ86" s="9"/>
      <c r="NK86" s="9"/>
      <c r="NL86" s="9"/>
      <c r="NM86" s="9"/>
      <c r="NN86" s="9"/>
      <c r="NO86" s="9"/>
      <c r="NP86" s="9"/>
      <c r="NQ86" s="9"/>
      <c r="NR86" s="9"/>
      <c r="NS86" s="9"/>
      <c r="NT86" s="9"/>
      <c r="NU86" s="9"/>
      <c r="NV86" s="9"/>
      <c r="NW86" s="9"/>
      <c r="NX86" s="9"/>
      <c r="NY86" s="9"/>
      <c r="NZ86" s="9"/>
      <c r="OA86" s="9"/>
      <c r="OB86" s="9"/>
      <c r="OC86" s="9"/>
      <c r="OD86" s="9"/>
      <c r="OE86" s="9"/>
      <c r="OF86" s="9"/>
      <c r="OG86" s="9"/>
      <c r="OH86" s="9"/>
      <c r="OI86" s="9"/>
      <c r="OJ86" s="9"/>
      <c r="OK86" s="9"/>
      <c r="OL86" s="9"/>
      <c r="OM86" s="9"/>
      <c r="ON86" s="9"/>
      <c r="OO86" s="9"/>
      <c r="OP86" s="9"/>
      <c r="OQ86" s="9"/>
      <c r="OR86" s="9"/>
      <c r="OS86" s="9"/>
      <c r="OT86" s="9"/>
      <c r="OU86" s="9"/>
      <c r="OV86" s="9"/>
      <c r="OW86" s="9"/>
      <c r="OX86" s="9"/>
      <c r="OY86" s="9"/>
      <c r="OZ86" s="9"/>
      <c r="PA86" s="9"/>
      <c r="PB86" s="9"/>
      <c r="PC86" s="9"/>
      <c r="PD86" s="9"/>
      <c r="PE86" s="9"/>
      <c r="PF86" s="9"/>
      <c r="PG86" s="9"/>
      <c r="PH86" s="9"/>
      <c r="PI86" s="9"/>
      <c r="PJ86" s="9"/>
      <c r="PK86" s="9"/>
      <c r="PL86" s="9"/>
      <c r="PM86" s="9"/>
      <c r="PN86" s="9"/>
      <c r="PO86" s="9"/>
      <c r="PP86" s="9"/>
      <c r="PQ86" s="9"/>
      <c r="PR86" s="9"/>
      <c r="PS86" s="9"/>
      <c r="PT86" s="9"/>
      <c r="PU86" s="9"/>
      <c r="PV86" s="9"/>
      <c r="PW86" s="9"/>
      <c r="PX86" s="9"/>
      <c r="PY86" s="9"/>
      <c r="PZ86" s="9"/>
      <c r="QA86" s="9"/>
      <c r="QB86" s="9"/>
      <c r="QC86" s="9"/>
      <c r="QD86" s="9"/>
      <c r="QE86" s="9"/>
      <c r="QF86" s="9"/>
      <c r="QG86" s="9"/>
      <c r="QH86" s="9"/>
      <c r="QI86" s="9"/>
      <c r="QJ86" s="9"/>
      <c r="QK86" s="9"/>
      <c r="QL86" s="9"/>
      <c r="QM86" s="9"/>
      <c r="QN86" s="9"/>
      <c r="QO86" s="9"/>
      <c r="QP86" s="9"/>
      <c r="QQ86" s="67"/>
      <c r="QR86" s="68"/>
      <c r="QS86" s="63"/>
      <c r="QT86" s="71"/>
    </row>
    <row r="87" spans="1:462" s="11" customFormat="1" x14ac:dyDescent="0.2">
      <c r="A87" s="9">
        <v>10</v>
      </c>
      <c r="B87" s="9"/>
      <c r="C87" s="9"/>
      <c r="D87" s="9" t="s">
        <v>409</v>
      </c>
      <c r="E87" s="65" t="s">
        <v>47</v>
      </c>
      <c r="F87" s="65"/>
      <c r="G87" s="92" t="s">
        <v>2308</v>
      </c>
      <c r="H87" s="66" t="s">
        <v>1604</v>
      </c>
      <c r="I87" s="9" t="s">
        <v>1098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 t="s">
        <v>1098</v>
      </c>
      <c r="EZ87" s="9"/>
      <c r="FA87" s="9" t="s">
        <v>1098</v>
      </c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  <c r="KO87" s="9"/>
      <c r="KP87" s="9"/>
      <c r="KQ87" s="9"/>
      <c r="KR87" s="9"/>
      <c r="KS87" s="9"/>
      <c r="KT87" s="9"/>
      <c r="KU87" s="9"/>
      <c r="KV87" s="9"/>
      <c r="KW87" s="9"/>
      <c r="KX87" s="9"/>
      <c r="KY87" s="9"/>
      <c r="KZ87" s="9"/>
      <c r="LA87" s="9"/>
      <c r="LB87" s="9"/>
      <c r="LC87" s="9"/>
      <c r="LD87" s="9"/>
      <c r="LE87" s="9"/>
      <c r="LF87" s="9"/>
      <c r="LG87" s="9"/>
      <c r="LH87" s="9"/>
      <c r="LI87" s="9"/>
      <c r="LJ87" s="9"/>
      <c r="LK87" s="9"/>
      <c r="LL87" s="9"/>
      <c r="LM87" s="9"/>
      <c r="LN87" s="9"/>
      <c r="LO87" s="9"/>
      <c r="LP87" s="9"/>
      <c r="LQ87" s="9"/>
      <c r="LR87" s="9"/>
      <c r="LS87" s="9"/>
      <c r="LT87" s="9"/>
      <c r="LU87" s="9"/>
      <c r="LV87" s="9"/>
      <c r="LW87" s="9"/>
      <c r="LX87" s="9"/>
      <c r="LY87" s="9"/>
      <c r="LZ87" s="9"/>
      <c r="MA87" s="9"/>
      <c r="MB87" s="9"/>
      <c r="MC87" s="9"/>
      <c r="MD87" s="9"/>
      <c r="ME87" s="9"/>
      <c r="MF87" s="9"/>
      <c r="MG87" s="9"/>
      <c r="MH87" s="9"/>
      <c r="MI87" s="9"/>
      <c r="MJ87" s="9"/>
      <c r="MK87" s="9"/>
      <c r="ML87" s="9"/>
      <c r="MM87" s="9"/>
      <c r="MN87" s="9"/>
      <c r="MO87" s="9"/>
      <c r="MP87" s="9"/>
      <c r="MQ87" s="9"/>
      <c r="MR87" s="9"/>
      <c r="MS87" s="9"/>
      <c r="MT87" s="9"/>
      <c r="MU87" s="9"/>
      <c r="MV87" s="9"/>
      <c r="MW87" s="9"/>
      <c r="MX87" s="9"/>
      <c r="MY87" s="9"/>
      <c r="MZ87" s="9"/>
      <c r="NA87" s="9"/>
      <c r="NB87" s="9"/>
      <c r="NC87" s="9"/>
      <c r="ND87" s="9"/>
      <c r="NE87" s="9"/>
      <c r="NF87" s="9"/>
      <c r="NG87" s="9"/>
      <c r="NH87" s="9"/>
      <c r="NI87" s="9"/>
      <c r="NJ87" s="9"/>
      <c r="NK87" s="9"/>
      <c r="NL87" s="9"/>
      <c r="NM87" s="9"/>
      <c r="NN87" s="9"/>
      <c r="NO87" s="9"/>
      <c r="NP87" s="9"/>
      <c r="NQ87" s="9"/>
      <c r="NR87" s="9"/>
      <c r="NS87" s="9"/>
      <c r="NT87" s="9"/>
      <c r="NU87" s="9"/>
      <c r="NV87" s="9"/>
      <c r="NW87" s="9"/>
      <c r="NX87" s="9"/>
      <c r="NY87" s="9"/>
      <c r="NZ87" s="9"/>
      <c r="OA87" s="9"/>
      <c r="OB87" s="9"/>
      <c r="OC87" s="9"/>
      <c r="OD87" s="9"/>
      <c r="OE87" s="9"/>
      <c r="OF87" s="9"/>
      <c r="OG87" s="9"/>
      <c r="OH87" s="9"/>
      <c r="OI87" s="9"/>
      <c r="OJ87" s="9"/>
      <c r="OK87" s="9"/>
      <c r="OL87" s="9"/>
      <c r="OM87" s="9"/>
      <c r="ON87" s="9"/>
      <c r="OO87" s="9"/>
      <c r="OP87" s="9"/>
      <c r="OQ87" s="9"/>
      <c r="OR87" s="9"/>
      <c r="OS87" s="9"/>
      <c r="OT87" s="9"/>
      <c r="OU87" s="9"/>
      <c r="OV87" s="9"/>
      <c r="OW87" s="9"/>
      <c r="OX87" s="9"/>
      <c r="OY87" s="9"/>
      <c r="OZ87" s="9"/>
      <c r="PA87" s="9"/>
      <c r="PB87" s="9"/>
      <c r="PC87" s="9"/>
      <c r="PD87" s="9"/>
      <c r="PE87" s="9"/>
      <c r="PF87" s="9"/>
      <c r="PG87" s="9"/>
      <c r="PH87" s="9"/>
      <c r="PI87" s="9"/>
      <c r="PJ87" s="9"/>
      <c r="PK87" s="9"/>
      <c r="PL87" s="9"/>
      <c r="PM87" s="9"/>
      <c r="PN87" s="9"/>
      <c r="PO87" s="9"/>
      <c r="PP87" s="9"/>
      <c r="PQ87" s="9"/>
      <c r="PR87" s="9"/>
      <c r="PS87" s="9"/>
      <c r="PT87" s="9"/>
      <c r="PU87" s="9"/>
      <c r="PV87" s="9"/>
      <c r="PW87" s="9"/>
      <c r="PX87" s="9"/>
      <c r="PY87" s="9"/>
      <c r="PZ87" s="9"/>
      <c r="QA87" s="9"/>
      <c r="QB87" s="9"/>
      <c r="QC87" s="9"/>
      <c r="QD87" s="9"/>
      <c r="QE87" s="9"/>
      <c r="QF87" s="9"/>
      <c r="QG87" s="9"/>
      <c r="QH87" s="9"/>
      <c r="QI87" s="9"/>
      <c r="QJ87" s="9"/>
      <c r="QK87" s="9"/>
      <c r="QL87" s="9"/>
      <c r="QM87" s="9"/>
      <c r="QN87" s="9"/>
      <c r="QO87" s="9"/>
      <c r="QP87" s="9"/>
      <c r="QQ87" s="67"/>
      <c r="QR87" s="68"/>
      <c r="QS87" s="63"/>
      <c r="QT87" s="71"/>
    </row>
    <row r="88" spans="1:462" s="11" customFormat="1" x14ac:dyDescent="0.2">
      <c r="A88" s="9">
        <v>10</v>
      </c>
      <c r="B88" s="9"/>
      <c r="C88" s="9"/>
      <c r="D88" s="9" t="s">
        <v>2034</v>
      </c>
      <c r="E88" s="65" t="s">
        <v>47</v>
      </c>
      <c r="F88" s="65"/>
      <c r="G88" s="92" t="s">
        <v>2309</v>
      </c>
      <c r="H88" s="66" t="s">
        <v>2033</v>
      </c>
      <c r="I88" s="9" t="s">
        <v>1041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 t="s">
        <v>1041</v>
      </c>
      <c r="EZ88" s="9"/>
      <c r="FA88" s="9" t="s">
        <v>1041</v>
      </c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  <c r="IX88" s="9"/>
      <c r="IY88" s="9"/>
      <c r="IZ88" s="9"/>
      <c r="JA88" s="9"/>
      <c r="JB88" s="9"/>
      <c r="JC88" s="9"/>
      <c r="JD88" s="9"/>
      <c r="JE88" s="9"/>
      <c r="JF88" s="9"/>
      <c r="JG88" s="9"/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  <c r="KM88" s="9"/>
      <c r="KN88" s="9"/>
      <c r="KO88" s="9"/>
      <c r="KP88" s="9"/>
      <c r="KQ88" s="9"/>
      <c r="KR88" s="9"/>
      <c r="KS88" s="9"/>
      <c r="KT88" s="9"/>
      <c r="KU88" s="9"/>
      <c r="KV88" s="9"/>
      <c r="KW88" s="9"/>
      <c r="KX88" s="9"/>
      <c r="KY88" s="9"/>
      <c r="KZ88" s="9"/>
      <c r="LA88" s="9"/>
      <c r="LB88" s="9"/>
      <c r="LC88" s="9"/>
      <c r="LD88" s="9"/>
      <c r="LE88" s="9"/>
      <c r="LF88" s="9"/>
      <c r="LG88" s="9"/>
      <c r="LH88" s="9"/>
      <c r="LI88" s="9"/>
      <c r="LJ88" s="9"/>
      <c r="LK88" s="9"/>
      <c r="LL88" s="9"/>
      <c r="LM88" s="9"/>
      <c r="LN88" s="9"/>
      <c r="LO88" s="9"/>
      <c r="LP88" s="9"/>
      <c r="LQ88" s="9"/>
      <c r="LR88" s="9"/>
      <c r="LS88" s="9"/>
      <c r="LT88" s="9"/>
      <c r="LU88" s="9"/>
      <c r="LV88" s="9"/>
      <c r="LW88" s="9"/>
      <c r="LX88" s="9"/>
      <c r="LY88" s="9"/>
      <c r="LZ88" s="9"/>
      <c r="MA88" s="9"/>
      <c r="MB88" s="9"/>
      <c r="MC88" s="9"/>
      <c r="MD88" s="9"/>
      <c r="ME88" s="9"/>
      <c r="MF88" s="9"/>
      <c r="MG88" s="9"/>
      <c r="MH88" s="9"/>
      <c r="MI88" s="9"/>
      <c r="MJ88" s="9"/>
      <c r="MK88" s="9"/>
      <c r="ML88" s="9"/>
      <c r="MM88" s="9"/>
      <c r="MN88" s="9"/>
      <c r="MO88" s="9"/>
      <c r="MP88" s="9"/>
      <c r="MQ88" s="9"/>
      <c r="MR88" s="9"/>
      <c r="MS88" s="9"/>
      <c r="MT88" s="9"/>
      <c r="MU88" s="9"/>
      <c r="MV88" s="9"/>
      <c r="MW88" s="9"/>
      <c r="MX88" s="9"/>
      <c r="MY88" s="9"/>
      <c r="MZ88" s="9"/>
      <c r="NA88" s="9"/>
      <c r="NB88" s="9"/>
      <c r="NC88" s="9"/>
      <c r="ND88" s="9"/>
      <c r="NE88" s="9"/>
      <c r="NF88" s="9"/>
      <c r="NG88" s="9"/>
      <c r="NH88" s="9"/>
      <c r="NI88" s="9"/>
      <c r="NJ88" s="9"/>
      <c r="NK88" s="9"/>
      <c r="NL88" s="9"/>
      <c r="NM88" s="9"/>
      <c r="NN88" s="9"/>
      <c r="NO88" s="9"/>
      <c r="NP88" s="9"/>
      <c r="NQ88" s="9"/>
      <c r="NR88" s="9"/>
      <c r="NS88" s="9"/>
      <c r="NT88" s="9"/>
      <c r="NU88" s="9"/>
      <c r="NV88" s="9"/>
      <c r="NW88" s="9"/>
      <c r="NX88" s="9"/>
      <c r="NY88" s="9"/>
      <c r="NZ88" s="9"/>
      <c r="OA88" s="9"/>
      <c r="OB88" s="9"/>
      <c r="OC88" s="9"/>
      <c r="OD88" s="9"/>
      <c r="OE88" s="9"/>
      <c r="OF88" s="9"/>
      <c r="OG88" s="9"/>
      <c r="OH88" s="9"/>
      <c r="OI88" s="9"/>
      <c r="OJ88" s="9"/>
      <c r="OK88" s="9"/>
      <c r="OL88" s="9"/>
      <c r="OM88" s="9"/>
      <c r="ON88" s="9"/>
      <c r="OO88" s="9"/>
      <c r="OP88" s="9"/>
      <c r="OQ88" s="9"/>
      <c r="OR88" s="9"/>
      <c r="OS88" s="9"/>
      <c r="OT88" s="9"/>
      <c r="OU88" s="9"/>
      <c r="OV88" s="9"/>
      <c r="OW88" s="9"/>
      <c r="OX88" s="9"/>
      <c r="OY88" s="9"/>
      <c r="OZ88" s="9"/>
      <c r="PA88" s="9"/>
      <c r="PB88" s="9"/>
      <c r="PC88" s="9"/>
      <c r="PD88" s="9"/>
      <c r="PE88" s="9"/>
      <c r="PF88" s="9"/>
      <c r="PG88" s="9"/>
      <c r="PH88" s="9"/>
      <c r="PI88" s="9"/>
      <c r="PJ88" s="9"/>
      <c r="PK88" s="9"/>
      <c r="PL88" s="9"/>
      <c r="PM88" s="9"/>
      <c r="PN88" s="9"/>
      <c r="PO88" s="9"/>
      <c r="PP88" s="9"/>
      <c r="PQ88" s="9"/>
      <c r="PR88" s="9"/>
      <c r="PS88" s="9"/>
      <c r="PT88" s="9"/>
      <c r="PU88" s="9"/>
      <c r="PV88" s="9"/>
      <c r="PW88" s="9"/>
      <c r="PX88" s="9"/>
      <c r="PY88" s="9"/>
      <c r="PZ88" s="9"/>
      <c r="QA88" s="9"/>
      <c r="QB88" s="9"/>
      <c r="QC88" s="9"/>
      <c r="QD88" s="9"/>
      <c r="QE88" s="9"/>
      <c r="QF88" s="9"/>
      <c r="QG88" s="9"/>
      <c r="QH88" s="9"/>
      <c r="QI88" s="9"/>
      <c r="QJ88" s="9"/>
      <c r="QK88" s="9"/>
      <c r="QL88" s="9"/>
      <c r="QM88" s="9"/>
      <c r="QN88" s="9"/>
      <c r="QO88" s="9"/>
      <c r="QP88" s="9"/>
      <c r="QQ88" s="67"/>
      <c r="QR88" s="68"/>
      <c r="QS88" s="63"/>
      <c r="QT88" s="71"/>
    </row>
    <row r="89" spans="1:462" s="11" customFormat="1" x14ac:dyDescent="0.2">
      <c r="A89" s="9">
        <v>10</v>
      </c>
      <c r="B89" s="9"/>
      <c r="C89" s="9"/>
      <c r="D89" s="9" t="s">
        <v>580</v>
      </c>
      <c r="E89" s="65" t="s">
        <v>496</v>
      </c>
      <c r="F89" s="65"/>
      <c r="G89" s="92" t="s">
        <v>2251</v>
      </c>
      <c r="H89" s="66" t="s">
        <v>1142</v>
      </c>
      <c r="I89" s="9" t="s">
        <v>1041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 t="s">
        <v>97</v>
      </c>
      <c r="EZ89" s="9"/>
      <c r="FA89" s="9" t="s">
        <v>97</v>
      </c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  <c r="KM89" s="9"/>
      <c r="KN89" s="9"/>
      <c r="KO89" s="9"/>
      <c r="KP89" s="9"/>
      <c r="KQ89" s="9"/>
      <c r="KR89" s="9"/>
      <c r="KS89" s="9"/>
      <c r="KT89" s="9"/>
      <c r="KU89" s="9"/>
      <c r="KV89" s="9"/>
      <c r="KW89" s="9"/>
      <c r="KX89" s="9"/>
      <c r="KY89" s="9"/>
      <c r="KZ89" s="9"/>
      <c r="LA89" s="9"/>
      <c r="LB89" s="9"/>
      <c r="LC89" s="9"/>
      <c r="LD89" s="9"/>
      <c r="LE89" s="9"/>
      <c r="LF89" s="9"/>
      <c r="LG89" s="9"/>
      <c r="LH89" s="9"/>
      <c r="LI89" s="9"/>
      <c r="LJ89" s="9"/>
      <c r="LK89" s="9"/>
      <c r="LL89" s="9"/>
      <c r="LM89" s="9"/>
      <c r="LN89" s="9"/>
      <c r="LO89" s="9"/>
      <c r="LP89" s="9"/>
      <c r="LQ89" s="9"/>
      <c r="LR89" s="9"/>
      <c r="LS89" s="9"/>
      <c r="LT89" s="9"/>
      <c r="LU89" s="9"/>
      <c r="LV89" s="9"/>
      <c r="LW89" s="9"/>
      <c r="LX89" s="9"/>
      <c r="LY89" s="9"/>
      <c r="LZ89" s="9"/>
      <c r="MA89" s="9"/>
      <c r="MB89" s="9"/>
      <c r="MC89" s="9"/>
      <c r="MD89" s="9"/>
      <c r="ME89" s="9"/>
      <c r="MF89" s="9"/>
      <c r="MG89" s="9"/>
      <c r="MH89" s="9"/>
      <c r="MI89" s="9"/>
      <c r="MJ89" s="9"/>
      <c r="MK89" s="9"/>
      <c r="ML89" s="9"/>
      <c r="MM89" s="9"/>
      <c r="MN89" s="9"/>
      <c r="MO89" s="9"/>
      <c r="MP89" s="9"/>
      <c r="MQ89" s="9"/>
      <c r="MR89" s="9"/>
      <c r="MS89" s="9"/>
      <c r="MT89" s="9"/>
      <c r="MU89" s="9"/>
      <c r="MV89" s="9"/>
      <c r="MW89" s="9"/>
      <c r="MX89" s="9"/>
      <c r="MY89" s="9"/>
      <c r="MZ89" s="9"/>
      <c r="NA89" s="9"/>
      <c r="NB89" s="9"/>
      <c r="NC89" s="9"/>
      <c r="ND89" s="9"/>
      <c r="NE89" s="9"/>
      <c r="NF89" s="9"/>
      <c r="NG89" s="9"/>
      <c r="NH89" s="9"/>
      <c r="NI89" s="9"/>
      <c r="NJ89" s="9"/>
      <c r="NK89" s="9"/>
      <c r="NL89" s="9"/>
      <c r="NM89" s="9"/>
      <c r="NN89" s="9"/>
      <c r="NO89" s="9"/>
      <c r="NP89" s="9"/>
      <c r="NQ89" s="9"/>
      <c r="NR89" s="9"/>
      <c r="NS89" s="9"/>
      <c r="NT89" s="9"/>
      <c r="NU89" s="9"/>
      <c r="NV89" s="9"/>
      <c r="NW89" s="9"/>
      <c r="NX89" s="9"/>
      <c r="NY89" s="9"/>
      <c r="NZ89" s="9"/>
      <c r="OA89" s="9"/>
      <c r="OB89" s="9"/>
      <c r="OC89" s="9"/>
      <c r="OD89" s="9"/>
      <c r="OE89" s="9"/>
      <c r="OF89" s="9"/>
      <c r="OG89" s="9"/>
      <c r="OH89" s="9"/>
      <c r="OI89" s="9"/>
      <c r="OJ89" s="9"/>
      <c r="OK89" s="9"/>
      <c r="OL89" s="9"/>
      <c r="OM89" s="9"/>
      <c r="ON89" s="9"/>
      <c r="OO89" s="9"/>
      <c r="OP89" s="9"/>
      <c r="OQ89" s="9"/>
      <c r="OR89" s="9"/>
      <c r="OS89" s="9"/>
      <c r="OT89" s="9"/>
      <c r="OU89" s="9"/>
      <c r="OV89" s="9"/>
      <c r="OW89" s="9"/>
      <c r="OX89" s="9"/>
      <c r="OY89" s="9"/>
      <c r="OZ89" s="9"/>
      <c r="PA89" s="9"/>
      <c r="PB89" s="9"/>
      <c r="PC89" s="9"/>
      <c r="PD89" s="9"/>
      <c r="PE89" s="9"/>
      <c r="PF89" s="9"/>
      <c r="PG89" s="9"/>
      <c r="PH89" s="9"/>
      <c r="PI89" s="9"/>
      <c r="PJ89" s="9"/>
      <c r="PK89" s="9"/>
      <c r="PL89" s="9"/>
      <c r="PM89" s="9"/>
      <c r="PN89" s="9"/>
      <c r="PO89" s="9"/>
      <c r="PP89" s="9"/>
      <c r="PQ89" s="9"/>
      <c r="PR89" s="9"/>
      <c r="PS89" s="9"/>
      <c r="PT89" s="9"/>
      <c r="PU89" s="9"/>
      <c r="PV89" s="9"/>
      <c r="PW89" s="9"/>
      <c r="PX89" s="9"/>
      <c r="PY89" s="9"/>
      <c r="PZ89" s="9"/>
      <c r="QA89" s="9"/>
      <c r="QB89" s="9"/>
      <c r="QC89" s="9"/>
      <c r="QD89" s="9"/>
      <c r="QE89" s="9"/>
      <c r="QF89" s="9"/>
      <c r="QG89" s="9"/>
      <c r="QH89" s="9"/>
      <c r="QI89" s="9"/>
      <c r="QJ89" s="9"/>
      <c r="QK89" s="9"/>
      <c r="QL89" s="9"/>
      <c r="QM89" s="9"/>
      <c r="QN89" s="9"/>
      <c r="QO89" s="9"/>
      <c r="QP89" s="9"/>
      <c r="QQ89" s="67"/>
      <c r="QR89" s="68"/>
      <c r="QS89" s="63"/>
      <c r="QT89" s="71"/>
    </row>
    <row r="90" spans="1:462" s="11" customFormat="1" x14ac:dyDescent="0.2">
      <c r="A90" s="9">
        <v>10</v>
      </c>
      <c r="B90" s="9"/>
      <c r="C90" s="9"/>
      <c r="D90" s="9" t="s">
        <v>2062</v>
      </c>
      <c r="E90" s="65" t="s">
        <v>2063</v>
      </c>
      <c r="F90" s="65"/>
      <c r="G90" s="92" t="s">
        <v>2310</v>
      </c>
      <c r="H90" s="66" t="s">
        <v>2064</v>
      </c>
      <c r="I90" s="9" t="s">
        <v>1041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 t="s">
        <v>2036</v>
      </c>
      <c r="EZ90" s="9"/>
      <c r="FA90" s="9" t="s">
        <v>2036</v>
      </c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  <c r="KM90" s="9"/>
      <c r="KN90" s="9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9"/>
      <c r="KZ90" s="9"/>
      <c r="LA90" s="9"/>
      <c r="LB90" s="9"/>
      <c r="LC90" s="9"/>
      <c r="LD90" s="9"/>
      <c r="LE90" s="9"/>
      <c r="LF90" s="9"/>
      <c r="LG90" s="9"/>
      <c r="LH90" s="9"/>
      <c r="LI90" s="9"/>
      <c r="LJ90" s="9"/>
      <c r="LK90" s="9"/>
      <c r="LL90" s="9"/>
      <c r="LM90" s="9"/>
      <c r="LN90" s="9"/>
      <c r="LO90" s="9"/>
      <c r="LP90" s="9"/>
      <c r="LQ90" s="9"/>
      <c r="LR90" s="9"/>
      <c r="LS90" s="9"/>
      <c r="LT90" s="9"/>
      <c r="LU90" s="9"/>
      <c r="LV90" s="9"/>
      <c r="LW90" s="9"/>
      <c r="LX90" s="9"/>
      <c r="LY90" s="9"/>
      <c r="LZ90" s="9"/>
      <c r="MA90" s="9"/>
      <c r="MB90" s="9"/>
      <c r="MC90" s="9"/>
      <c r="MD90" s="9"/>
      <c r="ME90" s="9"/>
      <c r="MF90" s="9"/>
      <c r="MG90" s="9"/>
      <c r="MH90" s="9"/>
      <c r="MI90" s="9"/>
      <c r="MJ90" s="9"/>
      <c r="MK90" s="9"/>
      <c r="ML90" s="9"/>
      <c r="MM90" s="9"/>
      <c r="MN90" s="9"/>
      <c r="MO90" s="9"/>
      <c r="MP90" s="9"/>
      <c r="MQ90" s="9"/>
      <c r="MR90" s="9"/>
      <c r="MS90" s="9"/>
      <c r="MT90" s="9"/>
      <c r="MU90" s="9"/>
      <c r="MV90" s="9"/>
      <c r="MW90" s="9"/>
      <c r="MX90" s="9"/>
      <c r="MY90" s="9"/>
      <c r="MZ90" s="9"/>
      <c r="NA90" s="9"/>
      <c r="NB90" s="9"/>
      <c r="NC90" s="9"/>
      <c r="ND90" s="9"/>
      <c r="NE90" s="9"/>
      <c r="NF90" s="9"/>
      <c r="NG90" s="9"/>
      <c r="NH90" s="9"/>
      <c r="NI90" s="9"/>
      <c r="NJ90" s="9"/>
      <c r="NK90" s="9"/>
      <c r="NL90" s="9"/>
      <c r="NM90" s="9"/>
      <c r="NN90" s="9"/>
      <c r="NO90" s="9"/>
      <c r="NP90" s="9"/>
      <c r="NQ90" s="9"/>
      <c r="NR90" s="9"/>
      <c r="NS90" s="9"/>
      <c r="NT90" s="9"/>
      <c r="NU90" s="9"/>
      <c r="NV90" s="9"/>
      <c r="NW90" s="9"/>
      <c r="NX90" s="9"/>
      <c r="NY90" s="9"/>
      <c r="NZ90" s="9"/>
      <c r="OA90" s="9"/>
      <c r="OB90" s="9"/>
      <c r="OC90" s="9"/>
      <c r="OD90" s="9"/>
      <c r="OE90" s="9"/>
      <c r="OF90" s="9"/>
      <c r="OG90" s="9"/>
      <c r="OH90" s="9"/>
      <c r="OI90" s="9"/>
      <c r="OJ90" s="9"/>
      <c r="OK90" s="9"/>
      <c r="OL90" s="9"/>
      <c r="OM90" s="9"/>
      <c r="ON90" s="9"/>
      <c r="OO90" s="9"/>
      <c r="OP90" s="9"/>
      <c r="OQ90" s="9"/>
      <c r="OR90" s="9"/>
      <c r="OS90" s="9"/>
      <c r="OT90" s="9"/>
      <c r="OU90" s="9"/>
      <c r="OV90" s="9"/>
      <c r="OW90" s="9"/>
      <c r="OX90" s="9"/>
      <c r="OY90" s="9"/>
      <c r="OZ90" s="9"/>
      <c r="PA90" s="9"/>
      <c r="PB90" s="9"/>
      <c r="PC90" s="9"/>
      <c r="PD90" s="9"/>
      <c r="PE90" s="9"/>
      <c r="PF90" s="9"/>
      <c r="PG90" s="9"/>
      <c r="PH90" s="9"/>
      <c r="PI90" s="9"/>
      <c r="PJ90" s="9"/>
      <c r="PK90" s="9"/>
      <c r="PL90" s="9"/>
      <c r="PM90" s="9"/>
      <c r="PN90" s="9"/>
      <c r="PO90" s="9"/>
      <c r="PP90" s="9"/>
      <c r="PQ90" s="9"/>
      <c r="PR90" s="9"/>
      <c r="PS90" s="9"/>
      <c r="PT90" s="9"/>
      <c r="PU90" s="9"/>
      <c r="PV90" s="9"/>
      <c r="PW90" s="9"/>
      <c r="PX90" s="9"/>
      <c r="PY90" s="9"/>
      <c r="PZ90" s="9"/>
      <c r="QA90" s="9"/>
      <c r="QB90" s="9"/>
      <c r="QC90" s="9"/>
      <c r="QD90" s="9"/>
      <c r="QE90" s="9"/>
      <c r="QF90" s="9"/>
      <c r="QG90" s="9"/>
      <c r="QH90" s="9"/>
      <c r="QI90" s="9"/>
      <c r="QJ90" s="9"/>
      <c r="QK90" s="9"/>
      <c r="QL90" s="9"/>
      <c r="QM90" s="9"/>
      <c r="QN90" s="9"/>
      <c r="QO90" s="9"/>
      <c r="QP90" s="9"/>
      <c r="QQ90" s="67"/>
      <c r="QR90" s="68"/>
      <c r="QS90" s="63"/>
      <c r="QT90" s="71"/>
    </row>
    <row r="91" spans="1:462" s="11" customFormat="1" ht="26" x14ac:dyDescent="0.2">
      <c r="A91" s="9">
        <v>10</v>
      </c>
      <c r="B91" s="9"/>
      <c r="C91" s="9"/>
      <c r="D91" s="9" t="s">
        <v>2068</v>
      </c>
      <c r="E91" s="65" t="s">
        <v>2065</v>
      </c>
      <c r="F91" s="65"/>
      <c r="G91" s="92" t="s">
        <v>2312</v>
      </c>
      <c r="H91" s="66" t="s">
        <v>2066</v>
      </c>
      <c r="I91" s="9" t="s">
        <v>1041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 t="s">
        <v>1041</v>
      </c>
      <c r="EZ91" s="9"/>
      <c r="FA91" s="9" t="s">
        <v>1041</v>
      </c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  <c r="IW91" s="9"/>
      <c r="IX91" s="9"/>
      <c r="IY91" s="9"/>
      <c r="IZ91" s="9"/>
      <c r="JA91" s="9"/>
      <c r="JB91" s="9"/>
      <c r="JC91" s="9"/>
      <c r="JD91" s="9"/>
      <c r="JE91" s="9"/>
      <c r="JF91" s="9"/>
      <c r="JG91" s="9"/>
      <c r="JH91" s="9"/>
      <c r="JI91" s="9"/>
      <c r="JJ91" s="9"/>
      <c r="JK91" s="9"/>
      <c r="JL91" s="9"/>
      <c r="JM91" s="9"/>
      <c r="JN91" s="9"/>
      <c r="JO91" s="9"/>
      <c r="JP91" s="9"/>
      <c r="JQ91" s="9"/>
      <c r="JR91" s="9"/>
      <c r="JS91" s="9"/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  <c r="KK91" s="9"/>
      <c r="KL91" s="9"/>
      <c r="KM91" s="9"/>
      <c r="KN91" s="9"/>
      <c r="KO91" s="9"/>
      <c r="KP91" s="9"/>
      <c r="KQ91" s="9"/>
      <c r="KR91" s="9"/>
      <c r="KS91" s="9"/>
      <c r="KT91" s="9"/>
      <c r="KU91" s="9"/>
      <c r="KV91" s="9"/>
      <c r="KW91" s="9"/>
      <c r="KX91" s="9"/>
      <c r="KY91" s="9"/>
      <c r="KZ91" s="9"/>
      <c r="LA91" s="9"/>
      <c r="LB91" s="9"/>
      <c r="LC91" s="9"/>
      <c r="LD91" s="9"/>
      <c r="LE91" s="9"/>
      <c r="LF91" s="9"/>
      <c r="LG91" s="9"/>
      <c r="LH91" s="9"/>
      <c r="LI91" s="9"/>
      <c r="LJ91" s="9"/>
      <c r="LK91" s="9"/>
      <c r="LL91" s="9"/>
      <c r="LM91" s="9"/>
      <c r="LN91" s="9"/>
      <c r="LO91" s="9"/>
      <c r="LP91" s="9"/>
      <c r="LQ91" s="9"/>
      <c r="LR91" s="9"/>
      <c r="LS91" s="9"/>
      <c r="LT91" s="9"/>
      <c r="LU91" s="9"/>
      <c r="LV91" s="9"/>
      <c r="LW91" s="9"/>
      <c r="LX91" s="9"/>
      <c r="LY91" s="9"/>
      <c r="LZ91" s="9"/>
      <c r="MA91" s="9"/>
      <c r="MB91" s="9"/>
      <c r="MC91" s="9"/>
      <c r="MD91" s="9"/>
      <c r="ME91" s="9"/>
      <c r="MF91" s="9"/>
      <c r="MG91" s="9"/>
      <c r="MH91" s="9"/>
      <c r="MI91" s="9"/>
      <c r="MJ91" s="9"/>
      <c r="MK91" s="9"/>
      <c r="ML91" s="9"/>
      <c r="MM91" s="9"/>
      <c r="MN91" s="9"/>
      <c r="MO91" s="9"/>
      <c r="MP91" s="9"/>
      <c r="MQ91" s="9"/>
      <c r="MR91" s="9"/>
      <c r="MS91" s="9"/>
      <c r="MT91" s="9"/>
      <c r="MU91" s="9"/>
      <c r="MV91" s="9"/>
      <c r="MW91" s="9"/>
      <c r="MX91" s="9"/>
      <c r="MY91" s="9"/>
      <c r="MZ91" s="9"/>
      <c r="NA91" s="9"/>
      <c r="NB91" s="9"/>
      <c r="NC91" s="9"/>
      <c r="ND91" s="9"/>
      <c r="NE91" s="9"/>
      <c r="NF91" s="9"/>
      <c r="NG91" s="9"/>
      <c r="NH91" s="9"/>
      <c r="NI91" s="9"/>
      <c r="NJ91" s="9"/>
      <c r="NK91" s="9"/>
      <c r="NL91" s="9"/>
      <c r="NM91" s="9"/>
      <c r="NN91" s="9"/>
      <c r="NO91" s="9"/>
      <c r="NP91" s="9"/>
      <c r="NQ91" s="9"/>
      <c r="NR91" s="9"/>
      <c r="NS91" s="9"/>
      <c r="NT91" s="9"/>
      <c r="NU91" s="9"/>
      <c r="NV91" s="9"/>
      <c r="NW91" s="9"/>
      <c r="NX91" s="9"/>
      <c r="NY91" s="9"/>
      <c r="NZ91" s="9"/>
      <c r="OA91" s="9"/>
      <c r="OB91" s="9"/>
      <c r="OC91" s="9"/>
      <c r="OD91" s="9"/>
      <c r="OE91" s="9"/>
      <c r="OF91" s="9"/>
      <c r="OG91" s="9"/>
      <c r="OH91" s="9"/>
      <c r="OI91" s="9"/>
      <c r="OJ91" s="9"/>
      <c r="OK91" s="9"/>
      <c r="OL91" s="9"/>
      <c r="OM91" s="9"/>
      <c r="ON91" s="9"/>
      <c r="OO91" s="9"/>
      <c r="OP91" s="9"/>
      <c r="OQ91" s="9"/>
      <c r="OR91" s="9"/>
      <c r="OS91" s="9"/>
      <c r="OT91" s="9"/>
      <c r="OU91" s="9"/>
      <c r="OV91" s="9"/>
      <c r="OW91" s="9"/>
      <c r="OX91" s="9"/>
      <c r="OY91" s="9"/>
      <c r="OZ91" s="9"/>
      <c r="PA91" s="9"/>
      <c r="PB91" s="9"/>
      <c r="PC91" s="9"/>
      <c r="PD91" s="9"/>
      <c r="PE91" s="9"/>
      <c r="PF91" s="9"/>
      <c r="PG91" s="9"/>
      <c r="PH91" s="9"/>
      <c r="PI91" s="9"/>
      <c r="PJ91" s="9"/>
      <c r="PK91" s="9"/>
      <c r="PL91" s="9"/>
      <c r="PM91" s="9"/>
      <c r="PN91" s="9"/>
      <c r="PO91" s="9"/>
      <c r="PP91" s="9"/>
      <c r="PQ91" s="9"/>
      <c r="PR91" s="9"/>
      <c r="PS91" s="9"/>
      <c r="PT91" s="9"/>
      <c r="PU91" s="9"/>
      <c r="PV91" s="9"/>
      <c r="PW91" s="9"/>
      <c r="PX91" s="9"/>
      <c r="PY91" s="9"/>
      <c r="PZ91" s="9"/>
      <c r="QA91" s="9"/>
      <c r="QB91" s="9"/>
      <c r="QC91" s="9"/>
      <c r="QD91" s="9"/>
      <c r="QE91" s="9"/>
      <c r="QF91" s="9"/>
      <c r="QG91" s="9"/>
      <c r="QH91" s="9"/>
      <c r="QI91" s="9"/>
      <c r="QJ91" s="9"/>
      <c r="QK91" s="9"/>
      <c r="QL91" s="9"/>
      <c r="QM91" s="9"/>
      <c r="QN91" s="9"/>
      <c r="QO91" s="9"/>
      <c r="QP91" s="9"/>
      <c r="QQ91" s="67"/>
      <c r="QR91" s="68"/>
      <c r="QS91" s="63"/>
      <c r="QT91" s="71"/>
    </row>
    <row r="92" spans="1:462" s="11" customFormat="1" x14ac:dyDescent="0.2">
      <c r="A92" s="9">
        <v>10</v>
      </c>
      <c r="B92" s="9"/>
      <c r="C92" s="9"/>
      <c r="D92" s="9" t="s">
        <v>2069</v>
      </c>
      <c r="E92" s="65" t="s">
        <v>158</v>
      </c>
      <c r="F92" s="65"/>
      <c r="G92" s="92" t="s">
        <v>2313</v>
      </c>
      <c r="H92" s="66" t="s">
        <v>2070</v>
      </c>
      <c r="I92" s="9" t="s">
        <v>1041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 t="s">
        <v>1041</v>
      </c>
      <c r="EZ92" s="9"/>
      <c r="FA92" s="9" t="s">
        <v>1041</v>
      </c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  <c r="IX92" s="9"/>
      <c r="IY92" s="9"/>
      <c r="IZ92" s="9"/>
      <c r="JA92" s="9"/>
      <c r="JB92" s="9"/>
      <c r="JC92" s="9"/>
      <c r="JD92" s="9"/>
      <c r="JE92" s="9"/>
      <c r="JF92" s="9"/>
      <c r="JG92" s="9"/>
      <c r="JH92" s="9"/>
      <c r="JI92" s="9"/>
      <c r="JJ92" s="9"/>
      <c r="JK92" s="9"/>
      <c r="JL92" s="9"/>
      <c r="JM92" s="9"/>
      <c r="JN92" s="9"/>
      <c r="JO92" s="9"/>
      <c r="JP92" s="9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  <c r="KK92" s="9"/>
      <c r="KL92" s="9"/>
      <c r="KM92" s="9"/>
      <c r="KN92" s="9"/>
      <c r="KO92" s="9"/>
      <c r="KP92" s="9"/>
      <c r="KQ92" s="9"/>
      <c r="KR92" s="9"/>
      <c r="KS92" s="9"/>
      <c r="KT92" s="9"/>
      <c r="KU92" s="9"/>
      <c r="KV92" s="9"/>
      <c r="KW92" s="9"/>
      <c r="KX92" s="9"/>
      <c r="KY92" s="9"/>
      <c r="KZ92" s="9"/>
      <c r="LA92" s="9"/>
      <c r="LB92" s="9"/>
      <c r="LC92" s="9"/>
      <c r="LD92" s="9"/>
      <c r="LE92" s="9"/>
      <c r="LF92" s="9"/>
      <c r="LG92" s="9"/>
      <c r="LH92" s="9"/>
      <c r="LI92" s="9"/>
      <c r="LJ92" s="9"/>
      <c r="LK92" s="9"/>
      <c r="LL92" s="9"/>
      <c r="LM92" s="9"/>
      <c r="LN92" s="9"/>
      <c r="LO92" s="9"/>
      <c r="LP92" s="9"/>
      <c r="LQ92" s="9"/>
      <c r="LR92" s="9"/>
      <c r="LS92" s="9"/>
      <c r="LT92" s="9"/>
      <c r="LU92" s="9"/>
      <c r="LV92" s="9"/>
      <c r="LW92" s="9"/>
      <c r="LX92" s="9"/>
      <c r="LY92" s="9"/>
      <c r="LZ92" s="9"/>
      <c r="MA92" s="9"/>
      <c r="MB92" s="9"/>
      <c r="MC92" s="9"/>
      <c r="MD92" s="9"/>
      <c r="ME92" s="9"/>
      <c r="MF92" s="9"/>
      <c r="MG92" s="9"/>
      <c r="MH92" s="9"/>
      <c r="MI92" s="9"/>
      <c r="MJ92" s="9"/>
      <c r="MK92" s="9"/>
      <c r="ML92" s="9"/>
      <c r="MM92" s="9"/>
      <c r="MN92" s="9"/>
      <c r="MO92" s="9"/>
      <c r="MP92" s="9"/>
      <c r="MQ92" s="9"/>
      <c r="MR92" s="9"/>
      <c r="MS92" s="9"/>
      <c r="MT92" s="9"/>
      <c r="MU92" s="9"/>
      <c r="MV92" s="9"/>
      <c r="MW92" s="9"/>
      <c r="MX92" s="9"/>
      <c r="MY92" s="9"/>
      <c r="MZ92" s="9"/>
      <c r="NA92" s="9"/>
      <c r="NB92" s="9"/>
      <c r="NC92" s="9"/>
      <c r="ND92" s="9"/>
      <c r="NE92" s="9"/>
      <c r="NF92" s="9"/>
      <c r="NG92" s="9"/>
      <c r="NH92" s="9"/>
      <c r="NI92" s="9"/>
      <c r="NJ92" s="9"/>
      <c r="NK92" s="9"/>
      <c r="NL92" s="9"/>
      <c r="NM92" s="9"/>
      <c r="NN92" s="9"/>
      <c r="NO92" s="9"/>
      <c r="NP92" s="9"/>
      <c r="NQ92" s="9"/>
      <c r="NR92" s="9"/>
      <c r="NS92" s="9"/>
      <c r="NT92" s="9"/>
      <c r="NU92" s="9"/>
      <c r="NV92" s="9"/>
      <c r="NW92" s="9"/>
      <c r="NX92" s="9"/>
      <c r="NY92" s="9"/>
      <c r="NZ92" s="9"/>
      <c r="OA92" s="9"/>
      <c r="OB92" s="9"/>
      <c r="OC92" s="9"/>
      <c r="OD92" s="9"/>
      <c r="OE92" s="9"/>
      <c r="OF92" s="9"/>
      <c r="OG92" s="9"/>
      <c r="OH92" s="9"/>
      <c r="OI92" s="9"/>
      <c r="OJ92" s="9"/>
      <c r="OK92" s="9"/>
      <c r="OL92" s="9"/>
      <c r="OM92" s="9"/>
      <c r="ON92" s="9"/>
      <c r="OO92" s="9"/>
      <c r="OP92" s="9"/>
      <c r="OQ92" s="9"/>
      <c r="OR92" s="9"/>
      <c r="OS92" s="9"/>
      <c r="OT92" s="9"/>
      <c r="OU92" s="9"/>
      <c r="OV92" s="9"/>
      <c r="OW92" s="9"/>
      <c r="OX92" s="9"/>
      <c r="OY92" s="9"/>
      <c r="OZ92" s="9"/>
      <c r="PA92" s="9"/>
      <c r="PB92" s="9"/>
      <c r="PC92" s="9"/>
      <c r="PD92" s="9"/>
      <c r="PE92" s="9"/>
      <c r="PF92" s="9"/>
      <c r="PG92" s="9"/>
      <c r="PH92" s="9"/>
      <c r="PI92" s="9"/>
      <c r="PJ92" s="9"/>
      <c r="PK92" s="9"/>
      <c r="PL92" s="9"/>
      <c r="PM92" s="9"/>
      <c r="PN92" s="9"/>
      <c r="PO92" s="9"/>
      <c r="PP92" s="9"/>
      <c r="PQ92" s="9"/>
      <c r="PR92" s="9"/>
      <c r="PS92" s="9"/>
      <c r="PT92" s="9"/>
      <c r="PU92" s="9"/>
      <c r="PV92" s="9"/>
      <c r="PW92" s="9"/>
      <c r="PX92" s="9"/>
      <c r="PY92" s="9"/>
      <c r="PZ92" s="9"/>
      <c r="QA92" s="9"/>
      <c r="QB92" s="9"/>
      <c r="QC92" s="9"/>
      <c r="QD92" s="9"/>
      <c r="QE92" s="9"/>
      <c r="QF92" s="9"/>
      <c r="QG92" s="9"/>
      <c r="QH92" s="9"/>
      <c r="QI92" s="9"/>
      <c r="QJ92" s="9"/>
      <c r="QK92" s="9"/>
      <c r="QL92" s="9"/>
      <c r="QM92" s="9"/>
      <c r="QN92" s="9"/>
      <c r="QO92" s="9"/>
      <c r="QP92" s="9"/>
      <c r="QQ92" s="67"/>
      <c r="QR92" s="68"/>
      <c r="QS92" s="63"/>
      <c r="QT92" s="71"/>
    </row>
    <row r="93" spans="1:462" s="11" customFormat="1" ht="26" x14ac:dyDescent="0.2">
      <c r="A93" s="9">
        <v>10</v>
      </c>
      <c r="B93" s="9"/>
      <c r="C93" s="9"/>
      <c r="D93" s="9" t="s">
        <v>410</v>
      </c>
      <c r="E93" s="65" t="s">
        <v>521</v>
      </c>
      <c r="F93" s="65"/>
      <c r="G93" s="91" t="s">
        <v>2297</v>
      </c>
      <c r="H93" s="66" t="s">
        <v>1595</v>
      </c>
      <c r="I93" s="9" t="s">
        <v>1098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 t="s">
        <v>1098</v>
      </c>
      <c r="FH93" s="9"/>
      <c r="FI93" s="9" t="s">
        <v>1098</v>
      </c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  <c r="IX93" s="9"/>
      <c r="IY93" s="9"/>
      <c r="IZ93" s="9"/>
      <c r="JA93" s="9"/>
      <c r="JB93" s="9"/>
      <c r="JC93" s="9"/>
      <c r="JD93" s="9"/>
      <c r="JE93" s="9"/>
      <c r="JF93" s="9"/>
      <c r="JG93" s="9"/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9"/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9"/>
      <c r="KE93" s="9"/>
      <c r="KF93" s="9"/>
      <c r="KG93" s="9"/>
      <c r="KH93" s="9"/>
      <c r="KI93" s="9"/>
      <c r="KJ93" s="9"/>
      <c r="KK93" s="9"/>
      <c r="KL93" s="9"/>
      <c r="KM93" s="9"/>
      <c r="KN93" s="9"/>
      <c r="KO93" s="9"/>
      <c r="KP93" s="9"/>
      <c r="KQ93" s="9"/>
      <c r="KR93" s="9"/>
      <c r="KS93" s="9"/>
      <c r="KT93" s="9"/>
      <c r="KU93" s="9"/>
      <c r="KV93" s="9"/>
      <c r="KW93" s="9"/>
      <c r="KX93" s="9"/>
      <c r="KY93" s="9"/>
      <c r="KZ93" s="9"/>
      <c r="LA93" s="9"/>
      <c r="LB93" s="9"/>
      <c r="LC93" s="9"/>
      <c r="LD93" s="9"/>
      <c r="LE93" s="9"/>
      <c r="LF93" s="9"/>
      <c r="LG93" s="9"/>
      <c r="LH93" s="9"/>
      <c r="LI93" s="9"/>
      <c r="LJ93" s="9"/>
      <c r="LK93" s="9"/>
      <c r="LL93" s="9"/>
      <c r="LM93" s="9"/>
      <c r="LN93" s="9"/>
      <c r="LO93" s="9"/>
      <c r="LP93" s="9"/>
      <c r="LQ93" s="9"/>
      <c r="LR93" s="9"/>
      <c r="LS93" s="9"/>
      <c r="LT93" s="9"/>
      <c r="LU93" s="9"/>
      <c r="LV93" s="9"/>
      <c r="LW93" s="9"/>
      <c r="LX93" s="9"/>
      <c r="LY93" s="9"/>
      <c r="LZ93" s="9"/>
      <c r="MA93" s="9"/>
      <c r="MB93" s="9"/>
      <c r="MC93" s="9"/>
      <c r="MD93" s="9"/>
      <c r="ME93" s="9"/>
      <c r="MF93" s="9"/>
      <c r="MG93" s="9"/>
      <c r="MH93" s="9"/>
      <c r="MI93" s="9"/>
      <c r="MJ93" s="9"/>
      <c r="MK93" s="9"/>
      <c r="ML93" s="9"/>
      <c r="MM93" s="9"/>
      <c r="MN93" s="9"/>
      <c r="MO93" s="9"/>
      <c r="MP93" s="9"/>
      <c r="MQ93" s="9"/>
      <c r="MR93" s="9"/>
      <c r="MS93" s="9"/>
      <c r="MT93" s="9"/>
      <c r="MU93" s="9"/>
      <c r="MV93" s="9"/>
      <c r="MW93" s="9"/>
      <c r="MX93" s="9"/>
      <c r="MY93" s="9"/>
      <c r="MZ93" s="9"/>
      <c r="NA93" s="9"/>
      <c r="NB93" s="9"/>
      <c r="NC93" s="9"/>
      <c r="ND93" s="9"/>
      <c r="NE93" s="9"/>
      <c r="NF93" s="9"/>
      <c r="NG93" s="9"/>
      <c r="NH93" s="9"/>
      <c r="NI93" s="9"/>
      <c r="NJ93" s="9"/>
      <c r="NK93" s="9"/>
      <c r="NL93" s="9"/>
      <c r="NM93" s="9"/>
      <c r="NN93" s="9"/>
      <c r="NO93" s="9"/>
      <c r="NP93" s="9"/>
      <c r="NQ93" s="9"/>
      <c r="NR93" s="9"/>
      <c r="NS93" s="9"/>
      <c r="NT93" s="9"/>
      <c r="NU93" s="9"/>
      <c r="NV93" s="9"/>
      <c r="NW93" s="9"/>
      <c r="NX93" s="9"/>
      <c r="NY93" s="9"/>
      <c r="NZ93" s="9"/>
      <c r="OA93" s="9"/>
      <c r="OB93" s="9"/>
      <c r="OC93" s="9"/>
      <c r="OD93" s="9"/>
      <c r="OE93" s="9"/>
      <c r="OF93" s="9"/>
      <c r="OG93" s="9"/>
      <c r="OH93" s="9"/>
      <c r="OI93" s="9"/>
      <c r="OJ93" s="9"/>
      <c r="OK93" s="9"/>
      <c r="OL93" s="9"/>
      <c r="OM93" s="9"/>
      <c r="ON93" s="9"/>
      <c r="OO93" s="9"/>
      <c r="OP93" s="9"/>
      <c r="OQ93" s="9"/>
      <c r="OR93" s="9"/>
      <c r="OS93" s="9"/>
      <c r="OT93" s="9"/>
      <c r="OU93" s="9"/>
      <c r="OV93" s="9"/>
      <c r="OW93" s="9"/>
      <c r="OX93" s="9"/>
      <c r="OY93" s="9"/>
      <c r="OZ93" s="9"/>
      <c r="PA93" s="9"/>
      <c r="PB93" s="9"/>
      <c r="PC93" s="9"/>
      <c r="PD93" s="9"/>
      <c r="PE93" s="9"/>
      <c r="PF93" s="9"/>
      <c r="PG93" s="9"/>
      <c r="PH93" s="9"/>
      <c r="PI93" s="9"/>
      <c r="PJ93" s="9"/>
      <c r="PK93" s="9"/>
      <c r="PL93" s="9"/>
      <c r="PM93" s="9"/>
      <c r="PN93" s="9"/>
      <c r="PO93" s="9"/>
      <c r="PP93" s="9"/>
      <c r="PQ93" s="9"/>
      <c r="PR93" s="9"/>
      <c r="PS93" s="9"/>
      <c r="PT93" s="9"/>
      <c r="PU93" s="9"/>
      <c r="PV93" s="9"/>
      <c r="PW93" s="9"/>
      <c r="PX93" s="9"/>
      <c r="PY93" s="9"/>
      <c r="PZ93" s="9"/>
      <c r="QA93" s="9"/>
      <c r="QB93" s="9"/>
      <c r="QC93" s="9"/>
      <c r="QD93" s="9"/>
      <c r="QE93" s="9"/>
      <c r="QF93" s="9"/>
      <c r="QG93" s="9"/>
      <c r="QH93" s="9"/>
      <c r="QI93" s="9"/>
      <c r="QJ93" s="9"/>
      <c r="QK93" s="9"/>
      <c r="QL93" s="9"/>
      <c r="QM93" s="9"/>
      <c r="QN93" s="9"/>
      <c r="QO93" s="9"/>
      <c r="QP93" s="9"/>
      <c r="QQ93" s="67"/>
      <c r="QR93" s="68"/>
      <c r="QS93" s="63"/>
      <c r="QT93" s="71"/>
    </row>
    <row r="94" spans="1:462" s="11" customFormat="1" ht="26" x14ac:dyDescent="0.2">
      <c r="A94" s="9">
        <v>10</v>
      </c>
      <c r="B94" s="9"/>
      <c r="C94" s="9"/>
      <c r="D94" s="9" t="s">
        <v>411</v>
      </c>
      <c r="E94" s="65" t="s">
        <v>522</v>
      </c>
      <c r="F94" s="65"/>
      <c r="G94" s="92" t="s">
        <v>2314</v>
      </c>
      <c r="H94" s="66" t="s">
        <v>1605</v>
      </c>
      <c r="I94" s="9" t="s">
        <v>1098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 t="s">
        <v>1098</v>
      </c>
      <c r="FH94" s="9"/>
      <c r="FI94" s="9" t="s">
        <v>1098</v>
      </c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  <c r="IW94" s="9"/>
      <c r="IX94" s="9"/>
      <c r="IY94" s="9"/>
      <c r="IZ94" s="9"/>
      <c r="JA94" s="9"/>
      <c r="JB94" s="9"/>
      <c r="JC94" s="9"/>
      <c r="JD94" s="9"/>
      <c r="JE94" s="9"/>
      <c r="JF94" s="9"/>
      <c r="JG94" s="9"/>
      <c r="JH94" s="9"/>
      <c r="JI94" s="9"/>
      <c r="JJ94" s="9"/>
      <c r="JK94" s="9"/>
      <c r="JL94" s="9"/>
      <c r="JM94" s="9"/>
      <c r="JN94" s="9"/>
      <c r="JO94" s="9"/>
      <c r="JP94" s="9"/>
      <c r="JQ94" s="9"/>
      <c r="JR94" s="9"/>
      <c r="JS94" s="9"/>
      <c r="JT94" s="9"/>
      <c r="JU94" s="9"/>
      <c r="JV94" s="9"/>
      <c r="JW94" s="9"/>
      <c r="JX94" s="9"/>
      <c r="JY94" s="9"/>
      <c r="JZ94" s="9"/>
      <c r="KA94" s="9"/>
      <c r="KB94" s="9"/>
      <c r="KC94" s="9"/>
      <c r="KD94" s="9"/>
      <c r="KE94" s="9"/>
      <c r="KF94" s="9"/>
      <c r="KG94" s="9"/>
      <c r="KH94" s="9"/>
      <c r="KI94" s="9"/>
      <c r="KJ94" s="9"/>
      <c r="KK94" s="9"/>
      <c r="KL94" s="9"/>
      <c r="KM94" s="9"/>
      <c r="KN94" s="9"/>
      <c r="KO94" s="9"/>
      <c r="KP94" s="9"/>
      <c r="KQ94" s="9"/>
      <c r="KR94" s="9"/>
      <c r="KS94" s="9"/>
      <c r="KT94" s="9"/>
      <c r="KU94" s="9"/>
      <c r="KV94" s="9"/>
      <c r="KW94" s="9"/>
      <c r="KX94" s="9"/>
      <c r="KY94" s="9"/>
      <c r="KZ94" s="9"/>
      <c r="LA94" s="9"/>
      <c r="LB94" s="9"/>
      <c r="LC94" s="9"/>
      <c r="LD94" s="9"/>
      <c r="LE94" s="9"/>
      <c r="LF94" s="9"/>
      <c r="LG94" s="9"/>
      <c r="LH94" s="9"/>
      <c r="LI94" s="9"/>
      <c r="LJ94" s="9"/>
      <c r="LK94" s="9"/>
      <c r="LL94" s="9"/>
      <c r="LM94" s="9"/>
      <c r="LN94" s="9"/>
      <c r="LO94" s="9"/>
      <c r="LP94" s="9"/>
      <c r="LQ94" s="9"/>
      <c r="LR94" s="9"/>
      <c r="LS94" s="9"/>
      <c r="LT94" s="9"/>
      <c r="LU94" s="9"/>
      <c r="LV94" s="9"/>
      <c r="LW94" s="9"/>
      <c r="LX94" s="9"/>
      <c r="LY94" s="9"/>
      <c r="LZ94" s="9"/>
      <c r="MA94" s="9"/>
      <c r="MB94" s="9"/>
      <c r="MC94" s="9"/>
      <c r="MD94" s="9"/>
      <c r="ME94" s="9"/>
      <c r="MF94" s="9"/>
      <c r="MG94" s="9"/>
      <c r="MH94" s="9"/>
      <c r="MI94" s="9"/>
      <c r="MJ94" s="9"/>
      <c r="MK94" s="9"/>
      <c r="ML94" s="9"/>
      <c r="MM94" s="9"/>
      <c r="MN94" s="9"/>
      <c r="MO94" s="9"/>
      <c r="MP94" s="9"/>
      <c r="MQ94" s="9"/>
      <c r="MR94" s="9"/>
      <c r="MS94" s="9"/>
      <c r="MT94" s="9"/>
      <c r="MU94" s="9"/>
      <c r="MV94" s="9"/>
      <c r="MW94" s="9"/>
      <c r="MX94" s="9"/>
      <c r="MY94" s="9"/>
      <c r="MZ94" s="9"/>
      <c r="NA94" s="9"/>
      <c r="NB94" s="9"/>
      <c r="NC94" s="9"/>
      <c r="ND94" s="9"/>
      <c r="NE94" s="9"/>
      <c r="NF94" s="9"/>
      <c r="NG94" s="9"/>
      <c r="NH94" s="9"/>
      <c r="NI94" s="9"/>
      <c r="NJ94" s="9"/>
      <c r="NK94" s="9"/>
      <c r="NL94" s="9"/>
      <c r="NM94" s="9"/>
      <c r="NN94" s="9"/>
      <c r="NO94" s="9"/>
      <c r="NP94" s="9"/>
      <c r="NQ94" s="9"/>
      <c r="NR94" s="9"/>
      <c r="NS94" s="9"/>
      <c r="NT94" s="9"/>
      <c r="NU94" s="9"/>
      <c r="NV94" s="9"/>
      <c r="NW94" s="9"/>
      <c r="NX94" s="9"/>
      <c r="NY94" s="9"/>
      <c r="NZ94" s="9"/>
      <c r="OA94" s="9"/>
      <c r="OB94" s="9"/>
      <c r="OC94" s="9"/>
      <c r="OD94" s="9"/>
      <c r="OE94" s="9"/>
      <c r="OF94" s="9"/>
      <c r="OG94" s="9"/>
      <c r="OH94" s="9"/>
      <c r="OI94" s="9"/>
      <c r="OJ94" s="9"/>
      <c r="OK94" s="9"/>
      <c r="OL94" s="9"/>
      <c r="OM94" s="9"/>
      <c r="ON94" s="9"/>
      <c r="OO94" s="9"/>
      <c r="OP94" s="9"/>
      <c r="OQ94" s="9"/>
      <c r="OR94" s="9"/>
      <c r="OS94" s="9"/>
      <c r="OT94" s="9"/>
      <c r="OU94" s="9"/>
      <c r="OV94" s="9"/>
      <c r="OW94" s="9"/>
      <c r="OX94" s="9"/>
      <c r="OY94" s="9"/>
      <c r="OZ94" s="9"/>
      <c r="PA94" s="9"/>
      <c r="PB94" s="9"/>
      <c r="PC94" s="9"/>
      <c r="PD94" s="9"/>
      <c r="PE94" s="9"/>
      <c r="PF94" s="9"/>
      <c r="PG94" s="9"/>
      <c r="PH94" s="9"/>
      <c r="PI94" s="9"/>
      <c r="PJ94" s="9"/>
      <c r="PK94" s="9"/>
      <c r="PL94" s="9"/>
      <c r="PM94" s="9"/>
      <c r="PN94" s="9"/>
      <c r="PO94" s="9"/>
      <c r="PP94" s="9"/>
      <c r="PQ94" s="9"/>
      <c r="PR94" s="9"/>
      <c r="PS94" s="9"/>
      <c r="PT94" s="9"/>
      <c r="PU94" s="9"/>
      <c r="PV94" s="9"/>
      <c r="PW94" s="9"/>
      <c r="PX94" s="9"/>
      <c r="PY94" s="9"/>
      <c r="PZ94" s="9"/>
      <c r="QA94" s="9"/>
      <c r="QB94" s="9"/>
      <c r="QC94" s="9"/>
      <c r="QD94" s="9"/>
      <c r="QE94" s="9"/>
      <c r="QF94" s="9"/>
      <c r="QG94" s="9"/>
      <c r="QH94" s="9"/>
      <c r="QI94" s="9"/>
      <c r="QJ94" s="9"/>
      <c r="QK94" s="9"/>
      <c r="QL94" s="9"/>
      <c r="QM94" s="9"/>
      <c r="QN94" s="9"/>
      <c r="QO94" s="9"/>
      <c r="QP94" s="9"/>
      <c r="QQ94" s="67"/>
      <c r="QR94" s="68"/>
      <c r="QS94" s="63"/>
      <c r="QT94" s="71"/>
    </row>
    <row r="95" spans="1:462" s="11" customFormat="1" ht="26" x14ac:dyDescent="0.2">
      <c r="A95" s="9">
        <v>10</v>
      </c>
      <c r="B95" s="9"/>
      <c r="C95" s="9"/>
      <c r="D95" s="9" t="s">
        <v>412</v>
      </c>
      <c r="E95" s="65" t="s">
        <v>525</v>
      </c>
      <c r="F95" s="65"/>
      <c r="G95" s="91" t="s">
        <v>2302</v>
      </c>
      <c r="H95" s="66" t="s">
        <v>1598</v>
      </c>
      <c r="I95" s="9" t="s">
        <v>1098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 t="s">
        <v>1098</v>
      </c>
      <c r="FP95" s="9"/>
      <c r="FQ95" s="9" t="s">
        <v>1098</v>
      </c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  <c r="KK95" s="9"/>
      <c r="KL95" s="9"/>
      <c r="KM95" s="9"/>
      <c r="KN95" s="9"/>
      <c r="KO95" s="9"/>
      <c r="KP95" s="9"/>
      <c r="KQ95" s="9"/>
      <c r="KR95" s="9"/>
      <c r="KS95" s="9"/>
      <c r="KT95" s="9"/>
      <c r="KU95" s="9"/>
      <c r="KV95" s="9"/>
      <c r="KW95" s="9"/>
      <c r="KX95" s="9"/>
      <c r="KY95" s="9"/>
      <c r="KZ95" s="9"/>
      <c r="LA95" s="9"/>
      <c r="LB95" s="9"/>
      <c r="LC95" s="9"/>
      <c r="LD95" s="9"/>
      <c r="LE95" s="9"/>
      <c r="LF95" s="9"/>
      <c r="LG95" s="9"/>
      <c r="LH95" s="9"/>
      <c r="LI95" s="9"/>
      <c r="LJ95" s="9"/>
      <c r="LK95" s="9"/>
      <c r="LL95" s="9"/>
      <c r="LM95" s="9"/>
      <c r="LN95" s="9"/>
      <c r="LO95" s="9"/>
      <c r="LP95" s="9"/>
      <c r="LQ95" s="9"/>
      <c r="LR95" s="9"/>
      <c r="LS95" s="9"/>
      <c r="LT95" s="9"/>
      <c r="LU95" s="9"/>
      <c r="LV95" s="9"/>
      <c r="LW95" s="9"/>
      <c r="LX95" s="9"/>
      <c r="LY95" s="9"/>
      <c r="LZ95" s="9"/>
      <c r="MA95" s="9"/>
      <c r="MB95" s="9"/>
      <c r="MC95" s="9"/>
      <c r="MD95" s="9"/>
      <c r="ME95" s="9"/>
      <c r="MF95" s="9"/>
      <c r="MG95" s="9"/>
      <c r="MH95" s="9"/>
      <c r="MI95" s="9"/>
      <c r="MJ95" s="9"/>
      <c r="MK95" s="9"/>
      <c r="ML95" s="9"/>
      <c r="MM95" s="9"/>
      <c r="MN95" s="9"/>
      <c r="MO95" s="9"/>
      <c r="MP95" s="9"/>
      <c r="MQ95" s="9"/>
      <c r="MR95" s="9"/>
      <c r="MS95" s="9"/>
      <c r="MT95" s="9"/>
      <c r="MU95" s="9"/>
      <c r="MV95" s="9"/>
      <c r="MW95" s="9"/>
      <c r="MX95" s="9"/>
      <c r="MY95" s="9"/>
      <c r="MZ95" s="9"/>
      <c r="NA95" s="9"/>
      <c r="NB95" s="9"/>
      <c r="NC95" s="9"/>
      <c r="ND95" s="9"/>
      <c r="NE95" s="9"/>
      <c r="NF95" s="9"/>
      <c r="NG95" s="9"/>
      <c r="NH95" s="9"/>
      <c r="NI95" s="9"/>
      <c r="NJ95" s="9"/>
      <c r="NK95" s="9"/>
      <c r="NL95" s="9"/>
      <c r="NM95" s="9"/>
      <c r="NN95" s="9"/>
      <c r="NO95" s="9"/>
      <c r="NP95" s="9"/>
      <c r="NQ95" s="9"/>
      <c r="NR95" s="9"/>
      <c r="NS95" s="9"/>
      <c r="NT95" s="9"/>
      <c r="NU95" s="9"/>
      <c r="NV95" s="9"/>
      <c r="NW95" s="9"/>
      <c r="NX95" s="9"/>
      <c r="NY95" s="9"/>
      <c r="NZ95" s="9"/>
      <c r="OA95" s="9"/>
      <c r="OB95" s="9"/>
      <c r="OC95" s="9"/>
      <c r="OD95" s="9"/>
      <c r="OE95" s="9"/>
      <c r="OF95" s="9"/>
      <c r="OG95" s="9"/>
      <c r="OH95" s="9"/>
      <c r="OI95" s="9"/>
      <c r="OJ95" s="9"/>
      <c r="OK95" s="9"/>
      <c r="OL95" s="9"/>
      <c r="OM95" s="9"/>
      <c r="ON95" s="9"/>
      <c r="OO95" s="9"/>
      <c r="OP95" s="9"/>
      <c r="OQ95" s="9"/>
      <c r="OR95" s="9"/>
      <c r="OS95" s="9"/>
      <c r="OT95" s="9"/>
      <c r="OU95" s="9"/>
      <c r="OV95" s="9"/>
      <c r="OW95" s="9"/>
      <c r="OX95" s="9"/>
      <c r="OY95" s="9"/>
      <c r="OZ95" s="9"/>
      <c r="PA95" s="9"/>
      <c r="PB95" s="9"/>
      <c r="PC95" s="9"/>
      <c r="PD95" s="9"/>
      <c r="PE95" s="9"/>
      <c r="PF95" s="9"/>
      <c r="PG95" s="9"/>
      <c r="PH95" s="9"/>
      <c r="PI95" s="9"/>
      <c r="PJ95" s="9"/>
      <c r="PK95" s="9"/>
      <c r="PL95" s="9"/>
      <c r="PM95" s="9"/>
      <c r="PN95" s="9"/>
      <c r="PO95" s="9"/>
      <c r="PP95" s="9"/>
      <c r="PQ95" s="9"/>
      <c r="PR95" s="9"/>
      <c r="PS95" s="9"/>
      <c r="PT95" s="9"/>
      <c r="PU95" s="9"/>
      <c r="PV95" s="9"/>
      <c r="PW95" s="9"/>
      <c r="PX95" s="9"/>
      <c r="PY95" s="9"/>
      <c r="PZ95" s="9"/>
      <c r="QA95" s="9"/>
      <c r="QB95" s="9"/>
      <c r="QC95" s="9"/>
      <c r="QD95" s="9"/>
      <c r="QE95" s="9"/>
      <c r="QF95" s="9"/>
      <c r="QG95" s="9"/>
      <c r="QH95" s="9"/>
      <c r="QI95" s="9"/>
      <c r="QJ95" s="9"/>
      <c r="QK95" s="9"/>
      <c r="QL95" s="9"/>
      <c r="QM95" s="9"/>
      <c r="QN95" s="9"/>
      <c r="QO95" s="9"/>
      <c r="QP95" s="9"/>
      <c r="QQ95" s="67"/>
      <c r="QR95" s="68"/>
      <c r="QS95" s="63"/>
      <c r="QT95" s="71"/>
    </row>
    <row r="96" spans="1:462" s="11" customFormat="1" ht="26" x14ac:dyDescent="0.2">
      <c r="A96" s="9">
        <v>10</v>
      </c>
      <c r="B96" s="9"/>
      <c r="C96" s="9"/>
      <c r="D96" s="9" t="s">
        <v>413</v>
      </c>
      <c r="E96" s="65" t="s">
        <v>526</v>
      </c>
      <c r="F96" s="65"/>
      <c r="G96" s="92" t="s">
        <v>2315</v>
      </c>
      <c r="H96" s="66" t="s">
        <v>1606</v>
      </c>
      <c r="I96" s="9" t="s">
        <v>1098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 t="s">
        <v>1098</v>
      </c>
      <c r="FP96" s="9"/>
      <c r="FQ96" s="9" t="s">
        <v>1098</v>
      </c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  <c r="IW96" s="9"/>
      <c r="IX96" s="9"/>
      <c r="IY96" s="9"/>
      <c r="IZ96" s="9"/>
      <c r="JA96" s="9"/>
      <c r="JB96" s="9"/>
      <c r="JC96" s="9"/>
      <c r="JD96" s="9"/>
      <c r="JE96" s="9"/>
      <c r="JF96" s="9"/>
      <c r="JG96" s="9"/>
      <c r="JH96" s="9"/>
      <c r="JI96" s="9"/>
      <c r="JJ96" s="9"/>
      <c r="JK96" s="9"/>
      <c r="JL96" s="9"/>
      <c r="JM96" s="9"/>
      <c r="JN96" s="9"/>
      <c r="JO96" s="9"/>
      <c r="JP96" s="9"/>
      <c r="JQ96" s="9"/>
      <c r="JR96" s="9"/>
      <c r="JS96" s="9"/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  <c r="KK96" s="9"/>
      <c r="KL96" s="9"/>
      <c r="KM96" s="9"/>
      <c r="KN96" s="9"/>
      <c r="KO96" s="9"/>
      <c r="KP96" s="9"/>
      <c r="KQ96" s="9"/>
      <c r="KR96" s="9"/>
      <c r="KS96" s="9"/>
      <c r="KT96" s="9"/>
      <c r="KU96" s="9"/>
      <c r="KV96" s="9"/>
      <c r="KW96" s="9"/>
      <c r="KX96" s="9"/>
      <c r="KY96" s="9"/>
      <c r="KZ96" s="9"/>
      <c r="LA96" s="9"/>
      <c r="LB96" s="9"/>
      <c r="LC96" s="9"/>
      <c r="LD96" s="9"/>
      <c r="LE96" s="9"/>
      <c r="LF96" s="9"/>
      <c r="LG96" s="9"/>
      <c r="LH96" s="9"/>
      <c r="LI96" s="9"/>
      <c r="LJ96" s="9"/>
      <c r="LK96" s="9"/>
      <c r="LL96" s="9"/>
      <c r="LM96" s="9"/>
      <c r="LN96" s="9"/>
      <c r="LO96" s="9"/>
      <c r="LP96" s="9"/>
      <c r="LQ96" s="9"/>
      <c r="LR96" s="9"/>
      <c r="LS96" s="9"/>
      <c r="LT96" s="9"/>
      <c r="LU96" s="9"/>
      <c r="LV96" s="9"/>
      <c r="LW96" s="9"/>
      <c r="LX96" s="9"/>
      <c r="LY96" s="9"/>
      <c r="LZ96" s="9"/>
      <c r="MA96" s="9"/>
      <c r="MB96" s="9"/>
      <c r="MC96" s="9"/>
      <c r="MD96" s="9"/>
      <c r="ME96" s="9"/>
      <c r="MF96" s="9"/>
      <c r="MG96" s="9"/>
      <c r="MH96" s="9"/>
      <c r="MI96" s="9"/>
      <c r="MJ96" s="9"/>
      <c r="MK96" s="9"/>
      <c r="ML96" s="9"/>
      <c r="MM96" s="9"/>
      <c r="MN96" s="9"/>
      <c r="MO96" s="9"/>
      <c r="MP96" s="9"/>
      <c r="MQ96" s="9"/>
      <c r="MR96" s="9"/>
      <c r="MS96" s="9"/>
      <c r="MT96" s="9"/>
      <c r="MU96" s="9"/>
      <c r="MV96" s="9"/>
      <c r="MW96" s="9"/>
      <c r="MX96" s="9"/>
      <c r="MY96" s="9"/>
      <c r="MZ96" s="9"/>
      <c r="NA96" s="9"/>
      <c r="NB96" s="9"/>
      <c r="NC96" s="9"/>
      <c r="ND96" s="9"/>
      <c r="NE96" s="9"/>
      <c r="NF96" s="9"/>
      <c r="NG96" s="9"/>
      <c r="NH96" s="9"/>
      <c r="NI96" s="9"/>
      <c r="NJ96" s="9"/>
      <c r="NK96" s="9"/>
      <c r="NL96" s="9"/>
      <c r="NM96" s="9"/>
      <c r="NN96" s="9"/>
      <c r="NO96" s="9"/>
      <c r="NP96" s="9"/>
      <c r="NQ96" s="9"/>
      <c r="NR96" s="9"/>
      <c r="NS96" s="9"/>
      <c r="NT96" s="9"/>
      <c r="NU96" s="9"/>
      <c r="NV96" s="9"/>
      <c r="NW96" s="9"/>
      <c r="NX96" s="9"/>
      <c r="NY96" s="9"/>
      <c r="NZ96" s="9"/>
      <c r="OA96" s="9"/>
      <c r="OB96" s="9"/>
      <c r="OC96" s="9"/>
      <c r="OD96" s="9"/>
      <c r="OE96" s="9"/>
      <c r="OF96" s="9"/>
      <c r="OG96" s="9"/>
      <c r="OH96" s="9"/>
      <c r="OI96" s="9"/>
      <c r="OJ96" s="9"/>
      <c r="OK96" s="9"/>
      <c r="OL96" s="9"/>
      <c r="OM96" s="9"/>
      <c r="ON96" s="9"/>
      <c r="OO96" s="9"/>
      <c r="OP96" s="9"/>
      <c r="OQ96" s="9"/>
      <c r="OR96" s="9"/>
      <c r="OS96" s="9"/>
      <c r="OT96" s="9"/>
      <c r="OU96" s="9"/>
      <c r="OV96" s="9"/>
      <c r="OW96" s="9"/>
      <c r="OX96" s="9"/>
      <c r="OY96" s="9"/>
      <c r="OZ96" s="9"/>
      <c r="PA96" s="9"/>
      <c r="PB96" s="9"/>
      <c r="PC96" s="9"/>
      <c r="PD96" s="9"/>
      <c r="PE96" s="9"/>
      <c r="PF96" s="9"/>
      <c r="PG96" s="9"/>
      <c r="PH96" s="9"/>
      <c r="PI96" s="9"/>
      <c r="PJ96" s="9"/>
      <c r="PK96" s="9"/>
      <c r="PL96" s="9"/>
      <c r="PM96" s="9"/>
      <c r="PN96" s="9"/>
      <c r="PO96" s="9"/>
      <c r="PP96" s="9"/>
      <c r="PQ96" s="9"/>
      <c r="PR96" s="9"/>
      <c r="PS96" s="9"/>
      <c r="PT96" s="9"/>
      <c r="PU96" s="9"/>
      <c r="PV96" s="9"/>
      <c r="PW96" s="9"/>
      <c r="PX96" s="9"/>
      <c r="PY96" s="9"/>
      <c r="PZ96" s="9"/>
      <c r="QA96" s="9"/>
      <c r="QB96" s="9"/>
      <c r="QC96" s="9"/>
      <c r="QD96" s="9"/>
      <c r="QE96" s="9"/>
      <c r="QF96" s="9"/>
      <c r="QG96" s="9"/>
      <c r="QH96" s="9"/>
      <c r="QI96" s="9"/>
      <c r="QJ96" s="9"/>
      <c r="QK96" s="9"/>
      <c r="QL96" s="9"/>
      <c r="QM96" s="9"/>
      <c r="QN96" s="9"/>
      <c r="QO96" s="9"/>
      <c r="QP96" s="9"/>
      <c r="QQ96" s="67"/>
      <c r="QR96" s="68"/>
      <c r="QS96" s="63"/>
      <c r="QT96" s="71"/>
    </row>
    <row r="97" spans="1:462" s="11" customFormat="1" x14ac:dyDescent="0.2">
      <c r="A97" s="9">
        <v>10</v>
      </c>
      <c r="B97" s="9"/>
      <c r="C97" s="9"/>
      <c r="D97" s="9" t="s">
        <v>414</v>
      </c>
      <c r="E97" s="65" t="s">
        <v>47</v>
      </c>
      <c r="F97" s="65"/>
      <c r="G97" s="92" t="s">
        <v>2316</v>
      </c>
      <c r="H97" s="66" t="s">
        <v>1607</v>
      </c>
      <c r="I97" s="9" t="s">
        <v>1098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 t="s">
        <v>1098</v>
      </c>
      <c r="FP97" s="9"/>
      <c r="FQ97" s="9" t="s">
        <v>1098</v>
      </c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  <c r="LW97" s="9"/>
      <c r="LX97" s="9"/>
      <c r="LY97" s="9"/>
      <c r="LZ97" s="9"/>
      <c r="MA97" s="9"/>
      <c r="MB97" s="9"/>
      <c r="MC97" s="9"/>
      <c r="MD97" s="9"/>
      <c r="ME97" s="9"/>
      <c r="MF97" s="9"/>
      <c r="MG97" s="9"/>
      <c r="MH97" s="9"/>
      <c r="MI97" s="9"/>
      <c r="MJ97" s="9"/>
      <c r="MK97" s="9"/>
      <c r="ML97" s="9"/>
      <c r="MM97" s="9"/>
      <c r="MN97" s="9"/>
      <c r="MO97" s="9"/>
      <c r="MP97" s="9"/>
      <c r="MQ97" s="9"/>
      <c r="MR97" s="9"/>
      <c r="MS97" s="9"/>
      <c r="MT97" s="9"/>
      <c r="MU97" s="9"/>
      <c r="MV97" s="9"/>
      <c r="MW97" s="9"/>
      <c r="MX97" s="9"/>
      <c r="MY97" s="9"/>
      <c r="MZ97" s="9"/>
      <c r="NA97" s="9"/>
      <c r="NB97" s="9"/>
      <c r="NC97" s="9"/>
      <c r="ND97" s="9"/>
      <c r="NE97" s="9"/>
      <c r="NF97" s="9"/>
      <c r="NG97" s="9"/>
      <c r="NH97" s="9"/>
      <c r="NI97" s="9"/>
      <c r="NJ97" s="9"/>
      <c r="NK97" s="9"/>
      <c r="NL97" s="9"/>
      <c r="NM97" s="9"/>
      <c r="NN97" s="9"/>
      <c r="NO97" s="9"/>
      <c r="NP97" s="9"/>
      <c r="NQ97" s="9"/>
      <c r="NR97" s="9"/>
      <c r="NS97" s="9"/>
      <c r="NT97" s="9"/>
      <c r="NU97" s="9"/>
      <c r="NV97" s="9"/>
      <c r="NW97" s="9"/>
      <c r="NX97" s="9"/>
      <c r="NY97" s="9"/>
      <c r="NZ97" s="9"/>
      <c r="OA97" s="9"/>
      <c r="OB97" s="9"/>
      <c r="OC97" s="9"/>
      <c r="OD97" s="9"/>
      <c r="OE97" s="9"/>
      <c r="OF97" s="9"/>
      <c r="OG97" s="9"/>
      <c r="OH97" s="9"/>
      <c r="OI97" s="9"/>
      <c r="OJ97" s="9"/>
      <c r="OK97" s="9"/>
      <c r="OL97" s="9"/>
      <c r="OM97" s="9"/>
      <c r="ON97" s="9"/>
      <c r="OO97" s="9"/>
      <c r="OP97" s="9"/>
      <c r="OQ97" s="9"/>
      <c r="OR97" s="9"/>
      <c r="OS97" s="9"/>
      <c r="OT97" s="9"/>
      <c r="OU97" s="9"/>
      <c r="OV97" s="9"/>
      <c r="OW97" s="9"/>
      <c r="OX97" s="9"/>
      <c r="OY97" s="9"/>
      <c r="OZ97" s="9"/>
      <c r="PA97" s="9"/>
      <c r="PB97" s="9"/>
      <c r="PC97" s="9"/>
      <c r="PD97" s="9"/>
      <c r="PE97" s="9"/>
      <c r="PF97" s="9"/>
      <c r="PG97" s="9"/>
      <c r="PH97" s="9"/>
      <c r="PI97" s="9"/>
      <c r="PJ97" s="9"/>
      <c r="PK97" s="9"/>
      <c r="PL97" s="9"/>
      <c r="PM97" s="9"/>
      <c r="PN97" s="9"/>
      <c r="PO97" s="9"/>
      <c r="PP97" s="9"/>
      <c r="PQ97" s="9"/>
      <c r="PR97" s="9"/>
      <c r="PS97" s="9"/>
      <c r="PT97" s="9"/>
      <c r="PU97" s="9"/>
      <c r="PV97" s="9"/>
      <c r="PW97" s="9"/>
      <c r="PX97" s="9"/>
      <c r="PY97" s="9"/>
      <c r="PZ97" s="9"/>
      <c r="QA97" s="9"/>
      <c r="QB97" s="9"/>
      <c r="QC97" s="9"/>
      <c r="QD97" s="9"/>
      <c r="QE97" s="9"/>
      <c r="QF97" s="9"/>
      <c r="QG97" s="9"/>
      <c r="QH97" s="9"/>
      <c r="QI97" s="9"/>
      <c r="QJ97" s="9"/>
      <c r="QK97" s="9"/>
      <c r="QL97" s="9"/>
      <c r="QM97" s="9"/>
      <c r="QN97" s="9"/>
      <c r="QO97" s="9"/>
      <c r="QP97" s="9"/>
      <c r="QQ97" s="67"/>
      <c r="QR97" s="68"/>
      <c r="QS97" s="63"/>
      <c r="QT97" s="71"/>
    </row>
    <row r="98" spans="1:462" s="11" customFormat="1" x14ac:dyDescent="0.2">
      <c r="A98" s="9">
        <v>10</v>
      </c>
      <c r="B98" s="9"/>
      <c r="C98" s="9"/>
      <c r="D98" s="9" t="s">
        <v>665</v>
      </c>
      <c r="E98" s="65" t="s">
        <v>47</v>
      </c>
      <c r="F98" s="65"/>
      <c r="G98" s="92" t="s">
        <v>2317</v>
      </c>
      <c r="H98" s="66" t="s">
        <v>1608</v>
      </c>
      <c r="I98" s="9" t="s">
        <v>1098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 t="s">
        <v>1098</v>
      </c>
      <c r="FP98" s="9"/>
      <c r="FQ98" s="9" t="s">
        <v>1098</v>
      </c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9"/>
      <c r="KZ98" s="9"/>
      <c r="LA98" s="9"/>
      <c r="LB98" s="9"/>
      <c r="LC98" s="9"/>
      <c r="LD98" s="9"/>
      <c r="LE98" s="9"/>
      <c r="LF98" s="9"/>
      <c r="LG98" s="9"/>
      <c r="LH98" s="9"/>
      <c r="LI98" s="9"/>
      <c r="LJ98" s="9"/>
      <c r="LK98" s="9"/>
      <c r="LL98" s="9"/>
      <c r="LM98" s="9"/>
      <c r="LN98" s="9"/>
      <c r="LO98" s="9"/>
      <c r="LP98" s="9"/>
      <c r="LQ98" s="9"/>
      <c r="LR98" s="9"/>
      <c r="LS98" s="9"/>
      <c r="LT98" s="9"/>
      <c r="LU98" s="9"/>
      <c r="LV98" s="9"/>
      <c r="LW98" s="9"/>
      <c r="LX98" s="9"/>
      <c r="LY98" s="9"/>
      <c r="LZ98" s="9"/>
      <c r="MA98" s="9"/>
      <c r="MB98" s="9"/>
      <c r="MC98" s="9"/>
      <c r="MD98" s="9"/>
      <c r="ME98" s="9"/>
      <c r="MF98" s="9"/>
      <c r="MG98" s="9"/>
      <c r="MH98" s="9"/>
      <c r="MI98" s="9"/>
      <c r="MJ98" s="9"/>
      <c r="MK98" s="9"/>
      <c r="ML98" s="9"/>
      <c r="MM98" s="9"/>
      <c r="MN98" s="9"/>
      <c r="MO98" s="9"/>
      <c r="MP98" s="9"/>
      <c r="MQ98" s="9"/>
      <c r="MR98" s="9"/>
      <c r="MS98" s="9"/>
      <c r="MT98" s="9"/>
      <c r="MU98" s="9"/>
      <c r="MV98" s="9"/>
      <c r="MW98" s="9"/>
      <c r="MX98" s="9"/>
      <c r="MY98" s="9"/>
      <c r="MZ98" s="9"/>
      <c r="NA98" s="9"/>
      <c r="NB98" s="9"/>
      <c r="NC98" s="9"/>
      <c r="ND98" s="9"/>
      <c r="NE98" s="9"/>
      <c r="NF98" s="9"/>
      <c r="NG98" s="9"/>
      <c r="NH98" s="9"/>
      <c r="NI98" s="9"/>
      <c r="NJ98" s="9"/>
      <c r="NK98" s="9"/>
      <c r="NL98" s="9"/>
      <c r="NM98" s="9"/>
      <c r="NN98" s="9"/>
      <c r="NO98" s="9"/>
      <c r="NP98" s="9"/>
      <c r="NQ98" s="9"/>
      <c r="NR98" s="9"/>
      <c r="NS98" s="9"/>
      <c r="NT98" s="9"/>
      <c r="NU98" s="9"/>
      <c r="NV98" s="9"/>
      <c r="NW98" s="9"/>
      <c r="NX98" s="9"/>
      <c r="NY98" s="9"/>
      <c r="NZ98" s="9"/>
      <c r="OA98" s="9"/>
      <c r="OB98" s="9"/>
      <c r="OC98" s="9"/>
      <c r="OD98" s="9"/>
      <c r="OE98" s="9"/>
      <c r="OF98" s="9"/>
      <c r="OG98" s="9"/>
      <c r="OH98" s="9"/>
      <c r="OI98" s="9"/>
      <c r="OJ98" s="9"/>
      <c r="OK98" s="9"/>
      <c r="OL98" s="9"/>
      <c r="OM98" s="9"/>
      <c r="ON98" s="9"/>
      <c r="OO98" s="9"/>
      <c r="OP98" s="9"/>
      <c r="OQ98" s="9"/>
      <c r="OR98" s="9"/>
      <c r="OS98" s="9"/>
      <c r="OT98" s="9"/>
      <c r="OU98" s="9"/>
      <c r="OV98" s="9"/>
      <c r="OW98" s="9"/>
      <c r="OX98" s="9"/>
      <c r="OY98" s="9"/>
      <c r="OZ98" s="9"/>
      <c r="PA98" s="9"/>
      <c r="PB98" s="9"/>
      <c r="PC98" s="9"/>
      <c r="PD98" s="9"/>
      <c r="PE98" s="9"/>
      <c r="PF98" s="9"/>
      <c r="PG98" s="9"/>
      <c r="PH98" s="9"/>
      <c r="PI98" s="9"/>
      <c r="PJ98" s="9"/>
      <c r="PK98" s="9"/>
      <c r="PL98" s="9"/>
      <c r="PM98" s="9"/>
      <c r="PN98" s="9"/>
      <c r="PO98" s="9"/>
      <c r="PP98" s="9"/>
      <c r="PQ98" s="9"/>
      <c r="PR98" s="9"/>
      <c r="PS98" s="9"/>
      <c r="PT98" s="9"/>
      <c r="PU98" s="9"/>
      <c r="PV98" s="9"/>
      <c r="PW98" s="9"/>
      <c r="PX98" s="9"/>
      <c r="PY98" s="9"/>
      <c r="PZ98" s="9"/>
      <c r="QA98" s="9"/>
      <c r="QB98" s="9"/>
      <c r="QC98" s="9"/>
      <c r="QD98" s="9"/>
      <c r="QE98" s="9"/>
      <c r="QF98" s="9"/>
      <c r="QG98" s="9"/>
      <c r="QH98" s="9"/>
      <c r="QI98" s="9"/>
      <c r="QJ98" s="9"/>
      <c r="QK98" s="9"/>
      <c r="QL98" s="9"/>
      <c r="QM98" s="9"/>
      <c r="QN98" s="9"/>
      <c r="QO98" s="9"/>
      <c r="QP98" s="9"/>
      <c r="QQ98" s="67"/>
      <c r="QR98" s="68"/>
      <c r="QS98" s="63"/>
      <c r="QT98" s="71"/>
    </row>
    <row r="99" spans="1:462" s="11" customFormat="1" x14ac:dyDescent="0.2">
      <c r="A99" s="9">
        <v>10</v>
      </c>
      <c r="B99" s="9"/>
      <c r="C99" s="9"/>
      <c r="D99" s="9" t="s">
        <v>666</v>
      </c>
      <c r="E99" s="65" t="s">
        <v>47</v>
      </c>
      <c r="F99" s="65"/>
      <c r="G99" s="92" t="s">
        <v>2318</v>
      </c>
      <c r="H99" s="66" t="s">
        <v>1609</v>
      </c>
      <c r="I99" s="9" t="s">
        <v>1098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 t="s">
        <v>1098</v>
      </c>
      <c r="FP99" s="9"/>
      <c r="FQ99" s="9" t="s">
        <v>1098</v>
      </c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9"/>
      <c r="KZ99" s="9"/>
      <c r="LA99" s="9"/>
      <c r="LB99" s="9"/>
      <c r="LC99" s="9"/>
      <c r="LD99" s="9"/>
      <c r="LE99" s="9"/>
      <c r="LF99" s="9"/>
      <c r="LG99" s="9"/>
      <c r="LH99" s="9"/>
      <c r="LI99" s="9"/>
      <c r="LJ99" s="9"/>
      <c r="LK99" s="9"/>
      <c r="LL99" s="9"/>
      <c r="LM99" s="9"/>
      <c r="LN99" s="9"/>
      <c r="LO99" s="9"/>
      <c r="LP99" s="9"/>
      <c r="LQ99" s="9"/>
      <c r="LR99" s="9"/>
      <c r="LS99" s="9"/>
      <c r="LT99" s="9"/>
      <c r="LU99" s="9"/>
      <c r="LV99" s="9"/>
      <c r="LW99" s="9"/>
      <c r="LX99" s="9"/>
      <c r="LY99" s="9"/>
      <c r="LZ99" s="9"/>
      <c r="MA99" s="9"/>
      <c r="MB99" s="9"/>
      <c r="MC99" s="9"/>
      <c r="MD99" s="9"/>
      <c r="ME99" s="9"/>
      <c r="MF99" s="9"/>
      <c r="MG99" s="9"/>
      <c r="MH99" s="9"/>
      <c r="MI99" s="9"/>
      <c r="MJ99" s="9"/>
      <c r="MK99" s="9"/>
      <c r="ML99" s="9"/>
      <c r="MM99" s="9"/>
      <c r="MN99" s="9"/>
      <c r="MO99" s="9"/>
      <c r="MP99" s="9"/>
      <c r="MQ99" s="9"/>
      <c r="MR99" s="9"/>
      <c r="MS99" s="9"/>
      <c r="MT99" s="9"/>
      <c r="MU99" s="9"/>
      <c r="MV99" s="9"/>
      <c r="MW99" s="9"/>
      <c r="MX99" s="9"/>
      <c r="MY99" s="9"/>
      <c r="MZ99" s="9"/>
      <c r="NA99" s="9"/>
      <c r="NB99" s="9"/>
      <c r="NC99" s="9"/>
      <c r="ND99" s="9"/>
      <c r="NE99" s="9"/>
      <c r="NF99" s="9"/>
      <c r="NG99" s="9"/>
      <c r="NH99" s="9"/>
      <c r="NI99" s="9"/>
      <c r="NJ99" s="9"/>
      <c r="NK99" s="9"/>
      <c r="NL99" s="9"/>
      <c r="NM99" s="9"/>
      <c r="NN99" s="9"/>
      <c r="NO99" s="9"/>
      <c r="NP99" s="9"/>
      <c r="NQ99" s="9"/>
      <c r="NR99" s="9"/>
      <c r="NS99" s="9"/>
      <c r="NT99" s="9"/>
      <c r="NU99" s="9"/>
      <c r="NV99" s="9"/>
      <c r="NW99" s="9"/>
      <c r="NX99" s="9"/>
      <c r="NY99" s="9"/>
      <c r="NZ99" s="9"/>
      <c r="OA99" s="9"/>
      <c r="OB99" s="9"/>
      <c r="OC99" s="9"/>
      <c r="OD99" s="9"/>
      <c r="OE99" s="9"/>
      <c r="OF99" s="9"/>
      <c r="OG99" s="9"/>
      <c r="OH99" s="9"/>
      <c r="OI99" s="9"/>
      <c r="OJ99" s="9"/>
      <c r="OK99" s="9"/>
      <c r="OL99" s="9"/>
      <c r="OM99" s="9"/>
      <c r="ON99" s="9"/>
      <c r="OO99" s="9"/>
      <c r="OP99" s="9"/>
      <c r="OQ99" s="9"/>
      <c r="OR99" s="9"/>
      <c r="OS99" s="9"/>
      <c r="OT99" s="9"/>
      <c r="OU99" s="9"/>
      <c r="OV99" s="9"/>
      <c r="OW99" s="9"/>
      <c r="OX99" s="9"/>
      <c r="OY99" s="9"/>
      <c r="OZ99" s="9"/>
      <c r="PA99" s="9"/>
      <c r="PB99" s="9"/>
      <c r="PC99" s="9"/>
      <c r="PD99" s="9"/>
      <c r="PE99" s="9"/>
      <c r="PF99" s="9"/>
      <c r="PG99" s="9"/>
      <c r="PH99" s="9"/>
      <c r="PI99" s="9"/>
      <c r="PJ99" s="9"/>
      <c r="PK99" s="9"/>
      <c r="PL99" s="9"/>
      <c r="PM99" s="9"/>
      <c r="PN99" s="9"/>
      <c r="PO99" s="9"/>
      <c r="PP99" s="9"/>
      <c r="PQ99" s="9"/>
      <c r="PR99" s="9"/>
      <c r="PS99" s="9"/>
      <c r="PT99" s="9"/>
      <c r="PU99" s="9"/>
      <c r="PV99" s="9"/>
      <c r="PW99" s="9"/>
      <c r="PX99" s="9"/>
      <c r="PY99" s="9"/>
      <c r="PZ99" s="9"/>
      <c r="QA99" s="9"/>
      <c r="QB99" s="9"/>
      <c r="QC99" s="9"/>
      <c r="QD99" s="9"/>
      <c r="QE99" s="9"/>
      <c r="QF99" s="9"/>
      <c r="QG99" s="9"/>
      <c r="QH99" s="9"/>
      <c r="QI99" s="9"/>
      <c r="QJ99" s="9"/>
      <c r="QK99" s="9"/>
      <c r="QL99" s="9"/>
      <c r="QM99" s="9"/>
      <c r="QN99" s="9"/>
      <c r="QO99" s="9"/>
      <c r="QP99" s="9"/>
      <c r="QQ99" s="67"/>
      <c r="QR99" s="68"/>
      <c r="QS99" s="63"/>
      <c r="QT99" s="71"/>
    </row>
    <row r="100" spans="1:462" s="11" customFormat="1" x14ac:dyDescent="0.2">
      <c r="A100" s="9">
        <v>10</v>
      </c>
      <c r="B100" s="9"/>
      <c r="C100" s="9"/>
      <c r="D100" s="9" t="s">
        <v>415</v>
      </c>
      <c r="E100" s="65" t="s">
        <v>47</v>
      </c>
      <c r="F100" s="65"/>
      <c r="G100" s="92" t="s">
        <v>2319</v>
      </c>
      <c r="H100" s="66" t="s">
        <v>1610</v>
      </c>
      <c r="I100" s="9" t="s">
        <v>1098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 t="s">
        <v>1098</v>
      </c>
      <c r="FP100" s="9"/>
      <c r="FQ100" s="9" t="s">
        <v>1098</v>
      </c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  <c r="IX100" s="9"/>
      <c r="IY100" s="9"/>
      <c r="IZ100" s="9"/>
      <c r="JA100" s="9"/>
      <c r="JB100" s="9"/>
      <c r="JC100" s="9"/>
      <c r="JD100" s="9"/>
      <c r="JE100" s="9"/>
      <c r="JF100" s="9"/>
      <c r="JG100" s="9"/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  <c r="KM100" s="9"/>
      <c r="KN100" s="9"/>
      <c r="KO100" s="9"/>
      <c r="KP100" s="9"/>
      <c r="KQ100" s="9"/>
      <c r="KR100" s="9"/>
      <c r="KS100" s="9"/>
      <c r="KT100" s="9"/>
      <c r="KU100" s="9"/>
      <c r="KV100" s="9"/>
      <c r="KW100" s="9"/>
      <c r="KX100" s="9"/>
      <c r="KY100" s="9"/>
      <c r="KZ100" s="9"/>
      <c r="LA100" s="9"/>
      <c r="LB100" s="9"/>
      <c r="LC100" s="9"/>
      <c r="LD100" s="9"/>
      <c r="LE100" s="9"/>
      <c r="LF100" s="9"/>
      <c r="LG100" s="9"/>
      <c r="LH100" s="9"/>
      <c r="LI100" s="9"/>
      <c r="LJ100" s="9"/>
      <c r="LK100" s="9"/>
      <c r="LL100" s="9"/>
      <c r="LM100" s="9"/>
      <c r="LN100" s="9"/>
      <c r="LO100" s="9"/>
      <c r="LP100" s="9"/>
      <c r="LQ100" s="9"/>
      <c r="LR100" s="9"/>
      <c r="LS100" s="9"/>
      <c r="LT100" s="9"/>
      <c r="LU100" s="9"/>
      <c r="LV100" s="9"/>
      <c r="LW100" s="9"/>
      <c r="LX100" s="9"/>
      <c r="LY100" s="9"/>
      <c r="LZ100" s="9"/>
      <c r="MA100" s="9"/>
      <c r="MB100" s="9"/>
      <c r="MC100" s="9"/>
      <c r="MD100" s="9"/>
      <c r="ME100" s="9"/>
      <c r="MF100" s="9"/>
      <c r="MG100" s="9"/>
      <c r="MH100" s="9"/>
      <c r="MI100" s="9"/>
      <c r="MJ100" s="9"/>
      <c r="MK100" s="9"/>
      <c r="ML100" s="9"/>
      <c r="MM100" s="9"/>
      <c r="MN100" s="9"/>
      <c r="MO100" s="9"/>
      <c r="MP100" s="9"/>
      <c r="MQ100" s="9"/>
      <c r="MR100" s="9"/>
      <c r="MS100" s="9"/>
      <c r="MT100" s="9"/>
      <c r="MU100" s="9"/>
      <c r="MV100" s="9"/>
      <c r="MW100" s="9"/>
      <c r="MX100" s="9"/>
      <c r="MY100" s="9"/>
      <c r="MZ100" s="9"/>
      <c r="NA100" s="9"/>
      <c r="NB100" s="9"/>
      <c r="NC100" s="9"/>
      <c r="ND100" s="9"/>
      <c r="NE100" s="9"/>
      <c r="NF100" s="9"/>
      <c r="NG100" s="9"/>
      <c r="NH100" s="9"/>
      <c r="NI100" s="9"/>
      <c r="NJ100" s="9"/>
      <c r="NK100" s="9"/>
      <c r="NL100" s="9"/>
      <c r="NM100" s="9"/>
      <c r="NN100" s="9"/>
      <c r="NO100" s="9"/>
      <c r="NP100" s="9"/>
      <c r="NQ100" s="9"/>
      <c r="NR100" s="9"/>
      <c r="NS100" s="9"/>
      <c r="NT100" s="9"/>
      <c r="NU100" s="9"/>
      <c r="NV100" s="9"/>
      <c r="NW100" s="9"/>
      <c r="NX100" s="9"/>
      <c r="NY100" s="9"/>
      <c r="NZ100" s="9"/>
      <c r="OA100" s="9"/>
      <c r="OB100" s="9"/>
      <c r="OC100" s="9"/>
      <c r="OD100" s="9"/>
      <c r="OE100" s="9"/>
      <c r="OF100" s="9"/>
      <c r="OG100" s="9"/>
      <c r="OH100" s="9"/>
      <c r="OI100" s="9"/>
      <c r="OJ100" s="9"/>
      <c r="OK100" s="9"/>
      <c r="OL100" s="9"/>
      <c r="OM100" s="9"/>
      <c r="ON100" s="9"/>
      <c r="OO100" s="9"/>
      <c r="OP100" s="9"/>
      <c r="OQ100" s="9"/>
      <c r="OR100" s="9"/>
      <c r="OS100" s="9"/>
      <c r="OT100" s="9"/>
      <c r="OU100" s="9"/>
      <c r="OV100" s="9"/>
      <c r="OW100" s="9"/>
      <c r="OX100" s="9"/>
      <c r="OY100" s="9"/>
      <c r="OZ100" s="9"/>
      <c r="PA100" s="9"/>
      <c r="PB100" s="9"/>
      <c r="PC100" s="9"/>
      <c r="PD100" s="9"/>
      <c r="PE100" s="9"/>
      <c r="PF100" s="9"/>
      <c r="PG100" s="9"/>
      <c r="PH100" s="9"/>
      <c r="PI100" s="9"/>
      <c r="PJ100" s="9"/>
      <c r="PK100" s="9"/>
      <c r="PL100" s="9"/>
      <c r="PM100" s="9"/>
      <c r="PN100" s="9"/>
      <c r="PO100" s="9"/>
      <c r="PP100" s="9"/>
      <c r="PQ100" s="9"/>
      <c r="PR100" s="9"/>
      <c r="PS100" s="9"/>
      <c r="PT100" s="9"/>
      <c r="PU100" s="9"/>
      <c r="PV100" s="9"/>
      <c r="PW100" s="9"/>
      <c r="PX100" s="9"/>
      <c r="PY100" s="9"/>
      <c r="PZ100" s="9"/>
      <c r="QA100" s="9"/>
      <c r="QB100" s="9"/>
      <c r="QC100" s="9"/>
      <c r="QD100" s="9"/>
      <c r="QE100" s="9"/>
      <c r="QF100" s="9"/>
      <c r="QG100" s="9"/>
      <c r="QH100" s="9"/>
      <c r="QI100" s="9"/>
      <c r="QJ100" s="9"/>
      <c r="QK100" s="9"/>
      <c r="QL100" s="9"/>
      <c r="QM100" s="9"/>
      <c r="QN100" s="9"/>
      <c r="QO100" s="9"/>
      <c r="QP100" s="9"/>
      <c r="QQ100" s="67"/>
      <c r="QR100" s="68"/>
      <c r="QS100" s="63"/>
      <c r="QT100" s="71"/>
    </row>
    <row r="101" spans="1:462" s="11" customFormat="1" x14ac:dyDescent="0.2">
      <c r="A101" s="9">
        <v>10</v>
      </c>
      <c r="B101" s="9"/>
      <c r="C101" s="9"/>
      <c r="D101" s="9" t="s">
        <v>416</v>
      </c>
      <c r="E101" s="65" t="s">
        <v>47</v>
      </c>
      <c r="F101" s="65"/>
      <c r="G101" s="92" t="s">
        <v>2320</v>
      </c>
      <c r="H101" s="66" t="s">
        <v>1611</v>
      </c>
      <c r="I101" s="9" t="s">
        <v>1098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 t="s">
        <v>1098</v>
      </c>
      <c r="FP101" s="9"/>
      <c r="FQ101" s="9" t="s">
        <v>1098</v>
      </c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  <c r="IX101" s="9"/>
      <c r="IY101" s="9"/>
      <c r="IZ101" s="9"/>
      <c r="JA101" s="9"/>
      <c r="JB101" s="9"/>
      <c r="JC101" s="9"/>
      <c r="JD101" s="9"/>
      <c r="JE101" s="9"/>
      <c r="JF101" s="9"/>
      <c r="JG101" s="9"/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  <c r="KM101" s="9"/>
      <c r="KN101" s="9"/>
      <c r="KO101" s="9"/>
      <c r="KP101" s="9"/>
      <c r="KQ101" s="9"/>
      <c r="KR101" s="9"/>
      <c r="KS101" s="9"/>
      <c r="KT101" s="9"/>
      <c r="KU101" s="9"/>
      <c r="KV101" s="9"/>
      <c r="KW101" s="9"/>
      <c r="KX101" s="9"/>
      <c r="KY101" s="9"/>
      <c r="KZ101" s="9"/>
      <c r="LA101" s="9"/>
      <c r="LB101" s="9"/>
      <c r="LC101" s="9"/>
      <c r="LD101" s="9"/>
      <c r="LE101" s="9"/>
      <c r="LF101" s="9"/>
      <c r="LG101" s="9"/>
      <c r="LH101" s="9"/>
      <c r="LI101" s="9"/>
      <c r="LJ101" s="9"/>
      <c r="LK101" s="9"/>
      <c r="LL101" s="9"/>
      <c r="LM101" s="9"/>
      <c r="LN101" s="9"/>
      <c r="LO101" s="9"/>
      <c r="LP101" s="9"/>
      <c r="LQ101" s="9"/>
      <c r="LR101" s="9"/>
      <c r="LS101" s="9"/>
      <c r="LT101" s="9"/>
      <c r="LU101" s="9"/>
      <c r="LV101" s="9"/>
      <c r="LW101" s="9"/>
      <c r="LX101" s="9"/>
      <c r="LY101" s="9"/>
      <c r="LZ101" s="9"/>
      <c r="MA101" s="9"/>
      <c r="MB101" s="9"/>
      <c r="MC101" s="9"/>
      <c r="MD101" s="9"/>
      <c r="ME101" s="9"/>
      <c r="MF101" s="9"/>
      <c r="MG101" s="9"/>
      <c r="MH101" s="9"/>
      <c r="MI101" s="9"/>
      <c r="MJ101" s="9"/>
      <c r="MK101" s="9"/>
      <c r="ML101" s="9"/>
      <c r="MM101" s="9"/>
      <c r="MN101" s="9"/>
      <c r="MO101" s="9"/>
      <c r="MP101" s="9"/>
      <c r="MQ101" s="9"/>
      <c r="MR101" s="9"/>
      <c r="MS101" s="9"/>
      <c r="MT101" s="9"/>
      <c r="MU101" s="9"/>
      <c r="MV101" s="9"/>
      <c r="MW101" s="9"/>
      <c r="MX101" s="9"/>
      <c r="MY101" s="9"/>
      <c r="MZ101" s="9"/>
      <c r="NA101" s="9"/>
      <c r="NB101" s="9"/>
      <c r="NC101" s="9"/>
      <c r="ND101" s="9"/>
      <c r="NE101" s="9"/>
      <c r="NF101" s="9"/>
      <c r="NG101" s="9"/>
      <c r="NH101" s="9"/>
      <c r="NI101" s="9"/>
      <c r="NJ101" s="9"/>
      <c r="NK101" s="9"/>
      <c r="NL101" s="9"/>
      <c r="NM101" s="9"/>
      <c r="NN101" s="9"/>
      <c r="NO101" s="9"/>
      <c r="NP101" s="9"/>
      <c r="NQ101" s="9"/>
      <c r="NR101" s="9"/>
      <c r="NS101" s="9"/>
      <c r="NT101" s="9"/>
      <c r="NU101" s="9"/>
      <c r="NV101" s="9"/>
      <c r="NW101" s="9"/>
      <c r="NX101" s="9"/>
      <c r="NY101" s="9"/>
      <c r="NZ101" s="9"/>
      <c r="OA101" s="9"/>
      <c r="OB101" s="9"/>
      <c r="OC101" s="9"/>
      <c r="OD101" s="9"/>
      <c r="OE101" s="9"/>
      <c r="OF101" s="9"/>
      <c r="OG101" s="9"/>
      <c r="OH101" s="9"/>
      <c r="OI101" s="9"/>
      <c r="OJ101" s="9"/>
      <c r="OK101" s="9"/>
      <c r="OL101" s="9"/>
      <c r="OM101" s="9"/>
      <c r="ON101" s="9"/>
      <c r="OO101" s="9"/>
      <c r="OP101" s="9"/>
      <c r="OQ101" s="9"/>
      <c r="OR101" s="9"/>
      <c r="OS101" s="9"/>
      <c r="OT101" s="9"/>
      <c r="OU101" s="9"/>
      <c r="OV101" s="9"/>
      <c r="OW101" s="9"/>
      <c r="OX101" s="9"/>
      <c r="OY101" s="9"/>
      <c r="OZ101" s="9"/>
      <c r="PA101" s="9"/>
      <c r="PB101" s="9"/>
      <c r="PC101" s="9"/>
      <c r="PD101" s="9"/>
      <c r="PE101" s="9"/>
      <c r="PF101" s="9"/>
      <c r="PG101" s="9"/>
      <c r="PH101" s="9"/>
      <c r="PI101" s="9"/>
      <c r="PJ101" s="9"/>
      <c r="PK101" s="9"/>
      <c r="PL101" s="9"/>
      <c r="PM101" s="9"/>
      <c r="PN101" s="9"/>
      <c r="PO101" s="9"/>
      <c r="PP101" s="9"/>
      <c r="PQ101" s="9"/>
      <c r="PR101" s="9"/>
      <c r="PS101" s="9"/>
      <c r="PT101" s="9"/>
      <c r="PU101" s="9"/>
      <c r="PV101" s="9"/>
      <c r="PW101" s="9"/>
      <c r="PX101" s="9"/>
      <c r="PY101" s="9"/>
      <c r="PZ101" s="9"/>
      <c r="QA101" s="9"/>
      <c r="QB101" s="9"/>
      <c r="QC101" s="9"/>
      <c r="QD101" s="9"/>
      <c r="QE101" s="9"/>
      <c r="QF101" s="9"/>
      <c r="QG101" s="9"/>
      <c r="QH101" s="9"/>
      <c r="QI101" s="9"/>
      <c r="QJ101" s="9"/>
      <c r="QK101" s="9"/>
      <c r="QL101" s="9"/>
      <c r="QM101" s="9"/>
      <c r="QN101" s="9"/>
      <c r="QO101" s="9"/>
      <c r="QP101" s="9"/>
      <c r="QQ101" s="67"/>
      <c r="QR101" s="68"/>
      <c r="QS101" s="63"/>
      <c r="QT101" s="71"/>
    </row>
    <row r="102" spans="1:462" s="11" customFormat="1" x14ac:dyDescent="0.2">
      <c r="A102" s="9">
        <v>10</v>
      </c>
      <c r="B102" s="9"/>
      <c r="C102" s="9"/>
      <c r="D102" s="9" t="s">
        <v>417</v>
      </c>
      <c r="E102" s="65" t="s">
        <v>47</v>
      </c>
      <c r="F102" s="65"/>
      <c r="G102" s="92" t="s">
        <v>2321</v>
      </c>
      <c r="H102" s="66" t="s">
        <v>1612</v>
      </c>
      <c r="I102" s="9" t="s">
        <v>1098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 t="s">
        <v>1098</v>
      </c>
      <c r="FP102" s="9"/>
      <c r="FQ102" s="9" t="s">
        <v>1098</v>
      </c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  <c r="IX102" s="9"/>
      <c r="IY102" s="9"/>
      <c r="IZ102" s="9"/>
      <c r="JA102" s="9"/>
      <c r="JB102" s="9"/>
      <c r="JC102" s="9"/>
      <c r="JD102" s="9"/>
      <c r="JE102" s="9"/>
      <c r="JF102" s="9"/>
      <c r="JG102" s="9"/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  <c r="KM102" s="9"/>
      <c r="KN102" s="9"/>
      <c r="KO102" s="9"/>
      <c r="KP102" s="9"/>
      <c r="KQ102" s="9"/>
      <c r="KR102" s="9"/>
      <c r="KS102" s="9"/>
      <c r="KT102" s="9"/>
      <c r="KU102" s="9"/>
      <c r="KV102" s="9"/>
      <c r="KW102" s="9"/>
      <c r="KX102" s="9"/>
      <c r="KY102" s="9"/>
      <c r="KZ102" s="9"/>
      <c r="LA102" s="9"/>
      <c r="LB102" s="9"/>
      <c r="LC102" s="9"/>
      <c r="LD102" s="9"/>
      <c r="LE102" s="9"/>
      <c r="LF102" s="9"/>
      <c r="LG102" s="9"/>
      <c r="LH102" s="9"/>
      <c r="LI102" s="9"/>
      <c r="LJ102" s="9"/>
      <c r="LK102" s="9"/>
      <c r="LL102" s="9"/>
      <c r="LM102" s="9"/>
      <c r="LN102" s="9"/>
      <c r="LO102" s="9"/>
      <c r="LP102" s="9"/>
      <c r="LQ102" s="9"/>
      <c r="LR102" s="9"/>
      <c r="LS102" s="9"/>
      <c r="LT102" s="9"/>
      <c r="LU102" s="9"/>
      <c r="LV102" s="9"/>
      <c r="LW102" s="9"/>
      <c r="LX102" s="9"/>
      <c r="LY102" s="9"/>
      <c r="LZ102" s="9"/>
      <c r="MA102" s="9"/>
      <c r="MB102" s="9"/>
      <c r="MC102" s="9"/>
      <c r="MD102" s="9"/>
      <c r="ME102" s="9"/>
      <c r="MF102" s="9"/>
      <c r="MG102" s="9"/>
      <c r="MH102" s="9"/>
      <c r="MI102" s="9"/>
      <c r="MJ102" s="9"/>
      <c r="MK102" s="9"/>
      <c r="ML102" s="9"/>
      <c r="MM102" s="9"/>
      <c r="MN102" s="9"/>
      <c r="MO102" s="9"/>
      <c r="MP102" s="9"/>
      <c r="MQ102" s="9"/>
      <c r="MR102" s="9"/>
      <c r="MS102" s="9"/>
      <c r="MT102" s="9"/>
      <c r="MU102" s="9"/>
      <c r="MV102" s="9"/>
      <c r="MW102" s="9"/>
      <c r="MX102" s="9"/>
      <c r="MY102" s="9"/>
      <c r="MZ102" s="9"/>
      <c r="NA102" s="9"/>
      <c r="NB102" s="9"/>
      <c r="NC102" s="9"/>
      <c r="ND102" s="9"/>
      <c r="NE102" s="9"/>
      <c r="NF102" s="9"/>
      <c r="NG102" s="9"/>
      <c r="NH102" s="9"/>
      <c r="NI102" s="9"/>
      <c r="NJ102" s="9"/>
      <c r="NK102" s="9"/>
      <c r="NL102" s="9"/>
      <c r="NM102" s="9"/>
      <c r="NN102" s="9"/>
      <c r="NO102" s="9"/>
      <c r="NP102" s="9"/>
      <c r="NQ102" s="9"/>
      <c r="NR102" s="9"/>
      <c r="NS102" s="9"/>
      <c r="NT102" s="9"/>
      <c r="NU102" s="9"/>
      <c r="NV102" s="9"/>
      <c r="NW102" s="9"/>
      <c r="NX102" s="9"/>
      <c r="NY102" s="9"/>
      <c r="NZ102" s="9"/>
      <c r="OA102" s="9"/>
      <c r="OB102" s="9"/>
      <c r="OC102" s="9"/>
      <c r="OD102" s="9"/>
      <c r="OE102" s="9"/>
      <c r="OF102" s="9"/>
      <c r="OG102" s="9"/>
      <c r="OH102" s="9"/>
      <c r="OI102" s="9"/>
      <c r="OJ102" s="9"/>
      <c r="OK102" s="9"/>
      <c r="OL102" s="9"/>
      <c r="OM102" s="9"/>
      <c r="ON102" s="9"/>
      <c r="OO102" s="9"/>
      <c r="OP102" s="9"/>
      <c r="OQ102" s="9"/>
      <c r="OR102" s="9"/>
      <c r="OS102" s="9"/>
      <c r="OT102" s="9"/>
      <c r="OU102" s="9"/>
      <c r="OV102" s="9"/>
      <c r="OW102" s="9"/>
      <c r="OX102" s="9"/>
      <c r="OY102" s="9"/>
      <c r="OZ102" s="9"/>
      <c r="PA102" s="9"/>
      <c r="PB102" s="9"/>
      <c r="PC102" s="9"/>
      <c r="PD102" s="9"/>
      <c r="PE102" s="9"/>
      <c r="PF102" s="9"/>
      <c r="PG102" s="9"/>
      <c r="PH102" s="9"/>
      <c r="PI102" s="9"/>
      <c r="PJ102" s="9"/>
      <c r="PK102" s="9"/>
      <c r="PL102" s="9"/>
      <c r="PM102" s="9"/>
      <c r="PN102" s="9"/>
      <c r="PO102" s="9"/>
      <c r="PP102" s="9"/>
      <c r="PQ102" s="9"/>
      <c r="PR102" s="9"/>
      <c r="PS102" s="9"/>
      <c r="PT102" s="9"/>
      <c r="PU102" s="9"/>
      <c r="PV102" s="9"/>
      <c r="PW102" s="9"/>
      <c r="PX102" s="9"/>
      <c r="PY102" s="9"/>
      <c r="PZ102" s="9"/>
      <c r="QA102" s="9"/>
      <c r="QB102" s="9"/>
      <c r="QC102" s="9"/>
      <c r="QD102" s="9"/>
      <c r="QE102" s="9"/>
      <c r="QF102" s="9"/>
      <c r="QG102" s="9"/>
      <c r="QH102" s="9"/>
      <c r="QI102" s="9"/>
      <c r="QJ102" s="9"/>
      <c r="QK102" s="9"/>
      <c r="QL102" s="9"/>
      <c r="QM102" s="9"/>
      <c r="QN102" s="9"/>
      <c r="QO102" s="9"/>
      <c r="QP102" s="9"/>
      <c r="QQ102" s="67"/>
      <c r="QR102" s="68"/>
      <c r="QS102" s="63"/>
      <c r="QT102" s="71"/>
    </row>
    <row r="103" spans="1:462" s="11" customFormat="1" x14ac:dyDescent="0.2">
      <c r="A103" s="9">
        <v>10</v>
      </c>
      <c r="B103" s="9"/>
      <c r="C103" s="9"/>
      <c r="D103" s="9" t="s">
        <v>418</v>
      </c>
      <c r="E103" s="65" t="s">
        <v>47</v>
      </c>
      <c r="F103" s="65"/>
      <c r="G103" s="92" t="s">
        <v>2322</v>
      </c>
      <c r="H103" s="66" t="s">
        <v>1613</v>
      </c>
      <c r="I103" s="9" t="s">
        <v>1098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 t="s">
        <v>1098</v>
      </c>
      <c r="FP103" s="9"/>
      <c r="FQ103" s="9" t="s">
        <v>1098</v>
      </c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  <c r="IW103" s="9"/>
      <c r="IX103" s="9"/>
      <c r="IY103" s="9"/>
      <c r="IZ103" s="9"/>
      <c r="JA103" s="9"/>
      <c r="JB103" s="9"/>
      <c r="JC103" s="9"/>
      <c r="JD103" s="9"/>
      <c r="JE103" s="9"/>
      <c r="JF103" s="9"/>
      <c r="JG103" s="9"/>
      <c r="JH103" s="9"/>
      <c r="JI103" s="9"/>
      <c r="JJ103" s="9"/>
      <c r="JK103" s="9"/>
      <c r="JL103" s="9"/>
      <c r="JM103" s="9"/>
      <c r="JN103" s="9"/>
      <c r="JO103" s="9"/>
      <c r="JP103" s="9"/>
      <c r="JQ103" s="9"/>
      <c r="JR103" s="9"/>
      <c r="JS103" s="9"/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  <c r="KK103" s="9"/>
      <c r="KL103" s="9"/>
      <c r="KM103" s="9"/>
      <c r="KN103" s="9"/>
      <c r="KO103" s="9"/>
      <c r="KP103" s="9"/>
      <c r="KQ103" s="9"/>
      <c r="KR103" s="9"/>
      <c r="KS103" s="9"/>
      <c r="KT103" s="9"/>
      <c r="KU103" s="9"/>
      <c r="KV103" s="9"/>
      <c r="KW103" s="9"/>
      <c r="KX103" s="9"/>
      <c r="KY103" s="9"/>
      <c r="KZ103" s="9"/>
      <c r="LA103" s="9"/>
      <c r="LB103" s="9"/>
      <c r="LC103" s="9"/>
      <c r="LD103" s="9"/>
      <c r="LE103" s="9"/>
      <c r="LF103" s="9"/>
      <c r="LG103" s="9"/>
      <c r="LH103" s="9"/>
      <c r="LI103" s="9"/>
      <c r="LJ103" s="9"/>
      <c r="LK103" s="9"/>
      <c r="LL103" s="9"/>
      <c r="LM103" s="9"/>
      <c r="LN103" s="9"/>
      <c r="LO103" s="9"/>
      <c r="LP103" s="9"/>
      <c r="LQ103" s="9"/>
      <c r="LR103" s="9"/>
      <c r="LS103" s="9"/>
      <c r="LT103" s="9"/>
      <c r="LU103" s="9"/>
      <c r="LV103" s="9"/>
      <c r="LW103" s="9"/>
      <c r="LX103" s="9"/>
      <c r="LY103" s="9"/>
      <c r="LZ103" s="9"/>
      <c r="MA103" s="9"/>
      <c r="MB103" s="9"/>
      <c r="MC103" s="9"/>
      <c r="MD103" s="9"/>
      <c r="ME103" s="9"/>
      <c r="MF103" s="9"/>
      <c r="MG103" s="9"/>
      <c r="MH103" s="9"/>
      <c r="MI103" s="9"/>
      <c r="MJ103" s="9"/>
      <c r="MK103" s="9"/>
      <c r="ML103" s="9"/>
      <c r="MM103" s="9"/>
      <c r="MN103" s="9"/>
      <c r="MO103" s="9"/>
      <c r="MP103" s="9"/>
      <c r="MQ103" s="9"/>
      <c r="MR103" s="9"/>
      <c r="MS103" s="9"/>
      <c r="MT103" s="9"/>
      <c r="MU103" s="9"/>
      <c r="MV103" s="9"/>
      <c r="MW103" s="9"/>
      <c r="MX103" s="9"/>
      <c r="MY103" s="9"/>
      <c r="MZ103" s="9"/>
      <c r="NA103" s="9"/>
      <c r="NB103" s="9"/>
      <c r="NC103" s="9"/>
      <c r="ND103" s="9"/>
      <c r="NE103" s="9"/>
      <c r="NF103" s="9"/>
      <c r="NG103" s="9"/>
      <c r="NH103" s="9"/>
      <c r="NI103" s="9"/>
      <c r="NJ103" s="9"/>
      <c r="NK103" s="9"/>
      <c r="NL103" s="9"/>
      <c r="NM103" s="9"/>
      <c r="NN103" s="9"/>
      <c r="NO103" s="9"/>
      <c r="NP103" s="9"/>
      <c r="NQ103" s="9"/>
      <c r="NR103" s="9"/>
      <c r="NS103" s="9"/>
      <c r="NT103" s="9"/>
      <c r="NU103" s="9"/>
      <c r="NV103" s="9"/>
      <c r="NW103" s="9"/>
      <c r="NX103" s="9"/>
      <c r="NY103" s="9"/>
      <c r="NZ103" s="9"/>
      <c r="OA103" s="9"/>
      <c r="OB103" s="9"/>
      <c r="OC103" s="9"/>
      <c r="OD103" s="9"/>
      <c r="OE103" s="9"/>
      <c r="OF103" s="9"/>
      <c r="OG103" s="9"/>
      <c r="OH103" s="9"/>
      <c r="OI103" s="9"/>
      <c r="OJ103" s="9"/>
      <c r="OK103" s="9"/>
      <c r="OL103" s="9"/>
      <c r="OM103" s="9"/>
      <c r="ON103" s="9"/>
      <c r="OO103" s="9"/>
      <c r="OP103" s="9"/>
      <c r="OQ103" s="9"/>
      <c r="OR103" s="9"/>
      <c r="OS103" s="9"/>
      <c r="OT103" s="9"/>
      <c r="OU103" s="9"/>
      <c r="OV103" s="9"/>
      <c r="OW103" s="9"/>
      <c r="OX103" s="9"/>
      <c r="OY103" s="9"/>
      <c r="OZ103" s="9"/>
      <c r="PA103" s="9"/>
      <c r="PB103" s="9"/>
      <c r="PC103" s="9"/>
      <c r="PD103" s="9"/>
      <c r="PE103" s="9"/>
      <c r="PF103" s="9"/>
      <c r="PG103" s="9"/>
      <c r="PH103" s="9"/>
      <c r="PI103" s="9"/>
      <c r="PJ103" s="9"/>
      <c r="PK103" s="9"/>
      <c r="PL103" s="9"/>
      <c r="PM103" s="9"/>
      <c r="PN103" s="9"/>
      <c r="PO103" s="9"/>
      <c r="PP103" s="9"/>
      <c r="PQ103" s="9"/>
      <c r="PR103" s="9"/>
      <c r="PS103" s="9"/>
      <c r="PT103" s="9"/>
      <c r="PU103" s="9"/>
      <c r="PV103" s="9"/>
      <c r="PW103" s="9"/>
      <c r="PX103" s="9"/>
      <c r="PY103" s="9"/>
      <c r="PZ103" s="9"/>
      <c r="QA103" s="9"/>
      <c r="QB103" s="9"/>
      <c r="QC103" s="9"/>
      <c r="QD103" s="9"/>
      <c r="QE103" s="9"/>
      <c r="QF103" s="9"/>
      <c r="QG103" s="9"/>
      <c r="QH103" s="9"/>
      <c r="QI103" s="9"/>
      <c r="QJ103" s="9"/>
      <c r="QK103" s="9"/>
      <c r="QL103" s="9"/>
      <c r="QM103" s="9"/>
      <c r="QN103" s="9"/>
      <c r="QO103" s="9"/>
      <c r="QP103" s="9"/>
      <c r="QQ103" s="67"/>
      <c r="QR103" s="68"/>
      <c r="QS103" s="63"/>
      <c r="QT103" s="71"/>
    </row>
    <row r="104" spans="1:462" s="11" customFormat="1" x14ac:dyDescent="0.2">
      <c r="A104" s="9">
        <v>10</v>
      </c>
      <c r="B104" s="9"/>
      <c r="C104" s="9"/>
      <c r="D104" s="9" t="s">
        <v>819</v>
      </c>
      <c r="E104" s="65" t="s">
        <v>820</v>
      </c>
      <c r="F104" s="65"/>
      <c r="G104" s="91" t="s">
        <v>2323</v>
      </c>
      <c r="H104" s="66" t="s">
        <v>1614</v>
      </c>
      <c r="I104" s="9" t="s">
        <v>1098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 t="s">
        <v>1098</v>
      </c>
      <c r="FP104" s="9"/>
      <c r="FQ104" s="9" t="s">
        <v>1098</v>
      </c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  <c r="KM104" s="9"/>
      <c r="KN104" s="9"/>
      <c r="KO104" s="9"/>
      <c r="KP104" s="9"/>
      <c r="KQ104" s="9"/>
      <c r="KR104" s="9"/>
      <c r="KS104" s="9"/>
      <c r="KT104" s="9"/>
      <c r="KU104" s="9"/>
      <c r="KV104" s="9"/>
      <c r="KW104" s="9"/>
      <c r="KX104" s="9"/>
      <c r="KY104" s="9"/>
      <c r="KZ104" s="9"/>
      <c r="LA104" s="9"/>
      <c r="LB104" s="9"/>
      <c r="LC104" s="9"/>
      <c r="LD104" s="9"/>
      <c r="LE104" s="9"/>
      <c r="LF104" s="9"/>
      <c r="LG104" s="9"/>
      <c r="LH104" s="9"/>
      <c r="LI104" s="9"/>
      <c r="LJ104" s="9"/>
      <c r="LK104" s="9"/>
      <c r="LL104" s="9"/>
      <c r="LM104" s="9"/>
      <c r="LN104" s="9"/>
      <c r="LO104" s="9"/>
      <c r="LP104" s="9"/>
      <c r="LQ104" s="9"/>
      <c r="LR104" s="9"/>
      <c r="LS104" s="9"/>
      <c r="LT104" s="9"/>
      <c r="LU104" s="9"/>
      <c r="LV104" s="9"/>
      <c r="LW104" s="9"/>
      <c r="LX104" s="9"/>
      <c r="LY104" s="9"/>
      <c r="LZ104" s="9"/>
      <c r="MA104" s="9"/>
      <c r="MB104" s="9"/>
      <c r="MC104" s="9"/>
      <c r="MD104" s="9"/>
      <c r="ME104" s="9"/>
      <c r="MF104" s="9"/>
      <c r="MG104" s="9"/>
      <c r="MH104" s="9"/>
      <c r="MI104" s="9"/>
      <c r="MJ104" s="9"/>
      <c r="MK104" s="9"/>
      <c r="ML104" s="9"/>
      <c r="MM104" s="9"/>
      <c r="MN104" s="9"/>
      <c r="MO104" s="9"/>
      <c r="MP104" s="9"/>
      <c r="MQ104" s="9"/>
      <c r="MR104" s="9"/>
      <c r="MS104" s="9"/>
      <c r="MT104" s="9"/>
      <c r="MU104" s="9"/>
      <c r="MV104" s="9"/>
      <c r="MW104" s="9"/>
      <c r="MX104" s="9"/>
      <c r="MY104" s="9"/>
      <c r="MZ104" s="9"/>
      <c r="NA104" s="9"/>
      <c r="NB104" s="9"/>
      <c r="NC104" s="9"/>
      <c r="ND104" s="9"/>
      <c r="NE104" s="9"/>
      <c r="NF104" s="9"/>
      <c r="NG104" s="9"/>
      <c r="NH104" s="9"/>
      <c r="NI104" s="9"/>
      <c r="NJ104" s="9"/>
      <c r="NK104" s="9"/>
      <c r="NL104" s="9"/>
      <c r="NM104" s="9"/>
      <c r="NN104" s="9"/>
      <c r="NO104" s="9"/>
      <c r="NP104" s="9"/>
      <c r="NQ104" s="9"/>
      <c r="NR104" s="9"/>
      <c r="NS104" s="9"/>
      <c r="NT104" s="9"/>
      <c r="NU104" s="9"/>
      <c r="NV104" s="9"/>
      <c r="NW104" s="9"/>
      <c r="NX104" s="9"/>
      <c r="NY104" s="9"/>
      <c r="NZ104" s="9"/>
      <c r="OA104" s="9"/>
      <c r="OB104" s="9"/>
      <c r="OC104" s="9"/>
      <c r="OD104" s="9"/>
      <c r="OE104" s="9"/>
      <c r="OF104" s="9"/>
      <c r="OG104" s="9"/>
      <c r="OH104" s="9"/>
      <c r="OI104" s="9"/>
      <c r="OJ104" s="9"/>
      <c r="OK104" s="9"/>
      <c r="OL104" s="9"/>
      <c r="OM104" s="9"/>
      <c r="ON104" s="9"/>
      <c r="OO104" s="9"/>
      <c r="OP104" s="9"/>
      <c r="OQ104" s="9"/>
      <c r="OR104" s="9"/>
      <c r="OS104" s="9"/>
      <c r="OT104" s="9"/>
      <c r="OU104" s="9"/>
      <c r="OV104" s="9"/>
      <c r="OW104" s="9"/>
      <c r="OX104" s="9"/>
      <c r="OY104" s="9"/>
      <c r="OZ104" s="9"/>
      <c r="PA104" s="9"/>
      <c r="PB104" s="9"/>
      <c r="PC104" s="9"/>
      <c r="PD104" s="9"/>
      <c r="PE104" s="9"/>
      <c r="PF104" s="9"/>
      <c r="PG104" s="9"/>
      <c r="PH104" s="9"/>
      <c r="PI104" s="9"/>
      <c r="PJ104" s="9"/>
      <c r="PK104" s="9"/>
      <c r="PL104" s="9"/>
      <c r="PM104" s="9"/>
      <c r="PN104" s="9"/>
      <c r="PO104" s="9"/>
      <c r="PP104" s="9"/>
      <c r="PQ104" s="9"/>
      <c r="PR104" s="9"/>
      <c r="PS104" s="9"/>
      <c r="PT104" s="9"/>
      <c r="PU104" s="9"/>
      <c r="PV104" s="9"/>
      <c r="PW104" s="9"/>
      <c r="PX104" s="9"/>
      <c r="PY104" s="9"/>
      <c r="PZ104" s="9"/>
      <c r="QA104" s="9"/>
      <c r="QB104" s="9"/>
      <c r="QC104" s="9"/>
      <c r="QD104" s="9"/>
      <c r="QE104" s="9"/>
      <c r="QF104" s="9"/>
      <c r="QG104" s="9"/>
      <c r="QH104" s="9"/>
      <c r="QI104" s="9"/>
      <c r="QJ104" s="9"/>
      <c r="QK104" s="9"/>
      <c r="QL104" s="9"/>
      <c r="QM104" s="9"/>
      <c r="QN104" s="9"/>
      <c r="QO104" s="9"/>
      <c r="QP104" s="9"/>
      <c r="QQ104" s="67"/>
      <c r="QR104" s="68"/>
      <c r="QS104" s="63"/>
      <c r="QT104" s="71"/>
    </row>
    <row r="105" spans="1:462" s="11" customFormat="1" x14ac:dyDescent="0.2">
      <c r="A105" s="9">
        <v>10</v>
      </c>
      <c r="B105" s="9"/>
      <c r="C105" s="9"/>
      <c r="D105" s="9" t="s">
        <v>866</v>
      </c>
      <c r="E105" s="65" t="s">
        <v>872</v>
      </c>
      <c r="F105" s="65"/>
      <c r="G105" s="91" t="s">
        <v>2324</v>
      </c>
      <c r="H105" s="66" t="s">
        <v>1615</v>
      </c>
      <c r="I105" s="9" t="s">
        <v>1098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 t="s">
        <v>1098</v>
      </c>
      <c r="FP105" s="9"/>
      <c r="FQ105" s="9" t="s">
        <v>1098</v>
      </c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  <c r="IW105" s="9"/>
      <c r="IX105" s="9"/>
      <c r="IY105" s="9"/>
      <c r="IZ105" s="9"/>
      <c r="JA105" s="9"/>
      <c r="JB105" s="9"/>
      <c r="JC105" s="9"/>
      <c r="JD105" s="9"/>
      <c r="JE105" s="9"/>
      <c r="JF105" s="9"/>
      <c r="JG105" s="9"/>
      <c r="JH105" s="9"/>
      <c r="JI105" s="9"/>
      <c r="JJ105" s="9"/>
      <c r="JK105" s="9"/>
      <c r="JL105" s="9"/>
      <c r="JM105" s="9"/>
      <c r="JN105" s="9"/>
      <c r="JO105" s="9"/>
      <c r="JP105" s="9"/>
      <c r="JQ105" s="9"/>
      <c r="JR105" s="9"/>
      <c r="JS105" s="9"/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  <c r="KK105" s="9"/>
      <c r="KL105" s="9"/>
      <c r="KM105" s="9"/>
      <c r="KN105" s="9"/>
      <c r="KO105" s="9"/>
      <c r="KP105" s="9"/>
      <c r="KQ105" s="9"/>
      <c r="KR105" s="9"/>
      <c r="KS105" s="9"/>
      <c r="KT105" s="9"/>
      <c r="KU105" s="9"/>
      <c r="KV105" s="9"/>
      <c r="KW105" s="9"/>
      <c r="KX105" s="9"/>
      <c r="KY105" s="9"/>
      <c r="KZ105" s="9"/>
      <c r="LA105" s="9"/>
      <c r="LB105" s="9"/>
      <c r="LC105" s="9"/>
      <c r="LD105" s="9"/>
      <c r="LE105" s="9"/>
      <c r="LF105" s="9"/>
      <c r="LG105" s="9"/>
      <c r="LH105" s="9"/>
      <c r="LI105" s="9"/>
      <c r="LJ105" s="9"/>
      <c r="LK105" s="9"/>
      <c r="LL105" s="9"/>
      <c r="LM105" s="9"/>
      <c r="LN105" s="9"/>
      <c r="LO105" s="9"/>
      <c r="LP105" s="9"/>
      <c r="LQ105" s="9"/>
      <c r="LR105" s="9"/>
      <c r="LS105" s="9"/>
      <c r="LT105" s="9"/>
      <c r="LU105" s="9"/>
      <c r="LV105" s="9"/>
      <c r="LW105" s="9"/>
      <c r="LX105" s="9"/>
      <c r="LY105" s="9"/>
      <c r="LZ105" s="9"/>
      <c r="MA105" s="9"/>
      <c r="MB105" s="9"/>
      <c r="MC105" s="9"/>
      <c r="MD105" s="9"/>
      <c r="ME105" s="9"/>
      <c r="MF105" s="9"/>
      <c r="MG105" s="9"/>
      <c r="MH105" s="9"/>
      <c r="MI105" s="9"/>
      <c r="MJ105" s="9"/>
      <c r="MK105" s="9"/>
      <c r="ML105" s="9"/>
      <c r="MM105" s="9"/>
      <c r="MN105" s="9"/>
      <c r="MO105" s="9"/>
      <c r="MP105" s="9"/>
      <c r="MQ105" s="9"/>
      <c r="MR105" s="9"/>
      <c r="MS105" s="9"/>
      <c r="MT105" s="9"/>
      <c r="MU105" s="9"/>
      <c r="MV105" s="9"/>
      <c r="MW105" s="9"/>
      <c r="MX105" s="9"/>
      <c r="MY105" s="9"/>
      <c r="MZ105" s="9"/>
      <c r="NA105" s="9"/>
      <c r="NB105" s="9"/>
      <c r="NC105" s="9"/>
      <c r="ND105" s="9"/>
      <c r="NE105" s="9"/>
      <c r="NF105" s="9"/>
      <c r="NG105" s="9"/>
      <c r="NH105" s="9"/>
      <c r="NI105" s="9"/>
      <c r="NJ105" s="9"/>
      <c r="NK105" s="9"/>
      <c r="NL105" s="9"/>
      <c r="NM105" s="9"/>
      <c r="NN105" s="9"/>
      <c r="NO105" s="9"/>
      <c r="NP105" s="9"/>
      <c r="NQ105" s="9"/>
      <c r="NR105" s="9"/>
      <c r="NS105" s="9"/>
      <c r="NT105" s="9"/>
      <c r="NU105" s="9"/>
      <c r="NV105" s="9"/>
      <c r="NW105" s="9"/>
      <c r="NX105" s="9"/>
      <c r="NY105" s="9"/>
      <c r="NZ105" s="9"/>
      <c r="OA105" s="9"/>
      <c r="OB105" s="9"/>
      <c r="OC105" s="9"/>
      <c r="OD105" s="9"/>
      <c r="OE105" s="9"/>
      <c r="OF105" s="9"/>
      <c r="OG105" s="9"/>
      <c r="OH105" s="9"/>
      <c r="OI105" s="9"/>
      <c r="OJ105" s="9"/>
      <c r="OK105" s="9"/>
      <c r="OL105" s="9"/>
      <c r="OM105" s="9"/>
      <c r="ON105" s="9"/>
      <c r="OO105" s="9"/>
      <c r="OP105" s="9"/>
      <c r="OQ105" s="9"/>
      <c r="OR105" s="9"/>
      <c r="OS105" s="9"/>
      <c r="OT105" s="9"/>
      <c r="OU105" s="9"/>
      <c r="OV105" s="9"/>
      <c r="OW105" s="9"/>
      <c r="OX105" s="9"/>
      <c r="OY105" s="9"/>
      <c r="OZ105" s="9"/>
      <c r="PA105" s="9"/>
      <c r="PB105" s="9"/>
      <c r="PC105" s="9"/>
      <c r="PD105" s="9"/>
      <c r="PE105" s="9"/>
      <c r="PF105" s="9"/>
      <c r="PG105" s="9"/>
      <c r="PH105" s="9"/>
      <c r="PI105" s="9"/>
      <c r="PJ105" s="9"/>
      <c r="PK105" s="9"/>
      <c r="PL105" s="9"/>
      <c r="PM105" s="9"/>
      <c r="PN105" s="9"/>
      <c r="PO105" s="9"/>
      <c r="PP105" s="9"/>
      <c r="PQ105" s="9"/>
      <c r="PR105" s="9"/>
      <c r="PS105" s="9"/>
      <c r="PT105" s="9"/>
      <c r="PU105" s="9"/>
      <c r="PV105" s="9"/>
      <c r="PW105" s="9"/>
      <c r="PX105" s="9"/>
      <c r="PY105" s="9"/>
      <c r="PZ105" s="9"/>
      <c r="QA105" s="9"/>
      <c r="QB105" s="9"/>
      <c r="QC105" s="9"/>
      <c r="QD105" s="9"/>
      <c r="QE105" s="9"/>
      <c r="QF105" s="9"/>
      <c r="QG105" s="9"/>
      <c r="QH105" s="9"/>
      <c r="QI105" s="9"/>
      <c r="QJ105" s="9"/>
      <c r="QK105" s="9"/>
      <c r="QL105" s="9"/>
      <c r="QM105" s="9"/>
      <c r="QN105" s="9"/>
      <c r="QO105" s="9"/>
      <c r="QP105" s="9"/>
      <c r="QQ105" s="67"/>
      <c r="QR105" s="68"/>
      <c r="QS105" s="63"/>
      <c r="QT105" s="71"/>
    </row>
    <row r="106" spans="1:462" s="11" customFormat="1" x14ac:dyDescent="0.2">
      <c r="A106" s="9">
        <v>10</v>
      </c>
      <c r="B106" s="9"/>
      <c r="C106" s="9"/>
      <c r="D106" s="9" t="s">
        <v>868</v>
      </c>
      <c r="E106" s="65" t="s">
        <v>874</v>
      </c>
      <c r="F106" s="65"/>
      <c r="G106" s="91" t="s">
        <v>2326</v>
      </c>
      <c r="H106" s="66" t="s">
        <v>1616</v>
      </c>
      <c r="I106" s="9" t="s">
        <v>1098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 t="s">
        <v>1098</v>
      </c>
      <c r="FP106" s="9"/>
      <c r="FQ106" s="9" t="s">
        <v>1098</v>
      </c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  <c r="IW106" s="9"/>
      <c r="IX106" s="9"/>
      <c r="IY106" s="9"/>
      <c r="IZ106" s="9"/>
      <c r="JA106" s="9"/>
      <c r="JB106" s="9"/>
      <c r="JC106" s="9"/>
      <c r="JD106" s="9"/>
      <c r="JE106" s="9"/>
      <c r="JF106" s="9"/>
      <c r="JG106" s="9"/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  <c r="KM106" s="9"/>
      <c r="KN106" s="9"/>
      <c r="KO106" s="9"/>
      <c r="KP106" s="9"/>
      <c r="KQ106" s="9"/>
      <c r="KR106" s="9"/>
      <c r="KS106" s="9"/>
      <c r="KT106" s="9"/>
      <c r="KU106" s="9"/>
      <c r="KV106" s="9"/>
      <c r="KW106" s="9"/>
      <c r="KX106" s="9"/>
      <c r="KY106" s="9"/>
      <c r="KZ106" s="9"/>
      <c r="LA106" s="9"/>
      <c r="LB106" s="9"/>
      <c r="LC106" s="9"/>
      <c r="LD106" s="9"/>
      <c r="LE106" s="9"/>
      <c r="LF106" s="9"/>
      <c r="LG106" s="9"/>
      <c r="LH106" s="9"/>
      <c r="LI106" s="9"/>
      <c r="LJ106" s="9"/>
      <c r="LK106" s="9"/>
      <c r="LL106" s="9"/>
      <c r="LM106" s="9"/>
      <c r="LN106" s="9"/>
      <c r="LO106" s="9"/>
      <c r="LP106" s="9"/>
      <c r="LQ106" s="9"/>
      <c r="LR106" s="9"/>
      <c r="LS106" s="9"/>
      <c r="LT106" s="9"/>
      <c r="LU106" s="9"/>
      <c r="LV106" s="9"/>
      <c r="LW106" s="9"/>
      <c r="LX106" s="9"/>
      <c r="LY106" s="9"/>
      <c r="LZ106" s="9"/>
      <c r="MA106" s="9"/>
      <c r="MB106" s="9"/>
      <c r="MC106" s="9"/>
      <c r="MD106" s="9"/>
      <c r="ME106" s="9"/>
      <c r="MF106" s="9"/>
      <c r="MG106" s="9"/>
      <c r="MH106" s="9"/>
      <c r="MI106" s="9"/>
      <c r="MJ106" s="9"/>
      <c r="MK106" s="9"/>
      <c r="ML106" s="9"/>
      <c r="MM106" s="9"/>
      <c r="MN106" s="9"/>
      <c r="MO106" s="9"/>
      <c r="MP106" s="9"/>
      <c r="MQ106" s="9"/>
      <c r="MR106" s="9"/>
      <c r="MS106" s="9"/>
      <c r="MT106" s="9"/>
      <c r="MU106" s="9"/>
      <c r="MV106" s="9"/>
      <c r="MW106" s="9"/>
      <c r="MX106" s="9"/>
      <c r="MY106" s="9"/>
      <c r="MZ106" s="9"/>
      <c r="NA106" s="9"/>
      <c r="NB106" s="9"/>
      <c r="NC106" s="9"/>
      <c r="ND106" s="9"/>
      <c r="NE106" s="9"/>
      <c r="NF106" s="9"/>
      <c r="NG106" s="9"/>
      <c r="NH106" s="9"/>
      <c r="NI106" s="9"/>
      <c r="NJ106" s="9"/>
      <c r="NK106" s="9"/>
      <c r="NL106" s="9"/>
      <c r="NM106" s="9"/>
      <c r="NN106" s="9"/>
      <c r="NO106" s="9"/>
      <c r="NP106" s="9"/>
      <c r="NQ106" s="9"/>
      <c r="NR106" s="9"/>
      <c r="NS106" s="9"/>
      <c r="NT106" s="9"/>
      <c r="NU106" s="9"/>
      <c r="NV106" s="9"/>
      <c r="NW106" s="9"/>
      <c r="NX106" s="9"/>
      <c r="NY106" s="9"/>
      <c r="NZ106" s="9"/>
      <c r="OA106" s="9"/>
      <c r="OB106" s="9"/>
      <c r="OC106" s="9"/>
      <c r="OD106" s="9"/>
      <c r="OE106" s="9"/>
      <c r="OF106" s="9"/>
      <c r="OG106" s="9"/>
      <c r="OH106" s="9"/>
      <c r="OI106" s="9"/>
      <c r="OJ106" s="9"/>
      <c r="OK106" s="9"/>
      <c r="OL106" s="9"/>
      <c r="OM106" s="9"/>
      <c r="ON106" s="9"/>
      <c r="OO106" s="9"/>
      <c r="OP106" s="9"/>
      <c r="OQ106" s="9"/>
      <c r="OR106" s="9"/>
      <c r="OS106" s="9"/>
      <c r="OT106" s="9"/>
      <c r="OU106" s="9"/>
      <c r="OV106" s="9"/>
      <c r="OW106" s="9"/>
      <c r="OX106" s="9"/>
      <c r="OY106" s="9"/>
      <c r="OZ106" s="9"/>
      <c r="PA106" s="9"/>
      <c r="PB106" s="9"/>
      <c r="PC106" s="9"/>
      <c r="PD106" s="9"/>
      <c r="PE106" s="9"/>
      <c r="PF106" s="9"/>
      <c r="PG106" s="9"/>
      <c r="PH106" s="9"/>
      <c r="PI106" s="9"/>
      <c r="PJ106" s="9"/>
      <c r="PK106" s="9"/>
      <c r="PL106" s="9"/>
      <c r="PM106" s="9"/>
      <c r="PN106" s="9"/>
      <c r="PO106" s="9"/>
      <c r="PP106" s="9"/>
      <c r="PQ106" s="9"/>
      <c r="PR106" s="9"/>
      <c r="PS106" s="9"/>
      <c r="PT106" s="9"/>
      <c r="PU106" s="9"/>
      <c r="PV106" s="9"/>
      <c r="PW106" s="9"/>
      <c r="PX106" s="9"/>
      <c r="PY106" s="9"/>
      <c r="PZ106" s="9"/>
      <c r="QA106" s="9"/>
      <c r="QB106" s="9"/>
      <c r="QC106" s="9"/>
      <c r="QD106" s="9"/>
      <c r="QE106" s="9"/>
      <c r="QF106" s="9"/>
      <c r="QG106" s="9"/>
      <c r="QH106" s="9"/>
      <c r="QI106" s="9"/>
      <c r="QJ106" s="9"/>
      <c r="QK106" s="9"/>
      <c r="QL106" s="9"/>
      <c r="QM106" s="9"/>
      <c r="QN106" s="9"/>
      <c r="QO106" s="9"/>
      <c r="QP106" s="9"/>
      <c r="QQ106" s="67"/>
      <c r="QR106" s="68"/>
      <c r="QS106" s="63"/>
      <c r="QT106" s="71"/>
    </row>
    <row r="107" spans="1:462" s="11" customFormat="1" x14ac:dyDescent="0.2">
      <c r="A107" s="9">
        <v>10</v>
      </c>
      <c r="B107" s="9"/>
      <c r="C107" s="9"/>
      <c r="D107" s="9" t="s">
        <v>870</v>
      </c>
      <c r="E107" s="65" t="s">
        <v>876</v>
      </c>
      <c r="F107" s="65"/>
      <c r="G107" s="91" t="s">
        <v>2328</v>
      </c>
      <c r="H107" s="66" t="s">
        <v>1617</v>
      </c>
      <c r="I107" s="9" t="s">
        <v>1098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 t="s">
        <v>1098</v>
      </c>
      <c r="FP107" s="9"/>
      <c r="FQ107" s="9" t="s">
        <v>1098</v>
      </c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  <c r="IW107" s="9"/>
      <c r="IX107" s="9"/>
      <c r="IY107" s="9"/>
      <c r="IZ107" s="9"/>
      <c r="JA107" s="9"/>
      <c r="JB107" s="9"/>
      <c r="JC107" s="9"/>
      <c r="JD107" s="9"/>
      <c r="JE107" s="9"/>
      <c r="JF107" s="9"/>
      <c r="JG107" s="9"/>
      <c r="JH107" s="9"/>
      <c r="JI107" s="9"/>
      <c r="JJ107" s="9"/>
      <c r="JK107" s="9"/>
      <c r="JL107" s="9"/>
      <c r="JM107" s="9"/>
      <c r="JN107" s="9"/>
      <c r="JO107" s="9"/>
      <c r="JP107" s="9"/>
      <c r="JQ107" s="9"/>
      <c r="JR107" s="9"/>
      <c r="JS107" s="9"/>
      <c r="JT107" s="9"/>
      <c r="JU107" s="9"/>
      <c r="JV107" s="9"/>
      <c r="JW107" s="9"/>
      <c r="JX107" s="9"/>
      <c r="JY107" s="9"/>
      <c r="JZ107" s="9"/>
      <c r="KA107" s="9"/>
      <c r="KB107" s="9"/>
      <c r="KC107" s="9"/>
      <c r="KD107" s="9"/>
      <c r="KE107" s="9"/>
      <c r="KF107" s="9"/>
      <c r="KG107" s="9"/>
      <c r="KH107" s="9"/>
      <c r="KI107" s="9"/>
      <c r="KJ107" s="9"/>
      <c r="KK107" s="9"/>
      <c r="KL107" s="9"/>
      <c r="KM107" s="9"/>
      <c r="KN107" s="9"/>
      <c r="KO107" s="9"/>
      <c r="KP107" s="9"/>
      <c r="KQ107" s="9"/>
      <c r="KR107" s="9"/>
      <c r="KS107" s="9"/>
      <c r="KT107" s="9"/>
      <c r="KU107" s="9"/>
      <c r="KV107" s="9"/>
      <c r="KW107" s="9"/>
      <c r="KX107" s="9"/>
      <c r="KY107" s="9"/>
      <c r="KZ107" s="9"/>
      <c r="LA107" s="9"/>
      <c r="LB107" s="9"/>
      <c r="LC107" s="9"/>
      <c r="LD107" s="9"/>
      <c r="LE107" s="9"/>
      <c r="LF107" s="9"/>
      <c r="LG107" s="9"/>
      <c r="LH107" s="9"/>
      <c r="LI107" s="9"/>
      <c r="LJ107" s="9"/>
      <c r="LK107" s="9"/>
      <c r="LL107" s="9"/>
      <c r="LM107" s="9"/>
      <c r="LN107" s="9"/>
      <c r="LO107" s="9"/>
      <c r="LP107" s="9"/>
      <c r="LQ107" s="9"/>
      <c r="LR107" s="9"/>
      <c r="LS107" s="9"/>
      <c r="LT107" s="9"/>
      <c r="LU107" s="9"/>
      <c r="LV107" s="9"/>
      <c r="LW107" s="9"/>
      <c r="LX107" s="9"/>
      <c r="LY107" s="9"/>
      <c r="LZ107" s="9"/>
      <c r="MA107" s="9"/>
      <c r="MB107" s="9"/>
      <c r="MC107" s="9"/>
      <c r="MD107" s="9"/>
      <c r="ME107" s="9"/>
      <c r="MF107" s="9"/>
      <c r="MG107" s="9"/>
      <c r="MH107" s="9"/>
      <c r="MI107" s="9"/>
      <c r="MJ107" s="9"/>
      <c r="MK107" s="9"/>
      <c r="ML107" s="9"/>
      <c r="MM107" s="9"/>
      <c r="MN107" s="9"/>
      <c r="MO107" s="9"/>
      <c r="MP107" s="9"/>
      <c r="MQ107" s="9"/>
      <c r="MR107" s="9"/>
      <c r="MS107" s="9"/>
      <c r="MT107" s="9"/>
      <c r="MU107" s="9"/>
      <c r="MV107" s="9"/>
      <c r="MW107" s="9"/>
      <c r="MX107" s="9"/>
      <c r="MY107" s="9"/>
      <c r="MZ107" s="9"/>
      <c r="NA107" s="9"/>
      <c r="NB107" s="9"/>
      <c r="NC107" s="9"/>
      <c r="ND107" s="9"/>
      <c r="NE107" s="9"/>
      <c r="NF107" s="9"/>
      <c r="NG107" s="9"/>
      <c r="NH107" s="9"/>
      <c r="NI107" s="9"/>
      <c r="NJ107" s="9"/>
      <c r="NK107" s="9"/>
      <c r="NL107" s="9"/>
      <c r="NM107" s="9"/>
      <c r="NN107" s="9"/>
      <c r="NO107" s="9"/>
      <c r="NP107" s="9"/>
      <c r="NQ107" s="9"/>
      <c r="NR107" s="9"/>
      <c r="NS107" s="9"/>
      <c r="NT107" s="9"/>
      <c r="NU107" s="9"/>
      <c r="NV107" s="9"/>
      <c r="NW107" s="9"/>
      <c r="NX107" s="9"/>
      <c r="NY107" s="9"/>
      <c r="NZ107" s="9"/>
      <c r="OA107" s="9"/>
      <c r="OB107" s="9"/>
      <c r="OC107" s="9"/>
      <c r="OD107" s="9"/>
      <c r="OE107" s="9"/>
      <c r="OF107" s="9"/>
      <c r="OG107" s="9"/>
      <c r="OH107" s="9"/>
      <c r="OI107" s="9"/>
      <c r="OJ107" s="9"/>
      <c r="OK107" s="9"/>
      <c r="OL107" s="9"/>
      <c r="OM107" s="9"/>
      <c r="ON107" s="9"/>
      <c r="OO107" s="9"/>
      <c r="OP107" s="9"/>
      <c r="OQ107" s="9"/>
      <c r="OR107" s="9"/>
      <c r="OS107" s="9"/>
      <c r="OT107" s="9"/>
      <c r="OU107" s="9"/>
      <c r="OV107" s="9"/>
      <c r="OW107" s="9"/>
      <c r="OX107" s="9"/>
      <c r="OY107" s="9"/>
      <c r="OZ107" s="9"/>
      <c r="PA107" s="9"/>
      <c r="PB107" s="9"/>
      <c r="PC107" s="9"/>
      <c r="PD107" s="9"/>
      <c r="PE107" s="9"/>
      <c r="PF107" s="9"/>
      <c r="PG107" s="9"/>
      <c r="PH107" s="9"/>
      <c r="PI107" s="9"/>
      <c r="PJ107" s="9"/>
      <c r="PK107" s="9"/>
      <c r="PL107" s="9"/>
      <c r="PM107" s="9"/>
      <c r="PN107" s="9"/>
      <c r="PO107" s="9"/>
      <c r="PP107" s="9"/>
      <c r="PQ107" s="9"/>
      <c r="PR107" s="9"/>
      <c r="PS107" s="9"/>
      <c r="PT107" s="9"/>
      <c r="PU107" s="9"/>
      <c r="PV107" s="9"/>
      <c r="PW107" s="9"/>
      <c r="PX107" s="9"/>
      <c r="PY107" s="9"/>
      <c r="PZ107" s="9"/>
      <c r="QA107" s="9"/>
      <c r="QB107" s="9"/>
      <c r="QC107" s="9"/>
      <c r="QD107" s="9"/>
      <c r="QE107" s="9"/>
      <c r="QF107" s="9"/>
      <c r="QG107" s="9"/>
      <c r="QH107" s="9"/>
      <c r="QI107" s="9"/>
      <c r="QJ107" s="9"/>
      <c r="QK107" s="9"/>
      <c r="QL107" s="9"/>
      <c r="QM107" s="9"/>
      <c r="QN107" s="9"/>
      <c r="QO107" s="9"/>
      <c r="QP107" s="9"/>
      <c r="QQ107" s="67"/>
      <c r="QR107" s="68"/>
      <c r="QS107" s="63"/>
      <c r="QT107" s="71"/>
    </row>
    <row r="108" spans="1:462" s="11" customFormat="1" ht="26" x14ac:dyDescent="0.2">
      <c r="A108" s="9">
        <v>10</v>
      </c>
      <c r="B108" s="9"/>
      <c r="C108" s="9"/>
      <c r="D108" s="9" t="s">
        <v>1006</v>
      </c>
      <c r="E108" s="65" t="s">
        <v>47</v>
      </c>
      <c r="F108" s="65"/>
      <c r="G108" s="91" t="s">
        <v>2329</v>
      </c>
      <c r="H108" s="66" t="s">
        <v>1618</v>
      </c>
      <c r="I108" s="9" t="s">
        <v>1098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 t="s">
        <v>1098</v>
      </c>
      <c r="FP108" s="9"/>
      <c r="FQ108" s="9" t="s">
        <v>1098</v>
      </c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  <c r="IW108" s="9"/>
      <c r="IX108" s="9"/>
      <c r="IY108" s="9"/>
      <c r="IZ108" s="9"/>
      <c r="JA108" s="9"/>
      <c r="JB108" s="9"/>
      <c r="JC108" s="9"/>
      <c r="JD108" s="9"/>
      <c r="JE108" s="9"/>
      <c r="JF108" s="9"/>
      <c r="JG108" s="9"/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  <c r="KM108" s="9"/>
      <c r="KN108" s="9"/>
      <c r="KO108" s="9"/>
      <c r="KP108" s="9"/>
      <c r="KQ108" s="9"/>
      <c r="KR108" s="9"/>
      <c r="KS108" s="9"/>
      <c r="KT108" s="9"/>
      <c r="KU108" s="9"/>
      <c r="KV108" s="9"/>
      <c r="KW108" s="9"/>
      <c r="KX108" s="9"/>
      <c r="KY108" s="9"/>
      <c r="KZ108" s="9"/>
      <c r="LA108" s="9"/>
      <c r="LB108" s="9"/>
      <c r="LC108" s="9"/>
      <c r="LD108" s="9"/>
      <c r="LE108" s="9"/>
      <c r="LF108" s="9"/>
      <c r="LG108" s="9"/>
      <c r="LH108" s="9"/>
      <c r="LI108" s="9"/>
      <c r="LJ108" s="9"/>
      <c r="LK108" s="9"/>
      <c r="LL108" s="9"/>
      <c r="LM108" s="9"/>
      <c r="LN108" s="9"/>
      <c r="LO108" s="9"/>
      <c r="LP108" s="9"/>
      <c r="LQ108" s="9"/>
      <c r="LR108" s="9"/>
      <c r="LS108" s="9"/>
      <c r="LT108" s="9"/>
      <c r="LU108" s="9"/>
      <c r="LV108" s="9"/>
      <c r="LW108" s="9"/>
      <c r="LX108" s="9"/>
      <c r="LY108" s="9"/>
      <c r="LZ108" s="9"/>
      <c r="MA108" s="9"/>
      <c r="MB108" s="9"/>
      <c r="MC108" s="9"/>
      <c r="MD108" s="9"/>
      <c r="ME108" s="9"/>
      <c r="MF108" s="9"/>
      <c r="MG108" s="9"/>
      <c r="MH108" s="9"/>
      <c r="MI108" s="9"/>
      <c r="MJ108" s="9"/>
      <c r="MK108" s="9"/>
      <c r="ML108" s="9"/>
      <c r="MM108" s="9"/>
      <c r="MN108" s="9"/>
      <c r="MO108" s="9"/>
      <c r="MP108" s="9"/>
      <c r="MQ108" s="9"/>
      <c r="MR108" s="9"/>
      <c r="MS108" s="9"/>
      <c r="MT108" s="9"/>
      <c r="MU108" s="9"/>
      <c r="MV108" s="9"/>
      <c r="MW108" s="9"/>
      <c r="MX108" s="9"/>
      <c r="MY108" s="9"/>
      <c r="MZ108" s="9"/>
      <c r="NA108" s="9"/>
      <c r="NB108" s="9"/>
      <c r="NC108" s="9"/>
      <c r="ND108" s="9"/>
      <c r="NE108" s="9"/>
      <c r="NF108" s="9"/>
      <c r="NG108" s="9"/>
      <c r="NH108" s="9"/>
      <c r="NI108" s="9"/>
      <c r="NJ108" s="9"/>
      <c r="NK108" s="9"/>
      <c r="NL108" s="9"/>
      <c r="NM108" s="9"/>
      <c r="NN108" s="9"/>
      <c r="NO108" s="9"/>
      <c r="NP108" s="9"/>
      <c r="NQ108" s="9"/>
      <c r="NR108" s="9"/>
      <c r="NS108" s="9"/>
      <c r="NT108" s="9"/>
      <c r="NU108" s="9"/>
      <c r="NV108" s="9"/>
      <c r="NW108" s="9"/>
      <c r="NX108" s="9"/>
      <c r="NY108" s="9"/>
      <c r="NZ108" s="9"/>
      <c r="OA108" s="9"/>
      <c r="OB108" s="9"/>
      <c r="OC108" s="9"/>
      <c r="OD108" s="9"/>
      <c r="OE108" s="9"/>
      <c r="OF108" s="9"/>
      <c r="OG108" s="9"/>
      <c r="OH108" s="9"/>
      <c r="OI108" s="9"/>
      <c r="OJ108" s="9"/>
      <c r="OK108" s="9"/>
      <c r="OL108" s="9"/>
      <c r="OM108" s="9"/>
      <c r="ON108" s="9"/>
      <c r="OO108" s="9"/>
      <c r="OP108" s="9"/>
      <c r="OQ108" s="9"/>
      <c r="OR108" s="9"/>
      <c r="OS108" s="9"/>
      <c r="OT108" s="9"/>
      <c r="OU108" s="9"/>
      <c r="OV108" s="9"/>
      <c r="OW108" s="9"/>
      <c r="OX108" s="9"/>
      <c r="OY108" s="9"/>
      <c r="OZ108" s="9"/>
      <c r="PA108" s="9"/>
      <c r="PB108" s="9"/>
      <c r="PC108" s="9"/>
      <c r="PD108" s="9"/>
      <c r="PE108" s="9"/>
      <c r="PF108" s="9"/>
      <c r="PG108" s="9"/>
      <c r="PH108" s="9"/>
      <c r="PI108" s="9"/>
      <c r="PJ108" s="9"/>
      <c r="PK108" s="9"/>
      <c r="PL108" s="9"/>
      <c r="PM108" s="9"/>
      <c r="PN108" s="9"/>
      <c r="PO108" s="9"/>
      <c r="PP108" s="9"/>
      <c r="PQ108" s="9"/>
      <c r="PR108" s="9"/>
      <c r="PS108" s="9"/>
      <c r="PT108" s="9"/>
      <c r="PU108" s="9"/>
      <c r="PV108" s="9"/>
      <c r="PW108" s="9"/>
      <c r="PX108" s="9"/>
      <c r="PY108" s="9"/>
      <c r="PZ108" s="9"/>
      <c r="QA108" s="9"/>
      <c r="QB108" s="9"/>
      <c r="QC108" s="9"/>
      <c r="QD108" s="9"/>
      <c r="QE108" s="9"/>
      <c r="QF108" s="9"/>
      <c r="QG108" s="9"/>
      <c r="QH108" s="9"/>
      <c r="QI108" s="9"/>
      <c r="QJ108" s="9"/>
      <c r="QK108" s="9"/>
      <c r="QL108" s="9"/>
      <c r="QM108" s="9"/>
      <c r="QN108" s="9"/>
      <c r="QO108" s="9"/>
      <c r="QP108" s="9"/>
      <c r="QQ108" s="67"/>
      <c r="QR108" s="68"/>
      <c r="QS108" s="63"/>
      <c r="QT108" s="71"/>
    </row>
    <row r="109" spans="1:462" s="11" customFormat="1" x14ac:dyDescent="0.2">
      <c r="A109" s="9">
        <v>10</v>
      </c>
      <c r="B109" s="9"/>
      <c r="C109" s="9"/>
      <c r="D109" s="9" t="s">
        <v>871</v>
      </c>
      <c r="E109" s="65" t="s">
        <v>876</v>
      </c>
      <c r="F109" s="65"/>
      <c r="G109" s="91" t="s">
        <v>2330</v>
      </c>
      <c r="H109" s="66" t="s">
        <v>1619</v>
      </c>
      <c r="I109" s="9" t="s">
        <v>1098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 t="s">
        <v>1098</v>
      </c>
      <c r="FP109" s="9"/>
      <c r="FQ109" s="9" t="s">
        <v>1098</v>
      </c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  <c r="IW109" s="9"/>
      <c r="IX109" s="9"/>
      <c r="IY109" s="9"/>
      <c r="IZ109" s="9"/>
      <c r="JA109" s="9"/>
      <c r="JB109" s="9"/>
      <c r="JC109" s="9"/>
      <c r="JD109" s="9"/>
      <c r="JE109" s="9"/>
      <c r="JF109" s="9"/>
      <c r="JG109" s="9"/>
      <c r="JH109" s="9"/>
      <c r="JI109" s="9"/>
      <c r="JJ109" s="9"/>
      <c r="JK109" s="9"/>
      <c r="JL109" s="9"/>
      <c r="JM109" s="9"/>
      <c r="JN109" s="9"/>
      <c r="JO109" s="9"/>
      <c r="JP109" s="9"/>
      <c r="JQ109" s="9"/>
      <c r="JR109" s="9"/>
      <c r="JS109" s="9"/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  <c r="KK109" s="9"/>
      <c r="KL109" s="9"/>
      <c r="KM109" s="9"/>
      <c r="KN109" s="9"/>
      <c r="KO109" s="9"/>
      <c r="KP109" s="9"/>
      <c r="KQ109" s="9"/>
      <c r="KR109" s="9"/>
      <c r="KS109" s="9"/>
      <c r="KT109" s="9"/>
      <c r="KU109" s="9"/>
      <c r="KV109" s="9"/>
      <c r="KW109" s="9"/>
      <c r="KX109" s="9"/>
      <c r="KY109" s="9"/>
      <c r="KZ109" s="9"/>
      <c r="LA109" s="9"/>
      <c r="LB109" s="9"/>
      <c r="LC109" s="9"/>
      <c r="LD109" s="9"/>
      <c r="LE109" s="9"/>
      <c r="LF109" s="9"/>
      <c r="LG109" s="9"/>
      <c r="LH109" s="9"/>
      <c r="LI109" s="9"/>
      <c r="LJ109" s="9"/>
      <c r="LK109" s="9"/>
      <c r="LL109" s="9"/>
      <c r="LM109" s="9"/>
      <c r="LN109" s="9"/>
      <c r="LO109" s="9"/>
      <c r="LP109" s="9"/>
      <c r="LQ109" s="9"/>
      <c r="LR109" s="9"/>
      <c r="LS109" s="9"/>
      <c r="LT109" s="9"/>
      <c r="LU109" s="9"/>
      <c r="LV109" s="9"/>
      <c r="LW109" s="9"/>
      <c r="LX109" s="9"/>
      <c r="LY109" s="9"/>
      <c r="LZ109" s="9"/>
      <c r="MA109" s="9"/>
      <c r="MB109" s="9"/>
      <c r="MC109" s="9"/>
      <c r="MD109" s="9"/>
      <c r="ME109" s="9"/>
      <c r="MF109" s="9"/>
      <c r="MG109" s="9"/>
      <c r="MH109" s="9"/>
      <c r="MI109" s="9"/>
      <c r="MJ109" s="9"/>
      <c r="MK109" s="9"/>
      <c r="ML109" s="9"/>
      <c r="MM109" s="9"/>
      <c r="MN109" s="9"/>
      <c r="MO109" s="9"/>
      <c r="MP109" s="9"/>
      <c r="MQ109" s="9"/>
      <c r="MR109" s="9"/>
      <c r="MS109" s="9"/>
      <c r="MT109" s="9"/>
      <c r="MU109" s="9"/>
      <c r="MV109" s="9"/>
      <c r="MW109" s="9"/>
      <c r="MX109" s="9"/>
      <c r="MY109" s="9"/>
      <c r="MZ109" s="9"/>
      <c r="NA109" s="9"/>
      <c r="NB109" s="9"/>
      <c r="NC109" s="9"/>
      <c r="ND109" s="9"/>
      <c r="NE109" s="9"/>
      <c r="NF109" s="9"/>
      <c r="NG109" s="9"/>
      <c r="NH109" s="9"/>
      <c r="NI109" s="9"/>
      <c r="NJ109" s="9"/>
      <c r="NK109" s="9"/>
      <c r="NL109" s="9"/>
      <c r="NM109" s="9"/>
      <c r="NN109" s="9"/>
      <c r="NO109" s="9"/>
      <c r="NP109" s="9"/>
      <c r="NQ109" s="9"/>
      <c r="NR109" s="9"/>
      <c r="NS109" s="9"/>
      <c r="NT109" s="9"/>
      <c r="NU109" s="9"/>
      <c r="NV109" s="9"/>
      <c r="NW109" s="9"/>
      <c r="NX109" s="9"/>
      <c r="NY109" s="9"/>
      <c r="NZ109" s="9"/>
      <c r="OA109" s="9"/>
      <c r="OB109" s="9"/>
      <c r="OC109" s="9"/>
      <c r="OD109" s="9"/>
      <c r="OE109" s="9"/>
      <c r="OF109" s="9"/>
      <c r="OG109" s="9"/>
      <c r="OH109" s="9"/>
      <c r="OI109" s="9"/>
      <c r="OJ109" s="9"/>
      <c r="OK109" s="9"/>
      <c r="OL109" s="9"/>
      <c r="OM109" s="9"/>
      <c r="ON109" s="9"/>
      <c r="OO109" s="9"/>
      <c r="OP109" s="9"/>
      <c r="OQ109" s="9"/>
      <c r="OR109" s="9"/>
      <c r="OS109" s="9"/>
      <c r="OT109" s="9"/>
      <c r="OU109" s="9"/>
      <c r="OV109" s="9"/>
      <c r="OW109" s="9"/>
      <c r="OX109" s="9"/>
      <c r="OY109" s="9"/>
      <c r="OZ109" s="9"/>
      <c r="PA109" s="9"/>
      <c r="PB109" s="9"/>
      <c r="PC109" s="9"/>
      <c r="PD109" s="9"/>
      <c r="PE109" s="9"/>
      <c r="PF109" s="9"/>
      <c r="PG109" s="9"/>
      <c r="PH109" s="9"/>
      <c r="PI109" s="9"/>
      <c r="PJ109" s="9"/>
      <c r="PK109" s="9"/>
      <c r="PL109" s="9"/>
      <c r="PM109" s="9"/>
      <c r="PN109" s="9"/>
      <c r="PO109" s="9"/>
      <c r="PP109" s="9"/>
      <c r="PQ109" s="9"/>
      <c r="PR109" s="9"/>
      <c r="PS109" s="9"/>
      <c r="PT109" s="9"/>
      <c r="PU109" s="9"/>
      <c r="PV109" s="9"/>
      <c r="PW109" s="9"/>
      <c r="PX109" s="9"/>
      <c r="PY109" s="9"/>
      <c r="PZ109" s="9"/>
      <c r="QA109" s="9"/>
      <c r="QB109" s="9"/>
      <c r="QC109" s="9"/>
      <c r="QD109" s="9"/>
      <c r="QE109" s="9"/>
      <c r="QF109" s="9"/>
      <c r="QG109" s="9"/>
      <c r="QH109" s="9"/>
      <c r="QI109" s="9"/>
      <c r="QJ109" s="9"/>
      <c r="QK109" s="9"/>
      <c r="QL109" s="9"/>
      <c r="QM109" s="9"/>
      <c r="QN109" s="9"/>
      <c r="QO109" s="9"/>
      <c r="QP109" s="9"/>
      <c r="QQ109" s="67"/>
      <c r="QR109" s="68"/>
      <c r="QS109" s="63"/>
      <c r="QT109" s="71"/>
    </row>
    <row r="110" spans="1:462" s="11" customFormat="1" ht="26" x14ac:dyDescent="0.2">
      <c r="A110" s="9">
        <v>10</v>
      </c>
      <c r="B110" s="9"/>
      <c r="C110" s="9"/>
      <c r="D110" s="9" t="s">
        <v>926</v>
      </c>
      <c r="E110" s="65" t="s">
        <v>876</v>
      </c>
      <c r="F110" s="65"/>
      <c r="G110" s="91" t="s">
        <v>2331</v>
      </c>
      <c r="H110" s="66" t="s">
        <v>1620</v>
      </c>
      <c r="I110" s="9" t="s">
        <v>1098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 t="s">
        <v>1098</v>
      </c>
      <c r="FP110" s="9"/>
      <c r="FQ110" s="9" t="s">
        <v>1098</v>
      </c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  <c r="IW110" s="9"/>
      <c r="IX110" s="9"/>
      <c r="IY110" s="9"/>
      <c r="IZ110" s="9"/>
      <c r="JA110" s="9"/>
      <c r="JB110" s="9"/>
      <c r="JC110" s="9"/>
      <c r="JD110" s="9"/>
      <c r="JE110" s="9"/>
      <c r="JF110" s="9"/>
      <c r="JG110" s="9"/>
      <c r="JH110" s="9"/>
      <c r="JI110" s="9"/>
      <c r="JJ110" s="9"/>
      <c r="JK110" s="9"/>
      <c r="JL110" s="9"/>
      <c r="JM110" s="9"/>
      <c r="JN110" s="9"/>
      <c r="JO110" s="9"/>
      <c r="JP110" s="9"/>
      <c r="JQ110" s="9"/>
      <c r="JR110" s="9"/>
      <c r="JS110" s="9"/>
      <c r="JT110" s="9"/>
      <c r="JU110" s="9"/>
      <c r="JV110" s="9"/>
      <c r="JW110" s="9"/>
      <c r="JX110" s="9"/>
      <c r="JY110" s="9"/>
      <c r="JZ110" s="9"/>
      <c r="KA110" s="9"/>
      <c r="KB110" s="9"/>
      <c r="KC110" s="9"/>
      <c r="KD110" s="9"/>
      <c r="KE110" s="9"/>
      <c r="KF110" s="9"/>
      <c r="KG110" s="9"/>
      <c r="KH110" s="9"/>
      <c r="KI110" s="9"/>
      <c r="KJ110" s="9"/>
      <c r="KK110" s="9"/>
      <c r="KL110" s="9"/>
      <c r="KM110" s="9"/>
      <c r="KN110" s="9"/>
      <c r="KO110" s="9"/>
      <c r="KP110" s="9"/>
      <c r="KQ110" s="9"/>
      <c r="KR110" s="9"/>
      <c r="KS110" s="9"/>
      <c r="KT110" s="9"/>
      <c r="KU110" s="9"/>
      <c r="KV110" s="9"/>
      <c r="KW110" s="9"/>
      <c r="KX110" s="9"/>
      <c r="KY110" s="9"/>
      <c r="KZ110" s="9"/>
      <c r="LA110" s="9"/>
      <c r="LB110" s="9"/>
      <c r="LC110" s="9"/>
      <c r="LD110" s="9"/>
      <c r="LE110" s="9"/>
      <c r="LF110" s="9"/>
      <c r="LG110" s="9"/>
      <c r="LH110" s="9"/>
      <c r="LI110" s="9"/>
      <c r="LJ110" s="9"/>
      <c r="LK110" s="9"/>
      <c r="LL110" s="9"/>
      <c r="LM110" s="9"/>
      <c r="LN110" s="9"/>
      <c r="LO110" s="9"/>
      <c r="LP110" s="9"/>
      <c r="LQ110" s="9"/>
      <c r="LR110" s="9"/>
      <c r="LS110" s="9"/>
      <c r="LT110" s="9"/>
      <c r="LU110" s="9"/>
      <c r="LV110" s="9"/>
      <c r="LW110" s="9"/>
      <c r="LX110" s="9"/>
      <c r="LY110" s="9"/>
      <c r="LZ110" s="9"/>
      <c r="MA110" s="9"/>
      <c r="MB110" s="9"/>
      <c r="MC110" s="9"/>
      <c r="MD110" s="9"/>
      <c r="ME110" s="9"/>
      <c r="MF110" s="9"/>
      <c r="MG110" s="9"/>
      <c r="MH110" s="9"/>
      <c r="MI110" s="9"/>
      <c r="MJ110" s="9"/>
      <c r="MK110" s="9"/>
      <c r="ML110" s="9"/>
      <c r="MM110" s="9"/>
      <c r="MN110" s="9"/>
      <c r="MO110" s="9"/>
      <c r="MP110" s="9"/>
      <c r="MQ110" s="9"/>
      <c r="MR110" s="9"/>
      <c r="MS110" s="9"/>
      <c r="MT110" s="9"/>
      <c r="MU110" s="9"/>
      <c r="MV110" s="9"/>
      <c r="MW110" s="9"/>
      <c r="MX110" s="9"/>
      <c r="MY110" s="9"/>
      <c r="MZ110" s="9"/>
      <c r="NA110" s="9"/>
      <c r="NB110" s="9"/>
      <c r="NC110" s="9"/>
      <c r="ND110" s="9"/>
      <c r="NE110" s="9"/>
      <c r="NF110" s="9"/>
      <c r="NG110" s="9"/>
      <c r="NH110" s="9"/>
      <c r="NI110" s="9"/>
      <c r="NJ110" s="9"/>
      <c r="NK110" s="9"/>
      <c r="NL110" s="9"/>
      <c r="NM110" s="9"/>
      <c r="NN110" s="9"/>
      <c r="NO110" s="9"/>
      <c r="NP110" s="9"/>
      <c r="NQ110" s="9"/>
      <c r="NR110" s="9"/>
      <c r="NS110" s="9"/>
      <c r="NT110" s="9"/>
      <c r="NU110" s="9"/>
      <c r="NV110" s="9"/>
      <c r="NW110" s="9"/>
      <c r="NX110" s="9"/>
      <c r="NY110" s="9"/>
      <c r="NZ110" s="9"/>
      <c r="OA110" s="9"/>
      <c r="OB110" s="9"/>
      <c r="OC110" s="9"/>
      <c r="OD110" s="9"/>
      <c r="OE110" s="9"/>
      <c r="OF110" s="9"/>
      <c r="OG110" s="9"/>
      <c r="OH110" s="9"/>
      <c r="OI110" s="9"/>
      <c r="OJ110" s="9"/>
      <c r="OK110" s="9"/>
      <c r="OL110" s="9"/>
      <c r="OM110" s="9"/>
      <c r="ON110" s="9"/>
      <c r="OO110" s="9"/>
      <c r="OP110" s="9"/>
      <c r="OQ110" s="9"/>
      <c r="OR110" s="9"/>
      <c r="OS110" s="9"/>
      <c r="OT110" s="9"/>
      <c r="OU110" s="9"/>
      <c r="OV110" s="9"/>
      <c r="OW110" s="9"/>
      <c r="OX110" s="9"/>
      <c r="OY110" s="9"/>
      <c r="OZ110" s="9"/>
      <c r="PA110" s="9"/>
      <c r="PB110" s="9"/>
      <c r="PC110" s="9"/>
      <c r="PD110" s="9"/>
      <c r="PE110" s="9"/>
      <c r="PF110" s="9"/>
      <c r="PG110" s="9"/>
      <c r="PH110" s="9"/>
      <c r="PI110" s="9"/>
      <c r="PJ110" s="9"/>
      <c r="PK110" s="9"/>
      <c r="PL110" s="9"/>
      <c r="PM110" s="9"/>
      <c r="PN110" s="9"/>
      <c r="PO110" s="9"/>
      <c r="PP110" s="9"/>
      <c r="PQ110" s="9"/>
      <c r="PR110" s="9"/>
      <c r="PS110" s="9"/>
      <c r="PT110" s="9"/>
      <c r="PU110" s="9"/>
      <c r="PV110" s="9"/>
      <c r="PW110" s="9"/>
      <c r="PX110" s="9"/>
      <c r="PY110" s="9"/>
      <c r="PZ110" s="9"/>
      <c r="QA110" s="9"/>
      <c r="QB110" s="9"/>
      <c r="QC110" s="9"/>
      <c r="QD110" s="9"/>
      <c r="QE110" s="9"/>
      <c r="QF110" s="9"/>
      <c r="QG110" s="9"/>
      <c r="QH110" s="9"/>
      <c r="QI110" s="9"/>
      <c r="QJ110" s="9"/>
      <c r="QK110" s="9"/>
      <c r="QL110" s="9"/>
      <c r="QM110" s="9"/>
      <c r="QN110" s="9"/>
      <c r="QO110" s="9"/>
      <c r="QP110" s="9"/>
      <c r="QQ110" s="67"/>
      <c r="QR110" s="68"/>
      <c r="QS110" s="63"/>
      <c r="QT110" s="71"/>
    </row>
    <row r="111" spans="1:462" s="11" customFormat="1" x14ac:dyDescent="0.2">
      <c r="A111" s="9">
        <v>10</v>
      </c>
      <c r="B111" s="9"/>
      <c r="C111" s="9"/>
      <c r="D111" s="9" t="s">
        <v>813</v>
      </c>
      <c r="E111" s="65" t="s">
        <v>821</v>
      </c>
      <c r="F111" s="65"/>
      <c r="G111" s="91" t="s">
        <v>2332</v>
      </c>
      <c r="H111" s="66" t="s">
        <v>1621</v>
      </c>
      <c r="I111" s="9" t="s">
        <v>1098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 t="s">
        <v>1098</v>
      </c>
      <c r="FP111" s="9"/>
      <c r="FQ111" s="9" t="s">
        <v>1098</v>
      </c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  <c r="IW111" s="9"/>
      <c r="IX111" s="9"/>
      <c r="IY111" s="9"/>
      <c r="IZ111" s="9"/>
      <c r="JA111" s="9"/>
      <c r="JB111" s="9"/>
      <c r="JC111" s="9"/>
      <c r="JD111" s="9"/>
      <c r="JE111" s="9"/>
      <c r="JF111" s="9"/>
      <c r="JG111" s="9"/>
      <c r="JH111" s="9"/>
      <c r="JI111" s="9"/>
      <c r="JJ111" s="9"/>
      <c r="JK111" s="9"/>
      <c r="JL111" s="9"/>
      <c r="JM111" s="9"/>
      <c r="JN111" s="9"/>
      <c r="JO111" s="9"/>
      <c r="JP111" s="9"/>
      <c r="JQ111" s="9"/>
      <c r="JR111" s="9"/>
      <c r="JS111" s="9"/>
      <c r="JT111" s="9"/>
      <c r="JU111" s="9"/>
      <c r="JV111" s="9"/>
      <c r="JW111" s="9"/>
      <c r="JX111" s="9"/>
      <c r="JY111" s="9"/>
      <c r="JZ111" s="9"/>
      <c r="KA111" s="9"/>
      <c r="KB111" s="9"/>
      <c r="KC111" s="9"/>
      <c r="KD111" s="9"/>
      <c r="KE111" s="9"/>
      <c r="KF111" s="9"/>
      <c r="KG111" s="9"/>
      <c r="KH111" s="9"/>
      <c r="KI111" s="9"/>
      <c r="KJ111" s="9"/>
      <c r="KK111" s="9"/>
      <c r="KL111" s="9"/>
      <c r="KM111" s="9"/>
      <c r="KN111" s="9"/>
      <c r="KO111" s="9"/>
      <c r="KP111" s="9"/>
      <c r="KQ111" s="9"/>
      <c r="KR111" s="9"/>
      <c r="KS111" s="9"/>
      <c r="KT111" s="9"/>
      <c r="KU111" s="9"/>
      <c r="KV111" s="9"/>
      <c r="KW111" s="9"/>
      <c r="KX111" s="9"/>
      <c r="KY111" s="9"/>
      <c r="KZ111" s="9"/>
      <c r="LA111" s="9"/>
      <c r="LB111" s="9"/>
      <c r="LC111" s="9"/>
      <c r="LD111" s="9"/>
      <c r="LE111" s="9"/>
      <c r="LF111" s="9"/>
      <c r="LG111" s="9"/>
      <c r="LH111" s="9"/>
      <c r="LI111" s="9"/>
      <c r="LJ111" s="9"/>
      <c r="LK111" s="9"/>
      <c r="LL111" s="9"/>
      <c r="LM111" s="9"/>
      <c r="LN111" s="9"/>
      <c r="LO111" s="9"/>
      <c r="LP111" s="9"/>
      <c r="LQ111" s="9"/>
      <c r="LR111" s="9"/>
      <c r="LS111" s="9"/>
      <c r="LT111" s="9"/>
      <c r="LU111" s="9"/>
      <c r="LV111" s="9"/>
      <c r="LW111" s="9"/>
      <c r="LX111" s="9"/>
      <c r="LY111" s="9"/>
      <c r="LZ111" s="9"/>
      <c r="MA111" s="9"/>
      <c r="MB111" s="9"/>
      <c r="MC111" s="9"/>
      <c r="MD111" s="9"/>
      <c r="ME111" s="9"/>
      <c r="MF111" s="9"/>
      <c r="MG111" s="9"/>
      <c r="MH111" s="9"/>
      <c r="MI111" s="9"/>
      <c r="MJ111" s="9"/>
      <c r="MK111" s="9"/>
      <c r="ML111" s="9"/>
      <c r="MM111" s="9"/>
      <c r="MN111" s="9"/>
      <c r="MO111" s="9"/>
      <c r="MP111" s="9"/>
      <c r="MQ111" s="9"/>
      <c r="MR111" s="9"/>
      <c r="MS111" s="9"/>
      <c r="MT111" s="9"/>
      <c r="MU111" s="9"/>
      <c r="MV111" s="9"/>
      <c r="MW111" s="9"/>
      <c r="MX111" s="9"/>
      <c r="MY111" s="9"/>
      <c r="MZ111" s="9"/>
      <c r="NA111" s="9"/>
      <c r="NB111" s="9"/>
      <c r="NC111" s="9"/>
      <c r="ND111" s="9"/>
      <c r="NE111" s="9"/>
      <c r="NF111" s="9"/>
      <c r="NG111" s="9"/>
      <c r="NH111" s="9"/>
      <c r="NI111" s="9"/>
      <c r="NJ111" s="9"/>
      <c r="NK111" s="9"/>
      <c r="NL111" s="9"/>
      <c r="NM111" s="9"/>
      <c r="NN111" s="9"/>
      <c r="NO111" s="9"/>
      <c r="NP111" s="9"/>
      <c r="NQ111" s="9"/>
      <c r="NR111" s="9"/>
      <c r="NS111" s="9"/>
      <c r="NT111" s="9"/>
      <c r="NU111" s="9"/>
      <c r="NV111" s="9"/>
      <c r="NW111" s="9"/>
      <c r="NX111" s="9"/>
      <c r="NY111" s="9"/>
      <c r="NZ111" s="9"/>
      <c r="OA111" s="9"/>
      <c r="OB111" s="9"/>
      <c r="OC111" s="9"/>
      <c r="OD111" s="9"/>
      <c r="OE111" s="9"/>
      <c r="OF111" s="9"/>
      <c r="OG111" s="9"/>
      <c r="OH111" s="9"/>
      <c r="OI111" s="9"/>
      <c r="OJ111" s="9"/>
      <c r="OK111" s="9"/>
      <c r="OL111" s="9"/>
      <c r="OM111" s="9"/>
      <c r="ON111" s="9"/>
      <c r="OO111" s="9"/>
      <c r="OP111" s="9"/>
      <c r="OQ111" s="9"/>
      <c r="OR111" s="9"/>
      <c r="OS111" s="9"/>
      <c r="OT111" s="9"/>
      <c r="OU111" s="9"/>
      <c r="OV111" s="9"/>
      <c r="OW111" s="9"/>
      <c r="OX111" s="9"/>
      <c r="OY111" s="9"/>
      <c r="OZ111" s="9"/>
      <c r="PA111" s="9"/>
      <c r="PB111" s="9"/>
      <c r="PC111" s="9"/>
      <c r="PD111" s="9"/>
      <c r="PE111" s="9"/>
      <c r="PF111" s="9"/>
      <c r="PG111" s="9"/>
      <c r="PH111" s="9"/>
      <c r="PI111" s="9"/>
      <c r="PJ111" s="9"/>
      <c r="PK111" s="9"/>
      <c r="PL111" s="9"/>
      <c r="PM111" s="9"/>
      <c r="PN111" s="9"/>
      <c r="PO111" s="9"/>
      <c r="PP111" s="9"/>
      <c r="PQ111" s="9"/>
      <c r="PR111" s="9"/>
      <c r="PS111" s="9"/>
      <c r="PT111" s="9"/>
      <c r="PU111" s="9"/>
      <c r="PV111" s="9"/>
      <c r="PW111" s="9"/>
      <c r="PX111" s="9"/>
      <c r="PY111" s="9"/>
      <c r="PZ111" s="9"/>
      <c r="QA111" s="9"/>
      <c r="QB111" s="9"/>
      <c r="QC111" s="9"/>
      <c r="QD111" s="9"/>
      <c r="QE111" s="9"/>
      <c r="QF111" s="9"/>
      <c r="QG111" s="9"/>
      <c r="QH111" s="9"/>
      <c r="QI111" s="9"/>
      <c r="QJ111" s="9"/>
      <c r="QK111" s="9"/>
      <c r="QL111" s="9"/>
      <c r="QM111" s="9"/>
      <c r="QN111" s="9"/>
      <c r="QO111" s="9"/>
      <c r="QP111" s="9"/>
      <c r="QQ111" s="67"/>
      <c r="QR111" s="68"/>
      <c r="QS111" s="63"/>
      <c r="QT111" s="71"/>
    </row>
    <row r="112" spans="1:462" s="11" customFormat="1" x14ac:dyDescent="0.2">
      <c r="A112" s="9">
        <v>10</v>
      </c>
      <c r="B112" s="9"/>
      <c r="C112" s="9"/>
      <c r="D112" s="9" t="s">
        <v>816</v>
      </c>
      <c r="E112" s="65" t="s">
        <v>822</v>
      </c>
      <c r="F112" s="65"/>
      <c r="G112" s="91" t="s">
        <v>2334</v>
      </c>
      <c r="H112" s="66" t="s">
        <v>1622</v>
      </c>
      <c r="I112" s="9" t="s">
        <v>1098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 t="s">
        <v>1098</v>
      </c>
      <c r="FP112" s="9"/>
      <c r="FQ112" s="9" t="s">
        <v>1098</v>
      </c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  <c r="IX112" s="9"/>
      <c r="IY112" s="9"/>
      <c r="IZ112" s="9"/>
      <c r="JA112" s="9"/>
      <c r="JB112" s="9"/>
      <c r="JC112" s="9"/>
      <c r="JD112" s="9"/>
      <c r="JE112" s="9"/>
      <c r="JF112" s="9"/>
      <c r="JG112" s="9"/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  <c r="KM112" s="9"/>
      <c r="KN112" s="9"/>
      <c r="KO112" s="9"/>
      <c r="KP112" s="9"/>
      <c r="KQ112" s="9"/>
      <c r="KR112" s="9"/>
      <c r="KS112" s="9"/>
      <c r="KT112" s="9"/>
      <c r="KU112" s="9"/>
      <c r="KV112" s="9"/>
      <c r="KW112" s="9"/>
      <c r="KX112" s="9"/>
      <c r="KY112" s="9"/>
      <c r="KZ112" s="9"/>
      <c r="LA112" s="9"/>
      <c r="LB112" s="9"/>
      <c r="LC112" s="9"/>
      <c r="LD112" s="9"/>
      <c r="LE112" s="9"/>
      <c r="LF112" s="9"/>
      <c r="LG112" s="9"/>
      <c r="LH112" s="9"/>
      <c r="LI112" s="9"/>
      <c r="LJ112" s="9"/>
      <c r="LK112" s="9"/>
      <c r="LL112" s="9"/>
      <c r="LM112" s="9"/>
      <c r="LN112" s="9"/>
      <c r="LO112" s="9"/>
      <c r="LP112" s="9"/>
      <c r="LQ112" s="9"/>
      <c r="LR112" s="9"/>
      <c r="LS112" s="9"/>
      <c r="LT112" s="9"/>
      <c r="LU112" s="9"/>
      <c r="LV112" s="9"/>
      <c r="LW112" s="9"/>
      <c r="LX112" s="9"/>
      <c r="LY112" s="9"/>
      <c r="LZ112" s="9"/>
      <c r="MA112" s="9"/>
      <c r="MB112" s="9"/>
      <c r="MC112" s="9"/>
      <c r="MD112" s="9"/>
      <c r="ME112" s="9"/>
      <c r="MF112" s="9"/>
      <c r="MG112" s="9"/>
      <c r="MH112" s="9"/>
      <c r="MI112" s="9"/>
      <c r="MJ112" s="9"/>
      <c r="MK112" s="9"/>
      <c r="ML112" s="9"/>
      <c r="MM112" s="9"/>
      <c r="MN112" s="9"/>
      <c r="MO112" s="9"/>
      <c r="MP112" s="9"/>
      <c r="MQ112" s="9"/>
      <c r="MR112" s="9"/>
      <c r="MS112" s="9"/>
      <c r="MT112" s="9"/>
      <c r="MU112" s="9"/>
      <c r="MV112" s="9"/>
      <c r="MW112" s="9"/>
      <c r="MX112" s="9"/>
      <c r="MY112" s="9"/>
      <c r="MZ112" s="9"/>
      <c r="NA112" s="9"/>
      <c r="NB112" s="9"/>
      <c r="NC112" s="9"/>
      <c r="ND112" s="9"/>
      <c r="NE112" s="9"/>
      <c r="NF112" s="9"/>
      <c r="NG112" s="9"/>
      <c r="NH112" s="9"/>
      <c r="NI112" s="9"/>
      <c r="NJ112" s="9"/>
      <c r="NK112" s="9"/>
      <c r="NL112" s="9"/>
      <c r="NM112" s="9"/>
      <c r="NN112" s="9"/>
      <c r="NO112" s="9"/>
      <c r="NP112" s="9"/>
      <c r="NQ112" s="9"/>
      <c r="NR112" s="9"/>
      <c r="NS112" s="9"/>
      <c r="NT112" s="9"/>
      <c r="NU112" s="9"/>
      <c r="NV112" s="9"/>
      <c r="NW112" s="9"/>
      <c r="NX112" s="9"/>
      <c r="NY112" s="9"/>
      <c r="NZ112" s="9"/>
      <c r="OA112" s="9"/>
      <c r="OB112" s="9"/>
      <c r="OC112" s="9"/>
      <c r="OD112" s="9"/>
      <c r="OE112" s="9"/>
      <c r="OF112" s="9"/>
      <c r="OG112" s="9"/>
      <c r="OH112" s="9"/>
      <c r="OI112" s="9"/>
      <c r="OJ112" s="9"/>
      <c r="OK112" s="9"/>
      <c r="OL112" s="9"/>
      <c r="OM112" s="9"/>
      <c r="ON112" s="9"/>
      <c r="OO112" s="9"/>
      <c r="OP112" s="9"/>
      <c r="OQ112" s="9"/>
      <c r="OR112" s="9"/>
      <c r="OS112" s="9"/>
      <c r="OT112" s="9"/>
      <c r="OU112" s="9"/>
      <c r="OV112" s="9"/>
      <c r="OW112" s="9"/>
      <c r="OX112" s="9"/>
      <c r="OY112" s="9"/>
      <c r="OZ112" s="9"/>
      <c r="PA112" s="9"/>
      <c r="PB112" s="9"/>
      <c r="PC112" s="9"/>
      <c r="PD112" s="9"/>
      <c r="PE112" s="9"/>
      <c r="PF112" s="9"/>
      <c r="PG112" s="9"/>
      <c r="PH112" s="9"/>
      <c r="PI112" s="9"/>
      <c r="PJ112" s="9"/>
      <c r="PK112" s="9"/>
      <c r="PL112" s="9"/>
      <c r="PM112" s="9"/>
      <c r="PN112" s="9"/>
      <c r="PO112" s="9"/>
      <c r="PP112" s="9"/>
      <c r="PQ112" s="9"/>
      <c r="PR112" s="9"/>
      <c r="PS112" s="9"/>
      <c r="PT112" s="9"/>
      <c r="PU112" s="9"/>
      <c r="PV112" s="9"/>
      <c r="PW112" s="9"/>
      <c r="PX112" s="9"/>
      <c r="PY112" s="9"/>
      <c r="PZ112" s="9"/>
      <c r="QA112" s="9"/>
      <c r="QB112" s="9"/>
      <c r="QC112" s="9"/>
      <c r="QD112" s="9"/>
      <c r="QE112" s="9"/>
      <c r="QF112" s="9"/>
      <c r="QG112" s="9"/>
      <c r="QH112" s="9"/>
      <c r="QI112" s="9"/>
      <c r="QJ112" s="9"/>
      <c r="QK112" s="9"/>
      <c r="QL112" s="9"/>
      <c r="QM112" s="9"/>
      <c r="QN112" s="9"/>
      <c r="QO112" s="9"/>
      <c r="QP112" s="9"/>
      <c r="QQ112" s="67"/>
      <c r="QR112" s="68"/>
      <c r="QS112" s="63"/>
      <c r="QT112" s="71"/>
    </row>
    <row r="113" spans="1:462" s="11" customFormat="1" ht="26" x14ac:dyDescent="0.2">
      <c r="A113" s="9">
        <v>10</v>
      </c>
      <c r="B113" s="9"/>
      <c r="C113" s="9"/>
      <c r="D113" s="9" t="s">
        <v>860</v>
      </c>
      <c r="E113" s="65" t="s">
        <v>861</v>
      </c>
      <c r="F113" s="65"/>
      <c r="G113" s="91" t="s">
        <v>2336</v>
      </c>
      <c r="H113" s="66" t="s">
        <v>1623</v>
      </c>
      <c r="I113" s="9" t="s">
        <v>1098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 t="s">
        <v>1098</v>
      </c>
      <c r="FP113" s="9"/>
      <c r="FQ113" s="9" t="s">
        <v>1098</v>
      </c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  <c r="IW113" s="9"/>
      <c r="IX113" s="9"/>
      <c r="IY113" s="9"/>
      <c r="IZ113" s="9"/>
      <c r="JA113" s="9"/>
      <c r="JB113" s="9"/>
      <c r="JC113" s="9"/>
      <c r="JD113" s="9"/>
      <c r="JE113" s="9"/>
      <c r="JF113" s="9"/>
      <c r="JG113" s="9"/>
      <c r="JH113" s="9"/>
      <c r="JI113" s="9"/>
      <c r="JJ113" s="9"/>
      <c r="JK113" s="9"/>
      <c r="JL113" s="9"/>
      <c r="JM113" s="9"/>
      <c r="JN113" s="9"/>
      <c r="JO113" s="9"/>
      <c r="JP113" s="9"/>
      <c r="JQ113" s="9"/>
      <c r="JR113" s="9"/>
      <c r="JS113" s="9"/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  <c r="KK113" s="9"/>
      <c r="KL113" s="9"/>
      <c r="KM113" s="9"/>
      <c r="KN113" s="9"/>
      <c r="KO113" s="9"/>
      <c r="KP113" s="9"/>
      <c r="KQ113" s="9"/>
      <c r="KR113" s="9"/>
      <c r="KS113" s="9"/>
      <c r="KT113" s="9"/>
      <c r="KU113" s="9"/>
      <c r="KV113" s="9"/>
      <c r="KW113" s="9"/>
      <c r="KX113" s="9"/>
      <c r="KY113" s="9"/>
      <c r="KZ113" s="9"/>
      <c r="LA113" s="9"/>
      <c r="LB113" s="9"/>
      <c r="LC113" s="9"/>
      <c r="LD113" s="9"/>
      <c r="LE113" s="9"/>
      <c r="LF113" s="9"/>
      <c r="LG113" s="9"/>
      <c r="LH113" s="9"/>
      <c r="LI113" s="9"/>
      <c r="LJ113" s="9"/>
      <c r="LK113" s="9"/>
      <c r="LL113" s="9"/>
      <c r="LM113" s="9"/>
      <c r="LN113" s="9"/>
      <c r="LO113" s="9"/>
      <c r="LP113" s="9"/>
      <c r="LQ113" s="9"/>
      <c r="LR113" s="9"/>
      <c r="LS113" s="9"/>
      <c r="LT113" s="9"/>
      <c r="LU113" s="9"/>
      <c r="LV113" s="9"/>
      <c r="LW113" s="9"/>
      <c r="LX113" s="9"/>
      <c r="LY113" s="9"/>
      <c r="LZ113" s="9"/>
      <c r="MA113" s="9"/>
      <c r="MB113" s="9"/>
      <c r="MC113" s="9"/>
      <c r="MD113" s="9"/>
      <c r="ME113" s="9"/>
      <c r="MF113" s="9"/>
      <c r="MG113" s="9"/>
      <c r="MH113" s="9"/>
      <c r="MI113" s="9"/>
      <c r="MJ113" s="9"/>
      <c r="MK113" s="9"/>
      <c r="ML113" s="9"/>
      <c r="MM113" s="9"/>
      <c r="MN113" s="9"/>
      <c r="MO113" s="9"/>
      <c r="MP113" s="9"/>
      <c r="MQ113" s="9"/>
      <c r="MR113" s="9"/>
      <c r="MS113" s="9"/>
      <c r="MT113" s="9"/>
      <c r="MU113" s="9"/>
      <c r="MV113" s="9"/>
      <c r="MW113" s="9"/>
      <c r="MX113" s="9"/>
      <c r="MY113" s="9"/>
      <c r="MZ113" s="9"/>
      <c r="NA113" s="9"/>
      <c r="NB113" s="9"/>
      <c r="NC113" s="9"/>
      <c r="ND113" s="9"/>
      <c r="NE113" s="9"/>
      <c r="NF113" s="9"/>
      <c r="NG113" s="9"/>
      <c r="NH113" s="9"/>
      <c r="NI113" s="9"/>
      <c r="NJ113" s="9"/>
      <c r="NK113" s="9"/>
      <c r="NL113" s="9"/>
      <c r="NM113" s="9"/>
      <c r="NN113" s="9"/>
      <c r="NO113" s="9"/>
      <c r="NP113" s="9"/>
      <c r="NQ113" s="9"/>
      <c r="NR113" s="9"/>
      <c r="NS113" s="9"/>
      <c r="NT113" s="9"/>
      <c r="NU113" s="9"/>
      <c r="NV113" s="9"/>
      <c r="NW113" s="9"/>
      <c r="NX113" s="9"/>
      <c r="NY113" s="9"/>
      <c r="NZ113" s="9"/>
      <c r="OA113" s="9"/>
      <c r="OB113" s="9"/>
      <c r="OC113" s="9"/>
      <c r="OD113" s="9"/>
      <c r="OE113" s="9"/>
      <c r="OF113" s="9"/>
      <c r="OG113" s="9"/>
      <c r="OH113" s="9"/>
      <c r="OI113" s="9"/>
      <c r="OJ113" s="9"/>
      <c r="OK113" s="9"/>
      <c r="OL113" s="9"/>
      <c r="OM113" s="9"/>
      <c r="ON113" s="9"/>
      <c r="OO113" s="9"/>
      <c r="OP113" s="9"/>
      <c r="OQ113" s="9"/>
      <c r="OR113" s="9"/>
      <c r="OS113" s="9"/>
      <c r="OT113" s="9"/>
      <c r="OU113" s="9"/>
      <c r="OV113" s="9"/>
      <c r="OW113" s="9"/>
      <c r="OX113" s="9"/>
      <c r="OY113" s="9"/>
      <c r="OZ113" s="9"/>
      <c r="PA113" s="9"/>
      <c r="PB113" s="9"/>
      <c r="PC113" s="9"/>
      <c r="PD113" s="9"/>
      <c r="PE113" s="9"/>
      <c r="PF113" s="9"/>
      <c r="PG113" s="9"/>
      <c r="PH113" s="9"/>
      <c r="PI113" s="9"/>
      <c r="PJ113" s="9"/>
      <c r="PK113" s="9"/>
      <c r="PL113" s="9"/>
      <c r="PM113" s="9"/>
      <c r="PN113" s="9"/>
      <c r="PO113" s="9"/>
      <c r="PP113" s="9"/>
      <c r="PQ113" s="9"/>
      <c r="PR113" s="9"/>
      <c r="PS113" s="9"/>
      <c r="PT113" s="9"/>
      <c r="PU113" s="9"/>
      <c r="PV113" s="9"/>
      <c r="PW113" s="9"/>
      <c r="PX113" s="9"/>
      <c r="PY113" s="9"/>
      <c r="PZ113" s="9"/>
      <c r="QA113" s="9"/>
      <c r="QB113" s="9"/>
      <c r="QC113" s="9"/>
      <c r="QD113" s="9"/>
      <c r="QE113" s="9"/>
      <c r="QF113" s="9"/>
      <c r="QG113" s="9"/>
      <c r="QH113" s="9"/>
      <c r="QI113" s="9"/>
      <c r="QJ113" s="9"/>
      <c r="QK113" s="9"/>
      <c r="QL113" s="9"/>
      <c r="QM113" s="9"/>
      <c r="QN113" s="9"/>
      <c r="QO113" s="9"/>
      <c r="QP113" s="9"/>
      <c r="QQ113" s="67"/>
      <c r="QR113" s="68"/>
      <c r="QS113" s="63"/>
      <c r="QT113" s="71"/>
    </row>
    <row r="114" spans="1:462" s="11" customFormat="1" x14ac:dyDescent="0.2">
      <c r="A114" s="9">
        <v>10</v>
      </c>
      <c r="B114" s="9"/>
      <c r="C114" s="9"/>
      <c r="D114" s="9" t="s">
        <v>812</v>
      </c>
      <c r="E114" s="65" t="s">
        <v>158</v>
      </c>
      <c r="F114" s="65"/>
      <c r="G114" s="92" t="s">
        <v>2337</v>
      </c>
      <c r="H114" s="66" t="s">
        <v>1624</v>
      </c>
      <c r="I114" s="9" t="s">
        <v>1098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 t="s">
        <v>1098</v>
      </c>
      <c r="FP114" s="9"/>
      <c r="FQ114" s="9" t="s">
        <v>1098</v>
      </c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  <c r="IW114" s="9"/>
      <c r="IX114" s="9"/>
      <c r="IY114" s="9"/>
      <c r="IZ114" s="9"/>
      <c r="JA114" s="9"/>
      <c r="JB114" s="9"/>
      <c r="JC114" s="9"/>
      <c r="JD114" s="9"/>
      <c r="JE114" s="9"/>
      <c r="JF114" s="9"/>
      <c r="JG114" s="9"/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  <c r="KM114" s="9"/>
      <c r="KN114" s="9"/>
      <c r="KO114" s="9"/>
      <c r="KP114" s="9"/>
      <c r="KQ114" s="9"/>
      <c r="KR114" s="9"/>
      <c r="KS114" s="9"/>
      <c r="KT114" s="9"/>
      <c r="KU114" s="9"/>
      <c r="KV114" s="9"/>
      <c r="KW114" s="9"/>
      <c r="KX114" s="9"/>
      <c r="KY114" s="9"/>
      <c r="KZ114" s="9"/>
      <c r="LA114" s="9"/>
      <c r="LB114" s="9"/>
      <c r="LC114" s="9"/>
      <c r="LD114" s="9"/>
      <c r="LE114" s="9"/>
      <c r="LF114" s="9"/>
      <c r="LG114" s="9"/>
      <c r="LH114" s="9"/>
      <c r="LI114" s="9"/>
      <c r="LJ114" s="9"/>
      <c r="LK114" s="9"/>
      <c r="LL114" s="9"/>
      <c r="LM114" s="9"/>
      <c r="LN114" s="9"/>
      <c r="LO114" s="9"/>
      <c r="LP114" s="9"/>
      <c r="LQ114" s="9"/>
      <c r="LR114" s="9"/>
      <c r="LS114" s="9"/>
      <c r="LT114" s="9"/>
      <c r="LU114" s="9"/>
      <c r="LV114" s="9"/>
      <c r="LW114" s="9"/>
      <c r="LX114" s="9"/>
      <c r="LY114" s="9"/>
      <c r="LZ114" s="9"/>
      <c r="MA114" s="9"/>
      <c r="MB114" s="9"/>
      <c r="MC114" s="9"/>
      <c r="MD114" s="9"/>
      <c r="ME114" s="9"/>
      <c r="MF114" s="9"/>
      <c r="MG114" s="9"/>
      <c r="MH114" s="9"/>
      <c r="MI114" s="9"/>
      <c r="MJ114" s="9"/>
      <c r="MK114" s="9"/>
      <c r="ML114" s="9"/>
      <c r="MM114" s="9"/>
      <c r="MN114" s="9"/>
      <c r="MO114" s="9"/>
      <c r="MP114" s="9"/>
      <c r="MQ114" s="9"/>
      <c r="MR114" s="9"/>
      <c r="MS114" s="9"/>
      <c r="MT114" s="9"/>
      <c r="MU114" s="9"/>
      <c r="MV114" s="9"/>
      <c r="MW114" s="9"/>
      <c r="MX114" s="9"/>
      <c r="MY114" s="9"/>
      <c r="MZ114" s="9"/>
      <c r="NA114" s="9"/>
      <c r="NB114" s="9"/>
      <c r="NC114" s="9"/>
      <c r="ND114" s="9"/>
      <c r="NE114" s="9"/>
      <c r="NF114" s="9"/>
      <c r="NG114" s="9"/>
      <c r="NH114" s="9"/>
      <c r="NI114" s="9"/>
      <c r="NJ114" s="9"/>
      <c r="NK114" s="9"/>
      <c r="NL114" s="9"/>
      <c r="NM114" s="9"/>
      <c r="NN114" s="9"/>
      <c r="NO114" s="9"/>
      <c r="NP114" s="9"/>
      <c r="NQ114" s="9"/>
      <c r="NR114" s="9"/>
      <c r="NS114" s="9"/>
      <c r="NT114" s="9"/>
      <c r="NU114" s="9"/>
      <c r="NV114" s="9"/>
      <c r="NW114" s="9"/>
      <c r="NX114" s="9"/>
      <c r="NY114" s="9"/>
      <c r="NZ114" s="9"/>
      <c r="OA114" s="9"/>
      <c r="OB114" s="9"/>
      <c r="OC114" s="9"/>
      <c r="OD114" s="9"/>
      <c r="OE114" s="9"/>
      <c r="OF114" s="9"/>
      <c r="OG114" s="9"/>
      <c r="OH114" s="9"/>
      <c r="OI114" s="9"/>
      <c r="OJ114" s="9"/>
      <c r="OK114" s="9"/>
      <c r="OL114" s="9"/>
      <c r="OM114" s="9"/>
      <c r="ON114" s="9"/>
      <c r="OO114" s="9"/>
      <c r="OP114" s="9"/>
      <c r="OQ114" s="9"/>
      <c r="OR114" s="9"/>
      <c r="OS114" s="9"/>
      <c r="OT114" s="9"/>
      <c r="OU114" s="9"/>
      <c r="OV114" s="9"/>
      <c r="OW114" s="9"/>
      <c r="OX114" s="9"/>
      <c r="OY114" s="9"/>
      <c r="OZ114" s="9"/>
      <c r="PA114" s="9"/>
      <c r="PB114" s="9"/>
      <c r="PC114" s="9"/>
      <c r="PD114" s="9"/>
      <c r="PE114" s="9"/>
      <c r="PF114" s="9"/>
      <c r="PG114" s="9"/>
      <c r="PH114" s="9"/>
      <c r="PI114" s="9"/>
      <c r="PJ114" s="9"/>
      <c r="PK114" s="9"/>
      <c r="PL114" s="9"/>
      <c r="PM114" s="9"/>
      <c r="PN114" s="9"/>
      <c r="PO114" s="9"/>
      <c r="PP114" s="9"/>
      <c r="PQ114" s="9"/>
      <c r="PR114" s="9"/>
      <c r="PS114" s="9"/>
      <c r="PT114" s="9"/>
      <c r="PU114" s="9"/>
      <c r="PV114" s="9"/>
      <c r="PW114" s="9"/>
      <c r="PX114" s="9"/>
      <c r="PY114" s="9"/>
      <c r="PZ114" s="9"/>
      <c r="QA114" s="9"/>
      <c r="QB114" s="9"/>
      <c r="QC114" s="9"/>
      <c r="QD114" s="9"/>
      <c r="QE114" s="9"/>
      <c r="QF114" s="9"/>
      <c r="QG114" s="9"/>
      <c r="QH114" s="9"/>
      <c r="QI114" s="9"/>
      <c r="QJ114" s="9"/>
      <c r="QK114" s="9"/>
      <c r="QL114" s="9"/>
      <c r="QM114" s="9"/>
      <c r="QN114" s="9"/>
      <c r="QO114" s="9"/>
      <c r="QP114" s="9"/>
      <c r="QQ114" s="67"/>
      <c r="QR114" s="68"/>
      <c r="QS114" s="63"/>
      <c r="QT114" s="71"/>
    </row>
    <row r="115" spans="1:462" s="11" customFormat="1" x14ac:dyDescent="0.2">
      <c r="A115" s="9">
        <v>10</v>
      </c>
      <c r="B115" s="9"/>
      <c r="C115" s="9"/>
      <c r="D115" s="9" t="s">
        <v>928</v>
      </c>
      <c r="E115" s="65" t="s">
        <v>929</v>
      </c>
      <c r="F115" s="65"/>
      <c r="G115" s="92" t="s">
        <v>2338</v>
      </c>
      <c r="H115" s="66" t="s">
        <v>1625</v>
      </c>
      <c r="I115" s="9" t="s">
        <v>1098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 t="s">
        <v>1098</v>
      </c>
      <c r="FP115" s="9"/>
      <c r="FQ115" s="9" t="s">
        <v>1098</v>
      </c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  <c r="IW115" s="9"/>
      <c r="IX115" s="9"/>
      <c r="IY115" s="9"/>
      <c r="IZ115" s="9"/>
      <c r="JA115" s="9"/>
      <c r="JB115" s="9"/>
      <c r="JC115" s="9"/>
      <c r="JD115" s="9"/>
      <c r="JE115" s="9"/>
      <c r="JF115" s="9"/>
      <c r="JG115" s="9"/>
      <c r="JH115" s="9"/>
      <c r="JI115" s="9"/>
      <c r="JJ115" s="9"/>
      <c r="JK115" s="9"/>
      <c r="JL115" s="9"/>
      <c r="JM115" s="9"/>
      <c r="JN115" s="9"/>
      <c r="JO115" s="9"/>
      <c r="JP115" s="9"/>
      <c r="JQ115" s="9"/>
      <c r="JR115" s="9"/>
      <c r="JS115" s="9"/>
      <c r="JT115" s="9"/>
      <c r="JU115" s="9"/>
      <c r="JV115" s="9"/>
      <c r="JW115" s="9"/>
      <c r="JX115" s="9"/>
      <c r="JY115" s="9"/>
      <c r="JZ115" s="9"/>
      <c r="KA115" s="9"/>
      <c r="KB115" s="9"/>
      <c r="KC115" s="9"/>
      <c r="KD115" s="9"/>
      <c r="KE115" s="9"/>
      <c r="KF115" s="9"/>
      <c r="KG115" s="9"/>
      <c r="KH115" s="9"/>
      <c r="KI115" s="9"/>
      <c r="KJ115" s="9"/>
      <c r="KK115" s="9"/>
      <c r="KL115" s="9"/>
      <c r="KM115" s="9"/>
      <c r="KN115" s="9"/>
      <c r="KO115" s="9"/>
      <c r="KP115" s="9"/>
      <c r="KQ115" s="9"/>
      <c r="KR115" s="9"/>
      <c r="KS115" s="9"/>
      <c r="KT115" s="9"/>
      <c r="KU115" s="9"/>
      <c r="KV115" s="9"/>
      <c r="KW115" s="9"/>
      <c r="KX115" s="9"/>
      <c r="KY115" s="9"/>
      <c r="KZ115" s="9"/>
      <c r="LA115" s="9"/>
      <c r="LB115" s="9"/>
      <c r="LC115" s="9"/>
      <c r="LD115" s="9"/>
      <c r="LE115" s="9"/>
      <c r="LF115" s="9"/>
      <c r="LG115" s="9"/>
      <c r="LH115" s="9"/>
      <c r="LI115" s="9"/>
      <c r="LJ115" s="9"/>
      <c r="LK115" s="9"/>
      <c r="LL115" s="9"/>
      <c r="LM115" s="9"/>
      <c r="LN115" s="9"/>
      <c r="LO115" s="9"/>
      <c r="LP115" s="9"/>
      <c r="LQ115" s="9"/>
      <c r="LR115" s="9"/>
      <c r="LS115" s="9"/>
      <c r="LT115" s="9"/>
      <c r="LU115" s="9"/>
      <c r="LV115" s="9"/>
      <c r="LW115" s="9"/>
      <c r="LX115" s="9"/>
      <c r="LY115" s="9"/>
      <c r="LZ115" s="9"/>
      <c r="MA115" s="9"/>
      <c r="MB115" s="9"/>
      <c r="MC115" s="9"/>
      <c r="MD115" s="9"/>
      <c r="ME115" s="9"/>
      <c r="MF115" s="9"/>
      <c r="MG115" s="9"/>
      <c r="MH115" s="9"/>
      <c r="MI115" s="9"/>
      <c r="MJ115" s="9"/>
      <c r="MK115" s="9"/>
      <c r="ML115" s="9"/>
      <c r="MM115" s="9"/>
      <c r="MN115" s="9"/>
      <c r="MO115" s="9"/>
      <c r="MP115" s="9"/>
      <c r="MQ115" s="9"/>
      <c r="MR115" s="9"/>
      <c r="MS115" s="9"/>
      <c r="MT115" s="9"/>
      <c r="MU115" s="9"/>
      <c r="MV115" s="9"/>
      <c r="MW115" s="9"/>
      <c r="MX115" s="9"/>
      <c r="MY115" s="9"/>
      <c r="MZ115" s="9"/>
      <c r="NA115" s="9"/>
      <c r="NB115" s="9"/>
      <c r="NC115" s="9"/>
      <c r="ND115" s="9"/>
      <c r="NE115" s="9"/>
      <c r="NF115" s="9"/>
      <c r="NG115" s="9"/>
      <c r="NH115" s="9"/>
      <c r="NI115" s="9"/>
      <c r="NJ115" s="9"/>
      <c r="NK115" s="9"/>
      <c r="NL115" s="9"/>
      <c r="NM115" s="9"/>
      <c r="NN115" s="9"/>
      <c r="NO115" s="9"/>
      <c r="NP115" s="9"/>
      <c r="NQ115" s="9"/>
      <c r="NR115" s="9"/>
      <c r="NS115" s="9"/>
      <c r="NT115" s="9"/>
      <c r="NU115" s="9"/>
      <c r="NV115" s="9"/>
      <c r="NW115" s="9"/>
      <c r="NX115" s="9"/>
      <c r="NY115" s="9"/>
      <c r="NZ115" s="9"/>
      <c r="OA115" s="9"/>
      <c r="OB115" s="9"/>
      <c r="OC115" s="9"/>
      <c r="OD115" s="9"/>
      <c r="OE115" s="9"/>
      <c r="OF115" s="9"/>
      <c r="OG115" s="9"/>
      <c r="OH115" s="9"/>
      <c r="OI115" s="9"/>
      <c r="OJ115" s="9"/>
      <c r="OK115" s="9"/>
      <c r="OL115" s="9"/>
      <c r="OM115" s="9"/>
      <c r="ON115" s="9"/>
      <c r="OO115" s="9"/>
      <c r="OP115" s="9"/>
      <c r="OQ115" s="9"/>
      <c r="OR115" s="9"/>
      <c r="OS115" s="9"/>
      <c r="OT115" s="9"/>
      <c r="OU115" s="9"/>
      <c r="OV115" s="9"/>
      <c r="OW115" s="9"/>
      <c r="OX115" s="9"/>
      <c r="OY115" s="9"/>
      <c r="OZ115" s="9"/>
      <c r="PA115" s="9"/>
      <c r="PB115" s="9"/>
      <c r="PC115" s="9"/>
      <c r="PD115" s="9"/>
      <c r="PE115" s="9"/>
      <c r="PF115" s="9"/>
      <c r="PG115" s="9"/>
      <c r="PH115" s="9"/>
      <c r="PI115" s="9"/>
      <c r="PJ115" s="9"/>
      <c r="PK115" s="9"/>
      <c r="PL115" s="9"/>
      <c r="PM115" s="9"/>
      <c r="PN115" s="9"/>
      <c r="PO115" s="9"/>
      <c r="PP115" s="9"/>
      <c r="PQ115" s="9"/>
      <c r="PR115" s="9"/>
      <c r="PS115" s="9"/>
      <c r="PT115" s="9"/>
      <c r="PU115" s="9"/>
      <c r="PV115" s="9"/>
      <c r="PW115" s="9"/>
      <c r="PX115" s="9"/>
      <c r="PY115" s="9"/>
      <c r="PZ115" s="9"/>
      <c r="QA115" s="9"/>
      <c r="QB115" s="9"/>
      <c r="QC115" s="9"/>
      <c r="QD115" s="9"/>
      <c r="QE115" s="9"/>
      <c r="QF115" s="9"/>
      <c r="QG115" s="9"/>
      <c r="QH115" s="9"/>
      <c r="QI115" s="9"/>
      <c r="QJ115" s="9"/>
      <c r="QK115" s="9"/>
      <c r="QL115" s="9"/>
      <c r="QM115" s="9"/>
      <c r="QN115" s="9"/>
      <c r="QO115" s="9"/>
      <c r="QP115" s="9"/>
      <c r="QQ115" s="67"/>
      <c r="QR115" s="68"/>
      <c r="QS115" s="63"/>
      <c r="QT115" s="71"/>
    </row>
    <row r="116" spans="1:462" s="11" customFormat="1" x14ac:dyDescent="0.2">
      <c r="A116" s="9">
        <v>10</v>
      </c>
      <c r="B116" s="9"/>
      <c r="C116" s="9"/>
      <c r="D116" s="9" t="s">
        <v>927</v>
      </c>
      <c r="E116" s="65" t="s">
        <v>158</v>
      </c>
      <c r="F116" s="65"/>
      <c r="G116" s="92" t="s">
        <v>2339</v>
      </c>
      <c r="H116" s="66" t="s">
        <v>1626</v>
      </c>
      <c r="I116" s="9" t="s">
        <v>1098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 t="s">
        <v>1098</v>
      </c>
      <c r="FP116" s="9"/>
      <c r="FQ116" s="9" t="s">
        <v>1098</v>
      </c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  <c r="KM116" s="9"/>
      <c r="KN116" s="9"/>
      <c r="KO116" s="9"/>
      <c r="KP116" s="9"/>
      <c r="KQ116" s="9"/>
      <c r="KR116" s="9"/>
      <c r="KS116" s="9"/>
      <c r="KT116" s="9"/>
      <c r="KU116" s="9"/>
      <c r="KV116" s="9"/>
      <c r="KW116" s="9"/>
      <c r="KX116" s="9"/>
      <c r="KY116" s="9"/>
      <c r="KZ116" s="9"/>
      <c r="LA116" s="9"/>
      <c r="LB116" s="9"/>
      <c r="LC116" s="9"/>
      <c r="LD116" s="9"/>
      <c r="LE116" s="9"/>
      <c r="LF116" s="9"/>
      <c r="LG116" s="9"/>
      <c r="LH116" s="9"/>
      <c r="LI116" s="9"/>
      <c r="LJ116" s="9"/>
      <c r="LK116" s="9"/>
      <c r="LL116" s="9"/>
      <c r="LM116" s="9"/>
      <c r="LN116" s="9"/>
      <c r="LO116" s="9"/>
      <c r="LP116" s="9"/>
      <c r="LQ116" s="9"/>
      <c r="LR116" s="9"/>
      <c r="LS116" s="9"/>
      <c r="LT116" s="9"/>
      <c r="LU116" s="9"/>
      <c r="LV116" s="9"/>
      <c r="LW116" s="9"/>
      <c r="LX116" s="9"/>
      <c r="LY116" s="9"/>
      <c r="LZ116" s="9"/>
      <c r="MA116" s="9"/>
      <c r="MB116" s="9"/>
      <c r="MC116" s="9"/>
      <c r="MD116" s="9"/>
      <c r="ME116" s="9"/>
      <c r="MF116" s="9"/>
      <c r="MG116" s="9"/>
      <c r="MH116" s="9"/>
      <c r="MI116" s="9"/>
      <c r="MJ116" s="9"/>
      <c r="MK116" s="9"/>
      <c r="ML116" s="9"/>
      <c r="MM116" s="9"/>
      <c r="MN116" s="9"/>
      <c r="MO116" s="9"/>
      <c r="MP116" s="9"/>
      <c r="MQ116" s="9"/>
      <c r="MR116" s="9"/>
      <c r="MS116" s="9"/>
      <c r="MT116" s="9"/>
      <c r="MU116" s="9"/>
      <c r="MV116" s="9"/>
      <c r="MW116" s="9"/>
      <c r="MX116" s="9"/>
      <c r="MY116" s="9"/>
      <c r="MZ116" s="9"/>
      <c r="NA116" s="9"/>
      <c r="NB116" s="9"/>
      <c r="NC116" s="9"/>
      <c r="ND116" s="9"/>
      <c r="NE116" s="9"/>
      <c r="NF116" s="9"/>
      <c r="NG116" s="9"/>
      <c r="NH116" s="9"/>
      <c r="NI116" s="9"/>
      <c r="NJ116" s="9"/>
      <c r="NK116" s="9"/>
      <c r="NL116" s="9"/>
      <c r="NM116" s="9"/>
      <c r="NN116" s="9"/>
      <c r="NO116" s="9"/>
      <c r="NP116" s="9"/>
      <c r="NQ116" s="9"/>
      <c r="NR116" s="9"/>
      <c r="NS116" s="9"/>
      <c r="NT116" s="9"/>
      <c r="NU116" s="9"/>
      <c r="NV116" s="9"/>
      <c r="NW116" s="9"/>
      <c r="NX116" s="9"/>
      <c r="NY116" s="9"/>
      <c r="NZ116" s="9"/>
      <c r="OA116" s="9"/>
      <c r="OB116" s="9"/>
      <c r="OC116" s="9"/>
      <c r="OD116" s="9"/>
      <c r="OE116" s="9"/>
      <c r="OF116" s="9"/>
      <c r="OG116" s="9"/>
      <c r="OH116" s="9"/>
      <c r="OI116" s="9"/>
      <c r="OJ116" s="9"/>
      <c r="OK116" s="9"/>
      <c r="OL116" s="9"/>
      <c r="OM116" s="9"/>
      <c r="ON116" s="9"/>
      <c r="OO116" s="9"/>
      <c r="OP116" s="9"/>
      <c r="OQ116" s="9"/>
      <c r="OR116" s="9"/>
      <c r="OS116" s="9"/>
      <c r="OT116" s="9"/>
      <c r="OU116" s="9"/>
      <c r="OV116" s="9"/>
      <c r="OW116" s="9"/>
      <c r="OX116" s="9"/>
      <c r="OY116" s="9"/>
      <c r="OZ116" s="9"/>
      <c r="PA116" s="9"/>
      <c r="PB116" s="9"/>
      <c r="PC116" s="9"/>
      <c r="PD116" s="9"/>
      <c r="PE116" s="9"/>
      <c r="PF116" s="9"/>
      <c r="PG116" s="9"/>
      <c r="PH116" s="9"/>
      <c r="PI116" s="9"/>
      <c r="PJ116" s="9"/>
      <c r="PK116" s="9"/>
      <c r="PL116" s="9"/>
      <c r="PM116" s="9"/>
      <c r="PN116" s="9"/>
      <c r="PO116" s="9"/>
      <c r="PP116" s="9"/>
      <c r="PQ116" s="9"/>
      <c r="PR116" s="9"/>
      <c r="PS116" s="9"/>
      <c r="PT116" s="9"/>
      <c r="PU116" s="9"/>
      <c r="PV116" s="9"/>
      <c r="PW116" s="9"/>
      <c r="PX116" s="9"/>
      <c r="PY116" s="9"/>
      <c r="PZ116" s="9"/>
      <c r="QA116" s="9"/>
      <c r="QB116" s="9"/>
      <c r="QC116" s="9"/>
      <c r="QD116" s="9"/>
      <c r="QE116" s="9"/>
      <c r="QF116" s="9"/>
      <c r="QG116" s="9"/>
      <c r="QH116" s="9"/>
      <c r="QI116" s="9"/>
      <c r="QJ116" s="9"/>
      <c r="QK116" s="9"/>
      <c r="QL116" s="9"/>
      <c r="QM116" s="9"/>
      <c r="QN116" s="9"/>
      <c r="QO116" s="9"/>
      <c r="QP116" s="9"/>
      <c r="QQ116" s="67"/>
      <c r="QR116" s="68"/>
      <c r="QS116" s="63"/>
      <c r="QT116" s="71"/>
    </row>
    <row r="117" spans="1:462" s="11" customFormat="1" x14ac:dyDescent="0.2">
      <c r="A117" s="9">
        <v>10</v>
      </c>
      <c r="B117" s="9"/>
      <c r="C117" s="9"/>
      <c r="D117" s="9" t="s">
        <v>419</v>
      </c>
      <c r="E117" s="65" t="s">
        <v>527</v>
      </c>
      <c r="F117" s="65"/>
      <c r="G117" s="91" t="s">
        <v>2340</v>
      </c>
      <c r="H117" s="66" t="s">
        <v>1627</v>
      </c>
      <c r="I117" s="9" t="s">
        <v>1098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 t="s">
        <v>1098</v>
      </c>
      <c r="FX117" s="9"/>
      <c r="FY117" s="9" t="s">
        <v>1098</v>
      </c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  <c r="IW117" s="9"/>
      <c r="IX117" s="9"/>
      <c r="IY117" s="9"/>
      <c r="IZ117" s="9"/>
      <c r="JA117" s="9"/>
      <c r="JB117" s="9"/>
      <c r="JC117" s="9"/>
      <c r="JD117" s="9"/>
      <c r="JE117" s="9"/>
      <c r="JF117" s="9"/>
      <c r="JG117" s="9"/>
      <c r="JH117" s="9"/>
      <c r="JI117" s="9"/>
      <c r="JJ117" s="9"/>
      <c r="JK117" s="9"/>
      <c r="JL117" s="9"/>
      <c r="JM117" s="9"/>
      <c r="JN117" s="9"/>
      <c r="JO117" s="9"/>
      <c r="JP117" s="9"/>
      <c r="JQ117" s="9"/>
      <c r="JR117" s="9"/>
      <c r="JS117" s="9"/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  <c r="KK117" s="9"/>
      <c r="KL117" s="9"/>
      <c r="KM117" s="9"/>
      <c r="KN117" s="9"/>
      <c r="KO117" s="9"/>
      <c r="KP117" s="9"/>
      <c r="KQ117" s="9"/>
      <c r="KR117" s="9"/>
      <c r="KS117" s="9"/>
      <c r="KT117" s="9"/>
      <c r="KU117" s="9"/>
      <c r="KV117" s="9"/>
      <c r="KW117" s="9"/>
      <c r="KX117" s="9"/>
      <c r="KY117" s="9"/>
      <c r="KZ117" s="9"/>
      <c r="LA117" s="9"/>
      <c r="LB117" s="9"/>
      <c r="LC117" s="9"/>
      <c r="LD117" s="9"/>
      <c r="LE117" s="9"/>
      <c r="LF117" s="9"/>
      <c r="LG117" s="9"/>
      <c r="LH117" s="9"/>
      <c r="LI117" s="9"/>
      <c r="LJ117" s="9"/>
      <c r="LK117" s="9"/>
      <c r="LL117" s="9"/>
      <c r="LM117" s="9"/>
      <c r="LN117" s="9"/>
      <c r="LO117" s="9"/>
      <c r="LP117" s="9"/>
      <c r="LQ117" s="9"/>
      <c r="LR117" s="9"/>
      <c r="LS117" s="9"/>
      <c r="LT117" s="9"/>
      <c r="LU117" s="9"/>
      <c r="LV117" s="9"/>
      <c r="LW117" s="9"/>
      <c r="LX117" s="9"/>
      <c r="LY117" s="9"/>
      <c r="LZ117" s="9"/>
      <c r="MA117" s="9"/>
      <c r="MB117" s="9"/>
      <c r="MC117" s="9"/>
      <c r="MD117" s="9"/>
      <c r="ME117" s="9"/>
      <c r="MF117" s="9"/>
      <c r="MG117" s="9"/>
      <c r="MH117" s="9"/>
      <c r="MI117" s="9"/>
      <c r="MJ117" s="9"/>
      <c r="MK117" s="9"/>
      <c r="ML117" s="9"/>
      <c r="MM117" s="9"/>
      <c r="MN117" s="9"/>
      <c r="MO117" s="9"/>
      <c r="MP117" s="9"/>
      <c r="MQ117" s="9"/>
      <c r="MR117" s="9"/>
      <c r="MS117" s="9"/>
      <c r="MT117" s="9"/>
      <c r="MU117" s="9"/>
      <c r="MV117" s="9"/>
      <c r="MW117" s="9"/>
      <c r="MX117" s="9"/>
      <c r="MY117" s="9"/>
      <c r="MZ117" s="9"/>
      <c r="NA117" s="9"/>
      <c r="NB117" s="9"/>
      <c r="NC117" s="9"/>
      <c r="ND117" s="9"/>
      <c r="NE117" s="9"/>
      <c r="NF117" s="9"/>
      <c r="NG117" s="9"/>
      <c r="NH117" s="9"/>
      <c r="NI117" s="9"/>
      <c r="NJ117" s="9"/>
      <c r="NK117" s="9"/>
      <c r="NL117" s="9"/>
      <c r="NM117" s="9"/>
      <c r="NN117" s="9"/>
      <c r="NO117" s="9"/>
      <c r="NP117" s="9"/>
      <c r="NQ117" s="9"/>
      <c r="NR117" s="9"/>
      <c r="NS117" s="9"/>
      <c r="NT117" s="9"/>
      <c r="NU117" s="9"/>
      <c r="NV117" s="9"/>
      <c r="NW117" s="9"/>
      <c r="NX117" s="9"/>
      <c r="NY117" s="9"/>
      <c r="NZ117" s="9"/>
      <c r="OA117" s="9"/>
      <c r="OB117" s="9"/>
      <c r="OC117" s="9"/>
      <c r="OD117" s="9"/>
      <c r="OE117" s="9"/>
      <c r="OF117" s="9"/>
      <c r="OG117" s="9"/>
      <c r="OH117" s="9"/>
      <c r="OI117" s="9"/>
      <c r="OJ117" s="9"/>
      <c r="OK117" s="9"/>
      <c r="OL117" s="9"/>
      <c r="OM117" s="9"/>
      <c r="ON117" s="9"/>
      <c r="OO117" s="9"/>
      <c r="OP117" s="9"/>
      <c r="OQ117" s="9"/>
      <c r="OR117" s="9"/>
      <c r="OS117" s="9"/>
      <c r="OT117" s="9"/>
      <c r="OU117" s="9"/>
      <c r="OV117" s="9"/>
      <c r="OW117" s="9"/>
      <c r="OX117" s="9"/>
      <c r="OY117" s="9"/>
      <c r="OZ117" s="9"/>
      <c r="PA117" s="9"/>
      <c r="PB117" s="9"/>
      <c r="PC117" s="9"/>
      <c r="PD117" s="9"/>
      <c r="PE117" s="9"/>
      <c r="PF117" s="9"/>
      <c r="PG117" s="9"/>
      <c r="PH117" s="9"/>
      <c r="PI117" s="9"/>
      <c r="PJ117" s="9"/>
      <c r="PK117" s="9"/>
      <c r="PL117" s="9"/>
      <c r="PM117" s="9"/>
      <c r="PN117" s="9"/>
      <c r="PO117" s="9"/>
      <c r="PP117" s="9"/>
      <c r="PQ117" s="9"/>
      <c r="PR117" s="9"/>
      <c r="PS117" s="9"/>
      <c r="PT117" s="9"/>
      <c r="PU117" s="9"/>
      <c r="PV117" s="9"/>
      <c r="PW117" s="9"/>
      <c r="PX117" s="9"/>
      <c r="PY117" s="9"/>
      <c r="PZ117" s="9"/>
      <c r="QA117" s="9"/>
      <c r="QB117" s="9"/>
      <c r="QC117" s="9"/>
      <c r="QD117" s="9"/>
      <c r="QE117" s="9"/>
      <c r="QF117" s="9"/>
      <c r="QG117" s="9"/>
      <c r="QH117" s="9"/>
      <c r="QI117" s="9"/>
      <c r="QJ117" s="9"/>
      <c r="QK117" s="9"/>
      <c r="QL117" s="9"/>
      <c r="QM117" s="9"/>
      <c r="QN117" s="9"/>
      <c r="QO117" s="9"/>
      <c r="QP117" s="9"/>
      <c r="QQ117" s="67"/>
      <c r="QR117" s="68"/>
      <c r="QS117" s="63"/>
      <c r="QT117" s="71"/>
    </row>
    <row r="118" spans="1:462" s="11" customFormat="1" x14ac:dyDescent="0.2">
      <c r="A118" s="9">
        <v>10</v>
      </c>
      <c r="B118" s="9"/>
      <c r="C118" s="9"/>
      <c r="D118" s="9" t="s">
        <v>420</v>
      </c>
      <c r="E118" s="65" t="s">
        <v>528</v>
      </c>
      <c r="F118" s="65"/>
      <c r="G118" s="92" t="s">
        <v>2342</v>
      </c>
      <c r="H118" s="66" t="s">
        <v>1628</v>
      </c>
      <c r="I118" s="9" t="s">
        <v>1098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 t="s">
        <v>1098</v>
      </c>
      <c r="FX118" s="9"/>
      <c r="FY118" s="9" t="s">
        <v>1098</v>
      </c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9"/>
      <c r="LC118" s="9"/>
      <c r="LD118" s="9"/>
      <c r="LE118" s="9"/>
      <c r="LF118" s="9"/>
      <c r="LG118" s="9"/>
      <c r="LH118" s="9"/>
      <c r="LI118" s="9"/>
      <c r="LJ118" s="9"/>
      <c r="LK118" s="9"/>
      <c r="LL118" s="9"/>
      <c r="LM118" s="9"/>
      <c r="LN118" s="9"/>
      <c r="LO118" s="9"/>
      <c r="LP118" s="9"/>
      <c r="LQ118" s="9"/>
      <c r="LR118" s="9"/>
      <c r="LS118" s="9"/>
      <c r="LT118" s="9"/>
      <c r="LU118" s="9"/>
      <c r="LV118" s="9"/>
      <c r="LW118" s="9"/>
      <c r="LX118" s="9"/>
      <c r="LY118" s="9"/>
      <c r="LZ118" s="9"/>
      <c r="MA118" s="9"/>
      <c r="MB118" s="9"/>
      <c r="MC118" s="9"/>
      <c r="MD118" s="9"/>
      <c r="ME118" s="9"/>
      <c r="MF118" s="9"/>
      <c r="MG118" s="9"/>
      <c r="MH118" s="9"/>
      <c r="MI118" s="9"/>
      <c r="MJ118" s="9"/>
      <c r="MK118" s="9"/>
      <c r="ML118" s="9"/>
      <c r="MM118" s="9"/>
      <c r="MN118" s="9"/>
      <c r="MO118" s="9"/>
      <c r="MP118" s="9"/>
      <c r="MQ118" s="9"/>
      <c r="MR118" s="9"/>
      <c r="MS118" s="9"/>
      <c r="MT118" s="9"/>
      <c r="MU118" s="9"/>
      <c r="MV118" s="9"/>
      <c r="MW118" s="9"/>
      <c r="MX118" s="9"/>
      <c r="MY118" s="9"/>
      <c r="MZ118" s="9"/>
      <c r="NA118" s="9"/>
      <c r="NB118" s="9"/>
      <c r="NC118" s="9"/>
      <c r="ND118" s="9"/>
      <c r="NE118" s="9"/>
      <c r="NF118" s="9"/>
      <c r="NG118" s="9"/>
      <c r="NH118" s="9"/>
      <c r="NI118" s="9"/>
      <c r="NJ118" s="9"/>
      <c r="NK118" s="9"/>
      <c r="NL118" s="9"/>
      <c r="NM118" s="9"/>
      <c r="NN118" s="9"/>
      <c r="NO118" s="9"/>
      <c r="NP118" s="9"/>
      <c r="NQ118" s="9"/>
      <c r="NR118" s="9"/>
      <c r="NS118" s="9"/>
      <c r="NT118" s="9"/>
      <c r="NU118" s="9"/>
      <c r="NV118" s="9"/>
      <c r="NW118" s="9"/>
      <c r="NX118" s="9"/>
      <c r="NY118" s="9"/>
      <c r="NZ118" s="9"/>
      <c r="OA118" s="9"/>
      <c r="OB118" s="9"/>
      <c r="OC118" s="9"/>
      <c r="OD118" s="9"/>
      <c r="OE118" s="9"/>
      <c r="OF118" s="9"/>
      <c r="OG118" s="9"/>
      <c r="OH118" s="9"/>
      <c r="OI118" s="9"/>
      <c r="OJ118" s="9"/>
      <c r="OK118" s="9"/>
      <c r="OL118" s="9"/>
      <c r="OM118" s="9"/>
      <c r="ON118" s="9"/>
      <c r="OO118" s="9"/>
      <c r="OP118" s="9"/>
      <c r="OQ118" s="9"/>
      <c r="OR118" s="9"/>
      <c r="OS118" s="9"/>
      <c r="OT118" s="9"/>
      <c r="OU118" s="9"/>
      <c r="OV118" s="9"/>
      <c r="OW118" s="9"/>
      <c r="OX118" s="9"/>
      <c r="OY118" s="9"/>
      <c r="OZ118" s="9"/>
      <c r="PA118" s="9"/>
      <c r="PB118" s="9"/>
      <c r="PC118" s="9"/>
      <c r="PD118" s="9"/>
      <c r="PE118" s="9"/>
      <c r="PF118" s="9"/>
      <c r="PG118" s="9"/>
      <c r="PH118" s="9"/>
      <c r="PI118" s="9"/>
      <c r="PJ118" s="9"/>
      <c r="PK118" s="9"/>
      <c r="PL118" s="9"/>
      <c r="PM118" s="9"/>
      <c r="PN118" s="9"/>
      <c r="PO118" s="9"/>
      <c r="PP118" s="9"/>
      <c r="PQ118" s="9"/>
      <c r="PR118" s="9"/>
      <c r="PS118" s="9"/>
      <c r="PT118" s="9"/>
      <c r="PU118" s="9"/>
      <c r="PV118" s="9"/>
      <c r="PW118" s="9"/>
      <c r="PX118" s="9"/>
      <c r="PY118" s="9"/>
      <c r="PZ118" s="9"/>
      <c r="QA118" s="9"/>
      <c r="QB118" s="9"/>
      <c r="QC118" s="9"/>
      <c r="QD118" s="9"/>
      <c r="QE118" s="9"/>
      <c r="QF118" s="9"/>
      <c r="QG118" s="9"/>
      <c r="QH118" s="9"/>
      <c r="QI118" s="9"/>
      <c r="QJ118" s="9"/>
      <c r="QK118" s="9"/>
      <c r="QL118" s="9"/>
      <c r="QM118" s="9"/>
      <c r="QN118" s="9"/>
      <c r="QO118" s="9"/>
      <c r="QP118" s="9"/>
      <c r="QQ118" s="67"/>
      <c r="QR118" s="68"/>
      <c r="QS118" s="63"/>
      <c r="QT118" s="71"/>
    </row>
    <row r="119" spans="1:462" s="11" customFormat="1" x14ac:dyDescent="0.2">
      <c r="A119" s="9">
        <v>10</v>
      </c>
      <c r="B119" s="9"/>
      <c r="C119" s="9"/>
      <c r="D119" s="9" t="s">
        <v>421</v>
      </c>
      <c r="E119" s="65" t="s">
        <v>529</v>
      </c>
      <c r="F119" s="65"/>
      <c r="G119" s="92" t="s">
        <v>2343</v>
      </c>
      <c r="H119" s="66" t="s">
        <v>1629</v>
      </c>
      <c r="I119" s="9" t="s">
        <v>1098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 t="s">
        <v>1098</v>
      </c>
      <c r="FX119" s="9"/>
      <c r="FY119" s="9" t="s">
        <v>1098</v>
      </c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  <c r="IW119" s="9"/>
      <c r="IX119" s="9"/>
      <c r="IY119" s="9"/>
      <c r="IZ119" s="9"/>
      <c r="JA119" s="9"/>
      <c r="JB119" s="9"/>
      <c r="JC119" s="9"/>
      <c r="JD119" s="9"/>
      <c r="JE119" s="9"/>
      <c r="JF119" s="9"/>
      <c r="JG119" s="9"/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  <c r="KM119" s="9"/>
      <c r="KN119" s="9"/>
      <c r="KO119" s="9"/>
      <c r="KP119" s="9"/>
      <c r="KQ119" s="9"/>
      <c r="KR119" s="9"/>
      <c r="KS119" s="9"/>
      <c r="KT119" s="9"/>
      <c r="KU119" s="9"/>
      <c r="KV119" s="9"/>
      <c r="KW119" s="9"/>
      <c r="KX119" s="9"/>
      <c r="KY119" s="9"/>
      <c r="KZ119" s="9"/>
      <c r="LA119" s="9"/>
      <c r="LB119" s="9"/>
      <c r="LC119" s="9"/>
      <c r="LD119" s="9"/>
      <c r="LE119" s="9"/>
      <c r="LF119" s="9"/>
      <c r="LG119" s="9"/>
      <c r="LH119" s="9"/>
      <c r="LI119" s="9"/>
      <c r="LJ119" s="9"/>
      <c r="LK119" s="9"/>
      <c r="LL119" s="9"/>
      <c r="LM119" s="9"/>
      <c r="LN119" s="9"/>
      <c r="LO119" s="9"/>
      <c r="LP119" s="9"/>
      <c r="LQ119" s="9"/>
      <c r="LR119" s="9"/>
      <c r="LS119" s="9"/>
      <c r="LT119" s="9"/>
      <c r="LU119" s="9"/>
      <c r="LV119" s="9"/>
      <c r="LW119" s="9"/>
      <c r="LX119" s="9"/>
      <c r="LY119" s="9"/>
      <c r="LZ119" s="9"/>
      <c r="MA119" s="9"/>
      <c r="MB119" s="9"/>
      <c r="MC119" s="9"/>
      <c r="MD119" s="9"/>
      <c r="ME119" s="9"/>
      <c r="MF119" s="9"/>
      <c r="MG119" s="9"/>
      <c r="MH119" s="9"/>
      <c r="MI119" s="9"/>
      <c r="MJ119" s="9"/>
      <c r="MK119" s="9"/>
      <c r="ML119" s="9"/>
      <c r="MM119" s="9"/>
      <c r="MN119" s="9"/>
      <c r="MO119" s="9"/>
      <c r="MP119" s="9"/>
      <c r="MQ119" s="9"/>
      <c r="MR119" s="9"/>
      <c r="MS119" s="9"/>
      <c r="MT119" s="9"/>
      <c r="MU119" s="9"/>
      <c r="MV119" s="9"/>
      <c r="MW119" s="9"/>
      <c r="MX119" s="9"/>
      <c r="MY119" s="9"/>
      <c r="MZ119" s="9"/>
      <c r="NA119" s="9"/>
      <c r="NB119" s="9"/>
      <c r="NC119" s="9"/>
      <c r="ND119" s="9"/>
      <c r="NE119" s="9"/>
      <c r="NF119" s="9"/>
      <c r="NG119" s="9"/>
      <c r="NH119" s="9"/>
      <c r="NI119" s="9"/>
      <c r="NJ119" s="9"/>
      <c r="NK119" s="9"/>
      <c r="NL119" s="9"/>
      <c r="NM119" s="9"/>
      <c r="NN119" s="9"/>
      <c r="NO119" s="9"/>
      <c r="NP119" s="9"/>
      <c r="NQ119" s="9"/>
      <c r="NR119" s="9"/>
      <c r="NS119" s="9"/>
      <c r="NT119" s="9"/>
      <c r="NU119" s="9"/>
      <c r="NV119" s="9"/>
      <c r="NW119" s="9"/>
      <c r="NX119" s="9"/>
      <c r="NY119" s="9"/>
      <c r="NZ119" s="9"/>
      <c r="OA119" s="9"/>
      <c r="OB119" s="9"/>
      <c r="OC119" s="9"/>
      <c r="OD119" s="9"/>
      <c r="OE119" s="9"/>
      <c r="OF119" s="9"/>
      <c r="OG119" s="9"/>
      <c r="OH119" s="9"/>
      <c r="OI119" s="9"/>
      <c r="OJ119" s="9"/>
      <c r="OK119" s="9"/>
      <c r="OL119" s="9"/>
      <c r="OM119" s="9"/>
      <c r="ON119" s="9"/>
      <c r="OO119" s="9"/>
      <c r="OP119" s="9"/>
      <c r="OQ119" s="9"/>
      <c r="OR119" s="9"/>
      <c r="OS119" s="9"/>
      <c r="OT119" s="9"/>
      <c r="OU119" s="9"/>
      <c r="OV119" s="9"/>
      <c r="OW119" s="9"/>
      <c r="OX119" s="9"/>
      <c r="OY119" s="9"/>
      <c r="OZ119" s="9"/>
      <c r="PA119" s="9"/>
      <c r="PB119" s="9"/>
      <c r="PC119" s="9"/>
      <c r="PD119" s="9"/>
      <c r="PE119" s="9"/>
      <c r="PF119" s="9"/>
      <c r="PG119" s="9"/>
      <c r="PH119" s="9"/>
      <c r="PI119" s="9"/>
      <c r="PJ119" s="9"/>
      <c r="PK119" s="9"/>
      <c r="PL119" s="9"/>
      <c r="PM119" s="9"/>
      <c r="PN119" s="9"/>
      <c r="PO119" s="9"/>
      <c r="PP119" s="9"/>
      <c r="PQ119" s="9"/>
      <c r="PR119" s="9"/>
      <c r="PS119" s="9"/>
      <c r="PT119" s="9"/>
      <c r="PU119" s="9"/>
      <c r="PV119" s="9"/>
      <c r="PW119" s="9"/>
      <c r="PX119" s="9"/>
      <c r="PY119" s="9"/>
      <c r="PZ119" s="9"/>
      <c r="QA119" s="9"/>
      <c r="QB119" s="9"/>
      <c r="QC119" s="9"/>
      <c r="QD119" s="9"/>
      <c r="QE119" s="9"/>
      <c r="QF119" s="9"/>
      <c r="QG119" s="9"/>
      <c r="QH119" s="9"/>
      <c r="QI119" s="9"/>
      <c r="QJ119" s="9"/>
      <c r="QK119" s="9"/>
      <c r="QL119" s="9"/>
      <c r="QM119" s="9"/>
      <c r="QN119" s="9"/>
      <c r="QO119" s="9"/>
      <c r="QP119" s="9"/>
      <c r="QQ119" s="67"/>
      <c r="QR119" s="68"/>
      <c r="QS119" s="63"/>
      <c r="QT119" s="71"/>
    </row>
    <row r="120" spans="1:462" s="11" customFormat="1" x14ac:dyDescent="0.2">
      <c r="A120" s="9">
        <v>10</v>
      </c>
      <c r="B120" s="9"/>
      <c r="C120" s="9"/>
      <c r="D120" s="9" t="s">
        <v>422</v>
      </c>
      <c r="E120" s="65" t="s">
        <v>530</v>
      </c>
      <c r="F120" s="65"/>
      <c r="G120" s="91" t="s">
        <v>2344</v>
      </c>
      <c r="H120" s="66" t="s">
        <v>1630</v>
      </c>
      <c r="I120" s="9" t="s">
        <v>1098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 t="s">
        <v>1098</v>
      </c>
      <c r="GF120" s="9"/>
      <c r="GG120" s="9" t="s">
        <v>1098</v>
      </c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  <c r="IW120" s="9"/>
      <c r="IX120" s="9"/>
      <c r="IY120" s="9"/>
      <c r="IZ120" s="9"/>
      <c r="JA120" s="9"/>
      <c r="JB120" s="9"/>
      <c r="JC120" s="9"/>
      <c r="JD120" s="9"/>
      <c r="JE120" s="9"/>
      <c r="JF120" s="9"/>
      <c r="JG120" s="9"/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  <c r="KM120" s="9"/>
      <c r="KN120" s="9"/>
      <c r="KO120" s="9"/>
      <c r="KP120" s="9"/>
      <c r="KQ120" s="9"/>
      <c r="KR120" s="9"/>
      <c r="KS120" s="9"/>
      <c r="KT120" s="9"/>
      <c r="KU120" s="9"/>
      <c r="KV120" s="9"/>
      <c r="KW120" s="9"/>
      <c r="KX120" s="9"/>
      <c r="KY120" s="9"/>
      <c r="KZ120" s="9"/>
      <c r="LA120" s="9"/>
      <c r="LB120" s="9"/>
      <c r="LC120" s="9"/>
      <c r="LD120" s="9"/>
      <c r="LE120" s="9"/>
      <c r="LF120" s="9"/>
      <c r="LG120" s="9"/>
      <c r="LH120" s="9"/>
      <c r="LI120" s="9"/>
      <c r="LJ120" s="9"/>
      <c r="LK120" s="9"/>
      <c r="LL120" s="9"/>
      <c r="LM120" s="9"/>
      <c r="LN120" s="9"/>
      <c r="LO120" s="9"/>
      <c r="LP120" s="9"/>
      <c r="LQ120" s="9"/>
      <c r="LR120" s="9"/>
      <c r="LS120" s="9"/>
      <c r="LT120" s="9"/>
      <c r="LU120" s="9"/>
      <c r="LV120" s="9"/>
      <c r="LW120" s="9"/>
      <c r="LX120" s="9"/>
      <c r="LY120" s="9"/>
      <c r="LZ120" s="9"/>
      <c r="MA120" s="9"/>
      <c r="MB120" s="9"/>
      <c r="MC120" s="9"/>
      <c r="MD120" s="9"/>
      <c r="ME120" s="9"/>
      <c r="MF120" s="9"/>
      <c r="MG120" s="9"/>
      <c r="MH120" s="9"/>
      <c r="MI120" s="9"/>
      <c r="MJ120" s="9"/>
      <c r="MK120" s="9"/>
      <c r="ML120" s="9"/>
      <c r="MM120" s="9"/>
      <c r="MN120" s="9"/>
      <c r="MO120" s="9"/>
      <c r="MP120" s="9"/>
      <c r="MQ120" s="9"/>
      <c r="MR120" s="9"/>
      <c r="MS120" s="9"/>
      <c r="MT120" s="9"/>
      <c r="MU120" s="9"/>
      <c r="MV120" s="9"/>
      <c r="MW120" s="9"/>
      <c r="MX120" s="9"/>
      <c r="MY120" s="9"/>
      <c r="MZ120" s="9"/>
      <c r="NA120" s="9"/>
      <c r="NB120" s="9"/>
      <c r="NC120" s="9"/>
      <c r="ND120" s="9"/>
      <c r="NE120" s="9"/>
      <c r="NF120" s="9"/>
      <c r="NG120" s="9"/>
      <c r="NH120" s="9"/>
      <c r="NI120" s="9"/>
      <c r="NJ120" s="9"/>
      <c r="NK120" s="9"/>
      <c r="NL120" s="9"/>
      <c r="NM120" s="9"/>
      <c r="NN120" s="9"/>
      <c r="NO120" s="9"/>
      <c r="NP120" s="9"/>
      <c r="NQ120" s="9"/>
      <c r="NR120" s="9"/>
      <c r="NS120" s="9"/>
      <c r="NT120" s="9"/>
      <c r="NU120" s="9"/>
      <c r="NV120" s="9"/>
      <c r="NW120" s="9"/>
      <c r="NX120" s="9"/>
      <c r="NY120" s="9"/>
      <c r="NZ120" s="9"/>
      <c r="OA120" s="9"/>
      <c r="OB120" s="9"/>
      <c r="OC120" s="9"/>
      <c r="OD120" s="9"/>
      <c r="OE120" s="9"/>
      <c r="OF120" s="9"/>
      <c r="OG120" s="9"/>
      <c r="OH120" s="9"/>
      <c r="OI120" s="9"/>
      <c r="OJ120" s="9"/>
      <c r="OK120" s="9"/>
      <c r="OL120" s="9"/>
      <c r="OM120" s="9"/>
      <c r="ON120" s="9"/>
      <c r="OO120" s="9"/>
      <c r="OP120" s="9"/>
      <c r="OQ120" s="9"/>
      <c r="OR120" s="9"/>
      <c r="OS120" s="9"/>
      <c r="OT120" s="9"/>
      <c r="OU120" s="9"/>
      <c r="OV120" s="9"/>
      <c r="OW120" s="9"/>
      <c r="OX120" s="9"/>
      <c r="OY120" s="9"/>
      <c r="OZ120" s="9"/>
      <c r="PA120" s="9"/>
      <c r="PB120" s="9"/>
      <c r="PC120" s="9"/>
      <c r="PD120" s="9"/>
      <c r="PE120" s="9"/>
      <c r="PF120" s="9"/>
      <c r="PG120" s="9"/>
      <c r="PH120" s="9"/>
      <c r="PI120" s="9"/>
      <c r="PJ120" s="9"/>
      <c r="PK120" s="9"/>
      <c r="PL120" s="9"/>
      <c r="PM120" s="9"/>
      <c r="PN120" s="9"/>
      <c r="PO120" s="9"/>
      <c r="PP120" s="9"/>
      <c r="PQ120" s="9"/>
      <c r="PR120" s="9"/>
      <c r="PS120" s="9"/>
      <c r="PT120" s="9"/>
      <c r="PU120" s="9"/>
      <c r="PV120" s="9"/>
      <c r="PW120" s="9"/>
      <c r="PX120" s="9"/>
      <c r="PY120" s="9"/>
      <c r="PZ120" s="9"/>
      <c r="QA120" s="9"/>
      <c r="QB120" s="9"/>
      <c r="QC120" s="9"/>
      <c r="QD120" s="9"/>
      <c r="QE120" s="9"/>
      <c r="QF120" s="9"/>
      <c r="QG120" s="9"/>
      <c r="QH120" s="9"/>
      <c r="QI120" s="9"/>
      <c r="QJ120" s="9"/>
      <c r="QK120" s="9"/>
      <c r="QL120" s="9"/>
      <c r="QM120" s="9"/>
      <c r="QN120" s="9"/>
      <c r="QO120" s="9"/>
      <c r="QP120" s="9"/>
      <c r="QQ120" s="67"/>
      <c r="QR120" s="68"/>
      <c r="QS120" s="63"/>
      <c r="QT120" s="71"/>
    </row>
    <row r="121" spans="1:462" s="11" customFormat="1" x14ac:dyDescent="0.2">
      <c r="A121" s="9">
        <v>10</v>
      </c>
      <c r="B121" s="9"/>
      <c r="C121" s="9"/>
      <c r="D121" s="9" t="s">
        <v>423</v>
      </c>
      <c r="E121" s="65" t="s">
        <v>531</v>
      </c>
      <c r="F121" s="65"/>
      <c r="G121" s="92" t="s">
        <v>2346</v>
      </c>
      <c r="H121" s="66" t="s">
        <v>1631</v>
      </c>
      <c r="I121" s="9" t="s">
        <v>1098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 t="s">
        <v>1098</v>
      </c>
      <c r="GF121" s="9"/>
      <c r="GG121" s="9" t="s">
        <v>1098</v>
      </c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9"/>
      <c r="KZ121" s="9"/>
      <c r="LA121" s="9"/>
      <c r="LB121" s="9"/>
      <c r="LC121" s="9"/>
      <c r="LD121" s="9"/>
      <c r="LE121" s="9"/>
      <c r="LF121" s="9"/>
      <c r="LG121" s="9"/>
      <c r="LH121" s="9"/>
      <c r="LI121" s="9"/>
      <c r="LJ121" s="9"/>
      <c r="LK121" s="9"/>
      <c r="LL121" s="9"/>
      <c r="LM121" s="9"/>
      <c r="LN121" s="9"/>
      <c r="LO121" s="9"/>
      <c r="LP121" s="9"/>
      <c r="LQ121" s="9"/>
      <c r="LR121" s="9"/>
      <c r="LS121" s="9"/>
      <c r="LT121" s="9"/>
      <c r="LU121" s="9"/>
      <c r="LV121" s="9"/>
      <c r="LW121" s="9"/>
      <c r="LX121" s="9"/>
      <c r="LY121" s="9"/>
      <c r="LZ121" s="9"/>
      <c r="MA121" s="9"/>
      <c r="MB121" s="9"/>
      <c r="MC121" s="9"/>
      <c r="MD121" s="9"/>
      <c r="ME121" s="9"/>
      <c r="MF121" s="9"/>
      <c r="MG121" s="9"/>
      <c r="MH121" s="9"/>
      <c r="MI121" s="9"/>
      <c r="MJ121" s="9"/>
      <c r="MK121" s="9"/>
      <c r="ML121" s="9"/>
      <c r="MM121" s="9"/>
      <c r="MN121" s="9"/>
      <c r="MO121" s="9"/>
      <c r="MP121" s="9"/>
      <c r="MQ121" s="9"/>
      <c r="MR121" s="9"/>
      <c r="MS121" s="9"/>
      <c r="MT121" s="9"/>
      <c r="MU121" s="9"/>
      <c r="MV121" s="9"/>
      <c r="MW121" s="9"/>
      <c r="MX121" s="9"/>
      <c r="MY121" s="9"/>
      <c r="MZ121" s="9"/>
      <c r="NA121" s="9"/>
      <c r="NB121" s="9"/>
      <c r="NC121" s="9"/>
      <c r="ND121" s="9"/>
      <c r="NE121" s="9"/>
      <c r="NF121" s="9"/>
      <c r="NG121" s="9"/>
      <c r="NH121" s="9"/>
      <c r="NI121" s="9"/>
      <c r="NJ121" s="9"/>
      <c r="NK121" s="9"/>
      <c r="NL121" s="9"/>
      <c r="NM121" s="9"/>
      <c r="NN121" s="9"/>
      <c r="NO121" s="9"/>
      <c r="NP121" s="9"/>
      <c r="NQ121" s="9"/>
      <c r="NR121" s="9"/>
      <c r="NS121" s="9"/>
      <c r="NT121" s="9"/>
      <c r="NU121" s="9"/>
      <c r="NV121" s="9"/>
      <c r="NW121" s="9"/>
      <c r="NX121" s="9"/>
      <c r="NY121" s="9"/>
      <c r="NZ121" s="9"/>
      <c r="OA121" s="9"/>
      <c r="OB121" s="9"/>
      <c r="OC121" s="9"/>
      <c r="OD121" s="9"/>
      <c r="OE121" s="9"/>
      <c r="OF121" s="9"/>
      <c r="OG121" s="9"/>
      <c r="OH121" s="9"/>
      <c r="OI121" s="9"/>
      <c r="OJ121" s="9"/>
      <c r="OK121" s="9"/>
      <c r="OL121" s="9"/>
      <c r="OM121" s="9"/>
      <c r="ON121" s="9"/>
      <c r="OO121" s="9"/>
      <c r="OP121" s="9"/>
      <c r="OQ121" s="9"/>
      <c r="OR121" s="9"/>
      <c r="OS121" s="9"/>
      <c r="OT121" s="9"/>
      <c r="OU121" s="9"/>
      <c r="OV121" s="9"/>
      <c r="OW121" s="9"/>
      <c r="OX121" s="9"/>
      <c r="OY121" s="9"/>
      <c r="OZ121" s="9"/>
      <c r="PA121" s="9"/>
      <c r="PB121" s="9"/>
      <c r="PC121" s="9"/>
      <c r="PD121" s="9"/>
      <c r="PE121" s="9"/>
      <c r="PF121" s="9"/>
      <c r="PG121" s="9"/>
      <c r="PH121" s="9"/>
      <c r="PI121" s="9"/>
      <c r="PJ121" s="9"/>
      <c r="PK121" s="9"/>
      <c r="PL121" s="9"/>
      <c r="PM121" s="9"/>
      <c r="PN121" s="9"/>
      <c r="PO121" s="9"/>
      <c r="PP121" s="9"/>
      <c r="PQ121" s="9"/>
      <c r="PR121" s="9"/>
      <c r="PS121" s="9"/>
      <c r="PT121" s="9"/>
      <c r="PU121" s="9"/>
      <c r="PV121" s="9"/>
      <c r="PW121" s="9"/>
      <c r="PX121" s="9"/>
      <c r="PY121" s="9"/>
      <c r="PZ121" s="9"/>
      <c r="QA121" s="9"/>
      <c r="QB121" s="9"/>
      <c r="QC121" s="9"/>
      <c r="QD121" s="9"/>
      <c r="QE121" s="9"/>
      <c r="QF121" s="9"/>
      <c r="QG121" s="9"/>
      <c r="QH121" s="9"/>
      <c r="QI121" s="9"/>
      <c r="QJ121" s="9"/>
      <c r="QK121" s="9"/>
      <c r="QL121" s="9"/>
      <c r="QM121" s="9"/>
      <c r="QN121" s="9"/>
      <c r="QO121" s="9"/>
      <c r="QP121" s="9"/>
      <c r="QQ121" s="67"/>
      <c r="QR121" s="68"/>
      <c r="QS121" s="63"/>
      <c r="QT121" s="71"/>
    </row>
    <row r="122" spans="1:462" s="11" customFormat="1" x14ac:dyDescent="0.2">
      <c r="A122" s="9">
        <v>10</v>
      </c>
      <c r="B122" s="9"/>
      <c r="C122" s="9"/>
      <c r="D122" s="9" t="s">
        <v>657</v>
      </c>
      <c r="E122" s="65" t="s">
        <v>658</v>
      </c>
      <c r="F122" s="65"/>
      <c r="G122" s="92" t="s">
        <v>2347</v>
      </c>
      <c r="H122" s="66" t="s">
        <v>1632</v>
      </c>
      <c r="I122" s="9" t="s">
        <v>1098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 t="s">
        <v>1098</v>
      </c>
      <c r="GF122" s="9"/>
      <c r="GG122" s="9" t="s">
        <v>1098</v>
      </c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  <c r="IW122" s="9"/>
      <c r="IX122" s="9"/>
      <c r="IY122" s="9"/>
      <c r="IZ122" s="9"/>
      <c r="JA122" s="9"/>
      <c r="JB122" s="9"/>
      <c r="JC122" s="9"/>
      <c r="JD122" s="9"/>
      <c r="JE122" s="9"/>
      <c r="JF122" s="9"/>
      <c r="JG122" s="9"/>
      <c r="JH122" s="9"/>
      <c r="JI122" s="9"/>
      <c r="JJ122" s="9"/>
      <c r="JK122" s="9"/>
      <c r="JL122" s="9"/>
      <c r="JM122" s="9"/>
      <c r="JN122" s="9"/>
      <c r="JO122" s="9"/>
      <c r="JP122" s="9"/>
      <c r="JQ122" s="9"/>
      <c r="JR122" s="9"/>
      <c r="JS122" s="9"/>
      <c r="JT122" s="9"/>
      <c r="JU122" s="9"/>
      <c r="JV122" s="9"/>
      <c r="JW122" s="9"/>
      <c r="JX122" s="9"/>
      <c r="JY122" s="9"/>
      <c r="JZ122" s="9"/>
      <c r="KA122" s="9"/>
      <c r="KB122" s="9"/>
      <c r="KC122" s="9"/>
      <c r="KD122" s="9"/>
      <c r="KE122" s="9"/>
      <c r="KF122" s="9"/>
      <c r="KG122" s="9"/>
      <c r="KH122" s="9"/>
      <c r="KI122" s="9"/>
      <c r="KJ122" s="9"/>
      <c r="KK122" s="9"/>
      <c r="KL122" s="9"/>
      <c r="KM122" s="9"/>
      <c r="KN122" s="9"/>
      <c r="KO122" s="9"/>
      <c r="KP122" s="9"/>
      <c r="KQ122" s="9"/>
      <c r="KR122" s="9"/>
      <c r="KS122" s="9"/>
      <c r="KT122" s="9"/>
      <c r="KU122" s="9"/>
      <c r="KV122" s="9"/>
      <c r="KW122" s="9"/>
      <c r="KX122" s="9"/>
      <c r="KY122" s="9"/>
      <c r="KZ122" s="9"/>
      <c r="LA122" s="9"/>
      <c r="LB122" s="9"/>
      <c r="LC122" s="9"/>
      <c r="LD122" s="9"/>
      <c r="LE122" s="9"/>
      <c r="LF122" s="9"/>
      <c r="LG122" s="9"/>
      <c r="LH122" s="9"/>
      <c r="LI122" s="9"/>
      <c r="LJ122" s="9"/>
      <c r="LK122" s="9"/>
      <c r="LL122" s="9"/>
      <c r="LM122" s="9"/>
      <c r="LN122" s="9"/>
      <c r="LO122" s="9"/>
      <c r="LP122" s="9"/>
      <c r="LQ122" s="9"/>
      <c r="LR122" s="9"/>
      <c r="LS122" s="9"/>
      <c r="LT122" s="9"/>
      <c r="LU122" s="9"/>
      <c r="LV122" s="9"/>
      <c r="LW122" s="9"/>
      <c r="LX122" s="9"/>
      <c r="LY122" s="9"/>
      <c r="LZ122" s="9"/>
      <c r="MA122" s="9"/>
      <c r="MB122" s="9"/>
      <c r="MC122" s="9"/>
      <c r="MD122" s="9"/>
      <c r="ME122" s="9"/>
      <c r="MF122" s="9"/>
      <c r="MG122" s="9"/>
      <c r="MH122" s="9"/>
      <c r="MI122" s="9"/>
      <c r="MJ122" s="9"/>
      <c r="MK122" s="9"/>
      <c r="ML122" s="9"/>
      <c r="MM122" s="9"/>
      <c r="MN122" s="9"/>
      <c r="MO122" s="9"/>
      <c r="MP122" s="9"/>
      <c r="MQ122" s="9"/>
      <c r="MR122" s="9"/>
      <c r="MS122" s="9"/>
      <c r="MT122" s="9"/>
      <c r="MU122" s="9"/>
      <c r="MV122" s="9"/>
      <c r="MW122" s="9"/>
      <c r="MX122" s="9"/>
      <c r="MY122" s="9"/>
      <c r="MZ122" s="9"/>
      <c r="NA122" s="9"/>
      <c r="NB122" s="9"/>
      <c r="NC122" s="9"/>
      <c r="ND122" s="9"/>
      <c r="NE122" s="9"/>
      <c r="NF122" s="9"/>
      <c r="NG122" s="9"/>
      <c r="NH122" s="9"/>
      <c r="NI122" s="9"/>
      <c r="NJ122" s="9"/>
      <c r="NK122" s="9"/>
      <c r="NL122" s="9"/>
      <c r="NM122" s="9"/>
      <c r="NN122" s="9"/>
      <c r="NO122" s="9"/>
      <c r="NP122" s="9"/>
      <c r="NQ122" s="9"/>
      <c r="NR122" s="9"/>
      <c r="NS122" s="9"/>
      <c r="NT122" s="9"/>
      <c r="NU122" s="9"/>
      <c r="NV122" s="9"/>
      <c r="NW122" s="9"/>
      <c r="NX122" s="9"/>
      <c r="NY122" s="9"/>
      <c r="NZ122" s="9"/>
      <c r="OA122" s="9"/>
      <c r="OB122" s="9"/>
      <c r="OC122" s="9"/>
      <c r="OD122" s="9"/>
      <c r="OE122" s="9"/>
      <c r="OF122" s="9"/>
      <c r="OG122" s="9"/>
      <c r="OH122" s="9"/>
      <c r="OI122" s="9"/>
      <c r="OJ122" s="9"/>
      <c r="OK122" s="9"/>
      <c r="OL122" s="9"/>
      <c r="OM122" s="9"/>
      <c r="ON122" s="9"/>
      <c r="OO122" s="9"/>
      <c r="OP122" s="9"/>
      <c r="OQ122" s="9"/>
      <c r="OR122" s="9"/>
      <c r="OS122" s="9"/>
      <c r="OT122" s="9"/>
      <c r="OU122" s="9"/>
      <c r="OV122" s="9"/>
      <c r="OW122" s="9"/>
      <c r="OX122" s="9"/>
      <c r="OY122" s="9"/>
      <c r="OZ122" s="9"/>
      <c r="PA122" s="9"/>
      <c r="PB122" s="9"/>
      <c r="PC122" s="9"/>
      <c r="PD122" s="9"/>
      <c r="PE122" s="9"/>
      <c r="PF122" s="9"/>
      <c r="PG122" s="9"/>
      <c r="PH122" s="9"/>
      <c r="PI122" s="9"/>
      <c r="PJ122" s="9"/>
      <c r="PK122" s="9"/>
      <c r="PL122" s="9"/>
      <c r="PM122" s="9"/>
      <c r="PN122" s="9"/>
      <c r="PO122" s="9"/>
      <c r="PP122" s="9"/>
      <c r="PQ122" s="9"/>
      <c r="PR122" s="9"/>
      <c r="PS122" s="9"/>
      <c r="PT122" s="9"/>
      <c r="PU122" s="9"/>
      <c r="PV122" s="9"/>
      <c r="PW122" s="9"/>
      <c r="PX122" s="9"/>
      <c r="PY122" s="9"/>
      <c r="PZ122" s="9"/>
      <c r="QA122" s="9"/>
      <c r="QB122" s="9"/>
      <c r="QC122" s="9"/>
      <c r="QD122" s="9"/>
      <c r="QE122" s="9"/>
      <c r="QF122" s="9"/>
      <c r="QG122" s="9"/>
      <c r="QH122" s="9"/>
      <c r="QI122" s="9"/>
      <c r="QJ122" s="9"/>
      <c r="QK122" s="9"/>
      <c r="QL122" s="9"/>
      <c r="QM122" s="9"/>
      <c r="QN122" s="9"/>
      <c r="QO122" s="9"/>
      <c r="QP122" s="9"/>
      <c r="QQ122" s="67"/>
      <c r="QR122" s="68"/>
      <c r="QS122" s="63"/>
      <c r="QT122" s="71"/>
    </row>
    <row r="123" spans="1:462" s="11" customFormat="1" x14ac:dyDescent="0.2">
      <c r="A123" s="9">
        <v>10</v>
      </c>
      <c r="B123" s="9"/>
      <c r="C123" s="9"/>
      <c r="D123" s="9" t="s">
        <v>581</v>
      </c>
      <c r="E123" s="65" t="s">
        <v>491</v>
      </c>
      <c r="F123" s="65"/>
      <c r="G123" s="92" t="s">
        <v>2245</v>
      </c>
      <c r="H123" s="66" t="s">
        <v>1551</v>
      </c>
      <c r="I123" s="9" t="s">
        <v>1098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 t="s">
        <v>1633</v>
      </c>
      <c r="GF123" s="9"/>
      <c r="GG123" s="9" t="s">
        <v>1633</v>
      </c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9"/>
      <c r="KZ123" s="9"/>
      <c r="LA123" s="9"/>
      <c r="LB123" s="9"/>
      <c r="LC123" s="9"/>
      <c r="LD123" s="9"/>
      <c r="LE123" s="9"/>
      <c r="LF123" s="9"/>
      <c r="LG123" s="9"/>
      <c r="LH123" s="9"/>
      <c r="LI123" s="9"/>
      <c r="LJ123" s="9"/>
      <c r="LK123" s="9"/>
      <c r="LL123" s="9"/>
      <c r="LM123" s="9"/>
      <c r="LN123" s="9"/>
      <c r="LO123" s="9"/>
      <c r="LP123" s="9"/>
      <c r="LQ123" s="9"/>
      <c r="LR123" s="9"/>
      <c r="LS123" s="9"/>
      <c r="LT123" s="9"/>
      <c r="LU123" s="9"/>
      <c r="LV123" s="9"/>
      <c r="LW123" s="9"/>
      <c r="LX123" s="9"/>
      <c r="LY123" s="9"/>
      <c r="LZ123" s="9"/>
      <c r="MA123" s="9"/>
      <c r="MB123" s="9"/>
      <c r="MC123" s="9"/>
      <c r="MD123" s="9"/>
      <c r="ME123" s="9"/>
      <c r="MF123" s="9"/>
      <c r="MG123" s="9"/>
      <c r="MH123" s="9"/>
      <c r="MI123" s="9"/>
      <c r="MJ123" s="9"/>
      <c r="MK123" s="9"/>
      <c r="ML123" s="9"/>
      <c r="MM123" s="9"/>
      <c r="MN123" s="9"/>
      <c r="MO123" s="9"/>
      <c r="MP123" s="9"/>
      <c r="MQ123" s="9"/>
      <c r="MR123" s="9"/>
      <c r="MS123" s="9"/>
      <c r="MT123" s="9"/>
      <c r="MU123" s="9"/>
      <c r="MV123" s="9"/>
      <c r="MW123" s="9"/>
      <c r="MX123" s="9"/>
      <c r="MY123" s="9"/>
      <c r="MZ123" s="9"/>
      <c r="NA123" s="9"/>
      <c r="NB123" s="9"/>
      <c r="NC123" s="9"/>
      <c r="ND123" s="9"/>
      <c r="NE123" s="9"/>
      <c r="NF123" s="9"/>
      <c r="NG123" s="9"/>
      <c r="NH123" s="9"/>
      <c r="NI123" s="9"/>
      <c r="NJ123" s="9"/>
      <c r="NK123" s="9"/>
      <c r="NL123" s="9"/>
      <c r="NM123" s="9"/>
      <c r="NN123" s="9"/>
      <c r="NO123" s="9"/>
      <c r="NP123" s="9"/>
      <c r="NQ123" s="9"/>
      <c r="NR123" s="9"/>
      <c r="NS123" s="9"/>
      <c r="NT123" s="9"/>
      <c r="NU123" s="9"/>
      <c r="NV123" s="9"/>
      <c r="NW123" s="9"/>
      <c r="NX123" s="9"/>
      <c r="NY123" s="9"/>
      <c r="NZ123" s="9"/>
      <c r="OA123" s="9"/>
      <c r="OB123" s="9"/>
      <c r="OC123" s="9"/>
      <c r="OD123" s="9"/>
      <c r="OE123" s="9"/>
      <c r="OF123" s="9"/>
      <c r="OG123" s="9"/>
      <c r="OH123" s="9"/>
      <c r="OI123" s="9"/>
      <c r="OJ123" s="9"/>
      <c r="OK123" s="9"/>
      <c r="OL123" s="9"/>
      <c r="OM123" s="9"/>
      <c r="ON123" s="9"/>
      <c r="OO123" s="9"/>
      <c r="OP123" s="9"/>
      <c r="OQ123" s="9"/>
      <c r="OR123" s="9"/>
      <c r="OS123" s="9"/>
      <c r="OT123" s="9"/>
      <c r="OU123" s="9"/>
      <c r="OV123" s="9"/>
      <c r="OW123" s="9"/>
      <c r="OX123" s="9"/>
      <c r="OY123" s="9"/>
      <c r="OZ123" s="9"/>
      <c r="PA123" s="9"/>
      <c r="PB123" s="9"/>
      <c r="PC123" s="9"/>
      <c r="PD123" s="9"/>
      <c r="PE123" s="9"/>
      <c r="PF123" s="9"/>
      <c r="PG123" s="9"/>
      <c r="PH123" s="9"/>
      <c r="PI123" s="9"/>
      <c r="PJ123" s="9"/>
      <c r="PK123" s="9"/>
      <c r="PL123" s="9"/>
      <c r="PM123" s="9"/>
      <c r="PN123" s="9"/>
      <c r="PO123" s="9"/>
      <c r="PP123" s="9"/>
      <c r="PQ123" s="9"/>
      <c r="PR123" s="9"/>
      <c r="PS123" s="9"/>
      <c r="PT123" s="9"/>
      <c r="PU123" s="9"/>
      <c r="PV123" s="9"/>
      <c r="PW123" s="9"/>
      <c r="PX123" s="9"/>
      <c r="PY123" s="9"/>
      <c r="PZ123" s="9"/>
      <c r="QA123" s="9"/>
      <c r="QB123" s="9"/>
      <c r="QC123" s="9"/>
      <c r="QD123" s="9"/>
      <c r="QE123" s="9"/>
      <c r="QF123" s="9"/>
      <c r="QG123" s="9"/>
      <c r="QH123" s="9"/>
      <c r="QI123" s="9"/>
      <c r="QJ123" s="9"/>
      <c r="QK123" s="9"/>
      <c r="QL123" s="9"/>
      <c r="QM123" s="9"/>
      <c r="QN123" s="9"/>
      <c r="QO123" s="9"/>
      <c r="QP123" s="9"/>
      <c r="QQ123" s="67"/>
      <c r="QR123" s="68"/>
      <c r="QS123" s="63"/>
      <c r="QT123" s="71"/>
    </row>
    <row r="124" spans="1:462" s="11" customFormat="1" x14ac:dyDescent="0.2">
      <c r="A124" s="9">
        <v>10</v>
      </c>
      <c r="B124" s="9"/>
      <c r="C124" s="9"/>
      <c r="D124" s="9" t="s">
        <v>424</v>
      </c>
      <c r="E124" s="65" t="s">
        <v>532</v>
      </c>
      <c r="F124" s="65"/>
      <c r="G124" s="92" t="s">
        <v>2246</v>
      </c>
      <c r="H124" s="66" t="s">
        <v>1552</v>
      </c>
      <c r="I124" s="9" t="s">
        <v>1098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 t="s">
        <v>1098</v>
      </c>
      <c r="GF124" s="9"/>
      <c r="GG124" s="9" t="s">
        <v>1098</v>
      </c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  <c r="IW124" s="9"/>
      <c r="IX124" s="9"/>
      <c r="IY124" s="9"/>
      <c r="IZ124" s="9"/>
      <c r="JA124" s="9"/>
      <c r="JB124" s="9"/>
      <c r="JC124" s="9"/>
      <c r="JD124" s="9"/>
      <c r="JE124" s="9"/>
      <c r="JF124" s="9"/>
      <c r="JG124" s="9"/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  <c r="KM124" s="9"/>
      <c r="KN124" s="9"/>
      <c r="KO124" s="9"/>
      <c r="KP124" s="9"/>
      <c r="KQ124" s="9"/>
      <c r="KR124" s="9"/>
      <c r="KS124" s="9"/>
      <c r="KT124" s="9"/>
      <c r="KU124" s="9"/>
      <c r="KV124" s="9"/>
      <c r="KW124" s="9"/>
      <c r="KX124" s="9"/>
      <c r="KY124" s="9"/>
      <c r="KZ124" s="9"/>
      <c r="LA124" s="9"/>
      <c r="LB124" s="9"/>
      <c r="LC124" s="9"/>
      <c r="LD124" s="9"/>
      <c r="LE124" s="9"/>
      <c r="LF124" s="9"/>
      <c r="LG124" s="9"/>
      <c r="LH124" s="9"/>
      <c r="LI124" s="9"/>
      <c r="LJ124" s="9"/>
      <c r="LK124" s="9"/>
      <c r="LL124" s="9"/>
      <c r="LM124" s="9"/>
      <c r="LN124" s="9"/>
      <c r="LO124" s="9"/>
      <c r="LP124" s="9"/>
      <c r="LQ124" s="9"/>
      <c r="LR124" s="9"/>
      <c r="LS124" s="9"/>
      <c r="LT124" s="9"/>
      <c r="LU124" s="9"/>
      <c r="LV124" s="9"/>
      <c r="LW124" s="9"/>
      <c r="LX124" s="9"/>
      <c r="LY124" s="9"/>
      <c r="LZ124" s="9"/>
      <c r="MA124" s="9"/>
      <c r="MB124" s="9"/>
      <c r="MC124" s="9"/>
      <c r="MD124" s="9"/>
      <c r="ME124" s="9"/>
      <c r="MF124" s="9"/>
      <c r="MG124" s="9"/>
      <c r="MH124" s="9"/>
      <c r="MI124" s="9"/>
      <c r="MJ124" s="9"/>
      <c r="MK124" s="9"/>
      <c r="ML124" s="9"/>
      <c r="MM124" s="9"/>
      <c r="MN124" s="9"/>
      <c r="MO124" s="9"/>
      <c r="MP124" s="9"/>
      <c r="MQ124" s="9"/>
      <c r="MR124" s="9"/>
      <c r="MS124" s="9"/>
      <c r="MT124" s="9"/>
      <c r="MU124" s="9"/>
      <c r="MV124" s="9"/>
      <c r="MW124" s="9"/>
      <c r="MX124" s="9"/>
      <c r="MY124" s="9"/>
      <c r="MZ124" s="9"/>
      <c r="NA124" s="9"/>
      <c r="NB124" s="9"/>
      <c r="NC124" s="9"/>
      <c r="ND124" s="9"/>
      <c r="NE124" s="9"/>
      <c r="NF124" s="9"/>
      <c r="NG124" s="9"/>
      <c r="NH124" s="9"/>
      <c r="NI124" s="9"/>
      <c r="NJ124" s="9"/>
      <c r="NK124" s="9"/>
      <c r="NL124" s="9"/>
      <c r="NM124" s="9"/>
      <c r="NN124" s="9"/>
      <c r="NO124" s="9"/>
      <c r="NP124" s="9"/>
      <c r="NQ124" s="9"/>
      <c r="NR124" s="9"/>
      <c r="NS124" s="9"/>
      <c r="NT124" s="9"/>
      <c r="NU124" s="9"/>
      <c r="NV124" s="9"/>
      <c r="NW124" s="9"/>
      <c r="NX124" s="9"/>
      <c r="NY124" s="9"/>
      <c r="NZ124" s="9"/>
      <c r="OA124" s="9"/>
      <c r="OB124" s="9"/>
      <c r="OC124" s="9"/>
      <c r="OD124" s="9"/>
      <c r="OE124" s="9"/>
      <c r="OF124" s="9"/>
      <c r="OG124" s="9"/>
      <c r="OH124" s="9"/>
      <c r="OI124" s="9"/>
      <c r="OJ124" s="9"/>
      <c r="OK124" s="9"/>
      <c r="OL124" s="9"/>
      <c r="OM124" s="9"/>
      <c r="ON124" s="9"/>
      <c r="OO124" s="9"/>
      <c r="OP124" s="9"/>
      <c r="OQ124" s="9"/>
      <c r="OR124" s="9"/>
      <c r="OS124" s="9"/>
      <c r="OT124" s="9"/>
      <c r="OU124" s="9"/>
      <c r="OV124" s="9"/>
      <c r="OW124" s="9"/>
      <c r="OX124" s="9"/>
      <c r="OY124" s="9"/>
      <c r="OZ124" s="9"/>
      <c r="PA124" s="9"/>
      <c r="PB124" s="9"/>
      <c r="PC124" s="9"/>
      <c r="PD124" s="9"/>
      <c r="PE124" s="9"/>
      <c r="PF124" s="9"/>
      <c r="PG124" s="9"/>
      <c r="PH124" s="9"/>
      <c r="PI124" s="9"/>
      <c r="PJ124" s="9"/>
      <c r="PK124" s="9"/>
      <c r="PL124" s="9"/>
      <c r="PM124" s="9"/>
      <c r="PN124" s="9"/>
      <c r="PO124" s="9"/>
      <c r="PP124" s="9"/>
      <c r="PQ124" s="9"/>
      <c r="PR124" s="9"/>
      <c r="PS124" s="9"/>
      <c r="PT124" s="9"/>
      <c r="PU124" s="9"/>
      <c r="PV124" s="9"/>
      <c r="PW124" s="9"/>
      <c r="PX124" s="9"/>
      <c r="PY124" s="9"/>
      <c r="PZ124" s="9"/>
      <c r="QA124" s="9"/>
      <c r="QB124" s="9"/>
      <c r="QC124" s="9"/>
      <c r="QD124" s="9"/>
      <c r="QE124" s="9"/>
      <c r="QF124" s="9"/>
      <c r="QG124" s="9"/>
      <c r="QH124" s="9"/>
      <c r="QI124" s="9"/>
      <c r="QJ124" s="9"/>
      <c r="QK124" s="9"/>
      <c r="QL124" s="9"/>
      <c r="QM124" s="9"/>
      <c r="QN124" s="9"/>
      <c r="QO124" s="9"/>
      <c r="QP124" s="9"/>
      <c r="QQ124" s="67"/>
      <c r="QR124" s="68"/>
      <c r="QS124" s="63"/>
      <c r="QT124" s="71"/>
    </row>
    <row r="125" spans="1:462" s="11" customFormat="1" x14ac:dyDescent="0.2">
      <c r="A125" s="9">
        <v>10</v>
      </c>
      <c r="B125" s="9"/>
      <c r="C125" s="9"/>
      <c r="D125" s="9" t="s">
        <v>425</v>
      </c>
      <c r="E125" s="65" t="s">
        <v>533</v>
      </c>
      <c r="F125" s="65"/>
      <c r="G125" s="91" t="s">
        <v>2348</v>
      </c>
      <c r="H125" s="66" t="s">
        <v>1634</v>
      </c>
      <c r="I125" s="9" t="s">
        <v>1098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 t="s">
        <v>1098</v>
      </c>
      <c r="GN125" s="9"/>
      <c r="GO125" s="9" t="s">
        <v>1098</v>
      </c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  <c r="IW125" s="9"/>
      <c r="IX125" s="9"/>
      <c r="IY125" s="9"/>
      <c r="IZ125" s="9"/>
      <c r="JA125" s="9"/>
      <c r="JB125" s="9"/>
      <c r="JC125" s="9"/>
      <c r="JD125" s="9"/>
      <c r="JE125" s="9"/>
      <c r="JF125" s="9"/>
      <c r="JG125" s="9"/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  <c r="KM125" s="9"/>
      <c r="KN125" s="9"/>
      <c r="KO125" s="9"/>
      <c r="KP125" s="9"/>
      <c r="KQ125" s="9"/>
      <c r="KR125" s="9"/>
      <c r="KS125" s="9"/>
      <c r="KT125" s="9"/>
      <c r="KU125" s="9"/>
      <c r="KV125" s="9"/>
      <c r="KW125" s="9"/>
      <c r="KX125" s="9"/>
      <c r="KY125" s="9"/>
      <c r="KZ125" s="9"/>
      <c r="LA125" s="9"/>
      <c r="LB125" s="9"/>
      <c r="LC125" s="9"/>
      <c r="LD125" s="9"/>
      <c r="LE125" s="9"/>
      <c r="LF125" s="9"/>
      <c r="LG125" s="9"/>
      <c r="LH125" s="9"/>
      <c r="LI125" s="9"/>
      <c r="LJ125" s="9"/>
      <c r="LK125" s="9"/>
      <c r="LL125" s="9"/>
      <c r="LM125" s="9"/>
      <c r="LN125" s="9"/>
      <c r="LO125" s="9"/>
      <c r="LP125" s="9"/>
      <c r="LQ125" s="9"/>
      <c r="LR125" s="9"/>
      <c r="LS125" s="9"/>
      <c r="LT125" s="9"/>
      <c r="LU125" s="9"/>
      <c r="LV125" s="9"/>
      <c r="LW125" s="9"/>
      <c r="LX125" s="9"/>
      <c r="LY125" s="9"/>
      <c r="LZ125" s="9"/>
      <c r="MA125" s="9"/>
      <c r="MB125" s="9"/>
      <c r="MC125" s="9"/>
      <c r="MD125" s="9"/>
      <c r="ME125" s="9"/>
      <c r="MF125" s="9"/>
      <c r="MG125" s="9"/>
      <c r="MH125" s="9"/>
      <c r="MI125" s="9"/>
      <c r="MJ125" s="9"/>
      <c r="MK125" s="9"/>
      <c r="ML125" s="9"/>
      <c r="MM125" s="9"/>
      <c r="MN125" s="9"/>
      <c r="MO125" s="9"/>
      <c r="MP125" s="9"/>
      <c r="MQ125" s="9"/>
      <c r="MR125" s="9"/>
      <c r="MS125" s="9"/>
      <c r="MT125" s="9"/>
      <c r="MU125" s="9"/>
      <c r="MV125" s="9"/>
      <c r="MW125" s="9"/>
      <c r="MX125" s="9"/>
      <c r="MY125" s="9"/>
      <c r="MZ125" s="9"/>
      <c r="NA125" s="9"/>
      <c r="NB125" s="9"/>
      <c r="NC125" s="9"/>
      <c r="ND125" s="9"/>
      <c r="NE125" s="9"/>
      <c r="NF125" s="9"/>
      <c r="NG125" s="9"/>
      <c r="NH125" s="9"/>
      <c r="NI125" s="9"/>
      <c r="NJ125" s="9"/>
      <c r="NK125" s="9"/>
      <c r="NL125" s="9"/>
      <c r="NM125" s="9"/>
      <c r="NN125" s="9"/>
      <c r="NO125" s="9"/>
      <c r="NP125" s="9"/>
      <c r="NQ125" s="9"/>
      <c r="NR125" s="9"/>
      <c r="NS125" s="9"/>
      <c r="NT125" s="9"/>
      <c r="NU125" s="9"/>
      <c r="NV125" s="9"/>
      <c r="NW125" s="9"/>
      <c r="NX125" s="9"/>
      <c r="NY125" s="9"/>
      <c r="NZ125" s="9"/>
      <c r="OA125" s="9"/>
      <c r="OB125" s="9"/>
      <c r="OC125" s="9"/>
      <c r="OD125" s="9"/>
      <c r="OE125" s="9"/>
      <c r="OF125" s="9"/>
      <c r="OG125" s="9"/>
      <c r="OH125" s="9"/>
      <c r="OI125" s="9"/>
      <c r="OJ125" s="9"/>
      <c r="OK125" s="9"/>
      <c r="OL125" s="9"/>
      <c r="OM125" s="9"/>
      <c r="ON125" s="9"/>
      <c r="OO125" s="9"/>
      <c r="OP125" s="9"/>
      <c r="OQ125" s="9"/>
      <c r="OR125" s="9"/>
      <c r="OS125" s="9"/>
      <c r="OT125" s="9"/>
      <c r="OU125" s="9"/>
      <c r="OV125" s="9"/>
      <c r="OW125" s="9"/>
      <c r="OX125" s="9"/>
      <c r="OY125" s="9"/>
      <c r="OZ125" s="9"/>
      <c r="PA125" s="9"/>
      <c r="PB125" s="9"/>
      <c r="PC125" s="9"/>
      <c r="PD125" s="9"/>
      <c r="PE125" s="9"/>
      <c r="PF125" s="9"/>
      <c r="PG125" s="9"/>
      <c r="PH125" s="9"/>
      <c r="PI125" s="9"/>
      <c r="PJ125" s="9"/>
      <c r="PK125" s="9"/>
      <c r="PL125" s="9"/>
      <c r="PM125" s="9"/>
      <c r="PN125" s="9"/>
      <c r="PO125" s="9"/>
      <c r="PP125" s="9"/>
      <c r="PQ125" s="9"/>
      <c r="PR125" s="9"/>
      <c r="PS125" s="9"/>
      <c r="PT125" s="9"/>
      <c r="PU125" s="9"/>
      <c r="PV125" s="9"/>
      <c r="PW125" s="9"/>
      <c r="PX125" s="9"/>
      <c r="PY125" s="9"/>
      <c r="PZ125" s="9"/>
      <c r="QA125" s="9"/>
      <c r="QB125" s="9"/>
      <c r="QC125" s="9"/>
      <c r="QD125" s="9"/>
      <c r="QE125" s="9"/>
      <c r="QF125" s="9"/>
      <c r="QG125" s="9"/>
      <c r="QH125" s="9"/>
      <c r="QI125" s="9"/>
      <c r="QJ125" s="9"/>
      <c r="QK125" s="9"/>
      <c r="QL125" s="9"/>
      <c r="QM125" s="9"/>
      <c r="QN125" s="9"/>
      <c r="QO125" s="9"/>
      <c r="QP125" s="9"/>
      <c r="QQ125" s="67"/>
      <c r="QR125" s="68"/>
      <c r="QS125" s="63"/>
      <c r="QT125" s="71"/>
    </row>
    <row r="126" spans="1:462" s="11" customFormat="1" x14ac:dyDescent="0.2">
      <c r="A126" s="9">
        <v>10</v>
      </c>
      <c r="B126" s="9"/>
      <c r="C126" s="9"/>
      <c r="D126" s="9" t="s">
        <v>426</v>
      </c>
      <c r="E126" s="65" t="s">
        <v>534</v>
      </c>
      <c r="F126" s="65"/>
      <c r="G126" s="92" t="s">
        <v>2350</v>
      </c>
      <c r="H126" s="66" t="s">
        <v>1635</v>
      </c>
      <c r="I126" s="9" t="s">
        <v>1098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 t="s">
        <v>1098</v>
      </c>
      <c r="GN126" s="9"/>
      <c r="GO126" s="9" t="s">
        <v>1098</v>
      </c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  <c r="IW126" s="9"/>
      <c r="IX126" s="9"/>
      <c r="IY126" s="9"/>
      <c r="IZ126" s="9"/>
      <c r="JA126" s="9"/>
      <c r="JB126" s="9"/>
      <c r="JC126" s="9"/>
      <c r="JD126" s="9"/>
      <c r="JE126" s="9"/>
      <c r="JF126" s="9"/>
      <c r="JG126" s="9"/>
      <c r="JH126" s="9"/>
      <c r="JI126" s="9"/>
      <c r="JJ126" s="9"/>
      <c r="JK126" s="9"/>
      <c r="JL126" s="9"/>
      <c r="JM126" s="9"/>
      <c r="JN126" s="9"/>
      <c r="JO126" s="9"/>
      <c r="JP126" s="9"/>
      <c r="JQ126" s="9"/>
      <c r="JR126" s="9"/>
      <c r="JS126" s="9"/>
      <c r="JT126" s="9"/>
      <c r="JU126" s="9"/>
      <c r="JV126" s="9"/>
      <c r="JW126" s="9"/>
      <c r="JX126" s="9"/>
      <c r="JY126" s="9"/>
      <c r="JZ126" s="9"/>
      <c r="KA126" s="9"/>
      <c r="KB126" s="9"/>
      <c r="KC126" s="9"/>
      <c r="KD126" s="9"/>
      <c r="KE126" s="9"/>
      <c r="KF126" s="9"/>
      <c r="KG126" s="9"/>
      <c r="KH126" s="9"/>
      <c r="KI126" s="9"/>
      <c r="KJ126" s="9"/>
      <c r="KK126" s="9"/>
      <c r="KL126" s="9"/>
      <c r="KM126" s="9"/>
      <c r="KN126" s="9"/>
      <c r="KO126" s="9"/>
      <c r="KP126" s="9"/>
      <c r="KQ126" s="9"/>
      <c r="KR126" s="9"/>
      <c r="KS126" s="9"/>
      <c r="KT126" s="9"/>
      <c r="KU126" s="9"/>
      <c r="KV126" s="9"/>
      <c r="KW126" s="9"/>
      <c r="KX126" s="9"/>
      <c r="KY126" s="9"/>
      <c r="KZ126" s="9"/>
      <c r="LA126" s="9"/>
      <c r="LB126" s="9"/>
      <c r="LC126" s="9"/>
      <c r="LD126" s="9"/>
      <c r="LE126" s="9"/>
      <c r="LF126" s="9"/>
      <c r="LG126" s="9"/>
      <c r="LH126" s="9"/>
      <c r="LI126" s="9"/>
      <c r="LJ126" s="9"/>
      <c r="LK126" s="9"/>
      <c r="LL126" s="9"/>
      <c r="LM126" s="9"/>
      <c r="LN126" s="9"/>
      <c r="LO126" s="9"/>
      <c r="LP126" s="9"/>
      <c r="LQ126" s="9"/>
      <c r="LR126" s="9"/>
      <c r="LS126" s="9"/>
      <c r="LT126" s="9"/>
      <c r="LU126" s="9"/>
      <c r="LV126" s="9"/>
      <c r="LW126" s="9"/>
      <c r="LX126" s="9"/>
      <c r="LY126" s="9"/>
      <c r="LZ126" s="9"/>
      <c r="MA126" s="9"/>
      <c r="MB126" s="9"/>
      <c r="MC126" s="9"/>
      <c r="MD126" s="9"/>
      <c r="ME126" s="9"/>
      <c r="MF126" s="9"/>
      <c r="MG126" s="9"/>
      <c r="MH126" s="9"/>
      <c r="MI126" s="9"/>
      <c r="MJ126" s="9"/>
      <c r="MK126" s="9"/>
      <c r="ML126" s="9"/>
      <c r="MM126" s="9"/>
      <c r="MN126" s="9"/>
      <c r="MO126" s="9"/>
      <c r="MP126" s="9"/>
      <c r="MQ126" s="9"/>
      <c r="MR126" s="9"/>
      <c r="MS126" s="9"/>
      <c r="MT126" s="9"/>
      <c r="MU126" s="9"/>
      <c r="MV126" s="9"/>
      <c r="MW126" s="9"/>
      <c r="MX126" s="9"/>
      <c r="MY126" s="9"/>
      <c r="MZ126" s="9"/>
      <c r="NA126" s="9"/>
      <c r="NB126" s="9"/>
      <c r="NC126" s="9"/>
      <c r="ND126" s="9"/>
      <c r="NE126" s="9"/>
      <c r="NF126" s="9"/>
      <c r="NG126" s="9"/>
      <c r="NH126" s="9"/>
      <c r="NI126" s="9"/>
      <c r="NJ126" s="9"/>
      <c r="NK126" s="9"/>
      <c r="NL126" s="9"/>
      <c r="NM126" s="9"/>
      <c r="NN126" s="9"/>
      <c r="NO126" s="9"/>
      <c r="NP126" s="9"/>
      <c r="NQ126" s="9"/>
      <c r="NR126" s="9"/>
      <c r="NS126" s="9"/>
      <c r="NT126" s="9"/>
      <c r="NU126" s="9"/>
      <c r="NV126" s="9"/>
      <c r="NW126" s="9"/>
      <c r="NX126" s="9"/>
      <c r="NY126" s="9"/>
      <c r="NZ126" s="9"/>
      <c r="OA126" s="9"/>
      <c r="OB126" s="9"/>
      <c r="OC126" s="9"/>
      <c r="OD126" s="9"/>
      <c r="OE126" s="9"/>
      <c r="OF126" s="9"/>
      <c r="OG126" s="9"/>
      <c r="OH126" s="9"/>
      <c r="OI126" s="9"/>
      <c r="OJ126" s="9"/>
      <c r="OK126" s="9"/>
      <c r="OL126" s="9"/>
      <c r="OM126" s="9"/>
      <c r="ON126" s="9"/>
      <c r="OO126" s="9"/>
      <c r="OP126" s="9"/>
      <c r="OQ126" s="9"/>
      <c r="OR126" s="9"/>
      <c r="OS126" s="9"/>
      <c r="OT126" s="9"/>
      <c r="OU126" s="9"/>
      <c r="OV126" s="9"/>
      <c r="OW126" s="9"/>
      <c r="OX126" s="9"/>
      <c r="OY126" s="9"/>
      <c r="OZ126" s="9"/>
      <c r="PA126" s="9"/>
      <c r="PB126" s="9"/>
      <c r="PC126" s="9"/>
      <c r="PD126" s="9"/>
      <c r="PE126" s="9"/>
      <c r="PF126" s="9"/>
      <c r="PG126" s="9"/>
      <c r="PH126" s="9"/>
      <c r="PI126" s="9"/>
      <c r="PJ126" s="9"/>
      <c r="PK126" s="9"/>
      <c r="PL126" s="9"/>
      <c r="PM126" s="9"/>
      <c r="PN126" s="9"/>
      <c r="PO126" s="9"/>
      <c r="PP126" s="9"/>
      <c r="PQ126" s="9"/>
      <c r="PR126" s="9"/>
      <c r="PS126" s="9"/>
      <c r="PT126" s="9"/>
      <c r="PU126" s="9"/>
      <c r="PV126" s="9"/>
      <c r="PW126" s="9"/>
      <c r="PX126" s="9"/>
      <c r="PY126" s="9"/>
      <c r="PZ126" s="9"/>
      <c r="QA126" s="9"/>
      <c r="QB126" s="9"/>
      <c r="QC126" s="9"/>
      <c r="QD126" s="9"/>
      <c r="QE126" s="9"/>
      <c r="QF126" s="9"/>
      <c r="QG126" s="9"/>
      <c r="QH126" s="9"/>
      <c r="QI126" s="9"/>
      <c r="QJ126" s="9"/>
      <c r="QK126" s="9"/>
      <c r="QL126" s="9"/>
      <c r="QM126" s="9"/>
      <c r="QN126" s="9"/>
      <c r="QO126" s="9"/>
      <c r="QP126" s="9"/>
      <c r="QQ126" s="67"/>
      <c r="QR126" s="68"/>
      <c r="QS126" s="63"/>
      <c r="QT126" s="71"/>
    </row>
    <row r="127" spans="1:462" s="11" customFormat="1" ht="26" x14ac:dyDescent="0.2">
      <c r="A127" s="9">
        <v>10</v>
      </c>
      <c r="B127" s="9"/>
      <c r="C127" s="9"/>
      <c r="D127" s="9" t="s">
        <v>427</v>
      </c>
      <c r="E127" s="65" t="s">
        <v>535</v>
      </c>
      <c r="F127" s="65"/>
      <c r="G127" s="91" t="s">
        <v>2351</v>
      </c>
      <c r="H127" s="66" t="s">
        <v>1636</v>
      </c>
      <c r="I127" s="9" t="s">
        <v>1098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 t="s">
        <v>1098</v>
      </c>
      <c r="GV127" s="9"/>
      <c r="GW127" s="9" t="s">
        <v>1098</v>
      </c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  <c r="IW127" s="9"/>
      <c r="IX127" s="9"/>
      <c r="IY127" s="9"/>
      <c r="IZ127" s="9"/>
      <c r="JA127" s="9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  <c r="KM127" s="9"/>
      <c r="KN127" s="9"/>
      <c r="KO127" s="9"/>
      <c r="KP127" s="9"/>
      <c r="KQ127" s="9"/>
      <c r="KR127" s="9"/>
      <c r="KS127" s="9"/>
      <c r="KT127" s="9"/>
      <c r="KU127" s="9"/>
      <c r="KV127" s="9"/>
      <c r="KW127" s="9"/>
      <c r="KX127" s="9"/>
      <c r="KY127" s="9"/>
      <c r="KZ127" s="9"/>
      <c r="LA127" s="9"/>
      <c r="LB127" s="9"/>
      <c r="LC127" s="9"/>
      <c r="LD127" s="9"/>
      <c r="LE127" s="9"/>
      <c r="LF127" s="9"/>
      <c r="LG127" s="9"/>
      <c r="LH127" s="9"/>
      <c r="LI127" s="9"/>
      <c r="LJ127" s="9"/>
      <c r="LK127" s="9"/>
      <c r="LL127" s="9"/>
      <c r="LM127" s="9"/>
      <c r="LN127" s="9"/>
      <c r="LO127" s="9"/>
      <c r="LP127" s="9"/>
      <c r="LQ127" s="9"/>
      <c r="LR127" s="9"/>
      <c r="LS127" s="9"/>
      <c r="LT127" s="9"/>
      <c r="LU127" s="9"/>
      <c r="LV127" s="9"/>
      <c r="LW127" s="9"/>
      <c r="LX127" s="9"/>
      <c r="LY127" s="9"/>
      <c r="LZ127" s="9"/>
      <c r="MA127" s="9"/>
      <c r="MB127" s="9"/>
      <c r="MC127" s="9"/>
      <c r="MD127" s="9"/>
      <c r="ME127" s="9"/>
      <c r="MF127" s="9"/>
      <c r="MG127" s="9"/>
      <c r="MH127" s="9"/>
      <c r="MI127" s="9"/>
      <c r="MJ127" s="9"/>
      <c r="MK127" s="9"/>
      <c r="ML127" s="9"/>
      <c r="MM127" s="9"/>
      <c r="MN127" s="9"/>
      <c r="MO127" s="9"/>
      <c r="MP127" s="9"/>
      <c r="MQ127" s="9"/>
      <c r="MR127" s="9"/>
      <c r="MS127" s="9"/>
      <c r="MT127" s="9"/>
      <c r="MU127" s="9"/>
      <c r="MV127" s="9"/>
      <c r="MW127" s="9"/>
      <c r="MX127" s="9"/>
      <c r="MY127" s="9"/>
      <c r="MZ127" s="9"/>
      <c r="NA127" s="9"/>
      <c r="NB127" s="9"/>
      <c r="NC127" s="9"/>
      <c r="ND127" s="9"/>
      <c r="NE127" s="9"/>
      <c r="NF127" s="9"/>
      <c r="NG127" s="9"/>
      <c r="NH127" s="9"/>
      <c r="NI127" s="9"/>
      <c r="NJ127" s="9"/>
      <c r="NK127" s="9"/>
      <c r="NL127" s="9"/>
      <c r="NM127" s="9"/>
      <c r="NN127" s="9"/>
      <c r="NO127" s="9"/>
      <c r="NP127" s="9"/>
      <c r="NQ127" s="9"/>
      <c r="NR127" s="9"/>
      <c r="NS127" s="9"/>
      <c r="NT127" s="9"/>
      <c r="NU127" s="9"/>
      <c r="NV127" s="9"/>
      <c r="NW127" s="9"/>
      <c r="NX127" s="9"/>
      <c r="NY127" s="9"/>
      <c r="NZ127" s="9"/>
      <c r="OA127" s="9"/>
      <c r="OB127" s="9"/>
      <c r="OC127" s="9"/>
      <c r="OD127" s="9"/>
      <c r="OE127" s="9"/>
      <c r="OF127" s="9"/>
      <c r="OG127" s="9"/>
      <c r="OH127" s="9"/>
      <c r="OI127" s="9"/>
      <c r="OJ127" s="9"/>
      <c r="OK127" s="9"/>
      <c r="OL127" s="9"/>
      <c r="OM127" s="9"/>
      <c r="ON127" s="9"/>
      <c r="OO127" s="9"/>
      <c r="OP127" s="9"/>
      <c r="OQ127" s="9"/>
      <c r="OR127" s="9"/>
      <c r="OS127" s="9"/>
      <c r="OT127" s="9"/>
      <c r="OU127" s="9"/>
      <c r="OV127" s="9"/>
      <c r="OW127" s="9"/>
      <c r="OX127" s="9"/>
      <c r="OY127" s="9"/>
      <c r="OZ127" s="9"/>
      <c r="PA127" s="9"/>
      <c r="PB127" s="9"/>
      <c r="PC127" s="9"/>
      <c r="PD127" s="9"/>
      <c r="PE127" s="9"/>
      <c r="PF127" s="9"/>
      <c r="PG127" s="9"/>
      <c r="PH127" s="9"/>
      <c r="PI127" s="9"/>
      <c r="PJ127" s="9"/>
      <c r="PK127" s="9"/>
      <c r="PL127" s="9"/>
      <c r="PM127" s="9"/>
      <c r="PN127" s="9"/>
      <c r="PO127" s="9"/>
      <c r="PP127" s="9"/>
      <c r="PQ127" s="9"/>
      <c r="PR127" s="9"/>
      <c r="PS127" s="9"/>
      <c r="PT127" s="9"/>
      <c r="PU127" s="9"/>
      <c r="PV127" s="9"/>
      <c r="PW127" s="9"/>
      <c r="PX127" s="9"/>
      <c r="PY127" s="9"/>
      <c r="PZ127" s="9"/>
      <c r="QA127" s="9"/>
      <c r="QB127" s="9"/>
      <c r="QC127" s="9"/>
      <c r="QD127" s="9"/>
      <c r="QE127" s="9"/>
      <c r="QF127" s="9"/>
      <c r="QG127" s="9"/>
      <c r="QH127" s="9"/>
      <c r="QI127" s="9"/>
      <c r="QJ127" s="9"/>
      <c r="QK127" s="9"/>
      <c r="QL127" s="9"/>
      <c r="QM127" s="9"/>
      <c r="QN127" s="9"/>
      <c r="QO127" s="9"/>
      <c r="QP127" s="9"/>
      <c r="QQ127" s="67"/>
      <c r="QR127" s="68"/>
      <c r="QS127" s="63"/>
      <c r="QT127" s="71"/>
    </row>
    <row r="128" spans="1:462" s="11" customFormat="1" ht="26" x14ac:dyDescent="0.2">
      <c r="A128" s="9">
        <v>10</v>
      </c>
      <c r="B128" s="9"/>
      <c r="C128" s="9"/>
      <c r="D128" s="9" t="s">
        <v>428</v>
      </c>
      <c r="E128" s="65" t="s">
        <v>536</v>
      </c>
      <c r="F128" s="65"/>
      <c r="G128" s="92" t="s">
        <v>2353</v>
      </c>
      <c r="H128" s="66" t="s">
        <v>1637</v>
      </c>
      <c r="I128" s="9" t="s">
        <v>1098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 t="s">
        <v>1098</v>
      </c>
      <c r="GV128" s="9"/>
      <c r="GW128" s="9" t="s">
        <v>1098</v>
      </c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  <c r="IW128" s="9"/>
      <c r="IX128" s="9"/>
      <c r="IY128" s="9"/>
      <c r="IZ128" s="9"/>
      <c r="JA128" s="9"/>
      <c r="JB128" s="9"/>
      <c r="JC128" s="9"/>
      <c r="JD128" s="9"/>
      <c r="JE128" s="9"/>
      <c r="JF128" s="9"/>
      <c r="JG128" s="9"/>
      <c r="JH128" s="9"/>
      <c r="JI128" s="9"/>
      <c r="JJ128" s="9"/>
      <c r="JK128" s="9"/>
      <c r="JL128" s="9"/>
      <c r="JM128" s="9"/>
      <c r="JN128" s="9"/>
      <c r="JO128" s="9"/>
      <c r="JP128" s="9"/>
      <c r="JQ128" s="9"/>
      <c r="JR128" s="9"/>
      <c r="JS128" s="9"/>
      <c r="JT128" s="9"/>
      <c r="JU128" s="9"/>
      <c r="JV128" s="9"/>
      <c r="JW128" s="9"/>
      <c r="JX128" s="9"/>
      <c r="JY128" s="9"/>
      <c r="JZ128" s="9"/>
      <c r="KA128" s="9"/>
      <c r="KB128" s="9"/>
      <c r="KC128" s="9"/>
      <c r="KD128" s="9"/>
      <c r="KE128" s="9"/>
      <c r="KF128" s="9"/>
      <c r="KG128" s="9"/>
      <c r="KH128" s="9"/>
      <c r="KI128" s="9"/>
      <c r="KJ128" s="9"/>
      <c r="KK128" s="9"/>
      <c r="KL128" s="9"/>
      <c r="KM128" s="9"/>
      <c r="KN128" s="9"/>
      <c r="KO128" s="9"/>
      <c r="KP128" s="9"/>
      <c r="KQ128" s="9"/>
      <c r="KR128" s="9"/>
      <c r="KS128" s="9"/>
      <c r="KT128" s="9"/>
      <c r="KU128" s="9"/>
      <c r="KV128" s="9"/>
      <c r="KW128" s="9"/>
      <c r="KX128" s="9"/>
      <c r="KY128" s="9"/>
      <c r="KZ128" s="9"/>
      <c r="LA128" s="9"/>
      <c r="LB128" s="9"/>
      <c r="LC128" s="9"/>
      <c r="LD128" s="9"/>
      <c r="LE128" s="9"/>
      <c r="LF128" s="9"/>
      <c r="LG128" s="9"/>
      <c r="LH128" s="9"/>
      <c r="LI128" s="9"/>
      <c r="LJ128" s="9"/>
      <c r="LK128" s="9"/>
      <c r="LL128" s="9"/>
      <c r="LM128" s="9"/>
      <c r="LN128" s="9"/>
      <c r="LO128" s="9"/>
      <c r="LP128" s="9"/>
      <c r="LQ128" s="9"/>
      <c r="LR128" s="9"/>
      <c r="LS128" s="9"/>
      <c r="LT128" s="9"/>
      <c r="LU128" s="9"/>
      <c r="LV128" s="9"/>
      <c r="LW128" s="9"/>
      <c r="LX128" s="9"/>
      <c r="LY128" s="9"/>
      <c r="LZ128" s="9"/>
      <c r="MA128" s="9"/>
      <c r="MB128" s="9"/>
      <c r="MC128" s="9"/>
      <c r="MD128" s="9"/>
      <c r="ME128" s="9"/>
      <c r="MF128" s="9"/>
      <c r="MG128" s="9"/>
      <c r="MH128" s="9"/>
      <c r="MI128" s="9"/>
      <c r="MJ128" s="9"/>
      <c r="MK128" s="9"/>
      <c r="ML128" s="9"/>
      <c r="MM128" s="9"/>
      <c r="MN128" s="9"/>
      <c r="MO128" s="9"/>
      <c r="MP128" s="9"/>
      <c r="MQ128" s="9"/>
      <c r="MR128" s="9"/>
      <c r="MS128" s="9"/>
      <c r="MT128" s="9"/>
      <c r="MU128" s="9"/>
      <c r="MV128" s="9"/>
      <c r="MW128" s="9"/>
      <c r="MX128" s="9"/>
      <c r="MY128" s="9"/>
      <c r="MZ128" s="9"/>
      <c r="NA128" s="9"/>
      <c r="NB128" s="9"/>
      <c r="NC128" s="9"/>
      <c r="ND128" s="9"/>
      <c r="NE128" s="9"/>
      <c r="NF128" s="9"/>
      <c r="NG128" s="9"/>
      <c r="NH128" s="9"/>
      <c r="NI128" s="9"/>
      <c r="NJ128" s="9"/>
      <c r="NK128" s="9"/>
      <c r="NL128" s="9"/>
      <c r="NM128" s="9"/>
      <c r="NN128" s="9"/>
      <c r="NO128" s="9"/>
      <c r="NP128" s="9"/>
      <c r="NQ128" s="9"/>
      <c r="NR128" s="9"/>
      <c r="NS128" s="9"/>
      <c r="NT128" s="9"/>
      <c r="NU128" s="9"/>
      <c r="NV128" s="9"/>
      <c r="NW128" s="9"/>
      <c r="NX128" s="9"/>
      <c r="NY128" s="9"/>
      <c r="NZ128" s="9"/>
      <c r="OA128" s="9"/>
      <c r="OB128" s="9"/>
      <c r="OC128" s="9"/>
      <c r="OD128" s="9"/>
      <c r="OE128" s="9"/>
      <c r="OF128" s="9"/>
      <c r="OG128" s="9"/>
      <c r="OH128" s="9"/>
      <c r="OI128" s="9"/>
      <c r="OJ128" s="9"/>
      <c r="OK128" s="9"/>
      <c r="OL128" s="9"/>
      <c r="OM128" s="9"/>
      <c r="ON128" s="9"/>
      <c r="OO128" s="9"/>
      <c r="OP128" s="9"/>
      <c r="OQ128" s="9"/>
      <c r="OR128" s="9"/>
      <c r="OS128" s="9"/>
      <c r="OT128" s="9"/>
      <c r="OU128" s="9"/>
      <c r="OV128" s="9"/>
      <c r="OW128" s="9"/>
      <c r="OX128" s="9"/>
      <c r="OY128" s="9"/>
      <c r="OZ128" s="9"/>
      <c r="PA128" s="9"/>
      <c r="PB128" s="9"/>
      <c r="PC128" s="9"/>
      <c r="PD128" s="9"/>
      <c r="PE128" s="9"/>
      <c r="PF128" s="9"/>
      <c r="PG128" s="9"/>
      <c r="PH128" s="9"/>
      <c r="PI128" s="9"/>
      <c r="PJ128" s="9"/>
      <c r="PK128" s="9"/>
      <c r="PL128" s="9"/>
      <c r="PM128" s="9"/>
      <c r="PN128" s="9"/>
      <c r="PO128" s="9"/>
      <c r="PP128" s="9"/>
      <c r="PQ128" s="9"/>
      <c r="PR128" s="9"/>
      <c r="PS128" s="9"/>
      <c r="PT128" s="9"/>
      <c r="PU128" s="9"/>
      <c r="PV128" s="9"/>
      <c r="PW128" s="9"/>
      <c r="PX128" s="9"/>
      <c r="PY128" s="9"/>
      <c r="PZ128" s="9"/>
      <c r="QA128" s="9"/>
      <c r="QB128" s="9"/>
      <c r="QC128" s="9"/>
      <c r="QD128" s="9"/>
      <c r="QE128" s="9"/>
      <c r="QF128" s="9"/>
      <c r="QG128" s="9"/>
      <c r="QH128" s="9"/>
      <c r="QI128" s="9"/>
      <c r="QJ128" s="9"/>
      <c r="QK128" s="9"/>
      <c r="QL128" s="9"/>
      <c r="QM128" s="9"/>
      <c r="QN128" s="9"/>
      <c r="QO128" s="9"/>
      <c r="QP128" s="9"/>
      <c r="QQ128" s="67"/>
      <c r="QR128" s="68"/>
      <c r="QS128" s="63"/>
      <c r="QT128" s="71"/>
    </row>
    <row r="129" spans="1:462" s="11" customFormat="1" x14ac:dyDescent="0.2">
      <c r="A129" s="9">
        <v>10</v>
      </c>
      <c r="B129" s="9"/>
      <c r="C129" s="9"/>
      <c r="D129" s="9" t="s">
        <v>429</v>
      </c>
      <c r="E129" s="65" t="s">
        <v>537</v>
      </c>
      <c r="F129" s="65"/>
      <c r="G129" s="91" t="s">
        <v>2354</v>
      </c>
      <c r="H129" s="66" t="s">
        <v>1638</v>
      </c>
      <c r="I129" s="9" t="s">
        <v>1098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 t="s">
        <v>1098</v>
      </c>
      <c r="HD129" s="9"/>
      <c r="HE129" s="9" t="s">
        <v>1098</v>
      </c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  <c r="II129" s="9"/>
      <c r="IJ129" s="9"/>
      <c r="IK129" s="9"/>
      <c r="IL129" s="9"/>
      <c r="IM129" s="9"/>
      <c r="IN129" s="9"/>
      <c r="IO129" s="9"/>
      <c r="IP129" s="9"/>
      <c r="IQ129" s="9"/>
      <c r="IR129" s="9"/>
      <c r="IS129" s="9"/>
      <c r="IT129" s="9"/>
      <c r="IU129" s="9"/>
      <c r="IV129" s="9"/>
      <c r="IW129" s="9"/>
      <c r="IX129" s="9"/>
      <c r="IY129" s="9"/>
      <c r="IZ129" s="9"/>
      <c r="JA129" s="9"/>
      <c r="JB129" s="9"/>
      <c r="JC129" s="9"/>
      <c r="JD129" s="9"/>
      <c r="JE129" s="9"/>
      <c r="JF129" s="9"/>
      <c r="JG129" s="9"/>
      <c r="JH129" s="9"/>
      <c r="JI129" s="9"/>
      <c r="JJ129" s="9"/>
      <c r="JK129" s="9"/>
      <c r="JL129" s="9"/>
      <c r="JM129" s="9"/>
      <c r="JN129" s="9"/>
      <c r="JO129" s="9"/>
      <c r="JP129" s="9"/>
      <c r="JQ129" s="9"/>
      <c r="JR129" s="9"/>
      <c r="JS129" s="9"/>
      <c r="JT129" s="9"/>
      <c r="JU129" s="9"/>
      <c r="JV129" s="9"/>
      <c r="JW129" s="9"/>
      <c r="JX129" s="9"/>
      <c r="JY129" s="9"/>
      <c r="JZ129" s="9"/>
      <c r="KA129" s="9"/>
      <c r="KB129" s="9"/>
      <c r="KC129" s="9"/>
      <c r="KD129" s="9"/>
      <c r="KE129" s="9"/>
      <c r="KF129" s="9"/>
      <c r="KG129" s="9"/>
      <c r="KH129" s="9"/>
      <c r="KI129" s="9"/>
      <c r="KJ129" s="9"/>
      <c r="KK129" s="9"/>
      <c r="KL129" s="9"/>
      <c r="KM129" s="9"/>
      <c r="KN129" s="9"/>
      <c r="KO129" s="9"/>
      <c r="KP129" s="9"/>
      <c r="KQ129" s="9"/>
      <c r="KR129" s="9"/>
      <c r="KS129" s="9"/>
      <c r="KT129" s="9"/>
      <c r="KU129" s="9"/>
      <c r="KV129" s="9"/>
      <c r="KW129" s="9"/>
      <c r="KX129" s="9"/>
      <c r="KY129" s="9"/>
      <c r="KZ129" s="9"/>
      <c r="LA129" s="9"/>
      <c r="LB129" s="9"/>
      <c r="LC129" s="9"/>
      <c r="LD129" s="9"/>
      <c r="LE129" s="9"/>
      <c r="LF129" s="9"/>
      <c r="LG129" s="9"/>
      <c r="LH129" s="9"/>
      <c r="LI129" s="9"/>
      <c r="LJ129" s="9"/>
      <c r="LK129" s="9"/>
      <c r="LL129" s="9"/>
      <c r="LM129" s="9"/>
      <c r="LN129" s="9"/>
      <c r="LO129" s="9"/>
      <c r="LP129" s="9"/>
      <c r="LQ129" s="9"/>
      <c r="LR129" s="9"/>
      <c r="LS129" s="9"/>
      <c r="LT129" s="9"/>
      <c r="LU129" s="9"/>
      <c r="LV129" s="9"/>
      <c r="LW129" s="9"/>
      <c r="LX129" s="9"/>
      <c r="LY129" s="9"/>
      <c r="LZ129" s="9"/>
      <c r="MA129" s="9"/>
      <c r="MB129" s="9"/>
      <c r="MC129" s="9"/>
      <c r="MD129" s="9"/>
      <c r="ME129" s="9"/>
      <c r="MF129" s="9"/>
      <c r="MG129" s="9"/>
      <c r="MH129" s="9"/>
      <c r="MI129" s="9"/>
      <c r="MJ129" s="9"/>
      <c r="MK129" s="9"/>
      <c r="ML129" s="9"/>
      <c r="MM129" s="9"/>
      <c r="MN129" s="9"/>
      <c r="MO129" s="9"/>
      <c r="MP129" s="9"/>
      <c r="MQ129" s="9"/>
      <c r="MR129" s="9"/>
      <c r="MS129" s="9"/>
      <c r="MT129" s="9"/>
      <c r="MU129" s="9"/>
      <c r="MV129" s="9"/>
      <c r="MW129" s="9"/>
      <c r="MX129" s="9"/>
      <c r="MY129" s="9"/>
      <c r="MZ129" s="9"/>
      <c r="NA129" s="9"/>
      <c r="NB129" s="9"/>
      <c r="NC129" s="9"/>
      <c r="ND129" s="9"/>
      <c r="NE129" s="9"/>
      <c r="NF129" s="9"/>
      <c r="NG129" s="9"/>
      <c r="NH129" s="9"/>
      <c r="NI129" s="9"/>
      <c r="NJ129" s="9"/>
      <c r="NK129" s="9"/>
      <c r="NL129" s="9"/>
      <c r="NM129" s="9"/>
      <c r="NN129" s="9"/>
      <c r="NO129" s="9"/>
      <c r="NP129" s="9"/>
      <c r="NQ129" s="9"/>
      <c r="NR129" s="9"/>
      <c r="NS129" s="9"/>
      <c r="NT129" s="9"/>
      <c r="NU129" s="9"/>
      <c r="NV129" s="9"/>
      <c r="NW129" s="9"/>
      <c r="NX129" s="9"/>
      <c r="NY129" s="9"/>
      <c r="NZ129" s="9"/>
      <c r="OA129" s="9"/>
      <c r="OB129" s="9"/>
      <c r="OC129" s="9"/>
      <c r="OD129" s="9"/>
      <c r="OE129" s="9"/>
      <c r="OF129" s="9"/>
      <c r="OG129" s="9"/>
      <c r="OH129" s="9"/>
      <c r="OI129" s="9"/>
      <c r="OJ129" s="9"/>
      <c r="OK129" s="9"/>
      <c r="OL129" s="9"/>
      <c r="OM129" s="9"/>
      <c r="ON129" s="9"/>
      <c r="OO129" s="9"/>
      <c r="OP129" s="9"/>
      <c r="OQ129" s="9"/>
      <c r="OR129" s="9"/>
      <c r="OS129" s="9"/>
      <c r="OT129" s="9"/>
      <c r="OU129" s="9"/>
      <c r="OV129" s="9"/>
      <c r="OW129" s="9"/>
      <c r="OX129" s="9"/>
      <c r="OY129" s="9"/>
      <c r="OZ129" s="9"/>
      <c r="PA129" s="9"/>
      <c r="PB129" s="9"/>
      <c r="PC129" s="9"/>
      <c r="PD129" s="9"/>
      <c r="PE129" s="9"/>
      <c r="PF129" s="9"/>
      <c r="PG129" s="9"/>
      <c r="PH129" s="9"/>
      <c r="PI129" s="9"/>
      <c r="PJ129" s="9"/>
      <c r="PK129" s="9"/>
      <c r="PL129" s="9"/>
      <c r="PM129" s="9"/>
      <c r="PN129" s="9"/>
      <c r="PO129" s="9"/>
      <c r="PP129" s="9"/>
      <c r="PQ129" s="9"/>
      <c r="PR129" s="9"/>
      <c r="PS129" s="9"/>
      <c r="PT129" s="9"/>
      <c r="PU129" s="9"/>
      <c r="PV129" s="9"/>
      <c r="PW129" s="9"/>
      <c r="PX129" s="9"/>
      <c r="PY129" s="9"/>
      <c r="PZ129" s="9"/>
      <c r="QA129" s="9"/>
      <c r="QB129" s="9"/>
      <c r="QC129" s="9"/>
      <c r="QD129" s="9"/>
      <c r="QE129" s="9"/>
      <c r="QF129" s="9"/>
      <c r="QG129" s="9"/>
      <c r="QH129" s="9"/>
      <c r="QI129" s="9"/>
      <c r="QJ129" s="9"/>
      <c r="QK129" s="9"/>
      <c r="QL129" s="9"/>
      <c r="QM129" s="9"/>
      <c r="QN129" s="9"/>
      <c r="QO129" s="9"/>
      <c r="QP129" s="9"/>
      <c r="QQ129" s="67"/>
      <c r="QR129" s="68"/>
      <c r="QS129" s="63"/>
      <c r="QT129" s="71"/>
    </row>
    <row r="130" spans="1:462" s="11" customFormat="1" ht="26" x14ac:dyDescent="0.2">
      <c r="A130" s="9">
        <v>10</v>
      </c>
      <c r="B130" s="9"/>
      <c r="C130" s="9"/>
      <c r="D130" s="9" t="s">
        <v>430</v>
      </c>
      <c r="E130" s="65" t="s">
        <v>538</v>
      </c>
      <c r="F130" s="65"/>
      <c r="G130" s="92" t="s">
        <v>2356</v>
      </c>
      <c r="H130" s="66" t="s">
        <v>1639</v>
      </c>
      <c r="I130" s="9" t="s">
        <v>1098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 t="s">
        <v>1098</v>
      </c>
      <c r="HD130" s="9"/>
      <c r="HE130" s="9" t="s">
        <v>1098</v>
      </c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9"/>
      <c r="IC130" s="9"/>
      <c r="ID130" s="9"/>
      <c r="IE130" s="9"/>
      <c r="IF130" s="9"/>
      <c r="IG130" s="9"/>
      <c r="IH130" s="9"/>
      <c r="II130" s="9"/>
      <c r="IJ130" s="9"/>
      <c r="IK130" s="9"/>
      <c r="IL130" s="9"/>
      <c r="IM130" s="9"/>
      <c r="IN130" s="9"/>
      <c r="IO130" s="9"/>
      <c r="IP130" s="9"/>
      <c r="IQ130" s="9"/>
      <c r="IR130" s="9"/>
      <c r="IS130" s="9"/>
      <c r="IT130" s="9"/>
      <c r="IU130" s="9"/>
      <c r="IV130" s="9"/>
      <c r="IW130" s="9"/>
      <c r="IX130" s="9"/>
      <c r="IY130" s="9"/>
      <c r="IZ130" s="9"/>
      <c r="JA130" s="9"/>
      <c r="JB130" s="9"/>
      <c r="JC130" s="9"/>
      <c r="JD130" s="9"/>
      <c r="JE130" s="9"/>
      <c r="JF130" s="9"/>
      <c r="JG130" s="9"/>
      <c r="JH130" s="9"/>
      <c r="JI130" s="9"/>
      <c r="JJ130" s="9"/>
      <c r="JK130" s="9"/>
      <c r="JL130" s="9"/>
      <c r="JM130" s="9"/>
      <c r="JN130" s="9"/>
      <c r="JO130" s="9"/>
      <c r="JP130" s="9"/>
      <c r="JQ130" s="9"/>
      <c r="JR130" s="9"/>
      <c r="JS130" s="9"/>
      <c r="JT130" s="9"/>
      <c r="JU130" s="9"/>
      <c r="JV130" s="9"/>
      <c r="JW130" s="9"/>
      <c r="JX130" s="9"/>
      <c r="JY130" s="9"/>
      <c r="JZ130" s="9"/>
      <c r="KA130" s="9"/>
      <c r="KB130" s="9"/>
      <c r="KC130" s="9"/>
      <c r="KD130" s="9"/>
      <c r="KE130" s="9"/>
      <c r="KF130" s="9"/>
      <c r="KG130" s="9"/>
      <c r="KH130" s="9"/>
      <c r="KI130" s="9"/>
      <c r="KJ130" s="9"/>
      <c r="KK130" s="9"/>
      <c r="KL130" s="9"/>
      <c r="KM130" s="9"/>
      <c r="KN130" s="9"/>
      <c r="KO130" s="9"/>
      <c r="KP130" s="9"/>
      <c r="KQ130" s="9"/>
      <c r="KR130" s="9"/>
      <c r="KS130" s="9"/>
      <c r="KT130" s="9"/>
      <c r="KU130" s="9"/>
      <c r="KV130" s="9"/>
      <c r="KW130" s="9"/>
      <c r="KX130" s="9"/>
      <c r="KY130" s="9"/>
      <c r="KZ130" s="9"/>
      <c r="LA130" s="9"/>
      <c r="LB130" s="9"/>
      <c r="LC130" s="9"/>
      <c r="LD130" s="9"/>
      <c r="LE130" s="9"/>
      <c r="LF130" s="9"/>
      <c r="LG130" s="9"/>
      <c r="LH130" s="9"/>
      <c r="LI130" s="9"/>
      <c r="LJ130" s="9"/>
      <c r="LK130" s="9"/>
      <c r="LL130" s="9"/>
      <c r="LM130" s="9"/>
      <c r="LN130" s="9"/>
      <c r="LO130" s="9"/>
      <c r="LP130" s="9"/>
      <c r="LQ130" s="9"/>
      <c r="LR130" s="9"/>
      <c r="LS130" s="9"/>
      <c r="LT130" s="9"/>
      <c r="LU130" s="9"/>
      <c r="LV130" s="9"/>
      <c r="LW130" s="9"/>
      <c r="LX130" s="9"/>
      <c r="LY130" s="9"/>
      <c r="LZ130" s="9"/>
      <c r="MA130" s="9"/>
      <c r="MB130" s="9"/>
      <c r="MC130" s="9"/>
      <c r="MD130" s="9"/>
      <c r="ME130" s="9"/>
      <c r="MF130" s="9"/>
      <c r="MG130" s="9"/>
      <c r="MH130" s="9"/>
      <c r="MI130" s="9"/>
      <c r="MJ130" s="9"/>
      <c r="MK130" s="9"/>
      <c r="ML130" s="9"/>
      <c r="MM130" s="9"/>
      <c r="MN130" s="9"/>
      <c r="MO130" s="9"/>
      <c r="MP130" s="9"/>
      <c r="MQ130" s="9"/>
      <c r="MR130" s="9"/>
      <c r="MS130" s="9"/>
      <c r="MT130" s="9"/>
      <c r="MU130" s="9"/>
      <c r="MV130" s="9"/>
      <c r="MW130" s="9"/>
      <c r="MX130" s="9"/>
      <c r="MY130" s="9"/>
      <c r="MZ130" s="9"/>
      <c r="NA130" s="9"/>
      <c r="NB130" s="9"/>
      <c r="NC130" s="9"/>
      <c r="ND130" s="9"/>
      <c r="NE130" s="9"/>
      <c r="NF130" s="9"/>
      <c r="NG130" s="9"/>
      <c r="NH130" s="9"/>
      <c r="NI130" s="9"/>
      <c r="NJ130" s="9"/>
      <c r="NK130" s="9"/>
      <c r="NL130" s="9"/>
      <c r="NM130" s="9"/>
      <c r="NN130" s="9"/>
      <c r="NO130" s="9"/>
      <c r="NP130" s="9"/>
      <c r="NQ130" s="9"/>
      <c r="NR130" s="9"/>
      <c r="NS130" s="9"/>
      <c r="NT130" s="9"/>
      <c r="NU130" s="9"/>
      <c r="NV130" s="9"/>
      <c r="NW130" s="9"/>
      <c r="NX130" s="9"/>
      <c r="NY130" s="9"/>
      <c r="NZ130" s="9"/>
      <c r="OA130" s="9"/>
      <c r="OB130" s="9"/>
      <c r="OC130" s="9"/>
      <c r="OD130" s="9"/>
      <c r="OE130" s="9"/>
      <c r="OF130" s="9"/>
      <c r="OG130" s="9"/>
      <c r="OH130" s="9"/>
      <c r="OI130" s="9"/>
      <c r="OJ130" s="9"/>
      <c r="OK130" s="9"/>
      <c r="OL130" s="9"/>
      <c r="OM130" s="9"/>
      <c r="ON130" s="9"/>
      <c r="OO130" s="9"/>
      <c r="OP130" s="9"/>
      <c r="OQ130" s="9"/>
      <c r="OR130" s="9"/>
      <c r="OS130" s="9"/>
      <c r="OT130" s="9"/>
      <c r="OU130" s="9"/>
      <c r="OV130" s="9"/>
      <c r="OW130" s="9"/>
      <c r="OX130" s="9"/>
      <c r="OY130" s="9"/>
      <c r="OZ130" s="9"/>
      <c r="PA130" s="9"/>
      <c r="PB130" s="9"/>
      <c r="PC130" s="9"/>
      <c r="PD130" s="9"/>
      <c r="PE130" s="9"/>
      <c r="PF130" s="9"/>
      <c r="PG130" s="9"/>
      <c r="PH130" s="9"/>
      <c r="PI130" s="9"/>
      <c r="PJ130" s="9"/>
      <c r="PK130" s="9"/>
      <c r="PL130" s="9"/>
      <c r="PM130" s="9"/>
      <c r="PN130" s="9"/>
      <c r="PO130" s="9"/>
      <c r="PP130" s="9"/>
      <c r="PQ130" s="9"/>
      <c r="PR130" s="9"/>
      <c r="PS130" s="9"/>
      <c r="PT130" s="9"/>
      <c r="PU130" s="9"/>
      <c r="PV130" s="9"/>
      <c r="PW130" s="9"/>
      <c r="PX130" s="9"/>
      <c r="PY130" s="9"/>
      <c r="PZ130" s="9"/>
      <c r="QA130" s="9"/>
      <c r="QB130" s="9"/>
      <c r="QC130" s="9"/>
      <c r="QD130" s="9"/>
      <c r="QE130" s="9"/>
      <c r="QF130" s="9"/>
      <c r="QG130" s="9"/>
      <c r="QH130" s="9"/>
      <c r="QI130" s="9"/>
      <c r="QJ130" s="9"/>
      <c r="QK130" s="9"/>
      <c r="QL130" s="9"/>
      <c r="QM130" s="9"/>
      <c r="QN130" s="9"/>
      <c r="QO130" s="9"/>
      <c r="QP130" s="9"/>
      <c r="QQ130" s="67"/>
      <c r="QR130" s="68"/>
      <c r="QS130" s="63"/>
      <c r="QT130" s="71"/>
    </row>
    <row r="131" spans="1:462" s="11" customFormat="1" x14ac:dyDescent="0.2">
      <c r="A131" s="9">
        <v>10</v>
      </c>
      <c r="B131" s="9"/>
      <c r="C131" s="9"/>
      <c r="D131" s="9" t="s">
        <v>431</v>
      </c>
      <c r="E131" s="65" t="s">
        <v>539</v>
      </c>
      <c r="F131" s="65"/>
      <c r="G131" s="91" t="s">
        <v>2357</v>
      </c>
      <c r="H131" s="66" t="s">
        <v>1640</v>
      </c>
      <c r="I131" s="9" t="s">
        <v>1098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 t="s">
        <v>1098</v>
      </c>
      <c r="HL131" s="9"/>
      <c r="HM131" s="9" t="s">
        <v>1098</v>
      </c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  <c r="IV131" s="9"/>
      <c r="IW131" s="9"/>
      <c r="IX131" s="9"/>
      <c r="IY131" s="9"/>
      <c r="IZ131" s="9"/>
      <c r="JA131" s="9"/>
      <c r="JB131" s="9"/>
      <c r="JC131" s="9"/>
      <c r="JD131" s="9"/>
      <c r="JE131" s="9"/>
      <c r="JF131" s="9"/>
      <c r="JG131" s="9"/>
      <c r="JH131" s="9"/>
      <c r="JI131" s="9"/>
      <c r="JJ131" s="9"/>
      <c r="JK131" s="9"/>
      <c r="JL131" s="9"/>
      <c r="JM131" s="9"/>
      <c r="JN131" s="9"/>
      <c r="JO131" s="9"/>
      <c r="JP131" s="9"/>
      <c r="JQ131" s="9"/>
      <c r="JR131" s="9"/>
      <c r="JS131" s="9"/>
      <c r="JT131" s="9"/>
      <c r="JU131" s="9"/>
      <c r="JV131" s="9"/>
      <c r="JW131" s="9"/>
      <c r="JX131" s="9"/>
      <c r="JY131" s="9"/>
      <c r="JZ131" s="9"/>
      <c r="KA131" s="9"/>
      <c r="KB131" s="9"/>
      <c r="KC131" s="9"/>
      <c r="KD131" s="9"/>
      <c r="KE131" s="9"/>
      <c r="KF131" s="9"/>
      <c r="KG131" s="9"/>
      <c r="KH131" s="9"/>
      <c r="KI131" s="9"/>
      <c r="KJ131" s="9"/>
      <c r="KK131" s="9"/>
      <c r="KL131" s="9"/>
      <c r="KM131" s="9"/>
      <c r="KN131" s="9"/>
      <c r="KO131" s="9"/>
      <c r="KP131" s="9"/>
      <c r="KQ131" s="9"/>
      <c r="KR131" s="9"/>
      <c r="KS131" s="9"/>
      <c r="KT131" s="9"/>
      <c r="KU131" s="9"/>
      <c r="KV131" s="9"/>
      <c r="KW131" s="9"/>
      <c r="KX131" s="9"/>
      <c r="KY131" s="9"/>
      <c r="KZ131" s="9"/>
      <c r="LA131" s="9"/>
      <c r="LB131" s="9"/>
      <c r="LC131" s="9"/>
      <c r="LD131" s="9"/>
      <c r="LE131" s="9"/>
      <c r="LF131" s="9"/>
      <c r="LG131" s="9"/>
      <c r="LH131" s="9"/>
      <c r="LI131" s="9"/>
      <c r="LJ131" s="9"/>
      <c r="LK131" s="9"/>
      <c r="LL131" s="9"/>
      <c r="LM131" s="9"/>
      <c r="LN131" s="9"/>
      <c r="LO131" s="9"/>
      <c r="LP131" s="9"/>
      <c r="LQ131" s="9"/>
      <c r="LR131" s="9"/>
      <c r="LS131" s="9"/>
      <c r="LT131" s="9"/>
      <c r="LU131" s="9"/>
      <c r="LV131" s="9"/>
      <c r="LW131" s="9"/>
      <c r="LX131" s="9"/>
      <c r="LY131" s="9"/>
      <c r="LZ131" s="9"/>
      <c r="MA131" s="9"/>
      <c r="MB131" s="9"/>
      <c r="MC131" s="9"/>
      <c r="MD131" s="9"/>
      <c r="ME131" s="9"/>
      <c r="MF131" s="9"/>
      <c r="MG131" s="9"/>
      <c r="MH131" s="9"/>
      <c r="MI131" s="9"/>
      <c r="MJ131" s="9"/>
      <c r="MK131" s="9"/>
      <c r="ML131" s="9"/>
      <c r="MM131" s="9"/>
      <c r="MN131" s="9"/>
      <c r="MO131" s="9"/>
      <c r="MP131" s="9"/>
      <c r="MQ131" s="9"/>
      <c r="MR131" s="9"/>
      <c r="MS131" s="9"/>
      <c r="MT131" s="9"/>
      <c r="MU131" s="9"/>
      <c r="MV131" s="9"/>
      <c r="MW131" s="9"/>
      <c r="MX131" s="9"/>
      <c r="MY131" s="9"/>
      <c r="MZ131" s="9"/>
      <c r="NA131" s="9"/>
      <c r="NB131" s="9"/>
      <c r="NC131" s="9"/>
      <c r="ND131" s="9"/>
      <c r="NE131" s="9"/>
      <c r="NF131" s="9"/>
      <c r="NG131" s="9"/>
      <c r="NH131" s="9"/>
      <c r="NI131" s="9"/>
      <c r="NJ131" s="9"/>
      <c r="NK131" s="9"/>
      <c r="NL131" s="9"/>
      <c r="NM131" s="9"/>
      <c r="NN131" s="9"/>
      <c r="NO131" s="9"/>
      <c r="NP131" s="9"/>
      <c r="NQ131" s="9"/>
      <c r="NR131" s="9"/>
      <c r="NS131" s="9"/>
      <c r="NT131" s="9"/>
      <c r="NU131" s="9"/>
      <c r="NV131" s="9"/>
      <c r="NW131" s="9"/>
      <c r="NX131" s="9"/>
      <c r="NY131" s="9"/>
      <c r="NZ131" s="9"/>
      <c r="OA131" s="9"/>
      <c r="OB131" s="9"/>
      <c r="OC131" s="9"/>
      <c r="OD131" s="9"/>
      <c r="OE131" s="9"/>
      <c r="OF131" s="9"/>
      <c r="OG131" s="9"/>
      <c r="OH131" s="9"/>
      <c r="OI131" s="9"/>
      <c r="OJ131" s="9"/>
      <c r="OK131" s="9"/>
      <c r="OL131" s="9"/>
      <c r="OM131" s="9"/>
      <c r="ON131" s="9"/>
      <c r="OO131" s="9"/>
      <c r="OP131" s="9"/>
      <c r="OQ131" s="9"/>
      <c r="OR131" s="9"/>
      <c r="OS131" s="9"/>
      <c r="OT131" s="9"/>
      <c r="OU131" s="9"/>
      <c r="OV131" s="9"/>
      <c r="OW131" s="9"/>
      <c r="OX131" s="9"/>
      <c r="OY131" s="9"/>
      <c r="OZ131" s="9"/>
      <c r="PA131" s="9"/>
      <c r="PB131" s="9"/>
      <c r="PC131" s="9"/>
      <c r="PD131" s="9"/>
      <c r="PE131" s="9"/>
      <c r="PF131" s="9"/>
      <c r="PG131" s="9"/>
      <c r="PH131" s="9"/>
      <c r="PI131" s="9"/>
      <c r="PJ131" s="9"/>
      <c r="PK131" s="9"/>
      <c r="PL131" s="9"/>
      <c r="PM131" s="9"/>
      <c r="PN131" s="9"/>
      <c r="PO131" s="9"/>
      <c r="PP131" s="9"/>
      <c r="PQ131" s="9"/>
      <c r="PR131" s="9"/>
      <c r="PS131" s="9"/>
      <c r="PT131" s="9"/>
      <c r="PU131" s="9"/>
      <c r="PV131" s="9"/>
      <c r="PW131" s="9"/>
      <c r="PX131" s="9"/>
      <c r="PY131" s="9"/>
      <c r="PZ131" s="9"/>
      <c r="QA131" s="9"/>
      <c r="QB131" s="9"/>
      <c r="QC131" s="9"/>
      <c r="QD131" s="9"/>
      <c r="QE131" s="9"/>
      <c r="QF131" s="9"/>
      <c r="QG131" s="9"/>
      <c r="QH131" s="9"/>
      <c r="QI131" s="9"/>
      <c r="QJ131" s="9"/>
      <c r="QK131" s="9"/>
      <c r="QL131" s="9"/>
      <c r="QM131" s="9"/>
      <c r="QN131" s="9"/>
      <c r="QO131" s="9"/>
      <c r="QP131" s="9"/>
      <c r="QQ131" s="67"/>
      <c r="QR131" s="68"/>
      <c r="QS131" s="63"/>
      <c r="QT131" s="71"/>
    </row>
    <row r="132" spans="1:462" s="11" customFormat="1" x14ac:dyDescent="0.2">
      <c r="A132" s="9">
        <v>10</v>
      </c>
      <c r="B132" s="9"/>
      <c r="C132" s="9"/>
      <c r="D132" s="9" t="s">
        <v>432</v>
      </c>
      <c r="E132" s="65" t="s">
        <v>540</v>
      </c>
      <c r="F132" s="65"/>
      <c r="G132" s="92" t="s">
        <v>2359</v>
      </c>
      <c r="H132" s="66" t="s">
        <v>1641</v>
      </c>
      <c r="I132" s="9" t="s">
        <v>1098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 t="s">
        <v>1098</v>
      </c>
      <c r="HL132" s="9"/>
      <c r="HM132" s="9" t="s">
        <v>1098</v>
      </c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  <c r="IW132" s="9"/>
      <c r="IX132" s="9"/>
      <c r="IY132" s="9"/>
      <c r="IZ132" s="9"/>
      <c r="JA132" s="9"/>
      <c r="JB132" s="9"/>
      <c r="JC132" s="9"/>
      <c r="JD132" s="9"/>
      <c r="JE132" s="9"/>
      <c r="JF132" s="9"/>
      <c r="JG132" s="9"/>
      <c r="JH132" s="9"/>
      <c r="JI132" s="9"/>
      <c r="JJ132" s="9"/>
      <c r="JK132" s="9"/>
      <c r="JL132" s="9"/>
      <c r="JM132" s="9"/>
      <c r="JN132" s="9"/>
      <c r="JO132" s="9"/>
      <c r="JP132" s="9"/>
      <c r="JQ132" s="9"/>
      <c r="JR132" s="9"/>
      <c r="JS132" s="9"/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  <c r="KK132" s="9"/>
      <c r="KL132" s="9"/>
      <c r="KM132" s="9"/>
      <c r="KN132" s="9"/>
      <c r="KO132" s="9"/>
      <c r="KP132" s="9"/>
      <c r="KQ132" s="9"/>
      <c r="KR132" s="9"/>
      <c r="KS132" s="9"/>
      <c r="KT132" s="9"/>
      <c r="KU132" s="9"/>
      <c r="KV132" s="9"/>
      <c r="KW132" s="9"/>
      <c r="KX132" s="9"/>
      <c r="KY132" s="9"/>
      <c r="KZ132" s="9"/>
      <c r="LA132" s="9"/>
      <c r="LB132" s="9"/>
      <c r="LC132" s="9"/>
      <c r="LD132" s="9"/>
      <c r="LE132" s="9"/>
      <c r="LF132" s="9"/>
      <c r="LG132" s="9"/>
      <c r="LH132" s="9"/>
      <c r="LI132" s="9"/>
      <c r="LJ132" s="9"/>
      <c r="LK132" s="9"/>
      <c r="LL132" s="9"/>
      <c r="LM132" s="9"/>
      <c r="LN132" s="9"/>
      <c r="LO132" s="9"/>
      <c r="LP132" s="9"/>
      <c r="LQ132" s="9"/>
      <c r="LR132" s="9"/>
      <c r="LS132" s="9"/>
      <c r="LT132" s="9"/>
      <c r="LU132" s="9"/>
      <c r="LV132" s="9"/>
      <c r="LW132" s="9"/>
      <c r="LX132" s="9"/>
      <c r="LY132" s="9"/>
      <c r="LZ132" s="9"/>
      <c r="MA132" s="9"/>
      <c r="MB132" s="9"/>
      <c r="MC132" s="9"/>
      <c r="MD132" s="9"/>
      <c r="ME132" s="9"/>
      <c r="MF132" s="9"/>
      <c r="MG132" s="9"/>
      <c r="MH132" s="9"/>
      <c r="MI132" s="9"/>
      <c r="MJ132" s="9"/>
      <c r="MK132" s="9"/>
      <c r="ML132" s="9"/>
      <c r="MM132" s="9"/>
      <c r="MN132" s="9"/>
      <c r="MO132" s="9"/>
      <c r="MP132" s="9"/>
      <c r="MQ132" s="9"/>
      <c r="MR132" s="9"/>
      <c r="MS132" s="9"/>
      <c r="MT132" s="9"/>
      <c r="MU132" s="9"/>
      <c r="MV132" s="9"/>
      <c r="MW132" s="9"/>
      <c r="MX132" s="9"/>
      <c r="MY132" s="9"/>
      <c r="MZ132" s="9"/>
      <c r="NA132" s="9"/>
      <c r="NB132" s="9"/>
      <c r="NC132" s="9"/>
      <c r="ND132" s="9"/>
      <c r="NE132" s="9"/>
      <c r="NF132" s="9"/>
      <c r="NG132" s="9"/>
      <c r="NH132" s="9"/>
      <c r="NI132" s="9"/>
      <c r="NJ132" s="9"/>
      <c r="NK132" s="9"/>
      <c r="NL132" s="9"/>
      <c r="NM132" s="9"/>
      <c r="NN132" s="9"/>
      <c r="NO132" s="9"/>
      <c r="NP132" s="9"/>
      <c r="NQ132" s="9"/>
      <c r="NR132" s="9"/>
      <c r="NS132" s="9"/>
      <c r="NT132" s="9"/>
      <c r="NU132" s="9"/>
      <c r="NV132" s="9"/>
      <c r="NW132" s="9"/>
      <c r="NX132" s="9"/>
      <c r="NY132" s="9"/>
      <c r="NZ132" s="9"/>
      <c r="OA132" s="9"/>
      <c r="OB132" s="9"/>
      <c r="OC132" s="9"/>
      <c r="OD132" s="9"/>
      <c r="OE132" s="9"/>
      <c r="OF132" s="9"/>
      <c r="OG132" s="9"/>
      <c r="OH132" s="9"/>
      <c r="OI132" s="9"/>
      <c r="OJ132" s="9"/>
      <c r="OK132" s="9"/>
      <c r="OL132" s="9"/>
      <c r="OM132" s="9"/>
      <c r="ON132" s="9"/>
      <c r="OO132" s="9"/>
      <c r="OP132" s="9"/>
      <c r="OQ132" s="9"/>
      <c r="OR132" s="9"/>
      <c r="OS132" s="9"/>
      <c r="OT132" s="9"/>
      <c r="OU132" s="9"/>
      <c r="OV132" s="9"/>
      <c r="OW132" s="9"/>
      <c r="OX132" s="9"/>
      <c r="OY132" s="9"/>
      <c r="OZ132" s="9"/>
      <c r="PA132" s="9"/>
      <c r="PB132" s="9"/>
      <c r="PC132" s="9"/>
      <c r="PD132" s="9"/>
      <c r="PE132" s="9"/>
      <c r="PF132" s="9"/>
      <c r="PG132" s="9"/>
      <c r="PH132" s="9"/>
      <c r="PI132" s="9"/>
      <c r="PJ132" s="9"/>
      <c r="PK132" s="9"/>
      <c r="PL132" s="9"/>
      <c r="PM132" s="9"/>
      <c r="PN132" s="9"/>
      <c r="PO132" s="9"/>
      <c r="PP132" s="9"/>
      <c r="PQ132" s="9"/>
      <c r="PR132" s="9"/>
      <c r="PS132" s="9"/>
      <c r="PT132" s="9"/>
      <c r="PU132" s="9"/>
      <c r="PV132" s="9"/>
      <c r="PW132" s="9"/>
      <c r="PX132" s="9"/>
      <c r="PY132" s="9"/>
      <c r="PZ132" s="9"/>
      <c r="QA132" s="9"/>
      <c r="QB132" s="9"/>
      <c r="QC132" s="9"/>
      <c r="QD132" s="9"/>
      <c r="QE132" s="9"/>
      <c r="QF132" s="9"/>
      <c r="QG132" s="9"/>
      <c r="QH132" s="9"/>
      <c r="QI132" s="9"/>
      <c r="QJ132" s="9"/>
      <c r="QK132" s="9"/>
      <c r="QL132" s="9"/>
      <c r="QM132" s="9"/>
      <c r="QN132" s="9"/>
      <c r="QO132" s="9"/>
      <c r="QP132" s="9"/>
      <c r="QQ132" s="67"/>
      <c r="QR132" s="68"/>
      <c r="QS132" s="63"/>
      <c r="QT132" s="71"/>
    </row>
    <row r="133" spans="1:462" s="11" customFormat="1" ht="26" x14ac:dyDescent="0.2">
      <c r="A133" s="9">
        <v>10</v>
      </c>
      <c r="B133" s="9"/>
      <c r="C133" s="9"/>
      <c r="D133" s="9" t="s">
        <v>433</v>
      </c>
      <c r="E133" s="65" t="s">
        <v>541</v>
      </c>
      <c r="F133" s="65"/>
      <c r="G133" s="91" t="s">
        <v>2360</v>
      </c>
      <c r="H133" s="66" t="s">
        <v>1642</v>
      </c>
      <c r="I133" s="9" t="s">
        <v>1098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 t="s">
        <v>1098</v>
      </c>
      <c r="HT133" s="9"/>
      <c r="HU133" s="9" t="s">
        <v>1098</v>
      </c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  <c r="KM133" s="9"/>
      <c r="KN133" s="9"/>
      <c r="KO133" s="9"/>
      <c r="KP133" s="9"/>
      <c r="KQ133" s="9"/>
      <c r="KR133" s="9"/>
      <c r="KS133" s="9"/>
      <c r="KT133" s="9"/>
      <c r="KU133" s="9"/>
      <c r="KV133" s="9"/>
      <c r="KW133" s="9"/>
      <c r="KX133" s="9"/>
      <c r="KY133" s="9"/>
      <c r="KZ133" s="9"/>
      <c r="LA133" s="9"/>
      <c r="LB133" s="9"/>
      <c r="LC133" s="9"/>
      <c r="LD133" s="9"/>
      <c r="LE133" s="9"/>
      <c r="LF133" s="9"/>
      <c r="LG133" s="9"/>
      <c r="LH133" s="9"/>
      <c r="LI133" s="9"/>
      <c r="LJ133" s="9"/>
      <c r="LK133" s="9"/>
      <c r="LL133" s="9"/>
      <c r="LM133" s="9"/>
      <c r="LN133" s="9"/>
      <c r="LO133" s="9"/>
      <c r="LP133" s="9"/>
      <c r="LQ133" s="9"/>
      <c r="LR133" s="9"/>
      <c r="LS133" s="9"/>
      <c r="LT133" s="9"/>
      <c r="LU133" s="9"/>
      <c r="LV133" s="9"/>
      <c r="LW133" s="9"/>
      <c r="LX133" s="9"/>
      <c r="LY133" s="9"/>
      <c r="LZ133" s="9"/>
      <c r="MA133" s="9"/>
      <c r="MB133" s="9"/>
      <c r="MC133" s="9"/>
      <c r="MD133" s="9"/>
      <c r="ME133" s="9"/>
      <c r="MF133" s="9"/>
      <c r="MG133" s="9"/>
      <c r="MH133" s="9"/>
      <c r="MI133" s="9"/>
      <c r="MJ133" s="9"/>
      <c r="MK133" s="9"/>
      <c r="ML133" s="9"/>
      <c r="MM133" s="9"/>
      <c r="MN133" s="9"/>
      <c r="MO133" s="9"/>
      <c r="MP133" s="9"/>
      <c r="MQ133" s="9"/>
      <c r="MR133" s="9"/>
      <c r="MS133" s="9"/>
      <c r="MT133" s="9"/>
      <c r="MU133" s="9"/>
      <c r="MV133" s="9"/>
      <c r="MW133" s="9"/>
      <c r="MX133" s="9"/>
      <c r="MY133" s="9"/>
      <c r="MZ133" s="9"/>
      <c r="NA133" s="9"/>
      <c r="NB133" s="9"/>
      <c r="NC133" s="9"/>
      <c r="ND133" s="9"/>
      <c r="NE133" s="9"/>
      <c r="NF133" s="9"/>
      <c r="NG133" s="9"/>
      <c r="NH133" s="9"/>
      <c r="NI133" s="9"/>
      <c r="NJ133" s="9"/>
      <c r="NK133" s="9"/>
      <c r="NL133" s="9"/>
      <c r="NM133" s="9"/>
      <c r="NN133" s="9"/>
      <c r="NO133" s="9"/>
      <c r="NP133" s="9"/>
      <c r="NQ133" s="9"/>
      <c r="NR133" s="9"/>
      <c r="NS133" s="9"/>
      <c r="NT133" s="9"/>
      <c r="NU133" s="9"/>
      <c r="NV133" s="9"/>
      <c r="NW133" s="9"/>
      <c r="NX133" s="9"/>
      <c r="NY133" s="9"/>
      <c r="NZ133" s="9"/>
      <c r="OA133" s="9"/>
      <c r="OB133" s="9"/>
      <c r="OC133" s="9"/>
      <c r="OD133" s="9"/>
      <c r="OE133" s="9"/>
      <c r="OF133" s="9"/>
      <c r="OG133" s="9"/>
      <c r="OH133" s="9"/>
      <c r="OI133" s="9"/>
      <c r="OJ133" s="9"/>
      <c r="OK133" s="9"/>
      <c r="OL133" s="9"/>
      <c r="OM133" s="9"/>
      <c r="ON133" s="9"/>
      <c r="OO133" s="9"/>
      <c r="OP133" s="9"/>
      <c r="OQ133" s="9"/>
      <c r="OR133" s="9"/>
      <c r="OS133" s="9"/>
      <c r="OT133" s="9"/>
      <c r="OU133" s="9"/>
      <c r="OV133" s="9"/>
      <c r="OW133" s="9"/>
      <c r="OX133" s="9"/>
      <c r="OY133" s="9"/>
      <c r="OZ133" s="9"/>
      <c r="PA133" s="9"/>
      <c r="PB133" s="9"/>
      <c r="PC133" s="9"/>
      <c r="PD133" s="9"/>
      <c r="PE133" s="9"/>
      <c r="PF133" s="9"/>
      <c r="PG133" s="9"/>
      <c r="PH133" s="9"/>
      <c r="PI133" s="9"/>
      <c r="PJ133" s="9"/>
      <c r="PK133" s="9"/>
      <c r="PL133" s="9"/>
      <c r="PM133" s="9"/>
      <c r="PN133" s="9"/>
      <c r="PO133" s="9"/>
      <c r="PP133" s="9"/>
      <c r="PQ133" s="9"/>
      <c r="PR133" s="9"/>
      <c r="PS133" s="9"/>
      <c r="PT133" s="9"/>
      <c r="PU133" s="9"/>
      <c r="PV133" s="9"/>
      <c r="PW133" s="9"/>
      <c r="PX133" s="9"/>
      <c r="PY133" s="9"/>
      <c r="PZ133" s="9"/>
      <c r="QA133" s="9"/>
      <c r="QB133" s="9"/>
      <c r="QC133" s="9"/>
      <c r="QD133" s="9"/>
      <c r="QE133" s="9"/>
      <c r="QF133" s="9"/>
      <c r="QG133" s="9"/>
      <c r="QH133" s="9"/>
      <c r="QI133" s="9"/>
      <c r="QJ133" s="9"/>
      <c r="QK133" s="9"/>
      <c r="QL133" s="9"/>
      <c r="QM133" s="9"/>
      <c r="QN133" s="9"/>
      <c r="QO133" s="9"/>
      <c r="QP133" s="9"/>
      <c r="QQ133" s="67"/>
      <c r="QR133" s="68"/>
      <c r="QS133" s="63"/>
      <c r="QT133" s="71"/>
    </row>
    <row r="134" spans="1:462" s="11" customFormat="1" ht="26" x14ac:dyDescent="0.2">
      <c r="A134" s="9">
        <v>10</v>
      </c>
      <c r="B134" s="9"/>
      <c r="C134" s="9"/>
      <c r="D134" s="9" t="s">
        <v>434</v>
      </c>
      <c r="E134" s="65" t="s">
        <v>542</v>
      </c>
      <c r="F134" s="65"/>
      <c r="G134" s="92" t="s">
        <v>2362</v>
      </c>
      <c r="H134" s="66" t="s">
        <v>1643</v>
      </c>
      <c r="I134" s="9" t="s">
        <v>1098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 t="s">
        <v>1098</v>
      </c>
      <c r="HT134" s="9"/>
      <c r="HU134" s="9" t="s">
        <v>1098</v>
      </c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  <c r="II134" s="9"/>
      <c r="IJ134" s="9"/>
      <c r="IK134" s="9"/>
      <c r="IL134" s="9"/>
      <c r="IM134" s="9"/>
      <c r="IN134" s="9"/>
      <c r="IO134" s="9"/>
      <c r="IP134" s="9"/>
      <c r="IQ134" s="9"/>
      <c r="IR134" s="9"/>
      <c r="IS134" s="9"/>
      <c r="IT134" s="9"/>
      <c r="IU134" s="9"/>
      <c r="IV134" s="9"/>
      <c r="IW134" s="9"/>
      <c r="IX134" s="9"/>
      <c r="IY134" s="9"/>
      <c r="IZ134" s="9"/>
      <c r="JA134" s="9"/>
      <c r="JB134" s="9"/>
      <c r="JC134" s="9"/>
      <c r="JD134" s="9"/>
      <c r="JE134" s="9"/>
      <c r="JF134" s="9"/>
      <c r="JG134" s="9"/>
      <c r="JH134" s="9"/>
      <c r="JI134" s="9"/>
      <c r="JJ134" s="9"/>
      <c r="JK134" s="9"/>
      <c r="JL134" s="9"/>
      <c r="JM134" s="9"/>
      <c r="JN134" s="9"/>
      <c r="JO134" s="9"/>
      <c r="JP134" s="9"/>
      <c r="JQ134" s="9"/>
      <c r="JR134" s="9"/>
      <c r="JS134" s="9"/>
      <c r="JT134" s="9"/>
      <c r="JU134" s="9"/>
      <c r="JV134" s="9"/>
      <c r="JW134" s="9"/>
      <c r="JX134" s="9"/>
      <c r="JY134" s="9"/>
      <c r="JZ134" s="9"/>
      <c r="KA134" s="9"/>
      <c r="KB134" s="9"/>
      <c r="KC134" s="9"/>
      <c r="KD134" s="9"/>
      <c r="KE134" s="9"/>
      <c r="KF134" s="9"/>
      <c r="KG134" s="9"/>
      <c r="KH134" s="9"/>
      <c r="KI134" s="9"/>
      <c r="KJ134" s="9"/>
      <c r="KK134" s="9"/>
      <c r="KL134" s="9"/>
      <c r="KM134" s="9"/>
      <c r="KN134" s="9"/>
      <c r="KO134" s="9"/>
      <c r="KP134" s="9"/>
      <c r="KQ134" s="9"/>
      <c r="KR134" s="9"/>
      <c r="KS134" s="9"/>
      <c r="KT134" s="9"/>
      <c r="KU134" s="9"/>
      <c r="KV134" s="9"/>
      <c r="KW134" s="9"/>
      <c r="KX134" s="9"/>
      <c r="KY134" s="9"/>
      <c r="KZ134" s="9"/>
      <c r="LA134" s="9"/>
      <c r="LB134" s="9"/>
      <c r="LC134" s="9"/>
      <c r="LD134" s="9"/>
      <c r="LE134" s="9"/>
      <c r="LF134" s="9"/>
      <c r="LG134" s="9"/>
      <c r="LH134" s="9"/>
      <c r="LI134" s="9"/>
      <c r="LJ134" s="9"/>
      <c r="LK134" s="9"/>
      <c r="LL134" s="9"/>
      <c r="LM134" s="9"/>
      <c r="LN134" s="9"/>
      <c r="LO134" s="9"/>
      <c r="LP134" s="9"/>
      <c r="LQ134" s="9"/>
      <c r="LR134" s="9"/>
      <c r="LS134" s="9"/>
      <c r="LT134" s="9"/>
      <c r="LU134" s="9"/>
      <c r="LV134" s="9"/>
      <c r="LW134" s="9"/>
      <c r="LX134" s="9"/>
      <c r="LY134" s="9"/>
      <c r="LZ134" s="9"/>
      <c r="MA134" s="9"/>
      <c r="MB134" s="9"/>
      <c r="MC134" s="9"/>
      <c r="MD134" s="9"/>
      <c r="ME134" s="9"/>
      <c r="MF134" s="9"/>
      <c r="MG134" s="9"/>
      <c r="MH134" s="9"/>
      <c r="MI134" s="9"/>
      <c r="MJ134" s="9"/>
      <c r="MK134" s="9"/>
      <c r="ML134" s="9"/>
      <c r="MM134" s="9"/>
      <c r="MN134" s="9"/>
      <c r="MO134" s="9"/>
      <c r="MP134" s="9"/>
      <c r="MQ134" s="9"/>
      <c r="MR134" s="9"/>
      <c r="MS134" s="9"/>
      <c r="MT134" s="9"/>
      <c r="MU134" s="9"/>
      <c r="MV134" s="9"/>
      <c r="MW134" s="9"/>
      <c r="MX134" s="9"/>
      <c r="MY134" s="9"/>
      <c r="MZ134" s="9"/>
      <c r="NA134" s="9"/>
      <c r="NB134" s="9"/>
      <c r="NC134" s="9"/>
      <c r="ND134" s="9"/>
      <c r="NE134" s="9"/>
      <c r="NF134" s="9"/>
      <c r="NG134" s="9"/>
      <c r="NH134" s="9"/>
      <c r="NI134" s="9"/>
      <c r="NJ134" s="9"/>
      <c r="NK134" s="9"/>
      <c r="NL134" s="9"/>
      <c r="NM134" s="9"/>
      <c r="NN134" s="9"/>
      <c r="NO134" s="9"/>
      <c r="NP134" s="9"/>
      <c r="NQ134" s="9"/>
      <c r="NR134" s="9"/>
      <c r="NS134" s="9"/>
      <c r="NT134" s="9"/>
      <c r="NU134" s="9"/>
      <c r="NV134" s="9"/>
      <c r="NW134" s="9"/>
      <c r="NX134" s="9"/>
      <c r="NY134" s="9"/>
      <c r="NZ134" s="9"/>
      <c r="OA134" s="9"/>
      <c r="OB134" s="9"/>
      <c r="OC134" s="9"/>
      <c r="OD134" s="9"/>
      <c r="OE134" s="9"/>
      <c r="OF134" s="9"/>
      <c r="OG134" s="9"/>
      <c r="OH134" s="9"/>
      <c r="OI134" s="9"/>
      <c r="OJ134" s="9"/>
      <c r="OK134" s="9"/>
      <c r="OL134" s="9"/>
      <c r="OM134" s="9"/>
      <c r="ON134" s="9"/>
      <c r="OO134" s="9"/>
      <c r="OP134" s="9"/>
      <c r="OQ134" s="9"/>
      <c r="OR134" s="9"/>
      <c r="OS134" s="9"/>
      <c r="OT134" s="9"/>
      <c r="OU134" s="9"/>
      <c r="OV134" s="9"/>
      <c r="OW134" s="9"/>
      <c r="OX134" s="9"/>
      <c r="OY134" s="9"/>
      <c r="OZ134" s="9"/>
      <c r="PA134" s="9"/>
      <c r="PB134" s="9"/>
      <c r="PC134" s="9"/>
      <c r="PD134" s="9"/>
      <c r="PE134" s="9"/>
      <c r="PF134" s="9"/>
      <c r="PG134" s="9"/>
      <c r="PH134" s="9"/>
      <c r="PI134" s="9"/>
      <c r="PJ134" s="9"/>
      <c r="PK134" s="9"/>
      <c r="PL134" s="9"/>
      <c r="PM134" s="9"/>
      <c r="PN134" s="9"/>
      <c r="PO134" s="9"/>
      <c r="PP134" s="9"/>
      <c r="PQ134" s="9"/>
      <c r="PR134" s="9"/>
      <c r="PS134" s="9"/>
      <c r="PT134" s="9"/>
      <c r="PU134" s="9"/>
      <c r="PV134" s="9"/>
      <c r="PW134" s="9"/>
      <c r="PX134" s="9"/>
      <c r="PY134" s="9"/>
      <c r="PZ134" s="9"/>
      <c r="QA134" s="9"/>
      <c r="QB134" s="9"/>
      <c r="QC134" s="9"/>
      <c r="QD134" s="9"/>
      <c r="QE134" s="9"/>
      <c r="QF134" s="9"/>
      <c r="QG134" s="9"/>
      <c r="QH134" s="9"/>
      <c r="QI134" s="9"/>
      <c r="QJ134" s="9"/>
      <c r="QK134" s="9"/>
      <c r="QL134" s="9"/>
      <c r="QM134" s="9"/>
      <c r="QN134" s="9"/>
      <c r="QO134" s="9"/>
      <c r="QP134" s="9"/>
      <c r="QQ134" s="67"/>
      <c r="QR134" s="68"/>
      <c r="QS134" s="63"/>
      <c r="QT134" s="71"/>
    </row>
    <row r="135" spans="1:462" s="11" customFormat="1" x14ac:dyDescent="0.2">
      <c r="A135" s="9">
        <v>10</v>
      </c>
      <c r="B135" s="9"/>
      <c r="C135" s="9"/>
      <c r="D135" s="9" t="s">
        <v>435</v>
      </c>
      <c r="E135" s="65" t="s">
        <v>543</v>
      </c>
      <c r="F135" s="65"/>
      <c r="G135" s="91" t="s">
        <v>2363</v>
      </c>
      <c r="H135" s="66" t="s">
        <v>1644</v>
      </c>
      <c r="I135" s="9" t="s">
        <v>1098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 t="s">
        <v>1098</v>
      </c>
      <c r="IB135" s="9"/>
      <c r="IC135" s="9" t="s">
        <v>1098</v>
      </c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  <c r="IW135" s="9"/>
      <c r="IX135" s="9"/>
      <c r="IY135" s="9"/>
      <c r="IZ135" s="9"/>
      <c r="JA135" s="9"/>
      <c r="JB135" s="9"/>
      <c r="JC135" s="9"/>
      <c r="JD135" s="9"/>
      <c r="JE135" s="9"/>
      <c r="JF135" s="9"/>
      <c r="JG135" s="9"/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  <c r="KM135" s="9"/>
      <c r="KN135" s="9"/>
      <c r="KO135" s="9"/>
      <c r="KP135" s="9"/>
      <c r="KQ135" s="9"/>
      <c r="KR135" s="9"/>
      <c r="KS135" s="9"/>
      <c r="KT135" s="9"/>
      <c r="KU135" s="9"/>
      <c r="KV135" s="9"/>
      <c r="KW135" s="9"/>
      <c r="KX135" s="9"/>
      <c r="KY135" s="9"/>
      <c r="KZ135" s="9"/>
      <c r="LA135" s="9"/>
      <c r="LB135" s="9"/>
      <c r="LC135" s="9"/>
      <c r="LD135" s="9"/>
      <c r="LE135" s="9"/>
      <c r="LF135" s="9"/>
      <c r="LG135" s="9"/>
      <c r="LH135" s="9"/>
      <c r="LI135" s="9"/>
      <c r="LJ135" s="9"/>
      <c r="LK135" s="9"/>
      <c r="LL135" s="9"/>
      <c r="LM135" s="9"/>
      <c r="LN135" s="9"/>
      <c r="LO135" s="9"/>
      <c r="LP135" s="9"/>
      <c r="LQ135" s="9"/>
      <c r="LR135" s="9"/>
      <c r="LS135" s="9"/>
      <c r="LT135" s="9"/>
      <c r="LU135" s="9"/>
      <c r="LV135" s="9"/>
      <c r="LW135" s="9"/>
      <c r="LX135" s="9"/>
      <c r="LY135" s="9"/>
      <c r="LZ135" s="9"/>
      <c r="MA135" s="9"/>
      <c r="MB135" s="9"/>
      <c r="MC135" s="9"/>
      <c r="MD135" s="9"/>
      <c r="ME135" s="9"/>
      <c r="MF135" s="9"/>
      <c r="MG135" s="9"/>
      <c r="MH135" s="9"/>
      <c r="MI135" s="9"/>
      <c r="MJ135" s="9"/>
      <c r="MK135" s="9"/>
      <c r="ML135" s="9"/>
      <c r="MM135" s="9"/>
      <c r="MN135" s="9"/>
      <c r="MO135" s="9"/>
      <c r="MP135" s="9"/>
      <c r="MQ135" s="9"/>
      <c r="MR135" s="9"/>
      <c r="MS135" s="9"/>
      <c r="MT135" s="9"/>
      <c r="MU135" s="9"/>
      <c r="MV135" s="9"/>
      <c r="MW135" s="9"/>
      <c r="MX135" s="9"/>
      <c r="MY135" s="9"/>
      <c r="MZ135" s="9"/>
      <c r="NA135" s="9"/>
      <c r="NB135" s="9"/>
      <c r="NC135" s="9"/>
      <c r="ND135" s="9"/>
      <c r="NE135" s="9"/>
      <c r="NF135" s="9"/>
      <c r="NG135" s="9"/>
      <c r="NH135" s="9"/>
      <c r="NI135" s="9"/>
      <c r="NJ135" s="9"/>
      <c r="NK135" s="9"/>
      <c r="NL135" s="9"/>
      <c r="NM135" s="9"/>
      <c r="NN135" s="9"/>
      <c r="NO135" s="9"/>
      <c r="NP135" s="9"/>
      <c r="NQ135" s="9"/>
      <c r="NR135" s="9"/>
      <c r="NS135" s="9"/>
      <c r="NT135" s="9"/>
      <c r="NU135" s="9"/>
      <c r="NV135" s="9"/>
      <c r="NW135" s="9"/>
      <c r="NX135" s="9"/>
      <c r="NY135" s="9"/>
      <c r="NZ135" s="9"/>
      <c r="OA135" s="9"/>
      <c r="OB135" s="9"/>
      <c r="OC135" s="9"/>
      <c r="OD135" s="9"/>
      <c r="OE135" s="9"/>
      <c r="OF135" s="9"/>
      <c r="OG135" s="9"/>
      <c r="OH135" s="9"/>
      <c r="OI135" s="9"/>
      <c r="OJ135" s="9"/>
      <c r="OK135" s="9"/>
      <c r="OL135" s="9"/>
      <c r="OM135" s="9"/>
      <c r="ON135" s="9"/>
      <c r="OO135" s="9"/>
      <c r="OP135" s="9"/>
      <c r="OQ135" s="9"/>
      <c r="OR135" s="9"/>
      <c r="OS135" s="9"/>
      <c r="OT135" s="9"/>
      <c r="OU135" s="9"/>
      <c r="OV135" s="9"/>
      <c r="OW135" s="9"/>
      <c r="OX135" s="9"/>
      <c r="OY135" s="9"/>
      <c r="OZ135" s="9"/>
      <c r="PA135" s="9"/>
      <c r="PB135" s="9"/>
      <c r="PC135" s="9"/>
      <c r="PD135" s="9"/>
      <c r="PE135" s="9"/>
      <c r="PF135" s="9"/>
      <c r="PG135" s="9"/>
      <c r="PH135" s="9"/>
      <c r="PI135" s="9"/>
      <c r="PJ135" s="9"/>
      <c r="PK135" s="9"/>
      <c r="PL135" s="9"/>
      <c r="PM135" s="9"/>
      <c r="PN135" s="9"/>
      <c r="PO135" s="9"/>
      <c r="PP135" s="9"/>
      <c r="PQ135" s="9"/>
      <c r="PR135" s="9"/>
      <c r="PS135" s="9"/>
      <c r="PT135" s="9"/>
      <c r="PU135" s="9"/>
      <c r="PV135" s="9"/>
      <c r="PW135" s="9"/>
      <c r="PX135" s="9"/>
      <c r="PY135" s="9"/>
      <c r="PZ135" s="9"/>
      <c r="QA135" s="9"/>
      <c r="QB135" s="9"/>
      <c r="QC135" s="9"/>
      <c r="QD135" s="9"/>
      <c r="QE135" s="9"/>
      <c r="QF135" s="9"/>
      <c r="QG135" s="9"/>
      <c r="QH135" s="9"/>
      <c r="QI135" s="9"/>
      <c r="QJ135" s="9"/>
      <c r="QK135" s="9"/>
      <c r="QL135" s="9"/>
      <c r="QM135" s="9"/>
      <c r="QN135" s="9"/>
      <c r="QO135" s="9"/>
      <c r="QP135" s="9"/>
      <c r="QQ135" s="67"/>
      <c r="QR135" s="68"/>
      <c r="QS135" s="63"/>
      <c r="QT135" s="71"/>
    </row>
    <row r="136" spans="1:462" s="11" customFormat="1" ht="26" x14ac:dyDescent="0.2">
      <c r="A136" s="9">
        <v>10</v>
      </c>
      <c r="B136" s="9"/>
      <c r="C136" s="9"/>
      <c r="D136" s="9" t="s">
        <v>436</v>
      </c>
      <c r="E136" s="65" t="s">
        <v>544</v>
      </c>
      <c r="F136" s="65"/>
      <c r="G136" s="92" t="s">
        <v>2365</v>
      </c>
      <c r="H136" s="66" t="s">
        <v>1645</v>
      </c>
      <c r="I136" s="9" t="s">
        <v>1098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 t="s">
        <v>1098</v>
      </c>
      <c r="IB136" s="9"/>
      <c r="IC136" s="9" t="s">
        <v>1098</v>
      </c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  <c r="IW136" s="9"/>
      <c r="IX136" s="9"/>
      <c r="IY136" s="9"/>
      <c r="IZ136" s="9"/>
      <c r="JA136" s="9"/>
      <c r="JB136" s="9"/>
      <c r="JC136" s="9"/>
      <c r="JD136" s="9"/>
      <c r="JE136" s="9"/>
      <c r="JF136" s="9"/>
      <c r="JG136" s="9"/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  <c r="KM136" s="9"/>
      <c r="KN136" s="9"/>
      <c r="KO136" s="9"/>
      <c r="KP136" s="9"/>
      <c r="KQ136" s="9"/>
      <c r="KR136" s="9"/>
      <c r="KS136" s="9"/>
      <c r="KT136" s="9"/>
      <c r="KU136" s="9"/>
      <c r="KV136" s="9"/>
      <c r="KW136" s="9"/>
      <c r="KX136" s="9"/>
      <c r="KY136" s="9"/>
      <c r="KZ136" s="9"/>
      <c r="LA136" s="9"/>
      <c r="LB136" s="9"/>
      <c r="LC136" s="9"/>
      <c r="LD136" s="9"/>
      <c r="LE136" s="9"/>
      <c r="LF136" s="9"/>
      <c r="LG136" s="9"/>
      <c r="LH136" s="9"/>
      <c r="LI136" s="9"/>
      <c r="LJ136" s="9"/>
      <c r="LK136" s="9"/>
      <c r="LL136" s="9"/>
      <c r="LM136" s="9"/>
      <c r="LN136" s="9"/>
      <c r="LO136" s="9"/>
      <c r="LP136" s="9"/>
      <c r="LQ136" s="9"/>
      <c r="LR136" s="9"/>
      <c r="LS136" s="9"/>
      <c r="LT136" s="9"/>
      <c r="LU136" s="9"/>
      <c r="LV136" s="9"/>
      <c r="LW136" s="9"/>
      <c r="LX136" s="9"/>
      <c r="LY136" s="9"/>
      <c r="LZ136" s="9"/>
      <c r="MA136" s="9"/>
      <c r="MB136" s="9"/>
      <c r="MC136" s="9"/>
      <c r="MD136" s="9"/>
      <c r="ME136" s="9"/>
      <c r="MF136" s="9"/>
      <c r="MG136" s="9"/>
      <c r="MH136" s="9"/>
      <c r="MI136" s="9"/>
      <c r="MJ136" s="9"/>
      <c r="MK136" s="9"/>
      <c r="ML136" s="9"/>
      <c r="MM136" s="9"/>
      <c r="MN136" s="9"/>
      <c r="MO136" s="9"/>
      <c r="MP136" s="9"/>
      <c r="MQ136" s="9"/>
      <c r="MR136" s="9"/>
      <c r="MS136" s="9"/>
      <c r="MT136" s="9"/>
      <c r="MU136" s="9"/>
      <c r="MV136" s="9"/>
      <c r="MW136" s="9"/>
      <c r="MX136" s="9"/>
      <c r="MY136" s="9"/>
      <c r="MZ136" s="9"/>
      <c r="NA136" s="9"/>
      <c r="NB136" s="9"/>
      <c r="NC136" s="9"/>
      <c r="ND136" s="9"/>
      <c r="NE136" s="9"/>
      <c r="NF136" s="9"/>
      <c r="NG136" s="9"/>
      <c r="NH136" s="9"/>
      <c r="NI136" s="9"/>
      <c r="NJ136" s="9"/>
      <c r="NK136" s="9"/>
      <c r="NL136" s="9"/>
      <c r="NM136" s="9"/>
      <c r="NN136" s="9"/>
      <c r="NO136" s="9"/>
      <c r="NP136" s="9"/>
      <c r="NQ136" s="9"/>
      <c r="NR136" s="9"/>
      <c r="NS136" s="9"/>
      <c r="NT136" s="9"/>
      <c r="NU136" s="9"/>
      <c r="NV136" s="9"/>
      <c r="NW136" s="9"/>
      <c r="NX136" s="9"/>
      <c r="NY136" s="9"/>
      <c r="NZ136" s="9"/>
      <c r="OA136" s="9"/>
      <c r="OB136" s="9"/>
      <c r="OC136" s="9"/>
      <c r="OD136" s="9"/>
      <c r="OE136" s="9"/>
      <c r="OF136" s="9"/>
      <c r="OG136" s="9"/>
      <c r="OH136" s="9"/>
      <c r="OI136" s="9"/>
      <c r="OJ136" s="9"/>
      <c r="OK136" s="9"/>
      <c r="OL136" s="9"/>
      <c r="OM136" s="9"/>
      <c r="ON136" s="9"/>
      <c r="OO136" s="9"/>
      <c r="OP136" s="9"/>
      <c r="OQ136" s="9"/>
      <c r="OR136" s="9"/>
      <c r="OS136" s="9"/>
      <c r="OT136" s="9"/>
      <c r="OU136" s="9"/>
      <c r="OV136" s="9"/>
      <c r="OW136" s="9"/>
      <c r="OX136" s="9"/>
      <c r="OY136" s="9"/>
      <c r="OZ136" s="9"/>
      <c r="PA136" s="9"/>
      <c r="PB136" s="9"/>
      <c r="PC136" s="9"/>
      <c r="PD136" s="9"/>
      <c r="PE136" s="9"/>
      <c r="PF136" s="9"/>
      <c r="PG136" s="9"/>
      <c r="PH136" s="9"/>
      <c r="PI136" s="9"/>
      <c r="PJ136" s="9"/>
      <c r="PK136" s="9"/>
      <c r="PL136" s="9"/>
      <c r="PM136" s="9"/>
      <c r="PN136" s="9"/>
      <c r="PO136" s="9"/>
      <c r="PP136" s="9"/>
      <c r="PQ136" s="9"/>
      <c r="PR136" s="9"/>
      <c r="PS136" s="9"/>
      <c r="PT136" s="9"/>
      <c r="PU136" s="9"/>
      <c r="PV136" s="9"/>
      <c r="PW136" s="9"/>
      <c r="PX136" s="9"/>
      <c r="PY136" s="9"/>
      <c r="PZ136" s="9"/>
      <c r="QA136" s="9"/>
      <c r="QB136" s="9"/>
      <c r="QC136" s="9"/>
      <c r="QD136" s="9"/>
      <c r="QE136" s="9"/>
      <c r="QF136" s="9"/>
      <c r="QG136" s="9"/>
      <c r="QH136" s="9"/>
      <c r="QI136" s="9"/>
      <c r="QJ136" s="9"/>
      <c r="QK136" s="9"/>
      <c r="QL136" s="9"/>
      <c r="QM136" s="9"/>
      <c r="QN136" s="9"/>
      <c r="QO136" s="9"/>
      <c r="QP136" s="9"/>
      <c r="QQ136" s="67"/>
      <c r="QR136" s="68"/>
      <c r="QS136" s="63"/>
      <c r="QT136" s="71"/>
    </row>
    <row r="137" spans="1:462" s="11" customFormat="1" x14ac:dyDescent="0.2">
      <c r="A137" s="9">
        <v>10</v>
      </c>
      <c r="B137" s="9"/>
      <c r="C137" s="9"/>
      <c r="D137" s="9" t="s">
        <v>437</v>
      </c>
      <c r="E137" s="65" t="s">
        <v>545</v>
      </c>
      <c r="F137" s="65"/>
      <c r="G137" s="91" t="s">
        <v>2366</v>
      </c>
      <c r="H137" s="66" t="s">
        <v>1646</v>
      </c>
      <c r="I137" s="9" t="s">
        <v>1098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 t="s">
        <v>1098</v>
      </c>
      <c r="IJ137" s="9"/>
      <c r="IK137" s="9" t="s">
        <v>1098</v>
      </c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  <c r="IW137" s="9"/>
      <c r="IX137" s="9"/>
      <c r="IY137" s="9"/>
      <c r="IZ137" s="9"/>
      <c r="JA137" s="9"/>
      <c r="JB137" s="9"/>
      <c r="JC137" s="9"/>
      <c r="JD137" s="9"/>
      <c r="JE137" s="9"/>
      <c r="JF137" s="9"/>
      <c r="JG137" s="9"/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  <c r="KM137" s="9"/>
      <c r="KN137" s="9"/>
      <c r="KO137" s="9"/>
      <c r="KP137" s="9"/>
      <c r="KQ137" s="9"/>
      <c r="KR137" s="9"/>
      <c r="KS137" s="9"/>
      <c r="KT137" s="9"/>
      <c r="KU137" s="9"/>
      <c r="KV137" s="9"/>
      <c r="KW137" s="9"/>
      <c r="KX137" s="9"/>
      <c r="KY137" s="9"/>
      <c r="KZ137" s="9"/>
      <c r="LA137" s="9"/>
      <c r="LB137" s="9"/>
      <c r="LC137" s="9"/>
      <c r="LD137" s="9"/>
      <c r="LE137" s="9"/>
      <c r="LF137" s="9"/>
      <c r="LG137" s="9"/>
      <c r="LH137" s="9"/>
      <c r="LI137" s="9"/>
      <c r="LJ137" s="9"/>
      <c r="LK137" s="9"/>
      <c r="LL137" s="9"/>
      <c r="LM137" s="9"/>
      <c r="LN137" s="9"/>
      <c r="LO137" s="9"/>
      <c r="LP137" s="9"/>
      <c r="LQ137" s="9"/>
      <c r="LR137" s="9"/>
      <c r="LS137" s="9"/>
      <c r="LT137" s="9"/>
      <c r="LU137" s="9"/>
      <c r="LV137" s="9"/>
      <c r="LW137" s="9"/>
      <c r="LX137" s="9"/>
      <c r="LY137" s="9"/>
      <c r="LZ137" s="9"/>
      <c r="MA137" s="9"/>
      <c r="MB137" s="9"/>
      <c r="MC137" s="9"/>
      <c r="MD137" s="9"/>
      <c r="ME137" s="9"/>
      <c r="MF137" s="9"/>
      <c r="MG137" s="9"/>
      <c r="MH137" s="9"/>
      <c r="MI137" s="9"/>
      <c r="MJ137" s="9"/>
      <c r="MK137" s="9"/>
      <c r="ML137" s="9"/>
      <c r="MM137" s="9"/>
      <c r="MN137" s="9"/>
      <c r="MO137" s="9"/>
      <c r="MP137" s="9"/>
      <c r="MQ137" s="9"/>
      <c r="MR137" s="9"/>
      <c r="MS137" s="9"/>
      <c r="MT137" s="9"/>
      <c r="MU137" s="9"/>
      <c r="MV137" s="9"/>
      <c r="MW137" s="9"/>
      <c r="MX137" s="9"/>
      <c r="MY137" s="9"/>
      <c r="MZ137" s="9"/>
      <c r="NA137" s="9"/>
      <c r="NB137" s="9"/>
      <c r="NC137" s="9"/>
      <c r="ND137" s="9"/>
      <c r="NE137" s="9"/>
      <c r="NF137" s="9"/>
      <c r="NG137" s="9"/>
      <c r="NH137" s="9"/>
      <c r="NI137" s="9"/>
      <c r="NJ137" s="9"/>
      <c r="NK137" s="9"/>
      <c r="NL137" s="9"/>
      <c r="NM137" s="9"/>
      <c r="NN137" s="9"/>
      <c r="NO137" s="9"/>
      <c r="NP137" s="9"/>
      <c r="NQ137" s="9"/>
      <c r="NR137" s="9"/>
      <c r="NS137" s="9"/>
      <c r="NT137" s="9"/>
      <c r="NU137" s="9"/>
      <c r="NV137" s="9"/>
      <c r="NW137" s="9"/>
      <c r="NX137" s="9"/>
      <c r="NY137" s="9"/>
      <c r="NZ137" s="9"/>
      <c r="OA137" s="9"/>
      <c r="OB137" s="9"/>
      <c r="OC137" s="9"/>
      <c r="OD137" s="9"/>
      <c r="OE137" s="9"/>
      <c r="OF137" s="9"/>
      <c r="OG137" s="9"/>
      <c r="OH137" s="9"/>
      <c r="OI137" s="9"/>
      <c r="OJ137" s="9"/>
      <c r="OK137" s="9"/>
      <c r="OL137" s="9"/>
      <c r="OM137" s="9"/>
      <c r="ON137" s="9"/>
      <c r="OO137" s="9"/>
      <c r="OP137" s="9"/>
      <c r="OQ137" s="9"/>
      <c r="OR137" s="9"/>
      <c r="OS137" s="9"/>
      <c r="OT137" s="9"/>
      <c r="OU137" s="9"/>
      <c r="OV137" s="9"/>
      <c r="OW137" s="9"/>
      <c r="OX137" s="9"/>
      <c r="OY137" s="9"/>
      <c r="OZ137" s="9"/>
      <c r="PA137" s="9"/>
      <c r="PB137" s="9"/>
      <c r="PC137" s="9"/>
      <c r="PD137" s="9"/>
      <c r="PE137" s="9"/>
      <c r="PF137" s="9"/>
      <c r="PG137" s="9"/>
      <c r="PH137" s="9"/>
      <c r="PI137" s="9"/>
      <c r="PJ137" s="9"/>
      <c r="PK137" s="9"/>
      <c r="PL137" s="9"/>
      <c r="PM137" s="9"/>
      <c r="PN137" s="9"/>
      <c r="PO137" s="9"/>
      <c r="PP137" s="9"/>
      <c r="PQ137" s="9"/>
      <c r="PR137" s="9"/>
      <c r="PS137" s="9"/>
      <c r="PT137" s="9"/>
      <c r="PU137" s="9"/>
      <c r="PV137" s="9"/>
      <c r="PW137" s="9"/>
      <c r="PX137" s="9"/>
      <c r="PY137" s="9"/>
      <c r="PZ137" s="9"/>
      <c r="QA137" s="9"/>
      <c r="QB137" s="9"/>
      <c r="QC137" s="9"/>
      <c r="QD137" s="9"/>
      <c r="QE137" s="9"/>
      <c r="QF137" s="9"/>
      <c r="QG137" s="9"/>
      <c r="QH137" s="9"/>
      <c r="QI137" s="9"/>
      <c r="QJ137" s="9"/>
      <c r="QK137" s="9"/>
      <c r="QL137" s="9"/>
      <c r="QM137" s="9"/>
      <c r="QN137" s="9"/>
      <c r="QO137" s="9"/>
      <c r="QP137" s="9"/>
      <c r="QQ137" s="67"/>
      <c r="QR137" s="68"/>
      <c r="QS137" s="63"/>
      <c r="QT137" s="71"/>
    </row>
    <row r="138" spans="1:462" s="11" customFormat="1" ht="26" x14ac:dyDescent="0.2">
      <c r="A138" s="9">
        <v>10</v>
      </c>
      <c r="B138" s="9"/>
      <c r="C138" s="9"/>
      <c r="D138" s="9" t="s">
        <v>760</v>
      </c>
      <c r="E138" s="65" t="s">
        <v>546</v>
      </c>
      <c r="F138" s="65"/>
      <c r="G138" s="92" t="s">
        <v>2368</v>
      </c>
      <c r="H138" s="66" t="s">
        <v>1647</v>
      </c>
      <c r="I138" s="9" t="s">
        <v>1098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  <c r="II138" s="9" t="s">
        <v>1098</v>
      </c>
      <c r="IJ138" s="9"/>
      <c r="IK138" s="9" t="s">
        <v>1098</v>
      </c>
      <c r="IL138" s="9"/>
      <c r="IM138" s="9"/>
      <c r="IN138" s="9"/>
      <c r="IO138" s="9"/>
      <c r="IP138" s="9"/>
      <c r="IQ138" s="9"/>
      <c r="IR138" s="9"/>
      <c r="IS138" s="9"/>
      <c r="IT138" s="9"/>
      <c r="IU138" s="9"/>
      <c r="IV138" s="9"/>
      <c r="IW138" s="9"/>
      <c r="IX138" s="9"/>
      <c r="IY138" s="9"/>
      <c r="IZ138" s="9"/>
      <c r="JA138" s="9"/>
      <c r="JB138" s="9"/>
      <c r="JC138" s="9"/>
      <c r="JD138" s="9"/>
      <c r="JE138" s="9"/>
      <c r="JF138" s="9"/>
      <c r="JG138" s="9"/>
      <c r="JH138" s="9"/>
      <c r="JI138" s="9"/>
      <c r="JJ138" s="9"/>
      <c r="JK138" s="9"/>
      <c r="JL138" s="9"/>
      <c r="JM138" s="9"/>
      <c r="JN138" s="9"/>
      <c r="JO138" s="9"/>
      <c r="JP138" s="9"/>
      <c r="JQ138" s="9"/>
      <c r="JR138" s="9"/>
      <c r="JS138" s="9"/>
      <c r="JT138" s="9"/>
      <c r="JU138" s="9"/>
      <c r="JV138" s="9"/>
      <c r="JW138" s="9"/>
      <c r="JX138" s="9"/>
      <c r="JY138" s="9"/>
      <c r="JZ138" s="9"/>
      <c r="KA138" s="9"/>
      <c r="KB138" s="9"/>
      <c r="KC138" s="9"/>
      <c r="KD138" s="9"/>
      <c r="KE138" s="9"/>
      <c r="KF138" s="9"/>
      <c r="KG138" s="9"/>
      <c r="KH138" s="9"/>
      <c r="KI138" s="9"/>
      <c r="KJ138" s="9"/>
      <c r="KK138" s="9"/>
      <c r="KL138" s="9"/>
      <c r="KM138" s="9"/>
      <c r="KN138" s="9"/>
      <c r="KO138" s="9"/>
      <c r="KP138" s="9"/>
      <c r="KQ138" s="9"/>
      <c r="KR138" s="9"/>
      <c r="KS138" s="9"/>
      <c r="KT138" s="9"/>
      <c r="KU138" s="9"/>
      <c r="KV138" s="9"/>
      <c r="KW138" s="9"/>
      <c r="KX138" s="9"/>
      <c r="KY138" s="9"/>
      <c r="KZ138" s="9"/>
      <c r="LA138" s="9"/>
      <c r="LB138" s="9"/>
      <c r="LC138" s="9"/>
      <c r="LD138" s="9"/>
      <c r="LE138" s="9"/>
      <c r="LF138" s="9"/>
      <c r="LG138" s="9"/>
      <c r="LH138" s="9"/>
      <c r="LI138" s="9"/>
      <c r="LJ138" s="9"/>
      <c r="LK138" s="9"/>
      <c r="LL138" s="9"/>
      <c r="LM138" s="9"/>
      <c r="LN138" s="9"/>
      <c r="LO138" s="9"/>
      <c r="LP138" s="9"/>
      <c r="LQ138" s="9"/>
      <c r="LR138" s="9"/>
      <c r="LS138" s="9"/>
      <c r="LT138" s="9"/>
      <c r="LU138" s="9"/>
      <c r="LV138" s="9"/>
      <c r="LW138" s="9"/>
      <c r="LX138" s="9"/>
      <c r="LY138" s="9"/>
      <c r="LZ138" s="9"/>
      <c r="MA138" s="9"/>
      <c r="MB138" s="9"/>
      <c r="MC138" s="9"/>
      <c r="MD138" s="9"/>
      <c r="ME138" s="9"/>
      <c r="MF138" s="9"/>
      <c r="MG138" s="9"/>
      <c r="MH138" s="9"/>
      <c r="MI138" s="9"/>
      <c r="MJ138" s="9"/>
      <c r="MK138" s="9"/>
      <c r="ML138" s="9"/>
      <c r="MM138" s="9"/>
      <c r="MN138" s="9"/>
      <c r="MO138" s="9"/>
      <c r="MP138" s="9"/>
      <c r="MQ138" s="9"/>
      <c r="MR138" s="9"/>
      <c r="MS138" s="9"/>
      <c r="MT138" s="9"/>
      <c r="MU138" s="9"/>
      <c r="MV138" s="9"/>
      <c r="MW138" s="9"/>
      <c r="MX138" s="9"/>
      <c r="MY138" s="9"/>
      <c r="MZ138" s="9"/>
      <c r="NA138" s="9"/>
      <c r="NB138" s="9"/>
      <c r="NC138" s="9"/>
      <c r="ND138" s="9"/>
      <c r="NE138" s="9"/>
      <c r="NF138" s="9"/>
      <c r="NG138" s="9"/>
      <c r="NH138" s="9"/>
      <c r="NI138" s="9"/>
      <c r="NJ138" s="9"/>
      <c r="NK138" s="9"/>
      <c r="NL138" s="9"/>
      <c r="NM138" s="9"/>
      <c r="NN138" s="9"/>
      <c r="NO138" s="9"/>
      <c r="NP138" s="9"/>
      <c r="NQ138" s="9"/>
      <c r="NR138" s="9"/>
      <c r="NS138" s="9"/>
      <c r="NT138" s="9"/>
      <c r="NU138" s="9"/>
      <c r="NV138" s="9"/>
      <c r="NW138" s="9"/>
      <c r="NX138" s="9"/>
      <c r="NY138" s="9"/>
      <c r="NZ138" s="9"/>
      <c r="OA138" s="9"/>
      <c r="OB138" s="9"/>
      <c r="OC138" s="9"/>
      <c r="OD138" s="9"/>
      <c r="OE138" s="9"/>
      <c r="OF138" s="9"/>
      <c r="OG138" s="9"/>
      <c r="OH138" s="9"/>
      <c r="OI138" s="9"/>
      <c r="OJ138" s="9"/>
      <c r="OK138" s="9"/>
      <c r="OL138" s="9"/>
      <c r="OM138" s="9"/>
      <c r="ON138" s="9"/>
      <c r="OO138" s="9"/>
      <c r="OP138" s="9"/>
      <c r="OQ138" s="9"/>
      <c r="OR138" s="9"/>
      <c r="OS138" s="9"/>
      <c r="OT138" s="9"/>
      <c r="OU138" s="9"/>
      <c r="OV138" s="9"/>
      <c r="OW138" s="9"/>
      <c r="OX138" s="9"/>
      <c r="OY138" s="9"/>
      <c r="OZ138" s="9"/>
      <c r="PA138" s="9"/>
      <c r="PB138" s="9"/>
      <c r="PC138" s="9"/>
      <c r="PD138" s="9"/>
      <c r="PE138" s="9"/>
      <c r="PF138" s="9"/>
      <c r="PG138" s="9"/>
      <c r="PH138" s="9"/>
      <c r="PI138" s="9"/>
      <c r="PJ138" s="9"/>
      <c r="PK138" s="9"/>
      <c r="PL138" s="9"/>
      <c r="PM138" s="9"/>
      <c r="PN138" s="9"/>
      <c r="PO138" s="9"/>
      <c r="PP138" s="9"/>
      <c r="PQ138" s="9"/>
      <c r="PR138" s="9"/>
      <c r="PS138" s="9"/>
      <c r="PT138" s="9"/>
      <c r="PU138" s="9"/>
      <c r="PV138" s="9"/>
      <c r="PW138" s="9"/>
      <c r="PX138" s="9"/>
      <c r="PY138" s="9"/>
      <c r="PZ138" s="9"/>
      <c r="QA138" s="9"/>
      <c r="QB138" s="9"/>
      <c r="QC138" s="9"/>
      <c r="QD138" s="9"/>
      <c r="QE138" s="9"/>
      <c r="QF138" s="9"/>
      <c r="QG138" s="9"/>
      <c r="QH138" s="9"/>
      <c r="QI138" s="9"/>
      <c r="QJ138" s="9"/>
      <c r="QK138" s="9"/>
      <c r="QL138" s="9"/>
      <c r="QM138" s="9"/>
      <c r="QN138" s="9"/>
      <c r="QO138" s="9"/>
      <c r="QP138" s="9"/>
      <c r="QQ138" s="67"/>
      <c r="QR138" s="68"/>
      <c r="QS138" s="63"/>
      <c r="QT138" s="71"/>
    </row>
    <row r="139" spans="1:462" s="11" customFormat="1" x14ac:dyDescent="0.2">
      <c r="A139" s="9">
        <v>10</v>
      </c>
      <c r="B139" s="9"/>
      <c r="C139" s="9"/>
      <c r="D139" s="9" t="s">
        <v>759</v>
      </c>
      <c r="E139" s="65" t="s">
        <v>223</v>
      </c>
      <c r="F139" s="65"/>
      <c r="G139" s="92" t="s">
        <v>2369</v>
      </c>
      <c r="H139" s="66" t="s">
        <v>1648</v>
      </c>
      <c r="I139" s="9" t="s">
        <v>1098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 t="s">
        <v>1649</v>
      </c>
      <c r="IJ139" s="9"/>
      <c r="IK139" s="9" t="s">
        <v>1649</v>
      </c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  <c r="IW139" s="9"/>
      <c r="IX139" s="9"/>
      <c r="IY139" s="9"/>
      <c r="IZ139" s="9"/>
      <c r="JA139" s="9"/>
      <c r="JB139" s="9"/>
      <c r="JC139" s="9"/>
      <c r="JD139" s="9"/>
      <c r="JE139" s="9"/>
      <c r="JF139" s="9"/>
      <c r="JG139" s="9"/>
      <c r="JH139" s="9"/>
      <c r="JI139" s="9"/>
      <c r="JJ139" s="9"/>
      <c r="JK139" s="9"/>
      <c r="JL139" s="9"/>
      <c r="JM139" s="9"/>
      <c r="JN139" s="9"/>
      <c r="JO139" s="9"/>
      <c r="JP139" s="9"/>
      <c r="JQ139" s="9"/>
      <c r="JR139" s="9"/>
      <c r="JS139" s="9"/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  <c r="KK139" s="9"/>
      <c r="KL139" s="9"/>
      <c r="KM139" s="9"/>
      <c r="KN139" s="9"/>
      <c r="KO139" s="9"/>
      <c r="KP139" s="9"/>
      <c r="KQ139" s="9"/>
      <c r="KR139" s="9"/>
      <c r="KS139" s="9"/>
      <c r="KT139" s="9"/>
      <c r="KU139" s="9"/>
      <c r="KV139" s="9"/>
      <c r="KW139" s="9"/>
      <c r="KX139" s="9"/>
      <c r="KY139" s="9"/>
      <c r="KZ139" s="9"/>
      <c r="LA139" s="9"/>
      <c r="LB139" s="9"/>
      <c r="LC139" s="9"/>
      <c r="LD139" s="9"/>
      <c r="LE139" s="9"/>
      <c r="LF139" s="9"/>
      <c r="LG139" s="9"/>
      <c r="LH139" s="9"/>
      <c r="LI139" s="9"/>
      <c r="LJ139" s="9"/>
      <c r="LK139" s="9"/>
      <c r="LL139" s="9"/>
      <c r="LM139" s="9"/>
      <c r="LN139" s="9"/>
      <c r="LO139" s="9"/>
      <c r="LP139" s="9"/>
      <c r="LQ139" s="9"/>
      <c r="LR139" s="9"/>
      <c r="LS139" s="9"/>
      <c r="LT139" s="9"/>
      <c r="LU139" s="9"/>
      <c r="LV139" s="9"/>
      <c r="LW139" s="9"/>
      <c r="LX139" s="9"/>
      <c r="LY139" s="9"/>
      <c r="LZ139" s="9"/>
      <c r="MA139" s="9"/>
      <c r="MB139" s="9"/>
      <c r="MC139" s="9"/>
      <c r="MD139" s="9"/>
      <c r="ME139" s="9"/>
      <c r="MF139" s="9"/>
      <c r="MG139" s="9"/>
      <c r="MH139" s="9"/>
      <c r="MI139" s="9"/>
      <c r="MJ139" s="9"/>
      <c r="MK139" s="9"/>
      <c r="ML139" s="9"/>
      <c r="MM139" s="9"/>
      <c r="MN139" s="9"/>
      <c r="MO139" s="9"/>
      <c r="MP139" s="9"/>
      <c r="MQ139" s="9"/>
      <c r="MR139" s="9"/>
      <c r="MS139" s="9"/>
      <c r="MT139" s="9"/>
      <c r="MU139" s="9"/>
      <c r="MV139" s="9"/>
      <c r="MW139" s="9"/>
      <c r="MX139" s="9"/>
      <c r="MY139" s="9"/>
      <c r="MZ139" s="9"/>
      <c r="NA139" s="9"/>
      <c r="NB139" s="9"/>
      <c r="NC139" s="9"/>
      <c r="ND139" s="9"/>
      <c r="NE139" s="9"/>
      <c r="NF139" s="9"/>
      <c r="NG139" s="9"/>
      <c r="NH139" s="9"/>
      <c r="NI139" s="9"/>
      <c r="NJ139" s="9"/>
      <c r="NK139" s="9"/>
      <c r="NL139" s="9"/>
      <c r="NM139" s="9"/>
      <c r="NN139" s="9"/>
      <c r="NO139" s="9"/>
      <c r="NP139" s="9"/>
      <c r="NQ139" s="9"/>
      <c r="NR139" s="9"/>
      <c r="NS139" s="9"/>
      <c r="NT139" s="9"/>
      <c r="NU139" s="9"/>
      <c r="NV139" s="9"/>
      <c r="NW139" s="9"/>
      <c r="NX139" s="9"/>
      <c r="NY139" s="9"/>
      <c r="NZ139" s="9"/>
      <c r="OA139" s="9"/>
      <c r="OB139" s="9"/>
      <c r="OC139" s="9"/>
      <c r="OD139" s="9"/>
      <c r="OE139" s="9"/>
      <c r="OF139" s="9"/>
      <c r="OG139" s="9"/>
      <c r="OH139" s="9"/>
      <c r="OI139" s="9"/>
      <c r="OJ139" s="9"/>
      <c r="OK139" s="9"/>
      <c r="OL139" s="9"/>
      <c r="OM139" s="9"/>
      <c r="ON139" s="9"/>
      <c r="OO139" s="9"/>
      <c r="OP139" s="9"/>
      <c r="OQ139" s="9"/>
      <c r="OR139" s="9"/>
      <c r="OS139" s="9"/>
      <c r="OT139" s="9"/>
      <c r="OU139" s="9"/>
      <c r="OV139" s="9"/>
      <c r="OW139" s="9"/>
      <c r="OX139" s="9"/>
      <c r="OY139" s="9"/>
      <c r="OZ139" s="9"/>
      <c r="PA139" s="9"/>
      <c r="PB139" s="9"/>
      <c r="PC139" s="9"/>
      <c r="PD139" s="9"/>
      <c r="PE139" s="9"/>
      <c r="PF139" s="9"/>
      <c r="PG139" s="9"/>
      <c r="PH139" s="9"/>
      <c r="PI139" s="9"/>
      <c r="PJ139" s="9"/>
      <c r="PK139" s="9"/>
      <c r="PL139" s="9"/>
      <c r="PM139" s="9"/>
      <c r="PN139" s="9"/>
      <c r="PO139" s="9"/>
      <c r="PP139" s="9"/>
      <c r="PQ139" s="9"/>
      <c r="PR139" s="9"/>
      <c r="PS139" s="9"/>
      <c r="PT139" s="9"/>
      <c r="PU139" s="9"/>
      <c r="PV139" s="9"/>
      <c r="PW139" s="9"/>
      <c r="PX139" s="9"/>
      <c r="PY139" s="9"/>
      <c r="PZ139" s="9"/>
      <c r="QA139" s="9"/>
      <c r="QB139" s="9"/>
      <c r="QC139" s="9"/>
      <c r="QD139" s="9"/>
      <c r="QE139" s="9"/>
      <c r="QF139" s="9"/>
      <c r="QG139" s="9"/>
      <c r="QH139" s="9"/>
      <c r="QI139" s="9"/>
      <c r="QJ139" s="9"/>
      <c r="QK139" s="9"/>
      <c r="QL139" s="9"/>
      <c r="QM139" s="9"/>
      <c r="QN139" s="9"/>
      <c r="QO139" s="9"/>
      <c r="QP139" s="9"/>
      <c r="QQ139" s="67"/>
      <c r="QR139" s="68"/>
      <c r="QS139" s="63"/>
      <c r="QT139" s="71"/>
    </row>
    <row r="140" spans="1:462" s="11" customFormat="1" x14ac:dyDescent="0.2">
      <c r="A140" s="9">
        <v>10</v>
      </c>
      <c r="B140" s="9"/>
      <c r="C140" s="9"/>
      <c r="D140" s="9" t="s">
        <v>439</v>
      </c>
      <c r="E140" s="65" t="s">
        <v>547</v>
      </c>
      <c r="F140" s="65"/>
      <c r="G140" s="91" t="s">
        <v>2370</v>
      </c>
      <c r="H140" s="66" t="s">
        <v>1650</v>
      </c>
      <c r="I140" s="9" t="s">
        <v>1098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 t="s">
        <v>1098</v>
      </c>
      <c r="IR140" s="9"/>
      <c r="IS140" s="9" t="s">
        <v>1098</v>
      </c>
      <c r="IT140" s="9"/>
      <c r="IU140" s="9"/>
      <c r="IV140" s="9"/>
      <c r="IW140" s="9"/>
      <c r="IX140" s="9"/>
      <c r="IY140" s="9"/>
      <c r="IZ140" s="9"/>
      <c r="JA140" s="9"/>
      <c r="JB140" s="9"/>
      <c r="JC140" s="9"/>
      <c r="JD140" s="9"/>
      <c r="JE140" s="9"/>
      <c r="JF140" s="9"/>
      <c r="JG140" s="9"/>
      <c r="JH140" s="9"/>
      <c r="JI140" s="9"/>
      <c r="JJ140" s="9"/>
      <c r="JK140" s="9"/>
      <c r="JL140" s="9"/>
      <c r="JM140" s="9"/>
      <c r="JN140" s="9"/>
      <c r="JO140" s="9"/>
      <c r="JP140" s="9"/>
      <c r="JQ140" s="9"/>
      <c r="JR140" s="9"/>
      <c r="JS140" s="9"/>
      <c r="JT140" s="9"/>
      <c r="JU140" s="9"/>
      <c r="JV140" s="9"/>
      <c r="JW140" s="9"/>
      <c r="JX140" s="9"/>
      <c r="JY140" s="9"/>
      <c r="JZ140" s="9"/>
      <c r="KA140" s="9"/>
      <c r="KB140" s="9"/>
      <c r="KC140" s="9"/>
      <c r="KD140" s="9"/>
      <c r="KE140" s="9"/>
      <c r="KF140" s="9"/>
      <c r="KG140" s="9"/>
      <c r="KH140" s="9"/>
      <c r="KI140" s="9"/>
      <c r="KJ140" s="9"/>
      <c r="KK140" s="9"/>
      <c r="KL140" s="9"/>
      <c r="KM140" s="9"/>
      <c r="KN140" s="9"/>
      <c r="KO140" s="9"/>
      <c r="KP140" s="9"/>
      <c r="KQ140" s="9"/>
      <c r="KR140" s="9"/>
      <c r="KS140" s="9"/>
      <c r="KT140" s="9"/>
      <c r="KU140" s="9"/>
      <c r="KV140" s="9"/>
      <c r="KW140" s="9"/>
      <c r="KX140" s="9"/>
      <c r="KY140" s="9"/>
      <c r="KZ140" s="9"/>
      <c r="LA140" s="9"/>
      <c r="LB140" s="9"/>
      <c r="LC140" s="9"/>
      <c r="LD140" s="9"/>
      <c r="LE140" s="9"/>
      <c r="LF140" s="9"/>
      <c r="LG140" s="9"/>
      <c r="LH140" s="9"/>
      <c r="LI140" s="9"/>
      <c r="LJ140" s="9"/>
      <c r="LK140" s="9"/>
      <c r="LL140" s="9"/>
      <c r="LM140" s="9"/>
      <c r="LN140" s="9"/>
      <c r="LO140" s="9"/>
      <c r="LP140" s="9"/>
      <c r="LQ140" s="9"/>
      <c r="LR140" s="9"/>
      <c r="LS140" s="9"/>
      <c r="LT140" s="9"/>
      <c r="LU140" s="9"/>
      <c r="LV140" s="9"/>
      <c r="LW140" s="9"/>
      <c r="LX140" s="9"/>
      <c r="LY140" s="9"/>
      <c r="LZ140" s="9"/>
      <c r="MA140" s="9"/>
      <c r="MB140" s="9"/>
      <c r="MC140" s="9"/>
      <c r="MD140" s="9"/>
      <c r="ME140" s="9"/>
      <c r="MF140" s="9"/>
      <c r="MG140" s="9"/>
      <c r="MH140" s="9"/>
      <c r="MI140" s="9"/>
      <c r="MJ140" s="9"/>
      <c r="MK140" s="9"/>
      <c r="ML140" s="9"/>
      <c r="MM140" s="9"/>
      <c r="MN140" s="9"/>
      <c r="MO140" s="9"/>
      <c r="MP140" s="9"/>
      <c r="MQ140" s="9"/>
      <c r="MR140" s="9"/>
      <c r="MS140" s="9"/>
      <c r="MT140" s="9"/>
      <c r="MU140" s="9"/>
      <c r="MV140" s="9"/>
      <c r="MW140" s="9"/>
      <c r="MX140" s="9"/>
      <c r="MY140" s="9"/>
      <c r="MZ140" s="9"/>
      <c r="NA140" s="9"/>
      <c r="NB140" s="9"/>
      <c r="NC140" s="9"/>
      <c r="ND140" s="9"/>
      <c r="NE140" s="9"/>
      <c r="NF140" s="9"/>
      <c r="NG140" s="9"/>
      <c r="NH140" s="9"/>
      <c r="NI140" s="9"/>
      <c r="NJ140" s="9"/>
      <c r="NK140" s="9"/>
      <c r="NL140" s="9"/>
      <c r="NM140" s="9"/>
      <c r="NN140" s="9"/>
      <c r="NO140" s="9"/>
      <c r="NP140" s="9"/>
      <c r="NQ140" s="9"/>
      <c r="NR140" s="9"/>
      <c r="NS140" s="9"/>
      <c r="NT140" s="9"/>
      <c r="NU140" s="9"/>
      <c r="NV140" s="9"/>
      <c r="NW140" s="9"/>
      <c r="NX140" s="9"/>
      <c r="NY140" s="9"/>
      <c r="NZ140" s="9"/>
      <c r="OA140" s="9"/>
      <c r="OB140" s="9"/>
      <c r="OC140" s="9"/>
      <c r="OD140" s="9"/>
      <c r="OE140" s="9"/>
      <c r="OF140" s="9"/>
      <c r="OG140" s="9"/>
      <c r="OH140" s="9"/>
      <c r="OI140" s="9"/>
      <c r="OJ140" s="9"/>
      <c r="OK140" s="9"/>
      <c r="OL140" s="9"/>
      <c r="OM140" s="9"/>
      <c r="ON140" s="9"/>
      <c r="OO140" s="9"/>
      <c r="OP140" s="9"/>
      <c r="OQ140" s="9"/>
      <c r="OR140" s="9"/>
      <c r="OS140" s="9"/>
      <c r="OT140" s="9"/>
      <c r="OU140" s="9"/>
      <c r="OV140" s="9"/>
      <c r="OW140" s="9"/>
      <c r="OX140" s="9"/>
      <c r="OY140" s="9"/>
      <c r="OZ140" s="9"/>
      <c r="PA140" s="9"/>
      <c r="PB140" s="9"/>
      <c r="PC140" s="9"/>
      <c r="PD140" s="9"/>
      <c r="PE140" s="9"/>
      <c r="PF140" s="9"/>
      <c r="PG140" s="9"/>
      <c r="PH140" s="9"/>
      <c r="PI140" s="9"/>
      <c r="PJ140" s="9"/>
      <c r="PK140" s="9"/>
      <c r="PL140" s="9"/>
      <c r="PM140" s="9"/>
      <c r="PN140" s="9"/>
      <c r="PO140" s="9"/>
      <c r="PP140" s="9"/>
      <c r="PQ140" s="9"/>
      <c r="PR140" s="9"/>
      <c r="PS140" s="9"/>
      <c r="PT140" s="9"/>
      <c r="PU140" s="9"/>
      <c r="PV140" s="9"/>
      <c r="PW140" s="9"/>
      <c r="PX140" s="9"/>
      <c r="PY140" s="9"/>
      <c r="PZ140" s="9"/>
      <c r="QA140" s="9"/>
      <c r="QB140" s="9"/>
      <c r="QC140" s="9"/>
      <c r="QD140" s="9"/>
      <c r="QE140" s="9"/>
      <c r="QF140" s="9"/>
      <c r="QG140" s="9"/>
      <c r="QH140" s="9"/>
      <c r="QI140" s="9"/>
      <c r="QJ140" s="9"/>
      <c r="QK140" s="9"/>
      <c r="QL140" s="9"/>
      <c r="QM140" s="9"/>
      <c r="QN140" s="9"/>
      <c r="QO140" s="9"/>
      <c r="QP140" s="9"/>
      <c r="QQ140" s="67"/>
      <c r="QR140" s="68"/>
      <c r="QS140" s="63"/>
      <c r="QT140" s="71"/>
    </row>
    <row r="141" spans="1:462" s="11" customFormat="1" ht="26" x14ac:dyDescent="0.2">
      <c r="A141" s="9">
        <v>10</v>
      </c>
      <c r="B141" s="9"/>
      <c r="C141" s="9"/>
      <c r="D141" s="9" t="s">
        <v>440</v>
      </c>
      <c r="E141" s="65" t="s">
        <v>548</v>
      </c>
      <c r="F141" s="65"/>
      <c r="G141" s="92" t="s">
        <v>2372</v>
      </c>
      <c r="H141" s="66" t="s">
        <v>1651</v>
      </c>
      <c r="I141" s="9" t="s">
        <v>1098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 t="s">
        <v>1098</v>
      </c>
      <c r="IR141" s="9"/>
      <c r="IS141" s="9" t="s">
        <v>1098</v>
      </c>
      <c r="IT141" s="9"/>
      <c r="IU141" s="9"/>
      <c r="IV141" s="9"/>
      <c r="IW141" s="9"/>
      <c r="IX141" s="9"/>
      <c r="IY141" s="9"/>
      <c r="IZ141" s="9"/>
      <c r="JA141" s="9"/>
      <c r="JB141" s="9"/>
      <c r="JC141" s="9"/>
      <c r="JD141" s="9"/>
      <c r="JE141" s="9"/>
      <c r="JF141" s="9"/>
      <c r="JG141" s="9"/>
      <c r="JH141" s="9"/>
      <c r="JI141" s="9"/>
      <c r="JJ141" s="9"/>
      <c r="JK141" s="9"/>
      <c r="JL141" s="9"/>
      <c r="JM141" s="9"/>
      <c r="JN141" s="9"/>
      <c r="JO141" s="9"/>
      <c r="JP141" s="9"/>
      <c r="JQ141" s="9"/>
      <c r="JR141" s="9"/>
      <c r="JS141" s="9"/>
      <c r="JT141" s="9"/>
      <c r="JU141" s="9"/>
      <c r="JV141" s="9"/>
      <c r="JW141" s="9"/>
      <c r="JX141" s="9"/>
      <c r="JY141" s="9"/>
      <c r="JZ141" s="9"/>
      <c r="KA141" s="9"/>
      <c r="KB141" s="9"/>
      <c r="KC141" s="9"/>
      <c r="KD141" s="9"/>
      <c r="KE141" s="9"/>
      <c r="KF141" s="9"/>
      <c r="KG141" s="9"/>
      <c r="KH141" s="9"/>
      <c r="KI141" s="9"/>
      <c r="KJ141" s="9"/>
      <c r="KK141" s="9"/>
      <c r="KL141" s="9"/>
      <c r="KM141" s="9"/>
      <c r="KN141" s="9"/>
      <c r="KO141" s="9"/>
      <c r="KP141" s="9"/>
      <c r="KQ141" s="9"/>
      <c r="KR141" s="9"/>
      <c r="KS141" s="9"/>
      <c r="KT141" s="9"/>
      <c r="KU141" s="9"/>
      <c r="KV141" s="9"/>
      <c r="KW141" s="9"/>
      <c r="KX141" s="9"/>
      <c r="KY141" s="9"/>
      <c r="KZ141" s="9"/>
      <c r="LA141" s="9"/>
      <c r="LB141" s="9"/>
      <c r="LC141" s="9"/>
      <c r="LD141" s="9"/>
      <c r="LE141" s="9"/>
      <c r="LF141" s="9"/>
      <c r="LG141" s="9"/>
      <c r="LH141" s="9"/>
      <c r="LI141" s="9"/>
      <c r="LJ141" s="9"/>
      <c r="LK141" s="9"/>
      <c r="LL141" s="9"/>
      <c r="LM141" s="9"/>
      <c r="LN141" s="9"/>
      <c r="LO141" s="9"/>
      <c r="LP141" s="9"/>
      <c r="LQ141" s="9"/>
      <c r="LR141" s="9"/>
      <c r="LS141" s="9"/>
      <c r="LT141" s="9"/>
      <c r="LU141" s="9"/>
      <c r="LV141" s="9"/>
      <c r="LW141" s="9"/>
      <c r="LX141" s="9"/>
      <c r="LY141" s="9"/>
      <c r="LZ141" s="9"/>
      <c r="MA141" s="9"/>
      <c r="MB141" s="9"/>
      <c r="MC141" s="9"/>
      <c r="MD141" s="9"/>
      <c r="ME141" s="9"/>
      <c r="MF141" s="9"/>
      <c r="MG141" s="9"/>
      <c r="MH141" s="9"/>
      <c r="MI141" s="9"/>
      <c r="MJ141" s="9"/>
      <c r="MK141" s="9"/>
      <c r="ML141" s="9"/>
      <c r="MM141" s="9"/>
      <c r="MN141" s="9"/>
      <c r="MO141" s="9"/>
      <c r="MP141" s="9"/>
      <c r="MQ141" s="9"/>
      <c r="MR141" s="9"/>
      <c r="MS141" s="9"/>
      <c r="MT141" s="9"/>
      <c r="MU141" s="9"/>
      <c r="MV141" s="9"/>
      <c r="MW141" s="9"/>
      <c r="MX141" s="9"/>
      <c r="MY141" s="9"/>
      <c r="MZ141" s="9"/>
      <c r="NA141" s="9"/>
      <c r="NB141" s="9"/>
      <c r="NC141" s="9"/>
      <c r="ND141" s="9"/>
      <c r="NE141" s="9"/>
      <c r="NF141" s="9"/>
      <c r="NG141" s="9"/>
      <c r="NH141" s="9"/>
      <c r="NI141" s="9"/>
      <c r="NJ141" s="9"/>
      <c r="NK141" s="9"/>
      <c r="NL141" s="9"/>
      <c r="NM141" s="9"/>
      <c r="NN141" s="9"/>
      <c r="NO141" s="9"/>
      <c r="NP141" s="9"/>
      <c r="NQ141" s="9"/>
      <c r="NR141" s="9"/>
      <c r="NS141" s="9"/>
      <c r="NT141" s="9"/>
      <c r="NU141" s="9"/>
      <c r="NV141" s="9"/>
      <c r="NW141" s="9"/>
      <c r="NX141" s="9"/>
      <c r="NY141" s="9"/>
      <c r="NZ141" s="9"/>
      <c r="OA141" s="9"/>
      <c r="OB141" s="9"/>
      <c r="OC141" s="9"/>
      <c r="OD141" s="9"/>
      <c r="OE141" s="9"/>
      <c r="OF141" s="9"/>
      <c r="OG141" s="9"/>
      <c r="OH141" s="9"/>
      <c r="OI141" s="9"/>
      <c r="OJ141" s="9"/>
      <c r="OK141" s="9"/>
      <c r="OL141" s="9"/>
      <c r="OM141" s="9"/>
      <c r="ON141" s="9"/>
      <c r="OO141" s="9"/>
      <c r="OP141" s="9"/>
      <c r="OQ141" s="9"/>
      <c r="OR141" s="9"/>
      <c r="OS141" s="9"/>
      <c r="OT141" s="9"/>
      <c r="OU141" s="9"/>
      <c r="OV141" s="9"/>
      <c r="OW141" s="9"/>
      <c r="OX141" s="9"/>
      <c r="OY141" s="9"/>
      <c r="OZ141" s="9"/>
      <c r="PA141" s="9"/>
      <c r="PB141" s="9"/>
      <c r="PC141" s="9"/>
      <c r="PD141" s="9"/>
      <c r="PE141" s="9"/>
      <c r="PF141" s="9"/>
      <c r="PG141" s="9"/>
      <c r="PH141" s="9"/>
      <c r="PI141" s="9"/>
      <c r="PJ141" s="9"/>
      <c r="PK141" s="9"/>
      <c r="PL141" s="9"/>
      <c r="PM141" s="9"/>
      <c r="PN141" s="9"/>
      <c r="PO141" s="9"/>
      <c r="PP141" s="9"/>
      <c r="PQ141" s="9"/>
      <c r="PR141" s="9"/>
      <c r="PS141" s="9"/>
      <c r="PT141" s="9"/>
      <c r="PU141" s="9"/>
      <c r="PV141" s="9"/>
      <c r="PW141" s="9"/>
      <c r="PX141" s="9"/>
      <c r="PY141" s="9"/>
      <c r="PZ141" s="9"/>
      <c r="QA141" s="9"/>
      <c r="QB141" s="9"/>
      <c r="QC141" s="9"/>
      <c r="QD141" s="9"/>
      <c r="QE141" s="9"/>
      <c r="QF141" s="9"/>
      <c r="QG141" s="9"/>
      <c r="QH141" s="9"/>
      <c r="QI141" s="9"/>
      <c r="QJ141" s="9"/>
      <c r="QK141" s="9"/>
      <c r="QL141" s="9"/>
      <c r="QM141" s="9"/>
      <c r="QN141" s="9"/>
      <c r="QO141" s="9"/>
      <c r="QP141" s="9"/>
      <c r="QQ141" s="67"/>
      <c r="QR141" s="68"/>
      <c r="QS141" s="63"/>
      <c r="QT141" s="71"/>
    </row>
    <row r="142" spans="1:462" s="11" customFormat="1" x14ac:dyDescent="0.2">
      <c r="A142" s="9">
        <v>10</v>
      </c>
      <c r="B142" s="9"/>
      <c r="C142" s="9"/>
      <c r="D142" s="9" t="s">
        <v>441</v>
      </c>
      <c r="E142" s="65" t="s">
        <v>227</v>
      </c>
      <c r="F142" s="65"/>
      <c r="G142" s="92" t="s">
        <v>2373</v>
      </c>
      <c r="H142" s="66" t="s">
        <v>1652</v>
      </c>
      <c r="I142" s="9" t="s">
        <v>1098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  <c r="II142" s="9"/>
      <c r="IJ142" s="9"/>
      <c r="IK142" s="9"/>
      <c r="IL142" s="9"/>
      <c r="IM142" s="9"/>
      <c r="IN142" s="9"/>
      <c r="IO142" s="9"/>
      <c r="IP142" s="9"/>
      <c r="IQ142" s="9" t="s">
        <v>1098</v>
      </c>
      <c r="IR142" s="9"/>
      <c r="IS142" s="9" t="s">
        <v>1098</v>
      </c>
      <c r="IT142" s="9"/>
      <c r="IU142" s="9"/>
      <c r="IV142" s="9"/>
      <c r="IW142" s="9"/>
      <c r="IX142" s="9"/>
      <c r="IY142" s="9"/>
      <c r="IZ142" s="9"/>
      <c r="JA142" s="9"/>
      <c r="JB142" s="9"/>
      <c r="JC142" s="9"/>
      <c r="JD142" s="9"/>
      <c r="JE142" s="9"/>
      <c r="JF142" s="9"/>
      <c r="JG142" s="9"/>
      <c r="JH142" s="9"/>
      <c r="JI142" s="9"/>
      <c r="JJ142" s="9"/>
      <c r="JK142" s="9"/>
      <c r="JL142" s="9"/>
      <c r="JM142" s="9"/>
      <c r="JN142" s="9"/>
      <c r="JO142" s="9"/>
      <c r="JP142" s="9"/>
      <c r="JQ142" s="9"/>
      <c r="JR142" s="9"/>
      <c r="JS142" s="9"/>
      <c r="JT142" s="9"/>
      <c r="JU142" s="9"/>
      <c r="JV142" s="9"/>
      <c r="JW142" s="9"/>
      <c r="JX142" s="9"/>
      <c r="JY142" s="9"/>
      <c r="JZ142" s="9"/>
      <c r="KA142" s="9"/>
      <c r="KB142" s="9"/>
      <c r="KC142" s="9"/>
      <c r="KD142" s="9"/>
      <c r="KE142" s="9"/>
      <c r="KF142" s="9"/>
      <c r="KG142" s="9"/>
      <c r="KH142" s="9"/>
      <c r="KI142" s="9"/>
      <c r="KJ142" s="9"/>
      <c r="KK142" s="9"/>
      <c r="KL142" s="9"/>
      <c r="KM142" s="9"/>
      <c r="KN142" s="9"/>
      <c r="KO142" s="9"/>
      <c r="KP142" s="9"/>
      <c r="KQ142" s="9"/>
      <c r="KR142" s="9"/>
      <c r="KS142" s="9"/>
      <c r="KT142" s="9"/>
      <c r="KU142" s="9"/>
      <c r="KV142" s="9"/>
      <c r="KW142" s="9"/>
      <c r="KX142" s="9"/>
      <c r="KY142" s="9"/>
      <c r="KZ142" s="9"/>
      <c r="LA142" s="9"/>
      <c r="LB142" s="9"/>
      <c r="LC142" s="9"/>
      <c r="LD142" s="9"/>
      <c r="LE142" s="9"/>
      <c r="LF142" s="9"/>
      <c r="LG142" s="9"/>
      <c r="LH142" s="9"/>
      <c r="LI142" s="9"/>
      <c r="LJ142" s="9"/>
      <c r="LK142" s="9"/>
      <c r="LL142" s="9"/>
      <c r="LM142" s="9"/>
      <c r="LN142" s="9"/>
      <c r="LO142" s="9"/>
      <c r="LP142" s="9"/>
      <c r="LQ142" s="9"/>
      <c r="LR142" s="9"/>
      <c r="LS142" s="9"/>
      <c r="LT142" s="9"/>
      <c r="LU142" s="9"/>
      <c r="LV142" s="9"/>
      <c r="LW142" s="9"/>
      <c r="LX142" s="9"/>
      <c r="LY142" s="9"/>
      <c r="LZ142" s="9"/>
      <c r="MA142" s="9"/>
      <c r="MB142" s="9"/>
      <c r="MC142" s="9"/>
      <c r="MD142" s="9"/>
      <c r="ME142" s="9"/>
      <c r="MF142" s="9"/>
      <c r="MG142" s="9"/>
      <c r="MH142" s="9"/>
      <c r="MI142" s="9"/>
      <c r="MJ142" s="9"/>
      <c r="MK142" s="9"/>
      <c r="ML142" s="9"/>
      <c r="MM142" s="9"/>
      <c r="MN142" s="9"/>
      <c r="MO142" s="9"/>
      <c r="MP142" s="9"/>
      <c r="MQ142" s="9"/>
      <c r="MR142" s="9"/>
      <c r="MS142" s="9"/>
      <c r="MT142" s="9"/>
      <c r="MU142" s="9"/>
      <c r="MV142" s="9"/>
      <c r="MW142" s="9"/>
      <c r="MX142" s="9"/>
      <c r="MY142" s="9"/>
      <c r="MZ142" s="9"/>
      <c r="NA142" s="9"/>
      <c r="NB142" s="9"/>
      <c r="NC142" s="9"/>
      <c r="ND142" s="9"/>
      <c r="NE142" s="9"/>
      <c r="NF142" s="9"/>
      <c r="NG142" s="9"/>
      <c r="NH142" s="9"/>
      <c r="NI142" s="9"/>
      <c r="NJ142" s="9"/>
      <c r="NK142" s="9"/>
      <c r="NL142" s="9"/>
      <c r="NM142" s="9"/>
      <c r="NN142" s="9"/>
      <c r="NO142" s="9"/>
      <c r="NP142" s="9"/>
      <c r="NQ142" s="9"/>
      <c r="NR142" s="9"/>
      <c r="NS142" s="9"/>
      <c r="NT142" s="9"/>
      <c r="NU142" s="9"/>
      <c r="NV142" s="9"/>
      <c r="NW142" s="9"/>
      <c r="NX142" s="9"/>
      <c r="NY142" s="9"/>
      <c r="NZ142" s="9"/>
      <c r="OA142" s="9"/>
      <c r="OB142" s="9"/>
      <c r="OC142" s="9"/>
      <c r="OD142" s="9"/>
      <c r="OE142" s="9"/>
      <c r="OF142" s="9"/>
      <c r="OG142" s="9"/>
      <c r="OH142" s="9"/>
      <c r="OI142" s="9"/>
      <c r="OJ142" s="9"/>
      <c r="OK142" s="9"/>
      <c r="OL142" s="9"/>
      <c r="OM142" s="9"/>
      <c r="ON142" s="9"/>
      <c r="OO142" s="9"/>
      <c r="OP142" s="9"/>
      <c r="OQ142" s="9"/>
      <c r="OR142" s="9"/>
      <c r="OS142" s="9"/>
      <c r="OT142" s="9"/>
      <c r="OU142" s="9"/>
      <c r="OV142" s="9"/>
      <c r="OW142" s="9"/>
      <c r="OX142" s="9"/>
      <c r="OY142" s="9"/>
      <c r="OZ142" s="9"/>
      <c r="PA142" s="9"/>
      <c r="PB142" s="9"/>
      <c r="PC142" s="9"/>
      <c r="PD142" s="9"/>
      <c r="PE142" s="9"/>
      <c r="PF142" s="9"/>
      <c r="PG142" s="9"/>
      <c r="PH142" s="9"/>
      <c r="PI142" s="9"/>
      <c r="PJ142" s="9"/>
      <c r="PK142" s="9"/>
      <c r="PL142" s="9"/>
      <c r="PM142" s="9"/>
      <c r="PN142" s="9"/>
      <c r="PO142" s="9"/>
      <c r="PP142" s="9"/>
      <c r="PQ142" s="9"/>
      <c r="PR142" s="9"/>
      <c r="PS142" s="9"/>
      <c r="PT142" s="9"/>
      <c r="PU142" s="9"/>
      <c r="PV142" s="9"/>
      <c r="PW142" s="9"/>
      <c r="PX142" s="9"/>
      <c r="PY142" s="9"/>
      <c r="PZ142" s="9"/>
      <c r="QA142" s="9"/>
      <c r="QB142" s="9"/>
      <c r="QC142" s="9"/>
      <c r="QD142" s="9"/>
      <c r="QE142" s="9"/>
      <c r="QF142" s="9"/>
      <c r="QG142" s="9"/>
      <c r="QH142" s="9"/>
      <c r="QI142" s="9"/>
      <c r="QJ142" s="9"/>
      <c r="QK142" s="9"/>
      <c r="QL142" s="9"/>
      <c r="QM142" s="9"/>
      <c r="QN142" s="9"/>
      <c r="QO142" s="9"/>
      <c r="QP142" s="9"/>
      <c r="QQ142" s="67"/>
      <c r="QR142" s="68"/>
      <c r="QS142" s="63"/>
      <c r="QT142" s="71"/>
    </row>
    <row r="143" spans="1:462" s="11" customFormat="1" x14ac:dyDescent="0.2">
      <c r="A143" s="9">
        <v>10</v>
      </c>
      <c r="B143" s="9"/>
      <c r="C143" s="9"/>
      <c r="D143" s="9" t="s">
        <v>442</v>
      </c>
      <c r="E143" s="65" t="s">
        <v>549</v>
      </c>
      <c r="F143" s="65"/>
      <c r="G143" s="91" t="s">
        <v>2374</v>
      </c>
      <c r="H143" s="66" t="s">
        <v>1653</v>
      </c>
      <c r="I143" s="9" t="s">
        <v>1098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  <c r="IW143" s="9"/>
      <c r="IX143" s="9"/>
      <c r="IY143" s="9" t="s">
        <v>1098</v>
      </c>
      <c r="IZ143" s="9"/>
      <c r="JA143" s="9" t="s">
        <v>1098</v>
      </c>
      <c r="JB143" s="9"/>
      <c r="JC143" s="9"/>
      <c r="JD143" s="9"/>
      <c r="JE143" s="9"/>
      <c r="JF143" s="9"/>
      <c r="JG143" s="9"/>
      <c r="JH143" s="9"/>
      <c r="JI143" s="9"/>
      <c r="JJ143" s="9"/>
      <c r="JK143" s="9"/>
      <c r="JL143" s="9"/>
      <c r="JM143" s="9"/>
      <c r="JN143" s="9"/>
      <c r="JO143" s="9"/>
      <c r="JP143" s="9"/>
      <c r="JQ143" s="9"/>
      <c r="JR143" s="9"/>
      <c r="JS143" s="9"/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  <c r="KK143" s="9"/>
      <c r="KL143" s="9"/>
      <c r="KM143" s="9"/>
      <c r="KN143" s="9"/>
      <c r="KO143" s="9"/>
      <c r="KP143" s="9"/>
      <c r="KQ143" s="9"/>
      <c r="KR143" s="9"/>
      <c r="KS143" s="9"/>
      <c r="KT143" s="9"/>
      <c r="KU143" s="9"/>
      <c r="KV143" s="9"/>
      <c r="KW143" s="9"/>
      <c r="KX143" s="9"/>
      <c r="KY143" s="9"/>
      <c r="KZ143" s="9"/>
      <c r="LA143" s="9"/>
      <c r="LB143" s="9"/>
      <c r="LC143" s="9"/>
      <c r="LD143" s="9"/>
      <c r="LE143" s="9"/>
      <c r="LF143" s="9"/>
      <c r="LG143" s="9"/>
      <c r="LH143" s="9"/>
      <c r="LI143" s="9"/>
      <c r="LJ143" s="9"/>
      <c r="LK143" s="9"/>
      <c r="LL143" s="9"/>
      <c r="LM143" s="9"/>
      <c r="LN143" s="9"/>
      <c r="LO143" s="9"/>
      <c r="LP143" s="9"/>
      <c r="LQ143" s="9"/>
      <c r="LR143" s="9"/>
      <c r="LS143" s="9"/>
      <c r="LT143" s="9"/>
      <c r="LU143" s="9"/>
      <c r="LV143" s="9"/>
      <c r="LW143" s="9"/>
      <c r="LX143" s="9"/>
      <c r="LY143" s="9"/>
      <c r="LZ143" s="9"/>
      <c r="MA143" s="9"/>
      <c r="MB143" s="9"/>
      <c r="MC143" s="9"/>
      <c r="MD143" s="9"/>
      <c r="ME143" s="9"/>
      <c r="MF143" s="9"/>
      <c r="MG143" s="9"/>
      <c r="MH143" s="9"/>
      <c r="MI143" s="9"/>
      <c r="MJ143" s="9"/>
      <c r="MK143" s="9"/>
      <c r="ML143" s="9"/>
      <c r="MM143" s="9"/>
      <c r="MN143" s="9"/>
      <c r="MO143" s="9"/>
      <c r="MP143" s="9"/>
      <c r="MQ143" s="9"/>
      <c r="MR143" s="9"/>
      <c r="MS143" s="9"/>
      <c r="MT143" s="9"/>
      <c r="MU143" s="9"/>
      <c r="MV143" s="9"/>
      <c r="MW143" s="9"/>
      <c r="MX143" s="9"/>
      <c r="MY143" s="9"/>
      <c r="MZ143" s="9"/>
      <c r="NA143" s="9"/>
      <c r="NB143" s="9"/>
      <c r="NC143" s="9"/>
      <c r="ND143" s="9"/>
      <c r="NE143" s="9"/>
      <c r="NF143" s="9"/>
      <c r="NG143" s="9"/>
      <c r="NH143" s="9"/>
      <c r="NI143" s="9"/>
      <c r="NJ143" s="9"/>
      <c r="NK143" s="9"/>
      <c r="NL143" s="9"/>
      <c r="NM143" s="9"/>
      <c r="NN143" s="9"/>
      <c r="NO143" s="9"/>
      <c r="NP143" s="9"/>
      <c r="NQ143" s="9"/>
      <c r="NR143" s="9"/>
      <c r="NS143" s="9"/>
      <c r="NT143" s="9"/>
      <c r="NU143" s="9"/>
      <c r="NV143" s="9"/>
      <c r="NW143" s="9"/>
      <c r="NX143" s="9"/>
      <c r="NY143" s="9"/>
      <c r="NZ143" s="9"/>
      <c r="OA143" s="9"/>
      <c r="OB143" s="9"/>
      <c r="OC143" s="9"/>
      <c r="OD143" s="9"/>
      <c r="OE143" s="9"/>
      <c r="OF143" s="9"/>
      <c r="OG143" s="9"/>
      <c r="OH143" s="9"/>
      <c r="OI143" s="9"/>
      <c r="OJ143" s="9"/>
      <c r="OK143" s="9"/>
      <c r="OL143" s="9"/>
      <c r="OM143" s="9"/>
      <c r="ON143" s="9"/>
      <c r="OO143" s="9"/>
      <c r="OP143" s="9"/>
      <c r="OQ143" s="9"/>
      <c r="OR143" s="9"/>
      <c r="OS143" s="9"/>
      <c r="OT143" s="9"/>
      <c r="OU143" s="9"/>
      <c r="OV143" s="9"/>
      <c r="OW143" s="9"/>
      <c r="OX143" s="9"/>
      <c r="OY143" s="9"/>
      <c r="OZ143" s="9"/>
      <c r="PA143" s="9"/>
      <c r="PB143" s="9"/>
      <c r="PC143" s="9"/>
      <c r="PD143" s="9"/>
      <c r="PE143" s="9"/>
      <c r="PF143" s="9"/>
      <c r="PG143" s="9"/>
      <c r="PH143" s="9"/>
      <c r="PI143" s="9"/>
      <c r="PJ143" s="9"/>
      <c r="PK143" s="9"/>
      <c r="PL143" s="9"/>
      <c r="PM143" s="9"/>
      <c r="PN143" s="9"/>
      <c r="PO143" s="9"/>
      <c r="PP143" s="9"/>
      <c r="PQ143" s="9"/>
      <c r="PR143" s="9"/>
      <c r="PS143" s="9"/>
      <c r="PT143" s="9"/>
      <c r="PU143" s="9"/>
      <c r="PV143" s="9"/>
      <c r="PW143" s="9"/>
      <c r="PX143" s="9"/>
      <c r="PY143" s="9"/>
      <c r="PZ143" s="9"/>
      <c r="QA143" s="9"/>
      <c r="QB143" s="9"/>
      <c r="QC143" s="9"/>
      <c r="QD143" s="9"/>
      <c r="QE143" s="9"/>
      <c r="QF143" s="9"/>
      <c r="QG143" s="9"/>
      <c r="QH143" s="9"/>
      <c r="QI143" s="9"/>
      <c r="QJ143" s="9"/>
      <c r="QK143" s="9"/>
      <c r="QL143" s="9"/>
      <c r="QM143" s="9"/>
      <c r="QN143" s="9"/>
      <c r="QO143" s="9"/>
      <c r="QP143" s="9"/>
      <c r="QQ143" s="67"/>
      <c r="QR143" s="68"/>
      <c r="QS143" s="63"/>
      <c r="QT143" s="71"/>
    </row>
    <row r="144" spans="1:462" s="11" customFormat="1" x14ac:dyDescent="0.2">
      <c r="A144" s="9">
        <v>10</v>
      </c>
      <c r="B144" s="9"/>
      <c r="C144" s="9"/>
      <c r="D144" s="9" t="s">
        <v>443</v>
      </c>
      <c r="E144" s="65" t="s">
        <v>550</v>
      </c>
      <c r="F144" s="65"/>
      <c r="G144" s="92" t="s">
        <v>2376</v>
      </c>
      <c r="H144" s="66" t="s">
        <v>1654</v>
      </c>
      <c r="I144" s="9" t="s">
        <v>1098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  <c r="IW144" s="9"/>
      <c r="IX144" s="9"/>
      <c r="IY144" s="9" t="s">
        <v>1098</v>
      </c>
      <c r="IZ144" s="9"/>
      <c r="JA144" s="9" t="s">
        <v>1098</v>
      </c>
      <c r="JB144" s="9"/>
      <c r="JC144" s="9"/>
      <c r="JD144" s="9"/>
      <c r="JE144" s="9"/>
      <c r="JF144" s="9"/>
      <c r="JG144" s="9"/>
      <c r="JH144" s="9"/>
      <c r="JI144" s="9"/>
      <c r="JJ144" s="9"/>
      <c r="JK144" s="9"/>
      <c r="JL144" s="9"/>
      <c r="JM144" s="9"/>
      <c r="JN144" s="9"/>
      <c r="JO144" s="9"/>
      <c r="JP144" s="9"/>
      <c r="JQ144" s="9"/>
      <c r="JR144" s="9"/>
      <c r="JS144" s="9"/>
      <c r="JT144" s="9"/>
      <c r="JU144" s="9"/>
      <c r="JV144" s="9"/>
      <c r="JW144" s="9"/>
      <c r="JX144" s="9"/>
      <c r="JY144" s="9"/>
      <c r="JZ144" s="9"/>
      <c r="KA144" s="9"/>
      <c r="KB144" s="9"/>
      <c r="KC144" s="9"/>
      <c r="KD144" s="9"/>
      <c r="KE144" s="9"/>
      <c r="KF144" s="9"/>
      <c r="KG144" s="9"/>
      <c r="KH144" s="9"/>
      <c r="KI144" s="9"/>
      <c r="KJ144" s="9"/>
      <c r="KK144" s="9"/>
      <c r="KL144" s="9"/>
      <c r="KM144" s="9"/>
      <c r="KN144" s="9"/>
      <c r="KO144" s="9"/>
      <c r="KP144" s="9"/>
      <c r="KQ144" s="9"/>
      <c r="KR144" s="9"/>
      <c r="KS144" s="9"/>
      <c r="KT144" s="9"/>
      <c r="KU144" s="9"/>
      <c r="KV144" s="9"/>
      <c r="KW144" s="9"/>
      <c r="KX144" s="9"/>
      <c r="KY144" s="9"/>
      <c r="KZ144" s="9"/>
      <c r="LA144" s="9"/>
      <c r="LB144" s="9"/>
      <c r="LC144" s="9"/>
      <c r="LD144" s="9"/>
      <c r="LE144" s="9"/>
      <c r="LF144" s="9"/>
      <c r="LG144" s="9"/>
      <c r="LH144" s="9"/>
      <c r="LI144" s="9"/>
      <c r="LJ144" s="9"/>
      <c r="LK144" s="9"/>
      <c r="LL144" s="9"/>
      <c r="LM144" s="9"/>
      <c r="LN144" s="9"/>
      <c r="LO144" s="9"/>
      <c r="LP144" s="9"/>
      <c r="LQ144" s="9"/>
      <c r="LR144" s="9"/>
      <c r="LS144" s="9"/>
      <c r="LT144" s="9"/>
      <c r="LU144" s="9"/>
      <c r="LV144" s="9"/>
      <c r="LW144" s="9"/>
      <c r="LX144" s="9"/>
      <c r="LY144" s="9"/>
      <c r="LZ144" s="9"/>
      <c r="MA144" s="9"/>
      <c r="MB144" s="9"/>
      <c r="MC144" s="9"/>
      <c r="MD144" s="9"/>
      <c r="ME144" s="9"/>
      <c r="MF144" s="9"/>
      <c r="MG144" s="9"/>
      <c r="MH144" s="9"/>
      <c r="MI144" s="9"/>
      <c r="MJ144" s="9"/>
      <c r="MK144" s="9"/>
      <c r="ML144" s="9"/>
      <c r="MM144" s="9"/>
      <c r="MN144" s="9"/>
      <c r="MO144" s="9"/>
      <c r="MP144" s="9"/>
      <c r="MQ144" s="9"/>
      <c r="MR144" s="9"/>
      <c r="MS144" s="9"/>
      <c r="MT144" s="9"/>
      <c r="MU144" s="9"/>
      <c r="MV144" s="9"/>
      <c r="MW144" s="9"/>
      <c r="MX144" s="9"/>
      <c r="MY144" s="9"/>
      <c r="MZ144" s="9"/>
      <c r="NA144" s="9"/>
      <c r="NB144" s="9"/>
      <c r="NC144" s="9"/>
      <c r="ND144" s="9"/>
      <c r="NE144" s="9"/>
      <c r="NF144" s="9"/>
      <c r="NG144" s="9"/>
      <c r="NH144" s="9"/>
      <c r="NI144" s="9"/>
      <c r="NJ144" s="9"/>
      <c r="NK144" s="9"/>
      <c r="NL144" s="9"/>
      <c r="NM144" s="9"/>
      <c r="NN144" s="9"/>
      <c r="NO144" s="9"/>
      <c r="NP144" s="9"/>
      <c r="NQ144" s="9"/>
      <c r="NR144" s="9"/>
      <c r="NS144" s="9"/>
      <c r="NT144" s="9"/>
      <c r="NU144" s="9"/>
      <c r="NV144" s="9"/>
      <c r="NW144" s="9"/>
      <c r="NX144" s="9"/>
      <c r="NY144" s="9"/>
      <c r="NZ144" s="9"/>
      <c r="OA144" s="9"/>
      <c r="OB144" s="9"/>
      <c r="OC144" s="9"/>
      <c r="OD144" s="9"/>
      <c r="OE144" s="9"/>
      <c r="OF144" s="9"/>
      <c r="OG144" s="9"/>
      <c r="OH144" s="9"/>
      <c r="OI144" s="9"/>
      <c r="OJ144" s="9"/>
      <c r="OK144" s="9"/>
      <c r="OL144" s="9"/>
      <c r="OM144" s="9"/>
      <c r="ON144" s="9"/>
      <c r="OO144" s="9"/>
      <c r="OP144" s="9"/>
      <c r="OQ144" s="9"/>
      <c r="OR144" s="9"/>
      <c r="OS144" s="9"/>
      <c r="OT144" s="9"/>
      <c r="OU144" s="9"/>
      <c r="OV144" s="9"/>
      <c r="OW144" s="9"/>
      <c r="OX144" s="9"/>
      <c r="OY144" s="9"/>
      <c r="OZ144" s="9"/>
      <c r="PA144" s="9"/>
      <c r="PB144" s="9"/>
      <c r="PC144" s="9"/>
      <c r="PD144" s="9"/>
      <c r="PE144" s="9"/>
      <c r="PF144" s="9"/>
      <c r="PG144" s="9"/>
      <c r="PH144" s="9"/>
      <c r="PI144" s="9"/>
      <c r="PJ144" s="9"/>
      <c r="PK144" s="9"/>
      <c r="PL144" s="9"/>
      <c r="PM144" s="9"/>
      <c r="PN144" s="9"/>
      <c r="PO144" s="9"/>
      <c r="PP144" s="9"/>
      <c r="PQ144" s="9"/>
      <c r="PR144" s="9"/>
      <c r="PS144" s="9"/>
      <c r="PT144" s="9"/>
      <c r="PU144" s="9"/>
      <c r="PV144" s="9"/>
      <c r="PW144" s="9"/>
      <c r="PX144" s="9"/>
      <c r="PY144" s="9"/>
      <c r="PZ144" s="9"/>
      <c r="QA144" s="9"/>
      <c r="QB144" s="9"/>
      <c r="QC144" s="9"/>
      <c r="QD144" s="9"/>
      <c r="QE144" s="9"/>
      <c r="QF144" s="9"/>
      <c r="QG144" s="9"/>
      <c r="QH144" s="9"/>
      <c r="QI144" s="9"/>
      <c r="QJ144" s="9"/>
      <c r="QK144" s="9"/>
      <c r="QL144" s="9"/>
      <c r="QM144" s="9"/>
      <c r="QN144" s="9"/>
      <c r="QO144" s="9"/>
      <c r="QP144" s="9"/>
      <c r="QQ144" s="67"/>
      <c r="QR144" s="68"/>
      <c r="QS144" s="63"/>
      <c r="QT144" s="71"/>
    </row>
    <row r="145" spans="1:462" s="11" customFormat="1" x14ac:dyDescent="0.2">
      <c r="A145" s="9">
        <v>10</v>
      </c>
      <c r="B145" s="9"/>
      <c r="C145" s="9"/>
      <c r="D145" s="9" t="s">
        <v>582</v>
      </c>
      <c r="E145" s="65" t="s">
        <v>485</v>
      </c>
      <c r="F145" s="65"/>
      <c r="G145" s="92" t="s">
        <v>2231</v>
      </c>
      <c r="H145" s="66" t="s">
        <v>1541</v>
      </c>
      <c r="I145" s="9" t="s">
        <v>1098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  <c r="IX145" s="9"/>
      <c r="IY145" s="9" t="s">
        <v>1655</v>
      </c>
      <c r="IZ145" s="9"/>
      <c r="JA145" s="9" t="s">
        <v>1655</v>
      </c>
      <c r="JB145" s="9"/>
      <c r="JC145" s="9"/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  <c r="KM145" s="9"/>
      <c r="KN145" s="9"/>
      <c r="KO145" s="9"/>
      <c r="KP145" s="9"/>
      <c r="KQ145" s="9"/>
      <c r="KR145" s="9"/>
      <c r="KS145" s="9"/>
      <c r="KT145" s="9"/>
      <c r="KU145" s="9"/>
      <c r="KV145" s="9"/>
      <c r="KW145" s="9"/>
      <c r="KX145" s="9"/>
      <c r="KY145" s="9"/>
      <c r="KZ145" s="9"/>
      <c r="LA145" s="9"/>
      <c r="LB145" s="9"/>
      <c r="LC145" s="9"/>
      <c r="LD145" s="9"/>
      <c r="LE145" s="9"/>
      <c r="LF145" s="9"/>
      <c r="LG145" s="9"/>
      <c r="LH145" s="9"/>
      <c r="LI145" s="9"/>
      <c r="LJ145" s="9"/>
      <c r="LK145" s="9"/>
      <c r="LL145" s="9"/>
      <c r="LM145" s="9"/>
      <c r="LN145" s="9"/>
      <c r="LO145" s="9"/>
      <c r="LP145" s="9"/>
      <c r="LQ145" s="9"/>
      <c r="LR145" s="9"/>
      <c r="LS145" s="9"/>
      <c r="LT145" s="9"/>
      <c r="LU145" s="9"/>
      <c r="LV145" s="9"/>
      <c r="LW145" s="9"/>
      <c r="LX145" s="9"/>
      <c r="LY145" s="9"/>
      <c r="LZ145" s="9"/>
      <c r="MA145" s="9"/>
      <c r="MB145" s="9"/>
      <c r="MC145" s="9"/>
      <c r="MD145" s="9"/>
      <c r="ME145" s="9"/>
      <c r="MF145" s="9"/>
      <c r="MG145" s="9"/>
      <c r="MH145" s="9"/>
      <c r="MI145" s="9"/>
      <c r="MJ145" s="9"/>
      <c r="MK145" s="9"/>
      <c r="ML145" s="9"/>
      <c r="MM145" s="9"/>
      <c r="MN145" s="9"/>
      <c r="MO145" s="9"/>
      <c r="MP145" s="9"/>
      <c r="MQ145" s="9"/>
      <c r="MR145" s="9"/>
      <c r="MS145" s="9"/>
      <c r="MT145" s="9"/>
      <c r="MU145" s="9"/>
      <c r="MV145" s="9"/>
      <c r="MW145" s="9"/>
      <c r="MX145" s="9"/>
      <c r="MY145" s="9"/>
      <c r="MZ145" s="9"/>
      <c r="NA145" s="9"/>
      <c r="NB145" s="9"/>
      <c r="NC145" s="9"/>
      <c r="ND145" s="9"/>
      <c r="NE145" s="9"/>
      <c r="NF145" s="9"/>
      <c r="NG145" s="9"/>
      <c r="NH145" s="9"/>
      <c r="NI145" s="9"/>
      <c r="NJ145" s="9"/>
      <c r="NK145" s="9"/>
      <c r="NL145" s="9"/>
      <c r="NM145" s="9"/>
      <c r="NN145" s="9"/>
      <c r="NO145" s="9"/>
      <c r="NP145" s="9"/>
      <c r="NQ145" s="9"/>
      <c r="NR145" s="9"/>
      <c r="NS145" s="9"/>
      <c r="NT145" s="9"/>
      <c r="NU145" s="9"/>
      <c r="NV145" s="9"/>
      <c r="NW145" s="9"/>
      <c r="NX145" s="9"/>
      <c r="NY145" s="9"/>
      <c r="NZ145" s="9"/>
      <c r="OA145" s="9"/>
      <c r="OB145" s="9"/>
      <c r="OC145" s="9"/>
      <c r="OD145" s="9"/>
      <c r="OE145" s="9"/>
      <c r="OF145" s="9"/>
      <c r="OG145" s="9"/>
      <c r="OH145" s="9"/>
      <c r="OI145" s="9"/>
      <c r="OJ145" s="9"/>
      <c r="OK145" s="9"/>
      <c r="OL145" s="9"/>
      <c r="OM145" s="9"/>
      <c r="ON145" s="9"/>
      <c r="OO145" s="9"/>
      <c r="OP145" s="9"/>
      <c r="OQ145" s="9"/>
      <c r="OR145" s="9"/>
      <c r="OS145" s="9"/>
      <c r="OT145" s="9"/>
      <c r="OU145" s="9"/>
      <c r="OV145" s="9"/>
      <c r="OW145" s="9"/>
      <c r="OX145" s="9"/>
      <c r="OY145" s="9"/>
      <c r="OZ145" s="9"/>
      <c r="PA145" s="9"/>
      <c r="PB145" s="9"/>
      <c r="PC145" s="9"/>
      <c r="PD145" s="9"/>
      <c r="PE145" s="9"/>
      <c r="PF145" s="9"/>
      <c r="PG145" s="9"/>
      <c r="PH145" s="9"/>
      <c r="PI145" s="9"/>
      <c r="PJ145" s="9"/>
      <c r="PK145" s="9"/>
      <c r="PL145" s="9"/>
      <c r="PM145" s="9"/>
      <c r="PN145" s="9"/>
      <c r="PO145" s="9"/>
      <c r="PP145" s="9"/>
      <c r="PQ145" s="9"/>
      <c r="PR145" s="9"/>
      <c r="PS145" s="9"/>
      <c r="PT145" s="9"/>
      <c r="PU145" s="9"/>
      <c r="PV145" s="9"/>
      <c r="PW145" s="9"/>
      <c r="PX145" s="9"/>
      <c r="PY145" s="9"/>
      <c r="PZ145" s="9"/>
      <c r="QA145" s="9"/>
      <c r="QB145" s="9"/>
      <c r="QC145" s="9"/>
      <c r="QD145" s="9"/>
      <c r="QE145" s="9"/>
      <c r="QF145" s="9"/>
      <c r="QG145" s="9"/>
      <c r="QH145" s="9"/>
      <c r="QI145" s="9"/>
      <c r="QJ145" s="9"/>
      <c r="QK145" s="9"/>
      <c r="QL145" s="9"/>
      <c r="QM145" s="9"/>
      <c r="QN145" s="9"/>
      <c r="QO145" s="9"/>
      <c r="QP145" s="9"/>
      <c r="QQ145" s="67"/>
      <c r="QR145" s="68"/>
      <c r="QS145" s="63"/>
      <c r="QT145" s="71"/>
    </row>
    <row r="146" spans="1:462" s="11" customFormat="1" x14ac:dyDescent="0.2">
      <c r="A146" s="9">
        <v>10</v>
      </c>
      <c r="B146" s="9"/>
      <c r="C146" s="9"/>
      <c r="D146" s="9" t="s">
        <v>444</v>
      </c>
      <c r="E146" s="65" t="s">
        <v>662</v>
      </c>
      <c r="F146" s="65"/>
      <c r="G146" s="91" t="s">
        <v>2377</v>
      </c>
      <c r="H146" s="66" t="s">
        <v>1656</v>
      </c>
      <c r="I146" s="9" t="s">
        <v>1098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  <c r="IW146" s="9"/>
      <c r="IX146" s="9"/>
      <c r="IY146" s="9"/>
      <c r="IZ146" s="9"/>
      <c r="JA146" s="9"/>
      <c r="JB146" s="9"/>
      <c r="JC146" s="9"/>
      <c r="JD146" s="9"/>
      <c r="JE146" s="9"/>
      <c r="JF146" s="9"/>
      <c r="JG146" s="9" t="s">
        <v>1098</v>
      </c>
      <c r="JH146" s="9"/>
      <c r="JI146" s="9" t="s">
        <v>1098</v>
      </c>
      <c r="JJ146" s="9"/>
      <c r="JK146" s="9"/>
      <c r="JL146" s="9"/>
      <c r="JM146" s="9"/>
      <c r="JN146" s="9"/>
      <c r="JO146" s="9"/>
      <c r="JP146" s="9"/>
      <c r="JQ146" s="9"/>
      <c r="JR146" s="9"/>
      <c r="JS146" s="9"/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  <c r="KK146" s="9"/>
      <c r="KL146" s="9"/>
      <c r="KM146" s="9"/>
      <c r="KN146" s="9"/>
      <c r="KO146" s="9"/>
      <c r="KP146" s="9"/>
      <c r="KQ146" s="9"/>
      <c r="KR146" s="9"/>
      <c r="KS146" s="9"/>
      <c r="KT146" s="9"/>
      <c r="KU146" s="9"/>
      <c r="KV146" s="9"/>
      <c r="KW146" s="9"/>
      <c r="KX146" s="9"/>
      <c r="KY146" s="9"/>
      <c r="KZ146" s="9"/>
      <c r="LA146" s="9"/>
      <c r="LB146" s="9"/>
      <c r="LC146" s="9"/>
      <c r="LD146" s="9"/>
      <c r="LE146" s="9"/>
      <c r="LF146" s="9"/>
      <c r="LG146" s="9"/>
      <c r="LH146" s="9"/>
      <c r="LI146" s="9"/>
      <c r="LJ146" s="9"/>
      <c r="LK146" s="9"/>
      <c r="LL146" s="9"/>
      <c r="LM146" s="9"/>
      <c r="LN146" s="9"/>
      <c r="LO146" s="9"/>
      <c r="LP146" s="9"/>
      <c r="LQ146" s="9"/>
      <c r="LR146" s="9"/>
      <c r="LS146" s="9"/>
      <c r="LT146" s="9"/>
      <c r="LU146" s="9"/>
      <c r="LV146" s="9"/>
      <c r="LW146" s="9"/>
      <c r="LX146" s="9"/>
      <c r="LY146" s="9"/>
      <c r="LZ146" s="9"/>
      <c r="MA146" s="9"/>
      <c r="MB146" s="9"/>
      <c r="MC146" s="9"/>
      <c r="MD146" s="9"/>
      <c r="ME146" s="9"/>
      <c r="MF146" s="9"/>
      <c r="MG146" s="9"/>
      <c r="MH146" s="9"/>
      <c r="MI146" s="9"/>
      <c r="MJ146" s="9"/>
      <c r="MK146" s="9"/>
      <c r="ML146" s="9"/>
      <c r="MM146" s="9"/>
      <c r="MN146" s="9"/>
      <c r="MO146" s="9"/>
      <c r="MP146" s="9"/>
      <c r="MQ146" s="9"/>
      <c r="MR146" s="9"/>
      <c r="MS146" s="9"/>
      <c r="MT146" s="9"/>
      <c r="MU146" s="9"/>
      <c r="MV146" s="9"/>
      <c r="MW146" s="9"/>
      <c r="MX146" s="9"/>
      <c r="MY146" s="9"/>
      <c r="MZ146" s="9"/>
      <c r="NA146" s="9"/>
      <c r="NB146" s="9"/>
      <c r="NC146" s="9"/>
      <c r="ND146" s="9"/>
      <c r="NE146" s="9"/>
      <c r="NF146" s="9"/>
      <c r="NG146" s="9"/>
      <c r="NH146" s="9"/>
      <c r="NI146" s="9"/>
      <c r="NJ146" s="9"/>
      <c r="NK146" s="9"/>
      <c r="NL146" s="9"/>
      <c r="NM146" s="9"/>
      <c r="NN146" s="9"/>
      <c r="NO146" s="9"/>
      <c r="NP146" s="9"/>
      <c r="NQ146" s="9"/>
      <c r="NR146" s="9"/>
      <c r="NS146" s="9"/>
      <c r="NT146" s="9"/>
      <c r="NU146" s="9"/>
      <c r="NV146" s="9"/>
      <c r="NW146" s="9"/>
      <c r="NX146" s="9"/>
      <c r="NY146" s="9"/>
      <c r="NZ146" s="9"/>
      <c r="OA146" s="9"/>
      <c r="OB146" s="9"/>
      <c r="OC146" s="9"/>
      <c r="OD146" s="9"/>
      <c r="OE146" s="9"/>
      <c r="OF146" s="9"/>
      <c r="OG146" s="9"/>
      <c r="OH146" s="9"/>
      <c r="OI146" s="9"/>
      <c r="OJ146" s="9"/>
      <c r="OK146" s="9"/>
      <c r="OL146" s="9"/>
      <c r="OM146" s="9"/>
      <c r="ON146" s="9"/>
      <c r="OO146" s="9"/>
      <c r="OP146" s="9"/>
      <c r="OQ146" s="9"/>
      <c r="OR146" s="9"/>
      <c r="OS146" s="9"/>
      <c r="OT146" s="9"/>
      <c r="OU146" s="9"/>
      <c r="OV146" s="9"/>
      <c r="OW146" s="9"/>
      <c r="OX146" s="9"/>
      <c r="OY146" s="9"/>
      <c r="OZ146" s="9"/>
      <c r="PA146" s="9"/>
      <c r="PB146" s="9"/>
      <c r="PC146" s="9"/>
      <c r="PD146" s="9"/>
      <c r="PE146" s="9"/>
      <c r="PF146" s="9"/>
      <c r="PG146" s="9"/>
      <c r="PH146" s="9"/>
      <c r="PI146" s="9"/>
      <c r="PJ146" s="9"/>
      <c r="PK146" s="9"/>
      <c r="PL146" s="9"/>
      <c r="PM146" s="9"/>
      <c r="PN146" s="9"/>
      <c r="PO146" s="9"/>
      <c r="PP146" s="9"/>
      <c r="PQ146" s="9"/>
      <c r="PR146" s="9"/>
      <c r="PS146" s="9"/>
      <c r="PT146" s="9"/>
      <c r="PU146" s="9"/>
      <c r="PV146" s="9"/>
      <c r="PW146" s="9"/>
      <c r="PX146" s="9"/>
      <c r="PY146" s="9"/>
      <c r="PZ146" s="9"/>
      <c r="QA146" s="9"/>
      <c r="QB146" s="9"/>
      <c r="QC146" s="9"/>
      <c r="QD146" s="9"/>
      <c r="QE146" s="9"/>
      <c r="QF146" s="9"/>
      <c r="QG146" s="9"/>
      <c r="QH146" s="9"/>
      <c r="QI146" s="9"/>
      <c r="QJ146" s="9"/>
      <c r="QK146" s="9"/>
      <c r="QL146" s="9"/>
      <c r="QM146" s="9"/>
      <c r="QN146" s="9"/>
      <c r="QO146" s="9"/>
      <c r="QP146" s="9"/>
      <c r="QQ146" s="67"/>
      <c r="QR146" s="68"/>
      <c r="QS146" s="63"/>
      <c r="QT146" s="71"/>
    </row>
    <row r="147" spans="1:462" s="11" customFormat="1" x14ac:dyDescent="0.2">
      <c r="A147" s="9">
        <v>10</v>
      </c>
      <c r="B147" s="9"/>
      <c r="C147" s="9"/>
      <c r="D147" s="9" t="s">
        <v>445</v>
      </c>
      <c r="E147" s="65" t="s">
        <v>663</v>
      </c>
      <c r="F147" s="65"/>
      <c r="G147" s="92" t="s">
        <v>2379</v>
      </c>
      <c r="H147" s="66" t="s">
        <v>1657</v>
      </c>
      <c r="I147" s="9" t="s">
        <v>1098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  <c r="IW147" s="9"/>
      <c r="IX147" s="9"/>
      <c r="IY147" s="9"/>
      <c r="IZ147" s="9"/>
      <c r="JA147" s="9"/>
      <c r="JB147" s="9"/>
      <c r="JC147" s="9"/>
      <c r="JD147" s="9"/>
      <c r="JE147" s="9"/>
      <c r="JF147" s="9"/>
      <c r="JG147" s="9" t="s">
        <v>1098</v>
      </c>
      <c r="JH147" s="9"/>
      <c r="JI147" s="9" t="s">
        <v>1098</v>
      </c>
      <c r="JJ147" s="9"/>
      <c r="JK147" s="9"/>
      <c r="JL147" s="9"/>
      <c r="JM147" s="9"/>
      <c r="JN147" s="9"/>
      <c r="JO147" s="9"/>
      <c r="JP147" s="9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  <c r="KM147" s="9"/>
      <c r="KN147" s="9"/>
      <c r="KO147" s="9"/>
      <c r="KP147" s="9"/>
      <c r="KQ147" s="9"/>
      <c r="KR147" s="9"/>
      <c r="KS147" s="9"/>
      <c r="KT147" s="9"/>
      <c r="KU147" s="9"/>
      <c r="KV147" s="9"/>
      <c r="KW147" s="9"/>
      <c r="KX147" s="9"/>
      <c r="KY147" s="9"/>
      <c r="KZ147" s="9"/>
      <c r="LA147" s="9"/>
      <c r="LB147" s="9"/>
      <c r="LC147" s="9"/>
      <c r="LD147" s="9"/>
      <c r="LE147" s="9"/>
      <c r="LF147" s="9"/>
      <c r="LG147" s="9"/>
      <c r="LH147" s="9"/>
      <c r="LI147" s="9"/>
      <c r="LJ147" s="9"/>
      <c r="LK147" s="9"/>
      <c r="LL147" s="9"/>
      <c r="LM147" s="9"/>
      <c r="LN147" s="9"/>
      <c r="LO147" s="9"/>
      <c r="LP147" s="9"/>
      <c r="LQ147" s="9"/>
      <c r="LR147" s="9"/>
      <c r="LS147" s="9"/>
      <c r="LT147" s="9"/>
      <c r="LU147" s="9"/>
      <c r="LV147" s="9"/>
      <c r="LW147" s="9"/>
      <c r="LX147" s="9"/>
      <c r="LY147" s="9"/>
      <c r="LZ147" s="9"/>
      <c r="MA147" s="9"/>
      <c r="MB147" s="9"/>
      <c r="MC147" s="9"/>
      <c r="MD147" s="9"/>
      <c r="ME147" s="9"/>
      <c r="MF147" s="9"/>
      <c r="MG147" s="9"/>
      <c r="MH147" s="9"/>
      <c r="MI147" s="9"/>
      <c r="MJ147" s="9"/>
      <c r="MK147" s="9"/>
      <c r="ML147" s="9"/>
      <c r="MM147" s="9"/>
      <c r="MN147" s="9"/>
      <c r="MO147" s="9"/>
      <c r="MP147" s="9"/>
      <c r="MQ147" s="9"/>
      <c r="MR147" s="9"/>
      <c r="MS147" s="9"/>
      <c r="MT147" s="9"/>
      <c r="MU147" s="9"/>
      <c r="MV147" s="9"/>
      <c r="MW147" s="9"/>
      <c r="MX147" s="9"/>
      <c r="MY147" s="9"/>
      <c r="MZ147" s="9"/>
      <c r="NA147" s="9"/>
      <c r="NB147" s="9"/>
      <c r="NC147" s="9"/>
      <c r="ND147" s="9"/>
      <c r="NE147" s="9"/>
      <c r="NF147" s="9"/>
      <c r="NG147" s="9"/>
      <c r="NH147" s="9"/>
      <c r="NI147" s="9"/>
      <c r="NJ147" s="9"/>
      <c r="NK147" s="9"/>
      <c r="NL147" s="9"/>
      <c r="NM147" s="9"/>
      <c r="NN147" s="9"/>
      <c r="NO147" s="9"/>
      <c r="NP147" s="9"/>
      <c r="NQ147" s="9"/>
      <c r="NR147" s="9"/>
      <c r="NS147" s="9"/>
      <c r="NT147" s="9"/>
      <c r="NU147" s="9"/>
      <c r="NV147" s="9"/>
      <c r="NW147" s="9"/>
      <c r="NX147" s="9"/>
      <c r="NY147" s="9"/>
      <c r="NZ147" s="9"/>
      <c r="OA147" s="9"/>
      <c r="OB147" s="9"/>
      <c r="OC147" s="9"/>
      <c r="OD147" s="9"/>
      <c r="OE147" s="9"/>
      <c r="OF147" s="9"/>
      <c r="OG147" s="9"/>
      <c r="OH147" s="9"/>
      <c r="OI147" s="9"/>
      <c r="OJ147" s="9"/>
      <c r="OK147" s="9"/>
      <c r="OL147" s="9"/>
      <c r="OM147" s="9"/>
      <c r="ON147" s="9"/>
      <c r="OO147" s="9"/>
      <c r="OP147" s="9"/>
      <c r="OQ147" s="9"/>
      <c r="OR147" s="9"/>
      <c r="OS147" s="9"/>
      <c r="OT147" s="9"/>
      <c r="OU147" s="9"/>
      <c r="OV147" s="9"/>
      <c r="OW147" s="9"/>
      <c r="OX147" s="9"/>
      <c r="OY147" s="9"/>
      <c r="OZ147" s="9"/>
      <c r="PA147" s="9"/>
      <c r="PB147" s="9"/>
      <c r="PC147" s="9"/>
      <c r="PD147" s="9"/>
      <c r="PE147" s="9"/>
      <c r="PF147" s="9"/>
      <c r="PG147" s="9"/>
      <c r="PH147" s="9"/>
      <c r="PI147" s="9"/>
      <c r="PJ147" s="9"/>
      <c r="PK147" s="9"/>
      <c r="PL147" s="9"/>
      <c r="PM147" s="9"/>
      <c r="PN147" s="9"/>
      <c r="PO147" s="9"/>
      <c r="PP147" s="9"/>
      <c r="PQ147" s="9"/>
      <c r="PR147" s="9"/>
      <c r="PS147" s="9"/>
      <c r="PT147" s="9"/>
      <c r="PU147" s="9"/>
      <c r="PV147" s="9"/>
      <c r="PW147" s="9"/>
      <c r="PX147" s="9"/>
      <c r="PY147" s="9"/>
      <c r="PZ147" s="9"/>
      <c r="QA147" s="9"/>
      <c r="QB147" s="9"/>
      <c r="QC147" s="9"/>
      <c r="QD147" s="9"/>
      <c r="QE147" s="9"/>
      <c r="QF147" s="9"/>
      <c r="QG147" s="9"/>
      <c r="QH147" s="9"/>
      <c r="QI147" s="9"/>
      <c r="QJ147" s="9"/>
      <c r="QK147" s="9"/>
      <c r="QL147" s="9"/>
      <c r="QM147" s="9"/>
      <c r="QN147" s="9"/>
      <c r="QO147" s="9"/>
      <c r="QP147" s="9"/>
      <c r="QQ147" s="67"/>
      <c r="QR147" s="68"/>
      <c r="QS147" s="63"/>
      <c r="QT147" s="71"/>
    </row>
    <row r="148" spans="1:462" s="11" customFormat="1" x14ac:dyDescent="0.2">
      <c r="A148" s="9">
        <v>10</v>
      </c>
      <c r="B148" s="9"/>
      <c r="C148" s="9"/>
      <c r="D148" s="9" t="s">
        <v>446</v>
      </c>
      <c r="E148" s="65" t="s">
        <v>47</v>
      </c>
      <c r="F148" s="65"/>
      <c r="G148" s="92" t="s">
        <v>2380</v>
      </c>
      <c r="H148" s="66" t="s">
        <v>1658</v>
      </c>
      <c r="I148" s="9" t="s">
        <v>1098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  <c r="IW148" s="9"/>
      <c r="IX148" s="9"/>
      <c r="IY148" s="9"/>
      <c r="IZ148" s="9"/>
      <c r="JA148" s="9"/>
      <c r="JB148" s="9"/>
      <c r="JC148" s="9"/>
      <c r="JD148" s="9"/>
      <c r="JE148" s="9"/>
      <c r="JF148" s="9"/>
      <c r="JG148" s="9" t="s">
        <v>1098</v>
      </c>
      <c r="JH148" s="9"/>
      <c r="JI148" s="9" t="s">
        <v>1098</v>
      </c>
      <c r="JJ148" s="9"/>
      <c r="JK148" s="9"/>
      <c r="JL148" s="9"/>
      <c r="JM148" s="9"/>
      <c r="JN148" s="9"/>
      <c r="JO148" s="9"/>
      <c r="JP148" s="9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  <c r="KM148" s="9"/>
      <c r="KN148" s="9"/>
      <c r="KO148" s="9"/>
      <c r="KP148" s="9"/>
      <c r="KQ148" s="9"/>
      <c r="KR148" s="9"/>
      <c r="KS148" s="9"/>
      <c r="KT148" s="9"/>
      <c r="KU148" s="9"/>
      <c r="KV148" s="9"/>
      <c r="KW148" s="9"/>
      <c r="KX148" s="9"/>
      <c r="KY148" s="9"/>
      <c r="KZ148" s="9"/>
      <c r="LA148" s="9"/>
      <c r="LB148" s="9"/>
      <c r="LC148" s="9"/>
      <c r="LD148" s="9"/>
      <c r="LE148" s="9"/>
      <c r="LF148" s="9"/>
      <c r="LG148" s="9"/>
      <c r="LH148" s="9"/>
      <c r="LI148" s="9"/>
      <c r="LJ148" s="9"/>
      <c r="LK148" s="9"/>
      <c r="LL148" s="9"/>
      <c r="LM148" s="9"/>
      <c r="LN148" s="9"/>
      <c r="LO148" s="9"/>
      <c r="LP148" s="9"/>
      <c r="LQ148" s="9"/>
      <c r="LR148" s="9"/>
      <c r="LS148" s="9"/>
      <c r="LT148" s="9"/>
      <c r="LU148" s="9"/>
      <c r="LV148" s="9"/>
      <c r="LW148" s="9"/>
      <c r="LX148" s="9"/>
      <c r="LY148" s="9"/>
      <c r="LZ148" s="9"/>
      <c r="MA148" s="9"/>
      <c r="MB148" s="9"/>
      <c r="MC148" s="9"/>
      <c r="MD148" s="9"/>
      <c r="ME148" s="9"/>
      <c r="MF148" s="9"/>
      <c r="MG148" s="9"/>
      <c r="MH148" s="9"/>
      <c r="MI148" s="9"/>
      <c r="MJ148" s="9"/>
      <c r="MK148" s="9"/>
      <c r="ML148" s="9"/>
      <c r="MM148" s="9"/>
      <c r="MN148" s="9"/>
      <c r="MO148" s="9"/>
      <c r="MP148" s="9"/>
      <c r="MQ148" s="9"/>
      <c r="MR148" s="9"/>
      <c r="MS148" s="9"/>
      <c r="MT148" s="9"/>
      <c r="MU148" s="9"/>
      <c r="MV148" s="9"/>
      <c r="MW148" s="9"/>
      <c r="MX148" s="9"/>
      <c r="MY148" s="9"/>
      <c r="MZ148" s="9"/>
      <c r="NA148" s="9"/>
      <c r="NB148" s="9"/>
      <c r="NC148" s="9"/>
      <c r="ND148" s="9"/>
      <c r="NE148" s="9"/>
      <c r="NF148" s="9"/>
      <c r="NG148" s="9"/>
      <c r="NH148" s="9"/>
      <c r="NI148" s="9"/>
      <c r="NJ148" s="9"/>
      <c r="NK148" s="9"/>
      <c r="NL148" s="9"/>
      <c r="NM148" s="9"/>
      <c r="NN148" s="9"/>
      <c r="NO148" s="9"/>
      <c r="NP148" s="9"/>
      <c r="NQ148" s="9"/>
      <c r="NR148" s="9"/>
      <c r="NS148" s="9"/>
      <c r="NT148" s="9"/>
      <c r="NU148" s="9"/>
      <c r="NV148" s="9"/>
      <c r="NW148" s="9"/>
      <c r="NX148" s="9"/>
      <c r="NY148" s="9"/>
      <c r="NZ148" s="9"/>
      <c r="OA148" s="9"/>
      <c r="OB148" s="9"/>
      <c r="OC148" s="9"/>
      <c r="OD148" s="9"/>
      <c r="OE148" s="9"/>
      <c r="OF148" s="9"/>
      <c r="OG148" s="9"/>
      <c r="OH148" s="9"/>
      <c r="OI148" s="9"/>
      <c r="OJ148" s="9"/>
      <c r="OK148" s="9"/>
      <c r="OL148" s="9"/>
      <c r="OM148" s="9"/>
      <c r="ON148" s="9"/>
      <c r="OO148" s="9"/>
      <c r="OP148" s="9"/>
      <c r="OQ148" s="9"/>
      <c r="OR148" s="9"/>
      <c r="OS148" s="9"/>
      <c r="OT148" s="9"/>
      <c r="OU148" s="9"/>
      <c r="OV148" s="9"/>
      <c r="OW148" s="9"/>
      <c r="OX148" s="9"/>
      <c r="OY148" s="9"/>
      <c r="OZ148" s="9"/>
      <c r="PA148" s="9"/>
      <c r="PB148" s="9"/>
      <c r="PC148" s="9"/>
      <c r="PD148" s="9"/>
      <c r="PE148" s="9"/>
      <c r="PF148" s="9"/>
      <c r="PG148" s="9"/>
      <c r="PH148" s="9"/>
      <c r="PI148" s="9"/>
      <c r="PJ148" s="9"/>
      <c r="PK148" s="9"/>
      <c r="PL148" s="9"/>
      <c r="PM148" s="9"/>
      <c r="PN148" s="9"/>
      <c r="PO148" s="9"/>
      <c r="PP148" s="9"/>
      <c r="PQ148" s="9"/>
      <c r="PR148" s="9"/>
      <c r="PS148" s="9"/>
      <c r="PT148" s="9"/>
      <c r="PU148" s="9"/>
      <c r="PV148" s="9"/>
      <c r="PW148" s="9"/>
      <c r="PX148" s="9"/>
      <c r="PY148" s="9"/>
      <c r="PZ148" s="9"/>
      <c r="QA148" s="9"/>
      <c r="QB148" s="9"/>
      <c r="QC148" s="9"/>
      <c r="QD148" s="9"/>
      <c r="QE148" s="9"/>
      <c r="QF148" s="9"/>
      <c r="QG148" s="9"/>
      <c r="QH148" s="9"/>
      <c r="QI148" s="9"/>
      <c r="QJ148" s="9"/>
      <c r="QK148" s="9"/>
      <c r="QL148" s="9"/>
      <c r="QM148" s="9"/>
      <c r="QN148" s="9"/>
      <c r="QO148" s="9"/>
      <c r="QP148" s="9"/>
      <c r="QQ148" s="67"/>
      <c r="QR148" s="68"/>
      <c r="QS148" s="63"/>
      <c r="QT148" s="71"/>
    </row>
    <row r="149" spans="1:462" s="11" customFormat="1" x14ac:dyDescent="0.2">
      <c r="A149" s="9">
        <v>10</v>
      </c>
      <c r="B149" s="9"/>
      <c r="C149" s="9"/>
      <c r="D149" s="9" t="s">
        <v>447</v>
      </c>
      <c r="E149" s="65" t="s">
        <v>223</v>
      </c>
      <c r="F149" s="65"/>
      <c r="G149" s="92" t="s">
        <v>2369</v>
      </c>
      <c r="H149" s="66" t="s">
        <v>1648</v>
      </c>
      <c r="I149" s="9" t="s">
        <v>1098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 t="s">
        <v>1098</v>
      </c>
      <c r="JH149" s="9"/>
      <c r="JI149" s="9" t="s">
        <v>1098</v>
      </c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  <c r="KM149" s="9"/>
      <c r="KN149" s="9"/>
      <c r="KO149" s="9"/>
      <c r="KP149" s="9"/>
      <c r="KQ149" s="9"/>
      <c r="KR149" s="9"/>
      <c r="KS149" s="9"/>
      <c r="KT149" s="9"/>
      <c r="KU149" s="9"/>
      <c r="KV149" s="9"/>
      <c r="KW149" s="9"/>
      <c r="KX149" s="9"/>
      <c r="KY149" s="9"/>
      <c r="KZ149" s="9"/>
      <c r="LA149" s="9"/>
      <c r="LB149" s="9"/>
      <c r="LC149" s="9"/>
      <c r="LD149" s="9"/>
      <c r="LE149" s="9"/>
      <c r="LF149" s="9"/>
      <c r="LG149" s="9"/>
      <c r="LH149" s="9"/>
      <c r="LI149" s="9"/>
      <c r="LJ149" s="9"/>
      <c r="LK149" s="9"/>
      <c r="LL149" s="9"/>
      <c r="LM149" s="9"/>
      <c r="LN149" s="9"/>
      <c r="LO149" s="9"/>
      <c r="LP149" s="9"/>
      <c r="LQ149" s="9"/>
      <c r="LR149" s="9"/>
      <c r="LS149" s="9"/>
      <c r="LT149" s="9"/>
      <c r="LU149" s="9"/>
      <c r="LV149" s="9"/>
      <c r="LW149" s="9"/>
      <c r="LX149" s="9"/>
      <c r="LY149" s="9"/>
      <c r="LZ149" s="9"/>
      <c r="MA149" s="9"/>
      <c r="MB149" s="9"/>
      <c r="MC149" s="9"/>
      <c r="MD149" s="9"/>
      <c r="ME149" s="9"/>
      <c r="MF149" s="9"/>
      <c r="MG149" s="9"/>
      <c r="MH149" s="9"/>
      <c r="MI149" s="9"/>
      <c r="MJ149" s="9"/>
      <c r="MK149" s="9"/>
      <c r="ML149" s="9"/>
      <c r="MM149" s="9"/>
      <c r="MN149" s="9"/>
      <c r="MO149" s="9"/>
      <c r="MP149" s="9"/>
      <c r="MQ149" s="9"/>
      <c r="MR149" s="9"/>
      <c r="MS149" s="9"/>
      <c r="MT149" s="9"/>
      <c r="MU149" s="9"/>
      <c r="MV149" s="9"/>
      <c r="MW149" s="9"/>
      <c r="MX149" s="9"/>
      <c r="MY149" s="9"/>
      <c r="MZ149" s="9"/>
      <c r="NA149" s="9"/>
      <c r="NB149" s="9"/>
      <c r="NC149" s="9"/>
      <c r="ND149" s="9"/>
      <c r="NE149" s="9"/>
      <c r="NF149" s="9"/>
      <c r="NG149" s="9"/>
      <c r="NH149" s="9"/>
      <c r="NI149" s="9"/>
      <c r="NJ149" s="9"/>
      <c r="NK149" s="9"/>
      <c r="NL149" s="9"/>
      <c r="NM149" s="9"/>
      <c r="NN149" s="9"/>
      <c r="NO149" s="9"/>
      <c r="NP149" s="9"/>
      <c r="NQ149" s="9"/>
      <c r="NR149" s="9"/>
      <c r="NS149" s="9"/>
      <c r="NT149" s="9"/>
      <c r="NU149" s="9"/>
      <c r="NV149" s="9"/>
      <c r="NW149" s="9"/>
      <c r="NX149" s="9"/>
      <c r="NY149" s="9"/>
      <c r="NZ149" s="9"/>
      <c r="OA149" s="9"/>
      <c r="OB149" s="9"/>
      <c r="OC149" s="9"/>
      <c r="OD149" s="9"/>
      <c r="OE149" s="9"/>
      <c r="OF149" s="9"/>
      <c r="OG149" s="9"/>
      <c r="OH149" s="9"/>
      <c r="OI149" s="9"/>
      <c r="OJ149" s="9"/>
      <c r="OK149" s="9"/>
      <c r="OL149" s="9"/>
      <c r="OM149" s="9"/>
      <c r="ON149" s="9"/>
      <c r="OO149" s="9"/>
      <c r="OP149" s="9"/>
      <c r="OQ149" s="9"/>
      <c r="OR149" s="9"/>
      <c r="OS149" s="9"/>
      <c r="OT149" s="9"/>
      <c r="OU149" s="9"/>
      <c r="OV149" s="9"/>
      <c r="OW149" s="9"/>
      <c r="OX149" s="9"/>
      <c r="OY149" s="9"/>
      <c r="OZ149" s="9"/>
      <c r="PA149" s="9"/>
      <c r="PB149" s="9"/>
      <c r="PC149" s="9"/>
      <c r="PD149" s="9"/>
      <c r="PE149" s="9"/>
      <c r="PF149" s="9"/>
      <c r="PG149" s="9"/>
      <c r="PH149" s="9"/>
      <c r="PI149" s="9"/>
      <c r="PJ149" s="9"/>
      <c r="PK149" s="9"/>
      <c r="PL149" s="9"/>
      <c r="PM149" s="9"/>
      <c r="PN149" s="9"/>
      <c r="PO149" s="9"/>
      <c r="PP149" s="9"/>
      <c r="PQ149" s="9"/>
      <c r="PR149" s="9"/>
      <c r="PS149" s="9"/>
      <c r="PT149" s="9"/>
      <c r="PU149" s="9"/>
      <c r="PV149" s="9"/>
      <c r="PW149" s="9"/>
      <c r="PX149" s="9"/>
      <c r="PY149" s="9"/>
      <c r="PZ149" s="9"/>
      <c r="QA149" s="9"/>
      <c r="QB149" s="9"/>
      <c r="QC149" s="9"/>
      <c r="QD149" s="9"/>
      <c r="QE149" s="9"/>
      <c r="QF149" s="9"/>
      <c r="QG149" s="9"/>
      <c r="QH149" s="9"/>
      <c r="QI149" s="9"/>
      <c r="QJ149" s="9"/>
      <c r="QK149" s="9"/>
      <c r="QL149" s="9"/>
      <c r="QM149" s="9"/>
      <c r="QN149" s="9"/>
      <c r="QO149" s="9"/>
      <c r="QP149" s="9"/>
      <c r="QQ149" s="67"/>
      <c r="QR149" s="68"/>
      <c r="QS149" s="63"/>
      <c r="QT149" s="71"/>
    </row>
    <row r="150" spans="1:462" s="11" customFormat="1" x14ac:dyDescent="0.2">
      <c r="A150" s="9">
        <v>10</v>
      </c>
      <c r="B150" s="9"/>
      <c r="C150" s="9"/>
      <c r="D150" s="9" t="s">
        <v>448</v>
      </c>
      <c r="E150" s="65" t="s">
        <v>551</v>
      </c>
      <c r="F150" s="65"/>
      <c r="G150" s="91" t="s">
        <v>2381</v>
      </c>
      <c r="H150" s="66" t="s">
        <v>1659</v>
      </c>
      <c r="I150" s="9" t="s">
        <v>1098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  <c r="IW150" s="9"/>
      <c r="IX150" s="9"/>
      <c r="IY150" s="9"/>
      <c r="IZ150" s="9"/>
      <c r="JA150" s="9"/>
      <c r="JB150" s="9"/>
      <c r="JC150" s="9"/>
      <c r="JD150" s="9"/>
      <c r="JE150" s="9"/>
      <c r="JF150" s="9"/>
      <c r="JG150" s="9"/>
      <c r="JH150" s="9"/>
      <c r="JI150" s="9"/>
      <c r="JJ150" s="9"/>
      <c r="JK150" s="9"/>
      <c r="JL150" s="9"/>
      <c r="JM150" s="9"/>
      <c r="JN150" s="9"/>
      <c r="JO150" s="9" t="s">
        <v>1098</v>
      </c>
      <c r="JP150" s="9"/>
      <c r="JQ150" s="9" t="s">
        <v>1098</v>
      </c>
      <c r="JR150" s="9"/>
      <c r="JS150" s="9"/>
      <c r="JT150" s="9"/>
      <c r="JU150" s="9"/>
      <c r="JV150" s="9"/>
      <c r="JW150" s="9"/>
      <c r="JX150" s="9"/>
      <c r="JY150" s="9"/>
      <c r="JZ150" s="9"/>
      <c r="KA150" s="9"/>
      <c r="KB150" s="9"/>
      <c r="KC150" s="9"/>
      <c r="KD150" s="9"/>
      <c r="KE150" s="9"/>
      <c r="KF150" s="9"/>
      <c r="KG150" s="9"/>
      <c r="KH150" s="9"/>
      <c r="KI150" s="9"/>
      <c r="KJ150" s="9"/>
      <c r="KK150" s="9"/>
      <c r="KL150" s="9"/>
      <c r="KM150" s="9"/>
      <c r="KN150" s="9"/>
      <c r="KO150" s="9"/>
      <c r="KP150" s="9"/>
      <c r="KQ150" s="9"/>
      <c r="KR150" s="9"/>
      <c r="KS150" s="9"/>
      <c r="KT150" s="9"/>
      <c r="KU150" s="9"/>
      <c r="KV150" s="9"/>
      <c r="KW150" s="9"/>
      <c r="KX150" s="9"/>
      <c r="KY150" s="9"/>
      <c r="KZ150" s="9"/>
      <c r="LA150" s="9"/>
      <c r="LB150" s="9"/>
      <c r="LC150" s="9"/>
      <c r="LD150" s="9"/>
      <c r="LE150" s="9"/>
      <c r="LF150" s="9"/>
      <c r="LG150" s="9"/>
      <c r="LH150" s="9"/>
      <c r="LI150" s="9"/>
      <c r="LJ150" s="9"/>
      <c r="LK150" s="9"/>
      <c r="LL150" s="9"/>
      <c r="LM150" s="9"/>
      <c r="LN150" s="9"/>
      <c r="LO150" s="9"/>
      <c r="LP150" s="9"/>
      <c r="LQ150" s="9"/>
      <c r="LR150" s="9"/>
      <c r="LS150" s="9"/>
      <c r="LT150" s="9"/>
      <c r="LU150" s="9"/>
      <c r="LV150" s="9"/>
      <c r="LW150" s="9"/>
      <c r="LX150" s="9"/>
      <c r="LY150" s="9"/>
      <c r="LZ150" s="9"/>
      <c r="MA150" s="9"/>
      <c r="MB150" s="9"/>
      <c r="MC150" s="9"/>
      <c r="MD150" s="9"/>
      <c r="ME150" s="9"/>
      <c r="MF150" s="9"/>
      <c r="MG150" s="9"/>
      <c r="MH150" s="9"/>
      <c r="MI150" s="9"/>
      <c r="MJ150" s="9"/>
      <c r="MK150" s="9"/>
      <c r="ML150" s="9"/>
      <c r="MM150" s="9"/>
      <c r="MN150" s="9"/>
      <c r="MO150" s="9"/>
      <c r="MP150" s="9"/>
      <c r="MQ150" s="9"/>
      <c r="MR150" s="9"/>
      <c r="MS150" s="9"/>
      <c r="MT150" s="9"/>
      <c r="MU150" s="9"/>
      <c r="MV150" s="9"/>
      <c r="MW150" s="9"/>
      <c r="MX150" s="9"/>
      <c r="MY150" s="9"/>
      <c r="MZ150" s="9"/>
      <c r="NA150" s="9"/>
      <c r="NB150" s="9"/>
      <c r="NC150" s="9"/>
      <c r="ND150" s="9"/>
      <c r="NE150" s="9"/>
      <c r="NF150" s="9"/>
      <c r="NG150" s="9"/>
      <c r="NH150" s="9"/>
      <c r="NI150" s="9"/>
      <c r="NJ150" s="9"/>
      <c r="NK150" s="9"/>
      <c r="NL150" s="9"/>
      <c r="NM150" s="9"/>
      <c r="NN150" s="9"/>
      <c r="NO150" s="9"/>
      <c r="NP150" s="9"/>
      <c r="NQ150" s="9"/>
      <c r="NR150" s="9"/>
      <c r="NS150" s="9"/>
      <c r="NT150" s="9"/>
      <c r="NU150" s="9"/>
      <c r="NV150" s="9"/>
      <c r="NW150" s="9"/>
      <c r="NX150" s="9"/>
      <c r="NY150" s="9"/>
      <c r="NZ150" s="9"/>
      <c r="OA150" s="9"/>
      <c r="OB150" s="9"/>
      <c r="OC150" s="9"/>
      <c r="OD150" s="9"/>
      <c r="OE150" s="9"/>
      <c r="OF150" s="9"/>
      <c r="OG150" s="9"/>
      <c r="OH150" s="9"/>
      <c r="OI150" s="9"/>
      <c r="OJ150" s="9"/>
      <c r="OK150" s="9"/>
      <c r="OL150" s="9"/>
      <c r="OM150" s="9"/>
      <c r="ON150" s="9"/>
      <c r="OO150" s="9"/>
      <c r="OP150" s="9"/>
      <c r="OQ150" s="9"/>
      <c r="OR150" s="9"/>
      <c r="OS150" s="9"/>
      <c r="OT150" s="9"/>
      <c r="OU150" s="9"/>
      <c r="OV150" s="9"/>
      <c r="OW150" s="9"/>
      <c r="OX150" s="9"/>
      <c r="OY150" s="9"/>
      <c r="OZ150" s="9"/>
      <c r="PA150" s="9"/>
      <c r="PB150" s="9"/>
      <c r="PC150" s="9"/>
      <c r="PD150" s="9"/>
      <c r="PE150" s="9"/>
      <c r="PF150" s="9"/>
      <c r="PG150" s="9"/>
      <c r="PH150" s="9"/>
      <c r="PI150" s="9"/>
      <c r="PJ150" s="9"/>
      <c r="PK150" s="9"/>
      <c r="PL150" s="9"/>
      <c r="PM150" s="9"/>
      <c r="PN150" s="9"/>
      <c r="PO150" s="9"/>
      <c r="PP150" s="9"/>
      <c r="PQ150" s="9"/>
      <c r="PR150" s="9"/>
      <c r="PS150" s="9"/>
      <c r="PT150" s="9"/>
      <c r="PU150" s="9"/>
      <c r="PV150" s="9"/>
      <c r="PW150" s="9"/>
      <c r="PX150" s="9"/>
      <c r="PY150" s="9"/>
      <c r="PZ150" s="9"/>
      <c r="QA150" s="9"/>
      <c r="QB150" s="9"/>
      <c r="QC150" s="9"/>
      <c r="QD150" s="9"/>
      <c r="QE150" s="9"/>
      <c r="QF150" s="9"/>
      <c r="QG150" s="9"/>
      <c r="QH150" s="9"/>
      <c r="QI150" s="9"/>
      <c r="QJ150" s="9"/>
      <c r="QK150" s="9"/>
      <c r="QL150" s="9"/>
      <c r="QM150" s="9"/>
      <c r="QN150" s="9"/>
      <c r="QO150" s="9"/>
      <c r="QP150" s="9"/>
      <c r="QQ150" s="67"/>
      <c r="QR150" s="68"/>
      <c r="QS150" s="63"/>
      <c r="QT150" s="71"/>
    </row>
    <row r="151" spans="1:462" s="11" customFormat="1" x14ac:dyDescent="0.2">
      <c r="A151" s="9">
        <v>10</v>
      </c>
      <c r="B151" s="9"/>
      <c r="C151" s="9"/>
      <c r="D151" s="9" t="s">
        <v>583</v>
      </c>
      <c r="E151" s="65" t="s">
        <v>552</v>
      </c>
      <c r="F151" s="65"/>
      <c r="G151" s="92" t="s">
        <v>2383</v>
      </c>
      <c r="H151" s="66" t="s">
        <v>1660</v>
      </c>
      <c r="I151" s="9" t="s">
        <v>1098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 t="s">
        <v>1098</v>
      </c>
      <c r="JP151" s="9"/>
      <c r="JQ151" s="9" t="s">
        <v>1098</v>
      </c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  <c r="KM151" s="9"/>
      <c r="KN151" s="9"/>
      <c r="KO151" s="9"/>
      <c r="KP151" s="9"/>
      <c r="KQ151" s="9"/>
      <c r="KR151" s="9"/>
      <c r="KS151" s="9"/>
      <c r="KT151" s="9"/>
      <c r="KU151" s="9"/>
      <c r="KV151" s="9"/>
      <c r="KW151" s="9"/>
      <c r="KX151" s="9"/>
      <c r="KY151" s="9"/>
      <c r="KZ151" s="9"/>
      <c r="LA151" s="9"/>
      <c r="LB151" s="9"/>
      <c r="LC151" s="9"/>
      <c r="LD151" s="9"/>
      <c r="LE151" s="9"/>
      <c r="LF151" s="9"/>
      <c r="LG151" s="9"/>
      <c r="LH151" s="9"/>
      <c r="LI151" s="9"/>
      <c r="LJ151" s="9"/>
      <c r="LK151" s="9"/>
      <c r="LL151" s="9"/>
      <c r="LM151" s="9"/>
      <c r="LN151" s="9"/>
      <c r="LO151" s="9"/>
      <c r="LP151" s="9"/>
      <c r="LQ151" s="9"/>
      <c r="LR151" s="9"/>
      <c r="LS151" s="9"/>
      <c r="LT151" s="9"/>
      <c r="LU151" s="9"/>
      <c r="LV151" s="9"/>
      <c r="LW151" s="9"/>
      <c r="LX151" s="9"/>
      <c r="LY151" s="9"/>
      <c r="LZ151" s="9"/>
      <c r="MA151" s="9"/>
      <c r="MB151" s="9"/>
      <c r="MC151" s="9"/>
      <c r="MD151" s="9"/>
      <c r="ME151" s="9"/>
      <c r="MF151" s="9"/>
      <c r="MG151" s="9"/>
      <c r="MH151" s="9"/>
      <c r="MI151" s="9"/>
      <c r="MJ151" s="9"/>
      <c r="MK151" s="9"/>
      <c r="ML151" s="9"/>
      <c r="MM151" s="9"/>
      <c r="MN151" s="9"/>
      <c r="MO151" s="9"/>
      <c r="MP151" s="9"/>
      <c r="MQ151" s="9"/>
      <c r="MR151" s="9"/>
      <c r="MS151" s="9"/>
      <c r="MT151" s="9"/>
      <c r="MU151" s="9"/>
      <c r="MV151" s="9"/>
      <c r="MW151" s="9"/>
      <c r="MX151" s="9"/>
      <c r="MY151" s="9"/>
      <c r="MZ151" s="9"/>
      <c r="NA151" s="9"/>
      <c r="NB151" s="9"/>
      <c r="NC151" s="9"/>
      <c r="ND151" s="9"/>
      <c r="NE151" s="9"/>
      <c r="NF151" s="9"/>
      <c r="NG151" s="9"/>
      <c r="NH151" s="9"/>
      <c r="NI151" s="9"/>
      <c r="NJ151" s="9"/>
      <c r="NK151" s="9"/>
      <c r="NL151" s="9"/>
      <c r="NM151" s="9"/>
      <c r="NN151" s="9"/>
      <c r="NO151" s="9"/>
      <c r="NP151" s="9"/>
      <c r="NQ151" s="9"/>
      <c r="NR151" s="9"/>
      <c r="NS151" s="9"/>
      <c r="NT151" s="9"/>
      <c r="NU151" s="9"/>
      <c r="NV151" s="9"/>
      <c r="NW151" s="9"/>
      <c r="NX151" s="9"/>
      <c r="NY151" s="9"/>
      <c r="NZ151" s="9"/>
      <c r="OA151" s="9"/>
      <c r="OB151" s="9"/>
      <c r="OC151" s="9"/>
      <c r="OD151" s="9"/>
      <c r="OE151" s="9"/>
      <c r="OF151" s="9"/>
      <c r="OG151" s="9"/>
      <c r="OH151" s="9"/>
      <c r="OI151" s="9"/>
      <c r="OJ151" s="9"/>
      <c r="OK151" s="9"/>
      <c r="OL151" s="9"/>
      <c r="OM151" s="9"/>
      <c r="ON151" s="9"/>
      <c r="OO151" s="9"/>
      <c r="OP151" s="9"/>
      <c r="OQ151" s="9"/>
      <c r="OR151" s="9"/>
      <c r="OS151" s="9"/>
      <c r="OT151" s="9"/>
      <c r="OU151" s="9"/>
      <c r="OV151" s="9"/>
      <c r="OW151" s="9"/>
      <c r="OX151" s="9"/>
      <c r="OY151" s="9"/>
      <c r="OZ151" s="9"/>
      <c r="PA151" s="9"/>
      <c r="PB151" s="9"/>
      <c r="PC151" s="9"/>
      <c r="PD151" s="9"/>
      <c r="PE151" s="9"/>
      <c r="PF151" s="9"/>
      <c r="PG151" s="9"/>
      <c r="PH151" s="9"/>
      <c r="PI151" s="9"/>
      <c r="PJ151" s="9"/>
      <c r="PK151" s="9"/>
      <c r="PL151" s="9"/>
      <c r="PM151" s="9"/>
      <c r="PN151" s="9"/>
      <c r="PO151" s="9"/>
      <c r="PP151" s="9"/>
      <c r="PQ151" s="9"/>
      <c r="PR151" s="9"/>
      <c r="PS151" s="9"/>
      <c r="PT151" s="9"/>
      <c r="PU151" s="9"/>
      <c r="PV151" s="9"/>
      <c r="PW151" s="9"/>
      <c r="PX151" s="9"/>
      <c r="PY151" s="9"/>
      <c r="PZ151" s="9"/>
      <c r="QA151" s="9"/>
      <c r="QB151" s="9"/>
      <c r="QC151" s="9"/>
      <c r="QD151" s="9"/>
      <c r="QE151" s="9"/>
      <c r="QF151" s="9"/>
      <c r="QG151" s="9"/>
      <c r="QH151" s="9"/>
      <c r="QI151" s="9"/>
      <c r="QJ151" s="9"/>
      <c r="QK151" s="9"/>
      <c r="QL151" s="9"/>
      <c r="QM151" s="9"/>
      <c r="QN151" s="9"/>
      <c r="QO151" s="9"/>
      <c r="QP151" s="9"/>
      <c r="QQ151" s="67"/>
      <c r="QR151" s="68"/>
      <c r="QS151" s="63"/>
      <c r="QT151" s="71"/>
    </row>
    <row r="152" spans="1:462" s="11" customFormat="1" x14ac:dyDescent="0.2">
      <c r="A152" s="9">
        <v>10</v>
      </c>
      <c r="B152" s="9"/>
      <c r="C152" s="9"/>
      <c r="D152" s="9" t="s">
        <v>450</v>
      </c>
      <c r="E152" s="65" t="s">
        <v>553</v>
      </c>
      <c r="F152" s="65"/>
      <c r="G152" s="92" t="s">
        <v>2384</v>
      </c>
      <c r="H152" s="66" t="s">
        <v>1661</v>
      </c>
      <c r="I152" s="9" t="s">
        <v>1098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  <c r="IW152" s="9"/>
      <c r="IX152" s="9"/>
      <c r="IY152" s="9"/>
      <c r="IZ152" s="9"/>
      <c r="JA152" s="9"/>
      <c r="JB152" s="9"/>
      <c r="JC152" s="9"/>
      <c r="JD152" s="9"/>
      <c r="JE152" s="9"/>
      <c r="JF152" s="9"/>
      <c r="JG152" s="9"/>
      <c r="JH152" s="9"/>
      <c r="JI152" s="9"/>
      <c r="JJ152" s="9"/>
      <c r="JK152" s="9"/>
      <c r="JL152" s="9"/>
      <c r="JM152" s="9"/>
      <c r="JN152" s="9"/>
      <c r="JO152" s="9" t="s">
        <v>1098</v>
      </c>
      <c r="JP152" s="9"/>
      <c r="JQ152" s="9" t="s">
        <v>1098</v>
      </c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  <c r="KM152" s="9"/>
      <c r="KN152" s="9"/>
      <c r="KO152" s="9"/>
      <c r="KP152" s="9"/>
      <c r="KQ152" s="9"/>
      <c r="KR152" s="9"/>
      <c r="KS152" s="9"/>
      <c r="KT152" s="9"/>
      <c r="KU152" s="9"/>
      <c r="KV152" s="9"/>
      <c r="KW152" s="9"/>
      <c r="KX152" s="9"/>
      <c r="KY152" s="9"/>
      <c r="KZ152" s="9"/>
      <c r="LA152" s="9"/>
      <c r="LB152" s="9"/>
      <c r="LC152" s="9"/>
      <c r="LD152" s="9"/>
      <c r="LE152" s="9"/>
      <c r="LF152" s="9"/>
      <c r="LG152" s="9"/>
      <c r="LH152" s="9"/>
      <c r="LI152" s="9"/>
      <c r="LJ152" s="9"/>
      <c r="LK152" s="9"/>
      <c r="LL152" s="9"/>
      <c r="LM152" s="9"/>
      <c r="LN152" s="9"/>
      <c r="LO152" s="9"/>
      <c r="LP152" s="9"/>
      <c r="LQ152" s="9"/>
      <c r="LR152" s="9"/>
      <c r="LS152" s="9"/>
      <c r="LT152" s="9"/>
      <c r="LU152" s="9"/>
      <c r="LV152" s="9"/>
      <c r="LW152" s="9"/>
      <c r="LX152" s="9"/>
      <c r="LY152" s="9"/>
      <c r="LZ152" s="9"/>
      <c r="MA152" s="9"/>
      <c r="MB152" s="9"/>
      <c r="MC152" s="9"/>
      <c r="MD152" s="9"/>
      <c r="ME152" s="9"/>
      <c r="MF152" s="9"/>
      <c r="MG152" s="9"/>
      <c r="MH152" s="9"/>
      <c r="MI152" s="9"/>
      <c r="MJ152" s="9"/>
      <c r="MK152" s="9"/>
      <c r="ML152" s="9"/>
      <c r="MM152" s="9"/>
      <c r="MN152" s="9"/>
      <c r="MO152" s="9"/>
      <c r="MP152" s="9"/>
      <c r="MQ152" s="9"/>
      <c r="MR152" s="9"/>
      <c r="MS152" s="9"/>
      <c r="MT152" s="9"/>
      <c r="MU152" s="9"/>
      <c r="MV152" s="9"/>
      <c r="MW152" s="9"/>
      <c r="MX152" s="9"/>
      <c r="MY152" s="9"/>
      <c r="MZ152" s="9"/>
      <c r="NA152" s="9"/>
      <c r="NB152" s="9"/>
      <c r="NC152" s="9"/>
      <c r="ND152" s="9"/>
      <c r="NE152" s="9"/>
      <c r="NF152" s="9"/>
      <c r="NG152" s="9"/>
      <c r="NH152" s="9"/>
      <c r="NI152" s="9"/>
      <c r="NJ152" s="9"/>
      <c r="NK152" s="9"/>
      <c r="NL152" s="9"/>
      <c r="NM152" s="9"/>
      <c r="NN152" s="9"/>
      <c r="NO152" s="9"/>
      <c r="NP152" s="9"/>
      <c r="NQ152" s="9"/>
      <c r="NR152" s="9"/>
      <c r="NS152" s="9"/>
      <c r="NT152" s="9"/>
      <c r="NU152" s="9"/>
      <c r="NV152" s="9"/>
      <c r="NW152" s="9"/>
      <c r="NX152" s="9"/>
      <c r="NY152" s="9"/>
      <c r="NZ152" s="9"/>
      <c r="OA152" s="9"/>
      <c r="OB152" s="9"/>
      <c r="OC152" s="9"/>
      <c r="OD152" s="9"/>
      <c r="OE152" s="9"/>
      <c r="OF152" s="9"/>
      <c r="OG152" s="9"/>
      <c r="OH152" s="9"/>
      <c r="OI152" s="9"/>
      <c r="OJ152" s="9"/>
      <c r="OK152" s="9"/>
      <c r="OL152" s="9"/>
      <c r="OM152" s="9"/>
      <c r="ON152" s="9"/>
      <c r="OO152" s="9"/>
      <c r="OP152" s="9"/>
      <c r="OQ152" s="9"/>
      <c r="OR152" s="9"/>
      <c r="OS152" s="9"/>
      <c r="OT152" s="9"/>
      <c r="OU152" s="9"/>
      <c r="OV152" s="9"/>
      <c r="OW152" s="9"/>
      <c r="OX152" s="9"/>
      <c r="OY152" s="9"/>
      <c r="OZ152" s="9"/>
      <c r="PA152" s="9"/>
      <c r="PB152" s="9"/>
      <c r="PC152" s="9"/>
      <c r="PD152" s="9"/>
      <c r="PE152" s="9"/>
      <c r="PF152" s="9"/>
      <c r="PG152" s="9"/>
      <c r="PH152" s="9"/>
      <c r="PI152" s="9"/>
      <c r="PJ152" s="9"/>
      <c r="PK152" s="9"/>
      <c r="PL152" s="9"/>
      <c r="PM152" s="9"/>
      <c r="PN152" s="9"/>
      <c r="PO152" s="9"/>
      <c r="PP152" s="9"/>
      <c r="PQ152" s="9"/>
      <c r="PR152" s="9"/>
      <c r="PS152" s="9"/>
      <c r="PT152" s="9"/>
      <c r="PU152" s="9"/>
      <c r="PV152" s="9"/>
      <c r="PW152" s="9"/>
      <c r="PX152" s="9"/>
      <c r="PY152" s="9"/>
      <c r="PZ152" s="9"/>
      <c r="QA152" s="9"/>
      <c r="QB152" s="9"/>
      <c r="QC152" s="9"/>
      <c r="QD152" s="9"/>
      <c r="QE152" s="9"/>
      <c r="QF152" s="9"/>
      <c r="QG152" s="9"/>
      <c r="QH152" s="9"/>
      <c r="QI152" s="9"/>
      <c r="QJ152" s="9"/>
      <c r="QK152" s="9"/>
      <c r="QL152" s="9"/>
      <c r="QM152" s="9"/>
      <c r="QN152" s="9"/>
      <c r="QO152" s="9"/>
      <c r="QP152" s="9"/>
      <c r="QQ152" s="67"/>
      <c r="QR152" s="68"/>
      <c r="QS152" s="63"/>
      <c r="QT152" s="71"/>
    </row>
    <row r="153" spans="1:462" s="11" customFormat="1" x14ac:dyDescent="0.2">
      <c r="A153" s="9">
        <v>10</v>
      </c>
      <c r="B153" s="9"/>
      <c r="C153" s="9"/>
      <c r="D153" s="9" t="s">
        <v>856</v>
      </c>
      <c r="E153" s="65" t="s">
        <v>839</v>
      </c>
      <c r="F153" s="65"/>
      <c r="G153" s="92" t="s">
        <v>2279</v>
      </c>
      <c r="H153" s="66" t="s">
        <v>1578</v>
      </c>
      <c r="I153" s="9" t="s">
        <v>1098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  <c r="IW153" s="9"/>
      <c r="IX153" s="9"/>
      <c r="IY153" s="9"/>
      <c r="IZ153" s="9"/>
      <c r="JA153" s="9"/>
      <c r="JB153" s="9"/>
      <c r="JC153" s="9"/>
      <c r="JD153" s="9"/>
      <c r="JE153" s="9"/>
      <c r="JF153" s="9"/>
      <c r="JG153" s="9"/>
      <c r="JH153" s="9"/>
      <c r="JI153" s="9"/>
      <c r="JJ153" s="9"/>
      <c r="JK153" s="9"/>
      <c r="JL153" s="9"/>
      <c r="JM153" s="9"/>
      <c r="JN153" s="9"/>
      <c r="JO153" s="9" t="s">
        <v>1662</v>
      </c>
      <c r="JP153" s="9"/>
      <c r="JQ153" s="9" t="s">
        <v>1662</v>
      </c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  <c r="KM153" s="9"/>
      <c r="KN153" s="9"/>
      <c r="KO153" s="9"/>
      <c r="KP153" s="9"/>
      <c r="KQ153" s="9"/>
      <c r="KR153" s="9"/>
      <c r="KS153" s="9"/>
      <c r="KT153" s="9"/>
      <c r="KU153" s="9"/>
      <c r="KV153" s="9"/>
      <c r="KW153" s="9"/>
      <c r="KX153" s="9"/>
      <c r="KY153" s="9"/>
      <c r="KZ153" s="9"/>
      <c r="LA153" s="9"/>
      <c r="LB153" s="9"/>
      <c r="LC153" s="9"/>
      <c r="LD153" s="9"/>
      <c r="LE153" s="9"/>
      <c r="LF153" s="9"/>
      <c r="LG153" s="9"/>
      <c r="LH153" s="9"/>
      <c r="LI153" s="9"/>
      <c r="LJ153" s="9"/>
      <c r="LK153" s="9"/>
      <c r="LL153" s="9"/>
      <c r="LM153" s="9"/>
      <c r="LN153" s="9"/>
      <c r="LO153" s="9"/>
      <c r="LP153" s="9"/>
      <c r="LQ153" s="9"/>
      <c r="LR153" s="9"/>
      <c r="LS153" s="9"/>
      <c r="LT153" s="9"/>
      <c r="LU153" s="9"/>
      <c r="LV153" s="9"/>
      <c r="LW153" s="9"/>
      <c r="LX153" s="9"/>
      <c r="LY153" s="9"/>
      <c r="LZ153" s="9"/>
      <c r="MA153" s="9"/>
      <c r="MB153" s="9"/>
      <c r="MC153" s="9"/>
      <c r="MD153" s="9"/>
      <c r="ME153" s="9"/>
      <c r="MF153" s="9"/>
      <c r="MG153" s="9"/>
      <c r="MH153" s="9"/>
      <c r="MI153" s="9"/>
      <c r="MJ153" s="9"/>
      <c r="MK153" s="9"/>
      <c r="ML153" s="9"/>
      <c r="MM153" s="9"/>
      <c r="MN153" s="9"/>
      <c r="MO153" s="9"/>
      <c r="MP153" s="9"/>
      <c r="MQ153" s="9"/>
      <c r="MR153" s="9"/>
      <c r="MS153" s="9"/>
      <c r="MT153" s="9"/>
      <c r="MU153" s="9"/>
      <c r="MV153" s="9"/>
      <c r="MW153" s="9"/>
      <c r="MX153" s="9"/>
      <c r="MY153" s="9"/>
      <c r="MZ153" s="9"/>
      <c r="NA153" s="9"/>
      <c r="NB153" s="9"/>
      <c r="NC153" s="9"/>
      <c r="ND153" s="9"/>
      <c r="NE153" s="9"/>
      <c r="NF153" s="9"/>
      <c r="NG153" s="9"/>
      <c r="NH153" s="9"/>
      <c r="NI153" s="9"/>
      <c r="NJ153" s="9"/>
      <c r="NK153" s="9"/>
      <c r="NL153" s="9"/>
      <c r="NM153" s="9"/>
      <c r="NN153" s="9"/>
      <c r="NO153" s="9"/>
      <c r="NP153" s="9"/>
      <c r="NQ153" s="9"/>
      <c r="NR153" s="9"/>
      <c r="NS153" s="9"/>
      <c r="NT153" s="9"/>
      <c r="NU153" s="9"/>
      <c r="NV153" s="9"/>
      <c r="NW153" s="9"/>
      <c r="NX153" s="9"/>
      <c r="NY153" s="9"/>
      <c r="NZ153" s="9"/>
      <c r="OA153" s="9"/>
      <c r="OB153" s="9"/>
      <c r="OC153" s="9"/>
      <c r="OD153" s="9"/>
      <c r="OE153" s="9"/>
      <c r="OF153" s="9"/>
      <c r="OG153" s="9"/>
      <c r="OH153" s="9"/>
      <c r="OI153" s="9"/>
      <c r="OJ153" s="9"/>
      <c r="OK153" s="9"/>
      <c r="OL153" s="9"/>
      <c r="OM153" s="9"/>
      <c r="ON153" s="9"/>
      <c r="OO153" s="9"/>
      <c r="OP153" s="9"/>
      <c r="OQ153" s="9"/>
      <c r="OR153" s="9"/>
      <c r="OS153" s="9"/>
      <c r="OT153" s="9"/>
      <c r="OU153" s="9"/>
      <c r="OV153" s="9"/>
      <c r="OW153" s="9"/>
      <c r="OX153" s="9"/>
      <c r="OY153" s="9"/>
      <c r="OZ153" s="9"/>
      <c r="PA153" s="9"/>
      <c r="PB153" s="9"/>
      <c r="PC153" s="9"/>
      <c r="PD153" s="9"/>
      <c r="PE153" s="9"/>
      <c r="PF153" s="9"/>
      <c r="PG153" s="9"/>
      <c r="PH153" s="9"/>
      <c r="PI153" s="9"/>
      <c r="PJ153" s="9"/>
      <c r="PK153" s="9"/>
      <c r="PL153" s="9"/>
      <c r="PM153" s="9"/>
      <c r="PN153" s="9"/>
      <c r="PO153" s="9"/>
      <c r="PP153" s="9"/>
      <c r="PQ153" s="9"/>
      <c r="PR153" s="9"/>
      <c r="PS153" s="9"/>
      <c r="PT153" s="9"/>
      <c r="PU153" s="9"/>
      <c r="PV153" s="9"/>
      <c r="PW153" s="9"/>
      <c r="PX153" s="9"/>
      <c r="PY153" s="9"/>
      <c r="PZ153" s="9"/>
      <c r="QA153" s="9"/>
      <c r="QB153" s="9"/>
      <c r="QC153" s="9"/>
      <c r="QD153" s="9"/>
      <c r="QE153" s="9"/>
      <c r="QF153" s="9"/>
      <c r="QG153" s="9"/>
      <c r="QH153" s="9"/>
      <c r="QI153" s="9"/>
      <c r="QJ153" s="9"/>
      <c r="QK153" s="9"/>
      <c r="QL153" s="9"/>
      <c r="QM153" s="9"/>
      <c r="QN153" s="9"/>
      <c r="QO153" s="9"/>
      <c r="QP153" s="9"/>
      <c r="QQ153" s="67"/>
      <c r="QR153" s="68"/>
      <c r="QS153" s="63"/>
      <c r="QT153" s="71"/>
    </row>
    <row r="154" spans="1:462" s="11" customFormat="1" x14ac:dyDescent="0.2">
      <c r="A154" s="9">
        <v>10</v>
      </c>
      <c r="B154" s="9"/>
      <c r="C154" s="9"/>
      <c r="D154" s="9" t="s">
        <v>840</v>
      </c>
      <c r="E154" s="65" t="s">
        <v>842</v>
      </c>
      <c r="F154" s="65"/>
      <c r="G154" s="92" t="s">
        <v>2387</v>
      </c>
      <c r="H154" s="66" t="s">
        <v>1663</v>
      </c>
      <c r="I154" s="9" t="s">
        <v>1098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  <c r="IW154" s="9"/>
      <c r="IX154" s="9"/>
      <c r="IY154" s="9"/>
      <c r="IZ154" s="9"/>
      <c r="JA154" s="9"/>
      <c r="JB154" s="9"/>
      <c r="JC154" s="9"/>
      <c r="JD154" s="9"/>
      <c r="JE154" s="9"/>
      <c r="JF154" s="9"/>
      <c r="JG154" s="9"/>
      <c r="JH154" s="9"/>
      <c r="JI154" s="9"/>
      <c r="JJ154" s="9"/>
      <c r="JK154" s="9"/>
      <c r="JL154" s="9"/>
      <c r="JM154" s="9"/>
      <c r="JN154" s="9"/>
      <c r="JO154" s="9" t="s">
        <v>1098</v>
      </c>
      <c r="JP154" s="9"/>
      <c r="JQ154" s="9" t="s">
        <v>1098</v>
      </c>
      <c r="JR154" s="9"/>
      <c r="JS154" s="9"/>
      <c r="JT154" s="9"/>
      <c r="JU154" s="9"/>
      <c r="JV154" s="9"/>
      <c r="JW154" s="9"/>
      <c r="JX154" s="9"/>
      <c r="JY154" s="9"/>
      <c r="JZ154" s="9"/>
      <c r="KA154" s="9"/>
      <c r="KB154" s="9"/>
      <c r="KC154" s="9"/>
      <c r="KD154" s="9"/>
      <c r="KE154" s="9"/>
      <c r="KF154" s="9"/>
      <c r="KG154" s="9"/>
      <c r="KH154" s="9"/>
      <c r="KI154" s="9"/>
      <c r="KJ154" s="9"/>
      <c r="KK154" s="9"/>
      <c r="KL154" s="9"/>
      <c r="KM154" s="9"/>
      <c r="KN154" s="9"/>
      <c r="KO154" s="9"/>
      <c r="KP154" s="9"/>
      <c r="KQ154" s="9"/>
      <c r="KR154" s="9"/>
      <c r="KS154" s="9"/>
      <c r="KT154" s="9"/>
      <c r="KU154" s="9"/>
      <c r="KV154" s="9"/>
      <c r="KW154" s="9"/>
      <c r="KX154" s="9"/>
      <c r="KY154" s="9"/>
      <c r="KZ154" s="9"/>
      <c r="LA154" s="9"/>
      <c r="LB154" s="9"/>
      <c r="LC154" s="9"/>
      <c r="LD154" s="9"/>
      <c r="LE154" s="9"/>
      <c r="LF154" s="9"/>
      <c r="LG154" s="9"/>
      <c r="LH154" s="9"/>
      <c r="LI154" s="9"/>
      <c r="LJ154" s="9"/>
      <c r="LK154" s="9"/>
      <c r="LL154" s="9"/>
      <c r="LM154" s="9"/>
      <c r="LN154" s="9"/>
      <c r="LO154" s="9"/>
      <c r="LP154" s="9"/>
      <c r="LQ154" s="9"/>
      <c r="LR154" s="9"/>
      <c r="LS154" s="9"/>
      <c r="LT154" s="9"/>
      <c r="LU154" s="9"/>
      <c r="LV154" s="9"/>
      <c r="LW154" s="9"/>
      <c r="LX154" s="9"/>
      <c r="LY154" s="9"/>
      <c r="LZ154" s="9"/>
      <c r="MA154" s="9"/>
      <c r="MB154" s="9"/>
      <c r="MC154" s="9"/>
      <c r="MD154" s="9"/>
      <c r="ME154" s="9"/>
      <c r="MF154" s="9"/>
      <c r="MG154" s="9"/>
      <c r="MH154" s="9"/>
      <c r="MI154" s="9"/>
      <c r="MJ154" s="9"/>
      <c r="MK154" s="9"/>
      <c r="ML154" s="9"/>
      <c r="MM154" s="9"/>
      <c r="MN154" s="9"/>
      <c r="MO154" s="9"/>
      <c r="MP154" s="9"/>
      <c r="MQ154" s="9"/>
      <c r="MR154" s="9"/>
      <c r="MS154" s="9"/>
      <c r="MT154" s="9"/>
      <c r="MU154" s="9"/>
      <c r="MV154" s="9"/>
      <c r="MW154" s="9"/>
      <c r="MX154" s="9"/>
      <c r="MY154" s="9"/>
      <c r="MZ154" s="9"/>
      <c r="NA154" s="9"/>
      <c r="NB154" s="9"/>
      <c r="NC154" s="9"/>
      <c r="ND154" s="9"/>
      <c r="NE154" s="9"/>
      <c r="NF154" s="9"/>
      <c r="NG154" s="9"/>
      <c r="NH154" s="9"/>
      <c r="NI154" s="9"/>
      <c r="NJ154" s="9"/>
      <c r="NK154" s="9"/>
      <c r="NL154" s="9"/>
      <c r="NM154" s="9"/>
      <c r="NN154" s="9"/>
      <c r="NO154" s="9"/>
      <c r="NP154" s="9"/>
      <c r="NQ154" s="9"/>
      <c r="NR154" s="9"/>
      <c r="NS154" s="9"/>
      <c r="NT154" s="9"/>
      <c r="NU154" s="9"/>
      <c r="NV154" s="9"/>
      <c r="NW154" s="9"/>
      <c r="NX154" s="9"/>
      <c r="NY154" s="9"/>
      <c r="NZ154" s="9"/>
      <c r="OA154" s="9"/>
      <c r="OB154" s="9"/>
      <c r="OC154" s="9"/>
      <c r="OD154" s="9"/>
      <c r="OE154" s="9"/>
      <c r="OF154" s="9"/>
      <c r="OG154" s="9"/>
      <c r="OH154" s="9"/>
      <c r="OI154" s="9"/>
      <c r="OJ154" s="9"/>
      <c r="OK154" s="9"/>
      <c r="OL154" s="9"/>
      <c r="OM154" s="9"/>
      <c r="ON154" s="9"/>
      <c r="OO154" s="9"/>
      <c r="OP154" s="9"/>
      <c r="OQ154" s="9"/>
      <c r="OR154" s="9"/>
      <c r="OS154" s="9"/>
      <c r="OT154" s="9"/>
      <c r="OU154" s="9"/>
      <c r="OV154" s="9"/>
      <c r="OW154" s="9"/>
      <c r="OX154" s="9"/>
      <c r="OY154" s="9"/>
      <c r="OZ154" s="9"/>
      <c r="PA154" s="9"/>
      <c r="PB154" s="9"/>
      <c r="PC154" s="9"/>
      <c r="PD154" s="9"/>
      <c r="PE154" s="9"/>
      <c r="PF154" s="9"/>
      <c r="PG154" s="9"/>
      <c r="PH154" s="9"/>
      <c r="PI154" s="9"/>
      <c r="PJ154" s="9"/>
      <c r="PK154" s="9"/>
      <c r="PL154" s="9"/>
      <c r="PM154" s="9"/>
      <c r="PN154" s="9"/>
      <c r="PO154" s="9"/>
      <c r="PP154" s="9"/>
      <c r="PQ154" s="9"/>
      <c r="PR154" s="9"/>
      <c r="PS154" s="9"/>
      <c r="PT154" s="9"/>
      <c r="PU154" s="9"/>
      <c r="PV154" s="9"/>
      <c r="PW154" s="9"/>
      <c r="PX154" s="9"/>
      <c r="PY154" s="9"/>
      <c r="PZ154" s="9"/>
      <c r="QA154" s="9"/>
      <c r="QB154" s="9"/>
      <c r="QC154" s="9"/>
      <c r="QD154" s="9"/>
      <c r="QE154" s="9"/>
      <c r="QF154" s="9"/>
      <c r="QG154" s="9"/>
      <c r="QH154" s="9"/>
      <c r="QI154" s="9"/>
      <c r="QJ154" s="9"/>
      <c r="QK154" s="9"/>
      <c r="QL154" s="9"/>
      <c r="QM154" s="9"/>
      <c r="QN154" s="9"/>
      <c r="QO154" s="9"/>
      <c r="QP154" s="9"/>
      <c r="QQ154" s="67"/>
      <c r="QR154" s="68"/>
      <c r="QS154" s="63"/>
      <c r="QT154" s="71"/>
    </row>
    <row r="155" spans="1:462" s="11" customFormat="1" x14ac:dyDescent="0.2">
      <c r="A155" s="9">
        <v>10</v>
      </c>
      <c r="B155" s="9"/>
      <c r="C155" s="9"/>
      <c r="D155" s="9" t="s">
        <v>584</v>
      </c>
      <c r="E155" s="65" t="s">
        <v>554</v>
      </c>
      <c r="F155" s="65"/>
      <c r="G155" s="92" t="s">
        <v>2389</v>
      </c>
      <c r="H155" s="66" t="s">
        <v>1664</v>
      </c>
      <c r="I155" s="9" t="s">
        <v>1098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  <c r="IW155" s="9"/>
      <c r="IX155" s="9"/>
      <c r="IY155" s="9"/>
      <c r="IZ155" s="9"/>
      <c r="JA155" s="9"/>
      <c r="JB155" s="9"/>
      <c r="JC155" s="9"/>
      <c r="JD155" s="9"/>
      <c r="JE155" s="9"/>
      <c r="JF155" s="9"/>
      <c r="JG155" s="9"/>
      <c r="JH155" s="9"/>
      <c r="JI155" s="9"/>
      <c r="JJ155" s="9"/>
      <c r="JK155" s="9"/>
      <c r="JL155" s="9"/>
      <c r="JM155" s="9"/>
      <c r="JN155" s="9"/>
      <c r="JO155" s="9" t="s">
        <v>1665</v>
      </c>
      <c r="JP155" s="9"/>
      <c r="JQ155" s="9" t="s">
        <v>1665</v>
      </c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  <c r="KM155" s="9"/>
      <c r="KN155" s="9"/>
      <c r="KO155" s="9"/>
      <c r="KP155" s="9"/>
      <c r="KQ155" s="9"/>
      <c r="KR155" s="9"/>
      <c r="KS155" s="9"/>
      <c r="KT155" s="9"/>
      <c r="KU155" s="9"/>
      <c r="KV155" s="9"/>
      <c r="KW155" s="9"/>
      <c r="KX155" s="9"/>
      <c r="KY155" s="9"/>
      <c r="KZ155" s="9"/>
      <c r="LA155" s="9"/>
      <c r="LB155" s="9"/>
      <c r="LC155" s="9"/>
      <c r="LD155" s="9"/>
      <c r="LE155" s="9"/>
      <c r="LF155" s="9"/>
      <c r="LG155" s="9"/>
      <c r="LH155" s="9"/>
      <c r="LI155" s="9"/>
      <c r="LJ155" s="9"/>
      <c r="LK155" s="9"/>
      <c r="LL155" s="9"/>
      <c r="LM155" s="9"/>
      <c r="LN155" s="9"/>
      <c r="LO155" s="9"/>
      <c r="LP155" s="9"/>
      <c r="LQ155" s="9"/>
      <c r="LR155" s="9"/>
      <c r="LS155" s="9"/>
      <c r="LT155" s="9"/>
      <c r="LU155" s="9"/>
      <c r="LV155" s="9"/>
      <c r="LW155" s="9"/>
      <c r="LX155" s="9"/>
      <c r="LY155" s="9"/>
      <c r="LZ155" s="9"/>
      <c r="MA155" s="9"/>
      <c r="MB155" s="9"/>
      <c r="MC155" s="9"/>
      <c r="MD155" s="9"/>
      <c r="ME155" s="9"/>
      <c r="MF155" s="9"/>
      <c r="MG155" s="9"/>
      <c r="MH155" s="9"/>
      <c r="MI155" s="9"/>
      <c r="MJ155" s="9"/>
      <c r="MK155" s="9"/>
      <c r="ML155" s="9"/>
      <c r="MM155" s="9"/>
      <c r="MN155" s="9"/>
      <c r="MO155" s="9"/>
      <c r="MP155" s="9"/>
      <c r="MQ155" s="9"/>
      <c r="MR155" s="9"/>
      <c r="MS155" s="9"/>
      <c r="MT155" s="9"/>
      <c r="MU155" s="9"/>
      <c r="MV155" s="9"/>
      <c r="MW155" s="9"/>
      <c r="MX155" s="9"/>
      <c r="MY155" s="9"/>
      <c r="MZ155" s="9"/>
      <c r="NA155" s="9"/>
      <c r="NB155" s="9"/>
      <c r="NC155" s="9"/>
      <c r="ND155" s="9"/>
      <c r="NE155" s="9"/>
      <c r="NF155" s="9"/>
      <c r="NG155" s="9"/>
      <c r="NH155" s="9"/>
      <c r="NI155" s="9"/>
      <c r="NJ155" s="9"/>
      <c r="NK155" s="9"/>
      <c r="NL155" s="9"/>
      <c r="NM155" s="9"/>
      <c r="NN155" s="9"/>
      <c r="NO155" s="9"/>
      <c r="NP155" s="9"/>
      <c r="NQ155" s="9"/>
      <c r="NR155" s="9"/>
      <c r="NS155" s="9"/>
      <c r="NT155" s="9"/>
      <c r="NU155" s="9"/>
      <c r="NV155" s="9"/>
      <c r="NW155" s="9"/>
      <c r="NX155" s="9"/>
      <c r="NY155" s="9"/>
      <c r="NZ155" s="9"/>
      <c r="OA155" s="9"/>
      <c r="OB155" s="9"/>
      <c r="OC155" s="9"/>
      <c r="OD155" s="9"/>
      <c r="OE155" s="9"/>
      <c r="OF155" s="9"/>
      <c r="OG155" s="9"/>
      <c r="OH155" s="9"/>
      <c r="OI155" s="9"/>
      <c r="OJ155" s="9"/>
      <c r="OK155" s="9"/>
      <c r="OL155" s="9"/>
      <c r="OM155" s="9"/>
      <c r="ON155" s="9"/>
      <c r="OO155" s="9"/>
      <c r="OP155" s="9"/>
      <c r="OQ155" s="9"/>
      <c r="OR155" s="9"/>
      <c r="OS155" s="9"/>
      <c r="OT155" s="9"/>
      <c r="OU155" s="9"/>
      <c r="OV155" s="9"/>
      <c r="OW155" s="9"/>
      <c r="OX155" s="9"/>
      <c r="OY155" s="9"/>
      <c r="OZ155" s="9"/>
      <c r="PA155" s="9"/>
      <c r="PB155" s="9"/>
      <c r="PC155" s="9"/>
      <c r="PD155" s="9"/>
      <c r="PE155" s="9"/>
      <c r="PF155" s="9"/>
      <c r="PG155" s="9"/>
      <c r="PH155" s="9"/>
      <c r="PI155" s="9"/>
      <c r="PJ155" s="9"/>
      <c r="PK155" s="9"/>
      <c r="PL155" s="9"/>
      <c r="PM155" s="9"/>
      <c r="PN155" s="9"/>
      <c r="PO155" s="9"/>
      <c r="PP155" s="9"/>
      <c r="PQ155" s="9"/>
      <c r="PR155" s="9"/>
      <c r="PS155" s="9"/>
      <c r="PT155" s="9"/>
      <c r="PU155" s="9"/>
      <c r="PV155" s="9"/>
      <c r="PW155" s="9"/>
      <c r="PX155" s="9"/>
      <c r="PY155" s="9"/>
      <c r="PZ155" s="9"/>
      <c r="QA155" s="9"/>
      <c r="QB155" s="9"/>
      <c r="QC155" s="9"/>
      <c r="QD155" s="9"/>
      <c r="QE155" s="9"/>
      <c r="QF155" s="9"/>
      <c r="QG155" s="9"/>
      <c r="QH155" s="9"/>
      <c r="QI155" s="9"/>
      <c r="QJ155" s="9"/>
      <c r="QK155" s="9"/>
      <c r="QL155" s="9"/>
      <c r="QM155" s="9"/>
      <c r="QN155" s="9"/>
      <c r="QO155" s="9"/>
      <c r="QP155" s="9"/>
      <c r="QQ155" s="67"/>
      <c r="QR155" s="68"/>
      <c r="QS155" s="63"/>
      <c r="QT155" s="71"/>
    </row>
    <row r="156" spans="1:462" s="11" customFormat="1" x14ac:dyDescent="0.2">
      <c r="A156" s="9">
        <v>10</v>
      </c>
      <c r="B156" s="9"/>
      <c r="C156" s="9"/>
      <c r="D156" s="9" t="s">
        <v>453</v>
      </c>
      <c r="E156" s="65" t="s">
        <v>47</v>
      </c>
      <c r="F156" s="65"/>
      <c r="G156" s="92" t="s">
        <v>2391</v>
      </c>
      <c r="H156" s="66" t="s">
        <v>1666</v>
      </c>
      <c r="I156" s="9" t="s">
        <v>1098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  <c r="IW156" s="9"/>
      <c r="IX156" s="9"/>
      <c r="IY156" s="9"/>
      <c r="IZ156" s="9"/>
      <c r="JA156" s="9"/>
      <c r="JB156" s="9"/>
      <c r="JC156" s="9"/>
      <c r="JD156" s="9"/>
      <c r="JE156" s="9"/>
      <c r="JF156" s="9"/>
      <c r="JG156" s="9"/>
      <c r="JH156" s="9"/>
      <c r="JI156" s="9"/>
      <c r="JJ156" s="9"/>
      <c r="JK156" s="9"/>
      <c r="JL156" s="9"/>
      <c r="JM156" s="9"/>
      <c r="JN156" s="9"/>
      <c r="JO156" s="9" t="s">
        <v>1098</v>
      </c>
      <c r="JP156" s="9"/>
      <c r="JQ156" s="9" t="s">
        <v>1098</v>
      </c>
      <c r="JR156" s="9"/>
      <c r="JS156" s="9"/>
      <c r="JT156" s="9"/>
      <c r="JU156" s="9"/>
      <c r="JV156" s="9"/>
      <c r="JW156" s="9"/>
      <c r="JX156" s="9"/>
      <c r="JY156" s="9"/>
      <c r="JZ156" s="9"/>
      <c r="KA156" s="9"/>
      <c r="KB156" s="9"/>
      <c r="KC156" s="9"/>
      <c r="KD156" s="9"/>
      <c r="KE156" s="9"/>
      <c r="KF156" s="9"/>
      <c r="KG156" s="9"/>
      <c r="KH156" s="9"/>
      <c r="KI156" s="9"/>
      <c r="KJ156" s="9"/>
      <c r="KK156" s="9"/>
      <c r="KL156" s="9"/>
      <c r="KM156" s="9"/>
      <c r="KN156" s="9"/>
      <c r="KO156" s="9"/>
      <c r="KP156" s="9"/>
      <c r="KQ156" s="9"/>
      <c r="KR156" s="9"/>
      <c r="KS156" s="9"/>
      <c r="KT156" s="9"/>
      <c r="KU156" s="9"/>
      <c r="KV156" s="9"/>
      <c r="KW156" s="9"/>
      <c r="KX156" s="9"/>
      <c r="KY156" s="9"/>
      <c r="KZ156" s="9"/>
      <c r="LA156" s="9"/>
      <c r="LB156" s="9"/>
      <c r="LC156" s="9"/>
      <c r="LD156" s="9"/>
      <c r="LE156" s="9"/>
      <c r="LF156" s="9"/>
      <c r="LG156" s="9"/>
      <c r="LH156" s="9"/>
      <c r="LI156" s="9"/>
      <c r="LJ156" s="9"/>
      <c r="LK156" s="9"/>
      <c r="LL156" s="9"/>
      <c r="LM156" s="9"/>
      <c r="LN156" s="9"/>
      <c r="LO156" s="9"/>
      <c r="LP156" s="9"/>
      <c r="LQ156" s="9"/>
      <c r="LR156" s="9"/>
      <c r="LS156" s="9"/>
      <c r="LT156" s="9"/>
      <c r="LU156" s="9"/>
      <c r="LV156" s="9"/>
      <c r="LW156" s="9"/>
      <c r="LX156" s="9"/>
      <c r="LY156" s="9"/>
      <c r="LZ156" s="9"/>
      <c r="MA156" s="9"/>
      <c r="MB156" s="9"/>
      <c r="MC156" s="9"/>
      <c r="MD156" s="9"/>
      <c r="ME156" s="9"/>
      <c r="MF156" s="9"/>
      <c r="MG156" s="9"/>
      <c r="MH156" s="9"/>
      <c r="MI156" s="9"/>
      <c r="MJ156" s="9"/>
      <c r="MK156" s="9"/>
      <c r="ML156" s="9"/>
      <c r="MM156" s="9"/>
      <c r="MN156" s="9"/>
      <c r="MO156" s="9"/>
      <c r="MP156" s="9"/>
      <c r="MQ156" s="9"/>
      <c r="MR156" s="9"/>
      <c r="MS156" s="9"/>
      <c r="MT156" s="9"/>
      <c r="MU156" s="9"/>
      <c r="MV156" s="9"/>
      <c r="MW156" s="9"/>
      <c r="MX156" s="9"/>
      <c r="MY156" s="9"/>
      <c r="MZ156" s="9"/>
      <c r="NA156" s="9"/>
      <c r="NB156" s="9"/>
      <c r="NC156" s="9"/>
      <c r="ND156" s="9"/>
      <c r="NE156" s="9"/>
      <c r="NF156" s="9"/>
      <c r="NG156" s="9"/>
      <c r="NH156" s="9"/>
      <c r="NI156" s="9"/>
      <c r="NJ156" s="9"/>
      <c r="NK156" s="9"/>
      <c r="NL156" s="9"/>
      <c r="NM156" s="9"/>
      <c r="NN156" s="9"/>
      <c r="NO156" s="9"/>
      <c r="NP156" s="9"/>
      <c r="NQ156" s="9"/>
      <c r="NR156" s="9"/>
      <c r="NS156" s="9"/>
      <c r="NT156" s="9"/>
      <c r="NU156" s="9"/>
      <c r="NV156" s="9"/>
      <c r="NW156" s="9"/>
      <c r="NX156" s="9"/>
      <c r="NY156" s="9"/>
      <c r="NZ156" s="9"/>
      <c r="OA156" s="9"/>
      <c r="OB156" s="9"/>
      <c r="OC156" s="9"/>
      <c r="OD156" s="9"/>
      <c r="OE156" s="9"/>
      <c r="OF156" s="9"/>
      <c r="OG156" s="9"/>
      <c r="OH156" s="9"/>
      <c r="OI156" s="9"/>
      <c r="OJ156" s="9"/>
      <c r="OK156" s="9"/>
      <c r="OL156" s="9"/>
      <c r="OM156" s="9"/>
      <c r="ON156" s="9"/>
      <c r="OO156" s="9"/>
      <c r="OP156" s="9"/>
      <c r="OQ156" s="9"/>
      <c r="OR156" s="9"/>
      <c r="OS156" s="9"/>
      <c r="OT156" s="9"/>
      <c r="OU156" s="9"/>
      <c r="OV156" s="9"/>
      <c r="OW156" s="9"/>
      <c r="OX156" s="9"/>
      <c r="OY156" s="9"/>
      <c r="OZ156" s="9"/>
      <c r="PA156" s="9"/>
      <c r="PB156" s="9"/>
      <c r="PC156" s="9"/>
      <c r="PD156" s="9"/>
      <c r="PE156" s="9"/>
      <c r="PF156" s="9"/>
      <c r="PG156" s="9"/>
      <c r="PH156" s="9"/>
      <c r="PI156" s="9"/>
      <c r="PJ156" s="9"/>
      <c r="PK156" s="9"/>
      <c r="PL156" s="9"/>
      <c r="PM156" s="9"/>
      <c r="PN156" s="9"/>
      <c r="PO156" s="9"/>
      <c r="PP156" s="9"/>
      <c r="PQ156" s="9"/>
      <c r="PR156" s="9"/>
      <c r="PS156" s="9"/>
      <c r="PT156" s="9"/>
      <c r="PU156" s="9"/>
      <c r="PV156" s="9"/>
      <c r="PW156" s="9"/>
      <c r="PX156" s="9"/>
      <c r="PY156" s="9"/>
      <c r="PZ156" s="9"/>
      <c r="QA156" s="9"/>
      <c r="QB156" s="9"/>
      <c r="QC156" s="9"/>
      <c r="QD156" s="9"/>
      <c r="QE156" s="9"/>
      <c r="QF156" s="9"/>
      <c r="QG156" s="9"/>
      <c r="QH156" s="9"/>
      <c r="QI156" s="9"/>
      <c r="QJ156" s="9"/>
      <c r="QK156" s="9"/>
      <c r="QL156" s="9"/>
      <c r="QM156" s="9"/>
      <c r="QN156" s="9"/>
      <c r="QO156" s="9"/>
      <c r="QP156" s="9"/>
      <c r="QQ156" s="67"/>
      <c r="QR156" s="68"/>
      <c r="QS156" s="63"/>
      <c r="QT156" s="71"/>
    </row>
    <row r="157" spans="1:462" s="11" customFormat="1" ht="28" customHeight="1" x14ac:dyDescent="0.2">
      <c r="A157" s="9">
        <v>10</v>
      </c>
      <c r="B157" s="9"/>
      <c r="C157" s="9"/>
      <c r="D157" s="9" t="s">
        <v>2185</v>
      </c>
      <c r="E157" s="65" t="s">
        <v>158</v>
      </c>
      <c r="F157" s="65"/>
      <c r="G157" s="92" t="s">
        <v>2392</v>
      </c>
      <c r="H157" s="66" t="s">
        <v>2187</v>
      </c>
      <c r="I157" s="9" t="s">
        <v>1041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9"/>
      <c r="IC157" s="9"/>
      <c r="ID157" s="9"/>
      <c r="IE157" s="9"/>
      <c r="IF157" s="9"/>
      <c r="IG157" s="9"/>
      <c r="IH157" s="9"/>
      <c r="II157" s="9"/>
      <c r="IJ157" s="9"/>
      <c r="IK157" s="9"/>
      <c r="IL157" s="9"/>
      <c r="IM157" s="9"/>
      <c r="IN157" s="9"/>
      <c r="IO157" s="9"/>
      <c r="IP157" s="9"/>
      <c r="IQ157" s="9"/>
      <c r="IR157" s="9"/>
      <c r="IS157" s="9"/>
      <c r="IT157" s="9"/>
      <c r="IU157" s="9"/>
      <c r="IV157" s="9"/>
      <c r="IW157" s="9"/>
      <c r="IX157" s="9"/>
      <c r="IY157" s="9"/>
      <c r="IZ157" s="9"/>
      <c r="JA157" s="9"/>
      <c r="JB157" s="9"/>
      <c r="JC157" s="9"/>
      <c r="JD157" s="9"/>
      <c r="JE157" s="9"/>
      <c r="JF157" s="9"/>
      <c r="JG157" s="9"/>
      <c r="JH157" s="9"/>
      <c r="JI157" s="9"/>
      <c r="JJ157" s="9"/>
      <c r="JK157" s="9"/>
      <c r="JL157" s="9"/>
      <c r="JM157" s="9"/>
      <c r="JN157" s="9"/>
      <c r="JO157" s="9" t="s">
        <v>1041</v>
      </c>
      <c r="JP157" s="9"/>
      <c r="JQ157" s="9" t="s">
        <v>1041</v>
      </c>
      <c r="JR157" s="9"/>
      <c r="JS157" s="9"/>
      <c r="JT157" s="9"/>
      <c r="JU157" s="9"/>
      <c r="JV157" s="9"/>
      <c r="JW157" s="9"/>
      <c r="JX157" s="9"/>
      <c r="JY157" s="9"/>
      <c r="JZ157" s="9"/>
      <c r="KA157" s="9"/>
      <c r="KB157" s="9"/>
      <c r="KC157" s="9"/>
      <c r="KD157" s="9"/>
      <c r="KE157" s="9"/>
      <c r="KF157" s="9"/>
      <c r="KG157" s="9"/>
      <c r="KH157" s="9"/>
      <c r="KI157" s="9"/>
      <c r="KJ157" s="9"/>
      <c r="KK157" s="9"/>
      <c r="KL157" s="9"/>
      <c r="KM157" s="9"/>
      <c r="KN157" s="9"/>
      <c r="KO157" s="9"/>
      <c r="KP157" s="9"/>
      <c r="KQ157" s="9"/>
      <c r="KR157" s="9"/>
      <c r="KS157" s="9"/>
      <c r="KT157" s="9"/>
      <c r="KU157" s="9"/>
      <c r="KV157" s="9"/>
      <c r="KW157" s="9"/>
      <c r="KX157" s="9"/>
      <c r="KY157" s="9"/>
      <c r="KZ157" s="9"/>
      <c r="LA157" s="9"/>
      <c r="LB157" s="9"/>
      <c r="LC157" s="9"/>
      <c r="LD157" s="9"/>
      <c r="LE157" s="9"/>
      <c r="LF157" s="9"/>
      <c r="LG157" s="9"/>
      <c r="LH157" s="9"/>
      <c r="LI157" s="9"/>
      <c r="LJ157" s="9"/>
      <c r="LK157" s="9"/>
      <c r="LL157" s="9"/>
      <c r="LM157" s="9"/>
      <c r="LN157" s="9"/>
      <c r="LO157" s="9"/>
      <c r="LP157" s="9"/>
      <c r="LQ157" s="9"/>
      <c r="LR157" s="9"/>
      <c r="LS157" s="9"/>
      <c r="LT157" s="9"/>
      <c r="LU157" s="9"/>
      <c r="LV157" s="9"/>
      <c r="LW157" s="9"/>
      <c r="LX157" s="9"/>
      <c r="LY157" s="9"/>
      <c r="LZ157" s="9"/>
      <c r="MA157" s="9"/>
      <c r="MB157" s="9"/>
      <c r="MC157" s="9"/>
      <c r="MD157" s="9"/>
      <c r="ME157" s="9"/>
      <c r="MF157" s="9"/>
      <c r="MG157" s="9"/>
      <c r="MH157" s="9"/>
      <c r="MI157" s="9"/>
      <c r="MJ157" s="9"/>
      <c r="MK157" s="9"/>
      <c r="ML157" s="9"/>
      <c r="MM157" s="9"/>
      <c r="MN157" s="9"/>
      <c r="MO157" s="9"/>
      <c r="MP157" s="9"/>
      <c r="MQ157" s="9"/>
      <c r="MR157" s="9"/>
      <c r="MS157" s="9"/>
      <c r="MT157" s="9"/>
      <c r="MU157" s="9"/>
      <c r="MV157" s="9"/>
      <c r="MW157" s="9"/>
      <c r="MX157" s="9"/>
      <c r="MY157" s="9"/>
      <c r="MZ157" s="9"/>
      <c r="NA157" s="9"/>
      <c r="NB157" s="9"/>
      <c r="NC157" s="9"/>
      <c r="ND157" s="9"/>
      <c r="NE157" s="9"/>
      <c r="NF157" s="9"/>
      <c r="NG157" s="9"/>
      <c r="NH157" s="9"/>
      <c r="NI157" s="9"/>
      <c r="NJ157" s="9"/>
      <c r="NK157" s="9"/>
      <c r="NL157" s="9"/>
      <c r="NM157" s="9"/>
      <c r="NN157" s="9"/>
      <c r="NO157" s="9"/>
      <c r="NP157" s="9"/>
      <c r="NQ157" s="9"/>
      <c r="NR157" s="9"/>
      <c r="NS157" s="9"/>
      <c r="NT157" s="9"/>
      <c r="NU157" s="9"/>
      <c r="NV157" s="9"/>
      <c r="NW157" s="9"/>
      <c r="NX157" s="9"/>
      <c r="NY157" s="9"/>
      <c r="NZ157" s="9"/>
      <c r="OA157" s="9"/>
      <c r="OB157" s="9"/>
      <c r="OC157" s="9"/>
      <c r="OD157" s="9"/>
      <c r="OE157" s="9"/>
      <c r="OF157" s="9"/>
      <c r="OG157" s="9"/>
      <c r="OH157" s="9"/>
      <c r="OI157" s="9"/>
      <c r="OJ157" s="9"/>
      <c r="OK157" s="9"/>
      <c r="OL157" s="9"/>
      <c r="OM157" s="9"/>
      <c r="ON157" s="9"/>
      <c r="OO157" s="9"/>
      <c r="OP157" s="9"/>
      <c r="OQ157" s="9"/>
      <c r="OR157" s="9"/>
      <c r="OS157" s="9"/>
      <c r="OT157" s="9"/>
      <c r="OU157" s="9"/>
      <c r="OV157" s="9"/>
      <c r="OW157" s="9"/>
      <c r="OX157" s="9"/>
      <c r="OY157" s="9"/>
      <c r="OZ157" s="9"/>
      <c r="PA157" s="9"/>
      <c r="PB157" s="9"/>
      <c r="PC157" s="9"/>
      <c r="PD157" s="9"/>
      <c r="PE157" s="9"/>
      <c r="PF157" s="9"/>
      <c r="PG157" s="9"/>
      <c r="PH157" s="9"/>
      <c r="PI157" s="9"/>
      <c r="PJ157" s="9"/>
      <c r="PK157" s="9"/>
      <c r="PL157" s="9"/>
      <c r="PM157" s="9"/>
      <c r="PN157" s="9"/>
      <c r="PO157" s="9"/>
      <c r="PP157" s="9"/>
      <c r="PQ157" s="9"/>
      <c r="PR157" s="9"/>
      <c r="PS157" s="9"/>
      <c r="PT157" s="9"/>
      <c r="PU157" s="9"/>
      <c r="PV157" s="9"/>
      <c r="PW157" s="9"/>
      <c r="PX157" s="9"/>
      <c r="PY157" s="9"/>
      <c r="PZ157" s="9"/>
      <c r="QA157" s="9"/>
      <c r="QB157" s="9"/>
      <c r="QC157" s="9"/>
      <c r="QD157" s="9"/>
      <c r="QE157" s="9"/>
      <c r="QF157" s="9"/>
      <c r="QG157" s="9"/>
      <c r="QH157" s="9"/>
      <c r="QI157" s="9"/>
      <c r="QJ157" s="9"/>
      <c r="QK157" s="9"/>
      <c r="QL157" s="9"/>
      <c r="QM157" s="9"/>
      <c r="QN157" s="9"/>
      <c r="QO157" s="9"/>
      <c r="QP157" s="9"/>
      <c r="QQ157" s="67"/>
      <c r="QR157" s="68"/>
      <c r="QS157" s="63"/>
      <c r="QT157" s="71"/>
    </row>
    <row r="158" spans="1:462" s="11" customFormat="1" ht="28" customHeight="1" x14ac:dyDescent="0.2">
      <c r="A158" s="9">
        <v>10</v>
      </c>
      <c r="B158" s="9"/>
      <c r="C158" s="9"/>
      <c r="D158" s="9" t="s">
        <v>2186</v>
      </c>
      <c r="E158" s="65" t="s">
        <v>158</v>
      </c>
      <c r="F158" s="65"/>
      <c r="G158" s="92" t="s">
        <v>2393</v>
      </c>
      <c r="H158" s="66" t="s">
        <v>2188</v>
      </c>
      <c r="I158" s="9" t="s">
        <v>1041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/>
      <c r="IA158" s="9"/>
      <c r="IB158" s="9"/>
      <c r="IC158" s="9"/>
      <c r="ID158" s="9"/>
      <c r="IE158" s="9"/>
      <c r="IF158" s="9"/>
      <c r="IG158" s="9"/>
      <c r="IH158" s="9"/>
      <c r="II158" s="9"/>
      <c r="IJ158" s="9"/>
      <c r="IK158" s="9"/>
      <c r="IL158" s="9"/>
      <c r="IM158" s="9"/>
      <c r="IN158" s="9"/>
      <c r="IO158" s="9"/>
      <c r="IP158" s="9"/>
      <c r="IQ158" s="9"/>
      <c r="IR158" s="9"/>
      <c r="IS158" s="9"/>
      <c r="IT158" s="9"/>
      <c r="IU158" s="9"/>
      <c r="IV158" s="9"/>
      <c r="IW158" s="9"/>
      <c r="IX158" s="9"/>
      <c r="IY158" s="9"/>
      <c r="IZ158" s="9"/>
      <c r="JA158" s="9"/>
      <c r="JB158" s="9"/>
      <c r="JC158" s="9"/>
      <c r="JD158" s="9"/>
      <c r="JE158" s="9"/>
      <c r="JF158" s="9"/>
      <c r="JG158" s="9"/>
      <c r="JH158" s="9"/>
      <c r="JI158" s="9"/>
      <c r="JJ158" s="9"/>
      <c r="JK158" s="9"/>
      <c r="JL158" s="9"/>
      <c r="JM158" s="9"/>
      <c r="JN158" s="9"/>
      <c r="JO158" s="9" t="s">
        <v>1041</v>
      </c>
      <c r="JP158" s="9"/>
      <c r="JQ158" s="9" t="s">
        <v>1041</v>
      </c>
      <c r="JR158" s="9"/>
      <c r="JS158" s="9"/>
      <c r="JT158" s="9"/>
      <c r="JU158" s="9"/>
      <c r="JV158" s="9"/>
      <c r="JW158" s="9"/>
      <c r="JX158" s="9"/>
      <c r="JY158" s="9"/>
      <c r="JZ158" s="9"/>
      <c r="KA158" s="9"/>
      <c r="KB158" s="9"/>
      <c r="KC158" s="9"/>
      <c r="KD158" s="9"/>
      <c r="KE158" s="9"/>
      <c r="KF158" s="9"/>
      <c r="KG158" s="9"/>
      <c r="KH158" s="9"/>
      <c r="KI158" s="9"/>
      <c r="KJ158" s="9"/>
      <c r="KK158" s="9"/>
      <c r="KL158" s="9"/>
      <c r="KM158" s="9"/>
      <c r="KN158" s="9"/>
      <c r="KO158" s="9"/>
      <c r="KP158" s="9"/>
      <c r="KQ158" s="9"/>
      <c r="KR158" s="9"/>
      <c r="KS158" s="9"/>
      <c r="KT158" s="9"/>
      <c r="KU158" s="9"/>
      <c r="KV158" s="9"/>
      <c r="KW158" s="9"/>
      <c r="KX158" s="9"/>
      <c r="KY158" s="9"/>
      <c r="KZ158" s="9"/>
      <c r="LA158" s="9"/>
      <c r="LB158" s="9"/>
      <c r="LC158" s="9"/>
      <c r="LD158" s="9"/>
      <c r="LE158" s="9"/>
      <c r="LF158" s="9"/>
      <c r="LG158" s="9"/>
      <c r="LH158" s="9"/>
      <c r="LI158" s="9"/>
      <c r="LJ158" s="9"/>
      <c r="LK158" s="9"/>
      <c r="LL158" s="9"/>
      <c r="LM158" s="9"/>
      <c r="LN158" s="9"/>
      <c r="LO158" s="9"/>
      <c r="LP158" s="9"/>
      <c r="LQ158" s="9"/>
      <c r="LR158" s="9"/>
      <c r="LS158" s="9"/>
      <c r="LT158" s="9"/>
      <c r="LU158" s="9"/>
      <c r="LV158" s="9"/>
      <c r="LW158" s="9"/>
      <c r="LX158" s="9"/>
      <c r="LY158" s="9"/>
      <c r="LZ158" s="9"/>
      <c r="MA158" s="9"/>
      <c r="MB158" s="9"/>
      <c r="MC158" s="9"/>
      <c r="MD158" s="9"/>
      <c r="ME158" s="9"/>
      <c r="MF158" s="9"/>
      <c r="MG158" s="9"/>
      <c r="MH158" s="9"/>
      <c r="MI158" s="9"/>
      <c r="MJ158" s="9"/>
      <c r="MK158" s="9"/>
      <c r="ML158" s="9"/>
      <c r="MM158" s="9"/>
      <c r="MN158" s="9"/>
      <c r="MO158" s="9"/>
      <c r="MP158" s="9"/>
      <c r="MQ158" s="9"/>
      <c r="MR158" s="9"/>
      <c r="MS158" s="9"/>
      <c r="MT158" s="9"/>
      <c r="MU158" s="9"/>
      <c r="MV158" s="9"/>
      <c r="MW158" s="9"/>
      <c r="MX158" s="9"/>
      <c r="MY158" s="9"/>
      <c r="MZ158" s="9"/>
      <c r="NA158" s="9"/>
      <c r="NB158" s="9"/>
      <c r="NC158" s="9"/>
      <c r="ND158" s="9"/>
      <c r="NE158" s="9"/>
      <c r="NF158" s="9"/>
      <c r="NG158" s="9"/>
      <c r="NH158" s="9"/>
      <c r="NI158" s="9"/>
      <c r="NJ158" s="9"/>
      <c r="NK158" s="9"/>
      <c r="NL158" s="9"/>
      <c r="NM158" s="9"/>
      <c r="NN158" s="9"/>
      <c r="NO158" s="9"/>
      <c r="NP158" s="9"/>
      <c r="NQ158" s="9"/>
      <c r="NR158" s="9"/>
      <c r="NS158" s="9"/>
      <c r="NT158" s="9"/>
      <c r="NU158" s="9"/>
      <c r="NV158" s="9"/>
      <c r="NW158" s="9"/>
      <c r="NX158" s="9"/>
      <c r="NY158" s="9"/>
      <c r="NZ158" s="9"/>
      <c r="OA158" s="9"/>
      <c r="OB158" s="9"/>
      <c r="OC158" s="9"/>
      <c r="OD158" s="9"/>
      <c r="OE158" s="9"/>
      <c r="OF158" s="9"/>
      <c r="OG158" s="9"/>
      <c r="OH158" s="9"/>
      <c r="OI158" s="9"/>
      <c r="OJ158" s="9"/>
      <c r="OK158" s="9"/>
      <c r="OL158" s="9"/>
      <c r="OM158" s="9"/>
      <c r="ON158" s="9"/>
      <c r="OO158" s="9"/>
      <c r="OP158" s="9"/>
      <c r="OQ158" s="9"/>
      <c r="OR158" s="9"/>
      <c r="OS158" s="9"/>
      <c r="OT158" s="9"/>
      <c r="OU158" s="9"/>
      <c r="OV158" s="9"/>
      <c r="OW158" s="9"/>
      <c r="OX158" s="9"/>
      <c r="OY158" s="9"/>
      <c r="OZ158" s="9"/>
      <c r="PA158" s="9"/>
      <c r="PB158" s="9"/>
      <c r="PC158" s="9"/>
      <c r="PD158" s="9"/>
      <c r="PE158" s="9"/>
      <c r="PF158" s="9"/>
      <c r="PG158" s="9"/>
      <c r="PH158" s="9"/>
      <c r="PI158" s="9"/>
      <c r="PJ158" s="9"/>
      <c r="PK158" s="9"/>
      <c r="PL158" s="9"/>
      <c r="PM158" s="9"/>
      <c r="PN158" s="9"/>
      <c r="PO158" s="9"/>
      <c r="PP158" s="9"/>
      <c r="PQ158" s="9"/>
      <c r="PR158" s="9"/>
      <c r="PS158" s="9"/>
      <c r="PT158" s="9"/>
      <c r="PU158" s="9"/>
      <c r="PV158" s="9"/>
      <c r="PW158" s="9"/>
      <c r="PX158" s="9"/>
      <c r="PY158" s="9"/>
      <c r="PZ158" s="9"/>
      <c r="QA158" s="9"/>
      <c r="QB158" s="9"/>
      <c r="QC158" s="9"/>
      <c r="QD158" s="9"/>
      <c r="QE158" s="9"/>
      <c r="QF158" s="9"/>
      <c r="QG158" s="9"/>
      <c r="QH158" s="9"/>
      <c r="QI158" s="9"/>
      <c r="QJ158" s="9"/>
      <c r="QK158" s="9"/>
      <c r="QL158" s="9"/>
      <c r="QM158" s="9"/>
      <c r="QN158" s="9"/>
      <c r="QO158" s="9"/>
      <c r="QP158" s="9"/>
      <c r="QQ158" s="67"/>
      <c r="QR158" s="68"/>
      <c r="QS158" s="63"/>
      <c r="QT158" s="71"/>
    </row>
    <row r="159" spans="1:462" s="11" customFormat="1" x14ac:dyDescent="0.2">
      <c r="A159" s="9">
        <v>10</v>
      </c>
      <c r="B159" s="9"/>
      <c r="C159" s="9"/>
      <c r="D159" s="9" t="s">
        <v>451</v>
      </c>
      <c r="E159" s="65" t="s">
        <v>554</v>
      </c>
      <c r="F159" s="65"/>
      <c r="G159" s="91" t="s">
        <v>2389</v>
      </c>
      <c r="H159" s="66" t="s">
        <v>1664</v>
      </c>
      <c r="I159" s="9" t="s">
        <v>1098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  <c r="IP159" s="9"/>
      <c r="IQ159" s="9"/>
      <c r="IR159" s="9"/>
      <c r="IS159" s="9"/>
      <c r="IT159" s="9"/>
      <c r="IU159" s="9"/>
      <c r="IV159" s="9"/>
      <c r="IW159" s="9"/>
      <c r="IX159" s="9"/>
      <c r="IY159" s="9"/>
      <c r="IZ159" s="9"/>
      <c r="JA159" s="9"/>
      <c r="JB159" s="9"/>
      <c r="JC159" s="9"/>
      <c r="JD159" s="9"/>
      <c r="JE159" s="9"/>
      <c r="JF159" s="9"/>
      <c r="JG159" s="9"/>
      <c r="JH159" s="9"/>
      <c r="JI159" s="9"/>
      <c r="JJ159" s="9"/>
      <c r="JK159" s="9"/>
      <c r="JL159" s="9"/>
      <c r="JM159" s="9"/>
      <c r="JN159" s="9"/>
      <c r="JO159" s="9"/>
      <c r="JP159" s="9"/>
      <c r="JQ159" s="9"/>
      <c r="JR159" s="9"/>
      <c r="JS159" s="9"/>
      <c r="JT159" s="9"/>
      <c r="JU159" s="9"/>
      <c r="JV159" s="9"/>
      <c r="JW159" s="9" t="s">
        <v>1098</v>
      </c>
      <c r="JX159" s="9"/>
      <c r="JY159" s="9" t="s">
        <v>1098</v>
      </c>
      <c r="JZ159" s="9"/>
      <c r="KA159" s="9"/>
      <c r="KB159" s="9"/>
      <c r="KC159" s="9"/>
      <c r="KD159" s="9"/>
      <c r="KE159" s="9"/>
      <c r="KF159" s="9"/>
      <c r="KG159" s="9"/>
      <c r="KH159" s="9"/>
      <c r="KI159" s="9"/>
      <c r="KJ159" s="9"/>
      <c r="KK159" s="9"/>
      <c r="KL159" s="9"/>
      <c r="KM159" s="9"/>
      <c r="KN159" s="9"/>
      <c r="KO159" s="9"/>
      <c r="KP159" s="9"/>
      <c r="KQ159" s="9"/>
      <c r="KR159" s="9"/>
      <c r="KS159" s="9"/>
      <c r="KT159" s="9"/>
      <c r="KU159" s="9"/>
      <c r="KV159" s="9"/>
      <c r="KW159" s="9"/>
      <c r="KX159" s="9"/>
      <c r="KY159" s="9"/>
      <c r="KZ159" s="9"/>
      <c r="LA159" s="9"/>
      <c r="LB159" s="9"/>
      <c r="LC159" s="9"/>
      <c r="LD159" s="9"/>
      <c r="LE159" s="9"/>
      <c r="LF159" s="9"/>
      <c r="LG159" s="9"/>
      <c r="LH159" s="9"/>
      <c r="LI159" s="9"/>
      <c r="LJ159" s="9"/>
      <c r="LK159" s="9"/>
      <c r="LL159" s="9"/>
      <c r="LM159" s="9"/>
      <c r="LN159" s="9"/>
      <c r="LO159" s="9"/>
      <c r="LP159" s="9"/>
      <c r="LQ159" s="9"/>
      <c r="LR159" s="9"/>
      <c r="LS159" s="9"/>
      <c r="LT159" s="9"/>
      <c r="LU159" s="9"/>
      <c r="LV159" s="9"/>
      <c r="LW159" s="9"/>
      <c r="LX159" s="9"/>
      <c r="LY159" s="9"/>
      <c r="LZ159" s="9"/>
      <c r="MA159" s="9"/>
      <c r="MB159" s="9"/>
      <c r="MC159" s="9"/>
      <c r="MD159" s="9"/>
      <c r="ME159" s="9"/>
      <c r="MF159" s="9"/>
      <c r="MG159" s="9"/>
      <c r="MH159" s="9"/>
      <c r="MI159" s="9"/>
      <c r="MJ159" s="9"/>
      <c r="MK159" s="9"/>
      <c r="ML159" s="9"/>
      <c r="MM159" s="9"/>
      <c r="MN159" s="9"/>
      <c r="MO159" s="9"/>
      <c r="MP159" s="9"/>
      <c r="MQ159" s="9"/>
      <c r="MR159" s="9"/>
      <c r="MS159" s="9"/>
      <c r="MT159" s="9"/>
      <c r="MU159" s="9"/>
      <c r="MV159" s="9"/>
      <c r="MW159" s="9"/>
      <c r="MX159" s="9"/>
      <c r="MY159" s="9"/>
      <c r="MZ159" s="9"/>
      <c r="NA159" s="9"/>
      <c r="NB159" s="9"/>
      <c r="NC159" s="9"/>
      <c r="ND159" s="9"/>
      <c r="NE159" s="9"/>
      <c r="NF159" s="9"/>
      <c r="NG159" s="9"/>
      <c r="NH159" s="9"/>
      <c r="NI159" s="9"/>
      <c r="NJ159" s="9"/>
      <c r="NK159" s="9"/>
      <c r="NL159" s="9"/>
      <c r="NM159" s="9"/>
      <c r="NN159" s="9"/>
      <c r="NO159" s="9"/>
      <c r="NP159" s="9"/>
      <c r="NQ159" s="9"/>
      <c r="NR159" s="9"/>
      <c r="NS159" s="9"/>
      <c r="NT159" s="9"/>
      <c r="NU159" s="9"/>
      <c r="NV159" s="9"/>
      <c r="NW159" s="9"/>
      <c r="NX159" s="9"/>
      <c r="NY159" s="9"/>
      <c r="NZ159" s="9"/>
      <c r="OA159" s="9"/>
      <c r="OB159" s="9"/>
      <c r="OC159" s="9"/>
      <c r="OD159" s="9"/>
      <c r="OE159" s="9"/>
      <c r="OF159" s="9"/>
      <c r="OG159" s="9"/>
      <c r="OH159" s="9"/>
      <c r="OI159" s="9"/>
      <c r="OJ159" s="9"/>
      <c r="OK159" s="9"/>
      <c r="OL159" s="9"/>
      <c r="OM159" s="9"/>
      <c r="ON159" s="9"/>
      <c r="OO159" s="9"/>
      <c r="OP159" s="9"/>
      <c r="OQ159" s="9"/>
      <c r="OR159" s="9"/>
      <c r="OS159" s="9"/>
      <c r="OT159" s="9"/>
      <c r="OU159" s="9"/>
      <c r="OV159" s="9"/>
      <c r="OW159" s="9"/>
      <c r="OX159" s="9"/>
      <c r="OY159" s="9"/>
      <c r="OZ159" s="9"/>
      <c r="PA159" s="9"/>
      <c r="PB159" s="9"/>
      <c r="PC159" s="9"/>
      <c r="PD159" s="9"/>
      <c r="PE159" s="9"/>
      <c r="PF159" s="9"/>
      <c r="PG159" s="9"/>
      <c r="PH159" s="9"/>
      <c r="PI159" s="9"/>
      <c r="PJ159" s="9"/>
      <c r="PK159" s="9"/>
      <c r="PL159" s="9"/>
      <c r="PM159" s="9"/>
      <c r="PN159" s="9"/>
      <c r="PO159" s="9"/>
      <c r="PP159" s="9"/>
      <c r="PQ159" s="9"/>
      <c r="PR159" s="9"/>
      <c r="PS159" s="9"/>
      <c r="PT159" s="9"/>
      <c r="PU159" s="9"/>
      <c r="PV159" s="9"/>
      <c r="PW159" s="9"/>
      <c r="PX159" s="9"/>
      <c r="PY159" s="9"/>
      <c r="PZ159" s="9"/>
      <c r="QA159" s="9"/>
      <c r="QB159" s="9"/>
      <c r="QC159" s="9"/>
      <c r="QD159" s="9"/>
      <c r="QE159" s="9"/>
      <c r="QF159" s="9"/>
      <c r="QG159" s="9"/>
      <c r="QH159" s="9"/>
      <c r="QI159" s="9"/>
      <c r="QJ159" s="9"/>
      <c r="QK159" s="9"/>
      <c r="QL159" s="9"/>
      <c r="QM159" s="9"/>
      <c r="QN159" s="9"/>
      <c r="QO159" s="9"/>
      <c r="QP159" s="9"/>
      <c r="QQ159" s="67"/>
      <c r="QR159" s="68"/>
      <c r="QS159" s="63"/>
      <c r="QT159" s="71"/>
    </row>
    <row r="160" spans="1:462" s="11" customFormat="1" x14ac:dyDescent="0.2">
      <c r="A160" s="9">
        <v>10</v>
      </c>
      <c r="B160" s="9"/>
      <c r="C160" s="9"/>
      <c r="D160" s="9" t="s">
        <v>452</v>
      </c>
      <c r="E160" s="65" t="s">
        <v>555</v>
      </c>
      <c r="F160" s="65"/>
      <c r="G160" s="92" t="s">
        <v>2394</v>
      </c>
      <c r="H160" s="66" t="s">
        <v>1667</v>
      </c>
      <c r="I160" s="9" t="s">
        <v>1098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  <c r="IW160" s="9"/>
      <c r="IX160" s="9"/>
      <c r="IY160" s="9"/>
      <c r="IZ160" s="9"/>
      <c r="JA160" s="9"/>
      <c r="JB160" s="9"/>
      <c r="JC160" s="9"/>
      <c r="JD160" s="9"/>
      <c r="JE160" s="9"/>
      <c r="JF160" s="9"/>
      <c r="JG160" s="9"/>
      <c r="JH160" s="9"/>
      <c r="JI160" s="9"/>
      <c r="JJ160" s="9"/>
      <c r="JK160" s="9"/>
      <c r="JL160" s="9"/>
      <c r="JM160" s="9"/>
      <c r="JN160" s="9"/>
      <c r="JO160" s="9"/>
      <c r="JP160" s="9"/>
      <c r="JQ160" s="9"/>
      <c r="JR160" s="9"/>
      <c r="JS160" s="9"/>
      <c r="JT160" s="9"/>
      <c r="JU160" s="9"/>
      <c r="JV160" s="9"/>
      <c r="JW160" s="9" t="s">
        <v>1098</v>
      </c>
      <c r="JX160" s="9"/>
      <c r="JY160" s="9" t="s">
        <v>1098</v>
      </c>
      <c r="JZ160" s="9"/>
      <c r="KA160" s="9"/>
      <c r="KB160" s="9"/>
      <c r="KC160" s="9"/>
      <c r="KD160" s="9"/>
      <c r="KE160" s="9"/>
      <c r="KF160" s="9"/>
      <c r="KG160" s="9"/>
      <c r="KH160" s="9"/>
      <c r="KI160" s="9"/>
      <c r="KJ160" s="9"/>
      <c r="KK160" s="9"/>
      <c r="KL160" s="9"/>
      <c r="KM160" s="9"/>
      <c r="KN160" s="9"/>
      <c r="KO160" s="9"/>
      <c r="KP160" s="9"/>
      <c r="KQ160" s="9"/>
      <c r="KR160" s="9"/>
      <c r="KS160" s="9"/>
      <c r="KT160" s="9"/>
      <c r="KU160" s="9"/>
      <c r="KV160" s="9"/>
      <c r="KW160" s="9"/>
      <c r="KX160" s="9"/>
      <c r="KY160" s="9"/>
      <c r="KZ160" s="9"/>
      <c r="LA160" s="9"/>
      <c r="LB160" s="9"/>
      <c r="LC160" s="9"/>
      <c r="LD160" s="9"/>
      <c r="LE160" s="9"/>
      <c r="LF160" s="9"/>
      <c r="LG160" s="9"/>
      <c r="LH160" s="9"/>
      <c r="LI160" s="9"/>
      <c r="LJ160" s="9"/>
      <c r="LK160" s="9"/>
      <c r="LL160" s="9"/>
      <c r="LM160" s="9"/>
      <c r="LN160" s="9"/>
      <c r="LO160" s="9"/>
      <c r="LP160" s="9"/>
      <c r="LQ160" s="9"/>
      <c r="LR160" s="9"/>
      <c r="LS160" s="9"/>
      <c r="LT160" s="9"/>
      <c r="LU160" s="9"/>
      <c r="LV160" s="9"/>
      <c r="LW160" s="9"/>
      <c r="LX160" s="9"/>
      <c r="LY160" s="9"/>
      <c r="LZ160" s="9"/>
      <c r="MA160" s="9"/>
      <c r="MB160" s="9"/>
      <c r="MC160" s="9"/>
      <c r="MD160" s="9"/>
      <c r="ME160" s="9"/>
      <c r="MF160" s="9"/>
      <c r="MG160" s="9"/>
      <c r="MH160" s="9"/>
      <c r="MI160" s="9"/>
      <c r="MJ160" s="9"/>
      <c r="MK160" s="9"/>
      <c r="ML160" s="9"/>
      <c r="MM160" s="9"/>
      <c r="MN160" s="9"/>
      <c r="MO160" s="9"/>
      <c r="MP160" s="9"/>
      <c r="MQ160" s="9"/>
      <c r="MR160" s="9"/>
      <c r="MS160" s="9"/>
      <c r="MT160" s="9"/>
      <c r="MU160" s="9"/>
      <c r="MV160" s="9"/>
      <c r="MW160" s="9"/>
      <c r="MX160" s="9"/>
      <c r="MY160" s="9"/>
      <c r="MZ160" s="9"/>
      <c r="NA160" s="9"/>
      <c r="NB160" s="9"/>
      <c r="NC160" s="9"/>
      <c r="ND160" s="9"/>
      <c r="NE160" s="9"/>
      <c r="NF160" s="9"/>
      <c r="NG160" s="9"/>
      <c r="NH160" s="9"/>
      <c r="NI160" s="9"/>
      <c r="NJ160" s="9"/>
      <c r="NK160" s="9"/>
      <c r="NL160" s="9"/>
      <c r="NM160" s="9"/>
      <c r="NN160" s="9"/>
      <c r="NO160" s="9"/>
      <c r="NP160" s="9"/>
      <c r="NQ160" s="9"/>
      <c r="NR160" s="9"/>
      <c r="NS160" s="9"/>
      <c r="NT160" s="9"/>
      <c r="NU160" s="9"/>
      <c r="NV160" s="9"/>
      <c r="NW160" s="9"/>
      <c r="NX160" s="9"/>
      <c r="NY160" s="9"/>
      <c r="NZ160" s="9"/>
      <c r="OA160" s="9"/>
      <c r="OB160" s="9"/>
      <c r="OC160" s="9"/>
      <c r="OD160" s="9"/>
      <c r="OE160" s="9"/>
      <c r="OF160" s="9"/>
      <c r="OG160" s="9"/>
      <c r="OH160" s="9"/>
      <c r="OI160" s="9"/>
      <c r="OJ160" s="9"/>
      <c r="OK160" s="9"/>
      <c r="OL160" s="9"/>
      <c r="OM160" s="9"/>
      <c r="ON160" s="9"/>
      <c r="OO160" s="9"/>
      <c r="OP160" s="9"/>
      <c r="OQ160" s="9"/>
      <c r="OR160" s="9"/>
      <c r="OS160" s="9"/>
      <c r="OT160" s="9"/>
      <c r="OU160" s="9"/>
      <c r="OV160" s="9"/>
      <c r="OW160" s="9"/>
      <c r="OX160" s="9"/>
      <c r="OY160" s="9"/>
      <c r="OZ160" s="9"/>
      <c r="PA160" s="9"/>
      <c r="PB160" s="9"/>
      <c r="PC160" s="9"/>
      <c r="PD160" s="9"/>
      <c r="PE160" s="9"/>
      <c r="PF160" s="9"/>
      <c r="PG160" s="9"/>
      <c r="PH160" s="9"/>
      <c r="PI160" s="9"/>
      <c r="PJ160" s="9"/>
      <c r="PK160" s="9"/>
      <c r="PL160" s="9"/>
      <c r="PM160" s="9"/>
      <c r="PN160" s="9"/>
      <c r="PO160" s="9"/>
      <c r="PP160" s="9"/>
      <c r="PQ160" s="9"/>
      <c r="PR160" s="9"/>
      <c r="PS160" s="9"/>
      <c r="PT160" s="9"/>
      <c r="PU160" s="9"/>
      <c r="PV160" s="9"/>
      <c r="PW160" s="9"/>
      <c r="PX160" s="9"/>
      <c r="PY160" s="9"/>
      <c r="PZ160" s="9"/>
      <c r="QA160" s="9"/>
      <c r="QB160" s="9"/>
      <c r="QC160" s="9"/>
      <c r="QD160" s="9"/>
      <c r="QE160" s="9"/>
      <c r="QF160" s="9"/>
      <c r="QG160" s="9"/>
      <c r="QH160" s="9"/>
      <c r="QI160" s="9"/>
      <c r="QJ160" s="9"/>
      <c r="QK160" s="9"/>
      <c r="QL160" s="9"/>
      <c r="QM160" s="9"/>
      <c r="QN160" s="9"/>
      <c r="QO160" s="9"/>
      <c r="QP160" s="9"/>
      <c r="QQ160" s="67"/>
      <c r="QR160" s="68"/>
      <c r="QS160" s="63"/>
      <c r="QT160" s="71"/>
    </row>
    <row r="161" spans="1:462" s="11" customFormat="1" x14ac:dyDescent="0.2">
      <c r="A161" s="9">
        <v>10</v>
      </c>
      <c r="B161" s="9"/>
      <c r="C161" s="9"/>
      <c r="D161" s="9" t="s">
        <v>454</v>
      </c>
      <c r="E161" s="65" t="s">
        <v>556</v>
      </c>
      <c r="F161" s="65"/>
      <c r="G161" s="92" t="s">
        <v>2395</v>
      </c>
      <c r="H161" s="66" t="s">
        <v>1668</v>
      </c>
      <c r="I161" s="9" t="s">
        <v>1098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  <c r="IW161" s="9"/>
      <c r="IX161" s="9"/>
      <c r="IY161" s="9"/>
      <c r="IZ161" s="9"/>
      <c r="JA161" s="9"/>
      <c r="JB161" s="9"/>
      <c r="JC161" s="9"/>
      <c r="JD161" s="9"/>
      <c r="JE161" s="9"/>
      <c r="JF161" s="9"/>
      <c r="JG161" s="9"/>
      <c r="JH161" s="9"/>
      <c r="JI161" s="9"/>
      <c r="JJ161" s="9"/>
      <c r="JK161" s="9"/>
      <c r="JL161" s="9"/>
      <c r="JM161" s="9"/>
      <c r="JN161" s="9"/>
      <c r="JO161" s="9"/>
      <c r="JP161" s="9"/>
      <c r="JQ161" s="9"/>
      <c r="JR161" s="9"/>
      <c r="JS161" s="9"/>
      <c r="JT161" s="9"/>
      <c r="JU161" s="9"/>
      <c r="JV161" s="9"/>
      <c r="JW161" s="9" t="s">
        <v>1098</v>
      </c>
      <c r="JX161" s="9"/>
      <c r="JY161" s="9" t="s">
        <v>1098</v>
      </c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  <c r="KK161" s="9"/>
      <c r="KL161" s="9"/>
      <c r="KM161" s="9"/>
      <c r="KN161" s="9"/>
      <c r="KO161" s="9"/>
      <c r="KP161" s="9"/>
      <c r="KQ161" s="9"/>
      <c r="KR161" s="9"/>
      <c r="KS161" s="9"/>
      <c r="KT161" s="9"/>
      <c r="KU161" s="9"/>
      <c r="KV161" s="9"/>
      <c r="KW161" s="9"/>
      <c r="KX161" s="9"/>
      <c r="KY161" s="9"/>
      <c r="KZ161" s="9"/>
      <c r="LA161" s="9"/>
      <c r="LB161" s="9"/>
      <c r="LC161" s="9"/>
      <c r="LD161" s="9"/>
      <c r="LE161" s="9"/>
      <c r="LF161" s="9"/>
      <c r="LG161" s="9"/>
      <c r="LH161" s="9"/>
      <c r="LI161" s="9"/>
      <c r="LJ161" s="9"/>
      <c r="LK161" s="9"/>
      <c r="LL161" s="9"/>
      <c r="LM161" s="9"/>
      <c r="LN161" s="9"/>
      <c r="LO161" s="9"/>
      <c r="LP161" s="9"/>
      <c r="LQ161" s="9"/>
      <c r="LR161" s="9"/>
      <c r="LS161" s="9"/>
      <c r="LT161" s="9"/>
      <c r="LU161" s="9"/>
      <c r="LV161" s="9"/>
      <c r="LW161" s="9"/>
      <c r="LX161" s="9"/>
      <c r="LY161" s="9"/>
      <c r="LZ161" s="9"/>
      <c r="MA161" s="9"/>
      <c r="MB161" s="9"/>
      <c r="MC161" s="9"/>
      <c r="MD161" s="9"/>
      <c r="ME161" s="9"/>
      <c r="MF161" s="9"/>
      <c r="MG161" s="9"/>
      <c r="MH161" s="9"/>
      <c r="MI161" s="9"/>
      <c r="MJ161" s="9"/>
      <c r="MK161" s="9"/>
      <c r="ML161" s="9"/>
      <c r="MM161" s="9"/>
      <c r="MN161" s="9"/>
      <c r="MO161" s="9"/>
      <c r="MP161" s="9"/>
      <c r="MQ161" s="9"/>
      <c r="MR161" s="9"/>
      <c r="MS161" s="9"/>
      <c r="MT161" s="9"/>
      <c r="MU161" s="9"/>
      <c r="MV161" s="9"/>
      <c r="MW161" s="9"/>
      <c r="MX161" s="9"/>
      <c r="MY161" s="9"/>
      <c r="MZ161" s="9"/>
      <c r="NA161" s="9"/>
      <c r="NB161" s="9"/>
      <c r="NC161" s="9"/>
      <c r="ND161" s="9"/>
      <c r="NE161" s="9"/>
      <c r="NF161" s="9"/>
      <c r="NG161" s="9"/>
      <c r="NH161" s="9"/>
      <c r="NI161" s="9"/>
      <c r="NJ161" s="9"/>
      <c r="NK161" s="9"/>
      <c r="NL161" s="9"/>
      <c r="NM161" s="9"/>
      <c r="NN161" s="9"/>
      <c r="NO161" s="9"/>
      <c r="NP161" s="9"/>
      <c r="NQ161" s="9"/>
      <c r="NR161" s="9"/>
      <c r="NS161" s="9"/>
      <c r="NT161" s="9"/>
      <c r="NU161" s="9"/>
      <c r="NV161" s="9"/>
      <c r="NW161" s="9"/>
      <c r="NX161" s="9"/>
      <c r="NY161" s="9"/>
      <c r="NZ161" s="9"/>
      <c r="OA161" s="9"/>
      <c r="OB161" s="9"/>
      <c r="OC161" s="9"/>
      <c r="OD161" s="9"/>
      <c r="OE161" s="9"/>
      <c r="OF161" s="9"/>
      <c r="OG161" s="9"/>
      <c r="OH161" s="9"/>
      <c r="OI161" s="9"/>
      <c r="OJ161" s="9"/>
      <c r="OK161" s="9"/>
      <c r="OL161" s="9"/>
      <c r="OM161" s="9"/>
      <c r="ON161" s="9"/>
      <c r="OO161" s="9"/>
      <c r="OP161" s="9"/>
      <c r="OQ161" s="9"/>
      <c r="OR161" s="9"/>
      <c r="OS161" s="9"/>
      <c r="OT161" s="9"/>
      <c r="OU161" s="9"/>
      <c r="OV161" s="9"/>
      <c r="OW161" s="9"/>
      <c r="OX161" s="9"/>
      <c r="OY161" s="9"/>
      <c r="OZ161" s="9"/>
      <c r="PA161" s="9"/>
      <c r="PB161" s="9"/>
      <c r="PC161" s="9"/>
      <c r="PD161" s="9"/>
      <c r="PE161" s="9"/>
      <c r="PF161" s="9"/>
      <c r="PG161" s="9"/>
      <c r="PH161" s="9"/>
      <c r="PI161" s="9"/>
      <c r="PJ161" s="9"/>
      <c r="PK161" s="9"/>
      <c r="PL161" s="9"/>
      <c r="PM161" s="9"/>
      <c r="PN161" s="9"/>
      <c r="PO161" s="9"/>
      <c r="PP161" s="9"/>
      <c r="PQ161" s="9"/>
      <c r="PR161" s="9"/>
      <c r="PS161" s="9"/>
      <c r="PT161" s="9"/>
      <c r="PU161" s="9"/>
      <c r="PV161" s="9"/>
      <c r="PW161" s="9"/>
      <c r="PX161" s="9"/>
      <c r="PY161" s="9"/>
      <c r="PZ161" s="9"/>
      <c r="QA161" s="9"/>
      <c r="QB161" s="9"/>
      <c r="QC161" s="9"/>
      <c r="QD161" s="9"/>
      <c r="QE161" s="9"/>
      <c r="QF161" s="9"/>
      <c r="QG161" s="9"/>
      <c r="QH161" s="9"/>
      <c r="QI161" s="9"/>
      <c r="QJ161" s="9"/>
      <c r="QK161" s="9"/>
      <c r="QL161" s="9"/>
      <c r="QM161" s="9"/>
      <c r="QN161" s="9"/>
      <c r="QO161" s="9"/>
      <c r="QP161" s="9"/>
      <c r="QQ161" s="67"/>
      <c r="QR161" s="68"/>
      <c r="QS161" s="63"/>
      <c r="QT161" s="71"/>
    </row>
    <row r="162" spans="1:462" s="11" customFormat="1" x14ac:dyDescent="0.2">
      <c r="A162" s="9">
        <v>10</v>
      </c>
      <c r="B162" s="9"/>
      <c r="C162" s="9"/>
      <c r="D162" s="9" t="s">
        <v>865</v>
      </c>
      <c r="E162" s="65" t="s">
        <v>556</v>
      </c>
      <c r="F162" s="65"/>
      <c r="G162" s="92" t="s">
        <v>2396</v>
      </c>
      <c r="H162" s="66" t="s">
        <v>1669</v>
      </c>
      <c r="I162" s="9" t="s">
        <v>1098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  <c r="II162" s="9"/>
      <c r="IJ162" s="9"/>
      <c r="IK162" s="9"/>
      <c r="IL162" s="9"/>
      <c r="IM162" s="9"/>
      <c r="IN162" s="9"/>
      <c r="IO162" s="9"/>
      <c r="IP162" s="9"/>
      <c r="IQ162" s="9"/>
      <c r="IR162" s="9"/>
      <c r="IS162" s="9"/>
      <c r="IT162" s="9"/>
      <c r="IU162" s="9"/>
      <c r="IV162" s="9"/>
      <c r="IW162" s="9"/>
      <c r="IX162" s="9"/>
      <c r="IY162" s="9"/>
      <c r="IZ162" s="9"/>
      <c r="JA162" s="9"/>
      <c r="JB162" s="9"/>
      <c r="JC162" s="9"/>
      <c r="JD162" s="9"/>
      <c r="JE162" s="9"/>
      <c r="JF162" s="9"/>
      <c r="JG162" s="9"/>
      <c r="JH162" s="9"/>
      <c r="JI162" s="9"/>
      <c r="JJ162" s="9"/>
      <c r="JK162" s="9"/>
      <c r="JL162" s="9"/>
      <c r="JM162" s="9"/>
      <c r="JN162" s="9"/>
      <c r="JO162" s="9"/>
      <c r="JP162" s="9"/>
      <c r="JQ162" s="9"/>
      <c r="JR162" s="9"/>
      <c r="JS162" s="9"/>
      <c r="JT162" s="9"/>
      <c r="JU162" s="9"/>
      <c r="JV162" s="9"/>
      <c r="JW162" s="9" t="s">
        <v>1098</v>
      </c>
      <c r="JX162" s="9"/>
      <c r="JY162" s="9" t="s">
        <v>1098</v>
      </c>
      <c r="JZ162" s="9"/>
      <c r="KA162" s="9"/>
      <c r="KB162" s="9"/>
      <c r="KC162" s="9"/>
      <c r="KD162" s="9"/>
      <c r="KE162" s="9"/>
      <c r="KF162" s="9"/>
      <c r="KG162" s="9"/>
      <c r="KH162" s="9"/>
      <c r="KI162" s="9"/>
      <c r="KJ162" s="9"/>
      <c r="KK162" s="9"/>
      <c r="KL162" s="9"/>
      <c r="KM162" s="9"/>
      <c r="KN162" s="9"/>
      <c r="KO162" s="9"/>
      <c r="KP162" s="9"/>
      <c r="KQ162" s="9"/>
      <c r="KR162" s="9"/>
      <c r="KS162" s="9"/>
      <c r="KT162" s="9"/>
      <c r="KU162" s="9"/>
      <c r="KV162" s="9"/>
      <c r="KW162" s="9"/>
      <c r="KX162" s="9"/>
      <c r="KY162" s="9"/>
      <c r="KZ162" s="9"/>
      <c r="LA162" s="9"/>
      <c r="LB162" s="9"/>
      <c r="LC162" s="9"/>
      <c r="LD162" s="9"/>
      <c r="LE162" s="9"/>
      <c r="LF162" s="9"/>
      <c r="LG162" s="9"/>
      <c r="LH162" s="9"/>
      <c r="LI162" s="9"/>
      <c r="LJ162" s="9"/>
      <c r="LK162" s="9"/>
      <c r="LL162" s="9"/>
      <c r="LM162" s="9"/>
      <c r="LN162" s="9"/>
      <c r="LO162" s="9"/>
      <c r="LP162" s="9"/>
      <c r="LQ162" s="9"/>
      <c r="LR162" s="9"/>
      <c r="LS162" s="9"/>
      <c r="LT162" s="9"/>
      <c r="LU162" s="9"/>
      <c r="LV162" s="9"/>
      <c r="LW162" s="9"/>
      <c r="LX162" s="9"/>
      <c r="LY162" s="9"/>
      <c r="LZ162" s="9"/>
      <c r="MA162" s="9"/>
      <c r="MB162" s="9"/>
      <c r="MC162" s="9"/>
      <c r="MD162" s="9"/>
      <c r="ME162" s="9"/>
      <c r="MF162" s="9"/>
      <c r="MG162" s="9"/>
      <c r="MH162" s="9"/>
      <c r="MI162" s="9"/>
      <c r="MJ162" s="9"/>
      <c r="MK162" s="9"/>
      <c r="ML162" s="9"/>
      <c r="MM162" s="9"/>
      <c r="MN162" s="9"/>
      <c r="MO162" s="9"/>
      <c r="MP162" s="9"/>
      <c r="MQ162" s="9"/>
      <c r="MR162" s="9"/>
      <c r="MS162" s="9"/>
      <c r="MT162" s="9"/>
      <c r="MU162" s="9"/>
      <c r="MV162" s="9"/>
      <c r="MW162" s="9"/>
      <c r="MX162" s="9"/>
      <c r="MY162" s="9"/>
      <c r="MZ162" s="9"/>
      <c r="NA162" s="9"/>
      <c r="NB162" s="9"/>
      <c r="NC162" s="9"/>
      <c r="ND162" s="9"/>
      <c r="NE162" s="9"/>
      <c r="NF162" s="9"/>
      <c r="NG162" s="9"/>
      <c r="NH162" s="9"/>
      <c r="NI162" s="9"/>
      <c r="NJ162" s="9"/>
      <c r="NK162" s="9"/>
      <c r="NL162" s="9"/>
      <c r="NM162" s="9"/>
      <c r="NN162" s="9"/>
      <c r="NO162" s="9"/>
      <c r="NP162" s="9"/>
      <c r="NQ162" s="9"/>
      <c r="NR162" s="9"/>
      <c r="NS162" s="9"/>
      <c r="NT162" s="9"/>
      <c r="NU162" s="9"/>
      <c r="NV162" s="9"/>
      <c r="NW162" s="9"/>
      <c r="NX162" s="9"/>
      <c r="NY162" s="9"/>
      <c r="NZ162" s="9"/>
      <c r="OA162" s="9"/>
      <c r="OB162" s="9"/>
      <c r="OC162" s="9"/>
      <c r="OD162" s="9"/>
      <c r="OE162" s="9"/>
      <c r="OF162" s="9"/>
      <c r="OG162" s="9"/>
      <c r="OH162" s="9"/>
      <c r="OI162" s="9"/>
      <c r="OJ162" s="9"/>
      <c r="OK162" s="9"/>
      <c r="OL162" s="9"/>
      <c r="OM162" s="9"/>
      <c r="ON162" s="9"/>
      <c r="OO162" s="9"/>
      <c r="OP162" s="9"/>
      <c r="OQ162" s="9"/>
      <c r="OR162" s="9"/>
      <c r="OS162" s="9"/>
      <c r="OT162" s="9"/>
      <c r="OU162" s="9"/>
      <c r="OV162" s="9"/>
      <c r="OW162" s="9"/>
      <c r="OX162" s="9"/>
      <c r="OY162" s="9"/>
      <c r="OZ162" s="9"/>
      <c r="PA162" s="9"/>
      <c r="PB162" s="9"/>
      <c r="PC162" s="9"/>
      <c r="PD162" s="9"/>
      <c r="PE162" s="9"/>
      <c r="PF162" s="9"/>
      <c r="PG162" s="9"/>
      <c r="PH162" s="9"/>
      <c r="PI162" s="9"/>
      <c r="PJ162" s="9"/>
      <c r="PK162" s="9"/>
      <c r="PL162" s="9"/>
      <c r="PM162" s="9"/>
      <c r="PN162" s="9"/>
      <c r="PO162" s="9"/>
      <c r="PP162" s="9"/>
      <c r="PQ162" s="9"/>
      <c r="PR162" s="9"/>
      <c r="PS162" s="9"/>
      <c r="PT162" s="9"/>
      <c r="PU162" s="9"/>
      <c r="PV162" s="9"/>
      <c r="PW162" s="9"/>
      <c r="PX162" s="9"/>
      <c r="PY162" s="9"/>
      <c r="PZ162" s="9"/>
      <c r="QA162" s="9"/>
      <c r="QB162" s="9"/>
      <c r="QC162" s="9"/>
      <c r="QD162" s="9"/>
      <c r="QE162" s="9"/>
      <c r="QF162" s="9"/>
      <c r="QG162" s="9"/>
      <c r="QH162" s="9"/>
      <c r="QI162" s="9"/>
      <c r="QJ162" s="9"/>
      <c r="QK162" s="9"/>
      <c r="QL162" s="9"/>
      <c r="QM162" s="9"/>
      <c r="QN162" s="9"/>
      <c r="QO162" s="9"/>
      <c r="QP162" s="9"/>
      <c r="QQ162" s="67"/>
      <c r="QR162" s="68"/>
      <c r="QS162" s="63"/>
      <c r="QT162" s="71"/>
    </row>
    <row r="163" spans="1:462" s="11" customFormat="1" x14ac:dyDescent="0.2">
      <c r="A163" s="9">
        <v>10</v>
      </c>
      <c r="B163" s="9"/>
      <c r="C163" s="9"/>
      <c r="D163" s="9" t="s">
        <v>455</v>
      </c>
      <c r="E163" s="65" t="s">
        <v>223</v>
      </c>
      <c r="F163" s="65"/>
      <c r="G163" s="92" t="s">
        <v>2397</v>
      </c>
      <c r="H163" s="66" t="s">
        <v>1670</v>
      </c>
      <c r="I163" s="9" t="s">
        <v>1098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  <c r="IW163" s="9"/>
      <c r="IX163" s="9"/>
      <c r="IY163" s="9"/>
      <c r="IZ163" s="9"/>
      <c r="JA163" s="9"/>
      <c r="JB163" s="9"/>
      <c r="JC163" s="9"/>
      <c r="JD163" s="9"/>
      <c r="JE163" s="9"/>
      <c r="JF163" s="9"/>
      <c r="JG163" s="9"/>
      <c r="JH163" s="9"/>
      <c r="JI163" s="9"/>
      <c r="JJ163" s="9"/>
      <c r="JK163" s="9"/>
      <c r="JL163" s="9"/>
      <c r="JM163" s="9"/>
      <c r="JN163" s="9"/>
      <c r="JO163" s="9"/>
      <c r="JP163" s="9"/>
      <c r="JQ163" s="9"/>
      <c r="JR163" s="9"/>
      <c r="JS163" s="9"/>
      <c r="JT163" s="9"/>
      <c r="JU163" s="9"/>
      <c r="JV163" s="9"/>
      <c r="JW163" s="9" t="s">
        <v>1098</v>
      </c>
      <c r="JX163" s="9"/>
      <c r="JY163" s="9" t="s">
        <v>1098</v>
      </c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  <c r="KK163" s="9"/>
      <c r="KL163" s="9"/>
      <c r="KM163" s="9"/>
      <c r="KN163" s="9"/>
      <c r="KO163" s="9"/>
      <c r="KP163" s="9"/>
      <c r="KQ163" s="9"/>
      <c r="KR163" s="9"/>
      <c r="KS163" s="9"/>
      <c r="KT163" s="9"/>
      <c r="KU163" s="9"/>
      <c r="KV163" s="9"/>
      <c r="KW163" s="9"/>
      <c r="KX163" s="9"/>
      <c r="KY163" s="9"/>
      <c r="KZ163" s="9"/>
      <c r="LA163" s="9"/>
      <c r="LB163" s="9"/>
      <c r="LC163" s="9"/>
      <c r="LD163" s="9"/>
      <c r="LE163" s="9"/>
      <c r="LF163" s="9"/>
      <c r="LG163" s="9"/>
      <c r="LH163" s="9"/>
      <c r="LI163" s="9"/>
      <c r="LJ163" s="9"/>
      <c r="LK163" s="9"/>
      <c r="LL163" s="9"/>
      <c r="LM163" s="9"/>
      <c r="LN163" s="9"/>
      <c r="LO163" s="9"/>
      <c r="LP163" s="9"/>
      <c r="LQ163" s="9"/>
      <c r="LR163" s="9"/>
      <c r="LS163" s="9"/>
      <c r="LT163" s="9"/>
      <c r="LU163" s="9"/>
      <c r="LV163" s="9"/>
      <c r="LW163" s="9"/>
      <c r="LX163" s="9"/>
      <c r="LY163" s="9"/>
      <c r="LZ163" s="9"/>
      <c r="MA163" s="9"/>
      <c r="MB163" s="9"/>
      <c r="MC163" s="9"/>
      <c r="MD163" s="9"/>
      <c r="ME163" s="9"/>
      <c r="MF163" s="9"/>
      <c r="MG163" s="9"/>
      <c r="MH163" s="9"/>
      <c r="MI163" s="9"/>
      <c r="MJ163" s="9"/>
      <c r="MK163" s="9"/>
      <c r="ML163" s="9"/>
      <c r="MM163" s="9"/>
      <c r="MN163" s="9"/>
      <c r="MO163" s="9"/>
      <c r="MP163" s="9"/>
      <c r="MQ163" s="9"/>
      <c r="MR163" s="9"/>
      <c r="MS163" s="9"/>
      <c r="MT163" s="9"/>
      <c r="MU163" s="9"/>
      <c r="MV163" s="9"/>
      <c r="MW163" s="9"/>
      <c r="MX163" s="9"/>
      <c r="MY163" s="9"/>
      <c r="MZ163" s="9"/>
      <c r="NA163" s="9"/>
      <c r="NB163" s="9"/>
      <c r="NC163" s="9"/>
      <c r="ND163" s="9"/>
      <c r="NE163" s="9"/>
      <c r="NF163" s="9"/>
      <c r="NG163" s="9"/>
      <c r="NH163" s="9"/>
      <c r="NI163" s="9"/>
      <c r="NJ163" s="9"/>
      <c r="NK163" s="9"/>
      <c r="NL163" s="9"/>
      <c r="NM163" s="9"/>
      <c r="NN163" s="9"/>
      <c r="NO163" s="9"/>
      <c r="NP163" s="9"/>
      <c r="NQ163" s="9"/>
      <c r="NR163" s="9"/>
      <c r="NS163" s="9"/>
      <c r="NT163" s="9"/>
      <c r="NU163" s="9"/>
      <c r="NV163" s="9"/>
      <c r="NW163" s="9"/>
      <c r="NX163" s="9"/>
      <c r="NY163" s="9"/>
      <c r="NZ163" s="9"/>
      <c r="OA163" s="9"/>
      <c r="OB163" s="9"/>
      <c r="OC163" s="9"/>
      <c r="OD163" s="9"/>
      <c r="OE163" s="9"/>
      <c r="OF163" s="9"/>
      <c r="OG163" s="9"/>
      <c r="OH163" s="9"/>
      <c r="OI163" s="9"/>
      <c r="OJ163" s="9"/>
      <c r="OK163" s="9"/>
      <c r="OL163" s="9"/>
      <c r="OM163" s="9"/>
      <c r="ON163" s="9"/>
      <c r="OO163" s="9"/>
      <c r="OP163" s="9"/>
      <c r="OQ163" s="9"/>
      <c r="OR163" s="9"/>
      <c r="OS163" s="9"/>
      <c r="OT163" s="9"/>
      <c r="OU163" s="9"/>
      <c r="OV163" s="9"/>
      <c r="OW163" s="9"/>
      <c r="OX163" s="9"/>
      <c r="OY163" s="9"/>
      <c r="OZ163" s="9"/>
      <c r="PA163" s="9"/>
      <c r="PB163" s="9"/>
      <c r="PC163" s="9"/>
      <c r="PD163" s="9"/>
      <c r="PE163" s="9"/>
      <c r="PF163" s="9"/>
      <c r="PG163" s="9"/>
      <c r="PH163" s="9"/>
      <c r="PI163" s="9"/>
      <c r="PJ163" s="9"/>
      <c r="PK163" s="9"/>
      <c r="PL163" s="9"/>
      <c r="PM163" s="9"/>
      <c r="PN163" s="9"/>
      <c r="PO163" s="9"/>
      <c r="PP163" s="9"/>
      <c r="PQ163" s="9"/>
      <c r="PR163" s="9"/>
      <c r="PS163" s="9"/>
      <c r="PT163" s="9"/>
      <c r="PU163" s="9"/>
      <c r="PV163" s="9"/>
      <c r="PW163" s="9"/>
      <c r="PX163" s="9"/>
      <c r="PY163" s="9"/>
      <c r="PZ163" s="9"/>
      <c r="QA163" s="9"/>
      <c r="QB163" s="9"/>
      <c r="QC163" s="9"/>
      <c r="QD163" s="9"/>
      <c r="QE163" s="9"/>
      <c r="QF163" s="9"/>
      <c r="QG163" s="9"/>
      <c r="QH163" s="9"/>
      <c r="QI163" s="9"/>
      <c r="QJ163" s="9"/>
      <c r="QK163" s="9"/>
      <c r="QL163" s="9"/>
      <c r="QM163" s="9"/>
      <c r="QN163" s="9"/>
      <c r="QO163" s="9"/>
      <c r="QP163" s="9"/>
      <c r="QQ163" s="67"/>
      <c r="QR163" s="68"/>
      <c r="QS163" s="63"/>
      <c r="QT163" s="71"/>
    </row>
    <row r="164" spans="1:462" s="11" customFormat="1" x14ac:dyDescent="0.2">
      <c r="A164" s="9">
        <v>10</v>
      </c>
      <c r="B164" s="9"/>
      <c r="C164" s="9"/>
      <c r="D164" s="9" t="s">
        <v>456</v>
      </c>
      <c r="E164" s="65" t="s">
        <v>557</v>
      </c>
      <c r="F164" s="65"/>
      <c r="G164" s="91" t="s">
        <v>2398</v>
      </c>
      <c r="H164" s="66" t="s">
        <v>1671</v>
      </c>
      <c r="I164" s="9" t="s">
        <v>1098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  <c r="IW164" s="9"/>
      <c r="IX164" s="9"/>
      <c r="IY164" s="9"/>
      <c r="IZ164" s="9"/>
      <c r="JA164" s="9"/>
      <c r="JB164" s="9"/>
      <c r="JC164" s="9"/>
      <c r="JD164" s="9"/>
      <c r="JE164" s="9"/>
      <c r="JF164" s="9"/>
      <c r="JG164" s="9"/>
      <c r="JH164" s="9"/>
      <c r="JI164" s="9"/>
      <c r="JJ164" s="9"/>
      <c r="JK164" s="9"/>
      <c r="JL164" s="9"/>
      <c r="JM164" s="9"/>
      <c r="JN164" s="9"/>
      <c r="JO164" s="9"/>
      <c r="JP164" s="9"/>
      <c r="JQ164" s="9"/>
      <c r="JR164" s="9"/>
      <c r="JS164" s="9"/>
      <c r="JT164" s="9"/>
      <c r="JU164" s="9"/>
      <c r="JV164" s="9"/>
      <c r="JW164" s="9"/>
      <c r="JX164" s="9"/>
      <c r="JY164" s="9"/>
      <c r="JZ164" s="9"/>
      <c r="KA164" s="9"/>
      <c r="KB164" s="9"/>
      <c r="KC164" s="9"/>
      <c r="KD164" s="9"/>
      <c r="KE164" s="9" t="s">
        <v>1098</v>
      </c>
      <c r="KF164" s="9"/>
      <c r="KG164" s="9" t="s">
        <v>1098</v>
      </c>
      <c r="KH164" s="9"/>
      <c r="KI164" s="9"/>
      <c r="KJ164" s="9"/>
      <c r="KK164" s="9"/>
      <c r="KL164" s="9"/>
      <c r="KM164" s="9"/>
      <c r="KN164" s="9"/>
      <c r="KO164" s="9"/>
      <c r="KP164" s="9"/>
      <c r="KQ164" s="9"/>
      <c r="KR164" s="9"/>
      <c r="KS164" s="9"/>
      <c r="KT164" s="9"/>
      <c r="KU164" s="9"/>
      <c r="KV164" s="9"/>
      <c r="KW164" s="9"/>
      <c r="KX164" s="9"/>
      <c r="KY164" s="9"/>
      <c r="KZ164" s="9"/>
      <c r="LA164" s="9"/>
      <c r="LB164" s="9"/>
      <c r="LC164" s="9"/>
      <c r="LD164" s="9"/>
      <c r="LE164" s="9"/>
      <c r="LF164" s="9"/>
      <c r="LG164" s="9"/>
      <c r="LH164" s="9"/>
      <c r="LI164" s="9"/>
      <c r="LJ164" s="9"/>
      <c r="LK164" s="9"/>
      <c r="LL164" s="9"/>
      <c r="LM164" s="9"/>
      <c r="LN164" s="9"/>
      <c r="LO164" s="9"/>
      <c r="LP164" s="9"/>
      <c r="LQ164" s="9"/>
      <c r="LR164" s="9"/>
      <c r="LS164" s="9"/>
      <c r="LT164" s="9"/>
      <c r="LU164" s="9"/>
      <c r="LV164" s="9"/>
      <c r="LW164" s="9"/>
      <c r="LX164" s="9"/>
      <c r="LY164" s="9"/>
      <c r="LZ164" s="9"/>
      <c r="MA164" s="9"/>
      <c r="MB164" s="9"/>
      <c r="MC164" s="9"/>
      <c r="MD164" s="9"/>
      <c r="ME164" s="9"/>
      <c r="MF164" s="9"/>
      <c r="MG164" s="9"/>
      <c r="MH164" s="9"/>
      <c r="MI164" s="9"/>
      <c r="MJ164" s="9"/>
      <c r="MK164" s="9"/>
      <c r="ML164" s="9"/>
      <c r="MM164" s="9"/>
      <c r="MN164" s="9"/>
      <c r="MO164" s="9"/>
      <c r="MP164" s="9"/>
      <c r="MQ164" s="9"/>
      <c r="MR164" s="9"/>
      <c r="MS164" s="9"/>
      <c r="MT164" s="9"/>
      <c r="MU164" s="9"/>
      <c r="MV164" s="9"/>
      <c r="MW164" s="9"/>
      <c r="MX164" s="9"/>
      <c r="MY164" s="9"/>
      <c r="MZ164" s="9"/>
      <c r="NA164" s="9"/>
      <c r="NB164" s="9"/>
      <c r="NC164" s="9"/>
      <c r="ND164" s="9"/>
      <c r="NE164" s="9"/>
      <c r="NF164" s="9"/>
      <c r="NG164" s="9"/>
      <c r="NH164" s="9"/>
      <c r="NI164" s="9"/>
      <c r="NJ164" s="9"/>
      <c r="NK164" s="9"/>
      <c r="NL164" s="9"/>
      <c r="NM164" s="9"/>
      <c r="NN164" s="9"/>
      <c r="NO164" s="9"/>
      <c r="NP164" s="9"/>
      <c r="NQ164" s="9"/>
      <c r="NR164" s="9"/>
      <c r="NS164" s="9"/>
      <c r="NT164" s="9"/>
      <c r="NU164" s="9"/>
      <c r="NV164" s="9"/>
      <c r="NW164" s="9"/>
      <c r="NX164" s="9"/>
      <c r="NY164" s="9"/>
      <c r="NZ164" s="9"/>
      <c r="OA164" s="9"/>
      <c r="OB164" s="9"/>
      <c r="OC164" s="9"/>
      <c r="OD164" s="9"/>
      <c r="OE164" s="9"/>
      <c r="OF164" s="9"/>
      <c r="OG164" s="9"/>
      <c r="OH164" s="9"/>
      <c r="OI164" s="9"/>
      <c r="OJ164" s="9"/>
      <c r="OK164" s="9"/>
      <c r="OL164" s="9"/>
      <c r="OM164" s="9"/>
      <c r="ON164" s="9"/>
      <c r="OO164" s="9"/>
      <c r="OP164" s="9"/>
      <c r="OQ164" s="9"/>
      <c r="OR164" s="9"/>
      <c r="OS164" s="9"/>
      <c r="OT164" s="9"/>
      <c r="OU164" s="9"/>
      <c r="OV164" s="9"/>
      <c r="OW164" s="9"/>
      <c r="OX164" s="9"/>
      <c r="OY164" s="9"/>
      <c r="OZ164" s="9"/>
      <c r="PA164" s="9"/>
      <c r="PB164" s="9"/>
      <c r="PC164" s="9"/>
      <c r="PD164" s="9"/>
      <c r="PE164" s="9"/>
      <c r="PF164" s="9"/>
      <c r="PG164" s="9"/>
      <c r="PH164" s="9"/>
      <c r="PI164" s="9"/>
      <c r="PJ164" s="9"/>
      <c r="PK164" s="9"/>
      <c r="PL164" s="9"/>
      <c r="PM164" s="9"/>
      <c r="PN164" s="9"/>
      <c r="PO164" s="9"/>
      <c r="PP164" s="9"/>
      <c r="PQ164" s="9"/>
      <c r="PR164" s="9"/>
      <c r="PS164" s="9"/>
      <c r="PT164" s="9"/>
      <c r="PU164" s="9"/>
      <c r="PV164" s="9"/>
      <c r="PW164" s="9"/>
      <c r="PX164" s="9"/>
      <c r="PY164" s="9"/>
      <c r="PZ164" s="9"/>
      <c r="QA164" s="9"/>
      <c r="QB164" s="9"/>
      <c r="QC164" s="9"/>
      <c r="QD164" s="9"/>
      <c r="QE164" s="9"/>
      <c r="QF164" s="9"/>
      <c r="QG164" s="9"/>
      <c r="QH164" s="9"/>
      <c r="QI164" s="9"/>
      <c r="QJ164" s="9"/>
      <c r="QK164" s="9"/>
      <c r="QL164" s="9"/>
      <c r="QM164" s="9"/>
      <c r="QN164" s="9"/>
      <c r="QO164" s="9"/>
      <c r="QP164" s="9"/>
      <c r="QQ164" s="67"/>
      <c r="QR164" s="68"/>
      <c r="QS164" s="63"/>
      <c r="QT164" s="71"/>
    </row>
    <row r="165" spans="1:462" s="11" customFormat="1" ht="26" x14ac:dyDescent="0.2">
      <c r="A165" s="9">
        <v>10</v>
      </c>
      <c r="B165" s="9"/>
      <c r="C165" s="9"/>
      <c r="D165" s="9" t="s">
        <v>457</v>
      </c>
      <c r="E165" s="65" t="s">
        <v>558</v>
      </c>
      <c r="F165" s="65"/>
      <c r="G165" s="92" t="s">
        <v>2400</v>
      </c>
      <c r="H165" s="66" t="s">
        <v>1672</v>
      </c>
      <c r="I165" s="9" t="s">
        <v>1098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  <c r="IW165" s="9"/>
      <c r="IX165" s="9"/>
      <c r="IY165" s="9"/>
      <c r="IZ165" s="9"/>
      <c r="JA165" s="9"/>
      <c r="JB165" s="9"/>
      <c r="JC165" s="9"/>
      <c r="JD165" s="9"/>
      <c r="JE165" s="9"/>
      <c r="JF165" s="9"/>
      <c r="JG165" s="9"/>
      <c r="JH165" s="9"/>
      <c r="JI165" s="9"/>
      <c r="JJ165" s="9"/>
      <c r="JK165" s="9"/>
      <c r="JL165" s="9"/>
      <c r="JM165" s="9"/>
      <c r="JN165" s="9"/>
      <c r="JO165" s="9"/>
      <c r="JP165" s="9"/>
      <c r="JQ165" s="9"/>
      <c r="JR165" s="9"/>
      <c r="JS165" s="9"/>
      <c r="JT165" s="9"/>
      <c r="JU165" s="9"/>
      <c r="JV165" s="9"/>
      <c r="JW165" s="9"/>
      <c r="JX165" s="9"/>
      <c r="JY165" s="9"/>
      <c r="JZ165" s="9"/>
      <c r="KA165" s="9"/>
      <c r="KB165" s="9"/>
      <c r="KC165" s="9"/>
      <c r="KD165" s="9"/>
      <c r="KE165" s="9" t="s">
        <v>1098</v>
      </c>
      <c r="KF165" s="9"/>
      <c r="KG165" s="9" t="s">
        <v>1098</v>
      </c>
      <c r="KH165" s="9"/>
      <c r="KI165" s="9"/>
      <c r="KJ165" s="9"/>
      <c r="KK165" s="9"/>
      <c r="KL165" s="9"/>
      <c r="KM165" s="9"/>
      <c r="KN165" s="9"/>
      <c r="KO165" s="9"/>
      <c r="KP165" s="9"/>
      <c r="KQ165" s="9"/>
      <c r="KR165" s="9"/>
      <c r="KS165" s="9"/>
      <c r="KT165" s="9"/>
      <c r="KU165" s="9"/>
      <c r="KV165" s="9"/>
      <c r="KW165" s="9"/>
      <c r="KX165" s="9"/>
      <c r="KY165" s="9"/>
      <c r="KZ165" s="9"/>
      <c r="LA165" s="9"/>
      <c r="LB165" s="9"/>
      <c r="LC165" s="9"/>
      <c r="LD165" s="9"/>
      <c r="LE165" s="9"/>
      <c r="LF165" s="9"/>
      <c r="LG165" s="9"/>
      <c r="LH165" s="9"/>
      <c r="LI165" s="9"/>
      <c r="LJ165" s="9"/>
      <c r="LK165" s="9"/>
      <c r="LL165" s="9"/>
      <c r="LM165" s="9"/>
      <c r="LN165" s="9"/>
      <c r="LO165" s="9"/>
      <c r="LP165" s="9"/>
      <c r="LQ165" s="9"/>
      <c r="LR165" s="9"/>
      <c r="LS165" s="9"/>
      <c r="LT165" s="9"/>
      <c r="LU165" s="9"/>
      <c r="LV165" s="9"/>
      <c r="LW165" s="9"/>
      <c r="LX165" s="9"/>
      <c r="LY165" s="9"/>
      <c r="LZ165" s="9"/>
      <c r="MA165" s="9"/>
      <c r="MB165" s="9"/>
      <c r="MC165" s="9"/>
      <c r="MD165" s="9"/>
      <c r="ME165" s="9"/>
      <c r="MF165" s="9"/>
      <c r="MG165" s="9"/>
      <c r="MH165" s="9"/>
      <c r="MI165" s="9"/>
      <c r="MJ165" s="9"/>
      <c r="MK165" s="9"/>
      <c r="ML165" s="9"/>
      <c r="MM165" s="9"/>
      <c r="MN165" s="9"/>
      <c r="MO165" s="9"/>
      <c r="MP165" s="9"/>
      <c r="MQ165" s="9"/>
      <c r="MR165" s="9"/>
      <c r="MS165" s="9"/>
      <c r="MT165" s="9"/>
      <c r="MU165" s="9"/>
      <c r="MV165" s="9"/>
      <c r="MW165" s="9"/>
      <c r="MX165" s="9"/>
      <c r="MY165" s="9"/>
      <c r="MZ165" s="9"/>
      <c r="NA165" s="9"/>
      <c r="NB165" s="9"/>
      <c r="NC165" s="9"/>
      <c r="ND165" s="9"/>
      <c r="NE165" s="9"/>
      <c r="NF165" s="9"/>
      <c r="NG165" s="9"/>
      <c r="NH165" s="9"/>
      <c r="NI165" s="9"/>
      <c r="NJ165" s="9"/>
      <c r="NK165" s="9"/>
      <c r="NL165" s="9"/>
      <c r="NM165" s="9"/>
      <c r="NN165" s="9"/>
      <c r="NO165" s="9"/>
      <c r="NP165" s="9"/>
      <c r="NQ165" s="9"/>
      <c r="NR165" s="9"/>
      <c r="NS165" s="9"/>
      <c r="NT165" s="9"/>
      <c r="NU165" s="9"/>
      <c r="NV165" s="9"/>
      <c r="NW165" s="9"/>
      <c r="NX165" s="9"/>
      <c r="NY165" s="9"/>
      <c r="NZ165" s="9"/>
      <c r="OA165" s="9"/>
      <c r="OB165" s="9"/>
      <c r="OC165" s="9"/>
      <c r="OD165" s="9"/>
      <c r="OE165" s="9"/>
      <c r="OF165" s="9"/>
      <c r="OG165" s="9"/>
      <c r="OH165" s="9"/>
      <c r="OI165" s="9"/>
      <c r="OJ165" s="9"/>
      <c r="OK165" s="9"/>
      <c r="OL165" s="9"/>
      <c r="OM165" s="9"/>
      <c r="ON165" s="9"/>
      <c r="OO165" s="9"/>
      <c r="OP165" s="9"/>
      <c r="OQ165" s="9"/>
      <c r="OR165" s="9"/>
      <c r="OS165" s="9"/>
      <c r="OT165" s="9"/>
      <c r="OU165" s="9"/>
      <c r="OV165" s="9"/>
      <c r="OW165" s="9"/>
      <c r="OX165" s="9"/>
      <c r="OY165" s="9"/>
      <c r="OZ165" s="9"/>
      <c r="PA165" s="9"/>
      <c r="PB165" s="9"/>
      <c r="PC165" s="9"/>
      <c r="PD165" s="9"/>
      <c r="PE165" s="9"/>
      <c r="PF165" s="9"/>
      <c r="PG165" s="9"/>
      <c r="PH165" s="9"/>
      <c r="PI165" s="9"/>
      <c r="PJ165" s="9"/>
      <c r="PK165" s="9"/>
      <c r="PL165" s="9"/>
      <c r="PM165" s="9"/>
      <c r="PN165" s="9"/>
      <c r="PO165" s="9"/>
      <c r="PP165" s="9"/>
      <c r="PQ165" s="9"/>
      <c r="PR165" s="9"/>
      <c r="PS165" s="9"/>
      <c r="PT165" s="9"/>
      <c r="PU165" s="9"/>
      <c r="PV165" s="9"/>
      <c r="PW165" s="9"/>
      <c r="PX165" s="9"/>
      <c r="PY165" s="9"/>
      <c r="PZ165" s="9"/>
      <c r="QA165" s="9"/>
      <c r="QB165" s="9"/>
      <c r="QC165" s="9"/>
      <c r="QD165" s="9"/>
      <c r="QE165" s="9"/>
      <c r="QF165" s="9"/>
      <c r="QG165" s="9"/>
      <c r="QH165" s="9"/>
      <c r="QI165" s="9"/>
      <c r="QJ165" s="9"/>
      <c r="QK165" s="9"/>
      <c r="QL165" s="9"/>
      <c r="QM165" s="9"/>
      <c r="QN165" s="9"/>
      <c r="QO165" s="9"/>
      <c r="QP165" s="9"/>
      <c r="QQ165" s="67"/>
      <c r="QR165" s="68"/>
      <c r="QS165" s="63"/>
      <c r="QT165" s="71"/>
    </row>
    <row r="166" spans="1:462" s="11" customFormat="1" x14ac:dyDescent="0.2">
      <c r="A166" s="9">
        <v>10</v>
      </c>
      <c r="B166" s="9"/>
      <c r="C166" s="9"/>
      <c r="D166" s="9" t="s">
        <v>847</v>
      </c>
      <c r="E166" s="65" t="s">
        <v>849</v>
      </c>
      <c r="F166" s="65"/>
      <c r="G166" s="92" t="s">
        <v>2401</v>
      </c>
      <c r="H166" s="66" t="s">
        <v>1673</v>
      </c>
      <c r="I166" s="9" t="s">
        <v>1098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  <c r="IW166" s="9"/>
      <c r="IX166" s="9"/>
      <c r="IY166" s="9"/>
      <c r="IZ166" s="9"/>
      <c r="JA166" s="9"/>
      <c r="JB166" s="9"/>
      <c r="JC166" s="9"/>
      <c r="JD166" s="9"/>
      <c r="JE166" s="9"/>
      <c r="JF166" s="9"/>
      <c r="JG166" s="9"/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 t="s">
        <v>1098</v>
      </c>
      <c r="KF166" s="9"/>
      <c r="KG166" s="9" t="s">
        <v>1098</v>
      </c>
      <c r="KH166" s="9"/>
      <c r="KI166" s="9"/>
      <c r="KJ166" s="9"/>
      <c r="KK166" s="9"/>
      <c r="KL166" s="9"/>
      <c r="KM166" s="9"/>
      <c r="KN166" s="9"/>
      <c r="KO166" s="9"/>
      <c r="KP166" s="9"/>
      <c r="KQ166" s="9"/>
      <c r="KR166" s="9"/>
      <c r="KS166" s="9"/>
      <c r="KT166" s="9"/>
      <c r="KU166" s="9"/>
      <c r="KV166" s="9"/>
      <c r="KW166" s="9"/>
      <c r="KX166" s="9"/>
      <c r="KY166" s="9"/>
      <c r="KZ166" s="9"/>
      <c r="LA166" s="9"/>
      <c r="LB166" s="9"/>
      <c r="LC166" s="9"/>
      <c r="LD166" s="9"/>
      <c r="LE166" s="9"/>
      <c r="LF166" s="9"/>
      <c r="LG166" s="9"/>
      <c r="LH166" s="9"/>
      <c r="LI166" s="9"/>
      <c r="LJ166" s="9"/>
      <c r="LK166" s="9"/>
      <c r="LL166" s="9"/>
      <c r="LM166" s="9"/>
      <c r="LN166" s="9"/>
      <c r="LO166" s="9"/>
      <c r="LP166" s="9"/>
      <c r="LQ166" s="9"/>
      <c r="LR166" s="9"/>
      <c r="LS166" s="9"/>
      <c r="LT166" s="9"/>
      <c r="LU166" s="9"/>
      <c r="LV166" s="9"/>
      <c r="LW166" s="9"/>
      <c r="LX166" s="9"/>
      <c r="LY166" s="9"/>
      <c r="LZ166" s="9"/>
      <c r="MA166" s="9"/>
      <c r="MB166" s="9"/>
      <c r="MC166" s="9"/>
      <c r="MD166" s="9"/>
      <c r="ME166" s="9"/>
      <c r="MF166" s="9"/>
      <c r="MG166" s="9"/>
      <c r="MH166" s="9"/>
      <c r="MI166" s="9"/>
      <c r="MJ166" s="9"/>
      <c r="MK166" s="9"/>
      <c r="ML166" s="9"/>
      <c r="MM166" s="9"/>
      <c r="MN166" s="9"/>
      <c r="MO166" s="9"/>
      <c r="MP166" s="9"/>
      <c r="MQ166" s="9"/>
      <c r="MR166" s="9"/>
      <c r="MS166" s="9"/>
      <c r="MT166" s="9"/>
      <c r="MU166" s="9"/>
      <c r="MV166" s="9"/>
      <c r="MW166" s="9"/>
      <c r="MX166" s="9"/>
      <c r="MY166" s="9"/>
      <c r="MZ166" s="9"/>
      <c r="NA166" s="9"/>
      <c r="NB166" s="9"/>
      <c r="NC166" s="9"/>
      <c r="ND166" s="9"/>
      <c r="NE166" s="9"/>
      <c r="NF166" s="9"/>
      <c r="NG166" s="9"/>
      <c r="NH166" s="9"/>
      <c r="NI166" s="9"/>
      <c r="NJ166" s="9"/>
      <c r="NK166" s="9"/>
      <c r="NL166" s="9"/>
      <c r="NM166" s="9"/>
      <c r="NN166" s="9"/>
      <c r="NO166" s="9"/>
      <c r="NP166" s="9"/>
      <c r="NQ166" s="9"/>
      <c r="NR166" s="9"/>
      <c r="NS166" s="9"/>
      <c r="NT166" s="9"/>
      <c r="NU166" s="9"/>
      <c r="NV166" s="9"/>
      <c r="NW166" s="9"/>
      <c r="NX166" s="9"/>
      <c r="NY166" s="9"/>
      <c r="NZ166" s="9"/>
      <c r="OA166" s="9"/>
      <c r="OB166" s="9"/>
      <c r="OC166" s="9"/>
      <c r="OD166" s="9"/>
      <c r="OE166" s="9"/>
      <c r="OF166" s="9"/>
      <c r="OG166" s="9"/>
      <c r="OH166" s="9"/>
      <c r="OI166" s="9"/>
      <c r="OJ166" s="9"/>
      <c r="OK166" s="9"/>
      <c r="OL166" s="9"/>
      <c r="OM166" s="9"/>
      <c r="ON166" s="9"/>
      <c r="OO166" s="9"/>
      <c r="OP166" s="9"/>
      <c r="OQ166" s="9"/>
      <c r="OR166" s="9"/>
      <c r="OS166" s="9"/>
      <c r="OT166" s="9"/>
      <c r="OU166" s="9"/>
      <c r="OV166" s="9"/>
      <c r="OW166" s="9"/>
      <c r="OX166" s="9"/>
      <c r="OY166" s="9"/>
      <c r="OZ166" s="9"/>
      <c r="PA166" s="9"/>
      <c r="PB166" s="9"/>
      <c r="PC166" s="9"/>
      <c r="PD166" s="9"/>
      <c r="PE166" s="9"/>
      <c r="PF166" s="9"/>
      <c r="PG166" s="9"/>
      <c r="PH166" s="9"/>
      <c r="PI166" s="9"/>
      <c r="PJ166" s="9"/>
      <c r="PK166" s="9"/>
      <c r="PL166" s="9"/>
      <c r="PM166" s="9"/>
      <c r="PN166" s="9"/>
      <c r="PO166" s="9"/>
      <c r="PP166" s="9"/>
      <c r="PQ166" s="9"/>
      <c r="PR166" s="9"/>
      <c r="PS166" s="9"/>
      <c r="PT166" s="9"/>
      <c r="PU166" s="9"/>
      <c r="PV166" s="9"/>
      <c r="PW166" s="9"/>
      <c r="PX166" s="9"/>
      <c r="PY166" s="9"/>
      <c r="PZ166" s="9"/>
      <c r="QA166" s="9"/>
      <c r="QB166" s="9"/>
      <c r="QC166" s="9"/>
      <c r="QD166" s="9"/>
      <c r="QE166" s="9"/>
      <c r="QF166" s="9"/>
      <c r="QG166" s="9"/>
      <c r="QH166" s="9"/>
      <c r="QI166" s="9"/>
      <c r="QJ166" s="9"/>
      <c r="QK166" s="9"/>
      <c r="QL166" s="9"/>
      <c r="QM166" s="9"/>
      <c r="QN166" s="9"/>
      <c r="QO166" s="9"/>
      <c r="QP166" s="9"/>
      <c r="QQ166" s="67"/>
      <c r="QR166" s="68"/>
      <c r="QS166" s="63"/>
      <c r="QT166" s="71"/>
    </row>
    <row r="167" spans="1:462" s="11" customFormat="1" x14ac:dyDescent="0.2">
      <c r="A167" s="9">
        <v>10</v>
      </c>
      <c r="B167" s="9"/>
      <c r="C167" s="9"/>
      <c r="D167" s="9" t="s">
        <v>850</v>
      </c>
      <c r="E167" s="65" t="s">
        <v>849</v>
      </c>
      <c r="F167" s="65"/>
      <c r="G167" s="92" t="s">
        <v>2402</v>
      </c>
      <c r="H167" s="66" t="s">
        <v>1674</v>
      </c>
      <c r="I167" s="9" t="s">
        <v>1098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  <c r="II167" s="9"/>
      <c r="IJ167" s="9"/>
      <c r="IK167" s="9"/>
      <c r="IL167" s="9"/>
      <c r="IM167" s="9"/>
      <c r="IN167" s="9"/>
      <c r="IO167" s="9"/>
      <c r="IP167" s="9"/>
      <c r="IQ167" s="9"/>
      <c r="IR167" s="9"/>
      <c r="IS167" s="9"/>
      <c r="IT167" s="9"/>
      <c r="IU167" s="9"/>
      <c r="IV167" s="9"/>
      <c r="IW167" s="9"/>
      <c r="IX167" s="9"/>
      <c r="IY167" s="9"/>
      <c r="IZ167" s="9"/>
      <c r="JA167" s="9"/>
      <c r="JB167" s="9"/>
      <c r="JC167" s="9"/>
      <c r="JD167" s="9"/>
      <c r="JE167" s="9"/>
      <c r="JF167" s="9"/>
      <c r="JG167" s="9"/>
      <c r="JH167" s="9"/>
      <c r="JI167" s="9"/>
      <c r="JJ167" s="9"/>
      <c r="JK167" s="9"/>
      <c r="JL167" s="9"/>
      <c r="JM167" s="9"/>
      <c r="JN167" s="9"/>
      <c r="JO167" s="9"/>
      <c r="JP167" s="9"/>
      <c r="JQ167" s="9"/>
      <c r="JR167" s="9"/>
      <c r="JS167" s="9"/>
      <c r="JT167" s="9"/>
      <c r="JU167" s="9"/>
      <c r="JV167" s="9"/>
      <c r="JW167" s="9"/>
      <c r="JX167" s="9"/>
      <c r="JY167" s="9"/>
      <c r="JZ167" s="9"/>
      <c r="KA167" s="9"/>
      <c r="KB167" s="9"/>
      <c r="KC167" s="9"/>
      <c r="KD167" s="9"/>
      <c r="KE167" s="9" t="s">
        <v>1098</v>
      </c>
      <c r="KF167" s="9"/>
      <c r="KG167" s="9" t="s">
        <v>1098</v>
      </c>
      <c r="KH167" s="9"/>
      <c r="KI167" s="9"/>
      <c r="KJ167" s="9"/>
      <c r="KK167" s="9"/>
      <c r="KL167" s="9"/>
      <c r="KM167" s="9"/>
      <c r="KN167" s="9"/>
      <c r="KO167" s="9"/>
      <c r="KP167" s="9"/>
      <c r="KQ167" s="9"/>
      <c r="KR167" s="9"/>
      <c r="KS167" s="9"/>
      <c r="KT167" s="9"/>
      <c r="KU167" s="9"/>
      <c r="KV167" s="9"/>
      <c r="KW167" s="9"/>
      <c r="KX167" s="9"/>
      <c r="KY167" s="9"/>
      <c r="KZ167" s="9"/>
      <c r="LA167" s="9"/>
      <c r="LB167" s="9"/>
      <c r="LC167" s="9"/>
      <c r="LD167" s="9"/>
      <c r="LE167" s="9"/>
      <c r="LF167" s="9"/>
      <c r="LG167" s="9"/>
      <c r="LH167" s="9"/>
      <c r="LI167" s="9"/>
      <c r="LJ167" s="9"/>
      <c r="LK167" s="9"/>
      <c r="LL167" s="9"/>
      <c r="LM167" s="9"/>
      <c r="LN167" s="9"/>
      <c r="LO167" s="9"/>
      <c r="LP167" s="9"/>
      <c r="LQ167" s="9"/>
      <c r="LR167" s="9"/>
      <c r="LS167" s="9"/>
      <c r="LT167" s="9"/>
      <c r="LU167" s="9"/>
      <c r="LV167" s="9"/>
      <c r="LW167" s="9"/>
      <c r="LX167" s="9"/>
      <c r="LY167" s="9"/>
      <c r="LZ167" s="9"/>
      <c r="MA167" s="9"/>
      <c r="MB167" s="9"/>
      <c r="MC167" s="9"/>
      <c r="MD167" s="9"/>
      <c r="ME167" s="9"/>
      <c r="MF167" s="9"/>
      <c r="MG167" s="9"/>
      <c r="MH167" s="9"/>
      <c r="MI167" s="9"/>
      <c r="MJ167" s="9"/>
      <c r="MK167" s="9"/>
      <c r="ML167" s="9"/>
      <c r="MM167" s="9"/>
      <c r="MN167" s="9"/>
      <c r="MO167" s="9"/>
      <c r="MP167" s="9"/>
      <c r="MQ167" s="9"/>
      <c r="MR167" s="9"/>
      <c r="MS167" s="9"/>
      <c r="MT167" s="9"/>
      <c r="MU167" s="9"/>
      <c r="MV167" s="9"/>
      <c r="MW167" s="9"/>
      <c r="MX167" s="9"/>
      <c r="MY167" s="9"/>
      <c r="MZ167" s="9"/>
      <c r="NA167" s="9"/>
      <c r="NB167" s="9"/>
      <c r="NC167" s="9"/>
      <c r="ND167" s="9"/>
      <c r="NE167" s="9"/>
      <c r="NF167" s="9"/>
      <c r="NG167" s="9"/>
      <c r="NH167" s="9"/>
      <c r="NI167" s="9"/>
      <c r="NJ167" s="9"/>
      <c r="NK167" s="9"/>
      <c r="NL167" s="9"/>
      <c r="NM167" s="9"/>
      <c r="NN167" s="9"/>
      <c r="NO167" s="9"/>
      <c r="NP167" s="9"/>
      <c r="NQ167" s="9"/>
      <c r="NR167" s="9"/>
      <c r="NS167" s="9"/>
      <c r="NT167" s="9"/>
      <c r="NU167" s="9"/>
      <c r="NV167" s="9"/>
      <c r="NW167" s="9"/>
      <c r="NX167" s="9"/>
      <c r="NY167" s="9"/>
      <c r="NZ167" s="9"/>
      <c r="OA167" s="9"/>
      <c r="OB167" s="9"/>
      <c r="OC167" s="9"/>
      <c r="OD167" s="9"/>
      <c r="OE167" s="9"/>
      <c r="OF167" s="9"/>
      <c r="OG167" s="9"/>
      <c r="OH167" s="9"/>
      <c r="OI167" s="9"/>
      <c r="OJ167" s="9"/>
      <c r="OK167" s="9"/>
      <c r="OL167" s="9"/>
      <c r="OM167" s="9"/>
      <c r="ON167" s="9"/>
      <c r="OO167" s="9"/>
      <c r="OP167" s="9"/>
      <c r="OQ167" s="9"/>
      <c r="OR167" s="9"/>
      <c r="OS167" s="9"/>
      <c r="OT167" s="9"/>
      <c r="OU167" s="9"/>
      <c r="OV167" s="9"/>
      <c r="OW167" s="9"/>
      <c r="OX167" s="9"/>
      <c r="OY167" s="9"/>
      <c r="OZ167" s="9"/>
      <c r="PA167" s="9"/>
      <c r="PB167" s="9"/>
      <c r="PC167" s="9"/>
      <c r="PD167" s="9"/>
      <c r="PE167" s="9"/>
      <c r="PF167" s="9"/>
      <c r="PG167" s="9"/>
      <c r="PH167" s="9"/>
      <c r="PI167" s="9"/>
      <c r="PJ167" s="9"/>
      <c r="PK167" s="9"/>
      <c r="PL167" s="9"/>
      <c r="PM167" s="9"/>
      <c r="PN167" s="9"/>
      <c r="PO167" s="9"/>
      <c r="PP167" s="9"/>
      <c r="PQ167" s="9"/>
      <c r="PR167" s="9"/>
      <c r="PS167" s="9"/>
      <c r="PT167" s="9"/>
      <c r="PU167" s="9"/>
      <c r="PV167" s="9"/>
      <c r="PW167" s="9"/>
      <c r="PX167" s="9"/>
      <c r="PY167" s="9"/>
      <c r="PZ167" s="9"/>
      <c r="QA167" s="9"/>
      <c r="QB167" s="9"/>
      <c r="QC167" s="9"/>
      <c r="QD167" s="9"/>
      <c r="QE167" s="9"/>
      <c r="QF167" s="9"/>
      <c r="QG167" s="9"/>
      <c r="QH167" s="9"/>
      <c r="QI167" s="9"/>
      <c r="QJ167" s="9"/>
      <c r="QK167" s="9"/>
      <c r="QL167" s="9"/>
      <c r="QM167" s="9"/>
      <c r="QN167" s="9"/>
      <c r="QO167" s="9"/>
      <c r="QP167" s="9"/>
      <c r="QQ167" s="67"/>
      <c r="QR167" s="68"/>
      <c r="QS167" s="63"/>
      <c r="QT167" s="71"/>
    </row>
    <row r="168" spans="1:462" s="11" customFormat="1" x14ac:dyDescent="0.2">
      <c r="A168" s="9">
        <v>10</v>
      </c>
      <c r="B168" s="9"/>
      <c r="C168" s="9"/>
      <c r="D168" s="9" t="s">
        <v>851</v>
      </c>
      <c r="E168" s="65" t="s">
        <v>849</v>
      </c>
      <c r="F168" s="65"/>
      <c r="G168" s="92" t="s">
        <v>2403</v>
      </c>
      <c r="H168" s="66" t="s">
        <v>1675</v>
      </c>
      <c r="I168" s="9" t="s">
        <v>1098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  <c r="IW168" s="9"/>
      <c r="IX168" s="9"/>
      <c r="IY168" s="9"/>
      <c r="IZ168" s="9"/>
      <c r="JA168" s="9"/>
      <c r="JB168" s="9"/>
      <c r="JC168" s="9"/>
      <c r="JD168" s="9"/>
      <c r="JE168" s="9"/>
      <c r="JF168" s="9"/>
      <c r="JG168" s="9"/>
      <c r="JH168" s="9"/>
      <c r="JI168" s="9"/>
      <c r="JJ168" s="9"/>
      <c r="JK168" s="9"/>
      <c r="JL168" s="9"/>
      <c r="JM168" s="9"/>
      <c r="JN168" s="9"/>
      <c r="JO168" s="9"/>
      <c r="JP168" s="9"/>
      <c r="JQ168" s="9"/>
      <c r="JR168" s="9"/>
      <c r="JS168" s="9"/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 t="s">
        <v>1098</v>
      </c>
      <c r="KF168" s="9"/>
      <c r="KG168" s="9" t="s">
        <v>1098</v>
      </c>
      <c r="KH168" s="9"/>
      <c r="KI168" s="9"/>
      <c r="KJ168" s="9"/>
      <c r="KK168" s="9"/>
      <c r="KL168" s="9"/>
      <c r="KM168" s="9"/>
      <c r="KN168" s="9"/>
      <c r="KO168" s="9"/>
      <c r="KP168" s="9"/>
      <c r="KQ168" s="9"/>
      <c r="KR168" s="9"/>
      <c r="KS168" s="9"/>
      <c r="KT168" s="9"/>
      <c r="KU168" s="9"/>
      <c r="KV168" s="9"/>
      <c r="KW168" s="9"/>
      <c r="KX168" s="9"/>
      <c r="KY168" s="9"/>
      <c r="KZ168" s="9"/>
      <c r="LA168" s="9"/>
      <c r="LB168" s="9"/>
      <c r="LC168" s="9"/>
      <c r="LD168" s="9"/>
      <c r="LE168" s="9"/>
      <c r="LF168" s="9"/>
      <c r="LG168" s="9"/>
      <c r="LH168" s="9"/>
      <c r="LI168" s="9"/>
      <c r="LJ168" s="9"/>
      <c r="LK168" s="9"/>
      <c r="LL168" s="9"/>
      <c r="LM168" s="9"/>
      <c r="LN168" s="9"/>
      <c r="LO168" s="9"/>
      <c r="LP168" s="9"/>
      <c r="LQ168" s="9"/>
      <c r="LR168" s="9"/>
      <c r="LS168" s="9"/>
      <c r="LT168" s="9"/>
      <c r="LU168" s="9"/>
      <c r="LV168" s="9"/>
      <c r="LW168" s="9"/>
      <c r="LX168" s="9"/>
      <c r="LY168" s="9"/>
      <c r="LZ168" s="9"/>
      <c r="MA168" s="9"/>
      <c r="MB168" s="9"/>
      <c r="MC168" s="9"/>
      <c r="MD168" s="9"/>
      <c r="ME168" s="9"/>
      <c r="MF168" s="9"/>
      <c r="MG168" s="9"/>
      <c r="MH168" s="9"/>
      <c r="MI168" s="9"/>
      <c r="MJ168" s="9"/>
      <c r="MK168" s="9"/>
      <c r="ML168" s="9"/>
      <c r="MM168" s="9"/>
      <c r="MN168" s="9"/>
      <c r="MO168" s="9"/>
      <c r="MP168" s="9"/>
      <c r="MQ168" s="9"/>
      <c r="MR168" s="9"/>
      <c r="MS168" s="9"/>
      <c r="MT168" s="9"/>
      <c r="MU168" s="9"/>
      <c r="MV168" s="9"/>
      <c r="MW168" s="9"/>
      <c r="MX168" s="9"/>
      <c r="MY168" s="9"/>
      <c r="MZ168" s="9"/>
      <c r="NA168" s="9"/>
      <c r="NB168" s="9"/>
      <c r="NC168" s="9"/>
      <c r="ND168" s="9"/>
      <c r="NE168" s="9"/>
      <c r="NF168" s="9"/>
      <c r="NG168" s="9"/>
      <c r="NH168" s="9"/>
      <c r="NI168" s="9"/>
      <c r="NJ168" s="9"/>
      <c r="NK168" s="9"/>
      <c r="NL168" s="9"/>
      <c r="NM168" s="9"/>
      <c r="NN168" s="9"/>
      <c r="NO168" s="9"/>
      <c r="NP168" s="9"/>
      <c r="NQ168" s="9"/>
      <c r="NR168" s="9"/>
      <c r="NS168" s="9"/>
      <c r="NT168" s="9"/>
      <c r="NU168" s="9"/>
      <c r="NV168" s="9"/>
      <c r="NW168" s="9"/>
      <c r="NX168" s="9"/>
      <c r="NY168" s="9"/>
      <c r="NZ168" s="9"/>
      <c r="OA168" s="9"/>
      <c r="OB168" s="9"/>
      <c r="OC168" s="9"/>
      <c r="OD168" s="9"/>
      <c r="OE168" s="9"/>
      <c r="OF168" s="9"/>
      <c r="OG168" s="9"/>
      <c r="OH168" s="9"/>
      <c r="OI168" s="9"/>
      <c r="OJ168" s="9"/>
      <c r="OK168" s="9"/>
      <c r="OL168" s="9"/>
      <c r="OM168" s="9"/>
      <c r="ON168" s="9"/>
      <c r="OO168" s="9"/>
      <c r="OP168" s="9"/>
      <c r="OQ168" s="9"/>
      <c r="OR168" s="9"/>
      <c r="OS168" s="9"/>
      <c r="OT168" s="9"/>
      <c r="OU168" s="9"/>
      <c r="OV168" s="9"/>
      <c r="OW168" s="9"/>
      <c r="OX168" s="9"/>
      <c r="OY168" s="9"/>
      <c r="OZ168" s="9"/>
      <c r="PA168" s="9"/>
      <c r="PB168" s="9"/>
      <c r="PC168" s="9"/>
      <c r="PD168" s="9"/>
      <c r="PE168" s="9"/>
      <c r="PF168" s="9"/>
      <c r="PG168" s="9"/>
      <c r="PH168" s="9"/>
      <c r="PI168" s="9"/>
      <c r="PJ168" s="9"/>
      <c r="PK168" s="9"/>
      <c r="PL168" s="9"/>
      <c r="PM168" s="9"/>
      <c r="PN168" s="9"/>
      <c r="PO168" s="9"/>
      <c r="PP168" s="9"/>
      <c r="PQ168" s="9"/>
      <c r="PR168" s="9"/>
      <c r="PS168" s="9"/>
      <c r="PT168" s="9"/>
      <c r="PU168" s="9"/>
      <c r="PV168" s="9"/>
      <c r="PW168" s="9"/>
      <c r="PX168" s="9"/>
      <c r="PY168" s="9"/>
      <c r="PZ168" s="9"/>
      <c r="QA168" s="9"/>
      <c r="QB168" s="9"/>
      <c r="QC168" s="9"/>
      <c r="QD168" s="9"/>
      <c r="QE168" s="9"/>
      <c r="QF168" s="9"/>
      <c r="QG168" s="9"/>
      <c r="QH168" s="9"/>
      <c r="QI168" s="9"/>
      <c r="QJ168" s="9"/>
      <c r="QK168" s="9"/>
      <c r="QL168" s="9"/>
      <c r="QM168" s="9"/>
      <c r="QN168" s="9"/>
      <c r="QO168" s="9"/>
      <c r="QP168" s="9"/>
      <c r="QQ168" s="67"/>
      <c r="QR168" s="68"/>
      <c r="QS168" s="63"/>
      <c r="QT168" s="71"/>
    </row>
    <row r="169" spans="1:462" s="11" customFormat="1" x14ac:dyDescent="0.2">
      <c r="A169" s="9">
        <v>10</v>
      </c>
      <c r="B169" s="9"/>
      <c r="C169" s="9"/>
      <c r="D169" s="9" t="s">
        <v>852</v>
      </c>
      <c r="E169" s="65" t="s">
        <v>849</v>
      </c>
      <c r="F169" s="65"/>
      <c r="G169" s="92" t="s">
        <v>2404</v>
      </c>
      <c r="H169" s="66" t="s">
        <v>1676</v>
      </c>
      <c r="I169" s="9" t="s">
        <v>1098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/>
      <c r="IA169" s="9"/>
      <c r="IB169" s="9"/>
      <c r="IC169" s="9"/>
      <c r="ID169" s="9"/>
      <c r="IE169" s="9"/>
      <c r="IF169" s="9"/>
      <c r="IG169" s="9"/>
      <c r="IH169" s="9"/>
      <c r="II169" s="9"/>
      <c r="IJ169" s="9"/>
      <c r="IK169" s="9"/>
      <c r="IL169" s="9"/>
      <c r="IM169" s="9"/>
      <c r="IN169" s="9"/>
      <c r="IO169" s="9"/>
      <c r="IP169" s="9"/>
      <c r="IQ169" s="9"/>
      <c r="IR169" s="9"/>
      <c r="IS169" s="9"/>
      <c r="IT169" s="9"/>
      <c r="IU169" s="9"/>
      <c r="IV169" s="9"/>
      <c r="IW169" s="9"/>
      <c r="IX169" s="9"/>
      <c r="IY169" s="9"/>
      <c r="IZ169" s="9"/>
      <c r="JA169" s="9"/>
      <c r="JB169" s="9"/>
      <c r="JC169" s="9"/>
      <c r="JD169" s="9"/>
      <c r="JE169" s="9"/>
      <c r="JF169" s="9"/>
      <c r="JG169" s="9"/>
      <c r="JH169" s="9"/>
      <c r="JI169" s="9"/>
      <c r="JJ169" s="9"/>
      <c r="JK169" s="9"/>
      <c r="JL169" s="9"/>
      <c r="JM169" s="9"/>
      <c r="JN169" s="9"/>
      <c r="JO169" s="9"/>
      <c r="JP169" s="9"/>
      <c r="JQ169" s="9"/>
      <c r="JR169" s="9"/>
      <c r="JS169" s="9"/>
      <c r="JT169" s="9"/>
      <c r="JU169" s="9"/>
      <c r="JV169" s="9"/>
      <c r="JW169" s="9"/>
      <c r="JX169" s="9"/>
      <c r="JY169" s="9"/>
      <c r="JZ169" s="9"/>
      <c r="KA169" s="9"/>
      <c r="KB169" s="9"/>
      <c r="KC169" s="9"/>
      <c r="KD169" s="9"/>
      <c r="KE169" s="9" t="s">
        <v>1098</v>
      </c>
      <c r="KF169" s="9"/>
      <c r="KG169" s="9" t="s">
        <v>1098</v>
      </c>
      <c r="KH169" s="9"/>
      <c r="KI169" s="9"/>
      <c r="KJ169" s="9"/>
      <c r="KK169" s="9"/>
      <c r="KL169" s="9"/>
      <c r="KM169" s="9"/>
      <c r="KN169" s="9"/>
      <c r="KO169" s="9"/>
      <c r="KP169" s="9"/>
      <c r="KQ169" s="9"/>
      <c r="KR169" s="9"/>
      <c r="KS169" s="9"/>
      <c r="KT169" s="9"/>
      <c r="KU169" s="9"/>
      <c r="KV169" s="9"/>
      <c r="KW169" s="9"/>
      <c r="KX169" s="9"/>
      <c r="KY169" s="9"/>
      <c r="KZ169" s="9"/>
      <c r="LA169" s="9"/>
      <c r="LB169" s="9"/>
      <c r="LC169" s="9"/>
      <c r="LD169" s="9"/>
      <c r="LE169" s="9"/>
      <c r="LF169" s="9"/>
      <c r="LG169" s="9"/>
      <c r="LH169" s="9"/>
      <c r="LI169" s="9"/>
      <c r="LJ169" s="9"/>
      <c r="LK169" s="9"/>
      <c r="LL169" s="9"/>
      <c r="LM169" s="9"/>
      <c r="LN169" s="9"/>
      <c r="LO169" s="9"/>
      <c r="LP169" s="9"/>
      <c r="LQ169" s="9"/>
      <c r="LR169" s="9"/>
      <c r="LS169" s="9"/>
      <c r="LT169" s="9"/>
      <c r="LU169" s="9"/>
      <c r="LV169" s="9"/>
      <c r="LW169" s="9"/>
      <c r="LX169" s="9"/>
      <c r="LY169" s="9"/>
      <c r="LZ169" s="9"/>
      <c r="MA169" s="9"/>
      <c r="MB169" s="9"/>
      <c r="MC169" s="9"/>
      <c r="MD169" s="9"/>
      <c r="ME169" s="9"/>
      <c r="MF169" s="9"/>
      <c r="MG169" s="9"/>
      <c r="MH169" s="9"/>
      <c r="MI169" s="9"/>
      <c r="MJ169" s="9"/>
      <c r="MK169" s="9"/>
      <c r="ML169" s="9"/>
      <c r="MM169" s="9"/>
      <c r="MN169" s="9"/>
      <c r="MO169" s="9"/>
      <c r="MP169" s="9"/>
      <c r="MQ169" s="9"/>
      <c r="MR169" s="9"/>
      <c r="MS169" s="9"/>
      <c r="MT169" s="9"/>
      <c r="MU169" s="9"/>
      <c r="MV169" s="9"/>
      <c r="MW169" s="9"/>
      <c r="MX169" s="9"/>
      <c r="MY169" s="9"/>
      <c r="MZ169" s="9"/>
      <c r="NA169" s="9"/>
      <c r="NB169" s="9"/>
      <c r="NC169" s="9"/>
      <c r="ND169" s="9"/>
      <c r="NE169" s="9"/>
      <c r="NF169" s="9"/>
      <c r="NG169" s="9"/>
      <c r="NH169" s="9"/>
      <c r="NI169" s="9"/>
      <c r="NJ169" s="9"/>
      <c r="NK169" s="9"/>
      <c r="NL169" s="9"/>
      <c r="NM169" s="9"/>
      <c r="NN169" s="9"/>
      <c r="NO169" s="9"/>
      <c r="NP169" s="9"/>
      <c r="NQ169" s="9"/>
      <c r="NR169" s="9"/>
      <c r="NS169" s="9"/>
      <c r="NT169" s="9"/>
      <c r="NU169" s="9"/>
      <c r="NV169" s="9"/>
      <c r="NW169" s="9"/>
      <c r="NX169" s="9"/>
      <c r="NY169" s="9"/>
      <c r="NZ169" s="9"/>
      <c r="OA169" s="9"/>
      <c r="OB169" s="9"/>
      <c r="OC169" s="9"/>
      <c r="OD169" s="9"/>
      <c r="OE169" s="9"/>
      <c r="OF169" s="9"/>
      <c r="OG169" s="9"/>
      <c r="OH169" s="9"/>
      <c r="OI169" s="9"/>
      <c r="OJ169" s="9"/>
      <c r="OK169" s="9"/>
      <c r="OL169" s="9"/>
      <c r="OM169" s="9"/>
      <c r="ON169" s="9"/>
      <c r="OO169" s="9"/>
      <c r="OP169" s="9"/>
      <c r="OQ169" s="9"/>
      <c r="OR169" s="9"/>
      <c r="OS169" s="9"/>
      <c r="OT169" s="9"/>
      <c r="OU169" s="9"/>
      <c r="OV169" s="9"/>
      <c r="OW169" s="9"/>
      <c r="OX169" s="9"/>
      <c r="OY169" s="9"/>
      <c r="OZ169" s="9"/>
      <c r="PA169" s="9"/>
      <c r="PB169" s="9"/>
      <c r="PC169" s="9"/>
      <c r="PD169" s="9"/>
      <c r="PE169" s="9"/>
      <c r="PF169" s="9"/>
      <c r="PG169" s="9"/>
      <c r="PH169" s="9"/>
      <c r="PI169" s="9"/>
      <c r="PJ169" s="9"/>
      <c r="PK169" s="9"/>
      <c r="PL169" s="9"/>
      <c r="PM169" s="9"/>
      <c r="PN169" s="9"/>
      <c r="PO169" s="9"/>
      <c r="PP169" s="9"/>
      <c r="PQ169" s="9"/>
      <c r="PR169" s="9"/>
      <c r="PS169" s="9"/>
      <c r="PT169" s="9"/>
      <c r="PU169" s="9"/>
      <c r="PV169" s="9"/>
      <c r="PW169" s="9"/>
      <c r="PX169" s="9"/>
      <c r="PY169" s="9"/>
      <c r="PZ169" s="9"/>
      <c r="QA169" s="9"/>
      <c r="QB169" s="9"/>
      <c r="QC169" s="9"/>
      <c r="QD169" s="9"/>
      <c r="QE169" s="9"/>
      <c r="QF169" s="9"/>
      <c r="QG169" s="9"/>
      <c r="QH169" s="9"/>
      <c r="QI169" s="9"/>
      <c r="QJ169" s="9"/>
      <c r="QK169" s="9"/>
      <c r="QL169" s="9"/>
      <c r="QM169" s="9"/>
      <c r="QN169" s="9"/>
      <c r="QO169" s="9"/>
      <c r="QP169" s="9"/>
      <c r="QQ169" s="67"/>
      <c r="QR169" s="68"/>
      <c r="QS169" s="63"/>
      <c r="QT169" s="71"/>
    </row>
    <row r="170" spans="1:462" s="11" customFormat="1" x14ac:dyDescent="0.2">
      <c r="A170" s="9">
        <v>10</v>
      </c>
      <c r="B170" s="9"/>
      <c r="C170" s="9"/>
      <c r="D170" s="9" t="s">
        <v>853</v>
      </c>
      <c r="E170" s="65" t="s">
        <v>849</v>
      </c>
      <c r="F170" s="65"/>
      <c r="G170" s="92" t="s">
        <v>2405</v>
      </c>
      <c r="H170" s="66" t="s">
        <v>1677</v>
      </c>
      <c r="I170" s="9" t="s">
        <v>1098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  <c r="II170" s="9"/>
      <c r="IJ170" s="9"/>
      <c r="IK170" s="9"/>
      <c r="IL170" s="9"/>
      <c r="IM170" s="9"/>
      <c r="IN170" s="9"/>
      <c r="IO170" s="9"/>
      <c r="IP170" s="9"/>
      <c r="IQ170" s="9"/>
      <c r="IR170" s="9"/>
      <c r="IS170" s="9"/>
      <c r="IT170" s="9"/>
      <c r="IU170" s="9"/>
      <c r="IV170" s="9"/>
      <c r="IW170" s="9"/>
      <c r="IX170" s="9"/>
      <c r="IY170" s="9"/>
      <c r="IZ170" s="9"/>
      <c r="JA170" s="9"/>
      <c r="JB170" s="9"/>
      <c r="JC170" s="9"/>
      <c r="JD170" s="9"/>
      <c r="JE170" s="9"/>
      <c r="JF170" s="9"/>
      <c r="JG170" s="9"/>
      <c r="JH170" s="9"/>
      <c r="JI170" s="9"/>
      <c r="JJ170" s="9"/>
      <c r="JK170" s="9"/>
      <c r="JL170" s="9"/>
      <c r="JM170" s="9"/>
      <c r="JN170" s="9"/>
      <c r="JO170" s="9"/>
      <c r="JP170" s="9"/>
      <c r="JQ170" s="9"/>
      <c r="JR170" s="9"/>
      <c r="JS170" s="9"/>
      <c r="JT170" s="9"/>
      <c r="JU170" s="9"/>
      <c r="JV170" s="9"/>
      <c r="JW170" s="9"/>
      <c r="JX170" s="9"/>
      <c r="JY170" s="9"/>
      <c r="JZ170" s="9"/>
      <c r="KA170" s="9"/>
      <c r="KB170" s="9"/>
      <c r="KC170" s="9"/>
      <c r="KD170" s="9"/>
      <c r="KE170" s="9" t="s">
        <v>1098</v>
      </c>
      <c r="KF170" s="9"/>
      <c r="KG170" s="9" t="s">
        <v>1098</v>
      </c>
      <c r="KH170" s="9"/>
      <c r="KI170" s="9"/>
      <c r="KJ170" s="9"/>
      <c r="KK170" s="9"/>
      <c r="KL170" s="9"/>
      <c r="KM170" s="9"/>
      <c r="KN170" s="9"/>
      <c r="KO170" s="9"/>
      <c r="KP170" s="9"/>
      <c r="KQ170" s="9"/>
      <c r="KR170" s="9"/>
      <c r="KS170" s="9"/>
      <c r="KT170" s="9"/>
      <c r="KU170" s="9"/>
      <c r="KV170" s="9"/>
      <c r="KW170" s="9"/>
      <c r="KX170" s="9"/>
      <c r="KY170" s="9"/>
      <c r="KZ170" s="9"/>
      <c r="LA170" s="9"/>
      <c r="LB170" s="9"/>
      <c r="LC170" s="9"/>
      <c r="LD170" s="9"/>
      <c r="LE170" s="9"/>
      <c r="LF170" s="9"/>
      <c r="LG170" s="9"/>
      <c r="LH170" s="9"/>
      <c r="LI170" s="9"/>
      <c r="LJ170" s="9"/>
      <c r="LK170" s="9"/>
      <c r="LL170" s="9"/>
      <c r="LM170" s="9"/>
      <c r="LN170" s="9"/>
      <c r="LO170" s="9"/>
      <c r="LP170" s="9"/>
      <c r="LQ170" s="9"/>
      <c r="LR170" s="9"/>
      <c r="LS170" s="9"/>
      <c r="LT170" s="9"/>
      <c r="LU170" s="9"/>
      <c r="LV170" s="9"/>
      <c r="LW170" s="9"/>
      <c r="LX170" s="9"/>
      <c r="LY170" s="9"/>
      <c r="LZ170" s="9"/>
      <c r="MA170" s="9"/>
      <c r="MB170" s="9"/>
      <c r="MC170" s="9"/>
      <c r="MD170" s="9"/>
      <c r="ME170" s="9"/>
      <c r="MF170" s="9"/>
      <c r="MG170" s="9"/>
      <c r="MH170" s="9"/>
      <c r="MI170" s="9"/>
      <c r="MJ170" s="9"/>
      <c r="MK170" s="9"/>
      <c r="ML170" s="9"/>
      <c r="MM170" s="9"/>
      <c r="MN170" s="9"/>
      <c r="MO170" s="9"/>
      <c r="MP170" s="9"/>
      <c r="MQ170" s="9"/>
      <c r="MR170" s="9"/>
      <c r="MS170" s="9"/>
      <c r="MT170" s="9"/>
      <c r="MU170" s="9"/>
      <c r="MV170" s="9"/>
      <c r="MW170" s="9"/>
      <c r="MX170" s="9"/>
      <c r="MY170" s="9"/>
      <c r="MZ170" s="9"/>
      <c r="NA170" s="9"/>
      <c r="NB170" s="9"/>
      <c r="NC170" s="9"/>
      <c r="ND170" s="9"/>
      <c r="NE170" s="9"/>
      <c r="NF170" s="9"/>
      <c r="NG170" s="9"/>
      <c r="NH170" s="9"/>
      <c r="NI170" s="9"/>
      <c r="NJ170" s="9"/>
      <c r="NK170" s="9"/>
      <c r="NL170" s="9"/>
      <c r="NM170" s="9"/>
      <c r="NN170" s="9"/>
      <c r="NO170" s="9"/>
      <c r="NP170" s="9"/>
      <c r="NQ170" s="9"/>
      <c r="NR170" s="9"/>
      <c r="NS170" s="9"/>
      <c r="NT170" s="9"/>
      <c r="NU170" s="9"/>
      <c r="NV170" s="9"/>
      <c r="NW170" s="9"/>
      <c r="NX170" s="9"/>
      <c r="NY170" s="9"/>
      <c r="NZ170" s="9"/>
      <c r="OA170" s="9"/>
      <c r="OB170" s="9"/>
      <c r="OC170" s="9"/>
      <c r="OD170" s="9"/>
      <c r="OE170" s="9"/>
      <c r="OF170" s="9"/>
      <c r="OG170" s="9"/>
      <c r="OH170" s="9"/>
      <c r="OI170" s="9"/>
      <c r="OJ170" s="9"/>
      <c r="OK170" s="9"/>
      <c r="OL170" s="9"/>
      <c r="OM170" s="9"/>
      <c r="ON170" s="9"/>
      <c r="OO170" s="9"/>
      <c r="OP170" s="9"/>
      <c r="OQ170" s="9"/>
      <c r="OR170" s="9"/>
      <c r="OS170" s="9"/>
      <c r="OT170" s="9"/>
      <c r="OU170" s="9"/>
      <c r="OV170" s="9"/>
      <c r="OW170" s="9"/>
      <c r="OX170" s="9"/>
      <c r="OY170" s="9"/>
      <c r="OZ170" s="9"/>
      <c r="PA170" s="9"/>
      <c r="PB170" s="9"/>
      <c r="PC170" s="9"/>
      <c r="PD170" s="9"/>
      <c r="PE170" s="9"/>
      <c r="PF170" s="9"/>
      <c r="PG170" s="9"/>
      <c r="PH170" s="9"/>
      <c r="PI170" s="9"/>
      <c r="PJ170" s="9"/>
      <c r="PK170" s="9"/>
      <c r="PL170" s="9"/>
      <c r="PM170" s="9"/>
      <c r="PN170" s="9"/>
      <c r="PO170" s="9"/>
      <c r="PP170" s="9"/>
      <c r="PQ170" s="9"/>
      <c r="PR170" s="9"/>
      <c r="PS170" s="9"/>
      <c r="PT170" s="9"/>
      <c r="PU170" s="9"/>
      <c r="PV170" s="9"/>
      <c r="PW170" s="9"/>
      <c r="PX170" s="9"/>
      <c r="PY170" s="9"/>
      <c r="PZ170" s="9"/>
      <c r="QA170" s="9"/>
      <c r="QB170" s="9"/>
      <c r="QC170" s="9"/>
      <c r="QD170" s="9"/>
      <c r="QE170" s="9"/>
      <c r="QF170" s="9"/>
      <c r="QG170" s="9"/>
      <c r="QH170" s="9"/>
      <c r="QI170" s="9"/>
      <c r="QJ170" s="9"/>
      <c r="QK170" s="9"/>
      <c r="QL170" s="9"/>
      <c r="QM170" s="9"/>
      <c r="QN170" s="9"/>
      <c r="QO170" s="9"/>
      <c r="QP170" s="9"/>
      <c r="QQ170" s="67"/>
      <c r="QR170" s="68"/>
      <c r="QS170" s="63"/>
      <c r="QT170" s="71"/>
    </row>
    <row r="171" spans="1:462" s="11" customFormat="1" x14ac:dyDescent="0.2">
      <c r="A171" s="9">
        <v>10</v>
      </c>
      <c r="B171" s="9"/>
      <c r="C171" s="9"/>
      <c r="D171" s="9" t="s">
        <v>854</v>
      </c>
      <c r="E171" s="65" t="s">
        <v>849</v>
      </c>
      <c r="F171" s="65"/>
      <c r="G171" s="92" t="s">
        <v>2406</v>
      </c>
      <c r="H171" s="66" t="s">
        <v>1678</v>
      </c>
      <c r="I171" s="9" t="s">
        <v>1098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  <c r="II171" s="9"/>
      <c r="IJ171" s="9"/>
      <c r="IK171" s="9"/>
      <c r="IL171" s="9"/>
      <c r="IM171" s="9"/>
      <c r="IN171" s="9"/>
      <c r="IO171" s="9"/>
      <c r="IP171" s="9"/>
      <c r="IQ171" s="9"/>
      <c r="IR171" s="9"/>
      <c r="IS171" s="9"/>
      <c r="IT171" s="9"/>
      <c r="IU171" s="9"/>
      <c r="IV171" s="9"/>
      <c r="IW171" s="9"/>
      <c r="IX171" s="9"/>
      <c r="IY171" s="9"/>
      <c r="IZ171" s="9"/>
      <c r="JA171" s="9"/>
      <c r="JB171" s="9"/>
      <c r="JC171" s="9"/>
      <c r="JD171" s="9"/>
      <c r="JE171" s="9"/>
      <c r="JF171" s="9"/>
      <c r="JG171" s="9"/>
      <c r="JH171" s="9"/>
      <c r="JI171" s="9"/>
      <c r="JJ171" s="9"/>
      <c r="JK171" s="9"/>
      <c r="JL171" s="9"/>
      <c r="JM171" s="9"/>
      <c r="JN171" s="9"/>
      <c r="JO171" s="9"/>
      <c r="JP171" s="9"/>
      <c r="JQ171" s="9"/>
      <c r="JR171" s="9"/>
      <c r="JS171" s="9"/>
      <c r="JT171" s="9"/>
      <c r="JU171" s="9"/>
      <c r="JV171" s="9"/>
      <c r="JW171" s="9"/>
      <c r="JX171" s="9"/>
      <c r="JY171" s="9"/>
      <c r="JZ171" s="9"/>
      <c r="KA171" s="9"/>
      <c r="KB171" s="9"/>
      <c r="KC171" s="9"/>
      <c r="KD171" s="9"/>
      <c r="KE171" s="9" t="s">
        <v>1098</v>
      </c>
      <c r="KF171" s="9"/>
      <c r="KG171" s="9" t="s">
        <v>1098</v>
      </c>
      <c r="KH171" s="9"/>
      <c r="KI171" s="9"/>
      <c r="KJ171" s="9"/>
      <c r="KK171" s="9"/>
      <c r="KL171" s="9"/>
      <c r="KM171" s="9"/>
      <c r="KN171" s="9"/>
      <c r="KO171" s="9"/>
      <c r="KP171" s="9"/>
      <c r="KQ171" s="9"/>
      <c r="KR171" s="9"/>
      <c r="KS171" s="9"/>
      <c r="KT171" s="9"/>
      <c r="KU171" s="9"/>
      <c r="KV171" s="9"/>
      <c r="KW171" s="9"/>
      <c r="KX171" s="9"/>
      <c r="KY171" s="9"/>
      <c r="KZ171" s="9"/>
      <c r="LA171" s="9"/>
      <c r="LB171" s="9"/>
      <c r="LC171" s="9"/>
      <c r="LD171" s="9"/>
      <c r="LE171" s="9"/>
      <c r="LF171" s="9"/>
      <c r="LG171" s="9"/>
      <c r="LH171" s="9"/>
      <c r="LI171" s="9"/>
      <c r="LJ171" s="9"/>
      <c r="LK171" s="9"/>
      <c r="LL171" s="9"/>
      <c r="LM171" s="9"/>
      <c r="LN171" s="9"/>
      <c r="LO171" s="9"/>
      <c r="LP171" s="9"/>
      <c r="LQ171" s="9"/>
      <c r="LR171" s="9"/>
      <c r="LS171" s="9"/>
      <c r="LT171" s="9"/>
      <c r="LU171" s="9"/>
      <c r="LV171" s="9"/>
      <c r="LW171" s="9"/>
      <c r="LX171" s="9"/>
      <c r="LY171" s="9"/>
      <c r="LZ171" s="9"/>
      <c r="MA171" s="9"/>
      <c r="MB171" s="9"/>
      <c r="MC171" s="9"/>
      <c r="MD171" s="9"/>
      <c r="ME171" s="9"/>
      <c r="MF171" s="9"/>
      <c r="MG171" s="9"/>
      <c r="MH171" s="9"/>
      <c r="MI171" s="9"/>
      <c r="MJ171" s="9"/>
      <c r="MK171" s="9"/>
      <c r="ML171" s="9"/>
      <c r="MM171" s="9"/>
      <c r="MN171" s="9"/>
      <c r="MO171" s="9"/>
      <c r="MP171" s="9"/>
      <c r="MQ171" s="9"/>
      <c r="MR171" s="9"/>
      <c r="MS171" s="9"/>
      <c r="MT171" s="9"/>
      <c r="MU171" s="9"/>
      <c r="MV171" s="9"/>
      <c r="MW171" s="9"/>
      <c r="MX171" s="9"/>
      <c r="MY171" s="9"/>
      <c r="MZ171" s="9"/>
      <c r="NA171" s="9"/>
      <c r="NB171" s="9"/>
      <c r="NC171" s="9"/>
      <c r="ND171" s="9"/>
      <c r="NE171" s="9"/>
      <c r="NF171" s="9"/>
      <c r="NG171" s="9"/>
      <c r="NH171" s="9"/>
      <c r="NI171" s="9"/>
      <c r="NJ171" s="9"/>
      <c r="NK171" s="9"/>
      <c r="NL171" s="9"/>
      <c r="NM171" s="9"/>
      <c r="NN171" s="9"/>
      <c r="NO171" s="9"/>
      <c r="NP171" s="9"/>
      <c r="NQ171" s="9"/>
      <c r="NR171" s="9"/>
      <c r="NS171" s="9"/>
      <c r="NT171" s="9"/>
      <c r="NU171" s="9"/>
      <c r="NV171" s="9"/>
      <c r="NW171" s="9"/>
      <c r="NX171" s="9"/>
      <c r="NY171" s="9"/>
      <c r="NZ171" s="9"/>
      <c r="OA171" s="9"/>
      <c r="OB171" s="9"/>
      <c r="OC171" s="9"/>
      <c r="OD171" s="9"/>
      <c r="OE171" s="9"/>
      <c r="OF171" s="9"/>
      <c r="OG171" s="9"/>
      <c r="OH171" s="9"/>
      <c r="OI171" s="9"/>
      <c r="OJ171" s="9"/>
      <c r="OK171" s="9"/>
      <c r="OL171" s="9"/>
      <c r="OM171" s="9"/>
      <c r="ON171" s="9"/>
      <c r="OO171" s="9"/>
      <c r="OP171" s="9"/>
      <c r="OQ171" s="9"/>
      <c r="OR171" s="9"/>
      <c r="OS171" s="9"/>
      <c r="OT171" s="9"/>
      <c r="OU171" s="9"/>
      <c r="OV171" s="9"/>
      <c r="OW171" s="9"/>
      <c r="OX171" s="9"/>
      <c r="OY171" s="9"/>
      <c r="OZ171" s="9"/>
      <c r="PA171" s="9"/>
      <c r="PB171" s="9"/>
      <c r="PC171" s="9"/>
      <c r="PD171" s="9"/>
      <c r="PE171" s="9"/>
      <c r="PF171" s="9"/>
      <c r="PG171" s="9"/>
      <c r="PH171" s="9"/>
      <c r="PI171" s="9"/>
      <c r="PJ171" s="9"/>
      <c r="PK171" s="9"/>
      <c r="PL171" s="9"/>
      <c r="PM171" s="9"/>
      <c r="PN171" s="9"/>
      <c r="PO171" s="9"/>
      <c r="PP171" s="9"/>
      <c r="PQ171" s="9"/>
      <c r="PR171" s="9"/>
      <c r="PS171" s="9"/>
      <c r="PT171" s="9"/>
      <c r="PU171" s="9"/>
      <c r="PV171" s="9"/>
      <c r="PW171" s="9"/>
      <c r="PX171" s="9"/>
      <c r="PY171" s="9"/>
      <c r="PZ171" s="9"/>
      <c r="QA171" s="9"/>
      <c r="QB171" s="9"/>
      <c r="QC171" s="9"/>
      <c r="QD171" s="9"/>
      <c r="QE171" s="9"/>
      <c r="QF171" s="9"/>
      <c r="QG171" s="9"/>
      <c r="QH171" s="9"/>
      <c r="QI171" s="9"/>
      <c r="QJ171" s="9"/>
      <c r="QK171" s="9"/>
      <c r="QL171" s="9"/>
      <c r="QM171" s="9"/>
      <c r="QN171" s="9"/>
      <c r="QO171" s="9"/>
      <c r="QP171" s="9"/>
      <c r="QQ171" s="67"/>
      <c r="QR171" s="68"/>
      <c r="QS171" s="63"/>
      <c r="QT171" s="71"/>
    </row>
    <row r="172" spans="1:462" s="11" customFormat="1" x14ac:dyDescent="0.2">
      <c r="A172" s="9">
        <v>10</v>
      </c>
      <c r="B172" s="9"/>
      <c r="C172" s="9"/>
      <c r="D172" s="9" t="s">
        <v>855</v>
      </c>
      <c r="E172" s="65" t="s">
        <v>849</v>
      </c>
      <c r="F172" s="65"/>
      <c r="G172" s="92" t="s">
        <v>2407</v>
      </c>
      <c r="H172" s="66" t="s">
        <v>1679</v>
      </c>
      <c r="I172" s="9" t="s">
        <v>1098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  <c r="II172" s="9"/>
      <c r="IJ172" s="9"/>
      <c r="IK172" s="9"/>
      <c r="IL172" s="9"/>
      <c r="IM172" s="9"/>
      <c r="IN172" s="9"/>
      <c r="IO172" s="9"/>
      <c r="IP172" s="9"/>
      <c r="IQ172" s="9"/>
      <c r="IR172" s="9"/>
      <c r="IS172" s="9"/>
      <c r="IT172" s="9"/>
      <c r="IU172" s="9"/>
      <c r="IV172" s="9"/>
      <c r="IW172" s="9"/>
      <c r="IX172" s="9"/>
      <c r="IY172" s="9"/>
      <c r="IZ172" s="9"/>
      <c r="JA172" s="9"/>
      <c r="JB172" s="9"/>
      <c r="JC172" s="9"/>
      <c r="JD172" s="9"/>
      <c r="JE172" s="9"/>
      <c r="JF172" s="9"/>
      <c r="JG172" s="9"/>
      <c r="JH172" s="9"/>
      <c r="JI172" s="9"/>
      <c r="JJ172" s="9"/>
      <c r="JK172" s="9"/>
      <c r="JL172" s="9"/>
      <c r="JM172" s="9"/>
      <c r="JN172" s="9"/>
      <c r="JO172" s="9"/>
      <c r="JP172" s="9"/>
      <c r="JQ172" s="9"/>
      <c r="JR172" s="9"/>
      <c r="JS172" s="9"/>
      <c r="JT172" s="9"/>
      <c r="JU172" s="9"/>
      <c r="JV172" s="9"/>
      <c r="JW172" s="9"/>
      <c r="JX172" s="9"/>
      <c r="JY172" s="9"/>
      <c r="JZ172" s="9"/>
      <c r="KA172" s="9"/>
      <c r="KB172" s="9"/>
      <c r="KC172" s="9"/>
      <c r="KD172" s="9"/>
      <c r="KE172" s="9" t="s">
        <v>1098</v>
      </c>
      <c r="KF172" s="9"/>
      <c r="KG172" s="9" t="s">
        <v>1098</v>
      </c>
      <c r="KH172" s="9"/>
      <c r="KI172" s="9"/>
      <c r="KJ172" s="9"/>
      <c r="KK172" s="9"/>
      <c r="KL172" s="9"/>
      <c r="KM172" s="9"/>
      <c r="KN172" s="9"/>
      <c r="KO172" s="9"/>
      <c r="KP172" s="9"/>
      <c r="KQ172" s="9"/>
      <c r="KR172" s="9"/>
      <c r="KS172" s="9"/>
      <c r="KT172" s="9"/>
      <c r="KU172" s="9"/>
      <c r="KV172" s="9"/>
      <c r="KW172" s="9"/>
      <c r="KX172" s="9"/>
      <c r="KY172" s="9"/>
      <c r="KZ172" s="9"/>
      <c r="LA172" s="9"/>
      <c r="LB172" s="9"/>
      <c r="LC172" s="9"/>
      <c r="LD172" s="9"/>
      <c r="LE172" s="9"/>
      <c r="LF172" s="9"/>
      <c r="LG172" s="9"/>
      <c r="LH172" s="9"/>
      <c r="LI172" s="9"/>
      <c r="LJ172" s="9"/>
      <c r="LK172" s="9"/>
      <c r="LL172" s="9"/>
      <c r="LM172" s="9"/>
      <c r="LN172" s="9"/>
      <c r="LO172" s="9"/>
      <c r="LP172" s="9"/>
      <c r="LQ172" s="9"/>
      <c r="LR172" s="9"/>
      <c r="LS172" s="9"/>
      <c r="LT172" s="9"/>
      <c r="LU172" s="9"/>
      <c r="LV172" s="9"/>
      <c r="LW172" s="9"/>
      <c r="LX172" s="9"/>
      <c r="LY172" s="9"/>
      <c r="LZ172" s="9"/>
      <c r="MA172" s="9"/>
      <c r="MB172" s="9"/>
      <c r="MC172" s="9"/>
      <c r="MD172" s="9"/>
      <c r="ME172" s="9"/>
      <c r="MF172" s="9"/>
      <c r="MG172" s="9"/>
      <c r="MH172" s="9"/>
      <c r="MI172" s="9"/>
      <c r="MJ172" s="9"/>
      <c r="MK172" s="9"/>
      <c r="ML172" s="9"/>
      <c r="MM172" s="9"/>
      <c r="MN172" s="9"/>
      <c r="MO172" s="9"/>
      <c r="MP172" s="9"/>
      <c r="MQ172" s="9"/>
      <c r="MR172" s="9"/>
      <c r="MS172" s="9"/>
      <c r="MT172" s="9"/>
      <c r="MU172" s="9"/>
      <c r="MV172" s="9"/>
      <c r="MW172" s="9"/>
      <c r="MX172" s="9"/>
      <c r="MY172" s="9"/>
      <c r="MZ172" s="9"/>
      <c r="NA172" s="9"/>
      <c r="NB172" s="9"/>
      <c r="NC172" s="9"/>
      <c r="ND172" s="9"/>
      <c r="NE172" s="9"/>
      <c r="NF172" s="9"/>
      <c r="NG172" s="9"/>
      <c r="NH172" s="9"/>
      <c r="NI172" s="9"/>
      <c r="NJ172" s="9"/>
      <c r="NK172" s="9"/>
      <c r="NL172" s="9"/>
      <c r="NM172" s="9"/>
      <c r="NN172" s="9"/>
      <c r="NO172" s="9"/>
      <c r="NP172" s="9"/>
      <c r="NQ172" s="9"/>
      <c r="NR172" s="9"/>
      <c r="NS172" s="9"/>
      <c r="NT172" s="9"/>
      <c r="NU172" s="9"/>
      <c r="NV172" s="9"/>
      <c r="NW172" s="9"/>
      <c r="NX172" s="9"/>
      <c r="NY172" s="9"/>
      <c r="NZ172" s="9"/>
      <c r="OA172" s="9"/>
      <c r="OB172" s="9"/>
      <c r="OC172" s="9"/>
      <c r="OD172" s="9"/>
      <c r="OE172" s="9"/>
      <c r="OF172" s="9"/>
      <c r="OG172" s="9"/>
      <c r="OH172" s="9"/>
      <c r="OI172" s="9"/>
      <c r="OJ172" s="9"/>
      <c r="OK172" s="9"/>
      <c r="OL172" s="9"/>
      <c r="OM172" s="9"/>
      <c r="ON172" s="9"/>
      <c r="OO172" s="9"/>
      <c r="OP172" s="9"/>
      <c r="OQ172" s="9"/>
      <c r="OR172" s="9"/>
      <c r="OS172" s="9"/>
      <c r="OT172" s="9"/>
      <c r="OU172" s="9"/>
      <c r="OV172" s="9"/>
      <c r="OW172" s="9"/>
      <c r="OX172" s="9"/>
      <c r="OY172" s="9"/>
      <c r="OZ172" s="9"/>
      <c r="PA172" s="9"/>
      <c r="PB172" s="9"/>
      <c r="PC172" s="9"/>
      <c r="PD172" s="9"/>
      <c r="PE172" s="9"/>
      <c r="PF172" s="9"/>
      <c r="PG172" s="9"/>
      <c r="PH172" s="9"/>
      <c r="PI172" s="9"/>
      <c r="PJ172" s="9"/>
      <c r="PK172" s="9"/>
      <c r="PL172" s="9"/>
      <c r="PM172" s="9"/>
      <c r="PN172" s="9"/>
      <c r="PO172" s="9"/>
      <c r="PP172" s="9"/>
      <c r="PQ172" s="9"/>
      <c r="PR172" s="9"/>
      <c r="PS172" s="9"/>
      <c r="PT172" s="9"/>
      <c r="PU172" s="9"/>
      <c r="PV172" s="9"/>
      <c r="PW172" s="9"/>
      <c r="PX172" s="9"/>
      <c r="PY172" s="9"/>
      <c r="PZ172" s="9"/>
      <c r="QA172" s="9"/>
      <c r="QB172" s="9"/>
      <c r="QC172" s="9"/>
      <c r="QD172" s="9"/>
      <c r="QE172" s="9"/>
      <c r="QF172" s="9"/>
      <c r="QG172" s="9"/>
      <c r="QH172" s="9"/>
      <c r="QI172" s="9"/>
      <c r="QJ172" s="9"/>
      <c r="QK172" s="9"/>
      <c r="QL172" s="9"/>
      <c r="QM172" s="9"/>
      <c r="QN172" s="9"/>
      <c r="QO172" s="9"/>
      <c r="QP172" s="9"/>
      <c r="QQ172" s="67"/>
      <c r="QR172" s="68"/>
      <c r="QS172" s="63"/>
      <c r="QT172" s="71"/>
    </row>
    <row r="173" spans="1:462" s="11" customFormat="1" ht="26" x14ac:dyDescent="0.2">
      <c r="A173" s="9">
        <v>10</v>
      </c>
      <c r="B173" s="9"/>
      <c r="C173" s="9"/>
      <c r="D173" s="9" t="s">
        <v>458</v>
      </c>
      <c r="E173" s="65" t="s">
        <v>559</v>
      </c>
      <c r="F173" s="65"/>
      <c r="G173" s="91" t="s">
        <v>2408</v>
      </c>
      <c r="H173" s="66" t="s">
        <v>1680</v>
      </c>
      <c r="I173" s="9" t="s">
        <v>1098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9"/>
      <c r="IB173" s="9"/>
      <c r="IC173" s="9"/>
      <c r="ID173" s="9"/>
      <c r="IE173" s="9"/>
      <c r="IF173" s="9"/>
      <c r="IG173" s="9"/>
      <c r="IH173" s="9"/>
      <c r="II173" s="9"/>
      <c r="IJ173" s="9"/>
      <c r="IK173" s="9"/>
      <c r="IL173" s="9"/>
      <c r="IM173" s="9"/>
      <c r="IN173" s="9"/>
      <c r="IO173" s="9"/>
      <c r="IP173" s="9"/>
      <c r="IQ173" s="9"/>
      <c r="IR173" s="9"/>
      <c r="IS173" s="9"/>
      <c r="IT173" s="9"/>
      <c r="IU173" s="9"/>
      <c r="IV173" s="9"/>
      <c r="IW173" s="9"/>
      <c r="IX173" s="9"/>
      <c r="IY173" s="9"/>
      <c r="IZ173" s="9"/>
      <c r="JA173" s="9"/>
      <c r="JB173" s="9"/>
      <c r="JC173" s="9"/>
      <c r="JD173" s="9"/>
      <c r="JE173" s="9"/>
      <c r="JF173" s="9"/>
      <c r="JG173" s="9"/>
      <c r="JH173" s="9"/>
      <c r="JI173" s="9"/>
      <c r="JJ173" s="9"/>
      <c r="JK173" s="9"/>
      <c r="JL173" s="9"/>
      <c r="JM173" s="9"/>
      <c r="JN173" s="9"/>
      <c r="JO173" s="9"/>
      <c r="JP173" s="9"/>
      <c r="JQ173" s="9"/>
      <c r="JR173" s="9"/>
      <c r="JS173" s="9"/>
      <c r="JT173" s="9"/>
      <c r="JU173" s="9"/>
      <c r="JV173" s="9"/>
      <c r="JW173" s="9"/>
      <c r="JX173" s="9"/>
      <c r="JY173" s="9"/>
      <c r="JZ173" s="9"/>
      <c r="KA173" s="9"/>
      <c r="KB173" s="9"/>
      <c r="KC173" s="9"/>
      <c r="KD173" s="9"/>
      <c r="KE173" s="9"/>
      <c r="KF173" s="9"/>
      <c r="KG173" s="9"/>
      <c r="KH173" s="9"/>
      <c r="KI173" s="9"/>
      <c r="KJ173" s="9"/>
      <c r="KK173" s="9"/>
      <c r="KL173" s="9"/>
      <c r="KM173" s="9" t="s">
        <v>1098</v>
      </c>
      <c r="KN173" s="9"/>
      <c r="KO173" s="9" t="s">
        <v>1098</v>
      </c>
      <c r="KP173" s="9"/>
      <c r="KQ173" s="9"/>
      <c r="KR173" s="9"/>
      <c r="KS173" s="9"/>
      <c r="KT173" s="9"/>
      <c r="KU173" s="9"/>
      <c r="KV173" s="9"/>
      <c r="KW173" s="9"/>
      <c r="KX173" s="9"/>
      <c r="KY173" s="9"/>
      <c r="KZ173" s="9"/>
      <c r="LA173" s="9"/>
      <c r="LB173" s="9"/>
      <c r="LC173" s="9"/>
      <c r="LD173" s="9"/>
      <c r="LE173" s="9"/>
      <c r="LF173" s="9"/>
      <c r="LG173" s="9"/>
      <c r="LH173" s="9"/>
      <c r="LI173" s="9"/>
      <c r="LJ173" s="9"/>
      <c r="LK173" s="9"/>
      <c r="LL173" s="9"/>
      <c r="LM173" s="9"/>
      <c r="LN173" s="9"/>
      <c r="LO173" s="9"/>
      <c r="LP173" s="9"/>
      <c r="LQ173" s="9"/>
      <c r="LR173" s="9"/>
      <c r="LS173" s="9"/>
      <c r="LT173" s="9"/>
      <c r="LU173" s="9"/>
      <c r="LV173" s="9"/>
      <c r="LW173" s="9"/>
      <c r="LX173" s="9"/>
      <c r="LY173" s="9"/>
      <c r="LZ173" s="9"/>
      <c r="MA173" s="9"/>
      <c r="MB173" s="9"/>
      <c r="MC173" s="9"/>
      <c r="MD173" s="9"/>
      <c r="ME173" s="9"/>
      <c r="MF173" s="9"/>
      <c r="MG173" s="9"/>
      <c r="MH173" s="9"/>
      <c r="MI173" s="9"/>
      <c r="MJ173" s="9"/>
      <c r="MK173" s="9"/>
      <c r="ML173" s="9"/>
      <c r="MM173" s="9"/>
      <c r="MN173" s="9"/>
      <c r="MO173" s="9"/>
      <c r="MP173" s="9"/>
      <c r="MQ173" s="9"/>
      <c r="MR173" s="9"/>
      <c r="MS173" s="9"/>
      <c r="MT173" s="9"/>
      <c r="MU173" s="9"/>
      <c r="MV173" s="9"/>
      <c r="MW173" s="9"/>
      <c r="MX173" s="9"/>
      <c r="MY173" s="9"/>
      <c r="MZ173" s="9"/>
      <c r="NA173" s="9"/>
      <c r="NB173" s="9"/>
      <c r="NC173" s="9"/>
      <c r="ND173" s="9"/>
      <c r="NE173" s="9"/>
      <c r="NF173" s="9"/>
      <c r="NG173" s="9"/>
      <c r="NH173" s="9"/>
      <c r="NI173" s="9"/>
      <c r="NJ173" s="9"/>
      <c r="NK173" s="9"/>
      <c r="NL173" s="9"/>
      <c r="NM173" s="9"/>
      <c r="NN173" s="9"/>
      <c r="NO173" s="9"/>
      <c r="NP173" s="9"/>
      <c r="NQ173" s="9"/>
      <c r="NR173" s="9"/>
      <c r="NS173" s="9"/>
      <c r="NT173" s="9"/>
      <c r="NU173" s="9"/>
      <c r="NV173" s="9"/>
      <c r="NW173" s="9"/>
      <c r="NX173" s="9"/>
      <c r="NY173" s="9"/>
      <c r="NZ173" s="9"/>
      <c r="OA173" s="9"/>
      <c r="OB173" s="9"/>
      <c r="OC173" s="9"/>
      <c r="OD173" s="9"/>
      <c r="OE173" s="9"/>
      <c r="OF173" s="9"/>
      <c r="OG173" s="9"/>
      <c r="OH173" s="9"/>
      <c r="OI173" s="9"/>
      <c r="OJ173" s="9"/>
      <c r="OK173" s="9"/>
      <c r="OL173" s="9"/>
      <c r="OM173" s="9"/>
      <c r="ON173" s="9"/>
      <c r="OO173" s="9"/>
      <c r="OP173" s="9"/>
      <c r="OQ173" s="9"/>
      <c r="OR173" s="9"/>
      <c r="OS173" s="9"/>
      <c r="OT173" s="9"/>
      <c r="OU173" s="9"/>
      <c r="OV173" s="9"/>
      <c r="OW173" s="9"/>
      <c r="OX173" s="9"/>
      <c r="OY173" s="9"/>
      <c r="OZ173" s="9"/>
      <c r="PA173" s="9"/>
      <c r="PB173" s="9"/>
      <c r="PC173" s="9"/>
      <c r="PD173" s="9"/>
      <c r="PE173" s="9"/>
      <c r="PF173" s="9"/>
      <c r="PG173" s="9"/>
      <c r="PH173" s="9"/>
      <c r="PI173" s="9"/>
      <c r="PJ173" s="9"/>
      <c r="PK173" s="9"/>
      <c r="PL173" s="9"/>
      <c r="PM173" s="9"/>
      <c r="PN173" s="9"/>
      <c r="PO173" s="9"/>
      <c r="PP173" s="9"/>
      <c r="PQ173" s="9"/>
      <c r="PR173" s="9"/>
      <c r="PS173" s="9"/>
      <c r="PT173" s="9"/>
      <c r="PU173" s="9"/>
      <c r="PV173" s="9"/>
      <c r="PW173" s="9"/>
      <c r="PX173" s="9"/>
      <c r="PY173" s="9"/>
      <c r="PZ173" s="9"/>
      <c r="QA173" s="9"/>
      <c r="QB173" s="9"/>
      <c r="QC173" s="9"/>
      <c r="QD173" s="9"/>
      <c r="QE173" s="9"/>
      <c r="QF173" s="9"/>
      <c r="QG173" s="9"/>
      <c r="QH173" s="9"/>
      <c r="QI173" s="9"/>
      <c r="QJ173" s="9"/>
      <c r="QK173" s="9"/>
      <c r="QL173" s="9"/>
      <c r="QM173" s="9"/>
      <c r="QN173" s="9"/>
      <c r="QO173" s="9"/>
      <c r="QP173" s="9"/>
      <c r="QQ173" s="67"/>
      <c r="QR173" s="68"/>
      <c r="QS173" s="63"/>
      <c r="QT173" s="71"/>
    </row>
    <row r="174" spans="1:462" s="11" customFormat="1" ht="26" x14ac:dyDescent="0.2">
      <c r="A174" s="9">
        <v>10</v>
      </c>
      <c r="B174" s="9"/>
      <c r="C174" s="9"/>
      <c r="D174" s="9" t="s">
        <v>459</v>
      </c>
      <c r="E174" s="65" t="s">
        <v>560</v>
      </c>
      <c r="F174" s="65"/>
      <c r="G174" s="92" t="s">
        <v>2410</v>
      </c>
      <c r="H174" s="66" t="s">
        <v>1681</v>
      </c>
      <c r="I174" s="9" t="s">
        <v>1098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  <c r="II174" s="9"/>
      <c r="IJ174" s="9"/>
      <c r="IK174" s="9"/>
      <c r="IL174" s="9"/>
      <c r="IM174" s="9"/>
      <c r="IN174" s="9"/>
      <c r="IO174" s="9"/>
      <c r="IP174" s="9"/>
      <c r="IQ174" s="9"/>
      <c r="IR174" s="9"/>
      <c r="IS174" s="9"/>
      <c r="IT174" s="9"/>
      <c r="IU174" s="9"/>
      <c r="IV174" s="9"/>
      <c r="IW174" s="9"/>
      <c r="IX174" s="9"/>
      <c r="IY174" s="9"/>
      <c r="IZ174" s="9"/>
      <c r="JA174" s="9"/>
      <c r="JB174" s="9"/>
      <c r="JC174" s="9"/>
      <c r="JD174" s="9"/>
      <c r="JE174" s="9"/>
      <c r="JF174" s="9"/>
      <c r="JG174" s="9"/>
      <c r="JH174" s="9"/>
      <c r="JI174" s="9"/>
      <c r="JJ174" s="9"/>
      <c r="JK174" s="9"/>
      <c r="JL174" s="9"/>
      <c r="JM174" s="9"/>
      <c r="JN174" s="9"/>
      <c r="JO174" s="9"/>
      <c r="JP174" s="9"/>
      <c r="JQ174" s="9"/>
      <c r="JR174" s="9"/>
      <c r="JS174" s="9"/>
      <c r="JT174" s="9"/>
      <c r="JU174" s="9"/>
      <c r="JV174" s="9"/>
      <c r="JW174" s="9"/>
      <c r="JX174" s="9"/>
      <c r="JY174" s="9"/>
      <c r="JZ174" s="9"/>
      <c r="KA174" s="9"/>
      <c r="KB174" s="9"/>
      <c r="KC174" s="9"/>
      <c r="KD174" s="9"/>
      <c r="KE174" s="9"/>
      <c r="KF174" s="9"/>
      <c r="KG174" s="9"/>
      <c r="KH174" s="9"/>
      <c r="KI174" s="9"/>
      <c r="KJ174" s="9"/>
      <c r="KK174" s="9"/>
      <c r="KL174" s="9"/>
      <c r="KM174" s="9" t="s">
        <v>1098</v>
      </c>
      <c r="KN174" s="9"/>
      <c r="KO174" s="9" t="s">
        <v>1098</v>
      </c>
      <c r="KP174" s="9"/>
      <c r="KQ174" s="9"/>
      <c r="KR174" s="9"/>
      <c r="KS174" s="9"/>
      <c r="KT174" s="9"/>
      <c r="KU174" s="9"/>
      <c r="KV174" s="9"/>
      <c r="KW174" s="9"/>
      <c r="KX174" s="9"/>
      <c r="KY174" s="9"/>
      <c r="KZ174" s="9"/>
      <c r="LA174" s="9"/>
      <c r="LB174" s="9"/>
      <c r="LC174" s="9"/>
      <c r="LD174" s="9"/>
      <c r="LE174" s="9"/>
      <c r="LF174" s="9"/>
      <c r="LG174" s="9"/>
      <c r="LH174" s="9"/>
      <c r="LI174" s="9"/>
      <c r="LJ174" s="9"/>
      <c r="LK174" s="9"/>
      <c r="LL174" s="9"/>
      <c r="LM174" s="9"/>
      <c r="LN174" s="9"/>
      <c r="LO174" s="9"/>
      <c r="LP174" s="9"/>
      <c r="LQ174" s="9"/>
      <c r="LR174" s="9"/>
      <c r="LS174" s="9"/>
      <c r="LT174" s="9"/>
      <c r="LU174" s="9"/>
      <c r="LV174" s="9"/>
      <c r="LW174" s="9"/>
      <c r="LX174" s="9"/>
      <c r="LY174" s="9"/>
      <c r="LZ174" s="9"/>
      <c r="MA174" s="9"/>
      <c r="MB174" s="9"/>
      <c r="MC174" s="9"/>
      <c r="MD174" s="9"/>
      <c r="ME174" s="9"/>
      <c r="MF174" s="9"/>
      <c r="MG174" s="9"/>
      <c r="MH174" s="9"/>
      <c r="MI174" s="9"/>
      <c r="MJ174" s="9"/>
      <c r="MK174" s="9"/>
      <c r="ML174" s="9"/>
      <c r="MM174" s="9"/>
      <c r="MN174" s="9"/>
      <c r="MO174" s="9"/>
      <c r="MP174" s="9"/>
      <c r="MQ174" s="9"/>
      <c r="MR174" s="9"/>
      <c r="MS174" s="9"/>
      <c r="MT174" s="9"/>
      <c r="MU174" s="9"/>
      <c r="MV174" s="9"/>
      <c r="MW174" s="9"/>
      <c r="MX174" s="9"/>
      <c r="MY174" s="9"/>
      <c r="MZ174" s="9"/>
      <c r="NA174" s="9"/>
      <c r="NB174" s="9"/>
      <c r="NC174" s="9"/>
      <c r="ND174" s="9"/>
      <c r="NE174" s="9"/>
      <c r="NF174" s="9"/>
      <c r="NG174" s="9"/>
      <c r="NH174" s="9"/>
      <c r="NI174" s="9"/>
      <c r="NJ174" s="9"/>
      <c r="NK174" s="9"/>
      <c r="NL174" s="9"/>
      <c r="NM174" s="9"/>
      <c r="NN174" s="9"/>
      <c r="NO174" s="9"/>
      <c r="NP174" s="9"/>
      <c r="NQ174" s="9"/>
      <c r="NR174" s="9"/>
      <c r="NS174" s="9"/>
      <c r="NT174" s="9"/>
      <c r="NU174" s="9"/>
      <c r="NV174" s="9"/>
      <c r="NW174" s="9"/>
      <c r="NX174" s="9"/>
      <c r="NY174" s="9"/>
      <c r="NZ174" s="9"/>
      <c r="OA174" s="9"/>
      <c r="OB174" s="9"/>
      <c r="OC174" s="9"/>
      <c r="OD174" s="9"/>
      <c r="OE174" s="9"/>
      <c r="OF174" s="9"/>
      <c r="OG174" s="9"/>
      <c r="OH174" s="9"/>
      <c r="OI174" s="9"/>
      <c r="OJ174" s="9"/>
      <c r="OK174" s="9"/>
      <c r="OL174" s="9"/>
      <c r="OM174" s="9"/>
      <c r="ON174" s="9"/>
      <c r="OO174" s="9"/>
      <c r="OP174" s="9"/>
      <c r="OQ174" s="9"/>
      <c r="OR174" s="9"/>
      <c r="OS174" s="9"/>
      <c r="OT174" s="9"/>
      <c r="OU174" s="9"/>
      <c r="OV174" s="9"/>
      <c r="OW174" s="9"/>
      <c r="OX174" s="9"/>
      <c r="OY174" s="9"/>
      <c r="OZ174" s="9"/>
      <c r="PA174" s="9"/>
      <c r="PB174" s="9"/>
      <c r="PC174" s="9"/>
      <c r="PD174" s="9"/>
      <c r="PE174" s="9"/>
      <c r="PF174" s="9"/>
      <c r="PG174" s="9"/>
      <c r="PH174" s="9"/>
      <c r="PI174" s="9"/>
      <c r="PJ174" s="9"/>
      <c r="PK174" s="9"/>
      <c r="PL174" s="9"/>
      <c r="PM174" s="9"/>
      <c r="PN174" s="9"/>
      <c r="PO174" s="9"/>
      <c r="PP174" s="9"/>
      <c r="PQ174" s="9"/>
      <c r="PR174" s="9"/>
      <c r="PS174" s="9"/>
      <c r="PT174" s="9"/>
      <c r="PU174" s="9"/>
      <c r="PV174" s="9"/>
      <c r="PW174" s="9"/>
      <c r="PX174" s="9"/>
      <c r="PY174" s="9"/>
      <c r="PZ174" s="9"/>
      <c r="QA174" s="9"/>
      <c r="QB174" s="9"/>
      <c r="QC174" s="9"/>
      <c r="QD174" s="9"/>
      <c r="QE174" s="9"/>
      <c r="QF174" s="9"/>
      <c r="QG174" s="9"/>
      <c r="QH174" s="9"/>
      <c r="QI174" s="9"/>
      <c r="QJ174" s="9"/>
      <c r="QK174" s="9"/>
      <c r="QL174" s="9"/>
      <c r="QM174" s="9"/>
      <c r="QN174" s="9"/>
      <c r="QO174" s="9"/>
      <c r="QP174" s="9"/>
      <c r="QQ174" s="67"/>
      <c r="QR174" s="68"/>
      <c r="QS174" s="63"/>
      <c r="QT174" s="71"/>
    </row>
    <row r="175" spans="1:462" s="11" customFormat="1" x14ac:dyDescent="0.2">
      <c r="A175" s="9">
        <v>10</v>
      </c>
      <c r="B175" s="9"/>
      <c r="C175" s="9"/>
      <c r="D175" s="9" t="s">
        <v>460</v>
      </c>
      <c r="E175" s="65" t="s">
        <v>561</v>
      </c>
      <c r="F175" s="65"/>
      <c r="G175" s="91" t="s">
        <v>2411</v>
      </c>
      <c r="H175" s="66" t="s">
        <v>1682</v>
      </c>
      <c r="I175" s="9" t="s">
        <v>1098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9"/>
      <c r="IC175" s="9"/>
      <c r="ID175" s="9"/>
      <c r="IE175" s="9"/>
      <c r="IF175" s="9"/>
      <c r="IG175" s="9"/>
      <c r="IH175" s="9"/>
      <c r="II175" s="9"/>
      <c r="IJ175" s="9"/>
      <c r="IK175" s="9"/>
      <c r="IL175" s="9"/>
      <c r="IM175" s="9"/>
      <c r="IN175" s="9"/>
      <c r="IO175" s="9"/>
      <c r="IP175" s="9"/>
      <c r="IQ175" s="9"/>
      <c r="IR175" s="9"/>
      <c r="IS175" s="9"/>
      <c r="IT175" s="9"/>
      <c r="IU175" s="9"/>
      <c r="IV175" s="9"/>
      <c r="IW175" s="9"/>
      <c r="IX175" s="9"/>
      <c r="IY175" s="9"/>
      <c r="IZ175" s="9"/>
      <c r="JA175" s="9"/>
      <c r="JB175" s="9"/>
      <c r="JC175" s="9"/>
      <c r="JD175" s="9"/>
      <c r="JE175" s="9"/>
      <c r="JF175" s="9"/>
      <c r="JG175" s="9"/>
      <c r="JH175" s="9"/>
      <c r="JI175" s="9"/>
      <c r="JJ175" s="9"/>
      <c r="JK175" s="9"/>
      <c r="JL175" s="9"/>
      <c r="JM175" s="9"/>
      <c r="JN175" s="9"/>
      <c r="JO175" s="9"/>
      <c r="JP175" s="9"/>
      <c r="JQ175" s="9"/>
      <c r="JR175" s="9"/>
      <c r="JS175" s="9"/>
      <c r="JT175" s="9"/>
      <c r="JU175" s="9"/>
      <c r="JV175" s="9"/>
      <c r="JW175" s="9"/>
      <c r="JX175" s="9"/>
      <c r="JY175" s="9"/>
      <c r="JZ175" s="9"/>
      <c r="KA175" s="9"/>
      <c r="KB175" s="9"/>
      <c r="KC175" s="9"/>
      <c r="KD175" s="9"/>
      <c r="KE175" s="9"/>
      <c r="KF175" s="9"/>
      <c r="KG175" s="9"/>
      <c r="KH175" s="9"/>
      <c r="KI175" s="9"/>
      <c r="KJ175" s="9"/>
      <c r="KK175" s="9"/>
      <c r="KL175" s="9"/>
      <c r="KM175" s="9"/>
      <c r="KN175" s="9"/>
      <c r="KO175" s="9"/>
      <c r="KP175" s="9"/>
      <c r="KQ175" s="9"/>
      <c r="KR175" s="9"/>
      <c r="KS175" s="9"/>
      <c r="KT175" s="9"/>
      <c r="KU175" s="9" t="s">
        <v>1098</v>
      </c>
      <c r="KV175" s="9"/>
      <c r="KW175" s="9" t="s">
        <v>1098</v>
      </c>
      <c r="KX175" s="9"/>
      <c r="KY175" s="9"/>
      <c r="KZ175" s="9"/>
      <c r="LA175" s="9"/>
      <c r="LB175" s="9"/>
      <c r="LC175" s="9"/>
      <c r="LD175" s="9"/>
      <c r="LE175" s="9"/>
      <c r="LF175" s="9"/>
      <c r="LG175" s="9"/>
      <c r="LH175" s="9"/>
      <c r="LI175" s="9"/>
      <c r="LJ175" s="9"/>
      <c r="LK175" s="9"/>
      <c r="LL175" s="9"/>
      <c r="LM175" s="9"/>
      <c r="LN175" s="9"/>
      <c r="LO175" s="9"/>
      <c r="LP175" s="9"/>
      <c r="LQ175" s="9"/>
      <c r="LR175" s="9"/>
      <c r="LS175" s="9"/>
      <c r="LT175" s="9"/>
      <c r="LU175" s="9"/>
      <c r="LV175" s="9"/>
      <c r="LW175" s="9"/>
      <c r="LX175" s="9"/>
      <c r="LY175" s="9"/>
      <c r="LZ175" s="9"/>
      <c r="MA175" s="9"/>
      <c r="MB175" s="9"/>
      <c r="MC175" s="9"/>
      <c r="MD175" s="9"/>
      <c r="ME175" s="9"/>
      <c r="MF175" s="9"/>
      <c r="MG175" s="9"/>
      <c r="MH175" s="9"/>
      <c r="MI175" s="9"/>
      <c r="MJ175" s="9"/>
      <c r="MK175" s="9"/>
      <c r="ML175" s="9"/>
      <c r="MM175" s="9"/>
      <c r="MN175" s="9"/>
      <c r="MO175" s="9"/>
      <c r="MP175" s="9"/>
      <c r="MQ175" s="9"/>
      <c r="MR175" s="9"/>
      <c r="MS175" s="9"/>
      <c r="MT175" s="9"/>
      <c r="MU175" s="9"/>
      <c r="MV175" s="9"/>
      <c r="MW175" s="9"/>
      <c r="MX175" s="9"/>
      <c r="MY175" s="9"/>
      <c r="MZ175" s="9"/>
      <c r="NA175" s="9"/>
      <c r="NB175" s="9"/>
      <c r="NC175" s="9"/>
      <c r="ND175" s="9"/>
      <c r="NE175" s="9"/>
      <c r="NF175" s="9"/>
      <c r="NG175" s="9"/>
      <c r="NH175" s="9"/>
      <c r="NI175" s="9"/>
      <c r="NJ175" s="9"/>
      <c r="NK175" s="9"/>
      <c r="NL175" s="9"/>
      <c r="NM175" s="9"/>
      <c r="NN175" s="9"/>
      <c r="NO175" s="9"/>
      <c r="NP175" s="9"/>
      <c r="NQ175" s="9"/>
      <c r="NR175" s="9"/>
      <c r="NS175" s="9"/>
      <c r="NT175" s="9"/>
      <c r="NU175" s="9"/>
      <c r="NV175" s="9"/>
      <c r="NW175" s="9"/>
      <c r="NX175" s="9"/>
      <c r="NY175" s="9"/>
      <c r="NZ175" s="9"/>
      <c r="OA175" s="9"/>
      <c r="OB175" s="9"/>
      <c r="OC175" s="9"/>
      <c r="OD175" s="9"/>
      <c r="OE175" s="9"/>
      <c r="OF175" s="9"/>
      <c r="OG175" s="9"/>
      <c r="OH175" s="9"/>
      <c r="OI175" s="9"/>
      <c r="OJ175" s="9"/>
      <c r="OK175" s="9"/>
      <c r="OL175" s="9"/>
      <c r="OM175" s="9"/>
      <c r="ON175" s="9"/>
      <c r="OO175" s="9"/>
      <c r="OP175" s="9"/>
      <c r="OQ175" s="9"/>
      <c r="OR175" s="9"/>
      <c r="OS175" s="9"/>
      <c r="OT175" s="9"/>
      <c r="OU175" s="9"/>
      <c r="OV175" s="9"/>
      <c r="OW175" s="9"/>
      <c r="OX175" s="9"/>
      <c r="OY175" s="9"/>
      <c r="OZ175" s="9"/>
      <c r="PA175" s="9"/>
      <c r="PB175" s="9"/>
      <c r="PC175" s="9"/>
      <c r="PD175" s="9"/>
      <c r="PE175" s="9"/>
      <c r="PF175" s="9"/>
      <c r="PG175" s="9"/>
      <c r="PH175" s="9"/>
      <c r="PI175" s="9"/>
      <c r="PJ175" s="9"/>
      <c r="PK175" s="9"/>
      <c r="PL175" s="9"/>
      <c r="PM175" s="9"/>
      <c r="PN175" s="9"/>
      <c r="PO175" s="9"/>
      <c r="PP175" s="9"/>
      <c r="PQ175" s="9"/>
      <c r="PR175" s="9"/>
      <c r="PS175" s="9"/>
      <c r="PT175" s="9"/>
      <c r="PU175" s="9"/>
      <c r="PV175" s="9"/>
      <c r="PW175" s="9"/>
      <c r="PX175" s="9"/>
      <c r="PY175" s="9"/>
      <c r="PZ175" s="9"/>
      <c r="QA175" s="9"/>
      <c r="QB175" s="9"/>
      <c r="QC175" s="9"/>
      <c r="QD175" s="9"/>
      <c r="QE175" s="9"/>
      <c r="QF175" s="9"/>
      <c r="QG175" s="9"/>
      <c r="QH175" s="9"/>
      <c r="QI175" s="9"/>
      <c r="QJ175" s="9"/>
      <c r="QK175" s="9"/>
      <c r="QL175" s="9"/>
      <c r="QM175" s="9"/>
      <c r="QN175" s="9"/>
      <c r="QO175" s="9"/>
      <c r="QP175" s="9"/>
      <c r="QQ175" s="67"/>
      <c r="QR175" s="68"/>
      <c r="QS175" s="63"/>
      <c r="QT175" s="71"/>
    </row>
    <row r="176" spans="1:462" s="11" customFormat="1" ht="26" x14ac:dyDescent="0.2">
      <c r="A176" s="9">
        <v>10</v>
      </c>
      <c r="B176" s="9"/>
      <c r="C176" s="9"/>
      <c r="D176" s="9" t="s">
        <v>461</v>
      </c>
      <c r="E176" s="65" t="s">
        <v>562</v>
      </c>
      <c r="F176" s="65"/>
      <c r="G176" s="92" t="s">
        <v>2413</v>
      </c>
      <c r="H176" s="66" t="s">
        <v>1683</v>
      </c>
      <c r="I176" s="9" t="s">
        <v>1098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  <c r="IW176" s="9"/>
      <c r="IX176" s="9"/>
      <c r="IY176" s="9"/>
      <c r="IZ176" s="9"/>
      <c r="JA176" s="9"/>
      <c r="JB176" s="9"/>
      <c r="JC176" s="9"/>
      <c r="JD176" s="9"/>
      <c r="JE176" s="9"/>
      <c r="JF176" s="9"/>
      <c r="JG176" s="9"/>
      <c r="JH176" s="9"/>
      <c r="JI176" s="9"/>
      <c r="JJ176" s="9"/>
      <c r="JK176" s="9"/>
      <c r="JL176" s="9"/>
      <c r="JM176" s="9"/>
      <c r="JN176" s="9"/>
      <c r="JO176" s="9"/>
      <c r="JP176" s="9"/>
      <c r="JQ176" s="9"/>
      <c r="JR176" s="9"/>
      <c r="JS176" s="9"/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  <c r="KK176" s="9"/>
      <c r="KL176" s="9"/>
      <c r="KM176" s="9"/>
      <c r="KN176" s="9"/>
      <c r="KO176" s="9"/>
      <c r="KP176" s="9"/>
      <c r="KQ176" s="9"/>
      <c r="KR176" s="9"/>
      <c r="KS176" s="9"/>
      <c r="KT176" s="9"/>
      <c r="KU176" s="9" t="s">
        <v>1098</v>
      </c>
      <c r="KV176" s="9"/>
      <c r="KW176" s="9" t="s">
        <v>1098</v>
      </c>
      <c r="KX176" s="9"/>
      <c r="KY176" s="9"/>
      <c r="KZ176" s="9"/>
      <c r="LA176" s="9"/>
      <c r="LB176" s="9"/>
      <c r="LC176" s="9"/>
      <c r="LD176" s="9"/>
      <c r="LE176" s="9"/>
      <c r="LF176" s="9"/>
      <c r="LG176" s="9"/>
      <c r="LH176" s="9"/>
      <c r="LI176" s="9"/>
      <c r="LJ176" s="9"/>
      <c r="LK176" s="9"/>
      <c r="LL176" s="9"/>
      <c r="LM176" s="9"/>
      <c r="LN176" s="9"/>
      <c r="LO176" s="9"/>
      <c r="LP176" s="9"/>
      <c r="LQ176" s="9"/>
      <c r="LR176" s="9"/>
      <c r="LS176" s="9"/>
      <c r="LT176" s="9"/>
      <c r="LU176" s="9"/>
      <c r="LV176" s="9"/>
      <c r="LW176" s="9"/>
      <c r="LX176" s="9"/>
      <c r="LY176" s="9"/>
      <c r="LZ176" s="9"/>
      <c r="MA176" s="9"/>
      <c r="MB176" s="9"/>
      <c r="MC176" s="9"/>
      <c r="MD176" s="9"/>
      <c r="ME176" s="9"/>
      <c r="MF176" s="9"/>
      <c r="MG176" s="9"/>
      <c r="MH176" s="9"/>
      <c r="MI176" s="9"/>
      <c r="MJ176" s="9"/>
      <c r="MK176" s="9"/>
      <c r="ML176" s="9"/>
      <c r="MM176" s="9"/>
      <c r="MN176" s="9"/>
      <c r="MO176" s="9"/>
      <c r="MP176" s="9"/>
      <c r="MQ176" s="9"/>
      <c r="MR176" s="9"/>
      <c r="MS176" s="9"/>
      <c r="MT176" s="9"/>
      <c r="MU176" s="9"/>
      <c r="MV176" s="9"/>
      <c r="MW176" s="9"/>
      <c r="MX176" s="9"/>
      <c r="MY176" s="9"/>
      <c r="MZ176" s="9"/>
      <c r="NA176" s="9"/>
      <c r="NB176" s="9"/>
      <c r="NC176" s="9"/>
      <c r="ND176" s="9"/>
      <c r="NE176" s="9"/>
      <c r="NF176" s="9"/>
      <c r="NG176" s="9"/>
      <c r="NH176" s="9"/>
      <c r="NI176" s="9"/>
      <c r="NJ176" s="9"/>
      <c r="NK176" s="9"/>
      <c r="NL176" s="9"/>
      <c r="NM176" s="9"/>
      <c r="NN176" s="9"/>
      <c r="NO176" s="9"/>
      <c r="NP176" s="9"/>
      <c r="NQ176" s="9"/>
      <c r="NR176" s="9"/>
      <c r="NS176" s="9"/>
      <c r="NT176" s="9"/>
      <c r="NU176" s="9"/>
      <c r="NV176" s="9"/>
      <c r="NW176" s="9"/>
      <c r="NX176" s="9"/>
      <c r="NY176" s="9"/>
      <c r="NZ176" s="9"/>
      <c r="OA176" s="9"/>
      <c r="OB176" s="9"/>
      <c r="OC176" s="9"/>
      <c r="OD176" s="9"/>
      <c r="OE176" s="9"/>
      <c r="OF176" s="9"/>
      <c r="OG176" s="9"/>
      <c r="OH176" s="9"/>
      <c r="OI176" s="9"/>
      <c r="OJ176" s="9"/>
      <c r="OK176" s="9"/>
      <c r="OL176" s="9"/>
      <c r="OM176" s="9"/>
      <c r="ON176" s="9"/>
      <c r="OO176" s="9"/>
      <c r="OP176" s="9"/>
      <c r="OQ176" s="9"/>
      <c r="OR176" s="9"/>
      <c r="OS176" s="9"/>
      <c r="OT176" s="9"/>
      <c r="OU176" s="9"/>
      <c r="OV176" s="9"/>
      <c r="OW176" s="9"/>
      <c r="OX176" s="9"/>
      <c r="OY176" s="9"/>
      <c r="OZ176" s="9"/>
      <c r="PA176" s="9"/>
      <c r="PB176" s="9"/>
      <c r="PC176" s="9"/>
      <c r="PD176" s="9"/>
      <c r="PE176" s="9"/>
      <c r="PF176" s="9"/>
      <c r="PG176" s="9"/>
      <c r="PH176" s="9"/>
      <c r="PI176" s="9"/>
      <c r="PJ176" s="9"/>
      <c r="PK176" s="9"/>
      <c r="PL176" s="9"/>
      <c r="PM176" s="9"/>
      <c r="PN176" s="9"/>
      <c r="PO176" s="9"/>
      <c r="PP176" s="9"/>
      <c r="PQ176" s="9"/>
      <c r="PR176" s="9"/>
      <c r="PS176" s="9"/>
      <c r="PT176" s="9"/>
      <c r="PU176" s="9"/>
      <c r="PV176" s="9"/>
      <c r="PW176" s="9"/>
      <c r="PX176" s="9"/>
      <c r="PY176" s="9"/>
      <c r="PZ176" s="9"/>
      <c r="QA176" s="9"/>
      <c r="QB176" s="9"/>
      <c r="QC176" s="9"/>
      <c r="QD176" s="9"/>
      <c r="QE176" s="9"/>
      <c r="QF176" s="9"/>
      <c r="QG176" s="9"/>
      <c r="QH176" s="9"/>
      <c r="QI176" s="9"/>
      <c r="QJ176" s="9"/>
      <c r="QK176" s="9"/>
      <c r="QL176" s="9"/>
      <c r="QM176" s="9"/>
      <c r="QN176" s="9"/>
      <c r="QO176" s="9"/>
      <c r="QP176" s="9"/>
      <c r="QQ176" s="67"/>
      <c r="QR176" s="68"/>
      <c r="QS176" s="63"/>
      <c r="QT176" s="71"/>
    </row>
    <row r="177" spans="1:462" s="11" customFormat="1" x14ac:dyDescent="0.2">
      <c r="A177" s="9">
        <v>10</v>
      </c>
      <c r="B177" s="9"/>
      <c r="C177" s="9"/>
      <c r="D177" s="9" t="s">
        <v>462</v>
      </c>
      <c r="E177" s="65" t="s">
        <v>47</v>
      </c>
      <c r="F177" s="65"/>
      <c r="G177" s="92" t="s">
        <v>2414</v>
      </c>
      <c r="H177" s="66" t="s">
        <v>1684</v>
      </c>
      <c r="I177" s="9" t="s">
        <v>1098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9"/>
      <c r="IC177" s="9"/>
      <c r="ID177" s="9"/>
      <c r="IE177" s="9"/>
      <c r="IF177" s="9"/>
      <c r="IG177" s="9"/>
      <c r="IH177" s="9"/>
      <c r="II177" s="9"/>
      <c r="IJ177" s="9"/>
      <c r="IK177" s="9"/>
      <c r="IL177" s="9"/>
      <c r="IM177" s="9"/>
      <c r="IN177" s="9"/>
      <c r="IO177" s="9"/>
      <c r="IP177" s="9"/>
      <c r="IQ177" s="9"/>
      <c r="IR177" s="9"/>
      <c r="IS177" s="9"/>
      <c r="IT177" s="9"/>
      <c r="IU177" s="9"/>
      <c r="IV177" s="9"/>
      <c r="IW177" s="9"/>
      <c r="IX177" s="9"/>
      <c r="IY177" s="9"/>
      <c r="IZ177" s="9"/>
      <c r="JA177" s="9"/>
      <c r="JB177" s="9"/>
      <c r="JC177" s="9"/>
      <c r="JD177" s="9"/>
      <c r="JE177" s="9"/>
      <c r="JF177" s="9"/>
      <c r="JG177" s="9"/>
      <c r="JH177" s="9"/>
      <c r="JI177" s="9"/>
      <c r="JJ177" s="9"/>
      <c r="JK177" s="9"/>
      <c r="JL177" s="9"/>
      <c r="JM177" s="9"/>
      <c r="JN177" s="9"/>
      <c r="JO177" s="9"/>
      <c r="JP177" s="9"/>
      <c r="JQ177" s="9"/>
      <c r="JR177" s="9"/>
      <c r="JS177" s="9"/>
      <c r="JT177" s="9"/>
      <c r="JU177" s="9"/>
      <c r="JV177" s="9"/>
      <c r="JW177" s="9"/>
      <c r="JX177" s="9"/>
      <c r="JY177" s="9"/>
      <c r="JZ177" s="9"/>
      <c r="KA177" s="9"/>
      <c r="KB177" s="9"/>
      <c r="KC177" s="9"/>
      <c r="KD177" s="9"/>
      <c r="KE177" s="9"/>
      <c r="KF177" s="9"/>
      <c r="KG177" s="9"/>
      <c r="KH177" s="9"/>
      <c r="KI177" s="9"/>
      <c r="KJ177" s="9"/>
      <c r="KK177" s="9"/>
      <c r="KL177" s="9"/>
      <c r="KM177" s="9"/>
      <c r="KN177" s="9"/>
      <c r="KO177" s="9"/>
      <c r="KP177" s="9"/>
      <c r="KQ177" s="9"/>
      <c r="KR177" s="9"/>
      <c r="KS177" s="9"/>
      <c r="KT177" s="9"/>
      <c r="KU177" s="9" t="s">
        <v>1098</v>
      </c>
      <c r="KV177" s="9"/>
      <c r="KW177" s="9" t="s">
        <v>1098</v>
      </c>
      <c r="KX177" s="9"/>
      <c r="KY177" s="9"/>
      <c r="KZ177" s="9"/>
      <c r="LA177" s="9"/>
      <c r="LB177" s="9"/>
      <c r="LC177" s="9"/>
      <c r="LD177" s="9"/>
      <c r="LE177" s="9"/>
      <c r="LF177" s="9"/>
      <c r="LG177" s="9"/>
      <c r="LH177" s="9"/>
      <c r="LI177" s="9"/>
      <c r="LJ177" s="9"/>
      <c r="LK177" s="9"/>
      <c r="LL177" s="9"/>
      <c r="LM177" s="9"/>
      <c r="LN177" s="9"/>
      <c r="LO177" s="9"/>
      <c r="LP177" s="9"/>
      <c r="LQ177" s="9"/>
      <c r="LR177" s="9"/>
      <c r="LS177" s="9"/>
      <c r="LT177" s="9"/>
      <c r="LU177" s="9"/>
      <c r="LV177" s="9"/>
      <c r="LW177" s="9"/>
      <c r="LX177" s="9"/>
      <c r="LY177" s="9"/>
      <c r="LZ177" s="9"/>
      <c r="MA177" s="9"/>
      <c r="MB177" s="9"/>
      <c r="MC177" s="9"/>
      <c r="MD177" s="9"/>
      <c r="ME177" s="9"/>
      <c r="MF177" s="9"/>
      <c r="MG177" s="9"/>
      <c r="MH177" s="9"/>
      <c r="MI177" s="9"/>
      <c r="MJ177" s="9"/>
      <c r="MK177" s="9"/>
      <c r="ML177" s="9"/>
      <c r="MM177" s="9"/>
      <c r="MN177" s="9"/>
      <c r="MO177" s="9"/>
      <c r="MP177" s="9"/>
      <c r="MQ177" s="9"/>
      <c r="MR177" s="9"/>
      <c r="MS177" s="9"/>
      <c r="MT177" s="9"/>
      <c r="MU177" s="9"/>
      <c r="MV177" s="9"/>
      <c r="MW177" s="9"/>
      <c r="MX177" s="9"/>
      <c r="MY177" s="9"/>
      <c r="MZ177" s="9"/>
      <c r="NA177" s="9"/>
      <c r="NB177" s="9"/>
      <c r="NC177" s="9"/>
      <c r="ND177" s="9"/>
      <c r="NE177" s="9"/>
      <c r="NF177" s="9"/>
      <c r="NG177" s="9"/>
      <c r="NH177" s="9"/>
      <c r="NI177" s="9"/>
      <c r="NJ177" s="9"/>
      <c r="NK177" s="9"/>
      <c r="NL177" s="9"/>
      <c r="NM177" s="9"/>
      <c r="NN177" s="9"/>
      <c r="NO177" s="9"/>
      <c r="NP177" s="9"/>
      <c r="NQ177" s="9"/>
      <c r="NR177" s="9"/>
      <c r="NS177" s="9"/>
      <c r="NT177" s="9"/>
      <c r="NU177" s="9"/>
      <c r="NV177" s="9"/>
      <c r="NW177" s="9"/>
      <c r="NX177" s="9"/>
      <c r="NY177" s="9"/>
      <c r="NZ177" s="9"/>
      <c r="OA177" s="9"/>
      <c r="OB177" s="9"/>
      <c r="OC177" s="9"/>
      <c r="OD177" s="9"/>
      <c r="OE177" s="9"/>
      <c r="OF177" s="9"/>
      <c r="OG177" s="9"/>
      <c r="OH177" s="9"/>
      <c r="OI177" s="9"/>
      <c r="OJ177" s="9"/>
      <c r="OK177" s="9"/>
      <c r="OL177" s="9"/>
      <c r="OM177" s="9"/>
      <c r="ON177" s="9"/>
      <c r="OO177" s="9"/>
      <c r="OP177" s="9"/>
      <c r="OQ177" s="9"/>
      <c r="OR177" s="9"/>
      <c r="OS177" s="9"/>
      <c r="OT177" s="9"/>
      <c r="OU177" s="9"/>
      <c r="OV177" s="9"/>
      <c r="OW177" s="9"/>
      <c r="OX177" s="9"/>
      <c r="OY177" s="9"/>
      <c r="OZ177" s="9"/>
      <c r="PA177" s="9"/>
      <c r="PB177" s="9"/>
      <c r="PC177" s="9"/>
      <c r="PD177" s="9"/>
      <c r="PE177" s="9"/>
      <c r="PF177" s="9"/>
      <c r="PG177" s="9"/>
      <c r="PH177" s="9"/>
      <c r="PI177" s="9"/>
      <c r="PJ177" s="9"/>
      <c r="PK177" s="9"/>
      <c r="PL177" s="9"/>
      <c r="PM177" s="9"/>
      <c r="PN177" s="9"/>
      <c r="PO177" s="9"/>
      <c r="PP177" s="9"/>
      <c r="PQ177" s="9"/>
      <c r="PR177" s="9"/>
      <c r="PS177" s="9"/>
      <c r="PT177" s="9"/>
      <c r="PU177" s="9"/>
      <c r="PV177" s="9"/>
      <c r="PW177" s="9"/>
      <c r="PX177" s="9"/>
      <c r="PY177" s="9"/>
      <c r="PZ177" s="9"/>
      <c r="QA177" s="9"/>
      <c r="QB177" s="9"/>
      <c r="QC177" s="9"/>
      <c r="QD177" s="9"/>
      <c r="QE177" s="9"/>
      <c r="QF177" s="9"/>
      <c r="QG177" s="9"/>
      <c r="QH177" s="9"/>
      <c r="QI177" s="9"/>
      <c r="QJ177" s="9"/>
      <c r="QK177" s="9"/>
      <c r="QL177" s="9"/>
      <c r="QM177" s="9"/>
      <c r="QN177" s="9"/>
      <c r="QO177" s="9"/>
      <c r="QP177" s="9"/>
      <c r="QQ177" s="67"/>
      <c r="QR177" s="68"/>
      <c r="QS177" s="63"/>
      <c r="QT177" s="71"/>
    </row>
    <row r="178" spans="1:462" s="11" customFormat="1" x14ac:dyDescent="0.2">
      <c r="A178" s="9">
        <v>10</v>
      </c>
      <c r="B178" s="9"/>
      <c r="C178" s="9"/>
      <c r="D178" s="9" t="s">
        <v>463</v>
      </c>
      <c r="E178" s="65" t="s">
        <v>47</v>
      </c>
      <c r="F178" s="65"/>
      <c r="G178" s="92" t="s">
        <v>2415</v>
      </c>
      <c r="H178" s="66" t="s">
        <v>1685</v>
      </c>
      <c r="I178" s="9" t="s">
        <v>1098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9"/>
      <c r="IC178" s="9"/>
      <c r="ID178" s="9"/>
      <c r="IE178" s="9"/>
      <c r="IF178" s="9"/>
      <c r="IG178" s="9"/>
      <c r="IH178" s="9"/>
      <c r="II178" s="9"/>
      <c r="IJ178" s="9"/>
      <c r="IK178" s="9"/>
      <c r="IL178" s="9"/>
      <c r="IM178" s="9"/>
      <c r="IN178" s="9"/>
      <c r="IO178" s="9"/>
      <c r="IP178" s="9"/>
      <c r="IQ178" s="9"/>
      <c r="IR178" s="9"/>
      <c r="IS178" s="9"/>
      <c r="IT178" s="9"/>
      <c r="IU178" s="9"/>
      <c r="IV178" s="9"/>
      <c r="IW178" s="9"/>
      <c r="IX178" s="9"/>
      <c r="IY178" s="9"/>
      <c r="IZ178" s="9"/>
      <c r="JA178" s="9"/>
      <c r="JB178" s="9"/>
      <c r="JC178" s="9"/>
      <c r="JD178" s="9"/>
      <c r="JE178" s="9"/>
      <c r="JF178" s="9"/>
      <c r="JG178" s="9"/>
      <c r="JH178" s="9"/>
      <c r="JI178" s="9"/>
      <c r="JJ178" s="9"/>
      <c r="JK178" s="9"/>
      <c r="JL178" s="9"/>
      <c r="JM178" s="9"/>
      <c r="JN178" s="9"/>
      <c r="JO178" s="9"/>
      <c r="JP178" s="9"/>
      <c r="JQ178" s="9"/>
      <c r="JR178" s="9"/>
      <c r="JS178" s="9"/>
      <c r="JT178" s="9"/>
      <c r="JU178" s="9"/>
      <c r="JV178" s="9"/>
      <c r="JW178" s="9"/>
      <c r="JX178" s="9"/>
      <c r="JY178" s="9"/>
      <c r="JZ178" s="9"/>
      <c r="KA178" s="9"/>
      <c r="KB178" s="9"/>
      <c r="KC178" s="9"/>
      <c r="KD178" s="9"/>
      <c r="KE178" s="9"/>
      <c r="KF178" s="9"/>
      <c r="KG178" s="9"/>
      <c r="KH178" s="9"/>
      <c r="KI178" s="9"/>
      <c r="KJ178" s="9"/>
      <c r="KK178" s="9"/>
      <c r="KL178" s="9"/>
      <c r="KM178" s="9"/>
      <c r="KN178" s="9"/>
      <c r="KO178" s="9"/>
      <c r="KP178" s="9"/>
      <c r="KQ178" s="9"/>
      <c r="KR178" s="9"/>
      <c r="KS178" s="9"/>
      <c r="KT178" s="9"/>
      <c r="KU178" s="9" t="s">
        <v>1098</v>
      </c>
      <c r="KV178" s="9"/>
      <c r="KW178" s="9" t="s">
        <v>1098</v>
      </c>
      <c r="KX178" s="9"/>
      <c r="KY178" s="9"/>
      <c r="KZ178" s="9"/>
      <c r="LA178" s="9"/>
      <c r="LB178" s="9"/>
      <c r="LC178" s="9"/>
      <c r="LD178" s="9"/>
      <c r="LE178" s="9"/>
      <c r="LF178" s="9"/>
      <c r="LG178" s="9"/>
      <c r="LH178" s="9"/>
      <c r="LI178" s="9"/>
      <c r="LJ178" s="9"/>
      <c r="LK178" s="9"/>
      <c r="LL178" s="9"/>
      <c r="LM178" s="9"/>
      <c r="LN178" s="9"/>
      <c r="LO178" s="9"/>
      <c r="LP178" s="9"/>
      <c r="LQ178" s="9"/>
      <c r="LR178" s="9"/>
      <c r="LS178" s="9"/>
      <c r="LT178" s="9"/>
      <c r="LU178" s="9"/>
      <c r="LV178" s="9"/>
      <c r="LW178" s="9"/>
      <c r="LX178" s="9"/>
      <c r="LY178" s="9"/>
      <c r="LZ178" s="9"/>
      <c r="MA178" s="9"/>
      <c r="MB178" s="9"/>
      <c r="MC178" s="9"/>
      <c r="MD178" s="9"/>
      <c r="ME178" s="9"/>
      <c r="MF178" s="9"/>
      <c r="MG178" s="9"/>
      <c r="MH178" s="9"/>
      <c r="MI178" s="9"/>
      <c r="MJ178" s="9"/>
      <c r="MK178" s="9"/>
      <c r="ML178" s="9"/>
      <c r="MM178" s="9"/>
      <c r="MN178" s="9"/>
      <c r="MO178" s="9"/>
      <c r="MP178" s="9"/>
      <c r="MQ178" s="9"/>
      <c r="MR178" s="9"/>
      <c r="MS178" s="9"/>
      <c r="MT178" s="9"/>
      <c r="MU178" s="9"/>
      <c r="MV178" s="9"/>
      <c r="MW178" s="9"/>
      <c r="MX178" s="9"/>
      <c r="MY178" s="9"/>
      <c r="MZ178" s="9"/>
      <c r="NA178" s="9"/>
      <c r="NB178" s="9"/>
      <c r="NC178" s="9"/>
      <c r="ND178" s="9"/>
      <c r="NE178" s="9"/>
      <c r="NF178" s="9"/>
      <c r="NG178" s="9"/>
      <c r="NH178" s="9"/>
      <c r="NI178" s="9"/>
      <c r="NJ178" s="9"/>
      <c r="NK178" s="9"/>
      <c r="NL178" s="9"/>
      <c r="NM178" s="9"/>
      <c r="NN178" s="9"/>
      <c r="NO178" s="9"/>
      <c r="NP178" s="9"/>
      <c r="NQ178" s="9"/>
      <c r="NR178" s="9"/>
      <c r="NS178" s="9"/>
      <c r="NT178" s="9"/>
      <c r="NU178" s="9"/>
      <c r="NV178" s="9"/>
      <c r="NW178" s="9"/>
      <c r="NX178" s="9"/>
      <c r="NY178" s="9"/>
      <c r="NZ178" s="9"/>
      <c r="OA178" s="9"/>
      <c r="OB178" s="9"/>
      <c r="OC178" s="9"/>
      <c r="OD178" s="9"/>
      <c r="OE178" s="9"/>
      <c r="OF178" s="9"/>
      <c r="OG178" s="9"/>
      <c r="OH178" s="9"/>
      <c r="OI178" s="9"/>
      <c r="OJ178" s="9"/>
      <c r="OK178" s="9"/>
      <c r="OL178" s="9"/>
      <c r="OM178" s="9"/>
      <c r="ON178" s="9"/>
      <c r="OO178" s="9"/>
      <c r="OP178" s="9"/>
      <c r="OQ178" s="9"/>
      <c r="OR178" s="9"/>
      <c r="OS178" s="9"/>
      <c r="OT178" s="9"/>
      <c r="OU178" s="9"/>
      <c r="OV178" s="9"/>
      <c r="OW178" s="9"/>
      <c r="OX178" s="9"/>
      <c r="OY178" s="9"/>
      <c r="OZ178" s="9"/>
      <c r="PA178" s="9"/>
      <c r="PB178" s="9"/>
      <c r="PC178" s="9"/>
      <c r="PD178" s="9"/>
      <c r="PE178" s="9"/>
      <c r="PF178" s="9"/>
      <c r="PG178" s="9"/>
      <c r="PH178" s="9"/>
      <c r="PI178" s="9"/>
      <c r="PJ178" s="9"/>
      <c r="PK178" s="9"/>
      <c r="PL178" s="9"/>
      <c r="PM178" s="9"/>
      <c r="PN178" s="9"/>
      <c r="PO178" s="9"/>
      <c r="PP178" s="9"/>
      <c r="PQ178" s="9"/>
      <c r="PR178" s="9"/>
      <c r="PS178" s="9"/>
      <c r="PT178" s="9"/>
      <c r="PU178" s="9"/>
      <c r="PV178" s="9"/>
      <c r="PW178" s="9"/>
      <c r="PX178" s="9"/>
      <c r="PY178" s="9"/>
      <c r="PZ178" s="9"/>
      <c r="QA178" s="9"/>
      <c r="QB178" s="9"/>
      <c r="QC178" s="9"/>
      <c r="QD178" s="9"/>
      <c r="QE178" s="9"/>
      <c r="QF178" s="9"/>
      <c r="QG178" s="9"/>
      <c r="QH178" s="9"/>
      <c r="QI178" s="9"/>
      <c r="QJ178" s="9"/>
      <c r="QK178" s="9"/>
      <c r="QL178" s="9"/>
      <c r="QM178" s="9"/>
      <c r="QN178" s="9"/>
      <c r="QO178" s="9"/>
      <c r="QP178" s="9"/>
      <c r="QQ178" s="67"/>
      <c r="QR178" s="68"/>
      <c r="QS178" s="63"/>
      <c r="QT178" s="71"/>
    </row>
    <row r="179" spans="1:462" s="11" customFormat="1" x14ac:dyDescent="0.2">
      <c r="A179" s="9">
        <v>10</v>
      </c>
      <c r="B179" s="9"/>
      <c r="C179" s="9"/>
      <c r="D179" s="9" t="s">
        <v>464</v>
      </c>
      <c r="E179" s="65" t="s">
        <v>563</v>
      </c>
      <c r="F179" s="65"/>
      <c r="G179" s="91" t="s">
        <v>2416</v>
      </c>
      <c r="H179" s="66" t="s">
        <v>1686</v>
      </c>
      <c r="I179" s="9" t="s">
        <v>1098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  <c r="IP179" s="9"/>
      <c r="IQ179" s="9"/>
      <c r="IR179" s="9"/>
      <c r="IS179" s="9"/>
      <c r="IT179" s="9"/>
      <c r="IU179" s="9"/>
      <c r="IV179" s="9"/>
      <c r="IW179" s="9"/>
      <c r="IX179" s="9"/>
      <c r="IY179" s="9"/>
      <c r="IZ179" s="9"/>
      <c r="JA179" s="9"/>
      <c r="JB179" s="9"/>
      <c r="JC179" s="9"/>
      <c r="JD179" s="9"/>
      <c r="JE179" s="9"/>
      <c r="JF179" s="9"/>
      <c r="JG179" s="9"/>
      <c r="JH179" s="9"/>
      <c r="JI179" s="9"/>
      <c r="JJ179" s="9"/>
      <c r="JK179" s="9"/>
      <c r="JL179" s="9"/>
      <c r="JM179" s="9"/>
      <c r="JN179" s="9"/>
      <c r="JO179" s="9"/>
      <c r="JP179" s="9"/>
      <c r="JQ179" s="9"/>
      <c r="JR179" s="9"/>
      <c r="JS179" s="9"/>
      <c r="JT179" s="9"/>
      <c r="JU179" s="9"/>
      <c r="JV179" s="9"/>
      <c r="JW179" s="9"/>
      <c r="JX179" s="9"/>
      <c r="JY179" s="9"/>
      <c r="JZ179" s="9"/>
      <c r="KA179" s="9"/>
      <c r="KB179" s="9"/>
      <c r="KC179" s="9"/>
      <c r="KD179" s="9"/>
      <c r="KE179" s="9"/>
      <c r="KF179" s="9"/>
      <c r="KG179" s="9"/>
      <c r="KH179" s="9"/>
      <c r="KI179" s="9"/>
      <c r="KJ179" s="9"/>
      <c r="KK179" s="9"/>
      <c r="KL179" s="9"/>
      <c r="KM179" s="9"/>
      <c r="KN179" s="9"/>
      <c r="KO179" s="9"/>
      <c r="KP179" s="9"/>
      <c r="KQ179" s="9"/>
      <c r="KR179" s="9"/>
      <c r="KS179" s="9"/>
      <c r="KT179" s="9"/>
      <c r="KU179" s="9"/>
      <c r="KV179" s="9"/>
      <c r="KW179" s="9"/>
      <c r="KX179" s="9"/>
      <c r="KY179" s="9"/>
      <c r="KZ179" s="9"/>
      <c r="LA179" s="9"/>
      <c r="LB179" s="9"/>
      <c r="LC179" s="9" t="s">
        <v>1098</v>
      </c>
      <c r="LD179" s="9"/>
      <c r="LE179" s="9" t="s">
        <v>1098</v>
      </c>
      <c r="LF179" s="9"/>
      <c r="LG179" s="9"/>
      <c r="LH179" s="9"/>
      <c r="LI179" s="9"/>
      <c r="LJ179" s="9"/>
      <c r="LK179" s="9"/>
      <c r="LL179" s="9"/>
      <c r="LM179" s="9"/>
      <c r="LN179" s="9"/>
      <c r="LO179" s="9"/>
      <c r="LP179" s="9"/>
      <c r="LQ179" s="9"/>
      <c r="LR179" s="9"/>
      <c r="LS179" s="9"/>
      <c r="LT179" s="9"/>
      <c r="LU179" s="9"/>
      <c r="LV179" s="9"/>
      <c r="LW179" s="9"/>
      <c r="LX179" s="9"/>
      <c r="LY179" s="9"/>
      <c r="LZ179" s="9"/>
      <c r="MA179" s="9"/>
      <c r="MB179" s="9"/>
      <c r="MC179" s="9"/>
      <c r="MD179" s="9"/>
      <c r="ME179" s="9"/>
      <c r="MF179" s="9"/>
      <c r="MG179" s="9"/>
      <c r="MH179" s="9"/>
      <c r="MI179" s="9"/>
      <c r="MJ179" s="9"/>
      <c r="MK179" s="9"/>
      <c r="ML179" s="9"/>
      <c r="MM179" s="9"/>
      <c r="MN179" s="9"/>
      <c r="MO179" s="9"/>
      <c r="MP179" s="9"/>
      <c r="MQ179" s="9"/>
      <c r="MR179" s="9"/>
      <c r="MS179" s="9"/>
      <c r="MT179" s="9"/>
      <c r="MU179" s="9"/>
      <c r="MV179" s="9"/>
      <c r="MW179" s="9"/>
      <c r="MX179" s="9"/>
      <c r="MY179" s="9"/>
      <c r="MZ179" s="9"/>
      <c r="NA179" s="9"/>
      <c r="NB179" s="9"/>
      <c r="NC179" s="9"/>
      <c r="ND179" s="9"/>
      <c r="NE179" s="9"/>
      <c r="NF179" s="9"/>
      <c r="NG179" s="9"/>
      <c r="NH179" s="9"/>
      <c r="NI179" s="9"/>
      <c r="NJ179" s="9"/>
      <c r="NK179" s="9"/>
      <c r="NL179" s="9"/>
      <c r="NM179" s="9"/>
      <c r="NN179" s="9"/>
      <c r="NO179" s="9"/>
      <c r="NP179" s="9"/>
      <c r="NQ179" s="9"/>
      <c r="NR179" s="9"/>
      <c r="NS179" s="9"/>
      <c r="NT179" s="9"/>
      <c r="NU179" s="9"/>
      <c r="NV179" s="9"/>
      <c r="NW179" s="9"/>
      <c r="NX179" s="9"/>
      <c r="NY179" s="9"/>
      <c r="NZ179" s="9"/>
      <c r="OA179" s="9"/>
      <c r="OB179" s="9"/>
      <c r="OC179" s="9"/>
      <c r="OD179" s="9"/>
      <c r="OE179" s="9"/>
      <c r="OF179" s="9"/>
      <c r="OG179" s="9"/>
      <c r="OH179" s="9"/>
      <c r="OI179" s="9"/>
      <c r="OJ179" s="9"/>
      <c r="OK179" s="9"/>
      <c r="OL179" s="9"/>
      <c r="OM179" s="9"/>
      <c r="ON179" s="9"/>
      <c r="OO179" s="9"/>
      <c r="OP179" s="9"/>
      <c r="OQ179" s="9"/>
      <c r="OR179" s="9"/>
      <c r="OS179" s="9"/>
      <c r="OT179" s="9"/>
      <c r="OU179" s="9"/>
      <c r="OV179" s="9"/>
      <c r="OW179" s="9"/>
      <c r="OX179" s="9"/>
      <c r="OY179" s="9"/>
      <c r="OZ179" s="9"/>
      <c r="PA179" s="9"/>
      <c r="PB179" s="9"/>
      <c r="PC179" s="9"/>
      <c r="PD179" s="9"/>
      <c r="PE179" s="9"/>
      <c r="PF179" s="9"/>
      <c r="PG179" s="9"/>
      <c r="PH179" s="9"/>
      <c r="PI179" s="9"/>
      <c r="PJ179" s="9"/>
      <c r="PK179" s="9"/>
      <c r="PL179" s="9"/>
      <c r="PM179" s="9"/>
      <c r="PN179" s="9"/>
      <c r="PO179" s="9"/>
      <c r="PP179" s="9"/>
      <c r="PQ179" s="9"/>
      <c r="PR179" s="9"/>
      <c r="PS179" s="9"/>
      <c r="PT179" s="9"/>
      <c r="PU179" s="9"/>
      <c r="PV179" s="9"/>
      <c r="PW179" s="9"/>
      <c r="PX179" s="9"/>
      <c r="PY179" s="9"/>
      <c r="PZ179" s="9"/>
      <c r="QA179" s="9"/>
      <c r="QB179" s="9"/>
      <c r="QC179" s="9"/>
      <c r="QD179" s="9"/>
      <c r="QE179" s="9"/>
      <c r="QF179" s="9"/>
      <c r="QG179" s="9"/>
      <c r="QH179" s="9"/>
      <c r="QI179" s="9"/>
      <c r="QJ179" s="9"/>
      <c r="QK179" s="9"/>
      <c r="QL179" s="9"/>
      <c r="QM179" s="9"/>
      <c r="QN179" s="9"/>
      <c r="QO179" s="9"/>
      <c r="QP179" s="9"/>
      <c r="QQ179" s="67"/>
      <c r="QR179" s="68"/>
      <c r="QS179" s="63"/>
      <c r="QT179" s="71"/>
    </row>
    <row r="180" spans="1:462" s="11" customFormat="1" x14ac:dyDescent="0.2">
      <c r="A180" s="9">
        <v>10</v>
      </c>
      <c r="B180" s="9"/>
      <c r="C180" s="9"/>
      <c r="D180" s="9" t="s">
        <v>465</v>
      </c>
      <c r="E180" s="65" t="s">
        <v>564</v>
      </c>
      <c r="F180" s="65"/>
      <c r="G180" s="92" t="s">
        <v>2418</v>
      </c>
      <c r="H180" s="66" t="s">
        <v>1687</v>
      </c>
      <c r="I180" s="9" t="s">
        <v>1098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  <c r="II180" s="9"/>
      <c r="IJ180" s="9"/>
      <c r="IK180" s="9"/>
      <c r="IL180" s="9"/>
      <c r="IM180" s="9"/>
      <c r="IN180" s="9"/>
      <c r="IO180" s="9"/>
      <c r="IP180" s="9"/>
      <c r="IQ180" s="9"/>
      <c r="IR180" s="9"/>
      <c r="IS180" s="9"/>
      <c r="IT180" s="9"/>
      <c r="IU180" s="9"/>
      <c r="IV180" s="9"/>
      <c r="IW180" s="9"/>
      <c r="IX180" s="9"/>
      <c r="IY180" s="9"/>
      <c r="IZ180" s="9"/>
      <c r="JA180" s="9"/>
      <c r="JB180" s="9"/>
      <c r="JC180" s="9"/>
      <c r="JD180" s="9"/>
      <c r="JE180" s="9"/>
      <c r="JF180" s="9"/>
      <c r="JG180" s="9"/>
      <c r="JH180" s="9"/>
      <c r="JI180" s="9"/>
      <c r="JJ180" s="9"/>
      <c r="JK180" s="9"/>
      <c r="JL180" s="9"/>
      <c r="JM180" s="9"/>
      <c r="JN180" s="9"/>
      <c r="JO180" s="9"/>
      <c r="JP180" s="9"/>
      <c r="JQ180" s="9"/>
      <c r="JR180" s="9"/>
      <c r="JS180" s="9"/>
      <c r="JT180" s="9"/>
      <c r="JU180" s="9"/>
      <c r="JV180" s="9"/>
      <c r="JW180" s="9"/>
      <c r="JX180" s="9"/>
      <c r="JY180" s="9"/>
      <c r="JZ180" s="9"/>
      <c r="KA180" s="9"/>
      <c r="KB180" s="9"/>
      <c r="KC180" s="9"/>
      <c r="KD180" s="9"/>
      <c r="KE180" s="9"/>
      <c r="KF180" s="9"/>
      <c r="KG180" s="9"/>
      <c r="KH180" s="9"/>
      <c r="KI180" s="9"/>
      <c r="KJ180" s="9"/>
      <c r="KK180" s="9"/>
      <c r="KL180" s="9"/>
      <c r="KM180" s="9"/>
      <c r="KN180" s="9"/>
      <c r="KO180" s="9"/>
      <c r="KP180" s="9"/>
      <c r="KQ180" s="9"/>
      <c r="KR180" s="9"/>
      <c r="KS180" s="9"/>
      <c r="KT180" s="9"/>
      <c r="KU180" s="9"/>
      <c r="KV180" s="9"/>
      <c r="KW180" s="9"/>
      <c r="KX180" s="9"/>
      <c r="KY180" s="9"/>
      <c r="KZ180" s="9"/>
      <c r="LA180" s="9"/>
      <c r="LB180" s="9"/>
      <c r="LC180" s="9" t="s">
        <v>1098</v>
      </c>
      <c r="LD180" s="9"/>
      <c r="LE180" s="9" t="s">
        <v>1098</v>
      </c>
      <c r="LF180" s="9"/>
      <c r="LG180" s="9"/>
      <c r="LH180" s="9"/>
      <c r="LI180" s="9"/>
      <c r="LJ180" s="9"/>
      <c r="LK180" s="9"/>
      <c r="LL180" s="9"/>
      <c r="LM180" s="9"/>
      <c r="LN180" s="9"/>
      <c r="LO180" s="9"/>
      <c r="LP180" s="9"/>
      <c r="LQ180" s="9"/>
      <c r="LR180" s="9"/>
      <c r="LS180" s="9"/>
      <c r="LT180" s="9"/>
      <c r="LU180" s="9"/>
      <c r="LV180" s="9"/>
      <c r="LW180" s="9"/>
      <c r="LX180" s="9"/>
      <c r="LY180" s="9"/>
      <c r="LZ180" s="9"/>
      <c r="MA180" s="9"/>
      <c r="MB180" s="9"/>
      <c r="MC180" s="9"/>
      <c r="MD180" s="9"/>
      <c r="ME180" s="9"/>
      <c r="MF180" s="9"/>
      <c r="MG180" s="9"/>
      <c r="MH180" s="9"/>
      <c r="MI180" s="9"/>
      <c r="MJ180" s="9"/>
      <c r="MK180" s="9"/>
      <c r="ML180" s="9"/>
      <c r="MM180" s="9"/>
      <c r="MN180" s="9"/>
      <c r="MO180" s="9"/>
      <c r="MP180" s="9"/>
      <c r="MQ180" s="9"/>
      <c r="MR180" s="9"/>
      <c r="MS180" s="9"/>
      <c r="MT180" s="9"/>
      <c r="MU180" s="9"/>
      <c r="MV180" s="9"/>
      <c r="MW180" s="9"/>
      <c r="MX180" s="9"/>
      <c r="MY180" s="9"/>
      <c r="MZ180" s="9"/>
      <c r="NA180" s="9"/>
      <c r="NB180" s="9"/>
      <c r="NC180" s="9"/>
      <c r="ND180" s="9"/>
      <c r="NE180" s="9"/>
      <c r="NF180" s="9"/>
      <c r="NG180" s="9"/>
      <c r="NH180" s="9"/>
      <c r="NI180" s="9"/>
      <c r="NJ180" s="9"/>
      <c r="NK180" s="9"/>
      <c r="NL180" s="9"/>
      <c r="NM180" s="9"/>
      <c r="NN180" s="9"/>
      <c r="NO180" s="9"/>
      <c r="NP180" s="9"/>
      <c r="NQ180" s="9"/>
      <c r="NR180" s="9"/>
      <c r="NS180" s="9"/>
      <c r="NT180" s="9"/>
      <c r="NU180" s="9"/>
      <c r="NV180" s="9"/>
      <c r="NW180" s="9"/>
      <c r="NX180" s="9"/>
      <c r="NY180" s="9"/>
      <c r="NZ180" s="9"/>
      <c r="OA180" s="9"/>
      <c r="OB180" s="9"/>
      <c r="OC180" s="9"/>
      <c r="OD180" s="9"/>
      <c r="OE180" s="9"/>
      <c r="OF180" s="9"/>
      <c r="OG180" s="9"/>
      <c r="OH180" s="9"/>
      <c r="OI180" s="9"/>
      <c r="OJ180" s="9"/>
      <c r="OK180" s="9"/>
      <c r="OL180" s="9"/>
      <c r="OM180" s="9"/>
      <c r="ON180" s="9"/>
      <c r="OO180" s="9"/>
      <c r="OP180" s="9"/>
      <c r="OQ180" s="9"/>
      <c r="OR180" s="9"/>
      <c r="OS180" s="9"/>
      <c r="OT180" s="9"/>
      <c r="OU180" s="9"/>
      <c r="OV180" s="9"/>
      <c r="OW180" s="9"/>
      <c r="OX180" s="9"/>
      <c r="OY180" s="9"/>
      <c r="OZ180" s="9"/>
      <c r="PA180" s="9"/>
      <c r="PB180" s="9"/>
      <c r="PC180" s="9"/>
      <c r="PD180" s="9"/>
      <c r="PE180" s="9"/>
      <c r="PF180" s="9"/>
      <c r="PG180" s="9"/>
      <c r="PH180" s="9"/>
      <c r="PI180" s="9"/>
      <c r="PJ180" s="9"/>
      <c r="PK180" s="9"/>
      <c r="PL180" s="9"/>
      <c r="PM180" s="9"/>
      <c r="PN180" s="9"/>
      <c r="PO180" s="9"/>
      <c r="PP180" s="9"/>
      <c r="PQ180" s="9"/>
      <c r="PR180" s="9"/>
      <c r="PS180" s="9"/>
      <c r="PT180" s="9"/>
      <c r="PU180" s="9"/>
      <c r="PV180" s="9"/>
      <c r="PW180" s="9"/>
      <c r="PX180" s="9"/>
      <c r="PY180" s="9"/>
      <c r="PZ180" s="9"/>
      <c r="QA180" s="9"/>
      <c r="QB180" s="9"/>
      <c r="QC180" s="9"/>
      <c r="QD180" s="9"/>
      <c r="QE180" s="9"/>
      <c r="QF180" s="9"/>
      <c r="QG180" s="9"/>
      <c r="QH180" s="9"/>
      <c r="QI180" s="9"/>
      <c r="QJ180" s="9"/>
      <c r="QK180" s="9"/>
      <c r="QL180" s="9"/>
      <c r="QM180" s="9"/>
      <c r="QN180" s="9"/>
      <c r="QO180" s="9"/>
      <c r="QP180" s="9"/>
      <c r="QQ180" s="67"/>
      <c r="QR180" s="68"/>
      <c r="QS180" s="63"/>
      <c r="QT180" s="71"/>
    </row>
    <row r="181" spans="1:462" s="11" customFormat="1" x14ac:dyDescent="0.2">
      <c r="A181" s="9">
        <v>10</v>
      </c>
      <c r="B181" s="9"/>
      <c r="C181" s="9"/>
      <c r="D181" s="9" t="s">
        <v>466</v>
      </c>
      <c r="E181" s="65" t="s">
        <v>47</v>
      </c>
      <c r="F181" s="65"/>
      <c r="G181" s="92" t="s">
        <v>2419</v>
      </c>
      <c r="H181" s="66" t="s">
        <v>1688</v>
      </c>
      <c r="I181" s="9" t="s">
        <v>1098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  <c r="HL181" s="9"/>
      <c r="HM181" s="9"/>
      <c r="HN181" s="9"/>
      <c r="HO181" s="9"/>
      <c r="HP181" s="9"/>
      <c r="HQ181" s="9"/>
      <c r="HR181" s="9"/>
      <c r="HS181" s="9"/>
      <c r="HT181" s="9"/>
      <c r="HU181" s="9"/>
      <c r="HV181" s="9"/>
      <c r="HW181" s="9"/>
      <c r="HX181" s="9"/>
      <c r="HY181" s="9"/>
      <c r="HZ181" s="9"/>
      <c r="IA181" s="9"/>
      <c r="IB181" s="9"/>
      <c r="IC181" s="9"/>
      <c r="ID181" s="9"/>
      <c r="IE181" s="9"/>
      <c r="IF181" s="9"/>
      <c r="IG181" s="9"/>
      <c r="IH181" s="9"/>
      <c r="II181" s="9"/>
      <c r="IJ181" s="9"/>
      <c r="IK181" s="9"/>
      <c r="IL181" s="9"/>
      <c r="IM181" s="9"/>
      <c r="IN181" s="9"/>
      <c r="IO181" s="9"/>
      <c r="IP181" s="9"/>
      <c r="IQ181" s="9"/>
      <c r="IR181" s="9"/>
      <c r="IS181" s="9"/>
      <c r="IT181" s="9"/>
      <c r="IU181" s="9"/>
      <c r="IV181" s="9"/>
      <c r="IW181" s="9"/>
      <c r="IX181" s="9"/>
      <c r="IY181" s="9"/>
      <c r="IZ181" s="9"/>
      <c r="JA181" s="9"/>
      <c r="JB181" s="9"/>
      <c r="JC181" s="9"/>
      <c r="JD181" s="9"/>
      <c r="JE181" s="9"/>
      <c r="JF181" s="9"/>
      <c r="JG181" s="9"/>
      <c r="JH181" s="9"/>
      <c r="JI181" s="9"/>
      <c r="JJ181" s="9"/>
      <c r="JK181" s="9"/>
      <c r="JL181" s="9"/>
      <c r="JM181" s="9"/>
      <c r="JN181" s="9"/>
      <c r="JO181" s="9"/>
      <c r="JP181" s="9"/>
      <c r="JQ181" s="9"/>
      <c r="JR181" s="9"/>
      <c r="JS181" s="9"/>
      <c r="JT181" s="9"/>
      <c r="JU181" s="9"/>
      <c r="JV181" s="9"/>
      <c r="JW181" s="9"/>
      <c r="JX181" s="9"/>
      <c r="JY181" s="9"/>
      <c r="JZ181" s="9"/>
      <c r="KA181" s="9"/>
      <c r="KB181" s="9"/>
      <c r="KC181" s="9"/>
      <c r="KD181" s="9"/>
      <c r="KE181" s="9"/>
      <c r="KF181" s="9"/>
      <c r="KG181" s="9"/>
      <c r="KH181" s="9"/>
      <c r="KI181" s="9"/>
      <c r="KJ181" s="9"/>
      <c r="KK181" s="9"/>
      <c r="KL181" s="9"/>
      <c r="KM181" s="9"/>
      <c r="KN181" s="9"/>
      <c r="KO181" s="9"/>
      <c r="KP181" s="9"/>
      <c r="KQ181" s="9"/>
      <c r="KR181" s="9"/>
      <c r="KS181" s="9"/>
      <c r="KT181" s="9"/>
      <c r="KU181" s="9"/>
      <c r="KV181" s="9"/>
      <c r="KW181" s="9"/>
      <c r="KX181" s="9"/>
      <c r="KY181" s="9"/>
      <c r="KZ181" s="9"/>
      <c r="LA181" s="9"/>
      <c r="LB181" s="9"/>
      <c r="LC181" s="9" t="s">
        <v>1098</v>
      </c>
      <c r="LD181" s="9"/>
      <c r="LE181" s="9" t="s">
        <v>1098</v>
      </c>
      <c r="LF181" s="9"/>
      <c r="LG181" s="9"/>
      <c r="LH181" s="9"/>
      <c r="LI181" s="9"/>
      <c r="LJ181" s="9"/>
      <c r="LK181" s="9"/>
      <c r="LL181" s="9"/>
      <c r="LM181" s="9"/>
      <c r="LN181" s="9"/>
      <c r="LO181" s="9"/>
      <c r="LP181" s="9"/>
      <c r="LQ181" s="9"/>
      <c r="LR181" s="9"/>
      <c r="LS181" s="9"/>
      <c r="LT181" s="9"/>
      <c r="LU181" s="9"/>
      <c r="LV181" s="9"/>
      <c r="LW181" s="9"/>
      <c r="LX181" s="9"/>
      <c r="LY181" s="9"/>
      <c r="LZ181" s="9"/>
      <c r="MA181" s="9"/>
      <c r="MB181" s="9"/>
      <c r="MC181" s="9"/>
      <c r="MD181" s="9"/>
      <c r="ME181" s="9"/>
      <c r="MF181" s="9"/>
      <c r="MG181" s="9"/>
      <c r="MH181" s="9"/>
      <c r="MI181" s="9"/>
      <c r="MJ181" s="9"/>
      <c r="MK181" s="9"/>
      <c r="ML181" s="9"/>
      <c r="MM181" s="9"/>
      <c r="MN181" s="9"/>
      <c r="MO181" s="9"/>
      <c r="MP181" s="9"/>
      <c r="MQ181" s="9"/>
      <c r="MR181" s="9"/>
      <c r="MS181" s="9"/>
      <c r="MT181" s="9"/>
      <c r="MU181" s="9"/>
      <c r="MV181" s="9"/>
      <c r="MW181" s="9"/>
      <c r="MX181" s="9"/>
      <c r="MY181" s="9"/>
      <c r="MZ181" s="9"/>
      <c r="NA181" s="9"/>
      <c r="NB181" s="9"/>
      <c r="NC181" s="9"/>
      <c r="ND181" s="9"/>
      <c r="NE181" s="9"/>
      <c r="NF181" s="9"/>
      <c r="NG181" s="9"/>
      <c r="NH181" s="9"/>
      <c r="NI181" s="9"/>
      <c r="NJ181" s="9"/>
      <c r="NK181" s="9"/>
      <c r="NL181" s="9"/>
      <c r="NM181" s="9"/>
      <c r="NN181" s="9"/>
      <c r="NO181" s="9"/>
      <c r="NP181" s="9"/>
      <c r="NQ181" s="9"/>
      <c r="NR181" s="9"/>
      <c r="NS181" s="9"/>
      <c r="NT181" s="9"/>
      <c r="NU181" s="9"/>
      <c r="NV181" s="9"/>
      <c r="NW181" s="9"/>
      <c r="NX181" s="9"/>
      <c r="NY181" s="9"/>
      <c r="NZ181" s="9"/>
      <c r="OA181" s="9"/>
      <c r="OB181" s="9"/>
      <c r="OC181" s="9"/>
      <c r="OD181" s="9"/>
      <c r="OE181" s="9"/>
      <c r="OF181" s="9"/>
      <c r="OG181" s="9"/>
      <c r="OH181" s="9"/>
      <c r="OI181" s="9"/>
      <c r="OJ181" s="9"/>
      <c r="OK181" s="9"/>
      <c r="OL181" s="9"/>
      <c r="OM181" s="9"/>
      <c r="ON181" s="9"/>
      <c r="OO181" s="9"/>
      <c r="OP181" s="9"/>
      <c r="OQ181" s="9"/>
      <c r="OR181" s="9"/>
      <c r="OS181" s="9"/>
      <c r="OT181" s="9"/>
      <c r="OU181" s="9"/>
      <c r="OV181" s="9"/>
      <c r="OW181" s="9"/>
      <c r="OX181" s="9"/>
      <c r="OY181" s="9"/>
      <c r="OZ181" s="9"/>
      <c r="PA181" s="9"/>
      <c r="PB181" s="9"/>
      <c r="PC181" s="9"/>
      <c r="PD181" s="9"/>
      <c r="PE181" s="9"/>
      <c r="PF181" s="9"/>
      <c r="PG181" s="9"/>
      <c r="PH181" s="9"/>
      <c r="PI181" s="9"/>
      <c r="PJ181" s="9"/>
      <c r="PK181" s="9"/>
      <c r="PL181" s="9"/>
      <c r="PM181" s="9"/>
      <c r="PN181" s="9"/>
      <c r="PO181" s="9"/>
      <c r="PP181" s="9"/>
      <c r="PQ181" s="9"/>
      <c r="PR181" s="9"/>
      <c r="PS181" s="9"/>
      <c r="PT181" s="9"/>
      <c r="PU181" s="9"/>
      <c r="PV181" s="9"/>
      <c r="PW181" s="9"/>
      <c r="PX181" s="9"/>
      <c r="PY181" s="9"/>
      <c r="PZ181" s="9"/>
      <c r="QA181" s="9"/>
      <c r="QB181" s="9"/>
      <c r="QC181" s="9"/>
      <c r="QD181" s="9"/>
      <c r="QE181" s="9"/>
      <c r="QF181" s="9"/>
      <c r="QG181" s="9"/>
      <c r="QH181" s="9"/>
      <c r="QI181" s="9"/>
      <c r="QJ181" s="9"/>
      <c r="QK181" s="9"/>
      <c r="QL181" s="9"/>
      <c r="QM181" s="9"/>
      <c r="QN181" s="9"/>
      <c r="QO181" s="9"/>
      <c r="QP181" s="9"/>
      <c r="QQ181" s="67"/>
      <c r="QR181" s="68"/>
      <c r="QS181" s="63"/>
      <c r="QT181" s="71"/>
    </row>
    <row r="182" spans="1:462" s="11" customFormat="1" x14ac:dyDescent="0.2">
      <c r="A182" s="9">
        <v>10</v>
      </c>
      <c r="B182" s="9"/>
      <c r="C182" s="9"/>
      <c r="D182" s="9" t="s">
        <v>467</v>
      </c>
      <c r="E182" s="65" t="s">
        <v>565</v>
      </c>
      <c r="F182" s="65"/>
      <c r="G182" s="91" t="s">
        <v>2420</v>
      </c>
      <c r="H182" s="66" t="s">
        <v>1689</v>
      </c>
      <c r="I182" s="9" t="s">
        <v>1098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9"/>
      <c r="IC182" s="9"/>
      <c r="ID182" s="9"/>
      <c r="IE182" s="9"/>
      <c r="IF182" s="9"/>
      <c r="IG182" s="9"/>
      <c r="IH182" s="9"/>
      <c r="II182" s="9"/>
      <c r="IJ182" s="9"/>
      <c r="IK182" s="9"/>
      <c r="IL182" s="9"/>
      <c r="IM182" s="9"/>
      <c r="IN182" s="9"/>
      <c r="IO182" s="9"/>
      <c r="IP182" s="9"/>
      <c r="IQ182" s="9"/>
      <c r="IR182" s="9"/>
      <c r="IS182" s="9"/>
      <c r="IT182" s="9"/>
      <c r="IU182" s="9"/>
      <c r="IV182" s="9"/>
      <c r="IW182" s="9"/>
      <c r="IX182" s="9"/>
      <c r="IY182" s="9"/>
      <c r="IZ182" s="9"/>
      <c r="JA182" s="9"/>
      <c r="JB182" s="9"/>
      <c r="JC182" s="9"/>
      <c r="JD182" s="9"/>
      <c r="JE182" s="9"/>
      <c r="JF182" s="9"/>
      <c r="JG182" s="9"/>
      <c r="JH182" s="9"/>
      <c r="JI182" s="9"/>
      <c r="JJ182" s="9"/>
      <c r="JK182" s="9"/>
      <c r="JL182" s="9"/>
      <c r="JM182" s="9"/>
      <c r="JN182" s="9"/>
      <c r="JO182" s="9"/>
      <c r="JP182" s="9"/>
      <c r="JQ182" s="9"/>
      <c r="JR182" s="9"/>
      <c r="JS182" s="9"/>
      <c r="JT182" s="9"/>
      <c r="JU182" s="9"/>
      <c r="JV182" s="9"/>
      <c r="JW182" s="9"/>
      <c r="JX182" s="9"/>
      <c r="JY182" s="9"/>
      <c r="JZ182" s="9"/>
      <c r="KA182" s="9"/>
      <c r="KB182" s="9"/>
      <c r="KC182" s="9"/>
      <c r="KD182" s="9"/>
      <c r="KE182" s="9"/>
      <c r="KF182" s="9"/>
      <c r="KG182" s="9"/>
      <c r="KH182" s="9"/>
      <c r="KI182" s="9"/>
      <c r="KJ182" s="9"/>
      <c r="KK182" s="9"/>
      <c r="KL182" s="9"/>
      <c r="KM182" s="9"/>
      <c r="KN182" s="9"/>
      <c r="KO182" s="9"/>
      <c r="KP182" s="9"/>
      <c r="KQ182" s="9"/>
      <c r="KR182" s="9"/>
      <c r="KS182" s="9"/>
      <c r="KT182" s="9"/>
      <c r="KU182" s="9"/>
      <c r="KV182" s="9"/>
      <c r="KW182" s="9"/>
      <c r="KX182" s="9"/>
      <c r="KY182" s="9"/>
      <c r="KZ182" s="9"/>
      <c r="LA182" s="9"/>
      <c r="LB182" s="9"/>
      <c r="LC182" s="9"/>
      <c r="LD182" s="9"/>
      <c r="LE182" s="9"/>
      <c r="LF182" s="9"/>
      <c r="LG182" s="9"/>
      <c r="LH182" s="9"/>
      <c r="LI182" s="9"/>
      <c r="LJ182" s="9"/>
      <c r="LK182" s="9" t="s">
        <v>1098</v>
      </c>
      <c r="LL182" s="9"/>
      <c r="LM182" s="9" t="s">
        <v>1098</v>
      </c>
      <c r="LN182" s="9"/>
      <c r="LO182" s="9"/>
      <c r="LP182" s="9"/>
      <c r="LQ182" s="9"/>
      <c r="LR182" s="9"/>
      <c r="LS182" s="9"/>
      <c r="LT182" s="9"/>
      <c r="LU182" s="9"/>
      <c r="LV182" s="9"/>
      <c r="LW182" s="9"/>
      <c r="LX182" s="9"/>
      <c r="LY182" s="9"/>
      <c r="LZ182" s="9"/>
      <c r="MA182" s="9"/>
      <c r="MB182" s="9"/>
      <c r="MC182" s="9"/>
      <c r="MD182" s="9"/>
      <c r="ME182" s="9"/>
      <c r="MF182" s="9"/>
      <c r="MG182" s="9"/>
      <c r="MH182" s="9"/>
      <c r="MI182" s="9"/>
      <c r="MJ182" s="9"/>
      <c r="MK182" s="9"/>
      <c r="ML182" s="9"/>
      <c r="MM182" s="9"/>
      <c r="MN182" s="9"/>
      <c r="MO182" s="9"/>
      <c r="MP182" s="9"/>
      <c r="MQ182" s="9"/>
      <c r="MR182" s="9"/>
      <c r="MS182" s="9"/>
      <c r="MT182" s="9"/>
      <c r="MU182" s="9"/>
      <c r="MV182" s="9"/>
      <c r="MW182" s="9"/>
      <c r="MX182" s="9"/>
      <c r="MY182" s="9"/>
      <c r="MZ182" s="9"/>
      <c r="NA182" s="9"/>
      <c r="NB182" s="9"/>
      <c r="NC182" s="9"/>
      <c r="ND182" s="9"/>
      <c r="NE182" s="9"/>
      <c r="NF182" s="9"/>
      <c r="NG182" s="9"/>
      <c r="NH182" s="9"/>
      <c r="NI182" s="9"/>
      <c r="NJ182" s="9"/>
      <c r="NK182" s="9"/>
      <c r="NL182" s="9"/>
      <c r="NM182" s="9"/>
      <c r="NN182" s="9"/>
      <c r="NO182" s="9"/>
      <c r="NP182" s="9"/>
      <c r="NQ182" s="9"/>
      <c r="NR182" s="9"/>
      <c r="NS182" s="9"/>
      <c r="NT182" s="9"/>
      <c r="NU182" s="9"/>
      <c r="NV182" s="9"/>
      <c r="NW182" s="9"/>
      <c r="NX182" s="9"/>
      <c r="NY182" s="9"/>
      <c r="NZ182" s="9"/>
      <c r="OA182" s="9"/>
      <c r="OB182" s="9"/>
      <c r="OC182" s="9"/>
      <c r="OD182" s="9"/>
      <c r="OE182" s="9"/>
      <c r="OF182" s="9"/>
      <c r="OG182" s="9"/>
      <c r="OH182" s="9"/>
      <c r="OI182" s="9"/>
      <c r="OJ182" s="9"/>
      <c r="OK182" s="9"/>
      <c r="OL182" s="9"/>
      <c r="OM182" s="9"/>
      <c r="ON182" s="9"/>
      <c r="OO182" s="9"/>
      <c r="OP182" s="9"/>
      <c r="OQ182" s="9"/>
      <c r="OR182" s="9"/>
      <c r="OS182" s="9"/>
      <c r="OT182" s="9"/>
      <c r="OU182" s="9"/>
      <c r="OV182" s="9"/>
      <c r="OW182" s="9"/>
      <c r="OX182" s="9"/>
      <c r="OY182" s="9"/>
      <c r="OZ182" s="9"/>
      <c r="PA182" s="9"/>
      <c r="PB182" s="9"/>
      <c r="PC182" s="9"/>
      <c r="PD182" s="9"/>
      <c r="PE182" s="9"/>
      <c r="PF182" s="9"/>
      <c r="PG182" s="9"/>
      <c r="PH182" s="9"/>
      <c r="PI182" s="9"/>
      <c r="PJ182" s="9"/>
      <c r="PK182" s="9"/>
      <c r="PL182" s="9"/>
      <c r="PM182" s="9"/>
      <c r="PN182" s="9"/>
      <c r="PO182" s="9"/>
      <c r="PP182" s="9"/>
      <c r="PQ182" s="9"/>
      <c r="PR182" s="9"/>
      <c r="PS182" s="9"/>
      <c r="PT182" s="9"/>
      <c r="PU182" s="9"/>
      <c r="PV182" s="9"/>
      <c r="PW182" s="9"/>
      <c r="PX182" s="9"/>
      <c r="PY182" s="9"/>
      <c r="PZ182" s="9"/>
      <c r="QA182" s="9"/>
      <c r="QB182" s="9"/>
      <c r="QC182" s="9"/>
      <c r="QD182" s="9"/>
      <c r="QE182" s="9"/>
      <c r="QF182" s="9"/>
      <c r="QG182" s="9"/>
      <c r="QH182" s="9"/>
      <c r="QI182" s="9"/>
      <c r="QJ182" s="9"/>
      <c r="QK182" s="9"/>
      <c r="QL182" s="9"/>
      <c r="QM182" s="9"/>
      <c r="QN182" s="9"/>
      <c r="QO182" s="9"/>
      <c r="QP182" s="9"/>
      <c r="QQ182" s="67"/>
      <c r="QR182" s="68"/>
      <c r="QS182" s="63"/>
      <c r="QT182" s="71"/>
    </row>
    <row r="183" spans="1:462" s="11" customFormat="1" x14ac:dyDescent="0.2">
      <c r="A183" s="9">
        <v>10</v>
      </c>
      <c r="B183" s="9"/>
      <c r="C183" s="9"/>
      <c r="D183" s="9" t="s">
        <v>468</v>
      </c>
      <c r="E183" s="65" t="s">
        <v>566</v>
      </c>
      <c r="F183" s="65"/>
      <c r="G183" s="92" t="s">
        <v>2422</v>
      </c>
      <c r="H183" s="66" t="s">
        <v>1690</v>
      </c>
      <c r="I183" s="9" t="s">
        <v>1098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  <c r="II183" s="9"/>
      <c r="IJ183" s="9"/>
      <c r="IK183" s="9"/>
      <c r="IL183" s="9"/>
      <c r="IM183" s="9"/>
      <c r="IN183" s="9"/>
      <c r="IO183" s="9"/>
      <c r="IP183" s="9"/>
      <c r="IQ183" s="9"/>
      <c r="IR183" s="9"/>
      <c r="IS183" s="9"/>
      <c r="IT183" s="9"/>
      <c r="IU183" s="9"/>
      <c r="IV183" s="9"/>
      <c r="IW183" s="9"/>
      <c r="IX183" s="9"/>
      <c r="IY183" s="9"/>
      <c r="IZ183" s="9"/>
      <c r="JA183" s="9"/>
      <c r="JB183" s="9"/>
      <c r="JC183" s="9"/>
      <c r="JD183" s="9"/>
      <c r="JE183" s="9"/>
      <c r="JF183" s="9"/>
      <c r="JG183" s="9"/>
      <c r="JH183" s="9"/>
      <c r="JI183" s="9"/>
      <c r="JJ183" s="9"/>
      <c r="JK183" s="9"/>
      <c r="JL183" s="9"/>
      <c r="JM183" s="9"/>
      <c r="JN183" s="9"/>
      <c r="JO183" s="9"/>
      <c r="JP183" s="9"/>
      <c r="JQ183" s="9"/>
      <c r="JR183" s="9"/>
      <c r="JS183" s="9"/>
      <c r="JT183" s="9"/>
      <c r="JU183" s="9"/>
      <c r="JV183" s="9"/>
      <c r="JW183" s="9"/>
      <c r="JX183" s="9"/>
      <c r="JY183" s="9"/>
      <c r="JZ183" s="9"/>
      <c r="KA183" s="9"/>
      <c r="KB183" s="9"/>
      <c r="KC183" s="9"/>
      <c r="KD183" s="9"/>
      <c r="KE183" s="9"/>
      <c r="KF183" s="9"/>
      <c r="KG183" s="9"/>
      <c r="KH183" s="9"/>
      <c r="KI183" s="9"/>
      <c r="KJ183" s="9"/>
      <c r="KK183" s="9"/>
      <c r="KL183" s="9"/>
      <c r="KM183" s="9"/>
      <c r="KN183" s="9"/>
      <c r="KO183" s="9"/>
      <c r="KP183" s="9"/>
      <c r="KQ183" s="9"/>
      <c r="KR183" s="9"/>
      <c r="KS183" s="9"/>
      <c r="KT183" s="9"/>
      <c r="KU183" s="9"/>
      <c r="KV183" s="9"/>
      <c r="KW183" s="9"/>
      <c r="KX183" s="9"/>
      <c r="KY183" s="9"/>
      <c r="KZ183" s="9"/>
      <c r="LA183" s="9"/>
      <c r="LB183" s="9"/>
      <c r="LC183" s="9"/>
      <c r="LD183" s="9"/>
      <c r="LE183" s="9"/>
      <c r="LF183" s="9"/>
      <c r="LG183" s="9"/>
      <c r="LH183" s="9"/>
      <c r="LI183" s="9"/>
      <c r="LJ183" s="9"/>
      <c r="LK183" s="9" t="s">
        <v>1098</v>
      </c>
      <c r="LL183" s="9"/>
      <c r="LM183" s="9" t="s">
        <v>1098</v>
      </c>
      <c r="LN183" s="9"/>
      <c r="LO183" s="9"/>
      <c r="LP183" s="9"/>
      <c r="LQ183" s="9"/>
      <c r="LR183" s="9"/>
      <c r="LS183" s="9"/>
      <c r="LT183" s="9"/>
      <c r="LU183" s="9"/>
      <c r="LV183" s="9"/>
      <c r="LW183" s="9"/>
      <c r="LX183" s="9"/>
      <c r="LY183" s="9"/>
      <c r="LZ183" s="9"/>
      <c r="MA183" s="9"/>
      <c r="MB183" s="9"/>
      <c r="MC183" s="9"/>
      <c r="MD183" s="9"/>
      <c r="ME183" s="9"/>
      <c r="MF183" s="9"/>
      <c r="MG183" s="9"/>
      <c r="MH183" s="9"/>
      <c r="MI183" s="9"/>
      <c r="MJ183" s="9"/>
      <c r="MK183" s="9"/>
      <c r="ML183" s="9"/>
      <c r="MM183" s="9"/>
      <c r="MN183" s="9"/>
      <c r="MO183" s="9"/>
      <c r="MP183" s="9"/>
      <c r="MQ183" s="9"/>
      <c r="MR183" s="9"/>
      <c r="MS183" s="9"/>
      <c r="MT183" s="9"/>
      <c r="MU183" s="9"/>
      <c r="MV183" s="9"/>
      <c r="MW183" s="9"/>
      <c r="MX183" s="9"/>
      <c r="MY183" s="9"/>
      <c r="MZ183" s="9"/>
      <c r="NA183" s="9"/>
      <c r="NB183" s="9"/>
      <c r="NC183" s="9"/>
      <c r="ND183" s="9"/>
      <c r="NE183" s="9"/>
      <c r="NF183" s="9"/>
      <c r="NG183" s="9"/>
      <c r="NH183" s="9"/>
      <c r="NI183" s="9"/>
      <c r="NJ183" s="9"/>
      <c r="NK183" s="9"/>
      <c r="NL183" s="9"/>
      <c r="NM183" s="9"/>
      <c r="NN183" s="9"/>
      <c r="NO183" s="9"/>
      <c r="NP183" s="9"/>
      <c r="NQ183" s="9"/>
      <c r="NR183" s="9"/>
      <c r="NS183" s="9"/>
      <c r="NT183" s="9"/>
      <c r="NU183" s="9"/>
      <c r="NV183" s="9"/>
      <c r="NW183" s="9"/>
      <c r="NX183" s="9"/>
      <c r="NY183" s="9"/>
      <c r="NZ183" s="9"/>
      <c r="OA183" s="9"/>
      <c r="OB183" s="9"/>
      <c r="OC183" s="9"/>
      <c r="OD183" s="9"/>
      <c r="OE183" s="9"/>
      <c r="OF183" s="9"/>
      <c r="OG183" s="9"/>
      <c r="OH183" s="9"/>
      <c r="OI183" s="9"/>
      <c r="OJ183" s="9"/>
      <c r="OK183" s="9"/>
      <c r="OL183" s="9"/>
      <c r="OM183" s="9"/>
      <c r="ON183" s="9"/>
      <c r="OO183" s="9"/>
      <c r="OP183" s="9"/>
      <c r="OQ183" s="9"/>
      <c r="OR183" s="9"/>
      <c r="OS183" s="9"/>
      <c r="OT183" s="9"/>
      <c r="OU183" s="9"/>
      <c r="OV183" s="9"/>
      <c r="OW183" s="9"/>
      <c r="OX183" s="9"/>
      <c r="OY183" s="9"/>
      <c r="OZ183" s="9"/>
      <c r="PA183" s="9"/>
      <c r="PB183" s="9"/>
      <c r="PC183" s="9"/>
      <c r="PD183" s="9"/>
      <c r="PE183" s="9"/>
      <c r="PF183" s="9"/>
      <c r="PG183" s="9"/>
      <c r="PH183" s="9"/>
      <c r="PI183" s="9"/>
      <c r="PJ183" s="9"/>
      <c r="PK183" s="9"/>
      <c r="PL183" s="9"/>
      <c r="PM183" s="9"/>
      <c r="PN183" s="9"/>
      <c r="PO183" s="9"/>
      <c r="PP183" s="9"/>
      <c r="PQ183" s="9"/>
      <c r="PR183" s="9"/>
      <c r="PS183" s="9"/>
      <c r="PT183" s="9"/>
      <c r="PU183" s="9"/>
      <c r="PV183" s="9"/>
      <c r="PW183" s="9"/>
      <c r="PX183" s="9"/>
      <c r="PY183" s="9"/>
      <c r="PZ183" s="9"/>
      <c r="QA183" s="9"/>
      <c r="QB183" s="9"/>
      <c r="QC183" s="9"/>
      <c r="QD183" s="9"/>
      <c r="QE183" s="9"/>
      <c r="QF183" s="9"/>
      <c r="QG183" s="9"/>
      <c r="QH183" s="9"/>
      <c r="QI183" s="9"/>
      <c r="QJ183" s="9"/>
      <c r="QK183" s="9"/>
      <c r="QL183" s="9"/>
      <c r="QM183" s="9"/>
      <c r="QN183" s="9"/>
      <c r="QO183" s="9"/>
      <c r="QP183" s="9"/>
      <c r="QQ183" s="67"/>
      <c r="QR183" s="68"/>
      <c r="QS183" s="63"/>
      <c r="QT183" s="71"/>
    </row>
    <row r="184" spans="1:462" s="11" customFormat="1" ht="26" x14ac:dyDescent="0.2">
      <c r="A184" s="9">
        <v>10</v>
      </c>
      <c r="B184" s="9"/>
      <c r="C184" s="9"/>
      <c r="D184" s="9" t="s">
        <v>469</v>
      </c>
      <c r="E184" s="65" t="s">
        <v>47</v>
      </c>
      <c r="F184" s="65"/>
      <c r="G184" s="92" t="s">
        <v>2423</v>
      </c>
      <c r="H184" s="66" t="s">
        <v>1691</v>
      </c>
      <c r="I184" s="9" t="s">
        <v>1098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  <c r="HJ184" s="9"/>
      <c r="HK184" s="9"/>
      <c r="HL184" s="9"/>
      <c r="HM184" s="9"/>
      <c r="HN184" s="9"/>
      <c r="HO184" s="9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9"/>
      <c r="IC184" s="9"/>
      <c r="ID184" s="9"/>
      <c r="IE184" s="9"/>
      <c r="IF184" s="9"/>
      <c r="IG184" s="9"/>
      <c r="IH184" s="9"/>
      <c r="II184" s="9"/>
      <c r="IJ184" s="9"/>
      <c r="IK184" s="9"/>
      <c r="IL184" s="9"/>
      <c r="IM184" s="9"/>
      <c r="IN184" s="9"/>
      <c r="IO184" s="9"/>
      <c r="IP184" s="9"/>
      <c r="IQ184" s="9"/>
      <c r="IR184" s="9"/>
      <c r="IS184" s="9"/>
      <c r="IT184" s="9"/>
      <c r="IU184" s="9"/>
      <c r="IV184" s="9"/>
      <c r="IW184" s="9"/>
      <c r="IX184" s="9"/>
      <c r="IY184" s="9"/>
      <c r="IZ184" s="9"/>
      <c r="JA184" s="9"/>
      <c r="JB184" s="9"/>
      <c r="JC184" s="9"/>
      <c r="JD184" s="9"/>
      <c r="JE184" s="9"/>
      <c r="JF184" s="9"/>
      <c r="JG184" s="9"/>
      <c r="JH184" s="9"/>
      <c r="JI184" s="9"/>
      <c r="JJ184" s="9"/>
      <c r="JK184" s="9"/>
      <c r="JL184" s="9"/>
      <c r="JM184" s="9"/>
      <c r="JN184" s="9"/>
      <c r="JO184" s="9"/>
      <c r="JP184" s="9"/>
      <c r="JQ184" s="9"/>
      <c r="JR184" s="9"/>
      <c r="JS184" s="9"/>
      <c r="JT184" s="9"/>
      <c r="JU184" s="9"/>
      <c r="JV184" s="9"/>
      <c r="JW184" s="9"/>
      <c r="JX184" s="9"/>
      <c r="JY184" s="9"/>
      <c r="JZ184" s="9"/>
      <c r="KA184" s="9"/>
      <c r="KB184" s="9"/>
      <c r="KC184" s="9"/>
      <c r="KD184" s="9"/>
      <c r="KE184" s="9"/>
      <c r="KF184" s="9"/>
      <c r="KG184" s="9"/>
      <c r="KH184" s="9"/>
      <c r="KI184" s="9"/>
      <c r="KJ184" s="9"/>
      <c r="KK184" s="9"/>
      <c r="KL184" s="9"/>
      <c r="KM184" s="9"/>
      <c r="KN184" s="9"/>
      <c r="KO184" s="9"/>
      <c r="KP184" s="9"/>
      <c r="KQ184" s="9"/>
      <c r="KR184" s="9"/>
      <c r="KS184" s="9"/>
      <c r="KT184" s="9"/>
      <c r="KU184" s="9"/>
      <c r="KV184" s="9"/>
      <c r="KW184" s="9"/>
      <c r="KX184" s="9"/>
      <c r="KY184" s="9"/>
      <c r="KZ184" s="9"/>
      <c r="LA184" s="9"/>
      <c r="LB184" s="9"/>
      <c r="LC184" s="9"/>
      <c r="LD184" s="9"/>
      <c r="LE184" s="9"/>
      <c r="LF184" s="9"/>
      <c r="LG184" s="9"/>
      <c r="LH184" s="9"/>
      <c r="LI184" s="9"/>
      <c r="LJ184" s="9"/>
      <c r="LK184" s="9" t="s">
        <v>1098</v>
      </c>
      <c r="LL184" s="9"/>
      <c r="LM184" s="9" t="s">
        <v>1098</v>
      </c>
      <c r="LN184" s="9"/>
      <c r="LO184" s="9"/>
      <c r="LP184" s="9"/>
      <c r="LQ184" s="9"/>
      <c r="LR184" s="9"/>
      <c r="LS184" s="9"/>
      <c r="LT184" s="9"/>
      <c r="LU184" s="9"/>
      <c r="LV184" s="9"/>
      <c r="LW184" s="9"/>
      <c r="LX184" s="9"/>
      <c r="LY184" s="9"/>
      <c r="LZ184" s="9"/>
      <c r="MA184" s="9"/>
      <c r="MB184" s="9"/>
      <c r="MC184" s="9"/>
      <c r="MD184" s="9"/>
      <c r="ME184" s="9"/>
      <c r="MF184" s="9"/>
      <c r="MG184" s="9"/>
      <c r="MH184" s="9"/>
      <c r="MI184" s="9"/>
      <c r="MJ184" s="9"/>
      <c r="MK184" s="9"/>
      <c r="ML184" s="9"/>
      <c r="MM184" s="9"/>
      <c r="MN184" s="9"/>
      <c r="MO184" s="9"/>
      <c r="MP184" s="9"/>
      <c r="MQ184" s="9"/>
      <c r="MR184" s="9"/>
      <c r="MS184" s="9"/>
      <c r="MT184" s="9"/>
      <c r="MU184" s="9"/>
      <c r="MV184" s="9"/>
      <c r="MW184" s="9"/>
      <c r="MX184" s="9"/>
      <c r="MY184" s="9"/>
      <c r="MZ184" s="9"/>
      <c r="NA184" s="9"/>
      <c r="NB184" s="9"/>
      <c r="NC184" s="9"/>
      <c r="ND184" s="9"/>
      <c r="NE184" s="9"/>
      <c r="NF184" s="9"/>
      <c r="NG184" s="9"/>
      <c r="NH184" s="9"/>
      <c r="NI184" s="9"/>
      <c r="NJ184" s="9"/>
      <c r="NK184" s="9"/>
      <c r="NL184" s="9"/>
      <c r="NM184" s="9"/>
      <c r="NN184" s="9"/>
      <c r="NO184" s="9"/>
      <c r="NP184" s="9"/>
      <c r="NQ184" s="9"/>
      <c r="NR184" s="9"/>
      <c r="NS184" s="9"/>
      <c r="NT184" s="9"/>
      <c r="NU184" s="9"/>
      <c r="NV184" s="9"/>
      <c r="NW184" s="9"/>
      <c r="NX184" s="9"/>
      <c r="NY184" s="9"/>
      <c r="NZ184" s="9"/>
      <c r="OA184" s="9"/>
      <c r="OB184" s="9"/>
      <c r="OC184" s="9"/>
      <c r="OD184" s="9"/>
      <c r="OE184" s="9"/>
      <c r="OF184" s="9"/>
      <c r="OG184" s="9"/>
      <c r="OH184" s="9"/>
      <c r="OI184" s="9"/>
      <c r="OJ184" s="9"/>
      <c r="OK184" s="9"/>
      <c r="OL184" s="9"/>
      <c r="OM184" s="9"/>
      <c r="ON184" s="9"/>
      <c r="OO184" s="9"/>
      <c r="OP184" s="9"/>
      <c r="OQ184" s="9"/>
      <c r="OR184" s="9"/>
      <c r="OS184" s="9"/>
      <c r="OT184" s="9"/>
      <c r="OU184" s="9"/>
      <c r="OV184" s="9"/>
      <c r="OW184" s="9"/>
      <c r="OX184" s="9"/>
      <c r="OY184" s="9"/>
      <c r="OZ184" s="9"/>
      <c r="PA184" s="9"/>
      <c r="PB184" s="9"/>
      <c r="PC184" s="9"/>
      <c r="PD184" s="9"/>
      <c r="PE184" s="9"/>
      <c r="PF184" s="9"/>
      <c r="PG184" s="9"/>
      <c r="PH184" s="9"/>
      <c r="PI184" s="9"/>
      <c r="PJ184" s="9"/>
      <c r="PK184" s="9"/>
      <c r="PL184" s="9"/>
      <c r="PM184" s="9"/>
      <c r="PN184" s="9"/>
      <c r="PO184" s="9"/>
      <c r="PP184" s="9"/>
      <c r="PQ184" s="9"/>
      <c r="PR184" s="9"/>
      <c r="PS184" s="9"/>
      <c r="PT184" s="9"/>
      <c r="PU184" s="9"/>
      <c r="PV184" s="9"/>
      <c r="PW184" s="9"/>
      <c r="PX184" s="9"/>
      <c r="PY184" s="9"/>
      <c r="PZ184" s="9"/>
      <c r="QA184" s="9"/>
      <c r="QB184" s="9"/>
      <c r="QC184" s="9"/>
      <c r="QD184" s="9"/>
      <c r="QE184" s="9"/>
      <c r="QF184" s="9"/>
      <c r="QG184" s="9"/>
      <c r="QH184" s="9"/>
      <c r="QI184" s="9"/>
      <c r="QJ184" s="9"/>
      <c r="QK184" s="9"/>
      <c r="QL184" s="9"/>
      <c r="QM184" s="9"/>
      <c r="QN184" s="9"/>
      <c r="QO184" s="9"/>
      <c r="QP184" s="9"/>
      <c r="QQ184" s="67"/>
      <c r="QR184" s="68"/>
      <c r="QS184" s="63"/>
      <c r="QT184" s="71"/>
    </row>
    <row r="185" spans="1:462" s="11" customFormat="1" ht="26" x14ac:dyDescent="0.2">
      <c r="A185" s="9">
        <v>10</v>
      </c>
      <c r="B185" s="9"/>
      <c r="C185" s="9"/>
      <c r="D185" s="9" t="s">
        <v>470</v>
      </c>
      <c r="E185" s="65" t="s">
        <v>47</v>
      </c>
      <c r="F185" s="65"/>
      <c r="G185" s="92" t="s">
        <v>2424</v>
      </c>
      <c r="H185" s="66" t="s">
        <v>1692</v>
      </c>
      <c r="I185" s="9" t="s">
        <v>1098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  <c r="IW185" s="9"/>
      <c r="IX185" s="9"/>
      <c r="IY185" s="9"/>
      <c r="IZ185" s="9"/>
      <c r="JA185" s="9"/>
      <c r="JB185" s="9"/>
      <c r="JC185" s="9"/>
      <c r="JD185" s="9"/>
      <c r="JE185" s="9"/>
      <c r="JF185" s="9"/>
      <c r="JG185" s="9"/>
      <c r="JH185" s="9"/>
      <c r="JI185" s="9"/>
      <c r="JJ185" s="9"/>
      <c r="JK185" s="9"/>
      <c r="JL185" s="9"/>
      <c r="JM185" s="9"/>
      <c r="JN185" s="9"/>
      <c r="JO185" s="9"/>
      <c r="JP185" s="9"/>
      <c r="JQ185" s="9"/>
      <c r="JR185" s="9"/>
      <c r="JS185" s="9"/>
      <c r="JT185" s="9"/>
      <c r="JU185" s="9"/>
      <c r="JV185" s="9"/>
      <c r="JW185" s="9"/>
      <c r="JX185" s="9"/>
      <c r="JY185" s="9"/>
      <c r="JZ185" s="9"/>
      <c r="KA185" s="9"/>
      <c r="KB185" s="9"/>
      <c r="KC185" s="9"/>
      <c r="KD185" s="9"/>
      <c r="KE185" s="9"/>
      <c r="KF185" s="9"/>
      <c r="KG185" s="9"/>
      <c r="KH185" s="9"/>
      <c r="KI185" s="9"/>
      <c r="KJ185" s="9"/>
      <c r="KK185" s="9"/>
      <c r="KL185" s="9"/>
      <c r="KM185" s="9"/>
      <c r="KN185" s="9"/>
      <c r="KO185" s="9"/>
      <c r="KP185" s="9"/>
      <c r="KQ185" s="9"/>
      <c r="KR185" s="9"/>
      <c r="KS185" s="9"/>
      <c r="KT185" s="9"/>
      <c r="KU185" s="9"/>
      <c r="KV185" s="9"/>
      <c r="KW185" s="9"/>
      <c r="KX185" s="9"/>
      <c r="KY185" s="9"/>
      <c r="KZ185" s="9"/>
      <c r="LA185" s="9"/>
      <c r="LB185" s="9"/>
      <c r="LC185" s="9"/>
      <c r="LD185" s="9"/>
      <c r="LE185" s="9"/>
      <c r="LF185" s="9"/>
      <c r="LG185" s="9"/>
      <c r="LH185" s="9"/>
      <c r="LI185" s="9"/>
      <c r="LJ185" s="9"/>
      <c r="LK185" s="9" t="s">
        <v>1098</v>
      </c>
      <c r="LL185" s="9"/>
      <c r="LM185" s="9" t="s">
        <v>1098</v>
      </c>
      <c r="LN185" s="9"/>
      <c r="LO185" s="9"/>
      <c r="LP185" s="9"/>
      <c r="LQ185" s="9"/>
      <c r="LR185" s="9"/>
      <c r="LS185" s="9"/>
      <c r="LT185" s="9"/>
      <c r="LU185" s="9"/>
      <c r="LV185" s="9"/>
      <c r="LW185" s="9"/>
      <c r="LX185" s="9"/>
      <c r="LY185" s="9"/>
      <c r="LZ185" s="9"/>
      <c r="MA185" s="9"/>
      <c r="MB185" s="9"/>
      <c r="MC185" s="9"/>
      <c r="MD185" s="9"/>
      <c r="ME185" s="9"/>
      <c r="MF185" s="9"/>
      <c r="MG185" s="9"/>
      <c r="MH185" s="9"/>
      <c r="MI185" s="9"/>
      <c r="MJ185" s="9"/>
      <c r="MK185" s="9"/>
      <c r="ML185" s="9"/>
      <c r="MM185" s="9"/>
      <c r="MN185" s="9"/>
      <c r="MO185" s="9"/>
      <c r="MP185" s="9"/>
      <c r="MQ185" s="9"/>
      <c r="MR185" s="9"/>
      <c r="MS185" s="9"/>
      <c r="MT185" s="9"/>
      <c r="MU185" s="9"/>
      <c r="MV185" s="9"/>
      <c r="MW185" s="9"/>
      <c r="MX185" s="9"/>
      <c r="MY185" s="9"/>
      <c r="MZ185" s="9"/>
      <c r="NA185" s="9"/>
      <c r="NB185" s="9"/>
      <c r="NC185" s="9"/>
      <c r="ND185" s="9"/>
      <c r="NE185" s="9"/>
      <c r="NF185" s="9"/>
      <c r="NG185" s="9"/>
      <c r="NH185" s="9"/>
      <c r="NI185" s="9"/>
      <c r="NJ185" s="9"/>
      <c r="NK185" s="9"/>
      <c r="NL185" s="9"/>
      <c r="NM185" s="9"/>
      <c r="NN185" s="9"/>
      <c r="NO185" s="9"/>
      <c r="NP185" s="9"/>
      <c r="NQ185" s="9"/>
      <c r="NR185" s="9"/>
      <c r="NS185" s="9"/>
      <c r="NT185" s="9"/>
      <c r="NU185" s="9"/>
      <c r="NV185" s="9"/>
      <c r="NW185" s="9"/>
      <c r="NX185" s="9"/>
      <c r="NY185" s="9"/>
      <c r="NZ185" s="9"/>
      <c r="OA185" s="9"/>
      <c r="OB185" s="9"/>
      <c r="OC185" s="9"/>
      <c r="OD185" s="9"/>
      <c r="OE185" s="9"/>
      <c r="OF185" s="9"/>
      <c r="OG185" s="9"/>
      <c r="OH185" s="9"/>
      <c r="OI185" s="9"/>
      <c r="OJ185" s="9"/>
      <c r="OK185" s="9"/>
      <c r="OL185" s="9"/>
      <c r="OM185" s="9"/>
      <c r="ON185" s="9"/>
      <c r="OO185" s="9"/>
      <c r="OP185" s="9"/>
      <c r="OQ185" s="9"/>
      <c r="OR185" s="9"/>
      <c r="OS185" s="9"/>
      <c r="OT185" s="9"/>
      <c r="OU185" s="9"/>
      <c r="OV185" s="9"/>
      <c r="OW185" s="9"/>
      <c r="OX185" s="9"/>
      <c r="OY185" s="9"/>
      <c r="OZ185" s="9"/>
      <c r="PA185" s="9"/>
      <c r="PB185" s="9"/>
      <c r="PC185" s="9"/>
      <c r="PD185" s="9"/>
      <c r="PE185" s="9"/>
      <c r="PF185" s="9"/>
      <c r="PG185" s="9"/>
      <c r="PH185" s="9"/>
      <c r="PI185" s="9"/>
      <c r="PJ185" s="9"/>
      <c r="PK185" s="9"/>
      <c r="PL185" s="9"/>
      <c r="PM185" s="9"/>
      <c r="PN185" s="9"/>
      <c r="PO185" s="9"/>
      <c r="PP185" s="9"/>
      <c r="PQ185" s="9"/>
      <c r="PR185" s="9"/>
      <c r="PS185" s="9"/>
      <c r="PT185" s="9"/>
      <c r="PU185" s="9"/>
      <c r="PV185" s="9"/>
      <c r="PW185" s="9"/>
      <c r="PX185" s="9"/>
      <c r="PY185" s="9"/>
      <c r="PZ185" s="9"/>
      <c r="QA185" s="9"/>
      <c r="QB185" s="9"/>
      <c r="QC185" s="9"/>
      <c r="QD185" s="9"/>
      <c r="QE185" s="9"/>
      <c r="QF185" s="9"/>
      <c r="QG185" s="9"/>
      <c r="QH185" s="9"/>
      <c r="QI185" s="9"/>
      <c r="QJ185" s="9"/>
      <c r="QK185" s="9"/>
      <c r="QL185" s="9"/>
      <c r="QM185" s="9"/>
      <c r="QN185" s="9"/>
      <c r="QO185" s="9"/>
      <c r="QP185" s="9"/>
      <c r="QQ185" s="67"/>
      <c r="QR185" s="68"/>
      <c r="QS185" s="63"/>
      <c r="QT185" s="71"/>
    </row>
    <row r="186" spans="1:462" s="11" customFormat="1" x14ac:dyDescent="0.2">
      <c r="A186" s="9">
        <v>10</v>
      </c>
      <c r="B186" s="9"/>
      <c r="C186" s="9"/>
      <c r="D186" s="9" t="s">
        <v>471</v>
      </c>
      <c r="E186" s="65" t="s">
        <v>567</v>
      </c>
      <c r="F186" s="65"/>
      <c r="G186" s="91" t="s">
        <v>2425</v>
      </c>
      <c r="H186" s="66" t="s">
        <v>1693</v>
      </c>
      <c r="I186" s="9" t="s">
        <v>1098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  <c r="IW186" s="9"/>
      <c r="IX186" s="9"/>
      <c r="IY186" s="9"/>
      <c r="IZ186" s="9"/>
      <c r="JA186" s="9"/>
      <c r="JB186" s="9"/>
      <c r="JC186" s="9"/>
      <c r="JD186" s="9"/>
      <c r="JE186" s="9"/>
      <c r="JF186" s="9"/>
      <c r="JG186" s="9"/>
      <c r="JH186" s="9"/>
      <c r="JI186" s="9"/>
      <c r="JJ186" s="9"/>
      <c r="JK186" s="9"/>
      <c r="JL186" s="9"/>
      <c r="JM186" s="9"/>
      <c r="JN186" s="9"/>
      <c r="JO186" s="9"/>
      <c r="JP186" s="9"/>
      <c r="JQ186" s="9"/>
      <c r="JR186" s="9"/>
      <c r="JS186" s="9"/>
      <c r="JT186" s="9"/>
      <c r="JU186" s="9"/>
      <c r="JV186" s="9"/>
      <c r="JW186" s="9"/>
      <c r="JX186" s="9"/>
      <c r="JY186" s="9"/>
      <c r="JZ186" s="9"/>
      <c r="KA186" s="9"/>
      <c r="KB186" s="9"/>
      <c r="KC186" s="9"/>
      <c r="KD186" s="9"/>
      <c r="KE186" s="9"/>
      <c r="KF186" s="9"/>
      <c r="KG186" s="9"/>
      <c r="KH186" s="9"/>
      <c r="KI186" s="9"/>
      <c r="KJ186" s="9"/>
      <c r="KK186" s="9"/>
      <c r="KL186" s="9"/>
      <c r="KM186" s="9"/>
      <c r="KN186" s="9"/>
      <c r="KO186" s="9"/>
      <c r="KP186" s="9"/>
      <c r="KQ186" s="9"/>
      <c r="KR186" s="9"/>
      <c r="KS186" s="9"/>
      <c r="KT186" s="9"/>
      <c r="KU186" s="9"/>
      <c r="KV186" s="9"/>
      <c r="KW186" s="9"/>
      <c r="KX186" s="9"/>
      <c r="KY186" s="9"/>
      <c r="KZ186" s="9"/>
      <c r="LA186" s="9"/>
      <c r="LB186" s="9"/>
      <c r="LC186" s="9"/>
      <c r="LD186" s="9"/>
      <c r="LE186" s="9"/>
      <c r="LF186" s="9"/>
      <c r="LG186" s="9"/>
      <c r="LH186" s="9"/>
      <c r="LI186" s="9"/>
      <c r="LJ186" s="9"/>
      <c r="LK186" s="9"/>
      <c r="LL186" s="9"/>
      <c r="LM186" s="9"/>
      <c r="LN186" s="9"/>
      <c r="LO186" s="9"/>
      <c r="LP186" s="9"/>
      <c r="LQ186" s="9"/>
      <c r="LR186" s="9"/>
      <c r="LS186" s="9" t="s">
        <v>1098</v>
      </c>
      <c r="LT186" s="9"/>
      <c r="LU186" s="9" t="s">
        <v>1098</v>
      </c>
      <c r="LV186" s="9"/>
      <c r="LW186" s="9"/>
      <c r="LX186" s="9"/>
      <c r="LY186" s="9"/>
      <c r="LZ186" s="9"/>
      <c r="MA186" s="9"/>
      <c r="MB186" s="9"/>
      <c r="MC186" s="9"/>
      <c r="MD186" s="9"/>
      <c r="ME186" s="9"/>
      <c r="MF186" s="9"/>
      <c r="MG186" s="9"/>
      <c r="MH186" s="9"/>
      <c r="MI186" s="9"/>
      <c r="MJ186" s="9"/>
      <c r="MK186" s="9"/>
      <c r="ML186" s="9"/>
      <c r="MM186" s="9"/>
      <c r="MN186" s="9"/>
      <c r="MO186" s="9"/>
      <c r="MP186" s="9"/>
      <c r="MQ186" s="9"/>
      <c r="MR186" s="9"/>
      <c r="MS186" s="9"/>
      <c r="MT186" s="9"/>
      <c r="MU186" s="9"/>
      <c r="MV186" s="9"/>
      <c r="MW186" s="9"/>
      <c r="MX186" s="9"/>
      <c r="MY186" s="9"/>
      <c r="MZ186" s="9"/>
      <c r="NA186" s="9"/>
      <c r="NB186" s="9"/>
      <c r="NC186" s="9"/>
      <c r="ND186" s="9"/>
      <c r="NE186" s="9"/>
      <c r="NF186" s="9"/>
      <c r="NG186" s="9"/>
      <c r="NH186" s="9"/>
      <c r="NI186" s="9"/>
      <c r="NJ186" s="9"/>
      <c r="NK186" s="9"/>
      <c r="NL186" s="9"/>
      <c r="NM186" s="9"/>
      <c r="NN186" s="9"/>
      <c r="NO186" s="9"/>
      <c r="NP186" s="9"/>
      <c r="NQ186" s="9"/>
      <c r="NR186" s="9"/>
      <c r="NS186" s="9"/>
      <c r="NT186" s="9"/>
      <c r="NU186" s="9"/>
      <c r="NV186" s="9"/>
      <c r="NW186" s="9"/>
      <c r="NX186" s="9"/>
      <c r="NY186" s="9"/>
      <c r="NZ186" s="9"/>
      <c r="OA186" s="9"/>
      <c r="OB186" s="9"/>
      <c r="OC186" s="9"/>
      <c r="OD186" s="9"/>
      <c r="OE186" s="9"/>
      <c r="OF186" s="9"/>
      <c r="OG186" s="9"/>
      <c r="OH186" s="9"/>
      <c r="OI186" s="9"/>
      <c r="OJ186" s="9"/>
      <c r="OK186" s="9"/>
      <c r="OL186" s="9"/>
      <c r="OM186" s="9"/>
      <c r="ON186" s="9"/>
      <c r="OO186" s="9"/>
      <c r="OP186" s="9"/>
      <c r="OQ186" s="9"/>
      <c r="OR186" s="9"/>
      <c r="OS186" s="9"/>
      <c r="OT186" s="9"/>
      <c r="OU186" s="9"/>
      <c r="OV186" s="9"/>
      <c r="OW186" s="9"/>
      <c r="OX186" s="9"/>
      <c r="OY186" s="9"/>
      <c r="OZ186" s="9"/>
      <c r="PA186" s="9"/>
      <c r="PB186" s="9"/>
      <c r="PC186" s="9"/>
      <c r="PD186" s="9"/>
      <c r="PE186" s="9"/>
      <c r="PF186" s="9"/>
      <c r="PG186" s="9"/>
      <c r="PH186" s="9"/>
      <c r="PI186" s="9"/>
      <c r="PJ186" s="9"/>
      <c r="PK186" s="9"/>
      <c r="PL186" s="9"/>
      <c r="PM186" s="9"/>
      <c r="PN186" s="9"/>
      <c r="PO186" s="9"/>
      <c r="PP186" s="9"/>
      <c r="PQ186" s="9"/>
      <c r="PR186" s="9"/>
      <c r="PS186" s="9"/>
      <c r="PT186" s="9"/>
      <c r="PU186" s="9"/>
      <c r="PV186" s="9"/>
      <c r="PW186" s="9"/>
      <c r="PX186" s="9"/>
      <c r="PY186" s="9"/>
      <c r="PZ186" s="9"/>
      <c r="QA186" s="9"/>
      <c r="QB186" s="9"/>
      <c r="QC186" s="9"/>
      <c r="QD186" s="9"/>
      <c r="QE186" s="9"/>
      <c r="QF186" s="9"/>
      <c r="QG186" s="9"/>
      <c r="QH186" s="9"/>
      <c r="QI186" s="9"/>
      <c r="QJ186" s="9"/>
      <c r="QK186" s="9"/>
      <c r="QL186" s="9"/>
      <c r="QM186" s="9"/>
      <c r="QN186" s="9"/>
      <c r="QO186" s="9"/>
      <c r="QP186" s="9"/>
      <c r="QQ186" s="67"/>
      <c r="QR186" s="68"/>
      <c r="QS186" s="63"/>
      <c r="QT186" s="71"/>
    </row>
    <row r="187" spans="1:462" s="11" customFormat="1" x14ac:dyDescent="0.2">
      <c r="A187" s="9">
        <v>10</v>
      </c>
      <c r="B187" s="9"/>
      <c r="C187" s="9"/>
      <c r="D187" s="9" t="s">
        <v>472</v>
      </c>
      <c r="E187" s="65" t="s">
        <v>568</v>
      </c>
      <c r="F187" s="65"/>
      <c r="G187" s="92" t="s">
        <v>2427</v>
      </c>
      <c r="H187" s="66" t="s">
        <v>1694</v>
      </c>
      <c r="I187" s="9" t="s">
        <v>1098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  <c r="IW187" s="9"/>
      <c r="IX187" s="9"/>
      <c r="IY187" s="9"/>
      <c r="IZ187" s="9"/>
      <c r="JA187" s="9"/>
      <c r="JB187" s="9"/>
      <c r="JC187" s="9"/>
      <c r="JD187" s="9"/>
      <c r="JE187" s="9"/>
      <c r="JF187" s="9"/>
      <c r="JG187" s="9"/>
      <c r="JH187" s="9"/>
      <c r="JI187" s="9"/>
      <c r="JJ187" s="9"/>
      <c r="JK187" s="9"/>
      <c r="JL187" s="9"/>
      <c r="JM187" s="9"/>
      <c r="JN187" s="9"/>
      <c r="JO187" s="9"/>
      <c r="JP187" s="9"/>
      <c r="JQ187" s="9"/>
      <c r="JR187" s="9"/>
      <c r="JS187" s="9"/>
      <c r="JT187" s="9"/>
      <c r="JU187" s="9"/>
      <c r="JV187" s="9"/>
      <c r="JW187" s="9"/>
      <c r="JX187" s="9"/>
      <c r="JY187" s="9"/>
      <c r="JZ187" s="9"/>
      <c r="KA187" s="9"/>
      <c r="KB187" s="9"/>
      <c r="KC187" s="9"/>
      <c r="KD187" s="9"/>
      <c r="KE187" s="9"/>
      <c r="KF187" s="9"/>
      <c r="KG187" s="9"/>
      <c r="KH187" s="9"/>
      <c r="KI187" s="9"/>
      <c r="KJ187" s="9"/>
      <c r="KK187" s="9"/>
      <c r="KL187" s="9"/>
      <c r="KM187" s="9"/>
      <c r="KN187" s="9"/>
      <c r="KO187" s="9"/>
      <c r="KP187" s="9"/>
      <c r="KQ187" s="9"/>
      <c r="KR187" s="9"/>
      <c r="KS187" s="9"/>
      <c r="KT187" s="9"/>
      <c r="KU187" s="9"/>
      <c r="KV187" s="9"/>
      <c r="KW187" s="9"/>
      <c r="KX187" s="9"/>
      <c r="KY187" s="9"/>
      <c r="KZ187" s="9"/>
      <c r="LA187" s="9"/>
      <c r="LB187" s="9"/>
      <c r="LC187" s="9"/>
      <c r="LD187" s="9"/>
      <c r="LE187" s="9"/>
      <c r="LF187" s="9"/>
      <c r="LG187" s="9"/>
      <c r="LH187" s="9"/>
      <c r="LI187" s="9"/>
      <c r="LJ187" s="9"/>
      <c r="LK187" s="9"/>
      <c r="LL187" s="9"/>
      <c r="LM187" s="9"/>
      <c r="LN187" s="9"/>
      <c r="LO187" s="9"/>
      <c r="LP187" s="9"/>
      <c r="LQ187" s="9"/>
      <c r="LR187" s="9"/>
      <c r="LS187" s="9" t="s">
        <v>1098</v>
      </c>
      <c r="LT187" s="9"/>
      <c r="LU187" s="9" t="s">
        <v>1098</v>
      </c>
      <c r="LV187" s="9"/>
      <c r="LW187" s="9"/>
      <c r="LX187" s="9"/>
      <c r="LY187" s="9"/>
      <c r="LZ187" s="9"/>
      <c r="MA187" s="9"/>
      <c r="MB187" s="9"/>
      <c r="MC187" s="9"/>
      <c r="MD187" s="9"/>
      <c r="ME187" s="9"/>
      <c r="MF187" s="9"/>
      <c r="MG187" s="9"/>
      <c r="MH187" s="9"/>
      <c r="MI187" s="9"/>
      <c r="MJ187" s="9"/>
      <c r="MK187" s="9"/>
      <c r="ML187" s="9"/>
      <c r="MM187" s="9"/>
      <c r="MN187" s="9"/>
      <c r="MO187" s="9"/>
      <c r="MP187" s="9"/>
      <c r="MQ187" s="9"/>
      <c r="MR187" s="9"/>
      <c r="MS187" s="9"/>
      <c r="MT187" s="9"/>
      <c r="MU187" s="9"/>
      <c r="MV187" s="9"/>
      <c r="MW187" s="9"/>
      <c r="MX187" s="9"/>
      <c r="MY187" s="9"/>
      <c r="MZ187" s="9"/>
      <c r="NA187" s="9"/>
      <c r="NB187" s="9"/>
      <c r="NC187" s="9"/>
      <c r="ND187" s="9"/>
      <c r="NE187" s="9"/>
      <c r="NF187" s="9"/>
      <c r="NG187" s="9"/>
      <c r="NH187" s="9"/>
      <c r="NI187" s="9"/>
      <c r="NJ187" s="9"/>
      <c r="NK187" s="9"/>
      <c r="NL187" s="9"/>
      <c r="NM187" s="9"/>
      <c r="NN187" s="9"/>
      <c r="NO187" s="9"/>
      <c r="NP187" s="9"/>
      <c r="NQ187" s="9"/>
      <c r="NR187" s="9"/>
      <c r="NS187" s="9"/>
      <c r="NT187" s="9"/>
      <c r="NU187" s="9"/>
      <c r="NV187" s="9"/>
      <c r="NW187" s="9"/>
      <c r="NX187" s="9"/>
      <c r="NY187" s="9"/>
      <c r="NZ187" s="9"/>
      <c r="OA187" s="9"/>
      <c r="OB187" s="9"/>
      <c r="OC187" s="9"/>
      <c r="OD187" s="9"/>
      <c r="OE187" s="9"/>
      <c r="OF187" s="9"/>
      <c r="OG187" s="9"/>
      <c r="OH187" s="9"/>
      <c r="OI187" s="9"/>
      <c r="OJ187" s="9"/>
      <c r="OK187" s="9"/>
      <c r="OL187" s="9"/>
      <c r="OM187" s="9"/>
      <c r="ON187" s="9"/>
      <c r="OO187" s="9"/>
      <c r="OP187" s="9"/>
      <c r="OQ187" s="9"/>
      <c r="OR187" s="9"/>
      <c r="OS187" s="9"/>
      <c r="OT187" s="9"/>
      <c r="OU187" s="9"/>
      <c r="OV187" s="9"/>
      <c r="OW187" s="9"/>
      <c r="OX187" s="9"/>
      <c r="OY187" s="9"/>
      <c r="OZ187" s="9"/>
      <c r="PA187" s="9"/>
      <c r="PB187" s="9"/>
      <c r="PC187" s="9"/>
      <c r="PD187" s="9"/>
      <c r="PE187" s="9"/>
      <c r="PF187" s="9"/>
      <c r="PG187" s="9"/>
      <c r="PH187" s="9"/>
      <c r="PI187" s="9"/>
      <c r="PJ187" s="9"/>
      <c r="PK187" s="9"/>
      <c r="PL187" s="9"/>
      <c r="PM187" s="9"/>
      <c r="PN187" s="9"/>
      <c r="PO187" s="9"/>
      <c r="PP187" s="9"/>
      <c r="PQ187" s="9"/>
      <c r="PR187" s="9"/>
      <c r="PS187" s="9"/>
      <c r="PT187" s="9"/>
      <c r="PU187" s="9"/>
      <c r="PV187" s="9"/>
      <c r="PW187" s="9"/>
      <c r="PX187" s="9"/>
      <c r="PY187" s="9"/>
      <c r="PZ187" s="9"/>
      <c r="QA187" s="9"/>
      <c r="QB187" s="9"/>
      <c r="QC187" s="9"/>
      <c r="QD187" s="9"/>
      <c r="QE187" s="9"/>
      <c r="QF187" s="9"/>
      <c r="QG187" s="9"/>
      <c r="QH187" s="9"/>
      <c r="QI187" s="9"/>
      <c r="QJ187" s="9"/>
      <c r="QK187" s="9"/>
      <c r="QL187" s="9"/>
      <c r="QM187" s="9"/>
      <c r="QN187" s="9"/>
      <c r="QO187" s="9"/>
      <c r="QP187" s="9"/>
      <c r="QQ187" s="67"/>
      <c r="QR187" s="68"/>
      <c r="QS187" s="63"/>
      <c r="QT187" s="71"/>
    </row>
    <row r="188" spans="1:462" s="11" customFormat="1" x14ac:dyDescent="0.2">
      <c r="A188" s="9">
        <v>10</v>
      </c>
      <c r="B188" s="9"/>
      <c r="C188" s="9"/>
      <c r="D188" s="9" t="s">
        <v>473</v>
      </c>
      <c r="E188" s="65" t="s">
        <v>569</v>
      </c>
      <c r="F188" s="65"/>
      <c r="G188" s="91" t="s">
        <v>2428</v>
      </c>
      <c r="H188" s="66" t="s">
        <v>1695</v>
      </c>
      <c r="I188" s="9" t="s">
        <v>1098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  <c r="IW188" s="9"/>
      <c r="IX188" s="9"/>
      <c r="IY188" s="9"/>
      <c r="IZ188" s="9"/>
      <c r="JA188" s="9"/>
      <c r="JB188" s="9"/>
      <c r="JC188" s="9"/>
      <c r="JD188" s="9"/>
      <c r="JE188" s="9"/>
      <c r="JF188" s="9"/>
      <c r="JG188" s="9"/>
      <c r="JH188" s="9"/>
      <c r="JI188" s="9"/>
      <c r="JJ188" s="9"/>
      <c r="JK188" s="9"/>
      <c r="JL188" s="9"/>
      <c r="JM188" s="9"/>
      <c r="JN188" s="9"/>
      <c r="JO188" s="9"/>
      <c r="JP188" s="9"/>
      <c r="JQ188" s="9"/>
      <c r="JR188" s="9"/>
      <c r="JS188" s="9"/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  <c r="KH188" s="9"/>
      <c r="KI188" s="9"/>
      <c r="KJ188" s="9"/>
      <c r="KK188" s="9"/>
      <c r="KL188" s="9"/>
      <c r="KM188" s="9"/>
      <c r="KN188" s="9"/>
      <c r="KO188" s="9"/>
      <c r="KP188" s="9"/>
      <c r="KQ188" s="9"/>
      <c r="KR188" s="9"/>
      <c r="KS188" s="9"/>
      <c r="KT188" s="9"/>
      <c r="KU188" s="9"/>
      <c r="KV188" s="9"/>
      <c r="KW188" s="9"/>
      <c r="KX188" s="9"/>
      <c r="KY188" s="9"/>
      <c r="KZ188" s="9"/>
      <c r="LA188" s="9"/>
      <c r="LB188" s="9"/>
      <c r="LC188" s="9"/>
      <c r="LD188" s="9"/>
      <c r="LE188" s="9"/>
      <c r="LF188" s="9"/>
      <c r="LG188" s="9"/>
      <c r="LH188" s="9"/>
      <c r="LI188" s="9"/>
      <c r="LJ188" s="9"/>
      <c r="LK188" s="9"/>
      <c r="LL188" s="9"/>
      <c r="LM188" s="9"/>
      <c r="LN188" s="9"/>
      <c r="LO188" s="9"/>
      <c r="LP188" s="9"/>
      <c r="LQ188" s="9"/>
      <c r="LR188" s="9"/>
      <c r="LS188" s="9"/>
      <c r="LT188" s="9"/>
      <c r="LU188" s="9"/>
      <c r="LV188" s="9"/>
      <c r="LW188" s="9"/>
      <c r="LX188" s="9"/>
      <c r="LY188" s="9"/>
      <c r="LZ188" s="9"/>
      <c r="MA188" s="9" t="s">
        <v>1098</v>
      </c>
      <c r="MB188" s="9"/>
      <c r="MC188" s="9" t="s">
        <v>1098</v>
      </c>
      <c r="MD188" s="9"/>
      <c r="ME188" s="9"/>
      <c r="MF188" s="9"/>
      <c r="MG188" s="9"/>
      <c r="MH188" s="9"/>
      <c r="MI188" s="9"/>
      <c r="MJ188" s="9"/>
      <c r="MK188" s="9"/>
      <c r="ML188" s="9"/>
      <c r="MM188" s="9"/>
      <c r="MN188" s="9"/>
      <c r="MO188" s="9"/>
      <c r="MP188" s="9"/>
      <c r="MQ188" s="9"/>
      <c r="MR188" s="9"/>
      <c r="MS188" s="9"/>
      <c r="MT188" s="9"/>
      <c r="MU188" s="9"/>
      <c r="MV188" s="9"/>
      <c r="MW188" s="9"/>
      <c r="MX188" s="9"/>
      <c r="MY188" s="9"/>
      <c r="MZ188" s="9"/>
      <c r="NA188" s="9"/>
      <c r="NB188" s="9"/>
      <c r="NC188" s="9"/>
      <c r="ND188" s="9"/>
      <c r="NE188" s="9"/>
      <c r="NF188" s="9"/>
      <c r="NG188" s="9"/>
      <c r="NH188" s="9"/>
      <c r="NI188" s="9"/>
      <c r="NJ188" s="9"/>
      <c r="NK188" s="9"/>
      <c r="NL188" s="9"/>
      <c r="NM188" s="9"/>
      <c r="NN188" s="9"/>
      <c r="NO188" s="9"/>
      <c r="NP188" s="9"/>
      <c r="NQ188" s="9"/>
      <c r="NR188" s="9"/>
      <c r="NS188" s="9"/>
      <c r="NT188" s="9"/>
      <c r="NU188" s="9"/>
      <c r="NV188" s="9"/>
      <c r="NW188" s="9"/>
      <c r="NX188" s="9"/>
      <c r="NY188" s="9"/>
      <c r="NZ188" s="9"/>
      <c r="OA188" s="9"/>
      <c r="OB188" s="9"/>
      <c r="OC188" s="9"/>
      <c r="OD188" s="9"/>
      <c r="OE188" s="9"/>
      <c r="OF188" s="9"/>
      <c r="OG188" s="9"/>
      <c r="OH188" s="9"/>
      <c r="OI188" s="9"/>
      <c r="OJ188" s="9"/>
      <c r="OK188" s="9"/>
      <c r="OL188" s="9"/>
      <c r="OM188" s="9"/>
      <c r="ON188" s="9"/>
      <c r="OO188" s="9"/>
      <c r="OP188" s="9"/>
      <c r="OQ188" s="9"/>
      <c r="OR188" s="9"/>
      <c r="OS188" s="9"/>
      <c r="OT188" s="9"/>
      <c r="OU188" s="9"/>
      <c r="OV188" s="9"/>
      <c r="OW188" s="9"/>
      <c r="OX188" s="9"/>
      <c r="OY188" s="9"/>
      <c r="OZ188" s="9"/>
      <c r="PA188" s="9"/>
      <c r="PB188" s="9"/>
      <c r="PC188" s="9"/>
      <c r="PD188" s="9"/>
      <c r="PE188" s="9"/>
      <c r="PF188" s="9"/>
      <c r="PG188" s="9"/>
      <c r="PH188" s="9"/>
      <c r="PI188" s="9"/>
      <c r="PJ188" s="9"/>
      <c r="PK188" s="9"/>
      <c r="PL188" s="9"/>
      <c r="PM188" s="9"/>
      <c r="PN188" s="9"/>
      <c r="PO188" s="9"/>
      <c r="PP188" s="9"/>
      <c r="PQ188" s="9"/>
      <c r="PR188" s="9"/>
      <c r="PS188" s="9"/>
      <c r="PT188" s="9"/>
      <c r="PU188" s="9"/>
      <c r="PV188" s="9"/>
      <c r="PW188" s="9"/>
      <c r="PX188" s="9"/>
      <c r="PY188" s="9"/>
      <c r="PZ188" s="9"/>
      <c r="QA188" s="9"/>
      <c r="QB188" s="9"/>
      <c r="QC188" s="9"/>
      <c r="QD188" s="9"/>
      <c r="QE188" s="9"/>
      <c r="QF188" s="9"/>
      <c r="QG188" s="9"/>
      <c r="QH188" s="9"/>
      <c r="QI188" s="9"/>
      <c r="QJ188" s="9"/>
      <c r="QK188" s="9"/>
      <c r="QL188" s="9"/>
      <c r="QM188" s="9"/>
      <c r="QN188" s="9"/>
      <c r="QO188" s="9"/>
      <c r="QP188" s="9"/>
      <c r="QQ188" s="67"/>
      <c r="QR188" s="68"/>
      <c r="QS188" s="63"/>
      <c r="QT188" s="71"/>
    </row>
    <row r="189" spans="1:462" s="11" customFormat="1" x14ac:dyDescent="0.2">
      <c r="A189" s="9">
        <v>10</v>
      </c>
      <c r="B189" s="9"/>
      <c r="C189" s="9"/>
      <c r="D189" s="9" t="s">
        <v>474</v>
      </c>
      <c r="E189" s="65" t="s">
        <v>570</v>
      </c>
      <c r="F189" s="65"/>
      <c r="G189" s="92" t="s">
        <v>2430</v>
      </c>
      <c r="H189" s="66" t="s">
        <v>1696</v>
      </c>
      <c r="I189" s="9" t="s">
        <v>1098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  <c r="IW189" s="9"/>
      <c r="IX189" s="9"/>
      <c r="IY189" s="9"/>
      <c r="IZ189" s="9"/>
      <c r="JA189" s="9"/>
      <c r="JB189" s="9"/>
      <c r="JC189" s="9"/>
      <c r="JD189" s="9"/>
      <c r="JE189" s="9"/>
      <c r="JF189" s="9"/>
      <c r="JG189" s="9"/>
      <c r="JH189" s="9"/>
      <c r="JI189" s="9"/>
      <c r="JJ189" s="9"/>
      <c r="JK189" s="9"/>
      <c r="JL189" s="9"/>
      <c r="JM189" s="9"/>
      <c r="JN189" s="9"/>
      <c r="JO189" s="9"/>
      <c r="JP189" s="9"/>
      <c r="JQ189" s="9"/>
      <c r="JR189" s="9"/>
      <c r="JS189" s="9"/>
      <c r="JT189" s="9"/>
      <c r="JU189" s="9"/>
      <c r="JV189" s="9"/>
      <c r="JW189" s="9"/>
      <c r="JX189" s="9"/>
      <c r="JY189" s="9"/>
      <c r="JZ189" s="9"/>
      <c r="KA189" s="9"/>
      <c r="KB189" s="9"/>
      <c r="KC189" s="9"/>
      <c r="KD189" s="9"/>
      <c r="KE189" s="9"/>
      <c r="KF189" s="9"/>
      <c r="KG189" s="9"/>
      <c r="KH189" s="9"/>
      <c r="KI189" s="9"/>
      <c r="KJ189" s="9"/>
      <c r="KK189" s="9"/>
      <c r="KL189" s="9"/>
      <c r="KM189" s="9"/>
      <c r="KN189" s="9"/>
      <c r="KO189" s="9"/>
      <c r="KP189" s="9"/>
      <c r="KQ189" s="9"/>
      <c r="KR189" s="9"/>
      <c r="KS189" s="9"/>
      <c r="KT189" s="9"/>
      <c r="KU189" s="9"/>
      <c r="KV189" s="9"/>
      <c r="KW189" s="9"/>
      <c r="KX189" s="9"/>
      <c r="KY189" s="9"/>
      <c r="KZ189" s="9"/>
      <c r="LA189" s="9"/>
      <c r="LB189" s="9"/>
      <c r="LC189" s="9"/>
      <c r="LD189" s="9"/>
      <c r="LE189" s="9"/>
      <c r="LF189" s="9"/>
      <c r="LG189" s="9"/>
      <c r="LH189" s="9"/>
      <c r="LI189" s="9"/>
      <c r="LJ189" s="9"/>
      <c r="LK189" s="9"/>
      <c r="LL189" s="9"/>
      <c r="LM189" s="9"/>
      <c r="LN189" s="9"/>
      <c r="LO189" s="9"/>
      <c r="LP189" s="9"/>
      <c r="LQ189" s="9"/>
      <c r="LR189" s="9"/>
      <c r="LS189" s="9"/>
      <c r="LT189" s="9"/>
      <c r="LU189" s="9"/>
      <c r="LV189" s="9"/>
      <c r="LW189" s="9"/>
      <c r="LX189" s="9"/>
      <c r="LY189" s="9"/>
      <c r="LZ189" s="9"/>
      <c r="MA189" s="9" t="s">
        <v>1098</v>
      </c>
      <c r="MB189" s="9"/>
      <c r="MC189" s="9" t="s">
        <v>1098</v>
      </c>
      <c r="MD189" s="9"/>
      <c r="ME189" s="9"/>
      <c r="MF189" s="9"/>
      <c r="MG189" s="9"/>
      <c r="MH189" s="9"/>
      <c r="MI189" s="9"/>
      <c r="MJ189" s="9"/>
      <c r="MK189" s="9"/>
      <c r="ML189" s="9"/>
      <c r="MM189" s="9"/>
      <c r="MN189" s="9"/>
      <c r="MO189" s="9"/>
      <c r="MP189" s="9"/>
      <c r="MQ189" s="9"/>
      <c r="MR189" s="9"/>
      <c r="MS189" s="9"/>
      <c r="MT189" s="9"/>
      <c r="MU189" s="9"/>
      <c r="MV189" s="9"/>
      <c r="MW189" s="9"/>
      <c r="MX189" s="9"/>
      <c r="MY189" s="9"/>
      <c r="MZ189" s="9"/>
      <c r="NA189" s="9"/>
      <c r="NB189" s="9"/>
      <c r="NC189" s="9"/>
      <c r="ND189" s="9"/>
      <c r="NE189" s="9"/>
      <c r="NF189" s="9"/>
      <c r="NG189" s="9"/>
      <c r="NH189" s="9"/>
      <c r="NI189" s="9"/>
      <c r="NJ189" s="9"/>
      <c r="NK189" s="9"/>
      <c r="NL189" s="9"/>
      <c r="NM189" s="9"/>
      <c r="NN189" s="9"/>
      <c r="NO189" s="9"/>
      <c r="NP189" s="9"/>
      <c r="NQ189" s="9"/>
      <c r="NR189" s="9"/>
      <c r="NS189" s="9"/>
      <c r="NT189" s="9"/>
      <c r="NU189" s="9"/>
      <c r="NV189" s="9"/>
      <c r="NW189" s="9"/>
      <c r="NX189" s="9"/>
      <c r="NY189" s="9"/>
      <c r="NZ189" s="9"/>
      <c r="OA189" s="9"/>
      <c r="OB189" s="9"/>
      <c r="OC189" s="9"/>
      <c r="OD189" s="9"/>
      <c r="OE189" s="9"/>
      <c r="OF189" s="9"/>
      <c r="OG189" s="9"/>
      <c r="OH189" s="9"/>
      <c r="OI189" s="9"/>
      <c r="OJ189" s="9"/>
      <c r="OK189" s="9"/>
      <c r="OL189" s="9"/>
      <c r="OM189" s="9"/>
      <c r="ON189" s="9"/>
      <c r="OO189" s="9"/>
      <c r="OP189" s="9"/>
      <c r="OQ189" s="9"/>
      <c r="OR189" s="9"/>
      <c r="OS189" s="9"/>
      <c r="OT189" s="9"/>
      <c r="OU189" s="9"/>
      <c r="OV189" s="9"/>
      <c r="OW189" s="9"/>
      <c r="OX189" s="9"/>
      <c r="OY189" s="9"/>
      <c r="OZ189" s="9"/>
      <c r="PA189" s="9"/>
      <c r="PB189" s="9"/>
      <c r="PC189" s="9"/>
      <c r="PD189" s="9"/>
      <c r="PE189" s="9"/>
      <c r="PF189" s="9"/>
      <c r="PG189" s="9"/>
      <c r="PH189" s="9"/>
      <c r="PI189" s="9"/>
      <c r="PJ189" s="9"/>
      <c r="PK189" s="9"/>
      <c r="PL189" s="9"/>
      <c r="PM189" s="9"/>
      <c r="PN189" s="9"/>
      <c r="PO189" s="9"/>
      <c r="PP189" s="9"/>
      <c r="PQ189" s="9"/>
      <c r="PR189" s="9"/>
      <c r="PS189" s="9"/>
      <c r="PT189" s="9"/>
      <c r="PU189" s="9"/>
      <c r="PV189" s="9"/>
      <c r="PW189" s="9"/>
      <c r="PX189" s="9"/>
      <c r="PY189" s="9"/>
      <c r="PZ189" s="9"/>
      <c r="QA189" s="9"/>
      <c r="QB189" s="9"/>
      <c r="QC189" s="9"/>
      <c r="QD189" s="9"/>
      <c r="QE189" s="9"/>
      <c r="QF189" s="9"/>
      <c r="QG189" s="9"/>
      <c r="QH189" s="9"/>
      <c r="QI189" s="9"/>
      <c r="QJ189" s="9"/>
      <c r="QK189" s="9"/>
      <c r="QL189" s="9"/>
      <c r="QM189" s="9"/>
      <c r="QN189" s="9"/>
      <c r="QO189" s="9"/>
      <c r="QP189" s="9"/>
      <c r="QQ189" s="67"/>
      <c r="QR189" s="68"/>
      <c r="QS189" s="63"/>
      <c r="QT189" s="71"/>
    </row>
    <row r="190" spans="1:462" s="11" customFormat="1" x14ac:dyDescent="0.2">
      <c r="A190" s="9">
        <v>10</v>
      </c>
      <c r="B190" s="9"/>
      <c r="C190" s="9"/>
      <c r="D190" s="9" t="s">
        <v>475</v>
      </c>
      <c r="E190" s="65" t="s">
        <v>571</v>
      </c>
      <c r="F190" s="65"/>
      <c r="G190" s="91" t="s">
        <v>2431</v>
      </c>
      <c r="H190" s="66" t="s">
        <v>1697</v>
      </c>
      <c r="I190" s="9" t="s">
        <v>1098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  <c r="IW190" s="9"/>
      <c r="IX190" s="9"/>
      <c r="IY190" s="9"/>
      <c r="IZ190" s="9"/>
      <c r="JA190" s="9"/>
      <c r="JB190" s="9"/>
      <c r="JC190" s="9"/>
      <c r="JD190" s="9"/>
      <c r="JE190" s="9"/>
      <c r="JF190" s="9"/>
      <c r="JG190" s="9"/>
      <c r="JH190" s="9"/>
      <c r="JI190" s="9"/>
      <c r="JJ190" s="9"/>
      <c r="JK190" s="9"/>
      <c r="JL190" s="9"/>
      <c r="JM190" s="9"/>
      <c r="JN190" s="9"/>
      <c r="JO190" s="9"/>
      <c r="JP190" s="9"/>
      <c r="JQ190" s="9"/>
      <c r="JR190" s="9"/>
      <c r="JS190" s="9"/>
      <c r="JT190" s="9"/>
      <c r="JU190" s="9"/>
      <c r="JV190" s="9"/>
      <c r="JW190" s="9"/>
      <c r="JX190" s="9"/>
      <c r="JY190" s="9"/>
      <c r="JZ190" s="9"/>
      <c r="KA190" s="9"/>
      <c r="KB190" s="9"/>
      <c r="KC190" s="9"/>
      <c r="KD190" s="9"/>
      <c r="KE190" s="9"/>
      <c r="KF190" s="9"/>
      <c r="KG190" s="9"/>
      <c r="KH190" s="9"/>
      <c r="KI190" s="9"/>
      <c r="KJ190" s="9"/>
      <c r="KK190" s="9"/>
      <c r="KL190" s="9"/>
      <c r="KM190" s="9"/>
      <c r="KN190" s="9"/>
      <c r="KO190" s="9"/>
      <c r="KP190" s="9"/>
      <c r="KQ190" s="9"/>
      <c r="KR190" s="9"/>
      <c r="KS190" s="9"/>
      <c r="KT190" s="9"/>
      <c r="KU190" s="9"/>
      <c r="KV190" s="9"/>
      <c r="KW190" s="9"/>
      <c r="KX190" s="9"/>
      <c r="KY190" s="9"/>
      <c r="KZ190" s="9"/>
      <c r="LA190" s="9"/>
      <c r="LB190" s="9"/>
      <c r="LC190" s="9"/>
      <c r="LD190" s="9"/>
      <c r="LE190" s="9"/>
      <c r="LF190" s="9"/>
      <c r="LG190" s="9"/>
      <c r="LH190" s="9"/>
      <c r="LI190" s="9"/>
      <c r="LJ190" s="9"/>
      <c r="LK190" s="9"/>
      <c r="LL190" s="9"/>
      <c r="LM190" s="9"/>
      <c r="LN190" s="9"/>
      <c r="LO190" s="9"/>
      <c r="LP190" s="9"/>
      <c r="LQ190" s="9"/>
      <c r="LR190" s="9"/>
      <c r="LS190" s="9"/>
      <c r="LT190" s="9"/>
      <c r="LU190" s="9"/>
      <c r="LV190" s="9"/>
      <c r="LW190" s="9"/>
      <c r="LX190" s="9"/>
      <c r="LY190" s="9"/>
      <c r="LZ190" s="9"/>
      <c r="MA190" s="9"/>
      <c r="MB190" s="9"/>
      <c r="MC190" s="9"/>
      <c r="MD190" s="9"/>
      <c r="ME190" s="9"/>
      <c r="MF190" s="9"/>
      <c r="MG190" s="9"/>
      <c r="MH190" s="9"/>
      <c r="MI190" s="9" t="s">
        <v>1098</v>
      </c>
      <c r="MJ190" s="9"/>
      <c r="MK190" s="9" t="s">
        <v>1098</v>
      </c>
      <c r="ML190" s="9"/>
      <c r="MM190" s="9"/>
      <c r="MN190" s="9"/>
      <c r="MO190" s="9"/>
      <c r="MP190" s="9"/>
      <c r="MQ190" s="9"/>
      <c r="MR190" s="9"/>
      <c r="MS190" s="9"/>
      <c r="MT190" s="9"/>
      <c r="MU190" s="9"/>
      <c r="MV190" s="9"/>
      <c r="MW190" s="9"/>
      <c r="MX190" s="9"/>
      <c r="MY190" s="9"/>
      <c r="MZ190" s="9"/>
      <c r="NA190" s="9"/>
      <c r="NB190" s="9"/>
      <c r="NC190" s="9"/>
      <c r="ND190" s="9"/>
      <c r="NE190" s="9"/>
      <c r="NF190" s="9"/>
      <c r="NG190" s="9"/>
      <c r="NH190" s="9"/>
      <c r="NI190" s="9"/>
      <c r="NJ190" s="9"/>
      <c r="NK190" s="9"/>
      <c r="NL190" s="9"/>
      <c r="NM190" s="9"/>
      <c r="NN190" s="9"/>
      <c r="NO190" s="9"/>
      <c r="NP190" s="9"/>
      <c r="NQ190" s="9"/>
      <c r="NR190" s="9"/>
      <c r="NS190" s="9"/>
      <c r="NT190" s="9"/>
      <c r="NU190" s="9"/>
      <c r="NV190" s="9"/>
      <c r="NW190" s="9"/>
      <c r="NX190" s="9"/>
      <c r="NY190" s="9"/>
      <c r="NZ190" s="9"/>
      <c r="OA190" s="9"/>
      <c r="OB190" s="9"/>
      <c r="OC190" s="9"/>
      <c r="OD190" s="9"/>
      <c r="OE190" s="9"/>
      <c r="OF190" s="9"/>
      <c r="OG190" s="9"/>
      <c r="OH190" s="9"/>
      <c r="OI190" s="9"/>
      <c r="OJ190" s="9"/>
      <c r="OK190" s="9"/>
      <c r="OL190" s="9"/>
      <c r="OM190" s="9"/>
      <c r="ON190" s="9"/>
      <c r="OO190" s="9"/>
      <c r="OP190" s="9"/>
      <c r="OQ190" s="9"/>
      <c r="OR190" s="9"/>
      <c r="OS190" s="9"/>
      <c r="OT190" s="9"/>
      <c r="OU190" s="9"/>
      <c r="OV190" s="9"/>
      <c r="OW190" s="9"/>
      <c r="OX190" s="9"/>
      <c r="OY190" s="9"/>
      <c r="OZ190" s="9"/>
      <c r="PA190" s="9"/>
      <c r="PB190" s="9"/>
      <c r="PC190" s="9"/>
      <c r="PD190" s="9"/>
      <c r="PE190" s="9"/>
      <c r="PF190" s="9"/>
      <c r="PG190" s="9"/>
      <c r="PH190" s="9"/>
      <c r="PI190" s="9"/>
      <c r="PJ190" s="9"/>
      <c r="PK190" s="9"/>
      <c r="PL190" s="9"/>
      <c r="PM190" s="9"/>
      <c r="PN190" s="9"/>
      <c r="PO190" s="9"/>
      <c r="PP190" s="9"/>
      <c r="PQ190" s="9"/>
      <c r="PR190" s="9"/>
      <c r="PS190" s="9"/>
      <c r="PT190" s="9"/>
      <c r="PU190" s="9"/>
      <c r="PV190" s="9"/>
      <c r="PW190" s="9"/>
      <c r="PX190" s="9"/>
      <c r="PY190" s="9"/>
      <c r="PZ190" s="9"/>
      <c r="QA190" s="9"/>
      <c r="QB190" s="9"/>
      <c r="QC190" s="9"/>
      <c r="QD190" s="9"/>
      <c r="QE190" s="9"/>
      <c r="QF190" s="9"/>
      <c r="QG190" s="9"/>
      <c r="QH190" s="9"/>
      <c r="QI190" s="9"/>
      <c r="QJ190" s="9"/>
      <c r="QK190" s="9"/>
      <c r="QL190" s="9"/>
      <c r="QM190" s="9"/>
      <c r="QN190" s="9"/>
      <c r="QO190" s="9"/>
      <c r="QP190" s="9"/>
      <c r="QQ190" s="67"/>
      <c r="QR190" s="68"/>
      <c r="QS190" s="63"/>
      <c r="QT190" s="71"/>
    </row>
    <row r="191" spans="1:462" s="11" customFormat="1" ht="26" x14ac:dyDescent="0.2">
      <c r="A191" s="9">
        <v>10</v>
      </c>
      <c r="B191" s="9"/>
      <c r="C191" s="9"/>
      <c r="D191" s="9" t="s">
        <v>476</v>
      </c>
      <c r="E191" s="65" t="s">
        <v>572</v>
      </c>
      <c r="F191" s="65"/>
      <c r="G191" s="92" t="s">
        <v>2433</v>
      </c>
      <c r="H191" s="66" t="s">
        <v>1698</v>
      </c>
      <c r="I191" s="9" t="s">
        <v>1098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  <c r="IW191" s="9"/>
      <c r="IX191" s="9"/>
      <c r="IY191" s="9"/>
      <c r="IZ191" s="9"/>
      <c r="JA191" s="9"/>
      <c r="JB191" s="9"/>
      <c r="JC191" s="9"/>
      <c r="JD191" s="9"/>
      <c r="JE191" s="9"/>
      <c r="JF191" s="9"/>
      <c r="JG191" s="9"/>
      <c r="JH191" s="9"/>
      <c r="JI191" s="9"/>
      <c r="JJ191" s="9"/>
      <c r="JK191" s="9"/>
      <c r="JL191" s="9"/>
      <c r="JM191" s="9"/>
      <c r="JN191" s="9"/>
      <c r="JO191" s="9"/>
      <c r="JP191" s="9"/>
      <c r="JQ191" s="9"/>
      <c r="JR191" s="9"/>
      <c r="JS191" s="9"/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  <c r="KH191" s="9"/>
      <c r="KI191" s="9"/>
      <c r="KJ191" s="9"/>
      <c r="KK191" s="9"/>
      <c r="KL191" s="9"/>
      <c r="KM191" s="9"/>
      <c r="KN191" s="9"/>
      <c r="KO191" s="9"/>
      <c r="KP191" s="9"/>
      <c r="KQ191" s="9"/>
      <c r="KR191" s="9"/>
      <c r="KS191" s="9"/>
      <c r="KT191" s="9"/>
      <c r="KU191" s="9"/>
      <c r="KV191" s="9"/>
      <c r="KW191" s="9"/>
      <c r="KX191" s="9"/>
      <c r="KY191" s="9"/>
      <c r="KZ191" s="9"/>
      <c r="LA191" s="9"/>
      <c r="LB191" s="9"/>
      <c r="LC191" s="9"/>
      <c r="LD191" s="9"/>
      <c r="LE191" s="9"/>
      <c r="LF191" s="9"/>
      <c r="LG191" s="9"/>
      <c r="LH191" s="9"/>
      <c r="LI191" s="9"/>
      <c r="LJ191" s="9"/>
      <c r="LK191" s="9"/>
      <c r="LL191" s="9"/>
      <c r="LM191" s="9"/>
      <c r="LN191" s="9"/>
      <c r="LO191" s="9"/>
      <c r="LP191" s="9"/>
      <c r="LQ191" s="9"/>
      <c r="LR191" s="9"/>
      <c r="LS191" s="9"/>
      <c r="LT191" s="9"/>
      <c r="LU191" s="9"/>
      <c r="LV191" s="9"/>
      <c r="LW191" s="9"/>
      <c r="LX191" s="9"/>
      <c r="LY191" s="9"/>
      <c r="LZ191" s="9"/>
      <c r="MA191" s="9"/>
      <c r="MB191" s="9"/>
      <c r="MC191" s="9"/>
      <c r="MD191" s="9"/>
      <c r="ME191" s="9"/>
      <c r="MF191" s="9"/>
      <c r="MG191" s="9"/>
      <c r="MH191" s="9"/>
      <c r="MI191" s="9" t="s">
        <v>1098</v>
      </c>
      <c r="MJ191" s="9"/>
      <c r="MK191" s="9" t="s">
        <v>1098</v>
      </c>
      <c r="ML191" s="9"/>
      <c r="MM191" s="9"/>
      <c r="MN191" s="9"/>
      <c r="MO191" s="9"/>
      <c r="MP191" s="9"/>
      <c r="MQ191" s="9"/>
      <c r="MR191" s="9"/>
      <c r="MS191" s="9"/>
      <c r="MT191" s="9"/>
      <c r="MU191" s="9"/>
      <c r="MV191" s="9"/>
      <c r="MW191" s="9"/>
      <c r="MX191" s="9"/>
      <c r="MY191" s="9"/>
      <c r="MZ191" s="9"/>
      <c r="NA191" s="9"/>
      <c r="NB191" s="9"/>
      <c r="NC191" s="9"/>
      <c r="ND191" s="9"/>
      <c r="NE191" s="9"/>
      <c r="NF191" s="9"/>
      <c r="NG191" s="9"/>
      <c r="NH191" s="9"/>
      <c r="NI191" s="9"/>
      <c r="NJ191" s="9"/>
      <c r="NK191" s="9"/>
      <c r="NL191" s="9"/>
      <c r="NM191" s="9"/>
      <c r="NN191" s="9"/>
      <c r="NO191" s="9"/>
      <c r="NP191" s="9"/>
      <c r="NQ191" s="9"/>
      <c r="NR191" s="9"/>
      <c r="NS191" s="9"/>
      <c r="NT191" s="9"/>
      <c r="NU191" s="9"/>
      <c r="NV191" s="9"/>
      <c r="NW191" s="9"/>
      <c r="NX191" s="9"/>
      <c r="NY191" s="9"/>
      <c r="NZ191" s="9"/>
      <c r="OA191" s="9"/>
      <c r="OB191" s="9"/>
      <c r="OC191" s="9"/>
      <c r="OD191" s="9"/>
      <c r="OE191" s="9"/>
      <c r="OF191" s="9"/>
      <c r="OG191" s="9"/>
      <c r="OH191" s="9"/>
      <c r="OI191" s="9"/>
      <c r="OJ191" s="9"/>
      <c r="OK191" s="9"/>
      <c r="OL191" s="9"/>
      <c r="OM191" s="9"/>
      <c r="ON191" s="9"/>
      <c r="OO191" s="9"/>
      <c r="OP191" s="9"/>
      <c r="OQ191" s="9"/>
      <c r="OR191" s="9"/>
      <c r="OS191" s="9"/>
      <c r="OT191" s="9"/>
      <c r="OU191" s="9"/>
      <c r="OV191" s="9"/>
      <c r="OW191" s="9"/>
      <c r="OX191" s="9"/>
      <c r="OY191" s="9"/>
      <c r="OZ191" s="9"/>
      <c r="PA191" s="9"/>
      <c r="PB191" s="9"/>
      <c r="PC191" s="9"/>
      <c r="PD191" s="9"/>
      <c r="PE191" s="9"/>
      <c r="PF191" s="9"/>
      <c r="PG191" s="9"/>
      <c r="PH191" s="9"/>
      <c r="PI191" s="9"/>
      <c r="PJ191" s="9"/>
      <c r="PK191" s="9"/>
      <c r="PL191" s="9"/>
      <c r="PM191" s="9"/>
      <c r="PN191" s="9"/>
      <c r="PO191" s="9"/>
      <c r="PP191" s="9"/>
      <c r="PQ191" s="9"/>
      <c r="PR191" s="9"/>
      <c r="PS191" s="9"/>
      <c r="PT191" s="9"/>
      <c r="PU191" s="9"/>
      <c r="PV191" s="9"/>
      <c r="PW191" s="9"/>
      <c r="PX191" s="9"/>
      <c r="PY191" s="9"/>
      <c r="PZ191" s="9"/>
      <c r="QA191" s="9"/>
      <c r="QB191" s="9"/>
      <c r="QC191" s="9"/>
      <c r="QD191" s="9"/>
      <c r="QE191" s="9"/>
      <c r="QF191" s="9"/>
      <c r="QG191" s="9"/>
      <c r="QH191" s="9"/>
      <c r="QI191" s="9"/>
      <c r="QJ191" s="9"/>
      <c r="QK191" s="9"/>
      <c r="QL191" s="9"/>
      <c r="QM191" s="9"/>
      <c r="QN191" s="9"/>
      <c r="QO191" s="9"/>
      <c r="QP191" s="9"/>
      <c r="QQ191" s="67"/>
      <c r="QR191" s="68"/>
      <c r="QS191" s="63"/>
      <c r="QT191" s="71"/>
    </row>
    <row r="192" spans="1:462" s="11" customFormat="1" x14ac:dyDescent="0.2">
      <c r="A192" s="9">
        <v>10</v>
      </c>
      <c r="B192" s="9"/>
      <c r="C192" s="9"/>
      <c r="D192" s="9" t="s">
        <v>680</v>
      </c>
      <c r="E192" s="65" t="s">
        <v>732</v>
      </c>
      <c r="F192" s="65"/>
      <c r="G192" s="91" t="s">
        <v>2434</v>
      </c>
      <c r="H192" s="66" t="s">
        <v>1699</v>
      </c>
      <c r="I192" s="9" t="s">
        <v>1098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  <c r="IW192" s="9"/>
      <c r="IX192" s="9"/>
      <c r="IY192" s="9"/>
      <c r="IZ192" s="9"/>
      <c r="JA192" s="9"/>
      <c r="JB192" s="9"/>
      <c r="JC192" s="9"/>
      <c r="JD192" s="9"/>
      <c r="JE192" s="9"/>
      <c r="JF192" s="9"/>
      <c r="JG192" s="9"/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  <c r="KK192" s="9"/>
      <c r="KL192" s="9"/>
      <c r="KM192" s="9"/>
      <c r="KN192" s="9"/>
      <c r="KO192" s="9"/>
      <c r="KP192" s="9"/>
      <c r="KQ192" s="9"/>
      <c r="KR192" s="9"/>
      <c r="KS192" s="9"/>
      <c r="KT192" s="9"/>
      <c r="KU192" s="9"/>
      <c r="KV192" s="9"/>
      <c r="KW192" s="9"/>
      <c r="KX192" s="9"/>
      <c r="KY192" s="9"/>
      <c r="KZ192" s="9"/>
      <c r="LA192" s="9"/>
      <c r="LB192" s="9"/>
      <c r="LC192" s="9"/>
      <c r="LD192" s="9"/>
      <c r="LE192" s="9"/>
      <c r="LF192" s="9"/>
      <c r="LG192" s="9"/>
      <c r="LH192" s="9"/>
      <c r="LI192" s="9"/>
      <c r="LJ192" s="9"/>
      <c r="LK192" s="9"/>
      <c r="LL192" s="9"/>
      <c r="LM192" s="9"/>
      <c r="LN192" s="9"/>
      <c r="LO192" s="9"/>
      <c r="LP192" s="9"/>
      <c r="LQ192" s="9"/>
      <c r="LR192" s="9"/>
      <c r="LS192" s="9"/>
      <c r="LT192" s="9"/>
      <c r="LU192" s="9"/>
      <c r="LV192" s="9"/>
      <c r="LW192" s="9"/>
      <c r="LX192" s="9"/>
      <c r="LY192" s="9"/>
      <c r="LZ192" s="9"/>
      <c r="MA192" s="9"/>
      <c r="MB192" s="9"/>
      <c r="MC192" s="9"/>
      <c r="MD192" s="9"/>
      <c r="ME192" s="9"/>
      <c r="MF192" s="9"/>
      <c r="MG192" s="9"/>
      <c r="MH192" s="9"/>
      <c r="MI192" s="9"/>
      <c r="MJ192" s="9"/>
      <c r="MK192" s="9"/>
      <c r="ML192" s="9"/>
      <c r="MM192" s="9"/>
      <c r="MN192" s="9"/>
      <c r="MO192" s="9"/>
      <c r="MP192" s="9"/>
      <c r="MQ192" s="9" t="s">
        <v>1098</v>
      </c>
      <c r="MR192" s="9"/>
      <c r="MS192" s="9" t="s">
        <v>1098</v>
      </c>
      <c r="MT192" s="9"/>
      <c r="MU192" s="9"/>
      <c r="MV192" s="9"/>
      <c r="MW192" s="9"/>
      <c r="MX192" s="9"/>
      <c r="MY192" s="9"/>
      <c r="MZ192" s="9"/>
      <c r="NA192" s="9"/>
      <c r="NB192" s="9"/>
      <c r="NC192" s="9"/>
      <c r="ND192" s="9"/>
      <c r="NE192" s="9"/>
      <c r="NF192" s="9"/>
      <c r="NG192" s="9"/>
      <c r="NH192" s="9"/>
      <c r="NI192" s="9"/>
      <c r="NJ192" s="9"/>
      <c r="NK192" s="9"/>
      <c r="NL192" s="9"/>
      <c r="NM192" s="9"/>
      <c r="NN192" s="9"/>
      <c r="NO192" s="9"/>
      <c r="NP192" s="9"/>
      <c r="NQ192" s="9"/>
      <c r="NR192" s="9"/>
      <c r="NS192" s="9"/>
      <c r="NT192" s="9"/>
      <c r="NU192" s="9"/>
      <c r="NV192" s="9"/>
      <c r="NW192" s="9"/>
      <c r="NX192" s="9"/>
      <c r="NY192" s="9"/>
      <c r="NZ192" s="9"/>
      <c r="OA192" s="9"/>
      <c r="OB192" s="9"/>
      <c r="OC192" s="9"/>
      <c r="OD192" s="9"/>
      <c r="OE192" s="9"/>
      <c r="OF192" s="9"/>
      <c r="OG192" s="9"/>
      <c r="OH192" s="9"/>
      <c r="OI192" s="9"/>
      <c r="OJ192" s="9"/>
      <c r="OK192" s="9"/>
      <c r="OL192" s="9"/>
      <c r="OM192" s="9"/>
      <c r="ON192" s="9"/>
      <c r="OO192" s="9"/>
      <c r="OP192" s="9"/>
      <c r="OQ192" s="9"/>
      <c r="OR192" s="9"/>
      <c r="OS192" s="9"/>
      <c r="OT192" s="9"/>
      <c r="OU192" s="9"/>
      <c r="OV192" s="9"/>
      <c r="OW192" s="9"/>
      <c r="OX192" s="9"/>
      <c r="OY192" s="9"/>
      <c r="OZ192" s="9"/>
      <c r="PA192" s="9"/>
      <c r="PB192" s="9"/>
      <c r="PC192" s="9"/>
      <c r="PD192" s="9"/>
      <c r="PE192" s="9"/>
      <c r="PF192" s="9"/>
      <c r="PG192" s="9"/>
      <c r="PH192" s="9"/>
      <c r="PI192" s="9"/>
      <c r="PJ192" s="9"/>
      <c r="PK192" s="9"/>
      <c r="PL192" s="9"/>
      <c r="PM192" s="9"/>
      <c r="PN192" s="9"/>
      <c r="PO192" s="9"/>
      <c r="PP192" s="9"/>
      <c r="PQ192" s="9"/>
      <c r="PR192" s="9"/>
      <c r="PS192" s="9"/>
      <c r="PT192" s="9"/>
      <c r="PU192" s="9"/>
      <c r="PV192" s="9"/>
      <c r="PW192" s="9"/>
      <c r="PX192" s="9"/>
      <c r="PY192" s="9"/>
      <c r="PZ192" s="9"/>
      <c r="QA192" s="9"/>
      <c r="QB192" s="9"/>
      <c r="QC192" s="9"/>
      <c r="QD192" s="9"/>
      <c r="QE192" s="9"/>
      <c r="QF192" s="9"/>
      <c r="QG192" s="9"/>
      <c r="QH192" s="9"/>
      <c r="QI192" s="9"/>
      <c r="QJ192" s="9"/>
      <c r="QK192" s="9"/>
      <c r="QL192" s="9"/>
      <c r="QM192" s="9"/>
      <c r="QN192" s="9"/>
      <c r="QO192" s="9"/>
      <c r="QP192" s="9"/>
      <c r="QQ192" s="67"/>
      <c r="QR192" s="68"/>
      <c r="QS192" s="63"/>
      <c r="QT192" s="71"/>
    </row>
    <row r="193" spans="1:462" s="11" customFormat="1" ht="26" x14ac:dyDescent="0.2">
      <c r="A193" s="9">
        <v>10</v>
      </c>
      <c r="B193" s="9"/>
      <c r="C193" s="9"/>
      <c r="D193" s="9" t="s">
        <v>731</v>
      </c>
      <c r="E193" s="65" t="s">
        <v>733</v>
      </c>
      <c r="F193" s="65"/>
      <c r="G193" s="92" t="s">
        <v>2436</v>
      </c>
      <c r="H193" s="66" t="s">
        <v>1700</v>
      </c>
      <c r="I193" s="9" t="s">
        <v>1098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  <c r="IW193" s="9"/>
      <c r="IX193" s="9"/>
      <c r="IY193" s="9"/>
      <c r="IZ193" s="9"/>
      <c r="JA193" s="9"/>
      <c r="JB193" s="9"/>
      <c r="JC193" s="9"/>
      <c r="JD193" s="9"/>
      <c r="JE193" s="9"/>
      <c r="JF193" s="9"/>
      <c r="JG193" s="9"/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  <c r="KK193" s="9"/>
      <c r="KL193" s="9"/>
      <c r="KM193" s="9"/>
      <c r="KN193" s="9"/>
      <c r="KO193" s="9"/>
      <c r="KP193" s="9"/>
      <c r="KQ193" s="9"/>
      <c r="KR193" s="9"/>
      <c r="KS193" s="9"/>
      <c r="KT193" s="9"/>
      <c r="KU193" s="9"/>
      <c r="KV193" s="9"/>
      <c r="KW193" s="9"/>
      <c r="KX193" s="9"/>
      <c r="KY193" s="9"/>
      <c r="KZ193" s="9"/>
      <c r="LA193" s="9"/>
      <c r="LB193" s="9"/>
      <c r="LC193" s="9"/>
      <c r="LD193" s="9"/>
      <c r="LE193" s="9"/>
      <c r="LF193" s="9"/>
      <c r="LG193" s="9"/>
      <c r="LH193" s="9"/>
      <c r="LI193" s="9"/>
      <c r="LJ193" s="9"/>
      <c r="LK193" s="9"/>
      <c r="LL193" s="9"/>
      <c r="LM193" s="9"/>
      <c r="LN193" s="9"/>
      <c r="LO193" s="9"/>
      <c r="LP193" s="9"/>
      <c r="LQ193" s="9"/>
      <c r="LR193" s="9"/>
      <c r="LS193" s="9"/>
      <c r="LT193" s="9"/>
      <c r="LU193" s="9"/>
      <c r="LV193" s="9"/>
      <c r="LW193" s="9"/>
      <c r="LX193" s="9"/>
      <c r="LY193" s="9"/>
      <c r="LZ193" s="9"/>
      <c r="MA193" s="9"/>
      <c r="MB193" s="9"/>
      <c r="MC193" s="9"/>
      <c r="MD193" s="9"/>
      <c r="ME193" s="9"/>
      <c r="MF193" s="9"/>
      <c r="MG193" s="9"/>
      <c r="MH193" s="9"/>
      <c r="MI193" s="9"/>
      <c r="MJ193" s="9"/>
      <c r="MK193" s="9"/>
      <c r="ML193" s="9"/>
      <c r="MM193" s="9"/>
      <c r="MN193" s="9"/>
      <c r="MO193" s="9"/>
      <c r="MP193" s="9"/>
      <c r="MQ193" s="9" t="s">
        <v>1098</v>
      </c>
      <c r="MR193" s="9"/>
      <c r="MS193" s="9" t="s">
        <v>1098</v>
      </c>
      <c r="MT193" s="9"/>
      <c r="MU193" s="9"/>
      <c r="MV193" s="9"/>
      <c r="MW193" s="9"/>
      <c r="MX193" s="9"/>
      <c r="MY193" s="9"/>
      <c r="MZ193" s="9"/>
      <c r="NA193" s="9"/>
      <c r="NB193" s="9"/>
      <c r="NC193" s="9"/>
      <c r="ND193" s="9"/>
      <c r="NE193" s="9"/>
      <c r="NF193" s="9"/>
      <c r="NG193" s="9"/>
      <c r="NH193" s="9"/>
      <c r="NI193" s="9"/>
      <c r="NJ193" s="9"/>
      <c r="NK193" s="9"/>
      <c r="NL193" s="9"/>
      <c r="NM193" s="9"/>
      <c r="NN193" s="9"/>
      <c r="NO193" s="9"/>
      <c r="NP193" s="9"/>
      <c r="NQ193" s="9"/>
      <c r="NR193" s="9"/>
      <c r="NS193" s="9"/>
      <c r="NT193" s="9"/>
      <c r="NU193" s="9"/>
      <c r="NV193" s="9"/>
      <c r="NW193" s="9"/>
      <c r="NX193" s="9"/>
      <c r="NY193" s="9"/>
      <c r="NZ193" s="9"/>
      <c r="OA193" s="9"/>
      <c r="OB193" s="9"/>
      <c r="OC193" s="9"/>
      <c r="OD193" s="9"/>
      <c r="OE193" s="9"/>
      <c r="OF193" s="9"/>
      <c r="OG193" s="9"/>
      <c r="OH193" s="9"/>
      <c r="OI193" s="9"/>
      <c r="OJ193" s="9"/>
      <c r="OK193" s="9"/>
      <c r="OL193" s="9"/>
      <c r="OM193" s="9"/>
      <c r="ON193" s="9"/>
      <c r="OO193" s="9"/>
      <c r="OP193" s="9"/>
      <c r="OQ193" s="9"/>
      <c r="OR193" s="9"/>
      <c r="OS193" s="9"/>
      <c r="OT193" s="9"/>
      <c r="OU193" s="9"/>
      <c r="OV193" s="9"/>
      <c r="OW193" s="9"/>
      <c r="OX193" s="9"/>
      <c r="OY193" s="9"/>
      <c r="OZ193" s="9"/>
      <c r="PA193" s="9"/>
      <c r="PB193" s="9"/>
      <c r="PC193" s="9"/>
      <c r="PD193" s="9"/>
      <c r="PE193" s="9"/>
      <c r="PF193" s="9"/>
      <c r="PG193" s="9"/>
      <c r="PH193" s="9"/>
      <c r="PI193" s="9"/>
      <c r="PJ193" s="9"/>
      <c r="PK193" s="9"/>
      <c r="PL193" s="9"/>
      <c r="PM193" s="9"/>
      <c r="PN193" s="9"/>
      <c r="PO193" s="9"/>
      <c r="PP193" s="9"/>
      <c r="PQ193" s="9"/>
      <c r="PR193" s="9"/>
      <c r="PS193" s="9"/>
      <c r="PT193" s="9"/>
      <c r="PU193" s="9"/>
      <c r="PV193" s="9"/>
      <c r="PW193" s="9"/>
      <c r="PX193" s="9"/>
      <c r="PY193" s="9"/>
      <c r="PZ193" s="9"/>
      <c r="QA193" s="9"/>
      <c r="QB193" s="9"/>
      <c r="QC193" s="9"/>
      <c r="QD193" s="9"/>
      <c r="QE193" s="9"/>
      <c r="QF193" s="9"/>
      <c r="QG193" s="9"/>
      <c r="QH193" s="9"/>
      <c r="QI193" s="9"/>
      <c r="QJ193" s="9"/>
      <c r="QK193" s="9"/>
      <c r="QL193" s="9"/>
      <c r="QM193" s="9"/>
      <c r="QN193" s="9"/>
      <c r="QO193" s="9"/>
      <c r="QP193" s="9"/>
      <c r="QQ193" s="67"/>
      <c r="QR193" s="68"/>
      <c r="QS193" s="63"/>
      <c r="QT193" s="71"/>
    </row>
    <row r="194" spans="1:462" s="11" customFormat="1" x14ac:dyDescent="0.2">
      <c r="A194" s="9">
        <v>10</v>
      </c>
      <c r="B194" s="9"/>
      <c r="C194" s="9"/>
      <c r="D194" s="9" t="s">
        <v>748</v>
      </c>
      <c r="E194" s="65" t="s">
        <v>751</v>
      </c>
      <c r="F194" s="65"/>
      <c r="G194" s="91" t="s">
        <v>2437</v>
      </c>
      <c r="H194" s="66" t="s">
        <v>1701</v>
      </c>
      <c r="I194" s="9" t="s">
        <v>1098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9"/>
      <c r="LC194" s="9"/>
      <c r="LD194" s="9"/>
      <c r="LE194" s="9"/>
      <c r="LF194" s="9"/>
      <c r="LG194" s="9"/>
      <c r="LH194" s="9"/>
      <c r="LI194" s="9"/>
      <c r="LJ194" s="9"/>
      <c r="LK194" s="9"/>
      <c r="LL194" s="9"/>
      <c r="LM194" s="9"/>
      <c r="LN194" s="9"/>
      <c r="LO194" s="9"/>
      <c r="LP194" s="9"/>
      <c r="LQ194" s="9"/>
      <c r="LR194" s="9"/>
      <c r="LS194" s="9"/>
      <c r="LT194" s="9"/>
      <c r="LU194" s="9"/>
      <c r="LV194" s="9"/>
      <c r="LW194" s="9"/>
      <c r="LX194" s="9"/>
      <c r="LY194" s="9"/>
      <c r="LZ194" s="9"/>
      <c r="MA194" s="9"/>
      <c r="MB194" s="9"/>
      <c r="MC194" s="9"/>
      <c r="MD194" s="9"/>
      <c r="ME194" s="9"/>
      <c r="MF194" s="9"/>
      <c r="MG194" s="9"/>
      <c r="MH194" s="9"/>
      <c r="MI194" s="9"/>
      <c r="MJ194" s="9"/>
      <c r="MK194" s="9"/>
      <c r="ML194" s="9"/>
      <c r="MM194" s="9"/>
      <c r="MN194" s="9"/>
      <c r="MO194" s="9"/>
      <c r="MP194" s="9"/>
      <c r="MQ194" s="9"/>
      <c r="MR194" s="9"/>
      <c r="MS194" s="9"/>
      <c r="MT194" s="9"/>
      <c r="MU194" s="9"/>
      <c r="MV194" s="9"/>
      <c r="MW194" s="9"/>
      <c r="MX194" s="9"/>
      <c r="MY194" s="9" t="s">
        <v>1098</v>
      </c>
      <c r="MZ194" s="9"/>
      <c r="NA194" s="9" t="s">
        <v>1098</v>
      </c>
      <c r="NB194" s="9"/>
      <c r="NC194" s="9"/>
      <c r="ND194" s="9"/>
      <c r="NE194" s="9"/>
      <c r="NF194" s="9"/>
      <c r="NG194" s="9"/>
      <c r="NH194" s="9"/>
      <c r="NI194" s="9"/>
      <c r="NJ194" s="9"/>
      <c r="NK194" s="9"/>
      <c r="NL194" s="9"/>
      <c r="NM194" s="9"/>
      <c r="NN194" s="9"/>
      <c r="NO194" s="9"/>
      <c r="NP194" s="9"/>
      <c r="NQ194" s="9"/>
      <c r="NR194" s="9"/>
      <c r="NS194" s="9"/>
      <c r="NT194" s="9"/>
      <c r="NU194" s="9"/>
      <c r="NV194" s="9"/>
      <c r="NW194" s="9"/>
      <c r="NX194" s="9"/>
      <c r="NY194" s="9"/>
      <c r="NZ194" s="9"/>
      <c r="OA194" s="9"/>
      <c r="OB194" s="9"/>
      <c r="OC194" s="9"/>
      <c r="OD194" s="9"/>
      <c r="OE194" s="9"/>
      <c r="OF194" s="9"/>
      <c r="OG194" s="9"/>
      <c r="OH194" s="9"/>
      <c r="OI194" s="9"/>
      <c r="OJ194" s="9"/>
      <c r="OK194" s="9"/>
      <c r="OL194" s="9"/>
      <c r="OM194" s="9"/>
      <c r="ON194" s="9"/>
      <c r="OO194" s="9"/>
      <c r="OP194" s="9"/>
      <c r="OQ194" s="9"/>
      <c r="OR194" s="9"/>
      <c r="OS194" s="9"/>
      <c r="OT194" s="9"/>
      <c r="OU194" s="9"/>
      <c r="OV194" s="9"/>
      <c r="OW194" s="9"/>
      <c r="OX194" s="9"/>
      <c r="OY194" s="9"/>
      <c r="OZ194" s="9"/>
      <c r="PA194" s="9"/>
      <c r="PB194" s="9"/>
      <c r="PC194" s="9"/>
      <c r="PD194" s="9"/>
      <c r="PE194" s="9"/>
      <c r="PF194" s="9"/>
      <c r="PG194" s="9"/>
      <c r="PH194" s="9"/>
      <c r="PI194" s="9"/>
      <c r="PJ194" s="9"/>
      <c r="PK194" s="9"/>
      <c r="PL194" s="9"/>
      <c r="PM194" s="9"/>
      <c r="PN194" s="9"/>
      <c r="PO194" s="9"/>
      <c r="PP194" s="9"/>
      <c r="PQ194" s="9"/>
      <c r="PR194" s="9"/>
      <c r="PS194" s="9"/>
      <c r="PT194" s="9"/>
      <c r="PU194" s="9"/>
      <c r="PV194" s="9"/>
      <c r="PW194" s="9"/>
      <c r="PX194" s="9"/>
      <c r="PY194" s="9"/>
      <c r="PZ194" s="9"/>
      <c r="QA194" s="9"/>
      <c r="QB194" s="9"/>
      <c r="QC194" s="9"/>
      <c r="QD194" s="9"/>
      <c r="QE194" s="9"/>
      <c r="QF194" s="9"/>
      <c r="QG194" s="9"/>
      <c r="QH194" s="9"/>
      <c r="QI194" s="9"/>
      <c r="QJ194" s="9"/>
      <c r="QK194" s="9"/>
      <c r="QL194" s="9"/>
      <c r="QM194" s="9"/>
      <c r="QN194" s="9"/>
      <c r="QO194" s="9"/>
      <c r="QP194" s="9"/>
      <c r="QQ194" s="67"/>
      <c r="QR194" s="68"/>
      <c r="QS194" s="63"/>
      <c r="QT194" s="71"/>
    </row>
    <row r="195" spans="1:462" s="11" customFormat="1" ht="26" x14ac:dyDescent="0.2">
      <c r="A195" s="9">
        <v>10</v>
      </c>
      <c r="B195" s="9"/>
      <c r="C195" s="9"/>
      <c r="D195" s="9" t="s">
        <v>750</v>
      </c>
      <c r="E195" s="65" t="s">
        <v>752</v>
      </c>
      <c r="F195" s="65"/>
      <c r="G195" s="92" t="s">
        <v>2439</v>
      </c>
      <c r="H195" s="66" t="s">
        <v>1702</v>
      </c>
      <c r="I195" s="9" t="s">
        <v>1098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  <c r="IW195" s="9"/>
      <c r="IX195" s="9"/>
      <c r="IY195" s="9"/>
      <c r="IZ195" s="9"/>
      <c r="JA195" s="9"/>
      <c r="JB195" s="9"/>
      <c r="JC195" s="9"/>
      <c r="JD195" s="9"/>
      <c r="JE195" s="9"/>
      <c r="JF195" s="9"/>
      <c r="JG195" s="9"/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  <c r="KK195" s="9"/>
      <c r="KL195" s="9"/>
      <c r="KM195" s="9"/>
      <c r="KN195" s="9"/>
      <c r="KO195" s="9"/>
      <c r="KP195" s="9"/>
      <c r="KQ195" s="9"/>
      <c r="KR195" s="9"/>
      <c r="KS195" s="9"/>
      <c r="KT195" s="9"/>
      <c r="KU195" s="9"/>
      <c r="KV195" s="9"/>
      <c r="KW195" s="9"/>
      <c r="KX195" s="9"/>
      <c r="KY195" s="9"/>
      <c r="KZ195" s="9"/>
      <c r="LA195" s="9"/>
      <c r="LB195" s="9"/>
      <c r="LC195" s="9"/>
      <c r="LD195" s="9"/>
      <c r="LE195" s="9"/>
      <c r="LF195" s="9"/>
      <c r="LG195" s="9"/>
      <c r="LH195" s="9"/>
      <c r="LI195" s="9"/>
      <c r="LJ195" s="9"/>
      <c r="LK195" s="9"/>
      <c r="LL195" s="9"/>
      <c r="LM195" s="9"/>
      <c r="LN195" s="9"/>
      <c r="LO195" s="9"/>
      <c r="LP195" s="9"/>
      <c r="LQ195" s="9"/>
      <c r="LR195" s="9"/>
      <c r="LS195" s="9"/>
      <c r="LT195" s="9"/>
      <c r="LU195" s="9"/>
      <c r="LV195" s="9"/>
      <c r="LW195" s="9"/>
      <c r="LX195" s="9"/>
      <c r="LY195" s="9"/>
      <c r="LZ195" s="9"/>
      <c r="MA195" s="9"/>
      <c r="MB195" s="9"/>
      <c r="MC195" s="9"/>
      <c r="MD195" s="9"/>
      <c r="ME195" s="9"/>
      <c r="MF195" s="9"/>
      <c r="MG195" s="9"/>
      <c r="MH195" s="9"/>
      <c r="MI195" s="9"/>
      <c r="MJ195" s="9"/>
      <c r="MK195" s="9"/>
      <c r="ML195" s="9"/>
      <c r="MM195" s="9"/>
      <c r="MN195" s="9"/>
      <c r="MO195" s="9"/>
      <c r="MP195" s="9"/>
      <c r="MQ195" s="9"/>
      <c r="MR195" s="9"/>
      <c r="MS195" s="9"/>
      <c r="MT195" s="9"/>
      <c r="MU195" s="9"/>
      <c r="MV195" s="9"/>
      <c r="MW195" s="9"/>
      <c r="MX195" s="9"/>
      <c r="MY195" s="9" t="s">
        <v>1098</v>
      </c>
      <c r="MZ195" s="9"/>
      <c r="NA195" s="9" t="s">
        <v>1098</v>
      </c>
      <c r="NB195" s="9"/>
      <c r="NC195" s="9"/>
      <c r="ND195" s="9"/>
      <c r="NE195" s="9"/>
      <c r="NF195" s="9"/>
      <c r="NG195" s="9"/>
      <c r="NH195" s="9"/>
      <c r="NI195" s="9"/>
      <c r="NJ195" s="9"/>
      <c r="NK195" s="9"/>
      <c r="NL195" s="9"/>
      <c r="NM195" s="9"/>
      <c r="NN195" s="9"/>
      <c r="NO195" s="9"/>
      <c r="NP195" s="9"/>
      <c r="NQ195" s="9"/>
      <c r="NR195" s="9"/>
      <c r="NS195" s="9"/>
      <c r="NT195" s="9"/>
      <c r="NU195" s="9"/>
      <c r="NV195" s="9"/>
      <c r="NW195" s="9"/>
      <c r="NX195" s="9"/>
      <c r="NY195" s="9"/>
      <c r="NZ195" s="9"/>
      <c r="OA195" s="9"/>
      <c r="OB195" s="9"/>
      <c r="OC195" s="9"/>
      <c r="OD195" s="9"/>
      <c r="OE195" s="9"/>
      <c r="OF195" s="9"/>
      <c r="OG195" s="9"/>
      <c r="OH195" s="9"/>
      <c r="OI195" s="9"/>
      <c r="OJ195" s="9"/>
      <c r="OK195" s="9"/>
      <c r="OL195" s="9"/>
      <c r="OM195" s="9"/>
      <c r="ON195" s="9"/>
      <c r="OO195" s="9"/>
      <c r="OP195" s="9"/>
      <c r="OQ195" s="9"/>
      <c r="OR195" s="9"/>
      <c r="OS195" s="9"/>
      <c r="OT195" s="9"/>
      <c r="OU195" s="9"/>
      <c r="OV195" s="9"/>
      <c r="OW195" s="9"/>
      <c r="OX195" s="9"/>
      <c r="OY195" s="9"/>
      <c r="OZ195" s="9"/>
      <c r="PA195" s="9"/>
      <c r="PB195" s="9"/>
      <c r="PC195" s="9"/>
      <c r="PD195" s="9"/>
      <c r="PE195" s="9"/>
      <c r="PF195" s="9"/>
      <c r="PG195" s="9"/>
      <c r="PH195" s="9"/>
      <c r="PI195" s="9"/>
      <c r="PJ195" s="9"/>
      <c r="PK195" s="9"/>
      <c r="PL195" s="9"/>
      <c r="PM195" s="9"/>
      <c r="PN195" s="9"/>
      <c r="PO195" s="9"/>
      <c r="PP195" s="9"/>
      <c r="PQ195" s="9"/>
      <c r="PR195" s="9"/>
      <c r="PS195" s="9"/>
      <c r="PT195" s="9"/>
      <c r="PU195" s="9"/>
      <c r="PV195" s="9"/>
      <c r="PW195" s="9"/>
      <c r="PX195" s="9"/>
      <c r="PY195" s="9"/>
      <c r="PZ195" s="9"/>
      <c r="QA195" s="9"/>
      <c r="QB195" s="9"/>
      <c r="QC195" s="9"/>
      <c r="QD195" s="9"/>
      <c r="QE195" s="9"/>
      <c r="QF195" s="9"/>
      <c r="QG195" s="9"/>
      <c r="QH195" s="9"/>
      <c r="QI195" s="9"/>
      <c r="QJ195" s="9"/>
      <c r="QK195" s="9"/>
      <c r="QL195" s="9"/>
      <c r="QM195" s="9"/>
      <c r="QN195" s="9"/>
      <c r="QO195" s="9"/>
      <c r="QP195" s="9"/>
      <c r="QQ195" s="67"/>
      <c r="QR195" s="68"/>
      <c r="QS195" s="63"/>
      <c r="QT195" s="71"/>
    </row>
    <row r="196" spans="1:462" s="11" customFormat="1" x14ac:dyDescent="0.2">
      <c r="A196" s="9">
        <v>10</v>
      </c>
      <c r="B196" s="9"/>
      <c r="C196" s="9"/>
      <c r="D196" s="9" t="s">
        <v>825</v>
      </c>
      <c r="E196" s="65" t="s">
        <v>827</v>
      </c>
      <c r="F196" s="65"/>
      <c r="G196" s="91" t="s">
        <v>2440</v>
      </c>
      <c r="H196" s="66" t="s">
        <v>1345</v>
      </c>
      <c r="I196" s="9" t="s">
        <v>1098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  <c r="IW196" s="9"/>
      <c r="IX196" s="9"/>
      <c r="IY196" s="9"/>
      <c r="IZ196" s="9"/>
      <c r="JA196" s="9"/>
      <c r="JB196" s="9"/>
      <c r="JC196" s="9"/>
      <c r="JD196" s="9"/>
      <c r="JE196" s="9"/>
      <c r="JF196" s="9"/>
      <c r="JG196" s="9"/>
      <c r="JH196" s="9"/>
      <c r="JI196" s="9"/>
      <c r="JJ196" s="9"/>
      <c r="JK196" s="9"/>
      <c r="JL196" s="9"/>
      <c r="JM196" s="9"/>
      <c r="JN196" s="9"/>
      <c r="JO196" s="9"/>
      <c r="JP196" s="9"/>
      <c r="JQ196" s="9"/>
      <c r="JR196" s="9"/>
      <c r="JS196" s="9"/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  <c r="KH196" s="9"/>
      <c r="KI196" s="9"/>
      <c r="KJ196" s="9"/>
      <c r="KK196" s="9"/>
      <c r="KL196" s="9"/>
      <c r="KM196" s="9"/>
      <c r="KN196" s="9"/>
      <c r="KO196" s="9"/>
      <c r="KP196" s="9"/>
      <c r="KQ196" s="9"/>
      <c r="KR196" s="9"/>
      <c r="KS196" s="9"/>
      <c r="KT196" s="9"/>
      <c r="KU196" s="9"/>
      <c r="KV196" s="9"/>
      <c r="KW196" s="9"/>
      <c r="KX196" s="9"/>
      <c r="KY196" s="9"/>
      <c r="KZ196" s="9"/>
      <c r="LA196" s="9"/>
      <c r="LB196" s="9"/>
      <c r="LC196" s="9"/>
      <c r="LD196" s="9"/>
      <c r="LE196" s="9"/>
      <c r="LF196" s="9"/>
      <c r="LG196" s="9"/>
      <c r="LH196" s="9"/>
      <c r="LI196" s="9"/>
      <c r="LJ196" s="9"/>
      <c r="LK196" s="9"/>
      <c r="LL196" s="9"/>
      <c r="LM196" s="9"/>
      <c r="LN196" s="9"/>
      <c r="LO196" s="9"/>
      <c r="LP196" s="9"/>
      <c r="LQ196" s="9"/>
      <c r="LR196" s="9"/>
      <c r="LS196" s="9"/>
      <c r="LT196" s="9"/>
      <c r="LU196" s="9"/>
      <c r="LV196" s="9"/>
      <c r="LW196" s="9"/>
      <c r="LX196" s="9"/>
      <c r="LY196" s="9"/>
      <c r="LZ196" s="9"/>
      <c r="MA196" s="9"/>
      <c r="MB196" s="9"/>
      <c r="MC196" s="9"/>
      <c r="MD196" s="9"/>
      <c r="ME196" s="9"/>
      <c r="MF196" s="9"/>
      <c r="MG196" s="9"/>
      <c r="MH196" s="9"/>
      <c r="MI196" s="9"/>
      <c r="MJ196" s="9"/>
      <c r="MK196" s="9"/>
      <c r="ML196" s="9"/>
      <c r="MM196" s="9"/>
      <c r="MN196" s="9"/>
      <c r="MO196" s="9"/>
      <c r="MP196" s="9"/>
      <c r="MQ196" s="9"/>
      <c r="MR196" s="9"/>
      <c r="MS196" s="9"/>
      <c r="MT196" s="9"/>
      <c r="MU196" s="9"/>
      <c r="MV196" s="9"/>
      <c r="MW196" s="9"/>
      <c r="MX196" s="9"/>
      <c r="MY196" s="9"/>
      <c r="MZ196" s="9"/>
      <c r="NA196" s="9"/>
      <c r="NB196" s="9"/>
      <c r="NC196" s="9"/>
      <c r="ND196" s="9"/>
      <c r="NE196" s="9"/>
      <c r="NF196" s="9"/>
      <c r="NG196" s="9" t="s">
        <v>1098</v>
      </c>
      <c r="NH196" s="9"/>
      <c r="NI196" s="9" t="s">
        <v>1098</v>
      </c>
      <c r="NJ196" s="9"/>
      <c r="NK196" s="9"/>
      <c r="NL196" s="9"/>
      <c r="NM196" s="9"/>
      <c r="NN196" s="9"/>
      <c r="NO196" s="9"/>
      <c r="NP196" s="9"/>
      <c r="NQ196" s="9"/>
      <c r="NR196" s="9"/>
      <c r="NS196" s="9"/>
      <c r="NT196" s="9"/>
      <c r="NU196" s="9"/>
      <c r="NV196" s="9"/>
      <c r="NW196" s="9"/>
      <c r="NX196" s="9"/>
      <c r="NY196" s="9"/>
      <c r="NZ196" s="9"/>
      <c r="OA196" s="9"/>
      <c r="OB196" s="9"/>
      <c r="OC196" s="9"/>
      <c r="OD196" s="9"/>
      <c r="OE196" s="9"/>
      <c r="OF196" s="9"/>
      <c r="OG196" s="9"/>
      <c r="OH196" s="9"/>
      <c r="OI196" s="9"/>
      <c r="OJ196" s="9"/>
      <c r="OK196" s="9"/>
      <c r="OL196" s="9"/>
      <c r="OM196" s="9"/>
      <c r="ON196" s="9"/>
      <c r="OO196" s="9"/>
      <c r="OP196" s="9"/>
      <c r="OQ196" s="9"/>
      <c r="OR196" s="9"/>
      <c r="OS196" s="9"/>
      <c r="OT196" s="9"/>
      <c r="OU196" s="9"/>
      <c r="OV196" s="9"/>
      <c r="OW196" s="9"/>
      <c r="OX196" s="9"/>
      <c r="OY196" s="9"/>
      <c r="OZ196" s="9"/>
      <c r="PA196" s="9"/>
      <c r="PB196" s="9"/>
      <c r="PC196" s="9"/>
      <c r="PD196" s="9"/>
      <c r="PE196" s="9"/>
      <c r="PF196" s="9"/>
      <c r="PG196" s="9"/>
      <c r="PH196" s="9"/>
      <c r="PI196" s="9"/>
      <c r="PJ196" s="9"/>
      <c r="PK196" s="9"/>
      <c r="PL196" s="9"/>
      <c r="PM196" s="9"/>
      <c r="PN196" s="9"/>
      <c r="PO196" s="9"/>
      <c r="PP196" s="9"/>
      <c r="PQ196" s="9"/>
      <c r="PR196" s="9"/>
      <c r="PS196" s="9"/>
      <c r="PT196" s="9"/>
      <c r="PU196" s="9"/>
      <c r="PV196" s="9"/>
      <c r="PW196" s="9"/>
      <c r="PX196" s="9"/>
      <c r="PY196" s="9"/>
      <c r="PZ196" s="9"/>
      <c r="QA196" s="9"/>
      <c r="QB196" s="9"/>
      <c r="QC196" s="9"/>
      <c r="QD196" s="9"/>
      <c r="QE196" s="9"/>
      <c r="QF196" s="9"/>
      <c r="QG196" s="9"/>
      <c r="QH196" s="9"/>
      <c r="QI196" s="9"/>
      <c r="QJ196" s="9"/>
      <c r="QK196" s="9"/>
      <c r="QL196" s="9"/>
      <c r="QM196" s="9"/>
      <c r="QN196" s="9"/>
      <c r="QO196" s="9"/>
      <c r="QP196" s="9"/>
      <c r="QQ196" s="67"/>
      <c r="QR196" s="68"/>
      <c r="QS196" s="63"/>
      <c r="QT196" s="71"/>
    </row>
    <row r="197" spans="1:462" s="11" customFormat="1" ht="26" x14ac:dyDescent="0.2">
      <c r="A197" s="9">
        <v>10</v>
      </c>
      <c r="B197" s="9"/>
      <c r="C197" s="9"/>
      <c r="D197" s="9" t="s">
        <v>826</v>
      </c>
      <c r="E197" s="65" t="s">
        <v>828</v>
      </c>
      <c r="F197" s="65"/>
      <c r="G197" s="92" t="s">
        <v>2442</v>
      </c>
      <c r="H197" s="66" t="s">
        <v>1703</v>
      </c>
      <c r="I197" s="9" t="s">
        <v>1098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  <c r="IW197" s="9"/>
      <c r="IX197" s="9"/>
      <c r="IY197" s="9"/>
      <c r="IZ197" s="9"/>
      <c r="JA197" s="9"/>
      <c r="JB197" s="9"/>
      <c r="JC197" s="9"/>
      <c r="JD197" s="9"/>
      <c r="JE197" s="9"/>
      <c r="JF197" s="9"/>
      <c r="JG197" s="9"/>
      <c r="JH197" s="9"/>
      <c r="JI197" s="9"/>
      <c r="JJ197" s="9"/>
      <c r="JK197" s="9"/>
      <c r="JL197" s="9"/>
      <c r="JM197" s="9"/>
      <c r="JN197" s="9"/>
      <c r="JO197" s="9"/>
      <c r="JP197" s="9"/>
      <c r="JQ197" s="9"/>
      <c r="JR197" s="9"/>
      <c r="JS197" s="9"/>
      <c r="JT197" s="9"/>
      <c r="JU197" s="9"/>
      <c r="JV197" s="9"/>
      <c r="JW197" s="9"/>
      <c r="JX197" s="9"/>
      <c r="JY197" s="9"/>
      <c r="JZ197" s="9"/>
      <c r="KA197" s="9"/>
      <c r="KB197" s="9"/>
      <c r="KC197" s="9"/>
      <c r="KD197" s="9"/>
      <c r="KE197" s="9"/>
      <c r="KF197" s="9"/>
      <c r="KG197" s="9"/>
      <c r="KH197" s="9"/>
      <c r="KI197" s="9"/>
      <c r="KJ197" s="9"/>
      <c r="KK197" s="9"/>
      <c r="KL197" s="9"/>
      <c r="KM197" s="9"/>
      <c r="KN197" s="9"/>
      <c r="KO197" s="9"/>
      <c r="KP197" s="9"/>
      <c r="KQ197" s="9"/>
      <c r="KR197" s="9"/>
      <c r="KS197" s="9"/>
      <c r="KT197" s="9"/>
      <c r="KU197" s="9"/>
      <c r="KV197" s="9"/>
      <c r="KW197" s="9"/>
      <c r="KX197" s="9"/>
      <c r="KY197" s="9"/>
      <c r="KZ197" s="9"/>
      <c r="LA197" s="9"/>
      <c r="LB197" s="9"/>
      <c r="LC197" s="9"/>
      <c r="LD197" s="9"/>
      <c r="LE197" s="9"/>
      <c r="LF197" s="9"/>
      <c r="LG197" s="9"/>
      <c r="LH197" s="9"/>
      <c r="LI197" s="9"/>
      <c r="LJ197" s="9"/>
      <c r="LK197" s="9"/>
      <c r="LL197" s="9"/>
      <c r="LM197" s="9"/>
      <c r="LN197" s="9"/>
      <c r="LO197" s="9"/>
      <c r="LP197" s="9"/>
      <c r="LQ197" s="9"/>
      <c r="LR197" s="9"/>
      <c r="LS197" s="9"/>
      <c r="LT197" s="9"/>
      <c r="LU197" s="9"/>
      <c r="LV197" s="9"/>
      <c r="LW197" s="9"/>
      <c r="LX197" s="9"/>
      <c r="LY197" s="9"/>
      <c r="LZ197" s="9"/>
      <c r="MA197" s="9"/>
      <c r="MB197" s="9"/>
      <c r="MC197" s="9"/>
      <c r="MD197" s="9"/>
      <c r="ME197" s="9"/>
      <c r="MF197" s="9"/>
      <c r="MG197" s="9"/>
      <c r="MH197" s="9"/>
      <c r="MI197" s="9"/>
      <c r="MJ197" s="9"/>
      <c r="MK197" s="9"/>
      <c r="ML197" s="9"/>
      <c r="MM197" s="9"/>
      <c r="MN197" s="9"/>
      <c r="MO197" s="9"/>
      <c r="MP197" s="9"/>
      <c r="MQ197" s="9"/>
      <c r="MR197" s="9"/>
      <c r="MS197" s="9"/>
      <c r="MT197" s="9"/>
      <c r="MU197" s="9"/>
      <c r="MV197" s="9"/>
      <c r="MW197" s="9"/>
      <c r="MX197" s="9"/>
      <c r="MY197" s="9"/>
      <c r="MZ197" s="9"/>
      <c r="NA197" s="9"/>
      <c r="NB197" s="9"/>
      <c r="NC197" s="9"/>
      <c r="ND197" s="9"/>
      <c r="NE197" s="9"/>
      <c r="NF197" s="9"/>
      <c r="NG197" s="9" t="s">
        <v>1098</v>
      </c>
      <c r="NH197" s="9"/>
      <c r="NI197" s="9" t="s">
        <v>1098</v>
      </c>
      <c r="NJ197" s="9"/>
      <c r="NK197" s="9"/>
      <c r="NL197" s="9"/>
      <c r="NM197" s="9"/>
      <c r="NN197" s="9"/>
      <c r="NO197" s="9"/>
      <c r="NP197" s="9"/>
      <c r="NQ197" s="9"/>
      <c r="NR197" s="9"/>
      <c r="NS197" s="9"/>
      <c r="NT197" s="9"/>
      <c r="NU197" s="9"/>
      <c r="NV197" s="9"/>
      <c r="NW197" s="9"/>
      <c r="NX197" s="9"/>
      <c r="NY197" s="9"/>
      <c r="NZ197" s="9"/>
      <c r="OA197" s="9"/>
      <c r="OB197" s="9"/>
      <c r="OC197" s="9"/>
      <c r="OD197" s="9"/>
      <c r="OE197" s="9"/>
      <c r="OF197" s="9"/>
      <c r="OG197" s="9"/>
      <c r="OH197" s="9"/>
      <c r="OI197" s="9"/>
      <c r="OJ197" s="9"/>
      <c r="OK197" s="9"/>
      <c r="OL197" s="9"/>
      <c r="OM197" s="9"/>
      <c r="ON197" s="9"/>
      <c r="OO197" s="9"/>
      <c r="OP197" s="9"/>
      <c r="OQ197" s="9"/>
      <c r="OR197" s="9"/>
      <c r="OS197" s="9"/>
      <c r="OT197" s="9"/>
      <c r="OU197" s="9"/>
      <c r="OV197" s="9"/>
      <c r="OW197" s="9"/>
      <c r="OX197" s="9"/>
      <c r="OY197" s="9"/>
      <c r="OZ197" s="9"/>
      <c r="PA197" s="9"/>
      <c r="PB197" s="9"/>
      <c r="PC197" s="9"/>
      <c r="PD197" s="9"/>
      <c r="PE197" s="9"/>
      <c r="PF197" s="9"/>
      <c r="PG197" s="9"/>
      <c r="PH197" s="9"/>
      <c r="PI197" s="9"/>
      <c r="PJ197" s="9"/>
      <c r="PK197" s="9"/>
      <c r="PL197" s="9"/>
      <c r="PM197" s="9"/>
      <c r="PN197" s="9"/>
      <c r="PO197" s="9"/>
      <c r="PP197" s="9"/>
      <c r="PQ197" s="9"/>
      <c r="PR197" s="9"/>
      <c r="PS197" s="9"/>
      <c r="PT197" s="9"/>
      <c r="PU197" s="9"/>
      <c r="PV197" s="9"/>
      <c r="PW197" s="9"/>
      <c r="PX197" s="9"/>
      <c r="PY197" s="9"/>
      <c r="PZ197" s="9"/>
      <c r="QA197" s="9"/>
      <c r="QB197" s="9"/>
      <c r="QC197" s="9"/>
      <c r="QD197" s="9"/>
      <c r="QE197" s="9"/>
      <c r="QF197" s="9"/>
      <c r="QG197" s="9"/>
      <c r="QH197" s="9"/>
      <c r="QI197" s="9"/>
      <c r="QJ197" s="9"/>
      <c r="QK197" s="9"/>
      <c r="QL197" s="9"/>
      <c r="QM197" s="9"/>
      <c r="QN197" s="9"/>
      <c r="QO197" s="9"/>
      <c r="QP197" s="9"/>
      <c r="QQ197" s="67"/>
      <c r="QR197" s="68"/>
      <c r="QS197" s="63"/>
      <c r="QT197" s="71"/>
    </row>
    <row r="198" spans="1:462" s="11" customFormat="1" x14ac:dyDescent="0.2">
      <c r="A198" s="83">
        <v>10</v>
      </c>
      <c r="B198" s="83"/>
      <c r="C198" s="83"/>
      <c r="D198" s="83" t="s">
        <v>2189</v>
      </c>
      <c r="E198" s="84" t="s">
        <v>496</v>
      </c>
      <c r="F198" s="84"/>
      <c r="G198" s="84" t="s">
        <v>2251</v>
      </c>
      <c r="H198" s="84" t="s">
        <v>1142</v>
      </c>
      <c r="I198" s="83" t="s">
        <v>1041</v>
      </c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Y198" s="83"/>
      <c r="BZ198" s="83"/>
      <c r="CA198" s="83"/>
      <c r="CB198" s="83"/>
      <c r="CC198" s="83"/>
      <c r="CD198" s="83"/>
      <c r="CE198" s="83"/>
      <c r="CF198" s="83"/>
      <c r="CG198" s="83"/>
      <c r="CH198" s="83"/>
      <c r="CI198" s="83"/>
      <c r="CJ198" s="83"/>
      <c r="CK198" s="83"/>
      <c r="CL198" s="83"/>
      <c r="CM198" s="83"/>
      <c r="CN198" s="83"/>
      <c r="CO198" s="83"/>
      <c r="CP198" s="83"/>
      <c r="CQ198" s="83"/>
      <c r="CR198" s="83"/>
      <c r="CS198" s="83"/>
      <c r="CT198" s="83"/>
      <c r="CU198" s="83"/>
      <c r="CV198" s="83"/>
      <c r="CW198" s="83"/>
      <c r="CX198" s="83"/>
      <c r="CY198" s="83"/>
      <c r="CZ198" s="83"/>
      <c r="DA198" s="83"/>
      <c r="DB198" s="83"/>
      <c r="DC198" s="83"/>
      <c r="DD198" s="83"/>
      <c r="DE198" s="83"/>
      <c r="DF198" s="83"/>
      <c r="DG198" s="83"/>
      <c r="DH198" s="83"/>
      <c r="DI198" s="83"/>
      <c r="DJ198" s="83"/>
      <c r="DK198" s="83"/>
      <c r="DL198" s="83"/>
      <c r="DM198" s="83"/>
      <c r="DN198" s="83"/>
      <c r="DO198" s="83"/>
      <c r="DP198" s="83"/>
      <c r="DQ198" s="83"/>
      <c r="DR198" s="83"/>
      <c r="DS198" s="83"/>
      <c r="DT198" s="83"/>
      <c r="DU198" s="83"/>
      <c r="DV198" s="83"/>
      <c r="DW198" s="83"/>
      <c r="DX198" s="83"/>
      <c r="DY198" s="83"/>
      <c r="DZ198" s="83"/>
      <c r="EA198" s="83"/>
      <c r="EB198" s="83"/>
      <c r="EC198" s="83"/>
      <c r="ED198" s="83"/>
      <c r="EE198" s="83"/>
      <c r="EF198" s="83"/>
      <c r="EG198" s="83"/>
      <c r="EH198" s="83"/>
      <c r="EI198" s="83"/>
      <c r="EJ198" s="83"/>
      <c r="EK198" s="83"/>
      <c r="EL198" s="83"/>
      <c r="EM198" s="83"/>
      <c r="EN198" s="83"/>
      <c r="EO198" s="83"/>
      <c r="EP198" s="83"/>
      <c r="EQ198" s="83"/>
      <c r="ER198" s="83"/>
      <c r="ES198" s="83"/>
      <c r="ET198" s="83"/>
      <c r="EU198" s="83"/>
      <c r="EV198" s="83"/>
      <c r="EW198" s="83"/>
      <c r="EX198" s="83"/>
      <c r="EY198" s="83"/>
      <c r="EZ198" s="83"/>
      <c r="FA198" s="83"/>
      <c r="FB198" s="83"/>
      <c r="FC198" s="83"/>
      <c r="FD198" s="83"/>
      <c r="FE198" s="83"/>
      <c r="FF198" s="83"/>
      <c r="FG198" s="83"/>
      <c r="FH198" s="83"/>
      <c r="FI198" s="83"/>
      <c r="FJ198" s="83"/>
      <c r="FK198" s="83"/>
      <c r="FL198" s="83"/>
      <c r="FM198" s="83"/>
      <c r="FN198" s="83"/>
      <c r="FO198" s="83"/>
      <c r="FP198" s="83"/>
      <c r="FQ198" s="83"/>
      <c r="FR198" s="83"/>
      <c r="FS198" s="83"/>
      <c r="FT198" s="83"/>
      <c r="FU198" s="83"/>
      <c r="FV198" s="83"/>
      <c r="FW198" s="83"/>
      <c r="FX198" s="83"/>
      <c r="FY198" s="83"/>
      <c r="FZ198" s="83"/>
      <c r="GA198" s="83"/>
      <c r="GB198" s="83"/>
      <c r="GC198" s="83"/>
      <c r="GD198" s="83"/>
      <c r="GE198" s="83"/>
      <c r="GF198" s="83"/>
      <c r="GG198" s="83"/>
      <c r="GH198" s="83"/>
      <c r="GI198" s="83"/>
      <c r="GJ198" s="83"/>
      <c r="GK198" s="83"/>
      <c r="GL198" s="83"/>
      <c r="GM198" s="83"/>
      <c r="GN198" s="83"/>
      <c r="GO198" s="83"/>
      <c r="GP198" s="83"/>
      <c r="GQ198" s="83"/>
      <c r="GR198" s="83"/>
      <c r="GS198" s="83"/>
      <c r="GT198" s="83"/>
      <c r="GU198" s="83"/>
      <c r="GV198" s="83"/>
      <c r="GW198" s="83"/>
      <c r="GX198" s="83"/>
      <c r="GY198" s="83"/>
      <c r="GZ198" s="83"/>
      <c r="HA198" s="83"/>
      <c r="HB198" s="83"/>
      <c r="HC198" s="83"/>
      <c r="HD198" s="83"/>
      <c r="HE198" s="83"/>
      <c r="HF198" s="83"/>
      <c r="HG198" s="83"/>
      <c r="HH198" s="83"/>
      <c r="HI198" s="83"/>
      <c r="HJ198" s="83"/>
      <c r="HK198" s="83"/>
      <c r="HL198" s="83"/>
      <c r="HM198" s="83"/>
      <c r="HN198" s="83"/>
      <c r="HO198" s="83"/>
      <c r="HP198" s="83"/>
      <c r="HQ198" s="83"/>
      <c r="HR198" s="83"/>
      <c r="HS198" s="83"/>
      <c r="HT198" s="83"/>
      <c r="HU198" s="83"/>
      <c r="HV198" s="83"/>
      <c r="HW198" s="83"/>
      <c r="HX198" s="83"/>
      <c r="HY198" s="83"/>
      <c r="HZ198" s="83"/>
      <c r="IA198" s="83"/>
      <c r="IB198" s="83"/>
      <c r="IC198" s="83"/>
      <c r="ID198" s="83"/>
      <c r="IE198" s="83"/>
      <c r="IF198" s="83"/>
      <c r="IG198" s="83"/>
      <c r="IH198" s="83"/>
      <c r="II198" s="83"/>
      <c r="IJ198" s="83"/>
      <c r="IK198" s="83"/>
      <c r="IL198" s="83"/>
      <c r="IM198" s="83"/>
      <c r="IN198" s="83"/>
      <c r="IO198" s="83"/>
      <c r="IP198" s="83"/>
      <c r="IQ198" s="83"/>
      <c r="IR198" s="83"/>
      <c r="IS198" s="83"/>
      <c r="IT198" s="83"/>
      <c r="IU198" s="83"/>
      <c r="IV198" s="83"/>
      <c r="IW198" s="83"/>
      <c r="IX198" s="83"/>
      <c r="IY198" s="83"/>
      <c r="IZ198" s="83"/>
      <c r="JA198" s="83"/>
      <c r="JB198" s="83"/>
      <c r="JC198" s="83"/>
      <c r="JD198" s="83"/>
      <c r="JE198" s="83"/>
      <c r="JF198" s="83"/>
      <c r="JG198" s="83"/>
      <c r="JH198" s="83"/>
      <c r="JI198" s="83"/>
      <c r="JJ198" s="83"/>
      <c r="JK198" s="83"/>
      <c r="JL198" s="83"/>
      <c r="JM198" s="83"/>
      <c r="JN198" s="83"/>
      <c r="JO198" s="83"/>
      <c r="JP198" s="83"/>
      <c r="JQ198" s="83"/>
      <c r="JR198" s="83"/>
      <c r="JS198" s="83"/>
      <c r="JT198" s="83"/>
      <c r="JU198" s="83"/>
      <c r="JV198" s="83"/>
      <c r="JW198" s="83"/>
      <c r="JX198" s="83"/>
      <c r="JY198" s="83"/>
      <c r="JZ198" s="83"/>
      <c r="KA198" s="83"/>
      <c r="KB198" s="83"/>
      <c r="KC198" s="83"/>
      <c r="KD198" s="83"/>
      <c r="KE198" s="83"/>
      <c r="KF198" s="83"/>
      <c r="KG198" s="83"/>
      <c r="KH198" s="83"/>
      <c r="KI198" s="83"/>
      <c r="KJ198" s="83"/>
      <c r="KK198" s="83"/>
      <c r="KL198" s="83"/>
      <c r="KM198" s="83"/>
      <c r="KN198" s="83"/>
      <c r="KO198" s="83"/>
      <c r="KP198" s="83"/>
      <c r="KQ198" s="83"/>
      <c r="KR198" s="83"/>
      <c r="KS198" s="83"/>
      <c r="KT198" s="83"/>
      <c r="KU198" s="83"/>
      <c r="KV198" s="83"/>
      <c r="KW198" s="83"/>
      <c r="KX198" s="83"/>
      <c r="KY198" s="83"/>
      <c r="KZ198" s="83"/>
      <c r="LA198" s="83"/>
      <c r="LB198" s="83"/>
      <c r="LC198" s="83"/>
      <c r="LD198" s="83"/>
      <c r="LE198" s="83"/>
      <c r="LF198" s="83"/>
      <c r="LG198" s="83"/>
      <c r="LH198" s="83"/>
      <c r="LI198" s="83"/>
      <c r="LJ198" s="83"/>
      <c r="LK198" s="83"/>
      <c r="LL198" s="83"/>
      <c r="LM198" s="83"/>
      <c r="LN198" s="83"/>
      <c r="LO198" s="83"/>
      <c r="LP198" s="83"/>
      <c r="LQ198" s="83"/>
      <c r="LR198" s="83"/>
      <c r="LS198" s="83"/>
      <c r="LT198" s="83"/>
      <c r="LU198" s="83"/>
      <c r="LV198" s="83"/>
      <c r="LW198" s="83"/>
      <c r="LX198" s="83"/>
      <c r="LY198" s="83"/>
      <c r="LZ198" s="83"/>
      <c r="MA198" s="83"/>
      <c r="MB198" s="83"/>
      <c r="MC198" s="83"/>
      <c r="MD198" s="83"/>
      <c r="ME198" s="83"/>
      <c r="MF198" s="83"/>
      <c r="MG198" s="83"/>
      <c r="MH198" s="83"/>
      <c r="MI198" s="83"/>
      <c r="MJ198" s="83"/>
      <c r="MK198" s="83"/>
      <c r="ML198" s="83"/>
      <c r="MM198" s="83"/>
      <c r="MN198" s="83"/>
      <c r="MO198" s="83"/>
      <c r="MP198" s="83"/>
      <c r="MQ198" s="83"/>
      <c r="MR198" s="83"/>
      <c r="MS198" s="83"/>
      <c r="MT198" s="83"/>
      <c r="MU198" s="83"/>
      <c r="MV198" s="83"/>
      <c r="MW198" s="83"/>
      <c r="MX198" s="83"/>
      <c r="MY198" s="83"/>
      <c r="MZ198" s="83"/>
      <c r="NA198" s="83"/>
      <c r="NB198" s="83"/>
      <c r="NC198" s="83"/>
      <c r="ND198" s="83"/>
      <c r="NE198" s="83"/>
      <c r="NF198" s="83"/>
      <c r="NG198" s="83" t="s">
        <v>97</v>
      </c>
      <c r="NH198" s="83"/>
      <c r="NI198" s="83" t="s">
        <v>97</v>
      </c>
      <c r="NJ198" s="83"/>
      <c r="NK198" s="83"/>
      <c r="NL198" s="83"/>
      <c r="NM198" s="83"/>
      <c r="NN198" s="83"/>
      <c r="NO198" s="83"/>
      <c r="NP198" s="83"/>
      <c r="NQ198" s="83"/>
      <c r="NR198" s="83"/>
      <c r="NS198" s="83"/>
      <c r="NT198" s="83"/>
      <c r="NU198" s="83"/>
      <c r="NV198" s="83"/>
      <c r="NW198" s="83"/>
      <c r="NX198" s="83"/>
      <c r="NY198" s="83"/>
      <c r="NZ198" s="83"/>
      <c r="OA198" s="83"/>
      <c r="OB198" s="83"/>
      <c r="OC198" s="83"/>
      <c r="OD198" s="83"/>
      <c r="OE198" s="83"/>
      <c r="OF198" s="83"/>
      <c r="OG198" s="83"/>
      <c r="OH198" s="83"/>
      <c r="OI198" s="83"/>
      <c r="OJ198" s="83"/>
      <c r="OK198" s="83"/>
      <c r="OL198" s="83"/>
      <c r="OM198" s="83"/>
      <c r="ON198" s="83"/>
      <c r="OO198" s="83"/>
      <c r="OP198" s="83"/>
      <c r="OQ198" s="83"/>
      <c r="OR198" s="83"/>
      <c r="OS198" s="83"/>
      <c r="OT198" s="83"/>
      <c r="OU198" s="83"/>
      <c r="OV198" s="83"/>
      <c r="OW198" s="83"/>
      <c r="OX198" s="83"/>
      <c r="OY198" s="83"/>
      <c r="OZ198" s="83"/>
      <c r="PA198" s="83"/>
      <c r="PB198" s="83"/>
      <c r="PC198" s="83"/>
      <c r="PD198" s="83"/>
      <c r="PE198" s="83"/>
      <c r="PF198" s="83"/>
      <c r="PG198" s="83"/>
      <c r="PH198" s="83"/>
      <c r="PI198" s="83"/>
      <c r="PJ198" s="83"/>
      <c r="PK198" s="83"/>
      <c r="PL198" s="83"/>
      <c r="PM198" s="83"/>
      <c r="PN198" s="83"/>
      <c r="PO198" s="83"/>
      <c r="PP198" s="83"/>
      <c r="PQ198" s="83"/>
      <c r="PR198" s="83"/>
      <c r="PS198" s="83"/>
      <c r="PT198" s="83"/>
      <c r="PU198" s="83"/>
      <c r="PV198" s="83"/>
      <c r="PW198" s="83"/>
      <c r="PX198" s="83"/>
      <c r="PY198" s="83"/>
      <c r="PZ198" s="83"/>
      <c r="QA198" s="83"/>
      <c r="QB198" s="83"/>
      <c r="QC198" s="83"/>
      <c r="QD198" s="83"/>
      <c r="QE198" s="83"/>
      <c r="QF198" s="83"/>
      <c r="QG198" s="83"/>
      <c r="QH198" s="83"/>
      <c r="QI198" s="83"/>
      <c r="QJ198" s="83"/>
      <c r="QK198" s="83"/>
      <c r="QL198" s="83"/>
      <c r="QM198" s="83"/>
      <c r="QN198" s="83"/>
      <c r="QO198" s="83"/>
      <c r="QP198" s="83"/>
      <c r="QQ198" s="85"/>
      <c r="QR198" s="86"/>
      <c r="QS198" s="87"/>
      <c r="QT198" s="88"/>
    </row>
    <row r="199" spans="1:462" s="11" customFormat="1" x14ac:dyDescent="0.2">
      <c r="A199" s="9">
        <v>10</v>
      </c>
      <c r="B199" s="9"/>
      <c r="C199" s="9"/>
      <c r="D199" s="9" t="s">
        <v>771</v>
      </c>
      <c r="E199" s="65" t="s">
        <v>788</v>
      </c>
      <c r="F199" s="65"/>
      <c r="G199" s="91" t="s">
        <v>2443</v>
      </c>
      <c r="H199" s="66" t="s">
        <v>1704</v>
      </c>
      <c r="I199" s="9" t="s">
        <v>1098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  <c r="HE199" s="9"/>
      <c r="HF199" s="9"/>
      <c r="HG199" s="9"/>
      <c r="HH199" s="9"/>
      <c r="HI199" s="9"/>
      <c r="HJ199" s="9"/>
      <c r="HK199" s="9"/>
      <c r="HL199" s="9"/>
      <c r="HM199" s="9"/>
      <c r="HN199" s="9"/>
      <c r="HO199" s="9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9"/>
      <c r="IB199" s="9"/>
      <c r="IC199" s="9"/>
      <c r="ID199" s="9"/>
      <c r="IE199" s="9"/>
      <c r="IF199" s="9"/>
      <c r="IG199" s="9"/>
      <c r="IH199" s="9"/>
      <c r="II199" s="9"/>
      <c r="IJ199" s="9"/>
      <c r="IK199" s="9"/>
      <c r="IL199" s="9"/>
      <c r="IM199" s="9"/>
      <c r="IN199" s="9"/>
      <c r="IO199" s="9"/>
      <c r="IP199" s="9"/>
      <c r="IQ199" s="9"/>
      <c r="IR199" s="9"/>
      <c r="IS199" s="9"/>
      <c r="IT199" s="9"/>
      <c r="IU199" s="9"/>
      <c r="IV199" s="9"/>
      <c r="IW199" s="9"/>
      <c r="IX199" s="9"/>
      <c r="IY199" s="9"/>
      <c r="IZ199" s="9"/>
      <c r="JA199" s="9"/>
      <c r="JB199" s="9"/>
      <c r="JC199" s="9"/>
      <c r="JD199" s="9"/>
      <c r="JE199" s="9"/>
      <c r="JF199" s="9"/>
      <c r="JG199" s="9"/>
      <c r="JH199" s="9"/>
      <c r="JI199" s="9"/>
      <c r="JJ199" s="9"/>
      <c r="JK199" s="9"/>
      <c r="JL199" s="9"/>
      <c r="JM199" s="9"/>
      <c r="JN199" s="9"/>
      <c r="JO199" s="9"/>
      <c r="JP199" s="9"/>
      <c r="JQ199" s="9"/>
      <c r="JR199" s="9"/>
      <c r="JS199" s="9"/>
      <c r="JT199" s="9"/>
      <c r="JU199" s="9"/>
      <c r="JV199" s="9"/>
      <c r="JW199" s="9"/>
      <c r="JX199" s="9"/>
      <c r="JY199" s="9"/>
      <c r="JZ199" s="9"/>
      <c r="KA199" s="9"/>
      <c r="KB199" s="9"/>
      <c r="KC199" s="9"/>
      <c r="KD199" s="9"/>
      <c r="KE199" s="9"/>
      <c r="KF199" s="9"/>
      <c r="KG199" s="9"/>
      <c r="KH199" s="9"/>
      <c r="KI199" s="9"/>
      <c r="KJ199" s="9"/>
      <c r="KK199" s="9"/>
      <c r="KL199" s="9"/>
      <c r="KM199" s="9"/>
      <c r="KN199" s="9"/>
      <c r="KO199" s="9"/>
      <c r="KP199" s="9"/>
      <c r="KQ199" s="9"/>
      <c r="KR199" s="9"/>
      <c r="KS199" s="9"/>
      <c r="KT199" s="9"/>
      <c r="KU199" s="9"/>
      <c r="KV199" s="9"/>
      <c r="KW199" s="9"/>
      <c r="KX199" s="9"/>
      <c r="KY199" s="9"/>
      <c r="KZ199" s="9"/>
      <c r="LA199" s="9"/>
      <c r="LB199" s="9"/>
      <c r="LC199" s="9"/>
      <c r="LD199" s="9"/>
      <c r="LE199" s="9"/>
      <c r="LF199" s="9"/>
      <c r="LG199" s="9"/>
      <c r="LH199" s="9"/>
      <c r="LI199" s="9"/>
      <c r="LJ199" s="9"/>
      <c r="LK199" s="9"/>
      <c r="LL199" s="9"/>
      <c r="LM199" s="9"/>
      <c r="LN199" s="9"/>
      <c r="LO199" s="9"/>
      <c r="LP199" s="9"/>
      <c r="LQ199" s="9"/>
      <c r="LR199" s="9"/>
      <c r="LS199" s="9"/>
      <c r="LT199" s="9"/>
      <c r="LU199" s="9"/>
      <c r="LV199" s="9"/>
      <c r="LW199" s="9"/>
      <c r="LX199" s="9"/>
      <c r="LY199" s="9"/>
      <c r="LZ199" s="9"/>
      <c r="MA199" s="9"/>
      <c r="MB199" s="9"/>
      <c r="MC199" s="9"/>
      <c r="MD199" s="9"/>
      <c r="ME199" s="9"/>
      <c r="MF199" s="9"/>
      <c r="MG199" s="9"/>
      <c r="MH199" s="9"/>
      <c r="MI199" s="9"/>
      <c r="MJ199" s="9"/>
      <c r="MK199" s="9"/>
      <c r="ML199" s="9"/>
      <c r="MM199" s="9"/>
      <c r="MN199" s="9"/>
      <c r="MO199" s="9"/>
      <c r="MP199" s="9"/>
      <c r="MQ199" s="9"/>
      <c r="MR199" s="9"/>
      <c r="MS199" s="9"/>
      <c r="MT199" s="9"/>
      <c r="MU199" s="9"/>
      <c r="MV199" s="9"/>
      <c r="MW199" s="9"/>
      <c r="MX199" s="9"/>
      <c r="MY199" s="9"/>
      <c r="MZ199" s="9"/>
      <c r="NA199" s="9"/>
      <c r="NB199" s="9"/>
      <c r="NC199" s="9"/>
      <c r="ND199" s="9"/>
      <c r="NE199" s="9"/>
      <c r="NF199" s="9"/>
      <c r="NG199" s="9"/>
      <c r="NH199" s="9"/>
      <c r="NI199" s="9"/>
      <c r="NJ199" s="9"/>
      <c r="NK199" s="9"/>
      <c r="NL199" s="9"/>
      <c r="NM199" s="9"/>
      <c r="NN199" s="9"/>
      <c r="NO199" s="9" t="s">
        <v>1098</v>
      </c>
      <c r="NP199" s="9"/>
      <c r="NQ199" s="9" t="s">
        <v>1098</v>
      </c>
      <c r="NR199" s="9"/>
      <c r="NS199" s="9"/>
      <c r="NT199" s="9"/>
      <c r="NU199" s="9"/>
      <c r="NV199" s="9"/>
      <c r="NW199" s="9"/>
      <c r="NX199" s="9"/>
      <c r="NY199" s="9"/>
      <c r="NZ199" s="9"/>
      <c r="OA199" s="9"/>
      <c r="OB199" s="9"/>
      <c r="OC199" s="9"/>
      <c r="OD199" s="9"/>
      <c r="OE199" s="9"/>
      <c r="OF199" s="9"/>
      <c r="OG199" s="9"/>
      <c r="OH199" s="9"/>
      <c r="OI199" s="9"/>
      <c r="OJ199" s="9"/>
      <c r="OK199" s="9"/>
      <c r="OL199" s="9"/>
      <c r="OM199" s="9"/>
      <c r="ON199" s="9"/>
      <c r="OO199" s="9"/>
      <c r="OP199" s="9"/>
      <c r="OQ199" s="9"/>
      <c r="OR199" s="9"/>
      <c r="OS199" s="9"/>
      <c r="OT199" s="9"/>
      <c r="OU199" s="9"/>
      <c r="OV199" s="9"/>
      <c r="OW199" s="9"/>
      <c r="OX199" s="9"/>
      <c r="OY199" s="9"/>
      <c r="OZ199" s="9"/>
      <c r="PA199" s="9"/>
      <c r="PB199" s="9"/>
      <c r="PC199" s="9"/>
      <c r="PD199" s="9"/>
      <c r="PE199" s="9"/>
      <c r="PF199" s="9"/>
      <c r="PG199" s="9"/>
      <c r="PH199" s="9"/>
      <c r="PI199" s="9"/>
      <c r="PJ199" s="9"/>
      <c r="PK199" s="9"/>
      <c r="PL199" s="9"/>
      <c r="PM199" s="9"/>
      <c r="PN199" s="9"/>
      <c r="PO199" s="9"/>
      <c r="PP199" s="9"/>
      <c r="PQ199" s="9"/>
      <c r="PR199" s="9"/>
      <c r="PS199" s="9"/>
      <c r="PT199" s="9"/>
      <c r="PU199" s="9"/>
      <c r="PV199" s="9"/>
      <c r="PW199" s="9"/>
      <c r="PX199" s="9"/>
      <c r="PY199" s="9"/>
      <c r="PZ199" s="9"/>
      <c r="QA199" s="9"/>
      <c r="QB199" s="9"/>
      <c r="QC199" s="9"/>
      <c r="QD199" s="9"/>
      <c r="QE199" s="9"/>
      <c r="QF199" s="9"/>
      <c r="QG199" s="9"/>
      <c r="QH199" s="9"/>
      <c r="QI199" s="9"/>
      <c r="QJ199" s="9"/>
      <c r="QK199" s="9"/>
      <c r="QL199" s="9"/>
      <c r="QM199" s="9"/>
      <c r="QN199" s="9"/>
      <c r="QO199" s="9"/>
      <c r="QP199" s="9"/>
      <c r="QQ199" s="67"/>
      <c r="QR199" s="68"/>
      <c r="QS199" s="63"/>
      <c r="QT199" s="71"/>
    </row>
    <row r="200" spans="1:462" s="11" customFormat="1" x14ac:dyDescent="0.2">
      <c r="A200" s="9">
        <v>10</v>
      </c>
      <c r="B200" s="9"/>
      <c r="C200" s="9"/>
      <c r="D200" s="9" t="s">
        <v>773</v>
      </c>
      <c r="E200" s="65" t="s">
        <v>789</v>
      </c>
      <c r="F200" s="65"/>
      <c r="G200" s="92" t="s">
        <v>2445</v>
      </c>
      <c r="H200" s="66" t="s">
        <v>1705</v>
      </c>
      <c r="I200" s="9" t="s">
        <v>1098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  <c r="II200" s="9"/>
      <c r="IJ200" s="9"/>
      <c r="IK200" s="9"/>
      <c r="IL200" s="9"/>
      <c r="IM200" s="9"/>
      <c r="IN200" s="9"/>
      <c r="IO200" s="9"/>
      <c r="IP200" s="9"/>
      <c r="IQ200" s="9"/>
      <c r="IR200" s="9"/>
      <c r="IS200" s="9"/>
      <c r="IT200" s="9"/>
      <c r="IU200" s="9"/>
      <c r="IV200" s="9"/>
      <c r="IW200" s="9"/>
      <c r="IX200" s="9"/>
      <c r="IY200" s="9"/>
      <c r="IZ200" s="9"/>
      <c r="JA200" s="9"/>
      <c r="JB200" s="9"/>
      <c r="JC200" s="9"/>
      <c r="JD200" s="9"/>
      <c r="JE200" s="9"/>
      <c r="JF200" s="9"/>
      <c r="JG200" s="9"/>
      <c r="JH200" s="9"/>
      <c r="JI200" s="9"/>
      <c r="JJ200" s="9"/>
      <c r="JK200" s="9"/>
      <c r="JL200" s="9"/>
      <c r="JM200" s="9"/>
      <c r="JN200" s="9"/>
      <c r="JO200" s="9"/>
      <c r="JP200" s="9"/>
      <c r="JQ200" s="9"/>
      <c r="JR200" s="9"/>
      <c r="JS200" s="9"/>
      <c r="JT200" s="9"/>
      <c r="JU200" s="9"/>
      <c r="JV200" s="9"/>
      <c r="JW200" s="9"/>
      <c r="JX200" s="9"/>
      <c r="JY200" s="9"/>
      <c r="JZ200" s="9"/>
      <c r="KA200" s="9"/>
      <c r="KB200" s="9"/>
      <c r="KC200" s="9"/>
      <c r="KD200" s="9"/>
      <c r="KE200" s="9"/>
      <c r="KF200" s="9"/>
      <c r="KG200" s="9"/>
      <c r="KH200" s="9"/>
      <c r="KI200" s="9"/>
      <c r="KJ200" s="9"/>
      <c r="KK200" s="9"/>
      <c r="KL200" s="9"/>
      <c r="KM200" s="9"/>
      <c r="KN200" s="9"/>
      <c r="KO200" s="9"/>
      <c r="KP200" s="9"/>
      <c r="KQ200" s="9"/>
      <c r="KR200" s="9"/>
      <c r="KS200" s="9"/>
      <c r="KT200" s="9"/>
      <c r="KU200" s="9"/>
      <c r="KV200" s="9"/>
      <c r="KW200" s="9"/>
      <c r="KX200" s="9"/>
      <c r="KY200" s="9"/>
      <c r="KZ200" s="9"/>
      <c r="LA200" s="9"/>
      <c r="LB200" s="9"/>
      <c r="LC200" s="9"/>
      <c r="LD200" s="9"/>
      <c r="LE200" s="9"/>
      <c r="LF200" s="9"/>
      <c r="LG200" s="9"/>
      <c r="LH200" s="9"/>
      <c r="LI200" s="9"/>
      <c r="LJ200" s="9"/>
      <c r="LK200" s="9"/>
      <c r="LL200" s="9"/>
      <c r="LM200" s="9"/>
      <c r="LN200" s="9"/>
      <c r="LO200" s="9"/>
      <c r="LP200" s="9"/>
      <c r="LQ200" s="9"/>
      <c r="LR200" s="9"/>
      <c r="LS200" s="9"/>
      <c r="LT200" s="9"/>
      <c r="LU200" s="9"/>
      <c r="LV200" s="9"/>
      <c r="LW200" s="9"/>
      <c r="LX200" s="9"/>
      <c r="LY200" s="9"/>
      <c r="LZ200" s="9"/>
      <c r="MA200" s="9"/>
      <c r="MB200" s="9"/>
      <c r="MC200" s="9"/>
      <c r="MD200" s="9"/>
      <c r="ME200" s="9"/>
      <c r="MF200" s="9"/>
      <c r="MG200" s="9"/>
      <c r="MH200" s="9"/>
      <c r="MI200" s="9"/>
      <c r="MJ200" s="9"/>
      <c r="MK200" s="9"/>
      <c r="ML200" s="9"/>
      <c r="MM200" s="9"/>
      <c r="MN200" s="9"/>
      <c r="MO200" s="9"/>
      <c r="MP200" s="9"/>
      <c r="MQ200" s="9"/>
      <c r="MR200" s="9"/>
      <c r="MS200" s="9"/>
      <c r="MT200" s="9"/>
      <c r="MU200" s="9"/>
      <c r="MV200" s="9"/>
      <c r="MW200" s="9"/>
      <c r="MX200" s="9"/>
      <c r="MY200" s="9"/>
      <c r="MZ200" s="9"/>
      <c r="NA200" s="9"/>
      <c r="NB200" s="9"/>
      <c r="NC200" s="9"/>
      <c r="ND200" s="9"/>
      <c r="NE200" s="9"/>
      <c r="NF200" s="9"/>
      <c r="NG200" s="9"/>
      <c r="NH200" s="9"/>
      <c r="NI200" s="9"/>
      <c r="NJ200" s="9"/>
      <c r="NK200" s="9"/>
      <c r="NL200" s="9"/>
      <c r="NM200" s="9"/>
      <c r="NN200" s="9"/>
      <c r="NO200" s="9" t="s">
        <v>1098</v>
      </c>
      <c r="NP200" s="9"/>
      <c r="NQ200" s="9" t="s">
        <v>1098</v>
      </c>
      <c r="NR200" s="9"/>
      <c r="NS200" s="9"/>
      <c r="NT200" s="9"/>
      <c r="NU200" s="9"/>
      <c r="NV200" s="9"/>
      <c r="NW200" s="9"/>
      <c r="NX200" s="9"/>
      <c r="NY200" s="9"/>
      <c r="NZ200" s="9"/>
      <c r="OA200" s="9"/>
      <c r="OB200" s="9"/>
      <c r="OC200" s="9"/>
      <c r="OD200" s="9"/>
      <c r="OE200" s="9"/>
      <c r="OF200" s="9"/>
      <c r="OG200" s="9"/>
      <c r="OH200" s="9"/>
      <c r="OI200" s="9"/>
      <c r="OJ200" s="9"/>
      <c r="OK200" s="9"/>
      <c r="OL200" s="9"/>
      <c r="OM200" s="9"/>
      <c r="ON200" s="9"/>
      <c r="OO200" s="9"/>
      <c r="OP200" s="9"/>
      <c r="OQ200" s="9"/>
      <c r="OR200" s="9"/>
      <c r="OS200" s="9"/>
      <c r="OT200" s="9"/>
      <c r="OU200" s="9"/>
      <c r="OV200" s="9"/>
      <c r="OW200" s="9"/>
      <c r="OX200" s="9"/>
      <c r="OY200" s="9"/>
      <c r="OZ200" s="9"/>
      <c r="PA200" s="9"/>
      <c r="PB200" s="9"/>
      <c r="PC200" s="9"/>
      <c r="PD200" s="9"/>
      <c r="PE200" s="9"/>
      <c r="PF200" s="9"/>
      <c r="PG200" s="9"/>
      <c r="PH200" s="9"/>
      <c r="PI200" s="9"/>
      <c r="PJ200" s="9"/>
      <c r="PK200" s="9"/>
      <c r="PL200" s="9"/>
      <c r="PM200" s="9"/>
      <c r="PN200" s="9"/>
      <c r="PO200" s="9"/>
      <c r="PP200" s="9"/>
      <c r="PQ200" s="9"/>
      <c r="PR200" s="9"/>
      <c r="PS200" s="9"/>
      <c r="PT200" s="9"/>
      <c r="PU200" s="9"/>
      <c r="PV200" s="9"/>
      <c r="PW200" s="9"/>
      <c r="PX200" s="9"/>
      <c r="PY200" s="9"/>
      <c r="PZ200" s="9"/>
      <c r="QA200" s="9"/>
      <c r="QB200" s="9"/>
      <c r="QC200" s="9"/>
      <c r="QD200" s="9"/>
      <c r="QE200" s="9"/>
      <c r="QF200" s="9"/>
      <c r="QG200" s="9"/>
      <c r="QH200" s="9"/>
      <c r="QI200" s="9"/>
      <c r="QJ200" s="9"/>
      <c r="QK200" s="9"/>
      <c r="QL200" s="9"/>
      <c r="QM200" s="9"/>
      <c r="QN200" s="9"/>
      <c r="QO200" s="9"/>
      <c r="QP200" s="9"/>
      <c r="QQ200" s="67"/>
      <c r="QR200" s="68"/>
      <c r="QS200" s="63"/>
      <c r="QT200" s="71"/>
    </row>
    <row r="201" spans="1:462" s="11" customFormat="1" x14ac:dyDescent="0.2">
      <c r="A201" s="9">
        <v>10</v>
      </c>
      <c r="B201" s="9"/>
      <c r="C201" s="9"/>
      <c r="D201" s="9" t="s">
        <v>774</v>
      </c>
      <c r="E201" s="65" t="s">
        <v>790</v>
      </c>
      <c r="F201" s="65"/>
      <c r="G201" s="91" t="s">
        <v>2446</v>
      </c>
      <c r="H201" s="66" t="s">
        <v>1706</v>
      </c>
      <c r="I201" s="9" t="s">
        <v>1098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  <c r="HE201" s="9"/>
      <c r="HF201" s="9"/>
      <c r="HG201" s="9"/>
      <c r="HH201" s="9"/>
      <c r="HI201" s="9"/>
      <c r="HJ201" s="9"/>
      <c r="HK201" s="9"/>
      <c r="HL201" s="9"/>
      <c r="HM201" s="9"/>
      <c r="HN201" s="9"/>
      <c r="HO201" s="9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9"/>
      <c r="IC201" s="9"/>
      <c r="ID201" s="9"/>
      <c r="IE201" s="9"/>
      <c r="IF201" s="9"/>
      <c r="IG201" s="9"/>
      <c r="IH201" s="9"/>
      <c r="II201" s="9"/>
      <c r="IJ201" s="9"/>
      <c r="IK201" s="9"/>
      <c r="IL201" s="9"/>
      <c r="IM201" s="9"/>
      <c r="IN201" s="9"/>
      <c r="IO201" s="9"/>
      <c r="IP201" s="9"/>
      <c r="IQ201" s="9"/>
      <c r="IR201" s="9"/>
      <c r="IS201" s="9"/>
      <c r="IT201" s="9"/>
      <c r="IU201" s="9"/>
      <c r="IV201" s="9"/>
      <c r="IW201" s="9"/>
      <c r="IX201" s="9"/>
      <c r="IY201" s="9"/>
      <c r="IZ201" s="9"/>
      <c r="JA201" s="9"/>
      <c r="JB201" s="9"/>
      <c r="JC201" s="9"/>
      <c r="JD201" s="9"/>
      <c r="JE201" s="9"/>
      <c r="JF201" s="9"/>
      <c r="JG201" s="9"/>
      <c r="JH201" s="9"/>
      <c r="JI201" s="9"/>
      <c r="JJ201" s="9"/>
      <c r="JK201" s="9"/>
      <c r="JL201" s="9"/>
      <c r="JM201" s="9"/>
      <c r="JN201" s="9"/>
      <c r="JO201" s="9"/>
      <c r="JP201" s="9"/>
      <c r="JQ201" s="9"/>
      <c r="JR201" s="9"/>
      <c r="JS201" s="9"/>
      <c r="JT201" s="9"/>
      <c r="JU201" s="9"/>
      <c r="JV201" s="9"/>
      <c r="JW201" s="9"/>
      <c r="JX201" s="9"/>
      <c r="JY201" s="9"/>
      <c r="JZ201" s="9"/>
      <c r="KA201" s="9"/>
      <c r="KB201" s="9"/>
      <c r="KC201" s="9"/>
      <c r="KD201" s="9"/>
      <c r="KE201" s="9"/>
      <c r="KF201" s="9"/>
      <c r="KG201" s="9"/>
      <c r="KH201" s="9"/>
      <c r="KI201" s="9"/>
      <c r="KJ201" s="9"/>
      <c r="KK201" s="9"/>
      <c r="KL201" s="9"/>
      <c r="KM201" s="9"/>
      <c r="KN201" s="9"/>
      <c r="KO201" s="9"/>
      <c r="KP201" s="9"/>
      <c r="KQ201" s="9"/>
      <c r="KR201" s="9"/>
      <c r="KS201" s="9"/>
      <c r="KT201" s="9"/>
      <c r="KU201" s="9"/>
      <c r="KV201" s="9"/>
      <c r="KW201" s="9"/>
      <c r="KX201" s="9"/>
      <c r="KY201" s="9"/>
      <c r="KZ201" s="9"/>
      <c r="LA201" s="9"/>
      <c r="LB201" s="9"/>
      <c r="LC201" s="9"/>
      <c r="LD201" s="9"/>
      <c r="LE201" s="9"/>
      <c r="LF201" s="9"/>
      <c r="LG201" s="9"/>
      <c r="LH201" s="9"/>
      <c r="LI201" s="9"/>
      <c r="LJ201" s="9"/>
      <c r="LK201" s="9"/>
      <c r="LL201" s="9"/>
      <c r="LM201" s="9"/>
      <c r="LN201" s="9"/>
      <c r="LO201" s="9"/>
      <c r="LP201" s="9"/>
      <c r="LQ201" s="9"/>
      <c r="LR201" s="9"/>
      <c r="LS201" s="9"/>
      <c r="LT201" s="9"/>
      <c r="LU201" s="9"/>
      <c r="LV201" s="9"/>
      <c r="LW201" s="9"/>
      <c r="LX201" s="9"/>
      <c r="LY201" s="9"/>
      <c r="LZ201" s="9"/>
      <c r="MA201" s="9"/>
      <c r="MB201" s="9"/>
      <c r="MC201" s="9"/>
      <c r="MD201" s="9"/>
      <c r="ME201" s="9"/>
      <c r="MF201" s="9"/>
      <c r="MG201" s="9"/>
      <c r="MH201" s="9"/>
      <c r="MI201" s="9"/>
      <c r="MJ201" s="9"/>
      <c r="MK201" s="9"/>
      <c r="ML201" s="9"/>
      <c r="MM201" s="9"/>
      <c r="MN201" s="9"/>
      <c r="MO201" s="9"/>
      <c r="MP201" s="9"/>
      <c r="MQ201" s="9"/>
      <c r="MR201" s="9"/>
      <c r="MS201" s="9"/>
      <c r="MT201" s="9"/>
      <c r="MU201" s="9"/>
      <c r="MV201" s="9"/>
      <c r="MW201" s="9"/>
      <c r="MX201" s="9"/>
      <c r="MY201" s="9"/>
      <c r="MZ201" s="9"/>
      <c r="NA201" s="9"/>
      <c r="NB201" s="9"/>
      <c r="NC201" s="9"/>
      <c r="ND201" s="9"/>
      <c r="NE201" s="9"/>
      <c r="NF201" s="9"/>
      <c r="NG201" s="9"/>
      <c r="NH201" s="9"/>
      <c r="NI201" s="9"/>
      <c r="NJ201" s="9"/>
      <c r="NK201" s="9"/>
      <c r="NL201" s="9"/>
      <c r="NM201" s="9"/>
      <c r="NN201" s="9"/>
      <c r="NO201" s="9" t="s">
        <v>1098</v>
      </c>
      <c r="NP201" s="9"/>
      <c r="NQ201" s="9" t="s">
        <v>1098</v>
      </c>
      <c r="NR201" s="9"/>
      <c r="NS201" s="9"/>
      <c r="NT201" s="9"/>
      <c r="NU201" s="9"/>
      <c r="NV201" s="9"/>
      <c r="NW201" s="9"/>
      <c r="NX201" s="9"/>
      <c r="NY201" s="9"/>
      <c r="NZ201" s="9"/>
      <c r="OA201" s="9"/>
      <c r="OB201" s="9"/>
      <c r="OC201" s="9"/>
      <c r="OD201" s="9"/>
      <c r="OE201" s="9"/>
      <c r="OF201" s="9"/>
      <c r="OG201" s="9"/>
      <c r="OH201" s="9"/>
      <c r="OI201" s="9"/>
      <c r="OJ201" s="9"/>
      <c r="OK201" s="9"/>
      <c r="OL201" s="9"/>
      <c r="OM201" s="9"/>
      <c r="ON201" s="9"/>
      <c r="OO201" s="9"/>
      <c r="OP201" s="9"/>
      <c r="OQ201" s="9"/>
      <c r="OR201" s="9"/>
      <c r="OS201" s="9"/>
      <c r="OT201" s="9"/>
      <c r="OU201" s="9"/>
      <c r="OV201" s="9"/>
      <c r="OW201" s="9"/>
      <c r="OX201" s="9"/>
      <c r="OY201" s="9"/>
      <c r="OZ201" s="9"/>
      <c r="PA201" s="9"/>
      <c r="PB201" s="9"/>
      <c r="PC201" s="9"/>
      <c r="PD201" s="9"/>
      <c r="PE201" s="9"/>
      <c r="PF201" s="9"/>
      <c r="PG201" s="9"/>
      <c r="PH201" s="9"/>
      <c r="PI201" s="9"/>
      <c r="PJ201" s="9"/>
      <c r="PK201" s="9"/>
      <c r="PL201" s="9"/>
      <c r="PM201" s="9"/>
      <c r="PN201" s="9"/>
      <c r="PO201" s="9"/>
      <c r="PP201" s="9"/>
      <c r="PQ201" s="9"/>
      <c r="PR201" s="9"/>
      <c r="PS201" s="9"/>
      <c r="PT201" s="9"/>
      <c r="PU201" s="9"/>
      <c r="PV201" s="9"/>
      <c r="PW201" s="9"/>
      <c r="PX201" s="9"/>
      <c r="PY201" s="9"/>
      <c r="PZ201" s="9"/>
      <c r="QA201" s="9"/>
      <c r="QB201" s="9"/>
      <c r="QC201" s="9"/>
      <c r="QD201" s="9"/>
      <c r="QE201" s="9"/>
      <c r="QF201" s="9"/>
      <c r="QG201" s="9"/>
      <c r="QH201" s="9"/>
      <c r="QI201" s="9"/>
      <c r="QJ201" s="9"/>
      <c r="QK201" s="9"/>
      <c r="QL201" s="9"/>
      <c r="QM201" s="9"/>
      <c r="QN201" s="9"/>
      <c r="QO201" s="9"/>
      <c r="QP201" s="9"/>
      <c r="QQ201" s="67"/>
      <c r="QR201" s="68"/>
      <c r="QS201" s="63"/>
      <c r="QT201" s="71"/>
    </row>
    <row r="202" spans="1:462" s="11" customFormat="1" x14ac:dyDescent="0.2">
      <c r="A202" s="9">
        <v>10</v>
      </c>
      <c r="B202" s="9"/>
      <c r="C202" s="9"/>
      <c r="D202" s="9" t="s">
        <v>775</v>
      </c>
      <c r="E202" s="65" t="s">
        <v>491</v>
      </c>
      <c r="F202" s="65"/>
      <c r="G202" s="92" t="s">
        <v>2245</v>
      </c>
      <c r="H202" s="66" t="s">
        <v>1551</v>
      </c>
      <c r="I202" s="9" t="s">
        <v>1098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  <c r="HE202" s="9"/>
      <c r="HF202" s="9"/>
      <c r="HG202" s="9"/>
      <c r="HH202" s="9"/>
      <c r="HI202" s="9"/>
      <c r="HJ202" s="9"/>
      <c r="HK202" s="9"/>
      <c r="HL202" s="9"/>
      <c r="HM202" s="9"/>
      <c r="HN202" s="9"/>
      <c r="HO202" s="9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/>
      <c r="IA202" s="9"/>
      <c r="IB202" s="9"/>
      <c r="IC202" s="9"/>
      <c r="ID202" s="9"/>
      <c r="IE202" s="9"/>
      <c r="IF202" s="9"/>
      <c r="IG202" s="9"/>
      <c r="IH202" s="9"/>
      <c r="II202" s="9"/>
      <c r="IJ202" s="9"/>
      <c r="IK202" s="9"/>
      <c r="IL202" s="9"/>
      <c r="IM202" s="9"/>
      <c r="IN202" s="9"/>
      <c r="IO202" s="9"/>
      <c r="IP202" s="9"/>
      <c r="IQ202" s="9"/>
      <c r="IR202" s="9"/>
      <c r="IS202" s="9"/>
      <c r="IT202" s="9"/>
      <c r="IU202" s="9"/>
      <c r="IV202" s="9"/>
      <c r="IW202" s="9"/>
      <c r="IX202" s="9"/>
      <c r="IY202" s="9"/>
      <c r="IZ202" s="9"/>
      <c r="JA202" s="9"/>
      <c r="JB202" s="9"/>
      <c r="JC202" s="9"/>
      <c r="JD202" s="9"/>
      <c r="JE202" s="9"/>
      <c r="JF202" s="9"/>
      <c r="JG202" s="9"/>
      <c r="JH202" s="9"/>
      <c r="JI202" s="9"/>
      <c r="JJ202" s="9"/>
      <c r="JK202" s="9"/>
      <c r="JL202" s="9"/>
      <c r="JM202" s="9"/>
      <c r="JN202" s="9"/>
      <c r="JO202" s="9"/>
      <c r="JP202" s="9"/>
      <c r="JQ202" s="9"/>
      <c r="JR202" s="9"/>
      <c r="JS202" s="9"/>
      <c r="JT202" s="9"/>
      <c r="JU202" s="9"/>
      <c r="JV202" s="9"/>
      <c r="JW202" s="9"/>
      <c r="JX202" s="9"/>
      <c r="JY202" s="9"/>
      <c r="JZ202" s="9"/>
      <c r="KA202" s="9"/>
      <c r="KB202" s="9"/>
      <c r="KC202" s="9"/>
      <c r="KD202" s="9"/>
      <c r="KE202" s="9"/>
      <c r="KF202" s="9"/>
      <c r="KG202" s="9"/>
      <c r="KH202" s="9"/>
      <c r="KI202" s="9"/>
      <c r="KJ202" s="9"/>
      <c r="KK202" s="9"/>
      <c r="KL202" s="9"/>
      <c r="KM202" s="9"/>
      <c r="KN202" s="9"/>
      <c r="KO202" s="9"/>
      <c r="KP202" s="9"/>
      <c r="KQ202" s="9"/>
      <c r="KR202" s="9"/>
      <c r="KS202" s="9"/>
      <c r="KT202" s="9"/>
      <c r="KU202" s="9"/>
      <c r="KV202" s="9"/>
      <c r="KW202" s="9"/>
      <c r="KX202" s="9"/>
      <c r="KY202" s="9"/>
      <c r="KZ202" s="9"/>
      <c r="LA202" s="9"/>
      <c r="LB202" s="9"/>
      <c r="LC202" s="9"/>
      <c r="LD202" s="9"/>
      <c r="LE202" s="9"/>
      <c r="LF202" s="9"/>
      <c r="LG202" s="9"/>
      <c r="LH202" s="9"/>
      <c r="LI202" s="9"/>
      <c r="LJ202" s="9"/>
      <c r="LK202" s="9"/>
      <c r="LL202" s="9"/>
      <c r="LM202" s="9"/>
      <c r="LN202" s="9"/>
      <c r="LO202" s="9"/>
      <c r="LP202" s="9"/>
      <c r="LQ202" s="9"/>
      <c r="LR202" s="9"/>
      <c r="LS202" s="9"/>
      <c r="LT202" s="9"/>
      <c r="LU202" s="9"/>
      <c r="LV202" s="9"/>
      <c r="LW202" s="9"/>
      <c r="LX202" s="9"/>
      <c r="LY202" s="9"/>
      <c r="LZ202" s="9"/>
      <c r="MA202" s="9"/>
      <c r="MB202" s="9"/>
      <c r="MC202" s="9"/>
      <c r="MD202" s="9"/>
      <c r="ME202" s="9"/>
      <c r="MF202" s="9"/>
      <c r="MG202" s="9"/>
      <c r="MH202" s="9"/>
      <c r="MI202" s="9"/>
      <c r="MJ202" s="9"/>
      <c r="MK202" s="9"/>
      <c r="ML202" s="9"/>
      <c r="MM202" s="9"/>
      <c r="MN202" s="9"/>
      <c r="MO202" s="9"/>
      <c r="MP202" s="9"/>
      <c r="MQ202" s="9"/>
      <c r="MR202" s="9"/>
      <c r="MS202" s="9"/>
      <c r="MT202" s="9"/>
      <c r="MU202" s="9"/>
      <c r="MV202" s="9"/>
      <c r="MW202" s="9"/>
      <c r="MX202" s="9"/>
      <c r="MY202" s="9"/>
      <c r="MZ202" s="9"/>
      <c r="NA202" s="9"/>
      <c r="NB202" s="9"/>
      <c r="NC202" s="9"/>
      <c r="ND202" s="9"/>
      <c r="NE202" s="9"/>
      <c r="NF202" s="9"/>
      <c r="NG202" s="9"/>
      <c r="NH202" s="9"/>
      <c r="NI202" s="9"/>
      <c r="NJ202" s="9"/>
      <c r="NK202" s="9"/>
      <c r="NL202" s="9"/>
      <c r="NM202" s="9"/>
      <c r="NN202" s="9"/>
      <c r="NO202" s="9" t="s">
        <v>1633</v>
      </c>
      <c r="NP202" s="9"/>
      <c r="NQ202" s="9" t="s">
        <v>1633</v>
      </c>
      <c r="NR202" s="9"/>
      <c r="NS202" s="9"/>
      <c r="NT202" s="9"/>
      <c r="NU202" s="9"/>
      <c r="NV202" s="9"/>
      <c r="NW202" s="9"/>
      <c r="NX202" s="9"/>
      <c r="NY202" s="9"/>
      <c r="NZ202" s="9"/>
      <c r="OA202" s="9"/>
      <c r="OB202" s="9"/>
      <c r="OC202" s="9"/>
      <c r="OD202" s="9"/>
      <c r="OE202" s="9"/>
      <c r="OF202" s="9"/>
      <c r="OG202" s="9"/>
      <c r="OH202" s="9"/>
      <c r="OI202" s="9"/>
      <c r="OJ202" s="9"/>
      <c r="OK202" s="9"/>
      <c r="OL202" s="9"/>
      <c r="OM202" s="9"/>
      <c r="ON202" s="9"/>
      <c r="OO202" s="9"/>
      <c r="OP202" s="9"/>
      <c r="OQ202" s="9"/>
      <c r="OR202" s="9"/>
      <c r="OS202" s="9"/>
      <c r="OT202" s="9"/>
      <c r="OU202" s="9"/>
      <c r="OV202" s="9"/>
      <c r="OW202" s="9"/>
      <c r="OX202" s="9"/>
      <c r="OY202" s="9"/>
      <c r="OZ202" s="9"/>
      <c r="PA202" s="9"/>
      <c r="PB202" s="9"/>
      <c r="PC202" s="9"/>
      <c r="PD202" s="9"/>
      <c r="PE202" s="9"/>
      <c r="PF202" s="9"/>
      <c r="PG202" s="9"/>
      <c r="PH202" s="9"/>
      <c r="PI202" s="9"/>
      <c r="PJ202" s="9"/>
      <c r="PK202" s="9"/>
      <c r="PL202" s="9"/>
      <c r="PM202" s="9"/>
      <c r="PN202" s="9"/>
      <c r="PO202" s="9"/>
      <c r="PP202" s="9"/>
      <c r="PQ202" s="9"/>
      <c r="PR202" s="9"/>
      <c r="PS202" s="9"/>
      <c r="PT202" s="9"/>
      <c r="PU202" s="9"/>
      <c r="PV202" s="9"/>
      <c r="PW202" s="9"/>
      <c r="PX202" s="9"/>
      <c r="PY202" s="9"/>
      <c r="PZ202" s="9"/>
      <c r="QA202" s="9"/>
      <c r="QB202" s="9"/>
      <c r="QC202" s="9"/>
      <c r="QD202" s="9"/>
      <c r="QE202" s="9"/>
      <c r="QF202" s="9"/>
      <c r="QG202" s="9"/>
      <c r="QH202" s="9"/>
      <c r="QI202" s="9"/>
      <c r="QJ202" s="9"/>
      <c r="QK202" s="9"/>
      <c r="QL202" s="9"/>
      <c r="QM202" s="9"/>
      <c r="QN202" s="9"/>
      <c r="QO202" s="9"/>
      <c r="QP202" s="9"/>
      <c r="QQ202" s="67"/>
      <c r="QR202" s="68"/>
      <c r="QS202" s="63"/>
      <c r="QT202" s="71"/>
    </row>
    <row r="203" spans="1:462" s="11" customFormat="1" x14ac:dyDescent="0.2">
      <c r="A203" s="9">
        <v>10</v>
      </c>
      <c r="B203" s="9"/>
      <c r="C203" s="9"/>
      <c r="D203" s="9" t="s">
        <v>776</v>
      </c>
      <c r="E203" s="65" t="s">
        <v>532</v>
      </c>
      <c r="F203" s="65"/>
      <c r="G203" s="92" t="s">
        <v>2246</v>
      </c>
      <c r="H203" s="66" t="s">
        <v>1552</v>
      </c>
      <c r="I203" s="9" t="s">
        <v>1098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  <c r="II203" s="9"/>
      <c r="IJ203" s="9"/>
      <c r="IK203" s="9"/>
      <c r="IL203" s="9"/>
      <c r="IM203" s="9"/>
      <c r="IN203" s="9"/>
      <c r="IO203" s="9"/>
      <c r="IP203" s="9"/>
      <c r="IQ203" s="9"/>
      <c r="IR203" s="9"/>
      <c r="IS203" s="9"/>
      <c r="IT203" s="9"/>
      <c r="IU203" s="9"/>
      <c r="IV203" s="9"/>
      <c r="IW203" s="9"/>
      <c r="IX203" s="9"/>
      <c r="IY203" s="9"/>
      <c r="IZ203" s="9"/>
      <c r="JA203" s="9"/>
      <c r="JB203" s="9"/>
      <c r="JC203" s="9"/>
      <c r="JD203" s="9"/>
      <c r="JE203" s="9"/>
      <c r="JF203" s="9"/>
      <c r="JG203" s="9"/>
      <c r="JH203" s="9"/>
      <c r="JI203" s="9"/>
      <c r="JJ203" s="9"/>
      <c r="JK203" s="9"/>
      <c r="JL203" s="9"/>
      <c r="JM203" s="9"/>
      <c r="JN203" s="9"/>
      <c r="JO203" s="9"/>
      <c r="JP203" s="9"/>
      <c r="JQ203" s="9"/>
      <c r="JR203" s="9"/>
      <c r="JS203" s="9"/>
      <c r="JT203" s="9"/>
      <c r="JU203" s="9"/>
      <c r="JV203" s="9"/>
      <c r="JW203" s="9"/>
      <c r="JX203" s="9"/>
      <c r="JY203" s="9"/>
      <c r="JZ203" s="9"/>
      <c r="KA203" s="9"/>
      <c r="KB203" s="9"/>
      <c r="KC203" s="9"/>
      <c r="KD203" s="9"/>
      <c r="KE203" s="9"/>
      <c r="KF203" s="9"/>
      <c r="KG203" s="9"/>
      <c r="KH203" s="9"/>
      <c r="KI203" s="9"/>
      <c r="KJ203" s="9"/>
      <c r="KK203" s="9"/>
      <c r="KL203" s="9"/>
      <c r="KM203" s="9"/>
      <c r="KN203" s="9"/>
      <c r="KO203" s="9"/>
      <c r="KP203" s="9"/>
      <c r="KQ203" s="9"/>
      <c r="KR203" s="9"/>
      <c r="KS203" s="9"/>
      <c r="KT203" s="9"/>
      <c r="KU203" s="9"/>
      <c r="KV203" s="9"/>
      <c r="KW203" s="9"/>
      <c r="KX203" s="9"/>
      <c r="KY203" s="9"/>
      <c r="KZ203" s="9"/>
      <c r="LA203" s="9"/>
      <c r="LB203" s="9"/>
      <c r="LC203" s="9"/>
      <c r="LD203" s="9"/>
      <c r="LE203" s="9"/>
      <c r="LF203" s="9"/>
      <c r="LG203" s="9"/>
      <c r="LH203" s="9"/>
      <c r="LI203" s="9"/>
      <c r="LJ203" s="9"/>
      <c r="LK203" s="9"/>
      <c r="LL203" s="9"/>
      <c r="LM203" s="9"/>
      <c r="LN203" s="9"/>
      <c r="LO203" s="9"/>
      <c r="LP203" s="9"/>
      <c r="LQ203" s="9"/>
      <c r="LR203" s="9"/>
      <c r="LS203" s="9"/>
      <c r="LT203" s="9"/>
      <c r="LU203" s="9"/>
      <c r="LV203" s="9"/>
      <c r="LW203" s="9"/>
      <c r="LX203" s="9"/>
      <c r="LY203" s="9"/>
      <c r="LZ203" s="9"/>
      <c r="MA203" s="9"/>
      <c r="MB203" s="9"/>
      <c r="MC203" s="9"/>
      <c r="MD203" s="9"/>
      <c r="ME203" s="9"/>
      <c r="MF203" s="9"/>
      <c r="MG203" s="9"/>
      <c r="MH203" s="9"/>
      <c r="MI203" s="9"/>
      <c r="MJ203" s="9"/>
      <c r="MK203" s="9"/>
      <c r="ML203" s="9"/>
      <c r="MM203" s="9"/>
      <c r="MN203" s="9"/>
      <c r="MO203" s="9"/>
      <c r="MP203" s="9"/>
      <c r="MQ203" s="9"/>
      <c r="MR203" s="9"/>
      <c r="MS203" s="9"/>
      <c r="MT203" s="9"/>
      <c r="MU203" s="9"/>
      <c r="MV203" s="9"/>
      <c r="MW203" s="9"/>
      <c r="MX203" s="9"/>
      <c r="MY203" s="9"/>
      <c r="MZ203" s="9"/>
      <c r="NA203" s="9"/>
      <c r="NB203" s="9"/>
      <c r="NC203" s="9"/>
      <c r="ND203" s="9"/>
      <c r="NE203" s="9"/>
      <c r="NF203" s="9"/>
      <c r="NG203" s="9"/>
      <c r="NH203" s="9"/>
      <c r="NI203" s="9"/>
      <c r="NJ203" s="9"/>
      <c r="NK203" s="9"/>
      <c r="NL203" s="9"/>
      <c r="NM203" s="9"/>
      <c r="NN203" s="9"/>
      <c r="NO203" s="9" t="s">
        <v>1553</v>
      </c>
      <c r="NP203" s="9"/>
      <c r="NQ203" s="9" t="s">
        <v>1553</v>
      </c>
      <c r="NR203" s="9"/>
      <c r="NS203" s="9"/>
      <c r="NT203" s="9"/>
      <c r="NU203" s="9"/>
      <c r="NV203" s="9"/>
      <c r="NW203" s="9"/>
      <c r="NX203" s="9"/>
      <c r="NY203" s="9"/>
      <c r="NZ203" s="9"/>
      <c r="OA203" s="9"/>
      <c r="OB203" s="9"/>
      <c r="OC203" s="9"/>
      <c r="OD203" s="9"/>
      <c r="OE203" s="9"/>
      <c r="OF203" s="9"/>
      <c r="OG203" s="9"/>
      <c r="OH203" s="9"/>
      <c r="OI203" s="9"/>
      <c r="OJ203" s="9"/>
      <c r="OK203" s="9"/>
      <c r="OL203" s="9"/>
      <c r="OM203" s="9"/>
      <c r="ON203" s="9"/>
      <c r="OO203" s="9"/>
      <c r="OP203" s="9"/>
      <c r="OQ203" s="9"/>
      <c r="OR203" s="9"/>
      <c r="OS203" s="9"/>
      <c r="OT203" s="9"/>
      <c r="OU203" s="9"/>
      <c r="OV203" s="9"/>
      <c r="OW203" s="9"/>
      <c r="OX203" s="9"/>
      <c r="OY203" s="9"/>
      <c r="OZ203" s="9"/>
      <c r="PA203" s="9"/>
      <c r="PB203" s="9"/>
      <c r="PC203" s="9"/>
      <c r="PD203" s="9"/>
      <c r="PE203" s="9"/>
      <c r="PF203" s="9"/>
      <c r="PG203" s="9"/>
      <c r="PH203" s="9"/>
      <c r="PI203" s="9"/>
      <c r="PJ203" s="9"/>
      <c r="PK203" s="9"/>
      <c r="PL203" s="9"/>
      <c r="PM203" s="9"/>
      <c r="PN203" s="9"/>
      <c r="PO203" s="9"/>
      <c r="PP203" s="9"/>
      <c r="PQ203" s="9"/>
      <c r="PR203" s="9"/>
      <c r="PS203" s="9"/>
      <c r="PT203" s="9"/>
      <c r="PU203" s="9"/>
      <c r="PV203" s="9"/>
      <c r="PW203" s="9"/>
      <c r="PX203" s="9"/>
      <c r="PY203" s="9"/>
      <c r="PZ203" s="9"/>
      <c r="QA203" s="9"/>
      <c r="QB203" s="9"/>
      <c r="QC203" s="9"/>
      <c r="QD203" s="9"/>
      <c r="QE203" s="9"/>
      <c r="QF203" s="9"/>
      <c r="QG203" s="9"/>
      <c r="QH203" s="9"/>
      <c r="QI203" s="9"/>
      <c r="QJ203" s="9"/>
      <c r="QK203" s="9"/>
      <c r="QL203" s="9"/>
      <c r="QM203" s="9"/>
      <c r="QN203" s="9"/>
      <c r="QO203" s="9"/>
      <c r="QP203" s="9"/>
      <c r="QQ203" s="67"/>
      <c r="QR203" s="68"/>
      <c r="QS203" s="63"/>
      <c r="QT203" s="71"/>
    </row>
    <row r="204" spans="1:462" s="11" customFormat="1" x14ac:dyDescent="0.2">
      <c r="A204" s="9">
        <v>10</v>
      </c>
      <c r="B204" s="9"/>
      <c r="C204" s="9"/>
      <c r="D204" s="9" t="s">
        <v>778</v>
      </c>
      <c r="E204" s="65" t="s">
        <v>792</v>
      </c>
      <c r="F204" s="65"/>
      <c r="G204" s="91" t="s">
        <v>2447</v>
      </c>
      <c r="H204" s="66" t="s">
        <v>1707</v>
      </c>
      <c r="I204" s="9" t="s">
        <v>1098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  <c r="IW204" s="9"/>
      <c r="IX204" s="9"/>
      <c r="IY204" s="9"/>
      <c r="IZ204" s="9"/>
      <c r="JA204" s="9"/>
      <c r="JB204" s="9"/>
      <c r="JC204" s="9"/>
      <c r="JD204" s="9"/>
      <c r="JE204" s="9"/>
      <c r="JF204" s="9"/>
      <c r="JG204" s="9"/>
      <c r="JH204" s="9"/>
      <c r="JI204" s="9"/>
      <c r="JJ204" s="9"/>
      <c r="JK204" s="9"/>
      <c r="JL204" s="9"/>
      <c r="JM204" s="9"/>
      <c r="JN204" s="9"/>
      <c r="JO204" s="9"/>
      <c r="JP204" s="9"/>
      <c r="JQ204" s="9"/>
      <c r="JR204" s="9"/>
      <c r="JS204" s="9"/>
      <c r="JT204" s="9"/>
      <c r="JU204" s="9"/>
      <c r="JV204" s="9"/>
      <c r="JW204" s="9"/>
      <c r="JX204" s="9"/>
      <c r="JY204" s="9"/>
      <c r="JZ204" s="9"/>
      <c r="KA204" s="9"/>
      <c r="KB204" s="9"/>
      <c r="KC204" s="9"/>
      <c r="KD204" s="9"/>
      <c r="KE204" s="9"/>
      <c r="KF204" s="9"/>
      <c r="KG204" s="9"/>
      <c r="KH204" s="9"/>
      <c r="KI204" s="9"/>
      <c r="KJ204" s="9"/>
      <c r="KK204" s="9"/>
      <c r="KL204" s="9"/>
      <c r="KM204" s="9"/>
      <c r="KN204" s="9"/>
      <c r="KO204" s="9"/>
      <c r="KP204" s="9"/>
      <c r="KQ204" s="9"/>
      <c r="KR204" s="9"/>
      <c r="KS204" s="9"/>
      <c r="KT204" s="9"/>
      <c r="KU204" s="9"/>
      <c r="KV204" s="9"/>
      <c r="KW204" s="9"/>
      <c r="KX204" s="9"/>
      <c r="KY204" s="9"/>
      <c r="KZ204" s="9"/>
      <c r="LA204" s="9"/>
      <c r="LB204" s="9"/>
      <c r="LC204" s="9"/>
      <c r="LD204" s="9"/>
      <c r="LE204" s="9"/>
      <c r="LF204" s="9"/>
      <c r="LG204" s="9"/>
      <c r="LH204" s="9"/>
      <c r="LI204" s="9"/>
      <c r="LJ204" s="9"/>
      <c r="LK204" s="9"/>
      <c r="LL204" s="9"/>
      <c r="LM204" s="9"/>
      <c r="LN204" s="9"/>
      <c r="LO204" s="9"/>
      <c r="LP204" s="9"/>
      <c r="LQ204" s="9"/>
      <c r="LR204" s="9"/>
      <c r="LS204" s="9"/>
      <c r="LT204" s="9"/>
      <c r="LU204" s="9"/>
      <c r="LV204" s="9"/>
      <c r="LW204" s="9"/>
      <c r="LX204" s="9"/>
      <c r="LY204" s="9"/>
      <c r="LZ204" s="9"/>
      <c r="MA204" s="9"/>
      <c r="MB204" s="9"/>
      <c r="MC204" s="9"/>
      <c r="MD204" s="9"/>
      <c r="ME204" s="9"/>
      <c r="MF204" s="9"/>
      <c r="MG204" s="9"/>
      <c r="MH204" s="9"/>
      <c r="MI204" s="9"/>
      <c r="MJ204" s="9"/>
      <c r="MK204" s="9"/>
      <c r="ML204" s="9"/>
      <c r="MM204" s="9"/>
      <c r="MN204" s="9"/>
      <c r="MO204" s="9"/>
      <c r="MP204" s="9"/>
      <c r="MQ204" s="9"/>
      <c r="MR204" s="9"/>
      <c r="MS204" s="9"/>
      <c r="MT204" s="9"/>
      <c r="MU204" s="9"/>
      <c r="MV204" s="9"/>
      <c r="MW204" s="9"/>
      <c r="MX204" s="9"/>
      <c r="MY204" s="9"/>
      <c r="MZ204" s="9"/>
      <c r="NA204" s="9"/>
      <c r="NB204" s="9"/>
      <c r="NC204" s="9"/>
      <c r="ND204" s="9"/>
      <c r="NE204" s="9"/>
      <c r="NF204" s="9"/>
      <c r="NG204" s="9"/>
      <c r="NH204" s="9"/>
      <c r="NI204" s="9"/>
      <c r="NJ204" s="9"/>
      <c r="NK204" s="9"/>
      <c r="NL204" s="9"/>
      <c r="NM204" s="9"/>
      <c r="NN204" s="9"/>
      <c r="NO204" s="9"/>
      <c r="NP204" s="9"/>
      <c r="NQ204" s="9"/>
      <c r="NR204" s="9"/>
      <c r="NS204" s="9"/>
      <c r="NT204" s="9"/>
      <c r="NU204" s="9"/>
      <c r="NV204" s="9"/>
      <c r="NW204" s="9" t="s">
        <v>1098</v>
      </c>
      <c r="NX204" s="9"/>
      <c r="NY204" s="9" t="s">
        <v>1098</v>
      </c>
      <c r="NZ204" s="9"/>
      <c r="OA204" s="9"/>
      <c r="OB204" s="9"/>
      <c r="OC204" s="9"/>
      <c r="OD204" s="9"/>
      <c r="OE204" s="9"/>
      <c r="OF204" s="9"/>
      <c r="OG204" s="9"/>
      <c r="OH204" s="9"/>
      <c r="OI204" s="9"/>
      <c r="OJ204" s="9"/>
      <c r="OK204" s="9"/>
      <c r="OL204" s="9"/>
      <c r="OM204" s="9"/>
      <c r="ON204" s="9"/>
      <c r="OO204" s="9"/>
      <c r="OP204" s="9"/>
      <c r="OQ204" s="9"/>
      <c r="OR204" s="9"/>
      <c r="OS204" s="9"/>
      <c r="OT204" s="9"/>
      <c r="OU204" s="9"/>
      <c r="OV204" s="9"/>
      <c r="OW204" s="9"/>
      <c r="OX204" s="9"/>
      <c r="OY204" s="9"/>
      <c r="OZ204" s="9"/>
      <c r="PA204" s="9"/>
      <c r="PB204" s="9"/>
      <c r="PC204" s="9"/>
      <c r="PD204" s="9"/>
      <c r="PE204" s="9"/>
      <c r="PF204" s="9"/>
      <c r="PG204" s="9"/>
      <c r="PH204" s="9"/>
      <c r="PI204" s="9"/>
      <c r="PJ204" s="9"/>
      <c r="PK204" s="9"/>
      <c r="PL204" s="9"/>
      <c r="PM204" s="9"/>
      <c r="PN204" s="9"/>
      <c r="PO204" s="9"/>
      <c r="PP204" s="9"/>
      <c r="PQ204" s="9"/>
      <c r="PR204" s="9"/>
      <c r="PS204" s="9"/>
      <c r="PT204" s="9"/>
      <c r="PU204" s="9"/>
      <c r="PV204" s="9"/>
      <c r="PW204" s="9"/>
      <c r="PX204" s="9"/>
      <c r="PY204" s="9"/>
      <c r="PZ204" s="9"/>
      <c r="QA204" s="9"/>
      <c r="QB204" s="9"/>
      <c r="QC204" s="9"/>
      <c r="QD204" s="9"/>
      <c r="QE204" s="9"/>
      <c r="QF204" s="9"/>
      <c r="QG204" s="9"/>
      <c r="QH204" s="9"/>
      <c r="QI204" s="9"/>
      <c r="QJ204" s="9"/>
      <c r="QK204" s="9"/>
      <c r="QL204" s="9"/>
      <c r="QM204" s="9"/>
      <c r="QN204" s="9"/>
      <c r="QO204" s="9"/>
      <c r="QP204" s="9"/>
      <c r="QQ204" s="67"/>
      <c r="QR204" s="68"/>
      <c r="QS204" s="63"/>
      <c r="QT204" s="71"/>
    </row>
    <row r="205" spans="1:462" s="11" customFormat="1" ht="26" x14ac:dyDescent="0.2">
      <c r="A205" s="9">
        <v>10</v>
      </c>
      <c r="B205" s="9"/>
      <c r="C205" s="9"/>
      <c r="D205" s="9" t="s">
        <v>780</v>
      </c>
      <c r="E205" s="65" t="s">
        <v>793</v>
      </c>
      <c r="F205" s="65"/>
      <c r="G205" s="92" t="s">
        <v>2449</v>
      </c>
      <c r="H205" s="66" t="s">
        <v>1708</v>
      </c>
      <c r="I205" s="9" t="s">
        <v>1098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  <c r="HE205" s="9"/>
      <c r="HF205" s="9"/>
      <c r="HG205" s="9"/>
      <c r="HH205" s="9"/>
      <c r="HI205" s="9"/>
      <c r="HJ205" s="9"/>
      <c r="HK205" s="9"/>
      <c r="HL205" s="9"/>
      <c r="HM205" s="9"/>
      <c r="HN205" s="9"/>
      <c r="HO205" s="9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9"/>
      <c r="IC205" s="9"/>
      <c r="ID205" s="9"/>
      <c r="IE205" s="9"/>
      <c r="IF205" s="9"/>
      <c r="IG205" s="9"/>
      <c r="IH205" s="9"/>
      <c r="II205" s="9"/>
      <c r="IJ205" s="9"/>
      <c r="IK205" s="9"/>
      <c r="IL205" s="9"/>
      <c r="IM205" s="9"/>
      <c r="IN205" s="9"/>
      <c r="IO205" s="9"/>
      <c r="IP205" s="9"/>
      <c r="IQ205" s="9"/>
      <c r="IR205" s="9"/>
      <c r="IS205" s="9"/>
      <c r="IT205" s="9"/>
      <c r="IU205" s="9"/>
      <c r="IV205" s="9"/>
      <c r="IW205" s="9"/>
      <c r="IX205" s="9"/>
      <c r="IY205" s="9"/>
      <c r="IZ205" s="9"/>
      <c r="JA205" s="9"/>
      <c r="JB205" s="9"/>
      <c r="JC205" s="9"/>
      <c r="JD205" s="9"/>
      <c r="JE205" s="9"/>
      <c r="JF205" s="9"/>
      <c r="JG205" s="9"/>
      <c r="JH205" s="9"/>
      <c r="JI205" s="9"/>
      <c r="JJ205" s="9"/>
      <c r="JK205" s="9"/>
      <c r="JL205" s="9"/>
      <c r="JM205" s="9"/>
      <c r="JN205" s="9"/>
      <c r="JO205" s="9"/>
      <c r="JP205" s="9"/>
      <c r="JQ205" s="9"/>
      <c r="JR205" s="9"/>
      <c r="JS205" s="9"/>
      <c r="JT205" s="9"/>
      <c r="JU205" s="9"/>
      <c r="JV205" s="9"/>
      <c r="JW205" s="9"/>
      <c r="JX205" s="9"/>
      <c r="JY205" s="9"/>
      <c r="JZ205" s="9"/>
      <c r="KA205" s="9"/>
      <c r="KB205" s="9"/>
      <c r="KC205" s="9"/>
      <c r="KD205" s="9"/>
      <c r="KE205" s="9"/>
      <c r="KF205" s="9"/>
      <c r="KG205" s="9"/>
      <c r="KH205" s="9"/>
      <c r="KI205" s="9"/>
      <c r="KJ205" s="9"/>
      <c r="KK205" s="9"/>
      <c r="KL205" s="9"/>
      <c r="KM205" s="9"/>
      <c r="KN205" s="9"/>
      <c r="KO205" s="9"/>
      <c r="KP205" s="9"/>
      <c r="KQ205" s="9"/>
      <c r="KR205" s="9"/>
      <c r="KS205" s="9"/>
      <c r="KT205" s="9"/>
      <c r="KU205" s="9"/>
      <c r="KV205" s="9"/>
      <c r="KW205" s="9"/>
      <c r="KX205" s="9"/>
      <c r="KY205" s="9"/>
      <c r="KZ205" s="9"/>
      <c r="LA205" s="9"/>
      <c r="LB205" s="9"/>
      <c r="LC205" s="9"/>
      <c r="LD205" s="9"/>
      <c r="LE205" s="9"/>
      <c r="LF205" s="9"/>
      <c r="LG205" s="9"/>
      <c r="LH205" s="9"/>
      <c r="LI205" s="9"/>
      <c r="LJ205" s="9"/>
      <c r="LK205" s="9"/>
      <c r="LL205" s="9"/>
      <c r="LM205" s="9"/>
      <c r="LN205" s="9"/>
      <c r="LO205" s="9"/>
      <c r="LP205" s="9"/>
      <c r="LQ205" s="9"/>
      <c r="LR205" s="9"/>
      <c r="LS205" s="9"/>
      <c r="LT205" s="9"/>
      <c r="LU205" s="9"/>
      <c r="LV205" s="9"/>
      <c r="LW205" s="9"/>
      <c r="LX205" s="9"/>
      <c r="LY205" s="9"/>
      <c r="LZ205" s="9"/>
      <c r="MA205" s="9"/>
      <c r="MB205" s="9"/>
      <c r="MC205" s="9"/>
      <c r="MD205" s="9"/>
      <c r="ME205" s="9"/>
      <c r="MF205" s="9"/>
      <c r="MG205" s="9"/>
      <c r="MH205" s="9"/>
      <c r="MI205" s="9"/>
      <c r="MJ205" s="9"/>
      <c r="MK205" s="9"/>
      <c r="ML205" s="9"/>
      <c r="MM205" s="9"/>
      <c r="MN205" s="9"/>
      <c r="MO205" s="9"/>
      <c r="MP205" s="9"/>
      <c r="MQ205" s="9"/>
      <c r="MR205" s="9"/>
      <c r="MS205" s="9"/>
      <c r="MT205" s="9"/>
      <c r="MU205" s="9"/>
      <c r="MV205" s="9"/>
      <c r="MW205" s="9"/>
      <c r="MX205" s="9"/>
      <c r="MY205" s="9"/>
      <c r="MZ205" s="9"/>
      <c r="NA205" s="9"/>
      <c r="NB205" s="9"/>
      <c r="NC205" s="9"/>
      <c r="ND205" s="9"/>
      <c r="NE205" s="9"/>
      <c r="NF205" s="9"/>
      <c r="NG205" s="9"/>
      <c r="NH205" s="9"/>
      <c r="NI205" s="9"/>
      <c r="NJ205" s="9"/>
      <c r="NK205" s="9"/>
      <c r="NL205" s="9"/>
      <c r="NM205" s="9"/>
      <c r="NN205" s="9"/>
      <c r="NO205" s="9"/>
      <c r="NP205" s="9"/>
      <c r="NQ205" s="9"/>
      <c r="NR205" s="9"/>
      <c r="NS205" s="9"/>
      <c r="NT205" s="9"/>
      <c r="NU205" s="9"/>
      <c r="NV205" s="9"/>
      <c r="NW205" s="9" t="s">
        <v>1098</v>
      </c>
      <c r="NX205" s="9"/>
      <c r="NY205" s="9" t="s">
        <v>1098</v>
      </c>
      <c r="NZ205" s="9"/>
      <c r="OA205" s="9"/>
      <c r="OB205" s="9"/>
      <c r="OC205" s="9"/>
      <c r="OD205" s="9"/>
      <c r="OE205" s="9"/>
      <c r="OF205" s="9"/>
      <c r="OG205" s="9"/>
      <c r="OH205" s="9"/>
      <c r="OI205" s="9"/>
      <c r="OJ205" s="9"/>
      <c r="OK205" s="9"/>
      <c r="OL205" s="9"/>
      <c r="OM205" s="9"/>
      <c r="ON205" s="9"/>
      <c r="OO205" s="9"/>
      <c r="OP205" s="9"/>
      <c r="OQ205" s="9"/>
      <c r="OR205" s="9"/>
      <c r="OS205" s="9"/>
      <c r="OT205" s="9"/>
      <c r="OU205" s="9"/>
      <c r="OV205" s="9"/>
      <c r="OW205" s="9"/>
      <c r="OX205" s="9"/>
      <c r="OY205" s="9"/>
      <c r="OZ205" s="9"/>
      <c r="PA205" s="9"/>
      <c r="PB205" s="9"/>
      <c r="PC205" s="9"/>
      <c r="PD205" s="9"/>
      <c r="PE205" s="9"/>
      <c r="PF205" s="9"/>
      <c r="PG205" s="9"/>
      <c r="PH205" s="9"/>
      <c r="PI205" s="9"/>
      <c r="PJ205" s="9"/>
      <c r="PK205" s="9"/>
      <c r="PL205" s="9"/>
      <c r="PM205" s="9"/>
      <c r="PN205" s="9"/>
      <c r="PO205" s="9"/>
      <c r="PP205" s="9"/>
      <c r="PQ205" s="9"/>
      <c r="PR205" s="9"/>
      <c r="PS205" s="9"/>
      <c r="PT205" s="9"/>
      <c r="PU205" s="9"/>
      <c r="PV205" s="9"/>
      <c r="PW205" s="9"/>
      <c r="PX205" s="9"/>
      <c r="PY205" s="9"/>
      <c r="PZ205" s="9"/>
      <c r="QA205" s="9"/>
      <c r="QB205" s="9"/>
      <c r="QC205" s="9"/>
      <c r="QD205" s="9"/>
      <c r="QE205" s="9"/>
      <c r="QF205" s="9"/>
      <c r="QG205" s="9"/>
      <c r="QH205" s="9"/>
      <c r="QI205" s="9"/>
      <c r="QJ205" s="9"/>
      <c r="QK205" s="9"/>
      <c r="QL205" s="9"/>
      <c r="QM205" s="9"/>
      <c r="QN205" s="9"/>
      <c r="QO205" s="9"/>
      <c r="QP205" s="9"/>
      <c r="QQ205" s="67"/>
      <c r="QR205" s="68"/>
      <c r="QS205" s="63"/>
      <c r="QT205" s="71"/>
    </row>
    <row r="206" spans="1:462" s="11" customFormat="1" x14ac:dyDescent="0.2">
      <c r="A206" s="9">
        <v>10</v>
      </c>
      <c r="B206" s="9"/>
      <c r="C206" s="9"/>
      <c r="D206" s="9" t="s">
        <v>781</v>
      </c>
      <c r="E206" s="65" t="s">
        <v>794</v>
      </c>
      <c r="F206" s="65"/>
      <c r="G206" s="92" t="s">
        <v>2450</v>
      </c>
      <c r="H206" s="66" t="s">
        <v>1709</v>
      </c>
      <c r="I206" s="9" t="s">
        <v>1098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  <c r="IW206" s="9"/>
      <c r="IX206" s="9"/>
      <c r="IY206" s="9"/>
      <c r="IZ206" s="9"/>
      <c r="JA206" s="9"/>
      <c r="JB206" s="9"/>
      <c r="JC206" s="9"/>
      <c r="JD206" s="9"/>
      <c r="JE206" s="9"/>
      <c r="JF206" s="9"/>
      <c r="JG206" s="9"/>
      <c r="JH206" s="9"/>
      <c r="JI206" s="9"/>
      <c r="JJ206" s="9"/>
      <c r="JK206" s="9"/>
      <c r="JL206" s="9"/>
      <c r="JM206" s="9"/>
      <c r="JN206" s="9"/>
      <c r="JO206" s="9"/>
      <c r="JP206" s="9"/>
      <c r="JQ206" s="9"/>
      <c r="JR206" s="9"/>
      <c r="JS206" s="9"/>
      <c r="JT206" s="9"/>
      <c r="JU206" s="9"/>
      <c r="JV206" s="9"/>
      <c r="JW206" s="9"/>
      <c r="JX206" s="9"/>
      <c r="JY206" s="9"/>
      <c r="JZ206" s="9"/>
      <c r="KA206" s="9"/>
      <c r="KB206" s="9"/>
      <c r="KC206" s="9"/>
      <c r="KD206" s="9"/>
      <c r="KE206" s="9"/>
      <c r="KF206" s="9"/>
      <c r="KG206" s="9"/>
      <c r="KH206" s="9"/>
      <c r="KI206" s="9"/>
      <c r="KJ206" s="9"/>
      <c r="KK206" s="9"/>
      <c r="KL206" s="9"/>
      <c r="KM206" s="9"/>
      <c r="KN206" s="9"/>
      <c r="KO206" s="9"/>
      <c r="KP206" s="9"/>
      <c r="KQ206" s="9"/>
      <c r="KR206" s="9"/>
      <c r="KS206" s="9"/>
      <c r="KT206" s="9"/>
      <c r="KU206" s="9"/>
      <c r="KV206" s="9"/>
      <c r="KW206" s="9"/>
      <c r="KX206" s="9"/>
      <c r="KY206" s="9"/>
      <c r="KZ206" s="9"/>
      <c r="LA206" s="9"/>
      <c r="LB206" s="9"/>
      <c r="LC206" s="9"/>
      <c r="LD206" s="9"/>
      <c r="LE206" s="9"/>
      <c r="LF206" s="9"/>
      <c r="LG206" s="9"/>
      <c r="LH206" s="9"/>
      <c r="LI206" s="9"/>
      <c r="LJ206" s="9"/>
      <c r="LK206" s="9"/>
      <c r="LL206" s="9"/>
      <c r="LM206" s="9"/>
      <c r="LN206" s="9"/>
      <c r="LO206" s="9"/>
      <c r="LP206" s="9"/>
      <c r="LQ206" s="9"/>
      <c r="LR206" s="9"/>
      <c r="LS206" s="9"/>
      <c r="LT206" s="9"/>
      <c r="LU206" s="9"/>
      <c r="LV206" s="9"/>
      <c r="LW206" s="9"/>
      <c r="LX206" s="9"/>
      <c r="LY206" s="9"/>
      <c r="LZ206" s="9"/>
      <c r="MA206" s="9"/>
      <c r="MB206" s="9"/>
      <c r="MC206" s="9"/>
      <c r="MD206" s="9"/>
      <c r="ME206" s="9"/>
      <c r="MF206" s="9"/>
      <c r="MG206" s="9"/>
      <c r="MH206" s="9"/>
      <c r="MI206" s="9"/>
      <c r="MJ206" s="9"/>
      <c r="MK206" s="9"/>
      <c r="ML206" s="9"/>
      <c r="MM206" s="9"/>
      <c r="MN206" s="9"/>
      <c r="MO206" s="9"/>
      <c r="MP206" s="9"/>
      <c r="MQ206" s="9"/>
      <c r="MR206" s="9"/>
      <c r="MS206" s="9"/>
      <c r="MT206" s="9"/>
      <c r="MU206" s="9"/>
      <c r="MV206" s="9"/>
      <c r="MW206" s="9"/>
      <c r="MX206" s="9"/>
      <c r="MY206" s="9"/>
      <c r="MZ206" s="9"/>
      <c r="NA206" s="9"/>
      <c r="NB206" s="9"/>
      <c r="NC206" s="9"/>
      <c r="ND206" s="9"/>
      <c r="NE206" s="9"/>
      <c r="NF206" s="9"/>
      <c r="NG206" s="9"/>
      <c r="NH206" s="9"/>
      <c r="NI206" s="9"/>
      <c r="NJ206" s="9"/>
      <c r="NK206" s="9"/>
      <c r="NL206" s="9"/>
      <c r="NM206" s="9"/>
      <c r="NN206" s="9"/>
      <c r="NO206" s="9"/>
      <c r="NP206" s="9"/>
      <c r="NQ206" s="9"/>
      <c r="NR206" s="9"/>
      <c r="NS206" s="9"/>
      <c r="NT206" s="9"/>
      <c r="NU206" s="9"/>
      <c r="NV206" s="9"/>
      <c r="NW206" s="9" t="s">
        <v>1098</v>
      </c>
      <c r="NX206" s="9"/>
      <c r="NY206" s="9" t="s">
        <v>1098</v>
      </c>
      <c r="NZ206" s="9"/>
      <c r="OA206" s="9"/>
      <c r="OB206" s="9"/>
      <c r="OC206" s="9"/>
      <c r="OD206" s="9"/>
      <c r="OE206" s="9"/>
      <c r="OF206" s="9"/>
      <c r="OG206" s="9"/>
      <c r="OH206" s="9"/>
      <c r="OI206" s="9"/>
      <c r="OJ206" s="9"/>
      <c r="OK206" s="9"/>
      <c r="OL206" s="9"/>
      <c r="OM206" s="9"/>
      <c r="ON206" s="9"/>
      <c r="OO206" s="9"/>
      <c r="OP206" s="9"/>
      <c r="OQ206" s="9"/>
      <c r="OR206" s="9"/>
      <c r="OS206" s="9"/>
      <c r="OT206" s="9"/>
      <c r="OU206" s="9"/>
      <c r="OV206" s="9"/>
      <c r="OW206" s="9"/>
      <c r="OX206" s="9"/>
      <c r="OY206" s="9"/>
      <c r="OZ206" s="9"/>
      <c r="PA206" s="9"/>
      <c r="PB206" s="9"/>
      <c r="PC206" s="9"/>
      <c r="PD206" s="9"/>
      <c r="PE206" s="9"/>
      <c r="PF206" s="9"/>
      <c r="PG206" s="9"/>
      <c r="PH206" s="9"/>
      <c r="PI206" s="9"/>
      <c r="PJ206" s="9"/>
      <c r="PK206" s="9"/>
      <c r="PL206" s="9"/>
      <c r="PM206" s="9"/>
      <c r="PN206" s="9"/>
      <c r="PO206" s="9"/>
      <c r="PP206" s="9"/>
      <c r="PQ206" s="9"/>
      <c r="PR206" s="9"/>
      <c r="PS206" s="9"/>
      <c r="PT206" s="9"/>
      <c r="PU206" s="9"/>
      <c r="PV206" s="9"/>
      <c r="PW206" s="9"/>
      <c r="PX206" s="9"/>
      <c r="PY206" s="9"/>
      <c r="PZ206" s="9"/>
      <c r="QA206" s="9"/>
      <c r="QB206" s="9"/>
      <c r="QC206" s="9"/>
      <c r="QD206" s="9"/>
      <c r="QE206" s="9"/>
      <c r="QF206" s="9"/>
      <c r="QG206" s="9"/>
      <c r="QH206" s="9"/>
      <c r="QI206" s="9"/>
      <c r="QJ206" s="9"/>
      <c r="QK206" s="9"/>
      <c r="QL206" s="9"/>
      <c r="QM206" s="9"/>
      <c r="QN206" s="9"/>
      <c r="QO206" s="9"/>
      <c r="QP206" s="9"/>
      <c r="QQ206" s="67"/>
      <c r="QR206" s="68"/>
      <c r="QS206" s="63"/>
      <c r="QT206" s="71"/>
    </row>
    <row r="207" spans="1:462" s="11" customFormat="1" x14ac:dyDescent="0.2">
      <c r="A207" s="9">
        <v>10</v>
      </c>
      <c r="B207" s="9"/>
      <c r="C207" s="9"/>
      <c r="D207" s="9" t="s">
        <v>782</v>
      </c>
      <c r="E207" s="65" t="s">
        <v>795</v>
      </c>
      <c r="F207" s="65"/>
      <c r="G207" s="91" t="s">
        <v>2451</v>
      </c>
      <c r="H207" s="66" t="s">
        <v>1710</v>
      </c>
      <c r="I207" s="9" t="s">
        <v>1098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  <c r="HJ207" s="9"/>
      <c r="HK207" s="9"/>
      <c r="HL207" s="9"/>
      <c r="HM207" s="9"/>
      <c r="HN207" s="9"/>
      <c r="HO207" s="9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9"/>
      <c r="IC207" s="9"/>
      <c r="ID207" s="9"/>
      <c r="IE207" s="9"/>
      <c r="IF207" s="9"/>
      <c r="IG207" s="9"/>
      <c r="IH207" s="9"/>
      <c r="II207" s="9"/>
      <c r="IJ207" s="9"/>
      <c r="IK207" s="9"/>
      <c r="IL207" s="9"/>
      <c r="IM207" s="9"/>
      <c r="IN207" s="9"/>
      <c r="IO207" s="9"/>
      <c r="IP207" s="9"/>
      <c r="IQ207" s="9"/>
      <c r="IR207" s="9"/>
      <c r="IS207" s="9"/>
      <c r="IT207" s="9"/>
      <c r="IU207" s="9"/>
      <c r="IV207" s="9"/>
      <c r="IW207" s="9"/>
      <c r="IX207" s="9"/>
      <c r="IY207" s="9"/>
      <c r="IZ207" s="9"/>
      <c r="JA207" s="9"/>
      <c r="JB207" s="9"/>
      <c r="JC207" s="9"/>
      <c r="JD207" s="9"/>
      <c r="JE207" s="9"/>
      <c r="JF207" s="9"/>
      <c r="JG207" s="9"/>
      <c r="JH207" s="9"/>
      <c r="JI207" s="9"/>
      <c r="JJ207" s="9"/>
      <c r="JK207" s="9"/>
      <c r="JL207" s="9"/>
      <c r="JM207" s="9"/>
      <c r="JN207" s="9"/>
      <c r="JO207" s="9"/>
      <c r="JP207" s="9"/>
      <c r="JQ207" s="9"/>
      <c r="JR207" s="9"/>
      <c r="JS207" s="9"/>
      <c r="JT207" s="9"/>
      <c r="JU207" s="9"/>
      <c r="JV207" s="9"/>
      <c r="JW207" s="9"/>
      <c r="JX207" s="9"/>
      <c r="JY207" s="9"/>
      <c r="JZ207" s="9"/>
      <c r="KA207" s="9"/>
      <c r="KB207" s="9"/>
      <c r="KC207" s="9"/>
      <c r="KD207" s="9"/>
      <c r="KE207" s="9"/>
      <c r="KF207" s="9"/>
      <c r="KG207" s="9"/>
      <c r="KH207" s="9"/>
      <c r="KI207" s="9"/>
      <c r="KJ207" s="9"/>
      <c r="KK207" s="9"/>
      <c r="KL207" s="9"/>
      <c r="KM207" s="9"/>
      <c r="KN207" s="9"/>
      <c r="KO207" s="9"/>
      <c r="KP207" s="9"/>
      <c r="KQ207" s="9"/>
      <c r="KR207" s="9"/>
      <c r="KS207" s="9"/>
      <c r="KT207" s="9"/>
      <c r="KU207" s="9"/>
      <c r="KV207" s="9"/>
      <c r="KW207" s="9"/>
      <c r="KX207" s="9"/>
      <c r="KY207" s="9"/>
      <c r="KZ207" s="9"/>
      <c r="LA207" s="9"/>
      <c r="LB207" s="9"/>
      <c r="LC207" s="9"/>
      <c r="LD207" s="9"/>
      <c r="LE207" s="9"/>
      <c r="LF207" s="9"/>
      <c r="LG207" s="9"/>
      <c r="LH207" s="9"/>
      <c r="LI207" s="9"/>
      <c r="LJ207" s="9"/>
      <c r="LK207" s="9"/>
      <c r="LL207" s="9"/>
      <c r="LM207" s="9"/>
      <c r="LN207" s="9"/>
      <c r="LO207" s="9"/>
      <c r="LP207" s="9"/>
      <c r="LQ207" s="9"/>
      <c r="LR207" s="9"/>
      <c r="LS207" s="9"/>
      <c r="LT207" s="9"/>
      <c r="LU207" s="9"/>
      <c r="LV207" s="9"/>
      <c r="LW207" s="9"/>
      <c r="LX207" s="9"/>
      <c r="LY207" s="9"/>
      <c r="LZ207" s="9"/>
      <c r="MA207" s="9"/>
      <c r="MB207" s="9"/>
      <c r="MC207" s="9"/>
      <c r="MD207" s="9"/>
      <c r="ME207" s="9"/>
      <c r="MF207" s="9"/>
      <c r="MG207" s="9"/>
      <c r="MH207" s="9"/>
      <c r="MI207" s="9"/>
      <c r="MJ207" s="9"/>
      <c r="MK207" s="9"/>
      <c r="ML207" s="9"/>
      <c r="MM207" s="9"/>
      <c r="MN207" s="9"/>
      <c r="MO207" s="9"/>
      <c r="MP207" s="9"/>
      <c r="MQ207" s="9"/>
      <c r="MR207" s="9"/>
      <c r="MS207" s="9"/>
      <c r="MT207" s="9"/>
      <c r="MU207" s="9"/>
      <c r="MV207" s="9"/>
      <c r="MW207" s="9"/>
      <c r="MX207" s="9"/>
      <c r="MY207" s="9"/>
      <c r="MZ207" s="9"/>
      <c r="NA207" s="9"/>
      <c r="NB207" s="9"/>
      <c r="NC207" s="9"/>
      <c r="ND207" s="9"/>
      <c r="NE207" s="9"/>
      <c r="NF207" s="9"/>
      <c r="NG207" s="9"/>
      <c r="NH207" s="9"/>
      <c r="NI207" s="9"/>
      <c r="NJ207" s="9"/>
      <c r="NK207" s="9"/>
      <c r="NL207" s="9"/>
      <c r="NM207" s="9"/>
      <c r="NN207" s="9"/>
      <c r="NO207" s="9"/>
      <c r="NP207" s="9"/>
      <c r="NQ207" s="9"/>
      <c r="NR207" s="9"/>
      <c r="NS207" s="9"/>
      <c r="NT207" s="9"/>
      <c r="NU207" s="9"/>
      <c r="NV207" s="9"/>
      <c r="NW207" s="9"/>
      <c r="NX207" s="9"/>
      <c r="NY207" s="9"/>
      <c r="NZ207" s="9"/>
      <c r="OA207" s="9"/>
      <c r="OB207" s="9"/>
      <c r="OC207" s="9"/>
      <c r="OD207" s="9"/>
      <c r="OE207" s="9" t="s">
        <v>1098</v>
      </c>
      <c r="OF207" s="9"/>
      <c r="OG207" s="9" t="s">
        <v>1098</v>
      </c>
      <c r="OH207" s="9"/>
      <c r="OI207" s="9"/>
      <c r="OJ207" s="9"/>
      <c r="OK207" s="9"/>
      <c r="OL207" s="9"/>
      <c r="OM207" s="9"/>
      <c r="ON207" s="9"/>
      <c r="OO207" s="9"/>
      <c r="OP207" s="9"/>
      <c r="OQ207" s="9"/>
      <c r="OR207" s="9"/>
      <c r="OS207" s="9"/>
      <c r="OT207" s="9"/>
      <c r="OU207" s="9"/>
      <c r="OV207" s="9"/>
      <c r="OW207" s="9"/>
      <c r="OX207" s="9"/>
      <c r="OY207" s="9"/>
      <c r="OZ207" s="9"/>
      <c r="PA207" s="9"/>
      <c r="PB207" s="9"/>
      <c r="PC207" s="9"/>
      <c r="PD207" s="9"/>
      <c r="PE207" s="9"/>
      <c r="PF207" s="9"/>
      <c r="PG207" s="9"/>
      <c r="PH207" s="9"/>
      <c r="PI207" s="9"/>
      <c r="PJ207" s="9"/>
      <c r="PK207" s="9"/>
      <c r="PL207" s="9"/>
      <c r="PM207" s="9"/>
      <c r="PN207" s="9"/>
      <c r="PO207" s="9"/>
      <c r="PP207" s="9"/>
      <c r="PQ207" s="9"/>
      <c r="PR207" s="9"/>
      <c r="PS207" s="9"/>
      <c r="PT207" s="9"/>
      <c r="PU207" s="9"/>
      <c r="PV207" s="9"/>
      <c r="PW207" s="9"/>
      <c r="PX207" s="9"/>
      <c r="PY207" s="9"/>
      <c r="PZ207" s="9"/>
      <c r="QA207" s="9"/>
      <c r="QB207" s="9"/>
      <c r="QC207" s="9"/>
      <c r="QD207" s="9"/>
      <c r="QE207" s="9"/>
      <c r="QF207" s="9"/>
      <c r="QG207" s="9"/>
      <c r="QH207" s="9"/>
      <c r="QI207" s="9"/>
      <c r="QJ207" s="9"/>
      <c r="QK207" s="9"/>
      <c r="QL207" s="9"/>
      <c r="QM207" s="9"/>
      <c r="QN207" s="9"/>
      <c r="QO207" s="9"/>
      <c r="QP207" s="9"/>
      <c r="QQ207" s="67"/>
      <c r="QR207" s="68"/>
      <c r="QS207" s="63"/>
      <c r="QT207" s="71"/>
    </row>
    <row r="208" spans="1:462" s="11" customFormat="1" ht="26" x14ac:dyDescent="0.2">
      <c r="A208" s="9">
        <v>10</v>
      </c>
      <c r="B208" s="9"/>
      <c r="C208" s="9"/>
      <c r="D208" s="9" t="s">
        <v>784</v>
      </c>
      <c r="E208" s="65" t="s">
        <v>796</v>
      </c>
      <c r="F208" s="65"/>
      <c r="G208" s="92" t="s">
        <v>2453</v>
      </c>
      <c r="H208" s="66" t="s">
        <v>1711</v>
      </c>
      <c r="I208" s="9" t="s">
        <v>1098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  <c r="II208" s="9"/>
      <c r="IJ208" s="9"/>
      <c r="IK208" s="9"/>
      <c r="IL208" s="9"/>
      <c r="IM208" s="9"/>
      <c r="IN208" s="9"/>
      <c r="IO208" s="9"/>
      <c r="IP208" s="9"/>
      <c r="IQ208" s="9"/>
      <c r="IR208" s="9"/>
      <c r="IS208" s="9"/>
      <c r="IT208" s="9"/>
      <c r="IU208" s="9"/>
      <c r="IV208" s="9"/>
      <c r="IW208" s="9"/>
      <c r="IX208" s="9"/>
      <c r="IY208" s="9"/>
      <c r="IZ208" s="9"/>
      <c r="JA208" s="9"/>
      <c r="JB208" s="9"/>
      <c r="JC208" s="9"/>
      <c r="JD208" s="9"/>
      <c r="JE208" s="9"/>
      <c r="JF208" s="9"/>
      <c r="JG208" s="9"/>
      <c r="JH208" s="9"/>
      <c r="JI208" s="9"/>
      <c r="JJ208" s="9"/>
      <c r="JK208" s="9"/>
      <c r="JL208" s="9"/>
      <c r="JM208" s="9"/>
      <c r="JN208" s="9"/>
      <c r="JO208" s="9"/>
      <c r="JP208" s="9"/>
      <c r="JQ208" s="9"/>
      <c r="JR208" s="9"/>
      <c r="JS208" s="9"/>
      <c r="JT208" s="9"/>
      <c r="JU208" s="9"/>
      <c r="JV208" s="9"/>
      <c r="JW208" s="9"/>
      <c r="JX208" s="9"/>
      <c r="JY208" s="9"/>
      <c r="JZ208" s="9"/>
      <c r="KA208" s="9"/>
      <c r="KB208" s="9"/>
      <c r="KC208" s="9"/>
      <c r="KD208" s="9"/>
      <c r="KE208" s="9"/>
      <c r="KF208" s="9"/>
      <c r="KG208" s="9"/>
      <c r="KH208" s="9"/>
      <c r="KI208" s="9"/>
      <c r="KJ208" s="9"/>
      <c r="KK208" s="9"/>
      <c r="KL208" s="9"/>
      <c r="KM208" s="9"/>
      <c r="KN208" s="9"/>
      <c r="KO208" s="9"/>
      <c r="KP208" s="9"/>
      <c r="KQ208" s="9"/>
      <c r="KR208" s="9"/>
      <c r="KS208" s="9"/>
      <c r="KT208" s="9"/>
      <c r="KU208" s="9"/>
      <c r="KV208" s="9"/>
      <c r="KW208" s="9"/>
      <c r="KX208" s="9"/>
      <c r="KY208" s="9"/>
      <c r="KZ208" s="9"/>
      <c r="LA208" s="9"/>
      <c r="LB208" s="9"/>
      <c r="LC208" s="9"/>
      <c r="LD208" s="9"/>
      <c r="LE208" s="9"/>
      <c r="LF208" s="9"/>
      <c r="LG208" s="9"/>
      <c r="LH208" s="9"/>
      <c r="LI208" s="9"/>
      <c r="LJ208" s="9"/>
      <c r="LK208" s="9"/>
      <c r="LL208" s="9"/>
      <c r="LM208" s="9"/>
      <c r="LN208" s="9"/>
      <c r="LO208" s="9"/>
      <c r="LP208" s="9"/>
      <c r="LQ208" s="9"/>
      <c r="LR208" s="9"/>
      <c r="LS208" s="9"/>
      <c r="LT208" s="9"/>
      <c r="LU208" s="9"/>
      <c r="LV208" s="9"/>
      <c r="LW208" s="9"/>
      <c r="LX208" s="9"/>
      <c r="LY208" s="9"/>
      <c r="LZ208" s="9"/>
      <c r="MA208" s="9"/>
      <c r="MB208" s="9"/>
      <c r="MC208" s="9"/>
      <c r="MD208" s="9"/>
      <c r="ME208" s="9"/>
      <c r="MF208" s="9"/>
      <c r="MG208" s="9"/>
      <c r="MH208" s="9"/>
      <c r="MI208" s="9"/>
      <c r="MJ208" s="9"/>
      <c r="MK208" s="9"/>
      <c r="ML208" s="9"/>
      <c r="MM208" s="9"/>
      <c r="MN208" s="9"/>
      <c r="MO208" s="9"/>
      <c r="MP208" s="9"/>
      <c r="MQ208" s="9"/>
      <c r="MR208" s="9"/>
      <c r="MS208" s="9"/>
      <c r="MT208" s="9"/>
      <c r="MU208" s="9"/>
      <c r="MV208" s="9"/>
      <c r="MW208" s="9"/>
      <c r="MX208" s="9"/>
      <c r="MY208" s="9"/>
      <c r="MZ208" s="9"/>
      <c r="NA208" s="9"/>
      <c r="NB208" s="9"/>
      <c r="NC208" s="9"/>
      <c r="ND208" s="9"/>
      <c r="NE208" s="9"/>
      <c r="NF208" s="9"/>
      <c r="NG208" s="9"/>
      <c r="NH208" s="9"/>
      <c r="NI208" s="9"/>
      <c r="NJ208" s="9"/>
      <c r="NK208" s="9"/>
      <c r="NL208" s="9"/>
      <c r="NM208" s="9"/>
      <c r="NN208" s="9"/>
      <c r="NO208" s="9"/>
      <c r="NP208" s="9"/>
      <c r="NQ208" s="9"/>
      <c r="NR208" s="9"/>
      <c r="NS208" s="9"/>
      <c r="NT208" s="9"/>
      <c r="NU208" s="9"/>
      <c r="NV208" s="9"/>
      <c r="NW208" s="9"/>
      <c r="NX208" s="9"/>
      <c r="NY208" s="9"/>
      <c r="NZ208" s="9"/>
      <c r="OA208" s="9"/>
      <c r="OB208" s="9"/>
      <c r="OC208" s="9"/>
      <c r="OD208" s="9"/>
      <c r="OE208" s="9" t="s">
        <v>1098</v>
      </c>
      <c r="OF208" s="9"/>
      <c r="OG208" s="9" t="s">
        <v>1098</v>
      </c>
      <c r="OH208" s="9"/>
      <c r="OI208" s="9"/>
      <c r="OJ208" s="9"/>
      <c r="OK208" s="9"/>
      <c r="OL208" s="9"/>
      <c r="OM208" s="9"/>
      <c r="ON208" s="9"/>
      <c r="OO208" s="9"/>
      <c r="OP208" s="9"/>
      <c r="OQ208" s="9"/>
      <c r="OR208" s="9"/>
      <c r="OS208" s="9"/>
      <c r="OT208" s="9"/>
      <c r="OU208" s="9"/>
      <c r="OV208" s="9"/>
      <c r="OW208" s="9"/>
      <c r="OX208" s="9"/>
      <c r="OY208" s="9"/>
      <c r="OZ208" s="9"/>
      <c r="PA208" s="9"/>
      <c r="PB208" s="9"/>
      <c r="PC208" s="9"/>
      <c r="PD208" s="9"/>
      <c r="PE208" s="9"/>
      <c r="PF208" s="9"/>
      <c r="PG208" s="9"/>
      <c r="PH208" s="9"/>
      <c r="PI208" s="9"/>
      <c r="PJ208" s="9"/>
      <c r="PK208" s="9"/>
      <c r="PL208" s="9"/>
      <c r="PM208" s="9"/>
      <c r="PN208" s="9"/>
      <c r="PO208" s="9"/>
      <c r="PP208" s="9"/>
      <c r="PQ208" s="9"/>
      <c r="PR208" s="9"/>
      <c r="PS208" s="9"/>
      <c r="PT208" s="9"/>
      <c r="PU208" s="9"/>
      <c r="PV208" s="9"/>
      <c r="PW208" s="9"/>
      <c r="PX208" s="9"/>
      <c r="PY208" s="9"/>
      <c r="PZ208" s="9"/>
      <c r="QA208" s="9"/>
      <c r="QB208" s="9"/>
      <c r="QC208" s="9"/>
      <c r="QD208" s="9"/>
      <c r="QE208" s="9"/>
      <c r="QF208" s="9"/>
      <c r="QG208" s="9"/>
      <c r="QH208" s="9"/>
      <c r="QI208" s="9"/>
      <c r="QJ208" s="9"/>
      <c r="QK208" s="9"/>
      <c r="QL208" s="9"/>
      <c r="QM208" s="9"/>
      <c r="QN208" s="9"/>
      <c r="QO208" s="9"/>
      <c r="QP208" s="9"/>
      <c r="QQ208" s="67"/>
      <c r="QR208" s="68"/>
      <c r="QS208" s="63"/>
      <c r="QT208" s="71"/>
    </row>
    <row r="209" spans="1:462" s="11" customFormat="1" x14ac:dyDescent="0.2">
      <c r="A209" s="9">
        <v>10</v>
      </c>
      <c r="B209" s="9"/>
      <c r="C209" s="9"/>
      <c r="D209" s="9" t="s">
        <v>785</v>
      </c>
      <c r="E209" s="65" t="s">
        <v>797</v>
      </c>
      <c r="F209" s="65"/>
      <c r="G209" s="91" t="s">
        <v>2454</v>
      </c>
      <c r="H209" s="66" t="s">
        <v>1712</v>
      </c>
      <c r="I209" s="9" t="s">
        <v>1098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  <c r="HE209" s="9"/>
      <c r="HF209" s="9"/>
      <c r="HG209" s="9"/>
      <c r="HH209" s="9"/>
      <c r="HI209" s="9"/>
      <c r="HJ209" s="9"/>
      <c r="HK209" s="9"/>
      <c r="HL209" s="9"/>
      <c r="HM209" s="9"/>
      <c r="HN209" s="9"/>
      <c r="HO209" s="9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9"/>
      <c r="IC209" s="9"/>
      <c r="ID209" s="9"/>
      <c r="IE209" s="9"/>
      <c r="IF209" s="9"/>
      <c r="IG209" s="9"/>
      <c r="IH209" s="9"/>
      <c r="II209" s="9"/>
      <c r="IJ209" s="9"/>
      <c r="IK209" s="9"/>
      <c r="IL209" s="9"/>
      <c r="IM209" s="9"/>
      <c r="IN209" s="9"/>
      <c r="IO209" s="9"/>
      <c r="IP209" s="9"/>
      <c r="IQ209" s="9"/>
      <c r="IR209" s="9"/>
      <c r="IS209" s="9"/>
      <c r="IT209" s="9"/>
      <c r="IU209" s="9"/>
      <c r="IV209" s="9"/>
      <c r="IW209" s="9"/>
      <c r="IX209" s="9"/>
      <c r="IY209" s="9"/>
      <c r="IZ209" s="9"/>
      <c r="JA209" s="9"/>
      <c r="JB209" s="9"/>
      <c r="JC209" s="9"/>
      <c r="JD209" s="9"/>
      <c r="JE209" s="9"/>
      <c r="JF209" s="9"/>
      <c r="JG209" s="9"/>
      <c r="JH209" s="9"/>
      <c r="JI209" s="9"/>
      <c r="JJ209" s="9"/>
      <c r="JK209" s="9"/>
      <c r="JL209" s="9"/>
      <c r="JM209" s="9"/>
      <c r="JN209" s="9"/>
      <c r="JO209" s="9"/>
      <c r="JP209" s="9"/>
      <c r="JQ209" s="9"/>
      <c r="JR209" s="9"/>
      <c r="JS209" s="9"/>
      <c r="JT209" s="9"/>
      <c r="JU209" s="9"/>
      <c r="JV209" s="9"/>
      <c r="JW209" s="9"/>
      <c r="JX209" s="9"/>
      <c r="JY209" s="9"/>
      <c r="JZ209" s="9"/>
      <c r="KA209" s="9"/>
      <c r="KB209" s="9"/>
      <c r="KC209" s="9"/>
      <c r="KD209" s="9"/>
      <c r="KE209" s="9"/>
      <c r="KF209" s="9"/>
      <c r="KG209" s="9"/>
      <c r="KH209" s="9"/>
      <c r="KI209" s="9"/>
      <c r="KJ209" s="9"/>
      <c r="KK209" s="9"/>
      <c r="KL209" s="9"/>
      <c r="KM209" s="9"/>
      <c r="KN209" s="9"/>
      <c r="KO209" s="9"/>
      <c r="KP209" s="9"/>
      <c r="KQ209" s="9"/>
      <c r="KR209" s="9"/>
      <c r="KS209" s="9"/>
      <c r="KT209" s="9"/>
      <c r="KU209" s="9"/>
      <c r="KV209" s="9"/>
      <c r="KW209" s="9"/>
      <c r="KX209" s="9"/>
      <c r="KY209" s="9"/>
      <c r="KZ209" s="9"/>
      <c r="LA209" s="9"/>
      <c r="LB209" s="9"/>
      <c r="LC209" s="9"/>
      <c r="LD209" s="9"/>
      <c r="LE209" s="9"/>
      <c r="LF209" s="9"/>
      <c r="LG209" s="9"/>
      <c r="LH209" s="9"/>
      <c r="LI209" s="9"/>
      <c r="LJ209" s="9"/>
      <c r="LK209" s="9"/>
      <c r="LL209" s="9"/>
      <c r="LM209" s="9"/>
      <c r="LN209" s="9"/>
      <c r="LO209" s="9"/>
      <c r="LP209" s="9"/>
      <c r="LQ209" s="9"/>
      <c r="LR209" s="9"/>
      <c r="LS209" s="9"/>
      <c r="LT209" s="9"/>
      <c r="LU209" s="9"/>
      <c r="LV209" s="9"/>
      <c r="LW209" s="9"/>
      <c r="LX209" s="9"/>
      <c r="LY209" s="9"/>
      <c r="LZ209" s="9"/>
      <c r="MA209" s="9"/>
      <c r="MB209" s="9"/>
      <c r="MC209" s="9"/>
      <c r="MD209" s="9"/>
      <c r="ME209" s="9"/>
      <c r="MF209" s="9"/>
      <c r="MG209" s="9"/>
      <c r="MH209" s="9"/>
      <c r="MI209" s="9"/>
      <c r="MJ209" s="9"/>
      <c r="MK209" s="9"/>
      <c r="ML209" s="9"/>
      <c r="MM209" s="9"/>
      <c r="MN209" s="9"/>
      <c r="MO209" s="9"/>
      <c r="MP209" s="9"/>
      <c r="MQ209" s="9"/>
      <c r="MR209" s="9"/>
      <c r="MS209" s="9"/>
      <c r="MT209" s="9"/>
      <c r="MU209" s="9"/>
      <c r="MV209" s="9"/>
      <c r="MW209" s="9"/>
      <c r="MX209" s="9"/>
      <c r="MY209" s="9"/>
      <c r="MZ209" s="9"/>
      <c r="NA209" s="9"/>
      <c r="NB209" s="9"/>
      <c r="NC209" s="9"/>
      <c r="ND209" s="9"/>
      <c r="NE209" s="9"/>
      <c r="NF209" s="9"/>
      <c r="NG209" s="9"/>
      <c r="NH209" s="9"/>
      <c r="NI209" s="9"/>
      <c r="NJ209" s="9"/>
      <c r="NK209" s="9"/>
      <c r="NL209" s="9"/>
      <c r="NM209" s="9"/>
      <c r="NN209" s="9"/>
      <c r="NO209" s="9"/>
      <c r="NP209" s="9"/>
      <c r="NQ209" s="9"/>
      <c r="NR209" s="9"/>
      <c r="NS209" s="9"/>
      <c r="NT209" s="9"/>
      <c r="NU209" s="9"/>
      <c r="NV209" s="9"/>
      <c r="NW209" s="9"/>
      <c r="NX209" s="9"/>
      <c r="NY209" s="9"/>
      <c r="NZ209" s="9"/>
      <c r="OA209" s="9"/>
      <c r="OB209" s="9"/>
      <c r="OC209" s="9"/>
      <c r="OD209" s="9"/>
      <c r="OE209" s="9"/>
      <c r="OF209" s="9"/>
      <c r="OG209" s="9"/>
      <c r="OH209" s="9"/>
      <c r="OI209" s="9"/>
      <c r="OJ209" s="9"/>
      <c r="OK209" s="9"/>
      <c r="OL209" s="9"/>
      <c r="OM209" s="9" t="s">
        <v>1098</v>
      </c>
      <c r="ON209" s="9"/>
      <c r="OO209" s="9" t="s">
        <v>1098</v>
      </c>
      <c r="OP209" s="9"/>
      <c r="OQ209" s="9"/>
      <c r="OR209" s="9"/>
      <c r="OS209" s="9"/>
      <c r="OT209" s="9"/>
      <c r="OU209" s="9"/>
      <c r="OV209" s="9"/>
      <c r="OW209" s="9"/>
      <c r="OX209" s="9"/>
      <c r="OY209" s="9"/>
      <c r="OZ209" s="9"/>
      <c r="PA209" s="9"/>
      <c r="PB209" s="9"/>
      <c r="PC209" s="9"/>
      <c r="PD209" s="9"/>
      <c r="PE209" s="9"/>
      <c r="PF209" s="9"/>
      <c r="PG209" s="9"/>
      <c r="PH209" s="9"/>
      <c r="PI209" s="9"/>
      <c r="PJ209" s="9"/>
      <c r="PK209" s="9"/>
      <c r="PL209" s="9"/>
      <c r="PM209" s="9"/>
      <c r="PN209" s="9"/>
      <c r="PO209" s="9"/>
      <c r="PP209" s="9"/>
      <c r="PQ209" s="9"/>
      <c r="PR209" s="9"/>
      <c r="PS209" s="9"/>
      <c r="PT209" s="9"/>
      <c r="PU209" s="9"/>
      <c r="PV209" s="9"/>
      <c r="PW209" s="9"/>
      <c r="PX209" s="9"/>
      <c r="PY209" s="9"/>
      <c r="PZ209" s="9"/>
      <c r="QA209" s="9"/>
      <c r="QB209" s="9"/>
      <c r="QC209" s="9"/>
      <c r="QD209" s="9"/>
      <c r="QE209" s="9"/>
      <c r="QF209" s="9"/>
      <c r="QG209" s="9"/>
      <c r="QH209" s="9"/>
      <c r="QI209" s="9"/>
      <c r="QJ209" s="9"/>
      <c r="QK209" s="9"/>
      <c r="QL209" s="9"/>
      <c r="QM209" s="9"/>
      <c r="QN209" s="9"/>
      <c r="QO209" s="9"/>
      <c r="QP209" s="9"/>
      <c r="QQ209" s="67"/>
      <c r="QR209" s="68"/>
      <c r="QS209" s="63"/>
      <c r="QT209" s="71"/>
    </row>
    <row r="210" spans="1:462" s="11" customFormat="1" ht="26" x14ac:dyDescent="0.2">
      <c r="A210" s="9">
        <v>10</v>
      </c>
      <c r="B210" s="9"/>
      <c r="C210" s="9"/>
      <c r="D210" s="9" t="s">
        <v>787</v>
      </c>
      <c r="E210" s="65" t="s">
        <v>798</v>
      </c>
      <c r="F210" s="65"/>
      <c r="G210" s="92" t="s">
        <v>2456</v>
      </c>
      <c r="H210" s="66" t="s">
        <v>1713</v>
      </c>
      <c r="I210" s="9" t="s">
        <v>1098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  <c r="II210" s="9"/>
      <c r="IJ210" s="9"/>
      <c r="IK210" s="9"/>
      <c r="IL210" s="9"/>
      <c r="IM210" s="9"/>
      <c r="IN210" s="9"/>
      <c r="IO210" s="9"/>
      <c r="IP210" s="9"/>
      <c r="IQ210" s="9"/>
      <c r="IR210" s="9"/>
      <c r="IS210" s="9"/>
      <c r="IT210" s="9"/>
      <c r="IU210" s="9"/>
      <c r="IV210" s="9"/>
      <c r="IW210" s="9"/>
      <c r="IX210" s="9"/>
      <c r="IY210" s="9"/>
      <c r="IZ210" s="9"/>
      <c r="JA210" s="9"/>
      <c r="JB210" s="9"/>
      <c r="JC210" s="9"/>
      <c r="JD210" s="9"/>
      <c r="JE210" s="9"/>
      <c r="JF210" s="9"/>
      <c r="JG210" s="9"/>
      <c r="JH210" s="9"/>
      <c r="JI210" s="9"/>
      <c r="JJ210" s="9"/>
      <c r="JK210" s="9"/>
      <c r="JL210" s="9"/>
      <c r="JM210" s="9"/>
      <c r="JN210" s="9"/>
      <c r="JO210" s="9"/>
      <c r="JP210" s="9"/>
      <c r="JQ210" s="9"/>
      <c r="JR210" s="9"/>
      <c r="JS210" s="9"/>
      <c r="JT210" s="9"/>
      <c r="JU210" s="9"/>
      <c r="JV210" s="9"/>
      <c r="JW210" s="9"/>
      <c r="JX210" s="9"/>
      <c r="JY210" s="9"/>
      <c r="JZ210" s="9"/>
      <c r="KA210" s="9"/>
      <c r="KB210" s="9"/>
      <c r="KC210" s="9"/>
      <c r="KD210" s="9"/>
      <c r="KE210" s="9"/>
      <c r="KF210" s="9"/>
      <c r="KG210" s="9"/>
      <c r="KH210" s="9"/>
      <c r="KI210" s="9"/>
      <c r="KJ210" s="9"/>
      <c r="KK210" s="9"/>
      <c r="KL210" s="9"/>
      <c r="KM210" s="9"/>
      <c r="KN210" s="9"/>
      <c r="KO210" s="9"/>
      <c r="KP210" s="9"/>
      <c r="KQ210" s="9"/>
      <c r="KR210" s="9"/>
      <c r="KS210" s="9"/>
      <c r="KT210" s="9"/>
      <c r="KU210" s="9"/>
      <c r="KV210" s="9"/>
      <c r="KW210" s="9"/>
      <c r="KX210" s="9"/>
      <c r="KY210" s="9"/>
      <c r="KZ210" s="9"/>
      <c r="LA210" s="9"/>
      <c r="LB210" s="9"/>
      <c r="LC210" s="9"/>
      <c r="LD210" s="9"/>
      <c r="LE210" s="9"/>
      <c r="LF210" s="9"/>
      <c r="LG210" s="9"/>
      <c r="LH210" s="9"/>
      <c r="LI210" s="9"/>
      <c r="LJ210" s="9"/>
      <c r="LK210" s="9"/>
      <c r="LL210" s="9"/>
      <c r="LM210" s="9"/>
      <c r="LN210" s="9"/>
      <c r="LO210" s="9"/>
      <c r="LP210" s="9"/>
      <c r="LQ210" s="9"/>
      <c r="LR210" s="9"/>
      <c r="LS210" s="9"/>
      <c r="LT210" s="9"/>
      <c r="LU210" s="9"/>
      <c r="LV210" s="9"/>
      <c r="LW210" s="9"/>
      <c r="LX210" s="9"/>
      <c r="LY210" s="9"/>
      <c r="LZ210" s="9"/>
      <c r="MA210" s="9"/>
      <c r="MB210" s="9"/>
      <c r="MC210" s="9"/>
      <c r="MD210" s="9"/>
      <c r="ME210" s="9"/>
      <c r="MF210" s="9"/>
      <c r="MG210" s="9"/>
      <c r="MH210" s="9"/>
      <c r="MI210" s="9"/>
      <c r="MJ210" s="9"/>
      <c r="MK210" s="9"/>
      <c r="ML210" s="9"/>
      <c r="MM210" s="9"/>
      <c r="MN210" s="9"/>
      <c r="MO210" s="9"/>
      <c r="MP210" s="9"/>
      <c r="MQ210" s="9"/>
      <c r="MR210" s="9"/>
      <c r="MS210" s="9"/>
      <c r="MT210" s="9"/>
      <c r="MU210" s="9"/>
      <c r="MV210" s="9"/>
      <c r="MW210" s="9"/>
      <c r="MX210" s="9"/>
      <c r="MY210" s="9"/>
      <c r="MZ210" s="9"/>
      <c r="NA210" s="9"/>
      <c r="NB210" s="9"/>
      <c r="NC210" s="9"/>
      <c r="ND210" s="9"/>
      <c r="NE210" s="9"/>
      <c r="NF210" s="9"/>
      <c r="NG210" s="9"/>
      <c r="NH210" s="9"/>
      <c r="NI210" s="9"/>
      <c r="NJ210" s="9"/>
      <c r="NK210" s="9"/>
      <c r="NL210" s="9"/>
      <c r="NM210" s="9"/>
      <c r="NN210" s="9"/>
      <c r="NO210" s="9"/>
      <c r="NP210" s="9"/>
      <c r="NQ210" s="9"/>
      <c r="NR210" s="9"/>
      <c r="NS210" s="9"/>
      <c r="NT210" s="9"/>
      <c r="NU210" s="9"/>
      <c r="NV210" s="9"/>
      <c r="NW210" s="9"/>
      <c r="NX210" s="9"/>
      <c r="NY210" s="9"/>
      <c r="NZ210" s="9"/>
      <c r="OA210" s="9"/>
      <c r="OB210" s="9"/>
      <c r="OC210" s="9"/>
      <c r="OD210" s="9"/>
      <c r="OE210" s="9"/>
      <c r="OF210" s="9"/>
      <c r="OG210" s="9"/>
      <c r="OH210" s="9"/>
      <c r="OI210" s="9"/>
      <c r="OJ210" s="9"/>
      <c r="OK210" s="9"/>
      <c r="OL210" s="9"/>
      <c r="OM210" s="9" t="s">
        <v>1098</v>
      </c>
      <c r="ON210" s="9"/>
      <c r="OO210" s="9" t="s">
        <v>1098</v>
      </c>
      <c r="OP210" s="9"/>
      <c r="OQ210" s="9"/>
      <c r="OR210" s="9"/>
      <c r="OS210" s="9"/>
      <c r="OT210" s="9"/>
      <c r="OU210" s="9"/>
      <c r="OV210" s="9"/>
      <c r="OW210" s="9"/>
      <c r="OX210" s="9"/>
      <c r="OY210" s="9"/>
      <c r="OZ210" s="9"/>
      <c r="PA210" s="9"/>
      <c r="PB210" s="9"/>
      <c r="PC210" s="9"/>
      <c r="PD210" s="9"/>
      <c r="PE210" s="9"/>
      <c r="PF210" s="9"/>
      <c r="PG210" s="9"/>
      <c r="PH210" s="9"/>
      <c r="PI210" s="9"/>
      <c r="PJ210" s="9"/>
      <c r="PK210" s="9"/>
      <c r="PL210" s="9"/>
      <c r="PM210" s="9"/>
      <c r="PN210" s="9"/>
      <c r="PO210" s="9"/>
      <c r="PP210" s="9"/>
      <c r="PQ210" s="9"/>
      <c r="PR210" s="9"/>
      <c r="PS210" s="9"/>
      <c r="PT210" s="9"/>
      <c r="PU210" s="9"/>
      <c r="PV210" s="9"/>
      <c r="PW210" s="9"/>
      <c r="PX210" s="9"/>
      <c r="PY210" s="9"/>
      <c r="PZ210" s="9"/>
      <c r="QA210" s="9"/>
      <c r="QB210" s="9"/>
      <c r="QC210" s="9"/>
      <c r="QD210" s="9"/>
      <c r="QE210" s="9"/>
      <c r="QF210" s="9"/>
      <c r="QG210" s="9"/>
      <c r="QH210" s="9"/>
      <c r="QI210" s="9"/>
      <c r="QJ210" s="9"/>
      <c r="QK210" s="9"/>
      <c r="QL210" s="9"/>
      <c r="QM210" s="9"/>
      <c r="QN210" s="9"/>
      <c r="QO210" s="9"/>
      <c r="QP210" s="9"/>
      <c r="QQ210" s="67"/>
      <c r="QR210" s="68"/>
      <c r="QS210" s="63"/>
      <c r="QT210" s="71"/>
    </row>
    <row r="211" spans="1:462" s="11" customFormat="1" x14ac:dyDescent="0.2">
      <c r="A211" s="9">
        <v>10</v>
      </c>
      <c r="B211" s="9"/>
      <c r="C211" s="9"/>
      <c r="D211" s="9" t="s">
        <v>931</v>
      </c>
      <c r="E211" s="65" t="s">
        <v>934</v>
      </c>
      <c r="F211" s="65"/>
      <c r="G211" s="91" t="s">
        <v>2457</v>
      </c>
      <c r="H211" s="66" t="s">
        <v>1714</v>
      </c>
      <c r="I211" s="9" t="s">
        <v>1098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  <c r="HJ211" s="9"/>
      <c r="HK211" s="9"/>
      <c r="HL211" s="9"/>
      <c r="HM211" s="9"/>
      <c r="HN211" s="9"/>
      <c r="HO211" s="9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9"/>
      <c r="IC211" s="9"/>
      <c r="ID211" s="9"/>
      <c r="IE211" s="9"/>
      <c r="IF211" s="9"/>
      <c r="IG211" s="9"/>
      <c r="IH211" s="9"/>
      <c r="II211" s="9"/>
      <c r="IJ211" s="9"/>
      <c r="IK211" s="9"/>
      <c r="IL211" s="9"/>
      <c r="IM211" s="9"/>
      <c r="IN211" s="9"/>
      <c r="IO211" s="9"/>
      <c r="IP211" s="9"/>
      <c r="IQ211" s="9"/>
      <c r="IR211" s="9"/>
      <c r="IS211" s="9"/>
      <c r="IT211" s="9"/>
      <c r="IU211" s="9"/>
      <c r="IV211" s="9"/>
      <c r="IW211" s="9"/>
      <c r="IX211" s="9"/>
      <c r="IY211" s="9"/>
      <c r="IZ211" s="9"/>
      <c r="JA211" s="9"/>
      <c r="JB211" s="9"/>
      <c r="JC211" s="9"/>
      <c r="JD211" s="9"/>
      <c r="JE211" s="9"/>
      <c r="JF211" s="9"/>
      <c r="JG211" s="9"/>
      <c r="JH211" s="9"/>
      <c r="JI211" s="9"/>
      <c r="JJ211" s="9"/>
      <c r="JK211" s="9"/>
      <c r="JL211" s="9"/>
      <c r="JM211" s="9"/>
      <c r="JN211" s="9"/>
      <c r="JO211" s="9"/>
      <c r="JP211" s="9"/>
      <c r="JQ211" s="9"/>
      <c r="JR211" s="9"/>
      <c r="JS211" s="9"/>
      <c r="JT211" s="9"/>
      <c r="JU211" s="9"/>
      <c r="JV211" s="9"/>
      <c r="JW211" s="9"/>
      <c r="JX211" s="9"/>
      <c r="JY211" s="9"/>
      <c r="JZ211" s="9"/>
      <c r="KA211" s="9"/>
      <c r="KB211" s="9"/>
      <c r="KC211" s="9"/>
      <c r="KD211" s="9"/>
      <c r="KE211" s="9"/>
      <c r="KF211" s="9"/>
      <c r="KG211" s="9"/>
      <c r="KH211" s="9"/>
      <c r="KI211" s="9"/>
      <c r="KJ211" s="9"/>
      <c r="KK211" s="9"/>
      <c r="KL211" s="9"/>
      <c r="KM211" s="9"/>
      <c r="KN211" s="9"/>
      <c r="KO211" s="9"/>
      <c r="KP211" s="9"/>
      <c r="KQ211" s="9"/>
      <c r="KR211" s="9"/>
      <c r="KS211" s="9"/>
      <c r="KT211" s="9"/>
      <c r="KU211" s="9"/>
      <c r="KV211" s="9"/>
      <c r="KW211" s="9"/>
      <c r="KX211" s="9"/>
      <c r="KY211" s="9"/>
      <c r="KZ211" s="9"/>
      <c r="LA211" s="9"/>
      <c r="LB211" s="9"/>
      <c r="LC211" s="9"/>
      <c r="LD211" s="9"/>
      <c r="LE211" s="9"/>
      <c r="LF211" s="9"/>
      <c r="LG211" s="9"/>
      <c r="LH211" s="9"/>
      <c r="LI211" s="9"/>
      <c r="LJ211" s="9"/>
      <c r="LK211" s="9"/>
      <c r="LL211" s="9"/>
      <c r="LM211" s="9"/>
      <c r="LN211" s="9"/>
      <c r="LO211" s="9"/>
      <c r="LP211" s="9"/>
      <c r="LQ211" s="9"/>
      <c r="LR211" s="9"/>
      <c r="LS211" s="9"/>
      <c r="LT211" s="9"/>
      <c r="LU211" s="9"/>
      <c r="LV211" s="9"/>
      <c r="LW211" s="9"/>
      <c r="LX211" s="9"/>
      <c r="LY211" s="9"/>
      <c r="LZ211" s="9"/>
      <c r="MA211" s="9"/>
      <c r="MB211" s="9"/>
      <c r="MC211" s="9"/>
      <c r="MD211" s="9"/>
      <c r="ME211" s="9"/>
      <c r="MF211" s="9"/>
      <c r="MG211" s="9"/>
      <c r="MH211" s="9"/>
      <c r="MI211" s="9"/>
      <c r="MJ211" s="9"/>
      <c r="MK211" s="9"/>
      <c r="ML211" s="9"/>
      <c r="MM211" s="9"/>
      <c r="MN211" s="9"/>
      <c r="MO211" s="9"/>
      <c r="MP211" s="9"/>
      <c r="MQ211" s="9"/>
      <c r="MR211" s="9"/>
      <c r="MS211" s="9"/>
      <c r="MT211" s="9"/>
      <c r="MU211" s="9"/>
      <c r="MV211" s="9"/>
      <c r="MW211" s="9"/>
      <c r="MX211" s="9"/>
      <c r="MY211" s="9"/>
      <c r="MZ211" s="9"/>
      <c r="NA211" s="9"/>
      <c r="NB211" s="9"/>
      <c r="NC211" s="9"/>
      <c r="ND211" s="9"/>
      <c r="NE211" s="9"/>
      <c r="NF211" s="9"/>
      <c r="NG211" s="9"/>
      <c r="NH211" s="9"/>
      <c r="NI211" s="9"/>
      <c r="NJ211" s="9"/>
      <c r="NK211" s="9"/>
      <c r="NL211" s="9"/>
      <c r="NM211" s="9"/>
      <c r="NN211" s="9"/>
      <c r="NO211" s="9"/>
      <c r="NP211" s="9"/>
      <c r="NQ211" s="9"/>
      <c r="NR211" s="9"/>
      <c r="NS211" s="9"/>
      <c r="NT211" s="9"/>
      <c r="NU211" s="9"/>
      <c r="NV211" s="9"/>
      <c r="NW211" s="9"/>
      <c r="NX211" s="9"/>
      <c r="NY211" s="9"/>
      <c r="NZ211" s="9"/>
      <c r="OA211" s="9"/>
      <c r="OB211" s="9"/>
      <c r="OC211" s="9"/>
      <c r="OD211" s="9"/>
      <c r="OE211" s="9"/>
      <c r="OF211" s="9"/>
      <c r="OG211" s="9"/>
      <c r="OH211" s="9"/>
      <c r="OI211" s="9"/>
      <c r="OJ211" s="9"/>
      <c r="OK211" s="9"/>
      <c r="OL211" s="9"/>
      <c r="OM211" s="9"/>
      <c r="ON211" s="9"/>
      <c r="OO211" s="9"/>
      <c r="OP211" s="9"/>
      <c r="OQ211" s="9"/>
      <c r="OR211" s="9"/>
      <c r="OS211" s="9"/>
      <c r="OT211" s="9"/>
      <c r="OU211" s="9" t="s">
        <v>1098</v>
      </c>
      <c r="OV211" s="9"/>
      <c r="OW211" s="9" t="s">
        <v>1098</v>
      </c>
      <c r="OX211" s="9"/>
      <c r="OY211" s="9"/>
      <c r="OZ211" s="9"/>
      <c r="PA211" s="9"/>
      <c r="PB211" s="9"/>
      <c r="PC211" s="9"/>
      <c r="PD211" s="9"/>
      <c r="PE211" s="9"/>
      <c r="PF211" s="9"/>
      <c r="PG211" s="9"/>
      <c r="PH211" s="9"/>
      <c r="PI211" s="9"/>
      <c r="PJ211" s="9"/>
      <c r="PK211" s="9"/>
      <c r="PL211" s="9"/>
      <c r="PM211" s="9"/>
      <c r="PN211" s="9"/>
      <c r="PO211" s="9"/>
      <c r="PP211" s="9"/>
      <c r="PQ211" s="9"/>
      <c r="PR211" s="9"/>
      <c r="PS211" s="9"/>
      <c r="PT211" s="9"/>
      <c r="PU211" s="9"/>
      <c r="PV211" s="9"/>
      <c r="PW211" s="9"/>
      <c r="PX211" s="9"/>
      <c r="PY211" s="9"/>
      <c r="PZ211" s="9"/>
      <c r="QA211" s="9"/>
      <c r="QB211" s="9"/>
      <c r="QC211" s="9"/>
      <c r="QD211" s="9"/>
      <c r="QE211" s="9"/>
      <c r="QF211" s="9"/>
      <c r="QG211" s="9"/>
      <c r="QH211" s="9"/>
      <c r="QI211" s="9"/>
      <c r="QJ211" s="9"/>
      <c r="QK211" s="9"/>
      <c r="QL211" s="9"/>
      <c r="QM211" s="9"/>
      <c r="QN211" s="9"/>
      <c r="QO211" s="9"/>
      <c r="QP211" s="9"/>
      <c r="QQ211" s="67"/>
      <c r="QR211" s="68"/>
      <c r="QS211" s="63"/>
      <c r="QT211" s="71"/>
    </row>
    <row r="212" spans="1:462" s="11" customFormat="1" ht="26" x14ac:dyDescent="0.2">
      <c r="A212" s="9">
        <v>10</v>
      </c>
      <c r="B212" s="9"/>
      <c r="C212" s="9"/>
      <c r="D212" s="9" t="s">
        <v>933</v>
      </c>
      <c r="E212" s="65" t="s">
        <v>935</v>
      </c>
      <c r="F212" s="65"/>
      <c r="G212" s="92" t="s">
        <v>2459</v>
      </c>
      <c r="H212" s="66" t="s">
        <v>1715</v>
      </c>
      <c r="I212" s="9" t="s">
        <v>1098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  <c r="IW212" s="9"/>
      <c r="IX212" s="9"/>
      <c r="IY212" s="9"/>
      <c r="IZ212" s="9"/>
      <c r="JA212" s="9"/>
      <c r="JB212" s="9"/>
      <c r="JC212" s="9"/>
      <c r="JD212" s="9"/>
      <c r="JE212" s="9"/>
      <c r="JF212" s="9"/>
      <c r="JG212" s="9"/>
      <c r="JH212" s="9"/>
      <c r="JI212" s="9"/>
      <c r="JJ212" s="9"/>
      <c r="JK212" s="9"/>
      <c r="JL212" s="9"/>
      <c r="JM212" s="9"/>
      <c r="JN212" s="9"/>
      <c r="JO212" s="9"/>
      <c r="JP212" s="9"/>
      <c r="JQ212" s="9"/>
      <c r="JR212" s="9"/>
      <c r="JS212" s="9"/>
      <c r="JT212" s="9"/>
      <c r="JU212" s="9"/>
      <c r="JV212" s="9"/>
      <c r="JW212" s="9"/>
      <c r="JX212" s="9"/>
      <c r="JY212" s="9"/>
      <c r="JZ212" s="9"/>
      <c r="KA212" s="9"/>
      <c r="KB212" s="9"/>
      <c r="KC212" s="9"/>
      <c r="KD212" s="9"/>
      <c r="KE212" s="9"/>
      <c r="KF212" s="9"/>
      <c r="KG212" s="9"/>
      <c r="KH212" s="9"/>
      <c r="KI212" s="9"/>
      <c r="KJ212" s="9"/>
      <c r="KK212" s="9"/>
      <c r="KL212" s="9"/>
      <c r="KM212" s="9"/>
      <c r="KN212" s="9"/>
      <c r="KO212" s="9"/>
      <c r="KP212" s="9"/>
      <c r="KQ212" s="9"/>
      <c r="KR212" s="9"/>
      <c r="KS212" s="9"/>
      <c r="KT212" s="9"/>
      <c r="KU212" s="9"/>
      <c r="KV212" s="9"/>
      <c r="KW212" s="9"/>
      <c r="KX212" s="9"/>
      <c r="KY212" s="9"/>
      <c r="KZ212" s="9"/>
      <c r="LA212" s="9"/>
      <c r="LB212" s="9"/>
      <c r="LC212" s="9"/>
      <c r="LD212" s="9"/>
      <c r="LE212" s="9"/>
      <c r="LF212" s="9"/>
      <c r="LG212" s="9"/>
      <c r="LH212" s="9"/>
      <c r="LI212" s="9"/>
      <c r="LJ212" s="9"/>
      <c r="LK212" s="9"/>
      <c r="LL212" s="9"/>
      <c r="LM212" s="9"/>
      <c r="LN212" s="9"/>
      <c r="LO212" s="9"/>
      <c r="LP212" s="9"/>
      <c r="LQ212" s="9"/>
      <c r="LR212" s="9"/>
      <c r="LS212" s="9"/>
      <c r="LT212" s="9"/>
      <c r="LU212" s="9"/>
      <c r="LV212" s="9"/>
      <c r="LW212" s="9"/>
      <c r="LX212" s="9"/>
      <c r="LY212" s="9"/>
      <c r="LZ212" s="9"/>
      <c r="MA212" s="9"/>
      <c r="MB212" s="9"/>
      <c r="MC212" s="9"/>
      <c r="MD212" s="9"/>
      <c r="ME212" s="9"/>
      <c r="MF212" s="9"/>
      <c r="MG212" s="9"/>
      <c r="MH212" s="9"/>
      <c r="MI212" s="9"/>
      <c r="MJ212" s="9"/>
      <c r="MK212" s="9"/>
      <c r="ML212" s="9"/>
      <c r="MM212" s="9"/>
      <c r="MN212" s="9"/>
      <c r="MO212" s="9"/>
      <c r="MP212" s="9"/>
      <c r="MQ212" s="9"/>
      <c r="MR212" s="9"/>
      <c r="MS212" s="9"/>
      <c r="MT212" s="9"/>
      <c r="MU212" s="9"/>
      <c r="MV212" s="9"/>
      <c r="MW212" s="9"/>
      <c r="MX212" s="9"/>
      <c r="MY212" s="9"/>
      <c r="MZ212" s="9"/>
      <c r="NA212" s="9"/>
      <c r="NB212" s="9"/>
      <c r="NC212" s="9"/>
      <c r="ND212" s="9"/>
      <c r="NE212" s="9"/>
      <c r="NF212" s="9"/>
      <c r="NG212" s="9"/>
      <c r="NH212" s="9"/>
      <c r="NI212" s="9"/>
      <c r="NJ212" s="9"/>
      <c r="NK212" s="9"/>
      <c r="NL212" s="9"/>
      <c r="NM212" s="9"/>
      <c r="NN212" s="9"/>
      <c r="NO212" s="9"/>
      <c r="NP212" s="9"/>
      <c r="NQ212" s="9"/>
      <c r="NR212" s="9"/>
      <c r="NS212" s="9"/>
      <c r="NT212" s="9"/>
      <c r="NU212" s="9"/>
      <c r="NV212" s="9"/>
      <c r="NW212" s="9"/>
      <c r="NX212" s="9"/>
      <c r="NY212" s="9"/>
      <c r="NZ212" s="9"/>
      <c r="OA212" s="9"/>
      <c r="OB212" s="9"/>
      <c r="OC212" s="9"/>
      <c r="OD212" s="9"/>
      <c r="OE212" s="9"/>
      <c r="OF212" s="9"/>
      <c r="OG212" s="9"/>
      <c r="OH212" s="9"/>
      <c r="OI212" s="9"/>
      <c r="OJ212" s="9"/>
      <c r="OK212" s="9"/>
      <c r="OL212" s="9"/>
      <c r="OM212" s="9"/>
      <c r="ON212" s="9"/>
      <c r="OO212" s="9"/>
      <c r="OP212" s="9"/>
      <c r="OQ212" s="9"/>
      <c r="OR212" s="9"/>
      <c r="OS212" s="9"/>
      <c r="OT212" s="9"/>
      <c r="OU212" s="9" t="s">
        <v>1098</v>
      </c>
      <c r="OV212" s="9"/>
      <c r="OW212" s="9" t="s">
        <v>1098</v>
      </c>
      <c r="OX212" s="9"/>
      <c r="OY212" s="9"/>
      <c r="OZ212" s="9"/>
      <c r="PA212" s="9"/>
      <c r="PB212" s="9"/>
      <c r="PC212" s="9"/>
      <c r="PD212" s="9"/>
      <c r="PE212" s="9"/>
      <c r="PF212" s="9"/>
      <c r="PG212" s="9"/>
      <c r="PH212" s="9"/>
      <c r="PI212" s="9"/>
      <c r="PJ212" s="9"/>
      <c r="PK212" s="9"/>
      <c r="PL212" s="9"/>
      <c r="PM212" s="9"/>
      <c r="PN212" s="9"/>
      <c r="PO212" s="9"/>
      <c r="PP212" s="9"/>
      <c r="PQ212" s="9"/>
      <c r="PR212" s="9"/>
      <c r="PS212" s="9"/>
      <c r="PT212" s="9"/>
      <c r="PU212" s="9"/>
      <c r="PV212" s="9"/>
      <c r="PW212" s="9"/>
      <c r="PX212" s="9"/>
      <c r="PY212" s="9"/>
      <c r="PZ212" s="9"/>
      <c r="QA212" s="9"/>
      <c r="QB212" s="9"/>
      <c r="QC212" s="9"/>
      <c r="QD212" s="9"/>
      <c r="QE212" s="9"/>
      <c r="QF212" s="9"/>
      <c r="QG212" s="9"/>
      <c r="QH212" s="9"/>
      <c r="QI212" s="9"/>
      <c r="QJ212" s="9"/>
      <c r="QK212" s="9"/>
      <c r="QL212" s="9"/>
      <c r="QM212" s="9"/>
      <c r="QN212" s="9"/>
      <c r="QO212" s="9"/>
      <c r="QP212" s="9"/>
      <c r="QQ212" s="67"/>
      <c r="QR212" s="68"/>
      <c r="QS212" s="63"/>
      <c r="QT212" s="71"/>
    </row>
    <row r="213" spans="1:462" s="11" customFormat="1" ht="26" x14ac:dyDescent="0.2">
      <c r="A213" s="9">
        <v>10</v>
      </c>
      <c r="B213" s="9"/>
      <c r="C213" s="9"/>
      <c r="D213" s="9" t="s">
        <v>983</v>
      </c>
      <c r="E213" s="65" t="s">
        <v>985</v>
      </c>
      <c r="F213" s="65"/>
      <c r="G213" s="91" t="s">
        <v>2460</v>
      </c>
      <c r="H213" s="66" t="s">
        <v>1716</v>
      </c>
      <c r="I213" s="9" t="s">
        <v>1098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  <c r="II213" s="9"/>
      <c r="IJ213" s="9"/>
      <c r="IK213" s="9"/>
      <c r="IL213" s="9"/>
      <c r="IM213" s="9"/>
      <c r="IN213" s="9"/>
      <c r="IO213" s="9"/>
      <c r="IP213" s="9"/>
      <c r="IQ213" s="9"/>
      <c r="IR213" s="9"/>
      <c r="IS213" s="9"/>
      <c r="IT213" s="9"/>
      <c r="IU213" s="9"/>
      <c r="IV213" s="9"/>
      <c r="IW213" s="9"/>
      <c r="IX213" s="9"/>
      <c r="IY213" s="9"/>
      <c r="IZ213" s="9"/>
      <c r="JA213" s="9"/>
      <c r="JB213" s="9"/>
      <c r="JC213" s="9"/>
      <c r="JD213" s="9"/>
      <c r="JE213" s="9"/>
      <c r="JF213" s="9"/>
      <c r="JG213" s="9"/>
      <c r="JH213" s="9"/>
      <c r="JI213" s="9"/>
      <c r="JJ213" s="9"/>
      <c r="JK213" s="9"/>
      <c r="JL213" s="9"/>
      <c r="JM213" s="9"/>
      <c r="JN213" s="9"/>
      <c r="JO213" s="9"/>
      <c r="JP213" s="9"/>
      <c r="JQ213" s="9"/>
      <c r="JR213" s="9"/>
      <c r="JS213" s="9"/>
      <c r="JT213" s="9"/>
      <c r="JU213" s="9"/>
      <c r="JV213" s="9"/>
      <c r="JW213" s="9"/>
      <c r="JX213" s="9"/>
      <c r="JY213" s="9"/>
      <c r="JZ213" s="9"/>
      <c r="KA213" s="9"/>
      <c r="KB213" s="9"/>
      <c r="KC213" s="9"/>
      <c r="KD213" s="9"/>
      <c r="KE213" s="9"/>
      <c r="KF213" s="9"/>
      <c r="KG213" s="9"/>
      <c r="KH213" s="9"/>
      <c r="KI213" s="9"/>
      <c r="KJ213" s="9"/>
      <c r="KK213" s="9"/>
      <c r="KL213" s="9"/>
      <c r="KM213" s="9"/>
      <c r="KN213" s="9"/>
      <c r="KO213" s="9"/>
      <c r="KP213" s="9"/>
      <c r="KQ213" s="9"/>
      <c r="KR213" s="9"/>
      <c r="KS213" s="9"/>
      <c r="KT213" s="9"/>
      <c r="KU213" s="9"/>
      <c r="KV213" s="9"/>
      <c r="KW213" s="9"/>
      <c r="KX213" s="9"/>
      <c r="KY213" s="9"/>
      <c r="KZ213" s="9"/>
      <c r="LA213" s="9"/>
      <c r="LB213" s="9"/>
      <c r="LC213" s="9"/>
      <c r="LD213" s="9"/>
      <c r="LE213" s="9"/>
      <c r="LF213" s="9"/>
      <c r="LG213" s="9"/>
      <c r="LH213" s="9"/>
      <c r="LI213" s="9"/>
      <c r="LJ213" s="9"/>
      <c r="LK213" s="9"/>
      <c r="LL213" s="9"/>
      <c r="LM213" s="9"/>
      <c r="LN213" s="9"/>
      <c r="LO213" s="9"/>
      <c r="LP213" s="9"/>
      <c r="LQ213" s="9"/>
      <c r="LR213" s="9"/>
      <c r="LS213" s="9"/>
      <c r="LT213" s="9"/>
      <c r="LU213" s="9"/>
      <c r="LV213" s="9"/>
      <c r="LW213" s="9"/>
      <c r="LX213" s="9"/>
      <c r="LY213" s="9"/>
      <c r="LZ213" s="9"/>
      <c r="MA213" s="9"/>
      <c r="MB213" s="9"/>
      <c r="MC213" s="9"/>
      <c r="MD213" s="9"/>
      <c r="ME213" s="9"/>
      <c r="MF213" s="9"/>
      <c r="MG213" s="9"/>
      <c r="MH213" s="9"/>
      <c r="MI213" s="9"/>
      <c r="MJ213" s="9"/>
      <c r="MK213" s="9"/>
      <c r="ML213" s="9"/>
      <c r="MM213" s="9"/>
      <c r="MN213" s="9"/>
      <c r="MO213" s="9"/>
      <c r="MP213" s="9"/>
      <c r="MQ213" s="9"/>
      <c r="MR213" s="9"/>
      <c r="MS213" s="9"/>
      <c r="MT213" s="9"/>
      <c r="MU213" s="9"/>
      <c r="MV213" s="9"/>
      <c r="MW213" s="9"/>
      <c r="MX213" s="9"/>
      <c r="MY213" s="9"/>
      <c r="MZ213" s="9"/>
      <c r="NA213" s="9"/>
      <c r="NB213" s="9"/>
      <c r="NC213" s="9"/>
      <c r="ND213" s="9"/>
      <c r="NE213" s="9"/>
      <c r="NF213" s="9"/>
      <c r="NG213" s="9"/>
      <c r="NH213" s="9"/>
      <c r="NI213" s="9"/>
      <c r="NJ213" s="9"/>
      <c r="NK213" s="9"/>
      <c r="NL213" s="9"/>
      <c r="NM213" s="9"/>
      <c r="NN213" s="9"/>
      <c r="NO213" s="9"/>
      <c r="NP213" s="9"/>
      <c r="NQ213" s="9"/>
      <c r="NR213" s="9"/>
      <c r="NS213" s="9"/>
      <c r="NT213" s="9"/>
      <c r="NU213" s="9"/>
      <c r="NV213" s="9"/>
      <c r="NW213" s="9"/>
      <c r="NX213" s="9"/>
      <c r="NY213" s="9"/>
      <c r="NZ213" s="9"/>
      <c r="OA213" s="9"/>
      <c r="OB213" s="9"/>
      <c r="OC213" s="9"/>
      <c r="OD213" s="9"/>
      <c r="OE213" s="9"/>
      <c r="OF213" s="9"/>
      <c r="OG213" s="9"/>
      <c r="OH213" s="9"/>
      <c r="OI213" s="9"/>
      <c r="OJ213" s="9"/>
      <c r="OK213" s="9"/>
      <c r="OL213" s="9"/>
      <c r="OM213" s="9"/>
      <c r="ON213" s="9"/>
      <c r="OO213" s="9"/>
      <c r="OP213" s="9"/>
      <c r="OQ213" s="9"/>
      <c r="OR213" s="9"/>
      <c r="OS213" s="9"/>
      <c r="OT213" s="9"/>
      <c r="OU213" s="9"/>
      <c r="OV213" s="9"/>
      <c r="OW213" s="9"/>
      <c r="OX213" s="9"/>
      <c r="OY213" s="9"/>
      <c r="OZ213" s="9"/>
      <c r="PA213" s="9"/>
      <c r="PB213" s="9"/>
      <c r="PC213" s="9" t="s">
        <v>1098</v>
      </c>
      <c r="PD213" s="9"/>
      <c r="PE213" s="9" t="s">
        <v>1098</v>
      </c>
      <c r="PF213" s="9"/>
      <c r="PG213" s="9"/>
      <c r="PH213" s="9"/>
      <c r="PI213" s="9"/>
      <c r="PJ213" s="9"/>
      <c r="PK213" s="9"/>
      <c r="PL213" s="9"/>
      <c r="PM213" s="9"/>
      <c r="PN213" s="9"/>
      <c r="PO213" s="9"/>
      <c r="PP213" s="9"/>
      <c r="PQ213" s="9"/>
      <c r="PR213" s="9"/>
      <c r="PS213" s="9"/>
      <c r="PT213" s="9"/>
      <c r="PU213" s="9"/>
      <c r="PV213" s="9"/>
      <c r="PW213" s="9"/>
      <c r="PX213" s="9"/>
      <c r="PY213" s="9"/>
      <c r="PZ213" s="9"/>
      <c r="QA213" s="9"/>
      <c r="QB213" s="9"/>
      <c r="QC213" s="9"/>
      <c r="QD213" s="9"/>
      <c r="QE213" s="9"/>
      <c r="QF213" s="9"/>
      <c r="QG213" s="9"/>
      <c r="QH213" s="9"/>
      <c r="QI213" s="9"/>
      <c r="QJ213" s="9"/>
      <c r="QK213" s="9"/>
      <c r="QL213" s="9"/>
      <c r="QM213" s="9"/>
      <c r="QN213" s="9"/>
      <c r="QO213" s="9"/>
      <c r="QP213" s="9"/>
      <c r="QQ213" s="67"/>
      <c r="QR213" s="68"/>
      <c r="QS213" s="63"/>
      <c r="QT213" s="71"/>
    </row>
    <row r="214" spans="1:462" s="11" customFormat="1" ht="26" x14ac:dyDescent="0.2">
      <c r="A214" s="9">
        <v>10</v>
      </c>
      <c r="B214" s="9"/>
      <c r="C214" s="9"/>
      <c r="D214" s="9" t="s">
        <v>959</v>
      </c>
      <c r="E214" s="65" t="s">
        <v>961</v>
      </c>
      <c r="F214" s="65"/>
      <c r="G214" s="91" t="s">
        <v>2462</v>
      </c>
      <c r="H214" s="66" t="s">
        <v>1717</v>
      </c>
      <c r="I214" s="9" t="s">
        <v>1098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  <c r="IW214" s="9"/>
      <c r="IX214" s="9"/>
      <c r="IY214" s="9"/>
      <c r="IZ214" s="9"/>
      <c r="JA214" s="9"/>
      <c r="JB214" s="9"/>
      <c r="JC214" s="9"/>
      <c r="JD214" s="9"/>
      <c r="JE214" s="9"/>
      <c r="JF214" s="9"/>
      <c r="JG214" s="9"/>
      <c r="JH214" s="9"/>
      <c r="JI214" s="9"/>
      <c r="JJ214" s="9"/>
      <c r="JK214" s="9"/>
      <c r="JL214" s="9"/>
      <c r="JM214" s="9"/>
      <c r="JN214" s="9"/>
      <c r="JO214" s="9"/>
      <c r="JP214" s="9"/>
      <c r="JQ214" s="9"/>
      <c r="JR214" s="9"/>
      <c r="JS214" s="9"/>
      <c r="JT214" s="9"/>
      <c r="JU214" s="9"/>
      <c r="JV214" s="9"/>
      <c r="JW214" s="9"/>
      <c r="JX214" s="9"/>
      <c r="JY214" s="9"/>
      <c r="JZ214" s="9"/>
      <c r="KA214" s="9"/>
      <c r="KB214" s="9"/>
      <c r="KC214" s="9"/>
      <c r="KD214" s="9"/>
      <c r="KE214" s="9"/>
      <c r="KF214" s="9"/>
      <c r="KG214" s="9"/>
      <c r="KH214" s="9"/>
      <c r="KI214" s="9"/>
      <c r="KJ214" s="9"/>
      <c r="KK214" s="9"/>
      <c r="KL214" s="9"/>
      <c r="KM214" s="9"/>
      <c r="KN214" s="9"/>
      <c r="KO214" s="9"/>
      <c r="KP214" s="9"/>
      <c r="KQ214" s="9"/>
      <c r="KR214" s="9"/>
      <c r="KS214" s="9"/>
      <c r="KT214" s="9"/>
      <c r="KU214" s="9"/>
      <c r="KV214" s="9"/>
      <c r="KW214" s="9"/>
      <c r="KX214" s="9"/>
      <c r="KY214" s="9"/>
      <c r="KZ214" s="9"/>
      <c r="LA214" s="9"/>
      <c r="LB214" s="9"/>
      <c r="LC214" s="9"/>
      <c r="LD214" s="9"/>
      <c r="LE214" s="9"/>
      <c r="LF214" s="9"/>
      <c r="LG214" s="9"/>
      <c r="LH214" s="9"/>
      <c r="LI214" s="9"/>
      <c r="LJ214" s="9"/>
      <c r="LK214" s="9"/>
      <c r="LL214" s="9"/>
      <c r="LM214" s="9"/>
      <c r="LN214" s="9"/>
      <c r="LO214" s="9"/>
      <c r="LP214" s="9"/>
      <c r="LQ214" s="9"/>
      <c r="LR214" s="9"/>
      <c r="LS214" s="9"/>
      <c r="LT214" s="9"/>
      <c r="LU214" s="9"/>
      <c r="LV214" s="9"/>
      <c r="LW214" s="9"/>
      <c r="LX214" s="9"/>
      <c r="LY214" s="9"/>
      <c r="LZ214" s="9"/>
      <c r="MA214" s="9"/>
      <c r="MB214" s="9"/>
      <c r="MC214" s="9"/>
      <c r="MD214" s="9"/>
      <c r="ME214" s="9"/>
      <c r="MF214" s="9"/>
      <c r="MG214" s="9"/>
      <c r="MH214" s="9"/>
      <c r="MI214" s="9"/>
      <c r="MJ214" s="9"/>
      <c r="MK214" s="9"/>
      <c r="ML214" s="9"/>
      <c r="MM214" s="9"/>
      <c r="MN214" s="9"/>
      <c r="MO214" s="9"/>
      <c r="MP214" s="9"/>
      <c r="MQ214" s="9"/>
      <c r="MR214" s="9"/>
      <c r="MS214" s="9"/>
      <c r="MT214" s="9"/>
      <c r="MU214" s="9"/>
      <c r="MV214" s="9"/>
      <c r="MW214" s="9"/>
      <c r="MX214" s="9"/>
      <c r="MY214" s="9"/>
      <c r="MZ214" s="9"/>
      <c r="NA214" s="9"/>
      <c r="NB214" s="9"/>
      <c r="NC214" s="9"/>
      <c r="ND214" s="9"/>
      <c r="NE214" s="9"/>
      <c r="NF214" s="9"/>
      <c r="NG214" s="9"/>
      <c r="NH214" s="9"/>
      <c r="NI214" s="9"/>
      <c r="NJ214" s="9"/>
      <c r="NK214" s="9"/>
      <c r="NL214" s="9"/>
      <c r="NM214" s="9"/>
      <c r="NN214" s="9"/>
      <c r="NO214" s="9"/>
      <c r="NP214" s="9"/>
      <c r="NQ214" s="9"/>
      <c r="NR214" s="9"/>
      <c r="NS214" s="9"/>
      <c r="NT214" s="9"/>
      <c r="NU214" s="9"/>
      <c r="NV214" s="9"/>
      <c r="NW214" s="9"/>
      <c r="NX214" s="9"/>
      <c r="NY214" s="9"/>
      <c r="NZ214" s="9"/>
      <c r="OA214" s="9"/>
      <c r="OB214" s="9"/>
      <c r="OC214" s="9"/>
      <c r="OD214" s="9"/>
      <c r="OE214" s="9"/>
      <c r="OF214" s="9"/>
      <c r="OG214" s="9"/>
      <c r="OH214" s="9"/>
      <c r="OI214" s="9"/>
      <c r="OJ214" s="9"/>
      <c r="OK214" s="9"/>
      <c r="OL214" s="9"/>
      <c r="OM214" s="9"/>
      <c r="ON214" s="9"/>
      <c r="OO214" s="9"/>
      <c r="OP214" s="9"/>
      <c r="OQ214" s="9"/>
      <c r="OR214" s="9"/>
      <c r="OS214" s="9"/>
      <c r="OT214" s="9"/>
      <c r="OU214" s="9"/>
      <c r="OV214" s="9"/>
      <c r="OW214" s="9"/>
      <c r="OX214" s="9"/>
      <c r="OY214" s="9"/>
      <c r="OZ214" s="9"/>
      <c r="PA214" s="9"/>
      <c r="PB214" s="9"/>
      <c r="PC214" s="9" t="s">
        <v>1098</v>
      </c>
      <c r="PD214" s="9"/>
      <c r="PE214" s="9" t="s">
        <v>1098</v>
      </c>
      <c r="PF214" s="9"/>
      <c r="PG214" s="9"/>
      <c r="PH214" s="9"/>
      <c r="PI214" s="9"/>
      <c r="PJ214" s="9"/>
      <c r="PK214" s="9"/>
      <c r="PL214" s="9"/>
      <c r="PM214" s="9"/>
      <c r="PN214" s="9"/>
      <c r="PO214" s="9"/>
      <c r="PP214" s="9"/>
      <c r="PQ214" s="9"/>
      <c r="PR214" s="9"/>
      <c r="PS214" s="9"/>
      <c r="PT214" s="9"/>
      <c r="PU214" s="9"/>
      <c r="PV214" s="9"/>
      <c r="PW214" s="9"/>
      <c r="PX214" s="9"/>
      <c r="PY214" s="9"/>
      <c r="PZ214" s="9"/>
      <c r="QA214" s="9"/>
      <c r="QB214" s="9"/>
      <c r="QC214" s="9"/>
      <c r="QD214" s="9"/>
      <c r="QE214" s="9"/>
      <c r="QF214" s="9"/>
      <c r="QG214" s="9"/>
      <c r="QH214" s="9"/>
      <c r="QI214" s="9"/>
      <c r="QJ214" s="9"/>
      <c r="QK214" s="9"/>
      <c r="QL214" s="9"/>
      <c r="QM214" s="9"/>
      <c r="QN214" s="9"/>
      <c r="QO214" s="9"/>
      <c r="QP214" s="9"/>
      <c r="QQ214" s="67"/>
      <c r="QR214" s="68"/>
      <c r="QS214" s="63"/>
      <c r="QT214" s="71"/>
    </row>
    <row r="215" spans="1:462" s="11" customFormat="1" x14ac:dyDescent="0.2">
      <c r="A215" s="9">
        <v>10</v>
      </c>
      <c r="B215" s="9"/>
      <c r="C215" s="9"/>
      <c r="D215" s="9" t="s">
        <v>955</v>
      </c>
      <c r="E215" s="65" t="s">
        <v>980</v>
      </c>
      <c r="F215" s="65"/>
      <c r="G215" s="91" t="s">
        <v>2463</v>
      </c>
      <c r="H215" s="66" t="s">
        <v>1718</v>
      </c>
      <c r="I215" s="9" t="s">
        <v>1098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  <c r="II215" s="9"/>
      <c r="IJ215" s="9"/>
      <c r="IK215" s="9"/>
      <c r="IL215" s="9"/>
      <c r="IM215" s="9"/>
      <c r="IN215" s="9"/>
      <c r="IO215" s="9"/>
      <c r="IP215" s="9"/>
      <c r="IQ215" s="9"/>
      <c r="IR215" s="9"/>
      <c r="IS215" s="9"/>
      <c r="IT215" s="9"/>
      <c r="IU215" s="9"/>
      <c r="IV215" s="9"/>
      <c r="IW215" s="9"/>
      <c r="IX215" s="9"/>
      <c r="IY215" s="9"/>
      <c r="IZ215" s="9"/>
      <c r="JA215" s="9"/>
      <c r="JB215" s="9"/>
      <c r="JC215" s="9"/>
      <c r="JD215" s="9"/>
      <c r="JE215" s="9"/>
      <c r="JF215" s="9"/>
      <c r="JG215" s="9"/>
      <c r="JH215" s="9"/>
      <c r="JI215" s="9"/>
      <c r="JJ215" s="9"/>
      <c r="JK215" s="9"/>
      <c r="JL215" s="9"/>
      <c r="JM215" s="9"/>
      <c r="JN215" s="9"/>
      <c r="JO215" s="9"/>
      <c r="JP215" s="9"/>
      <c r="JQ215" s="9"/>
      <c r="JR215" s="9"/>
      <c r="JS215" s="9"/>
      <c r="JT215" s="9"/>
      <c r="JU215" s="9"/>
      <c r="JV215" s="9"/>
      <c r="JW215" s="9"/>
      <c r="JX215" s="9"/>
      <c r="JY215" s="9"/>
      <c r="JZ215" s="9"/>
      <c r="KA215" s="9"/>
      <c r="KB215" s="9"/>
      <c r="KC215" s="9"/>
      <c r="KD215" s="9"/>
      <c r="KE215" s="9"/>
      <c r="KF215" s="9"/>
      <c r="KG215" s="9"/>
      <c r="KH215" s="9"/>
      <c r="KI215" s="9"/>
      <c r="KJ215" s="9"/>
      <c r="KK215" s="9"/>
      <c r="KL215" s="9"/>
      <c r="KM215" s="9"/>
      <c r="KN215" s="9"/>
      <c r="KO215" s="9"/>
      <c r="KP215" s="9"/>
      <c r="KQ215" s="9"/>
      <c r="KR215" s="9"/>
      <c r="KS215" s="9"/>
      <c r="KT215" s="9"/>
      <c r="KU215" s="9"/>
      <c r="KV215" s="9"/>
      <c r="KW215" s="9"/>
      <c r="KX215" s="9"/>
      <c r="KY215" s="9"/>
      <c r="KZ215" s="9"/>
      <c r="LA215" s="9"/>
      <c r="LB215" s="9"/>
      <c r="LC215" s="9"/>
      <c r="LD215" s="9"/>
      <c r="LE215" s="9"/>
      <c r="LF215" s="9"/>
      <c r="LG215" s="9"/>
      <c r="LH215" s="9"/>
      <c r="LI215" s="9"/>
      <c r="LJ215" s="9"/>
      <c r="LK215" s="9"/>
      <c r="LL215" s="9"/>
      <c r="LM215" s="9"/>
      <c r="LN215" s="9"/>
      <c r="LO215" s="9"/>
      <c r="LP215" s="9"/>
      <c r="LQ215" s="9"/>
      <c r="LR215" s="9"/>
      <c r="LS215" s="9"/>
      <c r="LT215" s="9"/>
      <c r="LU215" s="9"/>
      <c r="LV215" s="9"/>
      <c r="LW215" s="9"/>
      <c r="LX215" s="9"/>
      <c r="LY215" s="9"/>
      <c r="LZ215" s="9"/>
      <c r="MA215" s="9"/>
      <c r="MB215" s="9"/>
      <c r="MC215" s="9"/>
      <c r="MD215" s="9"/>
      <c r="ME215" s="9"/>
      <c r="MF215" s="9"/>
      <c r="MG215" s="9"/>
      <c r="MH215" s="9"/>
      <c r="MI215" s="9"/>
      <c r="MJ215" s="9"/>
      <c r="MK215" s="9"/>
      <c r="ML215" s="9"/>
      <c r="MM215" s="9"/>
      <c r="MN215" s="9"/>
      <c r="MO215" s="9"/>
      <c r="MP215" s="9"/>
      <c r="MQ215" s="9"/>
      <c r="MR215" s="9"/>
      <c r="MS215" s="9"/>
      <c r="MT215" s="9"/>
      <c r="MU215" s="9"/>
      <c r="MV215" s="9"/>
      <c r="MW215" s="9"/>
      <c r="MX215" s="9"/>
      <c r="MY215" s="9"/>
      <c r="MZ215" s="9"/>
      <c r="NA215" s="9"/>
      <c r="NB215" s="9"/>
      <c r="NC215" s="9"/>
      <c r="ND215" s="9"/>
      <c r="NE215" s="9"/>
      <c r="NF215" s="9"/>
      <c r="NG215" s="9"/>
      <c r="NH215" s="9"/>
      <c r="NI215" s="9"/>
      <c r="NJ215" s="9"/>
      <c r="NK215" s="9"/>
      <c r="NL215" s="9"/>
      <c r="NM215" s="9"/>
      <c r="NN215" s="9"/>
      <c r="NO215" s="9"/>
      <c r="NP215" s="9"/>
      <c r="NQ215" s="9"/>
      <c r="NR215" s="9"/>
      <c r="NS215" s="9"/>
      <c r="NT215" s="9"/>
      <c r="NU215" s="9"/>
      <c r="NV215" s="9"/>
      <c r="NW215" s="9"/>
      <c r="NX215" s="9"/>
      <c r="NY215" s="9"/>
      <c r="NZ215" s="9"/>
      <c r="OA215" s="9"/>
      <c r="OB215" s="9"/>
      <c r="OC215" s="9"/>
      <c r="OD215" s="9"/>
      <c r="OE215" s="9"/>
      <c r="OF215" s="9"/>
      <c r="OG215" s="9"/>
      <c r="OH215" s="9"/>
      <c r="OI215" s="9"/>
      <c r="OJ215" s="9"/>
      <c r="OK215" s="9"/>
      <c r="OL215" s="9"/>
      <c r="OM215" s="9"/>
      <c r="ON215" s="9"/>
      <c r="OO215" s="9"/>
      <c r="OP215" s="9"/>
      <c r="OQ215" s="9"/>
      <c r="OR215" s="9"/>
      <c r="OS215" s="9"/>
      <c r="OT215" s="9"/>
      <c r="OU215" s="9"/>
      <c r="OV215" s="9"/>
      <c r="OW215" s="9"/>
      <c r="OX215" s="9"/>
      <c r="OY215" s="9"/>
      <c r="OZ215" s="9"/>
      <c r="PA215" s="9"/>
      <c r="PB215" s="9"/>
      <c r="PC215" s="9"/>
      <c r="PD215" s="9"/>
      <c r="PE215" s="9"/>
      <c r="PF215" s="9"/>
      <c r="PG215" s="9"/>
      <c r="PH215" s="9"/>
      <c r="PI215" s="9"/>
      <c r="PJ215" s="9"/>
      <c r="PK215" s="9" t="s">
        <v>1098</v>
      </c>
      <c r="PL215" s="9"/>
      <c r="PM215" s="9" t="s">
        <v>1098</v>
      </c>
      <c r="PN215" s="9"/>
      <c r="PO215" s="9"/>
      <c r="PP215" s="9"/>
      <c r="PQ215" s="9"/>
      <c r="PR215" s="9"/>
      <c r="PS215" s="9"/>
      <c r="PT215" s="9"/>
      <c r="PU215" s="9"/>
      <c r="PV215" s="9"/>
      <c r="PW215" s="9"/>
      <c r="PX215" s="9"/>
      <c r="PY215" s="9"/>
      <c r="PZ215" s="9"/>
      <c r="QA215" s="9"/>
      <c r="QB215" s="9"/>
      <c r="QC215" s="9"/>
      <c r="QD215" s="9"/>
      <c r="QE215" s="9"/>
      <c r="QF215" s="9"/>
      <c r="QG215" s="9"/>
      <c r="QH215" s="9"/>
      <c r="QI215" s="9"/>
      <c r="QJ215" s="9"/>
      <c r="QK215" s="9"/>
      <c r="QL215" s="9"/>
      <c r="QM215" s="9"/>
      <c r="QN215" s="9"/>
      <c r="QO215" s="9"/>
      <c r="QP215" s="9"/>
      <c r="QQ215" s="67"/>
      <c r="QR215" s="68"/>
      <c r="QS215" s="63"/>
      <c r="QT215" s="71"/>
    </row>
    <row r="216" spans="1:462" s="11" customFormat="1" ht="26" x14ac:dyDescent="0.2">
      <c r="A216" s="9">
        <v>10</v>
      </c>
      <c r="B216" s="9"/>
      <c r="C216" s="9"/>
      <c r="D216" s="9" t="s">
        <v>968</v>
      </c>
      <c r="E216" s="65" t="s">
        <v>966</v>
      </c>
      <c r="F216" s="65"/>
      <c r="G216" s="92" t="s">
        <v>2465</v>
      </c>
      <c r="H216" s="66" t="s">
        <v>1719</v>
      </c>
      <c r="I216" s="9" t="s">
        <v>1098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  <c r="HE216" s="9"/>
      <c r="HF216" s="9"/>
      <c r="HG216" s="9"/>
      <c r="HH216" s="9"/>
      <c r="HI216" s="9"/>
      <c r="HJ216" s="9"/>
      <c r="HK216" s="9"/>
      <c r="HL216" s="9"/>
      <c r="HM216" s="9"/>
      <c r="HN216" s="9"/>
      <c r="HO216" s="9"/>
      <c r="HP216" s="9"/>
      <c r="HQ216" s="9"/>
      <c r="HR216" s="9"/>
      <c r="HS216" s="9"/>
      <c r="HT216" s="9"/>
      <c r="HU216" s="9"/>
      <c r="HV216" s="9"/>
      <c r="HW216" s="9"/>
      <c r="HX216" s="9"/>
      <c r="HY216" s="9"/>
      <c r="HZ216" s="9"/>
      <c r="IA216" s="9"/>
      <c r="IB216" s="9"/>
      <c r="IC216" s="9"/>
      <c r="ID216" s="9"/>
      <c r="IE216" s="9"/>
      <c r="IF216" s="9"/>
      <c r="IG216" s="9"/>
      <c r="IH216" s="9"/>
      <c r="II216" s="9"/>
      <c r="IJ216" s="9"/>
      <c r="IK216" s="9"/>
      <c r="IL216" s="9"/>
      <c r="IM216" s="9"/>
      <c r="IN216" s="9"/>
      <c r="IO216" s="9"/>
      <c r="IP216" s="9"/>
      <c r="IQ216" s="9"/>
      <c r="IR216" s="9"/>
      <c r="IS216" s="9"/>
      <c r="IT216" s="9"/>
      <c r="IU216" s="9"/>
      <c r="IV216" s="9"/>
      <c r="IW216" s="9"/>
      <c r="IX216" s="9"/>
      <c r="IY216" s="9"/>
      <c r="IZ216" s="9"/>
      <c r="JA216" s="9"/>
      <c r="JB216" s="9"/>
      <c r="JC216" s="9"/>
      <c r="JD216" s="9"/>
      <c r="JE216" s="9"/>
      <c r="JF216" s="9"/>
      <c r="JG216" s="9"/>
      <c r="JH216" s="9"/>
      <c r="JI216" s="9"/>
      <c r="JJ216" s="9"/>
      <c r="JK216" s="9"/>
      <c r="JL216" s="9"/>
      <c r="JM216" s="9"/>
      <c r="JN216" s="9"/>
      <c r="JO216" s="9"/>
      <c r="JP216" s="9"/>
      <c r="JQ216" s="9"/>
      <c r="JR216" s="9"/>
      <c r="JS216" s="9"/>
      <c r="JT216" s="9"/>
      <c r="JU216" s="9"/>
      <c r="JV216" s="9"/>
      <c r="JW216" s="9"/>
      <c r="JX216" s="9"/>
      <c r="JY216" s="9"/>
      <c r="JZ216" s="9"/>
      <c r="KA216" s="9"/>
      <c r="KB216" s="9"/>
      <c r="KC216" s="9"/>
      <c r="KD216" s="9"/>
      <c r="KE216" s="9"/>
      <c r="KF216" s="9"/>
      <c r="KG216" s="9"/>
      <c r="KH216" s="9"/>
      <c r="KI216" s="9"/>
      <c r="KJ216" s="9"/>
      <c r="KK216" s="9"/>
      <c r="KL216" s="9"/>
      <c r="KM216" s="9"/>
      <c r="KN216" s="9"/>
      <c r="KO216" s="9"/>
      <c r="KP216" s="9"/>
      <c r="KQ216" s="9"/>
      <c r="KR216" s="9"/>
      <c r="KS216" s="9"/>
      <c r="KT216" s="9"/>
      <c r="KU216" s="9"/>
      <c r="KV216" s="9"/>
      <c r="KW216" s="9"/>
      <c r="KX216" s="9"/>
      <c r="KY216" s="9"/>
      <c r="KZ216" s="9"/>
      <c r="LA216" s="9"/>
      <c r="LB216" s="9"/>
      <c r="LC216" s="9"/>
      <c r="LD216" s="9"/>
      <c r="LE216" s="9"/>
      <c r="LF216" s="9"/>
      <c r="LG216" s="9"/>
      <c r="LH216" s="9"/>
      <c r="LI216" s="9"/>
      <c r="LJ216" s="9"/>
      <c r="LK216" s="9"/>
      <c r="LL216" s="9"/>
      <c r="LM216" s="9"/>
      <c r="LN216" s="9"/>
      <c r="LO216" s="9"/>
      <c r="LP216" s="9"/>
      <c r="LQ216" s="9"/>
      <c r="LR216" s="9"/>
      <c r="LS216" s="9"/>
      <c r="LT216" s="9"/>
      <c r="LU216" s="9"/>
      <c r="LV216" s="9"/>
      <c r="LW216" s="9"/>
      <c r="LX216" s="9"/>
      <c r="LY216" s="9"/>
      <c r="LZ216" s="9"/>
      <c r="MA216" s="9"/>
      <c r="MB216" s="9"/>
      <c r="MC216" s="9"/>
      <c r="MD216" s="9"/>
      <c r="ME216" s="9"/>
      <c r="MF216" s="9"/>
      <c r="MG216" s="9"/>
      <c r="MH216" s="9"/>
      <c r="MI216" s="9"/>
      <c r="MJ216" s="9"/>
      <c r="MK216" s="9"/>
      <c r="ML216" s="9"/>
      <c r="MM216" s="9"/>
      <c r="MN216" s="9"/>
      <c r="MO216" s="9"/>
      <c r="MP216" s="9"/>
      <c r="MQ216" s="9"/>
      <c r="MR216" s="9"/>
      <c r="MS216" s="9"/>
      <c r="MT216" s="9"/>
      <c r="MU216" s="9"/>
      <c r="MV216" s="9"/>
      <c r="MW216" s="9"/>
      <c r="MX216" s="9"/>
      <c r="MY216" s="9"/>
      <c r="MZ216" s="9"/>
      <c r="NA216" s="9"/>
      <c r="NB216" s="9"/>
      <c r="NC216" s="9"/>
      <c r="ND216" s="9"/>
      <c r="NE216" s="9"/>
      <c r="NF216" s="9"/>
      <c r="NG216" s="9"/>
      <c r="NH216" s="9"/>
      <c r="NI216" s="9"/>
      <c r="NJ216" s="9"/>
      <c r="NK216" s="9"/>
      <c r="NL216" s="9"/>
      <c r="NM216" s="9"/>
      <c r="NN216" s="9"/>
      <c r="NO216" s="9"/>
      <c r="NP216" s="9"/>
      <c r="NQ216" s="9"/>
      <c r="NR216" s="9"/>
      <c r="NS216" s="9"/>
      <c r="NT216" s="9"/>
      <c r="NU216" s="9"/>
      <c r="NV216" s="9"/>
      <c r="NW216" s="9"/>
      <c r="NX216" s="9"/>
      <c r="NY216" s="9"/>
      <c r="NZ216" s="9"/>
      <c r="OA216" s="9"/>
      <c r="OB216" s="9"/>
      <c r="OC216" s="9"/>
      <c r="OD216" s="9"/>
      <c r="OE216" s="9"/>
      <c r="OF216" s="9"/>
      <c r="OG216" s="9"/>
      <c r="OH216" s="9"/>
      <c r="OI216" s="9"/>
      <c r="OJ216" s="9"/>
      <c r="OK216" s="9"/>
      <c r="OL216" s="9"/>
      <c r="OM216" s="9"/>
      <c r="ON216" s="9"/>
      <c r="OO216" s="9"/>
      <c r="OP216" s="9"/>
      <c r="OQ216" s="9"/>
      <c r="OR216" s="9"/>
      <c r="OS216" s="9"/>
      <c r="OT216" s="9"/>
      <c r="OU216" s="9"/>
      <c r="OV216" s="9"/>
      <c r="OW216" s="9"/>
      <c r="OX216" s="9"/>
      <c r="OY216" s="9"/>
      <c r="OZ216" s="9"/>
      <c r="PA216" s="9"/>
      <c r="PB216" s="9"/>
      <c r="PC216" s="9"/>
      <c r="PD216" s="9"/>
      <c r="PE216" s="9"/>
      <c r="PF216" s="9"/>
      <c r="PG216" s="9"/>
      <c r="PH216" s="9"/>
      <c r="PI216" s="9"/>
      <c r="PJ216" s="9"/>
      <c r="PK216" s="9" t="s">
        <v>1098</v>
      </c>
      <c r="PL216" s="9"/>
      <c r="PM216" s="9" t="s">
        <v>1098</v>
      </c>
      <c r="PN216" s="9"/>
      <c r="PO216" s="9"/>
      <c r="PP216" s="9"/>
      <c r="PQ216" s="9"/>
      <c r="PR216" s="9"/>
      <c r="PS216" s="9"/>
      <c r="PT216" s="9"/>
      <c r="PU216" s="9"/>
      <c r="PV216" s="9"/>
      <c r="PW216" s="9"/>
      <c r="PX216" s="9"/>
      <c r="PY216" s="9"/>
      <c r="PZ216" s="9"/>
      <c r="QA216" s="9"/>
      <c r="QB216" s="9"/>
      <c r="QC216" s="9"/>
      <c r="QD216" s="9"/>
      <c r="QE216" s="9"/>
      <c r="QF216" s="9"/>
      <c r="QG216" s="9"/>
      <c r="QH216" s="9"/>
      <c r="QI216" s="9"/>
      <c r="QJ216" s="9"/>
      <c r="QK216" s="9"/>
      <c r="QL216" s="9"/>
      <c r="QM216" s="9"/>
      <c r="QN216" s="9"/>
      <c r="QO216" s="9"/>
      <c r="QP216" s="9"/>
      <c r="QQ216" s="67"/>
      <c r="QR216" s="68"/>
      <c r="QS216" s="63"/>
      <c r="QT216" s="71"/>
    </row>
    <row r="217" spans="1:462" s="11" customFormat="1" x14ac:dyDescent="0.2">
      <c r="A217" s="9">
        <v>10</v>
      </c>
      <c r="B217" s="9"/>
      <c r="C217" s="9"/>
      <c r="D217" s="9" t="s">
        <v>956</v>
      </c>
      <c r="E217" s="65" t="s">
        <v>972</v>
      </c>
      <c r="F217" s="65"/>
      <c r="G217" s="91" t="s">
        <v>2466</v>
      </c>
      <c r="H217" s="66" t="s">
        <v>1720</v>
      </c>
      <c r="I217" s="9" t="s">
        <v>1098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  <c r="HE217" s="9"/>
      <c r="HF217" s="9"/>
      <c r="HG217" s="9"/>
      <c r="HH217" s="9"/>
      <c r="HI217" s="9"/>
      <c r="HJ217" s="9"/>
      <c r="HK217" s="9"/>
      <c r="HL217" s="9"/>
      <c r="HM217" s="9"/>
      <c r="HN217" s="9"/>
      <c r="HO217" s="9"/>
      <c r="HP217" s="9"/>
      <c r="HQ217" s="9"/>
      <c r="HR217" s="9"/>
      <c r="HS217" s="9"/>
      <c r="HT217" s="9"/>
      <c r="HU217" s="9"/>
      <c r="HV217" s="9"/>
      <c r="HW217" s="9"/>
      <c r="HX217" s="9"/>
      <c r="HY217" s="9"/>
      <c r="HZ217" s="9"/>
      <c r="IA217" s="9"/>
      <c r="IB217" s="9"/>
      <c r="IC217" s="9"/>
      <c r="ID217" s="9"/>
      <c r="IE217" s="9"/>
      <c r="IF217" s="9"/>
      <c r="IG217" s="9"/>
      <c r="IH217" s="9"/>
      <c r="II217" s="9"/>
      <c r="IJ217" s="9"/>
      <c r="IK217" s="9"/>
      <c r="IL217" s="9"/>
      <c r="IM217" s="9"/>
      <c r="IN217" s="9"/>
      <c r="IO217" s="9"/>
      <c r="IP217" s="9"/>
      <c r="IQ217" s="9"/>
      <c r="IR217" s="9"/>
      <c r="IS217" s="9"/>
      <c r="IT217" s="9"/>
      <c r="IU217" s="9"/>
      <c r="IV217" s="9"/>
      <c r="IW217" s="9"/>
      <c r="IX217" s="9"/>
      <c r="IY217" s="9"/>
      <c r="IZ217" s="9"/>
      <c r="JA217" s="9"/>
      <c r="JB217" s="9"/>
      <c r="JC217" s="9"/>
      <c r="JD217" s="9"/>
      <c r="JE217" s="9"/>
      <c r="JF217" s="9"/>
      <c r="JG217" s="9"/>
      <c r="JH217" s="9"/>
      <c r="JI217" s="9"/>
      <c r="JJ217" s="9"/>
      <c r="JK217" s="9"/>
      <c r="JL217" s="9"/>
      <c r="JM217" s="9"/>
      <c r="JN217" s="9"/>
      <c r="JO217" s="9"/>
      <c r="JP217" s="9"/>
      <c r="JQ217" s="9"/>
      <c r="JR217" s="9"/>
      <c r="JS217" s="9"/>
      <c r="JT217" s="9"/>
      <c r="JU217" s="9"/>
      <c r="JV217" s="9"/>
      <c r="JW217" s="9"/>
      <c r="JX217" s="9"/>
      <c r="JY217" s="9"/>
      <c r="JZ217" s="9"/>
      <c r="KA217" s="9"/>
      <c r="KB217" s="9"/>
      <c r="KC217" s="9"/>
      <c r="KD217" s="9"/>
      <c r="KE217" s="9"/>
      <c r="KF217" s="9"/>
      <c r="KG217" s="9"/>
      <c r="KH217" s="9"/>
      <c r="KI217" s="9"/>
      <c r="KJ217" s="9"/>
      <c r="KK217" s="9"/>
      <c r="KL217" s="9"/>
      <c r="KM217" s="9"/>
      <c r="KN217" s="9"/>
      <c r="KO217" s="9"/>
      <c r="KP217" s="9"/>
      <c r="KQ217" s="9"/>
      <c r="KR217" s="9"/>
      <c r="KS217" s="9"/>
      <c r="KT217" s="9"/>
      <c r="KU217" s="9"/>
      <c r="KV217" s="9"/>
      <c r="KW217" s="9"/>
      <c r="KX217" s="9"/>
      <c r="KY217" s="9"/>
      <c r="KZ217" s="9"/>
      <c r="LA217" s="9"/>
      <c r="LB217" s="9"/>
      <c r="LC217" s="9"/>
      <c r="LD217" s="9"/>
      <c r="LE217" s="9"/>
      <c r="LF217" s="9"/>
      <c r="LG217" s="9"/>
      <c r="LH217" s="9"/>
      <c r="LI217" s="9"/>
      <c r="LJ217" s="9"/>
      <c r="LK217" s="9"/>
      <c r="LL217" s="9"/>
      <c r="LM217" s="9"/>
      <c r="LN217" s="9"/>
      <c r="LO217" s="9"/>
      <c r="LP217" s="9"/>
      <c r="LQ217" s="9"/>
      <c r="LR217" s="9"/>
      <c r="LS217" s="9"/>
      <c r="LT217" s="9"/>
      <c r="LU217" s="9"/>
      <c r="LV217" s="9"/>
      <c r="LW217" s="9"/>
      <c r="LX217" s="9"/>
      <c r="LY217" s="9"/>
      <c r="LZ217" s="9"/>
      <c r="MA217" s="9"/>
      <c r="MB217" s="9"/>
      <c r="MC217" s="9"/>
      <c r="MD217" s="9"/>
      <c r="ME217" s="9"/>
      <c r="MF217" s="9"/>
      <c r="MG217" s="9"/>
      <c r="MH217" s="9"/>
      <c r="MI217" s="9"/>
      <c r="MJ217" s="9"/>
      <c r="MK217" s="9"/>
      <c r="ML217" s="9"/>
      <c r="MM217" s="9"/>
      <c r="MN217" s="9"/>
      <c r="MO217" s="9"/>
      <c r="MP217" s="9"/>
      <c r="MQ217" s="9"/>
      <c r="MR217" s="9"/>
      <c r="MS217" s="9"/>
      <c r="MT217" s="9"/>
      <c r="MU217" s="9"/>
      <c r="MV217" s="9"/>
      <c r="MW217" s="9"/>
      <c r="MX217" s="9"/>
      <c r="MY217" s="9"/>
      <c r="MZ217" s="9"/>
      <c r="NA217" s="9"/>
      <c r="NB217" s="9"/>
      <c r="NC217" s="9"/>
      <c r="ND217" s="9"/>
      <c r="NE217" s="9"/>
      <c r="NF217" s="9"/>
      <c r="NG217" s="9"/>
      <c r="NH217" s="9"/>
      <c r="NI217" s="9"/>
      <c r="NJ217" s="9"/>
      <c r="NK217" s="9"/>
      <c r="NL217" s="9"/>
      <c r="NM217" s="9"/>
      <c r="NN217" s="9"/>
      <c r="NO217" s="9"/>
      <c r="NP217" s="9"/>
      <c r="NQ217" s="9"/>
      <c r="NR217" s="9"/>
      <c r="NS217" s="9"/>
      <c r="NT217" s="9"/>
      <c r="NU217" s="9"/>
      <c r="NV217" s="9"/>
      <c r="NW217" s="9"/>
      <c r="NX217" s="9"/>
      <c r="NY217" s="9"/>
      <c r="NZ217" s="9"/>
      <c r="OA217" s="9"/>
      <c r="OB217" s="9"/>
      <c r="OC217" s="9"/>
      <c r="OD217" s="9"/>
      <c r="OE217" s="9"/>
      <c r="OF217" s="9"/>
      <c r="OG217" s="9"/>
      <c r="OH217" s="9"/>
      <c r="OI217" s="9"/>
      <c r="OJ217" s="9"/>
      <c r="OK217" s="9"/>
      <c r="OL217" s="9"/>
      <c r="OM217" s="9"/>
      <c r="ON217" s="9"/>
      <c r="OO217" s="9"/>
      <c r="OP217" s="9"/>
      <c r="OQ217" s="9"/>
      <c r="OR217" s="9"/>
      <c r="OS217" s="9"/>
      <c r="OT217" s="9"/>
      <c r="OU217" s="9"/>
      <c r="OV217" s="9"/>
      <c r="OW217" s="9"/>
      <c r="OX217" s="9"/>
      <c r="OY217" s="9"/>
      <c r="OZ217" s="9"/>
      <c r="PA217" s="9"/>
      <c r="PB217" s="9"/>
      <c r="PC217" s="9"/>
      <c r="PD217" s="9"/>
      <c r="PE217" s="9"/>
      <c r="PF217" s="9"/>
      <c r="PG217" s="9"/>
      <c r="PH217" s="9"/>
      <c r="PI217" s="9"/>
      <c r="PJ217" s="9"/>
      <c r="PK217" s="9"/>
      <c r="PL217" s="9"/>
      <c r="PM217" s="9"/>
      <c r="PN217" s="9"/>
      <c r="PO217" s="9"/>
      <c r="PP217" s="9"/>
      <c r="PQ217" s="9"/>
      <c r="PR217" s="9"/>
      <c r="PS217" s="9" t="s">
        <v>1098</v>
      </c>
      <c r="PT217" s="9"/>
      <c r="PU217" s="9" t="s">
        <v>1098</v>
      </c>
      <c r="PV217" s="9"/>
      <c r="PW217" s="9"/>
      <c r="PX217" s="9"/>
      <c r="PY217" s="9"/>
      <c r="PZ217" s="9"/>
      <c r="QA217" s="9"/>
      <c r="QB217" s="9"/>
      <c r="QC217" s="9"/>
      <c r="QD217" s="9"/>
      <c r="QE217" s="9"/>
      <c r="QF217" s="9"/>
      <c r="QG217" s="9"/>
      <c r="QH217" s="9"/>
      <c r="QI217" s="9"/>
      <c r="QJ217" s="9"/>
      <c r="QK217" s="9"/>
      <c r="QL217" s="9"/>
      <c r="QM217" s="9"/>
      <c r="QN217" s="9"/>
      <c r="QO217" s="9"/>
      <c r="QP217" s="9"/>
      <c r="QQ217" s="67"/>
      <c r="QR217" s="68"/>
      <c r="QS217" s="63"/>
      <c r="QT217" s="71"/>
    </row>
    <row r="218" spans="1:462" s="11" customFormat="1" x14ac:dyDescent="0.2">
      <c r="A218" s="9">
        <v>10</v>
      </c>
      <c r="B218" s="9"/>
      <c r="C218" s="9"/>
      <c r="D218" s="9" t="s">
        <v>976</v>
      </c>
      <c r="E218" s="65" t="s">
        <v>970</v>
      </c>
      <c r="F218" s="65"/>
      <c r="G218" s="92" t="s">
        <v>2468</v>
      </c>
      <c r="H218" s="66" t="s">
        <v>1721</v>
      </c>
      <c r="I218" s="9" t="s">
        <v>1098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  <c r="HJ218" s="9"/>
      <c r="HK218" s="9"/>
      <c r="HL218" s="9"/>
      <c r="HM218" s="9"/>
      <c r="HN218" s="9"/>
      <c r="HO218" s="9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9"/>
      <c r="IC218" s="9"/>
      <c r="ID218" s="9"/>
      <c r="IE218" s="9"/>
      <c r="IF218" s="9"/>
      <c r="IG218" s="9"/>
      <c r="IH218" s="9"/>
      <c r="II218" s="9"/>
      <c r="IJ218" s="9"/>
      <c r="IK218" s="9"/>
      <c r="IL218" s="9"/>
      <c r="IM218" s="9"/>
      <c r="IN218" s="9"/>
      <c r="IO218" s="9"/>
      <c r="IP218" s="9"/>
      <c r="IQ218" s="9"/>
      <c r="IR218" s="9"/>
      <c r="IS218" s="9"/>
      <c r="IT218" s="9"/>
      <c r="IU218" s="9"/>
      <c r="IV218" s="9"/>
      <c r="IW218" s="9"/>
      <c r="IX218" s="9"/>
      <c r="IY218" s="9"/>
      <c r="IZ218" s="9"/>
      <c r="JA218" s="9"/>
      <c r="JB218" s="9"/>
      <c r="JC218" s="9"/>
      <c r="JD218" s="9"/>
      <c r="JE218" s="9"/>
      <c r="JF218" s="9"/>
      <c r="JG218" s="9"/>
      <c r="JH218" s="9"/>
      <c r="JI218" s="9"/>
      <c r="JJ218" s="9"/>
      <c r="JK218" s="9"/>
      <c r="JL218" s="9"/>
      <c r="JM218" s="9"/>
      <c r="JN218" s="9"/>
      <c r="JO218" s="9"/>
      <c r="JP218" s="9"/>
      <c r="JQ218" s="9"/>
      <c r="JR218" s="9"/>
      <c r="JS218" s="9"/>
      <c r="JT218" s="9"/>
      <c r="JU218" s="9"/>
      <c r="JV218" s="9"/>
      <c r="JW218" s="9"/>
      <c r="JX218" s="9"/>
      <c r="JY218" s="9"/>
      <c r="JZ218" s="9"/>
      <c r="KA218" s="9"/>
      <c r="KB218" s="9"/>
      <c r="KC218" s="9"/>
      <c r="KD218" s="9"/>
      <c r="KE218" s="9"/>
      <c r="KF218" s="9"/>
      <c r="KG218" s="9"/>
      <c r="KH218" s="9"/>
      <c r="KI218" s="9"/>
      <c r="KJ218" s="9"/>
      <c r="KK218" s="9"/>
      <c r="KL218" s="9"/>
      <c r="KM218" s="9"/>
      <c r="KN218" s="9"/>
      <c r="KO218" s="9"/>
      <c r="KP218" s="9"/>
      <c r="KQ218" s="9"/>
      <c r="KR218" s="9"/>
      <c r="KS218" s="9"/>
      <c r="KT218" s="9"/>
      <c r="KU218" s="9"/>
      <c r="KV218" s="9"/>
      <c r="KW218" s="9"/>
      <c r="KX218" s="9"/>
      <c r="KY218" s="9"/>
      <c r="KZ218" s="9"/>
      <c r="LA218" s="9"/>
      <c r="LB218" s="9"/>
      <c r="LC218" s="9"/>
      <c r="LD218" s="9"/>
      <c r="LE218" s="9"/>
      <c r="LF218" s="9"/>
      <c r="LG218" s="9"/>
      <c r="LH218" s="9"/>
      <c r="LI218" s="9"/>
      <c r="LJ218" s="9"/>
      <c r="LK218" s="9"/>
      <c r="LL218" s="9"/>
      <c r="LM218" s="9"/>
      <c r="LN218" s="9"/>
      <c r="LO218" s="9"/>
      <c r="LP218" s="9"/>
      <c r="LQ218" s="9"/>
      <c r="LR218" s="9"/>
      <c r="LS218" s="9"/>
      <c r="LT218" s="9"/>
      <c r="LU218" s="9"/>
      <c r="LV218" s="9"/>
      <c r="LW218" s="9"/>
      <c r="LX218" s="9"/>
      <c r="LY218" s="9"/>
      <c r="LZ218" s="9"/>
      <c r="MA218" s="9"/>
      <c r="MB218" s="9"/>
      <c r="MC218" s="9"/>
      <c r="MD218" s="9"/>
      <c r="ME218" s="9"/>
      <c r="MF218" s="9"/>
      <c r="MG218" s="9"/>
      <c r="MH218" s="9"/>
      <c r="MI218" s="9"/>
      <c r="MJ218" s="9"/>
      <c r="MK218" s="9"/>
      <c r="ML218" s="9"/>
      <c r="MM218" s="9"/>
      <c r="MN218" s="9"/>
      <c r="MO218" s="9"/>
      <c r="MP218" s="9"/>
      <c r="MQ218" s="9"/>
      <c r="MR218" s="9"/>
      <c r="MS218" s="9"/>
      <c r="MT218" s="9"/>
      <c r="MU218" s="9"/>
      <c r="MV218" s="9"/>
      <c r="MW218" s="9"/>
      <c r="MX218" s="9"/>
      <c r="MY218" s="9"/>
      <c r="MZ218" s="9"/>
      <c r="NA218" s="9"/>
      <c r="NB218" s="9"/>
      <c r="NC218" s="9"/>
      <c r="ND218" s="9"/>
      <c r="NE218" s="9"/>
      <c r="NF218" s="9"/>
      <c r="NG218" s="9"/>
      <c r="NH218" s="9"/>
      <c r="NI218" s="9"/>
      <c r="NJ218" s="9"/>
      <c r="NK218" s="9"/>
      <c r="NL218" s="9"/>
      <c r="NM218" s="9"/>
      <c r="NN218" s="9"/>
      <c r="NO218" s="9"/>
      <c r="NP218" s="9"/>
      <c r="NQ218" s="9"/>
      <c r="NR218" s="9"/>
      <c r="NS218" s="9"/>
      <c r="NT218" s="9"/>
      <c r="NU218" s="9"/>
      <c r="NV218" s="9"/>
      <c r="NW218" s="9"/>
      <c r="NX218" s="9"/>
      <c r="NY218" s="9"/>
      <c r="NZ218" s="9"/>
      <c r="OA218" s="9"/>
      <c r="OB218" s="9"/>
      <c r="OC218" s="9"/>
      <c r="OD218" s="9"/>
      <c r="OE218" s="9"/>
      <c r="OF218" s="9"/>
      <c r="OG218" s="9"/>
      <c r="OH218" s="9"/>
      <c r="OI218" s="9"/>
      <c r="OJ218" s="9"/>
      <c r="OK218" s="9"/>
      <c r="OL218" s="9"/>
      <c r="OM218" s="9"/>
      <c r="ON218" s="9"/>
      <c r="OO218" s="9"/>
      <c r="OP218" s="9"/>
      <c r="OQ218" s="9"/>
      <c r="OR218" s="9"/>
      <c r="OS218" s="9"/>
      <c r="OT218" s="9"/>
      <c r="OU218" s="9"/>
      <c r="OV218" s="9"/>
      <c r="OW218" s="9"/>
      <c r="OX218" s="9"/>
      <c r="OY218" s="9"/>
      <c r="OZ218" s="9"/>
      <c r="PA218" s="9"/>
      <c r="PB218" s="9"/>
      <c r="PC218" s="9"/>
      <c r="PD218" s="9"/>
      <c r="PE218" s="9"/>
      <c r="PF218" s="9"/>
      <c r="PG218" s="9"/>
      <c r="PH218" s="9"/>
      <c r="PI218" s="9"/>
      <c r="PJ218" s="9"/>
      <c r="PK218" s="9"/>
      <c r="PL218" s="9"/>
      <c r="PM218" s="9"/>
      <c r="PN218" s="9"/>
      <c r="PO218" s="9"/>
      <c r="PP218" s="9"/>
      <c r="PQ218" s="9"/>
      <c r="PR218" s="9"/>
      <c r="PS218" s="9" t="s">
        <v>1098</v>
      </c>
      <c r="PT218" s="9"/>
      <c r="PU218" s="9" t="s">
        <v>1098</v>
      </c>
      <c r="PV218" s="9"/>
      <c r="PW218" s="9"/>
      <c r="PX218" s="9"/>
      <c r="PY218" s="9"/>
      <c r="PZ218" s="9"/>
      <c r="QA218" s="9"/>
      <c r="QB218" s="9"/>
      <c r="QC218" s="9"/>
      <c r="QD218" s="9"/>
      <c r="QE218" s="9"/>
      <c r="QF218" s="9"/>
      <c r="QG218" s="9"/>
      <c r="QH218" s="9"/>
      <c r="QI218" s="9"/>
      <c r="QJ218" s="9"/>
      <c r="QK218" s="9"/>
      <c r="QL218" s="9"/>
      <c r="QM218" s="9"/>
      <c r="QN218" s="9"/>
      <c r="QO218" s="9"/>
      <c r="QP218" s="9"/>
      <c r="QQ218" s="67"/>
      <c r="QR218" s="68"/>
      <c r="QS218" s="63"/>
      <c r="QT218" s="71"/>
    </row>
    <row r="219" spans="1:462" s="11" customFormat="1" x14ac:dyDescent="0.2">
      <c r="A219" s="9">
        <v>10</v>
      </c>
      <c r="B219" s="9"/>
      <c r="C219" s="9"/>
      <c r="D219" s="9" t="s">
        <v>957</v>
      </c>
      <c r="E219" s="65" t="s">
        <v>988</v>
      </c>
      <c r="F219" s="65"/>
      <c r="G219" s="91" t="s">
        <v>2469</v>
      </c>
      <c r="H219" s="66" t="s">
        <v>1722</v>
      </c>
      <c r="I219" s="9" t="s">
        <v>1098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  <c r="HJ219" s="9"/>
      <c r="HK219" s="9"/>
      <c r="HL219" s="9"/>
      <c r="HM219" s="9"/>
      <c r="HN219" s="9"/>
      <c r="HO219" s="9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9"/>
      <c r="IC219" s="9"/>
      <c r="ID219" s="9"/>
      <c r="IE219" s="9"/>
      <c r="IF219" s="9"/>
      <c r="IG219" s="9"/>
      <c r="IH219" s="9"/>
      <c r="II219" s="9"/>
      <c r="IJ219" s="9"/>
      <c r="IK219" s="9"/>
      <c r="IL219" s="9"/>
      <c r="IM219" s="9"/>
      <c r="IN219" s="9"/>
      <c r="IO219" s="9"/>
      <c r="IP219" s="9"/>
      <c r="IQ219" s="9"/>
      <c r="IR219" s="9"/>
      <c r="IS219" s="9"/>
      <c r="IT219" s="9"/>
      <c r="IU219" s="9"/>
      <c r="IV219" s="9"/>
      <c r="IW219" s="9"/>
      <c r="IX219" s="9"/>
      <c r="IY219" s="9"/>
      <c r="IZ219" s="9"/>
      <c r="JA219" s="9"/>
      <c r="JB219" s="9"/>
      <c r="JC219" s="9"/>
      <c r="JD219" s="9"/>
      <c r="JE219" s="9"/>
      <c r="JF219" s="9"/>
      <c r="JG219" s="9"/>
      <c r="JH219" s="9"/>
      <c r="JI219" s="9"/>
      <c r="JJ219" s="9"/>
      <c r="JK219" s="9"/>
      <c r="JL219" s="9"/>
      <c r="JM219" s="9"/>
      <c r="JN219" s="9"/>
      <c r="JO219" s="9"/>
      <c r="JP219" s="9"/>
      <c r="JQ219" s="9"/>
      <c r="JR219" s="9"/>
      <c r="JS219" s="9"/>
      <c r="JT219" s="9"/>
      <c r="JU219" s="9"/>
      <c r="JV219" s="9"/>
      <c r="JW219" s="9"/>
      <c r="JX219" s="9"/>
      <c r="JY219" s="9"/>
      <c r="JZ219" s="9"/>
      <c r="KA219" s="9"/>
      <c r="KB219" s="9"/>
      <c r="KC219" s="9"/>
      <c r="KD219" s="9"/>
      <c r="KE219" s="9"/>
      <c r="KF219" s="9"/>
      <c r="KG219" s="9"/>
      <c r="KH219" s="9"/>
      <c r="KI219" s="9"/>
      <c r="KJ219" s="9"/>
      <c r="KK219" s="9"/>
      <c r="KL219" s="9"/>
      <c r="KM219" s="9"/>
      <c r="KN219" s="9"/>
      <c r="KO219" s="9"/>
      <c r="KP219" s="9"/>
      <c r="KQ219" s="9"/>
      <c r="KR219" s="9"/>
      <c r="KS219" s="9"/>
      <c r="KT219" s="9"/>
      <c r="KU219" s="9"/>
      <c r="KV219" s="9"/>
      <c r="KW219" s="9"/>
      <c r="KX219" s="9"/>
      <c r="KY219" s="9"/>
      <c r="KZ219" s="9"/>
      <c r="LA219" s="9"/>
      <c r="LB219" s="9"/>
      <c r="LC219" s="9"/>
      <c r="LD219" s="9"/>
      <c r="LE219" s="9"/>
      <c r="LF219" s="9"/>
      <c r="LG219" s="9"/>
      <c r="LH219" s="9"/>
      <c r="LI219" s="9"/>
      <c r="LJ219" s="9"/>
      <c r="LK219" s="9"/>
      <c r="LL219" s="9"/>
      <c r="LM219" s="9"/>
      <c r="LN219" s="9"/>
      <c r="LO219" s="9"/>
      <c r="LP219" s="9"/>
      <c r="LQ219" s="9"/>
      <c r="LR219" s="9"/>
      <c r="LS219" s="9"/>
      <c r="LT219" s="9"/>
      <c r="LU219" s="9"/>
      <c r="LV219" s="9"/>
      <c r="LW219" s="9"/>
      <c r="LX219" s="9"/>
      <c r="LY219" s="9"/>
      <c r="LZ219" s="9"/>
      <c r="MA219" s="9"/>
      <c r="MB219" s="9"/>
      <c r="MC219" s="9"/>
      <c r="MD219" s="9"/>
      <c r="ME219" s="9"/>
      <c r="MF219" s="9"/>
      <c r="MG219" s="9"/>
      <c r="MH219" s="9"/>
      <c r="MI219" s="9"/>
      <c r="MJ219" s="9"/>
      <c r="MK219" s="9"/>
      <c r="ML219" s="9"/>
      <c r="MM219" s="9"/>
      <c r="MN219" s="9"/>
      <c r="MO219" s="9"/>
      <c r="MP219" s="9"/>
      <c r="MQ219" s="9"/>
      <c r="MR219" s="9"/>
      <c r="MS219" s="9"/>
      <c r="MT219" s="9"/>
      <c r="MU219" s="9"/>
      <c r="MV219" s="9"/>
      <c r="MW219" s="9"/>
      <c r="MX219" s="9"/>
      <c r="MY219" s="9"/>
      <c r="MZ219" s="9"/>
      <c r="NA219" s="9"/>
      <c r="NB219" s="9"/>
      <c r="NC219" s="9"/>
      <c r="ND219" s="9"/>
      <c r="NE219" s="9"/>
      <c r="NF219" s="9"/>
      <c r="NG219" s="9"/>
      <c r="NH219" s="9"/>
      <c r="NI219" s="9"/>
      <c r="NJ219" s="9"/>
      <c r="NK219" s="9"/>
      <c r="NL219" s="9"/>
      <c r="NM219" s="9"/>
      <c r="NN219" s="9"/>
      <c r="NO219" s="9"/>
      <c r="NP219" s="9"/>
      <c r="NQ219" s="9"/>
      <c r="NR219" s="9"/>
      <c r="NS219" s="9"/>
      <c r="NT219" s="9"/>
      <c r="NU219" s="9"/>
      <c r="NV219" s="9"/>
      <c r="NW219" s="9"/>
      <c r="NX219" s="9"/>
      <c r="NY219" s="9"/>
      <c r="NZ219" s="9"/>
      <c r="OA219" s="9"/>
      <c r="OB219" s="9"/>
      <c r="OC219" s="9"/>
      <c r="OD219" s="9"/>
      <c r="OE219" s="9"/>
      <c r="OF219" s="9"/>
      <c r="OG219" s="9"/>
      <c r="OH219" s="9"/>
      <c r="OI219" s="9"/>
      <c r="OJ219" s="9"/>
      <c r="OK219" s="9"/>
      <c r="OL219" s="9"/>
      <c r="OM219" s="9"/>
      <c r="ON219" s="9"/>
      <c r="OO219" s="9"/>
      <c r="OP219" s="9"/>
      <c r="OQ219" s="9"/>
      <c r="OR219" s="9"/>
      <c r="OS219" s="9"/>
      <c r="OT219" s="9"/>
      <c r="OU219" s="9"/>
      <c r="OV219" s="9"/>
      <c r="OW219" s="9"/>
      <c r="OX219" s="9"/>
      <c r="OY219" s="9"/>
      <c r="OZ219" s="9"/>
      <c r="PA219" s="9"/>
      <c r="PB219" s="9"/>
      <c r="PC219" s="9"/>
      <c r="PD219" s="9"/>
      <c r="PE219" s="9"/>
      <c r="PF219" s="9"/>
      <c r="PG219" s="9"/>
      <c r="PH219" s="9"/>
      <c r="PI219" s="9"/>
      <c r="PJ219" s="9"/>
      <c r="PK219" s="9"/>
      <c r="PL219" s="9"/>
      <c r="PM219" s="9"/>
      <c r="PN219" s="9"/>
      <c r="PO219" s="9"/>
      <c r="PP219" s="9"/>
      <c r="PQ219" s="9"/>
      <c r="PR219" s="9"/>
      <c r="PS219" s="9"/>
      <c r="PT219" s="9"/>
      <c r="PU219" s="9"/>
      <c r="PV219" s="9"/>
      <c r="PW219" s="9"/>
      <c r="PX219" s="9"/>
      <c r="PY219" s="9"/>
      <c r="PZ219" s="9"/>
      <c r="QA219" s="9" t="s">
        <v>1098</v>
      </c>
      <c r="QB219" s="9"/>
      <c r="QC219" s="9" t="s">
        <v>1098</v>
      </c>
      <c r="QD219" s="9"/>
      <c r="QE219" s="9"/>
      <c r="QF219" s="9"/>
      <c r="QG219" s="9"/>
      <c r="QH219" s="9"/>
      <c r="QI219" s="9"/>
      <c r="QJ219" s="9"/>
      <c r="QK219" s="9"/>
      <c r="QL219" s="9"/>
      <c r="QM219" s="9"/>
      <c r="QN219" s="9"/>
      <c r="QO219" s="9"/>
      <c r="QP219" s="9"/>
      <c r="QQ219" s="67"/>
      <c r="QR219" s="68"/>
      <c r="QS219" s="63"/>
      <c r="QT219" s="71"/>
    </row>
    <row r="220" spans="1:462" s="11" customFormat="1" x14ac:dyDescent="0.2">
      <c r="A220" s="9">
        <v>10</v>
      </c>
      <c r="B220" s="9"/>
      <c r="C220" s="9"/>
      <c r="D220" s="9" t="s">
        <v>964</v>
      </c>
      <c r="E220" s="65" t="s">
        <v>962</v>
      </c>
      <c r="F220" s="65"/>
      <c r="G220" s="92" t="s">
        <v>2471</v>
      </c>
      <c r="H220" s="66" t="s">
        <v>1723</v>
      </c>
      <c r="I220" s="9" t="s">
        <v>1098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  <c r="HE220" s="9"/>
      <c r="HF220" s="9"/>
      <c r="HG220" s="9"/>
      <c r="HH220" s="9"/>
      <c r="HI220" s="9"/>
      <c r="HJ220" s="9"/>
      <c r="HK220" s="9"/>
      <c r="HL220" s="9"/>
      <c r="HM220" s="9"/>
      <c r="HN220" s="9"/>
      <c r="HO220" s="9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9"/>
      <c r="IC220" s="9"/>
      <c r="ID220" s="9"/>
      <c r="IE220" s="9"/>
      <c r="IF220" s="9"/>
      <c r="IG220" s="9"/>
      <c r="IH220" s="9"/>
      <c r="II220" s="9"/>
      <c r="IJ220" s="9"/>
      <c r="IK220" s="9"/>
      <c r="IL220" s="9"/>
      <c r="IM220" s="9"/>
      <c r="IN220" s="9"/>
      <c r="IO220" s="9"/>
      <c r="IP220" s="9"/>
      <c r="IQ220" s="9"/>
      <c r="IR220" s="9"/>
      <c r="IS220" s="9"/>
      <c r="IT220" s="9"/>
      <c r="IU220" s="9"/>
      <c r="IV220" s="9"/>
      <c r="IW220" s="9"/>
      <c r="IX220" s="9"/>
      <c r="IY220" s="9"/>
      <c r="IZ220" s="9"/>
      <c r="JA220" s="9"/>
      <c r="JB220" s="9"/>
      <c r="JC220" s="9"/>
      <c r="JD220" s="9"/>
      <c r="JE220" s="9"/>
      <c r="JF220" s="9"/>
      <c r="JG220" s="9"/>
      <c r="JH220" s="9"/>
      <c r="JI220" s="9"/>
      <c r="JJ220" s="9"/>
      <c r="JK220" s="9"/>
      <c r="JL220" s="9"/>
      <c r="JM220" s="9"/>
      <c r="JN220" s="9"/>
      <c r="JO220" s="9"/>
      <c r="JP220" s="9"/>
      <c r="JQ220" s="9"/>
      <c r="JR220" s="9"/>
      <c r="JS220" s="9"/>
      <c r="JT220" s="9"/>
      <c r="JU220" s="9"/>
      <c r="JV220" s="9"/>
      <c r="JW220" s="9"/>
      <c r="JX220" s="9"/>
      <c r="JY220" s="9"/>
      <c r="JZ220" s="9"/>
      <c r="KA220" s="9"/>
      <c r="KB220" s="9"/>
      <c r="KC220" s="9"/>
      <c r="KD220" s="9"/>
      <c r="KE220" s="9"/>
      <c r="KF220" s="9"/>
      <c r="KG220" s="9"/>
      <c r="KH220" s="9"/>
      <c r="KI220" s="9"/>
      <c r="KJ220" s="9"/>
      <c r="KK220" s="9"/>
      <c r="KL220" s="9"/>
      <c r="KM220" s="9"/>
      <c r="KN220" s="9"/>
      <c r="KO220" s="9"/>
      <c r="KP220" s="9"/>
      <c r="KQ220" s="9"/>
      <c r="KR220" s="9"/>
      <c r="KS220" s="9"/>
      <c r="KT220" s="9"/>
      <c r="KU220" s="9"/>
      <c r="KV220" s="9"/>
      <c r="KW220" s="9"/>
      <c r="KX220" s="9"/>
      <c r="KY220" s="9"/>
      <c r="KZ220" s="9"/>
      <c r="LA220" s="9"/>
      <c r="LB220" s="9"/>
      <c r="LC220" s="9"/>
      <c r="LD220" s="9"/>
      <c r="LE220" s="9"/>
      <c r="LF220" s="9"/>
      <c r="LG220" s="9"/>
      <c r="LH220" s="9"/>
      <c r="LI220" s="9"/>
      <c r="LJ220" s="9"/>
      <c r="LK220" s="9"/>
      <c r="LL220" s="9"/>
      <c r="LM220" s="9"/>
      <c r="LN220" s="9"/>
      <c r="LO220" s="9"/>
      <c r="LP220" s="9"/>
      <c r="LQ220" s="9"/>
      <c r="LR220" s="9"/>
      <c r="LS220" s="9"/>
      <c r="LT220" s="9"/>
      <c r="LU220" s="9"/>
      <c r="LV220" s="9"/>
      <c r="LW220" s="9"/>
      <c r="LX220" s="9"/>
      <c r="LY220" s="9"/>
      <c r="LZ220" s="9"/>
      <c r="MA220" s="9"/>
      <c r="MB220" s="9"/>
      <c r="MC220" s="9"/>
      <c r="MD220" s="9"/>
      <c r="ME220" s="9"/>
      <c r="MF220" s="9"/>
      <c r="MG220" s="9"/>
      <c r="MH220" s="9"/>
      <c r="MI220" s="9"/>
      <c r="MJ220" s="9"/>
      <c r="MK220" s="9"/>
      <c r="ML220" s="9"/>
      <c r="MM220" s="9"/>
      <c r="MN220" s="9"/>
      <c r="MO220" s="9"/>
      <c r="MP220" s="9"/>
      <c r="MQ220" s="9"/>
      <c r="MR220" s="9"/>
      <c r="MS220" s="9"/>
      <c r="MT220" s="9"/>
      <c r="MU220" s="9"/>
      <c r="MV220" s="9"/>
      <c r="MW220" s="9"/>
      <c r="MX220" s="9"/>
      <c r="MY220" s="9"/>
      <c r="MZ220" s="9"/>
      <c r="NA220" s="9"/>
      <c r="NB220" s="9"/>
      <c r="NC220" s="9"/>
      <c r="ND220" s="9"/>
      <c r="NE220" s="9"/>
      <c r="NF220" s="9"/>
      <c r="NG220" s="9"/>
      <c r="NH220" s="9"/>
      <c r="NI220" s="9"/>
      <c r="NJ220" s="9"/>
      <c r="NK220" s="9"/>
      <c r="NL220" s="9"/>
      <c r="NM220" s="9"/>
      <c r="NN220" s="9"/>
      <c r="NO220" s="9"/>
      <c r="NP220" s="9"/>
      <c r="NQ220" s="9"/>
      <c r="NR220" s="9"/>
      <c r="NS220" s="9"/>
      <c r="NT220" s="9"/>
      <c r="NU220" s="9"/>
      <c r="NV220" s="9"/>
      <c r="NW220" s="9"/>
      <c r="NX220" s="9"/>
      <c r="NY220" s="9"/>
      <c r="NZ220" s="9"/>
      <c r="OA220" s="9"/>
      <c r="OB220" s="9"/>
      <c r="OC220" s="9"/>
      <c r="OD220" s="9"/>
      <c r="OE220" s="9"/>
      <c r="OF220" s="9"/>
      <c r="OG220" s="9"/>
      <c r="OH220" s="9"/>
      <c r="OI220" s="9"/>
      <c r="OJ220" s="9"/>
      <c r="OK220" s="9"/>
      <c r="OL220" s="9"/>
      <c r="OM220" s="9"/>
      <c r="ON220" s="9"/>
      <c r="OO220" s="9"/>
      <c r="OP220" s="9"/>
      <c r="OQ220" s="9"/>
      <c r="OR220" s="9"/>
      <c r="OS220" s="9"/>
      <c r="OT220" s="9"/>
      <c r="OU220" s="9"/>
      <c r="OV220" s="9"/>
      <c r="OW220" s="9"/>
      <c r="OX220" s="9"/>
      <c r="OY220" s="9"/>
      <c r="OZ220" s="9"/>
      <c r="PA220" s="9"/>
      <c r="PB220" s="9"/>
      <c r="PC220" s="9"/>
      <c r="PD220" s="9"/>
      <c r="PE220" s="9"/>
      <c r="PF220" s="9"/>
      <c r="PG220" s="9"/>
      <c r="PH220" s="9"/>
      <c r="PI220" s="9"/>
      <c r="PJ220" s="9"/>
      <c r="PK220" s="9"/>
      <c r="PL220" s="9"/>
      <c r="PM220" s="9"/>
      <c r="PN220" s="9"/>
      <c r="PO220" s="9"/>
      <c r="PP220" s="9"/>
      <c r="PQ220" s="9"/>
      <c r="PR220" s="9"/>
      <c r="PS220" s="9"/>
      <c r="PT220" s="9"/>
      <c r="PU220" s="9"/>
      <c r="PV220" s="9"/>
      <c r="PW220" s="9"/>
      <c r="PX220" s="9"/>
      <c r="PY220" s="9"/>
      <c r="PZ220" s="9"/>
      <c r="QA220" s="9" t="s">
        <v>1098</v>
      </c>
      <c r="QB220" s="9"/>
      <c r="QC220" s="9" t="s">
        <v>1098</v>
      </c>
      <c r="QD220" s="9"/>
      <c r="QE220" s="9"/>
      <c r="QF220" s="9"/>
      <c r="QG220" s="9"/>
      <c r="QH220" s="9"/>
      <c r="QI220" s="9"/>
      <c r="QJ220" s="9"/>
      <c r="QK220" s="9"/>
      <c r="QL220" s="9"/>
      <c r="QM220" s="9"/>
      <c r="QN220" s="9"/>
      <c r="QO220" s="9"/>
      <c r="QP220" s="9"/>
      <c r="QQ220" s="67"/>
      <c r="QR220" s="68"/>
      <c r="QS220" s="63"/>
      <c r="QT220" s="71"/>
    </row>
    <row r="221" spans="1:462" s="11" customFormat="1" x14ac:dyDescent="0.2">
      <c r="A221" s="9">
        <v>10</v>
      </c>
      <c r="B221" s="9"/>
      <c r="C221" s="9"/>
      <c r="D221" s="9" t="s">
        <v>2050</v>
      </c>
      <c r="E221" s="65" t="s">
        <v>2052</v>
      </c>
      <c r="F221" s="65"/>
      <c r="G221" s="92" t="s">
        <v>2310</v>
      </c>
      <c r="H221" s="66" t="s">
        <v>2041</v>
      </c>
      <c r="I221" s="9" t="s">
        <v>1041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  <c r="HE221" s="9"/>
      <c r="HF221" s="9"/>
      <c r="HG221" s="9"/>
      <c r="HH221" s="9"/>
      <c r="HI221" s="9"/>
      <c r="HJ221" s="9"/>
      <c r="HK221" s="9"/>
      <c r="HL221" s="9"/>
      <c r="HM221" s="9"/>
      <c r="HN221" s="9"/>
      <c r="HO221" s="9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/>
      <c r="IA221" s="9"/>
      <c r="IB221" s="9"/>
      <c r="IC221" s="9"/>
      <c r="ID221" s="9"/>
      <c r="IE221" s="9"/>
      <c r="IF221" s="9"/>
      <c r="IG221" s="9"/>
      <c r="IH221" s="9"/>
      <c r="II221" s="9"/>
      <c r="IJ221" s="9"/>
      <c r="IK221" s="9"/>
      <c r="IL221" s="9"/>
      <c r="IM221" s="9"/>
      <c r="IN221" s="9"/>
      <c r="IO221" s="9"/>
      <c r="IP221" s="9"/>
      <c r="IQ221" s="9"/>
      <c r="IR221" s="9"/>
      <c r="IS221" s="9"/>
      <c r="IT221" s="9"/>
      <c r="IU221" s="9"/>
      <c r="IV221" s="9"/>
      <c r="IW221" s="9"/>
      <c r="IX221" s="9"/>
      <c r="IY221" s="9"/>
      <c r="IZ221" s="9"/>
      <c r="JA221" s="9"/>
      <c r="JB221" s="9"/>
      <c r="JC221" s="9"/>
      <c r="JD221" s="9"/>
      <c r="JE221" s="9"/>
      <c r="JF221" s="9"/>
      <c r="JG221" s="9"/>
      <c r="JH221" s="9"/>
      <c r="JI221" s="9"/>
      <c r="JJ221" s="9"/>
      <c r="JK221" s="9"/>
      <c r="JL221" s="9"/>
      <c r="JM221" s="9"/>
      <c r="JN221" s="9"/>
      <c r="JO221" s="9"/>
      <c r="JP221" s="9"/>
      <c r="JQ221" s="9"/>
      <c r="JR221" s="9"/>
      <c r="JS221" s="9"/>
      <c r="JT221" s="9"/>
      <c r="JU221" s="9"/>
      <c r="JV221" s="9"/>
      <c r="JW221" s="9"/>
      <c r="JX221" s="9"/>
      <c r="JY221" s="9"/>
      <c r="JZ221" s="9"/>
      <c r="KA221" s="9"/>
      <c r="KB221" s="9"/>
      <c r="KC221" s="9"/>
      <c r="KD221" s="9"/>
      <c r="KE221" s="9"/>
      <c r="KF221" s="9"/>
      <c r="KG221" s="9"/>
      <c r="KH221" s="9"/>
      <c r="KI221" s="9"/>
      <c r="KJ221" s="9"/>
      <c r="KK221" s="9"/>
      <c r="KL221" s="9"/>
      <c r="KM221" s="9"/>
      <c r="KN221" s="9"/>
      <c r="KO221" s="9"/>
      <c r="KP221" s="9"/>
      <c r="KQ221" s="9"/>
      <c r="KR221" s="9"/>
      <c r="KS221" s="9"/>
      <c r="KT221" s="9"/>
      <c r="KU221" s="9"/>
      <c r="KV221" s="9"/>
      <c r="KW221" s="9"/>
      <c r="KX221" s="9"/>
      <c r="KY221" s="9"/>
      <c r="KZ221" s="9"/>
      <c r="LA221" s="9"/>
      <c r="LB221" s="9"/>
      <c r="LC221" s="9"/>
      <c r="LD221" s="9"/>
      <c r="LE221" s="9"/>
      <c r="LF221" s="9"/>
      <c r="LG221" s="9"/>
      <c r="LH221" s="9"/>
      <c r="LI221" s="9"/>
      <c r="LJ221" s="9"/>
      <c r="LK221" s="9"/>
      <c r="LL221" s="9"/>
      <c r="LM221" s="9"/>
      <c r="LN221" s="9"/>
      <c r="LO221" s="9"/>
      <c r="LP221" s="9"/>
      <c r="LQ221" s="9"/>
      <c r="LR221" s="9"/>
      <c r="LS221" s="9"/>
      <c r="LT221" s="9"/>
      <c r="LU221" s="9"/>
      <c r="LV221" s="9"/>
      <c r="LW221" s="9"/>
      <c r="LX221" s="9"/>
      <c r="LY221" s="9"/>
      <c r="LZ221" s="9"/>
      <c r="MA221" s="9"/>
      <c r="MB221" s="9"/>
      <c r="MC221" s="9"/>
      <c r="MD221" s="9"/>
      <c r="ME221" s="9"/>
      <c r="MF221" s="9"/>
      <c r="MG221" s="9"/>
      <c r="MH221" s="9"/>
      <c r="MI221" s="9"/>
      <c r="MJ221" s="9"/>
      <c r="MK221" s="9"/>
      <c r="ML221" s="9"/>
      <c r="MM221" s="9"/>
      <c r="MN221" s="9"/>
      <c r="MO221" s="9"/>
      <c r="MP221" s="9"/>
      <c r="MQ221" s="9"/>
      <c r="MR221" s="9"/>
      <c r="MS221" s="9"/>
      <c r="MT221" s="9"/>
      <c r="MU221" s="9"/>
      <c r="MV221" s="9"/>
      <c r="MW221" s="9"/>
      <c r="MX221" s="9"/>
      <c r="MY221" s="9"/>
      <c r="MZ221" s="9"/>
      <c r="NA221" s="9"/>
      <c r="NB221" s="9"/>
      <c r="NC221" s="9"/>
      <c r="ND221" s="9"/>
      <c r="NE221" s="9"/>
      <c r="NF221" s="9"/>
      <c r="NG221" s="9"/>
      <c r="NH221" s="9"/>
      <c r="NI221" s="9"/>
      <c r="NJ221" s="9"/>
      <c r="NK221" s="9"/>
      <c r="NL221" s="9"/>
      <c r="NM221" s="9"/>
      <c r="NN221" s="9"/>
      <c r="NO221" s="9"/>
      <c r="NP221" s="9"/>
      <c r="NQ221" s="9"/>
      <c r="NR221" s="9"/>
      <c r="NS221" s="9"/>
      <c r="NT221" s="9"/>
      <c r="NU221" s="9"/>
      <c r="NV221" s="9"/>
      <c r="NW221" s="9"/>
      <c r="NX221" s="9"/>
      <c r="NY221" s="9"/>
      <c r="NZ221" s="9"/>
      <c r="OA221" s="9"/>
      <c r="OB221" s="9"/>
      <c r="OC221" s="9"/>
      <c r="OD221" s="9"/>
      <c r="OE221" s="9"/>
      <c r="OF221" s="9"/>
      <c r="OG221" s="9"/>
      <c r="OH221" s="9"/>
      <c r="OI221" s="9"/>
      <c r="OJ221" s="9"/>
      <c r="OK221" s="9"/>
      <c r="OL221" s="9"/>
      <c r="OM221" s="9"/>
      <c r="ON221" s="9"/>
      <c r="OO221" s="9"/>
      <c r="OP221" s="9"/>
      <c r="OQ221" s="9"/>
      <c r="OR221" s="9"/>
      <c r="OS221" s="9"/>
      <c r="OT221" s="9"/>
      <c r="OU221" s="9"/>
      <c r="OV221" s="9"/>
      <c r="OW221" s="9"/>
      <c r="OX221" s="9"/>
      <c r="OY221" s="9"/>
      <c r="OZ221" s="9"/>
      <c r="PA221" s="9"/>
      <c r="PB221" s="9"/>
      <c r="PC221" s="9"/>
      <c r="PD221" s="9"/>
      <c r="PE221" s="9"/>
      <c r="PF221" s="9"/>
      <c r="PG221" s="9"/>
      <c r="PH221" s="9"/>
      <c r="PI221" s="9"/>
      <c r="PJ221" s="9"/>
      <c r="PK221" s="9"/>
      <c r="PL221" s="9"/>
      <c r="PM221" s="9"/>
      <c r="PN221" s="9"/>
      <c r="PO221" s="9"/>
      <c r="PP221" s="9"/>
      <c r="PQ221" s="9"/>
      <c r="PR221" s="9"/>
      <c r="PS221" s="9"/>
      <c r="PT221" s="9"/>
      <c r="PU221" s="9"/>
      <c r="PV221" s="9"/>
      <c r="PW221" s="9"/>
      <c r="PX221" s="9"/>
      <c r="PY221" s="9"/>
      <c r="PZ221" s="9"/>
      <c r="QA221" s="9"/>
      <c r="QB221" s="9"/>
      <c r="QC221" s="9"/>
      <c r="QD221" s="9"/>
      <c r="QE221" s="9"/>
      <c r="QF221" s="9"/>
      <c r="QG221" s="9"/>
      <c r="QH221" s="9"/>
      <c r="QI221" s="9" t="s">
        <v>1098</v>
      </c>
      <c r="QJ221" s="9"/>
      <c r="QK221" s="9" t="s">
        <v>1098</v>
      </c>
      <c r="QL221" s="9"/>
      <c r="QM221" s="9"/>
      <c r="QN221" s="9"/>
      <c r="QO221" s="9"/>
      <c r="QP221" s="9"/>
      <c r="QQ221" s="67"/>
      <c r="QR221" s="68"/>
      <c r="QS221" s="63"/>
      <c r="QT221" s="71"/>
    </row>
    <row r="222" spans="1:462" s="11" customFormat="1" ht="26" x14ac:dyDescent="0.2">
      <c r="A222" s="9">
        <v>10</v>
      </c>
      <c r="B222" s="9"/>
      <c r="C222" s="9"/>
      <c r="D222" s="9" t="s">
        <v>2051</v>
      </c>
      <c r="E222" s="65" t="s">
        <v>2053</v>
      </c>
      <c r="F222" s="65"/>
      <c r="G222" s="92" t="s">
        <v>2472</v>
      </c>
      <c r="H222" s="66" t="s">
        <v>2043</v>
      </c>
      <c r="I222" s="9" t="s">
        <v>1041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  <c r="HE222" s="9"/>
      <c r="HF222" s="9"/>
      <c r="HG222" s="9"/>
      <c r="HH222" s="9"/>
      <c r="HI222" s="9"/>
      <c r="HJ222" s="9"/>
      <c r="HK222" s="9"/>
      <c r="HL222" s="9"/>
      <c r="HM222" s="9"/>
      <c r="HN222" s="9"/>
      <c r="HO222" s="9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9"/>
      <c r="IB222" s="9"/>
      <c r="IC222" s="9"/>
      <c r="ID222" s="9"/>
      <c r="IE222" s="9"/>
      <c r="IF222" s="9"/>
      <c r="IG222" s="9"/>
      <c r="IH222" s="9"/>
      <c r="II222" s="9"/>
      <c r="IJ222" s="9"/>
      <c r="IK222" s="9"/>
      <c r="IL222" s="9"/>
      <c r="IM222" s="9"/>
      <c r="IN222" s="9"/>
      <c r="IO222" s="9"/>
      <c r="IP222" s="9"/>
      <c r="IQ222" s="9"/>
      <c r="IR222" s="9"/>
      <c r="IS222" s="9"/>
      <c r="IT222" s="9"/>
      <c r="IU222" s="9"/>
      <c r="IV222" s="9"/>
      <c r="IW222" s="9"/>
      <c r="IX222" s="9"/>
      <c r="IY222" s="9"/>
      <c r="IZ222" s="9"/>
      <c r="JA222" s="9"/>
      <c r="JB222" s="9"/>
      <c r="JC222" s="9"/>
      <c r="JD222" s="9"/>
      <c r="JE222" s="9"/>
      <c r="JF222" s="9"/>
      <c r="JG222" s="9"/>
      <c r="JH222" s="9"/>
      <c r="JI222" s="9"/>
      <c r="JJ222" s="9"/>
      <c r="JK222" s="9"/>
      <c r="JL222" s="9"/>
      <c r="JM222" s="9"/>
      <c r="JN222" s="9"/>
      <c r="JO222" s="9"/>
      <c r="JP222" s="9"/>
      <c r="JQ222" s="9"/>
      <c r="JR222" s="9"/>
      <c r="JS222" s="9"/>
      <c r="JT222" s="9"/>
      <c r="JU222" s="9"/>
      <c r="JV222" s="9"/>
      <c r="JW222" s="9"/>
      <c r="JX222" s="9"/>
      <c r="JY222" s="9"/>
      <c r="JZ222" s="9"/>
      <c r="KA222" s="9"/>
      <c r="KB222" s="9"/>
      <c r="KC222" s="9"/>
      <c r="KD222" s="9"/>
      <c r="KE222" s="9"/>
      <c r="KF222" s="9"/>
      <c r="KG222" s="9"/>
      <c r="KH222" s="9"/>
      <c r="KI222" s="9"/>
      <c r="KJ222" s="9"/>
      <c r="KK222" s="9"/>
      <c r="KL222" s="9"/>
      <c r="KM222" s="9"/>
      <c r="KN222" s="9"/>
      <c r="KO222" s="9"/>
      <c r="KP222" s="9"/>
      <c r="KQ222" s="9"/>
      <c r="KR222" s="9"/>
      <c r="KS222" s="9"/>
      <c r="KT222" s="9"/>
      <c r="KU222" s="9"/>
      <c r="KV222" s="9"/>
      <c r="KW222" s="9"/>
      <c r="KX222" s="9"/>
      <c r="KY222" s="9"/>
      <c r="KZ222" s="9"/>
      <c r="LA222" s="9"/>
      <c r="LB222" s="9"/>
      <c r="LC222" s="9"/>
      <c r="LD222" s="9"/>
      <c r="LE222" s="9"/>
      <c r="LF222" s="9"/>
      <c r="LG222" s="9"/>
      <c r="LH222" s="9"/>
      <c r="LI222" s="9"/>
      <c r="LJ222" s="9"/>
      <c r="LK222" s="9"/>
      <c r="LL222" s="9"/>
      <c r="LM222" s="9"/>
      <c r="LN222" s="9"/>
      <c r="LO222" s="9"/>
      <c r="LP222" s="9"/>
      <c r="LQ222" s="9"/>
      <c r="LR222" s="9"/>
      <c r="LS222" s="9"/>
      <c r="LT222" s="9"/>
      <c r="LU222" s="9"/>
      <c r="LV222" s="9"/>
      <c r="LW222" s="9"/>
      <c r="LX222" s="9"/>
      <c r="LY222" s="9"/>
      <c r="LZ222" s="9"/>
      <c r="MA222" s="9"/>
      <c r="MB222" s="9"/>
      <c r="MC222" s="9"/>
      <c r="MD222" s="9"/>
      <c r="ME222" s="9"/>
      <c r="MF222" s="9"/>
      <c r="MG222" s="9"/>
      <c r="MH222" s="9"/>
      <c r="MI222" s="9"/>
      <c r="MJ222" s="9"/>
      <c r="MK222" s="9"/>
      <c r="ML222" s="9"/>
      <c r="MM222" s="9"/>
      <c r="MN222" s="9"/>
      <c r="MO222" s="9"/>
      <c r="MP222" s="9"/>
      <c r="MQ222" s="9"/>
      <c r="MR222" s="9"/>
      <c r="MS222" s="9"/>
      <c r="MT222" s="9"/>
      <c r="MU222" s="9"/>
      <c r="MV222" s="9"/>
      <c r="MW222" s="9"/>
      <c r="MX222" s="9"/>
      <c r="MY222" s="9"/>
      <c r="MZ222" s="9"/>
      <c r="NA222" s="9"/>
      <c r="NB222" s="9"/>
      <c r="NC222" s="9"/>
      <c r="ND222" s="9"/>
      <c r="NE222" s="9"/>
      <c r="NF222" s="9"/>
      <c r="NG222" s="9"/>
      <c r="NH222" s="9"/>
      <c r="NI222" s="9"/>
      <c r="NJ222" s="9"/>
      <c r="NK222" s="9"/>
      <c r="NL222" s="9"/>
      <c r="NM222" s="9"/>
      <c r="NN222" s="9"/>
      <c r="NO222" s="9"/>
      <c r="NP222" s="9"/>
      <c r="NQ222" s="9"/>
      <c r="NR222" s="9"/>
      <c r="NS222" s="9"/>
      <c r="NT222" s="9"/>
      <c r="NU222" s="9"/>
      <c r="NV222" s="9"/>
      <c r="NW222" s="9"/>
      <c r="NX222" s="9"/>
      <c r="NY222" s="9"/>
      <c r="NZ222" s="9"/>
      <c r="OA222" s="9"/>
      <c r="OB222" s="9"/>
      <c r="OC222" s="9"/>
      <c r="OD222" s="9"/>
      <c r="OE222" s="9"/>
      <c r="OF222" s="9"/>
      <c r="OG222" s="9"/>
      <c r="OH222" s="9"/>
      <c r="OI222" s="9"/>
      <c r="OJ222" s="9"/>
      <c r="OK222" s="9"/>
      <c r="OL222" s="9"/>
      <c r="OM222" s="9"/>
      <c r="ON222" s="9"/>
      <c r="OO222" s="9"/>
      <c r="OP222" s="9"/>
      <c r="OQ222" s="9"/>
      <c r="OR222" s="9"/>
      <c r="OS222" s="9"/>
      <c r="OT222" s="9"/>
      <c r="OU222" s="9"/>
      <c r="OV222" s="9"/>
      <c r="OW222" s="9"/>
      <c r="OX222" s="9"/>
      <c r="OY222" s="9"/>
      <c r="OZ222" s="9"/>
      <c r="PA222" s="9"/>
      <c r="PB222" s="9"/>
      <c r="PC222" s="9"/>
      <c r="PD222" s="9"/>
      <c r="PE222" s="9"/>
      <c r="PF222" s="9"/>
      <c r="PG222" s="9"/>
      <c r="PH222" s="9"/>
      <c r="PI222" s="9"/>
      <c r="PJ222" s="9"/>
      <c r="PK222" s="9"/>
      <c r="PL222" s="9"/>
      <c r="PM222" s="9"/>
      <c r="PN222" s="9"/>
      <c r="PO222" s="9"/>
      <c r="PP222" s="9"/>
      <c r="PQ222" s="9"/>
      <c r="PR222" s="9"/>
      <c r="PS222" s="9"/>
      <c r="PT222" s="9"/>
      <c r="PU222" s="9"/>
      <c r="PV222" s="9"/>
      <c r="PW222" s="9"/>
      <c r="PX222" s="9"/>
      <c r="PY222" s="9"/>
      <c r="PZ222" s="9"/>
      <c r="QA222" s="9"/>
      <c r="QB222" s="9"/>
      <c r="QC222" s="9"/>
      <c r="QD222" s="9"/>
      <c r="QE222" s="9"/>
      <c r="QF222" s="9"/>
      <c r="QG222" s="9"/>
      <c r="QH222" s="9"/>
      <c r="QI222" s="9" t="s">
        <v>1098</v>
      </c>
      <c r="QJ222" s="9"/>
      <c r="QK222" s="9" t="s">
        <v>1098</v>
      </c>
      <c r="QL222" s="9"/>
      <c r="QM222" s="9"/>
      <c r="QN222" s="9"/>
      <c r="QO222" s="9"/>
      <c r="QP222" s="9"/>
      <c r="QQ222" s="67"/>
      <c r="QR222" s="68"/>
      <c r="QS222" s="63"/>
      <c r="QT222" s="71"/>
    </row>
    <row r="223" spans="1:462" s="11" customFormat="1" x14ac:dyDescent="0.2">
      <c r="A223" s="9">
        <v>10</v>
      </c>
      <c r="B223" s="9"/>
      <c r="C223" s="9"/>
      <c r="D223" s="9" t="s">
        <v>41</v>
      </c>
      <c r="E223" s="65" t="s">
        <v>42</v>
      </c>
      <c r="F223" s="65"/>
      <c r="G223" s="92" t="s">
        <v>2212</v>
      </c>
      <c r="H223" s="66" t="s">
        <v>1099</v>
      </c>
      <c r="I223" s="9" t="s">
        <v>1098</v>
      </c>
      <c r="J223" s="9"/>
      <c r="K223" s="9" t="s">
        <v>1098</v>
      </c>
      <c r="L223" s="9"/>
      <c r="M223" s="9" t="s">
        <v>1098</v>
      </c>
      <c r="N223" s="9"/>
      <c r="O223" s="9"/>
      <c r="P223" s="9"/>
      <c r="Q223" s="9"/>
      <c r="R223" s="9"/>
      <c r="S223" s="9" t="s">
        <v>1098</v>
      </c>
      <c r="T223" s="9"/>
      <c r="U223" s="9" t="s">
        <v>1098</v>
      </c>
      <c r="V223" s="9"/>
      <c r="W223" s="9"/>
      <c r="X223" s="9"/>
      <c r="Y223" s="9"/>
      <c r="Z223" s="9"/>
      <c r="AA223" s="9" t="s">
        <v>1098</v>
      </c>
      <c r="AB223" s="9"/>
      <c r="AC223" s="9" t="s">
        <v>1098</v>
      </c>
      <c r="AD223" s="9"/>
      <c r="AE223" s="9"/>
      <c r="AF223" s="9"/>
      <c r="AG223" s="9"/>
      <c r="AH223" s="9"/>
      <c r="AI223" s="9" t="s">
        <v>1098</v>
      </c>
      <c r="AJ223" s="9"/>
      <c r="AK223" s="9" t="s">
        <v>1098</v>
      </c>
      <c r="AL223" s="9"/>
      <c r="AM223" s="9"/>
      <c r="AN223" s="9"/>
      <c r="AO223" s="9"/>
      <c r="AP223" s="9"/>
      <c r="AQ223" s="9" t="s">
        <v>1098</v>
      </c>
      <c r="AR223" s="9"/>
      <c r="AS223" s="9" t="s">
        <v>1098</v>
      </c>
      <c r="AT223" s="9"/>
      <c r="AU223" s="9"/>
      <c r="AV223" s="9"/>
      <c r="AW223" s="9"/>
      <c r="AX223" s="9"/>
      <c r="AY223" s="9" t="s">
        <v>1098</v>
      </c>
      <c r="AZ223" s="9"/>
      <c r="BA223" s="9" t="s">
        <v>1098</v>
      </c>
      <c r="BB223" s="9"/>
      <c r="BC223" s="9"/>
      <c r="BD223" s="9"/>
      <c r="BE223" s="9"/>
      <c r="BF223" s="9"/>
      <c r="BG223" s="9" t="s">
        <v>1098</v>
      </c>
      <c r="BH223" s="9"/>
      <c r="BI223" s="9" t="s">
        <v>1098</v>
      </c>
      <c r="BJ223" s="9"/>
      <c r="BK223" s="9"/>
      <c r="BL223" s="9"/>
      <c r="BM223" s="9"/>
      <c r="BN223" s="9"/>
      <c r="BO223" s="9" t="s">
        <v>1098</v>
      </c>
      <c r="BP223" s="9"/>
      <c r="BQ223" s="9" t="s">
        <v>1098</v>
      </c>
      <c r="BR223" s="9"/>
      <c r="BS223" s="9"/>
      <c r="BT223" s="9"/>
      <c r="BU223" s="9"/>
      <c r="BV223" s="9"/>
      <c r="BW223" s="9" t="s">
        <v>1098</v>
      </c>
      <c r="BX223" s="9"/>
      <c r="BY223" s="9" t="s">
        <v>1098</v>
      </c>
      <c r="BZ223" s="9"/>
      <c r="CA223" s="9"/>
      <c r="CB223" s="9"/>
      <c r="CC223" s="9"/>
      <c r="CD223" s="9"/>
      <c r="CE223" s="9" t="s">
        <v>1098</v>
      </c>
      <c r="CF223" s="9"/>
      <c r="CG223" s="9" t="s">
        <v>1098</v>
      </c>
      <c r="CH223" s="9"/>
      <c r="CI223" s="9"/>
      <c r="CJ223" s="9"/>
      <c r="CK223" s="9"/>
      <c r="CL223" s="9"/>
      <c r="CM223" s="9" t="s">
        <v>1098</v>
      </c>
      <c r="CN223" s="9"/>
      <c r="CO223" s="9" t="s">
        <v>1098</v>
      </c>
      <c r="CP223" s="9"/>
      <c r="CQ223" s="9"/>
      <c r="CR223" s="9"/>
      <c r="CS223" s="9"/>
      <c r="CT223" s="9"/>
      <c r="CU223" s="9" t="s">
        <v>1098</v>
      </c>
      <c r="CV223" s="9"/>
      <c r="CW223" s="9" t="s">
        <v>1098</v>
      </c>
      <c r="CX223" s="9"/>
      <c r="CY223" s="9"/>
      <c r="CZ223" s="9"/>
      <c r="DA223" s="9"/>
      <c r="DB223" s="9"/>
      <c r="DC223" s="9" t="s">
        <v>1098</v>
      </c>
      <c r="DD223" s="9"/>
      <c r="DE223" s="9" t="s">
        <v>1098</v>
      </c>
      <c r="DF223" s="9"/>
      <c r="DG223" s="9"/>
      <c r="DH223" s="9"/>
      <c r="DI223" s="9"/>
      <c r="DJ223" s="9"/>
      <c r="DK223" s="9" t="s">
        <v>1098</v>
      </c>
      <c r="DL223" s="9"/>
      <c r="DM223" s="9" t="s">
        <v>1098</v>
      </c>
      <c r="DN223" s="9"/>
      <c r="DO223" s="9"/>
      <c r="DP223" s="9"/>
      <c r="DQ223" s="9"/>
      <c r="DR223" s="9"/>
      <c r="DS223" s="9" t="s">
        <v>1098</v>
      </c>
      <c r="DT223" s="9"/>
      <c r="DU223" s="9" t="s">
        <v>1098</v>
      </c>
      <c r="DV223" s="9"/>
      <c r="DW223" s="9"/>
      <c r="DX223" s="9"/>
      <c r="DY223" s="9"/>
      <c r="DZ223" s="9"/>
      <c r="EA223" s="9" t="s">
        <v>1098</v>
      </c>
      <c r="EB223" s="9"/>
      <c r="EC223" s="9" t="s">
        <v>1098</v>
      </c>
      <c r="ED223" s="9"/>
      <c r="EE223" s="9"/>
      <c r="EF223" s="9"/>
      <c r="EG223" s="9"/>
      <c r="EH223" s="9"/>
      <c r="EI223" s="9" t="s">
        <v>1098</v>
      </c>
      <c r="EJ223" s="9"/>
      <c r="EK223" s="9" t="s">
        <v>1098</v>
      </c>
      <c r="EL223" s="9"/>
      <c r="EM223" s="9"/>
      <c r="EN223" s="9"/>
      <c r="EO223" s="9"/>
      <c r="EP223" s="9"/>
      <c r="EQ223" s="9" t="s">
        <v>1098</v>
      </c>
      <c r="ER223" s="9"/>
      <c r="ES223" s="9" t="s">
        <v>1098</v>
      </c>
      <c r="ET223" s="9"/>
      <c r="EU223" s="9"/>
      <c r="EV223" s="9"/>
      <c r="EW223" s="9"/>
      <c r="EX223" s="9"/>
      <c r="EY223" s="9" t="s">
        <v>1098</v>
      </c>
      <c r="EZ223" s="9"/>
      <c r="FA223" s="9" t="s">
        <v>1098</v>
      </c>
      <c r="FB223" s="9"/>
      <c r="FC223" s="9"/>
      <c r="FD223" s="9"/>
      <c r="FE223" s="9"/>
      <c r="FF223" s="9"/>
      <c r="FG223" s="9" t="s">
        <v>1098</v>
      </c>
      <c r="FH223" s="9"/>
      <c r="FI223" s="9" t="s">
        <v>1098</v>
      </c>
      <c r="FJ223" s="9"/>
      <c r="FK223" s="9"/>
      <c r="FL223" s="9"/>
      <c r="FM223" s="9"/>
      <c r="FN223" s="9"/>
      <c r="FO223" s="9" t="s">
        <v>1098</v>
      </c>
      <c r="FP223" s="9"/>
      <c r="FQ223" s="9" t="s">
        <v>1098</v>
      </c>
      <c r="FR223" s="9"/>
      <c r="FS223" s="9"/>
      <c r="FT223" s="9"/>
      <c r="FU223" s="9"/>
      <c r="FV223" s="9"/>
      <c r="FW223" s="9" t="s">
        <v>1098</v>
      </c>
      <c r="FX223" s="9"/>
      <c r="FY223" s="9" t="s">
        <v>1098</v>
      </c>
      <c r="FZ223" s="9"/>
      <c r="GA223" s="9"/>
      <c r="GB223" s="9"/>
      <c r="GC223" s="9"/>
      <c r="GD223" s="9"/>
      <c r="GE223" s="9" t="s">
        <v>1098</v>
      </c>
      <c r="GF223" s="9"/>
      <c r="GG223" s="9" t="s">
        <v>1098</v>
      </c>
      <c r="GH223" s="9"/>
      <c r="GI223" s="9"/>
      <c r="GJ223" s="9"/>
      <c r="GK223" s="9"/>
      <c r="GL223" s="9"/>
      <c r="GM223" s="9" t="s">
        <v>1098</v>
      </c>
      <c r="GN223" s="9"/>
      <c r="GO223" s="9" t="s">
        <v>1098</v>
      </c>
      <c r="GP223" s="9"/>
      <c r="GQ223" s="9"/>
      <c r="GR223" s="9"/>
      <c r="GS223" s="9"/>
      <c r="GT223" s="9"/>
      <c r="GU223" s="9" t="s">
        <v>1098</v>
      </c>
      <c r="GV223" s="9"/>
      <c r="GW223" s="9" t="s">
        <v>1098</v>
      </c>
      <c r="GX223" s="9"/>
      <c r="GY223" s="9"/>
      <c r="GZ223" s="9"/>
      <c r="HA223" s="9"/>
      <c r="HB223" s="9"/>
      <c r="HC223" s="9" t="s">
        <v>1098</v>
      </c>
      <c r="HD223" s="9"/>
      <c r="HE223" s="9" t="s">
        <v>1098</v>
      </c>
      <c r="HF223" s="9"/>
      <c r="HG223" s="9"/>
      <c r="HH223" s="9"/>
      <c r="HI223" s="9"/>
      <c r="HJ223" s="9"/>
      <c r="HK223" s="9" t="s">
        <v>1098</v>
      </c>
      <c r="HL223" s="9"/>
      <c r="HM223" s="9" t="s">
        <v>1098</v>
      </c>
      <c r="HN223" s="9"/>
      <c r="HO223" s="9"/>
      <c r="HP223" s="9"/>
      <c r="HQ223" s="9"/>
      <c r="HR223" s="9"/>
      <c r="HS223" s="9" t="s">
        <v>1098</v>
      </c>
      <c r="HT223" s="9"/>
      <c r="HU223" s="9" t="s">
        <v>1098</v>
      </c>
      <c r="HV223" s="9"/>
      <c r="HW223" s="9"/>
      <c r="HX223" s="9"/>
      <c r="HY223" s="9"/>
      <c r="HZ223" s="9"/>
      <c r="IA223" s="9" t="s">
        <v>1098</v>
      </c>
      <c r="IB223" s="9"/>
      <c r="IC223" s="9" t="s">
        <v>1098</v>
      </c>
      <c r="ID223" s="9"/>
      <c r="IE223" s="9"/>
      <c r="IF223" s="9"/>
      <c r="IG223" s="9"/>
      <c r="IH223" s="9"/>
      <c r="II223" s="9" t="s">
        <v>1098</v>
      </c>
      <c r="IJ223" s="9"/>
      <c r="IK223" s="9" t="s">
        <v>1098</v>
      </c>
      <c r="IL223" s="9"/>
      <c r="IM223" s="9"/>
      <c r="IN223" s="9"/>
      <c r="IO223" s="9"/>
      <c r="IP223" s="9"/>
      <c r="IQ223" s="9" t="s">
        <v>1098</v>
      </c>
      <c r="IR223" s="9"/>
      <c r="IS223" s="9" t="s">
        <v>1098</v>
      </c>
      <c r="IT223" s="9"/>
      <c r="IU223" s="9"/>
      <c r="IV223" s="9"/>
      <c r="IW223" s="9"/>
      <c r="IX223" s="9"/>
      <c r="IY223" s="9" t="s">
        <v>1098</v>
      </c>
      <c r="IZ223" s="9"/>
      <c r="JA223" s="9" t="s">
        <v>1098</v>
      </c>
      <c r="JB223" s="9"/>
      <c r="JC223" s="9"/>
      <c r="JD223" s="9"/>
      <c r="JE223" s="9"/>
      <c r="JF223" s="9"/>
      <c r="JG223" s="9" t="s">
        <v>1098</v>
      </c>
      <c r="JH223" s="9"/>
      <c r="JI223" s="9" t="s">
        <v>1098</v>
      </c>
      <c r="JJ223" s="9"/>
      <c r="JK223" s="9"/>
      <c r="JL223" s="9"/>
      <c r="JM223" s="9"/>
      <c r="JN223" s="9"/>
      <c r="JO223" s="9" t="s">
        <v>1098</v>
      </c>
      <c r="JP223" s="9"/>
      <c r="JQ223" s="9" t="s">
        <v>1098</v>
      </c>
      <c r="JR223" s="9"/>
      <c r="JS223" s="9"/>
      <c r="JT223" s="9"/>
      <c r="JU223" s="9"/>
      <c r="JV223" s="9"/>
      <c r="JW223" s="9" t="s">
        <v>1098</v>
      </c>
      <c r="JX223" s="9"/>
      <c r="JY223" s="9" t="s">
        <v>1098</v>
      </c>
      <c r="JZ223" s="9"/>
      <c r="KA223" s="9"/>
      <c r="KB223" s="9"/>
      <c r="KC223" s="9"/>
      <c r="KD223" s="9"/>
      <c r="KE223" s="9" t="s">
        <v>1098</v>
      </c>
      <c r="KF223" s="9"/>
      <c r="KG223" s="9" t="s">
        <v>1098</v>
      </c>
      <c r="KH223" s="9"/>
      <c r="KI223" s="9"/>
      <c r="KJ223" s="9"/>
      <c r="KK223" s="9"/>
      <c r="KL223" s="9"/>
      <c r="KM223" s="9" t="s">
        <v>1098</v>
      </c>
      <c r="KN223" s="9"/>
      <c r="KO223" s="9" t="s">
        <v>1098</v>
      </c>
      <c r="KP223" s="9"/>
      <c r="KQ223" s="9"/>
      <c r="KR223" s="9"/>
      <c r="KS223" s="9"/>
      <c r="KT223" s="9"/>
      <c r="KU223" s="9" t="s">
        <v>1098</v>
      </c>
      <c r="KV223" s="9"/>
      <c r="KW223" s="9" t="s">
        <v>1098</v>
      </c>
      <c r="KX223" s="9"/>
      <c r="KY223" s="9"/>
      <c r="KZ223" s="9"/>
      <c r="LA223" s="9"/>
      <c r="LB223" s="9"/>
      <c r="LC223" s="9" t="s">
        <v>1098</v>
      </c>
      <c r="LD223" s="9"/>
      <c r="LE223" s="9" t="s">
        <v>1098</v>
      </c>
      <c r="LF223" s="9"/>
      <c r="LG223" s="9"/>
      <c r="LH223" s="9"/>
      <c r="LI223" s="9"/>
      <c r="LJ223" s="9"/>
      <c r="LK223" s="9" t="s">
        <v>1098</v>
      </c>
      <c r="LL223" s="9"/>
      <c r="LM223" s="9" t="s">
        <v>1098</v>
      </c>
      <c r="LN223" s="9"/>
      <c r="LO223" s="9"/>
      <c r="LP223" s="9"/>
      <c r="LQ223" s="9"/>
      <c r="LR223" s="9"/>
      <c r="LS223" s="9" t="s">
        <v>1098</v>
      </c>
      <c r="LT223" s="9"/>
      <c r="LU223" s="9" t="s">
        <v>1098</v>
      </c>
      <c r="LV223" s="9"/>
      <c r="LW223" s="9"/>
      <c r="LX223" s="9"/>
      <c r="LY223" s="9"/>
      <c r="LZ223" s="9"/>
      <c r="MA223" s="9" t="s">
        <v>1098</v>
      </c>
      <c r="MB223" s="9"/>
      <c r="MC223" s="9" t="s">
        <v>1098</v>
      </c>
      <c r="MD223" s="9"/>
      <c r="ME223" s="9"/>
      <c r="MF223" s="9"/>
      <c r="MG223" s="9"/>
      <c r="MH223" s="9"/>
      <c r="MI223" s="9" t="s">
        <v>1098</v>
      </c>
      <c r="MJ223" s="9"/>
      <c r="MK223" s="9" t="s">
        <v>1098</v>
      </c>
      <c r="ML223" s="9"/>
      <c r="MM223" s="9"/>
      <c r="MN223" s="9"/>
      <c r="MO223" s="9"/>
      <c r="MP223" s="9"/>
      <c r="MQ223" s="9" t="s">
        <v>1098</v>
      </c>
      <c r="MR223" s="9"/>
      <c r="MS223" s="9" t="s">
        <v>1098</v>
      </c>
      <c r="MT223" s="9"/>
      <c r="MU223" s="9"/>
      <c r="MV223" s="9"/>
      <c r="MW223" s="9"/>
      <c r="MX223" s="9"/>
      <c r="MY223" s="9" t="s">
        <v>1098</v>
      </c>
      <c r="MZ223" s="9"/>
      <c r="NA223" s="9" t="s">
        <v>1098</v>
      </c>
      <c r="NB223" s="9"/>
      <c r="NC223" s="9"/>
      <c r="ND223" s="9"/>
      <c r="NE223" s="9"/>
      <c r="NF223" s="9"/>
      <c r="NG223" s="9" t="s">
        <v>1098</v>
      </c>
      <c r="NH223" s="9"/>
      <c r="NI223" s="9" t="s">
        <v>1098</v>
      </c>
      <c r="NJ223" s="9"/>
      <c r="NK223" s="9"/>
      <c r="NL223" s="9"/>
      <c r="NM223" s="9"/>
      <c r="NN223" s="9"/>
      <c r="NO223" s="9" t="s">
        <v>1098</v>
      </c>
      <c r="NP223" s="9"/>
      <c r="NQ223" s="9" t="s">
        <v>1098</v>
      </c>
      <c r="NR223" s="9"/>
      <c r="NS223" s="9"/>
      <c r="NT223" s="9"/>
      <c r="NU223" s="9"/>
      <c r="NV223" s="9"/>
      <c r="NW223" s="9" t="s">
        <v>1098</v>
      </c>
      <c r="NX223" s="9"/>
      <c r="NY223" s="9" t="s">
        <v>1098</v>
      </c>
      <c r="NZ223" s="9"/>
      <c r="OA223" s="9"/>
      <c r="OB223" s="9"/>
      <c r="OC223" s="9"/>
      <c r="OD223" s="9"/>
      <c r="OE223" s="9" t="s">
        <v>1098</v>
      </c>
      <c r="OF223" s="9"/>
      <c r="OG223" s="9" t="s">
        <v>1098</v>
      </c>
      <c r="OH223" s="9"/>
      <c r="OI223" s="9"/>
      <c r="OJ223" s="9"/>
      <c r="OK223" s="9"/>
      <c r="OL223" s="9"/>
      <c r="OM223" s="9" t="s">
        <v>1098</v>
      </c>
      <c r="ON223" s="9"/>
      <c r="OO223" s="9" t="s">
        <v>1098</v>
      </c>
      <c r="OP223" s="9"/>
      <c r="OQ223" s="9"/>
      <c r="OR223" s="9"/>
      <c r="OS223" s="9"/>
      <c r="OT223" s="9"/>
      <c r="OU223" s="9" t="s">
        <v>1098</v>
      </c>
      <c r="OV223" s="9"/>
      <c r="OW223" s="9" t="s">
        <v>1098</v>
      </c>
      <c r="OX223" s="9"/>
      <c r="OY223" s="9"/>
      <c r="OZ223" s="9"/>
      <c r="PA223" s="9"/>
      <c r="PB223" s="9"/>
      <c r="PC223" s="9" t="s">
        <v>1098</v>
      </c>
      <c r="PD223" s="9"/>
      <c r="PE223" s="9" t="s">
        <v>1098</v>
      </c>
      <c r="PF223" s="9"/>
      <c r="PG223" s="9"/>
      <c r="PH223" s="9"/>
      <c r="PI223" s="9"/>
      <c r="PJ223" s="9"/>
      <c r="PK223" s="9" t="s">
        <v>1098</v>
      </c>
      <c r="PL223" s="9"/>
      <c r="PM223" s="9" t="s">
        <v>1098</v>
      </c>
      <c r="PN223" s="9"/>
      <c r="PO223" s="9"/>
      <c r="PP223" s="9"/>
      <c r="PQ223" s="9"/>
      <c r="PR223" s="9"/>
      <c r="PS223" s="9" t="s">
        <v>1098</v>
      </c>
      <c r="PT223" s="9"/>
      <c r="PU223" s="9" t="s">
        <v>1098</v>
      </c>
      <c r="PV223" s="9"/>
      <c r="PW223" s="9"/>
      <c r="PX223" s="9"/>
      <c r="PY223" s="9"/>
      <c r="PZ223" s="9"/>
      <c r="QA223" s="9" t="s">
        <v>1098</v>
      </c>
      <c r="QB223" s="9"/>
      <c r="QC223" s="9" t="s">
        <v>1098</v>
      </c>
      <c r="QD223" s="9"/>
      <c r="QE223" s="9"/>
      <c r="QF223" s="9"/>
      <c r="QG223" s="9"/>
      <c r="QH223" s="9"/>
      <c r="QI223" s="9" t="s">
        <v>1098</v>
      </c>
      <c r="QJ223" s="9"/>
      <c r="QK223" s="9" t="s">
        <v>1098</v>
      </c>
      <c r="QL223" s="9"/>
      <c r="QM223" s="9"/>
      <c r="QN223" s="9"/>
      <c r="QO223" s="9"/>
      <c r="QP223" s="9"/>
      <c r="QQ223" s="67"/>
      <c r="QR223" s="68"/>
      <c r="QS223" s="157"/>
      <c r="QT223" s="158"/>
    </row>
    <row r="224" spans="1:462" s="11" customFormat="1" x14ac:dyDescent="0.2">
      <c r="A224" s="9">
        <v>10</v>
      </c>
      <c r="B224" s="9"/>
      <c r="C224" s="9"/>
      <c r="D224" s="9" t="s">
        <v>45</v>
      </c>
      <c r="E224" s="65" t="s">
        <v>46</v>
      </c>
      <c r="F224" s="65"/>
      <c r="G224" s="92" t="s">
        <v>2213</v>
      </c>
      <c r="H224" s="66" t="s">
        <v>1100</v>
      </c>
      <c r="I224" s="9" t="s">
        <v>1098</v>
      </c>
      <c r="J224" s="9"/>
      <c r="K224" s="9" t="s">
        <v>1098</v>
      </c>
      <c r="L224" s="9"/>
      <c r="M224" s="9" t="s">
        <v>1098</v>
      </c>
      <c r="N224" s="9"/>
      <c r="O224" s="9"/>
      <c r="P224" s="9"/>
      <c r="Q224" s="9"/>
      <c r="R224" s="9"/>
      <c r="S224" s="9" t="s">
        <v>1098</v>
      </c>
      <c r="T224" s="9"/>
      <c r="U224" s="9" t="s">
        <v>1098</v>
      </c>
      <c r="V224" s="9"/>
      <c r="W224" s="9"/>
      <c r="X224" s="9"/>
      <c r="Y224" s="9"/>
      <c r="Z224" s="9"/>
      <c r="AA224" s="9" t="s">
        <v>1098</v>
      </c>
      <c r="AB224" s="9"/>
      <c r="AC224" s="9" t="s">
        <v>1098</v>
      </c>
      <c r="AD224" s="9"/>
      <c r="AE224" s="9"/>
      <c r="AF224" s="9"/>
      <c r="AG224" s="9"/>
      <c r="AH224" s="9"/>
      <c r="AI224" s="9" t="s">
        <v>1098</v>
      </c>
      <c r="AJ224" s="9"/>
      <c r="AK224" s="9" t="s">
        <v>1098</v>
      </c>
      <c r="AL224" s="9"/>
      <c r="AM224" s="9"/>
      <c r="AN224" s="9"/>
      <c r="AO224" s="9"/>
      <c r="AP224" s="9"/>
      <c r="AQ224" s="9" t="s">
        <v>1098</v>
      </c>
      <c r="AR224" s="9"/>
      <c r="AS224" s="9" t="s">
        <v>1098</v>
      </c>
      <c r="AT224" s="9"/>
      <c r="AU224" s="9"/>
      <c r="AV224" s="9"/>
      <c r="AW224" s="9"/>
      <c r="AX224" s="9"/>
      <c r="AY224" s="9" t="s">
        <v>1098</v>
      </c>
      <c r="AZ224" s="9"/>
      <c r="BA224" s="9" t="s">
        <v>1098</v>
      </c>
      <c r="BB224" s="9"/>
      <c r="BC224" s="9"/>
      <c r="BD224" s="9"/>
      <c r="BE224" s="9"/>
      <c r="BF224" s="9"/>
      <c r="BG224" s="9" t="s">
        <v>1098</v>
      </c>
      <c r="BH224" s="9"/>
      <c r="BI224" s="9" t="s">
        <v>1098</v>
      </c>
      <c r="BJ224" s="9"/>
      <c r="BK224" s="9"/>
      <c r="BL224" s="9"/>
      <c r="BM224" s="9"/>
      <c r="BN224" s="9"/>
      <c r="BO224" s="9" t="s">
        <v>1098</v>
      </c>
      <c r="BP224" s="9"/>
      <c r="BQ224" s="9" t="s">
        <v>1098</v>
      </c>
      <c r="BR224" s="9"/>
      <c r="BS224" s="9"/>
      <c r="BT224" s="9"/>
      <c r="BU224" s="9"/>
      <c r="BV224" s="9"/>
      <c r="BW224" s="9" t="s">
        <v>1098</v>
      </c>
      <c r="BX224" s="9"/>
      <c r="BY224" s="9" t="s">
        <v>1098</v>
      </c>
      <c r="BZ224" s="9"/>
      <c r="CA224" s="9"/>
      <c r="CB224" s="9"/>
      <c r="CC224" s="9"/>
      <c r="CD224" s="9"/>
      <c r="CE224" s="9" t="s">
        <v>1098</v>
      </c>
      <c r="CF224" s="9"/>
      <c r="CG224" s="9" t="s">
        <v>1098</v>
      </c>
      <c r="CH224" s="9"/>
      <c r="CI224" s="9"/>
      <c r="CJ224" s="9"/>
      <c r="CK224" s="9"/>
      <c r="CL224" s="9"/>
      <c r="CM224" s="9" t="s">
        <v>1098</v>
      </c>
      <c r="CN224" s="9"/>
      <c r="CO224" s="9" t="s">
        <v>1098</v>
      </c>
      <c r="CP224" s="9"/>
      <c r="CQ224" s="9"/>
      <c r="CR224" s="9"/>
      <c r="CS224" s="9"/>
      <c r="CT224" s="9"/>
      <c r="CU224" s="9" t="s">
        <v>1098</v>
      </c>
      <c r="CV224" s="9"/>
      <c r="CW224" s="9" t="s">
        <v>1098</v>
      </c>
      <c r="CX224" s="9"/>
      <c r="CY224" s="9"/>
      <c r="CZ224" s="9"/>
      <c r="DA224" s="9"/>
      <c r="DB224" s="9"/>
      <c r="DC224" s="9" t="s">
        <v>1098</v>
      </c>
      <c r="DD224" s="9"/>
      <c r="DE224" s="9" t="s">
        <v>1098</v>
      </c>
      <c r="DF224" s="9"/>
      <c r="DG224" s="9"/>
      <c r="DH224" s="9"/>
      <c r="DI224" s="9"/>
      <c r="DJ224" s="9"/>
      <c r="DK224" s="9" t="s">
        <v>1098</v>
      </c>
      <c r="DL224" s="9"/>
      <c r="DM224" s="9" t="s">
        <v>1098</v>
      </c>
      <c r="DN224" s="9"/>
      <c r="DO224" s="9"/>
      <c r="DP224" s="9"/>
      <c r="DQ224" s="9"/>
      <c r="DR224" s="9"/>
      <c r="DS224" s="9" t="s">
        <v>1098</v>
      </c>
      <c r="DT224" s="9"/>
      <c r="DU224" s="9" t="s">
        <v>1098</v>
      </c>
      <c r="DV224" s="9"/>
      <c r="DW224" s="9"/>
      <c r="DX224" s="9"/>
      <c r="DY224" s="9"/>
      <c r="DZ224" s="9"/>
      <c r="EA224" s="9" t="s">
        <v>1098</v>
      </c>
      <c r="EB224" s="9"/>
      <c r="EC224" s="9" t="s">
        <v>1098</v>
      </c>
      <c r="ED224" s="9"/>
      <c r="EE224" s="9"/>
      <c r="EF224" s="9"/>
      <c r="EG224" s="9"/>
      <c r="EH224" s="9"/>
      <c r="EI224" s="9" t="s">
        <v>1098</v>
      </c>
      <c r="EJ224" s="9"/>
      <c r="EK224" s="9" t="s">
        <v>1098</v>
      </c>
      <c r="EL224" s="9"/>
      <c r="EM224" s="9"/>
      <c r="EN224" s="9"/>
      <c r="EO224" s="9"/>
      <c r="EP224" s="9"/>
      <c r="EQ224" s="9" t="s">
        <v>1098</v>
      </c>
      <c r="ER224" s="9"/>
      <c r="ES224" s="9" t="s">
        <v>1098</v>
      </c>
      <c r="ET224" s="9"/>
      <c r="EU224" s="9"/>
      <c r="EV224" s="9"/>
      <c r="EW224" s="9"/>
      <c r="EX224" s="9"/>
      <c r="EY224" s="9" t="s">
        <v>1098</v>
      </c>
      <c r="EZ224" s="9"/>
      <c r="FA224" s="9" t="s">
        <v>1098</v>
      </c>
      <c r="FB224" s="9"/>
      <c r="FC224" s="9"/>
      <c r="FD224" s="9"/>
      <c r="FE224" s="9"/>
      <c r="FF224" s="9"/>
      <c r="FG224" s="9" t="s">
        <v>1098</v>
      </c>
      <c r="FH224" s="9"/>
      <c r="FI224" s="9" t="s">
        <v>1098</v>
      </c>
      <c r="FJ224" s="9"/>
      <c r="FK224" s="9"/>
      <c r="FL224" s="9"/>
      <c r="FM224" s="9"/>
      <c r="FN224" s="9"/>
      <c r="FO224" s="9" t="s">
        <v>1098</v>
      </c>
      <c r="FP224" s="9"/>
      <c r="FQ224" s="9" t="s">
        <v>1098</v>
      </c>
      <c r="FR224" s="9"/>
      <c r="FS224" s="9"/>
      <c r="FT224" s="9"/>
      <c r="FU224" s="9"/>
      <c r="FV224" s="9"/>
      <c r="FW224" s="9" t="s">
        <v>1098</v>
      </c>
      <c r="FX224" s="9"/>
      <c r="FY224" s="9" t="s">
        <v>1098</v>
      </c>
      <c r="FZ224" s="9"/>
      <c r="GA224" s="9"/>
      <c r="GB224" s="9"/>
      <c r="GC224" s="9"/>
      <c r="GD224" s="9"/>
      <c r="GE224" s="9" t="s">
        <v>1098</v>
      </c>
      <c r="GF224" s="9"/>
      <c r="GG224" s="9" t="s">
        <v>1098</v>
      </c>
      <c r="GH224" s="9"/>
      <c r="GI224" s="9"/>
      <c r="GJ224" s="9"/>
      <c r="GK224" s="9"/>
      <c r="GL224" s="9"/>
      <c r="GM224" s="9" t="s">
        <v>1098</v>
      </c>
      <c r="GN224" s="9"/>
      <c r="GO224" s="9" t="s">
        <v>1098</v>
      </c>
      <c r="GP224" s="9"/>
      <c r="GQ224" s="9"/>
      <c r="GR224" s="9"/>
      <c r="GS224" s="9"/>
      <c r="GT224" s="9"/>
      <c r="GU224" s="9" t="s">
        <v>1098</v>
      </c>
      <c r="GV224" s="9"/>
      <c r="GW224" s="9" t="s">
        <v>1098</v>
      </c>
      <c r="GX224" s="9"/>
      <c r="GY224" s="9"/>
      <c r="GZ224" s="9"/>
      <c r="HA224" s="9"/>
      <c r="HB224" s="9"/>
      <c r="HC224" s="9" t="s">
        <v>1098</v>
      </c>
      <c r="HD224" s="9"/>
      <c r="HE224" s="9" t="s">
        <v>1098</v>
      </c>
      <c r="HF224" s="9"/>
      <c r="HG224" s="9"/>
      <c r="HH224" s="9"/>
      <c r="HI224" s="9"/>
      <c r="HJ224" s="9"/>
      <c r="HK224" s="9" t="s">
        <v>1098</v>
      </c>
      <c r="HL224" s="9"/>
      <c r="HM224" s="9" t="s">
        <v>1098</v>
      </c>
      <c r="HN224" s="9"/>
      <c r="HO224" s="9"/>
      <c r="HP224" s="9"/>
      <c r="HQ224" s="9"/>
      <c r="HR224" s="9"/>
      <c r="HS224" s="9" t="s">
        <v>1098</v>
      </c>
      <c r="HT224" s="9"/>
      <c r="HU224" s="9" t="s">
        <v>1098</v>
      </c>
      <c r="HV224" s="9"/>
      <c r="HW224" s="9"/>
      <c r="HX224" s="9"/>
      <c r="HY224" s="9"/>
      <c r="HZ224" s="9"/>
      <c r="IA224" s="9" t="s">
        <v>1098</v>
      </c>
      <c r="IB224" s="9"/>
      <c r="IC224" s="9" t="s">
        <v>1098</v>
      </c>
      <c r="ID224" s="9"/>
      <c r="IE224" s="9"/>
      <c r="IF224" s="9"/>
      <c r="IG224" s="9"/>
      <c r="IH224" s="9"/>
      <c r="II224" s="9" t="s">
        <v>1098</v>
      </c>
      <c r="IJ224" s="9"/>
      <c r="IK224" s="9" t="s">
        <v>1098</v>
      </c>
      <c r="IL224" s="9"/>
      <c r="IM224" s="9"/>
      <c r="IN224" s="9"/>
      <c r="IO224" s="9"/>
      <c r="IP224" s="9"/>
      <c r="IQ224" s="9" t="s">
        <v>1098</v>
      </c>
      <c r="IR224" s="9"/>
      <c r="IS224" s="9" t="s">
        <v>1098</v>
      </c>
      <c r="IT224" s="9"/>
      <c r="IU224" s="9"/>
      <c r="IV224" s="9"/>
      <c r="IW224" s="9"/>
      <c r="IX224" s="9"/>
      <c r="IY224" s="9" t="s">
        <v>1098</v>
      </c>
      <c r="IZ224" s="9"/>
      <c r="JA224" s="9" t="s">
        <v>1098</v>
      </c>
      <c r="JB224" s="9"/>
      <c r="JC224" s="9"/>
      <c r="JD224" s="9"/>
      <c r="JE224" s="9"/>
      <c r="JF224" s="9"/>
      <c r="JG224" s="9" t="s">
        <v>1098</v>
      </c>
      <c r="JH224" s="9"/>
      <c r="JI224" s="9" t="s">
        <v>1098</v>
      </c>
      <c r="JJ224" s="9"/>
      <c r="JK224" s="9"/>
      <c r="JL224" s="9"/>
      <c r="JM224" s="9"/>
      <c r="JN224" s="9"/>
      <c r="JO224" s="9" t="s">
        <v>1098</v>
      </c>
      <c r="JP224" s="9"/>
      <c r="JQ224" s="9" t="s">
        <v>1098</v>
      </c>
      <c r="JR224" s="9"/>
      <c r="JS224" s="9"/>
      <c r="JT224" s="9"/>
      <c r="JU224" s="9"/>
      <c r="JV224" s="9"/>
      <c r="JW224" s="9" t="s">
        <v>1098</v>
      </c>
      <c r="JX224" s="9"/>
      <c r="JY224" s="9" t="s">
        <v>1098</v>
      </c>
      <c r="JZ224" s="9"/>
      <c r="KA224" s="9"/>
      <c r="KB224" s="9"/>
      <c r="KC224" s="9"/>
      <c r="KD224" s="9"/>
      <c r="KE224" s="9" t="s">
        <v>1098</v>
      </c>
      <c r="KF224" s="9"/>
      <c r="KG224" s="9" t="s">
        <v>1098</v>
      </c>
      <c r="KH224" s="9"/>
      <c r="KI224" s="9"/>
      <c r="KJ224" s="9"/>
      <c r="KK224" s="9"/>
      <c r="KL224" s="9"/>
      <c r="KM224" s="9" t="s">
        <v>1098</v>
      </c>
      <c r="KN224" s="9"/>
      <c r="KO224" s="9" t="s">
        <v>1098</v>
      </c>
      <c r="KP224" s="9"/>
      <c r="KQ224" s="9"/>
      <c r="KR224" s="9"/>
      <c r="KS224" s="9"/>
      <c r="KT224" s="9"/>
      <c r="KU224" s="9" t="s">
        <v>1098</v>
      </c>
      <c r="KV224" s="9"/>
      <c r="KW224" s="9" t="s">
        <v>1098</v>
      </c>
      <c r="KX224" s="9"/>
      <c r="KY224" s="9"/>
      <c r="KZ224" s="9"/>
      <c r="LA224" s="9"/>
      <c r="LB224" s="9"/>
      <c r="LC224" s="9" t="s">
        <v>1098</v>
      </c>
      <c r="LD224" s="9"/>
      <c r="LE224" s="9" t="s">
        <v>1098</v>
      </c>
      <c r="LF224" s="9"/>
      <c r="LG224" s="9"/>
      <c r="LH224" s="9"/>
      <c r="LI224" s="9"/>
      <c r="LJ224" s="9"/>
      <c r="LK224" s="9" t="s">
        <v>1098</v>
      </c>
      <c r="LL224" s="9"/>
      <c r="LM224" s="9" t="s">
        <v>1098</v>
      </c>
      <c r="LN224" s="9"/>
      <c r="LO224" s="9"/>
      <c r="LP224" s="9"/>
      <c r="LQ224" s="9"/>
      <c r="LR224" s="9"/>
      <c r="LS224" s="9" t="s">
        <v>1098</v>
      </c>
      <c r="LT224" s="9"/>
      <c r="LU224" s="9" t="s">
        <v>1098</v>
      </c>
      <c r="LV224" s="9"/>
      <c r="LW224" s="9"/>
      <c r="LX224" s="9"/>
      <c r="LY224" s="9"/>
      <c r="LZ224" s="9"/>
      <c r="MA224" s="9" t="s">
        <v>1098</v>
      </c>
      <c r="MB224" s="9"/>
      <c r="MC224" s="9" t="s">
        <v>1098</v>
      </c>
      <c r="MD224" s="9"/>
      <c r="ME224" s="9"/>
      <c r="MF224" s="9"/>
      <c r="MG224" s="9"/>
      <c r="MH224" s="9"/>
      <c r="MI224" s="9" t="s">
        <v>1098</v>
      </c>
      <c r="MJ224" s="9"/>
      <c r="MK224" s="9" t="s">
        <v>1098</v>
      </c>
      <c r="ML224" s="9"/>
      <c r="MM224" s="9"/>
      <c r="MN224" s="9"/>
      <c r="MO224" s="9"/>
      <c r="MP224" s="9"/>
      <c r="MQ224" s="9" t="s">
        <v>1098</v>
      </c>
      <c r="MR224" s="9"/>
      <c r="MS224" s="9" t="s">
        <v>1098</v>
      </c>
      <c r="MT224" s="9"/>
      <c r="MU224" s="9"/>
      <c r="MV224" s="9"/>
      <c r="MW224" s="9"/>
      <c r="MX224" s="9"/>
      <c r="MY224" s="9" t="s">
        <v>1098</v>
      </c>
      <c r="MZ224" s="9"/>
      <c r="NA224" s="9" t="s">
        <v>1098</v>
      </c>
      <c r="NB224" s="9"/>
      <c r="NC224" s="9"/>
      <c r="ND224" s="9"/>
      <c r="NE224" s="9"/>
      <c r="NF224" s="9"/>
      <c r="NG224" s="9" t="s">
        <v>1098</v>
      </c>
      <c r="NH224" s="9"/>
      <c r="NI224" s="9" t="s">
        <v>1098</v>
      </c>
      <c r="NJ224" s="9"/>
      <c r="NK224" s="9"/>
      <c r="NL224" s="9"/>
      <c r="NM224" s="9"/>
      <c r="NN224" s="9"/>
      <c r="NO224" s="9" t="s">
        <v>1098</v>
      </c>
      <c r="NP224" s="9"/>
      <c r="NQ224" s="9" t="s">
        <v>1098</v>
      </c>
      <c r="NR224" s="9"/>
      <c r="NS224" s="9"/>
      <c r="NT224" s="9"/>
      <c r="NU224" s="9"/>
      <c r="NV224" s="9"/>
      <c r="NW224" s="9" t="s">
        <v>1098</v>
      </c>
      <c r="NX224" s="9"/>
      <c r="NY224" s="9" t="s">
        <v>1098</v>
      </c>
      <c r="NZ224" s="9"/>
      <c r="OA224" s="9"/>
      <c r="OB224" s="9"/>
      <c r="OC224" s="9"/>
      <c r="OD224" s="9"/>
      <c r="OE224" s="9" t="s">
        <v>1098</v>
      </c>
      <c r="OF224" s="9"/>
      <c r="OG224" s="9" t="s">
        <v>1098</v>
      </c>
      <c r="OH224" s="9"/>
      <c r="OI224" s="9"/>
      <c r="OJ224" s="9"/>
      <c r="OK224" s="9"/>
      <c r="OL224" s="9"/>
      <c r="OM224" s="9" t="s">
        <v>1098</v>
      </c>
      <c r="ON224" s="9"/>
      <c r="OO224" s="9" t="s">
        <v>1098</v>
      </c>
      <c r="OP224" s="9"/>
      <c r="OQ224" s="9"/>
      <c r="OR224" s="9"/>
      <c r="OS224" s="9"/>
      <c r="OT224" s="9"/>
      <c r="OU224" s="9" t="s">
        <v>1098</v>
      </c>
      <c r="OV224" s="9"/>
      <c r="OW224" s="9" t="s">
        <v>1098</v>
      </c>
      <c r="OX224" s="9"/>
      <c r="OY224" s="9"/>
      <c r="OZ224" s="9"/>
      <c r="PA224" s="9"/>
      <c r="PB224" s="9"/>
      <c r="PC224" s="9" t="s">
        <v>1098</v>
      </c>
      <c r="PD224" s="9"/>
      <c r="PE224" s="9" t="s">
        <v>1098</v>
      </c>
      <c r="PF224" s="9"/>
      <c r="PG224" s="9"/>
      <c r="PH224" s="9"/>
      <c r="PI224" s="9"/>
      <c r="PJ224" s="9"/>
      <c r="PK224" s="9" t="s">
        <v>1098</v>
      </c>
      <c r="PL224" s="9"/>
      <c r="PM224" s="9" t="s">
        <v>1098</v>
      </c>
      <c r="PN224" s="9"/>
      <c r="PO224" s="9"/>
      <c r="PP224" s="9"/>
      <c r="PQ224" s="9"/>
      <c r="PR224" s="9"/>
      <c r="PS224" s="9" t="s">
        <v>1098</v>
      </c>
      <c r="PT224" s="9"/>
      <c r="PU224" s="9" t="s">
        <v>1098</v>
      </c>
      <c r="PV224" s="9"/>
      <c r="PW224" s="9"/>
      <c r="PX224" s="9"/>
      <c r="PY224" s="9"/>
      <c r="PZ224" s="9"/>
      <c r="QA224" s="9" t="s">
        <v>1098</v>
      </c>
      <c r="QB224" s="9"/>
      <c r="QC224" s="9" t="s">
        <v>1098</v>
      </c>
      <c r="QD224" s="9"/>
      <c r="QE224" s="9"/>
      <c r="QF224" s="9"/>
      <c r="QG224" s="9"/>
      <c r="QH224" s="9"/>
      <c r="QI224" s="9" t="s">
        <v>1098</v>
      </c>
      <c r="QJ224" s="9"/>
      <c r="QK224" s="9" t="s">
        <v>1098</v>
      </c>
      <c r="QL224" s="9"/>
      <c r="QM224" s="9"/>
      <c r="QN224" s="9"/>
      <c r="QO224" s="9"/>
      <c r="QP224" s="9"/>
      <c r="QQ224" s="67"/>
      <c r="QR224" s="68"/>
      <c r="QS224" s="157"/>
      <c r="QT224" s="158"/>
    </row>
    <row r="225" spans="1:462" s="11" customFormat="1" x14ac:dyDescent="0.2">
      <c r="A225" s="9">
        <v>10</v>
      </c>
      <c r="B225" s="9"/>
      <c r="C225" s="9"/>
      <c r="D225" s="9" t="s">
        <v>43</v>
      </c>
      <c r="E225" s="65" t="s">
        <v>44</v>
      </c>
      <c r="F225" s="65"/>
      <c r="G225" s="92" t="s">
        <v>2214</v>
      </c>
      <c r="H225" s="66" t="s">
        <v>1724</v>
      </c>
      <c r="I225" s="9" t="s">
        <v>1098</v>
      </c>
      <c r="J225" s="9"/>
      <c r="K225" s="9" t="s">
        <v>1098</v>
      </c>
      <c r="L225" s="9"/>
      <c r="M225" s="9" t="s">
        <v>1098</v>
      </c>
      <c r="N225" s="9"/>
      <c r="O225" s="9"/>
      <c r="P225" s="9"/>
      <c r="Q225" s="9"/>
      <c r="R225" s="9"/>
      <c r="S225" s="9" t="s">
        <v>1098</v>
      </c>
      <c r="T225" s="9"/>
      <c r="U225" s="9" t="s">
        <v>1098</v>
      </c>
      <c r="V225" s="9"/>
      <c r="W225" s="9"/>
      <c r="X225" s="9"/>
      <c r="Y225" s="9"/>
      <c r="Z225" s="9"/>
      <c r="AA225" s="9" t="s">
        <v>1098</v>
      </c>
      <c r="AB225" s="9"/>
      <c r="AC225" s="9" t="s">
        <v>1098</v>
      </c>
      <c r="AD225" s="9"/>
      <c r="AE225" s="9"/>
      <c r="AF225" s="9"/>
      <c r="AG225" s="9"/>
      <c r="AH225" s="9"/>
      <c r="AI225" s="9" t="s">
        <v>1098</v>
      </c>
      <c r="AJ225" s="9"/>
      <c r="AK225" s="9" t="s">
        <v>1098</v>
      </c>
      <c r="AL225" s="9"/>
      <c r="AM225" s="9"/>
      <c r="AN225" s="9"/>
      <c r="AO225" s="9"/>
      <c r="AP225" s="9"/>
      <c r="AQ225" s="9" t="s">
        <v>1098</v>
      </c>
      <c r="AR225" s="9"/>
      <c r="AS225" s="9" t="s">
        <v>1098</v>
      </c>
      <c r="AT225" s="9"/>
      <c r="AU225" s="9"/>
      <c r="AV225" s="9"/>
      <c r="AW225" s="9"/>
      <c r="AX225" s="9"/>
      <c r="AY225" s="9" t="s">
        <v>1098</v>
      </c>
      <c r="AZ225" s="9"/>
      <c r="BA225" s="9" t="s">
        <v>1098</v>
      </c>
      <c r="BB225" s="9"/>
      <c r="BC225" s="9"/>
      <c r="BD225" s="9"/>
      <c r="BE225" s="9"/>
      <c r="BF225" s="9"/>
      <c r="BG225" s="9" t="s">
        <v>1098</v>
      </c>
      <c r="BH225" s="9"/>
      <c r="BI225" s="9" t="s">
        <v>1098</v>
      </c>
      <c r="BJ225" s="9"/>
      <c r="BK225" s="9"/>
      <c r="BL225" s="9"/>
      <c r="BM225" s="9"/>
      <c r="BN225" s="9"/>
      <c r="BO225" s="9" t="s">
        <v>1098</v>
      </c>
      <c r="BP225" s="9"/>
      <c r="BQ225" s="9" t="s">
        <v>1098</v>
      </c>
      <c r="BR225" s="9"/>
      <c r="BS225" s="9"/>
      <c r="BT225" s="9"/>
      <c r="BU225" s="9"/>
      <c r="BV225" s="9"/>
      <c r="BW225" s="9" t="s">
        <v>1098</v>
      </c>
      <c r="BX225" s="9"/>
      <c r="BY225" s="9" t="s">
        <v>1098</v>
      </c>
      <c r="BZ225" s="9"/>
      <c r="CA225" s="9"/>
      <c r="CB225" s="9"/>
      <c r="CC225" s="9"/>
      <c r="CD225" s="9"/>
      <c r="CE225" s="9" t="s">
        <v>1098</v>
      </c>
      <c r="CF225" s="9"/>
      <c r="CG225" s="9" t="s">
        <v>1098</v>
      </c>
      <c r="CH225" s="9"/>
      <c r="CI225" s="9"/>
      <c r="CJ225" s="9"/>
      <c r="CK225" s="9"/>
      <c r="CL225" s="9"/>
      <c r="CM225" s="9" t="s">
        <v>1098</v>
      </c>
      <c r="CN225" s="9"/>
      <c r="CO225" s="9" t="s">
        <v>1098</v>
      </c>
      <c r="CP225" s="9"/>
      <c r="CQ225" s="9"/>
      <c r="CR225" s="9"/>
      <c r="CS225" s="9"/>
      <c r="CT225" s="9"/>
      <c r="CU225" s="9" t="s">
        <v>1098</v>
      </c>
      <c r="CV225" s="9"/>
      <c r="CW225" s="9" t="s">
        <v>1098</v>
      </c>
      <c r="CX225" s="9"/>
      <c r="CY225" s="9"/>
      <c r="CZ225" s="9"/>
      <c r="DA225" s="9"/>
      <c r="DB225" s="9"/>
      <c r="DC225" s="9" t="s">
        <v>1098</v>
      </c>
      <c r="DD225" s="9"/>
      <c r="DE225" s="9" t="s">
        <v>1098</v>
      </c>
      <c r="DF225" s="9"/>
      <c r="DG225" s="9"/>
      <c r="DH225" s="9"/>
      <c r="DI225" s="9"/>
      <c r="DJ225" s="9"/>
      <c r="DK225" s="9" t="s">
        <v>1098</v>
      </c>
      <c r="DL225" s="9"/>
      <c r="DM225" s="9" t="s">
        <v>1098</v>
      </c>
      <c r="DN225" s="9"/>
      <c r="DO225" s="9"/>
      <c r="DP225" s="9"/>
      <c r="DQ225" s="9"/>
      <c r="DR225" s="9"/>
      <c r="DS225" s="9" t="s">
        <v>1098</v>
      </c>
      <c r="DT225" s="9"/>
      <c r="DU225" s="9" t="s">
        <v>1098</v>
      </c>
      <c r="DV225" s="9"/>
      <c r="DW225" s="9"/>
      <c r="DX225" s="9"/>
      <c r="DY225" s="9"/>
      <c r="DZ225" s="9"/>
      <c r="EA225" s="9" t="s">
        <v>1098</v>
      </c>
      <c r="EB225" s="9"/>
      <c r="EC225" s="9" t="s">
        <v>1098</v>
      </c>
      <c r="ED225" s="9"/>
      <c r="EE225" s="9"/>
      <c r="EF225" s="9"/>
      <c r="EG225" s="9"/>
      <c r="EH225" s="9"/>
      <c r="EI225" s="9" t="s">
        <v>1098</v>
      </c>
      <c r="EJ225" s="9"/>
      <c r="EK225" s="9" t="s">
        <v>1098</v>
      </c>
      <c r="EL225" s="9"/>
      <c r="EM225" s="9"/>
      <c r="EN225" s="9"/>
      <c r="EO225" s="9"/>
      <c r="EP225" s="9"/>
      <c r="EQ225" s="9" t="s">
        <v>1098</v>
      </c>
      <c r="ER225" s="9"/>
      <c r="ES225" s="9" t="s">
        <v>1098</v>
      </c>
      <c r="ET225" s="9"/>
      <c r="EU225" s="9"/>
      <c r="EV225" s="9"/>
      <c r="EW225" s="9"/>
      <c r="EX225" s="9"/>
      <c r="EY225" s="9" t="s">
        <v>1098</v>
      </c>
      <c r="EZ225" s="9"/>
      <c r="FA225" s="9" t="s">
        <v>1098</v>
      </c>
      <c r="FB225" s="9"/>
      <c r="FC225" s="9"/>
      <c r="FD225" s="9"/>
      <c r="FE225" s="9"/>
      <c r="FF225" s="9"/>
      <c r="FG225" s="9" t="s">
        <v>1098</v>
      </c>
      <c r="FH225" s="9"/>
      <c r="FI225" s="9" t="s">
        <v>1098</v>
      </c>
      <c r="FJ225" s="9"/>
      <c r="FK225" s="9"/>
      <c r="FL225" s="9"/>
      <c r="FM225" s="9"/>
      <c r="FN225" s="9"/>
      <c r="FO225" s="9" t="s">
        <v>1098</v>
      </c>
      <c r="FP225" s="9"/>
      <c r="FQ225" s="9" t="s">
        <v>1098</v>
      </c>
      <c r="FR225" s="9"/>
      <c r="FS225" s="9"/>
      <c r="FT225" s="9"/>
      <c r="FU225" s="9"/>
      <c r="FV225" s="9"/>
      <c r="FW225" s="9" t="s">
        <v>1098</v>
      </c>
      <c r="FX225" s="9"/>
      <c r="FY225" s="9" t="s">
        <v>1098</v>
      </c>
      <c r="FZ225" s="9"/>
      <c r="GA225" s="9"/>
      <c r="GB225" s="9"/>
      <c r="GC225" s="9"/>
      <c r="GD225" s="9"/>
      <c r="GE225" s="9" t="s">
        <v>1098</v>
      </c>
      <c r="GF225" s="9"/>
      <c r="GG225" s="9" t="s">
        <v>1098</v>
      </c>
      <c r="GH225" s="9"/>
      <c r="GI225" s="9"/>
      <c r="GJ225" s="9"/>
      <c r="GK225" s="9"/>
      <c r="GL225" s="9"/>
      <c r="GM225" s="9" t="s">
        <v>1098</v>
      </c>
      <c r="GN225" s="9"/>
      <c r="GO225" s="9" t="s">
        <v>1098</v>
      </c>
      <c r="GP225" s="9"/>
      <c r="GQ225" s="9"/>
      <c r="GR225" s="9"/>
      <c r="GS225" s="9"/>
      <c r="GT225" s="9"/>
      <c r="GU225" s="9" t="s">
        <v>1098</v>
      </c>
      <c r="GV225" s="9"/>
      <c r="GW225" s="9" t="s">
        <v>1098</v>
      </c>
      <c r="GX225" s="9"/>
      <c r="GY225" s="9"/>
      <c r="GZ225" s="9"/>
      <c r="HA225" s="9"/>
      <c r="HB225" s="9"/>
      <c r="HC225" s="9" t="s">
        <v>1098</v>
      </c>
      <c r="HD225" s="9"/>
      <c r="HE225" s="9" t="s">
        <v>1098</v>
      </c>
      <c r="HF225" s="9"/>
      <c r="HG225" s="9"/>
      <c r="HH225" s="9"/>
      <c r="HI225" s="9"/>
      <c r="HJ225" s="9"/>
      <c r="HK225" s="9" t="s">
        <v>1098</v>
      </c>
      <c r="HL225" s="9"/>
      <c r="HM225" s="9" t="s">
        <v>1098</v>
      </c>
      <c r="HN225" s="9"/>
      <c r="HO225" s="9"/>
      <c r="HP225" s="9"/>
      <c r="HQ225" s="9"/>
      <c r="HR225" s="9"/>
      <c r="HS225" s="9" t="s">
        <v>1098</v>
      </c>
      <c r="HT225" s="9"/>
      <c r="HU225" s="9" t="s">
        <v>1098</v>
      </c>
      <c r="HV225" s="9"/>
      <c r="HW225" s="9"/>
      <c r="HX225" s="9"/>
      <c r="HY225" s="9"/>
      <c r="HZ225" s="9"/>
      <c r="IA225" s="9" t="s">
        <v>1098</v>
      </c>
      <c r="IB225" s="9"/>
      <c r="IC225" s="9" t="s">
        <v>1098</v>
      </c>
      <c r="ID225" s="9"/>
      <c r="IE225" s="9"/>
      <c r="IF225" s="9"/>
      <c r="IG225" s="9"/>
      <c r="IH225" s="9"/>
      <c r="II225" s="9" t="s">
        <v>1098</v>
      </c>
      <c r="IJ225" s="9"/>
      <c r="IK225" s="9" t="s">
        <v>1098</v>
      </c>
      <c r="IL225" s="9"/>
      <c r="IM225" s="9"/>
      <c r="IN225" s="9"/>
      <c r="IO225" s="9"/>
      <c r="IP225" s="9"/>
      <c r="IQ225" s="9" t="s">
        <v>1098</v>
      </c>
      <c r="IR225" s="9"/>
      <c r="IS225" s="9" t="s">
        <v>1098</v>
      </c>
      <c r="IT225" s="9"/>
      <c r="IU225" s="9"/>
      <c r="IV225" s="9"/>
      <c r="IW225" s="9"/>
      <c r="IX225" s="9"/>
      <c r="IY225" s="9" t="s">
        <v>1098</v>
      </c>
      <c r="IZ225" s="9"/>
      <c r="JA225" s="9" t="s">
        <v>1098</v>
      </c>
      <c r="JB225" s="9"/>
      <c r="JC225" s="9"/>
      <c r="JD225" s="9"/>
      <c r="JE225" s="9"/>
      <c r="JF225" s="9"/>
      <c r="JG225" s="9" t="s">
        <v>1098</v>
      </c>
      <c r="JH225" s="9"/>
      <c r="JI225" s="9" t="s">
        <v>1098</v>
      </c>
      <c r="JJ225" s="9"/>
      <c r="JK225" s="9"/>
      <c r="JL225" s="9"/>
      <c r="JM225" s="9"/>
      <c r="JN225" s="9"/>
      <c r="JO225" s="9" t="s">
        <v>1098</v>
      </c>
      <c r="JP225" s="9"/>
      <c r="JQ225" s="9" t="s">
        <v>1098</v>
      </c>
      <c r="JR225" s="9"/>
      <c r="JS225" s="9"/>
      <c r="JT225" s="9"/>
      <c r="JU225" s="9"/>
      <c r="JV225" s="9"/>
      <c r="JW225" s="9" t="s">
        <v>1098</v>
      </c>
      <c r="JX225" s="9"/>
      <c r="JY225" s="9" t="s">
        <v>1098</v>
      </c>
      <c r="JZ225" s="9"/>
      <c r="KA225" s="9"/>
      <c r="KB225" s="9"/>
      <c r="KC225" s="9"/>
      <c r="KD225" s="9"/>
      <c r="KE225" s="9" t="s">
        <v>1098</v>
      </c>
      <c r="KF225" s="9"/>
      <c r="KG225" s="9" t="s">
        <v>1098</v>
      </c>
      <c r="KH225" s="9"/>
      <c r="KI225" s="9"/>
      <c r="KJ225" s="9"/>
      <c r="KK225" s="9"/>
      <c r="KL225" s="9"/>
      <c r="KM225" s="9" t="s">
        <v>1098</v>
      </c>
      <c r="KN225" s="9"/>
      <c r="KO225" s="9" t="s">
        <v>1098</v>
      </c>
      <c r="KP225" s="9"/>
      <c r="KQ225" s="9"/>
      <c r="KR225" s="9"/>
      <c r="KS225" s="9"/>
      <c r="KT225" s="9"/>
      <c r="KU225" s="9" t="s">
        <v>1098</v>
      </c>
      <c r="KV225" s="9"/>
      <c r="KW225" s="9" t="s">
        <v>1098</v>
      </c>
      <c r="KX225" s="9"/>
      <c r="KY225" s="9"/>
      <c r="KZ225" s="9"/>
      <c r="LA225" s="9"/>
      <c r="LB225" s="9"/>
      <c r="LC225" s="9" t="s">
        <v>1098</v>
      </c>
      <c r="LD225" s="9"/>
      <c r="LE225" s="9" t="s">
        <v>1098</v>
      </c>
      <c r="LF225" s="9"/>
      <c r="LG225" s="9"/>
      <c r="LH225" s="9"/>
      <c r="LI225" s="9"/>
      <c r="LJ225" s="9"/>
      <c r="LK225" s="9" t="s">
        <v>1098</v>
      </c>
      <c r="LL225" s="9"/>
      <c r="LM225" s="9" t="s">
        <v>1098</v>
      </c>
      <c r="LN225" s="9"/>
      <c r="LO225" s="9"/>
      <c r="LP225" s="9"/>
      <c r="LQ225" s="9"/>
      <c r="LR225" s="9"/>
      <c r="LS225" s="9" t="s">
        <v>1098</v>
      </c>
      <c r="LT225" s="9"/>
      <c r="LU225" s="9" t="s">
        <v>1098</v>
      </c>
      <c r="LV225" s="9"/>
      <c r="LW225" s="9"/>
      <c r="LX225" s="9"/>
      <c r="LY225" s="9"/>
      <c r="LZ225" s="9"/>
      <c r="MA225" s="9" t="s">
        <v>1098</v>
      </c>
      <c r="MB225" s="9"/>
      <c r="MC225" s="9" t="s">
        <v>1098</v>
      </c>
      <c r="MD225" s="9"/>
      <c r="ME225" s="9"/>
      <c r="MF225" s="9"/>
      <c r="MG225" s="9"/>
      <c r="MH225" s="9"/>
      <c r="MI225" s="9" t="s">
        <v>1098</v>
      </c>
      <c r="MJ225" s="9"/>
      <c r="MK225" s="9" t="s">
        <v>1098</v>
      </c>
      <c r="ML225" s="9"/>
      <c r="MM225" s="9"/>
      <c r="MN225" s="9"/>
      <c r="MO225" s="9"/>
      <c r="MP225" s="9"/>
      <c r="MQ225" s="9" t="s">
        <v>1098</v>
      </c>
      <c r="MR225" s="9"/>
      <c r="MS225" s="9" t="s">
        <v>1098</v>
      </c>
      <c r="MT225" s="9"/>
      <c r="MU225" s="9"/>
      <c r="MV225" s="9"/>
      <c r="MW225" s="9"/>
      <c r="MX225" s="9"/>
      <c r="MY225" s="9" t="s">
        <v>1098</v>
      </c>
      <c r="MZ225" s="9"/>
      <c r="NA225" s="9" t="s">
        <v>1098</v>
      </c>
      <c r="NB225" s="9"/>
      <c r="NC225" s="9"/>
      <c r="ND225" s="9"/>
      <c r="NE225" s="9"/>
      <c r="NF225" s="9"/>
      <c r="NG225" s="9" t="s">
        <v>1098</v>
      </c>
      <c r="NH225" s="9"/>
      <c r="NI225" s="9" t="s">
        <v>1098</v>
      </c>
      <c r="NJ225" s="9"/>
      <c r="NK225" s="9"/>
      <c r="NL225" s="9"/>
      <c r="NM225" s="9"/>
      <c r="NN225" s="9"/>
      <c r="NO225" s="9" t="s">
        <v>1098</v>
      </c>
      <c r="NP225" s="9"/>
      <c r="NQ225" s="9" t="s">
        <v>1098</v>
      </c>
      <c r="NR225" s="9"/>
      <c r="NS225" s="9"/>
      <c r="NT225" s="9"/>
      <c r="NU225" s="9"/>
      <c r="NV225" s="9"/>
      <c r="NW225" s="9" t="s">
        <v>1098</v>
      </c>
      <c r="NX225" s="9"/>
      <c r="NY225" s="9" t="s">
        <v>1098</v>
      </c>
      <c r="NZ225" s="9"/>
      <c r="OA225" s="9"/>
      <c r="OB225" s="9"/>
      <c r="OC225" s="9"/>
      <c r="OD225" s="9"/>
      <c r="OE225" s="9" t="s">
        <v>1098</v>
      </c>
      <c r="OF225" s="9"/>
      <c r="OG225" s="9" t="s">
        <v>1098</v>
      </c>
      <c r="OH225" s="9"/>
      <c r="OI225" s="9"/>
      <c r="OJ225" s="9"/>
      <c r="OK225" s="9"/>
      <c r="OL225" s="9"/>
      <c r="OM225" s="9" t="s">
        <v>1098</v>
      </c>
      <c r="ON225" s="9"/>
      <c r="OO225" s="9" t="s">
        <v>1098</v>
      </c>
      <c r="OP225" s="9"/>
      <c r="OQ225" s="9"/>
      <c r="OR225" s="9"/>
      <c r="OS225" s="9"/>
      <c r="OT225" s="9"/>
      <c r="OU225" s="9" t="s">
        <v>1098</v>
      </c>
      <c r="OV225" s="9"/>
      <c r="OW225" s="9" t="s">
        <v>1098</v>
      </c>
      <c r="OX225" s="9"/>
      <c r="OY225" s="9"/>
      <c r="OZ225" s="9"/>
      <c r="PA225" s="9"/>
      <c r="PB225" s="9"/>
      <c r="PC225" s="9" t="s">
        <v>1098</v>
      </c>
      <c r="PD225" s="9"/>
      <c r="PE225" s="9" t="s">
        <v>1098</v>
      </c>
      <c r="PF225" s="9"/>
      <c r="PG225" s="9"/>
      <c r="PH225" s="9"/>
      <c r="PI225" s="9"/>
      <c r="PJ225" s="9"/>
      <c r="PK225" s="9" t="s">
        <v>1098</v>
      </c>
      <c r="PL225" s="9"/>
      <c r="PM225" s="9" t="s">
        <v>1098</v>
      </c>
      <c r="PN225" s="9"/>
      <c r="PO225" s="9"/>
      <c r="PP225" s="9"/>
      <c r="PQ225" s="9"/>
      <c r="PR225" s="9"/>
      <c r="PS225" s="9" t="s">
        <v>1098</v>
      </c>
      <c r="PT225" s="9"/>
      <c r="PU225" s="9" t="s">
        <v>1098</v>
      </c>
      <c r="PV225" s="9"/>
      <c r="PW225" s="9"/>
      <c r="PX225" s="9"/>
      <c r="PY225" s="9"/>
      <c r="PZ225" s="9"/>
      <c r="QA225" s="9" t="s">
        <v>1098</v>
      </c>
      <c r="QB225" s="9"/>
      <c r="QC225" s="9" t="s">
        <v>1098</v>
      </c>
      <c r="QD225" s="9"/>
      <c r="QE225" s="9"/>
      <c r="QF225" s="9"/>
      <c r="QG225" s="9"/>
      <c r="QH225" s="9"/>
      <c r="QI225" s="9" t="s">
        <v>1098</v>
      </c>
      <c r="QJ225" s="9"/>
      <c r="QK225" s="9" t="s">
        <v>1098</v>
      </c>
      <c r="QL225" s="9"/>
      <c r="QM225" s="9"/>
      <c r="QN225" s="9"/>
      <c r="QO225" s="9"/>
      <c r="QP225" s="9"/>
      <c r="QQ225" s="67"/>
      <c r="QR225" s="68"/>
      <c r="QS225" s="157"/>
      <c r="QT225" s="158"/>
    </row>
    <row r="226" spans="1:462" s="11" customFormat="1" x14ac:dyDescent="0.2">
      <c r="A226" s="9">
        <v>10</v>
      </c>
      <c r="B226" s="9"/>
      <c r="C226" s="9"/>
      <c r="D226" s="9" t="s">
        <v>59</v>
      </c>
      <c r="E226" s="65" t="s">
        <v>47</v>
      </c>
      <c r="F226" s="65"/>
      <c r="G226" s="92" t="s">
        <v>2218</v>
      </c>
      <c r="H226" s="66" t="s">
        <v>1107</v>
      </c>
      <c r="I226" s="9" t="s">
        <v>1098</v>
      </c>
      <c r="J226" s="9"/>
      <c r="K226" s="9" t="s">
        <v>1098</v>
      </c>
      <c r="L226" s="9"/>
      <c r="M226" s="9" t="s">
        <v>1098</v>
      </c>
      <c r="N226" s="9"/>
      <c r="O226" s="9"/>
      <c r="P226" s="9"/>
      <c r="Q226" s="9"/>
      <c r="R226" s="9"/>
      <c r="S226" s="9" t="s">
        <v>1098</v>
      </c>
      <c r="T226" s="9"/>
      <c r="U226" s="9" t="s">
        <v>1098</v>
      </c>
      <c r="V226" s="9"/>
      <c r="W226" s="9"/>
      <c r="X226" s="9"/>
      <c r="Y226" s="9"/>
      <c r="Z226" s="9"/>
      <c r="AA226" s="9" t="s">
        <v>1098</v>
      </c>
      <c r="AB226" s="9"/>
      <c r="AC226" s="9" t="s">
        <v>1098</v>
      </c>
      <c r="AD226" s="9"/>
      <c r="AE226" s="9"/>
      <c r="AF226" s="9"/>
      <c r="AG226" s="9"/>
      <c r="AH226" s="9"/>
      <c r="AI226" s="9" t="s">
        <v>1098</v>
      </c>
      <c r="AJ226" s="9"/>
      <c r="AK226" s="9" t="s">
        <v>1098</v>
      </c>
      <c r="AL226" s="9"/>
      <c r="AM226" s="9"/>
      <c r="AN226" s="9"/>
      <c r="AO226" s="9"/>
      <c r="AP226" s="9"/>
      <c r="AQ226" s="9" t="s">
        <v>1098</v>
      </c>
      <c r="AR226" s="9"/>
      <c r="AS226" s="9" t="s">
        <v>1098</v>
      </c>
      <c r="AT226" s="9"/>
      <c r="AU226" s="9"/>
      <c r="AV226" s="9"/>
      <c r="AW226" s="9"/>
      <c r="AX226" s="9"/>
      <c r="AY226" s="9" t="s">
        <v>1098</v>
      </c>
      <c r="AZ226" s="9"/>
      <c r="BA226" s="9" t="s">
        <v>1098</v>
      </c>
      <c r="BB226" s="9"/>
      <c r="BC226" s="9"/>
      <c r="BD226" s="9"/>
      <c r="BE226" s="9"/>
      <c r="BF226" s="9"/>
      <c r="BG226" s="9" t="s">
        <v>1098</v>
      </c>
      <c r="BH226" s="9"/>
      <c r="BI226" s="9" t="s">
        <v>1098</v>
      </c>
      <c r="BJ226" s="9"/>
      <c r="BK226" s="9"/>
      <c r="BL226" s="9"/>
      <c r="BM226" s="9"/>
      <c r="BN226" s="9"/>
      <c r="BO226" s="9" t="s">
        <v>1098</v>
      </c>
      <c r="BP226" s="9"/>
      <c r="BQ226" s="9" t="s">
        <v>1098</v>
      </c>
      <c r="BR226" s="9"/>
      <c r="BS226" s="9"/>
      <c r="BT226" s="9"/>
      <c r="BU226" s="9"/>
      <c r="BV226" s="9"/>
      <c r="BW226" s="9" t="s">
        <v>1098</v>
      </c>
      <c r="BX226" s="9"/>
      <c r="BY226" s="9" t="s">
        <v>1098</v>
      </c>
      <c r="BZ226" s="9"/>
      <c r="CA226" s="9"/>
      <c r="CB226" s="9"/>
      <c r="CC226" s="9"/>
      <c r="CD226" s="9"/>
      <c r="CE226" s="9" t="s">
        <v>1098</v>
      </c>
      <c r="CF226" s="9"/>
      <c r="CG226" s="9" t="s">
        <v>1098</v>
      </c>
      <c r="CH226" s="9"/>
      <c r="CI226" s="9"/>
      <c r="CJ226" s="9"/>
      <c r="CK226" s="9"/>
      <c r="CL226" s="9"/>
      <c r="CM226" s="9" t="s">
        <v>1098</v>
      </c>
      <c r="CN226" s="9"/>
      <c r="CO226" s="9" t="s">
        <v>1098</v>
      </c>
      <c r="CP226" s="9"/>
      <c r="CQ226" s="9"/>
      <c r="CR226" s="9"/>
      <c r="CS226" s="9"/>
      <c r="CT226" s="9"/>
      <c r="CU226" s="9" t="s">
        <v>1098</v>
      </c>
      <c r="CV226" s="9"/>
      <c r="CW226" s="9" t="s">
        <v>1098</v>
      </c>
      <c r="CX226" s="9"/>
      <c r="CY226" s="9"/>
      <c r="CZ226" s="9"/>
      <c r="DA226" s="9"/>
      <c r="DB226" s="9"/>
      <c r="DC226" s="9" t="s">
        <v>1098</v>
      </c>
      <c r="DD226" s="9"/>
      <c r="DE226" s="9" t="s">
        <v>1098</v>
      </c>
      <c r="DF226" s="9"/>
      <c r="DG226" s="9"/>
      <c r="DH226" s="9"/>
      <c r="DI226" s="9"/>
      <c r="DJ226" s="9"/>
      <c r="DK226" s="9" t="s">
        <v>1098</v>
      </c>
      <c r="DL226" s="9"/>
      <c r="DM226" s="9" t="s">
        <v>1098</v>
      </c>
      <c r="DN226" s="9"/>
      <c r="DO226" s="9"/>
      <c r="DP226" s="9"/>
      <c r="DQ226" s="9"/>
      <c r="DR226" s="9"/>
      <c r="DS226" s="9" t="s">
        <v>1098</v>
      </c>
      <c r="DT226" s="9"/>
      <c r="DU226" s="9" t="s">
        <v>1098</v>
      </c>
      <c r="DV226" s="9"/>
      <c r="DW226" s="9"/>
      <c r="DX226" s="9"/>
      <c r="DY226" s="9"/>
      <c r="DZ226" s="9"/>
      <c r="EA226" s="9" t="s">
        <v>1098</v>
      </c>
      <c r="EB226" s="9"/>
      <c r="EC226" s="9" t="s">
        <v>1098</v>
      </c>
      <c r="ED226" s="9"/>
      <c r="EE226" s="9"/>
      <c r="EF226" s="9"/>
      <c r="EG226" s="9"/>
      <c r="EH226" s="9"/>
      <c r="EI226" s="9" t="s">
        <v>1098</v>
      </c>
      <c r="EJ226" s="9"/>
      <c r="EK226" s="9" t="s">
        <v>1098</v>
      </c>
      <c r="EL226" s="9"/>
      <c r="EM226" s="9"/>
      <c r="EN226" s="9"/>
      <c r="EO226" s="9"/>
      <c r="EP226" s="9"/>
      <c r="EQ226" s="9" t="s">
        <v>1098</v>
      </c>
      <c r="ER226" s="9"/>
      <c r="ES226" s="9" t="s">
        <v>1098</v>
      </c>
      <c r="ET226" s="9"/>
      <c r="EU226" s="9"/>
      <c r="EV226" s="9"/>
      <c r="EW226" s="9"/>
      <c r="EX226" s="9"/>
      <c r="EY226" s="9" t="s">
        <v>1098</v>
      </c>
      <c r="EZ226" s="9"/>
      <c r="FA226" s="9" t="s">
        <v>1098</v>
      </c>
      <c r="FB226" s="9"/>
      <c r="FC226" s="9"/>
      <c r="FD226" s="9"/>
      <c r="FE226" s="9"/>
      <c r="FF226" s="9"/>
      <c r="FG226" s="9" t="s">
        <v>1098</v>
      </c>
      <c r="FH226" s="9"/>
      <c r="FI226" s="9" t="s">
        <v>1098</v>
      </c>
      <c r="FJ226" s="9"/>
      <c r="FK226" s="9"/>
      <c r="FL226" s="9"/>
      <c r="FM226" s="9"/>
      <c r="FN226" s="9"/>
      <c r="FO226" s="9" t="s">
        <v>1098</v>
      </c>
      <c r="FP226" s="9"/>
      <c r="FQ226" s="9" t="s">
        <v>1098</v>
      </c>
      <c r="FR226" s="9"/>
      <c r="FS226" s="9"/>
      <c r="FT226" s="9"/>
      <c r="FU226" s="9"/>
      <c r="FV226" s="9"/>
      <c r="FW226" s="9" t="s">
        <v>1098</v>
      </c>
      <c r="FX226" s="9"/>
      <c r="FY226" s="9" t="s">
        <v>1098</v>
      </c>
      <c r="FZ226" s="9"/>
      <c r="GA226" s="9"/>
      <c r="GB226" s="9"/>
      <c r="GC226" s="9"/>
      <c r="GD226" s="9"/>
      <c r="GE226" s="9" t="s">
        <v>1098</v>
      </c>
      <c r="GF226" s="9"/>
      <c r="GG226" s="9" t="s">
        <v>1098</v>
      </c>
      <c r="GH226" s="9"/>
      <c r="GI226" s="9"/>
      <c r="GJ226" s="9"/>
      <c r="GK226" s="9"/>
      <c r="GL226" s="9"/>
      <c r="GM226" s="9" t="s">
        <v>1098</v>
      </c>
      <c r="GN226" s="9"/>
      <c r="GO226" s="9" t="s">
        <v>1098</v>
      </c>
      <c r="GP226" s="9"/>
      <c r="GQ226" s="9"/>
      <c r="GR226" s="9"/>
      <c r="GS226" s="9"/>
      <c r="GT226" s="9"/>
      <c r="GU226" s="9" t="s">
        <v>1098</v>
      </c>
      <c r="GV226" s="9"/>
      <c r="GW226" s="9" t="s">
        <v>1098</v>
      </c>
      <c r="GX226" s="9"/>
      <c r="GY226" s="9"/>
      <c r="GZ226" s="9"/>
      <c r="HA226" s="9"/>
      <c r="HB226" s="9"/>
      <c r="HC226" s="9" t="s">
        <v>1098</v>
      </c>
      <c r="HD226" s="9"/>
      <c r="HE226" s="9" t="s">
        <v>1098</v>
      </c>
      <c r="HF226" s="9"/>
      <c r="HG226" s="9"/>
      <c r="HH226" s="9"/>
      <c r="HI226" s="9"/>
      <c r="HJ226" s="9"/>
      <c r="HK226" s="9" t="s">
        <v>1098</v>
      </c>
      <c r="HL226" s="9"/>
      <c r="HM226" s="9" t="s">
        <v>1098</v>
      </c>
      <c r="HN226" s="9"/>
      <c r="HO226" s="9"/>
      <c r="HP226" s="9"/>
      <c r="HQ226" s="9"/>
      <c r="HR226" s="9"/>
      <c r="HS226" s="9" t="s">
        <v>1098</v>
      </c>
      <c r="HT226" s="9"/>
      <c r="HU226" s="9" t="s">
        <v>1098</v>
      </c>
      <c r="HV226" s="9"/>
      <c r="HW226" s="9"/>
      <c r="HX226" s="9"/>
      <c r="HY226" s="9"/>
      <c r="HZ226" s="9"/>
      <c r="IA226" s="9" t="s">
        <v>1098</v>
      </c>
      <c r="IB226" s="9"/>
      <c r="IC226" s="9" t="s">
        <v>1098</v>
      </c>
      <c r="ID226" s="9"/>
      <c r="IE226" s="9"/>
      <c r="IF226" s="9"/>
      <c r="IG226" s="9"/>
      <c r="IH226" s="9"/>
      <c r="II226" s="9" t="s">
        <v>1098</v>
      </c>
      <c r="IJ226" s="9"/>
      <c r="IK226" s="9" t="s">
        <v>1098</v>
      </c>
      <c r="IL226" s="9"/>
      <c r="IM226" s="9"/>
      <c r="IN226" s="9"/>
      <c r="IO226" s="9"/>
      <c r="IP226" s="9"/>
      <c r="IQ226" s="9" t="s">
        <v>1098</v>
      </c>
      <c r="IR226" s="9"/>
      <c r="IS226" s="9" t="s">
        <v>1098</v>
      </c>
      <c r="IT226" s="9"/>
      <c r="IU226" s="9"/>
      <c r="IV226" s="9"/>
      <c r="IW226" s="9"/>
      <c r="IX226" s="9"/>
      <c r="IY226" s="9" t="s">
        <v>1098</v>
      </c>
      <c r="IZ226" s="9"/>
      <c r="JA226" s="9" t="s">
        <v>1098</v>
      </c>
      <c r="JB226" s="9"/>
      <c r="JC226" s="9"/>
      <c r="JD226" s="9"/>
      <c r="JE226" s="9"/>
      <c r="JF226" s="9"/>
      <c r="JG226" s="9" t="s">
        <v>1098</v>
      </c>
      <c r="JH226" s="9"/>
      <c r="JI226" s="9" t="s">
        <v>1098</v>
      </c>
      <c r="JJ226" s="9"/>
      <c r="JK226" s="9"/>
      <c r="JL226" s="9"/>
      <c r="JM226" s="9"/>
      <c r="JN226" s="9"/>
      <c r="JO226" s="9" t="s">
        <v>1098</v>
      </c>
      <c r="JP226" s="9"/>
      <c r="JQ226" s="9" t="s">
        <v>1098</v>
      </c>
      <c r="JR226" s="9"/>
      <c r="JS226" s="9"/>
      <c r="JT226" s="9"/>
      <c r="JU226" s="9"/>
      <c r="JV226" s="9"/>
      <c r="JW226" s="9" t="s">
        <v>1098</v>
      </c>
      <c r="JX226" s="9"/>
      <c r="JY226" s="9" t="s">
        <v>1098</v>
      </c>
      <c r="JZ226" s="9"/>
      <c r="KA226" s="9"/>
      <c r="KB226" s="9"/>
      <c r="KC226" s="9"/>
      <c r="KD226" s="9"/>
      <c r="KE226" s="9" t="s">
        <v>1098</v>
      </c>
      <c r="KF226" s="9"/>
      <c r="KG226" s="9" t="s">
        <v>1098</v>
      </c>
      <c r="KH226" s="9"/>
      <c r="KI226" s="9"/>
      <c r="KJ226" s="9"/>
      <c r="KK226" s="9"/>
      <c r="KL226" s="9"/>
      <c r="KM226" s="9" t="s">
        <v>1098</v>
      </c>
      <c r="KN226" s="9"/>
      <c r="KO226" s="9" t="s">
        <v>1098</v>
      </c>
      <c r="KP226" s="9"/>
      <c r="KQ226" s="9"/>
      <c r="KR226" s="9"/>
      <c r="KS226" s="9"/>
      <c r="KT226" s="9"/>
      <c r="KU226" s="9" t="s">
        <v>1098</v>
      </c>
      <c r="KV226" s="9"/>
      <c r="KW226" s="9" t="s">
        <v>1098</v>
      </c>
      <c r="KX226" s="9"/>
      <c r="KY226" s="9"/>
      <c r="KZ226" s="9"/>
      <c r="LA226" s="9"/>
      <c r="LB226" s="9"/>
      <c r="LC226" s="9" t="s">
        <v>1098</v>
      </c>
      <c r="LD226" s="9"/>
      <c r="LE226" s="9" t="s">
        <v>1098</v>
      </c>
      <c r="LF226" s="9"/>
      <c r="LG226" s="9"/>
      <c r="LH226" s="9"/>
      <c r="LI226" s="9"/>
      <c r="LJ226" s="9"/>
      <c r="LK226" s="9" t="s">
        <v>1098</v>
      </c>
      <c r="LL226" s="9"/>
      <c r="LM226" s="9" t="s">
        <v>1098</v>
      </c>
      <c r="LN226" s="9"/>
      <c r="LO226" s="9"/>
      <c r="LP226" s="9"/>
      <c r="LQ226" s="9"/>
      <c r="LR226" s="9"/>
      <c r="LS226" s="9" t="s">
        <v>1098</v>
      </c>
      <c r="LT226" s="9"/>
      <c r="LU226" s="9" t="s">
        <v>1098</v>
      </c>
      <c r="LV226" s="9"/>
      <c r="LW226" s="9"/>
      <c r="LX226" s="9"/>
      <c r="LY226" s="9"/>
      <c r="LZ226" s="9"/>
      <c r="MA226" s="9" t="s">
        <v>1098</v>
      </c>
      <c r="MB226" s="9"/>
      <c r="MC226" s="9" t="s">
        <v>1098</v>
      </c>
      <c r="MD226" s="9"/>
      <c r="ME226" s="9"/>
      <c r="MF226" s="9"/>
      <c r="MG226" s="9"/>
      <c r="MH226" s="9"/>
      <c r="MI226" s="9" t="s">
        <v>1098</v>
      </c>
      <c r="MJ226" s="9"/>
      <c r="MK226" s="9" t="s">
        <v>1098</v>
      </c>
      <c r="ML226" s="9"/>
      <c r="MM226" s="9"/>
      <c r="MN226" s="9"/>
      <c r="MO226" s="9"/>
      <c r="MP226" s="9"/>
      <c r="MQ226" s="9" t="s">
        <v>1098</v>
      </c>
      <c r="MR226" s="9"/>
      <c r="MS226" s="9" t="s">
        <v>1098</v>
      </c>
      <c r="MT226" s="9"/>
      <c r="MU226" s="9"/>
      <c r="MV226" s="9"/>
      <c r="MW226" s="9"/>
      <c r="MX226" s="9"/>
      <c r="MY226" s="9" t="s">
        <v>1098</v>
      </c>
      <c r="MZ226" s="9"/>
      <c r="NA226" s="9" t="s">
        <v>1098</v>
      </c>
      <c r="NB226" s="9"/>
      <c r="NC226" s="9"/>
      <c r="ND226" s="9"/>
      <c r="NE226" s="9"/>
      <c r="NF226" s="9"/>
      <c r="NG226" s="9" t="s">
        <v>1098</v>
      </c>
      <c r="NH226" s="9"/>
      <c r="NI226" s="9" t="s">
        <v>1098</v>
      </c>
      <c r="NJ226" s="9"/>
      <c r="NK226" s="9"/>
      <c r="NL226" s="9"/>
      <c r="NM226" s="9"/>
      <c r="NN226" s="9"/>
      <c r="NO226" s="9" t="s">
        <v>1098</v>
      </c>
      <c r="NP226" s="9"/>
      <c r="NQ226" s="9" t="s">
        <v>1098</v>
      </c>
      <c r="NR226" s="9"/>
      <c r="NS226" s="9"/>
      <c r="NT226" s="9"/>
      <c r="NU226" s="9"/>
      <c r="NV226" s="9"/>
      <c r="NW226" s="9" t="s">
        <v>1098</v>
      </c>
      <c r="NX226" s="9"/>
      <c r="NY226" s="9" t="s">
        <v>1098</v>
      </c>
      <c r="NZ226" s="9"/>
      <c r="OA226" s="9"/>
      <c r="OB226" s="9"/>
      <c r="OC226" s="9"/>
      <c r="OD226" s="9"/>
      <c r="OE226" s="9" t="s">
        <v>1098</v>
      </c>
      <c r="OF226" s="9"/>
      <c r="OG226" s="9" t="s">
        <v>1098</v>
      </c>
      <c r="OH226" s="9"/>
      <c r="OI226" s="9"/>
      <c r="OJ226" s="9"/>
      <c r="OK226" s="9"/>
      <c r="OL226" s="9"/>
      <c r="OM226" s="9" t="s">
        <v>1098</v>
      </c>
      <c r="ON226" s="9"/>
      <c r="OO226" s="9" t="s">
        <v>1098</v>
      </c>
      <c r="OP226" s="9"/>
      <c r="OQ226" s="9"/>
      <c r="OR226" s="9"/>
      <c r="OS226" s="9"/>
      <c r="OT226" s="9"/>
      <c r="OU226" s="9" t="s">
        <v>1098</v>
      </c>
      <c r="OV226" s="9"/>
      <c r="OW226" s="9" t="s">
        <v>1098</v>
      </c>
      <c r="OX226" s="9"/>
      <c r="OY226" s="9"/>
      <c r="OZ226" s="9"/>
      <c r="PA226" s="9"/>
      <c r="PB226" s="9"/>
      <c r="PC226" s="9" t="s">
        <v>1098</v>
      </c>
      <c r="PD226" s="9"/>
      <c r="PE226" s="9" t="s">
        <v>1098</v>
      </c>
      <c r="PF226" s="9"/>
      <c r="PG226" s="9"/>
      <c r="PH226" s="9"/>
      <c r="PI226" s="9"/>
      <c r="PJ226" s="9"/>
      <c r="PK226" s="9" t="s">
        <v>1098</v>
      </c>
      <c r="PL226" s="9"/>
      <c r="PM226" s="9" t="s">
        <v>1098</v>
      </c>
      <c r="PN226" s="9"/>
      <c r="PO226" s="9"/>
      <c r="PP226" s="9"/>
      <c r="PQ226" s="9"/>
      <c r="PR226" s="9"/>
      <c r="PS226" s="9" t="s">
        <v>1098</v>
      </c>
      <c r="PT226" s="9"/>
      <c r="PU226" s="9" t="s">
        <v>1098</v>
      </c>
      <c r="PV226" s="9"/>
      <c r="PW226" s="9"/>
      <c r="PX226" s="9"/>
      <c r="PY226" s="9"/>
      <c r="PZ226" s="9"/>
      <c r="QA226" s="9" t="s">
        <v>1098</v>
      </c>
      <c r="QB226" s="9"/>
      <c r="QC226" s="9" t="s">
        <v>1098</v>
      </c>
      <c r="QD226" s="9"/>
      <c r="QE226" s="9"/>
      <c r="QF226" s="9"/>
      <c r="QG226" s="9"/>
      <c r="QH226" s="9"/>
      <c r="QI226" s="9" t="s">
        <v>1098</v>
      </c>
      <c r="QJ226" s="9"/>
      <c r="QK226" s="9" t="s">
        <v>1098</v>
      </c>
      <c r="QL226" s="9"/>
      <c r="QM226" s="9"/>
      <c r="QN226" s="9"/>
      <c r="QO226" s="9"/>
      <c r="QP226" s="9"/>
      <c r="QQ226" s="67"/>
      <c r="QR226" s="68"/>
      <c r="QS226" s="157"/>
      <c r="QT226" s="158"/>
    </row>
    <row r="227" spans="1:462" s="11" customFormat="1" x14ac:dyDescent="0.2">
      <c r="A227" s="9">
        <v>10</v>
      </c>
      <c r="B227" s="9"/>
      <c r="C227" s="9"/>
      <c r="D227" s="9" t="s">
        <v>63</v>
      </c>
      <c r="E227" s="65" t="s">
        <v>64</v>
      </c>
      <c r="F227" s="65"/>
      <c r="G227" s="92" t="s">
        <v>2478</v>
      </c>
      <c r="H227" s="66" t="s">
        <v>1725</v>
      </c>
      <c r="I227" s="9" t="s">
        <v>1098</v>
      </c>
      <c r="J227" s="9"/>
      <c r="K227" s="9" t="s">
        <v>1098</v>
      </c>
      <c r="L227" s="9"/>
      <c r="M227" s="9" t="s">
        <v>1098</v>
      </c>
      <c r="N227" s="9"/>
      <c r="O227" s="9"/>
      <c r="P227" s="9"/>
      <c r="Q227" s="9"/>
      <c r="R227" s="9"/>
      <c r="S227" s="9" t="s">
        <v>1098</v>
      </c>
      <c r="T227" s="9"/>
      <c r="U227" s="9" t="s">
        <v>1098</v>
      </c>
      <c r="V227" s="9"/>
      <c r="W227" s="9"/>
      <c r="X227" s="9"/>
      <c r="Y227" s="9"/>
      <c r="Z227" s="9"/>
      <c r="AA227" s="9" t="s">
        <v>1098</v>
      </c>
      <c r="AB227" s="9"/>
      <c r="AC227" s="9" t="s">
        <v>1098</v>
      </c>
      <c r="AD227" s="9"/>
      <c r="AE227" s="9"/>
      <c r="AF227" s="9"/>
      <c r="AG227" s="9"/>
      <c r="AH227" s="9"/>
      <c r="AI227" s="9" t="s">
        <v>1098</v>
      </c>
      <c r="AJ227" s="9"/>
      <c r="AK227" s="9" t="s">
        <v>1098</v>
      </c>
      <c r="AL227" s="9"/>
      <c r="AM227" s="9"/>
      <c r="AN227" s="9"/>
      <c r="AO227" s="9"/>
      <c r="AP227" s="9"/>
      <c r="AQ227" s="9" t="s">
        <v>1098</v>
      </c>
      <c r="AR227" s="9"/>
      <c r="AS227" s="9" t="s">
        <v>1098</v>
      </c>
      <c r="AT227" s="9"/>
      <c r="AU227" s="9"/>
      <c r="AV227" s="9"/>
      <c r="AW227" s="9"/>
      <c r="AX227" s="9"/>
      <c r="AY227" s="9" t="s">
        <v>1098</v>
      </c>
      <c r="AZ227" s="9"/>
      <c r="BA227" s="9" t="s">
        <v>1098</v>
      </c>
      <c r="BB227" s="9"/>
      <c r="BC227" s="9"/>
      <c r="BD227" s="9"/>
      <c r="BE227" s="9"/>
      <c r="BF227" s="9"/>
      <c r="BG227" s="9" t="s">
        <v>1098</v>
      </c>
      <c r="BH227" s="9"/>
      <c r="BI227" s="9" t="s">
        <v>1098</v>
      </c>
      <c r="BJ227" s="9"/>
      <c r="BK227" s="9"/>
      <c r="BL227" s="9"/>
      <c r="BM227" s="9"/>
      <c r="BN227" s="9"/>
      <c r="BO227" s="9" t="s">
        <v>1098</v>
      </c>
      <c r="BP227" s="9"/>
      <c r="BQ227" s="9" t="s">
        <v>1098</v>
      </c>
      <c r="BR227" s="9"/>
      <c r="BS227" s="9"/>
      <c r="BT227" s="9"/>
      <c r="BU227" s="9"/>
      <c r="BV227" s="9"/>
      <c r="BW227" s="9" t="s">
        <v>1098</v>
      </c>
      <c r="BX227" s="9"/>
      <c r="BY227" s="9" t="s">
        <v>1098</v>
      </c>
      <c r="BZ227" s="9"/>
      <c r="CA227" s="9"/>
      <c r="CB227" s="9"/>
      <c r="CC227" s="9"/>
      <c r="CD227" s="9"/>
      <c r="CE227" s="9" t="s">
        <v>1098</v>
      </c>
      <c r="CF227" s="9"/>
      <c r="CG227" s="9" t="s">
        <v>1098</v>
      </c>
      <c r="CH227" s="9"/>
      <c r="CI227" s="9"/>
      <c r="CJ227" s="9"/>
      <c r="CK227" s="9"/>
      <c r="CL227" s="9"/>
      <c r="CM227" s="9" t="s">
        <v>1098</v>
      </c>
      <c r="CN227" s="9"/>
      <c r="CO227" s="9" t="s">
        <v>1098</v>
      </c>
      <c r="CP227" s="9"/>
      <c r="CQ227" s="9"/>
      <c r="CR227" s="9"/>
      <c r="CS227" s="9"/>
      <c r="CT227" s="9"/>
      <c r="CU227" s="9" t="s">
        <v>1098</v>
      </c>
      <c r="CV227" s="9"/>
      <c r="CW227" s="9" t="s">
        <v>1098</v>
      </c>
      <c r="CX227" s="9"/>
      <c r="CY227" s="9"/>
      <c r="CZ227" s="9"/>
      <c r="DA227" s="9"/>
      <c r="DB227" s="9"/>
      <c r="DC227" s="9" t="s">
        <v>1098</v>
      </c>
      <c r="DD227" s="9"/>
      <c r="DE227" s="9" t="s">
        <v>1098</v>
      </c>
      <c r="DF227" s="9"/>
      <c r="DG227" s="9"/>
      <c r="DH227" s="9"/>
      <c r="DI227" s="9"/>
      <c r="DJ227" s="9"/>
      <c r="DK227" s="9" t="s">
        <v>1098</v>
      </c>
      <c r="DL227" s="9"/>
      <c r="DM227" s="9" t="s">
        <v>1098</v>
      </c>
      <c r="DN227" s="9"/>
      <c r="DO227" s="9"/>
      <c r="DP227" s="9"/>
      <c r="DQ227" s="9"/>
      <c r="DR227" s="9"/>
      <c r="DS227" s="9" t="s">
        <v>1098</v>
      </c>
      <c r="DT227" s="9"/>
      <c r="DU227" s="9" t="s">
        <v>1098</v>
      </c>
      <c r="DV227" s="9"/>
      <c r="DW227" s="9"/>
      <c r="DX227" s="9"/>
      <c r="DY227" s="9"/>
      <c r="DZ227" s="9"/>
      <c r="EA227" s="9" t="s">
        <v>1098</v>
      </c>
      <c r="EB227" s="9"/>
      <c r="EC227" s="9" t="s">
        <v>1098</v>
      </c>
      <c r="ED227" s="9"/>
      <c r="EE227" s="9"/>
      <c r="EF227" s="9"/>
      <c r="EG227" s="9"/>
      <c r="EH227" s="9"/>
      <c r="EI227" s="9" t="s">
        <v>1098</v>
      </c>
      <c r="EJ227" s="9"/>
      <c r="EK227" s="9" t="s">
        <v>1098</v>
      </c>
      <c r="EL227" s="9"/>
      <c r="EM227" s="9"/>
      <c r="EN227" s="9"/>
      <c r="EO227" s="9"/>
      <c r="EP227" s="9"/>
      <c r="EQ227" s="9" t="s">
        <v>1098</v>
      </c>
      <c r="ER227" s="9"/>
      <c r="ES227" s="9" t="s">
        <v>1098</v>
      </c>
      <c r="ET227" s="9"/>
      <c r="EU227" s="9"/>
      <c r="EV227" s="9"/>
      <c r="EW227" s="9"/>
      <c r="EX227" s="9"/>
      <c r="EY227" s="9" t="s">
        <v>1098</v>
      </c>
      <c r="EZ227" s="9"/>
      <c r="FA227" s="9" t="s">
        <v>1098</v>
      </c>
      <c r="FB227" s="9"/>
      <c r="FC227" s="9"/>
      <c r="FD227" s="9"/>
      <c r="FE227" s="9"/>
      <c r="FF227" s="9"/>
      <c r="FG227" s="9" t="s">
        <v>1098</v>
      </c>
      <c r="FH227" s="9"/>
      <c r="FI227" s="9" t="s">
        <v>1098</v>
      </c>
      <c r="FJ227" s="9"/>
      <c r="FK227" s="9"/>
      <c r="FL227" s="9"/>
      <c r="FM227" s="9"/>
      <c r="FN227" s="9"/>
      <c r="FO227" s="9" t="s">
        <v>1098</v>
      </c>
      <c r="FP227" s="9"/>
      <c r="FQ227" s="9" t="s">
        <v>1098</v>
      </c>
      <c r="FR227" s="9"/>
      <c r="FS227" s="9"/>
      <c r="FT227" s="9"/>
      <c r="FU227" s="9"/>
      <c r="FV227" s="9"/>
      <c r="FW227" s="9" t="s">
        <v>1098</v>
      </c>
      <c r="FX227" s="9"/>
      <c r="FY227" s="9" t="s">
        <v>1098</v>
      </c>
      <c r="FZ227" s="9"/>
      <c r="GA227" s="9"/>
      <c r="GB227" s="9"/>
      <c r="GC227" s="9"/>
      <c r="GD227" s="9"/>
      <c r="GE227" s="9" t="s">
        <v>1098</v>
      </c>
      <c r="GF227" s="9"/>
      <c r="GG227" s="9" t="s">
        <v>1098</v>
      </c>
      <c r="GH227" s="9"/>
      <c r="GI227" s="9"/>
      <c r="GJ227" s="9"/>
      <c r="GK227" s="9"/>
      <c r="GL227" s="9"/>
      <c r="GM227" s="9" t="s">
        <v>1098</v>
      </c>
      <c r="GN227" s="9"/>
      <c r="GO227" s="9" t="s">
        <v>1098</v>
      </c>
      <c r="GP227" s="9"/>
      <c r="GQ227" s="9"/>
      <c r="GR227" s="9"/>
      <c r="GS227" s="9"/>
      <c r="GT227" s="9"/>
      <c r="GU227" s="9" t="s">
        <v>1098</v>
      </c>
      <c r="GV227" s="9"/>
      <c r="GW227" s="9" t="s">
        <v>1098</v>
      </c>
      <c r="GX227" s="9"/>
      <c r="GY227" s="9"/>
      <c r="GZ227" s="9"/>
      <c r="HA227" s="9"/>
      <c r="HB227" s="9"/>
      <c r="HC227" s="9" t="s">
        <v>1098</v>
      </c>
      <c r="HD227" s="9"/>
      <c r="HE227" s="9" t="s">
        <v>1098</v>
      </c>
      <c r="HF227" s="9"/>
      <c r="HG227" s="9"/>
      <c r="HH227" s="9"/>
      <c r="HI227" s="9"/>
      <c r="HJ227" s="9"/>
      <c r="HK227" s="9" t="s">
        <v>1098</v>
      </c>
      <c r="HL227" s="9"/>
      <c r="HM227" s="9" t="s">
        <v>1098</v>
      </c>
      <c r="HN227" s="9"/>
      <c r="HO227" s="9"/>
      <c r="HP227" s="9"/>
      <c r="HQ227" s="9"/>
      <c r="HR227" s="9"/>
      <c r="HS227" s="9" t="s">
        <v>1098</v>
      </c>
      <c r="HT227" s="9"/>
      <c r="HU227" s="9" t="s">
        <v>1098</v>
      </c>
      <c r="HV227" s="9"/>
      <c r="HW227" s="9"/>
      <c r="HX227" s="9"/>
      <c r="HY227" s="9"/>
      <c r="HZ227" s="9"/>
      <c r="IA227" s="9" t="s">
        <v>1098</v>
      </c>
      <c r="IB227" s="9"/>
      <c r="IC227" s="9" t="s">
        <v>1098</v>
      </c>
      <c r="ID227" s="9"/>
      <c r="IE227" s="9"/>
      <c r="IF227" s="9"/>
      <c r="IG227" s="9"/>
      <c r="IH227" s="9"/>
      <c r="II227" s="9" t="s">
        <v>1098</v>
      </c>
      <c r="IJ227" s="9"/>
      <c r="IK227" s="9" t="s">
        <v>1098</v>
      </c>
      <c r="IL227" s="9"/>
      <c r="IM227" s="9"/>
      <c r="IN227" s="9"/>
      <c r="IO227" s="9"/>
      <c r="IP227" s="9"/>
      <c r="IQ227" s="9" t="s">
        <v>1098</v>
      </c>
      <c r="IR227" s="9"/>
      <c r="IS227" s="9" t="s">
        <v>1098</v>
      </c>
      <c r="IT227" s="9"/>
      <c r="IU227" s="9"/>
      <c r="IV227" s="9"/>
      <c r="IW227" s="9"/>
      <c r="IX227" s="9"/>
      <c r="IY227" s="9" t="s">
        <v>1098</v>
      </c>
      <c r="IZ227" s="9"/>
      <c r="JA227" s="9" t="s">
        <v>1098</v>
      </c>
      <c r="JB227" s="9"/>
      <c r="JC227" s="9"/>
      <c r="JD227" s="9"/>
      <c r="JE227" s="9"/>
      <c r="JF227" s="9"/>
      <c r="JG227" s="9" t="s">
        <v>1098</v>
      </c>
      <c r="JH227" s="9"/>
      <c r="JI227" s="9" t="s">
        <v>1098</v>
      </c>
      <c r="JJ227" s="9"/>
      <c r="JK227" s="9"/>
      <c r="JL227" s="9"/>
      <c r="JM227" s="9"/>
      <c r="JN227" s="9"/>
      <c r="JO227" s="9" t="s">
        <v>1098</v>
      </c>
      <c r="JP227" s="9"/>
      <c r="JQ227" s="9" t="s">
        <v>1098</v>
      </c>
      <c r="JR227" s="9"/>
      <c r="JS227" s="9"/>
      <c r="JT227" s="9"/>
      <c r="JU227" s="9"/>
      <c r="JV227" s="9"/>
      <c r="JW227" s="9" t="s">
        <v>1098</v>
      </c>
      <c r="JX227" s="9"/>
      <c r="JY227" s="9" t="s">
        <v>1098</v>
      </c>
      <c r="JZ227" s="9"/>
      <c r="KA227" s="9"/>
      <c r="KB227" s="9"/>
      <c r="KC227" s="9"/>
      <c r="KD227" s="9"/>
      <c r="KE227" s="9" t="s">
        <v>1098</v>
      </c>
      <c r="KF227" s="9"/>
      <c r="KG227" s="9" t="s">
        <v>1098</v>
      </c>
      <c r="KH227" s="9"/>
      <c r="KI227" s="9"/>
      <c r="KJ227" s="9"/>
      <c r="KK227" s="9"/>
      <c r="KL227" s="9"/>
      <c r="KM227" s="9" t="s">
        <v>1098</v>
      </c>
      <c r="KN227" s="9"/>
      <c r="KO227" s="9" t="s">
        <v>1098</v>
      </c>
      <c r="KP227" s="9"/>
      <c r="KQ227" s="9"/>
      <c r="KR227" s="9"/>
      <c r="KS227" s="9"/>
      <c r="KT227" s="9"/>
      <c r="KU227" s="9" t="s">
        <v>1098</v>
      </c>
      <c r="KV227" s="9"/>
      <c r="KW227" s="9" t="s">
        <v>1098</v>
      </c>
      <c r="KX227" s="9"/>
      <c r="KY227" s="9"/>
      <c r="KZ227" s="9"/>
      <c r="LA227" s="9"/>
      <c r="LB227" s="9"/>
      <c r="LC227" s="9" t="s">
        <v>1098</v>
      </c>
      <c r="LD227" s="9"/>
      <c r="LE227" s="9" t="s">
        <v>1098</v>
      </c>
      <c r="LF227" s="9"/>
      <c r="LG227" s="9"/>
      <c r="LH227" s="9"/>
      <c r="LI227" s="9"/>
      <c r="LJ227" s="9"/>
      <c r="LK227" s="9" t="s">
        <v>1098</v>
      </c>
      <c r="LL227" s="9"/>
      <c r="LM227" s="9" t="s">
        <v>1098</v>
      </c>
      <c r="LN227" s="9"/>
      <c r="LO227" s="9"/>
      <c r="LP227" s="9"/>
      <c r="LQ227" s="9"/>
      <c r="LR227" s="9"/>
      <c r="LS227" s="9" t="s">
        <v>1098</v>
      </c>
      <c r="LT227" s="9"/>
      <c r="LU227" s="9" t="s">
        <v>1098</v>
      </c>
      <c r="LV227" s="9"/>
      <c r="LW227" s="9"/>
      <c r="LX227" s="9"/>
      <c r="LY227" s="9"/>
      <c r="LZ227" s="9"/>
      <c r="MA227" s="9" t="s">
        <v>1098</v>
      </c>
      <c r="MB227" s="9"/>
      <c r="MC227" s="9" t="s">
        <v>1098</v>
      </c>
      <c r="MD227" s="9"/>
      <c r="ME227" s="9"/>
      <c r="MF227" s="9"/>
      <c r="MG227" s="9"/>
      <c r="MH227" s="9"/>
      <c r="MI227" s="9" t="s">
        <v>1098</v>
      </c>
      <c r="MJ227" s="9"/>
      <c r="MK227" s="9" t="s">
        <v>1098</v>
      </c>
      <c r="ML227" s="9"/>
      <c r="MM227" s="9"/>
      <c r="MN227" s="9"/>
      <c r="MO227" s="9"/>
      <c r="MP227" s="9"/>
      <c r="MQ227" s="9" t="s">
        <v>1098</v>
      </c>
      <c r="MR227" s="9"/>
      <c r="MS227" s="9" t="s">
        <v>1098</v>
      </c>
      <c r="MT227" s="9"/>
      <c r="MU227" s="9"/>
      <c r="MV227" s="9"/>
      <c r="MW227" s="9"/>
      <c r="MX227" s="9"/>
      <c r="MY227" s="9" t="s">
        <v>1098</v>
      </c>
      <c r="MZ227" s="9"/>
      <c r="NA227" s="9" t="s">
        <v>1098</v>
      </c>
      <c r="NB227" s="9"/>
      <c r="NC227" s="9"/>
      <c r="ND227" s="9"/>
      <c r="NE227" s="9"/>
      <c r="NF227" s="9"/>
      <c r="NG227" s="9" t="s">
        <v>1098</v>
      </c>
      <c r="NH227" s="9"/>
      <c r="NI227" s="9" t="s">
        <v>1098</v>
      </c>
      <c r="NJ227" s="9"/>
      <c r="NK227" s="9"/>
      <c r="NL227" s="9"/>
      <c r="NM227" s="9"/>
      <c r="NN227" s="9"/>
      <c r="NO227" s="9" t="s">
        <v>1098</v>
      </c>
      <c r="NP227" s="9"/>
      <c r="NQ227" s="9" t="s">
        <v>1098</v>
      </c>
      <c r="NR227" s="9"/>
      <c r="NS227" s="9"/>
      <c r="NT227" s="9"/>
      <c r="NU227" s="9"/>
      <c r="NV227" s="9"/>
      <c r="NW227" s="9" t="s">
        <v>1098</v>
      </c>
      <c r="NX227" s="9"/>
      <c r="NY227" s="9" t="s">
        <v>1098</v>
      </c>
      <c r="NZ227" s="9"/>
      <c r="OA227" s="9"/>
      <c r="OB227" s="9"/>
      <c r="OC227" s="9"/>
      <c r="OD227" s="9"/>
      <c r="OE227" s="9" t="s">
        <v>1098</v>
      </c>
      <c r="OF227" s="9"/>
      <c r="OG227" s="9" t="s">
        <v>1098</v>
      </c>
      <c r="OH227" s="9"/>
      <c r="OI227" s="9"/>
      <c r="OJ227" s="9"/>
      <c r="OK227" s="9"/>
      <c r="OL227" s="9"/>
      <c r="OM227" s="9" t="s">
        <v>1098</v>
      </c>
      <c r="ON227" s="9"/>
      <c r="OO227" s="9" t="s">
        <v>1098</v>
      </c>
      <c r="OP227" s="9"/>
      <c r="OQ227" s="9"/>
      <c r="OR227" s="9"/>
      <c r="OS227" s="9"/>
      <c r="OT227" s="9"/>
      <c r="OU227" s="9" t="s">
        <v>1098</v>
      </c>
      <c r="OV227" s="9"/>
      <c r="OW227" s="9" t="s">
        <v>1098</v>
      </c>
      <c r="OX227" s="9"/>
      <c r="OY227" s="9"/>
      <c r="OZ227" s="9"/>
      <c r="PA227" s="9"/>
      <c r="PB227" s="9"/>
      <c r="PC227" s="9" t="s">
        <v>1098</v>
      </c>
      <c r="PD227" s="9"/>
      <c r="PE227" s="9" t="s">
        <v>1098</v>
      </c>
      <c r="PF227" s="9"/>
      <c r="PG227" s="9"/>
      <c r="PH227" s="9"/>
      <c r="PI227" s="9"/>
      <c r="PJ227" s="9"/>
      <c r="PK227" s="9" t="s">
        <v>1098</v>
      </c>
      <c r="PL227" s="9"/>
      <c r="PM227" s="9" t="s">
        <v>1098</v>
      </c>
      <c r="PN227" s="9"/>
      <c r="PO227" s="9"/>
      <c r="PP227" s="9"/>
      <c r="PQ227" s="9"/>
      <c r="PR227" s="9"/>
      <c r="PS227" s="9" t="s">
        <v>1098</v>
      </c>
      <c r="PT227" s="9"/>
      <c r="PU227" s="9" t="s">
        <v>1098</v>
      </c>
      <c r="PV227" s="9"/>
      <c r="PW227" s="9"/>
      <c r="PX227" s="9"/>
      <c r="PY227" s="9"/>
      <c r="PZ227" s="9"/>
      <c r="QA227" s="9" t="s">
        <v>1098</v>
      </c>
      <c r="QB227" s="9"/>
      <c r="QC227" s="9" t="s">
        <v>1098</v>
      </c>
      <c r="QD227" s="9"/>
      <c r="QE227" s="9"/>
      <c r="QF227" s="9"/>
      <c r="QG227" s="9"/>
      <c r="QH227" s="9"/>
      <c r="QI227" s="9" t="s">
        <v>1098</v>
      </c>
      <c r="QJ227" s="9"/>
      <c r="QK227" s="9" t="s">
        <v>1098</v>
      </c>
      <c r="QL227" s="9"/>
      <c r="QM227" s="9"/>
      <c r="QN227" s="9"/>
      <c r="QO227" s="9"/>
      <c r="QP227" s="9"/>
      <c r="QQ227" s="67"/>
      <c r="QR227" s="68"/>
      <c r="QS227" s="157"/>
      <c r="QT227" s="158"/>
    </row>
    <row r="228" spans="1:462" s="11" customFormat="1" x14ac:dyDescent="0.2">
      <c r="A228" s="34"/>
      <c r="G228" s="82"/>
      <c r="QT228" s="69"/>
    </row>
    <row r="229" spans="1:462" s="11" customFormat="1" x14ac:dyDescent="0.2">
      <c r="A229" s="9">
        <v>20</v>
      </c>
      <c r="B229" s="50" t="s">
        <v>0</v>
      </c>
      <c r="C229" s="51"/>
      <c r="D229" s="33" t="s">
        <v>54</v>
      </c>
      <c r="E229" s="57" t="s">
        <v>21</v>
      </c>
      <c r="F229" s="58"/>
      <c r="G229" s="81"/>
      <c r="H229" s="59"/>
      <c r="I229" s="60"/>
      <c r="J229" s="61"/>
      <c r="K229" s="62"/>
      <c r="L229" s="62"/>
      <c r="M229" s="62"/>
      <c r="N229" s="62"/>
      <c r="O229" s="62" t="s">
        <v>1726</v>
      </c>
      <c r="P229" s="62"/>
      <c r="Q229" s="62" t="s">
        <v>1727</v>
      </c>
      <c r="R229" s="62"/>
      <c r="S229" s="62"/>
      <c r="T229" s="62"/>
      <c r="U229" s="62"/>
      <c r="V229" s="62"/>
      <c r="W229" s="62" t="s">
        <v>1728</v>
      </c>
      <c r="X229" s="62"/>
      <c r="Y229" s="62" t="s">
        <v>1729</v>
      </c>
      <c r="Z229" s="62"/>
      <c r="AA229" s="62"/>
      <c r="AB229" s="62"/>
      <c r="AC229" s="62"/>
      <c r="AD229" s="62"/>
      <c r="AE229" s="62" t="s">
        <v>1730</v>
      </c>
      <c r="AF229" s="62"/>
      <c r="AG229" s="62" t="s">
        <v>1731</v>
      </c>
      <c r="AH229" s="62"/>
      <c r="AI229" s="62"/>
      <c r="AJ229" s="62"/>
      <c r="AK229" s="62"/>
      <c r="AL229" s="62"/>
      <c r="AM229" s="62" t="s">
        <v>1732</v>
      </c>
      <c r="AN229" s="62"/>
      <c r="AO229" s="62" t="s">
        <v>1733</v>
      </c>
      <c r="AP229" s="62"/>
      <c r="AQ229" s="62"/>
      <c r="AR229" s="62"/>
      <c r="AS229" s="62"/>
      <c r="AT229" s="62"/>
      <c r="AU229" s="62" t="s">
        <v>1734</v>
      </c>
      <c r="AV229" s="62"/>
      <c r="AW229" s="62" t="s">
        <v>1735</v>
      </c>
      <c r="AX229" s="62"/>
      <c r="AY229" s="62"/>
      <c r="AZ229" s="62"/>
      <c r="BA229" s="62"/>
      <c r="BB229" s="62"/>
      <c r="BC229" s="62" t="s">
        <v>1736</v>
      </c>
      <c r="BD229" s="62"/>
      <c r="BE229" s="62" t="s">
        <v>1737</v>
      </c>
      <c r="BF229" s="62"/>
      <c r="BG229" s="62"/>
      <c r="BH229" s="62"/>
      <c r="BI229" s="62"/>
      <c r="BJ229" s="62"/>
      <c r="BK229" s="62" t="s">
        <v>1738</v>
      </c>
      <c r="BL229" s="62"/>
      <c r="BM229" s="62" t="s">
        <v>1739</v>
      </c>
      <c r="BN229" s="62"/>
      <c r="BO229" s="62"/>
      <c r="BP229" s="62"/>
      <c r="BQ229" s="62"/>
      <c r="BR229" s="62"/>
      <c r="BS229" s="62" t="s">
        <v>1740</v>
      </c>
      <c r="BT229" s="62"/>
      <c r="BU229" s="62" t="s">
        <v>1741</v>
      </c>
      <c r="BV229" s="62"/>
      <c r="BW229" s="62"/>
      <c r="BX229" s="62"/>
      <c r="BY229" s="62"/>
      <c r="BZ229" s="62"/>
      <c r="CA229" s="62" t="s">
        <v>1742</v>
      </c>
      <c r="CB229" s="62"/>
      <c r="CC229" s="62" t="s">
        <v>1743</v>
      </c>
      <c r="CD229" s="62"/>
      <c r="CE229" s="62"/>
      <c r="CF229" s="62"/>
      <c r="CG229" s="62"/>
      <c r="CH229" s="62"/>
      <c r="CI229" s="62" t="s">
        <v>1744</v>
      </c>
      <c r="CJ229" s="62"/>
      <c r="CK229" s="62" t="s">
        <v>1745</v>
      </c>
      <c r="CL229" s="62"/>
      <c r="CM229" s="62"/>
      <c r="CN229" s="62"/>
      <c r="CO229" s="62"/>
      <c r="CP229" s="62"/>
      <c r="CQ229" s="62" t="s">
        <v>1746</v>
      </c>
      <c r="CR229" s="62"/>
      <c r="CS229" s="62" t="s">
        <v>1747</v>
      </c>
      <c r="CT229" s="62"/>
      <c r="CU229" s="62"/>
      <c r="CV229" s="62"/>
      <c r="CW229" s="62"/>
      <c r="CX229" s="62"/>
      <c r="CY229" s="62" t="s">
        <v>1748</v>
      </c>
      <c r="CZ229" s="62"/>
      <c r="DA229" s="62" t="s">
        <v>1749</v>
      </c>
      <c r="DB229" s="62"/>
      <c r="DC229" s="62"/>
      <c r="DD229" s="62"/>
      <c r="DE229" s="62"/>
      <c r="DF229" s="62"/>
      <c r="DG229" s="62" t="s">
        <v>1750</v>
      </c>
      <c r="DH229" s="62"/>
      <c r="DI229" s="62" t="s">
        <v>1751</v>
      </c>
      <c r="DJ229" s="62"/>
      <c r="DK229" s="62"/>
      <c r="DL229" s="62"/>
      <c r="DM229" s="62"/>
      <c r="DN229" s="62"/>
      <c r="DO229" s="62" t="s">
        <v>1752</v>
      </c>
      <c r="DP229" s="62"/>
      <c r="DQ229" s="62" t="s">
        <v>1753</v>
      </c>
      <c r="DR229" s="62"/>
      <c r="DS229" s="62"/>
      <c r="DT229" s="62"/>
      <c r="DU229" s="62"/>
      <c r="DV229" s="62"/>
      <c r="DW229" s="62" t="s">
        <v>1754</v>
      </c>
      <c r="DX229" s="62"/>
      <c r="DY229" s="62" t="s">
        <v>1755</v>
      </c>
      <c r="DZ229" s="62"/>
      <c r="EA229" s="62"/>
      <c r="EB229" s="62"/>
      <c r="EC229" s="62"/>
      <c r="ED229" s="62"/>
      <c r="EE229" s="62" t="s">
        <v>1756</v>
      </c>
      <c r="EF229" s="62"/>
      <c r="EG229" s="62" t="s">
        <v>1757</v>
      </c>
      <c r="EH229" s="62"/>
      <c r="EI229" s="62"/>
      <c r="EJ229" s="62"/>
      <c r="EK229" s="62"/>
      <c r="EL229" s="62"/>
      <c r="EM229" s="62" t="s">
        <v>1758</v>
      </c>
      <c r="EN229" s="62"/>
      <c r="EO229" s="62" t="s">
        <v>1759</v>
      </c>
      <c r="EP229" s="62"/>
      <c r="EQ229" s="62"/>
      <c r="ER229" s="62"/>
      <c r="ES229" s="62"/>
      <c r="ET229" s="62"/>
      <c r="EU229" s="62" t="s">
        <v>1760</v>
      </c>
      <c r="EV229" s="62"/>
      <c r="EW229" s="62" t="s">
        <v>1761</v>
      </c>
      <c r="EX229" s="62"/>
      <c r="EY229" s="62"/>
      <c r="EZ229" s="62"/>
      <c r="FA229" s="62"/>
      <c r="FB229" s="62"/>
      <c r="FC229" s="62" t="s">
        <v>1762</v>
      </c>
      <c r="FD229" s="62"/>
      <c r="FE229" s="62" t="s">
        <v>1763</v>
      </c>
      <c r="FF229" s="62"/>
      <c r="FG229" s="62"/>
      <c r="FH229" s="62"/>
      <c r="FI229" s="62"/>
      <c r="FJ229" s="62"/>
      <c r="FK229" s="62" t="s">
        <v>1764</v>
      </c>
      <c r="FL229" s="62"/>
      <c r="FM229" s="62" t="s">
        <v>1765</v>
      </c>
      <c r="FN229" s="62"/>
      <c r="FO229" s="62"/>
      <c r="FP229" s="62"/>
      <c r="FQ229" s="62"/>
      <c r="FR229" s="62"/>
      <c r="FS229" s="62" t="s">
        <v>1766</v>
      </c>
      <c r="FT229" s="62"/>
      <c r="FU229" s="62" t="s">
        <v>1767</v>
      </c>
      <c r="FV229" s="62"/>
      <c r="FW229" s="62"/>
      <c r="FX229" s="62"/>
      <c r="FY229" s="62"/>
      <c r="FZ229" s="62"/>
      <c r="GA229" s="62" t="s">
        <v>1768</v>
      </c>
      <c r="GB229" s="62"/>
      <c r="GC229" s="62" t="s">
        <v>1769</v>
      </c>
      <c r="GD229" s="62"/>
      <c r="GE229" s="62"/>
      <c r="GF229" s="62"/>
      <c r="GG229" s="62"/>
      <c r="GH229" s="62"/>
      <c r="GI229" s="62" t="s">
        <v>1770</v>
      </c>
      <c r="GJ229" s="62"/>
      <c r="GK229" s="62" t="s">
        <v>1771</v>
      </c>
      <c r="GL229" s="62"/>
      <c r="GM229" s="62"/>
      <c r="GN229" s="62"/>
      <c r="GO229" s="62"/>
      <c r="GP229" s="62"/>
      <c r="GQ229" s="62" t="s">
        <v>1772</v>
      </c>
      <c r="GR229" s="62"/>
      <c r="GS229" s="62" t="s">
        <v>1773</v>
      </c>
      <c r="GT229" s="62"/>
      <c r="GU229" s="62"/>
      <c r="GV229" s="62"/>
      <c r="GW229" s="62"/>
      <c r="GX229" s="62"/>
      <c r="GY229" s="62" t="s">
        <v>1774</v>
      </c>
      <c r="GZ229" s="62"/>
      <c r="HA229" s="62" t="s">
        <v>1775</v>
      </c>
      <c r="HB229" s="62"/>
      <c r="HC229" s="62"/>
      <c r="HD229" s="62"/>
      <c r="HE229" s="62"/>
      <c r="HF229" s="62"/>
      <c r="HG229" s="62" t="s">
        <v>1776</v>
      </c>
      <c r="HH229" s="62"/>
      <c r="HI229" s="62" t="s">
        <v>1777</v>
      </c>
      <c r="HJ229" s="62"/>
      <c r="HK229" s="62"/>
      <c r="HL229" s="62"/>
      <c r="HM229" s="62"/>
      <c r="HN229" s="62"/>
      <c r="HO229" s="62" t="s">
        <v>1778</v>
      </c>
      <c r="HP229" s="62"/>
      <c r="HQ229" s="62" t="s">
        <v>1779</v>
      </c>
      <c r="HR229" s="62"/>
      <c r="HS229" s="62"/>
      <c r="HT229" s="62"/>
      <c r="HU229" s="62"/>
      <c r="HV229" s="62"/>
      <c r="HW229" s="62" t="s">
        <v>1780</v>
      </c>
      <c r="HX229" s="62"/>
      <c r="HY229" s="62" t="s">
        <v>1781</v>
      </c>
      <c r="HZ229" s="62"/>
      <c r="IA229" s="62"/>
      <c r="IB229" s="62"/>
      <c r="IC229" s="62"/>
      <c r="ID229" s="62"/>
      <c r="IE229" s="62" t="s">
        <v>1782</v>
      </c>
      <c r="IF229" s="62"/>
      <c r="IG229" s="62" t="s">
        <v>1783</v>
      </c>
      <c r="IH229" s="62"/>
      <c r="II229" s="62"/>
      <c r="IJ229" s="62"/>
      <c r="IK229" s="62"/>
      <c r="IL229" s="62"/>
      <c r="IM229" s="62" t="s">
        <v>1784</v>
      </c>
      <c r="IN229" s="62"/>
      <c r="IO229" s="62" t="s">
        <v>1785</v>
      </c>
      <c r="IP229" s="62"/>
      <c r="IQ229" s="62"/>
      <c r="IR229" s="62"/>
      <c r="IS229" s="62"/>
      <c r="IT229" s="62"/>
      <c r="IU229" s="62" t="s">
        <v>1786</v>
      </c>
      <c r="IV229" s="62"/>
      <c r="IW229" s="62" t="s">
        <v>1787</v>
      </c>
      <c r="IX229" s="62"/>
      <c r="IY229" s="62"/>
      <c r="IZ229" s="62"/>
      <c r="JA229" s="62"/>
      <c r="JB229" s="62"/>
      <c r="JC229" s="62" t="s">
        <v>1788</v>
      </c>
      <c r="JD229" s="62"/>
      <c r="JE229" s="62" t="s">
        <v>1789</v>
      </c>
      <c r="JF229" s="62"/>
      <c r="JG229" s="62"/>
      <c r="JH229" s="62"/>
      <c r="JI229" s="62"/>
      <c r="JJ229" s="62"/>
      <c r="JK229" s="62" t="s">
        <v>1790</v>
      </c>
      <c r="JL229" s="62"/>
      <c r="JM229" s="62" t="s">
        <v>1791</v>
      </c>
      <c r="JN229" s="62"/>
      <c r="JO229" s="62"/>
      <c r="JP229" s="62"/>
      <c r="JQ229" s="62"/>
      <c r="JR229" s="62"/>
      <c r="JS229" s="62" t="s">
        <v>1792</v>
      </c>
      <c r="JT229" s="62"/>
      <c r="JU229" s="62" t="s">
        <v>1793</v>
      </c>
      <c r="JV229" s="62"/>
      <c r="JW229" s="62"/>
      <c r="JX229" s="62"/>
      <c r="JY229" s="62"/>
      <c r="JZ229" s="62"/>
      <c r="KA229" s="62" t="s">
        <v>1794</v>
      </c>
      <c r="KB229" s="62"/>
      <c r="KC229" s="62" t="s">
        <v>1795</v>
      </c>
      <c r="KD229" s="62"/>
      <c r="KE229" s="62"/>
      <c r="KF229" s="62"/>
      <c r="KG229" s="62"/>
      <c r="KH229" s="62"/>
      <c r="KI229" s="62" t="s">
        <v>1796</v>
      </c>
      <c r="KJ229" s="62"/>
      <c r="KK229" s="62" t="s">
        <v>1797</v>
      </c>
      <c r="KL229" s="62"/>
      <c r="KM229" s="62"/>
      <c r="KN229" s="62"/>
      <c r="KO229" s="62"/>
      <c r="KP229" s="62"/>
      <c r="KQ229" s="62" t="s">
        <v>1798</v>
      </c>
      <c r="KR229" s="62"/>
      <c r="KS229" s="62" t="s">
        <v>1799</v>
      </c>
      <c r="KT229" s="62"/>
      <c r="KU229" s="62"/>
      <c r="KV229" s="62"/>
      <c r="KW229" s="62"/>
      <c r="KX229" s="62"/>
      <c r="KY229" s="62" t="s">
        <v>1800</v>
      </c>
      <c r="KZ229" s="62"/>
      <c r="LA229" s="62" t="s">
        <v>1801</v>
      </c>
      <c r="LB229" s="62"/>
      <c r="LC229" s="62"/>
      <c r="LD229" s="62"/>
      <c r="LE229" s="62"/>
      <c r="LF229" s="62"/>
      <c r="LG229" s="62" t="s">
        <v>1802</v>
      </c>
      <c r="LH229" s="62"/>
      <c r="LI229" s="62" t="s">
        <v>1803</v>
      </c>
      <c r="LJ229" s="62"/>
      <c r="LK229" s="62"/>
      <c r="LL229" s="62"/>
      <c r="LM229" s="62"/>
      <c r="LN229" s="62"/>
      <c r="LO229" s="62" t="s">
        <v>1804</v>
      </c>
      <c r="LP229" s="62"/>
      <c r="LQ229" s="62" t="s">
        <v>1805</v>
      </c>
      <c r="LR229" s="62"/>
      <c r="LS229" s="62"/>
      <c r="LT229" s="62"/>
      <c r="LU229" s="62"/>
      <c r="LV229" s="62"/>
      <c r="LW229" s="62" t="s">
        <v>1806</v>
      </c>
      <c r="LX229" s="62"/>
      <c r="LY229" s="62" t="s">
        <v>1807</v>
      </c>
      <c r="LZ229" s="62"/>
      <c r="MA229" s="62"/>
      <c r="MB229" s="62"/>
      <c r="MC229" s="62"/>
      <c r="MD229" s="62"/>
      <c r="ME229" s="62" t="s">
        <v>1808</v>
      </c>
      <c r="MF229" s="62"/>
      <c r="MG229" s="62" t="s">
        <v>1809</v>
      </c>
      <c r="MH229" s="62"/>
      <c r="MI229" s="62"/>
      <c r="MJ229" s="62"/>
      <c r="MK229" s="62"/>
      <c r="ML229" s="62"/>
      <c r="MM229" s="62" t="s">
        <v>1810</v>
      </c>
      <c r="MN229" s="62"/>
      <c r="MO229" s="62" t="s">
        <v>1811</v>
      </c>
      <c r="MP229" s="62"/>
      <c r="MQ229" s="62"/>
      <c r="MR229" s="62"/>
      <c r="MS229" s="62"/>
      <c r="MT229" s="62"/>
      <c r="MU229" s="62" t="s">
        <v>1812</v>
      </c>
      <c r="MV229" s="62"/>
      <c r="MW229" s="62" t="s">
        <v>1813</v>
      </c>
      <c r="MX229" s="62"/>
      <c r="MY229" s="62"/>
      <c r="MZ229" s="62"/>
      <c r="NA229" s="62"/>
      <c r="NB229" s="62"/>
      <c r="NC229" s="62" t="s">
        <v>1814</v>
      </c>
      <c r="ND229" s="62"/>
      <c r="NE229" s="62" t="s">
        <v>1815</v>
      </c>
      <c r="NF229" s="62"/>
      <c r="NG229" s="62"/>
      <c r="NH229" s="62"/>
      <c r="NI229" s="62"/>
      <c r="NJ229" s="62"/>
      <c r="NK229" s="62" t="s">
        <v>1816</v>
      </c>
      <c r="NL229" s="62"/>
      <c r="NM229" s="62" t="s">
        <v>1817</v>
      </c>
      <c r="NN229" s="62"/>
      <c r="NO229" s="62"/>
      <c r="NP229" s="62"/>
      <c r="NQ229" s="62"/>
      <c r="NR229" s="62"/>
      <c r="NS229" s="62" t="s">
        <v>1818</v>
      </c>
      <c r="NT229" s="62"/>
      <c r="NU229" s="62" t="s">
        <v>1819</v>
      </c>
      <c r="NV229" s="62"/>
      <c r="NW229" s="62"/>
      <c r="NX229" s="62"/>
      <c r="NY229" s="62"/>
      <c r="NZ229" s="62"/>
      <c r="OA229" s="62" t="s">
        <v>1820</v>
      </c>
      <c r="OB229" s="62"/>
      <c r="OC229" s="62" t="s">
        <v>1821</v>
      </c>
      <c r="OD229" s="62"/>
      <c r="OE229" s="62"/>
      <c r="OF229" s="62"/>
      <c r="OG229" s="62"/>
      <c r="OH229" s="62"/>
      <c r="OI229" s="62" t="s">
        <v>1822</v>
      </c>
      <c r="OJ229" s="62"/>
      <c r="OK229" s="62" t="s">
        <v>1823</v>
      </c>
      <c r="OL229" s="62"/>
      <c r="OM229" s="62"/>
      <c r="ON229" s="62"/>
      <c r="OO229" s="62"/>
      <c r="OP229" s="62"/>
      <c r="OQ229" s="62" t="s">
        <v>1824</v>
      </c>
      <c r="OR229" s="62"/>
      <c r="OS229" s="62" t="s">
        <v>1825</v>
      </c>
      <c r="OT229" s="62"/>
      <c r="OU229" s="62"/>
      <c r="OV229" s="62"/>
      <c r="OW229" s="62"/>
      <c r="OX229" s="62"/>
      <c r="OY229" s="62" t="s">
        <v>1826</v>
      </c>
      <c r="OZ229" s="62"/>
      <c r="PA229" s="62" t="s">
        <v>1827</v>
      </c>
      <c r="PB229" s="62"/>
      <c r="PC229" s="62"/>
      <c r="PD229" s="62"/>
      <c r="PE229" s="62"/>
      <c r="PF229" s="62"/>
      <c r="PG229" s="62" t="s">
        <v>1828</v>
      </c>
      <c r="PH229" s="62"/>
      <c r="PI229" s="62" t="s">
        <v>1829</v>
      </c>
      <c r="PJ229" s="62"/>
      <c r="PK229" s="62"/>
      <c r="PL229" s="62"/>
      <c r="PM229" s="62"/>
      <c r="PN229" s="62"/>
      <c r="PO229" s="62" t="s">
        <v>1830</v>
      </c>
      <c r="PP229" s="62"/>
      <c r="PQ229" s="62" t="s">
        <v>1831</v>
      </c>
      <c r="PR229" s="62"/>
      <c r="PS229" s="62"/>
      <c r="PT229" s="62"/>
      <c r="PU229" s="62"/>
      <c r="PV229" s="62"/>
      <c r="PW229" s="62" t="s">
        <v>1832</v>
      </c>
      <c r="PX229" s="62"/>
      <c r="PY229" s="62" t="s">
        <v>1833</v>
      </c>
      <c r="PZ229" s="62"/>
      <c r="QA229" s="62"/>
      <c r="QB229" s="62"/>
      <c r="QC229" s="62"/>
      <c r="QD229" s="62"/>
      <c r="QE229" s="62" t="s">
        <v>1834</v>
      </c>
      <c r="QF229" s="62"/>
      <c r="QG229" s="62" t="s">
        <v>1835</v>
      </c>
      <c r="QH229" s="62"/>
      <c r="QI229" s="62"/>
      <c r="QJ229" s="62"/>
      <c r="QK229" s="62"/>
      <c r="QL229" s="62"/>
      <c r="QM229" s="62" t="s">
        <v>2054</v>
      </c>
      <c r="QN229" s="62"/>
      <c r="QO229" s="62" t="s">
        <v>2055</v>
      </c>
      <c r="QP229" s="62"/>
      <c r="QQ229" s="48"/>
      <c r="QR229" s="49"/>
      <c r="QS229" s="63"/>
      <c r="QT229" s="64"/>
    </row>
    <row r="230" spans="1:462" s="11" customFormat="1" x14ac:dyDescent="0.2">
      <c r="A230" s="9">
        <v>20</v>
      </c>
      <c r="B230" s="9"/>
      <c r="C230" s="9"/>
      <c r="D230" s="9" t="s">
        <v>346</v>
      </c>
      <c r="E230" s="65" t="s">
        <v>477</v>
      </c>
      <c r="F230" s="65"/>
      <c r="G230" s="92" t="s">
        <v>2219</v>
      </c>
      <c r="H230" s="66" t="s">
        <v>1394</v>
      </c>
      <c r="I230" s="9" t="s">
        <v>1101</v>
      </c>
      <c r="J230" s="9"/>
      <c r="K230" s="9"/>
      <c r="L230" s="9"/>
      <c r="M230" s="9"/>
      <c r="N230" s="9"/>
      <c r="O230" s="9" t="s">
        <v>1101</v>
      </c>
      <c r="P230" s="9"/>
      <c r="Q230" s="9" t="s">
        <v>1101</v>
      </c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  <c r="HE230" s="9"/>
      <c r="HF230" s="9"/>
      <c r="HG230" s="9"/>
      <c r="HH230" s="9"/>
      <c r="HI230" s="9"/>
      <c r="HJ230" s="9"/>
      <c r="HK230" s="9"/>
      <c r="HL230" s="9"/>
      <c r="HM230" s="9"/>
      <c r="HN230" s="9"/>
      <c r="HO230" s="9"/>
      <c r="HP230" s="9"/>
      <c r="HQ230" s="9"/>
      <c r="HR230" s="9"/>
      <c r="HS230" s="9"/>
      <c r="HT230" s="9"/>
      <c r="HU230" s="9"/>
      <c r="HV230" s="9"/>
      <c r="HW230" s="9"/>
      <c r="HX230" s="9"/>
      <c r="HY230" s="9"/>
      <c r="HZ230" s="9"/>
      <c r="IA230" s="9"/>
      <c r="IB230" s="9"/>
      <c r="IC230" s="9"/>
      <c r="ID230" s="9"/>
      <c r="IE230" s="9"/>
      <c r="IF230" s="9"/>
      <c r="IG230" s="9"/>
      <c r="IH230" s="9"/>
      <c r="II230" s="9"/>
      <c r="IJ230" s="9"/>
      <c r="IK230" s="9"/>
      <c r="IL230" s="9"/>
      <c r="IM230" s="9"/>
      <c r="IN230" s="9"/>
      <c r="IO230" s="9"/>
      <c r="IP230" s="9"/>
      <c r="IQ230" s="9"/>
      <c r="IR230" s="9"/>
      <c r="IS230" s="9"/>
      <c r="IT230" s="9"/>
      <c r="IU230" s="9"/>
      <c r="IV230" s="9"/>
      <c r="IW230" s="9"/>
      <c r="IX230" s="9"/>
      <c r="IY230" s="9"/>
      <c r="IZ230" s="9"/>
      <c r="JA230" s="9"/>
      <c r="JB230" s="9"/>
      <c r="JC230" s="9"/>
      <c r="JD230" s="9"/>
      <c r="JE230" s="9"/>
      <c r="JF230" s="9"/>
      <c r="JG230" s="9"/>
      <c r="JH230" s="9"/>
      <c r="JI230" s="9"/>
      <c r="JJ230" s="9"/>
      <c r="JK230" s="9"/>
      <c r="JL230" s="9"/>
      <c r="JM230" s="9"/>
      <c r="JN230" s="9"/>
      <c r="JO230" s="9"/>
      <c r="JP230" s="9"/>
      <c r="JQ230" s="9"/>
      <c r="JR230" s="9"/>
      <c r="JS230" s="9"/>
      <c r="JT230" s="9"/>
      <c r="JU230" s="9"/>
      <c r="JV230" s="9"/>
      <c r="JW230" s="9"/>
      <c r="JX230" s="9"/>
      <c r="JY230" s="9"/>
      <c r="JZ230" s="9"/>
      <c r="KA230" s="9"/>
      <c r="KB230" s="9"/>
      <c r="KC230" s="9"/>
      <c r="KD230" s="9"/>
      <c r="KE230" s="9"/>
      <c r="KF230" s="9"/>
      <c r="KG230" s="9"/>
      <c r="KH230" s="9"/>
      <c r="KI230" s="9"/>
      <c r="KJ230" s="9"/>
      <c r="KK230" s="9"/>
      <c r="KL230" s="9"/>
      <c r="KM230" s="9"/>
      <c r="KN230" s="9"/>
      <c r="KO230" s="9"/>
      <c r="KP230" s="9"/>
      <c r="KQ230" s="9"/>
      <c r="KR230" s="9"/>
      <c r="KS230" s="9"/>
      <c r="KT230" s="9"/>
      <c r="KU230" s="9"/>
      <c r="KV230" s="9"/>
      <c r="KW230" s="9"/>
      <c r="KX230" s="9"/>
      <c r="KY230" s="9"/>
      <c r="KZ230" s="9"/>
      <c r="LA230" s="9"/>
      <c r="LB230" s="9"/>
      <c r="LC230" s="9"/>
      <c r="LD230" s="9"/>
      <c r="LE230" s="9"/>
      <c r="LF230" s="9"/>
      <c r="LG230" s="9"/>
      <c r="LH230" s="9"/>
      <c r="LI230" s="9"/>
      <c r="LJ230" s="9"/>
      <c r="LK230" s="9"/>
      <c r="LL230" s="9"/>
      <c r="LM230" s="9"/>
      <c r="LN230" s="9"/>
      <c r="LO230" s="9"/>
      <c r="LP230" s="9"/>
      <c r="LQ230" s="9"/>
      <c r="LR230" s="9"/>
      <c r="LS230" s="9"/>
      <c r="LT230" s="9"/>
      <c r="LU230" s="9"/>
      <c r="LV230" s="9"/>
      <c r="LW230" s="9"/>
      <c r="LX230" s="9"/>
      <c r="LY230" s="9"/>
      <c r="LZ230" s="9"/>
      <c r="MA230" s="9"/>
      <c r="MB230" s="9"/>
      <c r="MC230" s="9"/>
      <c r="MD230" s="9"/>
      <c r="ME230" s="9"/>
      <c r="MF230" s="9"/>
      <c r="MG230" s="9"/>
      <c r="MH230" s="9"/>
      <c r="MI230" s="9"/>
      <c r="MJ230" s="9"/>
      <c r="MK230" s="9"/>
      <c r="ML230" s="9"/>
      <c r="MM230" s="9"/>
      <c r="MN230" s="9"/>
      <c r="MO230" s="9"/>
      <c r="MP230" s="9"/>
      <c r="MQ230" s="9"/>
      <c r="MR230" s="9"/>
      <c r="MS230" s="9"/>
      <c r="MT230" s="9"/>
      <c r="MU230" s="9"/>
      <c r="MV230" s="9"/>
      <c r="MW230" s="9"/>
      <c r="MX230" s="9"/>
      <c r="MY230" s="9"/>
      <c r="MZ230" s="9"/>
      <c r="NA230" s="9"/>
      <c r="NB230" s="9"/>
      <c r="NC230" s="9"/>
      <c r="ND230" s="9"/>
      <c r="NE230" s="9"/>
      <c r="NF230" s="9"/>
      <c r="NG230" s="9"/>
      <c r="NH230" s="9"/>
      <c r="NI230" s="9"/>
      <c r="NJ230" s="9"/>
      <c r="NK230" s="9"/>
      <c r="NL230" s="9"/>
      <c r="NM230" s="9"/>
      <c r="NN230" s="9"/>
      <c r="NO230" s="9"/>
      <c r="NP230" s="9"/>
      <c r="NQ230" s="9"/>
      <c r="NR230" s="9"/>
      <c r="NS230" s="9"/>
      <c r="NT230" s="9"/>
      <c r="NU230" s="9"/>
      <c r="NV230" s="9"/>
      <c r="NW230" s="9"/>
      <c r="NX230" s="9"/>
      <c r="NY230" s="9"/>
      <c r="NZ230" s="9"/>
      <c r="OA230" s="9"/>
      <c r="OB230" s="9"/>
      <c r="OC230" s="9"/>
      <c r="OD230" s="9"/>
      <c r="OE230" s="9"/>
      <c r="OF230" s="9"/>
      <c r="OG230" s="9"/>
      <c r="OH230" s="9"/>
      <c r="OI230" s="9"/>
      <c r="OJ230" s="9"/>
      <c r="OK230" s="9"/>
      <c r="OL230" s="9"/>
      <c r="OM230" s="9"/>
      <c r="ON230" s="9"/>
      <c r="OO230" s="9"/>
      <c r="OP230" s="9"/>
      <c r="OQ230" s="9"/>
      <c r="OR230" s="9"/>
      <c r="OS230" s="9"/>
      <c r="OT230" s="9"/>
      <c r="OU230" s="9"/>
      <c r="OV230" s="9"/>
      <c r="OW230" s="9"/>
      <c r="OX230" s="9"/>
      <c r="OY230" s="9"/>
      <c r="OZ230" s="9"/>
      <c r="PA230" s="9"/>
      <c r="PB230" s="9"/>
      <c r="PC230" s="9"/>
      <c r="PD230" s="9"/>
      <c r="PE230" s="9"/>
      <c r="PF230" s="9"/>
      <c r="PG230" s="9"/>
      <c r="PH230" s="9"/>
      <c r="PI230" s="9"/>
      <c r="PJ230" s="9"/>
      <c r="PK230" s="9"/>
      <c r="PL230" s="9"/>
      <c r="PM230" s="9"/>
      <c r="PN230" s="9"/>
      <c r="PO230" s="9"/>
      <c r="PP230" s="9"/>
      <c r="PQ230" s="9"/>
      <c r="PR230" s="9"/>
      <c r="PS230" s="9"/>
      <c r="PT230" s="9"/>
      <c r="PU230" s="9"/>
      <c r="PV230" s="9"/>
      <c r="PW230" s="9"/>
      <c r="PX230" s="9"/>
      <c r="PY230" s="9"/>
      <c r="PZ230" s="9"/>
      <c r="QA230" s="9"/>
      <c r="QB230" s="9"/>
      <c r="QC230" s="9"/>
      <c r="QD230" s="9"/>
      <c r="QE230" s="9"/>
      <c r="QF230" s="9"/>
      <c r="QG230" s="9"/>
      <c r="QH230" s="9"/>
      <c r="QI230" s="9"/>
      <c r="QJ230" s="9"/>
      <c r="QK230" s="9"/>
      <c r="QL230" s="9"/>
      <c r="QM230" s="9"/>
      <c r="QN230" s="9"/>
      <c r="QO230" s="9"/>
      <c r="QP230" s="9"/>
      <c r="QQ230" s="67"/>
      <c r="QR230" s="68"/>
      <c r="QS230" s="63"/>
      <c r="QT230" s="71"/>
    </row>
    <row r="231" spans="1:462" s="11" customFormat="1" x14ac:dyDescent="0.2">
      <c r="A231" s="9">
        <v>20</v>
      </c>
      <c r="B231" s="9"/>
      <c r="C231" s="9"/>
      <c r="D231" s="9" t="s">
        <v>671</v>
      </c>
      <c r="E231" s="65" t="s">
        <v>675</v>
      </c>
      <c r="F231" s="65"/>
      <c r="G231" s="92" t="s">
        <v>2222</v>
      </c>
      <c r="H231" s="66" t="s">
        <v>1395</v>
      </c>
      <c r="I231" s="9" t="s">
        <v>1101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 t="s">
        <v>1101</v>
      </c>
      <c r="X231" s="9"/>
      <c r="Y231" s="9" t="s">
        <v>1101</v>
      </c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  <c r="HE231" s="9"/>
      <c r="HF231" s="9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9"/>
      <c r="IC231" s="9"/>
      <c r="ID231" s="9"/>
      <c r="IE231" s="9"/>
      <c r="IF231" s="9"/>
      <c r="IG231" s="9"/>
      <c r="IH231" s="9"/>
      <c r="II231" s="9"/>
      <c r="IJ231" s="9"/>
      <c r="IK231" s="9"/>
      <c r="IL231" s="9"/>
      <c r="IM231" s="9"/>
      <c r="IN231" s="9"/>
      <c r="IO231" s="9"/>
      <c r="IP231" s="9"/>
      <c r="IQ231" s="9"/>
      <c r="IR231" s="9"/>
      <c r="IS231" s="9"/>
      <c r="IT231" s="9"/>
      <c r="IU231" s="9"/>
      <c r="IV231" s="9"/>
      <c r="IW231" s="9"/>
      <c r="IX231" s="9"/>
      <c r="IY231" s="9"/>
      <c r="IZ231" s="9"/>
      <c r="JA231" s="9"/>
      <c r="JB231" s="9"/>
      <c r="JC231" s="9"/>
      <c r="JD231" s="9"/>
      <c r="JE231" s="9"/>
      <c r="JF231" s="9"/>
      <c r="JG231" s="9"/>
      <c r="JH231" s="9"/>
      <c r="JI231" s="9"/>
      <c r="JJ231" s="9"/>
      <c r="JK231" s="9"/>
      <c r="JL231" s="9"/>
      <c r="JM231" s="9"/>
      <c r="JN231" s="9"/>
      <c r="JO231" s="9"/>
      <c r="JP231" s="9"/>
      <c r="JQ231" s="9"/>
      <c r="JR231" s="9"/>
      <c r="JS231" s="9"/>
      <c r="JT231" s="9"/>
      <c r="JU231" s="9"/>
      <c r="JV231" s="9"/>
      <c r="JW231" s="9"/>
      <c r="JX231" s="9"/>
      <c r="JY231" s="9"/>
      <c r="JZ231" s="9"/>
      <c r="KA231" s="9"/>
      <c r="KB231" s="9"/>
      <c r="KC231" s="9"/>
      <c r="KD231" s="9"/>
      <c r="KE231" s="9"/>
      <c r="KF231" s="9"/>
      <c r="KG231" s="9"/>
      <c r="KH231" s="9"/>
      <c r="KI231" s="9"/>
      <c r="KJ231" s="9"/>
      <c r="KK231" s="9"/>
      <c r="KL231" s="9"/>
      <c r="KM231" s="9"/>
      <c r="KN231" s="9"/>
      <c r="KO231" s="9"/>
      <c r="KP231" s="9"/>
      <c r="KQ231" s="9"/>
      <c r="KR231" s="9"/>
      <c r="KS231" s="9"/>
      <c r="KT231" s="9"/>
      <c r="KU231" s="9"/>
      <c r="KV231" s="9"/>
      <c r="KW231" s="9"/>
      <c r="KX231" s="9"/>
      <c r="KY231" s="9"/>
      <c r="KZ231" s="9"/>
      <c r="LA231" s="9"/>
      <c r="LB231" s="9"/>
      <c r="LC231" s="9"/>
      <c r="LD231" s="9"/>
      <c r="LE231" s="9"/>
      <c r="LF231" s="9"/>
      <c r="LG231" s="9"/>
      <c r="LH231" s="9"/>
      <c r="LI231" s="9"/>
      <c r="LJ231" s="9"/>
      <c r="LK231" s="9"/>
      <c r="LL231" s="9"/>
      <c r="LM231" s="9"/>
      <c r="LN231" s="9"/>
      <c r="LO231" s="9"/>
      <c r="LP231" s="9"/>
      <c r="LQ231" s="9"/>
      <c r="LR231" s="9"/>
      <c r="LS231" s="9"/>
      <c r="LT231" s="9"/>
      <c r="LU231" s="9"/>
      <c r="LV231" s="9"/>
      <c r="LW231" s="9"/>
      <c r="LX231" s="9"/>
      <c r="LY231" s="9"/>
      <c r="LZ231" s="9"/>
      <c r="MA231" s="9"/>
      <c r="MB231" s="9"/>
      <c r="MC231" s="9"/>
      <c r="MD231" s="9"/>
      <c r="ME231" s="9"/>
      <c r="MF231" s="9"/>
      <c r="MG231" s="9"/>
      <c r="MH231" s="9"/>
      <c r="MI231" s="9"/>
      <c r="MJ231" s="9"/>
      <c r="MK231" s="9"/>
      <c r="ML231" s="9"/>
      <c r="MM231" s="9"/>
      <c r="MN231" s="9"/>
      <c r="MO231" s="9"/>
      <c r="MP231" s="9"/>
      <c r="MQ231" s="9"/>
      <c r="MR231" s="9"/>
      <c r="MS231" s="9"/>
      <c r="MT231" s="9"/>
      <c r="MU231" s="9"/>
      <c r="MV231" s="9"/>
      <c r="MW231" s="9"/>
      <c r="MX231" s="9"/>
      <c r="MY231" s="9"/>
      <c r="MZ231" s="9"/>
      <c r="NA231" s="9"/>
      <c r="NB231" s="9"/>
      <c r="NC231" s="9"/>
      <c r="ND231" s="9"/>
      <c r="NE231" s="9"/>
      <c r="NF231" s="9"/>
      <c r="NG231" s="9"/>
      <c r="NH231" s="9"/>
      <c r="NI231" s="9"/>
      <c r="NJ231" s="9"/>
      <c r="NK231" s="9"/>
      <c r="NL231" s="9"/>
      <c r="NM231" s="9"/>
      <c r="NN231" s="9"/>
      <c r="NO231" s="9"/>
      <c r="NP231" s="9"/>
      <c r="NQ231" s="9"/>
      <c r="NR231" s="9"/>
      <c r="NS231" s="9"/>
      <c r="NT231" s="9"/>
      <c r="NU231" s="9"/>
      <c r="NV231" s="9"/>
      <c r="NW231" s="9"/>
      <c r="NX231" s="9"/>
      <c r="NY231" s="9"/>
      <c r="NZ231" s="9"/>
      <c r="OA231" s="9"/>
      <c r="OB231" s="9"/>
      <c r="OC231" s="9"/>
      <c r="OD231" s="9"/>
      <c r="OE231" s="9"/>
      <c r="OF231" s="9"/>
      <c r="OG231" s="9"/>
      <c r="OH231" s="9"/>
      <c r="OI231" s="9"/>
      <c r="OJ231" s="9"/>
      <c r="OK231" s="9"/>
      <c r="OL231" s="9"/>
      <c r="OM231" s="9"/>
      <c r="ON231" s="9"/>
      <c r="OO231" s="9"/>
      <c r="OP231" s="9"/>
      <c r="OQ231" s="9"/>
      <c r="OR231" s="9"/>
      <c r="OS231" s="9"/>
      <c r="OT231" s="9"/>
      <c r="OU231" s="9"/>
      <c r="OV231" s="9"/>
      <c r="OW231" s="9"/>
      <c r="OX231" s="9"/>
      <c r="OY231" s="9"/>
      <c r="OZ231" s="9"/>
      <c r="PA231" s="9"/>
      <c r="PB231" s="9"/>
      <c r="PC231" s="9"/>
      <c r="PD231" s="9"/>
      <c r="PE231" s="9"/>
      <c r="PF231" s="9"/>
      <c r="PG231" s="9"/>
      <c r="PH231" s="9"/>
      <c r="PI231" s="9"/>
      <c r="PJ231" s="9"/>
      <c r="PK231" s="9"/>
      <c r="PL231" s="9"/>
      <c r="PM231" s="9"/>
      <c r="PN231" s="9"/>
      <c r="PO231" s="9"/>
      <c r="PP231" s="9"/>
      <c r="PQ231" s="9"/>
      <c r="PR231" s="9"/>
      <c r="PS231" s="9"/>
      <c r="PT231" s="9"/>
      <c r="PU231" s="9"/>
      <c r="PV231" s="9"/>
      <c r="PW231" s="9"/>
      <c r="PX231" s="9"/>
      <c r="PY231" s="9"/>
      <c r="PZ231" s="9"/>
      <c r="QA231" s="9"/>
      <c r="QB231" s="9"/>
      <c r="QC231" s="9"/>
      <c r="QD231" s="9"/>
      <c r="QE231" s="9"/>
      <c r="QF231" s="9"/>
      <c r="QG231" s="9"/>
      <c r="QH231" s="9"/>
      <c r="QI231" s="9"/>
      <c r="QJ231" s="9"/>
      <c r="QK231" s="9"/>
      <c r="QL231" s="9"/>
      <c r="QM231" s="9"/>
      <c r="QN231" s="9"/>
      <c r="QO231" s="9"/>
      <c r="QP231" s="9"/>
      <c r="QQ231" s="67"/>
      <c r="QR231" s="68"/>
      <c r="QS231" s="63"/>
      <c r="QT231" s="71"/>
    </row>
    <row r="232" spans="1:462" s="11" customFormat="1" x14ac:dyDescent="0.2">
      <c r="A232" s="9">
        <v>20</v>
      </c>
      <c r="B232" s="9"/>
      <c r="C232" s="9"/>
      <c r="D232" s="9" t="s">
        <v>350</v>
      </c>
      <c r="E232" s="65" t="s">
        <v>481</v>
      </c>
      <c r="F232" s="65"/>
      <c r="G232" s="92" t="s">
        <v>2225</v>
      </c>
      <c r="H232" s="66" t="s">
        <v>1114</v>
      </c>
      <c r="I232" s="9" t="s">
        <v>1101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 t="s">
        <v>1101</v>
      </c>
      <c r="AF232" s="9"/>
      <c r="AG232" s="9" t="s">
        <v>1101</v>
      </c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  <c r="HE232" s="9"/>
      <c r="HF232" s="9"/>
      <c r="HG232" s="9"/>
      <c r="HH232" s="9"/>
      <c r="HI232" s="9"/>
      <c r="HJ232" s="9"/>
      <c r="HK232" s="9"/>
      <c r="HL232" s="9"/>
      <c r="HM232" s="9"/>
      <c r="HN232" s="9"/>
      <c r="HO232" s="9"/>
      <c r="HP232" s="9"/>
      <c r="HQ232" s="9"/>
      <c r="HR232" s="9"/>
      <c r="HS232" s="9"/>
      <c r="HT232" s="9"/>
      <c r="HU232" s="9"/>
      <c r="HV232" s="9"/>
      <c r="HW232" s="9"/>
      <c r="HX232" s="9"/>
      <c r="HY232" s="9"/>
      <c r="HZ232" s="9"/>
      <c r="IA232" s="9"/>
      <c r="IB232" s="9"/>
      <c r="IC232" s="9"/>
      <c r="ID232" s="9"/>
      <c r="IE232" s="9"/>
      <c r="IF232" s="9"/>
      <c r="IG232" s="9"/>
      <c r="IH232" s="9"/>
      <c r="II232" s="9"/>
      <c r="IJ232" s="9"/>
      <c r="IK232" s="9"/>
      <c r="IL232" s="9"/>
      <c r="IM232" s="9"/>
      <c r="IN232" s="9"/>
      <c r="IO232" s="9"/>
      <c r="IP232" s="9"/>
      <c r="IQ232" s="9"/>
      <c r="IR232" s="9"/>
      <c r="IS232" s="9"/>
      <c r="IT232" s="9"/>
      <c r="IU232" s="9"/>
      <c r="IV232" s="9"/>
      <c r="IW232" s="9"/>
      <c r="IX232" s="9"/>
      <c r="IY232" s="9"/>
      <c r="IZ232" s="9"/>
      <c r="JA232" s="9"/>
      <c r="JB232" s="9"/>
      <c r="JC232" s="9"/>
      <c r="JD232" s="9"/>
      <c r="JE232" s="9"/>
      <c r="JF232" s="9"/>
      <c r="JG232" s="9"/>
      <c r="JH232" s="9"/>
      <c r="JI232" s="9"/>
      <c r="JJ232" s="9"/>
      <c r="JK232" s="9"/>
      <c r="JL232" s="9"/>
      <c r="JM232" s="9"/>
      <c r="JN232" s="9"/>
      <c r="JO232" s="9"/>
      <c r="JP232" s="9"/>
      <c r="JQ232" s="9"/>
      <c r="JR232" s="9"/>
      <c r="JS232" s="9"/>
      <c r="JT232" s="9"/>
      <c r="JU232" s="9"/>
      <c r="JV232" s="9"/>
      <c r="JW232" s="9"/>
      <c r="JX232" s="9"/>
      <c r="JY232" s="9"/>
      <c r="JZ232" s="9"/>
      <c r="KA232" s="9"/>
      <c r="KB232" s="9"/>
      <c r="KC232" s="9"/>
      <c r="KD232" s="9"/>
      <c r="KE232" s="9"/>
      <c r="KF232" s="9"/>
      <c r="KG232" s="9"/>
      <c r="KH232" s="9"/>
      <c r="KI232" s="9"/>
      <c r="KJ232" s="9"/>
      <c r="KK232" s="9"/>
      <c r="KL232" s="9"/>
      <c r="KM232" s="9"/>
      <c r="KN232" s="9"/>
      <c r="KO232" s="9"/>
      <c r="KP232" s="9"/>
      <c r="KQ232" s="9"/>
      <c r="KR232" s="9"/>
      <c r="KS232" s="9"/>
      <c r="KT232" s="9"/>
      <c r="KU232" s="9"/>
      <c r="KV232" s="9"/>
      <c r="KW232" s="9"/>
      <c r="KX232" s="9"/>
      <c r="KY232" s="9"/>
      <c r="KZ232" s="9"/>
      <c r="LA232" s="9"/>
      <c r="LB232" s="9"/>
      <c r="LC232" s="9"/>
      <c r="LD232" s="9"/>
      <c r="LE232" s="9"/>
      <c r="LF232" s="9"/>
      <c r="LG232" s="9"/>
      <c r="LH232" s="9"/>
      <c r="LI232" s="9"/>
      <c r="LJ232" s="9"/>
      <c r="LK232" s="9"/>
      <c r="LL232" s="9"/>
      <c r="LM232" s="9"/>
      <c r="LN232" s="9"/>
      <c r="LO232" s="9"/>
      <c r="LP232" s="9"/>
      <c r="LQ232" s="9"/>
      <c r="LR232" s="9"/>
      <c r="LS232" s="9"/>
      <c r="LT232" s="9"/>
      <c r="LU232" s="9"/>
      <c r="LV232" s="9"/>
      <c r="LW232" s="9"/>
      <c r="LX232" s="9"/>
      <c r="LY232" s="9"/>
      <c r="LZ232" s="9"/>
      <c r="MA232" s="9"/>
      <c r="MB232" s="9"/>
      <c r="MC232" s="9"/>
      <c r="MD232" s="9"/>
      <c r="ME232" s="9"/>
      <c r="MF232" s="9"/>
      <c r="MG232" s="9"/>
      <c r="MH232" s="9"/>
      <c r="MI232" s="9"/>
      <c r="MJ232" s="9"/>
      <c r="MK232" s="9"/>
      <c r="ML232" s="9"/>
      <c r="MM232" s="9"/>
      <c r="MN232" s="9"/>
      <c r="MO232" s="9"/>
      <c r="MP232" s="9"/>
      <c r="MQ232" s="9"/>
      <c r="MR232" s="9"/>
      <c r="MS232" s="9"/>
      <c r="MT232" s="9"/>
      <c r="MU232" s="9"/>
      <c r="MV232" s="9"/>
      <c r="MW232" s="9"/>
      <c r="MX232" s="9"/>
      <c r="MY232" s="9"/>
      <c r="MZ232" s="9"/>
      <c r="NA232" s="9"/>
      <c r="NB232" s="9"/>
      <c r="NC232" s="9"/>
      <c r="ND232" s="9"/>
      <c r="NE232" s="9"/>
      <c r="NF232" s="9"/>
      <c r="NG232" s="9"/>
      <c r="NH232" s="9"/>
      <c r="NI232" s="9"/>
      <c r="NJ232" s="9"/>
      <c r="NK232" s="9"/>
      <c r="NL232" s="9"/>
      <c r="NM232" s="9"/>
      <c r="NN232" s="9"/>
      <c r="NO232" s="9"/>
      <c r="NP232" s="9"/>
      <c r="NQ232" s="9"/>
      <c r="NR232" s="9"/>
      <c r="NS232" s="9"/>
      <c r="NT232" s="9"/>
      <c r="NU232" s="9"/>
      <c r="NV232" s="9"/>
      <c r="NW232" s="9"/>
      <c r="NX232" s="9"/>
      <c r="NY232" s="9"/>
      <c r="NZ232" s="9"/>
      <c r="OA232" s="9"/>
      <c r="OB232" s="9"/>
      <c r="OC232" s="9"/>
      <c r="OD232" s="9"/>
      <c r="OE232" s="9"/>
      <c r="OF232" s="9"/>
      <c r="OG232" s="9"/>
      <c r="OH232" s="9"/>
      <c r="OI232" s="9"/>
      <c r="OJ232" s="9"/>
      <c r="OK232" s="9"/>
      <c r="OL232" s="9"/>
      <c r="OM232" s="9"/>
      <c r="ON232" s="9"/>
      <c r="OO232" s="9"/>
      <c r="OP232" s="9"/>
      <c r="OQ232" s="9"/>
      <c r="OR232" s="9"/>
      <c r="OS232" s="9"/>
      <c r="OT232" s="9"/>
      <c r="OU232" s="9"/>
      <c r="OV232" s="9"/>
      <c r="OW232" s="9"/>
      <c r="OX232" s="9"/>
      <c r="OY232" s="9"/>
      <c r="OZ232" s="9"/>
      <c r="PA232" s="9"/>
      <c r="PB232" s="9"/>
      <c r="PC232" s="9"/>
      <c r="PD232" s="9"/>
      <c r="PE232" s="9"/>
      <c r="PF232" s="9"/>
      <c r="PG232" s="9"/>
      <c r="PH232" s="9"/>
      <c r="PI232" s="9"/>
      <c r="PJ232" s="9"/>
      <c r="PK232" s="9"/>
      <c r="PL232" s="9"/>
      <c r="PM232" s="9"/>
      <c r="PN232" s="9"/>
      <c r="PO232" s="9"/>
      <c r="PP232" s="9"/>
      <c r="PQ232" s="9"/>
      <c r="PR232" s="9"/>
      <c r="PS232" s="9"/>
      <c r="PT232" s="9"/>
      <c r="PU232" s="9"/>
      <c r="PV232" s="9"/>
      <c r="PW232" s="9"/>
      <c r="PX232" s="9"/>
      <c r="PY232" s="9"/>
      <c r="PZ232" s="9"/>
      <c r="QA232" s="9"/>
      <c r="QB232" s="9"/>
      <c r="QC232" s="9"/>
      <c r="QD232" s="9"/>
      <c r="QE232" s="9"/>
      <c r="QF232" s="9"/>
      <c r="QG232" s="9"/>
      <c r="QH232" s="9"/>
      <c r="QI232" s="9"/>
      <c r="QJ232" s="9"/>
      <c r="QK232" s="9"/>
      <c r="QL232" s="9"/>
      <c r="QM232" s="9"/>
      <c r="QN232" s="9"/>
      <c r="QO232" s="9"/>
      <c r="QP232" s="9"/>
      <c r="QQ232" s="67"/>
      <c r="QR232" s="68"/>
      <c r="QS232" s="63"/>
      <c r="QT232" s="71"/>
    </row>
    <row r="233" spans="1:462" s="11" customFormat="1" x14ac:dyDescent="0.2">
      <c r="A233" s="9">
        <v>20</v>
      </c>
      <c r="B233" s="9"/>
      <c r="C233" s="9"/>
      <c r="D233" s="9" t="s">
        <v>352</v>
      </c>
      <c r="E233" s="65" t="s">
        <v>483</v>
      </c>
      <c r="F233" s="65"/>
      <c r="G233" s="92" t="s">
        <v>2228</v>
      </c>
      <c r="H233" s="66" t="s">
        <v>1117</v>
      </c>
      <c r="I233" s="9" t="s">
        <v>1101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 t="s">
        <v>1101</v>
      </c>
      <c r="AN233" s="9"/>
      <c r="AO233" s="9" t="s">
        <v>1101</v>
      </c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  <c r="HE233" s="9"/>
      <c r="HF233" s="9"/>
      <c r="HG233" s="9"/>
      <c r="HH233" s="9"/>
      <c r="HI233" s="9"/>
      <c r="HJ233" s="9"/>
      <c r="HK233" s="9"/>
      <c r="HL233" s="9"/>
      <c r="HM233" s="9"/>
      <c r="HN233" s="9"/>
      <c r="HO233" s="9"/>
      <c r="HP233" s="9"/>
      <c r="HQ233" s="9"/>
      <c r="HR233" s="9"/>
      <c r="HS233" s="9"/>
      <c r="HT233" s="9"/>
      <c r="HU233" s="9"/>
      <c r="HV233" s="9"/>
      <c r="HW233" s="9"/>
      <c r="HX233" s="9"/>
      <c r="HY233" s="9"/>
      <c r="HZ233" s="9"/>
      <c r="IA233" s="9"/>
      <c r="IB233" s="9"/>
      <c r="IC233" s="9"/>
      <c r="ID233" s="9"/>
      <c r="IE233" s="9"/>
      <c r="IF233" s="9"/>
      <c r="IG233" s="9"/>
      <c r="IH233" s="9"/>
      <c r="II233" s="9"/>
      <c r="IJ233" s="9"/>
      <c r="IK233" s="9"/>
      <c r="IL233" s="9"/>
      <c r="IM233" s="9"/>
      <c r="IN233" s="9"/>
      <c r="IO233" s="9"/>
      <c r="IP233" s="9"/>
      <c r="IQ233" s="9"/>
      <c r="IR233" s="9"/>
      <c r="IS233" s="9"/>
      <c r="IT233" s="9"/>
      <c r="IU233" s="9"/>
      <c r="IV233" s="9"/>
      <c r="IW233" s="9"/>
      <c r="IX233" s="9"/>
      <c r="IY233" s="9"/>
      <c r="IZ233" s="9"/>
      <c r="JA233" s="9"/>
      <c r="JB233" s="9"/>
      <c r="JC233" s="9"/>
      <c r="JD233" s="9"/>
      <c r="JE233" s="9"/>
      <c r="JF233" s="9"/>
      <c r="JG233" s="9"/>
      <c r="JH233" s="9"/>
      <c r="JI233" s="9"/>
      <c r="JJ233" s="9"/>
      <c r="JK233" s="9"/>
      <c r="JL233" s="9"/>
      <c r="JM233" s="9"/>
      <c r="JN233" s="9"/>
      <c r="JO233" s="9"/>
      <c r="JP233" s="9"/>
      <c r="JQ233" s="9"/>
      <c r="JR233" s="9"/>
      <c r="JS233" s="9"/>
      <c r="JT233" s="9"/>
      <c r="JU233" s="9"/>
      <c r="JV233" s="9"/>
      <c r="JW233" s="9"/>
      <c r="JX233" s="9"/>
      <c r="JY233" s="9"/>
      <c r="JZ233" s="9"/>
      <c r="KA233" s="9"/>
      <c r="KB233" s="9"/>
      <c r="KC233" s="9"/>
      <c r="KD233" s="9"/>
      <c r="KE233" s="9"/>
      <c r="KF233" s="9"/>
      <c r="KG233" s="9"/>
      <c r="KH233" s="9"/>
      <c r="KI233" s="9"/>
      <c r="KJ233" s="9"/>
      <c r="KK233" s="9"/>
      <c r="KL233" s="9"/>
      <c r="KM233" s="9"/>
      <c r="KN233" s="9"/>
      <c r="KO233" s="9"/>
      <c r="KP233" s="9"/>
      <c r="KQ233" s="9"/>
      <c r="KR233" s="9"/>
      <c r="KS233" s="9"/>
      <c r="KT233" s="9"/>
      <c r="KU233" s="9"/>
      <c r="KV233" s="9"/>
      <c r="KW233" s="9"/>
      <c r="KX233" s="9"/>
      <c r="KY233" s="9"/>
      <c r="KZ233" s="9"/>
      <c r="LA233" s="9"/>
      <c r="LB233" s="9"/>
      <c r="LC233" s="9"/>
      <c r="LD233" s="9"/>
      <c r="LE233" s="9"/>
      <c r="LF233" s="9"/>
      <c r="LG233" s="9"/>
      <c r="LH233" s="9"/>
      <c r="LI233" s="9"/>
      <c r="LJ233" s="9"/>
      <c r="LK233" s="9"/>
      <c r="LL233" s="9"/>
      <c r="LM233" s="9"/>
      <c r="LN233" s="9"/>
      <c r="LO233" s="9"/>
      <c r="LP233" s="9"/>
      <c r="LQ233" s="9"/>
      <c r="LR233" s="9"/>
      <c r="LS233" s="9"/>
      <c r="LT233" s="9"/>
      <c r="LU233" s="9"/>
      <c r="LV233" s="9"/>
      <c r="LW233" s="9"/>
      <c r="LX233" s="9"/>
      <c r="LY233" s="9"/>
      <c r="LZ233" s="9"/>
      <c r="MA233" s="9"/>
      <c r="MB233" s="9"/>
      <c r="MC233" s="9"/>
      <c r="MD233" s="9"/>
      <c r="ME233" s="9"/>
      <c r="MF233" s="9"/>
      <c r="MG233" s="9"/>
      <c r="MH233" s="9"/>
      <c r="MI233" s="9"/>
      <c r="MJ233" s="9"/>
      <c r="MK233" s="9"/>
      <c r="ML233" s="9"/>
      <c r="MM233" s="9"/>
      <c r="MN233" s="9"/>
      <c r="MO233" s="9"/>
      <c r="MP233" s="9"/>
      <c r="MQ233" s="9"/>
      <c r="MR233" s="9"/>
      <c r="MS233" s="9"/>
      <c r="MT233" s="9"/>
      <c r="MU233" s="9"/>
      <c r="MV233" s="9"/>
      <c r="MW233" s="9"/>
      <c r="MX233" s="9"/>
      <c r="MY233" s="9"/>
      <c r="MZ233" s="9"/>
      <c r="NA233" s="9"/>
      <c r="NB233" s="9"/>
      <c r="NC233" s="9"/>
      <c r="ND233" s="9"/>
      <c r="NE233" s="9"/>
      <c r="NF233" s="9"/>
      <c r="NG233" s="9"/>
      <c r="NH233" s="9"/>
      <c r="NI233" s="9"/>
      <c r="NJ233" s="9"/>
      <c r="NK233" s="9"/>
      <c r="NL233" s="9"/>
      <c r="NM233" s="9"/>
      <c r="NN233" s="9"/>
      <c r="NO233" s="9"/>
      <c r="NP233" s="9"/>
      <c r="NQ233" s="9"/>
      <c r="NR233" s="9"/>
      <c r="NS233" s="9"/>
      <c r="NT233" s="9"/>
      <c r="NU233" s="9"/>
      <c r="NV233" s="9"/>
      <c r="NW233" s="9"/>
      <c r="NX233" s="9"/>
      <c r="NY233" s="9"/>
      <c r="NZ233" s="9"/>
      <c r="OA233" s="9"/>
      <c r="OB233" s="9"/>
      <c r="OC233" s="9"/>
      <c r="OD233" s="9"/>
      <c r="OE233" s="9"/>
      <c r="OF233" s="9"/>
      <c r="OG233" s="9"/>
      <c r="OH233" s="9"/>
      <c r="OI233" s="9"/>
      <c r="OJ233" s="9"/>
      <c r="OK233" s="9"/>
      <c r="OL233" s="9"/>
      <c r="OM233" s="9"/>
      <c r="ON233" s="9"/>
      <c r="OO233" s="9"/>
      <c r="OP233" s="9"/>
      <c r="OQ233" s="9"/>
      <c r="OR233" s="9"/>
      <c r="OS233" s="9"/>
      <c r="OT233" s="9"/>
      <c r="OU233" s="9"/>
      <c r="OV233" s="9"/>
      <c r="OW233" s="9"/>
      <c r="OX233" s="9"/>
      <c r="OY233" s="9"/>
      <c r="OZ233" s="9"/>
      <c r="PA233" s="9"/>
      <c r="PB233" s="9"/>
      <c r="PC233" s="9"/>
      <c r="PD233" s="9"/>
      <c r="PE233" s="9"/>
      <c r="PF233" s="9"/>
      <c r="PG233" s="9"/>
      <c r="PH233" s="9"/>
      <c r="PI233" s="9"/>
      <c r="PJ233" s="9"/>
      <c r="PK233" s="9"/>
      <c r="PL233" s="9"/>
      <c r="PM233" s="9"/>
      <c r="PN233" s="9"/>
      <c r="PO233" s="9"/>
      <c r="PP233" s="9"/>
      <c r="PQ233" s="9"/>
      <c r="PR233" s="9"/>
      <c r="PS233" s="9"/>
      <c r="PT233" s="9"/>
      <c r="PU233" s="9"/>
      <c r="PV233" s="9"/>
      <c r="PW233" s="9"/>
      <c r="PX233" s="9"/>
      <c r="PY233" s="9"/>
      <c r="PZ233" s="9"/>
      <c r="QA233" s="9"/>
      <c r="QB233" s="9"/>
      <c r="QC233" s="9"/>
      <c r="QD233" s="9"/>
      <c r="QE233" s="9"/>
      <c r="QF233" s="9"/>
      <c r="QG233" s="9"/>
      <c r="QH233" s="9"/>
      <c r="QI233" s="9"/>
      <c r="QJ233" s="9"/>
      <c r="QK233" s="9"/>
      <c r="QL233" s="9"/>
      <c r="QM233" s="9"/>
      <c r="QN233" s="9"/>
      <c r="QO233" s="9"/>
      <c r="QP233" s="9"/>
      <c r="QQ233" s="67"/>
      <c r="QR233" s="68"/>
      <c r="QS233" s="63"/>
      <c r="QT233" s="71"/>
    </row>
    <row r="234" spans="1:462" s="11" customFormat="1" x14ac:dyDescent="0.2">
      <c r="A234" s="9">
        <v>20</v>
      </c>
      <c r="B234" s="9"/>
      <c r="C234" s="9"/>
      <c r="D234" s="9" t="s">
        <v>354</v>
      </c>
      <c r="E234" s="65" t="s">
        <v>485</v>
      </c>
      <c r="F234" s="65"/>
      <c r="G234" s="92" t="s">
        <v>2231</v>
      </c>
      <c r="H234" s="66" t="s">
        <v>1120</v>
      </c>
      <c r="I234" s="9" t="s">
        <v>1101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 t="s">
        <v>1101</v>
      </c>
      <c r="AV234" s="9"/>
      <c r="AW234" s="9" t="s">
        <v>1101</v>
      </c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  <c r="HE234" s="9"/>
      <c r="HF234" s="9"/>
      <c r="HG234" s="9"/>
      <c r="HH234" s="9"/>
      <c r="HI234" s="9"/>
      <c r="HJ234" s="9"/>
      <c r="HK234" s="9"/>
      <c r="HL234" s="9"/>
      <c r="HM234" s="9"/>
      <c r="HN234" s="9"/>
      <c r="HO234" s="9"/>
      <c r="HP234" s="9"/>
      <c r="HQ234" s="9"/>
      <c r="HR234" s="9"/>
      <c r="HS234" s="9"/>
      <c r="HT234" s="9"/>
      <c r="HU234" s="9"/>
      <c r="HV234" s="9"/>
      <c r="HW234" s="9"/>
      <c r="HX234" s="9"/>
      <c r="HY234" s="9"/>
      <c r="HZ234" s="9"/>
      <c r="IA234" s="9"/>
      <c r="IB234" s="9"/>
      <c r="IC234" s="9"/>
      <c r="ID234" s="9"/>
      <c r="IE234" s="9"/>
      <c r="IF234" s="9"/>
      <c r="IG234" s="9"/>
      <c r="IH234" s="9"/>
      <c r="II234" s="9"/>
      <c r="IJ234" s="9"/>
      <c r="IK234" s="9"/>
      <c r="IL234" s="9"/>
      <c r="IM234" s="9"/>
      <c r="IN234" s="9"/>
      <c r="IO234" s="9"/>
      <c r="IP234" s="9"/>
      <c r="IQ234" s="9"/>
      <c r="IR234" s="9"/>
      <c r="IS234" s="9"/>
      <c r="IT234" s="9"/>
      <c r="IU234" s="9"/>
      <c r="IV234" s="9"/>
      <c r="IW234" s="9"/>
      <c r="IX234" s="9"/>
      <c r="IY234" s="9"/>
      <c r="IZ234" s="9"/>
      <c r="JA234" s="9"/>
      <c r="JB234" s="9"/>
      <c r="JC234" s="9"/>
      <c r="JD234" s="9"/>
      <c r="JE234" s="9"/>
      <c r="JF234" s="9"/>
      <c r="JG234" s="9"/>
      <c r="JH234" s="9"/>
      <c r="JI234" s="9"/>
      <c r="JJ234" s="9"/>
      <c r="JK234" s="9"/>
      <c r="JL234" s="9"/>
      <c r="JM234" s="9"/>
      <c r="JN234" s="9"/>
      <c r="JO234" s="9"/>
      <c r="JP234" s="9"/>
      <c r="JQ234" s="9"/>
      <c r="JR234" s="9"/>
      <c r="JS234" s="9"/>
      <c r="JT234" s="9"/>
      <c r="JU234" s="9"/>
      <c r="JV234" s="9"/>
      <c r="JW234" s="9"/>
      <c r="JX234" s="9"/>
      <c r="JY234" s="9"/>
      <c r="JZ234" s="9"/>
      <c r="KA234" s="9"/>
      <c r="KB234" s="9"/>
      <c r="KC234" s="9"/>
      <c r="KD234" s="9"/>
      <c r="KE234" s="9"/>
      <c r="KF234" s="9"/>
      <c r="KG234" s="9"/>
      <c r="KH234" s="9"/>
      <c r="KI234" s="9"/>
      <c r="KJ234" s="9"/>
      <c r="KK234" s="9"/>
      <c r="KL234" s="9"/>
      <c r="KM234" s="9"/>
      <c r="KN234" s="9"/>
      <c r="KO234" s="9"/>
      <c r="KP234" s="9"/>
      <c r="KQ234" s="9"/>
      <c r="KR234" s="9"/>
      <c r="KS234" s="9"/>
      <c r="KT234" s="9"/>
      <c r="KU234" s="9"/>
      <c r="KV234" s="9"/>
      <c r="KW234" s="9"/>
      <c r="KX234" s="9"/>
      <c r="KY234" s="9"/>
      <c r="KZ234" s="9"/>
      <c r="LA234" s="9"/>
      <c r="LB234" s="9"/>
      <c r="LC234" s="9"/>
      <c r="LD234" s="9"/>
      <c r="LE234" s="9"/>
      <c r="LF234" s="9"/>
      <c r="LG234" s="9"/>
      <c r="LH234" s="9"/>
      <c r="LI234" s="9"/>
      <c r="LJ234" s="9"/>
      <c r="LK234" s="9"/>
      <c r="LL234" s="9"/>
      <c r="LM234" s="9"/>
      <c r="LN234" s="9"/>
      <c r="LO234" s="9"/>
      <c r="LP234" s="9"/>
      <c r="LQ234" s="9"/>
      <c r="LR234" s="9"/>
      <c r="LS234" s="9"/>
      <c r="LT234" s="9"/>
      <c r="LU234" s="9"/>
      <c r="LV234" s="9"/>
      <c r="LW234" s="9"/>
      <c r="LX234" s="9"/>
      <c r="LY234" s="9"/>
      <c r="LZ234" s="9"/>
      <c r="MA234" s="9"/>
      <c r="MB234" s="9"/>
      <c r="MC234" s="9"/>
      <c r="MD234" s="9"/>
      <c r="ME234" s="9"/>
      <c r="MF234" s="9"/>
      <c r="MG234" s="9"/>
      <c r="MH234" s="9"/>
      <c r="MI234" s="9"/>
      <c r="MJ234" s="9"/>
      <c r="MK234" s="9"/>
      <c r="ML234" s="9"/>
      <c r="MM234" s="9"/>
      <c r="MN234" s="9"/>
      <c r="MO234" s="9"/>
      <c r="MP234" s="9"/>
      <c r="MQ234" s="9"/>
      <c r="MR234" s="9"/>
      <c r="MS234" s="9"/>
      <c r="MT234" s="9"/>
      <c r="MU234" s="9"/>
      <c r="MV234" s="9"/>
      <c r="MW234" s="9"/>
      <c r="MX234" s="9"/>
      <c r="MY234" s="9"/>
      <c r="MZ234" s="9"/>
      <c r="NA234" s="9"/>
      <c r="NB234" s="9"/>
      <c r="NC234" s="9"/>
      <c r="ND234" s="9"/>
      <c r="NE234" s="9"/>
      <c r="NF234" s="9"/>
      <c r="NG234" s="9"/>
      <c r="NH234" s="9"/>
      <c r="NI234" s="9"/>
      <c r="NJ234" s="9"/>
      <c r="NK234" s="9"/>
      <c r="NL234" s="9"/>
      <c r="NM234" s="9"/>
      <c r="NN234" s="9"/>
      <c r="NO234" s="9"/>
      <c r="NP234" s="9"/>
      <c r="NQ234" s="9"/>
      <c r="NR234" s="9"/>
      <c r="NS234" s="9"/>
      <c r="NT234" s="9"/>
      <c r="NU234" s="9"/>
      <c r="NV234" s="9"/>
      <c r="NW234" s="9"/>
      <c r="NX234" s="9"/>
      <c r="NY234" s="9"/>
      <c r="NZ234" s="9"/>
      <c r="OA234" s="9"/>
      <c r="OB234" s="9"/>
      <c r="OC234" s="9"/>
      <c r="OD234" s="9"/>
      <c r="OE234" s="9"/>
      <c r="OF234" s="9"/>
      <c r="OG234" s="9"/>
      <c r="OH234" s="9"/>
      <c r="OI234" s="9"/>
      <c r="OJ234" s="9"/>
      <c r="OK234" s="9"/>
      <c r="OL234" s="9"/>
      <c r="OM234" s="9"/>
      <c r="ON234" s="9"/>
      <c r="OO234" s="9"/>
      <c r="OP234" s="9"/>
      <c r="OQ234" s="9"/>
      <c r="OR234" s="9"/>
      <c r="OS234" s="9"/>
      <c r="OT234" s="9"/>
      <c r="OU234" s="9"/>
      <c r="OV234" s="9"/>
      <c r="OW234" s="9"/>
      <c r="OX234" s="9"/>
      <c r="OY234" s="9"/>
      <c r="OZ234" s="9"/>
      <c r="PA234" s="9"/>
      <c r="PB234" s="9"/>
      <c r="PC234" s="9"/>
      <c r="PD234" s="9"/>
      <c r="PE234" s="9"/>
      <c r="PF234" s="9"/>
      <c r="PG234" s="9"/>
      <c r="PH234" s="9"/>
      <c r="PI234" s="9"/>
      <c r="PJ234" s="9"/>
      <c r="PK234" s="9"/>
      <c r="PL234" s="9"/>
      <c r="PM234" s="9"/>
      <c r="PN234" s="9"/>
      <c r="PO234" s="9"/>
      <c r="PP234" s="9"/>
      <c r="PQ234" s="9"/>
      <c r="PR234" s="9"/>
      <c r="PS234" s="9"/>
      <c r="PT234" s="9"/>
      <c r="PU234" s="9"/>
      <c r="PV234" s="9"/>
      <c r="PW234" s="9"/>
      <c r="PX234" s="9"/>
      <c r="PY234" s="9"/>
      <c r="PZ234" s="9"/>
      <c r="QA234" s="9"/>
      <c r="QB234" s="9"/>
      <c r="QC234" s="9"/>
      <c r="QD234" s="9"/>
      <c r="QE234" s="9"/>
      <c r="QF234" s="9"/>
      <c r="QG234" s="9"/>
      <c r="QH234" s="9"/>
      <c r="QI234" s="9"/>
      <c r="QJ234" s="9"/>
      <c r="QK234" s="9"/>
      <c r="QL234" s="9"/>
      <c r="QM234" s="9"/>
      <c r="QN234" s="9"/>
      <c r="QO234" s="9"/>
      <c r="QP234" s="9"/>
      <c r="QQ234" s="67"/>
      <c r="QR234" s="68"/>
      <c r="QS234" s="63"/>
      <c r="QT234" s="71"/>
    </row>
    <row r="235" spans="1:462" s="11" customFormat="1" x14ac:dyDescent="0.2">
      <c r="A235" s="9">
        <v>20</v>
      </c>
      <c r="B235" s="9"/>
      <c r="C235" s="9"/>
      <c r="D235" s="9" t="s">
        <v>356</v>
      </c>
      <c r="E235" s="65" t="s">
        <v>487</v>
      </c>
      <c r="F235" s="65"/>
      <c r="G235" s="92" t="s">
        <v>2234</v>
      </c>
      <c r="H235" s="66" t="s">
        <v>1123</v>
      </c>
      <c r="I235" s="9" t="s">
        <v>1101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 t="s">
        <v>1101</v>
      </c>
      <c r="BD235" s="9"/>
      <c r="BE235" s="9" t="s">
        <v>1101</v>
      </c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  <c r="HE235" s="9"/>
      <c r="HF235" s="9"/>
      <c r="HG235" s="9"/>
      <c r="HH235" s="9"/>
      <c r="HI235" s="9"/>
      <c r="HJ235" s="9"/>
      <c r="HK235" s="9"/>
      <c r="HL235" s="9"/>
      <c r="HM235" s="9"/>
      <c r="HN235" s="9"/>
      <c r="HO235" s="9"/>
      <c r="HP235" s="9"/>
      <c r="HQ235" s="9"/>
      <c r="HR235" s="9"/>
      <c r="HS235" s="9"/>
      <c r="HT235" s="9"/>
      <c r="HU235" s="9"/>
      <c r="HV235" s="9"/>
      <c r="HW235" s="9"/>
      <c r="HX235" s="9"/>
      <c r="HY235" s="9"/>
      <c r="HZ235" s="9"/>
      <c r="IA235" s="9"/>
      <c r="IB235" s="9"/>
      <c r="IC235" s="9"/>
      <c r="ID235" s="9"/>
      <c r="IE235" s="9"/>
      <c r="IF235" s="9"/>
      <c r="IG235" s="9"/>
      <c r="IH235" s="9"/>
      <c r="II235" s="9"/>
      <c r="IJ235" s="9"/>
      <c r="IK235" s="9"/>
      <c r="IL235" s="9"/>
      <c r="IM235" s="9"/>
      <c r="IN235" s="9"/>
      <c r="IO235" s="9"/>
      <c r="IP235" s="9"/>
      <c r="IQ235" s="9"/>
      <c r="IR235" s="9"/>
      <c r="IS235" s="9"/>
      <c r="IT235" s="9"/>
      <c r="IU235" s="9"/>
      <c r="IV235" s="9"/>
      <c r="IW235" s="9"/>
      <c r="IX235" s="9"/>
      <c r="IY235" s="9"/>
      <c r="IZ235" s="9"/>
      <c r="JA235" s="9"/>
      <c r="JB235" s="9"/>
      <c r="JC235" s="9"/>
      <c r="JD235" s="9"/>
      <c r="JE235" s="9"/>
      <c r="JF235" s="9"/>
      <c r="JG235" s="9"/>
      <c r="JH235" s="9"/>
      <c r="JI235" s="9"/>
      <c r="JJ235" s="9"/>
      <c r="JK235" s="9"/>
      <c r="JL235" s="9"/>
      <c r="JM235" s="9"/>
      <c r="JN235" s="9"/>
      <c r="JO235" s="9"/>
      <c r="JP235" s="9"/>
      <c r="JQ235" s="9"/>
      <c r="JR235" s="9"/>
      <c r="JS235" s="9"/>
      <c r="JT235" s="9"/>
      <c r="JU235" s="9"/>
      <c r="JV235" s="9"/>
      <c r="JW235" s="9"/>
      <c r="JX235" s="9"/>
      <c r="JY235" s="9"/>
      <c r="JZ235" s="9"/>
      <c r="KA235" s="9"/>
      <c r="KB235" s="9"/>
      <c r="KC235" s="9"/>
      <c r="KD235" s="9"/>
      <c r="KE235" s="9"/>
      <c r="KF235" s="9"/>
      <c r="KG235" s="9"/>
      <c r="KH235" s="9"/>
      <c r="KI235" s="9"/>
      <c r="KJ235" s="9"/>
      <c r="KK235" s="9"/>
      <c r="KL235" s="9"/>
      <c r="KM235" s="9"/>
      <c r="KN235" s="9"/>
      <c r="KO235" s="9"/>
      <c r="KP235" s="9"/>
      <c r="KQ235" s="9"/>
      <c r="KR235" s="9"/>
      <c r="KS235" s="9"/>
      <c r="KT235" s="9"/>
      <c r="KU235" s="9"/>
      <c r="KV235" s="9"/>
      <c r="KW235" s="9"/>
      <c r="KX235" s="9"/>
      <c r="KY235" s="9"/>
      <c r="KZ235" s="9"/>
      <c r="LA235" s="9"/>
      <c r="LB235" s="9"/>
      <c r="LC235" s="9"/>
      <c r="LD235" s="9"/>
      <c r="LE235" s="9"/>
      <c r="LF235" s="9"/>
      <c r="LG235" s="9"/>
      <c r="LH235" s="9"/>
      <c r="LI235" s="9"/>
      <c r="LJ235" s="9"/>
      <c r="LK235" s="9"/>
      <c r="LL235" s="9"/>
      <c r="LM235" s="9"/>
      <c r="LN235" s="9"/>
      <c r="LO235" s="9"/>
      <c r="LP235" s="9"/>
      <c r="LQ235" s="9"/>
      <c r="LR235" s="9"/>
      <c r="LS235" s="9"/>
      <c r="LT235" s="9"/>
      <c r="LU235" s="9"/>
      <c r="LV235" s="9"/>
      <c r="LW235" s="9"/>
      <c r="LX235" s="9"/>
      <c r="LY235" s="9"/>
      <c r="LZ235" s="9"/>
      <c r="MA235" s="9"/>
      <c r="MB235" s="9"/>
      <c r="MC235" s="9"/>
      <c r="MD235" s="9"/>
      <c r="ME235" s="9"/>
      <c r="MF235" s="9"/>
      <c r="MG235" s="9"/>
      <c r="MH235" s="9"/>
      <c r="MI235" s="9"/>
      <c r="MJ235" s="9"/>
      <c r="MK235" s="9"/>
      <c r="ML235" s="9"/>
      <c r="MM235" s="9"/>
      <c r="MN235" s="9"/>
      <c r="MO235" s="9"/>
      <c r="MP235" s="9"/>
      <c r="MQ235" s="9"/>
      <c r="MR235" s="9"/>
      <c r="MS235" s="9"/>
      <c r="MT235" s="9"/>
      <c r="MU235" s="9"/>
      <c r="MV235" s="9"/>
      <c r="MW235" s="9"/>
      <c r="MX235" s="9"/>
      <c r="MY235" s="9"/>
      <c r="MZ235" s="9"/>
      <c r="NA235" s="9"/>
      <c r="NB235" s="9"/>
      <c r="NC235" s="9"/>
      <c r="ND235" s="9"/>
      <c r="NE235" s="9"/>
      <c r="NF235" s="9"/>
      <c r="NG235" s="9"/>
      <c r="NH235" s="9"/>
      <c r="NI235" s="9"/>
      <c r="NJ235" s="9"/>
      <c r="NK235" s="9"/>
      <c r="NL235" s="9"/>
      <c r="NM235" s="9"/>
      <c r="NN235" s="9"/>
      <c r="NO235" s="9"/>
      <c r="NP235" s="9"/>
      <c r="NQ235" s="9"/>
      <c r="NR235" s="9"/>
      <c r="NS235" s="9"/>
      <c r="NT235" s="9"/>
      <c r="NU235" s="9"/>
      <c r="NV235" s="9"/>
      <c r="NW235" s="9"/>
      <c r="NX235" s="9"/>
      <c r="NY235" s="9"/>
      <c r="NZ235" s="9"/>
      <c r="OA235" s="9"/>
      <c r="OB235" s="9"/>
      <c r="OC235" s="9"/>
      <c r="OD235" s="9"/>
      <c r="OE235" s="9"/>
      <c r="OF235" s="9"/>
      <c r="OG235" s="9"/>
      <c r="OH235" s="9"/>
      <c r="OI235" s="9"/>
      <c r="OJ235" s="9"/>
      <c r="OK235" s="9"/>
      <c r="OL235" s="9"/>
      <c r="OM235" s="9"/>
      <c r="ON235" s="9"/>
      <c r="OO235" s="9"/>
      <c r="OP235" s="9"/>
      <c r="OQ235" s="9"/>
      <c r="OR235" s="9"/>
      <c r="OS235" s="9"/>
      <c r="OT235" s="9"/>
      <c r="OU235" s="9"/>
      <c r="OV235" s="9"/>
      <c r="OW235" s="9"/>
      <c r="OX235" s="9"/>
      <c r="OY235" s="9"/>
      <c r="OZ235" s="9"/>
      <c r="PA235" s="9"/>
      <c r="PB235" s="9"/>
      <c r="PC235" s="9"/>
      <c r="PD235" s="9"/>
      <c r="PE235" s="9"/>
      <c r="PF235" s="9"/>
      <c r="PG235" s="9"/>
      <c r="PH235" s="9"/>
      <c r="PI235" s="9"/>
      <c r="PJ235" s="9"/>
      <c r="PK235" s="9"/>
      <c r="PL235" s="9"/>
      <c r="PM235" s="9"/>
      <c r="PN235" s="9"/>
      <c r="PO235" s="9"/>
      <c r="PP235" s="9"/>
      <c r="PQ235" s="9"/>
      <c r="PR235" s="9"/>
      <c r="PS235" s="9"/>
      <c r="PT235" s="9"/>
      <c r="PU235" s="9"/>
      <c r="PV235" s="9"/>
      <c r="PW235" s="9"/>
      <c r="PX235" s="9"/>
      <c r="PY235" s="9"/>
      <c r="PZ235" s="9"/>
      <c r="QA235" s="9"/>
      <c r="QB235" s="9"/>
      <c r="QC235" s="9"/>
      <c r="QD235" s="9"/>
      <c r="QE235" s="9"/>
      <c r="QF235" s="9"/>
      <c r="QG235" s="9"/>
      <c r="QH235" s="9"/>
      <c r="QI235" s="9"/>
      <c r="QJ235" s="9"/>
      <c r="QK235" s="9"/>
      <c r="QL235" s="9"/>
      <c r="QM235" s="9"/>
      <c r="QN235" s="9"/>
      <c r="QO235" s="9"/>
      <c r="QP235" s="9"/>
      <c r="QQ235" s="67"/>
      <c r="QR235" s="68"/>
      <c r="QS235" s="63"/>
      <c r="QT235" s="71"/>
    </row>
    <row r="236" spans="1:462" s="11" customFormat="1" x14ac:dyDescent="0.2">
      <c r="A236" s="9">
        <v>20</v>
      </c>
      <c r="B236" s="9"/>
      <c r="C236" s="9"/>
      <c r="D236" s="9" t="s">
        <v>358</v>
      </c>
      <c r="E236" s="65" t="s">
        <v>489</v>
      </c>
      <c r="F236" s="65"/>
      <c r="G236" s="92" t="s">
        <v>2237</v>
      </c>
      <c r="H236" s="66" t="s">
        <v>1126</v>
      </c>
      <c r="I236" s="9" t="s">
        <v>1101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 t="s">
        <v>1101</v>
      </c>
      <c r="BL236" s="9"/>
      <c r="BM236" s="9" t="s">
        <v>1101</v>
      </c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  <c r="HE236" s="9"/>
      <c r="HF236" s="9"/>
      <c r="HG236" s="9"/>
      <c r="HH236" s="9"/>
      <c r="HI236" s="9"/>
      <c r="HJ236" s="9"/>
      <c r="HK236" s="9"/>
      <c r="HL236" s="9"/>
      <c r="HM236" s="9"/>
      <c r="HN236" s="9"/>
      <c r="HO236" s="9"/>
      <c r="HP236" s="9"/>
      <c r="HQ236" s="9"/>
      <c r="HR236" s="9"/>
      <c r="HS236" s="9"/>
      <c r="HT236" s="9"/>
      <c r="HU236" s="9"/>
      <c r="HV236" s="9"/>
      <c r="HW236" s="9"/>
      <c r="HX236" s="9"/>
      <c r="HY236" s="9"/>
      <c r="HZ236" s="9"/>
      <c r="IA236" s="9"/>
      <c r="IB236" s="9"/>
      <c r="IC236" s="9"/>
      <c r="ID236" s="9"/>
      <c r="IE236" s="9"/>
      <c r="IF236" s="9"/>
      <c r="IG236" s="9"/>
      <c r="IH236" s="9"/>
      <c r="II236" s="9"/>
      <c r="IJ236" s="9"/>
      <c r="IK236" s="9"/>
      <c r="IL236" s="9"/>
      <c r="IM236" s="9"/>
      <c r="IN236" s="9"/>
      <c r="IO236" s="9"/>
      <c r="IP236" s="9"/>
      <c r="IQ236" s="9"/>
      <c r="IR236" s="9"/>
      <c r="IS236" s="9"/>
      <c r="IT236" s="9"/>
      <c r="IU236" s="9"/>
      <c r="IV236" s="9"/>
      <c r="IW236" s="9"/>
      <c r="IX236" s="9"/>
      <c r="IY236" s="9"/>
      <c r="IZ236" s="9"/>
      <c r="JA236" s="9"/>
      <c r="JB236" s="9"/>
      <c r="JC236" s="9"/>
      <c r="JD236" s="9"/>
      <c r="JE236" s="9"/>
      <c r="JF236" s="9"/>
      <c r="JG236" s="9"/>
      <c r="JH236" s="9"/>
      <c r="JI236" s="9"/>
      <c r="JJ236" s="9"/>
      <c r="JK236" s="9"/>
      <c r="JL236" s="9"/>
      <c r="JM236" s="9"/>
      <c r="JN236" s="9"/>
      <c r="JO236" s="9"/>
      <c r="JP236" s="9"/>
      <c r="JQ236" s="9"/>
      <c r="JR236" s="9"/>
      <c r="JS236" s="9"/>
      <c r="JT236" s="9"/>
      <c r="JU236" s="9"/>
      <c r="JV236" s="9"/>
      <c r="JW236" s="9"/>
      <c r="JX236" s="9"/>
      <c r="JY236" s="9"/>
      <c r="JZ236" s="9"/>
      <c r="KA236" s="9"/>
      <c r="KB236" s="9"/>
      <c r="KC236" s="9"/>
      <c r="KD236" s="9"/>
      <c r="KE236" s="9"/>
      <c r="KF236" s="9"/>
      <c r="KG236" s="9"/>
      <c r="KH236" s="9"/>
      <c r="KI236" s="9"/>
      <c r="KJ236" s="9"/>
      <c r="KK236" s="9"/>
      <c r="KL236" s="9"/>
      <c r="KM236" s="9"/>
      <c r="KN236" s="9"/>
      <c r="KO236" s="9"/>
      <c r="KP236" s="9"/>
      <c r="KQ236" s="9"/>
      <c r="KR236" s="9"/>
      <c r="KS236" s="9"/>
      <c r="KT236" s="9"/>
      <c r="KU236" s="9"/>
      <c r="KV236" s="9"/>
      <c r="KW236" s="9"/>
      <c r="KX236" s="9"/>
      <c r="KY236" s="9"/>
      <c r="KZ236" s="9"/>
      <c r="LA236" s="9"/>
      <c r="LB236" s="9"/>
      <c r="LC236" s="9"/>
      <c r="LD236" s="9"/>
      <c r="LE236" s="9"/>
      <c r="LF236" s="9"/>
      <c r="LG236" s="9"/>
      <c r="LH236" s="9"/>
      <c r="LI236" s="9"/>
      <c r="LJ236" s="9"/>
      <c r="LK236" s="9"/>
      <c r="LL236" s="9"/>
      <c r="LM236" s="9"/>
      <c r="LN236" s="9"/>
      <c r="LO236" s="9"/>
      <c r="LP236" s="9"/>
      <c r="LQ236" s="9"/>
      <c r="LR236" s="9"/>
      <c r="LS236" s="9"/>
      <c r="LT236" s="9"/>
      <c r="LU236" s="9"/>
      <c r="LV236" s="9"/>
      <c r="LW236" s="9"/>
      <c r="LX236" s="9"/>
      <c r="LY236" s="9"/>
      <c r="LZ236" s="9"/>
      <c r="MA236" s="9"/>
      <c r="MB236" s="9"/>
      <c r="MC236" s="9"/>
      <c r="MD236" s="9"/>
      <c r="ME236" s="9"/>
      <c r="MF236" s="9"/>
      <c r="MG236" s="9"/>
      <c r="MH236" s="9"/>
      <c r="MI236" s="9"/>
      <c r="MJ236" s="9"/>
      <c r="MK236" s="9"/>
      <c r="ML236" s="9"/>
      <c r="MM236" s="9"/>
      <c r="MN236" s="9"/>
      <c r="MO236" s="9"/>
      <c r="MP236" s="9"/>
      <c r="MQ236" s="9"/>
      <c r="MR236" s="9"/>
      <c r="MS236" s="9"/>
      <c r="MT236" s="9"/>
      <c r="MU236" s="9"/>
      <c r="MV236" s="9"/>
      <c r="MW236" s="9"/>
      <c r="MX236" s="9"/>
      <c r="MY236" s="9"/>
      <c r="MZ236" s="9"/>
      <c r="NA236" s="9"/>
      <c r="NB236" s="9"/>
      <c r="NC236" s="9"/>
      <c r="ND236" s="9"/>
      <c r="NE236" s="9"/>
      <c r="NF236" s="9"/>
      <c r="NG236" s="9"/>
      <c r="NH236" s="9"/>
      <c r="NI236" s="9"/>
      <c r="NJ236" s="9"/>
      <c r="NK236" s="9"/>
      <c r="NL236" s="9"/>
      <c r="NM236" s="9"/>
      <c r="NN236" s="9"/>
      <c r="NO236" s="9"/>
      <c r="NP236" s="9"/>
      <c r="NQ236" s="9"/>
      <c r="NR236" s="9"/>
      <c r="NS236" s="9"/>
      <c r="NT236" s="9"/>
      <c r="NU236" s="9"/>
      <c r="NV236" s="9"/>
      <c r="NW236" s="9"/>
      <c r="NX236" s="9"/>
      <c r="NY236" s="9"/>
      <c r="NZ236" s="9"/>
      <c r="OA236" s="9"/>
      <c r="OB236" s="9"/>
      <c r="OC236" s="9"/>
      <c r="OD236" s="9"/>
      <c r="OE236" s="9"/>
      <c r="OF236" s="9"/>
      <c r="OG236" s="9"/>
      <c r="OH236" s="9"/>
      <c r="OI236" s="9"/>
      <c r="OJ236" s="9"/>
      <c r="OK236" s="9"/>
      <c r="OL236" s="9"/>
      <c r="OM236" s="9"/>
      <c r="ON236" s="9"/>
      <c r="OO236" s="9"/>
      <c r="OP236" s="9"/>
      <c r="OQ236" s="9"/>
      <c r="OR236" s="9"/>
      <c r="OS236" s="9"/>
      <c r="OT236" s="9"/>
      <c r="OU236" s="9"/>
      <c r="OV236" s="9"/>
      <c r="OW236" s="9"/>
      <c r="OX236" s="9"/>
      <c r="OY236" s="9"/>
      <c r="OZ236" s="9"/>
      <c r="PA236" s="9"/>
      <c r="PB236" s="9"/>
      <c r="PC236" s="9"/>
      <c r="PD236" s="9"/>
      <c r="PE236" s="9"/>
      <c r="PF236" s="9"/>
      <c r="PG236" s="9"/>
      <c r="PH236" s="9"/>
      <c r="PI236" s="9"/>
      <c r="PJ236" s="9"/>
      <c r="PK236" s="9"/>
      <c r="PL236" s="9"/>
      <c r="PM236" s="9"/>
      <c r="PN236" s="9"/>
      <c r="PO236" s="9"/>
      <c r="PP236" s="9"/>
      <c r="PQ236" s="9"/>
      <c r="PR236" s="9"/>
      <c r="PS236" s="9"/>
      <c r="PT236" s="9"/>
      <c r="PU236" s="9"/>
      <c r="PV236" s="9"/>
      <c r="PW236" s="9"/>
      <c r="PX236" s="9"/>
      <c r="PY236" s="9"/>
      <c r="PZ236" s="9"/>
      <c r="QA236" s="9"/>
      <c r="QB236" s="9"/>
      <c r="QC236" s="9"/>
      <c r="QD236" s="9"/>
      <c r="QE236" s="9"/>
      <c r="QF236" s="9"/>
      <c r="QG236" s="9"/>
      <c r="QH236" s="9"/>
      <c r="QI236" s="9"/>
      <c r="QJ236" s="9"/>
      <c r="QK236" s="9"/>
      <c r="QL236" s="9"/>
      <c r="QM236" s="9"/>
      <c r="QN236" s="9"/>
      <c r="QO236" s="9"/>
      <c r="QP236" s="9"/>
      <c r="QQ236" s="67"/>
      <c r="QR236" s="68"/>
      <c r="QS236" s="63"/>
      <c r="QT236" s="71"/>
    </row>
    <row r="237" spans="1:462" s="11" customFormat="1" x14ac:dyDescent="0.2">
      <c r="A237" s="9">
        <v>20</v>
      </c>
      <c r="B237" s="9"/>
      <c r="C237" s="9"/>
      <c r="D237" s="9" t="s">
        <v>362</v>
      </c>
      <c r="E237" s="65" t="s">
        <v>492</v>
      </c>
      <c r="F237" s="65"/>
      <c r="G237" s="92" t="s">
        <v>2242</v>
      </c>
      <c r="H237" s="66" t="s">
        <v>1131</v>
      </c>
      <c r="I237" s="9" t="s">
        <v>1101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 t="s">
        <v>1101</v>
      </c>
      <c r="BT237" s="9"/>
      <c r="BU237" s="9" t="s">
        <v>1101</v>
      </c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  <c r="HE237" s="9"/>
      <c r="HF237" s="9"/>
      <c r="HG237" s="9"/>
      <c r="HH237" s="9"/>
      <c r="HI237" s="9"/>
      <c r="HJ237" s="9"/>
      <c r="HK237" s="9"/>
      <c r="HL237" s="9"/>
      <c r="HM237" s="9"/>
      <c r="HN237" s="9"/>
      <c r="HO237" s="9"/>
      <c r="HP237" s="9"/>
      <c r="HQ237" s="9"/>
      <c r="HR237" s="9"/>
      <c r="HS237" s="9"/>
      <c r="HT237" s="9"/>
      <c r="HU237" s="9"/>
      <c r="HV237" s="9"/>
      <c r="HW237" s="9"/>
      <c r="HX237" s="9"/>
      <c r="HY237" s="9"/>
      <c r="HZ237" s="9"/>
      <c r="IA237" s="9"/>
      <c r="IB237" s="9"/>
      <c r="IC237" s="9"/>
      <c r="ID237" s="9"/>
      <c r="IE237" s="9"/>
      <c r="IF237" s="9"/>
      <c r="IG237" s="9"/>
      <c r="IH237" s="9"/>
      <c r="II237" s="9"/>
      <c r="IJ237" s="9"/>
      <c r="IK237" s="9"/>
      <c r="IL237" s="9"/>
      <c r="IM237" s="9"/>
      <c r="IN237" s="9"/>
      <c r="IO237" s="9"/>
      <c r="IP237" s="9"/>
      <c r="IQ237" s="9"/>
      <c r="IR237" s="9"/>
      <c r="IS237" s="9"/>
      <c r="IT237" s="9"/>
      <c r="IU237" s="9"/>
      <c r="IV237" s="9"/>
      <c r="IW237" s="9"/>
      <c r="IX237" s="9"/>
      <c r="IY237" s="9"/>
      <c r="IZ237" s="9"/>
      <c r="JA237" s="9"/>
      <c r="JB237" s="9"/>
      <c r="JC237" s="9"/>
      <c r="JD237" s="9"/>
      <c r="JE237" s="9"/>
      <c r="JF237" s="9"/>
      <c r="JG237" s="9"/>
      <c r="JH237" s="9"/>
      <c r="JI237" s="9"/>
      <c r="JJ237" s="9"/>
      <c r="JK237" s="9"/>
      <c r="JL237" s="9"/>
      <c r="JM237" s="9"/>
      <c r="JN237" s="9"/>
      <c r="JO237" s="9"/>
      <c r="JP237" s="9"/>
      <c r="JQ237" s="9"/>
      <c r="JR237" s="9"/>
      <c r="JS237" s="9"/>
      <c r="JT237" s="9"/>
      <c r="JU237" s="9"/>
      <c r="JV237" s="9"/>
      <c r="JW237" s="9"/>
      <c r="JX237" s="9"/>
      <c r="JY237" s="9"/>
      <c r="JZ237" s="9"/>
      <c r="KA237" s="9"/>
      <c r="KB237" s="9"/>
      <c r="KC237" s="9"/>
      <c r="KD237" s="9"/>
      <c r="KE237" s="9"/>
      <c r="KF237" s="9"/>
      <c r="KG237" s="9"/>
      <c r="KH237" s="9"/>
      <c r="KI237" s="9"/>
      <c r="KJ237" s="9"/>
      <c r="KK237" s="9"/>
      <c r="KL237" s="9"/>
      <c r="KM237" s="9"/>
      <c r="KN237" s="9"/>
      <c r="KO237" s="9"/>
      <c r="KP237" s="9"/>
      <c r="KQ237" s="9"/>
      <c r="KR237" s="9"/>
      <c r="KS237" s="9"/>
      <c r="KT237" s="9"/>
      <c r="KU237" s="9"/>
      <c r="KV237" s="9"/>
      <c r="KW237" s="9"/>
      <c r="KX237" s="9"/>
      <c r="KY237" s="9"/>
      <c r="KZ237" s="9"/>
      <c r="LA237" s="9"/>
      <c r="LB237" s="9"/>
      <c r="LC237" s="9"/>
      <c r="LD237" s="9"/>
      <c r="LE237" s="9"/>
      <c r="LF237" s="9"/>
      <c r="LG237" s="9"/>
      <c r="LH237" s="9"/>
      <c r="LI237" s="9"/>
      <c r="LJ237" s="9"/>
      <c r="LK237" s="9"/>
      <c r="LL237" s="9"/>
      <c r="LM237" s="9"/>
      <c r="LN237" s="9"/>
      <c r="LO237" s="9"/>
      <c r="LP237" s="9"/>
      <c r="LQ237" s="9"/>
      <c r="LR237" s="9"/>
      <c r="LS237" s="9"/>
      <c r="LT237" s="9"/>
      <c r="LU237" s="9"/>
      <c r="LV237" s="9"/>
      <c r="LW237" s="9"/>
      <c r="LX237" s="9"/>
      <c r="LY237" s="9"/>
      <c r="LZ237" s="9"/>
      <c r="MA237" s="9"/>
      <c r="MB237" s="9"/>
      <c r="MC237" s="9"/>
      <c r="MD237" s="9"/>
      <c r="ME237" s="9"/>
      <c r="MF237" s="9"/>
      <c r="MG237" s="9"/>
      <c r="MH237" s="9"/>
      <c r="MI237" s="9"/>
      <c r="MJ237" s="9"/>
      <c r="MK237" s="9"/>
      <c r="ML237" s="9"/>
      <c r="MM237" s="9"/>
      <c r="MN237" s="9"/>
      <c r="MO237" s="9"/>
      <c r="MP237" s="9"/>
      <c r="MQ237" s="9"/>
      <c r="MR237" s="9"/>
      <c r="MS237" s="9"/>
      <c r="MT237" s="9"/>
      <c r="MU237" s="9"/>
      <c r="MV237" s="9"/>
      <c r="MW237" s="9"/>
      <c r="MX237" s="9"/>
      <c r="MY237" s="9"/>
      <c r="MZ237" s="9"/>
      <c r="NA237" s="9"/>
      <c r="NB237" s="9"/>
      <c r="NC237" s="9"/>
      <c r="ND237" s="9"/>
      <c r="NE237" s="9"/>
      <c r="NF237" s="9"/>
      <c r="NG237" s="9"/>
      <c r="NH237" s="9"/>
      <c r="NI237" s="9"/>
      <c r="NJ237" s="9"/>
      <c r="NK237" s="9"/>
      <c r="NL237" s="9"/>
      <c r="NM237" s="9"/>
      <c r="NN237" s="9"/>
      <c r="NO237" s="9"/>
      <c r="NP237" s="9"/>
      <c r="NQ237" s="9"/>
      <c r="NR237" s="9"/>
      <c r="NS237" s="9"/>
      <c r="NT237" s="9"/>
      <c r="NU237" s="9"/>
      <c r="NV237" s="9"/>
      <c r="NW237" s="9"/>
      <c r="NX237" s="9"/>
      <c r="NY237" s="9"/>
      <c r="NZ237" s="9"/>
      <c r="OA237" s="9"/>
      <c r="OB237" s="9"/>
      <c r="OC237" s="9"/>
      <c r="OD237" s="9"/>
      <c r="OE237" s="9"/>
      <c r="OF237" s="9"/>
      <c r="OG237" s="9"/>
      <c r="OH237" s="9"/>
      <c r="OI237" s="9"/>
      <c r="OJ237" s="9"/>
      <c r="OK237" s="9"/>
      <c r="OL237" s="9"/>
      <c r="OM237" s="9"/>
      <c r="ON237" s="9"/>
      <c r="OO237" s="9"/>
      <c r="OP237" s="9"/>
      <c r="OQ237" s="9"/>
      <c r="OR237" s="9"/>
      <c r="OS237" s="9"/>
      <c r="OT237" s="9"/>
      <c r="OU237" s="9"/>
      <c r="OV237" s="9"/>
      <c r="OW237" s="9"/>
      <c r="OX237" s="9"/>
      <c r="OY237" s="9"/>
      <c r="OZ237" s="9"/>
      <c r="PA237" s="9"/>
      <c r="PB237" s="9"/>
      <c r="PC237" s="9"/>
      <c r="PD237" s="9"/>
      <c r="PE237" s="9"/>
      <c r="PF237" s="9"/>
      <c r="PG237" s="9"/>
      <c r="PH237" s="9"/>
      <c r="PI237" s="9"/>
      <c r="PJ237" s="9"/>
      <c r="PK237" s="9"/>
      <c r="PL237" s="9"/>
      <c r="PM237" s="9"/>
      <c r="PN237" s="9"/>
      <c r="PO237" s="9"/>
      <c r="PP237" s="9"/>
      <c r="PQ237" s="9"/>
      <c r="PR237" s="9"/>
      <c r="PS237" s="9"/>
      <c r="PT237" s="9"/>
      <c r="PU237" s="9"/>
      <c r="PV237" s="9"/>
      <c r="PW237" s="9"/>
      <c r="PX237" s="9"/>
      <c r="PY237" s="9"/>
      <c r="PZ237" s="9"/>
      <c r="QA237" s="9"/>
      <c r="QB237" s="9"/>
      <c r="QC237" s="9"/>
      <c r="QD237" s="9"/>
      <c r="QE237" s="9"/>
      <c r="QF237" s="9"/>
      <c r="QG237" s="9"/>
      <c r="QH237" s="9"/>
      <c r="QI237" s="9"/>
      <c r="QJ237" s="9"/>
      <c r="QK237" s="9"/>
      <c r="QL237" s="9"/>
      <c r="QM237" s="9"/>
      <c r="QN237" s="9"/>
      <c r="QO237" s="9"/>
      <c r="QP237" s="9"/>
      <c r="QQ237" s="67"/>
      <c r="QR237" s="68"/>
      <c r="QS237" s="63"/>
      <c r="QT237" s="71"/>
    </row>
    <row r="238" spans="1:462" s="11" customFormat="1" x14ac:dyDescent="0.2">
      <c r="A238" s="9">
        <v>20</v>
      </c>
      <c r="B238" s="9"/>
      <c r="C238" s="9"/>
      <c r="D238" s="9" t="s">
        <v>365</v>
      </c>
      <c r="E238" s="65" t="s">
        <v>494</v>
      </c>
      <c r="F238" s="65"/>
      <c r="G238" s="92" t="s">
        <v>2248</v>
      </c>
      <c r="H238" s="66" t="s">
        <v>1139</v>
      </c>
      <c r="I238" s="9" t="s">
        <v>1101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 t="s">
        <v>1101</v>
      </c>
      <c r="CB238" s="9"/>
      <c r="CC238" s="9" t="s">
        <v>1101</v>
      </c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/>
      <c r="HI238" s="9"/>
      <c r="HJ238" s="9"/>
      <c r="HK238" s="9"/>
      <c r="HL238" s="9"/>
      <c r="HM238" s="9"/>
      <c r="HN238" s="9"/>
      <c r="HO238" s="9"/>
      <c r="HP238" s="9"/>
      <c r="HQ238" s="9"/>
      <c r="HR238" s="9"/>
      <c r="HS238" s="9"/>
      <c r="HT238" s="9"/>
      <c r="HU238" s="9"/>
      <c r="HV238" s="9"/>
      <c r="HW238" s="9"/>
      <c r="HX238" s="9"/>
      <c r="HY238" s="9"/>
      <c r="HZ238" s="9"/>
      <c r="IA238" s="9"/>
      <c r="IB238" s="9"/>
      <c r="IC238" s="9"/>
      <c r="ID238" s="9"/>
      <c r="IE238" s="9"/>
      <c r="IF238" s="9"/>
      <c r="IG238" s="9"/>
      <c r="IH238" s="9"/>
      <c r="II238" s="9"/>
      <c r="IJ238" s="9"/>
      <c r="IK238" s="9"/>
      <c r="IL238" s="9"/>
      <c r="IM238" s="9"/>
      <c r="IN238" s="9"/>
      <c r="IO238" s="9"/>
      <c r="IP238" s="9"/>
      <c r="IQ238" s="9"/>
      <c r="IR238" s="9"/>
      <c r="IS238" s="9"/>
      <c r="IT238" s="9"/>
      <c r="IU238" s="9"/>
      <c r="IV238" s="9"/>
      <c r="IW238" s="9"/>
      <c r="IX238" s="9"/>
      <c r="IY238" s="9"/>
      <c r="IZ238" s="9"/>
      <c r="JA238" s="9"/>
      <c r="JB238" s="9"/>
      <c r="JC238" s="9"/>
      <c r="JD238" s="9"/>
      <c r="JE238" s="9"/>
      <c r="JF238" s="9"/>
      <c r="JG238" s="9"/>
      <c r="JH238" s="9"/>
      <c r="JI238" s="9"/>
      <c r="JJ238" s="9"/>
      <c r="JK238" s="9"/>
      <c r="JL238" s="9"/>
      <c r="JM238" s="9"/>
      <c r="JN238" s="9"/>
      <c r="JO238" s="9"/>
      <c r="JP238" s="9"/>
      <c r="JQ238" s="9"/>
      <c r="JR238" s="9"/>
      <c r="JS238" s="9"/>
      <c r="JT238" s="9"/>
      <c r="JU238" s="9"/>
      <c r="JV238" s="9"/>
      <c r="JW238" s="9"/>
      <c r="JX238" s="9"/>
      <c r="JY238" s="9"/>
      <c r="JZ238" s="9"/>
      <c r="KA238" s="9"/>
      <c r="KB238" s="9"/>
      <c r="KC238" s="9"/>
      <c r="KD238" s="9"/>
      <c r="KE238" s="9"/>
      <c r="KF238" s="9"/>
      <c r="KG238" s="9"/>
      <c r="KH238" s="9"/>
      <c r="KI238" s="9"/>
      <c r="KJ238" s="9"/>
      <c r="KK238" s="9"/>
      <c r="KL238" s="9"/>
      <c r="KM238" s="9"/>
      <c r="KN238" s="9"/>
      <c r="KO238" s="9"/>
      <c r="KP238" s="9"/>
      <c r="KQ238" s="9"/>
      <c r="KR238" s="9"/>
      <c r="KS238" s="9"/>
      <c r="KT238" s="9"/>
      <c r="KU238" s="9"/>
      <c r="KV238" s="9"/>
      <c r="KW238" s="9"/>
      <c r="KX238" s="9"/>
      <c r="KY238" s="9"/>
      <c r="KZ238" s="9"/>
      <c r="LA238" s="9"/>
      <c r="LB238" s="9"/>
      <c r="LC238" s="9"/>
      <c r="LD238" s="9"/>
      <c r="LE238" s="9"/>
      <c r="LF238" s="9"/>
      <c r="LG238" s="9"/>
      <c r="LH238" s="9"/>
      <c r="LI238" s="9"/>
      <c r="LJ238" s="9"/>
      <c r="LK238" s="9"/>
      <c r="LL238" s="9"/>
      <c r="LM238" s="9"/>
      <c r="LN238" s="9"/>
      <c r="LO238" s="9"/>
      <c r="LP238" s="9"/>
      <c r="LQ238" s="9"/>
      <c r="LR238" s="9"/>
      <c r="LS238" s="9"/>
      <c r="LT238" s="9"/>
      <c r="LU238" s="9"/>
      <c r="LV238" s="9"/>
      <c r="LW238" s="9"/>
      <c r="LX238" s="9"/>
      <c r="LY238" s="9"/>
      <c r="LZ238" s="9"/>
      <c r="MA238" s="9"/>
      <c r="MB238" s="9"/>
      <c r="MC238" s="9"/>
      <c r="MD238" s="9"/>
      <c r="ME238" s="9"/>
      <c r="MF238" s="9"/>
      <c r="MG238" s="9"/>
      <c r="MH238" s="9"/>
      <c r="MI238" s="9"/>
      <c r="MJ238" s="9"/>
      <c r="MK238" s="9"/>
      <c r="ML238" s="9"/>
      <c r="MM238" s="9"/>
      <c r="MN238" s="9"/>
      <c r="MO238" s="9"/>
      <c r="MP238" s="9"/>
      <c r="MQ238" s="9"/>
      <c r="MR238" s="9"/>
      <c r="MS238" s="9"/>
      <c r="MT238" s="9"/>
      <c r="MU238" s="9"/>
      <c r="MV238" s="9"/>
      <c r="MW238" s="9"/>
      <c r="MX238" s="9"/>
      <c r="MY238" s="9"/>
      <c r="MZ238" s="9"/>
      <c r="NA238" s="9"/>
      <c r="NB238" s="9"/>
      <c r="NC238" s="9"/>
      <c r="ND238" s="9"/>
      <c r="NE238" s="9"/>
      <c r="NF238" s="9"/>
      <c r="NG238" s="9"/>
      <c r="NH238" s="9"/>
      <c r="NI238" s="9"/>
      <c r="NJ238" s="9"/>
      <c r="NK238" s="9"/>
      <c r="NL238" s="9"/>
      <c r="NM238" s="9"/>
      <c r="NN238" s="9"/>
      <c r="NO238" s="9"/>
      <c r="NP238" s="9"/>
      <c r="NQ238" s="9"/>
      <c r="NR238" s="9"/>
      <c r="NS238" s="9"/>
      <c r="NT238" s="9"/>
      <c r="NU238" s="9"/>
      <c r="NV238" s="9"/>
      <c r="NW238" s="9"/>
      <c r="NX238" s="9"/>
      <c r="NY238" s="9"/>
      <c r="NZ238" s="9"/>
      <c r="OA238" s="9"/>
      <c r="OB238" s="9"/>
      <c r="OC238" s="9"/>
      <c r="OD238" s="9"/>
      <c r="OE238" s="9"/>
      <c r="OF238" s="9"/>
      <c r="OG238" s="9"/>
      <c r="OH238" s="9"/>
      <c r="OI238" s="9"/>
      <c r="OJ238" s="9"/>
      <c r="OK238" s="9"/>
      <c r="OL238" s="9"/>
      <c r="OM238" s="9"/>
      <c r="ON238" s="9"/>
      <c r="OO238" s="9"/>
      <c r="OP238" s="9"/>
      <c r="OQ238" s="9"/>
      <c r="OR238" s="9"/>
      <c r="OS238" s="9"/>
      <c r="OT238" s="9"/>
      <c r="OU238" s="9"/>
      <c r="OV238" s="9"/>
      <c r="OW238" s="9"/>
      <c r="OX238" s="9"/>
      <c r="OY238" s="9"/>
      <c r="OZ238" s="9"/>
      <c r="PA238" s="9"/>
      <c r="PB238" s="9"/>
      <c r="PC238" s="9"/>
      <c r="PD238" s="9"/>
      <c r="PE238" s="9"/>
      <c r="PF238" s="9"/>
      <c r="PG238" s="9"/>
      <c r="PH238" s="9"/>
      <c r="PI238" s="9"/>
      <c r="PJ238" s="9"/>
      <c r="PK238" s="9"/>
      <c r="PL238" s="9"/>
      <c r="PM238" s="9"/>
      <c r="PN238" s="9"/>
      <c r="PO238" s="9"/>
      <c r="PP238" s="9"/>
      <c r="PQ238" s="9"/>
      <c r="PR238" s="9"/>
      <c r="PS238" s="9"/>
      <c r="PT238" s="9"/>
      <c r="PU238" s="9"/>
      <c r="PV238" s="9"/>
      <c r="PW238" s="9"/>
      <c r="PX238" s="9"/>
      <c r="PY238" s="9"/>
      <c r="PZ238" s="9"/>
      <c r="QA238" s="9"/>
      <c r="QB238" s="9"/>
      <c r="QC238" s="9"/>
      <c r="QD238" s="9"/>
      <c r="QE238" s="9"/>
      <c r="QF238" s="9"/>
      <c r="QG238" s="9"/>
      <c r="QH238" s="9"/>
      <c r="QI238" s="9"/>
      <c r="QJ238" s="9"/>
      <c r="QK238" s="9"/>
      <c r="QL238" s="9"/>
      <c r="QM238" s="9"/>
      <c r="QN238" s="9"/>
      <c r="QO238" s="9"/>
      <c r="QP238" s="9"/>
      <c r="QQ238" s="67"/>
      <c r="QR238" s="68"/>
      <c r="QS238" s="63"/>
      <c r="QT238" s="71"/>
    </row>
    <row r="239" spans="1:462" s="11" customFormat="1" x14ac:dyDescent="0.2">
      <c r="A239" s="9">
        <v>20</v>
      </c>
      <c r="B239" s="9"/>
      <c r="C239" s="9"/>
      <c r="D239" s="9" t="s">
        <v>664</v>
      </c>
      <c r="E239" s="65" t="s">
        <v>494</v>
      </c>
      <c r="F239" s="65"/>
      <c r="G239" s="92" t="s">
        <v>2248</v>
      </c>
      <c r="H239" s="66" t="s">
        <v>1139</v>
      </c>
      <c r="I239" s="9" t="s">
        <v>1101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 t="s">
        <v>1051</v>
      </c>
      <c r="CJ239" s="9"/>
      <c r="CK239" s="9" t="s">
        <v>1051</v>
      </c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  <c r="HE239" s="9"/>
      <c r="HF239" s="9"/>
      <c r="HG239" s="9"/>
      <c r="HH239" s="9"/>
      <c r="HI239" s="9"/>
      <c r="HJ239" s="9"/>
      <c r="HK239" s="9"/>
      <c r="HL239" s="9"/>
      <c r="HM239" s="9"/>
      <c r="HN239" s="9"/>
      <c r="HO239" s="9"/>
      <c r="HP239" s="9"/>
      <c r="HQ239" s="9"/>
      <c r="HR239" s="9"/>
      <c r="HS239" s="9"/>
      <c r="HT239" s="9"/>
      <c r="HU239" s="9"/>
      <c r="HV239" s="9"/>
      <c r="HW239" s="9"/>
      <c r="HX239" s="9"/>
      <c r="HY239" s="9"/>
      <c r="HZ239" s="9"/>
      <c r="IA239" s="9"/>
      <c r="IB239" s="9"/>
      <c r="IC239" s="9"/>
      <c r="ID239" s="9"/>
      <c r="IE239" s="9"/>
      <c r="IF239" s="9"/>
      <c r="IG239" s="9"/>
      <c r="IH239" s="9"/>
      <c r="II239" s="9"/>
      <c r="IJ239" s="9"/>
      <c r="IK239" s="9"/>
      <c r="IL239" s="9"/>
      <c r="IM239" s="9"/>
      <c r="IN239" s="9"/>
      <c r="IO239" s="9"/>
      <c r="IP239" s="9"/>
      <c r="IQ239" s="9"/>
      <c r="IR239" s="9"/>
      <c r="IS239" s="9"/>
      <c r="IT239" s="9"/>
      <c r="IU239" s="9"/>
      <c r="IV239" s="9"/>
      <c r="IW239" s="9"/>
      <c r="IX239" s="9"/>
      <c r="IY239" s="9"/>
      <c r="IZ239" s="9"/>
      <c r="JA239" s="9"/>
      <c r="JB239" s="9"/>
      <c r="JC239" s="9"/>
      <c r="JD239" s="9"/>
      <c r="JE239" s="9"/>
      <c r="JF239" s="9"/>
      <c r="JG239" s="9"/>
      <c r="JH239" s="9"/>
      <c r="JI239" s="9"/>
      <c r="JJ239" s="9"/>
      <c r="JK239" s="9"/>
      <c r="JL239" s="9"/>
      <c r="JM239" s="9"/>
      <c r="JN239" s="9"/>
      <c r="JO239" s="9"/>
      <c r="JP239" s="9"/>
      <c r="JQ239" s="9"/>
      <c r="JR239" s="9"/>
      <c r="JS239" s="9"/>
      <c r="JT239" s="9"/>
      <c r="JU239" s="9"/>
      <c r="JV239" s="9"/>
      <c r="JW239" s="9"/>
      <c r="JX239" s="9"/>
      <c r="JY239" s="9"/>
      <c r="JZ239" s="9"/>
      <c r="KA239" s="9"/>
      <c r="KB239" s="9"/>
      <c r="KC239" s="9"/>
      <c r="KD239" s="9"/>
      <c r="KE239" s="9"/>
      <c r="KF239" s="9"/>
      <c r="KG239" s="9"/>
      <c r="KH239" s="9"/>
      <c r="KI239" s="9"/>
      <c r="KJ239" s="9"/>
      <c r="KK239" s="9"/>
      <c r="KL239" s="9"/>
      <c r="KM239" s="9"/>
      <c r="KN239" s="9"/>
      <c r="KO239" s="9"/>
      <c r="KP239" s="9"/>
      <c r="KQ239" s="9"/>
      <c r="KR239" s="9"/>
      <c r="KS239" s="9"/>
      <c r="KT239" s="9"/>
      <c r="KU239" s="9"/>
      <c r="KV239" s="9"/>
      <c r="KW239" s="9"/>
      <c r="KX239" s="9"/>
      <c r="KY239" s="9"/>
      <c r="KZ239" s="9"/>
      <c r="LA239" s="9"/>
      <c r="LB239" s="9"/>
      <c r="LC239" s="9"/>
      <c r="LD239" s="9"/>
      <c r="LE239" s="9"/>
      <c r="LF239" s="9"/>
      <c r="LG239" s="9"/>
      <c r="LH239" s="9"/>
      <c r="LI239" s="9"/>
      <c r="LJ239" s="9"/>
      <c r="LK239" s="9"/>
      <c r="LL239" s="9"/>
      <c r="LM239" s="9"/>
      <c r="LN239" s="9"/>
      <c r="LO239" s="9"/>
      <c r="LP239" s="9"/>
      <c r="LQ239" s="9"/>
      <c r="LR239" s="9"/>
      <c r="LS239" s="9"/>
      <c r="LT239" s="9"/>
      <c r="LU239" s="9"/>
      <c r="LV239" s="9"/>
      <c r="LW239" s="9"/>
      <c r="LX239" s="9"/>
      <c r="LY239" s="9"/>
      <c r="LZ239" s="9"/>
      <c r="MA239" s="9"/>
      <c r="MB239" s="9"/>
      <c r="MC239" s="9"/>
      <c r="MD239" s="9"/>
      <c r="ME239" s="9"/>
      <c r="MF239" s="9"/>
      <c r="MG239" s="9"/>
      <c r="MH239" s="9"/>
      <c r="MI239" s="9"/>
      <c r="MJ239" s="9"/>
      <c r="MK239" s="9"/>
      <c r="ML239" s="9"/>
      <c r="MM239" s="9"/>
      <c r="MN239" s="9"/>
      <c r="MO239" s="9"/>
      <c r="MP239" s="9"/>
      <c r="MQ239" s="9"/>
      <c r="MR239" s="9"/>
      <c r="MS239" s="9"/>
      <c r="MT239" s="9"/>
      <c r="MU239" s="9"/>
      <c r="MV239" s="9"/>
      <c r="MW239" s="9"/>
      <c r="MX239" s="9"/>
      <c r="MY239" s="9"/>
      <c r="MZ239" s="9"/>
      <c r="NA239" s="9"/>
      <c r="NB239" s="9"/>
      <c r="NC239" s="9"/>
      <c r="ND239" s="9"/>
      <c r="NE239" s="9"/>
      <c r="NF239" s="9"/>
      <c r="NG239" s="9"/>
      <c r="NH239" s="9"/>
      <c r="NI239" s="9"/>
      <c r="NJ239" s="9"/>
      <c r="NK239" s="9"/>
      <c r="NL239" s="9"/>
      <c r="NM239" s="9"/>
      <c r="NN239" s="9"/>
      <c r="NO239" s="9"/>
      <c r="NP239" s="9"/>
      <c r="NQ239" s="9"/>
      <c r="NR239" s="9"/>
      <c r="NS239" s="9"/>
      <c r="NT239" s="9"/>
      <c r="NU239" s="9"/>
      <c r="NV239" s="9"/>
      <c r="NW239" s="9"/>
      <c r="NX239" s="9"/>
      <c r="NY239" s="9"/>
      <c r="NZ239" s="9"/>
      <c r="OA239" s="9"/>
      <c r="OB239" s="9"/>
      <c r="OC239" s="9"/>
      <c r="OD239" s="9"/>
      <c r="OE239" s="9"/>
      <c r="OF239" s="9"/>
      <c r="OG239" s="9"/>
      <c r="OH239" s="9"/>
      <c r="OI239" s="9"/>
      <c r="OJ239" s="9"/>
      <c r="OK239" s="9"/>
      <c r="OL239" s="9"/>
      <c r="OM239" s="9"/>
      <c r="ON239" s="9"/>
      <c r="OO239" s="9"/>
      <c r="OP239" s="9"/>
      <c r="OQ239" s="9"/>
      <c r="OR239" s="9"/>
      <c r="OS239" s="9"/>
      <c r="OT239" s="9"/>
      <c r="OU239" s="9"/>
      <c r="OV239" s="9"/>
      <c r="OW239" s="9"/>
      <c r="OX239" s="9"/>
      <c r="OY239" s="9"/>
      <c r="OZ239" s="9"/>
      <c r="PA239" s="9"/>
      <c r="PB239" s="9"/>
      <c r="PC239" s="9"/>
      <c r="PD239" s="9"/>
      <c r="PE239" s="9"/>
      <c r="PF239" s="9"/>
      <c r="PG239" s="9"/>
      <c r="PH239" s="9"/>
      <c r="PI239" s="9"/>
      <c r="PJ239" s="9"/>
      <c r="PK239" s="9"/>
      <c r="PL239" s="9"/>
      <c r="PM239" s="9"/>
      <c r="PN239" s="9"/>
      <c r="PO239" s="9"/>
      <c r="PP239" s="9"/>
      <c r="PQ239" s="9"/>
      <c r="PR239" s="9"/>
      <c r="PS239" s="9"/>
      <c r="PT239" s="9"/>
      <c r="PU239" s="9"/>
      <c r="PV239" s="9"/>
      <c r="PW239" s="9"/>
      <c r="PX239" s="9"/>
      <c r="PY239" s="9"/>
      <c r="PZ239" s="9"/>
      <c r="QA239" s="9"/>
      <c r="QB239" s="9"/>
      <c r="QC239" s="9"/>
      <c r="QD239" s="9"/>
      <c r="QE239" s="9"/>
      <c r="QF239" s="9"/>
      <c r="QG239" s="9"/>
      <c r="QH239" s="9"/>
      <c r="QI239" s="9"/>
      <c r="QJ239" s="9"/>
      <c r="QK239" s="9"/>
      <c r="QL239" s="9"/>
      <c r="QM239" s="9"/>
      <c r="QN239" s="9"/>
      <c r="QO239" s="9"/>
      <c r="QP239" s="9"/>
      <c r="QQ239" s="67"/>
      <c r="QR239" s="68"/>
      <c r="QS239" s="63"/>
      <c r="QT239" s="71"/>
    </row>
    <row r="240" spans="1:462" s="11" customFormat="1" x14ac:dyDescent="0.2">
      <c r="A240" s="9">
        <v>20</v>
      </c>
      <c r="B240" s="9"/>
      <c r="C240" s="9"/>
      <c r="D240" s="9" t="s">
        <v>369</v>
      </c>
      <c r="E240" s="65" t="s">
        <v>498</v>
      </c>
      <c r="F240" s="65"/>
      <c r="G240" s="92" t="s">
        <v>2253</v>
      </c>
      <c r="H240" s="66" t="s">
        <v>1146</v>
      </c>
      <c r="I240" s="9" t="s">
        <v>1101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 t="s">
        <v>1101</v>
      </c>
      <c r="CJ240" s="9"/>
      <c r="CK240" s="9" t="s">
        <v>1101</v>
      </c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  <c r="HE240" s="9"/>
      <c r="HF240" s="9"/>
      <c r="HG240" s="9"/>
      <c r="HH240" s="9"/>
      <c r="HI240" s="9"/>
      <c r="HJ240" s="9"/>
      <c r="HK240" s="9"/>
      <c r="HL240" s="9"/>
      <c r="HM240" s="9"/>
      <c r="HN240" s="9"/>
      <c r="HO240" s="9"/>
      <c r="HP240" s="9"/>
      <c r="HQ240" s="9"/>
      <c r="HR240" s="9"/>
      <c r="HS240" s="9"/>
      <c r="HT240" s="9"/>
      <c r="HU240" s="9"/>
      <c r="HV240" s="9"/>
      <c r="HW240" s="9"/>
      <c r="HX240" s="9"/>
      <c r="HY240" s="9"/>
      <c r="HZ240" s="9"/>
      <c r="IA240" s="9"/>
      <c r="IB240" s="9"/>
      <c r="IC240" s="9"/>
      <c r="ID240" s="9"/>
      <c r="IE240" s="9"/>
      <c r="IF240" s="9"/>
      <c r="IG240" s="9"/>
      <c r="IH240" s="9"/>
      <c r="II240" s="9"/>
      <c r="IJ240" s="9"/>
      <c r="IK240" s="9"/>
      <c r="IL240" s="9"/>
      <c r="IM240" s="9"/>
      <c r="IN240" s="9"/>
      <c r="IO240" s="9"/>
      <c r="IP240" s="9"/>
      <c r="IQ240" s="9"/>
      <c r="IR240" s="9"/>
      <c r="IS240" s="9"/>
      <c r="IT240" s="9"/>
      <c r="IU240" s="9"/>
      <c r="IV240" s="9"/>
      <c r="IW240" s="9"/>
      <c r="IX240" s="9"/>
      <c r="IY240" s="9"/>
      <c r="IZ240" s="9"/>
      <c r="JA240" s="9"/>
      <c r="JB240" s="9"/>
      <c r="JC240" s="9"/>
      <c r="JD240" s="9"/>
      <c r="JE240" s="9"/>
      <c r="JF240" s="9"/>
      <c r="JG240" s="9"/>
      <c r="JH240" s="9"/>
      <c r="JI240" s="9"/>
      <c r="JJ240" s="9"/>
      <c r="JK240" s="9"/>
      <c r="JL240" s="9"/>
      <c r="JM240" s="9"/>
      <c r="JN240" s="9"/>
      <c r="JO240" s="9"/>
      <c r="JP240" s="9"/>
      <c r="JQ240" s="9"/>
      <c r="JR240" s="9"/>
      <c r="JS240" s="9"/>
      <c r="JT240" s="9"/>
      <c r="JU240" s="9"/>
      <c r="JV240" s="9"/>
      <c r="JW240" s="9"/>
      <c r="JX240" s="9"/>
      <c r="JY240" s="9"/>
      <c r="JZ240" s="9"/>
      <c r="KA240" s="9"/>
      <c r="KB240" s="9"/>
      <c r="KC240" s="9"/>
      <c r="KD240" s="9"/>
      <c r="KE240" s="9"/>
      <c r="KF240" s="9"/>
      <c r="KG240" s="9"/>
      <c r="KH240" s="9"/>
      <c r="KI240" s="9"/>
      <c r="KJ240" s="9"/>
      <c r="KK240" s="9"/>
      <c r="KL240" s="9"/>
      <c r="KM240" s="9"/>
      <c r="KN240" s="9"/>
      <c r="KO240" s="9"/>
      <c r="KP240" s="9"/>
      <c r="KQ240" s="9"/>
      <c r="KR240" s="9"/>
      <c r="KS240" s="9"/>
      <c r="KT240" s="9"/>
      <c r="KU240" s="9"/>
      <c r="KV240" s="9"/>
      <c r="KW240" s="9"/>
      <c r="KX240" s="9"/>
      <c r="KY240" s="9"/>
      <c r="KZ240" s="9"/>
      <c r="LA240" s="9"/>
      <c r="LB240" s="9"/>
      <c r="LC240" s="9"/>
      <c r="LD240" s="9"/>
      <c r="LE240" s="9"/>
      <c r="LF240" s="9"/>
      <c r="LG240" s="9"/>
      <c r="LH240" s="9"/>
      <c r="LI240" s="9"/>
      <c r="LJ240" s="9"/>
      <c r="LK240" s="9"/>
      <c r="LL240" s="9"/>
      <c r="LM240" s="9"/>
      <c r="LN240" s="9"/>
      <c r="LO240" s="9"/>
      <c r="LP240" s="9"/>
      <c r="LQ240" s="9"/>
      <c r="LR240" s="9"/>
      <c r="LS240" s="9"/>
      <c r="LT240" s="9"/>
      <c r="LU240" s="9"/>
      <c r="LV240" s="9"/>
      <c r="LW240" s="9"/>
      <c r="LX240" s="9"/>
      <c r="LY240" s="9"/>
      <c r="LZ240" s="9"/>
      <c r="MA240" s="9"/>
      <c r="MB240" s="9"/>
      <c r="MC240" s="9"/>
      <c r="MD240" s="9"/>
      <c r="ME240" s="9"/>
      <c r="MF240" s="9"/>
      <c r="MG240" s="9"/>
      <c r="MH240" s="9"/>
      <c r="MI240" s="9"/>
      <c r="MJ240" s="9"/>
      <c r="MK240" s="9"/>
      <c r="ML240" s="9"/>
      <c r="MM240" s="9"/>
      <c r="MN240" s="9"/>
      <c r="MO240" s="9"/>
      <c r="MP240" s="9"/>
      <c r="MQ240" s="9"/>
      <c r="MR240" s="9"/>
      <c r="MS240" s="9"/>
      <c r="MT240" s="9"/>
      <c r="MU240" s="9"/>
      <c r="MV240" s="9"/>
      <c r="MW240" s="9"/>
      <c r="MX240" s="9"/>
      <c r="MY240" s="9"/>
      <c r="MZ240" s="9"/>
      <c r="NA240" s="9"/>
      <c r="NB240" s="9"/>
      <c r="NC240" s="9"/>
      <c r="ND240" s="9"/>
      <c r="NE240" s="9"/>
      <c r="NF240" s="9"/>
      <c r="NG240" s="9"/>
      <c r="NH240" s="9"/>
      <c r="NI240" s="9"/>
      <c r="NJ240" s="9"/>
      <c r="NK240" s="9"/>
      <c r="NL240" s="9"/>
      <c r="NM240" s="9"/>
      <c r="NN240" s="9"/>
      <c r="NO240" s="9"/>
      <c r="NP240" s="9"/>
      <c r="NQ240" s="9"/>
      <c r="NR240" s="9"/>
      <c r="NS240" s="9"/>
      <c r="NT240" s="9"/>
      <c r="NU240" s="9"/>
      <c r="NV240" s="9"/>
      <c r="NW240" s="9"/>
      <c r="NX240" s="9"/>
      <c r="NY240" s="9"/>
      <c r="NZ240" s="9"/>
      <c r="OA240" s="9"/>
      <c r="OB240" s="9"/>
      <c r="OC240" s="9"/>
      <c r="OD240" s="9"/>
      <c r="OE240" s="9"/>
      <c r="OF240" s="9"/>
      <c r="OG240" s="9"/>
      <c r="OH240" s="9"/>
      <c r="OI240" s="9"/>
      <c r="OJ240" s="9"/>
      <c r="OK240" s="9"/>
      <c r="OL240" s="9"/>
      <c r="OM240" s="9"/>
      <c r="ON240" s="9"/>
      <c r="OO240" s="9"/>
      <c r="OP240" s="9"/>
      <c r="OQ240" s="9"/>
      <c r="OR240" s="9"/>
      <c r="OS240" s="9"/>
      <c r="OT240" s="9"/>
      <c r="OU240" s="9"/>
      <c r="OV240" s="9"/>
      <c r="OW240" s="9"/>
      <c r="OX240" s="9"/>
      <c r="OY240" s="9"/>
      <c r="OZ240" s="9"/>
      <c r="PA240" s="9"/>
      <c r="PB240" s="9"/>
      <c r="PC240" s="9"/>
      <c r="PD240" s="9"/>
      <c r="PE240" s="9"/>
      <c r="PF240" s="9"/>
      <c r="PG240" s="9"/>
      <c r="PH240" s="9"/>
      <c r="PI240" s="9"/>
      <c r="PJ240" s="9"/>
      <c r="PK240" s="9"/>
      <c r="PL240" s="9"/>
      <c r="PM240" s="9"/>
      <c r="PN240" s="9"/>
      <c r="PO240" s="9"/>
      <c r="PP240" s="9"/>
      <c r="PQ240" s="9"/>
      <c r="PR240" s="9"/>
      <c r="PS240" s="9"/>
      <c r="PT240" s="9"/>
      <c r="PU240" s="9"/>
      <c r="PV240" s="9"/>
      <c r="PW240" s="9"/>
      <c r="PX240" s="9"/>
      <c r="PY240" s="9"/>
      <c r="PZ240" s="9"/>
      <c r="QA240" s="9"/>
      <c r="QB240" s="9"/>
      <c r="QC240" s="9"/>
      <c r="QD240" s="9"/>
      <c r="QE240" s="9"/>
      <c r="QF240" s="9"/>
      <c r="QG240" s="9"/>
      <c r="QH240" s="9"/>
      <c r="QI240" s="9"/>
      <c r="QJ240" s="9"/>
      <c r="QK240" s="9"/>
      <c r="QL240" s="9"/>
      <c r="QM240" s="9"/>
      <c r="QN240" s="9"/>
      <c r="QO240" s="9"/>
      <c r="QP240" s="9"/>
      <c r="QQ240" s="67"/>
      <c r="QR240" s="68"/>
      <c r="QS240" s="63"/>
      <c r="QT240" s="71"/>
    </row>
    <row r="241" spans="1:462" s="11" customFormat="1" x14ac:dyDescent="0.2">
      <c r="A241" s="9">
        <v>20</v>
      </c>
      <c r="B241" s="9"/>
      <c r="C241" s="9"/>
      <c r="D241" s="9" t="s">
        <v>371</v>
      </c>
      <c r="E241" s="65" t="s">
        <v>500</v>
      </c>
      <c r="F241" s="65"/>
      <c r="G241" s="92" t="s">
        <v>2256</v>
      </c>
      <c r="H241" s="66" t="s">
        <v>1149</v>
      </c>
      <c r="I241" s="9" t="s">
        <v>1101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 t="s">
        <v>1101</v>
      </c>
      <c r="CR241" s="9"/>
      <c r="CS241" s="9" t="s">
        <v>1101</v>
      </c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  <c r="HE241" s="9"/>
      <c r="HF241" s="9"/>
      <c r="HG241" s="9"/>
      <c r="HH241" s="9"/>
      <c r="HI241" s="9"/>
      <c r="HJ241" s="9"/>
      <c r="HK241" s="9"/>
      <c r="HL241" s="9"/>
      <c r="HM241" s="9"/>
      <c r="HN241" s="9"/>
      <c r="HO241" s="9"/>
      <c r="HP241" s="9"/>
      <c r="HQ241" s="9"/>
      <c r="HR241" s="9"/>
      <c r="HS241" s="9"/>
      <c r="HT241" s="9"/>
      <c r="HU241" s="9"/>
      <c r="HV241" s="9"/>
      <c r="HW241" s="9"/>
      <c r="HX241" s="9"/>
      <c r="HY241" s="9"/>
      <c r="HZ241" s="9"/>
      <c r="IA241" s="9"/>
      <c r="IB241" s="9"/>
      <c r="IC241" s="9"/>
      <c r="ID241" s="9"/>
      <c r="IE241" s="9"/>
      <c r="IF241" s="9"/>
      <c r="IG241" s="9"/>
      <c r="IH241" s="9"/>
      <c r="II241" s="9"/>
      <c r="IJ241" s="9"/>
      <c r="IK241" s="9"/>
      <c r="IL241" s="9"/>
      <c r="IM241" s="9"/>
      <c r="IN241" s="9"/>
      <c r="IO241" s="9"/>
      <c r="IP241" s="9"/>
      <c r="IQ241" s="9"/>
      <c r="IR241" s="9"/>
      <c r="IS241" s="9"/>
      <c r="IT241" s="9"/>
      <c r="IU241" s="9"/>
      <c r="IV241" s="9"/>
      <c r="IW241" s="9"/>
      <c r="IX241" s="9"/>
      <c r="IY241" s="9"/>
      <c r="IZ241" s="9"/>
      <c r="JA241" s="9"/>
      <c r="JB241" s="9"/>
      <c r="JC241" s="9"/>
      <c r="JD241" s="9"/>
      <c r="JE241" s="9"/>
      <c r="JF241" s="9"/>
      <c r="JG241" s="9"/>
      <c r="JH241" s="9"/>
      <c r="JI241" s="9"/>
      <c r="JJ241" s="9"/>
      <c r="JK241" s="9"/>
      <c r="JL241" s="9"/>
      <c r="JM241" s="9"/>
      <c r="JN241" s="9"/>
      <c r="JO241" s="9"/>
      <c r="JP241" s="9"/>
      <c r="JQ241" s="9"/>
      <c r="JR241" s="9"/>
      <c r="JS241" s="9"/>
      <c r="JT241" s="9"/>
      <c r="JU241" s="9"/>
      <c r="JV241" s="9"/>
      <c r="JW241" s="9"/>
      <c r="JX241" s="9"/>
      <c r="JY241" s="9"/>
      <c r="JZ241" s="9"/>
      <c r="KA241" s="9"/>
      <c r="KB241" s="9"/>
      <c r="KC241" s="9"/>
      <c r="KD241" s="9"/>
      <c r="KE241" s="9"/>
      <c r="KF241" s="9"/>
      <c r="KG241" s="9"/>
      <c r="KH241" s="9"/>
      <c r="KI241" s="9"/>
      <c r="KJ241" s="9"/>
      <c r="KK241" s="9"/>
      <c r="KL241" s="9"/>
      <c r="KM241" s="9"/>
      <c r="KN241" s="9"/>
      <c r="KO241" s="9"/>
      <c r="KP241" s="9"/>
      <c r="KQ241" s="9"/>
      <c r="KR241" s="9"/>
      <c r="KS241" s="9"/>
      <c r="KT241" s="9"/>
      <c r="KU241" s="9"/>
      <c r="KV241" s="9"/>
      <c r="KW241" s="9"/>
      <c r="KX241" s="9"/>
      <c r="KY241" s="9"/>
      <c r="KZ241" s="9"/>
      <c r="LA241" s="9"/>
      <c r="LB241" s="9"/>
      <c r="LC241" s="9"/>
      <c r="LD241" s="9"/>
      <c r="LE241" s="9"/>
      <c r="LF241" s="9"/>
      <c r="LG241" s="9"/>
      <c r="LH241" s="9"/>
      <c r="LI241" s="9"/>
      <c r="LJ241" s="9"/>
      <c r="LK241" s="9"/>
      <c r="LL241" s="9"/>
      <c r="LM241" s="9"/>
      <c r="LN241" s="9"/>
      <c r="LO241" s="9"/>
      <c r="LP241" s="9"/>
      <c r="LQ241" s="9"/>
      <c r="LR241" s="9"/>
      <c r="LS241" s="9"/>
      <c r="LT241" s="9"/>
      <c r="LU241" s="9"/>
      <c r="LV241" s="9"/>
      <c r="LW241" s="9"/>
      <c r="LX241" s="9"/>
      <c r="LY241" s="9"/>
      <c r="LZ241" s="9"/>
      <c r="MA241" s="9"/>
      <c r="MB241" s="9"/>
      <c r="MC241" s="9"/>
      <c r="MD241" s="9"/>
      <c r="ME241" s="9"/>
      <c r="MF241" s="9"/>
      <c r="MG241" s="9"/>
      <c r="MH241" s="9"/>
      <c r="MI241" s="9"/>
      <c r="MJ241" s="9"/>
      <c r="MK241" s="9"/>
      <c r="ML241" s="9"/>
      <c r="MM241" s="9"/>
      <c r="MN241" s="9"/>
      <c r="MO241" s="9"/>
      <c r="MP241" s="9"/>
      <c r="MQ241" s="9"/>
      <c r="MR241" s="9"/>
      <c r="MS241" s="9"/>
      <c r="MT241" s="9"/>
      <c r="MU241" s="9"/>
      <c r="MV241" s="9"/>
      <c r="MW241" s="9"/>
      <c r="MX241" s="9"/>
      <c r="MY241" s="9"/>
      <c r="MZ241" s="9"/>
      <c r="NA241" s="9"/>
      <c r="NB241" s="9"/>
      <c r="NC241" s="9"/>
      <c r="ND241" s="9"/>
      <c r="NE241" s="9"/>
      <c r="NF241" s="9"/>
      <c r="NG241" s="9"/>
      <c r="NH241" s="9"/>
      <c r="NI241" s="9"/>
      <c r="NJ241" s="9"/>
      <c r="NK241" s="9"/>
      <c r="NL241" s="9"/>
      <c r="NM241" s="9"/>
      <c r="NN241" s="9"/>
      <c r="NO241" s="9"/>
      <c r="NP241" s="9"/>
      <c r="NQ241" s="9"/>
      <c r="NR241" s="9"/>
      <c r="NS241" s="9"/>
      <c r="NT241" s="9"/>
      <c r="NU241" s="9"/>
      <c r="NV241" s="9"/>
      <c r="NW241" s="9"/>
      <c r="NX241" s="9"/>
      <c r="NY241" s="9"/>
      <c r="NZ241" s="9"/>
      <c r="OA241" s="9"/>
      <c r="OB241" s="9"/>
      <c r="OC241" s="9"/>
      <c r="OD241" s="9"/>
      <c r="OE241" s="9"/>
      <c r="OF241" s="9"/>
      <c r="OG241" s="9"/>
      <c r="OH241" s="9"/>
      <c r="OI241" s="9"/>
      <c r="OJ241" s="9"/>
      <c r="OK241" s="9"/>
      <c r="OL241" s="9"/>
      <c r="OM241" s="9"/>
      <c r="ON241" s="9"/>
      <c r="OO241" s="9"/>
      <c r="OP241" s="9"/>
      <c r="OQ241" s="9"/>
      <c r="OR241" s="9"/>
      <c r="OS241" s="9"/>
      <c r="OT241" s="9"/>
      <c r="OU241" s="9"/>
      <c r="OV241" s="9"/>
      <c r="OW241" s="9"/>
      <c r="OX241" s="9"/>
      <c r="OY241" s="9"/>
      <c r="OZ241" s="9"/>
      <c r="PA241" s="9"/>
      <c r="PB241" s="9"/>
      <c r="PC241" s="9"/>
      <c r="PD241" s="9"/>
      <c r="PE241" s="9"/>
      <c r="PF241" s="9"/>
      <c r="PG241" s="9"/>
      <c r="PH241" s="9"/>
      <c r="PI241" s="9"/>
      <c r="PJ241" s="9"/>
      <c r="PK241" s="9"/>
      <c r="PL241" s="9"/>
      <c r="PM241" s="9"/>
      <c r="PN241" s="9"/>
      <c r="PO241" s="9"/>
      <c r="PP241" s="9"/>
      <c r="PQ241" s="9"/>
      <c r="PR241" s="9"/>
      <c r="PS241" s="9"/>
      <c r="PT241" s="9"/>
      <c r="PU241" s="9"/>
      <c r="PV241" s="9"/>
      <c r="PW241" s="9"/>
      <c r="PX241" s="9"/>
      <c r="PY241" s="9"/>
      <c r="PZ241" s="9"/>
      <c r="QA241" s="9"/>
      <c r="QB241" s="9"/>
      <c r="QC241" s="9"/>
      <c r="QD241" s="9"/>
      <c r="QE241" s="9"/>
      <c r="QF241" s="9"/>
      <c r="QG241" s="9"/>
      <c r="QH241" s="9"/>
      <c r="QI241" s="9"/>
      <c r="QJ241" s="9"/>
      <c r="QK241" s="9"/>
      <c r="QL241" s="9"/>
      <c r="QM241" s="9"/>
      <c r="QN241" s="9"/>
      <c r="QO241" s="9"/>
      <c r="QP241" s="9"/>
      <c r="QQ241" s="67"/>
      <c r="QR241" s="68"/>
      <c r="QS241" s="63"/>
      <c r="QT241" s="71"/>
    </row>
    <row r="242" spans="1:462" s="11" customFormat="1" x14ac:dyDescent="0.2">
      <c r="A242" s="9">
        <v>20</v>
      </c>
      <c r="B242" s="9"/>
      <c r="C242" s="9"/>
      <c r="D242" s="9" t="s">
        <v>379</v>
      </c>
      <c r="E242" s="65" t="s">
        <v>506</v>
      </c>
      <c r="F242" s="65"/>
      <c r="G242" s="92" t="s">
        <v>2265</v>
      </c>
      <c r="H242" s="66" t="s">
        <v>1161</v>
      </c>
      <c r="I242" s="9" t="s">
        <v>1101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 t="s">
        <v>1101</v>
      </c>
      <c r="CZ242" s="9"/>
      <c r="DA242" s="9" t="s">
        <v>1101</v>
      </c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  <c r="HE242" s="9"/>
      <c r="HF242" s="9"/>
      <c r="HG242" s="9"/>
      <c r="HH242" s="9"/>
      <c r="HI242" s="9"/>
      <c r="HJ242" s="9"/>
      <c r="HK242" s="9"/>
      <c r="HL242" s="9"/>
      <c r="HM242" s="9"/>
      <c r="HN242" s="9"/>
      <c r="HO242" s="9"/>
      <c r="HP242" s="9"/>
      <c r="HQ242" s="9"/>
      <c r="HR242" s="9"/>
      <c r="HS242" s="9"/>
      <c r="HT242" s="9"/>
      <c r="HU242" s="9"/>
      <c r="HV242" s="9"/>
      <c r="HW242" s="9"/>
      <c r="HX242" s="9"/>
      <c r="HY242" s="9"/>
      <c r="HZ242" s="9"/>
      <c r="IA242" s="9"/>
      <c r="IB242" s="9"/>
      <c r="IC242" s="9"/>
      <c r="ID242" s="9"/>
      <c r="IE242" s="9"/>
      <c r="IF242" s="9"/>
      <c r="IG242" s="9"/>
      <c r="IH242" s="9"/>
      <c r="II242" s="9"/>
      <c r="IJ242" s="9"/>
      <c r="IK242" s="9"/>
      <c r="IL242" s="9"/>
      <c r="IM242" s="9"/>
      <c r="IN242" s="9"/>
      <c r="IO242" s="9"/>
      <c r="IP242" s="9"/>
      <c r="IQ242" s="9"/>
      <c r="IR242" s="9"/>
      <c r="IS242" s="9"/>
      <c r="IT242" s="9"/>
      <c r="IU242" s="9"/>
      <c r="IV242" s="9"/>
      <c r="IW242" s="9"/>
      <c r="IX242" s="9"/>
      <c r="IY242" s="9"/>
      <c r="IZ242" s="9"/>
      <c r="JA242" s="9"/>
      <c r="JB242" s="9"/>
      <c r="JC242" s="9"/>
      <c r="JD242" s="9"/>
      <c r="JE242" s="9"/>
      <c r="JF242" s="9"/>
      <c r="JG242" s="9"/>
      <c r="JH242" s="9"/>
      <c r="JI242" s="9"/>
      <c r="JJ242" s="9"/>
      <c r="JK242" s="9"/>
      <c r="JL242" s="9"/>
      <c r="JM242" s="9"/>
      <c r="JN242" s="9"/>
      <c r="JO242" s="9"/>
      <c r="JP242" s="9"/>
      <c r="JQ242" s="9"/>
      <c r="JR242" s="9"/>
      <c r="JS242" s="9"/>
      <c r="JT242" s="9"/>
      <c r="JU242" s="9"/>
      <c r="JV242" s="9"/>
      <c r="JW242" s="9"/>
      <c r="JX242" s="9"/>
      <c r="JY242" s="9"/>
      <c r="JZ242" s="9"/>
      <c r="KA242" s="9"/>
      <c r="KB242" s="9"/>
      <c r="KC242" s="9"/>
      <c r="KD242" s="9"/>
      <c r="KE242" s="9"/>
      <c r="KF242" s="9"/>
      <c r="KG242" s="9"/>
      <c r="KH242" s="9"/>
      <c r="KI242" s="9"/>
      <c r="KJ242" s="9"/>
      <c r="KK242" s="9"/>
      <c r="KL242" s="9"/>
      <c r="KM242" s="9"/>
      <c r="KN242" s="9"/>
      <c r="KO242" s="9"/>
      <c r="KP242" s="9"/>
      <c r="KQ242" s="9"/>
      <c r="KR242" s="9"/>
      <c r="KS242" s="9"/>
      <c r="KT242" s="9"/>
      <c r="KU242" s="9"/>
      <c r="KV242" s="9"/>
      <c r="KW242" s="9"/>
      <c r="KX242" s="9"/>
      <c r="KY242" s="9"/>
      <c r="KZ242" s="9"/>
      <c r="LA242" s="9"/>
      <c r="LB242" s="9"/>
      <c r="LC242" s="9"/>
      <c r="LD242" s="9"/>
      <c r="LE242" s="9"/>
      <c r="LF242" s="9"/>
      <c r="LG242" s="9"/>
      <c r="LH242" s="9"/>
      <c r="LI242" s="9"/>
      <c r="LJ242" s="9"/>
      <c r="LK242" s="9"/>
      <c r="LL242" s="9"/>
      <c r="LM242" s="9"/>
      <c r="LN242" s="9"/>
      <c r="LO242" s="9"/>
      <c r="LP242" s="9"/>
      <c r="LQ242" s="9"/>
      <c r="LR242" s="9"/>
      <c r="LS242" s="9"/>
      <c r="LT242" s="9"/>
      <c r="LU242" s="9"/>
      <c r="LV242" s="9"/>
      <c r="LW242" s="9"/>
      <c r="LX242" s="9"/>
      <c r="LY242" s="9"/>
      <c r="LZ242" s="9"/>
      <c r="MA242" s="9"/>
      <c r="MB242" s="9"/>
      <c r="MC242" s="9"/>
      <c r="MD242" s="9"/>
      <c r="ME242" s="9"/>
      <c r="MF242" s="9"/>
      <c r="MG242" s="9"/>
      <c r="MH242" s="9"/>
      <c r="MI242" s="9"/>
      <c r="MJ242" s="9"/>
      <c r="MK242" s="9"/>
      <c r="ML242" s="9"/>
      <c r="MM242" s="9"/>
      <c r="MN242" s="9"/>
      <c r="MO242" s="9"/>
      <c r="MP242" s="9"/>
      <c r="MQ242" s="9"/>
      <c r="MR242" s="9"/>
      <c r="MS242" s="9"/>
      <c r="MT242" s="9"/>
      <c r="MU242" s="9"/>
      <c r="MV242" s="9"/>
      <c r="MW242" s="9"/>
      <c r="MX242" s="9"/>
      <c r="MY242" s="9"/>
      <c r="MZ242" s="9"/>
      <c r="NA242" s="9"/>
      <c r="NB242" s="9"/>
      <c r="NC242" s="9"/>
      <c r="ND242" s="9"/>
      <c r="NE242" s="9"/>
      <c r="NF242" s="9"/>
      <c r="NG242" s="9"/>
      <c r="NH242" s="9"/>
      <c r="NI242" s="9"/>
      <c r="NJ242" s="9"/>
      <c r="NK242" s="9"/>
      <c r="NL242" s="9"/>
      <c r="NM242" s="9"/>
      <c r="NN242" s="9"/>
      <c r="NO242" s="9"/>
      <c r="NP242" s="9"/>
      <c r="NQ242" s="9"/>
      <c r="NR242" s="9"/>
      <c r="NS242" s="9"/>
      <c r="NT242" s="9"/>
      <c r="NU242" s="9"/>
      <c r="NV242" s="9"/>
      <c r="NW242" s="9"/>
      <c r="NX242" s="9"/>
      <c r="NY242" s="9"/>
      <c r="NZ242" s="9"/>
      <c r="OA242" s="9"/>
      <c r="OB242" s="9"/>
      <c r="OC242" s="9"/>
      <c r="OD242" s="9"/>
      <c r="OE242" s="9"/>
      <c r="OF242" s="9"/>
      <c r="OG242" s="9"/>
      <c r="OH242" s="9"/>
      <c r="OI242" s="9"/>
      <c r="OJ242" s="9"/>
      <c r="OK242" s="9"/>
      <c r="OL242" s="9"/>
      <c r="OM242" s="9"/>
      <c r="ON242" s="9"/>
      <c r="OO242" s="9"/>
      <c r="OP242" s="9"/>
      <c r="OQ242" s="9"/>
      <c r="OR242" s="9"/>
      <c r="OS242" s="9"/>
      <c r="OT242" s="9"/>
      <c r="OU242" s="9"/>
      <c r="OV242" s="9"/>
      <c r="OW242" s="9"/>
      <c r="OX242" s="9"/>
      <c r="OY242" s="9"/>
      <c r="OZ242" s="9"/>
      <c r="PA242" s="9"/>
      <c r="PB242" s="9"/>
      <c r="PC242" s="9"/>
      <c r="PD242" s="9"/>
      <c r="PE242" s="9"/>
      <c r="PF242" s="9"/>
      <c r="PG242" s="9"/>
      <c r="PH242" s="9"/>
      <c r="PI242" s="9"/>
      <c r="PJ242" s="9"/>
      <c r="PK242" s="9"/>
      <c r="PL242" s="9"/>
      <c r="PM242" s="9"/>
      <c r="PN242" s="9"/>
      <c r="PO242" s="9"/>
      <c r="PP242" s="9"/>
      <c r="PQ242" s="9"/>
      <c r="PR242" s="9"/>
      <c r="PS242" s="9"/>
      <c r="PT242" s="9"/>
      <c r="PU242" s="9"/>
      <c r="PV242" s="9"/>
      <c r="PW242" s="9"/>
      <c r="PX242" s="9"/>
      <c r="PY242" s="9"/>
      <c r="PZ242" s="9"/>
      <c r="QA242" s="9"/>
      <c r="QB242" s="9"/>
      <c r="QC242" s="9"/>
      <c r="QD242" s="9"/>
      <c r="QE242" s="9"/>
      <c r="QF242" s="9"/>
      <c r="QG242" s="9"/>
      <c r="QH242" s="9"/>
      <c r="QI242" s="9"/>
      <c r="QJ242" s="9"/>
      <c r="QK242" s="9"/>
      <c r="QL242" s="9"/>
      <c r="QM242" s="9"/>
      <c r="QN242" s="9"/>
      <c r="QO242" s="9"/>
      <c r="QP242" s="9"/>
      <c r="QQ242" s="67"/>
      <c r="QR242" s="68"/>
      <c r="QS242" s="63"/>
      <c r="QT242" s="71"/>
    </row>
    <row r="243" spans="1:462" s="11" customFormat="1" x14ac:dyDescent="0.2">
      <c r="A243" s="9">
        <v>20</v>
      </c>
      <c r="B243" s="9"/>
      <c r="C243" s="9"/>
      <c r="D243" s="9" t="s">
        <v>367</v>
      </c>
      <c r="E243" s="65" t="s">
        <v>496</v>
      </c>
      <c r="F243" s="65"/>
      <c r="G243" s="92" t="s">
        <v>2251</v>
      </c>
      <c r="H243" s="66" t="s">
        <v>1142</v>
      </c>
      <c r="I243" s="9" t="s">
        <v>1101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 t="s">
        <v>1101</v>
      </c>
      <c r="DH243" s="9"/>
      <c r="DI243" s="9" t="s">
        <v>1101</v>
      </c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  <c r="HE243" s="9"/>
      <c r="HF243" s="9"/>
      <c r="HG243" s="9"/>
      <c r="HH243" s="9"/>
      <c r="HI243" s="9"/>
      <c r="HJ243" s="9"/>
      <c r="HK243" s="9"/>
      <c r="HL243" s="9"/>
      <c r="HM243" s="9"/>
      <c r="HN243" s="9"/>
      <c r="HO243" s="9"/>
      <c r="HP243" s="9"/>
      <c r="HQ243" s="9"/>
      <c r="HR243" s="9"/>
      <c r="HS243" s="9"/>
      <c r="HT243" s="9"/>
      <c r="HU243" s="9"/>
      <c r="HV243" s="9"/>
      <c r="HW243" s="9"/>
      <c r="HX243" s="9"/>
      <c r="HY243" s="9"/>
      <c r="HZ243" s="9"/>
      <c r="IA243" s="9"/>
      <c r="IB243" s="9"/>
      <c r="IC243" s="9"/>
      <c r="ID243" s="9"/>
      <c r="IE243" s="9"/>
      <c r="IF243" s="9"/>
      <c r="IG243" s="9"/>
      <c r="IH243" s="9"/>
      <c r="II243" s="9"/>
      <c r="IJ243" s="9"/>
      <c r="IK243" s="9"/>
      <c r="IL243" s="9"/>
      <c r="IM243" s="9"/>
      <c r="IN243" s="9"/>
      <c r="IO243" s="9"/>
      <c r="IP243" s="9"/>
      <c r="IQ243" s="9"/>
      <c r="IR243" s="9"/>
      <c r="IS243" s="9"/>
      <c r="IT243" s="9"/>
      <c r="IU243" s="9"/>
      <c r="IV243" s="9"/>
      <c r="IW243" s="9"/>
      <c r="IX243" s="9"/>
      <c r="IY243" s="9"/>
      <c r="IZ243" s="9"/>
      <c r="JA243" s="9"/>
      <c r="JB243" s="9"/>
      <c r="JC243" s="9"/>
      <c r="JD243" s="9"/>
      <c r="JE243" s="9"/>
      <c r="JF243" s="9"/>
      <c r="JG243" s="9"/>
      <c r="JH243" s="9"/>
      <c r="JI243" s="9"/>
      <c r="JJ243" s="9"/>
      <c r="JK243" s="9"/>
      <c r="JL243" s="9"/>
      <c r="JM243" s="9"/>
      <c r="JN243" s="9"/>
      <c r="JO243" s="9"/>
      <c r="JP243" s="9"/>
      <c r="JQ243" s="9"/>
      <c r="JR243" s="9"/>
      <c r="JS243" s="9"/>
      <c r="JT243" s="9"/>
      <c r="JU243" s="9"/>
      <c r="JV243" s="9"/>
      <c r="JW243" s="9"/>
      <c r="JX243" s="9"/>
      <c r="JY243" s="9"/>
      <c r="JZ243" s="9"/>
      <c r="KA243" s="9"/>
      <c r="KB243" s="9"/>
      <c r="KC243" s="9"/>
      <c r="KD243" s="9"/>
      <c r="KE243" s="9"/>
      <c r="KF243" s="9"/>
      <c r="KG243" s="9"/>
      <c r="KH243" s="9"/>
      <c r="KI243" s="9"/>
      <c r="KJ243" s="9"/>
      <c r="KK243" s="9"/>
      <c r="KL243" s="9"/>
      <c r="KM243" s="9"/>
      <c r="KN243" s="9"/>
      <c r="KO243" s="9"/>
      <c r="KP243" s="9"/>
      <c r="KQ243" s="9"/>
      <c r="KR243" s="9"/>
      <c r="KS243" s="9"/>
      <c r="KT243" s="9"/>
      <c r="KU243" s="9"/>
      <c r="KV243" s="9"/>
      <c r="KW243" s="9"/>
      <c r="KX243" s="9"/>
      <c r="KY243" s="9"/>
      <c r="KZ243" s="9"/>
      <c r="LA243" s="9"/>
      <c r="LB243" s="9"/>
      <c r="LC243" s="9"/>
      <c r="LD243" s="9"/>
      <c r="LE243" s="9"/>
      <c r="LF243" s="9"/>
      <c r="LG243" s="9"/>
      <c r="LH243" s="9"/>
      <c r="LI243" s="9"/>
      <c r="LJ243" s="9"/>
      <c r="LK243" s="9"/>
      <c r="LL243" s="9"/>
      <c r="LM243" s="9"/>
      <c r="LN243" s="9"/>
      <c r="LO243" s="9"/>
      <c r="LP243" s="9"/>
      <c r="LQ243" s="9"/>
      <c r="LR243" s="9"/>
      <c r="LS243" s="9"/>
      <c r="LT243" s="9"/>
      <c r="LU243" s="9"/>
      <c r="LV243" s="9"/>
      <c r="LW243" s="9"/>
      <c r="LX243" s="9"/>
      <c r="LY243" s="9"/>
      <c r="LZ243" s="9"/>
      <c r="MA243" s="9"/>
      <c r="MB243" s="9"/>
      <c r="MC243" s="9"/>
      <c r="MD243" s="9"/>
      <c r="ME243" s="9"/>
      <c r="MF243" s="9"/>
      <c r="MG243" s="9"/>
      <c r="MH243" s="9"/>
      <c r="MI243" s="9"/>
      <c r="MJ243" s="9"/>
      <c r="MK243" s="9"/>
      <c r="ML243" s="9"/>
      <c r="MM243" s="9"/>
      <c r="MN243" s="9"/>
      <c r="MO243" s="9"/>
      <c r="MP243" s="9"/>
      <c r="MQ243" s="9"/>
      <c r="MR243" s="9"/>
      <c r="MS243" s="9"/>
      <c r="MT243" s="9"/>
      <c r="MU243" s="9"/>
      <c r="MV243" s="9"/>
      <c r="MW243" s="9"/>
      <c r="MX243" s="9"/>
      <c r="MY243" s="9"/>
      <c r="MZ243" s="9"/>
      <c r="NA243" s="9"/>
      <c r="NB243" s="9"/>
      <c r="NC243" s="9"/>
      <c r="ND243" s="9"/>
      <c r="NE243" s="9"/>
      <c r="NF243" s="9"/>
      <c r="NG243" s="9"/>
      <c r="NH243" s="9"/>
      <c r="NI243" s="9"/>
      <c r="NJ243" s="9"/>
      <c r="NK243" s="9"/>
      <c r="NL243" s="9"/>
      <c r="NM243" s="9"/>
      <c r="NN243" s="9"/>
      <c r="NO243" s="9"/>
      <c r="NP243" s="9"/>
      <c r="NQ243" s="9"/>
      <c r="NR243" s="9"/>
      <c r="NS243" s="9"/>
      <c r="NT243" s="9"/>
      <c r="NU243" s="9"/>
      <c r="NV243" s="9"/>
      <c r="NW243" s="9"/>
      <c r="NX243" s="9"/>
      <c r="NY243" s="9"/>
      <c r="NZ243" s="9"/>
      <c r="OA243" s="9"/>
      <c r="OB243" s="9"/>
      <c r="OC243" s="9"/>
      <c r="OD243" s="9"/>
      <c r="OE243" s="9"/>
      <c r="OF243" s="9"/>
      <c r="OG243" s="9"/>
      <c r="OH243" s="9"/>
      <c r="OI243" s="9"/>
      <c r="OJ243" s="9"/>
      <c r="OK243" s="9"/>
      <c r="OL243" s="9"/>
      <c r="OM243" s="9"/>
      <c r="ON243" s="9"/>
      <c r="OO243" s="9"/>
      <c r="OP243" s="9"/>
      <c r="OQ243" s="9"/>
      <c r="OR243" s="9"/>
      <c r="OS243" s="9"/>
      <c r="OT243" s="9"/>
      <c r="OU243" s="9"/>
      <c r="OV243" s="9"/>
      <c r="OW243" s="9"/>
      <c r="OX243" s="9"/>
      <c r="OY243" s="9"/>
      <c r="OZ243" s="9"/>
      <c r="PA243" s="9"/>
      <c r="PB243" s="9"/>
      <c r="PC243" s="9"/>
      <c r="PD243" s="9"/>
      <c r="PE243" s="9"/>
      <c r="PF243" s="9"/>
      <c r="PG243" s="9"/>
      <c r="PH243" s="9"/>
      <c r="PI243" s="9"/>
      <c r="PJ243" s="9"/>
      <c r="PK243" s="9"/>
      <c r="PL243" s="9"/>
      <c r="PM243" s="9"/>
      <c r="PN243" s="9"/>
      <c r="PO243" s="9"/>
      <c r="PP243" s="9"/>
      <c r="PQ243" s="9"/>
      <c r="PR243" s="9"/>
      <c r="PS243" s="9"/>
      <c r="PT243" s="9"/>
      <c r="PU243" s="9"/>
      <c r="PV243" s="9"/>
      <c r="PW243" s="9"/>
      <c r="PX243" s="9"/>
      <c r="PY243" s="9"/>
      <c r="PZ243" s="9"/>
      <c r="QA243" s="9"/>
      <c r="QB243" s="9"/>
      <c r="QC243" s="9"/>
      <c r="QD243" s="9"/>
      <c r="QE243" s="9"/>
      <c r="QF243" s="9"/>
      <c r="QG243" s="9"/>
      <c r="QH243" s="9"/>
      <c r="QI243" s="9"/>
      <c r="QJ243" s="9"/>
      <c r="QK243" s="9"/>
      <c r="QL243" s="9"/>
      <c r="QM243" s="9"/>
      <c r="QN243" s="9"/>
      <c r="QO243" s="9"/>
      <c r="QP243" s="9"/>
      <c r="QQ243" s="67"/>
      <c r="QR243" s="68"/>
      <c r="QS243" s="63"/>
      <c r="QT243" s="71"/>
    </row>
    <row r="244" spans="1:462" s="11" customFormat="1" x14ac:dyDescent="0.2">
      <c r="A244" s="9">
        <v>20</v>
      </c>
      <c r="B244" s="9"/>
      <c r="C244" s="9"/>
      <c r="D244" s="9" t="s">
        <v>381</v>
      </c>
      <c r="E244" s="65" t="s">
        <v>508</v>
      </c>
      <c r="F244" s="65"/>
      <c r="G244" s="92" t="s">
        <v>2269</v>
      </c>
      <c r="H244" s="66" t="s">
        <v>1165</v>
      </c>
      <c r="I244" s="9" t="s">
        <v>1101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 t="s">
        <v>1101</v>
      </c>
      <c r="DP244" s="9"/>
      <c r="DQ244" s="9" t="s">
        <v>1101</v>
      </c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  <c r="HE244" s="9"/>
      <c r="HF244" s="9"/>
      <c r="HG244" s="9"/>
      <c r="HH244" s="9"/>
      <c r="HI244" s="9"/>
      <c r="HJ244" s="9"/>
      <c r="HK244" s="9"/>
      <c r="HL244" s="9"/>
      <c r="HM244" s="9"/>
      <c r="HN244" s="9"/>
      <c r="HO244" s="9"/>
      <c r="HP244" s="9"/>
      <c r="HQ244" s="9"/>
      <c r="HR244" s="9"/>
      <c r="HS244" s="9"/>
      <c r="HT244" s="9"/>
      <c r="HU244" s="9"/>
      <c r="HV244" s="9"/>
      <c r="HW244" s="9"/>
      <c r="HX244" s="9"/>
      <c r="HY244" s="9"/>
      <c r="HZ244" s="9"/>
      <c r="IA244" s="9"/>
      <c r="IB244" s="9"/>
      <c r="IC244" s="9"/>
      <c r="ID244" s="9"/>
      <c r="IE244" s="9"/>
      <c r="IF244" s="9"/>
      <c r="IG244" s="9"/>
      <c r="IH244" s="9"/>
      <c r="II244" s="9"/>
      <c r="IJ244" s="9"/>
      <c r="IK244" s="9"/>
      <c r="IL244" s="9"/>
      <c r="IM244" s="9"/>
      <c r="IN244" s="9"/>
      <c r="IO244" s="9"/>
      <c r="IP244" s="9"/>
      <c r="IQ244" s="9"/>
      <c r="IR244" s="9"/>
      <c r="IS244" s="9"/>
      <c r="IT244" s="9"/>
      <c r="IU244" s="9"/>
      <c r="IV244" s="9"/>
      <c r="IW244" s="9"/>
      <c r="IX244" s="9"/>
      <c r="IY244" s="9"/>
      <c r="IZ244" s="9"/>
      <c r="JA244" s="9"/>
      <c r="JB244" s="9"/>
      <c r="JC244" s="9"/>
      <c r="JD244" s="9"/>
      <c r="JE244" s="9"/>
      <c r="JF244" s="9"/>
      <c r="JG244" s="9"/>
      <c r="JH244" s="9"/>
      <c r="JI244" s="9"/>
      <c r="JJ244" s="9"/>
      <c r="JK244" s="9"/>
      <c r="JL244" s="9"/>
      <c r="JM244" s="9"/>
      <c r="JN244" s="9"/>
      <c r="JO244" s="9"/>
      <c r="JP244" s="9"/>
      <c r="JQ244" s="9"/>
      <c r="JR244" s="9"/>
      <c r="JS244" s="9"/>
      <c r="JT244" s="9"/>
      <c r="JU244" s="9"/>
      <c r="JV244" s="9"/>
      <c r="JW244" s="9"/>
      <c r="JX244" s="9"/>
      <c r="JY244" s="9"/>
      <c r="JZ244" s="9"/>
      <c r="KA244" s="9"/>
      <c r="KB244" s="9"/>
      <c r="KC244" s="9"/>
      <c r="KD244" s="9"/>
      <c r="KE244" s="9"/>
      <c r="KF244" s="9"/>
      <c r="KG244" s="9"/>
      <c r="KH244" s="9"/>
      <c r="KI244" s="9"/>
      <c r="KJ244" s="9"/>
      <c r="KK244" s="9"/>
      <c r="KL244" s="9"/>
      <c r="KM244" s="9"/>
      <c r="KN244" s="9"/>
      <c r="KO244" s="9"/>
      <c r="KP244" s="9"/>
      <c r="KQ244" s="9"/>
      <c r="KR244" s="9"/>
      <c r="KS244" s="9"/>
      <c r="KT244" s="9"/>
      <c r="KU244" s="9"/>
      <c r="KV244" s="9"/>
      <c r="KW244" s="9"/>
      <c r="KX244" s="9"/>
      <c r="KY244" s="9"/>
      <c r="KZ244" s="9"/>
      <c r="LA244" s="9"/>
      <c r="LB244" s="9"/>
      <c r="LC244" s="9"/>
      <c r="LD244" s="9"/>
      <c r="LE244" s="9"/>
      <c r="LF244" s="9"/>
      <c r="LG244" s="9"/>
      <c r="LH244" s="9"/>
      <c r="LI244" s="9"/>
      <c r="LJ244" s="9"/>
      <c r="LK244" s="9"/>
      <c r="LL244" s="9"/>
      <c r="LM244" s="9"/>
      <c r="LN244" s="9"/>
      <c r="LO244" s="9"/>
      <c r="LP244" s="9"/>
      <c r="LQ244" s="9"/>
      <c r="LR244" s="9"/>
      <c r="LS244" s="9"/>
      <c r="LT244" s="9"/>
      <c r="LU244" s="9"/>
      <c r="LV244" s="9"/>
      <c r="LW244" s="9"/>
      <c r="LX244" s="9"/>
      <c r="LY244" s="9"/>
      <c r="LZ244" s="9"/>
      <c r="MA244" s="9"/>
      <c r="MB244" s="9"/>
      <c r="MC244" s="9"/>
      <c r="MD244" s="9"/>
      <c r="ME244" s="9"/>
      <c r="MF244" s="9"/>
      <c r="MG244" s="9"/>
      <c r="MH244" s="9"/>
      <c r="MI244" s="9"/>
      <c r="MJ244" s="9"/>
      <c r="MK244" s="9"/>
      <c r="ML244" s="9"/>
      <c r="MM244" s="9"/>
      <c r="MN244" s="9"/>
      <c r="MO244" s="9"/>
      <c r="MP244" s="9"/>
      <c r="MQ244" s="9"/>
      <c r="MR244" s="9"/>
      <c r="MS244" s="9"/>
      <c r="MT244" s="9"/>
      <c r="MU244" s="9"/>
      <c r="MV244" s="9"/>
      <c r="MW244" s="9"/>
      <c r="MX244" s="9"/>
      <c r="MY244" s="9"/>
      <c r="MZ244" s="9"/>
      <c r="NA244" s="9"/>
      <c r="NB244" s="9"/>
      <c r="NC244" s="9"/>
      <c r="ND244" s="9"/>
      <c r="NE244" s="9"/>
      <c r="NF244" s="9"/>
      <c r="NG244" s="9"/>
      <c r="NH244" s="9"/>
      <c r="NI244" s="9"/>
      <c r="NJ244" s="9"/>
      <c r="NK244" s="9"/>
      <c r="NL244" s="9"/>
      <c r="NM244" s="9"/>
      <c r="NN244" s="9"/>
      <c r="NO244" s="9"/>
      <c r="NP244" s="9"/>
      <c r="NQ244" s="9"/>
      <c r="NR244" s="9"/>
      <c r="NS244" s="9"/>
      <c r="NT244" s="9"/>
      <c r="NU244" s="9"/>
      <c r="NV244" s="9"/>
      <c r="NW244" s="9"/>
      <c r="NX244" s="9"/>
      <c r="NY244" s="9"/>
      <c r="NZ244" s="9"/>
      <c r="OA244" s="9"/>
      <c r="OB244" s="9"/>
      <c r="OC244" s="9"/>
      <c r="OD244" s="9"/>
      <c r="OE244" s="9"/>
      <c r="OF244" s="9"/>
      <c r="OG244" s="9"/>
      <c r="OH244" s="9"/>
      <c r="OI244" s="9"/>
      <c r="OJ244" s="9"/>
      <c r="OK244" s="9"/>
      <c r="OL244" s="9"/>
      <c r="OM244" s="9"/>
      <c r="ON244" s="9"/>
      <c r="OO244" s="9"/>
      <c r="OP244" s="9"/>
      <c r="OQ244" s="9"/>
      <c r="OR244" s="9"/>
      <c r="OS244" s="9"/>
      <c r="OT244" s="9"/>
      <c r="OU244" s="9"/>
      <c r="OV244" s="9"/>
      <c r="OW244" s="9"/>
      <c r="OX244" s="9"/>
      <c r="OY244" s="9"/>
      <c r="OZ244" s="9"/>
      <c r="PA244" s="9"/>
      <c r="PB244" s="9"/>
      <c r="PC244" s="9"/>
      <c r="PD244" s="9"/>
      <c r="PE244" s="9"/>
      <c r="PF244" s="9"/>
      <c r="PG244" s="9"/>
      <c r="PH244" s="9"/>
      <c r="PI244" s="9"/>
      <c r="PJ244" s="9"/>
      <c r="PK244" s="9"/>
      <c r="PL244" s="9"/>
      <c r="PM244" s="9"/>
      <c r="PN244" s="9"/>
      <c r="PO244" s="9"/>
      <c r="PP244" s="9"/>
      <c r="PQ244" s="9"/>
      <c r="PR244" s="9"/>
      <c r="PS244" s="9"/>
      <c r="PT244" s="9"/>
      <c r="PU244" s="9"/>
      <c r="PV244" s="9"/>
      <c r="PW244" s="9"/>
      <c r="PX244" s="9"/>
      <c r="PY244" s="9"/>
      <c r="PZ244" s="9"/>
      <c r="QA244" s="9"/>
      <c r="QB244" s="9"/>
      <c r="QC244" s="9"/>
      <c r="QD244" s="9"/>
      <c r="QE244" s="9"/>
      <c r="QF244" s="9"/>
      <c r="QG244" s="9"/>
      <c r="QH244" s="9"/>
      <c r="QI244" s="9"/>
      <c r="QJ244" s="9"/>
      <c r="QK244" s="9"/>
      <c r="QL244" s="9"/>
      <c r="QM244" s="9"/>
      <c r="QN244" s="9"/>
      <c r="QO244" s="9"/>
      <c r="QP244" s="9"/>
      <c r="QQ244" s="67"/>
      <c r="QR244" s="68"/>
      <c r="QS244" s="63"/>
      <c r="QT244" s="71"/>
    </row>
    <row r="245" spans="1:462" s="11" customFormat="1" ht="26" x14ac:dyDescent="0.2">
      <c r="A245" s="9">
        <v>20</v>
      </c>
      <c r="B245" s="9"/>
      <c r="C245" s="9"/>
      <c r="D245" s="9" t="s">
        <v>385</v>
      </c>
      <c r="E245" s="65" t="s">
        <v>512</v>
      </c>
      <c r="F245" s="65"/>
      <c r="G245" s="92" t="s">
        <v>2276</v>
      </c>
      <c r="H245" s="66" t="s">
        <v>1174</v>
      </c>
      <c r="I245" s="9" t="s">
        <v>1101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 t="s">
        <v>1101</v>
      </c>
      <c r="DX245" s="9"/>
      <c r="DY245" s="9" t="s">
        <v>1101</v>
      </c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  <c r="HE245" s="9"/>
      <c r="HF245" s="9"/>
      <c r="HG245" s="9"/>
      <c r="HH245" s="9"/>
      <c r="HI245" s="9"/>
      <c r="HJ245" s="9"/>
      <c r="HK245" s="9"/>
      <c r="HL245" s="9"/>
      <c r="HM245" s="9"/>
      <c r="HN245" s="9"/>
      <c r="HO245" s="9"/>
      <c r="HP245" s="9"/>
      <c r="HQ245" s="9"/>
      <c r="HR245" s="9"/>
      <c r="HS245" s="9"/>
      <c r="HT245" s="9"/>
      <c r="HU245" s="9"/>
      <c r="HV245" s="9"/>
      <c r="HW245" s="9"/>
      <c r="HX245" s="9"/>
      <c r="HY245" s="9"/>
      <c r="HZ245" s="9"/>
      <c r="IA245" s="9"/>
      <c r="IB245" s="9"/>
      <c r="IC245" s="9"/>
      <c r="ID245" s="9"/>
      <c r="IE245" s="9"/>
      <c r="IF245" s="9"/>
      <c r="IG245" s="9"/>
      <c r="IH245" s="9"/>
      <c r="II245" s="9"/>
      <c r="IJ245" s="9"/>
      <c r="IK245" s="9"/>
      <c r="IL245" s="9"/>
      <c r="IM245" s="9"/>
      <c r="IN245" s="9"/>
      <c r="IO245" s="9"/>
      <c r="IP245" s="9"/>
      <c r="IQ245" s="9"/>
      <c r="IR245" s="9"/>
      <c r="IS245" s="9"/>
      <c r="IT245" s="9"/>
      <c r="IU245" s="9"/>
      <c r="IV245" s="9"/>
      <c r="IW245" s="9"/>
      <c r="IX245" s="9"/>
      <c r="IY245" s="9"/>
      <c r="IZ245" s="9"/>
      <c r="JA245" s="9"/>
      <c r="JB245" s="9"/>
      <c r="JC245" s="9"/>
      <c r="JD245" s="9"/>
      <c r="JE245" s="9"/>
      <c r="JF245" s="9"/>
      <c r="JG245" s="9"/>
      <c r="JH245" s="9"/>
      <c r="JI245" s="9"/>
      <c r="JJ245" s="9"/>
      <c r="JK245" s="9"/>
      <c r="JL245" s="9"/>
      <c r="JM245" s="9"/>
      <c r="JN245" s="9"/>
      <c r="JO245" s="9"/>
      <c r="JP245" s="9"/>
      <c r="JQ245" s="9"/>
      <c r="JR245" s="9"/>
      <c r="JS245" s="9"/>
      <c r="JT245" s="9"/>
      <c r="JU245" s="9"/>
      <c r="JV245" s="9"/>
      <c r="JW245" s="9"/>
      <c r="JX245" s="9"/>
      <c r="JY245" s="9"/>
      <c r="JZ245" s="9"/>
      <c r="KA245" s="9"/>
      <c r="KB245" s="9"/>
      <c r="KC245" s="9"/>
      <c r="KD245" s="9"/>
      <c r="KE245" s="9"/>
      <c r="KF245" s="9"/>
      <c r="KG245" s="9"/>
      <c r="KH245" s="9"/>
      <c r="KI245" s="9"/>
      <c r="KJ245" s="9"/>
      <c r="KK245" s="9"/>
      <c r="KL245" s="9"/>
      <c r="KM245" s="9"/>
      <c r="KN245" s="9"/>
      <c r="KO245" s="9"/>
      <c r="KP245" s="9"/>
      <c r="KQ245" s="9"/>
      <c r="KR245" s="9"/>
      <c r="KS245" s="9"/>
      <c r="KT245" s="9"/>
      <c r="KU245" s="9"/>
      <c r="KV245" s="9"/>
      <c r="KW245" s="9"/>
      <c r="KX245" s="9"/>
      <c r="KY245" s="9"/>
      <c r="KZ245" s="9"/>
      <c r="LA245" s="9"/>
      <c r="LB245" s="9"/>
      <c r="LC245" s="9"/>
      <c r="LD245" s="9"/>
      <c r="LE245" s="9"/>
      <c r="LF245" s="9"/>
      <c r="LG245" s="9"/>
      <c r="LH245" s="9"/>
      <c r="LI245" s="9"/>
      <c r="LJ245" s="9"/>
      <c r="LK245" s="9"/>
      <c r="LL245" s="9"/>
      <c r="LM245" s="9"/>
      <c r="LN245" s="9"/>
      <c r="LO245" s="9"/>
      <c r="LP245" s="9"/>
      <c r="LQ245" s="9"/>
      <c r="LR245" s="9"/>
      <c r="LS245" s="9"/>
      <c r="LT245" s="9"/>
      <c r="LU245" s="9"/>
      <c r="LV245" s="9"/>
      <c r="LW245" s="9"/>
      <c r="LX245" s="9"/>
      <c r="LY245" s="9"/>
      <c r="LZ245" s="9"/>
      <c r="MA245" s="9"/>
      <c r="MB245" s="9"/>
      <c r="MC245" s="9"/>
      <c r="MD245" s="9"/>
      <c r="ME245" s="9"/>
      <c r="MF245" s="9"/>
      <c r="MG245" s="9"/>
      <c r="MH245" s="9"/>
      <c r="MI245" s="9"/>
      <c r="MJ245" s="9"/>
      <c r="MK245" s="9"/>
      <c r="ML245" s="9"/>
      <c r="MM245" s="9"/>
      <c r="MN245" s="9"/>
      <c r="MO245" s="9"/>
      <c r="MP245" s="9"/>
      <c r="MQ245" s="9"/>
      <c r="MR245" s="9"/>
      <c r="MS245" s="9"/>
      <c r="MT245" s="9"/>
      <c r="MU245" s="9"/>
      <c r="MV245" s="9"/>
      <c r="MW245" s="9"/>
      <c r="MX245" s="9"/>
      <c r="MY245" s="9"/>
      <c r="MZ245" s="9"/>
      <c r="NA245" s="9"/>
      <c r="NB245" s="9"/>
      <c r="NC245" s="9"/>
      <c r="ND245" s="9"/>
      <c r="NE245" s="9"/>
      <c r="NF245" s="9"/>
      <c r="NG245" s="9"/>
      <c r="NH245" s="9"/>
      <c r="NI245" s="9"/>
      <c r="NJ245" s="9"/>
      <c r="NK245" s="9"/>
      <c r="NL245" s="9"/>
      <c r="NM245" s="9"/>
      <c r="NN245" s="9"/>
      <c r="NO245" s="9"/>
      <c r="NP245" s="9"/>
      <c r="NQ245" s="9"/>
      <c r="NR245" s="9"/>
      <c r="NS245" s="9"/>
      <c r="NT245" s="9"/>
      <c r="NU245" s="9"/>
      <c r="NV245" s="9"/>
      <c r="NW245" s="9"/>
      <c r="NX245" s="9"/>
      <c r="NY245" s="9"/>
      <c r="NZ245" s="9"/>
      <c r="OA245" s="9"/>
      <c r="OB245" s="9"/>
      <c r="OC245" s="9"/>
      <c r="OD245" s="9"/>
      <c r="OE245" s="9"/>
      <c r="OF245" s="9"/>
      <c r="OG245" s="9"/>
      <c r="OH245" s="9"/>
      <c r="OI245" s="9"/>
      <c r="OJ245" s="9"/>
      <c r="OK245" s="9"/>
      <c r="OL245" s="9"/>
      <c r="OM245" s="9"/>
      <c r="ON245" s="9"/>
      <c r="OO245" s="9"/>
      <c r="OP245" s="9"/>
      <c r="OQ245" s="9"/>
      <c r="OR245" s="9"/>
      <c r="OS245" s="9"/>
      <c r="OT245" s="9"/>
      <c r="OU245" s="9"/>
      <c r="OV245" s="9"/>
      <c r="OW245" s="9"/>
      <c r="OX245" s="9"/>
      <c r="OY245" s="9"/>
      <c r="OZ245" s="9"/>
      <c r="PA245" s="9"/>
      <c r="PB245" s="9"/>
      <c r="PC245" s="9"/>
      <c r="PD245" s="9"/>
      <c r="PE245" s="9"/>
      <c r="PF245" s="9"/>
      <c r="PG245" s="9"/>
      <c r="PH245" s="9"/>
      <c r="PI245" s="9"/>
      <c r="PJ245" s="9"/>
      <c r="PK245" s="9"/>
      <c r="PL245" s="9"/>
      <c r="PM245" s="9"/>
      <c r="PN245" s="9"/>
      <c r="PO245" s="9"/>
      <c r="PP245" s="9"/>
      <c r="PQ245" s="9"/>
      <c r="PR245" s="9"/>
      <c r="PS245" s="9"/>
      <c r="PT245" s="9"/>
      <c r="PU245" s="9"/>
      <c r="PV245" s="9"/>
      <c r="PW245" s="9"/>
      <c r="PX245" s="9"/>
      <c r="PY245" s="9"/>
      <c r="PZ245" s="9"/>
      <c r="QA245" s="9"/>
      <c r="QB245" s="9"/>
      <c r="QC245" s="9"/>
      <c r="QD245" s="9"/>
      <c r="QE245" s="9"/>
      <c r="QF245" s="9"/>
      <c r="QG245" s="9"/>
      <c r="QH245" s="9"/>
      <c r="QI245" s="9"/>
      <c r="QJ245" s="9"/>
      <c r="QK245" s="9"/>
      <c r="QL245" s="9"/>
      <c r="QM245" s="9"/>
      <c r="QN245" s="9"/>
      <c r="QO245" s="9"/>
      <c r="QP245" s="9"/>
      <c r="QQ245" s="67"/>
      <c r="QR245" s="68"/>
      <c r="QS245" s="63"/>
      <c r="QT245" s="71"/>
    </row>
    <row r="246" spans="1:462" s="11" customFormat="1" x14ac:dyDescent="0.2">
      <c r="A246" s="9">
        <v>20</v>
      </c>
      <c r="B246" s="9"/>
      <c r="C246" s="9"/>
      <c r="D246" s="9" t="s">
        <v>387</v>
      </c>
      <c r="E246" s="65" t="s">
        <v>743</v>
      </c>
      <c r="F246" s="65"/>
      <c r="G246" s="92" t="s">
        <v>2279</v>
      </c>
      <c r="H246" s="66" t="s">
        <v>1177</v>
      </c>
      <c r="I246" s="9" t="s">
        <v>1101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 t="s">
        <v>1101</v>
      </c>
      <c r="EF246" s="9"/>
      <c r="EG246" s="9" t="s">
        <v>1101</v>
      </c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  <c r="HE246" s="9"/>
      <c r="HF246" s="9"/>
      <c r="HG246" s="9"/>
      <c r="HH246" s="9"/>
      <c r="HI246" s="9"/>
      <c r="HJ246" s="9"/>
      <c r="HK246" s="9"/>
      <c r="HL246" s="9"/>
      <c r="HM246" s="9"/>
      <c r="HN246" s="9"/>
      <c r="HO246" s="9"/>
      <c r="HP246" s="9"/>
      <c r="HQ246" s="9"/>
      <c r="HR246" s="9"/>
      <c r="HS246" s="9"/>
      <c r="HT246" s="9"/>
      <c r="HU246" s="9"/>
      <c r="HV246" s="9"/>
      <c r="HW246" s="9"/>
      <c r="HX246" s="9"/>
      <c r="HY246" s="9"/>
      <c r="HZ246" s="9"/>
      <c r="IA246" s="9"/>
      <c r="IB246" s="9"/>
      <c r="IC246" s="9"/>
      <c r="ID246" s="9"/>
      <c r="IE246" s="9"/>
      <c r="IF246" s="9"/>
      <c r="IG246" s="9"/>
      <c r="IH246" s="9"/>
      <c r="II246" s="9"/>
      <c r="IJ246" s="9"/>
      <c r="IK246" s="9"/>
      <c r="IL246" s="9"/>
      <c r="IM246" s="9"/>
      <c r="IN246" s="9"/>
      <c r="IO246" s="9"/>
      <c r="IP246" s="9"/>
      <c r="IQ246" s="9"/>
      <c r="IR246" s="9"/>
      <c r="IS246" s="9"/>
      <c r="IT246" s="9"/>
      <c r="IU246" s="9"/>
      <c r="IV246" s="9"/>
      <c r="IW246" s="9"/>
      <c r="IX246" s="9"/>
      <c r="IY246" s="9"/>
      <c r="IZ246" s="9"/>
      <c r="JA246" s="9"/>
      <c r="JB246" s="9"/>
      <c r="JC246" s="9"/>
      <c r="JD246" s="9"/>
      <c r="JE246" s="9"/>
      <c r="JF246" s="9"/>
      <c r="JG246" s="9"/>
      <c r="JH246" s="9"/>
      <c r="JI246" s="9"/>
      <c r="JJ246" s="9"/>
      <c r="JK246" s="9"/>
      <c r="JL246" s="9"/>
      <c r="JM246" s="9"/>
      <c r="JN246" s="9"/>
      <c r="JO246" s="9"/>
      <c r="JP246" s="9"/>
      <c r="JQ246" s="9"/>
      <c r="JR246" s="9"/>
      <c r="JS246" s="9"/>
      <c r="JT246" s="9"/>
      <c r="JU246" s="9"/>
      <c r="JV246" s="9"/>
      <c r="JW246" s="9"/>
      <c r="JX246" s="9"/>
      <c r="JY246" s="9"/>
      <c r="JZ246" s="9"/>
      <c r="KA246" s="9"/>
      <c r="KB246" s="9"/>
      <c r="KC246" s="9"/>
      <c r="KD246" s="9"/>
      <c r="KE246" s="9"/>
      <c r="KF246" s="9"/>
      <c r="KG246" s="9"/>
      <c r="KH246" s="9"/>
      <c r="KI246" s="9"/>
      <c r="KJ246" s="9"/>
      <c r="KK246" s="9"/>
      <c r="KL246" s="9"/>
      <c r="KM246" s="9"/>
      <c r="KN246" s="9"/>
      <c r="KO246" s="9"/>
      <c r="KP246" s="9"/>
      <c r="KQ246" s="9"/>
      <c r="KR246" s="9"/>
      <c r="KS246" s="9"/>
      <c r="KT246" s="9"/>
      <c r="KU246" s="9"/>
      <c r="KV246" s="9"/>
      <c r="KW246" s="9"/>
      <c r="KX246" s="9"/>
      <c r="KY246" s="9"/>
      <c r="KZ246" s="9"/>
      <c r="LA246" s="9"/>
      <c r="LB246" s="9"/>
      <c r="LC246" s="9"/>
      <c r="LD246" s="9"/>
      <c r="LE246" s="9"/>
      <c r="LF246" s="9"/>
      <c r="LG246" s="9"/>
      <c r="LH246" s="9"/>
      <c r="LI246" s="9"/>
      <c r="LJ246" s="9"/>
      <c r="LK246" s="9"/>
      <c r="LL246" s="9"/>
      <c r="LM246" s="9"/>
      <c r="LN246" s="9"/>
      <c r="LO246" s="9"/>
      <c r="LP246" s="9"/>
      <c r="LQ246" s="9"/>
      <c r="LR246" s="9"/>
      <c r="LS246" s="9"/>
      <c r="LT246" s="9"/>
      <c r="LU246" s="9"/>
      <c r="LV246" s="9"/>
      <c r="LW246" s="9"/>
      <c r="LX246" s="9"/>
      <c r="LY246" s="9"/>
      <c r="LZ246" s="9"/>
      <c r="MA246" s="9"/>
      <c r="MB246" s="9"/>
      <c r="MC246" s="9"/>
      <c r="MD246" s="9"/>
      <c r="ME246" s="9"/>
      <c r="MF246" s="9"/>
      <c r="MG246" s="9"/>
      <c r="MH246" s="9"/>
      <c r="MI246" s="9"/>
      <c r="MJ246" s="9"/>
      <c r="MK246" s="9"/>
      <c r="ML246" s="9"/>
      <c r="MM246" s="9"/>
      <c r="MN246" s="9"/>
      <c r="MO246" s="9"/>
      <c r="MP246" s="9"/>
      <c r="MQ246" s="9"/>
      <c r="MR246" s="9"/>
      <c r="MS246" s="9"/>
      <c r="MT246" s="9"/>
      <c r="MU246" s="9"/>
      <c r="MV246" s="9"/>
      <c r="MW246" s="9"/>
      <c r="MX246" s="9"/>
      <c r="MY246" s="9"/>
      <c r="MZ246" s="9"/>
      <c r="NA246" s="9"/>
      <c r="NB246" s="9"/>
      <c r="NC246" s="9"/>
      <c r="ND246" s="9"/>
      <c r="NE246" s="9"/>
      <c r="NF246" s="9"/>
      <c r="NG246" s="9"/>
      <c r="NH246" s="9"/>
      <c r="NI246" s="9"/>
      <c r="NJ246" s="9"/>
      <c r="NK246" s="9"/>
      <c r="NL246" s="9"/>
      <c r="NM246" s="9"/>
      <c r="NN246" s="9"/>
      <c r="NO246" s="9"/>
      <c r="NP246" s="9"/>
      <c r="NQ246" s="9"/>
      <c r="NR246" s="9"/>
      <c r="NS246" s="9"/>
      <c r="NT246" s="9"/>
      <c r="NU246" s="9"/>
      <c r="NV246" s="9"/>
      <c r="NW246" s="9"/>
      <c r="NX246" s="9"/>
      <c r="NY246" s="9"/>
      <c r="NZ246" s="9"/>
      <c r="OA246" s="9"/>
      <c r="OB246" s="9"/>
      <c r="OC246" s="9"/>
      <c r="OD246" s="9"/>
      <c r="OE246" s="9"/>
      <c r="OF246" s="9"/>
      <c r="OG246" s="9"/>
      <c r="OH246" s="9"/>
      <c r="OI246" s="9"/>
      <c r="OJ246" s="9"/>
      <c r="OK246" s="9"/>
      <c r="OL246" s="9"/>
      <c r="OM246" s="9"/>
      <c r="ON246" s="9"/>
      <c r="OO246" s="9"/>
      <c r="OP246" s="9"/>
      <c r="OQ246" s="9"/>
      <c r="OR246" s="9"/>
      <c r="OS246" s="9"/>
      <c r="OT246" s="9"/>
      <c r="OU246" s="9"/>
      <c r="OV246" s="9"/>
      <c r="OW246" s="9"/>
      <c r="OX246" s="9"/>
      <c r="OY246" s="9"/>
      <c r="OZ246" s="9"/>
      <c r="PA246" s="9"/>
      <c r="PB246" s="9"/>
      <c r="PC246" s="9"/>
      <c r="PD246" s="9"/>
      <c r="PE246" s="9"/>
      <c r="PF246" s="9"/>
      <c r="PG246" s="9"/>
      <c r="PH246" s="9"/>
      <c r="PI246" s="9"/>
      <c r="PJ246" s="9"/>
      <c r="PK246" s="9"/>
      <c r="PL246" s="9"/>
      <c r="PM246" s="9"/>
      <c r="PN246" s="9"/>
      <c r="PO246" s="9"/>
      <c r="PP246" s="9"/>
      <c r="PQ246" s="9"/>
      <c r="PR246" s="9"/>
      <c r="PS246" s="9"/>
      <c r="PT246" s="9"/>
      <c r="PU246" s="9"/>
      <c r="PV246" s="9"/>
      <c r="PW246" s="9"/>
      <c r="PX246" s="9"/>
      <c r="PY246" s="9"/>
      <c r="PZ246" s="9"/>
      <c r="QA246" s="9"/>
      <c r="QB246" s="9"/>
      <c r="QC246" s="9"/>
      <c r="QD246" s="9"/>
      <c r="QE246" s="9"/>
      <c r="QF246" s="9"/>
      <c r="QG246" s="9"/>
      <c r="QH246" s="9"/>
      <c r="QI246" s="9"/>
      <c r="QJ246" s="9"/>
      <c r="QK246" s="9"/>
      <c r="QL246" s="9"/>
      <c r="QM246" s="9"/>
      <c r="QN246" s="9"/>
      <c r="QO246" s="9"/>
      <c r="QP246" s="9"/>
      <c r="QQ246" s="67"/>
      <c r="QR246" s="68"/>
      <c r="QS246" s="63"/>
      <c r="QT246" s="71"/>
    </row>
    <row r="247" spans="1:462" s="11" customFormat="1" ht="26" x14ac:dyDescent="0.2">
      <c r="A247" s="9">
        <v>20</v>
      </c>
      <c r="B247" s="9"/>
      <c r="C247" s="9"/>
      <c r="D247" s="9" t="s">
        <v>391</v>
      </c>
      <c r="E247" s="65" t="s">
        <v>514</v>
      </c>
      <c r="F247" s="65"/>
      <c r="G247" s="92" t="s">
        <v>2284</v>
      </c>
      <c r="H247" s="66" t="s">
        <v>1184</v>
      </c>
      <c r="I247" s="9" t="s">
        <v>1101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 t="s">
        <v>1101</v>
      </c>
      <c r="EN247" s="9"/>
      <c r="EO247" s="9" t="s">
        <v>1101</v>
      </c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  <c r="HE247" s="9"/>
      <c r="HF247" s="9"/>
      <c r="HG247" s="9"/>
      <c r="HH247" s="9"/>
      <c r="HI247" s="9"/>
      <c r="HJ247" s="9"/>
      <c r="HK247" s="9"/>
      <c r="HL247" s="9"/>
      <c r="HM247" s="9"/>
      <c r="HN247" s="9"/>
      <c r="HO247" s="9"/>
      <c r="HP247" s="9"/>
      <c r="HQ247" s="9"/>
      <c r="HR247" s="9"/>
      <c r="HS247" s="9"/>
      <c r="HT247" s="9"/>
      <c r="HU247" s="9"/>
      <c r="HV247" s="9"/>
      <c r="HW247" s="9"/>
      <c r="HX247" s="9"/>
      <c r="HY247" s="9"/>
      <c r="HZ247" s="9"/>
      <c r="IA247" s="9"/>
      <c r="IB247" s="9"/>
      <c r="IC247" s="9"/>
      <c r="ID247" s="9"/>
      <c r="IE247" s="9"/>
      <c r="IF247" s="9"/>
      <c r="IG247" s="9"/>
      <c r="IH247" s="9"/>
      <c r="II247" s="9"/>
      <c r="IJ247" s="9"/>
      <c r="IK247" s="9"/>
      <c r="IL247" s="9"/>
      <c r="IM247" s="9"/>
      <c r="IN247" s="9"/>
      <c r="IO247" s="9"/>
      <c r="IP247" s="9"/>
      <c r="IQ247" s="9"/>
      <c r="IR247" s="9"/>
      <c r="IS247" s="9"/>
      <c r="IT247" s="9"/>
      <c r="IU247" s="9"/>
      <c r="IV247" s="9"/>
      <c r="IW247" s="9"/>
      <c r="IX247" s="9"/>
      <c r="IY247" s="9"/>
      <c r="IZ247" s="9"/>
      <c r="JA247" s="9"/>
      <c r="JB247" s="9"/>
      <c r="JC247" s="9"/>
      <c r="JD247" s="9"/>
      <c r="JE247" s="9"/>
      <c r="JF247" s="9"/>
      <c r="JG247" s="9"/>
      <c r="JH247" s="9"/>
      <c r="JI247" s="9"/>
      <c r="JJ247" s="9"/>
      <c r="JK247" s="9"/>
      <c r="JL247" s="9"/>
      <c r="JM247" s="9"/>
      <c r="JN247" s="9"/>
      <c r="JO247" s="9"/>
      <c r="JP247" s="9"/>
      <c r="JQ247" s="9"/>
      <c r="JR247" s="9"/>
      <c r="JS247" s="9"/>
      <c r="JT247" s="9"/>
      <c r="JU247" s="9"/>
      <c r="JV247" s="9"/>
      <c r="JW247" s="9"/>
      <c r="JX247" s="9"/>
      <c r="JY247" s="9"/>
      <c r="JZ247" s="9"/>
      <c r="KA247" s="9"/>
      <c r="KB247" s="9"/>
      <c r="KC247" s="9"/>
      <c r="KD247" s="9"/>
      <c r="KE247" s="9"/>
      <c r="KF247" s="9"/>
      <c r="KG247" s="9"/>
      <c r="KH247" s="9"/>
      <c r="KI247" s="9"/>
      <c r="KJ247" s="9"/>
      <c r="KK247" s="9"/>
      <c r="KL247" s="9"/>
      <c r="KM247" s="9"/>
      <c r="KN247" s="9"/>
      <c r="KO247" s="9"/>
      <c r="KP247" s="9"/>
      <c r="KQ247" s="9"/>
      <c r="KR247" s="9"/>
      <c r="KS247" s="9"/>
      <c r="KT247" s="9"/>
      <c r="KU247" s="9"/>
      <c r="KV247" s="9"/>
      <c r="KW247" s="9"/>
      <c r="KX247" s="9"/>
      <c r="KY247" s="9"/>
      <c r="KZ247" s="9"/>
      <c r="LA247" s="9"/>
      <c r="LB247" s="9"/>
      <c r="LC247" s="9"/>
      <c r="LD247" s="9"/>
      <c r="LE247" s="9"/>
      <c r="LF247" s="9"/>
      <c r="LG247" s="9"/>
      <c r="LH247" s="9"/>
      <c r="LI247" s="9"/>
      <c r="LJ247" s="9"/>
      <c r="LK247" s="9"/>
      <c r="LL247" s="9"/>
      <c r="LM247" s="9"/>
      <c r="LN247" s="9"/>
      <c r="LO247" s="9"/>
      <c r="LP247" s="9"/>
      <c r="LQ247" s="9"/>
      <c r="LR247" s="9"/>
      <c r="LS247" s="9"/>
      <c r="LT247" s="9"/>
      <c r="LU247" s="9"/>
      <c r="LV247" s="9"/>
      <c r="LW247" s="9"/>
      <c r="LX247" s="9"/>
      <c r="LY247" s="9"/>
      <c r="LZ247" s="9"/>
      <c r="MA247" s="9"/>
      <c r="MB247" s="9"/>
      <c r="MC247" s="9"/>
      <c r="MD247" s="9"/>
      <c r="ME247" s="9"/>
      <c r="MF247" s="9"/>
      <c r="MG247" s="9"/>
      <c r="MH247" s="9"/>
      <c r="MI247" s="9"/>
      <c r="MJ247" s="9"/>
      <c r="MK247" s="9"/>
      <c r="ML247" s="9"/>
      <c r="MM247" s="9"/>
      <c r="MN247" s="9"/>
      <c r="MO247" s="9"/>
      <c r="MP247" s="9"/>
      <c r="MQ247" s="9"/>
      <c r="MR247" s="9"/>
      <c r="MS247" s="9"/>
      <c r="MT247" s="9"/>
      <c r="MU247" s="9"/>
      <c r="MV247" s="9"/>
      <c r="MW247" s="9"/>
      <c r="MX247" s="9"/>
      <c r="MY247" s="9"/>
      <c r="MZ247" s="9"/>
      <c r="NA247" s="9"/>
      <c r="NB247" s="9"/>
      <c r="NC247" s="9"/>
      <c r="ND247" s="9"/>
      <c r="NE247" s="9"/>
      <c r="NF247" s="9"/>
      <c r="NG247" s="9"/>
      <c r="NH247" s="9"/>
      <c r="NI247" s="9"/>
      <c r="NJ247" s="9"/>
      <c r="NK247" s="9"/>
      <c r="NL247" s="9"/>
      <c r="NM247" s="9"/>
      <c r="NN247" s="9"/>
      <c r="NO247" s="9"/>
      <c r="NP247" s="9"/>
      <c r="NQ247" s="9"/>
      <c r="NR247" s="9"/>
      <c r="NS247" s="9"/>
      <c r="NT247" s="9"/>
      <c r="NU247" s="9"/>
      <c r="NV247" s="9"/>
      <c r="NW247" s="9"/>
      <c r="NX247" s="9"/>
      <c r="NY247" s="9"/>
      <c r="NZ247" s="9"/>
      <c r="OA247" s="9"/>
      <c r="OB247" s="9"/>
      <c r="OC247" s="9"/>
      <c r="OD247" s="9"/>
      <c r="OE247" s="9"/>
      <c r="OF247" s="9"/>
      <c r="OG247" s="9"/>
      <c r="OH247" s="9"/>
      <c r="OI247" s="9"/>
      <c r="OJ247" s="9"/>
      <c r="OK247" s="9"/>
      <c r="OL247" s="9"/>
      <c r="OM247" s="9"/>
      <c r="ON247" s="9"/>
      <c r="OO247" s="9"/>
      <c r="OP247" s="9"/>
      <c r="OQ247" s="9"/>
      <c r="OR247" s="9"/>
      <c r="OS247" s="9"/>
      <c r="OT247" s="9"/>
      <c r="OU247" s="9"/>
      <c r="OV247" s="9"/>
      <c r="OW247" s="9"/>
      <c r="OX247" s="9"/>
      <c r="OY247" s="9"/>
      <c r="OZ247" s="9"/>
      <c r="PA247" s="9"/>
      <c r="PB247" s="9"/>
      <c r="PC247" s="9"/>
      <c r="PD247" s="9"/>
      <c r="PE247" s="9"/>
      <c r="PF247" s="9"/>
      <c r="PG247" s="9"/>
      <c r="PH247" s="9"/>
      <c r="PI247" s="9"/>
      <c r="PJ247" s="9"/>
      <c r="PK247" s="9"/>
      <c r="PL247" s="9"/>
      <c r="PM247" s="9"/>
      <c r="PN247" s="9"/>
      <c r="PO247" s="9"/>
      <c r="PP247" s="9"/>
      <c r="PQ247" s="9"/>
      <c r="PR247" s="9"/>
      <c r="PS247" s="9"/>
      <c r="PT247" s="9"/>
      <c r="PU247" s="9"/>
      <c r="PV247" s="9"/>
      <c r="PW247" s="9"/>
      <c r="PX247" s="9"/>
      <c r="PY247" s="9"/>
      <c r="PZ247" s="9"/>
      <c r="QA247" s="9"/>
      <c r="QB247" s="9"/>
      <c r="QC247" s="9"/>
      <c r="QD247" s="9"/>
      <c r="QE247" s="9"/>
      <c r="QF247" s="9"/>
      <c r="QG247" s="9"/>
      <c r="QH247" s="9"/>
      <c r="QI247" s="9"/>
      <c r="QJ247" s="9"/>
      <c r="QK247" s="9"/>
      <c r="QL247" s="9"/>
      <c r="QM247" s="9"/>
      <c r="QN247" s="9"/>
      <c r="QO247" s="9"/>
      <c r="QP247" s="9"/>
      <c r="QQ247" s="67"/>
      <c r="QR247" s="68"/>
      <c r="QS247" s="63"/>
      <c r="QT247" s="71"/>
    </row>
    <row r="248" spans="1:462" s="11" customFormat="1" x14ac:dyDescent="0.2">
      <c r="A248" s="9">
        <v>20</v>
      </c>
      <c r="B248" s="9"/>
      <c r="C248" s="9"/>
      <c r="D248" s="9" t="s">
        <v>402</v>
      </c>
      <c r="E248" s="65" t="s">
        <v>519</v>
      </c>
      <c r="F248" s="65"/>
      <c r="G248" s="92" t="s">
        <v>2295</v>
      </c>
      <c r="H248" s="66" t="s">
        <v>1195</v>
      </c>
      <c r="I248" s="9" t="s">
        <v>1101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 t="s">
        <v>1101</v>
      </c>
      <c r="EV248" s="9"/>
      <c r="EW248" s="9" t="s">
        <v>1101</v>
      </c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  <c r="HE248" s="9"/>
      <c r="HF248" s="9"/>
      <c r="HG248" s="9"/>
      <c r="HH248" s="9"/>
      <c r="HI248" s="9"/>
      <c r="HJ248" s="9"/>
      <c r="HK248" s="9"/>
      <c r="HL248" s="9"/>
      <c r="HM248" s="9"/>
      <c r="HN248" s="9"/>
      <c r="HO248" s="9"/>
      <c r="HP248" s="9"/>
      <c r="HQ248" s="9"/>
      <c r="HR248" s="9"/>
      <c r="HS248" s="9"/>
      <c r="HT248" s="9"/>
      <c r="HU248" s="9"/>
      <c r="HV248" s="9"/>
      <c r="HW248" s="9"/>
      <c r="HX248" s="9"/>
      <c r="HY248" s="9"/>
      <c r="HZ248" s="9"/>
      <c r="IA248" s="9"/>
      <c r="IB248" s="9"/>
      <c r="IC248" s="9"/>
      <c r="ID248" s="9"/>
      <c r="IE248" s="9"/>
      <c r="IF248" s="9"/>
      <c r="IG248" s="9"/>
      <c r="IH248" s="9"/>
      <c r="II248" s="9"/>
      <c r="IJ248" s="9"/>
      <c r="IK248" s="9"/>
      <c r="IL248" s="9"/>
      <c r="IM248" s="9"/>
      <c r="IN248" s="9"/>
      <c r="IO248" s="9"/>
      <c r="IP248" s="9"/>
      <c r="IQ248" s="9"/>
      <c r="IR248" s="9"/>
      <c r="IS248" s="9"/>
      <c r="IT248" s="9"/>
      <c r="IU248" s="9"/>
      <c r="IV248" s="9"/>
      <c r="IW248" s="9"/>
      <c r="IX248" s="9"/>
      <c r="IY248" s="9"/>
      <c r="IZ248" s="9"/>
      <c r="JA248" s="9"/>
      <c r="JB248" s="9"/>
      <c r="JC248" s="9"/>
      <c r="JD248" s="9"/>
      <c r="JE248" s="9"/>
      <c r="JF248" s="9"/>
      <c r="JG248" s="9"/>
      <c r="JH248" s="9"/>
      <c r="JI248" s="9"/>
      <c r="JJ248" s="9"/>
      <c r="JK248" s="9"/>
      <c r="JL248" s="9"/>
      <c r="JM248" s="9"/>
      <c r="JN248" s="9"/>
      <c r="JO248" s="9"/>
      <c r="JP248" s="9"/>
      <c r="JQ248" s="9"/>
      <c r="JR248" s="9"/>
      <c r="JS248" s="9"/>
      <c r="JT248" s="9"/>
      <c r="JU248" s="9"/>
      <c r="JV248" s="9"/>
      <c r="JW248" s="9"/>
      <c r="JX248" s="9"/>
      <c r="JY248" s="9"/>
      <c r="JZ248" s="9"/>
      <c r="KA248" s="9"/>
      <c r="KB248" s="9"/>
      <c r="KC248" s="9"/>
      <c r="KD248" s="9"/>
      <c r="KE248" s="9"/>
      <c r="KF248" s="9"/>
      <c r="KG248" s="9"/>
      <c r="KH248" s="9"/>
      <c r="KI248" s="9"/>
      <c r="KJ248" s="9"/>
      <c r="KK248" s="9"/>
      <c r="KL248" s="9"/>
      <c r="KM248" s="9"/>
      <c r="KN248" s="9"/>
      <c r="KO248" s="9"/>
      <c r="KP248" s="9"/>
      <c r="KQ248" s="9"/>
      <c r="KR248" s="9"/>
      <c r="KS248" s="9"/>
      <c r="KT248" s="9"/>
      <c r="KU248" s="9"/>
      <c r="KV248" s="9"/>
      <c r="KW248" s="9"/>
      <c r="KX248" s="9"/>
      <c r="KY248" s="9"/>
      <c r="KZ248" s="9"/>
      <c r="LA248" s="9"/>
      <c r="LB248" s="9"/>
      <c r="LC248" s="9"/>
      <c r="LD248" s="9"/>
      <c r="LE248" s="9"/>
      <c r="LF248" s="9"/>
      <c r="LG248" s="9"/>
      <c r="LH248" s="9"/>
      <c r="LI248" s="9"/>
      <c r="LJ248" s="9"/>
      <c r="LK248" s="9"/>
      <c r="LL248" s="9"/>
      <c r="LM248" s="9"/>
      <c r="LN248" s="9"/>
      <c r="LO248" s="9"/>
      <c r="LP248" s="9"/>
      <c r="LQ248" s="9"/>
      <c r="LR248" s="9"/>
      <c r="LS248" s="9"/>
      <c r="LT248" s="9"/>
      <c r="LU248" s="9"/>
      <c r="LV248" s="9"/>
      <c r="LW248" s="9"/>
      <c r="LX248" s="9"/>
      <c r="LY248" s="9"/>
      <c r="LZ248" s="9"/>
      <c r="MA248" s="9"/>
      <c r="MB248" s="9"/>
      <c r="MC248" s="9"/>
      <c r="MD248" s="9"/>
      <c r="ME248" s="9"/>
      <c r="MF248" s="9"/>
      <c r="MG248" s="9"/>
      <c r="MH248" s="9"/>
      <c r="MI248" s="9"/>
      <c r="MJ248" s="9"/>
      <c r="MK248" s="9"/>
      <c r="ML248" s="9"/>
      <c r="MM248" s="9"/>
      <c r="MN248" s="9"/>
      <c r="MO248" s="9"/>
      <c r="MP248" s="9"/>
      <c r="MQ248" s="9"/>
      <c r="MR248" s="9"/>
      <c r="MS248" s="9"/>
      <c r="MT248" s="9"/>
      <c r="MU248" s="9"/>
      <c r="MV248" s="9"/>
      <c r="MW248" s="9"/>
      <c r="MX248" s="9"/>
      <c r="MY248" s="9"/>
      <c r="MZ248" s="9"/>
      <c r="NA248" s="9"/>
      <c r="NB248" s="9"/>
      <c r="NC248" s="9"/>
      <c r="ND248" s="9"/>
      <c r="NE248" s="9"/>
      <c r="NF248" s="9"/>
      <c r="NG248" s="9"/>
      <c r="NH248" s="9"/>
      <c r="NI248" s="9"/>
      <c r="NJ248" s="9"/>
      <c r="NK248" s="9"/>
      <c r="NL248" s="9"/>
      <c r="NM248" s="9"/>
      <c r="NN248" s="9"/>
      <c r="NO248" s="9"/>
      <c r="NP248" s="9"/>
      <c r="NQ248" s="9"/>
      <c r="NR248" s="9"/>
      <c r="NS248" s="9"/>
      <c r="NT248" s="9"/>
      <c r="NU248" s="9"/>
      <c r="NV248" s="9"/>
      <c r="NW248" s="9"/>
      <c r="NX248" s="9"/>
      <c r="NY248" s="9"/>
      <c r="NZ248" s="9"/>
      <c r="OA248" s="9"/>
      <c r="OB248" s="9"/>
      <c r="OC248" s="9"/>
      <c r="OD248" s="9"/>
      <c r="OE248" s="9"/>
      <c r="OF248" s="9"/>
      <c r="OG248" s="9"/>
      <c r="OH248" s="9"/>
      <c r="OI248" s="9"/>
      <c r="OJ248" s="9"/>
      <c r="OK248" s="9"/>
      <c r="OL248" s="9"/>
      <c r="OM248" s="9"/>
      <c r="ON248" s="9"/>
      <c r="OO248" s="9"/>
      <c r="OP248" s="9"/>
      <c r="OQ248" s="9"/>
      <c r="OR248" s="9"/>
      <c r="OS248" s="9"/>
      <c r="OT248" s="9"/>
      <c r="OU248" s="9"/>
      <c r="OV248" s="9"/>
      <c r="OW248" s="9"/>
      <c r="OX248" s="9"/>
      <c r="OY248" s="9"/>
      <c r="OZ248" s="9"/>
      <c r="PA248" s="9"/>
      <c r="PB248" s="9"/>
      <c r="PC248" s="9"/>
      <c r="PD248" s="9"/>
      <c r="PE248" s="9"/>
      <c r="PF248" s="9"/>
      <c r="PG248" s="9"/>
      <c r="PH248" s="9"/>
      <c r="PI248" s="9"/>
      <c r="PJ248" s="9"/>
      <c r="PK248" s="9"/>
      <c r="PL248" s="9"/>
      <c r="PM248" s="9"/>
      <c r="PN248" s="9"/>
      <c r="PO248" s="9"/>
      <c r="PP248" s="9"/>
      <c r="PQ248" s="9"/>
      <c r="PR248" s="9"/>
      <c r="PS248" s="9"/>
      <c r="PT248" s="9"/>
      <c r="PU248" s="9"/>
      <c r="PV248" s="9"/>
      <c r="PW248" s="9"/>
      <c r="PX248" s="9"/>
      <c r="PY248" s="9"/>
      <c r="PZ248" s="9"/>
      <c r="QA248" s="9"/>
      <c r="QB248" s="9"/>
      <c r="QC248" s="9"/>
      <c r="QD248" s="9"/>
      <c r="QE248" s="9"/>
      <c r="QF248" s="9"/>
      <c r="QG248" s="9"/>
      <c r="QH248" s="9"/>
      <c r="QI248" s="9"/>
      <c r="QJ248" s="9"/>
      <c r="QK248" s="9"/>
      <c r="QL248" s="9"/>
      <c r="QM248" s="9"/>
      <c r="QN248" s="9"/>
      <c r="QO248" s="9"/>
      <c r="QP248" s="9"/>
      <c r="QQ248" s="67"/>
      <c r="QR248" s="68"/>
      <c r="QS248" s="63"/>
      <c r="QT248" s="71"/>
    </row>
    <row r="249" spans="1:462" s="11" customFormat="1" x14ac:dyDescent="0.2">
      <c r="A249" s="9">
        <v>20</v>
      </c>
      <c r="B249" s="9"/>
      <c r="C249" s="9"/>
      <c r="D249" s="9" t="s">
        <v>404</v>
      </c>
      <c r="E249" s="65" t="s">
        <v>523</v>
      </c>
      <c r="F249" s="65"/>
      <c r="G249" s="92" t="s">
        <v>2299</v>
      </c>
      <c r="H249" s="66" t="s">
        <v>1199</v>
      </c>
      <c r="I249" s="9" t="s">
        <v>1101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 t="s">
        <v>1101</v>
      </c>
      <c r="FD249" s="9"/>
      <c r="FE249" s="9" t="s">
        <v>1101</v>
      </c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  <c r="HE249" s="9"/>
      <c r="HF249" s="9"/>
      <c r="HG249" s="9"/>
      <c r="HH249" s="9"/>
      <c r="HI249" s="9"/>
      <c r="HJ249" s="9"/>
      <c r="HK249" s="9"/>
      <c r="HL249" s="9"/>
      <c r="HM249" s="9"/>
      <c r="HN249" s="9"/>
      <c r="HO249" s="9"/>
      <c r="HP249" s="9"/>
      <c r="HQ249" s="9"/>
      <c r="HR249" s="9"/>
      <c r="HS249" s="9"/>
      <c r="HT249" s="9"/>
      <c r="HU249" s="9"/>
      <c r="HV249" s="9"/>
      <c r="HW249" s="9"/>
      <c r="HX249" s="9"/>
      <c r="HY249" s="9"/>
      <c r="HZ249" s="9"/>
      <c r="IA249" s="9"/>
      <c r="IB249" s="9"/>
      <c r="IC249" s="9"/>
      <c r="ID249" s="9"/>
      <c r="IE249" s="9"/>
      <c r="IF249" s="9"/>
      <c r="IG249" s="9"/>
      <c r="IH249" s="9"/>
      <c r="II249" s="9"/>
      <c r="IJ249" s="9"/>
      <c r="IK249" s="9"/>
      <c r="IL249" s="9"/>
      <c r="IM249" s="9"/>
      <c r="IN249" s="9"/>
      <c r="IO249" s="9"/>
      <c r="IP249" s="9"/>
      <c r="IQ249" s="9"/>
      <c r="IR249" s="9"/>
      <c r="IS249" s="9"/>
      <c r="IT249" s="9"/>
      <c r="IU249" s="9"/>
      <c r="IV249" s="9"/>
      <c r="IW249" s="9"/>
      <c r="IX249" s="9"/>
      <c r="IY249" s="9"/>
      <c r="IZ249" s="9"/>
      <c r="JA249" s="9"/>
      <c r="JB249" s="9"/>
      <c r="JC249" s="9"/>
      <c r="JD249" s="9"/>
      <c r="JE249" s="9"/>
      <c r="JF249" s="9"/>
      <c r="JG249" s="9"/>
      <c r="JH249" s="9"/>
      <c r="JI249" s="9"/>
      <c r="JJ249" s="9"/>
      <c r="JK249" s="9"/>
      <c r="JL249" s="9"/>
      <c r="JM249" s="9"/>
      <c r="JN249" s="9"/>
      <c r="JO249" s="9"/>
      <c r="JP249" s="9"/>
      <c r="JQ249" s="9"/>
      <c r="JR249" s="9"/>
      <c r="JS249" s="9"/>
      <c r="JT249" s="9"/>
      <c r="JU249" s="9"/>
      <c r="JV249" s="9"/>
      <c r="JW249" s="9"/>
      <c r="JX249" s="9"/>
      <c r="JY249" s="9"/>
      <c r="JZ249" s="9"/>
      <c r="KA249" s="9"/>
      <c r="KB249" s="9"/>
      <c r="KC249" s="9"/>
      <c r="KD249" s="9"/>
      <c r="KE249" s="9"/>
      <c r="KF249" s="9"/>
      <c r="KG249" s="9"/>
      <c r="KH249" s="9"/>
      <c r="KI249" s="9"/>
      <c r="KJ249" s="9"/>
      <c r="KK249" s="9"/>
      <c r="KL249" s="9"/>
      <c r="KM249" s="9"/>
      <c r="KN249" s="9"/>
      <c r="KO249" s="9"/>
      <c r="KP249" s="9"/>
      <c r="KQ249" s="9"/>
      <c r="KR249" s="9"/>
      <c r="KS249" s="9"/>
      <c r="KT249" s="9"/>
      <c r="KU249" s="9"/>
      <c r="KV249" s="9"/>
      <c r="KW249" s="9"/>
      <c r="KX249" s="9"/>
      <c r="KY249" s="9"/>
      <c r="KZ249" s="9"/>
      <c r="LA249" s="9"/>
      <c r="LB249" s="9"/>
      <c r="LC249" s="9"/>
      <c r="LD249" s="9"/>
      <c r="LE249" s="9"/>
      <c r="LF249" s="9"/>
      <c r="LG249" s="9"/>
      <c r="LH249" s="9"/>
      <c r="LI249" s="9"/>
      <c r="LJ249" s="9"/>
      <c r="LK249" s="9"/>
      <c r="LL249" s="9"/>
      <c r="LM249" s="9"/>
      <c r="LN249" s="9"/>
      <c r="LO249" s="9"/>
      <c r="LP249" s="9"/>
      <c r="LQ249" s="9"/>
      <c r="LR249" s="9"/>
      <c r="LS249" s="9"/>
      <c r="LT249" s="9"/>
      <c r="LU249" s="9"/>
      <c r="LV249" s="9"/>
      <c r="LW249" s="9"/>
      <c r="LX249" s="9"/>
      <c r="LY249" s="9"/>
      <c r="LZ249" s="9"/>
      <c r="MA249" s="9"/>
      <c r="MB249" s="9"/>
      <c r="MC249" s="9"/>
      <c r="MD249" s="9"/>
      <c r="ME249" s="9"/>
      <c r="MF249" s="9"/>
      <c r="MG249" s="9"/>
      <c r="MH249" s="9"/>
      <c r="MI249" s="9"/>
      <c r="MJ249" s="9"/>
      <c r="MK249" s="9"/>
      <c r="ML249" s="9"/>
      <c r="MM249" s="9"/>
      <c r="MN249" s="9"/>
      <c r="MO249" s="9"/>
      <c r="MP249" s="9"/>
      <c r="MQ249" s="9"/>
      <c r="MR249" s="9"/>
      <c r="MS249" s="9"/>
      <c r="MT249" s="9"/>
      <c r="MU249" s="9"/>
      <c r="MV249" s="9"/>
      <c r="MW249" s="9"/>
      <c r="MX249" s="9"/>
      <c r="MY249" s="9"/>
      <c r="MZ249" s="9"/>
      <c r="NA249" s="9"/>
      <c r="NB249" s="9"/>
      <c r="NC249" s="9"/>
      <c r="ND249" s="9"/>
      <c r="NE249" s="9"/>
      <c r="NF249" s="9"/>
      <c r="NG249" s="9"/>
      <c r="NH249" s="9"/>
      <c r="NI249" s="9"/>
      <c r="NJ249" s="9"/>
      <c r="NK249" s="9"/>
      <c r="NL249" s="9"/>
      <c r="NM249" s="9"/>
      <c r="NN249" s="9"/>
      <c r="NO249" s="9"/>
      <c r="NP249" s="9"/>
      <c r="NQ249" s="9"/>
      <c r="NR249" s="9"/>
      <c r="NS249" s="9"/>
      <c r="NT249" s="9"/>
      <c r="NU249" s="9"/>
      <c r="NV249" s="9"/>
      <c r="NW249" s="9"/>
      <c r="NX249" s="9"/>
      <c r="NY249" s="9"/>
      <c r="NZ249" s="9"/>
      <c r="OA249" s="9"/>
      <c r="OB249" s="9"/>
      <c r="OC249" s="9"/>
      <c r="OD249" s="9"/>
      <c r="OE249" s="9"/>
      <c r="OF249" s="9"/>
      <c r="OG249" s="9"/>
      <c r="OH249" s="9"/>
      <c r="OI249" s="9"/>
      <c r="OJ249" s="9"/>
      <c r="OK249" s="9"/>
      <c r="OL249" s="9"/>
      <c r="OM249" s="9"/>
      <c r="ON249" s="9"/>
      <c r="OO249" s="9"/>
      <c r="OP249" s="9"/>
      <c r="OQ249" s="9"/>
      <c r="OR249" s="9"/>
      <c r="OS249" s="9"/>
      <c r="OT249" s="9"/>
      <c r="OU249" s="9"/>
      <c r="OV249" s="9"/>
      <c r="OW249" s="9"/>
      <c r="OX249" s="9"/>
      <c r="OY249" s="9"/>
      <c r="OZ249" s="9"/>
      <c r="PA249" s="9"/>
      <c r="PB249" s="9"/>
      <c r="PC249" s="9"/>
      <c r="PD249" s="9"/>
      <c r="PE249" s="9"/>
      <c r="PF249" s="9"/>
      <c r="PG249" s="9"/>
      <c r="PH249" s="9"/>
      <c r="PI249" s="9"/>
      <c r="PJ249" s="9"/>
      <c r="PK249" s="9"/>
      <c r="PL249" s="9"/>
      <c r="PM249" s="9"/>
      <c r="PN249" s="9"/>
      <c r="PO249" s="9"/>
      <c r="PP249" s="9"/>
      <c r="PQ249" s="9"/>
      <c r="PR249" s="9"/>
      <c r="PS249" s="9"/>
      <c r="PT249" s="9"/>
      <c r="PU249" s="9"/>
      <c r="PV249" s="9"/>
      <c r="PW249" s="9"/>
      <c r="PX249" s="9"/>
      <c r="PY249" s="9"/>
      <c r="PZ249" s="9"/>
      <c r="QA249" s="9"/>
      <c r="QB249" s="9"/>
      <c r="QC249" s="9"/>
      <c r="QD249" s="9"/>
      <c r="QE249" s="9"/>
      <c r="QF249" s="9"/>
      <c r="QG249" s="9"/>
      <c r="QH249" s="9"/>
      <c r="QI249" s="9"/>
      <c r="QJ249" s="9"/>
      <c r="QK249" s="9"/>
      <c r="QL249" s="9"/>
      <c r="QM249" s="9"/>
      <c r="QN249" s="9"/>
      <c r="QO249" s="9"/>
      <c r="QP249" s="9"/>
      <c r="QQ249" s="67"/>
      <c r="QR249" s="68"/>
      <c r="QS249" s="63"/>
      <c r="QT249" s="71"/>
    </row>
    <row r="250" spans="1:462" s="11" customFormat="1" ht="26" x14ac:dyDescent="0.2">
      <c r="A250" s="9">
        <v>20</v>
      </c>
      <c r="B250" s="9"/>
      <c r="C250" s="9"/>
      <c r="D250" s="9" t="s">
        <v>410</v>
      </c>
      <c r="E250" s="65" t="s">
        <v>521</v>
      </c>
      <c r="F250" s="65"/>
      <c r="G250" s="92" t="s">
        <v>2297</v>
      </c>
      <c r="H250" s="66" t="s">
        <v>1197</v>
      </c>
      <c r="I250" s="9" t="s">
        <v>1101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 t="s">
        <v>1101</v>
      </c>
      <c r="FL250" s="9"/>
      <c r="FM250" s="9" t="s">
        <v>1101</v>
      </c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  <c r="HE250" s="9"/>
      <c r="HF250" s="9"/>
      <c r="HG250" s="9"/>
      <c r="HH250" s="9"/>
      <c r="HI250" s="9"/>
      <c r="HJ250" s="9"/>
      <c r="HK250" s="9"/>
      <c r="HL250" s="9"/>
      <c r="HM250" s="9"/>
      <c r="HN250" s="9"/>
      <c r="HO250" s="9"/>
      <c r="HP250" s="9"/>
      <c r="HQ250" s="9"/>
      <c r="HR250" s="9"/>
      <c r="HS250" s="9"/>
      <c r="HT250" s="9"/>
      <c r="HU250" s="9"/>
      <c r="HV250" s="9"/>
      <c r="HW250" s="9"/>
      <c r="HX250" s="9"/>
      <c r="HY250" s="9"/>
      <c r="HZ250" s="9"/>
      <c r="IA250" s="9"/>
      <c r="IB250" s="9"/>
      <c r="IC250" s="9"/>
      <c r="ID250" s="9"/>
      <c r="IE250" s="9"/>
      <c r="IF250" s="9"/>
      <c r="IG250" s="9"/>
      <c r="IH250" s="9"/>
      <c r="II250" s="9"/>
      <c r="IJ250" s="9"/>
      <c r="IK250" s="9"/>
      <c r="IL250" s="9"/>
      <c r="IM250" s="9"/>
      <c r="IN250" s="9"/>
      <c r="IO250" s="9"/>
      <c r="IP250" s="9"/>
      <c r="IQ250" s="9"/>
      <c r="IR250" s="9"/>
      <c r="IS250" s="9"/>
      <c r="IT250" s="9"/>
      <c r="IU250" s="9"/>
      <c r="IV250" s="9"/>
      <c r="IW250" s="9"/>
      <c r="IX250" s="9"/>
      <c r="IY250" s="9"/>
      <c r="IZ250" s="9"/>
      <c r="JA250" s="9"/>
      <c r="JB250" s="9"/>
      <c r="JC250" s="9"/>
      <c r="JD250" s="9"/>
      <c r="JE250" s="9"/>
      <c r="JF250" s="9"/>
      <c r="JG250" s="9"/>
      <c r="JH250" s="9"/>
      <c r="JI250" s="9"/>
      <c r="JJ250" s="9"/>
      <c r="JK250" s="9"/>
      <c r="JL250" s="9"/>
      <c r="JM250" s="9"/>
      <c r="JN250" s="9"/>
      <c r="JO250" s="9"/>
      <c r="JP250" s="9"/>
      <c r="JQ250" s="9"/>
      <c r="JR250" s="9"/>
      <c r="JS250" s="9"/>
      <c r="JT250" s="9"/>
      <c r="JU250" s="9"/>
      <c r="JV250" s="9"/>
      <c r="JW250" s="9"/>
      <c r="JX250" s="9"/>
      <c r="JY250" s="9"/>
      <c r="JZ250" s="9"/>
      <c r="KA250" s="9"/>
      <c r="KB250" s="9"/>
      <c r="KC250" s="9"/>
      <c r="KD250" s="9"/>
      <c r="KE250" s="9"/>
      <c r="KF250" s="9"/>
      <c r="KG250" s="9"/>
      <c r="KH250" s="9"/>
      <c r="KI250" s="9"/>
      <c r="KJ250" s="9"/>
      <c r="KK250" s="9"/>
      <c r="KL250" s="9"/>
      <c r="KM250" s="9"/>
      <c r="KN250" s="9"/>
      <c r="KO250" s="9"/>
      <c r="KP250" s="9"/>
      <c r="KQ250" s="9"/>
      <c r="KR250" s="9"/>
      <c r="KS250" s="9"/>
      <c r="KT250" s="9"/>
      <c r="KU250" s="9"/>
      <c r="KV250" s="9"/>
      <c r="KW250" s="9"/>
      <c r="KX250" s="9"/>
      <c r="KY250" s="9"/>
      <c r="KZ250" s="9"/>
      <c r="LA250" s="9"/>
      <c r="LB250" s="9"/>
      <c r="LC250" s="9"/>
      <c r="LD250" s="9"/>
      <c r="LE250" s="9"/>
      <c r="LF250" s="9"/>
      <c r="LG250" s="9"/>
      <c r="LH250" s="9"/>
      <c r="LI250" s="9"/>
      <c r="LJ250" s="9"/>
      <c r="LK250" s="9"/>
      <c r="LL250" s="9"/>
      <c r="LM250" s="9"/>
      <c r="LN250" s="9"/>
      <c r="LO250" s="9"/>
      <c r="LP250" s="9"/>
      <c r="LQ250" s="9"/>
      <c r="LR250" s="9"/>
      <c r="LS250" s="9"/>
      <c r="LT250" s="9"/>
      <c r="LU250" s="9"/>
      <c r="LV250" s="9"/>
      <c r="LW250" s="9"/>
      <c r="LX250" s="9"/>
      <c r="LY250" s="9"/>
      <c r="LZ250" s="9"/>
      <c r="MA250" s="9"/>
      <c r="MB250" s="9"/>
      <c r="MC250" s="9"/>
      <c r="MD250" s="9"/>
      <c r="ME250" s="9"/>
      <c r="MF250" s="9"/>
      <c r="MG250" s="9"/>
      <c r="MH250" s="9"/>
      <c r="MI250" s="9"/>
      <c r="MJ250" s="9"/>
      <c r="MK250" s="9"/>
      <c r="ML250" s="9"/>
      <c r="MM250" s="9"/>
      <c r="MN250" s="9"/>
      <c r="MO250" s="9"/>
      <c r="MP250" s="9"/>
      <c r="MQ250" s="9"/>
      <c r="MR250" s="9"/>
      <c r="MS250" s="9"/>
      <c r="MT250" s="9"/>
      <c r="MU250" s="9"/>
      <c r="MV250" s="9"/>
      <c r="MW250" s="9"/>
      <c r="MX250" s="9"/>
      <c r="MY250" s="9"/>
      <c r="MZ250" s="9"/>
      <c r="NA250" s="9"/>
      <c r="NB250" s="9"/>
      <c r="NC250" s="9"/>
      <c r="ND250" s="9"/>
      <c r="NE250" s="9"/>
      <c r="NF250" s="9"/>
      <c r="NG250" s="9"/>
      <c r="NH250" s="9"/>
      <c r="NI250" s="9"/>
      <c r="NJ250" s="9"/>
      <c r="NK250" s="9"/>
      <c r="NL250" s="9"/>
      <c r="NM250" s="9"/>
      <c r="NN250" s="9"/>
      <c r="NO250" s="9"/>
      <c r="NP250" s="9"/>
      <c r="NQ250" s="9"/>
      <c r="NR250" s="9"/>
      <c r="NS250" s="9"/>
      <c r="NT250" s="9"/>
      <c r="NU250" s="9"/>
      <c r="NV250" s="9"/>
      <c r="NW250" s="9"/>
      <c r="NX250" s="9"/>
      <c r="NY250" s="9"/>
      <c r="NZ250" s="9"/>
      <c r="OA250" s="9"/>
      <c r="OB250" s="9"/>
      <c r="OC250" s="9"/>
      <c r="OD250" s="9"/>
      <c r="OE250" s="9"/>
      <c r="OF250" s="9"/>
      <c r="OG250" s="9"/>
      <c r="OH250" s="9"/>
      <c r="OI250" s="9"/>
      <c r="OJ250" s="9"/>
      <c r="OK250" s="9"/>
      <c r="OL250" s="9"/>
      <c r="OM250" s="9"/>
      <c r="ON250" s="9"/>
      <c r="OO250" s="9"/>
      <c r="OP250" s="9"/>
      <c r="OQ250" s="9"/>
      <c r="OR250" s="9"/>
      <c r="OS250" s="9"/>
      <c r="OT250" s="9"/>
      <c r="OU250" s="9"/>
      <c r="OV250" s="9"/>
      <c r="OW250" s="9"/>
      <c r="OX250" s="9"/>
      <c r="OY250" s="9"/>
      <c r="OZ250" s="9"/>
      <c r="PA250" s="9"/>
      <c r="PB250" s="9"/>
      <c r="PC250" s="9"/>
      <c r="PD250" s="9"/>
      <c r="PE250" s="9"/>
      <c r="PF250" s="9"/>
      <c r="PG250" s="9"/>
      <c r="PH250" s="9"/>
      <c r="PI250" s="9"/>
      <c r="PJ250" s="9"/>
      <c r="PK250" s="9"/>
      <c r="PL250" s="9"/>
      <c r="PM250" s="9"/>
      <c r="PN250" s="9"/>
      <c r="PO250" s="9"/>
      <c r="PP250" s="9"/>
      <c r="PQ250" s="9"/>
      <c r="PR250" s="9"/>
      <c r="PS250" s="9"/>
      <c r="PT250" s="9"/>
      <c r="PU250" s="9"/>
      <c r="PV250" s="9"/>
      <c r="PW250" s="9"/>
      <c r="PX250" s="9"/>
      <c r="PY250" s="9"/>
      <c r="PZ250" s="9"/>
      <c r="QA250" s="9"/>
      <c r="QB250" s="9"/>
      <c r="QC250" s="9"/>
      <c r="QD250" s="9"/>
      <c r="QE250" s="9"/>
      <c r="QF250" s="9"/>
      <c r="QG250" s="9"/>
      <c r="QH250" s="9"/>
      <c r="QI250" s="9"/>
      <c r="QJ250" s="9"/>
      <c r="QK250" s="9"/>
      <c r="QL250" s="9"/>
      <c r="QM250" s="9"/>
      <c r="QN250" s="9"/>
      <c r="QO250" s="9"/>
      <c r="QP250" s="9"/>
      <c r="QQ250" s="67"/>
      <c r="QR250" s="68"/>
      <c r="QS250" s="63"/>
      <c r="QT250" s="71"/>
    </row>
    <row r="251" spans="1:462" s="11" customFormat="1" ht="26" x14ac:dyDescent="0.2">
      <c r="A251" s="9">
        <v>20</v>
      </c>
      <c r="B251" s="9"/>
      <c r="C251" s="9"/>
      <c r="D251" s="9" t="s">
        <v>412</v>
      </c>
      <c r="E251" s="65" t="s">
        <v>525</v>
      </c>
      <c r="F251" s="65"/>
      <c r="G251" s="92" t="s">
        <v>2302</v>
      </c>
      <c r="H251" s="66" t="s">
        <v>1202</v>
      </c>
      <c r="I251" s="9" t="s">
        <v>1101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 t="s">
        <v>1101</v>
      </c>
      <c r="FT251" s="9"/>
      <c r="FU251" s="9" t="s">
        <v>1101</v>
      </c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  <c r="HE251" s="9"/>
      <c r="HF251" s="9"/>
      <c r="HG251" s="9"/>
      <c r="HH251" s="9"/>
      <c r="HI251" s="9"/>
      <c r="HJ251" s="9"/>
      <c r="HK251" s="9"/>
      <c r="HL251" s="9"/>
      <c r="HM251" s="9"/>
      <c r="HN251" s="9"/>
      <c r="HO251" s="9"/>
      <c r="HP251" s="9"/>
      <c r="HQ251" s="9"/>
      <c r="HR251" s="9"/>
      <c r="HS251" s="9"/>
      <c r="HT251" s="9"/>
      <c r="HU251" s="9"/>
      <c r="HV251" s="9"/>
      <c r="HW251" s="9"/>
      <c r="HX251" s="9"/>
      <c r="HY251" s="9"/>
      <c r="HZ251" s="9"/>
      <c r="IA251" s="9"/>
      <c r="IB251" s="9"/>
      <c r="IC251" s="9"/>
      <c r="ID251" s="9"/>
      <c r="IE251" s="9"/>
      <c r="IF251" s="9"/>
      <c r="IG251" s="9"/>
      <c r="IH251" s="9"/>
      <c r="II251" s="9"/>
      <c r="IJ251" s="9"/>
      <c r="IK251" s="9"/>
      <c r="IL251" s="9"/>
      <c r="IM251" s="9"/>
      <c r="IN251" s="9"/>
      <c r="IO251" s="9"/>
      <c r="IP251" s="9"/>
      <c r="IQ251" s="9"/>
      <c r="IR251" s="9"/>
      <c r="IS251" s="9"/>
      <c r="IT251" s="9"/>
      <c r="IU251" s="9"/>
      <c r="IV251" s="9"/>
      <c r="IW251" s="9"/>
      <c r="IX251" s="9"/>
      <c r="IY251" s="9"/>
      <c r="IZ251" s="9"/>
      <c r="JA251" s="9"/>
      <c r="JB251" s="9"/>
      <c r="JC251" s="9"/>
      <c r="JD251" s="9"/>
      <c r="JE251" s="9"/>
      <c r="JF251" s="9"/>
      <c r="JG251" s="9"/>
      <c r="JH251" s="9"/>
      <c r="JI251" s="9"/>
      <c r="JJ251" s="9"/>
      <c r="JK251" s="9"/>
      <c r="JL251" s="9"/>
      <c r="JM251" s="9"/>
      <c r="JN251" s="9"/>
      <c r="JO251" s="9"/>
      <c r="JP251" s="9"/>
      <c r="JQ251" s="9"/>
      <c r="JR251" s="9"/>
      <c r="JS251" s="9"/>
      <c r="JT251" s="9"/>
      <c r="JU251" s="9"/>
      <c r="JV251" s="9"/>
      <c r="JW251" s="9"/>
      <c r="JX251" s="9"/>
      <c r="JY251" s="9"/>
      <c r="JZ251" s="9"/>
      <c r="KA251" s="9"/>
      <c r="KB251" s="9"/>
      <c r="KC251" s="9"/>
      <c r="KD251" s="9"/>
      <c r="KE251" s="9"/>
      <c r="KF251" s="9"/>
      <c r="KG251" s="9"/>
      <c r="KH251" s="9"/>
      <c r="KI251" s="9"/>
      <c r="KJ251" s="9"/>
      <c r="KK251" s="9"/>
      <c r="KL251" s="9"/>
      <c r="KM251" s="9"/>
      <c r="KN251" s="9"/>
      <c r="KO251" s="9"/>
      <c r="KP251" s="9"/>
      <c r="KQ251" s="9"/>
      <c r="KR251" s="9"/>
      <c r="KS251" s="9"/>
      <c r="KT251" s="9"/>
      <c r="KU251" s="9"/>
      <c r="KV251" s="9"/>
      <c r="KW251" s="9"/>
      <c r="KX251" s="9"/>
      <c r="KY251" s="9"/>
      <c r="KZ251" s="9"/>
      <c r="LA251" s="9"/>
      <c r="LB251" s="9"/>
      <c r="LC251" s="9"/>
      <c r="LD251" s="9"/>
      <c r="LE251" s="9"/>
      <c r="LF251" s="9"/>
      <c r="LG251" s="9"/>
      <c r="LH251" s="9"/>
      <c r="LI251" s="9"/>
      <c r="LJ251" s="9"/>
      <c r="LK251" s="9"/>
      <c r="LL251" s="9"/>
      <c r="LM251" s="9"/>
      <c r="LN251" s="9"/>
      <c r="LO251" s="9"/>
      <c r="LP251" s="9"/>
      <c r="LQ251" s="9"/>
      <c r="LR251" s="9"/>
      <c r="LS251" s="9"/>
      <c r="LT251" s="9"/>
      <c r="LU251" s="9"/>
      <c r="LV251" s="9"/>
      <c r="LW251" s="9"/>
      <c r="LX251" s="9"/>
      <c r="LY251" s="9"/>
      <c r="LZ251" s="9"/>
      <c r="MA251" s="9"/>
      <c r="MB251" s="9"/>
      <c r="MC251" s="9"/>
      <c r="MD251" s="9"/>
      <c r="ME251" s="9"/>
      <c r="MF251" s="9"/>
      <c r="MG251" s="9"/>
      <c r="MH251" s="9"/>
      <c r="MI251" s="9"/>
      <c r="MJ251" s="9"/>
      <c r="MK251" s="9"/>
      <c r="ML251" s="9"/>
      <c r="MM251" s="9"/>
      <c r="MN251" s="9"/>
      <c r="MO251" s="9"/>
      <c r="MP251" s="9"/>
      <c r="MQ251" s="9"/>
      <c r="MR251" s="9"/>
      <c r="MS251" s="9"/>
      <c r="MT251" s="9"/>
      <c r="MU251" s="9"/>
      <c r="MV251" s="9"/>
      <c r="MW251" s="9"/>
      <c r="MX251" s="9"/>
      <c r="MY251" s="9"/>
      <c r="MZ251" s="9"/>
      <c r="NA251" s="9"/>
      <c r="NB251" s="9"/>
      <c r="NC251" s="9"/>
      <c r="ND251" s="9"/>
      <c r="NE251" s="9"/>
      <c r="NF251" s="9"/>
      <c r="NG251" s="9"/>
      <c r="NH251" s="9"/>
      <c r="NI251" s="9"/>
      <c r="NJ251" s="9"/>
      <c r="NK251" s="9"/>
      <c r="NL251" s="9"/>
      <c r="NM251" s="9"/>
      <c r="NN251" s="9"/>
      <c r="NO251" s="9"/>
      <c r="NP251" s="9"/>
      <c r="NQ251" s="9"/>
      <c r="NR251" s="9"/>
      <c r="NS251" s="9"/>
      <c r="NT251" s="9"/>
      <c r="NU251" s="9"/>
      <c r="NV251" s="9"/>
      <c r="NW251" s="9"/>
      <c r="NX251" s="9"/>
      <c r="NY251" s="9"/>
      <c r="NZ251" s="9"/>
      <c r="OA251" s="9"/>
      <c r="OB251" s="9"/>
      <c r="OC251" s="9"/>
      <c r="OD251" s="9"/>
      <c r="OE251" s="9"/>
      <c r="OF251" s="9"/>
      <c r="OG251" s="9"/>
      <c r="OH251" s="9"/>
      <c r="OI251" s="9"/>
      <c r="OJ251" s="9"/>
      <c r="OK251" s="9"/>
      <c r="OL251" s="9"/>
      <c r="OM251" s="9"/>
      <c r="ON251" s="9"/>
      <c r="OO251" s="9"/>
      <c r="OP251" s="9"/>
      <c r="OQ251" s="9"/>
      <c r="OR251" s="9"/>
      <c r="OS251" s="9"/>
      <c r="OT251" s="9"/>
      <c r="OU251" s="9"/>
      <c r="OV251" s="9"/>
      <c r="OW251" s="9"/>
      <c r="OX251" s="9"/>
      <c r="OY251" s="9"/>
      <c r="OZ251" s="9"/>
      <c r="PA251" s="9"/>
      <c r="PB251" s="9"/>
      <c r="PC251" s="9"/>
      <c r="PD251" s="9"/>
      <c r="PE251" s="9"/>
      <c r="PF251" s="9"/>
      <c r="PG251" s="9"/>
      <c r="PH251" s="9"/>
      <c r="PI251" s="9"/>
      <c r="PJ251" s="9"/>
      <c r="PK251" s="9"/>
      <c r="PL251" s="9"/>
      <c r="PM251" s="9"/>
      <c r="PN251" s="9"/>
      <c r="PO251" s="9"/>
      <c r="PP251" s="9"/>
      <c r="PQ251" s="9"/>
      <c r="PR251" s="9"/>
      <c r="PS251" s="9"/>
      <c r="PT251" s="9"/>
      <c r="PU251" s="9"/>
      <c r="PV251" s="9"/>
      <c r="PW251" s="9"/>
      <c r="PX251" s="9"/>
      <c r="PY251" s="9"/>
      <c r="PZ251" s="9"/>
      <c r="QA251" s="9"/>
      <c r="QB251" s="9"/>
      <c r="QC251" s="9"/>
      <c r="QD251" s="9"/>
      <c r="QE251" s="9"/>
      <c r="QF251" s="9"/>
      <c r="QG251" s="9"/>
      <c r="QH251" s="9"/>
      <c r="QI251" s="9"/>
      <c r="QJ251" s="9"/>
      <c r="QK251" s="9"/>
      <c r="QL251" s="9"/>
      <c r="QM251" s="9"/>
      <c r="QN251" s="9"/>
      <c r="QO251" s="9"/>
      <c r="QP251" s="9"/>
      <c r="QQ251" s="67"/>
      <c r="QR251" s="68"/>
      <c r="QS251" s="63"/>
      <c r="QT251" s="71"/>
    </row>
    <row r="252" spans="1:462" s="11" customFormat="1" x14ac:dyDescent="0.2">
      <c r="A252" s="9">
        <v>20</v>
      </c>
      <c r="B252" s="9"/>
      <c r="C252" s="9"/>
      <c r="D252" s="9" t="s">
        <v>419</v>
      </c>
      <c r="E252" s="65" t="s">
        <v>527</v>
      </c>
      <c r="F252" s="65"/>
      <c r="G252" s="92" t="s">
        <v>2340</v>
      </c>
      <c r="H252" s="66" t="s">
        <v>1240</v>
      </c>
      <c r="I252" s="9" t="s">
        <v>1101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 t="s">
        <v>1101</v>
      </c>
      <c r="GB252" s="9"/>
      <c r="GC252" s="9" t="s">
        <v>1101</v>
      </c>
      <c r="GD252" s="9"/>
      <c r="GE252" s="9"/>
      <c r="GF252" s="9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  <c r="HE252" s="9"/>
      <c r="HF252" s="9"/>
      <c r="HG252" s="9"/>
      <c r="HH252" s="9"/>
      <c r="HI252" s="9"/>
      <c r="HJ252" s="9"/>
      <c r="HK252" s="9"/>
      <c r="HL252" s="9"/>
      <c r="HM252" s="9"/>
      <c r="HN252" s="9"/>
      <c r="HO252" s="9"/>
      <c r="HP252" s="9"/>
      <c r="HQ252" s="9"/>
      <c r="HR252" s="9"/>
      <c r="HS252" s="9"/>
      <c r="HT252" s="9"/>
      <c r="HU252" s="9"/>
      <c r="HV252" s="9"/>
      <c r="HW252" s="9"/>
      <c r="HX252" s="9"/>
      <c r="HY252" s="9"/>
      <c r="HZ252" s="9"/>
      <c r="IA252" s="9"/>
      <c r="IB252" s="9"/>
      <c r="IC252" s="9"/>
      <c r="ID252" s="9"/>
      <c r="IE252" s="9"/>
      <c r="IF252" s="9"/>
      <c r="IG252" s="9"/>
      <c r="IH252" s="9"/>
      <c r="II252" s="9"/>
      <c r="IJ252" s="9"/>
      <c r="IK252" s="9"/>
      <c r="IL252" s="9"/>
      <c r="IM252" s="9"/>
      <c r="IN252" s="9"/>
      <c r="IO252" s="9"/>
      <c r="IP252" s="9"/>
      <c r="IQ252" s="9"/>
      <c r="IR252" s="9"/>
      <c r="IS252" s="9"/>
      <c r="IT252" s="9"/>
      <c r="IU252" s="9"/>
      <c r="IV252" s="9"/>
      <c r="IW252" s="9"/>
      <c r="IX252" s="9"/>
      <c r="IY252" s="9"/>
      <c r="IZ252" s="9"/>
      <c r="JA252" s="9"/>
      <c r="JB252" s="9"/>
      <c r="JC252" s="9"/>
      <c r="JD252" s="9"/>
      <c r="JE252" s="9"/>
      <c r="JF252" s="9"/>
      <c r="JG252" s="9"/>
      <c r="JH252" s="9"/>
      <c r="JI252" s="9"/>
      <c r="JJ252" s="9"/>
      <c r="JK252" s="9"/>
      <c r="JL252" s="9"/>
      <c r="JM252" s="9"/>
      <c r="JN252" s="9"/>
      <c r="JO252" s="9"/>
      <c r="JP252" s="9"/>
      <c r="JQ252" s="9"/>
      <c r="JR252" s="9"/>
      <c r="JS252" s="9"/>
      <c r="JT252" s="9"/>
      <c r="JU252" s="9"/>
      <c r="JV252" s="9"/>
      <c r="JW252" s="9"/>
      <c r="JX252" s="9"/>
      <c r="JY252" s="9"/>
      <c r="JZ252" s="9"/>
      <c r="KA252" s="9"/>
      <c r="KB252" s="9"/>
      <c r="KC252" s="9"/>
      <c r="KD252" s="9"/>
      <c r="KE252" s="9"/>
      <c r="KF252" s="9"/>
      <c r="KG252" s="9"/>
      <c r="KH252" s="9"/>
      <c r="KI252" s="9"/>
      <c r="KJ252" s="9"/>
      <c r="KK252" s="9"/>
      <c r="KL252" s="9"/>
      <c r="KM252" s="9"/>
      <c r="KN252" s="9"/>
      <c r="KO252" s="9"/>
      <c r="KP252" s="9"/>
      <c r="KQ252" s="9"/>
      <c r="KR252" s="9"/>
      <c r="KS252" s="9"/>
      <c r="KT252" s="9"/>
      <c r="KU252" s="9"/>
      <c r="KV252" s="9"/>
      <c r="KW252" s="9"/>
      <c r="KX252" s="9"/>
      <c r="KY252" s="9"/>
      <c r="KZ252" s="9"/>
      <c r="LA252" s="9"/>
      <c r="LB252" s="9"/>
      <c r="LC252" s="9"/>
      <c r="LD252" s="9"/>
      <c r="LE252" s="9"/>
      <c r="LF252" s="9"/>
      <c r="LG252" s="9"/>
      <c r="LH252" s="9"/>
      <c r="LI252" s="9"/>
      <c r="LJ252" s="9"/>
      <c r="LK252" s="9"/>
      <c r="LL252" s="9"/>
      <c r="LM252" s="9"/>
      <c r="LN252" s="9"/>
      <c r="LO252" s="9"/>
      <c r="LP252" s="9"/>
      <c r="LQ252" s="9"/>
      <c r="LR252" s="9"/>
      <c r="LS252" s="9"/>
      <c r="LT252" s="9"/>
      <c r="LU252" s="9"/>
      <c r="LV252" s="9"/>
      <c r="LW252" s="9"/>
      <c r="LX252" s="9"/>
      <c r="LY252" s="9"/>
      <c r="LZ252" s="9"/>
      <c r="MA252" s="9"/>
      <c r="MB252" s="9"/>
      <c r="MC252" s="9"/>
      <c r="MD252" s="9"/>
      <c r="ME252" s="9"/>
      <c r="MF252" s="9"/>
      <c r="MG252" s="9"/>
      <c r="MH252" s="9"/>
      <c r="MI252" s="9"/>
      <c r="MJ252" s="9"/>
      <c r="MK252" s="9"/>
      <c r="ML252" s="9"/>
      <c r="MM252" s="9"/>
      <c r="MN252" s="9"/>
      <c r="MO252" s="9"/>
      <c r="MP252" s="9"/>
      <c r="MQ252" s="9"/>
      <c r="MR252" s="9"/>
      <c r="MS252" s="9"/>
      <c r="MT252" s="9"/>
      <c r="MU252" s="9"/>
      <c r="MV252" s="9"/>
      <c r="MW252" s="9"/>
      <c r="MX252" s="9"/>
      <c r="MY252" s="9"/>
      <c r="MZ252" s="9"/>
      <c r="NA252" s="9"/>
      <c r="NB252" s="9"/>
      <c r="NC252" s="9"/>
      <c r="ND252" s="9"/>
      <c r="NE252" s="9"/>
      <c r="NF252" s="9"/>
      <c r="NG252" s="9"/>
      <c r="NH252" s="9"/>
      <c r="NI252" s="9"/>
      <c r="NJ252" s="9"/>
      <c r="NK252" s="9"/>
      <c r="NL252" s="9"/>
      <c r="NM252" s="9"/>
      <c r="NN252" s="9"/>
      <c r="NO252" s="9"/>
      <c r="NP252" s="9"/>
      <c r="NQ252" s="9"/>
      <c r="NR252" s="9"/>
      <c r="NS252" s="9"/>
      <c r="NT252" s="9"/>
      <c r="NU252" s="9"/>
      <c r="NV252" s="9"/>
      <c r="NW252" s="9"/>
      <c r="NX252" s="9"/>
      <c r="NY252" s="9"/>
      <c r="NZ252" s="9"/>
      <c r="OA252" s="9"/>
      <c r="OB252" s="9"/>
      <c r="OC252" s="9"/>
      <c r="OD252" s="9"/>
      <c r="OE252" s="9"/>
      <c r="OF252" s="9"/>
      <c r="OG252" s="9"/>
      <c r="OH252" s="9"/>
      <c r="OI252" s="9"/>
      <c r="OJ252" s="9"/>
      <c r="OK252" s="9"/>
      <c r="OL252" s="9"/>
      <c r="OM252" s="9"/>
      <c r="ON252" s="9"/>
      <c r="OO252" s="9"/>
      <c r="OP252" s="9"/>
      <c r="OQ252" s="9"/>
      <c r="OR252" s="9"/>
      <c r="OS252" s="9"/>
      <c r="OT252" s="9"/>
      <c r="OU252" s="9"/>
      <c r="OV252" s="9"/>
      <c r="OW252" s="9"/>
      <c r="OX252" s="9"/>
      <c r="OY252" s="9"/>
      <c r="OZ252" s="9"/>
      <c r="PA252" s="9"/>
      <c r="PB252" s="9"/>
      <c r="PC252" s="9"/>
      <c r="PD252" s="9"/>
      <c r="PE252" s="9"/>
      <c r="PF252" s="9"/>
      <c r="PG252" s="9"/>
      <c r="PH252" s="9"/>
      <c r="PI252" s="9"/>
      <c r="PJ252" s="9"/>
      <c r="PK252" s="9"/>
      <c r="PL252" s="9"/>
      <c r="PM252" s="9"/>
      <c r="PN252" s="9"/>
      <c r="PO252" s="9"/>
      <c r="PP252" s="9"/>
      <c r="PQ252" s="9"/>
      <c r="PR252" s="9"/>
      <c r="PS252" s="9"/>
      <c r="PT252" s="9"/>
      <c r="PU252" s="9"/>
      <c r="PV252" s="9"/>
      <c r="PW252" s="9"/>
      <c r="PX252" s="9"/>
      <c r="PY252" s="9"/>
      <c r="PZ252" s="9"/>
      <c r="QA252" s="9"/>
      <c r="QB252" s="9"/>
      <c r="QC252" s="9"/>
      <c r="QD252" s="9"/>
      <c r="QE252" s="9"/>
      <c r="QF252" s="9"/>
      <c r="QG252" s="9"/>
      <c r="QH252" s="9"/>
      <c r="QI252" s="9"/>
      <c r="QJ252" s="9"/>
      <c r="QK252" s="9"/>
      <c r="QL252" s="9"/>
      <c r="QM252" s="9"/>
      <c r="QN252" s="9"/>
      <c r="QO252" s="9"/>
      <c r="QP252" s="9"/>
      <c r="QQ252" s="67"/>
      <c r="QR252" s="68"/>
      <c r="QS252" s="63"/>
      <c r="QT252" s="71"/>
    </row>
    <row r="253" spans="1:462" s="11" customFormat="1" x14ac:dyDescent="0.2">
      <c r="A253" s="9">
        <v>20</v>
      </c>
      <c r="B253" s="9"/>
      <c r="C253" s="9"/>
      <c r="D253" s="9" t="s">
        <v>422</v>
      </c>
      <c r="E253" s="65" t="s">
        <v>530</v>
      </c>
      <c r="F253" s="65"/>
      <c r="G253" s="92" t="s">
        <v>2344</v>
      </c>
      <c r="H253" s="66" t="s">
        <v>1244</v>
      </c>
      <c r="I253" s="9" t="s">
        <v>1101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 t="s">
        <v>1101</v>
      </c>
      <c r="GJ253" s="9"/>
      <c r="GK253" s="9" t="s">
        <v>1101</v>
      </c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  <c r="HE253" s="9"/>
      <c r="HF253" s="9"/>
      <c r="HG253" s="9"/>
      <c r="HH253" s="9"/>
      <c r="HI253" s="9"/>
      <c r="HJ253" s="9"/>
      <c r="HK253" s="9"/>
      <c r="HL253" s="9"/>
      <c r="HM253" s="9"/>
      <c r="HN253" s="9"/>
      <c r="HO253" s="9"/>
      <c r="HP253" s="9"/>
      <c r="HQ253" s="9"/>
      <c r="HR253" s="9"/>
      <c r="HS253" s="9"/>
      <c r="HT253" s="9"/>
      <c r="HU253" s="9"/>
      <c r="HV253" s="9"/>
      <c r="HW253" s="9"/>
      <c r="HX253" s="9"/>
      <c r="HY253" s="9"/>
      <c r="HZ253" s="9"/>
      <c r="IA253" s="9"/>
      <c r="IB253" s="9"/>
      <c r="IC253" s="9"/>
      <c r="ID253" s="9"/>
      <c r="IE253" s="9"/>
      <c r="IF253" s="9"/>
      <c r="IG253" s="9"/>
      <c r="IH253" s="9"/>
      <c r="II253" s="9"/>
      <c r="IJ253" s="9"/>
      <c r="IK253" s="9"/>
      <c r="IL253" s="9"/>
      <c r="IM253" s="9"/>
      <c r="IN253" s="9"/>
      <c r="IO253" s="9"/>
      <c r="IP253" s="9"/>
      <c r="IQ253" s="9"/>
      <c r="IR253" s="9"/>
      <c r="IS253" s="9"/>
      <c r="IT253" s="9"/>
      <c r="IU253" s="9"/>
      <c r="IV253" s="9"/>
      <c r="IW253" s="9"/>
      <c r="IX253" s="9"/>
      <c r="IY253" s="9"/>
      <c r="IZ253" s="9"/>
      <c r="JA253" s="9"/>
      <c r="JB253" s="9"/>
      <c r="JC253" s="9"/>
      <c r="JD253" s="9"/>
      <c r="JE253" s="9"/>
      <c r="JF253" s="9"/>
      <c r="JG253" s="9"/>
      <c r="JH253" s="9"/>
      <c r="JI253" s="9"/>
      <c r="JJ253" s="9"/>
      <c r="JK253" s="9"/>
      <c r="JL253" s="9"/>
      <c r="JM253" s="9"/>
      <c r="JN253" s="9"/>
      <c r="JO253" s="9"/>
      <c r="JP253" s="9"/>
      <c r="JQ253" s="9"/>
      <c r="JR253" s="9"/>
      <c r="JS253" s="9"/>
      <c r="JT253" s="9"/>
      <c r="JU253" s="9"/>
      <c r="JV253" s="9"/>
      <c r="JW253" s="9"/>
      <c r="JX253" s="9"/>
      <c r="JY253" s="9"/>
      <c r="JZ253" s="9"/>
      <c r="KA253" s="9"/>
      <c r="KB253" s="9"/>
      <c r="KC253" s="9"/>
      <c r="KD253" s="9"/>
      <c r="KE253" s="9"/>
      <c r="KF253" s="9"/>
      <c r="KG253" s="9"/>
      <c r="KH253" s="9"/>
      <c r="KI253" s="9"/>
      <c r="KJ253" s="9"/>
      <c r="KK253" s="9"/>
      <c r="KL253" s="9"/>
      <c r="KM253" s="9"/>
      <c r="KN253" s="9"/>
      <c r="KO253" s="9"/>
      <c r="KP253" s="9"/>
      <c r="KQ253" s="9"/>
      <c r="KR253" s="9"/>
      <c r="KS253" s="9"/>
      <c r="KT253" s="9"/>
      <c r="KU253" s="9"/>
      <c r="KV253" s="9"/>
      <c r="KW253" s="9"/>
      <c r="KX253" s="9"/>
      <c r="KY253" s="9"/>
      <c r="KZ253" s="9"/>
      <c r="LA253" s="9"/>
      <c r="LB253" s="9"/>
      <c r="LC253" s="9"/>
      <c r="LD253" s="9"/>
      <c r="LE253" s="9"/>
      <c r="LF253" s="9"/>
      <c r="LG253" s="9"/>
      <c r="LH253" s="9"/>
      <c r="LI253" s="9"/>
      <c r="LJ253" s="9"/>
      <c r="LK253" s="9"/>
      <c r="LL253" s="9"/>
      <c r="LM253" s="9"/>
      <c r="LN253" s="9"/>
      <c r="LO253" s="9"/>
      <c r="LP253" s="9"/>
      <c r="LQ253" s="9"/>
      <c r="LR253" s="9"/>
      <c r="LS253" s="9"/>
      <c r="LT253" s="9"/>
      <c r="LU253" s="9"/>
      <c r="LV253" s="9"/>
      <c r="LW253" s="9"/>
      <c r="LX253" s="9"/>
      <c r="LY253" s="9"/>
      <c r="LZ253" s="9"/>
      <c r="MA253" s="9"/>
      <c r="MB253" s="9"/>
      <c r="MC253" s="9"/>
      <c r="MD253" s="9"/>
      <c r="ME253" s="9"/>
      <c r="MF253" s="9"/>
      <c r="MG253" s="9"/>
      <c r="MH253" s="9"/>
      <c r="MI253" s="9"/>
      <c r="MJ253" s="9"/>
      <c r="MK253" s="9"/>
      <c r="ML253" s="9"/>
      <c r="MM253" s="9"/>
      <c r="MN253" s="9"/>
      <c r="MO253" s="9"/>
      <c r="MP253" s="9"/>
      <c r="MQ253" s="9"/>
      <c r="MR253" s="9"/>
      <c r="MS253" s="9"/>
      <c r="MT253" s="9"/>
      <c r="MU253" s="9"/>
      <c r="MV253" s="9"/>
      <c r="MW253" s="9"/>
      <c r="MX253" s="9"/>
      <c r="MY253" s="9"/>
      <c r="MZ253" s="9"/>
      <c r="NA253" s="9"/>
      <c r="NB253" s="9"/>
      <c r="NC253" s="9"/>
      <c r="ND253" s="9"/>
      <c r="NE253" s="9"/>
      <c r="NF253" s="9"/>
      <c r="NG253" s="9"/>
      <c r="NH253" s="9"/>
      <c r="NI253" s="9"/>
      <c r="NJ253" s="9"/>
      <c r="NK253" s="9"/>
      <c r="NL253" s="9"/>
      <c r="NM253" s="9"/>
      <c r="NN253" s="9"/>
      <c r="NO253" s="9"/>
      <c r="NP253" s="9"/>
      <c r="NQ253" s="9"/>
      <c r="NR253" s="9"/>
      <c r="NS253" s="9"/>
      <c r="NT253" s="9"/>
      <c r="NU253" s="9"/>
      <c r="NV253" s="9"/>
      <c r="NW253" s="9"/>
      <c r="NX253" s="9"/>
      <c r="NY253" s="9"/>
      <c r="NZ253" s="9"/>
      <c r="OA253" s="9"/>
      <c r="OB253" s="9"/>
      <c r="OC253" s="9"/>
      <c r="OD253" s="9"/>
      <c r="OE253" s="9"/>
      <c r="OF253" s="9"/>
      <c r="OG253" s="9"/>
      <c r="OH253" s="9"/>
      <c r="OI253" s="9"/>
      <c r="OJ253" s="9"/>
      <c r="OK253" s="9"/>
      <c r="OL253" s="9"/>
      <c r="OM253" s="9"/>
      <c r="ON253" s="9"/>
      <c r="OO253" s="9"/>
      <c r="OP253" s="9"/>
      <c r="OQ253" s="9"/>
      <c r="OR253" s="9"/>
      <c r="OS253" s="9"/>
      <c r="OT253" s="9"/>
      <c r="OU253" s="9"/>
      <c r="OV253" s="9"/>
      <c r="OW253" s="9"/>
      <c r="OX253" s="9"/>
      <c r="OY253" s="9"/>
      <c r="OZ253" s="9"/>
      <c r="PA253" s="9"/>
      <c r="PB253" s="9"/>
      <c r="PC253" s="9"/>
      <c r="PD253" s="9"/>
      <c r="PE253" s="9"/>
      <c r="PF253" s="9"/>
      <c r="PG253" s="9"/>
      <c r="PH253" s="9"/>
      <c r="PI253" s="9"/>
      <c r="PJ253" s="9"/>
      <c r="PK253" s="9"/>
      <c r="PL253" s="9"/>
      <c r="PM253" s="9"/>
      <c r="PN253" s="9"/>
      <c r="PO253" s="9"/>
      <c r="PP253" s="9"/>
      <c r="PQ253" s="9"/>
      <c r="PR253" s="9"/>
      <c r="PS253" s="9"/>
      <c r="PT253" s="9"/>
      <c r="PU253" s="9"/>
      <c r="PV253" s="9"/>
      <c r="PW253" s="9"/>
      <c r="PX253" s="9"/>
      <c r="PY253" s="9"/>
      <c r="PZ253" s="9"/>
      <c r="QA253" s="9"/>
      <c r="QB253" s="9"/>
      <c r="QC253" s="9"/>
      <c r="QD253" s="9"/>
      <c r="QE253" s="9"/>
      <c r="QF253" s="9"/>
      <c r="QG253" s="9"/>
      <c r="QH253" s="9"/>
      <c r="QI253" s="9"/>
      <c r="QJ253" s="9"/>
      <c r="QK253" s="9"/>
      <c r="QL253" s="9"/>
      <c r="QM253" s="9"/>
      <c r="QN253" s="9"/>
      <c r="QO253" s="9"/>
      <c r="QP253" s="9"/>
      <c r="QQ253" s="67"/>
      <c r="QR253" s="68"/>
      <c r="QS253" s="63"/>
      <c r="QT253" s="71"/>
    </row>
    <row r="254" spans="1:462" s="11" customFormat="1" x14ac:dyDescent="0.2">
      <c r="A254" s="9">
        <v>20</v>
      </c>
      <c r="B254" s="9"/>
      <c r="C254" s="9"/>
      <c r="D254" s="9" t="s">
        <v>425</v>
      </c>
      <c r="E254" s="65" t="s">
        <v>533</v>
      </c>
      <c r="F254" s="65"/>
      <c r="G254" s="92" t="s">
        <v>2348</v>
      </c>
      <c r="H254" s="66" t="s">
        <v>1249</v>
      </c>
      <c r="I254" s="9" t="s">
        <v>1101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 t="s">
        <v>1101</v>
      </c>
      <c r="GR254" s="9"/>
      <c r="GS254" s="9" t="s">
        <v>1101</v>
      </c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  <c r="HE254" s="9"/>
      <c r="HF254" s="9"/>
      <c r="HG254" s="9"/>
      <c r="HH254" s="9"/>
      <c r="HI254" s="9"/>
      <c r="HJ254" s="9"/>
      <c r="HK254" s="9"/>
      <c r="HL254" s="9"/>
      <c r="HM254" s="9"/>
      <c r="HN254" s="9"/>
      <c r="HO254" s="9"/>
      <c r="HP254" s="9"/>
      <c r="HQ254" s="9"/>
      <c r="HR254" s="9"/>
      <c r="HS254" s="9"/>
      <c r="HT254" s="9"/>
      <c r="HU254" s="9"/>
      <c r="HV254" s="9"/>
      <c r="HW254" s="9"/>
      <c r="HX254" s="9"/>
      <c r="HY254" s="9"/>
      <c r="HZ254" s="9"/>
      <c r="IA254" s="9"/>
      <c r="IB254" s="9"/>
      <c r="IC254" s="9"/>
      <c r="ID254" s="9"/>
      <c r="IE254" s="9"/>
      <c r="IF254" s="9"/>
      <c r="IG254" s="9"/>
      <c r="IH254" s="9"/>
      <c r="II254" s="9"/>
      <c r="IJ254" s="9"/>
      <c r="IK254" s="9"/>
      <c r="IL254" s="9"/>
      <c r="IM254" s="9"/>
      <c r="IN254" s="9"/>
      <c r="IO254" s="9"/>
      <c r="IP254" s="9"/>
      <c r="IQ254" s="9"/>
      <c r="IR254" s="9"/>
      <c r="IS254" s="9"/>
      <c r="IT254" s="9"/>
      <c r="IU254" s="9"/>
      <c r="IV254" s="9"/>
      <c r="IW254" s="9"/>
      <c r="IX254" s="9"/>
      <c r="IY254" s="9"/>
      <c r="IZ254" s="9"/>
      <c r="JA254" s="9"/>
      <c r="JB254" s="9"/>
      <c r="JC254" s="9"/>
      <c r="JD254" s="9"/>
      <c r="JE254" s="9"/>
      <c r="JF254" s="9"/>
      <c r="JG254" s="9"/>
      <c r="JH254" s="9"/>
      <c r="JI254" s="9"/>
      <c r="JJ254" s="9"/>
      <c r="JK254" s="9"/>
      <c r="JL254" s="9"/>
      <c r="JM254" s="9"/>
      <c r="JN254" s="9"/>
      <c r="JO254" s="9"/>
      <c r="JP254" s="9"/>
      <c r="JQ254" s="9"/>
      <c r="JR254" s="9"/>
      <c r="JS254" s="9"/>
      <c r="JT254" s="9"/>
      <c r="JU254" s="9"/>
      <c r="JV254" s="9"/>
      <c r="JW254" s="9"/>
      <c r="JX254" s="9"/>
      <c r="JY254" s="9"/>
      <c r="JZ254" s="9"/>
      <c r="KA254" s="9"/>
      <c r="KB254" s="9"/>
      <c r="KC254" s="9"/>
      <c r="KD254" s="9"/>
      <c r="KE254" s="9"/>
      <c r="KF254" s="9"/>
      <c r="KG254" s="9"/>
      <c r="KH254" s="9"/>
      <c r="KI254" s="9"/>
      <c r="KJ254" s="9"/>
      <c r="KK254" s="9"/>
      <c r="KL254" s="9"/>
      <c r="KM254" s="9"/>
      <c r="KN254" s="9"/>
      <c r="KO254" s="9"/>
      <c r="KP254" s="9"/>
      <c r="KQ254" s="9"/>
      <c r="KR254" s="9"/>
      <c r="KS254" s="9"/>
      <c r="KT254" s="9"/>
      <c r="KU254" s="9"/>
      <c r="KV254" s="9"/>
      <c r="KW254" s="9"/>
      <c r="KX254" s="9"/>
      <c r="KY254" s="9"/>
      <c r="KZ254" s="9"/>
      <c r="LA254" s="9"/>
      <c r="LB254" s="9"/>
      <c r="LC254" s="9"/>
      <c r="LD254" s="9"/>
      <c r="LE254" s="9"/>
      <c r="LF254" s="9"/>
      <c r="LG254" s="9"/>
      <c r="LH254" s="9"/>
      <c r="LI254" s="9"/>
      <c r="LJ254" s="9"/>
      <c r="LK254" s="9"/>
      <c r="LL254" s="9"/>
      <c r="LM254" s="9"/>
      <c r="LN254" s="9"/>
      <c r="LO254" s="9"/>
      <c r="LP254" s="9"/>
      <c r="LQ254" s="9"/>
      <c r="LR254" s="9"/>
      <c r="LS254" s="9"/>
      <c r="LT254" s="9"/>
      <c r="LU254" s="9"/>
      <c r="LV254" s="9"/>
      <c r="LW254" s="9"/>
      <c r="LX254" s="9"/>
      <c r="LY254" s="9"/>
      <c r="LZ254" s="9"/>
      <c r="MA254" s="9"/>
      <c r="MB254" s="9"/>
      <c r="MC254" s="9"/>
      <c r="MD254" s="9"/>
      <c r="ME254" s="9"/>
      <c r="MF254" s="9"/>
      <c r="MG254" s="9"/>
      <c r="MH254" s="9"/>
      <c r="MI254" s="9"/>
      <c r="MJ254" s="9"/>
      <c r="MK254" s="9"/>
      <c r="ML254" s="9"/>
      <c r="MM254" s="9"/>
      <c r="MN254" s="9"/>
      <c r="MO254" s="9"/>
      <c r="MP254" s="9"/>
      <c r="MQ254" s="9"/>
      <c r="MR254" s="9"/>
      <c r="MS254" s="9"/>
      <c r="MT254" s="9"/>
      <c r="MU254" s="9"/>
      <c r="MV254" s="9"/>
      <c r="MW254" s="9"/>
      <c r="MX254" s="9"/>
      <c r="MY254" s="9"/>
      <c r="MZ254" s="9"/>
      <c r="NA254" s="9"/>
      <c r="NB254" s="9"/>
      <c r="NC254" s="9"/>
      <c r="ND254" s="9"/>
      <c r="NE254" s="9"/>
      <c r="NF254" s="9"/>
      <c r="NG254" s="9"/>
      <c r="NH254" s="9"/>
      <c r="NI254" s="9"/>
      <c r="NJ254" s="9"/>
      <c r="NK254" s="9"/>
      <c r="NL254" s="9"/>
      <c r="NM254" s="9"/>
      <c r="NN254" s="9"/>
      <c r="NO254" s="9"/>
      <c r="NP254" s="9"/>
      <c r="NQ254" s="9"/>
      <c r="NR254" s="9"/>
      <c r="NS254" s="9"/>
      <c r="NT254" s="9"/>
      <c r="NU254" s="9"/>
      <c r="NV254" s="9"/>
      <c r="NW254" s="9"/>
      <c r="NX254" s="9"/>
      <c r="NY254" s="9"/>
      <c r="NZ254" s="9"/>
      <c r="OA254" s="9"/>
      <c r="OB254" s="9"/>
      <c r="OC254" s="9"/>
      <c r="OD254" s="9"/>
      <c r="OE254" s="9"/>
      <c r="OF254" s="9"/>
      <c r="OG254" s="9"/>
      <c r="OH254" s="9"/>
      <c r="OI254" s="9"/>
      <c r="OJ254" s="9"/>
      <c r="OK254" s="9"/>
      <c r="OL254" s="9"/>
      <c r="OM254" s="9"/>
      <c r="ON254" s="9"/>
      <c r="OO254" s="9"/>
      <c r="OP254" s="9"/>
      <c r="OQ254" s="9"/>
      <c r="OR254" s="9"/>
      <c r="OS254" s="9"/>
      <c r="OT254" s="9"/>
      <c r="OU254" s="9"/>
      <c r="OV254" s="9"/>
      <c r="OW254" s="9"/>
      <c r="OX254" s="9"/>
      <c r="OY254" s="9"/>
      <c r="OZ254" s="9"/>
      <c r="PA254" s="9"/>
      <c r="PB254" s="9"/>
      <c r="PC254" s="9"/>
      <c r="PD254" s="9"/>
      <c r="PE254" s="9"/>
      <c r="PF254" s="9"/>
      <c r="PG254" s="9"/>
      <c r="PH254" s="9"/>
      <c r="PI254" s="9"/>
      <c r="PJ254" s="9"/>
      <c r="PK254" s="9"/>
      <c r="PL254" s="9"/>
      <c r="PM254" s="9"/>
      <c r="PN254" s="9"/>
      <c r="PO254" s="9"/>
      <c r="PP254" s="9"/>
      <c r="PQ254" s="9"/>
      <c r="PR254" s="9"/>
      <c r="PS254" s="9"/>
      <c r="PT254" s="9"/>
      <c r="PU254" s="9"/>
      <c r="PV254" s="9"/>
      <c r="PW254" s="9"/>
      <c r="PX254" s="9"/>
      <c r="PY254" s="9"/>
      <c r="PZ254" s="9"/>
      <c r="QA254" s="9"/>
      <c r="QB254" s="9"/>
      <c r="QC254" s="9"/>
      <c r="QD254" s="9"/>
      <c r="QE254" s="9"/>
      <c r="QF254" s="9"/>
      <c r="QG254" s="9"/>
      <c r="QH254" s="9"/>
      <c r="QI254" s="9"/>
      <c r="QJ254" s="9"/>
      <c r="QK254" s="9"/>
      <c r="QL254" s="9"/>
      <c r="QM254" s="9"/>
      <c r="QN254" s="9"/>
      <c r="QO254" s="9"/>
      <c r="QP254" s="9"/>
      <c r="QQ254" s="67"/>
      <c r="QR254" s="68"/>
      <c r="QS254" s="63"/>
      <c r="QT254" s="71"/>
    </row>
    <row r="255" spans="1:462" s="11" customFormat="1" ht="26" x14ac:dyDescent="0.2">
      <c r="A255" s="9">
        <v>20</v>
      </c>
      <c r="B255" s="9"/>
      <c r="C255" s="9"/>
      <c r="D255" s="9" t="s">
        <v>427</v>
      </c>
      <c r="E255" s="65" t="s">
        <v>535</v>
      </c>
      <c r="F255" s="65"/>
      <c r="G255" s="92" t="s">
        <v>2351</v>
      </c>
      <c r="H255" s="66" t="s">
        <v>1252</v>
      </c>
      <c r="I255" s="9" t="s">
        <v>1101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 t="s">
        <v>1101</v>
      </c>
      <c r="GZ255" s="9"/>
      <c r="HA255" s="9" t="s">
        <v>1101</v>
      </c>
      <c r="HB255" s="9"/>
      <c r="HC255" s="9"/>
      <c r="HD255" s="9"/>
      <c r="HE255" s="9"/>
      <c r="HF255" s="9"/>
      <c r="HG255" s="9"/>
      <c r="HH255" s="9"/>
      <c r="HI255" s="9"/>
      <c r="HJ255" s="9"/>
      <c r="HK255" s="9"/>
      <c r="HL255" s="9"/>
      <c r="HM255" s="9"/>
      <c r="HN255" s="9"/>
      <c r="HO255" s="9"/>
      <c r="HP255" s="9"/>
      <c r="HQ255" s="9"/>
      <c r="HR255" s="9"/>
      <c r="HS255" s="9"/>
      <c r="HT255" s="9"/>
      <c r="HU255" s="9"/>
      <c r="HV255" s="9"/>
      <c r="HW255" s="9"/>
      <c r="HX255" s="9"/>
      <c r="HY255" s="9"/>
      <c r="HZ255" s="9"/>
      <c r="IA255" s="9"/>
      <c r="IB255" s="9"/>
      <c r="IC255" s="9"/>
      <c r="ID255" s="9"/>
      <c r="IE255" s="9"/>
      <c r="IF255" s="9"/>
      <c r="IG255" s="9"/>
      <c r="IH255" s="9"/>
      <c r="II255" s="9"/>
      <c r="IJ255" s="9"/>
      <c r="IK255" s="9"/>
      <c r="IL255" s="9"/>
      <c r="IM255" s="9"/>
      <c r="IN255" s="9"/>
      <c r="IO255" s="9"/>
      <c r="IP255" s="9"/>
      <c r="IQ255" s="9"/>
      <c r="IR255" s="9"/>
      <c r="IS255" s="9"/>
      <c r="IT255" s="9"/>
      <c r="IU255" s="9"/>
      <c r="IV255" s="9"/>
      <c r="IW255" s="9"/>
      <c r="IX255" s="9"/>
      <c r="IY255" s="9"/>
      <c r="IZ255" s="9"/>
      <c r="JA255" s="9"/>
      <c r="JB255" s="9"/>
      <c r="JC255" s="9"/>
      <c r="JD255" s="9"/>
      <c r="JE255" s="9"/>
      <c r="JF255" s="9"/>
      <c r="JG255" s="9"/>
      <c r="JH255" s="9"/>
      <c r="JI255" s="9"/>
      <c r="JJ255" s="9"/>
      <c r="JK255" s="9"/>
      <c r="JL255" s="9"/>
      <c r="JM255" s="9"/>
      <c r="JN255" s="9"/>
      <c r="JO255" s="9"/>
      <c r="JP255" s="9"/>
      <c r="JQ255" s="9"/>
      <c r="JR255" s="9"/>
      <c r="JS255" s="9"/>
      <c r="JT255" s="9"/>
      <c r="JU255" s="9"/>
      <c r="JV255" s="9"/>
      <c r="JW255" s="9"/>
      <c r="JX255" s="9"/>
      <c r="JY255" s="9"/>
      <c r="JZ255" s="9"/>
      <c r="KA255" s="9"/>
      <c r="KB255" s="9"/>
      <c r="KC255" s="9"/>
      <c r="KD255" s="9"/>
      <c r="KE255" s="9"/>
      <c r="KF255" s="9"/>
      <c r="KG255" s="9"/>
      <c r="KH255" s="9"/>
      <c r="KI255" s="9"/>
      <c r="KJ255" s="9"/>
      <c r="KK255" s="9"/>
      <c r="KL255" s="9"/>
      <c r="KM255" s="9"/>
      <c r="KN255" s="9"/>
      <c r="KO255" s="9"/>
      <c r="KP255" s="9"/>
      <c r="KQ255" s="9"/>
      <c r="KR255" s="9"/>
      <c r="KS255" s="9"/>
      <c r="KT255" s="9"/>
      <c r="KU255" s="9"/>
      <c r="KV255" s="9"/>
      <c r="KW255" s="9"/>
      <c r="KX255" s="9"/>
      <c r="KY255" s="9"/>
      <c r="KZ255" s="9"/>
      <c r="LA255" s="9"/>
      <c r="LB255" s="9"/>
      <c r="LC255" s="9"/>
      <c r="LD255" s="9"/>
      <c r="LE255" s="9"/>
      <c r="LF255" s="9"/>
      <c r="LG255" s="9"/>
      <c r="LH255" s="9"/>
      <c r="LI255" s="9"/>
      <c r="LJ255" s="9"/>
      <c r="LK255" s="9"/>
      <c r="LL255" s="9"/>
      <c r="LM255" s="9"/>
      <c r="LN255" s="9"/>
      <c r="LO255" s="9"/>
      <c r="LP255" s="9"/>
      <c r="LQ255" s="9"/>
      <c r="LR255" s="9"/>
      <c r="LS255" s="9"/>
      <c r="LT255" s="9"/>
      <c r="LU255" s="9"/>
      <c r="LV255" s="9"/>
      <c r="LW255" s="9"/>
      <c r="LX255" s="9"/>
      <c r="LY255" s="9"/>
      <c r="LZ255" s="9"/>
      <c r="MA255" s="9"/>
      <c r="MB255" s="9"/>
      <c r="MC255" s="9"/>
      <c r="MD255" s="9"/>
      <c r="ME255" s="9"/>
      <c r="MF255" s="9"/>
      <c r="MG255" s="9"/>
      <c r="MH255" s="9"/>
      <c r="MI255" s="9"/>
      <c r="MJ255" s="9"/>
      <c r="MK255" s="9"/>
      <c r="ML255" s="9"/>
      <c r="MM255" s="9"/>
      <c r="MN255" s="9"/>
      <c r="MO255" s="9"/>
      <c r="MP255" s="9"/>
      <c r="MQ255" s="9"/>
      <c r="MR255" s="9"/>
      <c r="MS255" s="9"/>
      <c r="MT255" s="9"/>
      <c r="MU255" s="9"/>
      <c r="MV255" s="9"/>
      <c r="MW255" s="9"/>
      <c r="MX255" s="9"/>
      <c r="MY255" s="9"/>
      <c r="MZ255" s="9"/>
      <c r="NA255" s="9"/>
      <c r="NB255" s="9"/>
      <c r="NC255" s="9"/>
      <c r="ND255" s="9"/>
      <c r="NE255" s="9"/>
      <c r="NF255" s="9"/>
      <c r="NG255" s="9"/>
      <c r="NH255" s="9"/>
      <c r="NI255" s="9"/>
      <c r="NJ255" s="9"/>
      <c r="NK255" s="9"/>
      <c r="NL255" s="9"/>
      <c r="NM255" s="9"/>
      <c r="NN255" s="9"/>
      <c r="NO255" s="9"/>
      <c r="NP255" s="9"/>
      <c r="NQ255" s="9"/>
      <c r="NR255" s="9"/>
      <c r="NS255" s="9"/>
      <c r="NT255" s="9"/>
      <c r="NU255" s="9"/>
      <c r="NV255" s="9"/>
      <c r="NW255" s="9"/>
      <c r="NX255" s="9"/>
      <c r="NY255" s="9"/>
      <c r="NZ255" s="9"/>
      <c r="OA255" s="9"/>
      <c r="OB255" s="9"/>
      <c r="OC255" s="9"/>
      <c r="OD255" s="9"/>
      <c r="OE255" s="9"/>
      <c r="OF255" s="9"/>
      <c r="OG255" s="9"/>
      <c r="OH255" s="9"/>
      <c r="OI255" s="9"/>
      <c r="OJ255" s="9"/>
      <c r="OK255" s="9"/>
      <c r="OL255" s="9"/>
      <c r="OM255" s="9"/>
      <c r="ON255" s="9"/>
      <c r="OO255" s="9"/>
      <c r="OP255" s="9"/>
      <c r="OQ255" s="9"/>
      <c r="OR255" s="9"/>
      <c r="OS255" s="9"/>
      <c r="OT255" s="9"/>
      <c r="OU255" s="9"/>
      <c r="OV255" s="9"/>
      <c r="OW255" s="9"/>
      <c r="OX255" s="9"/>
      <c r="OY255" s="9"/>
      <c r="OZ255" s="9"/>
      <c r="PA255" s="9"/>
      <c r="PB255" s="9"/>
      <c r="PC255" s="9"/>
      <c r="PD255" s="9"/>
      <c r="PE255" s="9"/>
      <c r="PF255" s="9"/>
      <c r="PG255" s="9"/>
      <c r="PH255" s="9"/>
      <c r="PI255" s="9"/>
      <c r="PJ255" s="9"/>
      <c r="PK255" s="9"/>
      <c r="PL255" s="9"/>
      <c r="PM255" s="9"/>
      <c r="PN255" s="9"/>
      <c r="PO255" s="9"/>
      <c r="PP255" s="9"/>
      <c r="PQ255" s="9"/>
      <c r="PR255" s="9"/>
      <c r="PS255" s="9"/>
      <c r="PT255" s="9"/>
      <c r="PU255" s="9"/>
      <c r="PV255" s="9"/>
      <c r="PW255" s="9"/>
      <c r="PX255" s="9"/>
      <c r="PY255" s="9"/>
      <c r="PZ255" s="9"/>
      <c r="QA255" s="9"/>
      <c r="QB255" s="9"/>
      <c r="QC255" s="9"/>
      <c r="QD255" s="9"/>
      <c r="QE255" s="9"/>
      <c r="QF255" s="9"/>
      <c r="QG255" s="9"/>
      <c r="QH255" s="9"/>
      <c r="QI255" s="9"/>
      <c r="QJ255" s="9"/>
      <c r="QK255" s="9"/>
      <c r="QL255" s="9"/>
      <c r="QM255" s="9"/>
      <c r="QN255" s="9"/>
      <c r="QO255" s="9"/>
      <c r="QP255" s="9"/>
      <c r="QQ255" s="67"/>
      <c r="QR255" s="68"/>
      <c r="QS255" s="63"/>
      <c r="QT255" s="71"/>
    </row>
    <row r="256" spans="1:462" s="11" customFormat="1" x14ac:dyDescent="0.2">
      <c r="A256" s="9">
        <v>20</v>
      </c>
      <c r="B256" s="9"/>
      <c r="C256" s="9"/>
      <c r="D256" s="9" t="s">
        <v>429</v>
      </c>
      <c r="E256" s="65" t="s">
        <v>537</v>
      </c>
      <c r="F256" s="65"/>
      <c r="G256" s="92" t="s">
        <v>2354</v>
      </c>
      <c r="H256" s="66" t="s">
        <v>1255</v>
      </c>
      <c r="I256" s="9" t="s">
        <v>1101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  <c r="HE256" s="9"/>
      <c r="HF256" s="9"/>
      <c r="HG256" s="9" t="s">
        <v>1101</v>
      </c>
      <c r="HH256" s="9"/>
      <c r="HI256" s="9" t="s">
        <v>1101</v>
      </c>
      <c r="HJ256" s="9"/>
      <c r="HK256" s="9"/>
      <c r="HL256" s="9"/>
      <c r="HM256" s="9"/>
      <c r="HN256" s="9"/>
      <c r="HO256" s="9"/>
      <c r="HP256" s="9"/>
      <c r="HQ256" s="9"/>
      <c r="HR256" s="9"/>
      <c r="HS256" s="9"/>
      <c r="HT256" s="9"/>
      <c r="HU256" s="9"/>
      <c r="HV256" s="9"/>
      <c r="HW256" s="9"/>
      <c r="HX256" s="9"/>
      <c r="HY256" s="9"/>
      <c r="HZ256" s="9"/>
      <c r="IA256" s="9"/>
      <c r="IB256" s="9"/>
      <c r="IC256" s="9"/>
      <c r="ID256" s="9"/>
      <c r="IE256" s="9"/>
      <c r="IF256" s="9"/>
      <c r="IG256" s="9"/>
      <c r="IH256" s="9"/>
      <c r="II256" s="9"/>
      <c r="IJ256" s="9"/>
      <c r="IK256" s="9"/>
      <c r="IL256" s="9"/>
      <c r="IM256" s="9"/>
      <c r="IN256" s="9"/>
      <c r="IO256" s="9"/>
      <c r="IP256" s="9"/>
      <c r="IQ256" s="9"/>
      <c r="IR256" s="9"/>
      <c r="IS256" s="9"/>
      <c r="IT256" s="9"/>
      <c r="IU256" s="9"/>
      <c r="IV256" s="9"/>
      <c r="IW256" s="9"/>
      <c r="IX256" s="9"/>
      <c r="IY256" s="9"/>
      <c r="IZ256" s="9"/>
      <c r="JA256" s="9"/>
      <c r="JB256" s="9"/>
      <c r="JC256" s="9"/>
      <c r="JD256" s="9"/>
      <c r="JE256" s="9"/>
      <c r="JF256" s="9"/>
      <c r="JG256" s="9"/>
      <c r="JH256" s="9"/>
      <c r="JI256" s="9"/>
      <c r="JJ256" s="9"/>
      <c r="JK256" s="9"/>
      <c r="JL256" s="9"/>
      <c r="JM256" s="9"/>
      <c r="JN256" s="9"/>
      <c r="JO256" s="9"/>
      <c r="JP256" s="9"/>
      <c r="JQ256" s="9"/>
      <c r="JR256" s="9"/>
      <c r="JS256" s="9"/>
      <c r="JT256" s="9"/>
      <c r="JU256" s="9"/>
      <c r="JV256" s="9"/>
      <c r="JW256" s="9"/>
      <c r="JX256" s="9"/>
      <c r="JY256" s="9"/>
      <c r="JZ256" s="9"/>
      <c r="KA256" s="9"/>
      <c r="KB256" s="9"/>
      <c r="KC256" s="9"/>
      <c r="KD256" s="9"/>
      <c r="KE256" s="9"/>
      <c r="KF256" s="9"/>
      <c r="KG256" s="9"/>
      <c r="KH256" s="9"/>
      <c r="KI256" s="9"/>
      <c r="KJ256" s="9"/>
      <c r="KK256" s="9"/>
      <c r="KL256" s="9"/>
      <c r="KM256" s="9"/>
      <c r="KN256" s="9"/>
      <c r="KO256" s="9"/>
      <c r="KP256" s="9"/>
      <c r="KQ256" s="9"/>
      <c r="KR256" s="9"/>
      <c r="KS256" s="9"/>
      <c r="KT256" s="9"/>
      <c r="KU256" s="9"/>
      <c r="KV256" s="9"/>
      <c r="KW256" s="9"/>
      <c r="KX256" s="9"/>
      <c r="KY256" s="9"/>
      <c r="KZ256" s="9"/>
      <c r="LA256" s="9"/>
      <c r="LB256" s="9"/>
      <c r="LC256" s="9"/>
      <c r="LD256" s="9"/>
      <c r="LE256" s="9"/>
      <c r="LF256" s="9"/>
      <c r="LG256" s="9"/>
      <c r="LH256" s="9"/>
      <c r="LI256" s="9"/>
      <c r="LJ256" s="9"/>
      <c r="LK256" s="9"/>
      <c r="LL256" s="9"/>
      <c r="LM256" s="9"/>
      <c r="LN256" s="9"/>
      <c r="LO256" s="9"/>
      <c r="LP256" s="9"/>
      <c r="LQ256" s="9"/>
      <c r="LR256" s="9"/>
      <c r="LS256" s="9"/>
      <c r="LT256" s="9"/>
      <c r="LU256" s="9"/>
      <c r="LV256" s="9"/>
      <c r="LW256" s="9"/>
      <c r="LX256" s="9"/>
      <c r="LY256" s="9"/>
      <c r="LZ256" s="9"/>
      <c r="MA256" s="9"/>
      <c r="MB256" s="9"/>
      <c r="MC256" s="9"/>
      <c r="MD256" s="9"/>
      <c r="ME256" s="9"/>
      <c r="MF256" s="9"/>
      <c r="MG256" s="9"/>
      <c r="MH256" s="9"/>
      <c r="MI256" s="9"/>
      <c r="MJ256" s="9"/>
      <c r="MK256" s="9"/>
      <c r="ML256" s="9"/>
      <c r="MM256" s="9"/>
      <c r="MN256" s="9"/>
      <c r="MO256" s="9"/>
      <c r="MP256" s="9"/>
      <c r="MQ256" s="9"/>
      <c r="MR256" s="9"/>
      <c r="MS256" s="9"/>
      <c r="MT256" s="9"/>
      <c r="MU256" s="9"/>
      <c r="MV256" s="9"/>
      <c r="MW256" s="9"/>
      <c r="MX256" s="9"/>
      <c r="MY256" s="9"/>
      <c r="MZ256" s="9"/>
      <c r="NA256" s="9"/>
      <c r="NB256" s="9"/>
      <c r="NC256" s="9"/>
      <c r="ND256" s="9"/>
      <c r="NE256" s="9"/>
      <c r="NF256" s="9"/>
      <c r="NG256" s="9"/>
      <c r="NH256" s="9"/>
      <c r="NI256" s="9"/>
      <c r="NJ256" s="9"/>
      <c r="NK256" s="9"/>
      <c r="NL256" s="9"/>
      <c r="NM256" s="9"/>
      <c r="NN256" s="9"/>
      <c r="NO256" s="9"/>
      <c r="NP256" s="9"/>
      <c r="NQ256" s="9"/>
      <c r="NR256" s="9"/>
      <c r="NS256" s="9"/>
      <c r="NT256" s="9"/>
      <c r="NU256" s="9"/>
      <c r="NV256" s="9"/>
      <c r="NW256" s="9"/>
      <c r="NX256" s="9"/>
      <c r="NY256" s="9"/>
      <c r="NZ256" s="9"/>
      <c r="OA256" s="9"/>
      <c r="OB256" s="9"/>
      <c r="OC256" s="9"/>
      <c r="OD256" s="9"/>
      <c r="OE256" s="9"/>
      <c r="OF256" s="9"/>
      <c r="OG256" s="9"/>
      <c r="OH256" s="9"/>
      <c r="OI256" s="9"/>
      <c r="OJ256" s="9"/>
      <c r="OK256" s="9"/>
      <c r="OL256" s="9"/>
      <c r="OM256" s="9"/>
      <c r="ON256" s="9"/>
      <c r="OO256" s="9"/>
      <c r="OP256" s="9"/>
      <c r="OQ256" s="9"/>
      <c r="OR256" s="9"/>
      <c r="OS256" s="9"/>
      <c r="OT256" s="9"/>
      <c r="OU256" s="9"/>
      <c r="OV256" s="9"/>
      <c r="OW256" s="9"/>
      <c r="OX256" s="9"/>
      <c r="OY256" s="9"/>
      <c r="OZ256" s="9"/>
      <c r="PA256" s="9"/>
      <c r="PB256" s="9"/>
      <c r="PC256" s="9"/>
      <c r="PD256" s="9"/>
      <c r="PE256" s="9"/>
      <c r="PF256" s="9"/>
      <c r="PG256" s="9"/>
      <c r="PH256" s="9"/>
      <c r="PI256" s="9"/>
      <c r="PJ256" s="9"/>
      <c r="PK256" s="9"/>
      <c r="PL256" s="9"/>
      <c r="PM256" s="9"/>
      <c r="PN256" s="9"/>
      <c r="PO256" s="9"/>
      <c r="PP256" s="9"/>
      <c r="PQ256" s="9"/>
      <c r="PR256" s="9"/>
      <c r="PS256" s="9"/>
      <c r="PT256" s="9"/>
      <c r="PU256" s="9"/>
      <c r="PV256" s="9"/>
      <c r="PW256" s="9"/>
      <c r="PX256" s="9"/>
      <c r="PY256" s="9"/>
      <c r="PZ256" s="9"/>
      <c r="QA256" s="9"/>
      <c r="QB256" s="9"/>
      <c r="QC256" s="9"/>
      <c r="QD256" s="9"/>
      <c r="QE256" s="9"/>
      <c r="QF256" s="9"/>
      <c r="QG256" s="9"/>
      <c r="QH256" s="9"/>
      <c r="QI256" s="9"/>
      <c r="QJ256" s="9"/>
      <c r="QK256" s="9"/>
      <c r="QL256" s="9"/>
      <c r="QM256" s="9"/>
      <c r="QN256" s="9"/>
      <c r="QO256" s="9"/>
      <c r="QP256" s="9"/>
      <c r="QQ256" s="67"/>
      <c r="QR256" s="68"/>
      <c r="QS256" s="63"/>
      <c r="QT256" s="71"/>
    </row>
    <row r="257" spans="1:462" s="11" customFormat="1" x14ac:dyDescent="0.2">
      <c r="A257" s="9">
        <v>20</v>
      </c>
      <c r="B257" s="9"/>
      <c r="C257" s="9"/>
      <c r="D257" s="9" t="s">
        <v>431</v>
      </c>
      <c r="E257" s="65" t="s">
        <v>539</v>
      </c>
      <c r="F257" s="65"/>
      <c r="G257" s="92" t="s">
        <v>2357</v>
      </c>
      <c r="H257" s="66" t="s">
        <v>1258</v>
      </c>
      <c r="I257" s="9" t="s">
        <v>1101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  <c r="HJ257" s="9"/>
      <c r="HK257" s="9"/>
      <c r="HL257" s="9"/>
      <c r="HM257" s="9"/>
      <c r="HN257" s="9"/>
      <c r="HO257" s="9" t="s">
        <v>1101</v>
      </c>
      <c r="HP257" s="9"/>
      <c r="HQ257" s="9" t="s">
        <v>1101</v>
      </c>
      <c r="HR257" s="9"/>
      <c r="HS257" s="9"/>
      <c r="HT257" s="9"/>
      <c r="HU257" s="9"/>
      <c r="HV257" s="9"/>
      <c r="HW257" s="9"/>
      <c r="HX257" s="9"/>
      <c r="HY257" s="9"/>
      <c r="HZ257" s="9"/>
      <c r="IA257" s="9"/>
      <c r="IB257" s="9"/>
      <c r="IC257" s="9"/>
      <c r="ID257" s="9"/>
      <c r="IE257" s="9"/>
      <c r="IF257" s="9"/>
      <c r="IG257" s="9"/>
      <c r="IH257" s="9"/>
      <c r="II257" s="9"/>
      <c r="IJ257" s="9"/>
      <c r="IK257" s="9"/>
      <c r="IL257" s="9"/>
      <c r="IM257" s="9"/>
      <c r="IN257" s="9"/>
      <c r="IO257" s="9"/>
      <c r="IP257" s="9"/>
      <c r="IQ257" s="9"/>
      <c r="IR257" s="9"/>
      <c r="IS257" s="9"/>
      <c r="IT257" s="9"/>
      <c r="IU257" s="9"/>
      <c r="IV257" s="9"/>
      <c r="IW257" s="9"/>
      <c r="IX257" s="9"/>
      <c r="IY257" s="9"/>
      <c r="IZ257" s="9"/>
      <c r="JA257" s="9"/>
      <c r="JB257" s="9"/>
      <c r="JC257" s="9"/>
      <c r="JD257" s="9"/>
      <c r="JE257" s="9"/>
      <c r="JF257" s="9"/>
      <c r="JG257" s="9"/>
      <c r="JH257" s="9"/>
      <c r="JI257" s="9"/>
      <c r="JJ257" s="9"/>
      <c r="JK257" s="9"/>
      <c r="JL257" s="9"/>
      <c r="JM257" s="9"/>
      <c r="JN257" s="9"/>
      <c r="JO257" s="9"/>
      <c r="JP257" s="9"/>
      <c r="JQ257" s="9"/>
      <c r="JR257" s="9"/>
      <c r="JS257" s="9"/>
      <c r="JT257" s="9"/>
      <c r="JU257" s="9"/>
      <c r="JV257" s="9"/>
      <c r="JW257" s="9"/>
      <c r="JX257" s="9"/>
      <c r="JY257" s="9"/>
      <c r="JZ257" s="9"/>
      <c r="KA257" s="9"/>
      <c r="KB257" s="9"/>
      <c r="KC257" s="9"/>
      <c r="KD257" s="9"/>
      <c r="KE257" s="9"/>
      <c r="KF257" s="9"/>
      <c r="KG257" s="9"/>
      <c r="KH257" s="9"/>
      <c r="KI257" s="9"/>
      <c r="KJ257" s="9"/>
      <c r="KK257" s="9"/>
      <c r="KL257" s="9"/>
      <c r="KM257" s="9"/>
      <c r="KN257" s="9"/>
      <c r="KO257" s="9"/>
      <c r="KP257" s="9"/>
      <c r="KQ257" s="9"/>
      <c r="KR257" s="9"/>
      <c r="KS257" s="9"/>
      <c r="KT257" s="9"/>
      <c r="KU257" s="9"/>
      <c r="KV257" s="9"/>
      <c r="KW257" s="9"/>
      <c r="KX257" s="9"/>
      <c r="KY257" s="9"/>
      <c r="KZ257" s="9"/>
      <c r="LA257" s="9"/>
      <c r="LB257" s="9"/>
      <c r="LC257" s="9"/>
      <c r="LD257" s="9"/>
      <c r="LE257" s="9"/>
      <c r="LF257" s="9"/>
      <c r="LG257" s="9"/>
      <c r="LH257" s="9"/>
      <c r="LI257" s="9"/>
      <c r="LJ257" s="9"/>
      <c r="LK257" s="9"/>
      <c r="LL257" s="9"/>
      <c r="LM257" s="9"/>
      <c r="LN257" s="9"/>
      <c r="LO257" s="9"/>
      <c r="LP257" s="9"/>
      <c r="LQ257" s="9"/>
      <c r="LR257" s="9"/>
      <c r="LS257" s="9"/>
      <c r="LT257" s="9"/>
      <c r="LU257" s="9"/>
      <c r="LV257" s="9"/>
      <c r="LW257" s="9"/>
      <c r="LX257" s="9"/>
      <c r="LY257" s="9"/>
      <c r="LZ257" s="9"/>
      <c r="MA257" s="9"/>
      <c r="MB257" s="9"/>
      <c r="MC257" s="9"/>
      <c r="MD257" s="9"/>
      <c r="ME257" s="9"/>
      <c r="MF257" s="9"/>
      <c r="MG257" s="9"/>
      <c r="MH257" s="9"/>
      <c r="MI257" s="9"/>
      <c r="MJ257" s="9"/>
      <c r="MK257" s="9"/>
      <c r="ML257" s="9"/>
      <c r="MM257" s="9"/>
      <c r="MN257" s="9"/>
      <c r="MO257" s="9"/>
      <c r="MP257" s="9"/>
      <c r="MQ257" s="9"/>
      <c r="MR257" s="9"/>
      <c r="MS257" s="9"/>
      <c r="MT257" s="9"/>
      <c r="MU257" s="9"/>
      <c r="MV257" s="9"/>
      <c r="MW257" s="9"/>
      <c r="MX257" s="9"/>
      <c r="MY257" s="9"/>
      <c r="MZ257" s="9"/>
      <c r="NA257" s="9"/>
      <c r="NB257" s="9"/>
      <c r="NC257" s="9"/>
      <c r="ND257" s="9"/>
      <c r="NE257" s="9"/>
      <c r="NF257" s="9"/>
      <c r="NG257" s="9"/>
      <c r="NH257" s="9"/>
      <c r="NI257" s="9"/>
      <c r="NJ257" s="9"/>
      <c r="NK257" s="9"/>
      <c r="NL257" s="9"/>
      <c r="NM257" s="9"/>
      <c r="NN257" s="9"/>
      <c r="NO257" s="9"/>
      <c r="NP257" s="9"/>
      <c r="NQ257" s="9"/>
      <c r="NR257" s="9"/>
      <c r="NS257" s="9"/>
      <c r="NT257" s="9"/>
      <c r="NU257" s="9"/>
      <c r="NV257" s="9"/>
      <c r="NW257" s="9"/>
      <c r="NX257" s="9"/>
      <c r="NY257" s="9"/>
      <c r="NZ257" s="9"/>
      <c r="OA257" s="9"/>
      <c r="OB257" s="9"/>
      <c r="OC257" s="9"/>
      <c r="OD257" s="9"/>
      <c r="OE257" s="9"/>
      <c r="OF257" s="9"/>
      <c r="OG257" s="9"/>
      <c r="OH257" s="9"/>
      <c r="OI257" s="9"/>
      <c r="OJ257" s="9"/>
      <c r="OK257" s="9"/>
      <c r="OL257" s="9"/>
      <c r="OM257" s="9"/>
      <c r="ON257" s="9"/>
      <c r="OO257" s="9"/>
      <c r="OP257" s="9"/>
      <c r="OQ257" s="9"/>
      <c r="OR257" s="9"/>
      <c r="OS257" s="9"/>
      <c r="OT257" s="9"/>
      <c r="OU257" s="9"/>
      <c r="OV257" s="9"/>
      <c r="OW257" s="9"/>
      <c r="OX257" s="9"/>
      <c r="OY257" s="9"/>
      <c r="OZ257" s="9"/>
      <c r="PA257" s="9"/>
      <c r="PB257" s="9"/>
      <c r="PC257" s="9"/>
      <c r="PD257" s="9"/>
      <c r="PE257" s="9"/>
      <c r="PF257" s="9"/>
      <c r="PG257" s="9"/>
      <c r="PH257" s="9"/>
      <c r="PI257" s="9"/>
      <c r="PJ257" s="9"/>
      <c r="PK257" s="9"/>
      <c r="PL257" s="9"/>
      <c r="PM257" s="9"/>
      <c r="PN257" s="9"/>
      <c r="PO257" s="9"/>
      <c r="PP257" s="9"/>
      <c r="PQ257" s="9"/>
      <c r="PR257" s="9"/>
      <c r="PS257" s="9"/>
      <c r="PT257" s="9"/>
      <c r="PU257" s="9"/>
      <c r="PV257" s="9"/>
      <c r="PW257" s="9"/>
      <c r="PX257" s="9"/>
      <c r="PY257" s="9"/>
      <c r="PZ257" s="9"/>
      <c r="QA257" s="9"/>
      <c r="QB257" s="9"/>
      <c r="QC257" s="9"/>
      <c r="QD257" s="9"/>
      <c r="QE257" s="9"/>
      <c r="QF257" s="9"/>
      <c r="QG257" s="9"/>
      <c r="QH257" s="9"/>
      <c r="QI257" s="9"/>
      <c r="QJ257" s="9"/>
      <c r="QK257" s="9"/>
      <c r="QL257" s="9"/>
      <c r="QM257" s="9"/>
      <c r="QN257" s="9"/>
      <c r="QO257" s="9"/>
      <c r="QP257" s="9"/>
      <c r="QQ257" s="67"/>
      <c r="QR257" s="68"/>
      <c r="QS257" s="63"/>
      <c r="QT257" s="71"/>
    </row>
    <row r="258" spans="1:462" s="11" customFormat="1" ht="26" x14ac:dyDescent="0.2">
      <c r="A258" s="9">
        <v>20</v>
      </c>
      <c r="B258" s="9"/>
      <c r="C258" s="9"/>
      <c r="D258" s="9" t="s">
        <v>433</v>
      </c>
      <c r="E258" s="65" t="s">
        <v>541</v>
      </c>
      <c r="F258" s="65"/>
      <c r="G258" s="92" t="s">
        <v>2360</v>
      </c>
      <c r="H258" s="66" t="s">
        <v>1261</v>
      </c>
      <c r="I258" s="9" t="s">
        <v>1101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  <c r="HJ258" s="9"/>
      <c r="HK258" s="9"/>
      <c r="HL258" s="9"/>
      <c r="HM258" s="9"/>
      <c r="HN258" s="9"/>
      <c r="HO258" s="9"/>
      <c r="HP258" s="9"/>
      <c r="HQ258" s="9"/>
      <c r="HR258" s="9"/>
      <c r="HS258" s="9"/>
      <c r="HT258" s="9"/>
      <c r="HU258" s="9"/>
      <c r="HV258" s="9"/>
      <c r="HW258" s="9" t="s">
        <v>1101</v>
      </c>
      <c r="HX258" s="9"/>
      <c r="HY258" s="9" t="s">
        <v>1101</v>
      </c>
      <c r="HZ258" s="9"/>
      <c r="IA258" s="9"/>
      <c r="IB258" s="9"/>
      <c r="IC258" s="9"/>
      <c r="ID258" s="9"/>
      <c r="IE258" s="9"/>
      <c r="IF258" s="9"/>
      <c r="IG258" s="9"/>
      <c r="IH258" s="9"/>
      <c r="II258" s="9"/>
      <c r="IJ258" s="9"/>
      <c r="IK258" s="9"/>
      <c r="IL258" s="9"/>
      <c r="IM258" s="9"/>
      <c r="IN258" s="9"/>
      <c r="IO258" s="9"/>
      <c r="IP258" s="9"/>
      <c r="IQ258" s="9"/>
      <c r="IR258" s="9"/>
      <c r="IS258" s="9"/>
      <c r="IT258" s="9"/>
      <c r="IU258" s="9"/>
      <c r="IV258" s="9"/>
      <c r="IW258" s="9"/>
      <c r="IX258" s="9"/>
      <c r="IY258" s="9"/>
      <c r="IZ258" s="9"/>
      <c r="JA258" s="9"/>
      <c r="JB258" s="9"/>
      <c r="JC258" s="9"/>
      <c r="JD258" s="9"/>
      <c r="JE258" s="9"/>
      <c r="JF258" s="9"/>
      <c r="JG258" s="9"/>
      <c r="JH258" s="9"/>
      <c r="JI258" s="9"/>
      <c r="JJ258" s="9"/>
      <c r="JK258" s="9"/>
      <c r="JL258" s="9"/>
      <c r="JM258" s="9"/>
      <c r="JN258" s="9"/>
      <c r="JO258" s="9"/>
      <c r="JP258" s="9"/>
      <c r="JQ258" s="9"/>
      <c r="JR258" s="9"/>
      <c r="JS258" s="9"/>
      <c r="JT258" s="9"/>
      <c r="JU258" s="9"/>
      <c r="JV258" s="9"/>
      <c r="JW258" s="9"/>
      <c r="JX258" s="9"/>
      <c r="JY258" s="9"/>
      <c r="JZ258" s="9"/>
      <c r="KA258" s="9"/>
      <c r="KB258" s="9"/>
      <c r="KC258" s="9"/>
      <c r="KD258" s="9"/>
      <c r="KE258" s="9"/>
      <c r="KF258" s="9"/>
      <c r="KG258" s="9"/>
      <c r="KH258" s="9"/>
      <c r="KI258" s="9"/>
      <c r="KJ258" s="9"/>
      <c r="KK258" s="9"/>
      <c r="KL258" s="9"/>
      <c r="KM258" s="9"/>
      <c r="KN258" s="9"/>
      <c r="KO258" s="9"/>
      <c r="KP258" s="9"/>
      <c r="KQ258" s="9"/>
      <c r="KR258" s="9"/>
      <c r="KS258" s="9"/>
      <c r="KT258" s="9"/>
      <c r="KU258" s="9"/>
      <c r="KV258" s="9"/>
      <c r="KW258" s="9"/>
      <c r="KX258" s="9"/>
      <c r="KY258" s="9"/>
      <c r="KZ258" s="9"/>
      <c r="LA258" s="9"/>
      <c r="LB258" s="9"/>
      <c r="LC258" s="9"/>
      <c r="LD258" s="9"/>
      <c r="LE258" s="9"/>
      <c r="LF258" s="9"/>
      <c r="LG258" s="9"/>
      <c r="LH258" s="9"/>
      <c r="LI258" s="9"/>
      <c r="LJ258" s="9"/>
      <c r="LK258" s="9"/>
      <c r="LL258" s="9"/>
      <c r="LM258" s="9"/>
      <c r="LN258" s="9"/>
      <c r="LO258" s="9"/>
      <c r="LP258" s="9"/>
      <c r="LQ258" s="9"/>
      <c r="LR258" s="9"/>
      <c r="LS258" s="9"/>
      <c r="LT258" s="9"/>
      <c r="LU258" s="9"/>
      <c r="LV258" s="9"/>
      <c r="LW258" s="9"/>
      <c r="LX258" s="9"/>
      <c r="LY258" s="9"/>
      <c r="LZ258" s="9"/>
      <c r="MA258" s="9"/>
      <c r="MB258" s="9"/>
      <c r="MC258" s="9"/>
      <c r="MD258" s="9"/>
      <c r="ME258" s="9"/>
      <c r="MF258" s="9"/>
      <c r="MG258" s="9"/>
      <c r="MH258" s="9"/>
      <c r="MI258" s="9"/>
      <c r="MJ258" s="9"/>
      <c r="MK258" s="9"/>
      <c r="ML258" s="9"/>
      <c r="MM258" s="9"/>
      <c r="MN258" s="9"/>
      <c r="MO258" s="9"/>
      <c r="MP258" s="9"/>
      <c r="MQ258" s="9"/>
      <c r="MR258" s="9"/>
      <c r="MS258" s="9"/>
      <c r="MT258" s="9"/>
      <c r="MU258" s="9"/>
      <c r="MV258" s="9"/>
      <c r="MW258" s="9"/>
      <c r="MX258" s="9"/>
      <c r="MY258" s="9"/>
      <c r="MZ258" s="9"/>
      <c r="NA258" s="9"/>
      <c r="NB258" s="9"/>
      <c r="NC258" s="9"/>
      <c r="ND258" s="9"/>
      <c r="NE258" s="9"/>
      <c r="NF258" s="9"/>
      <c r="NG258" s="9"/>
      <c r="NH258" s="9"/>
      <c r="NI258" s="9"/>
      <c r="NJ258" s="9"/>
      <c r="NK258" s="9"/>
      <c r="NL258" s="9"/>
      <c r="NM258" s="9"/>
      <c r="NN258" s="9"/>
      <c r="NO258" s="9"/>
      <c r="NP258" s="9"/>
      <c r="NQ258" s="9"/>
      <c r="NR258" s="9"/>
      <c r="NS258" s="9"/>
      <c r="NT258" s="9"/>
      <c r="NU258" s="9"/>
      <c r="NV258" s="9"/>
      <c r="NW258" s="9"/>
      <c r="NX258" s="9"/>
      <c r="NY258" s="9"/>
      <c r="NZ258" s="9"/>
      <c r="OA258" s="9"/>
      <c r="OB258" s="9"/>
      <c r="OC258" s="9"/>
      <c r="OD258" s="9"/>
      <c r="OE258" s="9"/>
      <c r="OF258" s="9"/>
      <c r="OG258" s="9"/>
      <c r="OH258" s="9"/>
      <c r="OI258" s="9"/>
      <c r="OJ258" s="9"/>
      <c r="OK258" s="9"/>
      <c r="OL258" s="9"/>
      <c r="OM258" s="9"/>
      <c r="ON258" s="9"/>
      <c r="OO258" s="9"/>
      <c r="OP258" s="9"/>
      <c r="OQ258" s="9"/>
      <c r="OR258" s="9"/>
      <c r="OS258" s="9"/>
      <c r="OT258" s="9"/>
      <c r="OU258" s="9"/>
      <c r="OV258" s="9"/>
      <c r="OW258" s="9"/>
      <c r="OX258" s="9"/>
      <c r="OY258" s="9"/>
      <c r="OZ258" s="9"/>
      <c r="PA258" s="9"/>
      <c r="PB258" s="9"/>
      <c r="PC258" s="9"/>
      <c r="PD258" s="9"/>
      <c r="PE258" s="9"/>
      <c r="PF258" s="9"/>
      <c r="PG258" s="9"/>
      <c r="PH258" s="9"/>
      <c r="PI258" s="9"/>
      <c r="PJ258" s="9"/>
      <c r="PK258" s="9"/>
      <c r="PL258" s="9"/>
      <c r="PM258" s="9"/>
      <c r="PN258" s="9"/>
      <c r="PO258" s="9"/>
      <c r="PP258" s="9"/>
      <c r="PQ258" s="9"/>
      <c r="PR258" s="9"/>
      <c r="PS258" s="9"/>
      <c r="PT258" s="9"/>
      <c r="PU258" s="9"/>
      <c r="PV258" s="9"/>
      <c r="PW258" s="9"/>
      <c r="PX258" s="9"/>
      <c r="PY258" s="9"/>
      <c r="PZ258" s="9"/>
      <c r="QA258" s="9"/>
      <c r="QB258" s="9"/>
      <c r="QC258" s="9"/>
      <c r="QD258" s="9"/>
      <c r="QE258" s="9"/>
      <c r="QF258" s="9"/>
      <c r="QG258" s="9"/>
      <c r="QH258" s="9"/>
      <c r="QI258" s="9"/>
      <c r="QJ258" s="9"/>
      <c r="QK258" s="9"/>
      <c r="QL258" s="9"/>
      <c r="QM258" s="9"/>
      <c r="QN258" s="9"/>
      <c r="QO258" s="9"/>
      <c r="QP258" s="9"/>
      <c r="QQ258" s="67"/>
      <c r="QR258" s="68"/>
      <c r="QS258" s="63"/>
      <c r="QT258" s="71"/>
    </row>
    <row r="259" spans="1:462" s="11" customFormat="1" x14ac:dyDescent="0.2">
      <c r="A259" s="9">
        <v>20</v>
      </c>
      <c r="B259" s="9"/>
      <c r="C259" s="9"/>
      <c r="D259" s="9" t="s">
        <v>435</v>
      </c>
      <c r="E259" s="65" t="s">
        <v>543</v>
      </c>
      <c r="F259" s="65"/>
      <c r="G259" s="92" t="s">
        <v>2363</v>
      </c>
      <c r="H259" s="66" t="s">
        <v>1264</v>
      </c>
      <c r="I259" s="9" t="s">
        <v>1101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  <c r="HE259" s="9"/>
      <c r="HF259" s="9"/>
      <c r="HG259" s="9"/>
      <c r="HH259" s="9"/>
      <c r="HI259" s="9"/>
      <c r="HJ259" s="9"/>
      <c r="HK259" s="9"/>
      <c r="HL259" s="9"/>
      <c r="HM259" s="9"/>
      <c r="HN259" s="9"/>
      <c r="HO259" s="9"/>
      <c r="HP259" s="9"/>
      <c r="HQ259" s="9"/>
      <c r="HR259" s="9"/>
      <c r="HS259" s="9"/>
      <c r="HT259" s="9"/>
      <c r="HU259" s="9"/>
      <c r="HV259" s="9"/>
      <c r="HW259" s="9"/>
      <c r="HX259" s="9"/>
      <c r="HY259" s="9"/>
      <c r="HZ259" s="9"/>
      <c r="IA259" s="9"/>
      <c r="IB259" s="9"/>
      <c r="IC259" s="9"/>
      <c r="ID259" s="9"/>
      <c r="IE259" s="9" t="s">
        <v>1101</v>
      </c>
      <c r="IF259" s="9"/>
      <c r="IG259" s="9" t="s">
        <v>1101</v>
      </c>
      <c r="IH259" s="9"/>
      <c r="II259" s="9"/>
      <c r="IJ259" s="9"/>
      <c r="IK259" s="9"/>
      <c r="IL259" s="9"/>
      <c r="IM259" s="9"/>
      <c r="IN259" s="9"/>
      <c r="IO259" s="9"/>
      <c r="IP259" s="9"/>
      <c r="IQ259" s="9"/>
      <c r="IR259" s="9"/>
      <c r="IS259" s="9"/>
      <c r="IT259" s="9"/>
      <c r="IU259" s="9"/>
      <c r="IV259" s="9"/>
      <c r="IW259" s="9"/>
      <c r="IX259" s="9"/>
      <c r="IY259" s="9"/>
      <c r="IZ259" s="9"/>
      <c r="JA259" s="9"/>
      <c r="JB259" s="9"/>
      <c r="JC259" s="9"/>
      <c r="JD259" s="9"/>
      <c r="JE259" s="9"/>
      <c r="JF259" s="9"/>
      <c r="JG259" s="9"/>
      <c r="JH259" s="9"/>
      <c r="JI259" s="9"/>
      <c r="JJ259" s="9"/>
      <c r="JK259" s="9"/>
      <c r="JL259" s="9"/>
      <c r="JM259" s="9"/>
      <c r="JN259" s="9"/>
      <c r="JO259" s="9"/>
      <c r="JP259" s="9"/>
      <c r="JQ259" s="9"/>
      <c r="JR259" s="9"/>
      <c r="JS259" s="9"/>
      <c r="JT259" s="9"/>
      <c r="JU259" s="9"/>
      <c r="JV259" s="9"/>
      <c r="JW259" s="9"/>
      <c r="JX259" s="9"/>
      <c r="JY259" s="9"/>
      <c r="JZ259" s="9"/>
      <c r="KA259" s="9"/>
      <c r="KB259" s="9"/>
      <c r="KC259" s="9"/>
      <c r="KD259" s="9"/>
      <c r="KE259" s="9"/>
      <c r="KF259" s="9"/>
      <c r="KG259" s="9"/>
      <c r="KH259" s="9"/>
      <c r="KI259" s="9"/>
      <c r="KJ259" s="9"/>
      <c r="KK259" s="9"/>
      <c r="KL259" s="9"/>
      <c r="KM259" s="9"/>
      <c r="KN259" s="9"/>
      <c r="KO259" s="9"/>
      <c r="KP259" s="9"/>
      <c r="KQ259" s="9"/>
      <c r="KR259" s="9"/>
      <c r="KS259" s="9"/>
      <c r="KT259" s="9"/>
      <c r="KU259" s="9"/>
      <c r="KV259" s="9"/>
      <c r="KW259" s="9"/>
      <c r="KX259" s="9"/>
      <c r="KY259" s="9"/>
      <c r="KZ259" s="9"/>
      <c r="LA259" s="9"/>
      <c r="LB259" s="9"/>
      <c r="LC259" s="9"/>
      <c r="LD259" s="9"/>
      <c r="LE259" s="9"/>
      <c r="LF259" s="9"/>
      <c r="LG259" s="9"/>
      <c r="LH259" s="9"/>
      <c r="LI259" s="9"/>
      <c r="LJ259" s="9"/>
      <c r="LK259" s="9"/>
      <c r="LL259" s="9"/>
      <c r="LM259" s="9"/>
      <c r="LN259" s="9"/>
      <c r="LO259" s="9"/>
      <c r="LP259" s="9"/>
      <c r="LQ259" s="9"/>
      <c r="LR259" s="9"/>
      <c r="LS259" s="9"/>
      <c r="LT259" s="9"/>
      <c r="LU259" s="9"/>
      <c r="LV259" s="9"/>
      <c r="LW259" s="9"/>
      <c r="LX259" s="9"/>
      <c r="LY259" s="9"/>
      <c r="LZ259" s="9"/>
      <c r="MA259" s="9"/>
      <c r="MB259" s="9"/>
      <c r="MC259" s="9"/>
      <c r="MD259" s="9"/>
      <c r="ME259" s="9"/>
      <c r="MF259" s="9"/>
      <c r="MG259" s="9"/>
      <c r="MH259" s="9"/>
      <c r="MI259" s="9"/>
      <c r="MJ259" s="9"/>
      <c r="MK259" s="9"/>
      <c r="ML259" s="9"/>
      <c r="MM259" s="9"/>
      <c r="MN259" s="9"/>
      <c r="MO259" s="9"/>
      <c r="MP259" s="9"/>
      <c r="MQ259" s="9"/>
      <c r="MR259" s="9"/>
      <c r="MS259" s="9"/>
      <c r="MT259" s="9"/>
      <c r="MU259" s="9"/>
      <c r="MV259" s="9"/>
      <c r="MW259" s="9"/>
      <c r="MX259" s="9"/>
      <c r="MY259" s="9"/>
      <c r="MZ259" s="9"/>
      <c r="NA259" s="9"/>
      <c r="NB259" s="9"/>
      <c r="NC259" s="9"/>
      <c r="ND259" s="9"/>
      <c r="NE259" s="9"/>
      <c r="NF259" s="9"/>
      <c r="NG259" s="9"/>
      <c r="NH259" s="9"/>
      <c r="NI259" s="9"/>
      <c r="NJ259" s="9"/>
      <c r="NK259" s="9"/>
      <c r="NL259" s="9"/>
      <c r="NM259" s="9"/>
      <c r="NN259" s="9"/>
      <c r="NO259" s="9"/>
      <c r="NP259" s="9"/>
      <c r="NQ259" s="9"/>
      <c r="NR259" s="9"/>
      <c r="NS259" s="9"/>
      <c r="NT259" s="9"/>
      <c r="NU259" s="9"/>
      <c r="NV259" s="9"/>
      <c r="NW259" s="9"/>
      <c r="NX259" s="9"/>
      <c r="NY259" s="9"/>
      <c r="NZ259" s="9"/>
      <c r="OA259" s="9"/>
      <c r="OB259" s="9"/>
      <c r="OC259" s="9"/>
      <c r="OD259" s="9"/>
      <c r="OE259" s="9"/>
      <c r="OF259" s="9"/>
      <c r="OG259" s="9"/>
      <c r="OH259" s="9"/>
      <c r="OI259" s="9"/>
      <c r="OJ259" s="9"/>
      <c r="OK259" s="9"/>
      <c r="OL259" s="9"/>
      <c r="OM259" s="9"/>
      <c r="ON259" s="9"/>
      <c r="OO259" s="9"/>
      <c r="OP259" s="9"/>
      <c r="OQ259" s="9"/>
      <c r="OR259" s="9"/>
      <c r="OS259" s="9"/>
      <c r="OT259" s="9"/>
      <c r="OU259" s="9"/>
      <c r="OV259" s="9"/>
      <c r="OW259" s="9"/>
      <c r="OX259" s="9"/>
      <c r="OY259" s="9"/>
      <c r="OZ259" s="9"/>
      <c r="PA259" s="9"/>
      <c r="PB259" s="9"/>
      <c r="PC259" s="9"/>
      <c r="PD259" s="9"/>
      <c r="PE259" s="9"/>
      <c r="PF259" s="9"/>
      <c r="PG259" s="9"/>
      <c r="PH259" s="9"/>
      <c r="PI259" s="9"/>
      <c r="PJ259" s="9"/>
      <c r="PK259" s="9"/>
      <c r="PL259" s="9"/>
      <c r="PM259" s="9"/>
      <c r="PN259" s="9"/>
      <c r="PO259" s="9"/>
      <c r="PP259" s="9"/>
      <c r="PQ259" s="9"/>
      <c r="PR259" s="9"/>
      <c r="PS259" s="9"/>
      <c r="PT259" s="9"/>
      <c r="PU259" s="9"/>
      <c r="PV259" s="9"/>
      <c r="PW259" s="9"/>
      <c r="PX259" s="9"/>
      <c r="PY259" s="9"/>
      <c r="PZ259" s="9"/>
      <c r="QA259" s="9"/>
      <c r="QB259" s="9"/>
      <c r="QC259" s="9"/>
      <c r="QD259" s="9"/>
      <c r="QE259" s="9"/>
      <c r="QF259" s="9"/>
      <c r="QG259" s="9"/>
      <c r="QH259" s="9"/>
      <c r="QI259" s="9"/>
      <c r="QJ259" s="9"/>
      <c r="QK259" s="9"/>
      <c r="QL259" s="9"/>
      <c r="QM259" s="9"/>
      <c r="QN259" s="9"/>
      <c r="QO259" s="9"/>
      <c r="QP259" s="9"/>
      <c r="QQ259" s="67"/>
      <c r="QR259" s="68"/>
      <c r="QS259" s="63"/>
      <c r="QT259" s="71"/>
    </row>
    <row r="260" spans="1:462" s="11" customFormat="1" x14ac:dyDescent="0.2">
      <c r="A260" s="9">
        <v>20</v>
      </c>
      <c r="B260" s="9"/>
      <c r="C260" s="9"/>
      <c r="D260" s="9" t="s">
        <v>437</v>
      </c>
      <c r="E260" s="65" t="s">
        <v>545</v>
      </c>
      <c r="F260" s="65"/>
      <c r="G260" s="92" t="s">
        <v>2366</v>
      </c>
      <c r="H260" s="66" t="s">
        <v>1267</v>
      </c>
      <c r="I260" s="9" t="s">
        <v>1101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  <c r="HE260" s="9"/>
      <c r="HF260" s="9"/>
      <c r="HG260" s="9"/>
      <c r="HH260" s="9"/>
      <c r="HI260" s="9"/>
      <c r="HJ260" s="9"/>
      <c r="HK260" s="9"/>
      <c r="HL260" s="9"/>
      <c r="HM260" s="9"/>
      <c r="HN260" s="9"/>
      <c r="HO260" s="9"/>
      <c r="HP260" s="9"/>
      <c r="HQ260" s="9"/>
      <c r="HR260" s="9"/>
      <c r="HS260" s="9"/>
      <c r="HT260" s="9"/>
      <c r="HU260" s="9"/>
      <c r="HV260" s="9"/>
      <c r="HW260" s="9"/>
      <c r="HX260" s="9"/>
      <c r="HY260" s="9"/>
      <c r="HZ260" s="9"/>
      <c r="IA260" s="9"/>
      <c r="IB260" s="9"/>
      <c r="IC260" s="9"/>
      <c r="ID260" s="9"/>
      <c r="IE260" s="9"/>
      <c r="IF260" s="9"/>
      <c r="IG260" s="9"/>
      <c r="IH260" s="9"/>
      <c r="II260" s="9"/>
      <c r="IJ260" s="9"/>
      <c r="IK260" s="9"/>
      <c r="IL260" s="9"/>
      <c r="IM260" s="9" t="s">
        <v>1101</v>
      </c>
      <c r="IN260" s="9"/>
      <c r="IO260" s="9" t="s">
        <v>1101</v>
      </c>
      <c r="IP260" s="9"/>
      <c r="IQ260" s="9"/>
      <c r="IR260" s="9"/>
      <c r="IS260" s="9"/>
      <c r="IT260" s="9"/>
      <c r="IU260" s="9"/>
      <c r="IV260" s="9"/>
      <c r="IW260" s="9"/>
      <c r="IX260" s="9"/>
      <c r="IY260" s="9"/>
      <c r="IZ260" s="9"/>
      <c r="JA260" s="9"/>
      <c r="JB260" s="9"/>
      <c r="JC260" s="9"/>
      <c r="JD260" s="9"/>
      <c r="JE260" s="9"/>
      <c r="JF260" s="9"/>
      <c r="JG260" s="9"/>
      <c r="JH260" s="9"/>
      <c r="JI260" s="9"/>
      <c r="JJ260" s="9"/>
      <c r="JK260" s="9"/>
      <c r="JL260" s="9"/>
      <c r="JM260" s="9"/>
      <c r="JN260" s="9"/>
      <c r="JO260" s="9"/>
      <c r="JP260" s="9"/>
      <c r="JQ260" s="9"/>
      <c r="JR260" s="9"/>
      <c r="JS260" s="9"/>
      <c r="JT260" s="9"/>
      <c r="JU260" s="9"/>
      <c r="JV260" s="9"/>
      <c r="JW260" s="9"/>
      <c r="JX260" s="9"/>
      <c r="JY260" s="9"/>
      <c r="JZ260" s="9"/>
      <c r="KA260" s="9"/>
      <c r="KB260" s="9"/>
      <c r="KC260" s="9"/>
      <c r="KD260" s="9"/>
      <c r="KE260" s="9"/>
      <c r="KF260" s="9"/>
      <c r="KG260" s="9"/>
      <c r="KH260" s="9"/>
      <c r="KI260" s="9"/>
      <c r="KJ260" s="9"/>
      <c r="KK260" s="9"/>
      <c r="KL260" s="9"/>
      <c r="KM260" s="9"/>
      <c r="KN260" s="9"/>
      <c r="KO260" s="9"/>
      <c r="KP260" s="9"/>
      <c r="KQ260" s="9"/>
      <c r="KR260" s="9"/>
      <c r="KS260" s="9"/>
      <c r="KT260" s="9"/>
      <c r="KU260" s="9"/>
      <c r="KV260" s="9"/>
      <c r="KW260" s="9"/>
      <c r="KX260" s="9"/>
      <c r="KY260" s="9"/>
      <c r="KZ260" s="9"/>
      <c r="LA260" s="9"/>
      <c r="LB260" s="9"/>
      <c r="LC260" s="9"/>
      <c r="LD260" s="9"/>
      <c r="LE260" s="9"/>
      <c r="LF260" s="9"/>
      <c r="LG260" s="9"/>
      <c r="LH260" s="9"/>
      <c r="LI260" s="9"/>
      <c r="LJ260" s="9"/>
      <c r="LK260" s="9"/>
      <c r="LL260" s="9"/>
      <c r="LM260" s="9"/>
      <c r="LN260" s="9"/>
      <c r="LO260" s="9"/>
      <c r="LP260" s="9"/>
      <c r="LQ260" s="9"/>
      <c r="LR260" s="9"/>
      <c r="LS260" s="9"/>
      <c r="LT260" s="9"/>
      <c r="LU260" s="9"/>
      <c r="LV260" s="9"/>
      <c r="LW260" s="9"/>
      <c r="LX260" s="9"/>
      <c r="LY260" s="9"/>
      <c r="LZ260" s="9"/>
      <c r="MA260" s="9"/>
      <c r="MB260" s="9"/>
      <c r="MC260" s="9"/>
      <c r="MD260" s="9"/>
      <c r="ME260" s="9"/>
      <c r="MF260" s="9"/>
      <c r="MG260" s="9"/>
      <c r="MH260" s="9"/>
      <c r="MI260" s="9"/>
      <c r="MJ260" s="9"/>
      <c r="MK260" s="9"/>
      <c r="ML260" s="9"/>
      <c r="MM260" s="9"/>
      <c r="MN260" s="9"/>
      <c r="MO260" s="9"/>
      <c r="MP260" s="9"/>
      <c r="MQ260" s="9"/>
      <c r="MR260" s="9"/>
      <c r="MS260" s="9"/>
      <c r="MT260" s="9"/>
      <c r="MU260" s="9"/>
      <c r="MV260" s="9"/>
      <c r="MW260" s="9"/>
      <c r="MX260" s="9"/>
      <c r="MY260" s="9"/>
      <c r="MZ260" s="9"/>
      <c r="NA260" s="9"/>
      <c r="NB260" s="9"/>
      <c r="NC260" s="9"/>
      <c r="ND260" s="9"/>
      <c r="NE260" s="9"/>
      <c r="NF260" s="9"/>
      <c r="NG260" s="9"/>
      <c r="NH260" s="9"/>
      <c r="NI260" s="9"/>
      <c r="NJ260" s="9"/>
      <c r="NK260" s="9"/>
      <c r="NL260" s="9"/>
      <c r="NM260" s="9"/>
      <c r="NN260" s="9"/>
      <c r="NO260" s="9"/>
      <c r="NP260" s="9"/>
      <c r="NQ260" s="9"/>
      <c r="NR260" s="9"/>
      <c r="NS260" s="9"/>
      <c r="NT260" s="9"/>
      <c r="NU260" s="9"/>
      <c r="NV260" s="9"/>
      <c r="NW260" s="9"/>
      <c r="NX260" s="9"/>
      <c r="NY260" s="9"/>
      <c r="NZ260" s="9"/>
      <c r="OA260" s="9"/>
      <c r="OB260" s="9"/>
      <c r="OC260" s="9"/>
      <c r="OD260" s="9"/>
      <c r="OE260" s="9"/>
      <c r="OF260" s="9"/>
      <c r="OG260" s="9"/>
      <c r="OH260" s="9"/>
      <c r="OI260" s="9"/>
      <c r="OJ260" s="9"/>
      <c r="OK260" s="9"/>
      <c r="OL260" s="9"/>
      <c r="OM260" s="9"/>
      <c r="ON260" s="9"/>
      <c r="OO260" s="9"/>
      <c r="OP260" s="9"/>
      <c r="OQ260" s="9"/>
      <c r="OR260" s="9"/>
      <c r="OS260" s="9"/>
      <c r="OT260" s="9"/>
      <c r="OU260" s="9"/>
      <c r="OV260" s="9"/>
      <c r="OW260" s="9"/>
      <c r="OX260" s="9"/>
      <c r="OY260" s="9"/>
      <c r="OZ260" s="9"/>
      <c r="PA260" s="9"/>
      <c r="PB260" s="9"/>
      <c r="PC260" s="9"/>
      <c r="PD260" s="9"/>
      <c r="PE260" s="9"/>
      <c r="PF260" s="9"/>
      <c r="PG260" s="9"/>
      <c r="PH260" s="9"/>
      <c r="PI260" s="9"/>
      <c r="PJ260" s="9"/>
      <c r="PK260" s="9"/>
      <c r="PL260" s="9"/>
      <c r="PM260" s="9"/>
      <c r="PN260" s="9"/>
      <c r="PO260" s="9"/>
      <c r="PP260" s="9"/>
      <c r="PQ260" s="9"/>
      <c r="PR260" s="9"/>
      <c r="PS260" s="9"/>
      <c r="PT260" s="9"/>
      <c r="PU260" s="9"/>
      <c r="PV260" s="9"/>
      <c r="PW260" s="9"/>
      <c r="PX260" s="9"/>
      <c r="PY260" s="9"/>
      <c r="PZ260" s="9"/>
      <c r="QA260" s="9"/>
      <c r="QB260" s="9"/>
      <c r="QC260" s="9"/>
      <c r="QD260" s="9"/>
      <c r="QE260" s="9"/>
      <c r="QF260" s="9"/>
      <c r="QG260" s="9"/>
      <c r="QH260" s="9"/>
      <c r="QI260" s="9"/>
      <c r="QJ260" s="9"/>
      <c r="QK260" s="9"/>
      <c r="QL260" s="9"/>
      <c r="QM260" s="9"/>
      <c r="QN260" s="9"/>
      <c r="QO260" s="9"/>
      <c r="QP260" s="9"/>
      <c r="QQ260" s="67"/>
      <c r="QR260" s="68"/>
      <c r="QS260" s="63"/>
      <c r="QT260" s="71"/>
    </row>
    <row r="261" spans="1:462" s="11" customFormat="1" x14ac:dyDescent="0.2">
      <c r="A261" s="9">
        <v>20</v>
      </c>
      <c r="B261" s="9"/>
      <c r="C261" s="9"/>
      <c r="D261" s="9" t="s">
        <v>439</v>
      </c>
      <c r="E261" s="65" t="s">
        <v>547</v>
      </c>
      <c r="F261" s="65"/>
      <c r="G261" s="92" t="s">
        <v>2490</v>
      </c>
      <c r="H261" s="66" t="s">
        <v>1836</v>
      </c>
      <c r="I261" s="9" t="s">
        <v>1101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9"/>
      <c r="IB261" s="9"/>
      <c r="IC261" s="9"/>
      <c r="ID261" s="9"/>
      <c r="IE261" s="9"/>
      <c r="IF261" s="9"/>
      <c r="IG261" s="9"/>
      <c r="IH261" s="9"/>
      <c r="II261" s="9"/>
      <c r="IJ261" s="9"/>
      <c r="IK261" s="9"/>
      <c r="IL261" s="9"/>
      <c r="IM261" s="9"/>
      <c r="IN261" s="9"/>
      <c r="IO261" s="9"/>
      <c r="IP261" s="9"/>
      <c r="IQ261" s="9"/>
      <c r="IR261" s="9"/>
      <c r="IS261" s="9"/>
      <c r="IT261" s="9"/>
      <c r="IU261" s="9" t="s">
        <v>1101</v>
      </c>
      <c r="IV261" s="9"/>
      <c r="IW261" s="9" t="s">
        <v>1101</v>
      </c>
      <c r="IX261" s="9"/>
      <c r="IY261" s="9"/>
      <c r="IZ261" s="9"/>
      <c r="JA261" s="9"/>
      <c r="JB261" s="9"/>
      <c r="JC261" s="9"/>
      <c r="JD261" s="9"/>
      <c r="JE261" s="9"/>
      <c r="JF261" s="9"/>
      <c r="JG261" s="9"/>
      <c r="JH261" s="9"/>
      <c r="JI261" s="9"/>
      <c r="JJ261" s="9"/>
      <c r="JK261" s="9"/>
      <c r="JL261" s="9"/>
      <c r="JM261" s="9"/>
      <c r="JN261" s="9"/>
      <c r="JO261" s="9"/>
      <c r="JP261" s="9"/>
      <c r="JQ261" s="9"/>
      <c r="JR261" s="9"/>
      <c r="JS261" s="9"/>
      <c r="JT261" s="9"/>
      <c r="JU261" s="9"/>
      <c r="JV261" s="9"/>
      <c r="JW261" s="9"/>
      <c r="JX261" s="9"/>
      <c r="JY261" s="9"/>
      <c r="JZ261" s="9"/>
      <c r="KA261" s="9"/>
      <c r="KB261" s="9"/>
      <c r="KC261" s="9"/>
      <c r="KD261" s="9"/>
      <c r="KE261" s="9"/>
      <c r="KF261" s="9"/>
      <c r="KG261" s="9"/>
      <c r="KH261" s="9"/>
      <c r="KI261" s="9"/>
      <c r="KJ261" s="9"/>
      <c r="KK261" s="9"/>
      <c r="KL261" s="9"/>
      <c r="KM261" s="9"/>
      <c r="KN261" s="9"/>
      <c r="KO261" s="9"/>
      <c r="KP261" s="9"/>
      <c r="KQ261" s="9"/>
      <c r="KR261" s="9"/>
      <c r="KS261" s="9"/>
      <c r="KT261" s="9"/>
      <c r="KU261" s="9"/>
      <c r="KV261" s="9"/>
      <c r="KW261" s="9"/>
      <c r="KX261" s="9"/>
      <c r="KY261" s="9"/>
      <c r="KZ261" s="9"/>
      <c r="LA261" s="9"/>
      <c r="LB261" s="9"/>
      <c r="LC261" s="9"/>
      <c r="LD261" s="9"/>
      <c r="LE261" s="9"/>
      <c r="LF261" s="9"/>
      <c r="LG261" s="9"/>
      <c r="LH261" s="9"/>
      <c r="LI261" s="9"/>
      <c r="LJ261" s="9"/>
      <c r="LK261" s="9"/>
      <c r="LL261" s="9"/>
      <c r="LM261" s="9"/>
      <c r="LN261" s="9"/>
      <c r="LO261" s="9"/>
      <c r="LP261" s="9"/>
      <c r="LQ261" s="9"/>
      <c r="LR261" s="9"/>
      <c r="LS261" s="9"/>
      <c r="LT261" s="9"/>
      <c r="LU261" s="9"/>
      <c r="LV261" s="9"/>
      <c r="LW261" s="9"/>
      <c r="LX261" s="9"/>
      <c r="LY261" s="9"/>
      <c r="LZ261" s="9"/>
      <c r="MA261" s="9"/>
      <c r="MB261" s="9"/>
      <c r="MC261" s="9"/>
      <c r="MD261" s="9"/>
      <c r="ME261" s="9"/>
      <c r="MF261" s="9"/>
      <c r="MG261" s="9"/>
      <c r="MH261" s="9"/>
      <c r="MI261" s="9"/>
      <c r="MJ261" s="9"/>
      <c r="MK261" s="9"/>
      <c r="ML261" s="9"/>
      <c r="MM261" s="9"/>
      <c r="MN261" s="9"/>
      <c r="MO261" s="9"/>
      <c r="MP261" s="9"/>
      <c r="MQ261" s="9"/>
      <c r="MR261" s="9"/>
      <c r="MS261" s="9"/>
      <c r="MT261" s="9"/>
      <c r="MU261" s="9"/>
      <c r="MV261" s="9"/>
      <c r="MW261" s="9"/>
      <c r="MX261" s="9"/>
      <c r="MY261" s="9"/>
      <c r="MZ261" s="9"/>
      <c r="NA261" s="9"/>
      <c r="NB261" s="9"/>
      <c r="NC261" s="9"/>
      <c r="ND261" s="9"/>
      <c r="NE261" s="9"/>
      <c r="NF261" s="9"/>
      <c r="NG261" s="9"/>
      <c r="NH261" s="9"/>
      <c r="NI261" s="9"/>
      <c r="NJ261" s="9"/>
      <c r="NK261" s="9"/>
      <c r="NL261" s="9"/>
      <c r="NM261" s="9"/>
      <c r="NN261" s="9"/>
      <c r="NO261" s="9"/>
      <c r="NP261" s="9"/>
      <c r="NQ261" s="9"/>
      <c r="NR261" s="9"/>
      <c r="NS261" s="9"/>
      <c r="NT261" s="9"/>
      <c r="NU261" s="9"/>
      <c r="NV261" s="9"/>
      <c r="NW261" s="9"/>
      <c r="NX261" s="9"/>
      <c r="NY261" s="9"/>
      <c r="NZ261" s="9"/>
      <c r="OA261" s="9"/>
      <c r="OB261" s="9"/>
      <c r="OC261" s="9"/>
      <c r="OD261" s="9"/>
      <c r="OE261" s="9"/>
      <c r="OF261" s="9"/>
      <c r="OG261" s="9"/>
      <c r="OH261" s="9"/>
      <c r="OI261" s="9"/>
      <c r="OJ261" s="9"/>
      <c r="OK261" s="9"/>
      <c r="OL261" s="9"/>
      <c r="OM261" s="9"/>
      <c r="ON261" s="9"/>
      <c r="OO261" s="9"/>
      <c r="OP261" s="9"/>
      <c r="OQ261" s="9"/>
      <c r="OR261" s="9"/>
      <c r="OS261" s="9"/>
      <c r="OT261" s="9"/>
      <c r="OU261" s="9"/>
      <c r="OV261" s="9"/>
      <c r="OW261" s="9"/>
      <c r="OX261" s="9"/>
      <c r="OY261" s="9"/>
      <c r="OZ261" s="9"/>
      <c r="PA261" s="9"/>
      <c r="PB261" s="9"/>
      <c r="PC261" s="9"/>
      <c r="PD261" s="9"/>
      <c r="PE261" s="9"/>
      <c r="PF261" s="9"/>
      <c r="PG261" s="9"/>
      <c r="PH261" s="9"/>
      <c r="PI261" s="9"/>
      <c r="PJ261" s="9"/>
      <c r="PK261" s="9"/>
      <c r="PL261" s="9"/>
      <c r="PM261" s="9"/>
      <c r="PN261" s="9"/>
      <c r="PO261" s="9"/>
      <c r="PP261" s="9"/>
      <c r="PQ261" s="9"/>
      <c r="PR261" s="9"/>
      <c r="PS261" s="9"/>
      <c r="PT261" s="9"/>
      <c r="PU261" s="9"/>
      <c r="PV261" s="9"/>
      <c r="PW261" s="9"/>
      <c r="PX261" s="9"/>
      <c r="PY261" s="9"/>
      <c r="PZ261" s="9"/>
      <c r="QA261" s="9"/>
      <c r="QB261" s="9"/>
      <c r="QC261" s="9"/>
      <c r="QD261" s="9"/>
      <c r="QE261" s="9"/>
      <c r="QF261" s="9"/>
      <c r="QG261" s="9"/>
      <c r="QH261" s="9"/>
      <c r="QI261" s="9"/>
      <c r="QJ261" s="9"/>
      <c r="QK261" s="9"/>
      <c r="QL261" s="9"/>
      <c r="QM261" s="9"/>
      <c r="QN261" s="9"/>
      <c r="QO261" s="9"/>
      <c r="QP261" s="9"/>
      <c r="QQ261" s="67"/>
      <c r="QR261" s="68"/>
      <c r="QS261" s="63"/>
      <c r="QT261" s="71"/>
    </row>
    <row r="262" spans="1:462" s="11" customFormat="1" x14ac:dyDescent="0.2">
      <c r="A262" s="9">
        <v>20</v>
      </c>
      <c r="B262" s="9"/>
      <c r="C262" s="9"/>
      <c r="D262" s="9" t="s">
        <v>442</v>
      </c>
      <c r="E262" s="65" t="s">
        <v>549</v>
      </c>
      <c r="F262" s="65"/>
      <c r="G262" s="92" t="s">
        <v>2374</v>
      </c>
      <c r="H262" s="66" t="s">
        <v>1276</v>
      </c>
      <c r="I262" s="9" t="s">
        <v>1101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  <c r="HE262" s="9"/>
      <c r="HF262" s="9"/>
      <c r="HG262" s="9"/>
      <c r="HH262" s="9"/>
      <c r="HI262" s="9"/>
      <c r="HJ262" s="9"/>
      <c r="HK262" s="9"/>
      <c r="HL262" s="9"/>
      <c r="HM262" s="9"/>
      <c r="HN262" s="9"/>
      <c r="HO262" s="9"/>
      <c r="HP262" s="9"/>
      <c r="HQ262" s="9"/>
      <c r="HR262" s="9"/>
      <c r="HS262" s="9"/>
      <c r="HT262" s="9"/>
      <c r="HU262" s="9"/>
      <c r="HV262" s="9"/>
      <c r="HW262" s="9"/>
      <c r="HX262" s="9"/>
      <c r="HY262" s="9"/>
      <c r="HZ262" s="9"/>
      <c r="IA262" s="9"/>
      <c r="IB262" s="9"/>
      <c r="IC262" s="9"/>
      <c r="ID262" s="9"/>
      <c r="IE262" s="9"/>
      <c r="IF262" s="9"/>
      <c r="IG262" s="9"/>
      <c r="IH262" s="9"/>
      <c r="II262" s="9"/>
      <c r="IJ262" s="9"/>
      <c r="IK262" s="9"/>
      <c r="IL262" s="9"/>
      <c r="IM262" s="9"/>
      <c r="IN262" s="9"/>
      <c r="IO262" s="9"/>
      <c r="IP262" s="9"/>
      <c r="IQ262" s="9"/>
      <c r="IR262" s="9"/>
      <c r="IS262" s="9"/>
      <c r="IT262" s="9"/>
      <c r="IU262" s="9"/>
      <c r="IV262" s="9"/>
      <c r="IW262" s="9"/>
      <c r="IX262" s="9"/>
      <c r="IY262" s="9"/>
      <c r="IZ262" s="9"/>
      <c r="JA262" s="9"/>
      <c r="JB262" s="9"/>
      <c r="JC262" s="9" t="s">
        <v>1101</v>
      </c>
      <c r="JD262" s="9"/>
      <c r="JE262" s="9" t="s">
        <v>1101</v>
      </c>
      <c r="JF262" s="9"/>
      <c r="JG262" s="9"/>
      <c r="JH262" s="9"/>
      <c r="JI262" s="9"/>
      <c r="JJ262" s="9"/>
      <c r="JK262" s="9"/>
      <c r="JL262" s="9"/>
      <c r="JM262" s="9"/>
      <c r="JN262" s="9"/>
      <c r="JO262" s="9"/>
      <c r="JP262" s="9"/>
      <c r="JQ262" s="9"/>
      <c r="JR262" s="9"/>
      <c r="JS262" s="9"/>
      <c r="JT262" s="9"/>
      <c r="JU262" s="9"/>
      <c r="JV262" s="9"/>
      <c r="JW262" s="9"/>
      <c r="JX262" s="9"/>
      <c r="JY262" s="9"/>
      <c r="JZ262" s="9"/>
      <c r="KA262" s="9"/>
      <c r="KB262" s="9"/>
      <c r="KC262" s="9"/>
      <c r="KD262" s="9"/>
      <c r="KE262" s="9"/>
      <c r="KF262" s="9"/>
      <c r="KG262" s="9"/>
      <c r="KH262" s="9"/>
      <c r="KI262" s="9"/>
      <c r="KJ262" s="9"/>
      <c r="KK262" s="9"/>
      <c r="KL262" s="9"/>
      <c r="KM262" s="9"/>
      <c r="KN262" s="9"/>
      <c r="KO262" s="9"/>
      <c r="KP262" s="9"/>
      <c r="KQ262" s="9"/>
      <c r="KR262" s="9"/>
      <c r="KS262" s="9"/>
      <c r="KT262" s="9"/>
      <c r="KU262" s="9"/>
      <c r="KV262" s="9"/>
      <c r="KW262" s="9"/>
      <c r="KX262" s="9"/>
      <c r="KY262" s="9"/>
      <c r="KZ262" s="9"/>
      <c r="LA262" s="9"/>
      <c r="LB262" s="9"/>
      <c r="LC262" s="9"/>
      <c r="LD262" s="9"/>
      <c r="LE262" s="9"/>
      <c r="LF262" s="9"/>
      <c r="LG262" s="9"/>
      <c r="LH262" s="9"/>
      <c r="LI262" s="9"/>
      <c r="LJ262" s="9"/>
      <c r="LK262" s="9"/>
      <c r="LL262" s="9"/>
      <c r="LM262" s="9"/>
      <c r="LN262" s="9"/>
      <c r="LO262" s="9"/>
      <c r="LP262" s="9"/>
      <c r="LQ262" s="9"/>
      <c r="LR262" s="9"/>
      <c r="LS262" s="9"/>
      <c r="LT262" s="9"/>
      <c r="LU262" s="9"/>
      <c r="LV262" s="9"/>
      <c r="LW262" s="9"/>
      <c r="LX262" s="9"/>
      <c r="LY262" s="9"/>
      <c r="LZ262" s="9"/>
      <c r="MA262" s="9"/>
      <c r="MB262" s="9"/>
      <c r="MC262" s="9"/>
      <c r="MD262" s="9"/>
      <c r="ME262" s="9"/>
      <c r="MF262" s="9"/>
      <c r="MG262" s="9"/>
      <c r="MH262" s="9"/>
      <c r="MI262" s="9"/>
      <c r="MJ262" s="9"/>
      <c r="MK262" s="9"/>
      <c r="ML262" s="9"/>
      <c r="MM262" s="9"/>
      <c r="MN262" s="9"/>
      <c r="MO262" s="9"/>
      <c r="MP262" s="9"/>
      <c r="MQ262" s="9"/>
      <c r="MR262" s="9"/>
      <c r="MS262" s="9"/>
      <c r="MT262" s="9"/>
      <c r="MU262" s="9"/>
      <c r="MV262" s="9"/>
      <c r="MW262" s="9"/>
      <c r="MX262" s="9"/>
      <c r="MY262" s="9"/>
      <c r="MZ262" s="9"/>
      <c r="NA262" s="9"/>
      <c r="NB262" s="9"/>
      <c r="NC262" s="9"/>
      <c r="ND262" s="9"/>
      <c r="NE262" s="9"/>
      <c r="NF262" s="9"/>
      <c r="NG262" s="9"/>
      <c r="NH262" s="9"/>
      <c r="NI262" s="9"/>
      <c r="NJ262" s="9"/>
      <c r="NK262" s="9"/>
      <c r="NL262" s="9"/>
      <c r="NM262" s="9"/>
      <c r="NN262" s="9"/>
      <c r="NO262" s="9"/>
      <c r="NP262" s="9"/>
      <c r="NQ262" s="9"/>
      <c r="NR262" s="9"/>
      <c r="NS262" s="9"/>
      <c r="NT262" s="9"/>
      <c r="NU262" s="9"/>
      <c r="NV262" s="9"/>
      <c r="NW262" s="9"/>
      <c r="NX262" s="9"/>
      <c r="NY262" s="9"/>
      <c r="NZ262" s="9"/>
      <c r="OA262" s="9"/>
      <c r="OB262" s="9"/>
      <c r="OC262" s="9"/>
      <c r="OD262" s="9"/>
      <c r="OE262" s="9"/>
      <c r="OF262" s="9"/>
      <c r="OG262" s="9"/>
      <c r="OH262" s="9"/>
      <c r="OI262" s="9"/>
      <c r="OJ262" s="9"/>
      <c r="OK262" s="9"/>
      <c r="OL262" s="9"/>
      <c r="OM262" s="9"/>
      <c r="ON262" s="9"/>
      <c r="OO262" s="9"/>
      <c r="OP262" s="9"/>
      <c r="OQ262" s="9"/>
      <c r="OR262" s="9"/>
      <c r="OS262" s="9"/>
      <c r="OT262" s="9"/>
      <c r="OU262" s="9"/>
      <c r="OV262" s="9"/>
      <c r="OW262" s="9"/>
      <c r="OX262" s="9"/>
      <c r="OY262" s="9"/>
      <c r="OZ262" s="9"/>
      <c r="PA262" s="9"/>
      <c r="PB262" s="9"/>
      <c r="PC262" s="9"/>
      <c r="PD262" s="9"/>
      <c r="PE262" s="9"/>
      <c r="PF262" s="9"/>
      <c r="PG262" s="9"/>
      <c r="PH262" s="9"/>
      <c r="PI262" s="9"/>
      <c r="PJ262" s="9"/>
      <c r="PK262" s="9"/>
      <c r="PL262" s="9"/>
      <c r="PM262" s="9"/>
      <c r="PN262" s="9"/>
      <c r="PO262" s="9"/>
      <c r="PP262" s="9"/>
      <c r="PQ262" s="9"/>
      <c r="PR262" s="9"/>
      <c r="PS262" s="9"/>
      <c r="PT262" s="9"/>
      <c r="PU262" s="9"/>
      <c r="PV262" s="9"/>
      <c r="PW262" s="9"/>
      <c r="PX262" s="9"/>
      <c r="PY262" s="9"/>
      <c r="PZ262" s="9"/>
      <c r="QA262" s="9"/>
      <c r="QB262" s="9"/>
      <c r="QC262" s="9"/>
      <c r="QD262" s="9"/>
      <c r="QE262" s="9"/>
      <c r="QF262" s="9"/>
      <c r="QG262" s="9"/>
      <c r="QH262" s="9"/>
      <c r="QI262" s="9"/>
      <c r="QJ262" s="9"/>
      <c r="QK262" s="9"/>
      <c r="QL262" s="9"/>
      <c r="QM262" s="9"/>
      <c r="QN262" s="9"/>
      <c r="QO262" s="9"/>
      <c r="QP262" s="9"/>
      <c r="QQ262" s="67"/>
      <c r="QR262" s="68"/>
      <c r="QS262" s="63"/>
      <c r="QT262" s="71"/>
    </row>
    <row r="263" spans="1:462" s="11" customFormat="1" x14ac:dyDescent="0.2">
      <c r="A263" s="9">
        <v>20</v>
      </c>
      <c r="B263" s="9"/>
      <c r="C263" s="9"/>
      <c r="D263" s="9" t="s">
        <v>444</v>
      </c>
      <c r="E263" s="65" t="s">
        <v>662</v>
      </c>
      <c r="F263" s="65"/>
      <c r="G263" s="92" t="s">
        <v>2377</v>
      </c>
      <c r="H263" s="66" t="s">
        <v>1280</v>
      </c>
      <c r="I263" s="9" t="s">
        <v>1101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  <c r="HE263" s="9"/>
      <c r="HF263" s="9"/>
      <c r="HG263" s="9"/>
      <c r="HH263" s="9"/>
      <c r="HI263" s="9"/>
      <c r="HJ263" s="9"/>
      <c r="HK263" s="9"/>
      <c r="HL263" s="9"/>
      <c r="HM263" s="9"/>
      <c r="HN263" s="9"/>
      <c r="HO263" s="9"/>
      <c r="HP263" s="9"/>
      <c r="HQ263" s="9"/>
      <c r="HR263" s="9"/>
      <c r="HS263" s="9"/>
      <c r="HT263" s="9"/>
      <c r="HU263" s="9"/>
      <c r="HV263" s="9"/>
      <c r="HW263" s="9"/>
      <c r="HX263" s="9"/>
      <c r="HY263" s="9"/>
      <c r="HZ263" s="9"/>
      <c r="IA263" s="9"/>
      <c r="IB263" s="9"/>
      <c r="IC263" s="9"/>
      <c r="ID263" s="9"/>
      <c r="IE263" s="9"/>
      <c r="IF263" s="9"/>
      <c r="IG263" s="9"/>
      <c r="IH263" s="9"/>
      <c r="II263" s="9"/>
      <c r="IJ263" s="9"/>
      <c r="IK263" s="9"/>
      <c r="IL263" s="9"/>
      <c r="IM263" s="9"/>
      <c r="IN263" s="9"/>
      <c r="IO263" s="9"/>
      <c r="IP263" s="9"/>
      <c r="IQ263" s="9"/>
      <c r="IR263" s="9"/>
      <c r="IS263" s="9"/>
      <c r="IT263" s="9"/>
      <c r="IU263" s="9"/>
      <c r="IV263" s="9"/>
      <c r="IW263" s="9"/>
      <c r="IX263" s="9"/>
      <c r="IY263" s="9"/>
      <c r="IZ263" s="9"/>
      <c r="JA263" s="9"/>
      <c r="JB263" s="9"/>
      <c r="JC263" s="9"/>
      <c r="JD263" s="9"/>
      <c r="JE263" s="9"/>
      <c r="JF263" s="9"/>
      <c r="JG263" s="9"/>
      <c r="JH263" s="9"/>
      <c r="JI263" s="9"/>
      <c r="JJ263" s="9"/>
      <c r="JK263" s="9" t="s">
        <v>1101</v>
      </c>
      <c r="JL263" s="9"/>
      <c r="JM263" s="9" t="s">
        <v>1101</v>
      </c>
      <c r="JN263" s="9"/>
      <c r="JO263" s="9"/>
      <c r="JP263" s="9"/>
      <c r="JQ263" s="9"/>
      <c r="JR263" s="9"/>
      <c r="JS263" s="9"/>
      <c r="JT263" s="9"/>
      <c r="JU263" s="9"/>
      <c r="JV263" s="9"/>
      <c r="JW263" s="9"/>
      <c r="JX263" s="9"/>
      <c r="JY263" s="9"/>
      <c r="JZ263" s="9"/>
      <c r="KA263" s="9"/>
      <c r="KB263" s="9"/>
      <c r="KC263" s="9"/>
      <c r="KD263" s="9"/>
      <c r="KE263" s="9"/>
      <c r="KF263" s="9"/>
      <c r="KG263" s="9"/>
      <c r="KH263" s="9"/>
      <c r="KI263" s="9"/>
      <c r="KJ263" s="9"/>
      <c r="KK263" s="9"/>
      <c r="KL263" s="9"/>
      <c r="KM263" s="9"/>
      <c r="KN263" s="9"/>
      <c r="KO263" s="9"/>
      <c r="KP263" s="9"/>
      <c r="KQ263" s="9"/>
      <c r="KR263" s="9"/>
      <c r="KS263" s="9"/>
      <c r="KT263" s="9"/>
      <c r="KU263" s="9"/>
      <c r="KV263" s="9"/>
      <c r="KW263" s="9"/>
      <c r="KX263" s="9"/>
      <c r="KY263" s="9"/>
      <c r="KZ263" s="9"/>
      <c r="LA263" s="9"/>
      <c r="LB263" s="9"/>
      <c r="LC263" s="9"/>
      <c r="LD263" s="9"/>
      <c r="LE263" s="9"/>
      <c r="LF263" s="9"/>
      <c r="LG263" s="9"/>
      <c r="LH263" s="9"/>
      <c r="LI263" s="9"/>
      <c r="LJ263" s="9"/>
      <c r="LK263" s="9"/>
      <c r="LL263" s="9"/>
      <c r="LM263" s="9"/>
      <c r="LN263" s="9"/>
      <c r="LO263" s="9"/>
      <c r="LP263" s="9"/>
      <c r="LQ263" s="9"/>
      <c r="LR263" s="9"/>
      <c r="LS263" s="9"/>
      <c r="LT263" s="9"/>
      <c r="LU263" s="9"/>
      <c r="LV263" s="9"/>
      <c r="LW263" s="9"/>
      <c r="LX263" s="9"/>
      <c r="LY263" s="9"/>
      <c r="LZ263" s="9"/>
      <c r="MA263" s="9"/>
      <c r="MB263" s="9"/>
      <c r="MC263" s="9"/>
      <c r="MD263" s="9"/>
      <c r="ME263" s="9"/>
      <c r="MF263" s="9"/>
      <c r="MG263" s="9"/>
      <c r="MH263" s="9"/>
      <c r="MI263" s="9"/>
      <c r="MJ263" s="9"/>
      <c r="MK263" s="9"/>
      <c r="ML263" s="9"/>
      <c r="MM263" s="9"/>
      <c r="MN263" s="9"/>
      <c r="MO263" s="9"/>
      <c r="MP263" s="9"/>
      <c r="MQ263" s="9"/>
      <c r="MR263" s="9"/>
      <c r="MS263" s="9"/>
      <c r="MT263" s="9"/>
      <c r="MU263" s="9"/>
      <c r="MV263" s="9"/>
      <c r="MW263" s="9"/>
      <c r="MX263" s="9"/>
      <c r="MY263" s="9"/>
      <c r="MZ263" s="9"/>
      <c r="NA263" s="9"/>
      <c r="NB263" s="9"/>
      <c r="NC263" s="9"/>
      <c r="ND263" s="9"/>
      <c r="NE263" s="9"/>
      <c r="NF263" s="9"/>
      <c r="NG263" s="9"/>
      <c r="NH263" s="9"/>
      <c r="NI263" s="9"/>
      <c r="NJ263" s="9"/>
      <c r="NK263" s="9"/>
      <c r="NL263" s="9"/>
      <c r="NM263" s="9"/>
      <c r="NN263" s="9"/>
      <c r="NO263" s="9"/>
      <c r="NP263" s="9"/>
      <c r="NQ263" s="9"/>
      <c r="NR263" s="9"/>
      <c r="NS263" s="9"/>
      <c r="NT263" s="9"/>
      <c r="NU263" s="9"/>
      <c r="NV263" s="9"/>
      <c r="NW263" s="9"/>
      <c r="NX263" s="9"/>
      <c r="NY263" s="9"/>
      <c r="NZ263" s="9"/>
      <c r="OA263" s="9"/>
      <c r="OB263" s="9"/>
      <c r="OC263" s="9"/>
      <c r="OD263" s="9"/>
      <c r="OE263" s="9"/>
      <c r="OF263" s="9"/>
      <c r="OG263" s="9"/>
      <c r="OH263" s="9"/>
      <c r="OI263" s="9"/>
      <c r="OJ263" s="9"/>
      <c r="OK263" s="9"/>
      <c r="OL263" s="9"/>
      <c r="OM263" s="9"/>
      <c r="ON263" s="9"/>
      <c r="OO263" s="9"/>
      <c r="OP263" s="9"/>
      <c r="OQ263" s="9"/>
      <c r="OR263" s="9"/>
      <c r="OS263" s="9"/>
      <c r="OT263" s="9"/>
      <c r="OU263" s="9"/>
      <c r="OV263" s="9"/>
      <c r="OW263" s="9"/>
      <c r="OX263" s="9"/>
      <c r="OY263" s="9"/>
      <c r="OZ263" s="9"/>
      <c r="PA263" s="9"/>
      <c r="PB263" s="9"/>
      <c r="PC263" s="9"/>
      <c r="PD263" s="9"/>
      <c r="PE263" s="9"/>
      <c r="PF263" s="9"/>
      <c r="PG263" s="9"/>
      <c r="PH263" s="9"/>
      <c r="PI263" s="9"/>
      <c r="PJ263" s="9"/>
      <c r="PK263" s="9"/>
      <c r="PL263" s="9"/>
      <c r="PM263" s="9"/>
      <c r="PN263" s="9"/>
      <c r="PO263" s="9"/>
      <c r="PP263" s="9"/>
      <c r="PQ263" s="9"/>
      <c r="PR263" s="9"/>
      <c r="PS263" s="9"/>
      <c r="PT263" s="9"/>
      <c r="PU263" s="9"/>
      <c r="PV263" s="9"/>
      <c r="PW263" s="9"/>
      <c r="PX263" s="9"/>
      <c r="PY263" s="9"/>
      <c r="PZ263" s="9"/>
      <c r="QA263" s="9"/>
      <c r="QB263" s="9"/>
      <c r="QC263" s="9"/>
      <c r="QD263" s="9"/>
      <c r="QE263" s="9"/>
      <c r="QF263" s="9"/>
      <c r="QG263" s="9"/>
      <c r="QH263" s="9"/>
      <c r="QI263" s="9"/>
      <c r="QJ263" s="9"/>
      <c r="QK263" s="9"/>
      <c r="QL263" s="9"/>
      <c r="QM263" s="9"/>
      <c r="QN263" s="9"/>
      <c r="QO263" s="9"/>
      <c r="QP263" s="9"/>
      <c r="QQ263" s="67"/>
      <c r="QR263" s="68"/>
      <c r="QS263" s="63"/>
      <c r="QT263" s="71"/>
    </row>
    <row r="264" spans="1:462" s="11" customFormat="1" x14ac:dyDescent="0.2">
      <c r="A264" s="9">
        <v>20</v>
      </c>
      <c r="B264" s="9"/>
      <c r="C264" s="9"/>
      <c r="D264" s="9" t="s">
        <v>448</v>
      </c>
      <c r="E264" s="65" t="s">
        <v>551</v>
      </c>
      <c r="F264" s="65"/>
      <c r="G264" s="92" t="s">
        <v>2381</v>
      </c>
      <c r="H264" s="66" t="s">
        <v>1284</v>
      </c>
      <c r="I264" s="9" t="s">
        <v>1101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9"/>
      <c r="IB264" s="9"/>
      <c r="IC264" s="9"/>
      <c r="ID264" s="9"/>
      <c r="IE264" s="9"/>
      <c r="IF264" s="9"/>
      <c r="IG264" s="9"/>
      <c r="IH264" s="9"/>
      <c r="II264" s="9"/>
      <c r="IJ264" s="9"/>
      <c r="IK264" s="9"/>
      <c r="IL264" s="9"/>
      <c r="IM264" s="9"/>
      <c r="IN264" s="9"/>
      <c r="IO264" s="9"/>
      <c r="IP264" s="9"/>
      <c r="IQ264" s="9"/>
      <c r="IR264" s="9"/>
      <c r="IS264" s="9"/>
      <c r="IT264" s="9"/>
      <c r="IU264" s="9"/>
      <c r="IV264" s="9"/>
      <c r="IW264" s="9"/>
      <c r="IX264" s="9"/>
      <c r="IY264" s="9"/>
      <c r="IZ264" s="9"/>
      <c r="JA264" s="9"/>
      <c r="JB264" s="9"/>
      <c r="JC264" s="9"/>
      <c r="JD264" s="9"/>
      <c r="JE264" s="9"/>
      <c r="JF264" s="9"/>
      <c r="JG264" s="9"/>
      <c r="JH264" s="9"/>
      <c r="JI264" s="9"/>
      <c r="JJ264" s="9"/>
      <c r="JK264" s="9"/>
      <c r="JL264" s="9"/>
      <c r="JM264" s="9"/>
      <c r="JN264" s="9"/>
      <c r="JO264" s="9"/>
      <c r="JP264" s="9"/>
      <c r="JQ264" s="9"/>
      <c r="JR264" s="9"/>
      <c r="JS264" s="9" t="s">
        <v>1101</v>
      </c>
      <c r="JT264" s="9"/>
      <c r="JU264" s="9" t="s">
        <v>1101</v>
      </c>
      <c r="JV264" s="9"/>
      <c r="JW264" s="9"/>
      <c r="JX264" s="9"/>
      <c r="JY264" s="9"/>
      <c r="JZ264" s="9"/>
      <c r="KA264" s="9"/>
      <c r="KB264" s="9"/>
      <c r="KC264" s="9"/>
      <c r="KD264" s="9"/>
      <c r="KE264" s="9"/>
      <c r="KF264" s="9"/>
      <c r="KG264" s="9"/>
      <c r="KH264" s="9"/>
      <c r="KI264" s="9"/>
      <c r="KJ264" s="9"/>
      <c r="KK264" s="9"/>
      <c r="KL264" s="9"/>
      <c r="KM264" s="9"/>
      <c r="KN264" s="9"/>
      <c r="KO264" s="9"/>
      <c r="KP264" s="9"/>
      <c r="KQ264" s="9"/>
      <c r="KR264" s="9"/>
      <c r="KS264" s="9"/>
      <c r="KT264" s="9"/>
      <c r="KU264" s="9"/>
      <c r="KV264" s="9"/>
      <c r="KW264" s="9"/>
      <c r="KX264" s="9"/>
      <c r="KY264" s="9"/>
      <c r="KZ264" s="9"/>
      <c r="LA264" s="9"/>
      <c r="LB264" s="9"/>
      <c r="LC264" s="9"/>
      <c r="LD264" s="9"/>
      <c r="LE264" s="9"/>
      <c r="LF264" s="9"/>
      <c r="LG264" s="9"/>
      <c r="LH264" s="9"/>
      <c r="LI264" s="9"/>
      <c r="LJ264" s="9"/>
      <c r="LK264" s="9"/>
      <c r="LL264" s="9"/>
      <c r="LM264" s="9"/>
      <c r="LN264" s="9"/>
      <c r="LO264" s="9"/>
      <c r="LP264" s="9"/>
      <c r="LQ264" s="9"/>
      <c r="LR264" s="9"/>
      <c r="LS264" s="9"/>
      <c r="LT264" s="9"/>
      <c r="LU264" s="9"/>
      <c r="LV264" s="9"/>
      <c r="LW264" s="9"/>
      <c r="LX264" s="9"/>
      <c r="LY264" s="9"/>
      <c r="LZ264" s="9"/>
      <c r="MA264" s="9"/>
      <c r="MB264" s="9"/>
      <c r="MC264" s="9"/>
      <c r="MD264" s="9"/>
      <c r="ME264" s="9"/>
      <c r="MF264" s="9"/>
      <c r="MG264" s="9"/>
      <c r="MH264" s="9"/>
      <c r="MI264" s="9"/>
      <c r="MJ264" s="9"/>
      <c r="MK264" s="9"/>
      <c r="ML264" s="9"/>
      <c r="MM264" s="9"/>
      <c r="MN264" s="9"/>
      <c r="MO264" s="9"/>
      <c r="MP264" s="9"/>
      <c r="MQ264" s="9"/>
      <c r="MR264" s="9"/>
      <c r="MS264" s="9"/>
      <c r="MT264" s="9"/>
      <c r="MU264" s="9"/>
      <c r="MV264" s="9"/>
      <c r="MW264" s="9"/>
      <c r="MX264" s="9"/>
      <c r="MY264" s="9"/>
      <c r="MZ264" s="9"/>
      <c r="NA264" s="9"/>
      <c r="NB264" s="9"/>
      <c r="NC264" s="9"/>
      <c r="ND264" s="9"/>
      <c r="NE264" s="9"/>
      <c r="NF264" s="9"/>
      <c r="NG264" s="9"/>
      <c r="NH264" s="9"/>
      <c r="NI264" s="9"/>
      <c r="NJ264" s="9"/>
      <c r="NK264" s="9"/>
      <c r="NL264" s="9"/>
      <c r="NM264" s="9"/>
      <c r="NN264" s="9"/>
      <c r="NO264" s="9"/>
      <c r="NP264" s="9"/>
      <c r="NQ264" s="9"/>
      <c r="NR264" s="9"/>
      <c r="NS264" s="9"/>
      <c r="NT264" s="9"/>
      <c r="NU264" s="9"/>
      <c r="NV264" s="9"/>
      <c r="NW264" s="9"/>
      <c r="NX264" s="9"/>
      <c r="NY264" s="9"/>
      <c r="NZ264" s="9"/>
      <c r="OA264" s="9"/>
      <c r="OB264" s="9"/>
      <c r="OC264" s="9"/>
      <c r="OD264" s="9"/>
      <c r="OE264" s="9"/>
      <c r="OF264" s="9"/>
      <c r="OG264" s="9"/>
      <c r="OH264" s="9"/>
      <c r="OI264" s="9"/>
      <c r="OJ264" s="9"/>
      <c r="OK264" s="9"/>
      <c r="OL264" s="9"/>
      <c r="OM264" s="9"/>
      <c r="ON264" s="9"/>
      <c r="OO264" s="9"/>
      <c r="OP264" s="9"/>
      <c r="OQ264" s="9"/>
      <c r="OR264" s="9"/>
      <c r="OS264" s="9"/>
      <c r="OT264" s="9"/>
      <c r="OU264" s="9"/>
      <c r="OV264" s="9"/>
      <c r="OW264" s="9"/>
      <c r="OX264" s="9"/>
      <c r="OY264" s="9"/>
      <c r="OZ264" s="9"/>
      <c r="PA264" s="9"/>
      <c r="PB264" s="9"/>
      <c r="PC264" s="9"/>
      <c r="PD264" s="9"/>
      <c r="PE264" s="9"/>
      <c r="PF264" s="9"/>
      <c r="PG264" s="9"/>
      <c r="PH264" s="9"/>
      <c r="PI264" s="9"/>
      <c r="PJ264" s="9"/>
      <c r="PK264" s="9"/>
      <c r="PL264" s="9"/>
      <c r="PM264" s="9"/>
      <c r="PN264" s="9"/>
      <c r="PO264" s="9"/>
      <c r="PP264" s="9"/>
      <c r="PQ264" s="9"/>
      <c r="PR264" s="9"/>
      <c r="PS264" s="9"/>
      <c r="PT264" s="9"/>
      <c r="PU264" s="9"/>
      <c r="PV264" s="9"/>
      <c r="PW264" s="9"/>
      <c r="PX264" s="9"/>
      <c r="PY264" s="9"/>
      <c r="PZ264" s="9"/>
      <c r="QA264" s="9"/>
      <c r="QB264" s="9"/>
      <c r="QC264" s="9"/>
      <c r="QD264" s="9"/>
      <c r="QE264" s="9"/>
      <c r="QF264" s="9"/>
      <c r="QG264" s="9"/>
      <c r="QH264" s="9"/>
      <c r="QI264" s="9"/>
      <c r="QJ264" s="9"/>
      <c r="QK264" s="9"/>
      <c r="QL264" s="9"/>
      <c r="QM264" s="9"/>
      <c r="QN264" s="9"/>
      <c r="QO264" s="9"/>
      <c r="QP264" s="9"/>
      <c r="QQ264" s="67"/>
      <c r="QR264" s="68"/>
      <c r="QS264" s="63"/>
      <c r="QT264" s="71"/>
    </row>
    <row r="265" spans="1:462" s="11" customFormat="1" x14ac:dyDescent="0.2">
      <c r="A265" s="9">
        <v>20</v>
      </c>
      <c r="B265" s="9"/>
      <c r="C265" s="9"/>
      <c r="D265" s="9" t="s">
        <v>451</v>
      </c>
      <c r="E265" s="65" t="s">
        <v>554</v>
      </c>
      <c r="F265" s="65"/>
      <c r="G265" s="92" t="s">
        <v>2389</v>
      </c>
      <c r="H265" s="66" t="s">
        <v>1295</v>
      </c>
      <c r="I265" s="9" t="s">
        <v>1101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  <c r="HE265" s="9"/>
      <c r="HF265" s="9"/>
      <c r="HG265" s="9"/>
      <c r="HH265" s="9"/>
      <c r="HI265" s="9"/>
      <c r="HJ265" s="9"/>
      <c r="HK265" s="9"/>
      <c r="HL265" s="9"/>
      <c r="HM265" s="9"/>
      <c r="HN265" s="9"/>
      <c r="HO265" s="9"/>
      <c r="HP265" s="9"/>
      <c r="HQ265" s="9"/>
      <c r="HR265" s="9"/>
      <c r="HS265" s="9"/>
      <c r="HT265" s="9"/>
      <c r="HU265" s="9"/>
      <c r="HV265" s="9"/>
      <c r="HW265" s="9"/>
      <c r="HX265" s="9"/>
      <c r="HY265" s="9"/>
      <c r="HZ265" s="9"/>
      <c r="IA265" s="9"/>
      <c r="IB265" s="9"/>
      <c r="IC265" s="9"/>
      <c r="ID265" s="9"/>
      <c r="IE265" s="9"/>
      <c r="IF265" s="9"/>
      <c r="IG265" s="9"/>
      <c r="IH265" s="9"/>
      <c r="II265" s="9"/>
      <c r="IJ265" s="9"/>
      <c r="IK265" s="9"/>
      <c r="IL265" s="9"/>
      <c r="IM265" s="9"/>
      <c r="IN265" s="9"/>
      <c r="IO265" s="9"/>
      <c r="IP265" s="9"/>
      <c r="IQ265" s="9"/>
      <c r="IR265" s="9"/>
      <c r="IS265" s="9"/>
      <c r="IT265" s="9"/>
      <c r="IU265" s="9"/>
      <c r="IV265" s="9"/>
      <c r="IW265" s="9"/>
      <c r="IX265" s="9"/>
      <c r="IY265" s="9"/>
      <c r="IZ265" s="9"/>
      <c r="JA265" s="9"/>
      <c r="JB265" s="9"/>
      <c r="JC265" s="9"/>
      <c r="JD265" s="9"/>
      <c r="JE265" s="9"/>
      <c r="JF265" s="9"/>
      <c r="JG265" s="9"/>
      <c r="JH265" s="9"/>
      <c r="JI265" s="9"/>
      <c r="JJ265" s="9"/>
      <c r="JK265" s="9"/>
      <c r="JL265" s="9"/>
      <c r="JM265" s="9"/>
      <c r="JN265" s="9"/>
      <c r="JO265" s="9"/>
      <c r="JP265" s="9"/>
      <c r="JQ265" s="9"/>
      <c r="JR265" s="9"/>
      <c r="JS265" s="9"/>
      <c r="JT265" s="9"/>
      <c r="JU265" s="9"/>
      <c r="JV265" s="9"/>
      <c r="JW265" s="9"/>
      <c r="JX265" s="9"/>
      <c r="JY265" s="9"/>
      <c r="JZ265" s="9"/>
      <c r="KA265" s="9" t="s">
        <v>1101</v>
      </c>
      <c r="KB265" s="9"/>
      <c r="KC265" s="9" t="s">
        <v>1101</v>
      </c>
      <c r="KD265" s="9"/>
      <c r="KE265" s="9"/>
      <c r="KF265" s="9"/>
      <c r="KG265" s="9"/>
      <c r="KH265" s="9"/>
      <c r="KI265" s="9"/>
      <c r="KJ265" s="9"/>
      <c r="KK265" s="9"/>
      <c r="KL265" s="9"/>
      <c r="KM265" s="9"/>
      <c r="KN265" s="9"/>
      <c r="KO265" s="9"/>
      <c r="KP265" s="9"/>
      <c r="KQ265" s="9"/>
      <c r="KR265" s="9"/>
      <c r="KS265" s="9"/>
      <c r="KT265" s="9"/>
      <c r="KU265" s="9"/>
      <c r="KV265" s="9"/>
      <c r="KW265" s="9"/>
      <c r="KX265" s="9"/>
      <c r="KY265" s="9"/>
      <c r="KZ265" s="9"/>
      <c r="LA265" s="9"/>
      <c r="LB265" s="9"/>
      <c r="LC265" s="9"/>
      <c r="LD265" s="9"/>
      <c r="LE265" s="9"/>
      <c r="LF265" s="9"/>
      <c r="LG265" s="9"/>
      <c r="LH265" s="9"/>
      <c r="LI265" s="9"/>
      <c r="LJ265" s="9"/>
      <c r="LK265" s="9"/>
      <c r="LL265" s="9"/>
      <c r="LM265" s="9"/>
      <c r="LN265" s="9"/>
      <c r="LO265" s="9"/>
      <c r="LP265" s="9"/>
      <c r="LQ265" s="9"/>
      <c r="LR265" s="9"/>
      <c r="LS265" s="9"/>
      <c r="LT265" s="9"/>
      <c r="LU265" s="9"/>
      <c r="LV265" s="9"/>
      <c r="LW265" s="9"/>
      <c r="LX265" s="9"/>
      <c r="LY265" s="9"/>
      <c r="LZ265" s="9"/>
      <c r="MA265" s="9"/>
      <c r="MB265" s="9"/>
      <c r="MC265" s="9"/>
      <c r="MD265" s="9"/>
      <c r="ME265" s="9"/>
      <c r="MF265" s="9"/>
      <c r="MG265" s="9"/>
      <c r="MH265" s="9"/>
      <c r="MI265" s="9"/>
      <c r="MJ265" s="9"/>
      <c r="MK265" s="9"/>
      <c r="ML265" s="9"/>
      <c r="MM265" s="9"/>
      <c r="MN265" s="9"/>
      <c r="MO265" s="9"/>
      <c r="MP265" s="9"/>
      <c r="MQ265" s="9"/>
      <c r="MR265" s="9"/>
      <c r="MS265" s="9"/>
      <c r="MT265" s="9"/>
      <c r="MU265" s="9"/>
      <c r="MV265" s="9"/>
      <c r="MW265" s="9"/>
      <c r="MX265" s="9"/>
      <c r="MY265" s="9"/>
      <c r="MZ265" s="9"/>
      <c r="NA265" s="9"/>
      <c r="NB265" s="9"/>
      <c r="NC265" s="9"/>
      <c r="ND265" s="9"/>
      <c r="NE265" s="9"/>
      <c r="NF265" s="9"/>
      <c r="NG265" s="9"/>
      <c r="NH265" s="9"/>
      <c r="NI265" s="9"/>
      <c r="NJ265" s="9"/>
      <c r="NK265" s="9"/>
      <c r="NL265" s="9"/>
      <c r="NM265" s="9"/>
      <c r="NN265" s="9"/>
      <c r="NO265" s="9"/>
      <c r="NP265" s="9"/>
      <c r="NQ265" s="9"/>
      <c r="NR265" s="9"/>
      <c r="NS265" s="9"/>
      <c r="NT265" s="9"/>
      <c r="NU265" s="9"/>
      <c r="NV265" s="9"/>
      <c r="NW265" s="9"/>
      <c r="NX265" s="9"/>
      <c r="NY265" s="9"/>
      <c r="NZ265" s="9"/>
      <c r="OA265" s="9"/>
      <c r="OB265" s="9"/>
      <c r="OC265" s="9"/>
      <c r="OD265" s="9"/>
      <c r="OE265" s="9"/>
      <c r="OF265" s="9"/>
      <c r="OG265" s="9"/>
      <c r="OH265" s="9"/>
      <c r="OI265" s="9"/>
      <c r="OJ265" s="9"/>
      <c r="OK265" s="9"/>
      <c r="OL265" s="9"/>
      <c r="OM265" s="9"/>
      <c r="ON265" s="9"/>
      <c r="OO265" s="9"/>
      <c r="OP265" s="9"/>
      <c r="OQ265" s="9"/>
      <c r="OR265" s="9"/>
      <c r="OS265" s="9"/>
      <c r="OT265" s="9"/>
      <c r="OU265" s="9"/>
      <c r="OV265" s="9"/>
      <c r="OW265" s="9"/>
      <c r="OX265" s="9"/>
      <c r="OY265" s="9"/>
      <c r="OZ265" s="9"/>
      <c r="PA265" s="9"/>
      <c r="PB265" s="9"/>
      <c r="PC265" s="9"/>
      <c r="PD265" s="9"/>
      <c r="PE265" s="9"/>
      <c r="PF265" s="9"/>
      <c r="PG265" s="9"/>
      <c r="PH265" s="9"/>
      <c r="PI265" s="9"/>
      <c r="PJ265" s="9"/>
      <c r="PK265" s="9"/>
      <c r="PL265" s="9"/>
      <c r="PM265" s="9"/>
      <c r="PN265" s="9"/>
      <c r="PO265" s="9"/>
      <c r="PP265" s="9"/>
      <c r="PQ265" s="9"/>
      <c r="PR265" s="9"/>
      <c r="PS265" s="9"/>
      <c r="PT265" s="9"/>
      <c r="PU265" s="9"/>
      <c r="PV265" s="9"/>
      <c r="PW265" s="9"/>
      <c r="PX265" s="9"/>
      <c r="PY265" s="9"/>
      <c r="PZ265" s="9"/>
      <c r="QA265" s="9"/>
      <c r="QB265" s="9"/>
      <c r="QC265" s="9"/>
      <c r="QD265" s="9"/>
      <c r="QE265" s="9"/>
      <c r="QF265" s="9"/>
      <c r="QG265" s="9"/>
      <c r="QH265" s="9"/>
      <c r="QI265" s="9"/>
      <c r="QJ265" s="9"/>
      <c r="QK265" s="9"/>
      <c r="QL265" s="9"/>
      <c r="QM265" s="9"/>
      <c r="QN265" s="9"/>
      <c r="QO265" s="9"/>
      <c r="QP265" s="9"/>
      <c r="QQ265" s="67"/>
      <c r="QR265" s="68"/>
      <c r="QS265" s="63"/>
      <c r="QT265" s="71"/>
    </row>
    <row r="266" spans="1:462" s="11" customFormat="1" x14ac:dyDescent="0.2">
      <c r="A266" s="9">
        <v>20</v>
      </c>
      <c r="B266" s="9"/>
      <c r="C266" s="9"/>
      <c r="D266" s="9" t="s">
        <v>456</v>
      </c>
      <c r="E266" s="65" t="s">
        <v>557</v>
      </c>
      <c r="F266" s="65"/>
      <c r="G266" s="92" t="s">
        <v>2398</v>
      </c>
      <c r="H266" s="66" t="s">
        <v>1303</v>
      </c>
      <c r="I266" s="9" t="s">
        <v>1101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  <c r="HE266" s="9"/>
      <c r="HF266" s="9"/>
      <c r="HG266" s="9"/>
      <c r="HH266" s="9"/>
      <c r="HI266" s="9"/>
      <c r="HJ266" s="9"/>
      <c r="HK266" s="9"/>
      <c r="HL266" s="9"/>
      <c r="HM266" s="9"/>
      <c r="HN266" s="9"/>
      <c r="HO266" s="9"/>
      <c r="HP266" s="9"/>
      <c r="HQ266" s="9"/>
      <c r="HR266" s="9"/>
      <c r="HS266" s="9"/>
      <c r="HT266" s="9"/>
      <c r="HU266" s="9"/>
      <c r="HV266" s="9"/>
      <c r="HW266" s="9"/>
      <c r="HX266" s="9"/>
      <c r="HY266" s="9"/>
      <c r="HZ266" s="9"/>
      <c r="IA266" s="9"/>
      <c r="IB266" s="9"/>
      <c r="IC266" s="9"/>
      <c r="ID266" s="9"/>
      <c r="IE266" s="9"/>
      <c r="IF266" s="9"/>
      <c r="IG266" s="9"/>
      <c r="IH266" s="9"/>
      <c r="II266" s="9"/>
      <c r="IJ266" s="9"/>
      <c r="IK266" s="9"/>
      <c r="IL266" s="9"/>
      <c r="IM266" s="9"/>
      <c r="IN266" s="9"/>
      <c r="IO266" s="9"/>
      <c r="IP266" s="9"/>
      <c r="IQ266" s="9"/>
      <c r="IR266" s="9"/>
      <c r="IS266" s="9"/>
      <c r="IT266" s="9"/>
      <c r="IU266" s="9"/>
      <c r="IV266" s="9"/>
      <c r="IW266" s="9"/>
      <c r="IX266" s="9"/>
      <c r="IY266" s="9"/>
      <c r="IZ266" s="9"/>
      <c r="JA266" s="9"/>
      <c r="JB266" s="9"/>
      <c r="JC266" s="9"/>
      <c r="JD266" s="9"/>
      <c r="JE266" s="9"/>
      <c r="JF266" s="9"/>
      <c r="JG266" s="9"/>
      <c r="JH266" s="9"/>
      <c r="JI266" s="9"/>
      <c r="JJ266" s="9"/>
      <c r="JK266" s="9"/>
      <c r="JL266" s="9"/>
      <c r="JM266" s="9"/>
      <c r="JN266" s="9"/>
      <c r="JO266" s="9"/>
      <c r="JP266" s="9"/>
      <c r="JQ266" s="9"/>
      <c r="JR266" s="9"/>
      <c r="JS266" s="9"/>
      <c r="JT266" s="9"/>
      <c r="JU266" s="9"/>
      <c r="JV266" s="9"/>
      <c r="JW266" s="9"/>
      <c r="JX266" s="9"/>
      <c r="JY266" s="9"/>
      <c r="JZ266" s="9"/>
      <c r="KA266" s="9"/>
      <c r="KB266" s="9"/>
      <c r="KC266" s="9"/>
      <c r="KD266" s="9"/>
      <c r="KE266" s="9"/>
      <c r="KF266" s="9"/>
      <c r="KG266" s="9"/>
      <c r="KH266" s="9"/>
      <c r="KI266" s="9" t="s">
        <v>1101</v>
      </c>
      <c r="KJ266" s="9"/>
      <c r="KK266" s="9" t="s">
        <v>1101</v>
      </c>
      <c r="KL266" s="9"/>
      <c r="KM266" s="9"/>
      <c r="KN266" s="9"/>
      <c r="KO266" s="9"/>
      <c r="KP266" s="9"/>
      <c r="KQ266" s="9"/>
      <c r="KR266" s="9"/>
      <c r="KS266" s="9"/>
      <c r="KT266" s="9"/>
      <c r="KU266" s="9"/>
      <c r="KV266" s="9"/>
      <c r="KW266" s="9"/>
      <c r="KX266" s="9"/>
      <c r="KY266" s="9"/>
      <c r="KZ266" s="9"/>
      <c r="LA266" s="9"/>
      <c r="LB266" s="9"/>
      <c r="LC266" s="9"/>
      <c r="LD266" s="9"/>
      <c r="LE266" s="9"/>
      <c r="LF266" s="9"/>
      <c r="LG266" s="9"/>
      <c r="LH266" s="9"/>
      <c r="LI266" s="9"/>
      <c r="LJ266" s="9"/>
      <c r="LK266" s="9"/>
      <c r="LL266" s="9"/>
      <c r="LM266" s="9"/>
      <c r="LN266" s="9"/>
      <c r="LO266" s="9"/>
      <c r="LP266" s="9"/>
      <c r="LQ266" s="9"/>
      <c r="LR266" s="9"/>
      <c r="LS266" s="9"/>
      <c r="LT266" s="9"/>
      <c r="LU266" s="9"/>
      <c r="LV266" s="9"/>
      <c r="LW266" s="9"/>
      <c r="LX266" s="9"/>
      <c r="LY266" s="9"/>
      <c r="LZ266" s="9"/>
      <c r="MA266" s="9"/>
      <c r="MB266" s="9"/>
      <c r="MC266" s="9"/>
      <c r="MD266" s="9"/>
      <c r="ME266" s="9"/>
      <c r="MF266" s="9"/>
      <c r="MG266" s="9"/>
      <c r="MH266" s="9"/>
      <c r="MI266" s="9"/>
      <c r="MJ266" s="9"/>
      <c r="MK266" s="9"/>
      <c r="ML266" s="9"/>
      <c r="MM266" s="9"/>
      <c r="MN266" s="9"/>
      <c r="MO266" s="9"/>
      <c r="MP266" s="9"/>
      <c r="MQ266" s="9"/>
      <c r="MR266" s="9"/>
      <c r="MS266" s="9"/>
      <c r="MT266" s="9"/>
      <c r="MU266" s="9"/>
      <c r="MV266" s="9"/>
      <c r="MW266" s="9"/>
      <c r="MX266" s="9"/>
      <c r="MY266" s="9"/>
      <c r="MZ266" s="9"/>
      <c r="NA266" s="9"/>
      <c r="NB266" s="9"/>
      <c r="NC266" s="9"/>
      <c r="ND266" s="9"/>
      <c r="NE266" s="9"/>
      <c r="NF266" s="9"/>
      <c r="NG266" s="9"/>
      <c r="NH266" s="9"/>
      <c r="NI266" s="9"/>
      <c r="NJ266" s="9"/>
      <c r="NK266" s="9"/>
      <c r="NL266" s="9"/>
      <c r="NM266" s="9"/>
      <c r="NN266" s="9"/>
      <c r="NO266" s="9"/>
      <c r="NP266" s="9"/>
      <c r="NQ266" s="9"/>
      <c r="NR266" s="9"/>
      <c r="NS266" s="9"/>
      <c r="NT266" s="9"/>
      <c r="NU266" s="9"/>
      <c r="NV266" s="9"/>
      <c r="NW266" s="9"/>
      <c r="NX266" s="9"/>
      <c r="NY266" s="9"/>
      <c r="NZ266" s="9"/>
      <c r="OA266" s="9"/>
      <c r="OB266" s="9"/>
      <c r="OC266" s="9"/>
      <c r="OD266" s="9"/>
      <c r="OE266" s="9"/>
      <c r="OF266" s="9"/>
      <c r="OG266" s="9"/>
      <c r="OH266" s="9"/>
      <c r="OI266" s="9"/>
      <c r="OJ266" s="9"/>
      <c r="OK266" s="9"/>
      <c r="OL266" s="9"/>
      <c r="OM266" s="9"/>
      <c r="ON266" s="9"/>
      <c r="OO266" s="9"/>
      <c r="OP266" s="9"/>
      <c r="OQ266" s="9"/>
      <c r="OR266" s="9"/>
      <c r="OS266" s="9"/>
      <c r="OT266" s="9"/>
      <c r="OU266" s="9"/>
      <c r="OV266" s="9"/>
      <c r="OW266" s="9"/>
      <c r="OX266" s="9"/>
      <c r="OY266" s="9"/>
      <c r="OZ266" s="9"/>
      <c r="PA266" s="9"/>
      <c r="PB266" s="9"/>
      <c r="PC266" s="9"/>
      <c r="PD266" s="9"/>
      <c r="PE266" s="9"/>
      <c r="PF266" s="9"/>
      <c r="PG266" s="9"/>
      <c r="PH266" s="9"/>
      <c r="PI266" s="9"/>
      <c r="PJ266" s="9"/>
      <c r="PK266" s="9"/>
      <c r="PL266" s="9"/>
      <c r="PM266" s="9"/>
      <c r="PN266" s="9"/>
      <c r="PO266" s="9"/>
      <c r="PP266" s="9"/>
      <c r="PQ266" s="9"/>
      <c r="PR266" s="9"/>
      <c r="PS266" s="9"/>
      <c r="PT266" s="9"/>
      <c r="PU266" s="9"/>
      <c r="PV266" s="9"/>
      <c r="PW266" s="9"/>
      <c r="PX266" s="9"/>
      <c r="PY266" s="9"/>
      <c r="PZ266" s="9"/>
      <c r="QA266" s="9"/>
      <c r="QB266" s="9"/>
      <c r="QC266" s="9"/>
      <c r="QD266" s="9"/>
      <c r="QE266" s="9"/>
      <c r="QF266" s="9"/>
      <c r="QG266" s="9"/>
      <c r="QH266" s="9"/>
      <c r="QI266" s="9"/>
      <c r="QJ266" s="9"/>
      <c r="QK266" s="9"/>
      <c r="QL266" s="9"/>
      <c r="QM266" s="9"/>
      <c r="QN266" s="9"/>
      <c r="QO266" s="9"/>
      <c r="QP266" s="9"/>
      <c r="QQ266" s="67"/>
      <c r="QR266" s="68"/>
      <c r="QS266" s="63"/>
      <c r="QT266" s="71"/>
    </row>
    <row r="267" spans="1:462" s="11" customFormat="1" ht="26" x14ac:dyDescent="0.2">
      <c r="A267" s="9">
        <v>20</v>
      </c>
      <c r="B267" s="9"/>
      <c r="C267" s="9"/>
      <c r="D267" s="9" t="s">
        <v>458</v>
      </c>
      <c r="E267" s="65" t="s">
        <v>559</v>
      </c>
      <c r="F267" s="65"/>
      <c r="G267" s="92" t="s">
        <v>2408</v>
      </c>
      <c r="H267" s="66" t="s">
        <v>1313</v>
      </c>
      <c r="I267" s="9" t="s">
        <v>1101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  <c r="HE267" s="9"/>
      <c r="HF267" s="9"/>
      <c r="HG267" s="9"/>
      <c r="HH267" s="9"/>
      <c r="HI267" s="9"/>
      <c r="HJ267" s="9"/>
      <c r="HK267" s="9"/>
      <c r="HL267" s="9"/>
      <c r="HM267" s="9"/>
      <c r="HN267" s="9"/>
      <c r="HO267" s="9"/>
      <c r="HP267" s="9"/>
      <c r="HQ267" s="9"/>
      <c r="HR267" s="9"/>
      <c r="HS267" s="9"/>
      <c r="HT267" s="9"/>
      <c r="HU267" s="9"/>
      <c r="HV267" s="9"/>
      <c r="HW267" s="9"/>
      <c r="HX267" s="9"/>
      <c r="HY267" s="9"/>
      <c r="HZ267" s="9"/>
      <c r="IA267" s="9"/>
      <c r="IB267" s="9"/>
      <c r="IC267" s="9"/>
      <c r="ID267" s="9"/>
      <c r="IE267" s="9"/>
      <c r="IF267" s="9"/>
      <c r="IG267" s="9"/>
      <c r="IH267" s="9"/>
      <c r="II267" s="9"/>
      <c r="IJ267" s="9"/>
      <c r="IK267" s="9"/>
      <c r="IL267" s="9"/>
      <c r="IM267" s="9"/>
      <c r="IN267" s="9"/>
      <c r="IO267" s="9"/>
      <c r="IP267" s="9"/>
      <c r="IQ267" s="9"/>
      <c r="IR267" s="9"/>
      <c r="IS267" s="9"/>
      <c r="IT267" s="9"/>
      <c r="IU267" s="9"/>
      <c r="IV267" s="9"/>
      <c r="IW267" s="9"/>
      <c r="IX267" s="9"/>
      <c r="IY267" s="9"/>
      <c r="IZ267" s="9"/>
      <c r="JA267" s="9"/>
      <c r="JB267" s="9"/>
      <c r="JC267" s="9"/>
      <c r="JD267" s="9"/>
      <c r="JE267" s="9"/>
      <c r="JF267" s="9"/>
      <c r="JG267" s="9"/>
      <c r="JH267" s="9"/>
      <c r="JI267" s="9"/>
      <c r="JJ267" s="9"/>
      <c r="JK267" s="9"/>
      <c r="JL267" s="9"/>
      <c r="JM267" s="9"/>
      <c r="JN267" s="9"/>
      <c r="JO267" s="9"/>
      <c r="JP267" s="9"/>
      <c r="JQ267" s="9"/>
      <c r="JR267" s="9"/>
      <c r="JS267" s="9"/>
      <c r="JT267" s="9"/>
      <c r="JU267" s="9"/>
      <c r="JV267" s="9"/>
      <c r="JW267" s="9"/>
      <c r="JX267" s="9"/>
      <c r="JY267" s="9"/>
      <c r="JZ267" s="9"/>
      <c r="KA267" s="9"/>
      <c r="KB267" s="9"/>
      <c r="KC267" s="9"/>
      <c r="KD267" s="9"/>
      <c r="KE267" s="9"/>
      <c r="KF267" s="9"/>
      <c r="KG267" s="9"/>
      <c r="KH267" s="9"/>
      <c r="KI267" s="9"/>
      <c r="KJ267" s="9"/>
      <c r="KK267" s="9"/>
      <c r="KL267" s="9"/>
      <c r="KM267" s="9"/>
      <c r="KN267" s="9"/>
      <c r="KO267" s="9"/>
      <c r="KP267" s="9"/>
      <c r="KQ267" s="9" t="s">
        <v>1101</v>
      </c>
      <c r="KR267" s="9"/>
      <c r="KS267" s="9" t="s">
        <v>1101</v>
      </c>
      <c r="KT267" s="9"/>
      <c r="KU267" s="9"/>
      <c r="KV267" s="9"/>
      <c r="KW267" s="9"/>
      <c r="KX267" s="9"/>
      <c r="KY267" s="9"/>
      <c r="KZ267" s="9"/>
      <c r="LA267" s="9"/>
      <c r="LB267" s="9"/>
      <c r="LC267" s="9"/>
      <c r="LD267" s="9"/>
      <c r="LE267" s="9"/>
      <c r="LF267" s="9"/>
      <c r="LG267" s="9"/>
      <c r="LH267" s="9"/>
      <c r="LI267" s="9"/>
      <c r="LJ267" s="9"/>
      <c r="LK267" s="9"/>
      <c r="LL267" s="9"/>
      <c r="LM267" s="9"/>
      <c r="LN267" s="9"/>
      <c r="LO267" s="9"/>
      <c r="LP267" s="9"/>
      <c r="LQ267" s="9"/>
      <c r="LR267" s="9"/>
      <c r="LS267" s="9"/>
      <c r="LT267" s="9"/>
      <c r="LU267" s="9"/>
      <c r="LV267" s="9"/>
      <c r="LW267" s="9"/>
      <c r="LX267" s="9"/>
      <c r="LY267" s="9"/>
      <c r="LZ267" s="9"/>
      <c r="MA267" s="9"/>
      <c r="MB267" s="9"/>
      <c r="MC267" s="9"/>
      <c r="MD267" s="9"/>
      <c r="ME267" s="9"/>
      <c r="MF267" s="9"/>
      <c r="MG267" s="9"/>
      <c r="MH267" s="9"/>
      <c r="MI267" s="9"/>
      <c r="MJ267" s="9"/>
      <c r="MK267" s="9"/>
      <c r="ML267" s="9"/>
      <c r="MM267" s="9"/>
      <c r="MN267" s="9"/>
      <c r="MO267" s="9"/>
      <c r="MP267" s="9"/>
      <c r="MQ267" s="9"/>
      <c r="MR267" s="9"/>
      <c r="MS267" s="9"/>
      <c r="MT267" s="9"/>
      <c r="MU267" s="9"/>
      <c r="MV267" s="9"/>
      <c r="MW267" s="9"/>
      <c r="MX267" s="9"/>
      <c r="MY267" s="9"/>
      <c r="MZ267" s="9"/>
      <c r="NA267" s="9"/>
      <c r="NB267" s="9"/>
      <c r="NC267" s="9"/>
      <c r="ND267" s="9"/>
      <c r="NE267" s="9"/>
      <c r="NF267" s="9"/>
      <c r="NG267" s="9"/>
      <c r="NH267" s="9"/>
      <c r="NI267" s="9"/>
      <c r="NJ267" s="9"/>
      <c r="NK267" s="9"/>
      <c r="NL267" s="9"/>
      <c r="NM267" s="9"/>
      <c r="NN267" s="9"/>
      <c r="NO267" s="9"/>
      <c r="NP267" s="9"/>
      <c r="NQ267" s="9"/>
      <c r="NR267" s="9"/>
      <c r="NS267" s="9"/>
      <c r="NT267" s="9"/>
      <c r="NU267" s="9"/>
      <c r="NV267" s="9"/>
      <c r="NW267" s="9"/>
      <c r="NX267" s="9"/>
      <c r="NY267" s="9"/>
      <c r="NZ267" s="9"/>
      <c r="OA267" s="9"/>
      <c r="OB267" s="9"/>
      <c r="OC267" s="9"/>
      <c r="OD267" s="9"/>
      <c r="OE267" s="9"/>
      <c r="OF267" s="9"/>
      <c r="OG267" s="9"/>
      <c r="OH267" s="9"/>
      <c r="OI267" s="9"/>
      <c r="OJ267" s="9"/>
      <c r="OK267" s="9"/>
      <c r="OL267" s="9"/>
      <c r="OM267" s="9"/>
      <c r="ON267" s="9"/>
      <c r="OO267" s="9"/>
      <c r="OP267" s="9"/>
      <c r="OQ267" s="9"/>
      <c r="OR267" s="9"/>
      <c r="OS267" s="9"/>
      <c r="OT267" s="9"/>
      <c r="OU267" s="9"/>
      <c r="OV267" s="9"/>
      <c r="OW267" s="9"/>
      <c r="OX267" s="9"/>
      <c r="OY267" s="9"/>
      <c r="OZ267" s="9"/>
      <c r="PA267" s="9"/>
      <c r="PB267" s="9"/>
      <c r="PC267" s="9"/>
      <c r="PD267" s="9"/>
      <c r="PE267" s="9"/>
      <c r="PF267" s="9"/>
      <c r="PG267" s="9"/>
      <c r="PH267" s="9"/>
      <c r="PI267" s="9"/>
      <c r="PJ267" s="9"/>
      <c r="PK267" s="9"/>
      <c r="PL267" s="9"/>
      <c r="PM267" s="9"/>
      <c r="PN267" s="9"/>
      <c r="PO267" s="9"/>
      <c r="PP267" s="9"/>
      <c r="PQ267" s="9"/>
      <c r="PR267" s="9"/>
      <c r="PS267" s="9"/>
      <c r="PT267" s="9"/>
      <c r="PU267" s="9"/>
      <c r="PV267" s="9"/>
      <c r="PW267" s="9"/>
      <c r="PX267" s="9"/>
      <c r="PY267" s="9"/>
      <c r="PZ267" s="9"/>
      <c r="QA267" s="9"/>
      <c r="QB267" s="9"/>
      <c r="QC267" s="9"/>
      <c r="QD267" s="9"/>
      <c r="QE267" s="9"/>
      <c r="QF267" s="9"/>
      <c r="QG267" s="9"/>
      <c r="QH267" s="9"/>
      <c r="QI267" s="9"/>
      <c r="QJ267" s="9"/>
      <c r="QK267" s="9"/>
      <c r="QL267" s="9"/>
      <c r="QM267" s="9"/>
      <c r="QN267" s="9"/>
      <c r="QO267" s="9"/>
      <c r="QP267" s="9"/>
      <c r="QQ267" s="67"/>
      <c r="QR267" s="68"/>
      <c r="QS267" s="63"/>
      <c r="QT267" s="71"/>
    </row>
    <row r="268" spans="1:462" s="11" customFormat="1" x14ac:dyDescent="0.2">
      <c r="A268" s="9">
        <v>20</v>
      </c>
      <c r="B268" s="9"/>
      <c r="C268" s="9"/>
      <c r="D268" s="9" t="s">
        <v>460</v>
      </c>
      <c r="E268" s="65" t="s">
        <v>561</v>
      </c>
      <c r="F268" s="65"/>
      <c r="G268" s="92" t="s">
        <v>2411</v>
      </c>
      <c r="H268" s="66" t="s">
        <v>1316</v>
      </c>
      <c r="I268" s="9" t="s">
        <v>1101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9"/>
      <c r="IB268" s="9"/>
      <c r="IC268" s="9"/>
      <c r="ID268" s="9"/>
      <c r="IE268" s="9"/>
      <c r="IF268" s="9"/>
      <c r="IG268" s="9"/>
      <c r="IH268" s="9"/>
      <c r="II268" s="9"/>
      <c r="IJ268" s="9"/>
      <c r="IK268" s="9"/>
      <c r="IL268" s="9"/>
      <c r="IM268" s="9"/>
      <c r="IN268" s="9"/>
      <c r="IO268" s="9"/>
      <c r="IP268" s="9"/>
      <c r="IQ268" s="9"/>
      <c r="IR268" s="9"/>
      <c r="IS268" s="9"/>
      <c r="IT268" s="9"/>
      <c r="IU268" s="9"/>
      <c r="IV268" s="9"/>
      <c r="IW268" s="9"/>
      <c r="IX268" s="9"/>
      <c r="IY268" s="9"/>
      <c r="IZ268" s="9"/>
      <c r="JA268" s="9"/>
      <c r="JB268" s="9"/>
      <c r="JC268" s="9"/>
      <c r="JD268" s="9"/>
      <c r="JE268" s="9"/>
      <c r="JF268" s="9"/>
      <c r="JG268" s="9"/>
      <c r="JH268" s="9"/>
      <c r="JI268" s="9"/>
      <c r="JJ268" s="9"/>
      <c r="JK268" s="9"/>
      <c r="JL268" s="9"/>
      <c r="JM268" s="9"/>
      <c r="JN268" s="9"/>
      <c r="JO268" s="9"/>
      <c r="JP268" s="9"/>
      <c r="JQ268" s="9"/>
      <c r="JR268" s="9"/>
      <c r="JS268" s="9"/>
      <c r="JT268" s="9"/>
      <c r="JU268" s="9"/>
      <c r="JV268" s="9"/>
      <c r="JW268" s="9"/>
      <c r="JX268" s="9"/>
      <c r="JY268" s="9"/>
      <c r="JZ268" s="9"/>
      <c r="KA268" s="9"/>
      <c r="KB268" s="9"/>
      <c r="KC268" s="9"/>
      <c r="KD268" s="9"/>
      <c r="KE268" s="9"/>
      <c r="KF268" s="9"/>
      <c r="KG268" s="9"/>
      <c r="KH268" s="9"/>
      <c r="KI268" s="9"/>
      <c r="KJ268" s="9"/>
      <c r="KK268" s="9"/>
      <c r="KL268" s="9"/>
      <c r="KM268" s="9"/>
      <c r="KN268" s="9"/>
      <c r="KO268" s="9"/>
      <c r="KP268" s="9"/>
      <c r="KQ268" s="9"/>
      <c r="KR268" s="9"/>
      <c r="KS268" s="9"/>
      <c r="KT268" s="9"/>
      <c r="KU268" s="9"/>
      <c r="KV268" s="9"/>
      <c r="KW268" s="9"/>
      <c r="KX268" s="9"/>
      <c r="KY268" s="9" t="s">
        <v>1101</v>
      </c>
      <c r="KZ268" s="9"/>
      <c r="LA268" s="9" t="s">
        <v>1101</v>
      </c>
      <c r="LB268" s="9"/>
      <c r="LC268" s="9"/>
      <c r="LD268" s="9"/>
      <c r="LE268" s="9"/>
      <c r="LF268" s="9"/>
      <c r="LG268" s="9"/>
      <c r="LH268" s="9"/>
      <c r="LI268" s="9"/>
      <c r="LJ268" s="9"/>
      <c r="LK268" s="9"/>
      <c r="LL268" s="9"/>
      <c r="LM268" s="9"/>
      <c r="LN268" s="9"/>
      <c r="LO268" s="9"/>
      <c r="LP268" s="9"/>
      <c r="LQ268" s="9"/>
      <c r="LR268" s="9"/>
      <c r="LS268" s="9"/>
      <c r="LT268" s="9"/>
      <c r="LU268" s="9"/>
      <c r="LV268" s="9"/>
      <c r="LW268" s="9"/>
      <c r="LX268" s="9"/>
      <c r="LY268" s="9"/>
      <c r="LZ268" s="9"/>
      <c r="MA268" s="9"/>
      <c r="MB268" s="9"/>
      <c r="MC268" s="9"/>
      <c r="MD268" s="9"/>
      <c r="ME268" s="9"/>
      <c r="MF268" s="9"/>
      <c r="MG268" s="9"/>
      <c r="MH268" s="9"/>
      <c r="MI268" s="9"/>
      <c r="MJ268" s="9"/>
      <c r="MK268" s="9"/>
      <c r="ML268" s="9"/>
      <c r="MM268" s="9"/>
      <c r="MN268" s="9"/>
      <c r="MO268" s="9"/>
      <c r="MP268" s="9"/>
      <c r="MQ268" s="9"/>
      <c r="MR268" s="9"/>
      <c r="MS268" s="9"/>
      <c r="MT268" s="9"/>
      <c r="MU268" s="9"/>
      <c r="MV268" s="9"/>
      <c r="MW268" s="9"/>
      <c r="MX268" s="9"/>
      <c r="MY268" s="9"/>
      <c r="MZ268" s="9"/>
      <c r="NA268" s="9"/>
      <c r="NB268" s="9"/>
      <c r="NC268" s="9"/>
      <c r="ND268" s="9"/>
      <c r="NE268" s="9"/>
      <c r="NF268" s="9"/>
      <c r="NG268" s="9"/>
      <c r="NH268" s="9"/>
      <c r="NI268" s="9"/>
      <c r="NJ268" s="9"/>
      <c r="NK268" s="9"/>
      <c r="NL268" s="9"/>
      <c r="NM268" s="9"/>
      <c r="NN268" s="9"/>
      <c r="NO268" s="9"/>
      <c r="NP268" s="9"/>
      <c r="NQ268" s="9"/>
      <c r="NR268" s="9"/>
      <c r="NS268" s="9"/>
      <c r="NT268" s="9"/>
      <c r="NU268" s="9"/>
      <c r="NV268" s="9"/>
      <c r="NW268" s="9"/>
      <c r="NX268" s="9"/>
      <c r="NY268" s="9"/>
      <c r="NZ268" s="9"/>
      <c r="OA268" s="9"/>
      <c r="OB268" s="9"/>
      <c r="OC268" s="9"/>
      <c r="OD268" s="9"/>
      <c r="OE268" s="9"/>
      <c r="OF268" s="9"/>
      <c r="OG268" s="9"/>
      <c r="OH268" s="9"/>
      <c r="OI268" s="9"/>
      <c r="OJ268" s="9"/>
      <c r="OK268" s="9"/>
      <c r="OL268" s="9"/>
      <c r="OM268" s="9"/>
      <c r="ON268" s="9"/>
      <c r="OO268" s="9"/>
      <c r="OP268" s="9"/>
      <c r="OQ268" s="9"/>
      <c r="OR268" s="9"/>
      <c r="OS268" s="9"/>
      <c r="OT268" s="9"/>
      <c r="OU268" s="9"/>
      <c r="OV268" s="9"/>
      <c r="OW268" s="9"/>
      <c r="OX268" s="9"/>
      <c r="OY268" s="9"/>
      <c r="OZ268" s="9"/>
      <c r="PA268" s="9"/>
      <c r="PB268" s="9"/>
      <c r="PC268" s="9"/>
      <c r="PD268" s="9"/>
      <c r="PE268" s="9"/>
      <c r="PF268" s="9"/>
      <c r="PG268" s="9"/>
      <c r="PH268" s="9"/>
      <c r="PI268" s="9"/>
      <c r="PJ268" s="9"/>
      <c r="PK268" s="9"/>
      <c r="PL268" s="9"/>
      <c r="PM268" s="9"/>
      <c r="PN268" s="9"/>
      <c r="PO268" s="9"/>
      <c r="PP268" s="9"/>
      <c r="PQ268" s="9"/>
      <c r="PR268" s="9"/>
      <c r="PS268" s="9"/>
      <c r="PT268" s="9"/>
      <c r="PU268" s="9"/>
      <c r="PV268" s="9"/>
      <c r="PW268" s="9"/>
      <c r="PX268" s="9"/>
      <c r="PY268" s="9"/>
      <c r="PZ268" s="9"/>
      <c r="QA268" s="9"/>
      <c r="QB268" s="9"/>
      <c r="QC268" s="9"/>
      <c r="QD268" s="9"/>
      <c r="QE268" s="9"/>
      <c r="QF268" s="9"/>
      <c r="QG268" s="9"/>
      <c r="QH268" s="9"/>
      <c r="QI268" s="9"/>
      <c r="QJ268" s="9"/>
      <c r="QK268" s="9"/>
      <c r="QL268" s="9"/>
      <c r="QM268" s="9"/>
      <c r="QN268" s="9"/>
      <c r="QO268" s="9"/>
      <c r="QP268" s="9"/>
      <c r="QQ268" s="67"/>
      <c r="QR268" s="68"/>
      <c r="QS268" s="63"/>
      <c r="QT268" s="71"/>
    </row>
    <row r="269" spans="1:462" s="11" customFormat="1" x14ac:dyDescent="0.2">
      <c r="A269" s="9">
        <v>20</v>
      </c>
      <c r="B269" s="9"/>
      <c r="C269" s="9"/>
      <c r="D269" s="9" t="s">
        <v>464</v>
      </c>
      <c r="E269" s="65" t="s">
        <v>563</v>
      </c>
      <c r="F269" s="65"/>
      <c r="G269" s="92" t="s">
        <v>2416</v>
      </c>
      <c r="H269" s="66" t="s">
        <v>1321</v>
      </c>
      <c r="I269" s="9" t="s">
        <v>1101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  <c r="HE269" s="9"/>
      <c r="HF269" s="9"/>
      <c r="HG269" s="9"/>
      <c r="HH269" s="9"/>
      <c r="HI269" s="9"/>
      <c r="HJ269" s="9"/>
      <c r="HK269" s="9"/>
      <c r="HL269" s="9"/>
      <c r="HM269" s="9"/>
      <c r="HN269" s="9"/>
      <c r="HO269" s="9"/>
      <c r="HP269" s="9"/>
      <c r="HQ269" s="9"/>
      <c r="HR269" s="9"/>
      <c r="HS269" s="9"/>
      <c r="HT269" s="9"/>
      <c r="HU269" s="9"/>
      <c r="HV269" s="9"/>
      <c r="HW269" s="9"/>
      <c r="HX269" s="9"/>
      <c r="HY269" s="9"/>
      <c r="HZ269" s="9"/>
      <c r="IA269" s="9"/>
      <c r="IB269" s="9"/>
      <c r="IC269" s="9"/>
      <c r="ID269" s="9"/>
      <c r="IE269" s="9"/>
      <c r="IF269" s="9"/>
      <c r="IG269" s="9"/>
      <c r="IH269" s="9"/>
      <c r="II269" s="9"/>
      <c r="IJ269" s="9"/>
      <c r="IK269" s="9"/>
      <c r="IL269" s="9"/>
      <c r="IM269" s="9"/>
      <c r="IN269" s="9"/>
      <c r="IO269" s="9"/>
      <c r="IP269" s="9"/>
      <c r="IQ269" s="9"/>
      <c r="IR269" s="9"/>
      <c r="IS269" s="9"/>
      <c r="IT269" s="9"/>
      <c r="IU269" s="9"/>
      <c r="IV269" s="9"/>
      <c r="IW269" s="9"/>
      <c r="IX269" s="9"/>
      <c r="IY269" s="9"/>
      <c r="IZ269" s="9"/>
      <c r="JA269" s="9"/>
      <c r="JB269" s="9"/>
      <c r="JC269" s="9"/>
      <c r="JD269" s="9"/>
      <c r="JE269" s="9"/>
      <c r="JF269" s="9"/>
      <c r="JG269" s="9"/>
      <c r="JH269" s="9"/>
      <c r="JI269" s="9"/>
      <c r="JJ269" s="9"/>
      <c r="JK269" s="9"/>
      <c r="JL269" s="9"/>
      <c r="JM269" s="9"/>
      <c r="JN269" s="9"/>
      <c r="JO269" s="9"/>
      <c r="JP269" s="9"/>
      <c r="JQ269" s="9"/>
      <c r="JR269" s="9"/>
      <c r="JS269" s="9"/>
      <c r="JT269" s="9"/>
      <c r="JU269" s="9"/>
      <c r="JV269" s="9"/>
      <c r="JW269" s="9"/>
      <c r="JX269" s="9"/>
      <c r="JY269" s="9"/>
      <c r="JZ269" s="9"/>
      <c r="KA269" s="9"/>
      <c r="KB269" s="9"/>
      <c r="KC269" s="9"/>
      <c r="KD269" s="9"/>
      <c r="KE269" s="9"/>
      <c r="KF269" s="9"/>
      <c r="KG269" s="9"/>
      <c r="KH269" s="9"/>
      <c r="KI269" s="9"/>
      <c r="KJ269" s="9"/>
      <c r="KK269" s="9"/>
      <c r="KL269" s="9"/>
      <c r="KM269" s="9"/>
      <c r="KN269" s="9"/>
      <c r="KO269" s="9"/>
      <c r="KP269" s="9"/>
      <c r="KQ269" s="9"/>
      <c r="KR269" s="9"/>
      <c r="KS269" s="9"/>
      <c r="KT269" s="9"/>
      <c r="KU269" s="9"/>
      <c r="KV269" s="9"/>
      <c r="KW269" s="9"/>
      <c r="KX269" s="9"/>
      <c r="KY269" s="9"/>
      <c r="KZ269" s="9"/>
      <c r="LA269" s="9"/>
      <c r="LB269" s="9"/>
      <c r="LC269" s="9"/>
      <c r="LD269" s="9"/>
      <c r="LE269" s="9"/>
      <c r="LF269" s="9"/>
      <c r="LG269" s="9" t="s">
        <v>1101</v>
      </c>
      <c r="LH269" s="9"/>
      <c r="LI269" s="9" t="s">
        <v>1101</v>
      </c>
      <c r="LJ269" s="9"/>
      <c r="LK269" s="9"/>
      <c r="LL269" s="9"/>
      <c r="LM269" s="9"/>
      <c r="LN269" s="9"/>
      <c r="LO269" s="9"/>
      <c r="LP269" s="9"/>
      <c r="LQ269" s="9"/>
      <c r="LR269" s="9"/>
      <c r="LS269" s="9"/>
      <c r="LT269" s="9"/>
      <c r="LU269" s="9"/>
      <c r="LV269" s="9"/>
      <c r="LW269" s="9"/>
      <c r="LX269" s="9"/>
      <c r="LY269" s="9"/>
      <c r="LZ269" s="9"/>
      <c r="MA269" s="9"/>
      <c r="MB269" s="9"/>
      <c r="MC269" s="9"/>
      <c r="MD269" s="9"/>
      <c r="ME269" s="9"/>
      <c r="MF269" s="9"/>
      <c r="MG269" s="9"/>
      <c r="MH269" s="9"/>
      <c r="MI269" s="9"/>
      <c r="MJ269" s="9"/>
      <c r="MK269" s="9"/>
      <c r="ML269" s="9"/>
      <c r="MM269" s="9"/>
      <c r="MN269" s="9"/>
      <c r="MO269" s="9"/>
      <c r="MP269" s="9"/>
      <c r="MQ269" s="9"/>
      <c r="MR269" s="9"/>
      <c r="MS269" s="9"/>
      <c r="MT269" s="9"/>
      <c r="MU269" s="9"/>
      <c r="MV269" s="9"/>
      <c r="MW269" s="9"/>
      <c r="MX269" s="9"/>
      <c r="MY269" s="9"/>
      <c r="MZ269" s="9"/>
      <c r="NA269" s="9"/>
      <c r="NB269" s="9"/>
      <c r="NC269" s="9"/>
      <c r="ND269" s="9"/>
      <c r="NE269" s="9"/>
      <c r="NF269" s="9"/>
      <c r="NG269" s="9"/>
      <c r="NH269" s="9"/>
      <c r="NI269" s="9"/>
      <c r="NJ269" s="9"/>
      <c r="NK269" s="9"/>
      <c r="NL269" s="9"/>
      <c r="NM269" s="9"/>
      <c r="NN269" s="9"/>
      <c r="NO269" s="9"/>
      <c r="NP269" s="9"/>
      <c r="NQ269" s="9"/>
      <c r="NR269" s="9"/>
      <c r="NS269" s="9"/>
      <c r="NT269" s="9"/>
      <c r="NU269" s="9"/>
      <c r="NV269" s="9"/>
      <c r="NW269" s="9"/>
      <c r="NX269" s="9"/>
      <c r="NY269" s="9"/>
      <c r="NZ269" s="9"/>
      <c r="OA269" s="9"/>
      <c r="OB269" s="9"/>
      <c r="OC269" s="9"/>
      <c r="OD269" s="9"/>
      <c r="OE269" s="9"/>
      <c r="OF269" s="9"/>
      <c r="OG269" s="9"/>
      <c r="OH269" s="9"/>
      <c r="OI269" s="9"/>
      <c r="OJ269" s="9"/>
      <c r="OK269" s="9"/>
      <c r="OL269" s="9"/>
      <c r="OM269" s="9"/>
      <c r="ON269" s="9"/>
      <c r="OO269" s="9"/>
      <c r="OP269" s="9"/>
      <c r="OQ269" s="9"/>
      <c r="OR269" s="9"/>
      <c r="OS269" s="9"/>
      <c r="OT269" s="9"/>
      <c r="OU269" s="9"/>
      <c r="OV269" s="9"/>
      <c r="OW269" s="9"/>
      <c r="OX269" s="9"/>
      <c r="OY269" s="9"/>
      <c r="OZ269" s="9"/>
      <c r="PA269" s="9"/>
      <c r="PB269" s="9"/>
      <c r="PC269" s="9"/>
      <c r="PD269" s="9"/>
      <c r="PE269" s="9"/>
      <c r="PF269" s="9"/>
      <c r="PG269" s="9"/>
      <c r="PH269" s="9"/>
      <c r="PI269" s="9"/>
      <c r="PJ269" s="9"/>
      <c r="PK269" s="9"/>
      <c r="PL269" s="9"/>
      <c r="PM269" s="9"/>
      <c r="PN269" s="9"/>
      <c r="PO269" s="9"/>
      <c r="PP269" s="9"/>
      <c r="PQ269" s="9"/>
      <c r="PR269" s="9"/>
      <c r="PS269" s="9"/>
      <c r="PT269" s="9"/>
      <c r="PU269" s="9"/>
      <c r="PV269" s="9"/>
      <c r="PW269" s="9"/>
      <c r="PX269" s="9"/>
      <c r="PY269" s="9"/>
      <c r="PZ269" s="9"/>
      <c r="QA269" s="9"/>
      <c r="QB269" s="9"/>
      <c r="QC269" s="9"/>
      <c r="QD269" s="9"/>
      <c r="QE269" s="9"/>
      <c r="QF269" s="9"/>
      <c r="QG269" s="9"/>
      <c r="QH269" s="9"/>
      <c r="QI269" s="9"/>
      <c r="QJ269" s="9"/>
      <c r="QK269" s="9"/>
      <c r="QL269" s="9"/>
      <c r="QM269" s="9"/>
      <c r="QN269" s="9"/>
      <c r="QO269" s="9"/>
      <c r="QP269" s="9"/>
      <c r="QQ269" s="67"/>
      <c r="QR269" s="68"/>
      <c r="QS269" s="63"/>
      <c r="QT269" s="71"/>
    </row>
    <row r="270" spans="1:462" s="11" customFormat="1" x14ac:dyDescent="0.2">
      <c r="A270" s="9">
        <v>20</v>
      </c>
      <c r="B270" s="9"/>
      <c r="C270" s="9"/>
      <c r="D270" s="9" t="s">
        <v>467</v>
      </c>
      <c r="E270" s="65" t="s">
        <v>565</v>
      </c>
      <c r="F270" s="65"/>
      <c r="G270" s="92" t="s">
        <v>2420</v>
      </c>
      <c r="H270" s="66" t="s">
        <v>1325</v>
      </c>
      <c r="I270" s="9" t="s">
        <v>1101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  <c r="HE270" s="9"/>
      <c r="HF270" s="9"/>
      <c r="HG270" s="9"/>
      <c r="HH270" s="9"/>
      <c r="HI270" s="9"/>
      <c r="HJ270" s="9"/>
      <c r="HK270" s="9"/>
      <c r="HL270" s="9"/>
      <c r="HM270" s="9"/>
      <c r="HN270" s="9"/>
      <c r="HO270" s="9"/>
      <c r="HP270" s="9"/>
      <c r="HQ270" s="9"/>
      <c r="HR270" s="9"/>
      <c r="HS270" s="9"/>
      <c r="HT270" s="9"/>
      <c r="HU270" s="9"/>
      <c r="HV270" s="9"/>
      <c r="HW270" s="9"/>
      <c r="HX270" s="9"/>
      <c r="HY270" s="9"/>
      <c r="HZ270" s="9"/>
      <c r="IA270" s="9"/>
      <c r="IB270" s="9"/>
      <c r="IC270" s="9"/>
      <c r="ID270" s="9"/>
      <c r="IE270" s="9"/>
      <c r="IF270" s="9"/>
      <c r="IG270" s="9"/>
      <c r="IH270" s="9"/>
      <c r="II270" s="9"/>
      <c r="IJ270" s="9"/>
      <c r="IK270" s="9"/>
      <c r="IL270" s="9"/>
      <c r="IM270" s="9"/>
      <c r="IN270" s="9"/>
      <c r="IO270" s="9"/>
      <c r="IP270" s="9"/>
      <c r="IQ270" s="9"/>
      <c r="IR270" s="9"/>
      <c r="IS270" s="9"/>
      <c r="IT270" s="9"/>
      <c r="IU270" s="9"/>
      <c r="IV270" s="9"/>
      <c r="IW270" s="9"/>
      <c r="IX270" s="9"/>
      <c r="IY270" s="9"/>
      <c r="IZ270" s="9"/>
      <c r="JA270" s="9"/>
      <c r="JB270" s="9"/>
      <c r="JC270" s="9"/>
      <c r="JD270" s="9"/>
      <c r="JE270" s="9"/>
      <c r="JF270" s="9"/>
      <c r="JG270" s="9"/>
      <c r="JH270" s="9"/>
      <c r="JI270" s="9"/>
      <c r="JJ270" s="9"/>
      <c r="JK270" s="9"/>
      <c r="JL270" s="9"/>
      <c r="JM270" s="9"/>
      <c r="JN270" s="9"/>
      <c r="JO270" s="9"/>
      <c r="JP270" s="9"/>
      <c r="JQ270" s="9"/>
      <c r="JR270" s="9"/>
      <c r="JS270" s="9"/>
      <c r="JT270" s="9"/>
      <c r="JU270" s="9"/>
      <c r="JV270" s="9"/>
      <c r="JW270" s="9"/>
      <c r="JX270" s="9"/>
      <c r="JY270" s="9"/>
      <c r="JZ270" s="9"/>
      <c r="KA270" s="9"/>
      <c r="KB270" s="9"/>
      <c r="KC270" s="9"/>
      <c r="KD270" s="9"/>
      <c r="KE270" s="9"/>
      <c r="KF270" s="9"/>
      <c r="KG270" s="9"/>
      <c r="KH270" s="9"/>
      <c r="KI270" s="9"/>
      <c r="KJ270" s="9"/>
      <c r="KK270" s="9"/>
      <c r="KL270" s="9"/>
      <c r="KM270" s="9"/>
      <c r="KN270" s="9"/>
      <c r="KO270" s="9"/>
      <c r="KP270" s="9"/>
      <c r="KQ270" s="9"/>
      <c r="KR270" s="9"/>
      <c r="KS270" s="9"/>
      <c r="KT270" s="9"/>
      <c r="KU270" s="9"/>
      <c r="KV270" s="9"/>
      <c r="KW270" s="9"/>
      <c r="KX270" s="9"/>
      <c r="KY270" s="9"/>
      <c r="KZ270" s="9"/>
      <c r="LA270" s="9"/>
      <c r="LB270" s="9"/>
      <c r="LC270" s="9"/>
      <c r="LD270" s="9"/>
      <c r="LE270" s="9"/>
      <c r="LF270" s="9"/>
      <c r="LG270" s="9"/>
      <c r="LH270" s="9"/>
      <c r="LI270" s="9"/>
      <c r="LJ270" s="9"/>
      <c r="LK270" s="9"/>
      <c r="LL270" s="9"/>
      <c r="LM270" s="9"/>
      <c r="LN270" s="9"/>
      <c r="LO270" s="9" t="s">
        <v>1101</v>
      </c>
      <c r="LP270" s="9"/>
      <c r="LQ270" s="9" t="s">
        <v>1101</v>
      </c>
      <c r="LR270" s="9"/>
      <c r="LS270" s="9"/>
      <c r="LT270" s="9"/>
      <c r="LU270" s="9"/>
      <c r="LV270" s="9"/>
      <c r="LW270" s="9"/>
      <c r="LX270" s="9"/>
      <c r="LY270" s="9"/>
      <c r="LZ270" s="9"/>
      <c r="MA270" s="9"/>
      <c r="MB270" s="9"/>
      <c r="MC270" s="9"/>
      <c r="MD270" s="9"/>
      <c r="ME270" s="9"/>
      <c r="MF270" s="9"/>
      <c r="MG270" s="9"/>
      <c r="MH270" s="9"/>
      <c r="MI270" s="9"/>
      <c r="MJ270" s="9"/>
      <c r="MK270" s="9"/>
      <c r="ML270" s="9"/>
      <c r="MM270" s="9"/>
      <c r="MN270" s="9"/>
      <c r="MO270" s="9"/>
      <c r="MP270" s="9"/>
      <c r="MQ270" s="9"/>
      <c r="MR270" s="9"/>
      <c r="MS270" s="9"/>
      <c r="MT270" s="9"/>
      <c r="MU270" s="9"/>
      <c r="MV270" s="9"/>
      <c r="MW270" s="9"/>
      <c r="MX270" s="9"/>
      <c r="MY270" s="9"/>
      <c r="MZ270" s="9"/>
      <c r="NA270" s="9"/>
      <c r="NB270" s="9"/>
      <c r="NC270" s="9"/>
      <c r="ND270" s="9"/>
      <c r="NE270" s="9"/>
      <c r="NF270" s="9"/>
      <c r="NG270" s="9"/>
      <c r="NH270" s="9"/>
      <c r="NI270" s="9"/>
      <c r="NJ270" s="9"/>
      <c r="NK270" s="9"/>
      <c r="NL270" s="9"/>
      <c r="NM270" s="9"/>
      <c r="NN270" s="9"/>
      <c r="NO270" s="9"/>
      <c r="NP270" s="9"/>
      <c r="NQ270" s="9"/>
      <c r="NR270" s="9"/>
      <c r="NS270" s="9"/>
      <c r="NT270" s="9"/>
      <c r="NU270" s="9"/>
      <c r="NV270" s="9"/>
      <c r="NW270" s="9"/>
      <c r="NX270" s="9"/>
      <c r="NY270" s="9"/>
      <c r="NZ270" s="9"/>
      <c r="OA270" s="9"/>
      <c r="OB270" s="9"/>
      <c r="OC270" s="9"/>
      <c r="OD270" s="9"/>
      <c r="OE270" s="9"/>
      <c r="OF270" s="9"/>
      <c r="OG270" s="9"/>
      <c r="OH270" s="9"/>
      <c r="OI270" s="9"/>
      <c r="OJ270" s="9"/>
      <c r="OK270" s="9"/>
      <c r="OL270" s="9"/>
      <c r="OM270" s="9"/>
      <c r="ON270" s="9"/>
      <c r="OO270" s="9"/>
      <c r="OP270" s="9"/>
      <c r="OQ270" s="9"/>
      <c r="OR270" s="9"/>
      <c r="OS270" s="9"/>
      <c r="OT270" s="9"/>
      <c r="OU270" s="9"/>
      <c r="OV270" s="9"/>
      <c r="OW270" s="9"/>
      <c r="OX270" s="9"/>
      <c r="OY270" s="9"/>
      <c r="OZ270" s="9"/>
      <c r="PA270" s="9"/>
      <c r="PB270" s="9"/>
      <c r="PC270" s="9"/>
      <c r="PD270" s="9"/>
      <c r="PE270" s="9"/>
      <c r="PF270" s="9"/>
      <c r="PG270" s="9"/>
      <c r="PH270" s="9"/>
      <c r="PI270" s="9"/>
      <c r="PJ270" s="9"/>
      <c r="PK270" s="9"/>
      <c r="PL270" s="9"/>
      <c r="PM270" s="9"/>
      <c r="PN270" s="9"/>
      <c r="PO270" s="9"/>
      <c r="PP270" s="9"/>
      <c r="PQ270" s="9"/>
      <c r="PR270" s="9"/>
      <c r="PS270" s="9"/>
      <c r="PT270" s="9"/>
      <c r="PU270" s="9"/>
      <c r="PV270" s="9"/>
      <c r="PW270" s="9"/>
      <c r="PX270" s="9"/>
      <c r="PY270" s="9"/>
      <c r="PZ270" s="9"/>
      <c r="QA270" s="9"/>
      <c r="QB270" s="9"/>
      <c r="QC270" s="9"/>
      <c r="QD270" s="9"/>
      <c r="QE270" s="9"/>
      <c r="QF270" s="9"/>
      <c r="QG270" s="9"/>
      <c r="QH270" s="9"/>
      <c r="QI270" s="9"/>
      <c r="QJ270" s="9"/>
      <c r="QK270" s="9"/>
      <c r="QL270" s="9"/>
      <c r="QM270" s="9"/>
      <c r="QN270" s="9"/>
      <c r="QO270" s="9"/>
      <c r="QP270" s="9"/>
      <c r="QQ270" s="67"/>
      <c r="QR270" s="68"/>
      <c r="QS270" s="63"/>
      <c r="QT270" s="71"/>
    </row>
    <row r="271" spans="1:462" s="11" customFormat="1" x14ac:dyDescent="0.2">
      <c r="A271" s="9">
        <v>20</v>
      </c>
      <c r="B271" s="9"/>
      <c r="C271" s="9"/>
      <c r="D271" s="9" t="s">
        <v>471</v>
      </c>
      <c r="E271" s="65" t="s">
        <v>567</v>
      </c>
      <c r="F271" s="65"/>
      <c r="G271" s="92" t="s">
        <v>2491</v>
      </c>
      <c r="H271" s="66" t="s">
        <v>1837</v>
      </c>
      <c r="I271" s="9" t="s">
        <v>1101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  <c r="HE271" s="9"/>
      <c r="HF271" s="9"/>
      <c r="HG271" s="9"/>
      <c r="HH271" s="9"/>
      <c r="HI271" s="9"/>
      <c r="HJ271" s="9"/>
      <c r="HK271" s="9"/>
      <c r="HL271" s="9"/>
      <c r="HM271" s="9"/>
      <c r="HN271" s="9"/>
      <c r="HO271" s="9"/>
      <c r="HP271" s="9"/>
      <c r="HQ271" s="9"/>
      <c r="HR271" s="9"/>
      <c r="HS271" s="9"/>
      <c r="HT271" s="9"/>
      <c r="HU271" s="9"/>
      <c r="HV271" s="9"/>
      <c r="HW271" s="9"/>
      <c r="HX271" s="9"/>
      <c r="HY271" s="9"/>
      <c r="HZ271" s="9"/>
      <c r="IA271" s="9"/>
      <c r="IB271" s="9"/>
      <c r="IC271" s="9"/>
      <c r="ID271" s="9"/>
      <c r="IE271" s="9"/>
      <c r="IF271" s="9"/>
      <c r="IG271" s="9"/>
      <c r="IH271" s="9"/>
      <c r="II271" s="9"/>
      <c r="IJ271" s="9"/>
      <c r="IK271" s="9"/>
      <c r="IL271" s="9"/>
      <c r="IM271" s="9"/>
      <c r="IN271" s="9"/>
      <c r="IO271" s="9"/>
      <c r="IP271" s="9"/>
      <c r="IQ271" s="9"/>
      <c r="IR271" s="9"/>
      <c r="IS271" s="9"/>
      <c r="IT271" s="9"/>
      <c r="IU271" s="9"/>
      <c r="IV271" s="9"/>
      <c r="IW271" s="9"/>
      <c r="IX271" s="9"/>
      <c r="IY271" s="9"/>
      <c r="IZ271" s="9"/>
      <c r="JA271" s="9"/>
      <c r="JB271" s="9"/>
      <c r="JC271" s="9"/>
      <c r="JD271" s="9"/>
      <c r="JE271" s="9"/>
      <c r="JF271" s="9"/>
      <c r="JG271" s="9"/>
      <c r="JH271" s="9"/>
      <c r="JI271" s="9"/>
      <c r="JJ271" s="9"/>
      <c r="JK271" s="9"/>
      <c r="JL271" s="9"/>
      <c r="JM271" s="9"/>
      <c r="JN271" s="9"/>
      <c r="JO271" s="9"/>
      <c r="JP271" s="9"/>
      <c r="JQ271" s="9"/>
      <c r="JR271" s="9"/>
      <c r="JS271" s="9"/>
      <c r="JT271" s="9"/>
      <c r="JU271" s="9"/>
      <c r="JV271" s="9"/>
      <c r="JW271" s="9"/>
      <c r="JX271" s="9"/>
      <c r="JY271" s="9"/>
      <c r="JZ271" s="9"/>
      <c r="KA271" s="9"/>
      <c r="KB271" s="9"/>
      <c r="KC271" s="9"/>
      <c r="KD271" s="9"/>
      <c r="KE271" s="9"/>
      <c r="KF271" s="9"/>
      <c r="KG271" s="9"/>
      <c r="KH271" s="9"/>
      <c r="KI271" s="9"/>
      <c r="KJ271" s="9"/>
      <c r="KK271" s="9"/>
      <c r="KL271" s="9"/>
      <c r="KM271" s="9"/>
      <c r="KN271" s="9"/>
      <c r="KO271" s="9"/>
      <c r="KP271" s="9"/>
      <c r="KQ271" s="9"/>
      <c r="KR271" s="9"/>
      <c r="KS271" s="9"/>
      <c r="KT271" s="9"/>
      <c r="KU271" s="9"/>
      <c r="KV271" s="9"/>
      <c r="KW271" s="9"/>
      <c r="KX271" s="9"/>
      <c r="KY271" s="9"/>
      <c r="KZ271" s="9"/>
      <c r="LA271" s="9"/>
      <c r="LB271" s="9"/>
      <c r="LC271" s="9"/>
      <c r="LD271" s="9"/>
      <c r="LE271" s="9"/>
      <c r="LF271" s="9"/>
      <c r="LG271" s="9"/>
      <c r="LH271" s="9"/>
      <c r="LI271" s="9"/>
      <c r="LJ271" s="9"/>
      <c r="LK271" s="9"/>
      <c r="LL271" s="9"/>
      <c r="LM271" s="9"/>
      <c r="LN271" s="9"/>
      <c r="LO271" s="9"/>
      <c r="LP271" s="9"/>
      <c r="LQ271" s="9"/>
      <c r="LR271" s="9"/>
      <c r="LS271" s="9"/>
      <c r="LT271" s="9"/>
      <c r="LU271" s="9"/>
      <c r="LV271" s="9"/>
      <c r="LW271" s="9" t="s">
        <v>1101</v>
      </c>
      <c r="LX271" s="9"/>
      <c r="LY271" s="9" t="s">
        <v>1101</v>
      </c>
      <c r="LZ271" s="9"/>
      <c r="MA271" s="9"/>
      <c r="MB271" s="9"/>
      <c r="MC271" s="9"/>
      <c r="MD271" s="9"/>
      <c r="ME271" s="9"/>
      <c r="MF271" s="9"/>
      <c r="MG271" s="9"/>
      <c r="MH271" s="9"/>
      <c r="MI271" s="9"/>
      <c r="MJ271" s="9"/>
      <c r="MK271" s="9"/>
      <c r="ML271" s="9"/>
      <c r="MM271" s="9"/>
      <c r="MN271" s="9"/>
      <c r="MO271" s="9"/>
      <c r="MP271" s="9"/>
      <c r="MQ271" s="9"/>
      <c r="MR271" s="9"/>
      <c r="MS271" s="9"/>
      <c r="MT271" s="9"/>
      <c r="MU271" s="9"/>
      <c r="MV271" s="9"/>
      <c r="MW271" s="9"/>
      <c r="MX271" s="9"/>
      <c r="MY271" s="9"/>
      <c r="MZ271" s="9"/>
      <c r="NA271" s="9"/>
      <c r="NB271" s="9"/>
      <c r="NC271" s="9"/>
      <c r="ND271" s="9"/>
      <c r="NE271" s="9"/>
      <c r="NF271" s="9"/>
      <c r="NG271" s="9"/>
      <c r="NH271" s="9"/>
      <c r="NI271" s="9"/>
      <c r="NJ271" s="9"/>
      <c r="NK271" s="9"/>
      <c r="NL271" s="9"/>
      <c r="NM271" s="9"/>
      <c r="NN271" s="9"/>
      <c r="NO271" s="9"/>
      <c r="NP271" s="9"/>
      <c r="NQ271" s="9"/>
      <c r="NR271" s="9"/>
      <c r="NS271" s="9"/>
      <c r="NT271" s="9"/>
      <c r="NU271" s="9"/>
      <c r="NV271" s="9"/>
      <c r="NW271" s="9"/>
      <c r="NX271" s="9"/>
      <c r="NY271" s="9"/>
      <c r="NZ271" s="9"/>
      <c r="OA271" s="9"/>
      <c r="OB271" s="9"/>
      <c r="OC271" s="9"/>
      <c r="OD271" s="9"/>
      <c r="OE271" s="9"/>
      <c r="OF271" s="9"/>
      <c r="OG271" s="9"/>
      <c r="OH271" s="9"/>
      <c r="OI271" s="9"/>
      <c r="OJ271" s="9"/>
      <c r="OK271" s="9"/>
      <c r="OL271" s="9"/>
      <c r="OM271" s="9"/>
      <c r="ON271" s="9"/>
      <c r="OO271" s="9"/>
      <c r="OP271" s="9"/>
      <c r="OQ271" s="9"/>
      <c r="OR271" s="9"/>
      <c r="OS271" s="9"/>
      <c r="OT271" s="9"/>
      <c r="OU271" s="9"/>
      <c r="OV271" s="9"/>
      <c r="OW271" s="9"/>
      <c r="OX271" s="9"/>
      <c r="OY271" s="9"/>
      <c r="OZ271" s="9"/>
      <c r="PA271" s="9"/>
      <c r="PB271" s="9"/>
      <c r="PC271" s="9"/>
      <c r="PD271" s="9"/>
      <c r="PE271" s="9"/>
      <c r="PF271" s="9"/>
      <c r="PG271" s="9"/>
      <c r="PH271" s="9"/>
      <c r="PI271" s="9"/>
      <c r="PJ271" s="9"/>
      <c r="PK271" s="9"/>
      <c r="PL271" s="9"/>
      <c r="PM271" s="9"/>
      <c r="PN271" s="9"/>
      <c r="PO271" s="9"/>
      <c r="PP271" s="9"/>
      <c r="PQ271" s="9"/>
      <c r="PR271" s="9"/>
      <c r="PS271" s="9"/>
      <c r="PT271" s="9"/>
      <c r="PU271" s="9"/>
      <c r="PV271" s="9"/>
      <c r="PW271" s="9"/>
      <c r="PX271" s="9"/>
      <c r="PY271" s="9"/>
      <c r="PZ271" s="9"/>
      <c r="QA271" s="9"/>
      <c r="QB271" s="9"/>
      <c r="QC271" s="9"/>
      <c r="QD271" s="9"/>
      <c r="QE271" s="9"/>
      <c r="QF271" s="9"/>
      <c r="QG271" s="9"/>
      <c r="QH271" s="9"/>
      <c r="QI271" s="9"/>
      <c r="QJ271" s="9"/>
      <c r="QK271" s="9"/>
      <c r="QL271" s="9"/>
      <c r="QM271" s="9"/>
      <c r="QN271" s="9"/>
      <c r="QO271" s="9"/>
      <c r="QP271" s="9"/>
      <c r="QQ271" s="67"/>
      <c r="QR271" s="68"/>
      <c r="QS271" s="63"/>
      <c r="QT271" s="71"/>
    </row>
    <row r="272" spans="1:462" s="11" customFormat="1" x14ac:dyDescent="0.2">
      <c r="A272" s="9">
        <v>20</v>
      </c>
      <c r="B272" s="9"/>
      <c r="C272" s="9"/>
      <c r="D272" s="9" t="s">
        <v>473</v>
      </c>
      <c r="E272" s="65" t="s">
        <v>569</v>
      </c>
      <c r="F272" s="65"/>
      <c r="G272" s="92" t="s">
        <v>2428</v>
      </c>
      <c r="H272" s="66" t="s">
        <v>1333</v>
      </c>
      <c r="I272" s="9" t="s">
        <v>1101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  <c r="HE272" s="9"/>
      <c r="HF272" s="9"/>
      <c r="HG272" s="9"/>
      <c r="HH272" s="9"/>
      <c r="HI272" s="9"/>
      <c r="HJ272" s="9"/>
      <c r="HK272" s="9"/>
      <c r="HL272" s="9"/>
      <c r="HM272" s="9"/>
      <c r="HN272" s="9"/>
      <c r="HO272" s="9"/>
      <c r="HP272" s="9"/>
      <c r="HQ272" s="9"/>
      <c r="HR272" s="9"/>
      <c r="HS272" s="9"/>
      <c r="HT272" s="9"/>
      <c r="HU272" s="9"/>
      <c r="HV272" s="9"/>
      <c r="HW272" s="9"/>
      <c r="HX272" s="9"/>
      <c r="HY272" s="9"/>
      <c r="HZ272" s="9"/>
      <c r="IA272" s="9"/>
      <c r="IB272" s="9"/>
      <c r="IC272" s="9"/>
      <c r="ID272" s="9"/>
      <c r="IE272" s="9"/>
      <c r="IF272" s="9"/>
      <c r="IG272" s="9"/>
      <c r="IH272" s="9"/>
      <c r="II272" s="9"/>
      <c r="IJ272" s="9"/>
      <c r="IK272" s="9"/>
      <c r="IL272" s="9"/>
      <c r="IM272" s="9"/>
      <c r="IN272" s="9"/>
      <c r="IO272" s="9"/>
      <c r="IP272" s="9"/>
      <c r="IQ272" s="9"/>
      <c r="IR272" s="9"/>
      <c r="IS272" s="9"/>
      <c r="IT272" s="9"/>
      <c r="IU272" s="9"/>
      <c r="IV272" s="9"/>
      <c r="IW272" s="9"/>
      <c r="IX272" s="9"/>
      <c r="IY272" s="9"/>
      <c r="IZ272" s="9"/>
      <c r="JA272" s="9"/>
      <c r="JB272" s="9"/>
      <c r="JC272" s="9"/>
      <c r="JD272" s="9"/>
      <c r="JE272" s="9"/>
      <c r="JF272" s="9"/>
      <c r="JG272" s="9"/>
      <c r="JH272" s="9"/>
      <c r="JI272" s="9"/>
      <c r="JJ272" s="9"/>
      <c r="JK272" s="9"/>
      <c r="JL272" s="9"/>
      <c r="JM272" s="9"/>
      <c r="JN272" s="9"/>
      <c r="JO272" s="9"/>
      <c r="JP272" s="9"/>
      <c r="JQ272" s="9"/>
      <c r="JR272" s="9"/>
      <c r="JS272" s="9"/>
      <c r="JT272" s="9"/>
      <c r="JU272" s="9"/>
      <c r="JV272" s="9"/>
      <c r="JW272" s="9"/>
      <c r="JX272" s="9"/>
      <c r="JY272" s="9"/>
      <c r="JZ272" s="9"/>
      <c r="KA272" s="9"/>
      <c r="KB272" s="9"/>
      <c r="KC272" s="9"/>
      <c r="KD272" s="9"/>
      <c r="KE272" s="9"/>
      <c r="KF272" s="9"/>
      <c r="KG272" s="9"/>
      <c r="KH272" s="9"/>
      <c r="KI272" s="9"/>
      <c r="KJ272" s="9"/>
      <c r="KK272" s="9"/>
      <c r="KL272" s="9"/>
      <c r="KM272" s="9"/>
      <c r="KN272" s="9"/>
      <c r="KO272" s="9"/>
      <c r="KP272" s="9"/>
      <c r="KQ272" s="9"/>
      <c r="KR272" s="9"/>
      <c r="KS272" s="9"/>
      <c r="KT272" s="9"/>
      <c r="KU272" s="9"/>
      <c r="KV272" s="9"/>
      <c r="KW272" s="9"/>
      <c r="KX272" s="9"/>
      <c r="KY272" s="9"/>
      <c r="KZ272" s="9"/>
      <c r="LA272" s="9"/>
      <c r="LB272" s="9"/>
      <c r="LC272" s="9"/>
      <c r="LD272" s="9"/>
      <c r="LE272" s="9"/>
      <c r="LF272" s="9"/>
      <c r="LG272" s="9"/>
      <c r="LH272" s="9"/>
      <c r="LI272" s="9"/>
      <c r="LJ272" s="9"/>
      <c r="LK272" s="9"/>
      <c r="LL272" s="9"/>
      <c r="LM272" s="9"/>
      <c r="LN272" s="9"/>
      <c r="LO272" s="9"/>
      <c r="LP272" s="9"/>
      <c r="LQ272" s="9"/>
      <c r="LR272" s="9"/>
      <c r="LS272" s="9"/>
      <c r="LT272" s="9"/>
      <c r="LU272" s="9"/>
      <c r="LV272" s="9"/>
      <c r="LW272" s="9"/>
      <c r="LX272" s="9"/>
      <c r="LY272" s="9"/>
      <c r="LZ272" s="9"/>
      <c r="MA272" s="9"/>
      <c r="MB272" s="9"/>
      <c r="MC272" s="9"/>
      <c r="MD272" s="9"/>
      <c r="ME272" s="9" t="s">
        <v>1101</v>
      </c>
      <c r="MF272" s="9"/>
      <c r="MG272" s="9" t="s">
        <v>1101</v>
      </c>
      <c r="MH272" s="9"/>
      <c r="MI272" s="9"/>
      <c r="MJ272" s="9"/>
      <c r="MK272" s="9"/>
      <c r="ML272" s="9"/>
      <c r="MM272" s="9"/>
      <c r="MN272" s="9"/>
      <c r="MO272" s="9"/>
      <c r="MP272" s="9"/>
      <c r="MQ272" s="9"/>
      <c r="MR272" s="9"/>
      <c r="MS272" s="9"/>
      <c r="MT272" s="9"/>
      <c r="MU272" s="9"/>
      <c r="MV272" s="9"/>
      <c r="MW272" s="9"/>
      <c r="MX272" s="9"/>
      <c r="MY272" s="9"/>
      <c r="MZ272" s="9"/>
      <c r="NA272" s="9"/>
      <c r="NB272" s="9"/>
      <c r="NC272" s="9"/>
      <c r="ND272" s="9"/>
      <c r="NE272" s="9"/>
      <c r="NF272" s="9"/>
      <c r="NG272" s="9"/>
      <c r="NH272" s="9"/>
      <c r="NI272" s="9"/>
      <c r="NJ272" s="9"/>
      <c r="NK272" s="9"/>
      <c r="NL272" s="9"/>
      <c r="NM272" s="9"/>
      <c r="NN272" s="9"/>
      <c r="NO272" s="9"/>
      <c r="NP272" s="9"/>
      <c r="NQ272" s="9"/>
      <c r="NR272" s="9"/>
      <c r="NS272" s="9"/>
      <c r="NT272" s="9"/>
      <c r="NU272" s="9"/>
      <c r="NV272" s="9"/>
      <c r="NW272" s="9"/>
      <c r="NX272" s="9"/>
      <c r="NY272" s="9"/>
      <c r="NZ272" s="9"/>
      <c r="OA272" s="9"/>
      <c r="OB272" s="9"/>
      <c r="OC272" s="9"/>
      <c r="OD272" s="9"/>
      <c r="OE272" s="9"/>
      <c r="OF272" s="9"/>
      <c r="OG272" s="9"/>
      <c r="OH272" s="9"/>
      <c r="OI272" s="9"/>
      <c r="OJ272" s="9"/>
      <c r="OK272" s="9"/>
      <c r="OL272" s="9"/>
      <c r="OM272" s="9"/>
      <c r="ON272" s="9"/>
      <c r="OO272" s="9"/>
      <c r="OP272" s="9"/>
      <c r="OQ272" s="9"/>
      <c r="OR272" s="9"/>
      <c r="OS272" s="9"/>
      <c r="OT272" s="9"/>
      <c r="OU272" s="9"/>
      <c r="OV272" s="9"/>
      <c r="OW272" s="9"/>
      <c r="OX272" s="9"/>
      <c r="OY272" s="9"/>
      <c r="OZ272" s="9"/>
      <c r="PA272" s="9"/>
      <c r="PB272" s="9"/>
      <c r="PC272" s="9"/>
      <c r="PD272" s="9"/>
      <c r="PE272" s="9"/>
      <c r="PF272" s="9"/>
      <c r="PG272" s="9"/>
      <c r="PH272" s="9"/>
      <c r="PI272" s="9"/>
      <c r="PJ272" s="9"/>
      <c r="PK272" s="9"/>
      <c r="PL272" s="9"/>
      <c r="PM272" s="9"/>
      <c r="PN272" s="9"/>
      <c r="PO272" s="9"/>
      <c r="PP272" s="9"/>
      <c r="PQ272" s="9"/>
      <c r="PR272" s="9"/>
      <c r="PS272" s="9"/>
      <c r="PT272" s="9"/>
      <c r="PU272" s="9"/>
      <c r="PV272" s="9"/>
      <c r="PW272" s="9"/>
      <c r="PX272" s="9"/>
      <c r="PY272" s="9"/>
      <c r="PZ272" s="9"/>
      <c r="QA272" s="9"/>
      <c r="QB272" s="9"/>
      <c r="QC272" s="9"/>
      <c r="QD272" s="9"/>
      <c r="QE272" s="9"/>
      <c r="QF272" s="9"/>
      <c r="QG272" s="9"/>
      <c r="QH272" s="9"/>
      <c r="QI272" s="9"/>
      <c r="QJ272" s="9"/>
      <c r="QK272" s="9"/>
      <c r="QL272" s="9"/>
      <c r="QM272" s="9"/>
      <c r="QN272" s="9"/>
      <c r="QO272" s="9"/>
      <c r="QP272" s="9"/>
      <c r="QQ272" s="67"/>
      <c r="QR272" s="68"/>
      <c r="QS272" s="63"/>
      <c r="QT272" s="71"/>
    </row>
    <row r="273" spans="1:462" s="11" customFormat="1" x14ac:dyDescent="0.2">
      <c r="A273" s="9">
        <v>20</v>
      </c>
      <c r="B273" s="9"/>
      <c r="C273" s="9"/>
      <c r="D273" s="9" t="s">
        <v>475</v>
      </c>
      <c r="E273" s="65" t="s">
        <v>571</v>
      </c>
      <c r="F273" s="65"/>
      <c r="G273" s="92" t="s">
        <v>2431</v>
      </c>
      <c r="H273" s="66" t="s">
        <v>1336</v>
      </c>
      <c r="I273" s="9" t="s">
        <v>1101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  <c r="HE273" s="9"/>
      <c r="HF273" s="9"/>
      <c r="HG273" s="9"/>
      <c r="HH273" s="9"/>
      <c r="HI273" s="9"/>
      <c r="HJ273" s="9"/>
      <c r="HK273" s="9"/>
      <c r="HL273" s="9"/>
      <c r="HM273" s="9"/>
      <c r="HN273" s="9"/>
      <c r="HO273" s="9"/>
      <c r="HP273" s="9"/>
      <c r="HQ273" s="9"/>
      <c r="HR273" s="9"/>
      <c r="HS273" s="9"/>
      <c r="HT273" s="9"/>
      <c r="HU273" s="9"/>
      <c r="HV273" s="9"/>
      <c r="HW273" s="9"/>
      <c r="HX273" s="9"/>
      <c r="HY273" s="9"/>
      <c r="HZ273" s="9"/>
      <c r="IA273" s="9"/>
      <c r="IB273" s="9"/>
      <c r="IC273" s="9"/>
      <c r="ID273" s="9"/>
      <c r="IE273" s="9"/>
      <c r="IF273" s="9"/>
      <c r="IG273" s="9"/>
      <c r="IH273" s="9"/>
      <c r="II273" s="9"/>
      <c r="IJ273" s="9"/>
      <c r="IK273" s="9"/>
      <c r="IL273" s="9"/>
      <c r="IM273" s="9"/>
      <c r="IN273" s="9"/>
      <c r="IO273" s="9"/>
      <c r="IP273" s="9"/>
      <c r="IQ273" s="9"/>
      <c r="IR273" s="9"/>
      <c r="IS273" s="9"/>
      <c r="IT273" s="9"/>
      <c r="IU273" s="9"/>
      <c r="IV273" s="9"/>
      <c r="IW273" s="9"/>
      <c r="IX273" s="9"/>
      <c r="IY273" s="9"/>
      <c r="IZ273" s="9"/>
      <c r="JA273" s="9"/>
      <c r="JB273" s="9"/>
      <c r="JC273" s="9"/>
      <c r="JD273" s="9"/>
      <c r="JE273" s="9"/>
      <c r="JF273" s="9"/>
      <c r="JG273" s="9"/>
      <c r="JH273" s="9"/>
      <c r="JI273" s="9"/>
      <c r="JJ273" s="9"/>
      <c r="JK273" s="9"/>
      <c r="JL273" s="9"/>
      <c r="JM273" s="9"/>
      <c r="JN273" s="9"/>
      <c r="JO273" s="9"/>
      <c r="JP273" s="9"/>
      <c r="JQ273" s="9"/>
      <c r="JR273" s="9"/>
      <c r="JS273" s="9"/>
      <c r="JT273" s="9"/>
      <c r="JU273" s="9"/>
      <c r="JV273" s="9"/>
      <c r="JW273" s="9"/>
      <c r="JX273" s="9"/>
      <c r="JY273" s="9"/>
      <c r="JZ273" s="9"/>
      <c r="KA273" s="9"/>
      <c r="KB273" s="9"/>
      <c r="KC273" s="9"/>
      <c r="KD273" s="9"/>
      <c r="KE273" s="9"/>
      <c r="KF273" s="9"/>
      <c r="KG273" s="9"/>
      <c r="KH273" s="9"/>
      <c r="KI273" s="9"/>
      <c r="KJ273" s="9"/>
      <c r="KK273" s="9"/>
      <c r="KL273" s="9"/>
      <c r="KM273" s="9"/>
      <c r="KN273" s="9"/>
      <c r="KO273" s="9"/>
      <c r="KP273" s="9"/>
      <c r="KQ273" s="9"/>
      <c r="KR273" s="9"/>
      <c r="KS273" s="9"/>
      <c r="KT273" s="9"/>
      <c r="KU273" s="9"/>
      <c r="KV273" s="9"/>
      <c r="KW273" s="9"/>
      <c r="KX273" s="9"/>
      <c r="KY273" s="9"/>
      <c r="KZ273" s="9"/>
      <c r="LA273" s="9"/>
      <c r="LB273" s="9"/>
      <c r="LC273" s="9"/>
      <c r="LD273" s="9"/>
      <c r="LE273" s="9"/>
      <c r="LF273" s="9"/>
      <c r="LG273" s="9"/>
      <c r="LH273" s="9"/>
      <c r="LI273" s="9"/>
      <c r="LJ273" s="9"/>
      <c r="LK273" s="9"/>
      <c r="LL273" s="9"/>
      <c r="LM273" s="9"/>
      <c r="LN273" s="9"/>
      <c r="LO273" s="9"/>
      <c r="LP273" s="9"/>
      <c r="LQ273" s="9"/>
      <c r="LR273" s="9"/>
      <c r="LS273" s="9"/>
      <c r="LT273" s="9"/>
      <c r="LU273" s="9"/>
      <c r="LV273" s="9"/>
      <c r="LW273" s="9"/>
      <c r="LX273" s="9"/>
      <c r="LY273" s="9"/>
      <c r="LZ273" s="9"/>
      <c r="MA273" s="9"/>
      <c r="MB273" s="9"/>
      <c r="MC273" s="9"/>
      <c r="MD273" s="9"/>
      <c r="ME273" s="9"/>
      <c r="MF273" s="9"/>
      <c r="MG273" s="9"/>
      <c r="MH273" s="9"/>
      <c r="MI273" s="9"/>
      <c r="MJ273" s="9"/>
      <c r="MK273" s="9"/>
      <c r="ML273" s="9"/>
      <c r="MM273" s="9" t="s">
        <v>1101</v>
      </c>
      <c r="MN273" s="9"/>
      <c r="MO273" s="9" t="s">
        <v>1101</v>
      </c>
      <c r="MP273" s="9"/>
      <c r="MQ273" s="9"/>
      <c r="MR273" s="9"/>
      <c r="MS273" s="9"/>
      <c r="MT273" s="9"/>
      <c r="MU273" s="9"/>
      <c r="MV273" s="9"/>
      <c r="MW273" s="9"/>
      <c r="MX273" s="9"/>
      <c r="MY273" s="9"/>
      <c r="MZ273" s="9"/>
      <c r="NA273" s="9"/>
      <c r="NB273" s="9"/>
      <c r="NC273" s="9"/>
      <c r="ND273" s="9"/>
      <c r="NE273" s="9"/>
      <c r="NF273" s="9"/>
      <c r="NG273" s="9"/>
      <c r="NH273" s="9"/>
      <c r="NI273" s="9"/>
      <c r="NJ273" s="9"/>
      <c r="NK273" s="9"/>
      <c r="NL273" s="9"/>
      <c r="NM273" s="9"/>
      <c r="NN273" s="9"/>
      <c r="NO273" s="9"/>
      <c r="NP273" s="9"/>
      <c r="NQ273" s="9"/>
      <c r="NR273" s="9"/>
      <c r="NS273" s="9"/>
      <c r="NT273" s="9"/>
      <c r="NU273" s="9"/>
      <c r="NV273" s="9"/>
      <c r="NW273" s="9"/>
      <c r="NX273" s="9"/>
      <c r="NY273" s="9"/>
      <c r="NZ273" s="9"/>
      <c r="OA273" s="9"/>
      <c r="OB273" s="9"/>
      <c r="OC273" s="9"/>
      <c r="OD273" s="9"/>
      <c r="OE273" s="9"/>
      <c r="OF273" s="9"/>
      <c r="OG273" s="9"/>
      <c r="OH273" s="9"/>
      <c r="OI273" s="9"/>
      <c r="OJ273" s="9"/>
      <c r="OK273" s="9"/>
      <c r="OL273" s="9"/>
      <c r="OM273" s="9"/>
      <c r="ON273" s="9"/>
      <c r="OO273" s="9"/>
      <c r="OP273" s="9"/>
      <c r="OQ273" s="9"/>
      <c r="OR273" s="9"/>
      <c r="OS273" s="9"/>
      <c r="OT273" s="9"/>
      <c r="OU273" s="9"/>
      <c r="OV273" s="9"/>
      <c r="OW273" s="9"/>
      <c r="OX273" s="9"/>
      <c r="OY273" s="9"/>
      <c r="OZ273" s="9"/>
      <c r="PA273" s="9"/>
      <c r="PB273" s="9"/>
      <c r="PC273" s="9"/>
      <c r="PD273" s="9"/>
      <c r="PE273" s="9"/>
      <c r="PF273" s="9"/>
      <c r="PG273" s="9"/>
      <c r="PH273" s="9"/>
      <c r="PI273" s="9"/>
      <c r="PJ273" s="9"/>
      <c r="PK273" s="9"/>
      <c r="PL273" s="9"/>
      <c r="PM273" s="9"/>
      <c r="PN273" s="9"/>
      <c r="PO273" s="9"/>
      <c r="PP273" s="9"/>
      <c r="PQ273" s="9"/>
      <c r="PR273" s="9"/>
      <c r="PS273" s="9"/>
      <c r="PT273" s="9"/>
      <c r="PU273" s="9"/>
      <c r="PV273" s="9"/>
      <c r="PW273" s="9"/>
      <c r="PX273" s="9"/>
      <c r="PY273" s="9"/>
      <c r="PZ273" s="9"/>
      <c r="QA273" s="9"/>
      <c r="QB273" s="9"/>
      <c r="QC273" s="9"/>
      <c r="QD273" s="9"/>
      <c r="QE273" s="9"/>
      <c r="QF273" s="9"/>
      <c r="QG273" s="9"/>
      <c r="QH273" s="9"/>
      <c r="QI273" s="9"/>
      <c r="QJ273" s="9"/>
      <c r="QK273" s="9"/>
      <c r="QL273" s="9"/>
      <c r="QM273" s="9"/>
      <c r="QN273" s="9"/>
      <c r="QO273" s="9"/>
      <c r="QP273" s="9"/>
      <c r="QQ273" s="67"/>
      <c r="QR273" s="68"/>
      <c r="QS273" s="63"/>
      <c r="QT273" s="71"/>
    </row>
    <row r="274" spans="1:462" s="11" customFormat="1" x14ac:dyDescent="0.2">
      <c r="A274" s="9">
        <v>20</v>
      </c>
      <c r="B274" s="9"/>
      <c r="C274" s="9"/>
      <c r="D274" s="9" t="s">
        <v>680</v>
      </c>
      <c r="E274" s="65" t="s">
        <v>732</v>
      </c>
      <c r="F274" s="65"/>
      <c r="G274" s="92" t="s">
        <v>2434</v>
      </c>
      <c r="H274" s="66" t="s">
        <v>1339</v>
      </c>
      <c r="I274" s="9" t="s">
        <v>1101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  <c r="HE274" s="9"/>
      <c r="HF274" s="9"/>
      <c r="HG274" s="9"/>
      <c r="HH274" s="9"/>
      <c r="HI274" s="9"/>
      <c r="HJ274" s="9"/>
      <c r="HK274" s="9"/>
      <c r="HL274" s="9"/>
      <c r="HM274" s="9"/>
      <c r="HN274" s="9"/>
      <c r="HO274" s="9"/>
      <c r="HP274" s="9"/>
      <c r="HQ274" s="9"/>
      <c r="HR274" s="9"/>
      <c r="HS274" s="9"/>
      <c r="HT274" s="9"/>
      <c r="HU274" s="9"/>
      <c r="HV274" s="9"/>
      <c r="HW274" s="9"/>
      <c r="HX274" s="9"/>
      <c r="HY274" s="9"/>
      <c r="HZ274" s="9"/>
      <c r="IA274" s="9"/>
      <c r="IB274" s="9"/>
      <c r="IC274" s="9"/>
      <c r="ID274" s="9"/>
      <c r="IE274" s="9"/>
      <c r="IF274" s="9"/>
      <c r="IG274" s="9"/>
      <c r="IH274" s="9"/>
      <c r="II274" s="9"/>
      <c r="IJ274" s="9"/>
      <c r="IK274" s="9"/>
      <c r="IL274" s="9"/>
      <c r="IM274" s="9"/>
      <c r="IN274" s="9"/>
      <c r="IO274" s="9"/>
      <c r="IP274" s="9"/>
      <c r="IQ274" s="9"/>
      <c r="IR274" s="9"/>
      <c r="IS274" s="9"/>
      <c r="IT274" s="9"/>
      <c r="IU274" s="9"/>
      <c r="IV274" s="9"/>
      <c r="IW274" s="9"/>
      <c r="IX274" s="9"/>
      <c r="IY274" s="9"/>
      <c r="IZ274" s="9"/>
      <c r="JA274" s="9"/>
      <c r="JB274" s="9"/>
      <c r="JC274" s="9"/>
      <c r="JD274" s="9"/>
      <c r="JE274" s="9"/>
      <c r="JF274" s="9"/>
      <c r="JG274" s="9"/>
      <c r="JH274" s="9"/>
      <c r="JI274" s="9"/>
      <c r="JJ274" s="9"/>
      <c r="JK274" s="9"/>
      <c r="JL274" s="9"/>
      <c r="JM274" s="9"/>
      <c r="JN274" s="9"/>
      <c r="JO274" s="9"/>
      <c r="JP274" s="9"/>
      <c r="JQ274" s="9"/>
      <c r="JR274" s="9"/>
      <c r="JS274" s="9"/>
      <c r="JT274" s="9"/>
      <c r="JU274" s="9"/>
      <c r="JV274" s="9"/>
      <c r="JW274" s="9"/>
      <c r="JX274" s="9"/>
      <c r="JY274" s="9"/>
      <c r="JZ274" s="9"/>
      <c r="KA274" s="9"/>
      <c r="KB274" s="9"/>
      <c r="KC274" s="9"/>
      <c r="KD274" s="9"/>
      <c r="KE274" s="9"/>
      <c r="KF274" s="9"/>
      <c r="KG274" s="9"/>
      <c r="KH274" s="9"/>
      <c r="KI274" s="9"/>
      <c r="KJ274" s="9"/>
      <c r="KK274" s="9"/>
      <c r="KL274" s="9"/>
      <c r="KM274" s="9"/>
      <c r="KN274" s="9"/>
      <c r="KO274" s="9"/>
      <c r="KP274" s="9"/>
      <c r="KQ274" s="9"/>
      <c r="KR274" s="9"/>
      <c r="KS274" s="9"/>
      <c r="KT274" s="9"/>
      <c r="KU274" s="9"/>
      <c r="KV274" s="9"/>
      <c r="KW274" s="9"/>
      <c r="KX274" s="9"/>
      <c r="KY274" s="9"/>
      <c r="KZ274" s="9"/>
      <c r="LA274" s="9"/>
      <c r="LB274" s="9"/>
      <c r="LC274" s="9"/>
      <c r="LD274" s="9"/>
      <c r="LE274" s="9"/>
      <c r="LF274" s="9"/>
      <c r="LG274" s="9"/>
      <c r="LH274" s="9"/>
      <c r="LI274" s="9"/>
      <c r="LJ274" s="9"/>
      <c r="LK274" s="9"/>
      <c r="LL274" s="9"/>
      <c r="LM274" s="9"/>
      <c r="LN274" s="9"/>
      <c r="LO274" s="9"/>
      <c r="LP274" s="9"/>
      <c r="LQ274" s="9"/>
      <c r="LR274" s="9"/>
      <c r="LS274" s="9"/>
      <c r="LT274" s="9"/>
      <c r="LU274" s="9"/>
      <c r="LV274" s="9"/>
      <c r="LW274" s="9"/>
      <c r="LX274" s="9"/>
      <c r="LY274" s="9"/>
      <c r="LZ274" s="9"/>
      <c r="MA274" s="9"/>
      <c r="MB274" s="9"/>
      <c r="MC274" s="9"/>
      <c r="MD274" s="9"/>
      <c r="ME274" s="9"/>
      <c r="MF274" s="9"/>
      <c r="MG274" s="9"/>
      <c r="MH274" s="9"/>
      <c r="MI274" s="9"/>
      <c r="MJ274" s="9"/>
      <c r="MK274" s="9"/>
      <c r="ML274" s="9"/>
      <c r="MM274" s="9"/>
      <c r="MN274" s="9"/>
      <c r="MO274" s="9"/>
      <c r="MP274" s="9"/>
      <c r="MQ274" s="9"/>
      <c r="MR274" s="9"/>
      <c r="MS274" s="9"/>
      <c r="MT274" s="9"/>
      <c r="MU274" s="9" t="s">
        <v>1101</v>
      </c>
      <c r="MV274" s="9"/>
      <c r="MW274" s="9" t="s">
        <v>1101</v>
      </c>
      <c r="MX274" s="9"/>
      <c r="MY274" s="9"/>
      <c r="MZ274" s="9"/>
      <c r="NA274" s="9"/>
      <c r="NB274" s="9"/>
      <c r="NC274" s="9"/>
      <c r="ND274" s="9"/>
      <c r="NE274" s="9"/>
      <c r="NF274" s="9"/>
      <c r="NG274" s="9"/>
      <c r="NH274" s="9"/>
      <c r="NI274" s="9"/>
      <c r="NJ274" s="9"/>
      <c r="NK274" s="9"/>
      <c r="NL274" s="9"/>
      <c r="NM274" s="9"/>
      <c r="NN274" s="9"/>
      <c r="NO274" s="9"/>
      <c r="NP274" s="9"/>
      <c r="NQ274" s="9"/>
      <c r="NR274" s="9"/>
      <c r="NS274" s="9"/>
      <c r="NT274" s="9"/>
      <c r="NU274" s="9"/>
      <c r="NV274" s="9"/>
      <c r="NW274" s="9"/>
      <c r="NX274" s="9"/>
      <c r="NY274" s="9"/>
      <c r="NZ274" s="9"/>
      <c r="OA274" s="9"/>
      <c r="OB274" s="9"/>
      <c r="OC274" s="9"/>
      <c r="OD274" s="9"/>
      <c r="OE274" s="9"/>
      <c r="OF274" s="9"/>
      <c r="OG274" s="9"/>
      <c r="OH274" s="9"/>
      <c r="OI274" s="9"/>
      <c r="OJ274" s="9"/>
      <c r="OK274" s="9"/>
      <c r="OL274" s="9"/>
      <c r="OM274" s="9"/>
      <c r="ON274" s="9"/>
      <c r="OO274" s="9"/>
      <c r="OP274" s="9"/>
      <c r="OQ274" s="9"/>
      <c r="OR274" s="9"/>
      <c r="OS274" s="9"/>
      <c r="OT274" s="9"/>
      <c r="OU274" s="9"/>
      <c r="OV274" s="9"/>
      <c r="OW274" s="9"/>
      <c r="OX274" s="9"/>
      <c r="OY274" s="9"/>
      <c r="OZ274" s="9"/>
      <c r="PA274" s="9"/>
      <c r="PB274" s="9"/>
      <c r="PC274" s="9"/>
      <c r="PD274" s="9"/>
      <c r="PE274" s="9"/>
      <c r="PF274" s="9"/>
      <c r="PG274" s="9"/>
      <c r="PH274" s="9"/>
      <c r="PI274" s="9"/>
      <c r="PJ274" s="9"/>
      <c r="PK274" s="9"/>
      <c r="PL274" s="9"/>
      <c r="PM274" s="9"/>
      <c r="PN274" s="9"/>
      <c r="PO274" s="9"/>
      <c r="PP274" s="9"/>
      <c r="PQ274" s="9"/>
      <c r="PR274" s="9"/>
      <c r="PS274" s="9"/>
      <c r="PT274" s="9"/>
      <c r="PU274" s="9"/>
      <c r="PV274" s="9"/>
      <c r="PW274" s="9"/>
      <c r="PX274" s="9"/>
      <c r="PY274" s="9"/>
      <c r="PZ274" s="9"/>
      <c r="QA274" s="9"/>
      <c r="QB274" s="9"/>
      <c r="QC274" s="9"/>
      <c r="QD274" s="9"/>
      <c r="QE274" s="9"/>
      <c r="QF274" s="9"/>
      <c r="QG274" s="9"/>
      <c r="QH274" s="9"/>
      <c r="QI274" s="9"/>
      <c r="QJ274" s="9"/>
      <c r="QK274" s="9"/>
      <c r="QL274" s="9"/>
      <c r="QM274" s="9"/>
      <c r="QN274" s="9"/>
      <c r="QO274" s="9"/>
      <c r="QP274" s="9"/>
      <c r="QQ274" s="67"/>
      <c r="QR274" s="68"/>
      <c r="QS274" s="63"/>
      <c r="QT274" s="71"/>
    </row>
    <row r="275" spans="1:462" s="11" customFormat="1" x14ac:dyDescent="0.2">
      <c r="A275" s="9">
        <v>20</v>
      </c>
      <c r="B275" s="9"/>
      <c r="C275" s="9"/>
      <c r="D275" s="9" t="s">
        <v>748</v>
      </c>
      <c r="E275" s="65" t="s">
        <v>753</v>
      </c>
      <c r="F275" s="65"/>
      <c r="G275" s="92" t="s">
        <v>2437</v>
      </c>
      <c r="H275" s="66" t="s">
        <v>1342</v>
      </c>
      <c r="I275" s="9" t="s">
        <v>1101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  <c r="HE275" s="9"/>
      <c r="HF275" s="9"/>
      <c r="HG275" s="9"/>
      <c r="HH275" s="9"/>
      <c r="HI275" s="9"/>
      <c r="HJ275" s="9"/>
      <c r="HK275" s="9"/>
      <c r="HL275" s="9"/>
      <c r="HM275" s="9"/>
      <c r="HN275" s="9"/>
      <c r="HO275" s="9"/>
      <c r="HP275" s="9"/>
      <c r="HQ275" s="9"/>
      <c r="HR275" s="9"/>
      <c r="HS275" s="9"/>
      <c r="HT275" s="9"/>
      <c r="HU275" s="9"/>
      <c r="HV275" s="9"/>
      <c r="HW275" s="9"/>
      <c r="HX275" s="9"/>
      <c r="HY275" s="9"/>
      <c r="HZ275" s="9"/>
      <c r="IA275" s="9"/>
      <c r="IB275" s="9"/>
      <c r="IC275" s="9"/>
      <c r="ID275" s="9"/>
      <c r="IE275" s="9"/>
      <c r="IF275" s="9"/>
      <c r="IG275" s="9"/>
      <c r="IH275" s="9"/>
      <c r="II275" s="9"/>
      <c r="IJ275" s="9"/>
      <c r="IK275" s="9"/>
      <c r="IL275" s="9"/>
      <c r="IM275" s="9"/>
      <c r="IN275" s="9"/>
      <c r="IO275" s="9"/>
      <c r="IP275" s="9"/>
      <c r="IQ275" s="9"/>
      <c r="IR275" s="9"/>
      <c r="IS275" s="9"/>
      <c r="IT275" s="9"/>
      <c r="IU275" s="9"/>
      <c r="IV275" s="9"/>
      <c r="IW275" s="9"/>
      <c r="IX275" s="9"/>
      <c r="IY275" s="9"/>
      <c r="IZ275" s="9"/>
      <c r="JA275" s="9"/>
      <c r="JB275" s="9"/>
      <c r="JC275" s="9"/>
      <c r="JD275" s="9"/>
      <c r="JE275" s="9"/>
      <c r="JF275" s="9"/>
      <c r="JG275" s="9"/>
      <c r="JH275" s="9"/>
      <c r="JI275" s="9"/>
      <c r="JJ275" s="9"/>
      <c r="JK275" s="9"/>
      <c r="JL275" s="9"/>
      <c r="JM275" s="9"/>
      <c r="JN275" s="9"/>
      <c r="JO275" s="9"/>
      <c r="JP275" s="9"/>
      <c r="JQ275" s="9"/>
      <c r="JR275" s="9"/>
      <c r="JS275" s="9"/>
      <c r="JT275" s="9"/>
      <c r="JU275" s="9"/>
      <c r="JV275" s="9"/>
      <c r="JW275" s="9"/>
      <c r="JX275" s="9"/>
      <c r="JY275" s="9"/>
      <c r="JZ275" s="9"/>
      <c r="KA275" s="9"/>
      <c r="KB275" s="9"/>
      <c r="KC275" s="9"/>
      <c r="KD275" s="9"/>
      <c r="KE275" s="9"/>
      <c r="KF275" s="9"/>
      <c r="KG275" s="9"/>
      <c r="KH275" s="9"/>
      <c r="KI275" s="9"/>
      <c r="KJ275" s="9"/>
      <c r="KK275" s="9"/>
      <c r="KL275" s="9"/>
      <c r="KM275" s="9"/>
      <c r="KN275" s="9"/>
      <c r="KO275" s="9"/>
      <c r="KP275" s="9"/>
      <c r="KQ275" s="9"/>
      <c r="KR275" s="9"/>
      <c r="KS275" s="9"/>
      <c r="KT275" s="9"/>
      <c r="KU275" s="9"/>
      <c r="KV275" s="9"/>
      <c r="KW275" s="9"/>
      <c r="KX275" s="9"/>
      <c r="KY275" s="9"/>
      <c r="KZ275" s="9"/>
      <c r="LA275" s="9"/>
      <c r="LB275" s="9"/>
      <c r="LC275" s="9"/>
      <c r="LD275" s="9"/>
      <c r="LE275" s="9"/>
      <c r="LF275" s="9"/>
      <c r="LG275" s="9"/>
      <c r="LH275" s="9"/>
      <c r="LI275" s="9"/>
      <c r="LJ275" s="9"/>
      <c r="LK275" s="9"/>
      <c r="LL275" s="9"/>
      <c r="LM275" s="9"/>
      <c r="LN275" s="9"/>
      <c r="LO275" s="9"/>
      <c r="LP275" s="9"/>
      <c r="LQ275" s="9"/>
      <c r="LR275" s="9"/>
      <c r="LS275" s="9"/>
      <c r="LT275" s="9"/>
      <c r="LU275" s="9"/>
      <c r="LV275" s="9"/>
      <c r="LW275" s="9"/>
      <c r="LX275" s="9"/>
      <c r="LY275" s="9"/>
      <c r="LZ275" s="9"/>
      <c r="MA275" s="9"/>
      <c r="MB275" s="9"/>
      <c r="MC275" s="9"/>
      <c r="MD275" s="9"/>
      <c r="ME275" s="9"/>
      <c r="MF275" s="9"/>
      <c r="MG275" s="9"/>
      <c r="MH275" s="9"/>
      <c r="MI275" s="9"/>
      <c r="MJ275" s="9"/>
      <c r="MK275" s="9"/>
      <c r="ML275" s="9"/>
      <c r="MM275" s="9"/>
      <c r="MN275" s="9"/>
      <c r="MO275" s="9"/>
      <c r="MP275" s="9"/>
      <c r="MQ275" s="9"/>
      <c r="MR275" s="9"/>
      <c r="MS275" s="9"/>
      <c r="MT275" s="9"/>
      <c r="MU275" s="9"/>
      <c r="MV275" s="9"/>
      <c r="MW275" s="9"/>
      <c r="MX275" s="9"/>
      <c r="MY275" s="9"/>
      <c r="MZ275" s="9"/>
      <c r="NA275" s="9"/>
      <c r="NB275" s="9"/>
      <c r="NC275" s="9" t="s">
        <v>1101</v>
      </c>
      <c r="ND275" s="9"/>
      <c r="NE275" s="9" t="s">
        <v>1101</v>
      </c>
      <c r="NF275" s="9"/>
      <c r="NG275" s="9"/>
      <c r="NH275" s="9"/>
      <c r="NI275" s="9"/>
      <c r="NJ275" s="9"/>
      <c r="NK275" s="9"/>
      <c r="NL275" s="9"/>
      <c r="NM275" s="9"/>
      <c r="NN275" s="9"/>
      <c r="NO275" s="9"/>
      <c r="NP275" s="9"/>
      <c r="NQ275" s="9"/>
      <c r="NR275" s="9"/>
      <c r="NS275" s="9"/>
      <c r="NT275" s="9"/>
      <c r="NU275" s="9"/>
      <c r="NV275" s="9"/>
      <c r="NW275" s="9"/>
      <c r="NX275" s="9"/>
      <c r="NY275" s="9"/>
      <c r="NZ275" s="9"/>
      <c r="OA275" s="9"/>
      <c r="OB275" s="9"/>
      <c r="OC275" s="9"/>
      <c r="OD275" s="9"/>
      <c r="OE275" s="9"/>
      <c r="OF275" s="9"/>
      <c r="OG275" s="9"/>
      <c r="OH275" s="9"/>
      <c r="OI275" s="9"/>
      <c r="OJ275" s="9"/>
      <c r="OK275" s="9"/>
      <c r="OL275" s="9"/>
      <c r="OM275" s="9"/>
      <c r="ON275" s="9"/>
      <c r="OO275" s="9"/>
      <c r="OP275" s="9"/>
      <c r="OQ275" s="9"/>
      <c r="OR275" s="9"/>
      <c r="OS275" s="9"/>
      <c r="OT275" s="9"/>
      <c r="OU275" s="9"/>
      <c r="OV275" s="9"/>
      <c r="OW275" s="9"/>
      <c r="OX275" s="9"/>
      <c r="OY275" s="9"/>
      <c r="OZ275" s="9"/>
      <c r="PA275" s="9"/>
      <c r="PB275" s="9"/>
      <c r="PC275" s="9"/>
      <c r="PD275" s="9"/>
      <c r="PE275" s="9"/>
      <c r="PF275" s="9"/>
      <c r="PG275" s="9"/>
      <c r="PH275" s="9"/>
      <c r="PI275" s="9"/>
      <c r="PJ275" s="9"/>
      <c r="PK275" s="9"/>
      <c r="PL275" s="9"/>
      <c r="PM275" s="9"/>
      <c r="PN275" s="9"/>
      <c r="PO275" s="9"/>
      <c r="PP275" s="9"/>
      <c r="PQ275" s="9"/>
      <c r="PR275" s="9"/>
      <c r="PS275" s="9"/>
      <c r="PT275" s="9"/>
      <c r="PU275" s="9"/>
      <c r="PV275" s="9"/>
      <c r="PW275" s="9"/>
      <c r="PX275" s="9"/>
      <c r="PY275" s="9"/>
      <c r="PZ275" s="9"/>
      <c r="QA275" s="9"/>
      <c r="QB275" s="9"/>
      <c r="QC275" s="9"/>
      <c r="QD275" s="9"/>
      <c r="QE275" s="9"/>
      <c r="QF275" s="9"/>
      <c r="QG275" s="9"/>
      <c r="QH275" s="9"/>
      <c r="QI275" s="9"/>
      <c r="QJ275" s="9"/>
      <c r="QK275" s="9"/>
      <c r="QL275" s="9"/>
      <c r="QM275" s="9"/>
      <c r="QN275" s="9"/>
      <c r="QO275" s="9"/>
      <c r="QP275" s="9"/>
      <c r="QQ275" s="67"/>
      <c r="QR275" s="68"/>
      <c r="QS275" s="63"/>
      <c r="QT275" s="71"/>
    </row>
    <row r="276" spans="1:462" s="11" customFormat="1" x14ac:dyDescent="0.2">
      <c r="A276" s="9">
        <v>20</v>
      </c>
      <c r="B276" s="9"/>
      <c r="C276" s="9"/>
      <c r="D276" s="9" t="s">
        <v>825</v>
      </c>
      <c r="E276" s="65" t="s">
        <v>827</v>
      </c>
      <c r="F276" s="65"/>
      <c r="G276" s="92" t="s">
        <v>2440</v>
      </c>
      <c r="H276" s="66" t="s">
        <v>1396</v>
      </c>
      <c r="I276" s="9" t="s">
        <v>1101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  <c r="HE276" s="9"/>
      <c r="HF276" s="9"/>
      <c r="HG276" s="9"/>
      <c r="HH276" s="9"/>
      <c r="HI276" s="9"/>
      <c r="HJ276" s="9"/>
      <c r="HK276" s="9"/>
      <c r="HL276" s="9"/>
      <c r="HM276" s="9"/>
      <c r="HN276" s="9"/>
      <c r="HO276" s="9"/>
      <c r="HP276" s="9"/>
      <c r="HQ276" s="9"/>
      <c r="HR276" s="9"/>
      <c r="HS276" s="9"/>
      <c r="HT276" s="9"/>
      <c r="HU276" s="9"/>
      <c r="HV276" s="9"/>
      <c r="HW276" s="9"/>
      <c r="HX276" s="9"/>
      <c r="HY276" s="9"/>
      <c r="HZ276" s="9"/>
      <c r="IA276" s="9"/>
      <c r="IB276" s="9"/>
      <c r="IC276" s="9"/>
      <c r="ID276" s="9"/>
      <c r="IE276" s="9"/>
      <c r="IF276" s="9"/>
      <c r="IG276" s="9"/>
      <c r="IH276" s="9"/>
      <c r="II276" s="9"/>
      <c r="IJ276" s="9"/>
      <c r="IK276" s="9"/>
      <c r="IL276" s="9"/>
      <c r="IM276" s="9"/>
      <c r="IN276" s="9"/>
      <c r="IO276" s="9"/>
      <c r="IP276" s="9"/>
      <c r="IQ276" s="9"/>
      <c r="IR276" s="9"/>
      <c r="IS276" s="9"/>
      <c r="IT276" s="9"/>
      <c r="IU276" s="9"/>
      <c r="IV276" s="9"/>
      <c r="IW276" s="9"/>
      <c r="IX276" s="9"/>
      <c r="IY276" s="9"/>
      <c r="IZ276" s="9"/>
      <c r="JA276" s="9"/>
      <c r="JB276" s="9"/>
      <c r="JC276" s="9"/>
      <c r="JD276" s="9"/>
      <c r="JE276" s="9"/>
      <c r="JF276" s="9"/>
      <c r="JG276" s="9"/>
      <c r="JH276" s="9"/>
      <c r="JI276" s="9"/>
      <c r="JJ276" s="9"/>
      <c r="JK276" s="9"/>
      <c r="JL276" s="9"/>
      <c r="JM276" s="9"/>
      <c r="JN276" s="9"/>
      <c r="JO276" s="9"/>
      <c r="JP276" s="9"/>
      <c r="JQ276" s="9"/>
      <c r="JR276" s="9"/>
      <c r="JS276" s="9"/>
      <c r="JT276" s="9"/>
      <c r="JU276" s="9"/>
      <c r="JV276" s="9"/>
      <c r="JW276" s="9"/>
      <c r="JX276" s="9"/>
      <c r="JY276" s="9"/>
      <c r="JZ276" s="9"/>
      <c r="KA276" s="9"/>
      <c r="KB276" s="9"/>
      <c r="KC276" s="9"/>
      <c r="KD276" s="9"/>
      <c r="KE276" s="9"/>
      <c r="KF276" s="9"/>
      <c r="KG276" s="9"/>
      <c r="KH276" s="9"/>
      <c r="KI276" s="9"/>
      <c r="KJ276" s="9"/>
      <c r="KK276" s="9"/>
      <c r="KL276" s="9"/>
      <c r="KM276" s="9"/>
      <c r="KN276" s="9"/>
      <c r="KO276" s="9"/>
      <c r="KP276" s="9"/>
      <c r="KQ276" s="9"/>
      <c r="KR276" s="9"/>
      <c r="KS276" s="9"/>
      <c r="KT276" s="9"/>
      <c r="KU276" s="9"/>
      <c r="KV276" s="9"/>
      <c r="KW276" s="9"/>
      <c r="KX276" s="9"/>
      <c r="KY276" s="9"/>
      <c r="KZ276" s="9"/>
      <c r="LA276" s="9"/>
      <c r="LB276" s="9"/>
      <c r="LC276" s="9"/>
      <c r="LD276" s="9"/>
      <c r="LE276" s="9"/>
      <c r="LF276" s="9"/>
      <c r="LG276" s="9"/>
      <c r="LH276" s="9"/>
      <c r="LI276" s="9"/>
      <c r="LJ276" s="9"/>
      <c r="LK276" s="9"/>
      <c r="LL276" s="9"/>
      <c r="LM276" s="9"/>
      <c r="LN276" s="9"/>
      <c r="LO276" s="9"/>
      <c r="LP276" s="9"/>
      <c r="LQ276" s="9"/>
      <c r="LR276" s="9"/>
      <c r="LS276" s="9"/>
      <c r="LT276" s="9"/>
      <c r="LU276" s="9"/>
      <c r="LV276" s="9"/>
      <c r="LW276" s="9"/>
      <c r="LX276" s="9"/>
      <c r="LY276" s="9"/>
      <c r="LZ276" s="9"/>
      <c r="MA276" s="9"/>
      <c r="MB276" s="9"/>
      <c r="MC276" s="9"/>
      <c r="MD276" s="9"/>
      <c r="ME276" s="9"/>
      <c r="MF276" s="9"/>
      <c r="MG276" s="9"/>
      <c r="MH276" s="9"/>
      <c r="MI276" s="9"/>
      <c r="MJ276" s="9"/>
      <c r="MK276" s="9"/>
      <c r="ML276" s="9"/>
      <c r="MM276" s="9"/>
      <c r="MN276" s="9"/>
      <c r="MO276" s="9"/>
      <c r="MP276" s="9"/>
      <c r="MQ276" s="9"/>
      <c r="MR276" s="9"/>
      <c r="MS276" s="9"/>
      <c r="MT276" s="9"/>
      <c r="MU276" s="9"/>
      <c r="MV276" s="9"/>
      <c r="MW276" s="9"/>
      <c r="MX276" s="9"/>
      <c r="MY276" s="9"/>
      <c r="MZ276" s="9"/>
      <c r="NA276" s="9"/>
      <c r="NB276" s="9"/>
      <c r="NC276" s="9"/>
      <c r="ND276" s="9"/>
      <c r="NE276" s="9"/>
      <c r="NF276" s="9"/>
      <c r="NG276" s="9"/>
      <c r="NH276" s="9"/>
      <c r="NI276" s="9"/>
      <c r="NJ276" s="9"/>
      <c r="NK276" s="9" t="s">
        <v>1101</v>
      </c>
      <c r="NL276" s="9"/>
      <c r="NM276" s="9" t="s">
        <v>1101</v>
      </c>
      <c r="NN276" s="9"/>
      <c r="NO276" s="9"/>
      <c r="NP276" s="9"/>
      <c r="NQ276" s="9"/>
      <c r="NR276" s="9"/>
      <c r="NS276" s="9"/>
      <c r="NT276" s="9"/>
      <c r="NU276" s="9"/>
      <c r="NV276" s="9"/>
      <c r="NW276" s="9"/>
      <c r="NX276" s="9"/>
      <c r="NY276" s="9"/>
      <c r="NZ276" s="9"/>
      <c r="OA276" s="9"/>
      <c r="OB276" s="9"/>
      <c r="OC276" s="9"/>
      <c r="OD276" s="9"/>
      <c r="OE276" s="9"/>
      <c r="OF276" s="9"/>
      <c r="OG276" s="9"/>
      <c r="OH276" s="9"/>
      <c r="OI276" s="9"/>
      <c r="OJ276" s="9"/>
      <c r="OK276" s="9"/>
      <c r="OL276" s="9"/>
      <c r="OM276" s="9"/>
      <c r="ON276" s="9"/>
      <c r="OO276" s="9"/>
      <c r="OP276" s="9"/>
      <c r="OQ276" s="9"/>
      <c r="OR276" s="9"/>
      <c r="OS276" s="9"/>
      <c r="OT276" s="9"/>
      <c r="OU276" s="9"/>
      <c r="OV276" s="9"/>
      <c r="OW276" s="9"/>
      <c r="OX276" s="9"/>
      <c r="OY276" s="9"/>
      <c r="OZ276" s="9"/>
      <c r="PA276" s="9"/>
      <c r="PB276" s="9"/>
      <c r="PC276" s="9"/>
      <c r="PD276" s="9"/>
      <c r="PE276" s="9"/>
      <c r="PF276" s="9"/>
      <c r="PG276" s="9"/>
      <c r="PH276" s="9"/>
      <c r="PI276" s="9"/>
      <c r="PJ276" s="9"/>
      <c r="PK276" s="9"/>
      <c r="PL276" s="9"/>
      <c r="PM276" s="9"/>
      <c r="PN276" s="9"/>
      <c r="PO276" s="9"/>
      <c r="PP276" s="9"/>
      <c r="PQ276" s="9"/>
      <c r="PR276" s="9"/>
      <c r="PS276" s="9"/>
      <c r="PT276" s="9"/>
      <c r="PU276" s="9"/>
      <c r="PV276" s="9"/>
      <c r="PW276" s="9"/>
      <c r="PX276" s="9"/>
      <c r="PY276" s="9"/>
      <c r="PZ276" s="9"/>
      <c r="QA276" s="9"/>
      <c r="QB276" s="9"/>
      <c r="QC276" s="9"/>
      <c r="QD276" s="9"/>
      <c r="QE276" s="9"/>
      <c r="QF276" s="9"/>
      <c r="QG276" s="9"/>
      <c r="QH276" s="9"/>
      <c r="QI276" s="9"/>
      <c r="QJ276" s="9"/>
      <c r="QK276" s="9"/>
      <c r="QL276" s="9"/>
      <c r="QM276" s="9"/>
      <c r="QN276" s="9"/>
      <c r="QO276" s="9"/>
      <c r="QP276" s="9"/>
      <c r="QQ276" s="67"/>
      <c r="QR276" s="68"/>
      <c r="QS276" s="63"/>
      <c r="QT276" s="71"/>
    </row>
    <row r="277" spans="1:462" s="11" customFormat="1" x14ac:dyDescent="0.2">
      <c r="A277" s="9">
        <v>20</v>
      </c>
      <c r="B277" s="9"/>
      <c r="C277" s="9"/>
      <c r="D277" s="9" t="s">
        <v>771</v>
      </c>
      <c r="E277" s="65" t="s">
        <v>788</v>
      </c>
      <c r="F277" s="65"/>
      <c r="G277" s="92" t="s">
        <v>2443</v>
      </c>
      <c r="H277" s="66" t="s">
        <v>1348</v>
      </c>
      <c r="I277" s="9" t="s">
        <v>1101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9"/>
      <c r="GY277" s="9"/>
      <c r="GZ277" s="9"/>
      <c r="HA277" s="9"/>
      <c r="HB277" s="9"/>
      <c r="HC277" s="9"/>
      <c r="HD277" s="9"/>
      <c r="HE277" s="9"/>
      <c r="HF277" s="9"/>
      <c r="HG277" s="9"/>
      <c r="HH277" s="9"/>
      <c r="HI277" s="9"/>
      <c r="HJ277" s="9"/>
      <c r="HK277" s="9"/>
      <c r="HL277" s="9"/>
      <c r="HM277" s="9"/>
      <c r="HN277" s="9"/>
      <c r="HO277" s="9"/>
      <c r="HP277" s="9"/>
      <c r="HQ277" s="9"/>
      <c r="HR277" s="9"/>
      <c r="HS277" s="9"/>
      <c r="HT277" s="9"/>
      <c r="HU277" s="9"/>
      <c r="HV277" s="9"/>
      <c r="HW277" s="9"/>
      <c r="HX277" s="9"/>
      <c r="HY277" s="9"/>
      <c r="HZ277" s="9"/>
      <c r="IA277" s="9"/>
      <c r="IB277" s="9"/>
      <c r="IC277" s="9"/>
      <c r="ID277" s="9"/>
      <c r="IE277" s="9"/>
      <c r="IF277" s="9"/>
      <c r="IG277" s="9"/>
      <c r="IH277" s="9"/>
      <c r="II277" s="9"/>
      <c r="IJ277" s="9"/>
      <c r="IK277" s="9"/>
      <c r="IL277" s="9"/>
      <c r="IM277" s="9"/>
      <c r="IN277" s="9"/>
      <c r="IO277" s="9"/>
      <c r="IP277" s="9"/>
      <c r="IQ277" s="9"/>
      <c r="IR277" s="9"/>
      <c r="IS277" s="9"/>
      <c r="IT277" s="9"/>
      <c r="IU277" s="9"/>
      <c r="IV277" s="9"/>
      <c r="IW277" s="9"/>
      <c r="IX277" s="9"/>
      <c r="IY277" s="9"/>
      <c r="IZ277" s="9"/>
      <c r="JA277" s="9"/>
      <c r="JB277" s="9"/>
      <c r="JC277" s="9"/>
      <c r="JD277" s="9"/>
      <c r="JE277" s="9"/>
      <c r="JF277" s="9"/>
      <c r="JG277" s="9"/>
      <c r="JH277" s="9"/>
      <c r="JI277" s="9"/>
      <c r="JJ277" s="9"/>
      <c r="JK277" s="9"/>
      <c r="JL277" s="9"/>
      <c r="JM277" s="9"/>
      <c r="JN277" s="9"/>
      <c r="JO277" s="9"/>
      <c r="JP277" s="9"/>
      <c r="JQ277" s="9"/>
      <c r="JR277" s="9"/>
      <c r="JS277" s="9"/>
      <c r="JT277" s="9"/>
      <c r="JU277" s="9"/>
      <c r="JV277" s="9"/>
      <c r="JW277" s="9"/>
      <c r="JX277" s="9"/>
      <c r="JY277" s="9"/>
      <c r="JZ277" s="9"/>
      <c r="KA277" s="9"/>
      <c r="KB277" s="9"/>
      <c r="KC277" s="9"/>
      <c r="KD277" s="9"/>
      <c r="KE277" s="9"/>
      <c r="KF277" s="9"/>
      <c r="KG277" s="9"/>
      <c r="KH277" s="9"/>
      <c r="KI277" s="9"/>
      <c r="KJ277" s="9"/>
      <c r="KK277" s="9"/>
      <c r="KL277" s="9"/>
      <c r="KM277" s="9"/>
      <c r="KN277" s="9"/>
      <c r="KO277" s="9"/>
      <c r="KP277" s="9"/>
      <c r="KQ277" s="9"/>
      <c r="KR277" s="9"/>
      <c r="KS277" s="9"/>
      <c r="KT277" s="9"/>
      <c r="KU277" s="9"/>
      <c r="KV277" s="9"/>
      <c r="KW277" s="9"/>
      <c r="KX277" s="9"/>
      <c r="KY277" s="9"/>
      <c r="KZ277" s="9"/>
      <c r="LA277" s="9"/>
      <c r="LB277" s="9"/>
      <c r="LC277" s="9"/>
      <c r="LD277" s="9"/>
      <c r="LE277" s="9"/>
      <c r="LF277" s="9"/>
      <c r="LG277" s="9"/>
      <c r="LH277" s="9"/>
      <c r="LI277" s="9"/>
      <c r="LJ277" s="9"/>
      <c r="LK277" s="9"/>
      <c r="LL277" s="9"/>
      <c r="LM277" s="9"/>
      <c r="LN277" s="9"/>
      <c r="LO277" s="9"/>
      <c r="LP277" s="9"/>
      <c r="LQ277" s="9"/>
      <c r="LR277" s="9"/>
      <c r="LS277" s="9"/>
      <c r="LT277" s="9"/>
      <c r="LU277" s="9"/>
      <c r="LV277" s="9"/>
      <c r="LW277" s="9"/>
      <c r="LX277" s="9"/>
      <c r="LY277" s="9"/>
      <c r="LZ277" s="9"/>
      <c r="MA277" s="9"/>
      <c r="MB277" s="9"/>
      <c r="MC277" s="9"/>
      <c r="MD277" s="9"/>
      <c r="ME277" s="9"/>
      <c r="MF277" s="9"/>
      <c r="MG277" s="9"/>
      <c r="MH277" s="9"/>
      <c r="MI277" s="9"/>
      <c r="MJ277" s="9"/>
      <c r="MK277" s="9"/>
      <c r="ML277" s="9"/>
      <c r="MM277" s="9"/>
      <c r="MN277" s="9"/>
      <c r="MO277" s="9"/>
      <c r="MP277" s="9"/>
      <c r="MQ277" s="9"/>
      <c r="MR277" s="9"/>
      <c r="MS277" s="9"/>
      <c r="MT277" s="9"/>
      <c r="MU277" s="9"/>
      <c r="MV277" s="9"/>
      <c r="MW277" s="9"/>
      <c r="MX277" s="9"/>
      <c r="MY277" s="9"/>
      <c r="MZ277" s="9"/>
      <c r="NA277" s="9"/>
      <c r="NB277" s="9"/>
      <c r="NC277" s="9"/>
      <c r="ND277" s="9"/>
      <c r="NE277" s="9"/>
      <c r="NF277" s="9"/>
      <c r="NG277" s="9"/>
      <c r="NH277" s="9"/>
      <c r="NI277" s="9"/>
      <c r="NJ277" s="9"/>
      <c r="NK277" s="9"/>
      <c r="NL277" s="9"/>
      <c r="NM277" s="9"/>
      <c r="NN277" s="9"/>
      <c r="NO277" s="9"/>
      <c r="NP277" s="9"/>
      <c r="NQ277" s="9"/>
      <c r="NR277" s="9"/>
      <c r="NS277" s="9" t="s">
        <v>1101</v>
      </c>
      <c r="NT277" s="9"/>
      <c r="NU277" s="9" t="s">
        <v>1101</v>
      </c>
      <c r="NV277" s="9"/>
      <c r="NW277" s="9"/>
      <c r="NX277" s="9"/>
      <c r="NY277" s="9"/>
      <c r="NZ277" s="9"/>
      <c r="OA277" s="9"/>
      <c r="OB277" s="9"/>
      <c r="OC277" s="9"/>
      <c r="OD277" s="9"/>
      <c r="OE277" s="9"/>
      <c r="OF277" s="9"/>
      <c r="OG277" s="9"/>
      <c r="OH277" s="9"/>
      <c r="OI277" s="9"/>
      <c r="OJ277" s="9"/>
      <c r="OK277" s="9"/>
      <c r="OL277" s="9"/>
      <c r="OM277" s="9"/>
      <c r="ON277" s="9"/>
      <c r="OO277" s="9"/>
      <c r="OP277" s="9"/>
      <c r="OQ277" s="9"/>
      <c r="OR277" s="9"/>
      <c r="OS277" s="9"/>
      <c r="OT277" s="9"/>
      <c r="OU277" s="9"/>
      <c r="OV277" s="9"/>
      <c r="OW277" s="9"/>
      <c r="OX277" s="9"/>
      <c r="OY277" s="9"/>
      <c r="OZ277" s="9"/>
      <c r="PA277" s="9"/>
      <c r="PB277" s="9"/>
      <c r="PC277" s="9"/>
      <c r="PD277" s="9"/>
      <c r="PE277" s="9"/>
      <c r="PF277" s="9"/>
      <c r="PG277" s="9"/>
      <c r="PH277" s="9"/>
      <c r="PI277" s="9"/>
      <c r="PJ277" s="9"/>
      <c r="PK277" s="9"/>
      <c r="PL277" s="9"/>
      <c r="PM277" s="9"/>
      <c r="PN277" s="9"/>
      <c r="PO277" s="9"/>
      <c r="PP277" s="9"/>
      <c r="PQ277" s="9"/>
      <c r="PR277" s="9"/>
      <c r="PS277" s="9"/>
      <c r="PT277" s="9"/>
      <c r="PU277" s="9"/>
      <c r="PV277" s="9"/>
      <c r="PW277" s="9"/>
      <c r="PX277" s="9"/>
      <c r="PY277" s="9"/>
      <c r="PZ277" s="9"/>
      <c r="QA277" s="9"/>
      <c r="QB277" s="9"/>
      <c r="QC277" s="9"/>
      <c r="QD277" s="9"/>
      <c r="QE277" s="9"/>
      <c r="QF277" s="9"/>
      <c r="QG277" s="9"/>
      <c r="QH277" s="9"/>
      <c r="QI277" s="9"/>
      <c r="QJ277" s="9"/>
      <c r="QK277" s="9"/>
      <c r="QL277" s="9"/>
      <c r="QM277" s="9"/>
      <c r="QN277" s="9"/>
      <c r="QO277" s="9"/>
      <c r="QP277" s="9"/>
      <c r="QQ277" s="67"/>
      <c r="QR277" s="68"/>
      <c r="QS277" s="63"/>
      <c r="QT277" s="71"/>
    </row>
    <row r="278" spans="1:462" s="11" customFormat="1" x14ac:dyDescent="0.2">
      <c r="A278" s="9">
        <v>20</v>
      </c>
      <c r="B278" s="9"/>
      <c r="C278" s="9"/>
      <c r="D278" s="9" t="s">
        <v>778</v>
      </c>
      <c r="E278" s="65" t="s">
        <v>792</v>
      </c>
      <c r="F278" s="65"/>
      <c r="G278" s="92" t="s">
        <v>2447</v>
      </c>
      <c r="H278" s="66" t="s">
        <v>1352</v>
      </c>
      <c r="I278" s="9" t="s">
        <v>1101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  <c r="HE278" s="9"/>
      <c r="HF278" s="9"/>
      <c r="HG278" s="9"/>
      <c r="HH278" s="9"/>
      <c r="HI278" s="9"/>
      <c r="HJ278" s="9"/>
      <c r="HK278" s="9"/>
      <c r="HL278" s="9"/>
      <c r="HM278" s="9"/>
      <c r="HN278" s="9"/>
      <c r="HO278" s="9"/>
      <c r="HP278" s="9"/>
      <c r="HQ278" s="9"/>
      <c r="HR278" s="9"/>
      <c r="HS278" s="9"/>
      <c r="HT278" s="9"/>
      <c r="HU278" s="9"/>
      <c r="HV278" s="9"/>
      <c r="HW278" s="9"/>
      <c r="HX278" s="9"/>
      <c r="HY278" s="9"/>
      <c r="HZ278" s="9"/>
      <c r="IA278" s="9"/>
      <c r="IB278" s="9"/>
      <c r="IC278" s="9"/>
      <c r="ID278" s="9"/>
      <c r="IE278" s="9"/>
      <c r="IF278" s="9"/>
      <c r="IG278" s="9"/>
      <c r="IH278" s="9"/>
      <c r="II278" s="9"/>
      <c r="IJ278" s="9"/>
      <c r="IK278" s="9"/>
      <c r="IL278" s="9"/>
      <c r="IM278" s="9"/>
      <c r="IN278" s="9"/>
      <c r="IO278" s="9"/>
      <c r="IP278" s="9"/>
      <c r="IQ278" s="9"/>
      <c r="IR278" s="9"/>
      <c r="IS278" s="9"/>
      <c r="IT278" s="9"/>
      <c r="IU278" s="9"/>
      <c r="IV278" s="9"/>
      <c r="IW278" s="9"/>
      <c r="IX278" s="9"/>
      <c r="IY278" s="9"/>
      <c r="IZ278" s="9"/>
      <c r="JA278" s="9"/>
      <c r="JB278" s="9"/>
      <c r="JC278" s="9"/>
      <c r="JD278" s="9"/>
      <c r="JE278" s="9"/>
      <c r="JF278" s="9"/>
      <c r="JG278" s="9"/>
      <c r="JH278" s="9"/>
      <c r="JI278" s="9"/>
      <c r="JJ278" s="9"/>
      <c r="JK278" s="9"/>
      <c r="JL278" s="9"/>
      <c r="JM278" s="9"/>
      <c r="JN278" s="9"/>
      <c r="JO278" s="9"/>
      <c r="JP278" s="9"/>
      <c r="JQ278" s="9"/>
      <c r="JR278" s="9"/>
      <c r="JS278" s="9"/>
      <c r="JT278" s="9"/>
      <c r="JU278" s="9"/>
      <c r="JV278" s="9"/>
      <c r="JW278" s="9"/>
      <c r="JX278" s="9"/>
      <c r="JY278" s="9"/>
      <c r="JZ278" s="9"/>
      <c r="KA278" s="9"/>
      <c r="KB278" s="9"/>
      <c r="KC278" s="9"/>
      <c r="KD278" s="9"/>
      <c r="KE278" s="9"/>
      <c r="KF278" s="9"/>
      <c r="KG278" s="9"/>
      <c r="KH278" s="9"/>
      <c r="KI278" s="9"/>
      <c r="KJ278" s="9"/>
      <c r="KK278" s="9"/>
      <c r="KL278" s="9"/>
      <c r="KM278" s="9"/>
      <c r="KN278" s="9"/>
      <c r="KO278" s="9"/>
      <c r="KP278" s="9"/>
      <c r="KQ278" s="9"/>
      <c r="KR278" s="9"/>
      <c r="KS278" s="9"/>
      <c r="KT278" s="9"/>
      <c r="KU278" s="9"/>
      <c r="KV278" s="9"/>
      <c r="KW278" s="9"/>
      <c r="KX278" s="9"/>
      <c r="KY278" s="9"/>
      <c r="KZ278" s="9"/>
      <c r="LA278" s="9"/>
      <c r="LB278" s="9"/>
      <c r="LC278" s="9"/>
      <c r="LD278" s="9"/>
      <c r="LE278" s="9"/>
      <c r="LF278" s="9"/>
      <c r="LG278" s="9"/>
      <c r="LH278" s="9"/>
      <c r="LI278" s="9"/>
      <c r="LJ278" s="9"/>
      <c r="LK278" s="9"/>
      <c r="LL278" s="9"/>
      <c r="LM278" s="9"/>
      <c r="LN278" s="9"/>
      <c r="LO278" s="9"/>
      <c r="LP278" s="9"/>
      <c r="LQ278" s="9"/>
      <c r="LR278" s="9"/>
      <c r="LS278" s="9"/>
      <c r="LT278" s="9"/>
      <c r="LU278" s="9"/>
      <c r="LV278" s="9"/>
      <c r="LW278" s="9"/>
      <c r="LX278" s="9"/>
      <c r="LY278" s="9"/>
      <c r="LZ278" s="9"/>
      <c r="MA278" s="9"/>
      <c r="MB278" s="9"/>
      <c r="MC278" s="9"/>
      <c r="MD278" s="9"/>
      <c r="ME278" s="9"/>
      <c r="MF278" s="9"/>
      <c r="MG278" s="9"/>
      <c r="MH278" s="9"/>
      <c r="MI278" s="9"/>
      <c r="MJ278" s="9"/>
      <c r="MK278" s="9"/>
      <c r="ML278" s="9"/>
      <c r="MM278" s="9"/>
      <c r="MN278" s="9"/>
      <c r="MO278" s="9"/>
      <c r="MP278" s="9"/>
      <c r="MQ278" s="9"/>
      <c r="MR278" s="9"/>
      <c r="MS278" s="9"/>
      <c r="MT278" s="9"/>
      <c r="MU278" s="9"/>
      <c r="MV278" s="9"/>
      <c r="MW278" s="9"/>
      <c r="MX278" s="9"/>
      <c r="MY278" s="9"/>
      <c r="MZ278" s="9"/>
      <c r="NA278" s="9"/>
      <c r="NB278" s="9"/>
      <c r="NC278" s="9"/>
      <c r="ND278" s="9"/>
      <c r="NE278" s="9"/>
      <c r="NF278" s="9"/>
      <c r="NG278" s="9"/>
      <c r="NH278" s="9"/>
      <c r="NI278" s="9"/>
      <c r="NJ278" s="9"/>
      <c r="NK278" s="9"/>
      <c r="NL278" s="9"/>
      <c r="NM278" s="9"/>
      <c r="NN278" s="9"/>
      <c r="NO278" s="9"/>
      <c r="NP278" s="9"/>
      <c r="NQ278" s="9"/>
      <c r="NR278" s="9"/>
      <c r="NS278" s="9"/>
      <c r="NT278" s="9"/>
      <c r="NU278" s="9"/>
      <c r="NV278" s="9"/>
      <c r="NW278" s="9"/>
      <c r="NX278" s="9"/>
      <c r="NY278" s="9"/>
      <c r="NZ278" s="9"/>
      <c r="OA278" s="9" t="s">
        <v>1101</v>
      </c>
      <c r="OB278" s="9"/>
      <c r="OC278" s="9" t="s">
        <v>1101</v>
      </c>
      <c r="OD278" s="9"/>
      <c r="OE278" s="9"/>
      <c r="OF278" s="9"/>
      <c r="OG278" s="9"/>
      <c r="OH278" s="9"/>
      <c r="OI278" s="9"/>
      <c r="OJ278" s="9"/>
      <c r="OK278" s="9"/>
      <c r="OL278" s="9"/>
      <c r="OM278" s="9"/>
      <c r="ON278" s="9"/>
      <c r="OO278" s="9"/>
      <c r="OP278" s="9"/>
      <c r="OQ278" s="9"/>
      <c r="OR278" s="9"/>
      <c r="OS278" s="9"/>
      <c r="OT278" s="9"/>
      <c r="OU278" s="9"/>
      <c r="OV278" s="9"/>
      <c r="OW278" s="9"/>
      <c r="OX278" s="9"/>
      <c r="OY278" s="9"/>
      <c r="OZ278" s="9"/>
      <c r="PA278" s="9"/>
      <c r="PB278" s="9"/>
      <c r="PC278" s="9"/>
      <c r="PD278" s="9"/>
      <c r="PE278" s="9"/>
      <c r="PF278" s="9"/>
      <c r="PG278" s="9"/>
      <c r="PH278" s="9"/>
      <c r="PI278" s="9"/>
      <c r="PJ278" s="9"/>
      <c r="PK278" s="9"/>
      <c r="PL278" s="9"/>
      <c r="PM278" s="9"/>
      <c r="PN278" s="9"/>
      <c r="PO278" s="9"/>
      <c r="PP278" s="9"/>
      <c r="PQ278" s="9"/>
      <c r="PR278" s="9"/>
      <c r="PS278" s="9"/>
      <c r="PT278" s="9"/>
      <c r="PU278" s="9"/>
      <c r="PV278" s="9"/>
      <c r="PW278" s="9"/>
      <c r="PX278" s="9"/>
      <c r="PY278" s="9"/>
      <c r="PZ278" s="9"/>
      <c r="QA278" s="9"/>
      <c r="QB278" s="9"/>
      <c r="QC278" s="9"/>
      <c r="QD278" s="9"/>
      <c r="QE278" s="9"/>
      <c r="QF278" s="9"/>
      <c r="QG278" s="9"/>
      <c r="QH278" s="9"/>
      <c r="QI278" s="9"/>
      <c r="QJ278" s="9"/>
      <c r="QK278" s="9"/>
      <c r="QL278" s="9"/>
      <c r="QM278" s="9"/>
      <c r="QN278" s="9"/>
      <c r="QO278" s="9"/>
      <c r="QP278" s="9"/>
      <c r="QQ278" s="67"/>
      <c r="QR278" s="68"/>
      <c r="QS278" s="63"/>
      <c r="QT278" s="71"/>
    </row>
    <row r="279" spans="1:462" s="11" customFormat="1" x14ac:dyDescent="0.2">
      <c r="A279" s="9">
        <v>20</v>
      </c>
      <c r="B279" s="9"/>
      <c r="C279" s="9"/>
      <c r="D279" s="9" t="s">
        <v>782</v>
      </c>
      <c r="E279" s="65" t="s">
        <v>795</v>
      </c>
      <c r="F279" s="65"/>
      <c r="G279" s="92" t="s">
        <v>2451</v>
      </c>
      <c r="H279" s="66" t="s">
        <v>1356</v>
      </c>
      <c r="I279" s="9" t="s">
        <v>1101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  <c r="HE279" s="9"/>
      <c r="HF279" s="9"/>
      <c r="HG279" s="9"/>
      <c r="HH279" s="9"/>
      <c r="HI279" s="9"/>
      <c r="HJ279" s="9"/>
      <c r="HK279" s="9"/>
      <c r="HL279" s="9"/>
      <c r="HM279" s="9"/>
      <c r="HN279" s="9"/>
      <c r="HO279" s="9"/>
      <c r="HP279" s="9"/>
      <c r="HQ279" s="9"/>
      <c r="HR279" s="9"/>
      <c r="HS279" s="9"/>
      <c r="HT279" s="9"/>
      <c r="HU279" s="9"/>
      <c r="HV279" s="9"/>
      <c r="HW279" s="9"/>
      <c r="HX279" s="9"/>
      <c r="HY279" s="9"/>
      <c r="HZ279" s="9"/>
      <c r="IA279" s="9"/>
      <c r="IB279" s="9"/>
      <c r="IC279" s="9"/>
      <c r="ID279" s="9"/>
      <c r="IE279" s="9"/>
      <c r="IF279" s="9"/>
      <c r="IG279" s="9"/>
      <c r="IH279" s="9"/>
      <c r="II279" s="9"/>
      <c r="IJ279" s="9"/>
      <c r="IK279" s="9"/>
      <c r="IL279" s="9"/>
      <c r="IM279" s="9"/>
      <c r="IN279" s="9"/>
      <c r="IO279" s="9"/>
      <c r="IP279" s="9"/>
      <c r="IQ279" s="9"/>
      <c r="IR279" s="9"/>
      <c r="IS279" s="9"/>
      <c r="IT279" s="9"/>
      <c r="IU279" s="9"/>
      <c r="IV279" s="9"/>
      <c r="IW279" s="9"/>
      <c r="IX279" s="9"/>
      <c r="IY279" s="9"/>
      <c r="IZ279" s="9"/>
      <c r="JA279" s="9"/>
      <c r="JB279" s="9"/>
      <c r="JC279" s="9"/>
      <c r="JD279" s="9"/>
      <c r="JE279" s="9"/>
      <c r="JF279" s="9"/>
      <c r="JG279" s="9"/>
      <c r="JH279" s="9"/>
      <c r="JI279" s="9"/>
      <c r="JJ279" s="9"/>
      <c r="JK279" s="9"/>
      <c r="JL279" s="9"/>
      <c r="JM279" s="9"/>
      <c r="JN279" s="9"/>
      <c r="JO279" s="9"/>
      <c r="JP279" s="9"/>
      <c r="JQ279" s="9"/>
      <c r="JR279" s="9"/>
      <c r="JS279" s="9"/>
      <c r="JT279" s="9"/>
      <c r="JU279" s="9"/>
      <c r="JV279" s="9"/>
      <c r="JW279" s="9"/>
      <c r="JX279" s="9"/>
      <c r="JY279" s="9"/>
      <c r="JZ279" s="9"/>
      <c r="KA279" s="9"/>
      <c r="KB279" s="9"/>
      <c r="KC279" s="9"/>
      <c r="KD279" s="9"/>
      <c r="KE279" s="9"/>
      <c r="KF279" s="9"/>
      <c r="KG279" s="9"/>
      <c r="KH279" s="9"/>
      <c r="KI279" s="9"/>
      <c r="KJ279" s="9"/>
      <c r="KK279" s="9"/>
      <c r="KL279" s="9"/>
      <c r="KM279" s="9"/>
      <c r="KN279" s="9"/>
      <c r="KO279" s="9"/>
      <c r="KP279" s="9"/>
      <c r="KQ279" s="9"/>
      <c r="KR279" s="9"/>
      <c r="KS279" s="9"/>
      <c r="KT279" s="9"/>
      <c r="KU279" s="9"/>
      <c r="KV279" s="9"/>
      <c r="KW279" s="9"/>
      <c r="KX279" s="9"/>
      <c r="KY279" s="9"/>
      <c r="KZ279" s="9"/>
      <c r="LA279" s="9"/>
      <c r="LB279" s="9"/>
      <c r="LC279" s="9"/>
      <c r="LD279" s="9"/>
      <c r="LE279" s="9"/>
      <c r="LF279" s="9"/>
      <c r="LG279" s="9"/>
      <c r="LH279" s="9"/>
      <c r="LI279" s="9"/>
      <c r="LJ279" s="9"/>
      <c r="LK279" s="9"/>
      <c r="LL279" s="9"/>
      <c r="LM279" s="9"/>
      <c r="LN279" s="9"/>
      <c r="LO279" s="9"/>
      <c r="LP279" s="9"/>
      <c r="LQ279" s="9"/>
      <c r="LR279" s="9"/>
      <c r="LS279" s="9"/>
      <c r="LT279" s="9"/>
      <c r="LU279" s="9"/>
      <c r="LV279" s="9"/>
      <c r="LW279" s="9"/>
      <c r="LX279" s="9"/>
      <c r="LY279" s="9"/>
      <c r="LZ279" s="9"/>
      <c r="MA279" s="9"/>
      <c r="MB279" s="9"/>
      <c r="MC279" s="9"/>
      <c r="MD279" s="9"/>
      <c r="ME279" s="9"/>
      <c r="MF279" s="9"/>
      <c r="MG279" s="9"/>
      <c r="MH279" s="9"/>
      <c r="MI279" s="9"/>
      <c r="MJ279" s="9"/>
      <c r="MK279" s="9"/>
      <c r="ML279" s="9"/>
      <c r="MM279" s="9"/>
      <c r="MN279" s="9"/>
      <c r="MO279" s="9"/>
      <c r="MP279" s="9"/>
      <c r="MQ279" s="9"/>
      <c r="MR279" s="9"/>
      <c r="MS279" s="9"/>
      <c r="MT279" s="9"/>
      <c r="MU279" s="9"/>
      <c r="MV279" s="9"/>
      <c r="MW279" s="9"/>
      <c r="MX279" s="9"/>
      <c r="MY279" s="9"/>
      <c r="MZ279" s="9"/>
      <c r="NA279" s="9"/>
      <c r="NB279" s="9"/>
      <c r="NC279" s="9"/>
      <c r="ND279" s="9"/>
      <c r="NE279" s="9"/>
      <c r="NF279" s="9"/>
      <c r="NG279" s="9"/>
      <c r="NH279" s="9"/>
      <c r="NI279" s="9"/>
      <c r="NJ279" s="9"/>
      <c r="NK279" s="9"/>
      <c r="NL279" s="9"/>
      <c r="NM279" s="9"/>
      <c r="NN279" s="9"/>
      <c r="NO279" s="9"/>
      <c r="NP279" s="9"/>
      <c r="NQ279" s="9"/>
      <c r="NR279" s="9"/>
      <c r="NS279" s="9"/>
      <c r="NT279" s="9"/>
      <c r="NU279" s="9"/>
      <c r="NV279" s="9"/>
      <c r="NW279" s="9"/>
      <c r="NX279" s="9"/>
      <c r="NY279" s="9"/>
      <c r="NZ279" s="9"/>
      <c r="OA279" s="9"/>
      <c r="OB279" s="9"/>
      <c r="OC279" s="9"/>
      <c r="OD279" s="9"/>
      <c r="OE279" s="9"/>
      <c r="OF279" s="9"/>
      <c r="OG279" s="9"/>
      <c r="OH279" s="9"/>
      <c r="OI279" s="9" t="s">
        <v>1101</v>
      </c>
      <c r="OJ279" s="9"/>
      <c r="OK279" s="9" t="s">
        <v>1101</v>
      </c>
      <c r="OL279" s="9"/>
      <c r="OM279" s="9"/>
      <c r="ON279" s="9"/>
      <c r="OO279" s="9"/>
      <c r="OP279" s="9"/>
      <c r="OQ279" s="9"/>
      <c r="OR279" s="9"/>
      <c r="OS279" s="9"/>
      <c r="OT279" s="9"/>
      <c r="OU279" s="9"/>
      <c r="OV279" s="9"/>
      <c r="OW279" s="9"/>
      <c r="OX279" s="9"/>
      <c r="OY279" s="9"/>
      <c r="OZ279" s="9"/>
      <c r="PA279" s="9"/>
      <c r="PB279" s="9"/>
      <c r="PC279" s="9"/>
      <c r="PD279" s="9"/>
      <c r="PE279" s="9"/>
      <c r="PF279" s="9"/>
      <c r="PG279" s="9"/>
      <c r="PH279" s="9"/>
      <c r="PI279" s="9"/>
      <c r="PJ279" s="9"/>
      <c r="PK279" s="9"/>
      <c r="PL279" s="9"/>
      <c r="PM279" s="9"/>
      <c r="PN279" s="9"/>
      <c r="PO279" s="9"/>
      <c r="PP279" s="9"/>
      <c r="PQ279" s="9"/>
      <c r="PR279" s="9"/>
      <c r="PS279" s="9"/>
      <c r="PT279" s="9"/>
      <c r="PU279" s="9"/>
      <c r="PV279" s="9"/>
      <c r="PW279" s="9"/>
      <c r="PX279" s="9"/>
      <c r="PY279" s="9"/>
      <c r="PZ279" s="9"/>
      <c r="QA279" s="9"/>
      <c r="QB279" s="9"/>
      <c r="QC279" s="9"/>
      <c r="QD279" s="9"/>
      <c r="QE279" s="9"/>
      <c r="QF279" s="9"/>
      <c r="QG279" s="9"/>
      <c r="QH279" s="9"/>
      <c r="QI279" s="9"/>
      <c r="QJ279" s="9"/>
      <c r="QK279" s="9"/>
      <c r="QL279" s="9"/>
      <c r="QM279" s="9"/>
      <c r="QN279" s="9"/>
      <c r="QO279" s="9"/>
      <c r="QP279" s="9"/>
      <c r="QQ279" s="67"/>
      <c r="QR279" s="68"/>
      <c r="QS279" s="63"/>
      <c r="QT279" s="71"/>
    </row>
    <row r="280" spans="1:462" s="11" customFormat="1" x14ac:dyDescent="0.2">
      <c r="A280" s="9">
        <v>20</v>
      </c>
      <c r="B280" s="9"/>
      <c r="C280" s="9"/>
      <c r="D280" s="9" t="s">
        <v>785</v>
      </c>
      <c r="E280" s="65" t="s">
        <v>797</v>
      </c>
      <c r="F280" s="65"/>
      <c r="G280" s="92" t="s">
        <v>2454</v>
      </c>
      <c r="H280" s="66" t="s">
        <v>1359</v>
      </c>
      <c r="I280" s="9" t="s">
        <v>1101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  <c r="HE280" s="9"/>
      <c r="HF280" s="9"/>
      <c r="HG280" s="9"/>
      <c r="HH280" s="9"/>
      <c r="HI280" s="9"/>
      <c r="HJ280" s="9"/>
      <c r="HK280" s="9"/>
      <c r="HL280" s="9"/>
      <c r="HM280" s="9"/>
      <c r="HN280" s="9"/>
      <c r="HO280" s="9"/>
      <c r="HP280" s="9"/>
      <c r="HQ280" s="9"/>
      <c r="HR280" s="9"/>
      <c r="HS280" s="9"/>
      <c r="HT280" s="9"/>
      <c r="HU280" s="9"/>
      <c r="HV280" s="9"/>
      <c r="HW280" s="9"/>
      <c r="HX280" s="9"/>
      <c r="HY280" s="9"/>
      <c r="HZ280" s="9"/>
      <c r="IA280" s="9"/>
      <c r="IB280" s="9"/>
      <c r="IC280" s="9"/>
      <c r="ID280" s="9"/>
      <c r="IE280" s="9"/>
      <c r="IF280" s="9"/>
      <c r="IG280" s="9"/>
      <c r="IH280" s="9"/>
      <c r="II280" s="9"/>
      <c r="IJ280" s="9"/>
      <c r="IK280" s="9"/>
      <c r="IL280" s="9"/>
      <c r="IM280" s="9"/>
      <c r="IN280" s="9"/>
      <c r="IO280" s="9"/>
      <c r="IP280" s="9"/>
      <c r="IQ280" s="9"/>
      <c r="IR280" s="9"/>
      <c r="IS280" s="9"/>
      <c r="IT280" s="9"/>
      <c r="IU280" s="9"/>
      <c r="IV280" s="9"/>
      <c r="IW280" s="9"/>
      <c r="IX280" s="9"/>
      <c r="IY280" s="9"/>
      <c r="IZ280" s="9"/>
      <c r="JA280" s="9"/>
      <c r="JB280" s="9"/>
      <c r="JC280" s="9"/>
      <c r="JD280" s="9"/>
      <c r="JE280" s="9"/>
      <c r="JF280" s="9"/>
      <c r="JG280" s="9"/>
      <c r="JH280" s="9"/>
      <c r="JI280" s="9"/>
      <c r="JJ280" s="9"/>
      <c r="JK280" s="9"/>
      <c r="JL280" s="9"/>
      <c r="JM280" s="9"/>
      <c r="JN280" s="9"/>
      <c r="JO280" s="9"/>
      <c r="JP280" s="9"/>
      <c r="JQ280" s="9"/>
      <c r="JR280" s="9"/>
      <c r="JS280" s="9"/>
      <c r="JT280" s="9"/>
      <c r="JU280" s="9"/>
      <c r="JV280" s="9"/>
      <c r="JW280" s="9"/>
      <c r="JX280" s="9"/>
      <c r="JY280" s="9"/>
      <c r="JZ280" s="9"/>
      <c r="KA280" s="9"/>
      <c r="KB280" s="9"/>
      <c r="KC280" s="9"/>
      <c r="KD280" s="9"/>
      <c r="KE280" s="9"/>
      <c r="KF280" s="9"/>
      <c r="KG280" s="9"/>
      <c r="KH280" s="9"/>
      <c r="KI280" s="9"/>
      <c r="KJ280" s="9"/>
      <c r="KK280" s="9"/>
      <c r="KL280" s="9"/>
      <c r="KM280" s="9"/>
      <c r="KN280" s="9"/>
      <c r="KO280" s="9"/>
      <c r="KP280" s="9"/>
      <c r="KQ280" s="9"/>
      <c r="KR280" s="9"/>
      <c r="KS280" s="9"/>
      <c r="KT280" s="9"/>
      <c r="KU280" s="9"/>
      <c r="KV280" s="9"/>
      <c r="KW280" s="9"/>
      <c r="KX280" s="9"/>
      <c r="KY280" s="9"/>
      <c r="KZ280" s="9"/>
      <c r="LA280" s="9"/>
      <c r="LB280" s="9"/>
      <c r="LC280" s="9"/>
      <c r="LD280" s="9"/>
      <c r="LE280" s="9"/>
      <c r="LF280" s="9"/>
      <c r="LG280" s="9"/>
      <c r="LH280" s="9"/>
      <c r="LI280" s="9"/>
      <c r="LJ280" s="9"/>
      <c r="LK280" s="9"/>
      <c r="LL280" s="9"/>
      <c r="LM280" s="9"/>
      <c r="LN280" s="9"/>
      <c r="LO280" s="9"/>
      <c r="LP280" s="9"/>
      <c r="LQ280" s="9"/>
      <c r="LR280" s="9"/>
      <c r="LS280" s="9"/>
      <c r="LT280" s="9"/>
      <c r="LU280" s="9"/>
      <c r="LV280" s="9"/>
      <c r="LW280" s="9"/>
      <c r="LX280" s="9"/>
      <c r="LY280" s="9"/>
      <c r="LZ280" s="9"/>
      <c r="MA280" s="9"/>
      <c r="MB280" s="9"/>
      <c r="MC280" s="9"/>
      <c r="MD280" s="9"/>
      <c r="ME280" s="9"/>
      <c r="MF280" s="9"/>
      <c r="MG280" s="9"/>
      <c r="MH280" s="9"/>
      <c r="MI280" s="9"/>
      <c r="MJ280" s="9"/>
      <c r="MK280" s="9"/>
      <c r="ML280" s="9"/>
      <c r="MM280" s="9"/>
      <c r="MN280" s="9"/>
      <c r="MO280" s="9"/>
      <c r="MP280" s="9"/>
      <c r="MQ280" s="9"/>
      <c r="MR280" s="9"/>
      <c r="MS280" s="9"/>
      <c r="MT280" s="9"/>
      <c r="MU280" s="9"/>
      <c r="MV280" s="9"/>
      <c r="MW280" s="9"/>
      <c r="MX280" s="9"/>
      <c r="MY280" s="9"/>
      <c r="MZ280" s="9"/>
      <c r="NA280" s="9"/>
      <c r="NB280" s="9"/>
      <c r="NC280" s="9"/>
      <c r="ND280" s="9"/>
      <c r="NE280" s="9"/>
      <c r="NF280" s="9"/>
      <c r="NG280" s="9"/>
      <c r="NH280" s="9"/>
      <c r="NI280" s="9"/>
      <c r="NJ280" s="9"/>
      <c r="NK280" s="9"/>
      <c r="NL280" s="9"/>
      <c r="NM280" s="9"/>
      <c r="NN280" s="9"/>
      <c r="NO280" s="9"/>
      <c r="NP280" s="9"/>
      <c r="NQ280" s="9"/>
      <c r="NR280" s="9"/>
      <c r="NS280" s="9"/>
      <c r="NT280" s="9"/>
      <c r="NU280" s="9"/>
      <c r="NV280" s="9"/>
      <c r="NW280" s="9"/>
      <c r="NX280" s="9"/>
      <c r="NY280" s="9"/>
      <c r="NZ280" s="9"/>
      <c r="OA280" s="9"/>
      <c r="OB280" s="9"/>
      <c r="OC280" s="9"/>
      <c r="OD280" s="9"/>
      <c r="OE280" s="9"/>
      <c r="OF280" s="9"/>
      <c r="OG280" s="9"/>
      <c r="OH280" s="9"/>
      <c r="OI280" s="9"/>
      <c r="OJ280" s="9"/>
      <c r="OK280" s="9"/>
      <c r="OL280" s="9"/>
      <c r="OM280" s="9"/>
      <c r="ON280" s="9"/>
      <c r="OO280" s="9"/>
      <c r="OP280" s="9"/>
      <c r="OQ280" s="9" t="s">
        <v>1101</v>
      </c>
      <c r="OR280" s="9"/>
      <c r="OS280" s="9" t="s">
        <v>1101</v>
      </c>
      <c r="OT280" s="9"/>
      <c r="OU280" s="9"/>
      <c r="OV280" s="9"/>
      <c r="OW280" s="9"/>
      <c r="OX280" s="9"/>
      <c r="OY280" s="9"/>
      <c r="OZ280" s="9"/>
      <c r="PA280" s="9"/>
      <c r="PB280" s="9"/>
      <c r="PC280" s="9"/>
      <c r="PD280" s="9"/>
      <c r="PE280" s="9"/>
      <c r="PF280" s="9"/>
      <c r="PG280" s="9"/>
      <c r="PH280" s="9"/>
      <c r="PI280" s="9"/>
      <c r="PJ280" s="9"/>
      <c r="PK280" s="9"/>
      <c r="PL280" s="9"/>
      <c r="PM280" s="9"/>
      <c r="PN280" s="9"/>
      <c r="PO280" s="9"/>
      <c r="PP280" s="9"/>
      <c r="PQ280" s="9"/>
      <c r="PR280" s="9"/>
      <c r="PS280" s="9"/>
      <c r="PT280" s="9"/>
      <c r="PU280" s="9"/>
      <c r="PV280" s="9"/>
      <c r="PW280" s="9"/>
      <c r="PX280" s="9"/>
      <c r="PY280" s="9"/>
      <c r="PZ280" s="9"/>
      <c r="QA280" s="9"/>
      <c r="QB280" s="9"/>
      <c r="QC280" s="9"/>
      <c r="QD280" s="9"/>
      <c r="QE280" s="9"/>
      <c r="QF280" s="9"/>
      <c r="QG280" s="9"/>
      <c r="QH280" s="9"/>
      <c r="QI280" s="9"/>
      <c r="QJ280" s="9"/>
      <c r="QK280" s="9"/>
      <c r="QL280" s="9"/>
      <c r="QM280" s="9"/>
      <c r="QN280" s="9"/>
      <c r="QO280" s="9"/>
      <c r="QP280" s="9"/>
      <c r="QQ280" s="67"/>
      <c r="QR280" s="68"/>
      <c r="QS280" s="63"/>
      <c r="QT280" s="71"/>
    </row>
    <row r="281" spans="1:462" s="11" customFormat="1" x14ac:dyDescent="0.2">
      <c r="A281" s="9">
        <v>20</v>
      </c>
      <c r="B281" s="9"/>
      <c r="C281" s="9"/>
      <c r="D281" s="9" t="s">
        <v>943</v>
      </c>
      <c r="E281" s="65" t="s">
        <v>944</v>
      </c>
      <c r="F281" s="65"/>
      <c r="G281" s="92" t="s">
        <v>2457</v>
      </c>
      <c r="H281" s="66" t="s">
        <v>1362</v>
      </c>
      <c r="I281" s="9" t="s">
        <v>1101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9"/>
      <c r="GY281" s="9"/>
      <c r="GZ281" s="9"/>
      <c r="HA281" s="9"/>
      <c r="HB281" s="9"/>
      <c r="HC281" s="9"/>
      <c r="HD281" s="9"/>
      <c r="HE281" s="9"/>
      <c r="HF281" s="9"/>
      <c r="HG281" s="9"/>
      <c r="HH281" s="9"/>
      <c r="HI281" s="9"/>
      <c r="HJ281" s="9"/>
      <c r="HK281" s="9"/>
      <c r="HL281" s="9"/>
      <c r="HM281" s="9"/>
      <c r="HN281" s="9"/>
      <c r="HO281" s="9"/>
      <c r="HP281" s="9"/>
      <c r="HQ281" s="9"/>
      <c r="HR281" s="9"/>
      <c r="HS281" s="9"/>
      <c r="HT281" s="9"/>
      <c r="HU281" s="9"/>
      <c r="HV281" s="9"/>
      <c r="HW281" s="9"/>
      <c r="HX281" s="9"/>
      <c r="HY281" s="9"/>
      <c r="HZ281" s="9"/>
      <c r="IA281" s="9"/>
      <c r="IB281" s="9"/>
      <c r="IC281" s="9"/>
      <c r="ID281" s="9"/>
      <c r="IE281" s="9"/>
      <c r="IF281" s="9"/>
      <c r="IG281" s="9"/>
      <c r="IH281" s="9"/>
      <c r="II281" s="9"/>
      <c r="IJ281" s="9"/>
      <c r="IK281" s="9"/>
      <c r="IL281" s="9"/>
      <c r="IM281" s="9"/>
      <c r="IN281" s="9"/>
      <c r="IO281" s="9"/>
      <c r="IP281" s="9"/>
      <c r="IQ281" s="9"/>
      <c r="IR281" s="9"/>
      <c r="IS281" s="9"/>
      <c r="IT281" s="9"/>
      <c r="IU281" s="9"/>
      <c r="IV281" s="9"/>
      <c r="IW281" s="9"/>
      <c r="IX281" s="9"/>
      <c r="IY281" s="9"/>
      <c r="IZ281" s="9"/>
      <c r="JA281" s="9"/>
      <c r="JB281" s="9"/>
      <c r="JC281" s="9"/>
      <c r="JD281" s="9"/>
      <c r="JE281" s="9"/>
      <c r="JF281" s="9"/>
      <c r="JG281" s="9"/>
      <c r="JH281" s="9"/>
      <c r="JI281" s="9"/>
      <c r="JJ281" s="9"/>
      <c r="JK281" s="9"/>
      <c r="JL281" s="9"/>
      <c r="JM281" s="9"/>
      <c r="JN281" s="9"/>
      <c r="JO281" s="9"/>
      <c r="JP281" s="9"/>
      <c r="JQ281" s="9"/>
      <c r="JR281" s="9"/>
      <c r="JS281" s="9"/>
      <c r="JT281" s="9"/>
      <c r="JU281" s="9"/>
      <c r="JV281" s="9"/>
      <c r="JW281" s="9"/>
      <c r="JX281" s="9"/>
      <c r="JY281" s="9"/>
      <c r="JZ281" s="9"/>
      <c r="KA281" s="9"/>
      <c r="KB281" s="9"/>
      <c r="KC281" s="9"/>
      <c r="KD281" s="9"/>
      <c r="KE281" s="9"/>
      <c r="KF281" s="9"/>
      <c r="KG281" s="9"/>
      <c r="KH281" s="9"/>
      <c r="KI281" s="9"/>
      <c r="KJ281" s="9"/>
      <c r="KK281" s="9"/>
      <c r="KL281" s="9"/>
      <c r="KM281" s="9"/>
      <c r="KN281" s="9"/>
      <c r="KO281" s="9"/>
      <c r="KP281" s="9"/>
      <c r="KQ281" s="9"/>
      <c r="KR281" s="9"/>
      <c r="KS281" s="9"/>
      <c r="KT281" s="9"/>
      <c r="KU281" s="9"/>
      <c r="KV281" s="9"/>
      <c r="KW281" s="9"/>
      <c r="KX281" s="9"/>
      <c r="KY281" s="9"/>
      <c r="KZ281" s="9"/>
      <c r="LA281" s="9"/>
      <c r="LB281" s="9"/>
      <c r="LC281" s="9"/>
      <c r="LD281" s="9"/>
      <c r="LE281" s="9"/>
      <c r="LF281" s="9"/>
      <c r="LG281" s="9"/>
      <c r="LH281" s="9"/>
      <c r="LI281" s="9"/>
      <c r="LJ281" s="9"/>
      <c r="LK281" s="9"/>
      <c r="LL281" s="9"/>
      <c r="LM281" s="9"/>
      <c r="LN281" s="9"/>
      <c r="LO281" s="9"/>
      <c r="LP281" s="9"/>
      <c r="LQ281" s="9"/>
      <c r="LR281" s="9"/>
      <c r="LS281" s="9"/>
      <c r="LT281" s="9"/>
      <c r="LU281" s="9"/>
      <c r="LV281" s="9"/>
      <c r="LW281" s="9"/>
      <c r="LX281" s="9"/>
      <c r="LY281" s="9"/>
      <c r="LZ281" s="9"/>
      <c r="MA281" s="9"/>
      <c r="MB281" s="9"/>
      <c r="MC281" s="9"/>
      <c r="MD281" s="9"/>
      <c r="ME281" s="9"/>
      <c r="MF281" s="9"/>
      <c r="MG281" s="9"/>
      <c r="MH281" s="9"/>
      <c r="MI281" s="9"/>
      <c r="MJ281" s="9"/>
      <c r="MK281" s="9"/>
      <c r="ML281" s="9"/>
      <c r="MM281" s="9"/>
      <c r="MN281" s="9"/>
      <c r="MO281" s="9"/>
      <c r="MP281" s="9"/>
      <c r="MQ281" s="9"/>
      <c r="MR281" s="9"/>
      <c r="MS281" s="9"/>
      <c r="MT281" s="9"/>
      <c r="MU281" s="9"/>
      <c r="MV281" s="9"/>
      <c r="MW281" s="9"/>
      <c r="MX281" s="9"/>
      <c r="MY281" s="9"/>
      <c r="MZ281" s="9"/>
      <c r="NA281" s="9"/>
      <c r="NB281" s="9"/>
      <c r="NC281" s="9"/>
      <c r="ND281" s="9"/>
      <c r="NE281" s="9"/>
      <c r="NF281" s="9"/>
      <c r="NG281" s="9"/>
      <c r="NH281" s="9"/>
      <c r="NI281" s="9"/>
      <c r="NJ281" s="9"/>
      <c r="NK281" s="9"/>
      <c r="NL281" s="9"/>
      <c r="NM281" s="9"/>
      <c r="NN281" s="9"/>
      <c r="NO281" s="9"/>
      <c r="NP281" s="9"/>
      <c r="NQ281" s="9"/>
      <c r="NR281" s="9"/>
      <c r="NS281" s="9"/>
      <c r="NT281" s="9"/>
      <c r="NU281" s="9"/>
      <c r="NV281" s="9"/>
      <c r="NW281" s="9"/>
      <c r="NX281" s="9"/>
      <c r="NY281" s="9"/>
      <c r="NZ281" s="9"/>
      <c r="OA281" s="9"/>
      <c r="OB281" s="9"/>
      <c r="OC281" s="9"/>
      <c r="OD281" s="9"/>
      <c r="OE281" s="9"/>
      <c r="OF281" s="9"/>
      <c r="OG281" s="9"/>
      <c r="OH281" s="9"/>
      <c r="OI281" s="9"/>
      <c r="OJ281" s="9"/>
      <c r="OK281" s="9"/>
      <c r="OL281" s="9"/>
      <c r="OM281" s="9"/>
      <c r="ON281" s="9"/>
      <c r="OO281" s="9"/>
      <c r="OP281" s="9"/>
      <c r="OQ281" s="9"/>
      <c r="OR281" s="9"/>
      <c r="OS281" s="9"/>
      <c r="OT281" s="9"/>
      <c r="OU281" s="9"/>
      <c r="OV281" s="9"/>
      <c r="OW281" s="9"/>
      <c r="OX281" s="9"/>
      <c r="OY281" s="9" t="s">
        <v>1101</v>
      </c>
      <c r="OZ281" s="9"/>
      <c r="PA281" s="9" t="s">
        <v>1101</v>
      </c>
      <c r="PB281" s="9"/>
      <c r="PC281" s="9"/>
      <c r="PD281" s="9"/>
      <c r="PE281" s="9"/>
      <c r="PF281" s="9"/>
      <c r="PG281" s="9"/>
      <c r="PH281" s="9"/>
      <c r="PI281" s="9"/>
      <c r="PJ281" s="9"/>
      <c r="PK281" s="9"/>
      <c r="PL281" s="9"/>
      <c r="PM281" s="9"/>
      <c r="PN281" s="9"/>
      <c r="PO281" s="9"/>
      <c r="PP281" s="9"/>
      <c r="PQ281" s="9"/>
      <c r="PR281" s="9"/>
      <c r="PS281" s="9"/>
      <c r="PT281" s="9"/>
      <c r="PU281" s="9"/>
      <c r="PV281" s="9"/>
      <c r="PW281" s="9"/>
      <c r="PX281" s="9"/>
      <c r="PY281" s="9"/>
      <c r="PZ281" s="9"/>
      <c r="QA281" s="9"/>
      <c r="QB281" s="9"/>
      <c r="QC281" s="9"/>
      <c r="QD281" s="9"/>
      <c r="QE281" s="9"/>
      <c r="QF281" s="9"/>
      <c r="QG281" s="9"/>
      <c r="QH281" s="9"/>
      <c r="QI281" s="9"/>
      <c r="QJ281" s="9"/>
      <c r="QK281" s="9"/>
      <c r="QL281" s="9"/>
      <c r="QM281" s="9"/>
      <c r="QN281" s="9"/>
      <c r="QO281" s="9"/>
      <c r="QP281" s="9"/>
      <c r="QQ281" s="67"/>
      <c r="QR281" s="68"/>
      <c r="QS281" s="63"/>
      <c r="QT281" s="71"/>
    </row>
    <row r="282" spans="1:462" s="11" customFormat="1" ht="26" x14ac:dyDescent="0.2">
      <c r="A282" s="9">
        <v>20</v>
      </c>
      <c r="B282" s="9"/>
      <c r="C282" s="9"/>
      <c r="D282" s="9" t="s">
        <v>983</v>
      </c>
      <c r="E282" s="65" t="s">
        <v>985</v>
      </c>
      <c r="F282" s="65"/>
      <c r="G282" s="91" t="s">
        <v>2460</v>
      </c>
      <c r="H282" s="66" t="s">
        <v>1365</v>
      </c>
      <c r="I282" s="9" t="s">
        <v>1101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  <c r="HE282" s="9"/>
      <c r="HF282" s="9"/>
      <c r="HG282" s="9"/>
      <c r="HH282" s="9"/>
      <c r="HI282" s="9"/>
      <c r="HJ282" s="9"/>
      <c r="HK282" s="9"/>
      <c r="HL282" s="9"/>
      <c r="HM282" s="9"/>
      <c r="HN282" s="9"/>
      <c r="HO282" s="9"/>
      <c r="HP282" s="9"/>
      <c r="HQ282" s="9"/>
      <c r="HR282" s="9"/>
      <c r="HS282" s="9"/>
      <c r="HT282" s="9"/>
      <c r="HU282" s="9"/>
      <c r="HV282" s="9"/>
      <c r="HW282" s="9"/>
      <c r="HX282" s="9"/>
      <c r="HY282" s="9"/>
      <c r="HZ282" s="9"/>
      <c r="IA282" s="9"/>
      <c r="IB282" s="9"/>
      <c r="IC282" s="9"/>
      <c r="ID282" s="9"/>
      <c r="IE282" s="9"/>
      <c r="IF282" s="9"/>
      <c r="IG282" s="9"/>
      <c r="IH282" s="9"/>
      <c r="II282" s="9"/>
      <c r="IJ282" s="9"/>
      <c r="IK282" s="9"/>
      <c r="IL282" s="9"/>
      <c r="IM282" s="9"/>
      <c r="IN282" s="9"/>
      <c r="IO282" s="9"/>
      <c r="IP282" s="9"/>
      <c r="IQ282" s="9"/>
      <c r="IR282" s="9"/>
      <c r="IS282" s="9"/>
      <c r="IT282" s="9"/>
      <c r="IU282" s="9"/>
      <c r="IV282" s="9"/>
      <c r="IW282" s="9"/>
      <c r="IX282" s="9"/>
      <c r="IY282" s="9"/>
      <c r="IZ282" s="9"/>
      <c r="JA282" s="9"/>
      <c r="JB282" s="9"/>
      <c r="JC282" s="9"/>
      <c r="JD282" s="9"/>
      <c r="JE282" s="9"/>
      <c r="JF282" s="9"/>
      <c r="JG282" s="9"/>
      <c r="JH282" s="9"/>
      <c r="JI282" s="9"/>
      <c r="JJ282" s="9"/>
      <c r="JK282" s="9"/>
      <c r="JL282" s="9"/>
      <c r="JM282" s="9"/>
      <c r="JN282" s="9"/>
      <c r="JO282" s="9"/>
      <c r="JP282" s="9"/>
      <c r="JQ282" s="9"/>
      <c r="JR282" s="9"/>
      <c r="JS282" s="9"/>
      <c r="JT282" s="9"/>
      <c r="JU282" s="9"/>
      <c r="JV282" s="9"/>
      <c r="JW282" s="9"/>
      <c r="JX282" s="9"/>
      <c r="JY282" s="9"/>
      <c r="JZ282" s="9"/>
      <c r="KA282" s="9"/>
      <c r="KB282" s="9"/>
      <c r="KC282" s="9"/>
      <c r="KD282" s="9"/>
      <c r="KE282" s="9"/>
      <c r="KF282" s="9"/>
      <c r="KG282" s="9"/>
      <c r="KH282" s="9"/>
      <c r="KI282" s="9"/>
      <c r="KJ282" s="9"/>
      <c r="KK282" s="9"/>
      <c r="KL282" s="9"/>
      <c r="KM282" s="9"/>
      <c r="KN282" s="9"/>
      <c r="KO282" s="9"/>
      <c r="KP282" s="9"/>
      <c r="KQ282" s="9"/>
      <c r="KR282" s="9"/>
      <c r="KS282" s="9"/>
      <c r="KT282" s="9"/>
      <c r="KU282" s="9"/>
      <c r="KV282" s="9"/>
      <c r="KW282" s="9"/>
      <c r="KX282" s="9"/>
      <c r="KY282" s="9"/>
      <c r="KZ282" s="9"/>
      <c r="LA282" s="9"/>
      <c r="LB282" s="9"/>
      <c r="LC282" s="9"/>
      <c r="LD282" s="9"/>
      <c r="LE282" s="9"/>
      <c r="LF282" s="9"/>
      <c r="LG282" s="9"/>
      <c r="LH282" s="9"/>
      <c r="LI282" s="9"/>
      <c r="LJ282" s="9"/>
      <c r="LK282" s="9"/>
      <c r="LL282" s="9"/>
      <c r="LM282" s="9"/>
      <c r="LN282" s="9"/>
      <c r="LO282" s="9"/>
      <c r="LP282" s="9"/>
      <c r="LQ282" s="9"/>
      <c r="LR282" s="9"/>
      <c r="LS282" s="9"/>
      <c r="LT282" s="9"/>
      <c r="LU282" s="9"/>
      <c r="LV282" s="9"/>
      <c r="LW282" s="9"/>
      <c r="LX282" s="9"/>
      <c r="LY282" s="9"/>
      <c r="LZ282" s="9"/>
      <c r="MA282" s="9"/>
      <c r="MB282" s="9"/>
      <c r="MC282" s="9"/>
      <c r="MD282" s="9"/>
      <c r="ME282" s="9"/>
      <c r="MF282" s="9"/>
      <c r="MG282" s="9"/>
      <c r="MH282" s="9"/>
      <c r="MI282" s="9"/>
      <c r="MJ282" s="9"/>
      <c r="MK282" s="9"/>
      <c r="ML282" s="9"/>
      <c r="MM282" s="9"/>
      <c r="MN282" s="9"/>
      <c r="MO282" s="9"/>
      <c r="MP282" s="9"/>
      <c r="MQ282" s="9"/>
      <c r="MR282" s="9"/>
      <c r="MS282" s="9"/>
      <c r="MT282" s="9"/>
      <c r="MU282" s="9"/>
      <c r="MV282" s="9"/>
      <c r="MW282" s="9"/>
      <c r="MX282" s="9"/>
      <c r="MY282" s="9"/>
      <c r="MZ282" s="9"/>
      <c r="NA282" s="9"/>
      <c r="NB282" s="9"/>
      <c r="NC282" s="9"/>
      <c r="ND282" s="9"/>
      <c r="NE282" s="9"/>
      <c r="NF282" s="9"/>
      <c r="NG282" s="9"/>
      <c r="NH282" s="9"/>
      <c r="NI282" s="9"/>
      <c r="NJ282" s="9"/>
      <c r="NK282" s="9"/>
      <c r="NL282" s="9"/>
      <c r="NM282" s="9"/>
      <c r="NN282" s="9"/>
      <c r="NO282" s="9"/>
      <c r="NP282" s="9"/>
      <c r="NQ282" s="9"/>
      <c r="NR282" s="9"/>
      <c r="NS282" s="9"/>
      <c r="NT282" s="9"/>
      <c r="NU282" s="9"/>
      <c r="NV282" s="9"/>
      <c r="NW282" s="9"/>
      <c r="NX282" s="9"/>
      <c r="NY282" s="9"/>
      <c r="NZ282" s="9"/>
      <c r="OA282" s="9"/>
      <c r="OB282" s="9"/>
      <c r="OC282" s="9"/>
      <c r="OD282" s="9"/>
      <c r="OE282" s="9"/>
      <c r="OF282" s="9"/>
      <c r="OG282" s="9"/>
      <c r="OH282" s="9"/>
      <c r="OI282" s="9"/>
      <c r="OJ282" s="9"/>
      <c r="OK282" s="9"/>
      <c r="OL282" s="9"/>
      <c r="OM282" s="9"/>
      <c r="ON282" s="9"/>
      <c r="OO282" s="9"/>
      <c r="OP282" s="9"/>
      <c r="OQ282" s="9"/>
      <c r="OR282" s="9"/>
      <c r="OS282" s="9"/>
      <c r="OT282" s="9"/>
      <c r="OU282" s="9"/>
      <c r="OV282" s="9"/>
      <c r="OW282" s="9"/>
      <c r="OX282" s="9"/>
      <c r="OY282" s="9"/>
      <c r="OZ282" s="9"/>
      <c r="PA282" s="9"/>
      <c r="PB282" s="9"/>
      <c r="PC282" s="9"/>
      <c r="PD282" s="9"/>
      <c r="PE282" s="9"/>
      <c r="PF282" s="9"/>
      <c r="PG282" s="9" t="s">
        <v>1101</v>
      </c>
      <c r="PH282" s="9"/>
      <c r="PI282" s="9" t="s">
        <v>1101</v>
      </c>
      <c r="PJ282" s="9"/>
      <c r="PK282" s="9"/>
      <c r="PL282" s="9"/>
      <c r="PM282" s="9"/>
      <c r="PN282" s="9"/>
      <c r="PO282" s="9"/>
      <c r="PP282" s="9"/>
      <c r="PQ282" s="9"/>
      <c r="PR282" s="9"/>
      <c r="PS282" s="9"/>
      <c r="PT282" s="9"/>
      <c r="PU282" s="9"/>
      <c r="PV282" s="9"/>
      <c r="PW282" s="9"/>
      <c r="PX282" s="9"/>
      <c r="PY282" s="9"/>
      <c r="PZ282" s="9"/>
      <c r="QA282" s="9"/>
      <c r="QB282" s="9"/>
      <c r="QC282" s="9"/>
      <c r="QD282" s="9"/>
      <c r="QE282" s="9"/>
      <c r="QF282" s="9"/>
      <c r="QG282" s="9"/>
      <c r="QH282" s="9"/>
      <c r="QI282" s="9"/>
      <c r="QJ282" s="9"/>
      <c r="QK282" s="9"/>
      <c r="QL282" s="9"/>
      <c r="QM282" s="9"/>
      <c r="QN282" s="9"/>
      <c r="QO282" s="9"/>
      <c r="QP282" s="9"/>
      <c r="QQ282" s="67"/>
      <c r="QR282" s="68"/>
      <c r="QS282" s="63"/>
      <c r="QT282" s="71"/>
    </row>
    <row r="283" spans="1:462" s="11" customFormat="1" x14ac:dyDescent="0.2">
      <c r="A283" s="9">
        <v>20</v>
      </c>
      <c r="B283" s="9"/>
      <c r="C283" s="9"/>
      <c r="D283" s="9" t="s">
        <v>955</v>
      </c>
      <c r="E283" s="65" t="s">
        <v>980</v>
      </c>
      <c r="F283" s="65"/>
      <c r="G283" s="92" t="s">
        <v>2463</v>
      </c>
      <c r="H283" s="66" t="s">
        <v>1368</v>
      </c>
      <c r="I283" s="9" t="s">
        <v>1101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  <c r="HE283" s="9"/>
      <c r="HF283" s="9"/>
      <c r="HG283" s="9"/>
      <c r="HH283" s="9"/>
      <c r="HI283" s="9"/>
      <c r="HJ283" s="9"/>
      <c r="HK283" s="9"/>
      <c r="HL283" s="9"/>
      <c r="HM283" s="9"/>
      <c r="HN283" s="9"/>
      <c r="HO283" s="9"/>
      <c r="HP283" s="9"/>
      <c r="HQ283" s="9"/>
      <c r="HR283" s="9"/>
      <c r="HS283" s="9"/>
      <c r="HT283" s="9"/>
      <c r="HU283" s="9"/>
      <c r="HV283" s="9"/>
      <c r="HW283" s="9"/>
      <c r="HX283" s="9"/>
      <c r="HY283" s="9"/>
      <c r="HZ283" s="9"/>
      <c r="IA283" s="9"/>
      <c r="IB283" s="9"/>
      <c r="IC283" s="9"/>
      <c r="ID283" s="9"/>
      <c r="IE283" s="9"/>
      <c r="IF283" s="9"/>
      <c r="IG283" s="9"/>
      <c r="IH283" s="9"/>
      <c r="II283" s="9"/>
      <c r="IJ283" s="9"/>
      <c r="IK283" s="9"/>
      <c r="IL283" s="9"/>
      <c r="IM283" s="9"/>
      <c r="IN283" s="9"/>
      <c r="IO283" s="9"/>
      <c r="IP283" s="9"/>
      <c r="IQ283" s="9"/>
      <c r="IR283" s="9"/>
      <c r="IS283" s="9"/>
      <c r="IT283" s="9"/>
      <c r="IU283" s="9"/>
      <c r="IV283" s="9"/>
      <c r="IW283" s="9"/>
      <c r="IX283" s="9"/>
      <c r="IY283" s="9"/>
      <c r="IZ283" s="9"/>
      <c r="JA283" s="9"/>
      <c r="JB283" s="9"/>
      <c r="JC283" s="9"/>
      <c r="JD283" s="9"/>
      <c r="JE283" s="9"/>
      <c r="JF283" s="9"/>
      <c r="JG283" s="9"/>
      <c r="JH283" s="9"/>
      <c r="JI283" s="9"/>
      <c r="JJ283" s="9"/>
      <c r="JK283" s="9"/>
      <c r="JL283" s="9"/>
      <c r="JM283" s="9"/>
      <c r="JN283" s="9"/>
      <c r="JO283" s="9"/>
      <c r="JP283" s="9"/>
      <c r="JQ283" s="9"/>
      <c r="JR283" s="9"/>
      <c r="JS283" s="9"/>
      <c r="JT283" s="9"/>
      <c r="JU283" s="9"/>
      <c r="JV283" s="9"/>
      <c r="JW283" s="9"/>
      <c r="JX283" s="9"/>
      <c r="JY283" s="9"/>
      <c r="JZ283" s="9"/>
      <c r="KA283" s="9"/>
      <c r="KB283" s="9"/>
      <c r="KC283" s="9"/>
      <c r="KD283" s="9"/>
      <c r="KE283" s="9"/>
      <c r="KF283" s="9"/>
      <c r="KG283" s="9"/>
      <c r="KH283" s="9"/>
      <c r="KI283" s="9"/>
      <c r="KJ283" s="9"/>
      <c r="KK283" s="9"/>
      <c r="KL283" s="9"/>
      <c r="KM283" s="9"/>
      <c r="KN283" s="9"/>
      <c r="KO283" s="9"/>
      <c r="KP283" s="9"/>
      <c r="KQ283" s="9"/>
      <c r="KR283" s="9"/>
      <c r="KS283" s="9"/>
      <c r="KT283" s="9"/>
      <c r="KU283" s="9"/>
      <c r="KV283" s="9"/>
      <c r="KW283" s="9"/>
      <c r="KX283" s="9"/>
      <c r="KY283" s="9"/>
      <c r="KZ283" s="9"/>
      <c r="LA283" s="9"/>
      <c r="LB283" s="9"/>
      <c r="LC283" s="9"/>
      <c r="LD283" s="9"/>
      <c r="LE283" s="9"/>
      <c r="LF283" s="9"/>
      <c r="LG283" s="9"/>
      <c r="LH283" s="9"/>
      <c r="LI283" s="9"/>
      <c r="LJ283" s="9"/>
      <c r="LK283" s="9"/>
      <c r="LL283" s="9"/>
      <c r="LM283" s="9"/>
      <c r="LN283" s="9"/>
      <c r="LO283" s="9"/>
      <c r="LP283" s="9"/>
      <c r="LQ283" s="9"/>
      <c r="LR283" s="9"/>
      <c r="LS283" s="9"/>
      <c r="LT283" s="9"/>
      <c r="LU283" s="9"/>
      <c r="LV283" s="9"/>
      <c r="LW283" s="9"/>
      <c r="LX283" s="9"/>
      <c r="LY283" s="9"/>
      <c r="LZ283" s="9"/>
      <c r="MA283" s="9"/>
      <c r="MB283" s="9"/>
      <c r="MC283" s="9"/>
      <c r="MD283" s="9"/>
      <c r="ME283" s="9"/>
      <c r="MF283" s="9"/>
      <c r="MG283" s="9"/>
      <c r="MH283" s="9"/>
      <c r="MI283" s="9"/>
      <c r="MJ283" s="9"/>
      <c r="MK283" s="9"/>
      <c r="ML283" s="9"/>
      <c r="MM283" s="9"/>
      <c r="MN283" s="9"/>
      <c r="MO283" s="9"/>
      <c r="MP283" s="9"/>
      <c r="MQ283" s="9"/>
      <c r="MR283" s="9"/>
      <c r="MS283" s="9"/>
      <c r="MT283" s="9"/>
      <c r="MU283" s="9"/>
      <c r="MV283" s="9"/>
      <c r="MW283" s="9"/>
      <c r="MX283" s="9"/>
      <c r="MY283" s="9"/>
      <c r="MZ283" s="9"/>
      <c r="NA283" s="9"/>
      <c r="NB283" s="9"/>
      <c r="NC283" s="9"/>
      <c r="ND283" s="9"/>
      <c r="NE283" s="9"/>
      <c r="NF283" s="9"/>
      <c r="NG283" s="9"/>
      <c r="NH283" s="9"/>
      <c r="NI283" s="9"/>
      <c r="NJ283" s="9"/>
      <c r="NK283" s="9"/>
      <c r="NL283" s="9"/>
      <c r="NM283" s="9"/>
      <c r="NN283" s="9"/>
      <c r="NO283" s="9"/>
      <c r="NP283" s="9"/>
      <c r="NQ283" s="9"/>
      <c r="NR283" s="9"/>
      <c r="NS283" s="9"/>
      <c r="NT283" s="9"/>
      <c r="NU283" s="9"/>
      <c r="NV283" s="9"/>
      <c r="NW283" s="9"/>
      <c r="NX283" s="9"/>
      <c r="NY283" s="9"/>
      <c r="NZ283" s="9"/>
      <c r="OA283" s="9"/>
      <c r="OB283" s="9"/>
      <c r="OC283" s="9"/>
      <c r="OD283" s="9"/>
      <c r="OE283" s="9"/>
      <c r="OF283" s="9"/>
      <c r="OG283" s="9"/>
      <c r="OH283" s="9"/>
      <c r="OI283" s="9"/>
      <c r="OJ283" s="9"/>
      <c r="OK283" s="9"/>
      <c r="OL283" s="9"/>
      <c r="OM283" s="9"/>
      <c r="ON283" s="9"/>
      <c r="OO283" s="9"/>
      <c r="OP283" s="9"/>
      <c r="OQ283" s="9"/>
      <c r="OR283" s="9"/>
      <c r="OS283" s="9"/>
      <c r="OT283" s="9"/>
      <c r="OU283" s="9"/>
      <c r="OV283" s="9"/>
      <c r="OW283" s="9"/>
      <c r="OX283" s="9"/>
      <c r="OY283" s="9"/>
      <c r="OZ283" s="9"/>
      <c r="PA283" s="9"/>
      <c r="PB283" s="9"/>
      <c r="PC283" s="9"/>
      <c r="PD283" s="9"/>
      <c r="PE283" s="9"/>
      <c r="PF283" s="9"/>
      <c r="PG283" s="9"/>
      <c r="PH283" s="9"/>
      <c r="PI283" s="9"/>
      <c r="PJ283" s="9"/>
      <c r="PK283" s="9"/>
      <c r="PL283" s="9"/>
      <c r="PM283" s="9"/>
      <c r="PN283" s="9"/>
      <c r="PO283" s="9" t="s">
        <v>1101</v>
      </c>
      <c r="PP283" s="9"/>
      <c r="PQ283" s="9" t="s">
        <v>1101</v>
      </c>
      <c r="PR283" s="9"/>
      <c r="PS283" s="9"/>
      <c r="PT283" s="9"/>
      <c r="PU283" s="9"/>
      <c r="PV283" s="9"/>
      <c r="PW283" s="9"/>
      <c r="PX283" s="9"/>
      <c r="PY283" s="9"/>
      <c r="PZ283" s="9"/>
      <c r="QA283" s="9"/>
      <c r="QB283" s="9"/>
      <c r="QC283" s="9"/>
      <c r="QD283" s="9"/>
      <c r="QE283" s="9"/>
      <c r="QF283" s="9"/>
      <c r="QG283" s="9"/>
      <c r="QH283" s="9"/>
      <c r="QI283" s="9"/>
      <c r="QJ283" s="9"/>
      <c r="QK283" s="9"/>
      <c r="QL283" s="9"/>
      <c r="QM283" s="9"/>
      <c r="QN283" s="9"/>
      <c r="QO283" s="9"/>
      <c r="QP283" s="9"/>
      <c r="QQ283" s="67"/>
      <c r="QR283" s="68"/>
      <c r="QS283" s="63"/>
      <c r="QT283" s="71"/>
    </row>
    <row r="284" spans="1:462" s="11" customFormat="1" x14ac:dyDescent="0.2">
      <c r="A284" s="9">
        <v>20</v>
      </c>
      <c r="B284" s="9"/>
      <c r="C284" s="9"/>
      <c r="D284" s="9" t="s">
        <v>956</v>
      </c>
      <c r="E284" s="65" t="s">
        <v>972</v>
      </c>
      <c r="F284" s="65"/>
      <c r="G284" s="92" t="s">
        <v>2466</v>
      </c>
      <c r="H284" s="66" t="s">
        <v>1371</v>
      </c>
      <c r="I284" s="9" t="s">
        <v>1101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  <c r="HJ284" s="9"/>
      <c r="HK284" s="9"/>
      <c r="HL284" s="9"/>
      <c r="HM284" s="9"/>
      <c r="HN284" s="9"/>
      <c r="HO284" s="9"/>
      <c r="HP284" s="9"/>
      <c r="HQ284" s="9"/>
      <c r="HR284" s="9"/>
      <c r="HS284" s="9"/>
      <c r="HT284" s="9"/>
      <c r="HU284" s="9"/>
      <c r="HV284" s="9"/>
      <c r="HW284" s="9"/>
      <c r="HX284" s="9"/>
      <c r="HY284" s="9"/>
      <c r="HZ284" s="9"/>
      <c r="IA284" s="9"/>
      <c r="IB284" s="9"/>
      <c r="IC284" s="9"/>
      <c r="ID284" s="9"/>
      <c r="IE284" s="9"/>
      <c r="IF284" s="9"/>
      <c r="IG284" s="9"/>
      <c r="IH284" s="9"/>
      <c r="II284" s="9"/>
      <c r="IJ284" s="9"/>
      <c r="IK284" s="9"/>
      <c r="IL284" s="9"/>
      <c r="IM284" s="9"/>
      <c r="IN284" s="9"/>
      <c r="IO284" s="9"/>
      <c r="IP284" s="9"/>
      <c r="IQ284" s="9"/>
      <c r="IR284" s="9"/>
      <c r="IS284" s="9"/>
      <c r="IT284" s="9"/>
      <c r="IU284" s="9"/>
      <c r="IV284" s="9"/>
      <c r="IW284" s="9"/>
      <c r="IX284" s="9"/>
      <c r="IY284" s="9"/>
      <c r="IZ284" s="9"/>
      <c r="JA284" s="9"/>
      <c r="JB284" s="9"/>
      <c r="JC284" s="9"/>
      <c r="JD284" s="9"/>
      <c r="JE284" s="9"/>
      <c r="JF284" s="9"/>
      <c r="JG284" s="9"/>
      <c r="JH284" s="9"/>
      <c r="JI284" s="9"/>
      <c r="JJ284" s="9"/>
      <c r="JK284" s="9"/>
      <c r="JL284" s="9"/>
      <c r="JM284" s="9"/>
      <c r="JN284" s="9"/>
      <c r="JO284" s="9"/>
      <c r="JP284" s="9"/>
      <c r="JQ284" s="9"/>
      <c r="JR284" s="9"/>
      <c r="JS284" s="9"/>
      <c r="JT284" s="9"/>
      <c r="JU284" s="9"/>
      <c r="JV284" s="9"/>
      <c r="JW284" s="9"/>
      <c r="JX284" s="9"/>
      <c r="JY284" s="9"/>
      <c r="JZ284" s="9"/>
      <c r="KA284" s="9"/>
      <c r="KB284" s="9"/>
      <c r="KC284" s="9"/>
      <c r="KD284" s="9"/>
      <c r="KE284" s="9"/>
      <c r="KF284" s="9"/>
      <c r="KG284" s="9"/>
      <c r="KH284" s="9"/>
      <c r="KI284" s="9"/>
      <c r="KJ284" s="9"/>
      <c r="KK284" s="9"/>
      <c r="KL284" s="9"/>
      <c r="KM284" s="9"/>
      <c r="KN284" s="9"/>
      <c r="KO284" s="9"/>
      <c r="KP284" s="9"/>
      <c r="KQ284" s="9"/>
      <c r="KR284" s="9"/>
      <c r="KS284" s="9"/>
      <c r="KT284" s="9"/>
      <c r="KU284" s="9"/>
      <c r="KV284" s="9"/>
      <c r="KW284" s="9"/>
      <c r="KX284" s="9"/>
      <c r="KY284" s="9"/>
      <c r="KZ284" s="9"/>
      <c r="LA284" s="9"/>
      <c r="LB284" s="9"/>
      <c r="LC284" s="9"/>
      <c r="LD284" s="9"/>
      <c r="LE284" s="9"/>
      <c r="LF284" s="9"/>
      <c r="LG284" s="9"/>
      <c r="LH284" s="9"/>
      <c r="LI284" s="9"/>
      <c r="LJ284" s="9"/>
      <c r="LK284" s="9"/>
      <c r="LL284" s="9"/>
      <c r="LM284" s="9"/>
      <c r="LN284" s="9"/>
      <c r="LO284" s="9"/>
      <c r="LP284" s="9"/>
      <c r="LQ284" s="9"/>
      <c r="LR284" s="9"/>
      <c r="LS284" s="9"/>
      <c r="LT284" s="9"/>
      <c r="LU284" s="9"/>
      <c r="LV284" s="9"/>
      <c r="LW284" s="9"/>
      <c r="LX284" s="9"/>
      <c r="LY284" s="9"/>
      <c r="LZ284" s="9"/>
      <c r="MA284" s="9"/>
      <c r="MB284" s="9"/>
      <c r="MC284" s="9"/>
      <c r="MD284" s="9"/>
      <c r="ME284" s="9"/>
      <c r="MF284" s="9"/>
      <c r="MG284" s="9"/>
      <c r="MH284" s="9"/>
      <c r="MI284" s="9"/>
      <c r="MJ284" s="9"/>
      <c r="MK284" s="9"/>
      <c r="ML284" s="9"/>
      <c r="MM284" s="9"/>
      <c r="MN284" s="9"/>
      <c r="MO284" s="9"/>
      <c r="MP284" s="9"/>
      <c r="MQ284" s="9"/>
      <c r="MR284" s="9"/>
      <c r="MS284" s="9"/>
      <c r="MT284" s="9"/>
      <c r="MU284" s="9"/>
      <c r="MV284" s="9"/>
      <c r="MW284" s="9"/>
      <c r="MX284" s="9"/>
      <c r="MY284" s="9"/>
      <c r="MZ284" s="9"/>
      <c r="NA284" s="9"/>
      <c r="NB284" s="9"/>
      <c r="NC284" s="9"/>
      <c r="ND284" s="9"/>
      <c r="NE284" s="9"/>
      <c r="NF284" s="9"/>
      <c r="NG284" s="9"/>
      <c r="NH284" s="9"/>
      <c r="NI284" s="9"/>
      <c r="NJ284" s="9"/>
      <c r="NK284" s="9"/>
      <c r="NL284" s="9"/>
      <c r="NM284" s="9"/>
      <c r="NN284" s="9"/>
      <c r="NO284" s="9"/>
      <c r="NP284" s="9"/>
      <c r="NQ284" s="9"/>
      <c r="NR284" s="9"/>
      <c r="NS284" s="9"/>
      <c r="NT284" s="9"/>
      <c r="NU284" s="9"/>
      <c r="NV284" s="9"/>
      <c r="NW284" s="9"/>
      <c r="NX284" s="9"/>
      <c r="NY284" s="9"/>
      <c r="NZ284" s="9"/>
      <c r="OA284" s="9"/>
      <c r="OB284" s="9"/>
      <c r="OC284" s="9"/>
      <c r="OD284" s="9"/>
      <c r="OE284" s="9"/>
      <c r="OF284" s="9"/>
      <c r="OG284" s="9"/>
      <c r="OH284" s="9"/>
      <c r="OI284" s="9"/>
      <c r="OJ284" s="9"/>
      <c r="OK284" s="9"/>
      <c r="OL284" s="9"/>
      <c r="OM284" s="9"/>
      <c r="ON284" s="9"/>
      <c r="OO284" s="9"/>
      <c r="OP284" s="9"/>
      <c r="OQ284" s="9"/>
      <c r="OR284" s="9"/>
      <c r="OS284" s="9"/>
      <c r="OT284" s="9"/>
      <c r="OU284" s="9"/>
      <c r="OV284" s="9"/>
      <c r="OW284" s="9"/>
      <c r="OX284" s="9"/>
      <c r="OY284" s="9"/>
      <c r="OZ284" s="9"/>
      <c r="PA284" s="9"/>
      <c r="PB284" s="9"/>
      <c r="PC284" s="9"/>
      <c r="PD284" s="9"/>
      <c r="PE284" s="9"/>
      <c r="PF284" s="9"/>
      <c r="PG284" s="9"/>
      <c r="PH284" s="9"/>
      <c r="PI284" s="9"/>
      <c r="PJ284" s="9"/>
      <c r="PK284" s="9"/>
      <c r="PL284" s="9"/>
      <c r="PM284" s="9"/>
      <c r="PN284" s="9"/>
      <c r="PO284" s="9"/>
      <c r="PP284" s="9"/>
      <c r="PQ284" s="9"/>
      <c r="PR284" s="9"/>
      <c r="PS284" s="9"/>
      <c r="PT284" s="9"/>
      <c r="PU284" s="9"/>
      <c r="PV284" s="9"/>
      <c r="PW284" s="9" t="s">
        <v>1101</v>
      </c>
      <c r="PX284" s="9"/>
      <c r="PY284" s="9" t="s">
        <v>1101</v>
      </c>
      <c r="PZ284" s="9"/>
      <c r="QA284" s="9"/>
      <c r="QB284" s="9"/>
      <c r="QC284" s="9"/>
      <c r="QD284" s="9"/>
      <c r="QE284" s="9"/>
      <c r="QF284" s="9"/>
      <c r="QG284" s="9"/>
      <c r="QH284" s="9"/>
      <c r="QI284" s="9"/>
      <c r="QJ284" s="9"/>
      <c r="QK284" s="9"/>
      <c r="QL284" s="9"/>
      <c r="QM284" s="9"/>
      <c r="QN284" s="9"/>
      <c r="QO284" s="9"/>
      <c r="QP284" s="9"/>
      <c r="QQ284" s="67"/>
      <c r="QR284" s="68"/>
      <c r="QS284" s="63"/>
      <c r="QT284" s="71"/>
    </row>
    <row r="285" spans="1:462" s="11" customFormat="1" x14ac:dyDescent="0.2">
      <c r="A285" s="9">
        <v>20</v>
      </c>
      <c r="B285" s="9"/>
      <c r="C285" s="9"/>
      <c r="D285" s="9" t="s">
        <v>957</v>
      </c>
      <c r="E285" s="65" t="s">
        <v>988</v>
      </c>
      <c r="F285" s="65"/>
      <c r="G285" s="92" t="s">
        <v>2469</v>
      </c>
      <c r="H285" s="66" t="s">
        <v>1374</v>
      </c>
      <c r="I285" s="9" t="s">
        <v>1101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  <c r="HE285" s="9"/>
      <c r="HF285" s="9"/>
      <c r="HG285" s="9"/>
      <c r="HH285" s="9"/>
      <c r="HI285" s="9"/>
      <c r="HJ285" s="9"/>
      <c r="HK285" s="9"/>
      <c r="HL285" s="9"/>
      <c r="HM285" s="9"/>
      <c r="HN285" s="9"/>
      <c r="HO285" s="9"/>
      <c r="HP285" s="9"/>
      <c r="HQ285" s="9"/>
      <c r="HR285" s="9"/>
      <c r="HS285" s="9"/>
      <c r="HT285" s="9"/>
      <c r="HU285" s="9"/>
      <c r="HV285" s="9"/>
      <c r="HW285" s="9"/>
      <c r="HX285" s="9"/>
      <c r="HY285" s="9"/>
      <c r="HZ285" s="9"/>
      <c r="IA285" s="9"/>
      <c r="IB285" s="9"/>
      <c r="IC285" s="9"/>
      <c r="ID285" s="9"/>
      <c r="IE285" s="9"/>
      <c r="IF285" s="9"/>
      <c r="IG285" s="9"/>
      <c r="IH285" s="9"/>
      <c r="II285" s="9"/>
      <c r="IJ285" s="9"/>
      <c r="IK285" s="9"/>
      <c r="IL285" s="9"/>
      <c r="IM285" s="9"/>
      <c r="IN285" s="9"/>
      <c r="IO285" s="9"/>
      <c r="IP285" s="9"/>
      <c r="IQ285" s="9"/>
      <c r="IR285" s="9"/>
      <c r="IS285" s="9"/>
      <c r="IT285" s="9"/>
      <c r="IU285" s="9"/>
      <c r="IV285" s="9"/>
      <c r="IW285" s="9"/>
      <c r="IX285" s="9"/>
      <c r="IY285" s="9"/>
      <c r="IZ285" s="9"/>
      <c r="JA285" s="9"/>
      <c r="JB285" s="9"/>
      <c r="JC285" s="9"/>
      <c r="JD285" s="9"/>
      <c r="JE285" s="9"/>
      <c r="JF285" s="9"/>
      <c r="JG285" s="9"/>
      <c r="JH285" s="9"/>
      <c r="JI285" s="9"/>
      <c r="JJ285" s="9"/>
      <c r="JK285" s="9"/>
      <c r="JL285" s="9"/>
      <c r="JM285" s="9"/>
      <c r="JN285" s="9"/>
      <c r="JO285" s="9"/>
      <c r="JP285" s="9"/>
      <c r="JQ285" s="9"/>
      <c r="JR285" s="9"/>
      <c r="JS285" s="9"/>
      <c r="JT285" s="9"/>
      <c r="JU285" s="9"/>
      <c r="JV285" s="9"/>
      <c r="JW285" s="9"/>
      <c r="JX285" s="9"/>
      <c r="JY285" s="9"/>
      <c r="JZ285" s="9"/>
      <c r="KA285" s="9"/>
      <c r="KB285" s="9"/>
      <c r="KC285" s="9"/>
      <c r="KD285" s="9"/>
      <c r="KE285" s="9"/>
      <c r="KF285" s="9"/>
      <c r="KG285" s="9"/>
      <c r="KH285" s="9"/>
      <c r="KI285" s="9"/>
      <c r="KJ285" s="9"/>
      <c r="KK285" s="9"/>
      <c r="KL285" s="9"/>
      <c r="KM285" s="9"/>
      <c r="KN285" s="9"/>
      <c r="KO285" s="9"/>
      <c r="KP285" s="9"/>
      <c r="KQ285" s="9"/>
      <c r="KR285" s="9"/>
      <c r="KS285" s="9"/>
      <c r="KT285" s="9"/>
      <c r="KU285" s="9"/>
      <c r="KV285" s="9"/>
      <c r="KW285" s="9"/>
      <c r="KX285" s="9"/>
      <c r="KY285" s="9"/>
      <c r="KZ285" s="9"/>
      <c r="LA285" s="9"/>
      <c r="LB285" s="9"/>
      <c r="LC285" s="9"/>
      <c r="LD285" s="9"/>
      <c r="LE285" s="9"/>
      <c r="LF285" s="9"/>
      <c r="LG285" s="9"/>
      <c r="LH285" s="9"/>
      <c r="LI285" s="9"/>
      <c r="LJ285" s="9"/>
      <c r="LK285" s="9"/>
      <c r="LL285" s="9"/>
      <c r="LM285" s="9"/>
      <c r="LN285" s="9"/>
      <c r="LO285" s="9"/>
      <c r="LP285" s="9"/>
      <c r="LQ285" s="9"/>
      <c r="LR285" s="9"/>
      <c r="LS285" s="9"/>
      <c r="LT285" s="9"/>
      <c r="LU285" s="9"/>
      <c r="LV285" s="9"/>
      <c r="LW285" s="9"/>
      <c r="LX285" s="9"/>
      <c r="LY285" s="9"/>
      <c r="LZ285" s="9"/>
      <c r="MA285" s="9"/>
      <c r="MB285" s="9"/>
      <c r="MC285" s="9"/>
      <c r="MD285" s="9"/>
      <c r="ME285" s="9"/>
      <c r="MF285" s="9"/>
      <c r="MG285" s="9"/>
      <c r="MH285" s="9"/>
      <c r="MI285" s="9"/>
      <c r="MJ285" s="9"/>
      <c r="MK285" s="9"/>
      <c r="ML285" s="9"/>
      <c r="MM285" s="9"/>
      <c r="MN285" s="9"/>
      <c r="MO285" s="9"/>
      <c r="MP285" s="9"/>
      <c r="MQ285" s="9"/>
      <c r="MR285" s="9"/>
      <c r="MS285" s="9"/>
      <c r="MT285" s="9"/>
      <c r="MU285" s="9"/>
      <c r="MV285" s="9"/>
      <c r="MW285" s="9"/>
      <c r="MX285" s="9"/>
      <c r="MY285" s="9"/>
      <c r="MZ285" s="9"/>
      <c r="NA285" s="9"/>
      <c r="NB285" s="9"/>
      <c r="NC285" s="9"/>
      <c r="ND285" s="9"/>
      <c r="NE285" s="9"/>
      <c r="NF285" s="9"/>
      <c r="NG285" s="9"/>
      <c r="NH285" s="9"/>
      <c r="NI285" s="9"/>
      <c r="NJ285" s="9"/>
      <c r="NK285" s="9"/>
      <c r="NL285" s="9"/>
      <c r="NM285" s="9"/>
      <c r="NN285" s="9"/>
      <c r="NO285" s="9"/>
      <c r="NP285" s="9"/>
      <c r="NQ285" s="9"/>
      <c r="NR285" s="9"/>
      <c r="NS285" s="9"/>
      <c r="NT285" s="9"/>
      <c r="NU285" s="9"/>
      <c r="NV285" s="9"/>
      <c r="NW285" s="9"/>
      <c r="NX285" s="9"/>
      <c r="NY285" s="9"/>
      <c r="NZ285" s="9"/>
      <c r="OA285" s="9"/>
      <c r="OB285" s="9"/>
      <c r="OC285" s="9"/>
      <c r="OD285" s="9"/>
      <c r="OE285" s="9"/>
      <c r="OF285" s="9"/>
      <c r="OG285" s="9"/>
      <c r="OH285" s="9"/>
      <c r="OI285" s="9"/>
      <c r="OJ285" s="9"/>
      <c r="OK285" s="9"/>
      <c r="OL285" s="9"/>
      <c r="OM285" s="9"/>
      <c r="ON285" s="9"/>
      <c r="OO285" s="9"/>
      <c r="OP285" s="9"/>
      <c r="OQ285" s="9"/>
      <c r="OR285" s="9"/>
      <c r="OS285" s="9"/>
      <c r="OT285" s="9"/>
      <c r="OU285" s="9"/>
      <c r="OV285" s="9"/>
      <c r="OW285" s="9"/>
      <c r="OX285" s="9"/>
      <c r="OY285" s="9"/>
      <c r="OZ285" s="9"/>
      <c r="PA285" s="9"/>
      <c r="PB285" s="9"/>
      <c r="PC285" s="9"/>
      <c r="PD285" s="9"/>
      <c r="PE285" s="9"/>
      <c r="PF285" s="9"/>
      <c r="PG285" s="9"/>
      <c r="PH285" s="9"/>
      <c r="PI285" s="9"/>
      <c r="PJ285" s="9"/>
      <c r="PK285" s="9"/>
      <c r="PL285" s="9"/>
      <c r="PM285" s="9"/>
      <c r="PN285" s="9"/>
      <c r="PO285" s="9"/>
      <c r="PP285" s="9"/>
      <c r="PQ285" s="9"/>
      <c r="PR285" s="9"/>
      <c r="PS285" s="9"/>
      <c r="PT285" s="9"/>
      <c r="PU285" s="9"/>
      <c r="PV285" s="9"/>
      <c r="PW285" s="9"/>
      <c r="PX285" s="9"/>
      <c r="PY285" s="9"/>
      <c r="PZ285" s="9"/>
      <c r="QA285" s="9"/>
      <c r="QB285" s="9"/>
      <c r="QC285" s="9"/>
      <c r="QD285" s="9"/>
      <c r="QE285" s="9" t="s">
        <v>1101</v>
      </c>
      <c r="QF285" s="9"/>
      <c r="QG285" s="9" t="s">
        <v>1101</v>
      </c>
      <c r="QH285" s="9"/>
      <c r="QI285" s="9"/>
      <c r="QJ285" s="9"/>
      <c r="QK285" s="9"/>
      <c r="QL285" s="9"/>
      <c r="QM285" s="9"/>
      <c r="QN285" s="9"/>
      <c r="QO285" s="9"/>
      <c r="QP285" s="9"/>
      <c r="QQ285" s="67"/>
      <c r="QR285" s="68"/>
      <c r="QS285" s="63"/>
      <c r="QT285" s="71"/>
    </row>
    <row r="286" spans="1:462" s="11" customFormat="1" x14ac:dyDescent="0.2">
      <c r="A286" s="9">
        <v>20</v>
      </c>
      <c r="B286" s="9"/>
      <c r="C286" s="9"/>
      <c r="D286" s="9" t="s">
        <v>2050</v>
      </c>
      <c r="E286" s="65" t="s">
        <v>2052</v>
      </c>
      <c r="F286" s="65"/>
      <c r="G286" s="92" t="s">
        <v>2310</v>
      </c>
      <c r="H286" s="66" t="s">
        <v>2041</v>
      </c>
      <c r="I286" s="9" t="s">
        <v>1041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  <c r="HE286" s="9"/>
      <c r="HF286" s="9"/>
      <c r="HG286" s="9"/>
      <c r="HH286" s="9"/>
      <c r="HI286" s="9"/>
      <c r="HJ286" s="9"/>
      <c r="HK286" s="9"/>
      <c r="HL286" s="9"/>
      <c r="HM286" s="9"/>
      <c r="HN286" s="9"/>
      <c r="HO286" s="9"/>
      <c r="HP286" s="9"/>
      <c r="HQ286" s="9"/>
      <c r="HR286" s="9"/>
      <c r="HS286" s="9"/>
      <c r="HT286" s="9"/>
      <c r="HU286" s="9"/>
      <c r="HV286" s="9"/>
      <c r="HW286" s="9"/>
      <c r="HX286" s="9"/>
      <c r="HY286" s="9"/>
      <c r="HZ286" s="9"/>
      <c r="IA286" s="9"/>
      <c r="IB286" s="9"/>
      <c r="IC286" s="9"/>
      <c r="ID286" s="9"/>
      <c r="IE286" s="9"/>
      <c r="IF286" s="9"/>
      <c r="IG286" s="9"/>
      <c r="IH286" s="9"/>
      <c r="II286" s="9"/>
      <c r="IJ286" s="9"/>
      <c r="IK286" s="9"/>
      <c r="IL286" s="9"/>
      <c r="IM286" s="9"/>
      <c r="IN286" s="9"/>
      <c r="IO286" s="9"/>
      <c r="IP286" s="9"/>
      <c r="IQ286" s="9"/>
      <c r="IR286" s="9"/>
      <c r="IS286" s="9"/>
      <c r="IT286" s="9"/>
      <c r="IU286" s="9"/>
      <c r="IV286" s="9"/>
      <c r="IW286" s="9"/>
      <c r="IX286" s="9"/>
      <c r="IY286" s="9"/>
      <c r="IZ286" s="9"/>
      <c r="JA286" s="9"/>
      <c r="JB286" s="9"/>
      <c r="JC286" s="9"/>
      <c r="JD286" s="9"/>
      <c r="JE286" s="9"/>
      <c r="JF286" s="9"/>
      <c r="JG286" s="9"/>
      <c r="JH286" s="9"/>
      <c r="JI286" s="9"/>
      <c r="JJ286" s="9"/>
      <c r="JK286" s="9"/>
      <c r="JL286" s="9"/>
      <c r="JM286" s="9"/>
      <c r="JN286" s="9"/>
      <c r="JO286" s="9"/>
      <c r="JP286" s="9"/>
      <c r="JQ286" s="9"/>
      <c r="JR286" s="9"/>
      <c r="JS286" s="9"/>
      <c r="JT286" s="9"/>
      <c r="JU286" s="9"/>
      <c r="JV286" s="9"/>
      <c r="JW286" s="9"/>
      <c r="JX286" s="9"/>
      <c r="JY286" s="9"/>
      <c r="JZ286" s="9"/>
      <c r="KA286" s="9"/>
      <c r="KB286" s="9"/>
      <c r="KC286" s="9"/>
      <c r="KD286" s="9"/>
      <c r="KE286" s="9"/>
      <c r="KF286" s="9"/>
      <c r="KG286" s="9"/>
      <c r="KH286" s="9"/>
      <c r="KI286" s="9"/>
      <c r="KJ286" s="9"/>
      <c r="KK286" s="9"/>
      <c r="KL286" s="9"/>
      <c r="KM286" s="9"/>
      <c r="KN286" s="9"/>
      <c r="KO286" s="9"/>
      <c r="KP286" s="9"/>
      <c r="KQ286" s="9"/>
      <c r="KR286" s="9"/>
      <c r="KS286" s="9"/>
      <c r="KT286" s="9"/>
      <c r="KU286" s="9"/>
      <c r="KV286" s="9"/>
      <c r="KW286" s="9"/>
      <c r="KX286" s="9"/>
      <c r="KY286" s="9"/>
      <c r="KZ286" s="9"/>
      <c r="LA286" s="9"/>
      <c r="LB286" s="9"/>
      <c r="LC286" s="9"/>
      <c r="LD286" s="9"/>
      <c r="LE286" s="9"/>
      <c r="LF286" s="9"/>
      <c r="LG286" s="9"/>
      <c r="LH286" s="9"/>
      <c r="LI286" s="9"/>
      <c r="LJ286" s="9"/>
      <c r="LK286" s="9"/>
      <c r="LL286" s="9"/>
      <c r="LM286" s="9"/>
      <c r="LN286" s="9"/>
      <c r="LO286" s="9"/>
      <c r="LP286" s="9"/>
      <c r="LQ286" s="9"/>
      <c r="LR286" s="9"/>
      <c r="LS286" s="9"/>
      <c r="LT286" s="9"/>
      <c r="LU286" s="9"/>
      <c r="LV286" s="9"/>
      <c r="LW286" s="9"/>
      <c r="LX286" s="9"/>
      <c r="LY286" s="9"/>
      <c r="LZ286" s="9"/>
      <c r="MA286" s="9"/>
      <c r="MB286" s="9"/>
      <c r="MC286" s="9"/>
      <c r="MD286" s="9"/>
      <c r="ME286" s="9"/>
      <c r="MF286" s="9"/>
      <c r="MG286" s="9"/>
      <c r="MH286" s="9"/>
      <c r="MI286" s="9"/>
      <c r="MJ286" s="9"/>
      <c r="MK286" s="9"/>
      <c r="ML286" s="9"/>
      <c r="MM286" s="9"/>
      <c r="MN286" s="9"/>
      <c r="MO286" s="9"/>
      <c r="MP286" s="9"/>
      <c r="MQ286" s="9"/>
      <c r="MR286" s="9"/>
      <c r="MS286" s="9"/>
      <c r="MT286" s="9"/>
      <c r="MU286" s="9"/>
      <c r="MV286" s="9"/>
      <c r="MW286" s="9"/>
      <c r="MX286" s="9"/>
      <c r="MY286" s="9"/>
      <c r="MZ286" s="9"/>
      <c r="NA286" s="9"/>
      <c r="NB286" s="9"/>
      <c r="NC286" s="9"/>
      <c r="ND286" s="9"/>
      <c r="NE286" s="9"/>
      <c r="NF286" s="9"/>
      <c r="NG286" s="9"/>
      <c r="NH286" s="9"/>
      <c r="NI286" s="9"/>
      <c r="NJ286" s="9"/>
      <c r="NK286" s="9"/>
      <c r="NL286" s="9"/>
      <c r="NM286" s="9"/>
      <c r="NN286" s="9"/>
      <c r="NO286" s="9"/>
      <c r="NP286" s="9"/>
      <c r="NQ286" s="9"/>
      <c r="NR286" s="9"/>
      <c r="NS286" s="9"/>
      <c r="NT286" s="9"/>
      <c r="NU286" s="9"/>
      <c r="NV286" s="9"/>
      <c r="NW286" s="9"/>
      <c r="NX286" s="9"/>
      <c r="NY286" s="9"/>
      <c r="NZ286" s="9"/>
      <c r="OA286" s="9"/>
      <c r="OB286" s="9"/>
      <c r="OC286" s="9"/>
      <c r="OD286" s="9"/>
      <c r="OE286" s="9"/>
      <c r="OF286" s="9"/>
      <c r="OG286" s="9"/>
      <c r="OH286" s="9"/>
      <c r="OI286" s="9"/>
      <c r="OJ286" s="9"/>
      <c r="OK286" s="9"/>
      <c r="OL286" s="9"/>
      <c r="OM286" s="9"/>
      <c r="ON286" s="9"/>
      <c r="OO286" s="9"/>
      <c r="OP286" s="9"/>
      <c r="OQ286" s="9"/>
      <c r="OR286" s="9"/>
      <c r="OS286" s="9"/>
      <c r="OT286" s="9"/>
      <c r="OU286" s="9"/>
      <c r="OV286" s="9"/>
      <c r="OW286" s="9"/>
      <c r="OX286" s="9"/>
      <c r="OY286" s="9"/>
      <c r="OZ286" s="9"/>
      <c r="PA286" s="9"/>
      <c r="PB286" s="9"/>
      <c r="PC286" s="9"/>
      <c r="PD286" s="9"/>
      <c r="PE286" s="9"/>
      <c r="PF286" s="9"/>
      <c r="PG286" s="9"/>
      <c r="PH286" s="9"/>
      <c r="PI286" s="9"/>
      <c r="PJ286" s="9"/>
      <c r="PK286" s="9"/>
      <c r="PL286" s="9"/>
      <c r="PM286" s="9"/>
      <c r="PN286" s="9"/>
      <c r="PO286" s="9"/>
      <c r="PP286" s="9"/>
      <c r="PQ286" s="9"/>
      <c r="PR286" s="9"/>
      <c r="PS286" s="9"/>
      <c r="PT286" s="9"/>
      <c r="PU286" s="9"/>
      <c r="PV286" s="9"/>
      <c r="PW286" s="9"/>
      <c r="PX286" s="9"/>
      <c r="PY286" s="9"/>
      <c r="PZ286" s="9"/>
      <c r="QA286" s="9"/>
      <c r="QB286" s="9"/>
      <c r="QC286" s="9"/>
      <c r="QD286" s="9"/>
      <c r="QE286" s="9"/>
      <c r="QF286" s="9"/>
      <c r="QG286" s="9"/>
      <c r="QH286" s="9"/>
      <c r="QI286" s="9"/>
      <c r="QJ286" s="9"/>
      <c r="QK286" s="9"/>
      <c r="QL286" s="9"/>
      <c r="QM286" s="9" t="s">
        <v>1101</v>
      </c>
      <c r="QN286" s="9"/>
      <c r="QO286" s="9" t="s">
        <v>1101</v>
      </c>
      <c r="QP286" s="9"/>
      <c r="QQ286" s="67"/>
      <c r="QR286" s="68"/>
      <c r="QS286" s="63"/>
      <c r="QT286" s="71"/>
    </row>
    <row r="287" spans="1:462" s="11" customFormat="1" x14ac:dyDescent="0.2">
      <c r="A287" s="9">
        <v>20</v>
      </c>
      <c r="B287" s="9"/>
      <c r="C287" s="9"/>
      <c r="D287" s="9" t="s">
        <v>66</v>
      </c>
      <c r="E287" s="65" t="s">
        <v>65</v>
      </c>
      <c r="F287" s="65"/>
      <c r="G287" s="91" t="s">
        <v>2488</v>
      </c>
      <c r="H287" s="66" t="s">
        <v>1397</v>
      </c>
      <c r="I287" s="9" t="s">
        <v>1101</v>
      </c>
      <c r="J287" s="9"/>
      <c r="K287" s="9"/>
      <c r="L287" s="9"/>
      <c r="M287" s="9"/>
      <c r="N287" s="9"/>
      <c r="O287" s="9" t="s">
        <v>1101</v>
      </c>
      <c r="P287" s="9"/>
      <c r="Q287" s="9" t="s">
        <v>1101</v>
      </c>
      <c r="R287" s="9"/>
      <c r="S287" s="9"/>
      <c r="T287" s="9"/>
      <c r="U287" s="9"/>
      <c r="V287" s="9"/>
      <c r="W287" s="9" t="s">
        <v>1101</v>
      </c>
      <c r="X287" s="9"/>
      <c r="Y287" s="9" t="s">
        <v>1101</v>
      </c>
      <c r="Z287" s="9"/>
      <c r="AA287" s="9"/>
      <c r="AB287" s="9"/>
      <c r="AC287" s="9"/>
      <c r="AD287" s="9"/>
      <c r="AE287" s="9" t="s">
        <v>1101</v>
      </c>
      <c r="AF287" s="9"/>
      <c r="AG287" s="9" t="s">
        <v>1101</v>
      </c>
      <c r="AH287" s="9"/>
      <c r="AI287" s="9"/>
      <c r="AJ287" s="9"/>
      <c r="AK287" s="9"/>
      <c r="AL287" s="9"/>
      <c r="AM287" s="9" t="s">
        <v>1101</v>
      </c>
      <c r="AN287" s="9"/>
      <c r="AO287" s="9" t="s">
        <v>1101</v>
      </c>
      <c r="AP287" s="9"/>
      <c r="AQ287" s="9"/>
      <c r="AR287" s="9"/>
      <c r="AS287" s="9"/>
      <c r="AT287" s="9"/>
      <c r="AU287" s="9" t="s">
        <v>1101</v>
      </c>
      <c r="AV287" s="9"/>
      <c r="AW287" s="9" t="s">
        <v>1101</v>
      </c>
      <c r="AX287" s="9"/>
      <c r="AY287" s="9"/>
      <c r="AZ287" s="9"/>
      <c r="BA287" s="9"/>
      <c r="BB287" s="9"/>
      <c r="BC287" s="9" t="s">
        <v>1101</v>
      </c>
      <c r="BD287" s="9"/>
      <c r="BE287" s="9" t="s">
        <v>1101</v>
      </c>
      <c r="BF287" s="9"/>
      <c r="BG287" s="9"/>
      <c r="BH287" s="9"/>
      <c r="BI287" s="9"/>
      <c r="BJ287" s="9"/>
      <c r="BK287" s="9" t="s">
        <v>1101</v>
      </c>
      <c r="BL287" s="9"/>
      <c r="BM287" s="9" t="s">
        <v>1101</v>
      </c>
      <c r="BN287" s="9"/>
      <c r="BO287" s="9"/>
      <c r="BP287" s="9"/>
      <c r="BQ287" s="9"/>
      <c r="BR287" s="9"/>
      <c r="BS287" s="9" t="s">
        <v>1101</v>
      </c>
      <c r="BT287" s="9"/>
      <c r="BU287" s="9" t="s">
        <v>1101</v>
      </c>
      <c r="BV287" s="9"/>
      <c r="BW287" s="9"/>
      <c r="BX287" s="9"/>
      <c r="BY287" s="9"/>
      <c r="BZ287" s="9"/>
      <c r="CA287" s="9" t="s">
        <v>1101</v>
      </c>
      <c r="CB287" s="9"/>
      <c r="CC287" s="9" t="s">
        <v>1101</v>
      </c>
      <c r="CD287" s="9"/>
      <c r="CE287" s="9"/>
      <c r="CF287" s="9"/>
      <c r="CG287" s="9"/>
      <c r="CH287" s="9"/>
      <c r="CI287" s="9" t="s">
        <v>1101</v>
      </c>
      <c r="CJ287" s="9"/>
      <c r="CK287" s="9" t="s">
        <v>1101</v>
      </c>
      <c r="CL287" s="9"/>
      <c r="CM287" s="9"/>
      <c r="CN287" s="9"/>
      <c r="CO287" s="9"/>
      <c r="CP287" s="9"/>
      <c r="CQ287" s="9" t="s">
        <v>1101</v>
      </c>
      <c r="CR287" s="9"/>
      <c r="CS287" s="9" t="s">
        <v>1101</v>
      </c>
      <c r="CT287" s="9"/>
      <c r="CU287" s="9"/>
      <c r="CV287" s="9"/>
      <c r="CW287" s="9"/>
      <c r="CX287" s="9"/>
      <c r="CY287" s="9" t="s">
        <v>1101</v>
      </c>
      <c r="CZ287" s="9"/>
      <c r="DA287" s="9" t="s">
        <v>1101</v>
      </c>
      <c r="DB287" s="9"/>
      <c r="DC287" s="9"/>
      <c r="DD287" s="9"/>
      <c r="DE287" s="9"/>
      <c r="DF287" s="9"/>
      <c r="DG287" s="9" t="s">
        <v>1101</v>
      </c>
      <c r="DH287" s="9"/>
      <c r="DI287" s="9" t="s">
        <v>1101</v>
      </c>
      <c r="DJ287" s="9"/>
      <c r="DK287" s="9"/>
      <c r="DL287" s="9"/>
      <c r="DM287" s="9"/>
      <c r="DN287" s="9"/>
      <c r="DO287" s="9" t="s">
        <v>1101</v>
      </c>
      <c r="DP287" s="9"/>
      <c r="DQ287" s="9" t="s">
        <v>1101</v>
      </c>
      <c r="DR287" s="9"/>
      <c r="DS287" s="9"/>
      <c r="DT287" s="9"/>
      <c r="DU287" s="9"/>
      <c r="DV287" s="9"/>
      <c r="DW287" s="9" t="s">
        <v>1101</v>
      </c>
      <c r="DX287" s="9"/>
      <c r="DY287" s="9" t="s">
        <v>1101</v>
      </c>
      <c r="DZ287" s="9"/>
      <c r="EA287" s="9"/>
      <c r="EB287" s="9"/>
      <c r="EC287" s="9"/>
      <c r="ED287" s="9"/>
      <c r="EE287" s="9" t="s">
        <v>1101</v>
      </c>
      <c r="EF287" s="9"/>
      <c r="EG287" s="9" t="s">
        <v>1101</v>
      </c>
      <c r="EH287" s="9"/>
      <c r="EI287" s="9"/>
      <c r="EJ287" s="9"/>
      <c r="EK287" s="9"/>
      <c r="EL287" s="9"/>
      <c r="EM287" s="9" t="s">
        <v>1101</v>
      </c>
      <c r="EN287" s="9"/>
      <c r="EO287" s="9" t="s">
        <v>1101</v>
      </c>
      <c r="EP287" s="9"/>
      <c r="EQ287" s="9"/>
      <c r="ER287" s="9"/>
      <c r="ES287" s="9"/>
      <c r="ET287" s="9"/>
      <c r="EU287" s="9" t="s">
        <v>1101</v>
      </c>
      <c r="EV287" s="9"/>
      <c r="EW287" s="9" t="s">
        <v>1101</v>
      </c>
      <c r="EX287" s="9"/>
      <c r="EY287" s="9"/>
      <c r="EZ287" s="9"/>
      <c r="FA287" s="9"/>
      <c r="FB287" s="9"/>
      <c r="FC287" s="9" t="s">
        <v>1101</v>
      </c>
      <c r="FD287" s="9"/>
      <c r="FE287" s="9" t="s">
        <v>1101</v>
      </c>
      <c r="FF287" s="9"/>
      <c r="FG287" s="9"/>
      <c r="FH287" s="9"/>
      <c r="FI287" s="9"/>
      <c r="FJ287" s="9"/>
      <c r="FK287" s="9" t="s">
        <v>1101</v>
      </c>
      <c r="FL287" s="9"/>
      <c r="FM287" s="9" t="s">
        <v>1101</v>
      </c>
      <c r="FN287" s="9"/>
      <c r="FO287" s="9"/>
      <c r="FP287" s="9"/>
      <c r="FQ287" s="9"/>
      <c r="FR287" s="9"/>
      <c r="FS287" s="9" t="s">
        <v>1101</v>
      </c>
      <c r="FT287" s="9"/>
      <c r="FU287" s="9" t="s">
        <v>1101</v>
      </c>
      <c r="FV287" s="9"/>
      <c r="FW287" s="9"/>
      <c r="FX287" s="9"/>
      <c r="FY287" s="9"/>
      <c r="FZ287" s="9"/>
      <c r="GA287" s="9" t="s">
        <v>1101</v>
      </c>
      <c r="GB287" s="9"/>
      <c r="GC287" s="9" t="s">
        <v>1101</v>
      </c>
      <c r="GD287" s="9"/>
      <c r="GE287" s="9"/>
      <c r="GF287" s="9"/>
      <c r="GG287" s="9"/>
      <c r="GH287" s="9"/>
      <c r="GI287" s="9" t="s">
        <v>1101</v>
      </c>
      <c r="GJ287" s="9"/>
      <c r="GK287" s="9" t="s">
        <v>1101</v>
      </c>
      <c r="GL287" s="9"/>
      <c r="GM287" s="9"/>
      <c r="GN287" s="9"/>
      <c r="GO287" s="9"/>
      <c r="GP287" s="9"/>
      <c r="GQ287" s="9" t="s">
        <v>1101</v>
      </c>
      <c r="GR287" s="9"/>
      <c r="GS287" s="9" t="s">
        <v>1101</v>
      </c>
      <c r="GT287" s="9"/>
      <c r="GU287" s="9"/>
      <c r="GV287" s="9"/>
      <c r="GW287" s="9"/>
      <c r="GX287" s="9"/>
      <c r="GY287" s="9" t="s">
        <v>1101</v>
      </c>
      <c r="GZ287" s="9"/>
      <c r="HA287" s="9" t="s">
        <v>1101</v>
      </c>
      <c r="HB287" s="9"/>
      <c r="HC287" s="9"/>
      <c r="HD287" s="9"/>
      <c r="HE287" s="9"/>
      <c r="HF287" s="9"/>
      <c r="HG287" s="9" t="s">
        <v>1101</v>
      </c>
      <c r="HH287" s="9"/>
      <c r="HI287" s="9" t="s">
        <v>1101</v>
      </c>
      <c r="HJ287" s="9"/>
      <c r="HK287" s="9"/>
      <c r="HL287" s="9"/>
      <c r="HM287" s="9"/>
      <c r="HN287" s="9"/>
      <c r="HO287" s="9" t="s">
        <v>1101</v>
      </c>
      <c r="HP287" s="9"/>
      <c r="HQ287" s="9" t="s">
        <v>1101</v>
      </c>
      <c r="HR287" s="9"/>
      <c r="HS287" s="9"/>
      <c r="HT287" s="9"/>
      <c r="HU287" s="9"/>
      <c r="HV287" s="9"/>
      <c r="HW287" s="9" t="s">
        <v>1101</v>
      </c>
      <c r="HX287" s="9"/>
      <c r="HY287" s="9" t="s">
        <v>1101</v>
      </c>
      <c r="HZ287" s="9"/>
      <c r="IA287" s="9"/>
      <c r="IB287" s="9"/>
      <c r="IC287" s="9"/>
      <c r="ID287" s="9"/>
      <c r="IE287" s="9" t="s">
        <v>1101</v>
      </c>
      <c r="IF287" s="9"/>
      <c r="IG287" s="9" t="s">
        <v>1101</v>
      </c>
      <c r="IH287" s="9"/>
      <c r="II287" s="9"/>
      <c r="IJ287" s="9"/>
      <c r="IK287" s="9"/>
      <c r="IL287" s="9"/>
      <c r="IM287" s="9" t="s">
        <v>1101</v>
      </c>
      <c r="IN287" s="9"/>
      <c r="IO287" s="9" t="s">
        <v>1101</v>
      </c>
      <c r="IP287" s="9"/>
      <c r="IQ287" s="9"/>
      <c r="IR287" s="9"/>
      <c r="IS287" s="9"/>
      <c r="IT287" s="9"/>
      <c r="IU287" s="9" t="s">
        <v>1101</v>
      </c>
      <c r="IV287" s="9"/>
      <c r="IW287" s="9" t="s">
        <v>1101</v>
      </c>
      <c r="IX287" s="9"/>
      <c r="IY287" s="9"/>
      <c r="IZ287" s="9"/>
      <c r="JA287" s="9"/>
      <c r="JB287" s="9"/>
      <c r="JC287" s="9" t="s">
        <v>1101</v>
      </c>
      <c r="JD287" s="9"/>
      <c r="JE287" s="9" t="s">
        <v>1101</v>
      </c>
      <c r="JF287" s="9"/>
      <c r="JG287" s="9"/>
      <c r="JH287" s="9"/>
      <c r="JI287" s="9"/>
      <c r="JJ287" s="9"/>
      <c r="JK287" s="9" t="s">
        <v>1101</v>
      </c>
      <c r="JL287" s="9"/>
      <c r="JM287" s="9" t="s">
        <v>1101</v>
      </c>
      <c r="JN287" s="9"/>
      <c r="JO287" s="9"/>
      <c r="JP287" s="9"/>
      <c r="JQ287" s="9"/>
      <c r="JR287" s="9"/>
      <c r="JS287" s="9" t="s">
        <v>1101</v>
      </c>
      <c r="JT287" s="9"/>
      <c r="JU287" s="9" t="s">
        <v>1101</v>
      </c>
      <c r="JV287" s="9"/>
      <c r="JW287" s="9"/>
      <c r="JX287" s="9"/>
      <c r="JY287" s="9"/>
      <c r="JZ287" s="9"/>
      <c r="KA287" s="9" t="s">
        <v>1101</v>
      </c>
      <c r="KB287" s="9"/>
      <c r="KC287" s="9" t="s">
        <v>1101</v>
      </c>
      <c r="KD287" s="9"/>
      <c r="KE287" s="9"/>
      <c r="KF287" s="9"/>
      <c r="KG287" s="9"/>
      <c r="KH287" s="9"/>
      <c r="KI287" s="9" t="s">
        <v>1101</v>
      </c>
      <c r="KJ287" s="9"/>
      <c r="KK287" s="9" t="s">
        <v>1101</v>
      </c>
      <c r="KL287" s="9"/>
      <c r="KM287" s="9"/>
      <c r="KN287" s="9"/>
      <c r="KO287" s="9"/>
      <c r="KP287" s="9"/>
      <c r="KQ287" s="9" t="s">
        <v>1101</v>
      </c>
      <c r="KR287" s="9"/>
      <c r="KS287" s="9" t="s">
        <v>1101</v>
      </c>
      <c r="KT287" s="9"/>
      <c r="KU287" s="9"/>
      <c r="KV287" s="9"/>
      <c r="KW287" s="9"/>
      <c r="KX287" s="9"/>
      <c r="KY287" s="9" t="s">
        <v>1101</v>
      </c>
      <c r="KZ287" s="9"/>
      <c r="LA287" s="9" t="s">
        <v>1101</v>
      </c>
      <c r="LB287" s="9"/>
      <c r="LC287" s="9"/>
      <c r="LD287" s="9"/>
      <c r="LE287" s="9"/>
      <c r="LF287" s="9"/>
      <c r="LG287" s="9" t="s">
        <v>1101</v>
      </c>
      <c r="LH287" s="9"/>
      <c r="LI287" s="9" t="s">
        <v>1101</v>
      </c>
      <c r="LJ287" s="9"/>
      <c r="LK287" s="9"/>
      <c r="LL287" s="9"/>
      <c r="LM287" s="9"/>
      <c r="LN287" s="9"/>
      <c r="LO287" s="9" t="s">
        <v>1101</v>
      </c>
      <c r="LP287" s="9"/>
      <c r="LQ287" s="9" t="s">
        <v>1101</v>
      </c>
      <c r="LR287" s="9"/>
      <c r="LS287" s="9"/>
      <c r="LT287" s="9"/>
      <c r="LU287" s="9"/>
      <c r="LV287" s="9"/>
      <c r="LW287" s="9" t="s">
        <v>1101</v>
      </c>
      <c r="LX287" s="9"/>
      <c r="LY287" s="9" t="s">
        <v>1101</v>
      </c>
      <c r="LZ287" s="9"/>
      <c r="MA287" s="9"/>
      <c r="MB287" s="9"/>
      <c r="MC287" s="9"/>
      <c r="MD287" s="9"/>
      <c r="ME287" s="9" t="s">
        <v>1101</v>
      </c>
      <c r="MF287" s="9"/>
      <c r="MG287" s="9" t="s">
        <v>1101</v>
      </c>
      <c r="MH287" s="9"/>
      <c r="MI287" s="9"/>
      <c r="MJ287" s="9"/>
      <c r="MK287" s="9"/>
      <c r="ML287" s="9"/>
      <c r="MM287" s="9" t="s">
        <v>1101</v>
      </c>
      <c r="MN287" s="9"/>
      <c r="MO287" s="9" t="s">
        <v>1101</v>
      </c>
      <c r="MP287" s="9"/>
      <c r="MQ287" s="9"/>
      <c r="MR287" s="9"/>
      <c r="MS287" s="9"/>
      <c r="MT287" s="9"/>
      <c r="MU287" s="9" t="s">
        <v>1101</v>
      </c>
      <c r="MV287" s="9"/>
      <c r="MW287" s="9" t="s">
        <v>1101</v>
      </c>
      <c r="MX287" s="9"/>
      <c r="MY287" s="9"/>
      <c r="MZ287" s="9"/>
      <c r="NA287" s="9"/>
      <c r="NB287" s="9"/>
      <c r="NC287" s="9" t="s">
        <v>1101</v>
      </c>
      <c r="ND287" s="9"/>
      <c r="NE287" s="9" t="s">
        <v>1101</v>
      </c>
      <c r="NF287" s="9"/>
      <c r="NG287" s="9"/>
      <c r="NH287" s="9"/>
      <c r="NI287" s="9"/>
      <c r="NJ287" s="9"/>
      <c r="NK287" s="9" t="s">
        <v>1101</v>
      </c>
      <c r="NL287" s="9"/>
      <c r="NM287" s="9" t="s">
        <v>1101</v>
      </c>
      <c r="NN287" s="9"/>
      <c r="NO287" s="9"/>
      <c r="NP287" s="9"/>
      <c r="NQ287" s="9"/>
      <c r="NR287" s="9"/>
      <c r="NS287" s="9" t="s">
        <v>1101</v>
      </c>
      <c r="NT287" s="9"/>
      <c r="NU287" s="9" t="s">
        <v>1101</v>
      </c>
      <c r="NV287" s="9"/>
      <c r="NW287" s="9"/>
      <c r="NX287" s="9"/>
      <c r="NY287" s="9"/>
      <c r="NZ287" s="9"/>
      <c r="OA287" s="9" t="s">
        <v>1101</v>
      </c>
      <c r="OB287" s="9"/>
      <c r="OC287" s="9" t="s">
        <v>1101</v>
      </c>
      <c r="OD287" s="9"/>
      <c r="OE287" s="9"/>
      <c r="OF287" s="9"/>
      <c r="OG287" s="9"/>
      <c r="OH287" s="9"/>
      <c r="OI287" s="9" t="s">
        <v>1101</v>
      </c>
      <c r="OJ287" s="9"/>
      <c r="OK287" s="9" t="s">
        <v>1101</v>
      </c>
      <c r="OL287" s="9"/>
      <c r="OM287" s="9"/>
      <c r="ON287" s="9"/>
      <c r="OO287" s="9"/>
      <c r="OP287" s="9"/>
      <c r="OQ287" s="9" t="s">
        <v>1101</v>
      </c>
      <c r="OR287" s="9"/>
      <c r="OS287" s="9" t="s">
        <v>1101</v>
      </c>
      <c r="OT287" s="9"/>
      <c r="OU287" s="9"/>
      <c r="OV287" s="9"/>
      <c r="OW287" s="9"/>
      <c r="OX287" s="9"/>
      <c r="OY287" s="9" t="s">
        <v>1101</v>
      </c>
      <c r="OZ287" s="9"/>
      <c r="PA287" s="9" t="s">
        <v>1101</v>
      </c>
      <c r="PB287" s="9"/>
      <c r="PC287" s="9"/>
      <c r="PD287" s="9"/>
      <c r="PE287" s="9"/>
      <c r="PF287" s="9"/>
      <c r="PG287" s="9" t="s">
        <v>1101</v>
      </c>
      <c r="PH287" s="9"/>
      <c r="PI287" s="9" t="s">
        <v>1101</v>
      </c>
      <c r="PJ287" s="9"/>
      <c r="PK287" s="9"/>
      <c r="PL287" s="9"/>
      <c r="PM287" s="9"/>
      <c r="PN287" s="9"/>
      <c r="PO287" s="9" t="s">
        <v>1101</v>
      </c>
      <c r="PP287" s="9"/>
      <c r="PQ287" s="9" t="s">
        <v>1101</v>
      </c>
      <c r="PR287" s="9"/>
      <c r="PS287" s="9"/>
      <c r="PT287" s="9"/>
      <c r="PU287" s="9"/>
      <c r="PV287" s="9"/>
      <c r="PW287" s="9" t="s">
        <v>1101</v>
      </c>
      <c r="PX287" s="9"/>
      <c r="PY287" s="9" t="s">
        <v>1101</v>
      </c>
      <c r="PZ287" s="9"/>
      <c r="QA287" s="9"/>
      <c r="QB287" s="9"/>
      <c r="QC287" s="9"/>
      <c r="QD287" s="9"/>
      <c r="QE287" s="9" t="s">
        <v>1101</v>
      </c>
      <c r="QF287" s="9"/>
      <c r="QG287" s="9" t="s">
        <v>1101</v>
      </c>
      <c r="QH287" s="9"/>
      <c r="QI287" s="9"/>
      <c r="QJ287" s="9"/>
      <c r="QK287" s="9"/>
      <c r="QL287" s="9"/>
      <c r="QM287" s="9" t="s">
        <v>1041</v>
      </c>
      <c r="QN287" s="9"/>
      <c r="QO287" s="9" t="s">
        <v>1041</v>
      </c>
      <c r="QP287" s="9"/>
      <c r="QQ287" s="67"/>
      <c r="QR287" s="68"/>
      <c r="QS287" s="63"/>
      <c r="QT287" s="71"/>
    </row>
    <row r="288" spans="1:462" s="11" customFormat="1" x14ac:dyDescent="0.2">
      <c r="A288" s="9">
        <v>20</v>
      </c>
      <c r="B288" s="9"/>
      <c r="C288" s="9"/>
      <c r="D288" s="9" t="s">
        <v>347</v>
      </c>
      <c r="E288" s="65" t="s">
        <v>478</v>
      </c>
      <c r="F288" s="65"/>
      <c r="G288" s="92" t="s">
        <v>2220</v>
      </c>
      <c r="H288" s="66" t="s">
        <v>1399</v>
      </c>
      <c r="I288" s="9" t="s">
        <v>1101</v>
      </c>
      <c r="J288" s="9"/>
      <c r="K288" s="9"/>
      <c r="L288" s="9"/>
      <c r="M288" s="9"/>
      <c r="N288" s="9"/>
      <c r="O288" s="9" t="s">
        <v>1101</v>
      </c>
      <c r="P288" s="9"/>
      <c r="Q288" s="9" t="s">
        <v>1101</v>
      </c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  <c r="HE288" s="9"/>
      <c r="HF288" s="9"/>
      <c r="HG288" s="9"/>
      <c r="HH288" s="9"/>
      <c r="HI288" s="9"/>
      <c r="HJ288" s="9"/>
      <c r="HK288" s="9"/>
      <c r="HL288" s="9"/>
      <c r="HM288" s="9"/>
      <c r="HN288" s="9"/>
      <c r="HO288" s="9"/>
      <c r="HP288" s="9"/>
      <c r="HQ288" s="9"/>
      <c r="HR288" s="9"/>
      <c r="HS288" s="9"/>
      <c r="HT288" s="9"/>
      <c r="HU288" s="9"/>
      <c r="HV288" s="9"/>
      <c r="HW288" s="9"/>
      <c r="HX288" s="9"/>
      <c r="HY288" s="9"/>
      <c r="HZ288" s="9"/>
      <c r="IA288" s="9"/>
      <c r="IB288" s="9"/>
      <c r="IC288" s="9"/>
      <c r="ID288" s="9"/>
      <c r="IE288" s="9"/>
      <c r="IF288" s="9"/>
      <c r="IG288" s="9"/>
      <c r="IH288" s="9"/>
      <c r="II288" s="9"/>
      <c r="IJ288" s="9"/>
      <c r="IK288" s="9"/>
      <c r="IL288" s="9"/>
      <c r="IM288" s="9"/>
      <c r="IN288" s="9"/>
      <c r="IO288" s="9"/>
      <c r="IP288" s="9"/>
      <c r="IQ288" s="9"/>
      <c r="IR288" s="9"/>
      <c r="IS288" s="9"/>
      <c r="IT288" s="9"/>
      <c r="IU288" s="9"/>
      <c r="IV288" s="9"/>
      <c r="IW288" s="9"/>
      <c r="IX288" s="9"/>
      <c r="IY288" s="9"/>
      <c r="IZ288" s="9"/>
      <c r="JA288" s="9"/>
      <c r="JB288" s="9"/>
      <c r="JC288" s="9"/>
      <c r="JD288" s="9"/>
      <c r="JE288" s="9"/>
      <c r="JF288" s="9"/>
      <c r="JG288" s="9"/>
      <c r="JH288" s="9"/>
      <c r="JI288" s="9"/>
      <c r="JJ288" s="9"/>
      <c r="JK288" s="9"/>
      <c r="JL288" s="9"/>
      <c r="JM288" s="9"/>
      <c r="JN288" s="9"/>
      <c r="JO288" s="9"/>
      <c r="JP288" s="9"/>
      <c r="JQ288" s="9"/>
      <c r="JR288" s="9"/>
      <c r="JS288" s="9"/>
      <c r="JT288" s="9"/>
      <c r="JU288" s="9"/>
      <c r="JV288" s="9"/>
      <c r="JW288" s="9"/>
      <c r="JX288" s="9"/>
      <c r="JY288" s="9"/>
      <c r="JZ288" s="9"/>
      <c r="KA288" s="9"/>
      <c r="KB288" s="9"/>
      <c r="KC288" s="9"/>
      <c r="KD288" s="9"/>
      <c r="KE288" s="9"/>
      <c r="KF288" s="9"/>
      <c r="KG288" s="9"/>
      <c r="KH288" s="9"/>
      <c r="KI288" s="9"/>
      <c r="KJ288" s="9"/>
      <c r="KK288" s="9"/>
      <c r="KL288" s="9"/>
      <c r="KM288" s="9"/>
      <c r="KN288" s="9"/>
      <c r="KO288" s="9"/>
      <c r="KP288" s="9"/>
      <c r="KQ288" s="9"/>
      <c r="KR288" s="9"/>
      <c r="KS288" s="9"/>
      <c r="KT288" s="9"/>
      <c r="KU288" s="9"/>
      <c r="KV288" s="9"/>
      <c r="KW288" s="9"/>
      <c r="KX288" s="9"/>
      <c r="KY288" s="9"/>
      <c r="KZ288" s="9"/>
      <c r="LA288" s="9"/>
      <c r="LB288" s="9"/>
      <c r="LC288" s="9"/>
      <c r="LD288" s="9"/>
      <c r="LE288" s="9"/>
      <c r="LF288" s="9"/>
      <c r="LG288" s="9"/>
      <c r="LH288" s="9"/>
      <c r="LI288" s="9"/>
      <c r="LJ288" s="9"/>
      <c r="LK288" s="9"/>
      <c r="LL288" s="9"/>
      <c r="LM288" s="9"/>
      <c r="LN288" s="9"/>
      <c r="LO288" s="9"/>
      <c r="LP288" s="9"/>
      <c r="LQ288" s="9"/>
      <c r="LR288" s="9"/>
      <c r="LS288" s="9"/>
      <c r="LT288" s="9"/>
      <c r="LU288" s="9"/>
      <c r="LV288" s="9"/>
      <c r="LW288" s="9"/>
      <c r="LX288" s="9"/>
      <c r="LY288" s="9"/>
      <c r="LZ288" s="9"/>
      <c r="MA288" s="9"/>
      <c r="MB288" s="9"/>
      <c r="MC288" s="9"/>
      <c r="MD288" s="9"/>
      <c r="ME288" s="9"/>
      <c r="MF288" s="9"/>
      <c r="MG288" s="9"/>
      <c r="MH288" s="9"/>
      <c r="MI288" s="9"/>
      <c r="MJ288" s="9"/>
      <c r="MK288" s="9"/>
      <c r="ML288" s="9"/>
      <c r="MM288" s="9"/>
      <c r="MN288" s="9"/>
      <c r="MO288" s="9"/>
      <c r="MP288" s="9"/>
      <c r="MQ288" s="9"/>
      <c r="MR288" s="9"/>
      <c r="MS288" s="9"/>
      <c r="MT288" s="9"/>
      <c r="MU288" s="9"/>
      <c r="MV288" s="9"/>
      <c r="MW288" s="9"/>
      <c r="MX288" s="9"/>
      <c r="MY288" s="9"/>
      <c r="MZ288" s="9"/>
      <c r="NA288" s="9"/>
      <c r="NB288" s="9"/>
      <c r="NC288" s="9"/>
      <c r="ND288" s="9"/>
      <c r="NE288" s="9"/>
      <c r="NF288" s="9"/>
      <c r="NG288" s="9"/>
      <c r="NH288" s="9"/>
      <c r="NI288" s="9"/>
      <c r="NJ288" s="9"/>
      <c r="NK288" s="9"/>
      <c r="NL288" s="9"/>
      <c r="NM288" s="9"/>
      <c r="NN288" s="9"/>
      <c r="NO288" s="9"/>
      <c r="NP288" s="9"/>
      <c r="NQ288" s="9"/>
      <c r="NR288" s="9"/>
      <c r="NS288" s="9"/>
      <c r="NT288" s="9"/>
      <c r="NU288" s="9"/>
      <c r="NV288" s="9"/>
      <c r="NW288" s="9"/>
      <c r="NX288" s="9"/>
      <c r="NY288" s="9"/>
      <c r="NZ288" s="9"/>
      <c r="OA288" s="9"/>
      <c r="OB288" s="9"/>
      <c r="OC288" s="9"/>
      <c r="OD288" s="9"/>
      <c r="OE288" s="9"/>
      <c r="OF288" s="9"/>
      <c r="OG288" s="9"/>
      <c r="OH288" s="9"/>
      <c r="OI288" s="9"/>
      <c r="OJ288" s="9"/>
      <c r="OK288" s="9"/>
      <c r="OL288" s="9"/>
      <c r="OM288" s="9"/>
      <c r="ON288" s="9"/>
      <c r="OO288" s="9"/>
      <c r="OP288" s="9"/>
      <c r="OQ288" s="9"/>
      <c r="OR288" s="9"/>
      <c r="OS288" s="9"/>
      <c r="OT288" s="9"/>
      <c r="OU288" s="9"/>
      <c r="OV288" s="9"/>
      <c r="OW288" s="9"/>
      <c r="OX288" s="9"/>
      <c r="OY288" s="9"/>
      <c r="OZ288" s="9"/>
      <c r="PA288" s="9"/>
      <c r="PB288" s="9"/>
      <c r="PC288" s="9"/>
      <c r="PD288" s="9"/>
      <c r="PE288" s="9"/>
      <c r="PF288" s="9"/>
      <c r="PG288" s="9"/>
      <c r="PH288" s="9"/>
      <c r="PI288" s="9"/>
      <c r="PJ288" s="9"/>
      <c r="PK288" s="9"/>
      <c r="PL288" s="9"/>
      <c r="PM288" s="9"/>
      <c r="PN288" s="9"/>
      <c r="PO288" s="9"/>
      <c r="PP288" s="9"/>
      <c r="PQ288" s="9"/>
      <c r="PR288" s="9"/>
      <c r="PS288" s="9"/>
      <c r="PT288" s="9"/>
      <c r="PU288" s="9"/>
      <c r="PV288" s="9"/>
      <c r="PW288" s="9"/>
      <c r="PX288" s="9"/>
      <c r="PY288" s="9"/>
      <c r="PZ288" s="9"/>
      <c r="QA288" s="9"/>
      <c r="QB288" s="9"/>
      <c r="QC288" s="9"/>
      <c r="QD288" s="9"/>
      <c r="QE288" s="9"/>
      <c r="QF288" s="9"/>
      <c r="QG288" s="9"/>
      <c r="QH288" s="9"/>
      <c r="QI288" s="9"/>
      <c r="QJ288" s="9"/>
      <c r="QK288" s="9"/>
      <c r="QL288" s="9"/>
      <c r="QM288" s="9"/>
      <c r="QN288" s="9"/>
      <c r="QO288" s="9"/>
      <c r="QP288" s="9"/>
      <c r="QQ288" s="67"/>
      <c r="QR288" s="68"/>
      <c r="QS288" s="63"/>
      <c r="QT288" s="71"/>
    </row>
    <row r="289" spans="1:462" s="11" customFormat="1" x14ac:dyDescent="0.2">
      <c r="A289" s="9">
        <v>20</v>
      </c>
      <c r="B289" s="9"/>
      <c r="C289" s="9"/>
      <c r="D289" s="9" t="s">
        <v>673</v>
      </c>
      <c r="E289" s="65" t="s">
        <v>674</v>
      </c>
      <c r="F289" s="65"/>
      <c r="G289" s="92" t="s">
        <v>2223</v>
      </c>
      <c r="H289" s="66" t="s">
        <v>1112</v>
      </c>
      <c r="I289" s="9" t="s">
        <v>1101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 t="s">
        <v>1101</v>
      </c>
      <c r="X289" s="9"/>
      <c r="Y289" s="9" t="s">
        <v>1101</v>
      </c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  <c r="HE289" s="9"/>
      <c r="HF289" s="9"/>
      <c r="HG289" s="9"/>
      <c r="HH289" s="9"/>
      <c r="HI289" s="9"/>
      <c r="HJ289" s="9"/>
      <c r="HK289" s="9"/>
      <c r="HL289" s="9"/>
      <c r="HM289" s="9"/>
      <c r="HN289" s="9"/>
      <c r="HO289" s="9"/>
      <c r="HP289" s="9"/>
      <c r="HQ289" s="9"/>
      <c r="HR289" s="9"/>
      <c r="HS289" s="9"/>
      <c r="HT289" s="9"/>
      <c r="HU289" s="9"/>
      <c r="HV289" s="9"/>
      <c r="HW289" s="9"/>
      <c r="HX289" s="9"/>
      <c r="HY289" s="9"/>
      <c r="HZ289" s="9"/>
      <c r="IA289" s="9"/>
      <c r="IB289" s="9"/>
      <c r="IC289" s="9"/>
      <c r="ID289" s="9"/>
      <c r="IE289" s="9"/>
      <c r="IF289" s="9"/>
      <c r="IG289" s="9"/>
      <c r="IH289" s="9"/>
      <c r="II289" s="9"/>
      <c r="IJ289" s="9"/>
      <c r="IK289" s="9"/>
      <c r="IL289" s="9"/>
      <c r="IM289" s="9"/>
      <c r="IN289" s="9"/>
      <c r="IO289" s="9"/>
      <c r="IP289" s="9"/>
      <c r="IQ289" s="9"/>
      <c r="IR289" s="9"/>
      <c r="IS289" s="9"/>
      <c r="IT289" s="9"/>
      <c r="IU289" s="9"/>
      <c r="IV289" s="9"/>
      <c r="IW289" s="9"/>
      <c r="IX289" s="9"/>
      <c r="IY289" s="9"/>
      <c r="IZ289" s="9"/>
      <c r="JA289" s="9"/>
      <c r="JB289" s="9"/>
      <c r="JC289" s="9"/>
      <c r="JD289" s="9"/>
      <c r="JE289" s="9"/>
      <c r="JF289" s="9"/>
      <c r="JG289" s="9"/>
      <c r="JH289" s="9"/>
      <c r="JI289" s="9"/>
      <c r="JJ289" s="9"/>
      <c r="JK289" s="9"/>
      <c r="JL289" s="9"/>
      <c r="JM289" s="9"/>
      <c r="JN289" s="9"/>
      <c r="JO289" s="9"/>
      <c r="JP289" s="9"/>
      <c r="JQ289" s="9"/>
      <c r="JR289" s="9"/>
      <c r="JS289" s="9"/>
      <c r="JT289" s="9"/>
      <c r="JU289" s="9"/>
      <c r="JV289" s="9"/>
      <c r="JW289" s="9"/>
      <c r="JX289" s="9"/>
      <c r="JY289" s="9"/>
      <c r="JZ289" s="9"/>
      <c r="KA289" s="9"/>
      <c r="KB289" s="9"/>
      <c r="KC289" s="9"/>
      <c r="KD289" s="9"/>
      <c r="KE289" s="9"/>
      <c r="KF289" s="9"/>
      <c r="KG289" s="9"/>
      <c r="KH289" s="9"/>
      <c r="KI289" s="9"/>
      <c r="KJ289" s="9"/>
      <c r="KK289" s="9"/>
      <c r="KL289" s="9"/>
      <c r="KM289" s="9"/>
      <c r="KN289" s="9"/>
      <c r="KO289" s="9"/>
      <c r="KP289" s="9"/>
      <c r="KQ289" s="9"/>
      <c r="KR289" s="9"/>
      <c r="KS289" s="9"/>
      <c r="KT289" s="9"/>
      <c r="KU289" s="9"/>
      <c r="KV289" s="9"/>
      <c r="KW289" s="9"/>
      <c r="KX289" s="9"/>
      <c r="KY289" s="9"/>
      <c r="KZ289" s="9"/>
      <c r="LA289" s="9"/>
      <c r="LB289" s="9"/>
      <c r="LC289" s="9"/>
      <c r="LD289" s="9"/>
      <c r="LE289" s="9"/>
      <c r="LF289" s="9"/>
      <c r="LG289" s="9"/>
      <c r="LH289" s="9"/>
      <c r="LI289" s="9"/>
      <c r="LJ289" s="9"/>
      <c r="LK289" s="9"/>
      <c r="LL289" s="9"/>
      <c r="LM289" s="9"/>
      <c r="LN289" s="9"/>
      <c r="LO289" s="9"/>
      <c r="LP289" s="9"/>
      <c r="LQ289" s="9"/>
      <c r="LR289" s="9"/>
      <c r="LS289" s="9"/>
      <c r="LT289" s="9"/>
      <c r="LU289" s="9"/>
      <c r="LV289" s="9"/>
      <c r="LW289" s="9"/>
      <c r="LX289" s="9"/>
      <c r="LY289" s="9"/>
      <c r="LZ289" s="9"/>
      <c r="MA289" s="9"/>
      <c r="MB289" s="9"/>
      <c r="MC289" s="9"/>
      <c r="MD289" s="9"/>
      <c r="ME289" s="9"/>
      <c r="MF289" s="9"/>
      <c r="MG289" s="9"/>
      <c r="MH289" s="9"/>
      <c r="MI289" s="9"/>
      <c r="MJ289" s="9"/>
      <c r="MK289" s="9"/>
      <c r="ML289" s="9"/>
      <c r="MM289" s="9"/>
      <c r="MN289" s="9"/>
      <c r="MO289" s="9"/>
      <c r="MP289" s="9"/>
      <c r="MQ289" s="9"/>
      <c r="MR289" s="9"/>
      <c r="MS289" s="9"/>
      <c r="MT289" s="9"/>
      <c r="MU289" s="9"/>
      <c r="MV289" s="9"/>
      <c r="MW289" s="9"/>
      <c r="MX289" s="9"/>
      <c r="MY289" s="9"/>
      <c r="MZ289" s="9"/>
      <c r="NA289" s="9"/>
      <c r="NB289" s="9"/>
      <c r="NC289" s="9"/>
      <c r="ND289" s="9"/>
      <c r="NE289" s="9"/>
      <c r="NF289" s="9"/>
      <c r="NG289" s="9"/>
      <c r="NH289" s="9"/>
      <c r="NI289" s="9"/>
      <c r="NJ289" s="9"/>
      <c r="NK289" s="9"/>
      <c r="NL289" s="9"/>
      <c r="NM289" s="9"/>
      <c r="NN289" s="9"/>
      <c r="NO289" s="9"/>
      <c r="NP289" s="9"/>
      <c r="NQ289" s="9"/>
      <c r="NR289" s="9"/>
      <c r="NS289" s="9"/>
      <c r="NT289" s="9"/>
      <c r="NU289" s="9"/>
      <c r="NV289" s="9"/>
      <c r="NW289" s="9"/>
      <c r="NX289" s="9"/>
      <c r="NY289" s="9"/>
      <c r="NZ289" s="9"/>
      <c r="OA289" s="9"/>
      <c r="OB289" s="9"/>
      <c r="OC289" s="9"/>
      <c r="OD289" s="9"/>
      <c r="OE289" s="9"/>
      <c r="OF289" s="9"/>
      <c r="OG289" s="9"/>
      <c r="OH289" s="9"/>
      <c r="OI289" s="9"/>
      <c r="OJ289" s="9"/>
      <c r="OK289" s="9"/>
      <c r="OL289" s="9"/>
      <c r="OM289" s="9"/>
      <c r="ON289" s="9"/>
      <c r="OO289" s="9"/>
      <c r="OP289" s="9"/>
      <c r="OQ289" s="9"/>
      <c r="OR289" s="9"/>
      <c r="OS289" s="9"/>
      <c r="OT289" s="9"/>
      <c r="OU289" s="9"/>
      <c r="OV289" s="9"/>
      <c r="OW289" s="9"/>
      <c r="OX289" s="9"/>
      <c r="OY289" s="9"/>
      <c r="OZ289" s="9"/>
      <c r="PA289" s="9"/>
      <c r="PB289" s="9"/>
      <c r="PC289" s="9"/>
      <c r="PD289" s="9"/>
      <c r="PE289" s="9"/>
      <c r="PF289" s="9"/>
      <c r="PG289" s="9"/>
      <c r="PH289" s="9"/>
      <c r="PI289" s="9"/>
      <c r="PJ289" s="9"/>
      <c r="PK289" s="9"/>
      <c r="PL289" s="9"/>
      <c r="PM289" s="9"/>
      <c r="PN289" s="9"/>
      <c r="PO289" s="9"/>
      <c r="PP289" s="9"/>
      <c r="PQ289" s="9"/>
      <c r="PR289" s="9"/>
      <c r="PS289" s="9"/>
      <c r="PT289" s="9"/>
      <c r="PU289" s="9"/>
      <c r="PV289" s="9"/>
      <c r="PW289" s="9"/>
      <c r="PX289" s="9"/>
      <c r="PY289" s="9"/>
      <c r="PZ289" s="9"/>
      <c r="QA289" s="9"/>
      <c r="QB289" s="9"/>
      <c r="QC289" s="9"/>
      <c r="QD289" s="9"/>
      <c r="QE289" s="9"/>
      <c r="QF289" s="9"/>
      <c r="QG289" s="9"/>
      <c r="QH289" s="9"/>
      <c r="QI289" s="9"/>
      <c r="QJ289" s="9"/>
      <c r="QK289" s="9"/>
      <c r="QL289" s="9"/>
      <c r="QM289" s="9"/>
      <c r="QN289" s="9"/>
      <c r="QO289" s="9"/>
      <c r="QP289" s="9"/>
      <c r="QQ289" s="67"/>
      <c r="QR289" s="68"/>
      <c r="QS289" s="63"/>
      <c r="QT289" s="71"/>
    </row>
    <row r="290" spans="1:462" s="11" customFormat="1" x14ac:dyDescent="0.2">
      <c r="A290" s="9">
        <v>20</v>
      </c>
      <c r="B290" s="9"/>
      <c r="C290" s="9"/>
      <c r="D290" s="9" t="s">
        <v>351</v>
      </c>
      <c r="E290" s="65" t="s">
        <v>482</v>
      </c>
      <c r="F290" s="65"/>
      <c r="G290" s="92" t="s">
        <v>2226</v>
      </c>
      <c r="H290" s="66" t="s">
        <v>1115</v>
      </c>
      <c r="I290" s="9" t="s">
        <v>1101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 t="s">
        <v>1101</v>
      </c>
      <c r="AF290" s="9"/>
      <c r="AG290" s="9" t="s">
        <v>1101</v>
      </c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9"/>
      <c r="KZ290" s="9"/>
      <c r="LA290" s="9"/>
      <c r="LB290" s="9"/>
      <c r="LC290" s="9"/>
      <c r="LD290" s="9"/>
      <c r="LE290" s="9"/>
      <c r="LF290" s="9"/>
      <c r="LG290" s="9"/>
      <c r="LH290" s="9"/>
      <c r="LI290" s="9"/>
      <c r="LJ290" s="9"/>
      <c r="LK290" s="9"/>
      <c r="LL290" s="9"/>
      <c r="LM290" s="9"/>
      <c r="LN290" s="9"/>
      <c r="LO290" s="9"/>
      <c r="LP290" s="9"/>
      <c r="LQ290" s="9"/>
      <c r="LR290" s="9"/>
      <c r="LS290" s="9"/>
      <c r="LT290" s="9"/>
      <c r="LU290" s="9"/>
      <c r="LV290" s="9"/>
      <c r="LW290" s="9"/>
      <c r="LX290" s="9"/>
      <c r="LY290" s="9"/>
      <c r="LZ290" s="9"/>
      <c r="MA290" s="9"/>
      <c r="MB290" s="9"/>
      <c r="MC290" s="9"/>
      <c r="MD290" s="9"/>
      <c r="ME290" s="9"/>
      <c r="MF290" s="9"/>
      <c r="MG290" s="9"/>
      <c r="MH290" s="9"/>
      <c r="MI290" s="9"/>
      <c r="MJ290" s="9"/>
      <c r="MK290" s="9"/>
      <c r="ML290" s="9"/>
      <c r="MM290" s="9"/>
      <c r="MN290" s="9"/>
      <c r="MO290" s="9"/>
      <c r="MP290" s="9"/>
      <c r="MQ290" s="9"/>
      <c r="MR290" s="9"/>
      <c r="MS290" s="9"/>
      <c r="MT290" s="9"/>
      <c r="MU290" s="9"/>
      <c r="MV290" s="9"/>
      <c r="MW290" s="9"/>
      <c r="MX290" s="9"/>
      <c r="MY290" s="9"/>
      <c r="MZ290" s="9"/>
      <c r="NA290" s="9"/>
      <c r="NB290" s="9"/>
      <c r="NC290" s="9"/>
      <c r="ND290" s="9"/>
      <c r="NE290" s="9"/>
      <c r="NF290" s="9"/>
      <c r="NG290" s="9"/>
      <c r="NH290" s="9"/>
      <c r="NI290" s="9"/>
      <c r="NJ290" s="9"/>
      <c r="NK290" s="9"/>
      <c r="NL290" s="9"/>
      <c r="NM290" s="9"/>
      <c r="NN290" s="9"/>
      <c r="NO290" s="9"/>
      <c r="NP290" s="9"/>
      <c r="NQ290" s="9"/>
      <c r="NR290" s="9"/>
      <c r="NS290" s="9"/>
      <c r="NT290" s="9"/>
      <c r="NU290" s="9"/>
      <c r="NV290" s="9"/>
      <c r="NW290" s="9"/>
      <c r="NX290" s="9"/>
      <c r="NY290" s="9"/>
      <c r="NZ290" s="9"/>
      <c r="OA290" s="9"/>
      <c r="OB290" s="9"/>
      <c r="OC290" s="9"/>
      <c r="OD290" s="9"/>
      <c r="OE290" s="9"/>
      <c r="OF290" s="9"/>
      <c r="OG290" s="9"/>
      <c r="OH290" s="9"/>
      <c r="OI290" s="9"/>
      <c r="OJ290" s="9"/>
      <c r="OK290" s="9"/>
      <c r="OL290" s="9"/>
      <c r="OM290" s="9"/>
      <c r="ON290" s="9"/>
      <c r="OO290" s="9"/>
      <c r="OP290" s="9"/>
      <c r="OQ290" s="9"/>
      <c r="OR290" s="9"/>
      <c r="OS290" s="9"/>
      <c r="OT290" s="9"/>
      <c r="OU290" s="9"/>
      <c r="OV290" s="9"/>
      <c r="OW290" s="9"/>
      <c r="OX290" s="9"/>
      <c r="OY290" s="9"/>
      <c r="OZ290" s="9"/>
      <c r="PA290" s="9"/>
      <c r="PB290" s="9"/>
      <c r="PC290" s="9"/>
      <c r="PD290" s="9"/>
      <c r="PE290" s="9"/>
      <c r="PF290" s="9"/>
      <c r="PG290" s="9"/>
      <c r="PH290" s="9"/>
      <c r="PI290" s="9"/>
      <c r="PJ290" s="9"/>
      <c r="PK290" s="9"/>
      <c r="PL290" s="9"/>
      <c r="PM290" s="9"/>
      <c r="PN290" s="9"/>
      <c r="PO290" s="9"/>
      <c r="PP290" s="9"/>
      <c r="PQ290" s="9"/>
      <c r="PR290" s="9"/>
      <c r="PS290" s="9"/>
      <c r="PT290" s="9"/>
      <c r="PU290" s="9"/>
      <c r="PV290" s="9"/>
      <c r="PW290" s="9"/>
      <c r="PX290" s="9"/>
      <c r="PY290" s="9"/>
      <c r="PZ290" s="9"/>
      <c r="QA290" s="9"/>
      <c r="QB290" s="9"/>
      <c r="QC290" s="9"/>
      <c r="QD290" s="9"/>
      <c r="QE290" s="9"/>
      <c r="QF290" s="9"/>
      <c r="QG290" s="9"/>
      <c r="QH290" s="9"/>
      <c r="QI290" s="9"/>
      <c r="QJ290" s="9"/>
      <c r="QK290" s="9"/>
      <c r="QL290" s="9"/>
      <c r="QM290" s="9"/>
      <c r="QN290" s="9"/>
      <c r="QO290" s="9"/>
      <c r="QP290" s="9"/>
      <c r="QQ290" s="67"/>
      <c r="QR290" s="68"/>
      <c r="QS290" s="63"/>
      <c r="QT290" s="71"/>
    </row>
    <row r="291" spans="1:462" s="11" customFormat="1" x14ac:dyDescent="0.2">
      <c r="A291" s="9">
        <v>20</v>
      </c>
      <c r="B291" s="9"/>
      <c r="C291" s="9"/>
      <c r="D291" s="9" t="s">
        <v>353</v>
      </c>
      <c r="E291" s="65" t="s">
        <v>484</v>
      </c>
      <c r="F291" s="65"/>
      <c r="G291" s="92" t="s">
        <v>2229</v>
      </c>
      <c r="H291" s="66" t="s">
        <v>1118</v>
      </c>
      <c r="I291" s="9" t="s">
        <v>1101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 t="s">
        <v>1101</v>
      </c>
      <c r="AN291" s="9"/>
      <c r="AO291" s="9" t="s">
        <v>1101</v>
      </c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  <c r="HE291" s="9"/>
      <c r="HF291" s="9"/>
      <c r="HG291" s="9"/>
      <c r="HH291" s="9"/>
      <c r="HI291" s="9"/>
      <c r="HJ291" s="9"/>
      <c r="HK291" s="9"/>
      <c r="HL291" s="9"/>
      <c r="HM291" s="9"/>
      <c r="HN291" s="9"/>
      <c r="HO291" s="9"/>
      <c r="HP291" s="9"/>
      <c r="HQ291" s="9"/>
      <c r="HR291" s="9"/>
      <c r="HS291" s="9"/>
      <c r="HT291" s="9"/>
      <c r="HU291" s="9"/>
      <c r="HV291" s="9"/>
      <c r="HW291" s="9"/>
      <c r="HX291" s="9"/>
      <c r="HY291" s="9"/>
      <c r="HZ291" s="9"/>
      <c r="IA291" s="9"/>
      <c r="IB291" s="9"/>
      <c r="IC291" s="9"/>
      <c r="ID291" s="9"/>
      <c r="IE291" s="9"/>
      <c r="IF291" s="9"/>
      <c r="IG291" s="9"/>
      <c r="IH291" s="9"/>
      <c r="II291" s="9"/>
      <c r="IJ291" s="9"/>
      <c r="IK291" s="9"/>
      <c r="IL291" s="9"/>
      <c r="IM291" s="9"/>
      <c r="IN291" s="9"/>
      <c r="IO291" s="9"/>
      <c r="IP291" s="9"/>
      <c r="IQ291" s="9"/>
      <c r="IR291" s="9"/>
      <c r="IS291" s="9"/>
      <c r="IT291" s="9"/>
      <c r="IU291" s="9"/>
      <c r="IV291" s="9"/>
      <c r="IW291" s="9"/>
      <c r="IX291" s="9"/>
      <c r="IY291" s="9"/>
      <c r="IZ291" s="9"/>
      <c r="JA291" s="9"/>
      <c r="JB291" s="9"/>
      <c r="JC291" s="9"/>
      <c r="JD291" s="9"/>
      <c r="JE291" s="9"/>
      <c r="JF291" s="9"/>
      <c r="JG291" s="9"/>
      <c r="JH291" s="9"/>
      <c r="JI291" s="9"/>
      <c r="JJ291" s="9"/>
      <c r="JK291" s="9"/>
      <c r="JL291" s="9"/>
      <c r="JM291" s="9"/>
      <c r="JN291" s="9"/>
      <c r="JO291" s="9"/>
      <c r="JP291" s="9"/>
      <c r="JQ291" s="9"/>
      <c r="JR291" s="9"/>
      <c r="JS291" s="9"/>
      <c r="JT291" s="9"/>
      <c r="JU291" s="9"/>
      <c r="JV291" s="9"/>
      <c r="JW291" s="9"/>
      <c r="JX291" s="9"/>
      <c r="JY291" s="9"/>
      <c r="JZ291" s="9"/>
      <c r="KA291" s="9"/>
      <c r="KB291" s="9"/>
      <c r="KC291" s="9"/>
      <c r="KD291" s="9"/>
      <c r="KE291" s="9"/>
      <c r="KF291" s="9"/>
      <c r="KG291" s="9"/>
      <c r="KH291" s="9"/>
      <c r="KI291" s="9"/>
      <c r="KJ291" s="9"/>
      <c r="KK291" s="9"/>
      <c r="KL291" s="9"/>
      <c r="KM291" s="9"/>
      <c r="KN291" s="9"/>
      <c r="KO291" s="9"/>
      <c r="KP291" s="9"/>
      <c r="KQ291" s="9"/>
      <c r="KR291" s="9"/>
      <c r="KS291" s="9"/>
      <c r="KT291" s="9"/>
      <c r="KU291" s="9"/>
      <c r="KV291" s="9"/>
      <c r="KW291" s="9"/>
      <c r="KX291" s="9"/>
      <c r="KY291" s="9"/>
      <c r="KZ291" s="9"/>
      <c r="LA291" s="9"/>
      <c r="LB291" s="9"/>
      <c r="LC291" s="9"/>
      <c r="LD291" s="9"/>
      <c r="LE291" s="9"/>
      <c r="LF291" s="9"/>
      <c r="LG291" s="9"/>
      <c r="LH291" s="9"/>
      <c r="LI291" s="9"/>
      <c r="LJ291" s="9"/>
      <c r="LK291" s="9"/>
      <c r="LL291" s="9"/>
      <c r="LM291" s="9"/>
      <c r="LN291" s="9"/>
      <c r="LO291" s="9"/>
      <c r="LP291" s="9"/>
      <c r="LQ291" s="9"/>
      <c r="LR291" s="9"/>
      <c r="LS291" s="9"/>
      <c r="LT291" s="9"/>
      <c r="LU291" s="9"/>
      <c r="LV291" s="9"/>
      <c r="LW291" s="9"/>
      <c r="LX291" s="9"/>
      <c r="LY291" s="9"/>
      <c r="LZ291" s="9"/>
      <c r="MA291" s="9"/>
      <c r="MB291" s="9"/>
      <c r="MC291" s="9"/>
      <c r="MD291" s="9"/>
      <c r="ME291" s="9"/>
      <c r="MF291" s="9"/>
      <c r="MG291" s="9"/>
      <c r="MH291" s="9"/>
      <c r="MI291" s="9"/>
      <c r="MJ291" s="9"/>
      <c r="MK291" s="9"/>
      <c r="ML291" s="9"/>
      <c r="MM291" s="9"/>
      <c r="MN291" s="9"/>
      <c r="MO291" s="9"/>
      <c r="MP291" s="9"/>
      <c r="MQ291" s="9"/>
      <c r="MR291" s="9"/>
      <c r="MS291" s="9"/>
      <c r="MT291" s="9"/>
      <c r="MU291" s="9"/>
      <c r="MV291" s="9"/>
      <c r="MW291" s="9"/>
      <c r="MX291" s="9"/>
      <c r="MY291" s="9"/>
      <c r="MZ291" s="9"/>
      <c r="NA291" s="9"/>
      <c r="NB291" s="9"/>
      <c r="NC291" s="9"/>
      <c r="ND291" s="9"/>
      <c r="NE291" s="9"/>
      <c r="NF291" s="9"/>
      <c r="NG291" s="9"/>
      <c r="NH291" s="9"/>
      <c r="NI291" s="9"/>
      <c r="NJ291" s="9"/>
      <c r="NK291" s="9"/>
      <c r="NL291" s="9"/>
      <c r="NM291" s="9"/>
      <c r="NN291" s="9"/>
      <c r="NO291" s="9"/>
      <c r="NP291" s="9"/>
      <c r="NQ291" s="9"/>
      <c r="NR291" s="9"/>
      <c r="NS291" s="9"/>
      <c r="NT291" s="9"/>
      <c r="NU291" s="9"/>
      <c r="NV291" s="9"/>
      <c r="NW291" s="9"/>
      <c r="NX291" s="9"/>
      <c r="NY291" s="9"/>
      <c r="NZ291" s="9"/>
      <c r="OA291" s="9"/>
      <c r="OB291" s="9"/>
      <c r="OC291" s="9"/>
      <c r="OD291" s="9"/>
      <c r="OE291" s="9"/>
      <c r="OF291" s="9"/>
      <c r="OG291" s="9"/>
      <c r="OH291" s="9"/>
      <c r="OI291" s="9"/>
      <c r="OJ291" s="9"/>
      <c r="OK291" s="9"/>
      <c r="OL291" s="9"/>
      <c r="OM291" s="9"/>
      <c r="ON291" s="9"/>
      <c r="OO291" s="9"/>
      <c r="OP291" s="9"/>
      <c r="OQ291" s="9"/>
      <c r="OR291" s="9"/>
      <c r="OS291" s="9"/>
      <c r="OT291" s="9"/>
      <c r="OU291" s="9"/>
      <c r="OV291" s="9"/>
      <c r="OW291" s="9"/>
      <c r="OX291" s="9"/>
      <c r="OY291" s="9"/>
      <c r="OZ291" s="9"/>
      <c r="PA291" s="9"/>
      <c r="PB291" s="9"/>
      <c r="PC291" s="9"/>
      <c r="PD291" s="9"/>
      <c r="PE291" s="9"/>
      <c r="PF291" s="9"/>
      <c r="PG291" s="9"/>
      <c r="PH291" s="9"/>
      <c r="PI291" s="9"/>
      <c r="PJ291" s="9"/>
      <c r="PK291" s="9"/>
      <c r="PL291" s="9"/>
      <c r="PM291" s="9"/>
      <c r="PN291" s="9"/>
      <c r="PO291" s="9"/>
      <c r="PP291" s="9"/>
      <c r="PQ291" s="9"/>
      <c r="PR291" s="9"/>
      <c r="PS291" s="9"/>
      <c r="PT291" s="9"/>
      <c r="PU291" s="9"/>
      <c r="PV291" s="9"/>
      <c r="PW291" s="9"/>
      <c r="PX291" s="9"/>
      <c r="PY291" s="9"/>
      <c r="PZ291" s="9"/>
      <c r="QA291" s="9"/>
      <c r="QB291" s="9"/>
      <c r="QC291" s="9"/>
      <c r="QD291" s="9"/>
      <c r="QE291" s="9"/>
      <c r="QF291" s="9"/>
      <c r="QG291" s="9"/>
      <c r="QH291" s="9"/>
      <c r="QI291" s="9"/>
      <c r="QJ291" s="9"/>
      <c r="QK291" s="9"/>
      <c r="QL291" s="9"/>
      <c r="QM291" s="9"/>
      <c r="QN291" s="9"/>
      <c r="QO291" s="9"/>
      <c r="QP291" s="9"/>
      <c r="QQ291" s="67"/>
      <c r="QR291" s="68"/>
      <c r="QS291" s="63"/>
      <c r="QT291" s="71"/>
    </row>
    <row r="292" spans="1:462" s="11" customFormat="1" x14ac:dyDescent="0.2">
      <c r="A292" s="9">
        <v>20</v>
      </c>
      <c r="B292" s="9"/>
      <c r="C292" s="9"/>
      <c r="D292" s="9" t="s">
        <v>355</v>
      </c>
      <c r="E292" s="65" t="s">
        <v>486</v>
      </c>
      <c r="F292" s="65"/>
      <c r="G292" s="92" t="s">
        <v>2232</v>
      </c>
      <c r="H292" s="66" t="s">
        <v>1121</v>
      </c>
      <c r="I292" s="9" t="s">
        <v>1101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 t="s">
        <v>1101</v>
      </c>
      <c r="AV292" s="9"/>
      <c r="AW292" s="9" t="s">
        <v>1101</v>
      </c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  <c r="HE292" s="9"/>
      <c r="HF292" s="9"/>
      <c r="HG292" s="9"/>
      <c r="HH292" s="9"/>
      <c r="HI292" s="9"/>
      <c r="HJ292" s="9"/>
      <c r="HK292" s="9"/>
      <c r="HL292" s="9"/>
      <c r="HM292" s="9"/>
      <c r="HN292" s="9"/>
      <c r="HO292" s="9"/>
      <c r="HP292" s="9"/>
      <c r="HQ292" s="9"/>
      <c r="HR292" s="9"/>
      <c r="HS292" s="9"/>
      <c r="HT292" s="9"/>
      <c r="HU292" s="9"/>
      <c r="HV292" s="9"/>
      <c r="HW292" s="9"/>
      <c r="HX292" s="9"/>
      <c r="HY292" s="9"/>
      <c r="HZ292" s="9"/>
      <c r="IA292" s="9"/>
      <c r="IB292" s="9"/>
      <c r="IC292" s="9"/>
      <c r="ID292" s="9"/>
      <c r="IE292" s="9"/>
      <c r="IF292" s="9"/>
      <c r="IG292" s="9"/>
      <c r="IH292" s="9"/>
      <c r="II292" s="9"/>
      <c r="IJ292" s="9"/>
      <c r="IK292" s="9"/>
      <c r="IL292" s="9"/>
      <c r="IM292" s="9"/>
      <c r="IN292" s="9"/>
      <c r="IO292" s="9"/>
      <c r="IP292" s="9"/>
      <c r="IQ292" s="9"/>
      <c r="IR292" s="9"/>
      <c r="IS292" s="9"/>
      <c r="IT292" s="9"/>
      <c r="IU292" s="9"/>
      <c r="IV292" s="9"/>
      <c r="IW292" s="9"/>
      <c r="IX292" s="9"/>
      <c r="IY292" s="9"/>
      <c r="IZ292" s="9"/>
      <c r="JA292" s="9"/>
      <c r="JB292" s="9"/>
      <c r="JC292" s="9"/>
      <c r="JD292" s="9"/>
      <c r="JE292" s="9"/>
      <c r="JF292" s="9"/>
      <c r="JG292" s="9"/>
      <c r="JH292" s="9"/>
      <c r="JI292" s="9"/>
      <c r="JJ292" s="9"/>
      <c r="JK292" s="9"/>
      <c r="JL292" s="9"/>
      <c r="JM292" s="9"/>
      <c r="JN292" s="9"/>
      <c r="JO292" s="9"/>
      <c r="JP292" s="9"/>
      <c r="JQ292" s="9"/>
      <c r="JR292" s="9"/>
      <c r="JS292" s="9"/>
      <c r="JT292" s="9"/>
      <c r="JU292" s="9"/>
      <c r="JV292" s="9"/>
      <c r="JW292" s="9"/>
      <c r="JX292" s="9"/>
      <c r="JY292" s="9"/>
      <c r="JZ292" s="9"/>
      <c r="KA292" s="9"/>
      <c r="KB292" s="9"/>
      <c r="KC292" s="9"/>
      <c r="KD292" s="9"/>
      <c r="KE292" s="9"/>
      <c r="KF292" s="9"/>
      <c r="KG292" s="9"/>
      <c r="KH292" s="9"/>
      <c r="KI292" s="9"/>
      <c r="KJ292" s="9"/>
      <c r="KK292" s="9"/>
      <c r="KL292" s="9"/>
      <c r="KM292" s="9"/>
      <c r="KN292" s="9"/>
      <c r="KO292" s="9"/>
      <c r="KP292" s="9"/>
      <c r="KQ292" s="9"/>
      <c r="KR292" s="9"/>
      <c r="KS292" s="9"/>
      <c r="KT292" s="9"/>
      <c r="KU292" s="9"/>
      <c r="KV292" s="9"/>
      <c r="KW292" s="9"/>
      <c r="KX292" s="9"/>
      <c r="KY292" s="9"/>
      <c r="KZ292" s="9"/>
      <c r="LA292" s="9"/>
      <c r="LB292" s="9"/>
      <c r="LC292" s="9"/>
      <c r="LD292" s="9"/>
      <c r="LE292" s="9"/>
      <c r="LF292" s="9"/>
      <c r="LG292" s="9"/>
      <c r="LH292" s="9"/>
      <c r="LI292" s="9"/>
      <c r="LJ292" s="9"/>
      <c r="LK292" s="9"/>
      <c r="LL292" s="9"/>
      <c r="LM292" s="9"/>
      <c r="LN292" s="9"/>
      <c r="LO292" s="9"/>
      <c r="LP292" s="9"/>
      <c r="LQ292" s="9"/>
      <c r="LR292" s="9"/>
      <c r="LS292" s="9"/>
      <c r="LT292" s="9"/>
      <c r="LU292" s="9"/>
      <c r="LV292" s="9"/>
      <c r="LW292" s="9"/>
      <c r="LX292" s="9"/>
      <c r="LY292" s="9"/>
      <c r="LZ292" s="9"/>
      <c r="MA292" s="9"/>
      <c r="MB292" s="9"/>
      <c r="MC292" s="9"/>
      <c r="MD292" s="9"/>
      <c r="ME292" s="9"/>
      <c r="MF292" s="9"/>
      <c r="MG292" s="9"/>
      <c r="MH292" s="9"/>
      <c r="MI292" s="9"/>
      <c r="MJ292" s="9"/>
      <c r="MK292" s="9"/>
      <c r="ML292" s="9"/>
      <c r="MM292" s="9"/>
      <c r="MN292" s="9"/>
      <c r="MO292" s="9"/>
      <c r="MP292" s="9"/>
      <c r="MQ292" s="9"/>
      <c r="MR292" s="9"/>
      <c r="MS292" s="9"/>
      <c r="MT292" s="9"/>
      <c r="MU292" s="9"/>
      <c r="MV292" s="9"/>
      <c r="MW292" s="9"/>
      <c r="MX292" s="9"/>
      <c r="MY292" s="9"/>
      <c r="MZ292" s="9"/>
      <c r="NA292" s="9"/>
      <c r="NB292" s="9"/>
      <c r="NC292" s="9"/>
      <c r="ND292" s="9"/>
      <c r="NE292" s="9"/>
      <c r="NF292" s="9"/>
      <c r="NG292" s="9"/>
      <c r="NH292" s="9"/>
      <c r="NI292" s="9"/>
      <c r="NJ292" s="9"/>
      <c r="NK292" s="9"/>
      <c r="NL292" s="9"/>
      <c r="NM292" s="9"/>
      <c r="NN292" s="9"/>
      <c r="NO292" s="9"/>
      <c r="NP292" s="9"/>
      <c r="NQ292" s="9"/>
      <c r="NR292" s="9"/>
      <c r="NS292" s="9"/>
      <c r="NT292" s="9"/>
      <c r="NU292" s="9"/>
      <c r="NV292" s="9"/>
      <c r="NW292" s="9"/>
      <c r="NX292" s="9"/>
      <c r="NY292" s="9"/>
      <c r="NZ292" s="9"/>
      <c r="OA292" s="9"/>
      <c r="OB292" s="9"/>
      <c r="OC292" s="9"/>
      <c r="OD292" s="9"/>
      <c r="OE292" s="9"/>
      <c r="OF292" s="9"/>
      <c r="OG292" s="9"/>
      <c r="OH292" s="9"/>
      <c r="OI292" s="9"/>
      <c r="OJ292" s="9"/>
      <c r="OK292" s="9"/>
      <c r="OL292" s="9"/>
      <c r="OM292" s="9"/>
      <c r="ON292" s="9"/>
      <c r="OO292" s="9"/>
      <c r="OP292" s="9"/>
      <c r="OQ292" s="9"/>
      <c r="OR292" s="9"/>
      <c r="OS292" s="9"/>
      <c r="OT292" s="9"/>
      <c r="OU292" s="9"/>
      <c r="OV292" s="9"/>
      <c r="OW292" s="9"/>
      <c r="OX292" s="9"/>
      <c r="OY292" s="9"/>
      <c r="OZ292" s="9"/>
      <c r="PA292" s="9"/>
      <c r="PB292" s="9"/>
      <c r="PC292" s="9"/>
      <c r="PD292" s="9"/>
      <c r="PE292" s="9"/>
      <c r="PF292" s="9"/>
      <c r="PG292" s="9"/>
      <c r="PH292" s="9"/>
      <c r="PI292" s="9"/>
      <c r="PJ292" s="9"/>
      <c r="PK292" s="9"/>
      <c r="PL292" s="9"/>
      <c r="PM292" s="9"/>
      <c r="PN292" s="9"/>
      <c r="PO292" s="9"/>
      <c r="PP292" s="9"/>
      <c r="PQ292" s="9"/>
      <c r="PR292" s="9"/>
      <c r="PS292" s="9"/>
      <c r="PT292" s="9"/>
      <c r="PU292" s="9"/>
      <c r="PV292" s="9"/>
      <c r="PW292" s="9"/>
      <c r="PX292" s="9"/>
      <c r="PY292" s="9"/>
      <c r="PZ292" s="9"/>
      <c r="QA292" s="9"/>
      <c r="QB292" s="9"/>
      <c r="QC292" s="9"/>
      <c r="QD292" s="9"/>
      <c r="QE292" s="9"/>
      <c r="QF292" s="9"/>
      <c r="QG292" s="9"/>
      <c r="QH292" s="9"/>
      <c r="QI292" s="9"/>
      <c r="QJ292" s="9"/>
      <c r="QK292" s="9"/>
      <c r="QL292" s="9"/>
      <c r="QM292" s="9"/>
      <c r="QN292" s="9"/>
      <c r="QO292" s="9"/>
      <c r="QP292" s="9"/>
      <c r="QQ292" s="67"/>
      <c r="QR292" s="68"/>
      <c r="QS292" s="63"/>
      <c r="QT292" s="71"/>
    </row>
    <row r="293" spans="1:462" s="11" customFormat="1" x14ac:dyDescent="0.2">
      <c r="A293" s="9">
        <v>20</v>
      </c>
      <c r="B293" s="9"/>
      <c r="C293" s="9"/>
      <c r="D293" s="9" t="s">
        <v>357</v>
      </c>
      <c r="E293" s="65" t="s">
        <v>488</v>
      </c>
      <c r="F293" s="65"/>
      <c r="G293" s="92" t="s">
        <v>2235</v>
      </c>
      <c r="H293" s="66" t="s">
        <v>1124</v>
      </c>
      <c r="I293" s="9" t="s">
        <v>1101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 t="s">
        <v>1101</v>
      </c>
      <c r="BD293" s="9"/>
      <c r="BE293" s="9" t="s">
        <v>1101</v>
      </c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  <c r="HE293" s="9"/>
      <c r="HF293" s="9"/>
      <c r="HG293" s="9"/>
      <c r="HH293" s="9"/>
      <c r="HI293" s="9"/>
      <c r="HJ293" s="9"/>
      <c r="HK293" s="9"/>
      <c r="HL293" s="9"/>
      <c r="HM293" s="9"/>
      <c r="HN293" s="9"/>
      <c r="HO293" s="9"/>
      <c r="HP293" s="9"/>
      <c r="HQ293" s="9"/>
      <c r="HR293" s="9"/>
      <c r="HS293" s="9"/>
      <c r="HT293" s="9"/>
      <c r="HU293" s="9"/>
      <c r="HV293" s="9"/>
      <c r="HW293" s="9"/>
      <c r="HX293" s="9"/>
      <c r="HY293" s="9"/>
      <c r="HZ293" s="9"/>
      <c r="IA293" s="9"/>
      <c r="IB293" s="9"/>
      <c r="IC293" s="9"/>
      <c r="ID293" s="9"/>
      <c r="IE293" s="9"/>
      <c r="IF293" s="9"/>
      <c r="IG293" s="9"/>
      <c r="IH293" s="9"/>
      <c r="II293" s="9"/>
      <c r="IJ293" s="9"/>
      <c r="IK293" s="9"/>
      <c r="IL293" s="9"/>
      <c r="IM293" s="9"/>
      <c r="IN293" s="9"/>
      <c r="IO293" s="9"/>
      <c r="IP293" s="9"/>
      <c r="IQ293" s="9"/>
      <c r="IR293" s="9"/>
      <c r="IS293" s="9"/>
      <c r="IT293" s="9"/>
      <c r="IU293" s="9"/>
      <c r="IV293" s="9"/>
      <c r="IW293" s="9"/>
      <c r="IX293" s="9"/>
      <c r="IY293" s="9"/>
      <c r="IZ293" s="9"/>
      <c r="JA293" s="9"/>
      <c r="JB293" s="9"/>
      <c r="JC293" s="9"/>
      <c r="JD293" s="9"/>
      <c r="JE293" s="9"/>
      <c r="JF293" s="9"/>
      <c r="JG293" s="9"/>
      <c r="JH293" s="9"/>
      <c r="JI293" s="9"/>
      <c r="JJ293" s="9"/>
      <c r="JK293" s="9"/>
      <c r="JL293" s="9"/>
      <c r="JM293" s="9"/>
      <c r="JN293" s="9"/>
      <c r="JO293" s="9"/>
      <c r="JP293" s="9"/>
      <c r="JQ293" s="9"/>
      <c r="JR293" s="9"/>
      <c r="JS293" s="9"/>
      <c r="JT293" s="9"/>
      <c r="JU293" s="9"/>
      <c r="JV293" s="9"/>
      <c r="JW293" s="9"/>
      <c r="JX293" s="9"/>
      <c r="JY293" s="9"/>
      <c r="JZ293" s="9"/>
      <c r="KA293" s="9"/>
      <c r="KB293" s="9"/>
      <c r="KC293" s="9"/>
      <c r="KD293" s="9"/>
      <c r="KE293" s="9"/>
      <c r="KF293" s="9"/>
      <c r="KG293" s="9"/>
      <c r="KH293" s="9"/>
      <c r="KI293" s="9"/>
      <c r="KJ293" s="9"/>
      <c r="KK293" s="9"/>
      <c r="KL293" s="9"/>
      <c r="KM293" s="9"/>
      <c r="KN293" s="9"/>
      <c r="KO293" s="9"/>
      <c r="KP293" s="9"/>
      <c r="KQ293" s="9"/>
      <c r="KR293" s="9"/>
      <c r="KS293" s="9"/>
      <c r="KT293" s="9"/>
      <c r="KU293" s="9"/>
      <c r="KV293" s="9"/>
      <c r="KW293" s="9"/>
      <c r="KX293" s="9"/>
      <c r="KY293" s="9"/>
      <c r="KZ293" s="9"/>
      <c r="LA293" s="9"/>
      <c r="LB293" s="9"/>
      <c r="LC293" s="9"/>
      <c r="LD293" s="9"/>
      <c r="LE293" s="9"/>
      <c r="LF293" s="9"/>
      <c r="LG293" s="9"/>
      <c r="LH293" s="9"/>
      <c r="LI293" s="9"/>
      <c r="LJ293" s="9"/>
      <c r="LK293" s="9"/>
      <c r="LL293" s="9"/>
      <c r="LM293" s="9"/>
      <c r="LN293" s="9"/>
      <c r="LO293" s="9"/>
      <c r="LP293" s="9"/>
      <c r="LQ293" s="9"/>
      <c r="LR293" s="9"/>
      <c r="LS293" s="9"/>
      <c r="LT293" s="9"/>
      <c r="LU293" s="9"/>
      <c r="LV293" s="9"/>
      <c r="LW293" s="9"/>
      <c r="LX293" s="9"/>
      <c r="LY293" s="9"/>
      <c r="LZ293" s="9"/>
      <c r="MA293" s="9"/>
      <c r="MB293" s="9"/>
      <c r="MC293" s="9"/>
      <c r="MD293" s="9"/>
      <c r="ME293" s="9"/>
      <c r="MF293" s="9"/>
      <c r="MG293" s="9"/>
      <c r="MH293" s="9"/>
      <c r="MI293" s="9"/>
      <c r="MJ293" s="9"/>
      <c r="MK293" s="9"/>
      <c r="ML293" s="9"/>
      <c r="MM293" s="9"/>
      <c r="MN293" s="9"/>
      <c r="MO293" s="9"/>
      <c r="MP293" s="9"/>
      <c r="MQ293" s="9"/>
      <c r="MR293" s="9"/>
      <c r="MS293" s="9"/>
      <c r="MT293" s="9"/>
      <c r="MU293" s="9"/>
      <c r="MV293" s="9"/>
      <c r="MW293" s="9"/>
      <c r="MX293" s="9"/>
      <c r="MY293" s="9"/>
      <c r="MZ293" s="9"/>
      <c r="NA293" s="9"/>
      <c r="NB293" s="9"/>
      <c r="NC293" s="9"/>
      <c r="ND293" s="9"/>
      <c r="NE293" s="9"/>
      <c r="NF293" s="9"/>
      <c r="NG293" s="9"/>
      <c r="NH293" s="9"/>
      <c r="NI293" s="9"/>
      <c r="NJ293" s="9"/>
      <c r="NK293" s="9"/>
      <c r="NL293" s="9"/>
      <c r="NM293" s="9"/>
      <c r="NN293" s="9"/>
      <c r="NO293" s="9"/>
      <c r="NP293" s="9"/>
      <c r="NQ293" s="9"/>
      <c r="NR293" s="9"/>
      <c r="NS293" s="9"/>
      <c r="NT293" s="9"/>
      <c r="NU293" s="9"/>
      <c r="NV293" s="9"/>
      <c r="NW293" s="9"/>
      <c r="NX293" s="9"/>
      <c r="NY293" s="9"/>
      <c r="NZ293" s="9"/>
      <c r="OA293" s="9"/>
      <c r="OB293" s="9"/>
      <c r="OC293" s="9"/>
      <c r="OD293" s="9"/>
      <c r="OE293" s="9"/>
      <c r="OF293" s="9"/>
      <c r="OG293" s="9"/>
      <c r="OH293" s="9"/>
      <c r="OI293" s="9"/>
      <c r="OJ293" s="9"/>
      <c r="OK293" s="9"/>
      <c r="OL293" s="9"/>
      <c r="OM293" s="9"/>
      <c r="ON293" s="9"/>
      <c r="OO293" s="9"/>
      <c r="OP293" s="9"/>
      <c r="OQ293" s="9"/>
      <c r="OR293" s="9"/>
      <c r="OS293" s="9"/>
      <c r="OT293" s="9"/>
      <c r="OU293" s="9"/>
      <c r="OV293" s="9"/>
      <c r="OW293" s="9"/>
      <c r="OX293" s="9"/>
      <c r="OY293" s="9"/>
      <c r="OZ293" s="9"/>
      <c r="PA293" s="9"/>
      <c r="PB293" s="9"/>
      <c r="PC293" s="9"/>
      <c r="PD293" s="9"/>
      <c r="PE293" s="9"/>
      <c r="PF293" s="9"/>
      <c r="PG293" s="9"/>
      <c r="PH293" s="9"/>
      <c r="PI293" s="9"/>
      <c r="PJ293" s="9"/>
      <c r="PK293" s="9"/>
      <c r="PL293" s="9"/>
      <c r="PM293" s="9"/>
      <c r="PN293" s="9"/>
      <c r="PO293" s="9"/>
      <c r="PP293" s="9"/>
      <c r="PQ293" s="9"/>
      <c r="PR293" s="9"/>
      <c r="PS293" s="9"/>
      <c r="PT293" s="9"/>
      <c r="PU293" s="9"/>
      <c r="PV293" s="9"/>
      <c r="PW293" s="9"/>
      <c r="PX293" s="9"/>
      <c r="PY293" s="9"/>
      <c r="PZ293" s="9"/>
      <c r="QA293" s="9"/>
      <c r="QB293" s="9"/>
      <c r="QC293" s="9"/>
      <c r="QD293" s="9"/>
      <c r="QE293" s="9"/>
      <c r="QF293" s="9"/>
      <c r="QG293" s="9"/>
      <c r="QH293" s="9"/>
      <c r="QI293" s="9"/>
      <c r="QJ293" s="9"/>
      <c r="QK293" s="9"/>
      <c r="QL293" s="9"/>
      <c r="QM293" s="9"/>
      <c r="QN293" s="9"/>
      <c r="QO293" s="9"/>
      <c r="QP293" s="9"/>
      <c r="QQ293" s="67"/>
      <c r="QR293" s="68"/>
      <c r="QS293" s="63"/>
      <c r="QT293" s="71"/>
    </row>
    <row r="294" spans="1:462" s="11" customFormat="1" x14ac:dyDescent="0.2">
      <c r="A294" s="9">
        <v>20</v>
      </c>
      <c r="B294" s="9"/>
      <c r="C294" s="9"/>
      <c r="D294" s="9" t="s">
        <v>359</v>
      </c>
      <c r="E294" s="65" t="s">
        <v>490</v>
      </c>
      <c r="F294" s="65"/>
      <c r="G294" s="92" t="s">
        <v>2238</v>
      </c>
      <c r="H294" s="66" t="s">
        <v>1127</v>
      </c>
      <c r="I294" s="9" t="s">
        <v>1101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 t="s">
        <v>1101</v>
      </c>
      <c r="BL294" s="9"/>
      <c r="BM294" s="9" t="s">
        <v>1101</v>
      </c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  <c r="HE294" s="9"/>
      <c r="HF294" s="9"/>
      <c r="HG294" s="9"/>
      <c r="HH294" s="9"/>
      <c r="HI294" s="9"/>
      <c r="HJ294" s="9"/>
      <c r="HK294" s="9"/>
      <c r="HL294" s="9"/>
      <c r="HM294" s="9"/>
      <c r="HN294" s="9"/>
      <c r="HO294" s="9"/>
      <c r="HP294" s="9"/>
      <c r="HQ294" s="9"/>
      <c r="HR294" s="9"/>
      <c r="HS294" s="9"/>
      <c r="HT294" s="9"/>
      <c r="HU294" s="9"/>
      <c r="HV294" s="9"/>
      <c r="HW294" s="9"/>
      <c r="HX294" s="9"/>
      <c r="HY294" s="9"/>
      <c r="HZ294" s="9"/>
      <c r="IA294" s="9"/>
      <c r="IB294" s="9"/>
      <c r="IC294" s="9"/>
      <c r="ID294" s="9"/>
      <c r="IE294" s="9"/>
      <c r="IF294" s="9"/>
      <c r="IG294" s="9"/>
      <c r="IH294" s="9"/>
      <c r="II294" s="9"/>
      <c r="IJ294" s="9"/>
      <c r="IK294" s="9"/>
      <c r="IL294" s="9"/>
      <c r="IM294" s="9"/>
      <c r="IN294" s="9"/>
      <c r="IO294" s="9"/>
      <c r="IP294" s="9"/>
      <c r="IQ294" s="9"/>
      <c r="IR294" s="9"/>
      <c r="IS294" s="9"/>
      <c r="IT294" s="9"/>
      <c r="IU294" s="9"/>
      <c r="IV294" s="9"/>
      <c r="IW294" s="9"/>
      <c r="IX294" s="9"/>
      <c r="IY294" s="9"/>
      <c r="IZ294" s="9"/>
      <c r="JA294" s="9"/>
      <c r="JB294" s="9"/>
      <c r="JC294" s="9"/>
      <c r="JD294" s="9"/>
      <c r="JE294" s="9"/>
      <c r="JF294" s="9"/>
      <c r="JG294" s="9"/>
      <c r="JH294" s="9"/>
      <c r="JI294" s="9"/>
      <c r="JJ294" s="9"/>
      <c r="JK294" s="9"/>
      <c r="JL294" s="9"/>
      <c r="JM294" s="9"/>
      <c r="JN294" s="9"/>
      <c r="JO294" s="9"/>
      <c r="JP294" s="9"/>
      <c r="JQ294" s="9"/>
      <c r="JR294" s="9"/>
      <c r="JS294" s="9"/>
      <c r="JT294" s="9"/>
      <c r="JU294" s="9"/>
      <c r="JV294" s="9"/>
      <c r="JW294" s="9"/>
      <c r="JX294" s="9"/>
      <c r="JY294" s="9"/>
      <c r="JZ294" s="9"/>
      <c r="KA294" s="9"/>
      <c r="KB294" s="9"/>
      <c r="KC294" s="9"/>
      <c r="KD294" s="9"/>
      <c r="KE294" s="9"/>
      <c r="KF294" s="9"/>
      <c r="KG294" s="9"/>
      <c r="KH294" s="9"/>
      <c r="KI294" s="9"/>
      <c r="KJ294" s="9"/>
      <c r="KK294" s="9"/>
      <c r="KL294" s="9"/>
      <c r="KM294" s="9"/>
      <c r="KN294" s="9"/>
      <c r="KO294" s="9"/>
      <c r="KP294" s="9"/>
      <c r="KQ294" s="9"/>
      <c r="KR294" s="9"/>
      <c r="KS294" s="9"/>
      <c r="KT294" s="9"/>
      <c r="KU294" s="9"/>
      <c r="KV294" s="9"/>
      <c r="KW294" s="9"/>
      <c r="KX294" s="9"/>
      <c r="KY294" s="9"/>
      <c r="KZ294" s="9"/>
      <c r="LA294" s="9"/>
      <c r="LB294" s="9"/>
      <c r="LC294" s="9"/>
      <c r="LD294" s="9"/>
      <c r="LE294" s="9"/>
      <c r="LF294" s="9"/>
      <c r="LG294" s="9"/>
      <c r="LH294" s="9"/>
      <c r="LI294" s="9"/>
      <c r="LJ294" s="9"/>
      <c r="LK294" s="9"/>
      <c r="LL294" s="9"/>
      <c r="LM294" s="9"/>
      <c r="LN294" s="9"/>
      <c r="LO294" s="9"/>
      <c r="LP294" s="9"/>
      <c r="LQ294" s="9"/>
      <c r="LR294" s="9"/>
      <c r="LS294" s="9"/>
      <c r="LT294" s="9"/>
      <c r="LU294" s="9"/>
      <c r="LV294" s="9"/>
      <c r="LW294" s="9"/>
      <c r="LX294" s="9"/>
      <c r="LY294" s="9"/>
      <c r="LZ294" s="9"/>
      <c r="MA294" s="9"/>
      <c r="MB294" s="9"/>
      <c r="MC294" s="9"/>
      <c r="MD294" s="9"/>
      <c r="ME294" s="9"/>
      <c r="MF294" s="9"/>
      <c r="MG294" s="9"/>
      <c r="MH294" s="9"/>
      <c r="MI294" s="9"/>
      <c r="MJ294" s="9"/>
      <c r="MK294" s="9"/>
      <c r="ML294" s="9"/>
      <c r="MM294" s="9"/>
      <c r="MN294" s="9"/>
      <c r="MO294" s="9"/>
      <c r="MP294" s="9"/>
      <c r="MQ294" s="9"/>
      <c r="MR294" s="9"/>
      <c r="MS294" s="9"/>
      <c r="MT294" s="9"/>
      <c r="MU294" s="9"/>
      <c r="MV294" s="9"/>
      <c r="MW294" s="9"/>
      <c r="MX294" s="9"/>
      <c r="MY294" s="9"/>
      <c r="MZ294" s="9"/>
      <c r="NA294" s="9"/>
      <c r="NB294" s="9"/>
      <c r="NC294" s="9"/>
      <c r="ND294" s="9"/>
      <c r="NE294" s="9"/>
      <c r="NF294" s="9"/>
      <c r="NG294" s="9"/>
      <c r="NH294" s="9"/>
      <c r="NI294" s="9"/>
      <c r="NJ294" s="9"/>
      <c r="NK294" s="9"/>
      <c r="NL294" s="9"/>
      <c r="NM294" s="9"/>
      <c r="NN294" s="9"/>
      <c r="NO294" s="9"/>
      <c r="NP294" s="9"/>
      <c r="NQ294" s="9"/>
      <c r="NR294" s="9"/>
      <c r="NS294" s="9"/>
      <c r="NT294" s="9"/>
      <c r="NU294" s="9"/>
      <c r="NV294" s="9"/>
      <c r="NW294" s="9"/>
      <c r="NX294" s="9"/>
      <c r="NY294" s="9"/>
      <c r="NZ294" s="9"/>
      <c r="OA294" s="9"/>
      <c r="OB294" s="9"/>
      <c r="OC294" s="9"/>
      <c r="OD294" s="9"/>
      <c r="OE294" s="9"/>
      <c r="OF294" s="9"/>
      <c r="OG294" s="9"/>
      <c r="OH294" s="9"/>
      <c r="OI294" s="9"/>
      <c r="OJ294" s="9"/>
      <c r="OK294" s="9"/>
      <c r="OL294" s="9"/>
      <c r="OM294" s="9"/>
      <c r="ON294" s="9"/>
      <c r="OO294" s="9"/>
      <c r="OP294" s="9"/>
      <c r="OQ294" s="9"/>
      <c r="OR294" s="9"/>
      <c r="OS294" s="9"/>
      <c r="OT294" s="9"/>
      <c r="OU294" s="9"/>
      <c r="OV294" s="9"/>
      <c r="OW294" s="9"/>
      <c r="OX294" s="9"/>
      <c r="OY294" s="9"/>
      <c r="OZ294" s="9"/>
      <c r="PA294" s="9"/>
      <c r="PB294" s="9"/>
      <c r="PC294" s="9"/>
      <c r="PD294" s="9"/>
      <c r="PE294" s="9"/>
      <c r="PF294" s="9"/>
      <c r="PG294" s="9"/>
      <c r="PH294" s="9"/>
      <c r="PI294" s="9"/>
      <c r="PJ294" s="9"/>
      <c r="PK294" s="9"/>
      <c r="PL294" s="9"/>
      <c r="PM294" s="9"/>
      <c r="PN294" s="9"/>
      <c r="PO294" s="9"/>
      <c r="PP294" s="9"/>
      <c r="PQ294" s="9"/>
      <c r="PR294" s="9"/>
      <c r="PS294" s="9"/>
      <c r="PT294" s="9"/>
      <c r="PU294" s="9"/>
      <c r="PV294" s="9"/>
      <c r="PW294" s="9"/>
      <c r="PX294" s="9"/>
      <c r="PY294" s="9"/>
      <c r="PZ294" s="9"/>
      <c r="QA294" s="9"/>
      <c r="QB294" s="9"/>
      <c r="QC294" s="9"/>
      <c r="QD294" s="9"/>
      <c r="QE294" s="9"/>
      <c r="QF294" s="9"/>
      <c r="QG294" s="9"/>
      <c r="QH294" s="9"/>
      <c r="QI294" s="9"/>
      <c r="QJ294" s="9"/>
      <c r="QK294" s="9"/>
      <c r="QL294" s="9"/>
      <c r="QM294" s="9"/>
      <c r="QN294" s="9"/>
      <c r="QO294" s="9"/>
      <c r="QP294" s="9"/>
      <c r="QQ294" s="67"/>
      <c r="QR294" s="68"/>
      <c r="QS294" s="63"/>
      <c r="QT294" s="71"/>
    </row>
    <row r="295" spans="1:462" s="11" customFormat="1" x14ac:dyDescent="0.2">
      <c r="A295" s="9">
        <v>20</v>
      </c>
      <c r="B295" s="9"/>
      <c r="C295" s="9"/>
      <c r="D295" s="9" t="s">
        <v>363</v>
      </c>
      <c r="E295" s="65" t="s">
        <v>493</v>
      </c>
      <c r="F295" s="65"/>
      <c r="G295" s="92" t="s">
        <v>2243</v>
      </c>
      <c r="H295" s="66" t="s">
        <v>1132</v>
      </c>
      <c r="I295" s="9" t="s">
        <v>1101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 t="s">
        <v>1101</v>
      </c>
      <c r="BT295" s="9"/>
      <c r="BU295" s="9" t="s">
        <v>1101</v>
      </c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  <c r="HE295" s="9"/>
      <c r="HF295" s="9"/>
      <c r="HG295" s="9"/>
      <c r="HH295" s="9"/>
      <c r="HI295" s="9"/>
      <c r="HJ295" s="9"/>
      <c r="HK295" s="9"/>
      <c r="HL295" s="9"/>
      <c r="HM295" s="9"/>
      <c r="HN295" s="9"/>
      <c r="HO295" s="9"/>
      <c r="HP295" s="9"/>
      <c r="HQ295" s="9"/>
      <c r="HR295" s="9"/>
      <c r="HS295" s="9"/>
      <c r="HT295" s="9"/>
      <c r="HU295" s="9"/>
      <c r="HV295" s="9"/>
      <c r="HW295" s="9"/>
      <c r="HX295" s="9"/>
      <c r="HY295" s="9"/>
      <c r="HZ295" s="9"/>
      <c r="IA295" s="9"/>
      <c r="IB295" s="9"/>
      <c r="IC295" s="9"/>
      <c r="ID295" s="9"/>
      <c r="IE295" s="9"/>
      <c r="IF295" s="9"/>
      <c r="IG295" s="9"/>
      <c r="IH295" s="9"/>
      <c r="II295" s="9"/>
      <c r="IJ295" s="9"/>
      <c r="IK295" s="9"/>
      <c r="IL295" s="9"/>
      <c r="IM295" s="9"/>
      <c r="IN295" s="9"/>
      <c r="IO295" s="9"/>
      <c r="IP295" s="9"/>
      <c r="IQ295" s="9"/>
      <c r="IR295" s="9"/>
      <c r="IS295" s="9"/>
      <c r="IT295" s="9"/>
      <c r="IU295" s="9"/>
      <c r="IV295" s="9"/>
      <c r="IW295" s="9"/>
      <c r="IX295" s="9"/>
      <c r="IY295" s="9"/>
      <c r="IZ295" s="9"/>
      <c r="JA295" s="9"/>
      <c r="JB295" s="9"/>
      <c r="JC295" s="9"/>
      <c r="JD295" s="9"/>
      <c r="JE295" s="9"/>
      <c r="JF295" s="9"/>
      <c r="JG295" s="9"/>
      <c r="JH295" s="9"/>
      <c r="JI295" s="9"/>
      <c r="JJ295" s="9"/>
      <c r="JK295" s="9"/>
      <c r="JL295" s="9"/>
      <c r="JM295" s="9"/>
      <c r="JN295" s="9"/>
      <c r="JO295" s="9"/>
      <c r="JP295" s="9"/>
      <c r="JQ295" s="9"/>
      <c r="JR295" s="9"/>
      <c r="JS295" s="9"/>
      <c r="JT295" s="9"/>
      <c r="JU295" s="9"/>
      <c r="JV295" s="9"/>
      <c r="JW295" s="9"/>
      <c r="JX295" s="9"/>
      <c r="JY295" s="9"/>
      <c r="JZ295" s="9"/>
      <c r="KA295" s="9"/>
      <c r="KB295" s="9"/>
      <c r="KC295" s="9"/>
      <c r="KD295" s="9"/>
      <c r="KE295" s="9"/>
      <c r="KF295" s="9"/>
      <c r="KG295" s="9"/>
      <c r="KH295" s="9"/>
      <c r="KI295" s="9"/>
      <c r="KJ295" s="9"/>
      <c r="KK295" s="9"/>
      <c r="KL295" s="9"/>
      <c r="KM295" s="9"/>
      <c r="KN295" s="9"/>
      <c r="KO295" s="9"/>
      <c r="KP295" s="9"/>
      <c r="KQ295" s="9"/>
      <c r="KR295" s="9"/>
      <c r="KS295" s="9"/>
      <c r="KT295" s="9"/>
      <c r="KU295" s="9"/>
      <c r="KV295" s="9"/>
      <c r="KW295" s="9"/>
      <c r="KX295" s="9"/>
      <c r="KY295" s="9"/>
      <c r="KZ295" s="9"/>
      <c r="LA295" s="9"/>
      <c r="LB295" s="9"/>
      <c r="LC295" s="9"/>
      <c r="LD295" s="9"/>
      <c r="LE295" s="9"/>
      <c r="LF295" s="9"/>
      <c r="LG295" s="9"/>
      <c r="LH295" s="9"/>
      <c r="LI295" s="9"/>
      <c r="LJ295" s="9"/>
      <c r="LK295" s="9"/>
      <c r="LL295" s="9"/>
      <c r="LM295" s="9"/>
      <c r="LN295" s="9"/>
      <c r="LO295" s="9"/>
      <c r="LP295" s="9"/>
      <c r="LQ295" s="9"/>
      <c r="LR295" s="9"/>
      <c r="LS295" s="9"/>
      <c r="LT295" s="9"/>
      <c r="LU295" s="9"/>
      <c r="LV295" s="9"/>
      <c r="LW295" s="9"/>
      <c r="LX295" s="9"/>
      <c r="LY295" s="9"/>
      <c r="LZ295" s="9"/>
      <c r="MA295" s="9"/>
      <c r="MB295" s="9"/>
      <c r="MC295" s="9"/>
      <c r="MD295" s="9"/>
      <c r="ME295" s="9"/>
      <c r="MF295" s="9"/>
      <c r="MG295" s="9"/>
      <c r="MH295" s="9"/>
      <c r="MI295" s="9"/>
      <c r="MJ295" s="9"/>
      <c r="MK295" s="9"/>
      <c r="ML295" s="9"/>
      <c r="MM295" s="9"/>
      <c r="MN295" s="9"/>
      <c r="MO295" s="9"/>
      <c r="MP295" s="9"/>
      <c r="MQ295" s="9"/>
      <c r="MR295" s="9"/>
      <c r="MS295" s="9"/>
      <c r="MT295" s="9"/>
      <c r="MU295" s="9"/>
      <c r="MV295" s="9"/>
      <c r="MW295" s="9"/>
      <c r="MX295" s="9"/>
      <c r="MY295" s="9"/>
      <c r="MZ295" s="9"/>
      <c r="NA295" s="9"/>
      <c r="NB295" s="9"/>
      <c r="NC295" s="9"/>
      <c r="ND295" s="9"/>
      <c r="NE295" s="9"/>
      <c r="NF295" s="9"/>
      <c r="NG295" s="9"/>
      <c r="NH295" s="9"/>
      <c r="NI295" s="9"/>
      <c r="NJ295" s="9"/>
      <c r="NK295" s="9"/>
      <c r="NL295" s="9"/>
      <c r="NM295" s="9"/>
      <c r="NN295" s="9"/>
      <c r="NO295" s="9"/>
      <c r="NP295" s="9"/>
      <c r="NQ295" s="9"/>
      <c r="NR295" s="9"/>
      <c r="NS295" s="9"/>
      <c r="NT295" s="9"/>
      <c r="NU295" s="9"/>
      <c r="NV295" s="9"/>
      <c r="NW295" s="9"/>
      <c r="NX295" s="9"/>
      <c r="NY295" s="9"/>
      <c r="NZ295" s="9"/>
      <c r="OA295" s="9"/>
      <c r="OB295" s="9"/>
      <c r="OC295" s="9"/>
      <c r="OD295" s="9"/>
      <c r="OE295" s="9"/>
      <c r="OF295" s="9"/>
      <c r="OG295" s="9"/>
      <c r="OH295" s="9"/>
      <c r="OI295" s="9"/>
      <c r="OJ295" s="9"/>
      <c r="OK295" s="9"/>
      <c r="OL295" s="9"/>
      <c r="OM295" s="9"/>
      <c r="ON295" s="9"/>
      <c r="OO295" s="9"/>
      <c r="OP295" s="9"/>
      <c r="OQ295" s="9"/>
      <c r="OR295" s="9"/>
      <c r="OS295" s="9"/>
      <c r="OT295" s="9"/>
      <c r="OU295" s="9"/>
      <c r="OV295" s="9"/>
      <c r="OW295" s="9"/>
      <c r="OX295" s="9"/>
      <c r="OY295" s="9"/>
      <c r="OZ295" s="9"/>
      <c r="PA295" s="9"/>
      <c r="PB295" s="9"/>
      <c r="PC295" s="9"/>
      <c r="PD295" s="9"/>
      <c r="PE295" s="9"/>
      <c r="PF295" s="9"/>
      <c r="PG295" s="9"/>
      <c r="PH295" s="9"/>
      <c r="PI295" s="9"/>
      <c r="PJ295" s="9"/>
      <c r="PK295" s="9"/>
      <c r="PL295" s="9"/>
      <c r="PM295" s="9"/>
      <c r="PN295" s="9"/>
      <c r="PO295" s="9"/>
      <c r="PP295" s="9"/>
      <c r="PQ295" s="9"/>
      <c r="PR295" s="9"/>
      <c r="PS295" s="9"/>
      <c r="PT295" s="9"/>
      <c r="PU295" s="9"/>
      <c r="PV295" s="9"/>
      <c r="PW295" s="9"/>
      <c r="PX295" s="9"/>
      <c r="PY295" s="9"/>
      <c r="PZ295" s="9"/>
      <c r="QA295" s="9"/>
      <c r="QB295" s="9"/>
      <c r="QC295" s="9"/>
      <c r="QD295" s="9"/>
      <c r="QE295" s="9"/>
      <c r="QF295" s="9"/>
      <c r="QG295" s="9"/>
      <c r="QH295" s="9"/>
      <c r="QI295" s="9"/>
      <c r="QJ295" s="9"/>
      <c r="QK295" s="9"/>
      <c r="QL295" s="9"/>
      <c r="QM295" s="9"/>
      <c r="QN295" s="9"/>
      <c r="QO295" s="9"/>
      <c r="QP295" s="9"/>
      <c r="QQ295" s="67"/>
      <c r="QR295" s="68"/>
      <c r="QS295" s="63"/>
      <c r="QT295" s="71"/>
    </row>
    <row r="296" spans="1:462" s="11" customFormat="1" x14ac:dyDescent="0.2">
      <c r="A296" s="9">
        <v>20</v>
      </c>
      <c r="B296" s="9"/>
      <c r="C296" s="9"/>
      <c r="D296" s="9" t="s">
        <v>366</v>
      </c>
      <c r="E296" s="65" t="s">
        <v>495</v>
      </c>
      <c r="F296" s="65"/>
      <c r="G296" s="92" t="s">
        <v>2249</v>
      </c>
      <c r="H296" s="66" t="s">
        <v>1140</v>
      </c>
      <c r="I296" s="9" t="s">
        <v>1101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 t="s">
        <v>1101</v>
      </c>
      <c r="CB296" s="9"/>
      <c r="CC296" s="9" t="s">
        <v>1101</v>
      </c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  <c r="HE296" s="9"/>
      <c r="HF296" s="9"/>
      <c r="HG296" s="9"/>
      <c r="HH296" s="9"/>
      <c r="HI296" s="9"/>
      <c r="HJ296" s="9"/>
      <c r="HK296" s="9"/>
      <c r="HL296" s="9"/>
      <c r="HM296" s="9"/>
      <c r="HN296" s="9"/>
      <c r="HO296" s="9"/>
      <c r="HP296" s="9"/>
      <c r="HQ296" s="9"/>
      <c r="HR296" s="9"/>
      <c r="HS296" s="9"/>
      <c r="HT296" s="9"/>
      <c r="HU296" s="9"/>
      <c r="HV296" s="9"/>
      <c r="HW296" s="9"/>
      <c r="HX296" s="9"/>
      <c r="HY296" s="9"/>
      <c r="HZ296" s="9"/>
      <c r="IA296" s="9"/>
      <c r="IB296" s="9"/>
      <c r="IC296" s="9"/>
      <c r="ID296" s="9"/>
      <c r="IE296" s="9"/>
      <c r="IF296" s="9"/>
      <c r="IG296" s="9"/>
      <c r="IH296" s="9"/>
      <c r="II296" s="9"/>
      <c r="IJ296" s="9"/>
      <c r="IK296" s="9"/>
      <c r="IL296" s="9"/>
      <c r="IM296" s="9"/>
      <c r="IN296" s="9"/>
      <c r="IO296" s="9"/>
      <c r="IP296" s="9"/>
      <c r="IQ296" s="9"/>
      <c r="IR296" s="9"/>
      <c r="IS296" s="9"/>
      <c r="IT296" s="9"/>
      <c r="IU296" s="9"/>
      <c r="IV296" s="9"/>
      <c r="IW296" s="9"/>
      <c r="IX296" s="9"/>
      <c r="IY296" s="9"/>
      <c r="IZ296" s="9"/>
      <c r="JA296" s="9"/>
      <c r="JB296" s="9"/>
      <c r="JC296" s="9"/>
      <c r="JD296" s="9"/>
      <c r="JE296" s="9"/>
      <c r="JF296" s="9"/>
      <c r="JG296" s="9"/>
      <c r="JH296" s="9"/>
      <c r="JI296" s="9"/>
      <c r="JJ296" s="9"/>
      <c r="JK296" s="9"/>
      <c r="JL296" s="9"/>
      <c r="JM296" s="9"/>
      <c r="JN296" s="9"/>
      <c r="JO296" s="9"/>
      <c r="JP296" s="9"/>
      <c r="JQ296" s="9"/>
      <c r="JR296" s="9"/>
      <c r="JS296" s="9"/>
      <c r="JT296" s="9"/>
      <c r="JU296" s="9"/>
      <c r="JV296" s="9"/>
      <c r="JW296" s="9"/>
      <c r="JX296" s="9"/>
      <c r="JY296" s="9"/>
      <c r="JZ296" s="9"/>
      <c r="KA296" s="9"/>
      <c r="KB296" s="9"/>
      <c r="KC296" s="9"/>
      <c r="KD296" s="9"/>
      <c r="KE296" s="9"/>
      <c r="KF296" s="9"/>
      <c r="KG296" s="9"/>
      <c r="KH296" s="9"/>
      <c r="KI296" s="9"/>
      <c r="KJ296" s="9"/>
      <c r="KK296" s="9"/>
      <c r="KL296" s="9"/>
      <c r="KM296" s="9"/>
      <c r="KN296" s="9"/>
      <c r="KO296" s="9"/>
      <c r="KP296" s="9"/>
      <c r="KQ296" s="9"/>
      <c r="KR296" s="9"/>
      <c r="KS296" s="9"/>
      <c r="KT296" s="9"/>
      <c r="KU296" s="9"/>
      <c r="KV296" s="9"/>
      <c r="KW296" s="9"/>
      <c r="KX296" s="9"/>
      <c r="KY296" s="9"/>
      <c r="KZ296" s="9"/>
      <c r="LA296" s="9"/>
      <c r="LB296" s="9"/>
      <c r="LC296" s="9"/>
      <c r="LD296" s="9"/>
      <c r="LE296" s="9"/>
      <c r="LF296" s="9"/>
      <c r="LG296" s="9"/>
      <c r="LH296" s="9"/>
      <c r="LI296" s="9"/>
      <c r="LJ296" s="9"/>
      <c r="LK296" s="9"/>
      <c r="LL296" s="9"/>
      <c r="LM296" s="9"/>
      <c r="LN296" s="9"/>
      <c r="LO296" s="9"/>
      <c r="LP296" s="9"/>
      <c r="LQ296" s="9"/>
      <c r="LR296" s="9"/>
      <c r="LS296" s="9"/>
      <c r="LT296" s="9"/>
      <c r="LU296" s="9"/>
      <c r="LV296" s="9"/>
      <c r="LW296" s="9"/>
      <c r="LX296" s="9"/>
      <c r="LY296" s="9"/>
      <c r="LZ296" s="9"/>
      <c r="MA296" s="9"/>
      <c r="MB296" s="9"/>
      <c r="MC296" s="9"/>
      <c r="MD296" s="9"/>
      <c r="ME296" s="9"/>
      <c r="MF296" s="9"/>
      <c r="MG296" s="9"/>
      <c r="MH296" s="9"/>
      <c r="MI296" s="9"/>
      <c r="MJ296" s="9"/>
      <c r="MK296" s="9"/>
      <c r="ML296" s="9"/>
      <c r="MM296" s="9"/>
      <c r="MN296" s="9"/>
      <c r="MO296" s="9"/>
      <c r="MP296" s="9"/>
      <c r="MQ296" s="9"/>
      <c r="MR296" s="9"/>
      <c r="MS296" s="9"/>
      <c r="MT296" s="9"/>
      <c r="MU296" s="9"/>
      <c r="MV296" s="9"/>
      <c r="MW296" s="9"/>
      <c r="MX296" s="9"/>
      <c r="MY296" s="9"/>
      <c r="MZ296" s="9"/>
      <c r="NA296" s="9"/>
      <c r="NB296" s="9"/>
      <c r="NC296" s="9"/>
      <c r="ND296" s="9"/>
      <c r="NE296" s="9"/>
      <c r="NF296" s="9"/>
      <c r="NG296" s="9"/>
      <c r="NH296" s="9"/>
      <c r="NI296" s="9"/>
      <c r="NJ296" s="9"/>
      <c r="NK296" s="9"/>
      <c r="NL296" s="9"/>
      <c r="NM296" s="9"/>
      <c r="NN296" s="9"/>
      <c r="NO296" s="9"/>
      <c r="NP296" s="9"/>
      <c r="NQ296" s="9"/>
      <c r="NR296" s="9"/>
      <c r="NS296" s="9"/>
      <c r="NT296" s="9"/>
      <c r="NU296" s="9"/>
      <c r="NV296" s="9"/>
      <c r="NW296" s="9"/>
      <c r="NX296" s="9"/>
      <c r="NY296" s="9"/>
      <c r="NZ296" s="9"/>
      <c r="OA296" s="9"/>
      <c r="OB296" s="9"/>
      <c r="OC296" s="9"/>
      <c r="OD296" s="9"/>
      <c r="OE296" s="9"/>
      <c r="OF296" s="9"/>
      <c r="OG296" s="9"/>
      <c r="OH296" s="9"/>
      <c r="OI296" s="9"/>
      <c r="OJ296" s="9"/>
      <c r="OK296" s="9"/>
      <c r="OL296" s="9"/>
      <c r="OM296" s="9"/>
      <c r="ON296" s="9"/>
      <c r="OO296" s="9"/>
      <c r="OP296" s="9"/>
      <c r="OQ296" s="9"/>
      <c r="OR296" s="9"/>
      <c r="OS296" s="9"/>
      <c r="OT296" s="9"/>
      <c r="OU296" s="9"/>
      <c r="OV296" s="9"/>
      <c r="OW296" s="9"/>
      <c r="OX296" s="9"/>
      <c r="OY296" s="9"/>
      <c r="OZ296" s="9"/>
      <c r="PA296" s="9"/>
      <c r="PB296" s="9"/>
      <c r="PC296" s="9"/>
      <c r="PD296" s="9"/>
      <c r="PE296" s="9"/>
      <c r="PF296" s="9"/>
      <c r="PG296" s="9"/>
      <c r="PH296" s="9"/>
      <c r="PI296" s="9"/>
      <c r="PJ296" s="9"/>
      <c r="PK296" s="9"/>
      <c r="PL296" s="9"/>
      <c r="PM296" s="9"/>
      <c r="PN296" s="9"/>
      <c r="PO296" s="9"/>
      <c r="PP296" s="9"/>
      <c r="PQ296" s="9"/>
      <c r="PR296" s="9"/>
      <c r="PS296" s="9"/>
      <c r="PT296" s="9"/>
      <c r="PU296" s="9"/>
      <c r="PV296" s="9"/>
      <c r="PW296" s="9"/>
      <c r="PX296" s="9"/>
      <c r="PY296" s="9"/>
      <c r="PZ296" s="9"/>
      <c r="QA296" s="9"/>
      <c r="QB296" s="9"/>
      <c r="QC296" s="9"/>
      <c r="QD296" s="9"/>
      <c r="QE296" s="9"/>
      <c r="QF296" s="9"/>
      <c r="QG296" s="9"/>
      <c r="QH296" s="9"/>
      <c r="QI296" s="9"/>
      <c r="QJ296" s="9"/>
      <c r="QK296" s="9"/>
      <c r="QL296" s="9"/>
      <c r="QM296" s="9"/>
      <c r="QN296" s="9"/>
      <c r="QO296" s="9"/>
      <c r="QP296" s="9"/>
      <c r="QQ296" s="67"/>
      <c r="QR296" s="68"/>
      <c r="QS296" s="63"/>
      <c r="QT296" s="71"/>
    </row>
    <row r="297" spans="1:462" s="11" customFormat="1" x14ac:dyDescent="0.2">
      <c r="A297" s="9">
        <v>20</v>
      </c>
      <c r="B297" s="9"/>
      <c r="C297" s="9"/>
      <c r="D297" s="9" t="s">
        <v>370</v>
      </c>
      <c r="E297" s="65" t="s">
        <v>499</v>
      </c>
      <c r="F297" s="65"/>
      <c r="G297" s="92" t="s">
        <v>2254</v>
      </c>
      <c r="H297" s="66" t="s">
        <v>1147</v>
      </c>
      <c r="I297" s="9" t="s">
        <v>1101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 t="s">
        <v>1101</v>
      </c>
      <c r="CJ297" s="9"/>
      <c r="CK297" s="9" t="s">
        <v>1101</v>
      </c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  <c r="HE297" s="9"/>
      <c r="HF297" s="9"/>
      <c r="HG297" s="9"/>
      <c r="HH297" s="9"/>
      <c r="HI297" s="9"/>
      <c r="HJ297" s="9"/>
      <c r="HK297" s="9"/>
      <c r="HL297" s="9"/>
      <c r="HM297" s="9"/>
      <c r="HN297" s="9"/>
      <c r="HO297" s="9"/>
      <c r="HP297" s="9"/>
      <c r="HQ297" s="9"/>
      <c r="HR297" s="9"/>
      <c r="HS297" s="9"/>
      <c r="HT297" s="9"/>
      <c r="HU297" s="9"/>
      <c r="HV297" s="9"/>
      <c r="HW297" s="9"/>
      <c r="HX297" s="9"/>
      <c r="HY297" s="9"/>
      <c r="HZ297" s="9"/>
      <c r="IA297" s="9"/>
      <c r="IB297" s="9"/>
      <c r="IC297" s="9"/>
      <c r="ID297" s="9"/>
      <c r="IE297" s="9"/>
      <c r="IF297" s="9"/>
      <c r="IG297" s="9"/>
      <c r="IH297" s="9"/>
      <c r="II297" s="9"/>
      <c r="IJ297" s="9"/>
      <c r="IK297" s="9"/>
      <c r="IL297" s="9"/>
      <c r="IM297" s="9"/>
      <c r="IN297" s="9"/>
      <c r="IO297" s="9"/>
      <c r="IP297" s="9"/>
      <c r="IQ297" s="9"/>
      <c r="IR297" s="9"/>
      <c r="IS297" s="9"/>
      <c r="IT297" s="9"/>
      <c r="IU297" s="9"/>
      <c r="IV297" s="9"/>
      <c r="IW297" s="9"/>
      <c r="IX297" s="9"/>
      <c r="IY297" s="9"/>
      <c r="IZ297" s="9"/>
      <c r="JA297" s="9"/>
      <c r="JB297" s="9"/>
      <c r="JC297" s="9"/>
      <c r="JD297" s="9"/>
      <c r="JE297" s="9"/>
      <c r="JF297" s="9"/>
      <c r="JG297" s="9"/>
      <c r="JH297" s="9"/>
      <c r="JI297" s="9"/>
      <c r="JJ297" s="9"/>
      <c r="JK297" s="9"/>
      <c r="JL297" s="9"/>
      <c r="JM297" s="9"/>
      <c r="JN297" s="9"/>
      <c r="JO297" s="9"/>
      <c r="JP297" s="9"/>
      <c r="JQ297" s="9"/>
      <c r="JR297" s="9"/>
      <c r="JS297" s="9"/>
      <c r="JT297" s="9"/>
      <c r="JU297" s="9"/>
      <c r="JV297" s="9"/>
      <c r="JW297" s="9"/>
      <c r="JX297" s="9"/>
      <c r="JY297" s="9"/>
      <c r="JZ297" s="9"/>
      <c r="KA297" s="9"/>
      <c r="KB297" s="9"/>
      <c r="KC297" s="9"/>
      <c r="KD297" s="9"/>
      <c r="KE297" s="9"/>
      <c r="KF297" s="9"/>
      <c r="KG297" s="9"/>
      <c r="KH297" s="9"/>
      <c r="KI297" s="9"/>
      <c r="KJ297" s="9"/>
      <c r="KK297" s="9"/>
      <c r="KL297" s="9"/>
      <c r="KM297" s="9"/>
      <c r="KN297" s="9"/>
      <c r="KO297" s="9"/>
      <c r="KP297" s="9"/>
      <c r="KQ297" s="9"/>
      <c r="KR297" s="9"/>
      <c r="KS297" s="9"/>
      <c r="KT297" s="9"/>
      <c r="KU297" s="9"/>
      <c r="KV297" s="9"/>
      <c r="KW297" s="9"/>
      <c r="KX297" s="9"/>
      <c r="KY297" s="9"/>
      <c r="KZ297" s="9"/>
      <c r="LA297" s="9"/>
      <c r="LB297" s="9"/>
      <c r="LC297" s="9"/>
      <c r="LD297" s="9"/>
      <c r="LE297" s="9"/>
      <c r="LF297" s="9"/>
      <c r="LG297" s="9"/>
      <c r="LH297" s="9"/>
      <c r="LI297" s="9"/>
      <c r="LJ297" s="9"/>
      <c r="LK297" s="9"/>
      <c r="LL297" s="9"/>
      <c r="LM297" s="9"/>
      <c r="LN297" s="9"/>
      <c r="LO297" s="9"/>
      <c r="LP297" s="9"/>
      <c r="LQ297" s="9"/>
      <c r="LR297" s="9"/>
      <c r="LS297" s="9"/>
      <c r="LT297" s="9"/>
      <c r="LU297" s="9"/>
      <c r="LV297" s="9"/>
      <c r="LW297" s="9"/>
      <c r="LX297" s="9"/>
      <c r="LY297" s="9"/>
      <c r="LZ297" s="9"/>
      <c r="MA297" s="9"/>
      <c r="MB297" s="9"/>
      <c r="MC297" s="9"/>
      <c r="MD297" s="9"/>
      <c r="ME297" s="9"/>
      <c r="MF297" s="9"/>
      <c r="MG297" s="9"/>
      <c r="MH297" s="9"/>
      <c r="MI297" s="9"/>
      <c r="MJ297" s="9"/>
      <c r="MK297" s="9"/>
      <c r="ML297" s="9"/>
      <c r="MM297" s="9"/>
      <c r="MN297" s="9"/>
      <c r="MO297" s="9"/>
      <c r="MP297" s="9"/>
      <c r="MQ297" s="9"/>
      <c r="MR297" s="9"/>
      <c r="MS297" s="9"/>
      <c r="MT297" s="9"/>
      <c r="MU297" s="9"/>
      <c r="MV297" s="9"/>
      <c r="MW297" s="9"/>
      <c r="MX297" s="9"/>
      <c r="MY297" s="9"/>
      <c r="MZ297" s="9"/>
      <c r="NA297" s="9"/>
      <c r="NB297" s="9"/>
      <c r="NC297" s="9"/>
      <c r="ND297" s="9"/>
      <c r="NE297" s="9"/>
      <c r="NF297" s="9"/>
      <c r="NG297" s="9"/>
      <c r="NH297" s="9"/>
      <c r="NI297" s="9"/>
      <c r="NJ297" s="9"/>
      <c r="NK297" s="9"/>
      <c r="NL297" s="9"/>
      <c r="NM297" s="9"/>
      <c r="NN297" s="9"/>
      <c r="NO297" s="9"/>
      <c r="NP297" s="9"/>
      <c r="NQ297" s="9"/>
      <c r="NR297" s="9"/>
      <c r="NS297" s="9"/>
      <c r="NT297" s="9"/>
      <c r="NU297" s="9"/>
      <c r="NV297" s="9"/>
      <c r="NW297" s="9"/>
      <c r="NX297" s="9"/>
      <c r="NY297" s="9"/>
      <c r="NZ297" s="9"/>
      <c r="OA297" s="9"/>
      <c r="OB297" s="9"/>
      <c r="OC297" s="9"/>
      <c r="OD297" s="9"/>
      <c r="OE297" s="9"/>
      <c r="OF297" s="9"/>
      <c r="OG297" s="9"/>
      <c r="OH297" s="9"/>
      <c r="OI297" s="9"/>
      <c r="OJ297" s="9"/>
      <c r="OK297" s="9"/>
      <c r="OL297" s="9"/>
      <c r="OM297" s="9"/>
      <c r="ON297" s="9"/>
      <c r="OO297" s="9"/>
      <c r="OP297" s="9"/>
      <c r="OQ297" s="9"/>
      <c r="OR297" s="9"/>
      <c r="OS297" s="9"/>
      <c r="OT297" s="9"/>
      <c r="OU297" s="9"/>
      <c r="OV297" s="9"/>
      <c r="OW297" s="9"/>
      <c r="OX297" s="9"/>
      <c r="OY297" s="9"/>
      <c r="OZ297" s="9"/>
      <c r="PA297" s="9"/>
      <c r="PB297" s="9"/>
      <c r="PC297" s="9"/>
      <c r="PD297" s="9"/>
      <c r="PE297" s="9"/>
      <c r="PF297" s="9"/>
      <c r="PG297" s="9"/>
      <c r="PH297" s="9"/>
      <c r="PI297" s="9"/>
      <c r="PJ297" s="9"/>
      <c r="PK297" s="9"/>
      <c r="PL297" s="9"/>
      <c r="PM297" s="9"/>
      <c r="PN297" s="9"/>
      <c r="PO297" s="9"/>
      <c r="PP297" s="9"/>
      <c r="PQ297" s="9"/>
      <c r="PR297" s="9"/>
      <c r="PS297" s="9"/>
      <c r="PT297" s="9"/>
      <c r="PU297" s="9"/>
      <c r="PV297" s="9"/>
      <c r="PW297" s="9"/>
      <c r="PX297" s="9"/>
      <c r="PY297" s="9"/>
      <c r="PZ297" s="9"/>
      <c r="QA297" s="9"/>
      <c r="QB297" s="9"/>
      <c r="QC297" s="9"/>
      <c r="QD297" s="9"/>
      <c r="QE297" s="9"/>
      <c r="QF297" s="9"/>
      <c r="QG297" s="9"/>
      <c r="QH297" s="9"/>
      <c r="QI297" s="9"/>
      <c r="QJ297" s="9"/>
      <c r="QK297" s="9"/>
      <c r="QL297" s="9"/>
      <c r="QM297" s="9"/>
      <c r="QN297" s="9"/>
      <c r="QO297" s="9"/>
      <c r="QP297" s="9"/>
      <c r="QQ297" s="67"/>
      <c r="QR297" s="68"/>
      <c r="QS297" s="63"/>
      <c r="QT297" s="71"/>
    </row>
    <row r="298" spans="1:462" s="11" customFormat="1" x14ac:dyDescent="0.2">
      <c r="A298" s="9">
        <v>20</v>
      </c>
      <c r="B298" s="9"/>
      <c r="C298" s="9"/>
      <c r="D298" s="9" t="s">
        <v>372</v>
      </c>
      <c r="E298" s="65" t="s">
        <v>501</v>
      </c>
      <c r="F298" s="65"/>
      <c r="G298" s="92" t="s">
        <v>2257</v>
      </c>
      <c r="H298" s="66" t="s">
        <v>1150</v>
      </c>
      <c r="I298" s="9" t="s">
        <v>1101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 t="s">
        <v>1101</v>
      </c>
      <c r="CR298" s="9"/>
      <c r="CS298" s="9" t="s">
        <v>1101</v>
      </c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  <c r="HE298" s="9"/>
      <c r="HF298" s="9"/>
      <c r="HG298" s="9"/>
      <c r="HH298" s="9"/>
      <c r="HI298" s="9"/>
      <c r="HJ298" s="9"/>
      <c r="HK298" s="9"/>
      <c r="HL298" s="9"/>
      <c r="HM298" s="9"/>
      <c r="HN298" s="9"/>
      <c r="HO298" s="9"/>
      <c r="HP298" s="9"/>
      <c r="HQ298" s="9"/>
      <c r="HR298" s="9"/>
      <c r="HS298" s="9"/>
      <c r="HT298" s="9"/>
      <c r="HU298" s="9"/>
      <c r="HV298" s="9"/>
      <c r="HW298" s="9"/>
      <c r="HX298" s="9"/>
      <c r="HY298" s="9"/>
      <c r="HZ298" s="9"/>
      <c r="IA298" s="9"/>
      <c r="IB298" s="9"/>
      <c r="IC298" s="9"/>
      <c r="ID298" s="9"/>
      <c r="IE298" s="9"/>
      <c r="IF298" s="9"/>
      <c r="IG298" s="9"/>
      <c r="IH298" s="9"/>
      <c r="II298" s="9"/>
      <c r="IJ298" s="9"/>
      <c r="IK298" s="9"/>
      <c r="IL298" s="9"/>
      <c r="IM298" s="9"/>
      <c r="IN298" s="9"/>
      <c r="IO298" s="9"/>
      <c r="IP298" s="9"/>
      <c r="IQ298" s="9"/>
      <c r="IR298" s="9"/>
      <c r="IS298" s="9"/>
      <c r="IT298" s="9"/>
      <c r="IU298" s="9"/>
      <c r="IV298" s="9"/>
      <c r="IW298" s="9"/>
      <c r="IX298" s="9"/>
      <c r="IY298" s="9"/>
      <c r="IZ298" s="9"/>
      <c r="JA298" s="9"/>
      <c r="JB298" s="9"/>
      <c r="JC298" s="9"/>
      <c r="JD298" s="9"/>
      <c r="JE298" s="9"/>
      <c r="JF298" s="9"/>
      <c r="JG298" s="9"/>
      <c r="JH298" s="9"/>
      <c r="JI298" s="9"/>
      <c r="JJ298" s="9"/>
      <c r="JK298" s="9"/>
      <c r="JL298" s="9"/>
      <c r="JM298" s="9"/>
      <c r="JN298" s="9"/>
      <c r="JO298" s="9"/>
      <c r="JP298" s="9"/>
      <c r="JQ298" s="9"/>
      <c r="JR298" s="9"/>
      <c r="JS298" s="9"/>
      <c r="JT298" s="9"/>
      <c r="JU298" s="9"/>
      <c r="JV298" s="9"/>
      <c r="JW298" s="9"/>
      <c r="JX298" s="9"/>
      <c r="JY298" s="9"/>
      <c r="JZ298" s="9"/>
      <c r="KA298" s="9"/>
      <c r="KB298" s="9"/>
      <c r="KC298" s="9"/>
      <c r="KD298" s="9"/>
      <c r="KE298" s="9"/>
      <c r="KF298" s="9"/>
      <c r="KG298" s="9"/>
      <c r="KH298" s="9"/>
      <c r="KI298" s="9"/>
      <c r="KJ298" s="9"/>
      <c r="KK298" s="9"/>
      <c r="KL298" s="9"/>
      <c r="KM298" s="9"/>
      <c r="KN298" s="9"/>
      <c r="KO298" s="9"/>
      <c r="KP298" s="9"/>
      <c r="KQ298" s="9"/>
      <c r="KR298" s="9"/>
      <c r="KS298" s="9"/>
      <c r="KT298" s="9"/>
      <c r="KU298" s="9"/>
      <c r="KV298" s="9"/>
      <c r="KW298" s="9"/>
      <c r="KX298" s="9"/>
      <c r="KY298" s="9"/>
      <c r="KZ298" s="9"/>
      <c r="LA298" s="9"/>
      <c r="LB298" s="9"/>
      <c r="LC298" s="9"/>
      <c r="LD298" s="9"/>
      <c r="LE298" s="9"/>
      <c r="LF298" s="9"/>
      <c r="LG298" s="9"/>
      <c r="LH298" s="9"/>
      <c r="LI298" s="9"/>
      <c r="LJ298" s="9"/>
      <c r="LK298" s="9"/>
      <c r="LL298" s="9"/>
      <c r="LM298" s="9"/>
      <c r="LN298" s="9"/>
      <c r="LO298" s="9"/>
      <c r="LP298" s="9"/>
      <c r="LQ298" s="9"/>
      <c r="LR298" s="9"/>
      <c r="LS298" s="9"/>
      <c r="LT298" s="9"/>
      <c r="LU298" s="9"/>
      <c r="LV298" s="9"/>
      <c r="LW298" s="9"/>
      <c r="LX298" s="9"/>
      <c r="LY298" s="9"/>
      <c r="LZ298" s="9"/>
      <c r="MA298" s="9"/>
      <c r="MB298" s="9"/>
      <c r="MC298" s="9"/>
      <c r="MD298" s="9"/>
      <c r="ME298" s="9"/>
      <c r="MF298" s="9"/>
      <c r="MG298" s="9"/>
      <c r="MH298" s="9"/>
      <c r="MI298" s="9"/>
      <c r="MJ298" s="9"/>
      <c r="MK298" s="9"/>
      <c r="ML298" s="9"/>
      <c r="MM298" s="9"/>
      <c r="MN298" s="9"/>
      <c r="MO298" s="9"/>
      <c r="MP298" s="9"/>
      <c r="MQ298" s="9"/>
      <c r="MR298" s="9"/>
      <c r="MS298" s="9"/>
      <c r="MT298" s="9"/>
      <c r="MU298" s="9"/>
      <c r="MV298" s="9"/>
      <c r="MW298" s="9"/>
      <c r="MX298" s="9"/>
      <c r="MY298" s="9"/>
      <c r="MZ298" s="9"/>
      <c r="NA298" s="9"/>
      <c r="NB298" s="9"/>
      <c r="NC298" s="9"/>
      <c r="ND298" s="9"/>
      <c r="NE298" s="9"/>
      <c r="NF298" s="9"/>
      <c r="NG298" s="9"/>
      <c r="NH298" s="9"/>
      <c r="NI298" s="9"/>
      <c r="NJ298" s="9"/>
      <c r="NK298" s="9"/>
      <c r="NL298" s="9"/>
      <c r="NM298" s="9"/>
      <c r="NN298" s="9"/>
      <c r="NO298" s="9"/>
      <c r="NP298" s="9"/>
      <c r="NQ298" s="9"/>
      <c r="NR298" s="9"/>
      <c r="NS298" s="9"/>
      <c r="NT298" s="9"/>
      <c r="NU298" s="9"/>
      <c r="NV298" s="9"/>
      <c r="NW298" s="9"/>
      <c r="NX298" s="9"/>
      <c r="NY298" s="9"/>
      <c r="NZ298" s="9"/>
      <c r="OA298" s="9"/>
      <c r="OB298" s="9"/>
      <c r="OC298" s="9"/>
      <c r="OD298" s="9"/>
      <c r="OE298" s="9"/>
      <c r="OF298" s="9"/>
      <c r="OG298" s="9"/>
      <c r="OH298" s="9"/>
      <c r="OI298" s="9"/>
      <c r="OJ298" s="9"/>
      <c r="OK298" s="9"/>
      <c r="OL298" s="9"/>
      <c r="OM298" s="9"/>
      <c r="ON298" s="9"/>
      <c r="OO298" s="9"/>
      <c r="OP298" s="9"/>
      <c r="OQ298" s="9"/>
      <c r="OR298" s="9"/>
      <c r="OS298" s="9"/>
      <c r="OT298" s="9"/>
      <c r="OU298" s="9"/>
      <c r="OV298" s="9"/>
      <c r="OW298" s="9"/>
      <c r="OX298" s="9"/>
      <c r="OY298" s="9"/>
      <c r="OZ298" s="9"/>
      <c r="PA298" s="9"/>
      <c r="PB298" s="9"/>
      <c r="PC298" s="9"/>
      <c r="PD298" s="9"/>
      <c r="PE298" s="9"/>
      <c r="PF298" s="9"/>
      <c r="PG298" s="9"/>
      <c r="PH298" s="9"/>
      <c r="PI298" s="9"/>
      <c r="PJ298" s="9"/>
      <c r="PK298" s="9"/>
      <c r="PL298" s="9"/>
      <c r="PM298" s="9"/>
      <c r="PN298" s="9"/>
      <c r="PO298" s="9"/>
      <c r="PP298" s="9"/>
      <c r="PQ298" s="9"/>
      <c r="PR298" s="9"/>
      <c r="PS298" s="9"/>
      <c r="PT298" s="9"/>
      <c r="PU298" s="9"/>
      <c r="PV298" s="9"/>
      <c r="PW298" s="9"/>
      <c r="PX298" s="9"/>
      <c r="PY298" s="9"/>
      <c r="PZ298" s="9"/>
      <c r="QA298" s="9"/>
      <c r="QB298" s="9"/>
      <c r="QC298" s="9"/>
      <c r="QD298" s="9"/>
      <c r="QE298" s="9"/>
      <c r="QF298" s="9"/>
      <c r="QG298" s="9"/>
      <c r="QH298" s="9"/>
      <c r="QI298" s="9"/>
      <c r="QJ298" s="9"/>
      <c r="QK298" s="9"/>
      <c r="QL298" s="9"/>
      <c r="QM298" s="9"/>
      <c r="QN298" s="9"/>
      <c r="QO298" s="9"/>
      <c r="QP298" s="9"/>
      <c r="QQ298" s="67"/>
      <c r="QR298" s="68"/>
      <c r="QS298" s="63"/>
      <c r="QT298" s="71"/>
    </row>
    <row r="299" spans="1:462" s="11" customFormat="1" x14ac:dyDescent="0.2">
      <c r="A299" s="9">
        <v>20</v>
      </c>
      <c r="B299" s="9"/>
      <c r="C299" s="9"/>
      <c r="D299" s="9" t="s">
        <v>380</v>
      </c>
      <c r="E299" s="65" t="s">
        <v>507</v>
      </c>
      <c r="F299" s="65"/>
      <c r="G299" s="92" t="s">
        <v>2266</v>
      </c>
      <c r="H299" s="66" t="s">
        <v>1162</v>
      </c>
      <c r="I299" s="9" t="s">
        <v>1101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 t="s">
        <v>1101</v>
      </c>
      <c r="CZ299" s="9"/>
      <c r="DA299" s="9" t="s">
        <v>1101</v>
      </c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  <c r="HE299" s="9"/>
      <c r="HF299" s="9"/>
      <c r="HG299" s="9"/>
      <c r="HH299" s="9"/>
      <c r="HI299" s="9"/>
      <c r="HJ299" s="9"/>
      <c r="HK299" s="9"/>
      <c r="HL299" s="9"/>
      <c r="HM299" s="9"/>
      <c r="HN299" s="9"/>
      <c r="HO299" s="9"/>
      <c r="HP299" s="9"/>
      <c r="HQ299" s="9"/>
      <c r="HR299" s="9"/>
      <c r="HS299" s="9"/>
      <c r="HT299" s="9"/>
      <c r="HU299" s="9"/>
      <c r="HV299" s="9"/>
      <c r="HW299" s="9"/>
      <c r="HX299" s="9"/>
      <c r="HY299" s="9"/>
      <c r="HZ299" s="9"/>
      <c r="IA299" s="9"/>
      <c r="IB299" s="9"/>
      <c r="IC299" s="9"/>
      <c r="ID299" s="9"/>
      <c r="IE299" s="9"/>
      <c r="IF299" s="9"/>
      <c r="IG299" s="9"/>
      <c r="IH299" s="9"/>
      <c r="II299" s="9"/>
      <c r="IJ299" s="9"/>
      <c r="IK299" s="9"/>
      <c r="IL299" s="9"/>
      <c r="IM299" s="9"/>
      <c r="IN299" s="9"/>
      <c r="IO299" s="9"/>
      <c r="IP299" s="9"/>
      <c r="IQ299" s="9"/>
      <c r="IR299" s="9"/>
      <c r="IS299" s="9"/>
      <c r="IT299" s="9"/>
      <c r="IU299" s="9"/>
      <c r="IV299" s="9"/>
      <c r="IW299" s="9"/>
      <c r="IX299" s="9"/>
      <c r="IY299" s="9"/>
      <c r="IZ299" s="9"/>
      <c r="JA299" s="9"/>
      <c r="JB299" s="9"/>
      <c r="JC299" s="9"/>
      <c r="JD299" s="9"/>
      <c r="JE299" s="9"/>
      <c r="JF299" s="9"/>
      <c r="JG299" s="9"/>
      <c r="JH299" s="9"/>
      <c r="JI299" s="9"/>
      <c r="JJ299" s="9"/>
      <c r="JK299" s="9"/>
      <c r="JL299" s="9"/>
      <c r="JM299" s="9"/>
      <c r="JN299" s="9"/>
      <c r="JO299" s="9"/>
      <c r="JP299" s="9"/>
      <c r="JQ299" s="9"/>
      <c r="JR299" s="9"/>
      <c r="JS299" s="9"/>
      <c r="JT299" s="9"/>
      <c r="JU299" s="9"/>
      <c r="JV299" s="9"/>
      <c r="JW299" s="9"/>
      <c r="JX299" s="9"/>
      <c r="JY299" s="9"/>
      <c r="JZ299" s="9"/>
      <c r="KA299" s="9"/>
      <c r="KB299" s="9"/>
      <c r="KC299" s="9"/>
      <c r="KD299" s="9"/>
      <c r="KE299" s="9"/>
      <c r="KF299" s="9"/>
      <c r="KG299" s="9"/>
      <c r="KH299" s="9"/>
      <c r="KI299" s="9"/>
      <c r="KJ299" s="9"/>
      <c r="KK299" s="9"/>
      <c r="KL299" s="9"/>
      <c r="KM299" s="9"/>
      <c r="KN299" s="9"/>
      <c r="KO299" s="9"/>
      <c r="KP299" s="9"/>
      <c r="KQ299" s="9"/>
      <c r="KR299" s="9"/>
      <c r="KS299" s="9"/>
      <c r="KT299" s="9"/>
      <c r="KU299" s="9"/>
      <c r="KV299" s="9"/>
      <c r="KW299" s="9"/>
      <c r="KX299" s="9"/>
      <c r="KY299" s="9"/>
      <c r="KZ299" s="9"/>
      <c r="LA299" s="9"/>
      <c r="LB299" s="9"/>
      <c r="LC299" s="9"/>
      <c r="LD299" s="9"/>
      <c r="LE299" s="9"/>
      <c r="LF299" s="9"/>
      <c r="LG299" s="9"/>
      <c r="LH299" s="9"/>
      <c r="LI299" s="9"/>
      <c r="LJ299" s="9"/>
      <c r="LK299" s="9"/>
      <c r="LL299" s="9"/>
      <c r="LM299" s="9"/>
      <c r="LN299" s="9"/>
      <c r="LO299" s="9"/>
      <c r="LP299" s="9"/>
      <c r="LQ299" s="9"/>
      <c r="LR299" s="9"/>
      <c r="LS299" s="9"/>
      <c r="LT299" s="9"/>
      <c r="LU299" s="9"/>
      <c r="LV299" s="9"/>
      <c r="LW299" s="9"/>
      <c r="LX299" s="9"/>
      <c r="LY299" s="9"/>
      <c r="LZ299" s="9"/>
      <c r="MA299" s="9"/>
      <c r="MB299" s="9"/>
      <c r="MC299" s="9"/>
      <c r="MD299" s="9"/>
      <c r="ME299" s="9"/>
      <c r="MF299" s="9"/>
      <c r="MG299" s="9"/>
      <c r="MH299" s="9"/>
      <c r="MI299" s="9"/>
      <c r="MJ299" s="9"/>
      <c r="MK299" s="9"/>
      <c r="ML299" s="9"/>
      <c r="MM299" s="9"/>
      <c r="MN299" s="9"/>
      <c r="MO299" s="9"/>
      <c r="MP299" s="9"/>
      <c r="MQ299" s="9"/>
      <c r="MR299" s="9"/>
      <c r="MS299" s="9"/>
      <c r="MT299" s="9"/>
      <c r="MU299" s="9"/>
      <c r="MV299" s="9"/>
      <c r="MW299" s="9"/>
      <c r="MX299" s="9"/>
      <c r="MY299" s="9"/>
      <c r="MZ299" s="9"/>
      <c r="NA299" s="9"/>
      <c r="NB299" s="9"/>
      <c r="NC299" s="9"/>
      <c r="ND299" s="9"/>
      <c r="NE299" s="9"/>
      <c r="NF299" s="9"/>
      <c r="NG299" s="9"/>
      <c r="NH299" s="9"/>
      <c r="NI299" s="9"/>
      <c r="NJ299" s="9"/>
      <c r="NK299" s="9"/>
      <c r="NL299" s="9"/>
      <c r="NM299" s="9"/>
      <c r="NN299" s="9"/>
      <c r="NO299" s="9"/>
      <c r="NP299" s="9"/>
      <c r="NQ299" s="9"/>
      <c r="NR299" s="9"/>
      <c r="NS299" s="9"/>
      <c r="NT299" s="9"/>
      <c r="NU299" s="9"/>
      <c r="NV299" s="9"/>
      <c r="NW299" s="9"/>
      <c r="NX299" s="9"/>
      <c r="NY299" s="9"/>
      <c r="NZ299" s="9"/>
      <c r="OA299" s="9"/>
      <c r="OB299" s="9"/>
      <c r="OC299" s="9"/>
      <c r="OD299" s="9"/>
      <c r="OE299" s="9"/>
      <c r="OF299" s="9"/>
      <c r="OG299" s="9"/>
      <c r="OH299" s="9"/>
      <c r="OI299" s="9"/>
      <c r="OJ299" s="9"/>
      <c r="OK299" s="9"/>
      <c r="OL299" s="9"/>
      <c r="OM299" s="9"/>
      <c r="ON299" s="9"/>
      <c r="OO299" s="9"/>
      <c r="OP299" s="9"/>
      <c r="OQ299" s="9"/>
      <c r="OR299" s="9"/>
      <c r="OS299" s="9"/>
      <c r="OT299" s="9"/>
      <c r="OU299" s="9"/>
      <c r="OV299" s="9"/>
      <c r="OW299" s="9"/>
      <c r="OX299" s="9"/>
      <c r="OY299" s="9"/>
      <c r="OZ299" s="9"/>
      <c r="PA299" s="9"/>
      <c r="PB299" s="9"/>
      <c r="PC299" s="9"/>
      <c r="PD299" s="9"/>
      <c r="PE299" s="9"/>
      <c r="PF299" s="9"/>
      <c r="PG299" s="9"/>
      <c r="PH299" s="9"/>
      <c r="PI299" s="9"/>
      <c r="PJ299" s="9"/>
      <c r="PK299" s="9"/>
      <c r="PL299" s="9"/>
      <c r="PM299" s="9"/>
      <c r="PN299" s="9"/>
      <c r="PO299" s="9"/>
      <c r="PP299" s="9"/>
      <c r="PQ299" s="9"/>
      <c r="PR299" s="9"/>
      <c r="PS299" s="9"/>
      <c r="PT299" s="9"/>
      <c r="PU299" s="9"/>
      <c r="PV299" s="9"/>
      <c r="PW299" s="9"/>
      <c r="PX299" s="9"/>
      <c r="PY299" s="9"/>
      <c r="PZ299" s="9"/>
      <c r="QA299" s="9"/>
      <c r="QB299" s="9"/>
      <c r="QC299" s="9"/>
      <c r="QD299" s="9"/>
      <c r="QE299" s="9"/>
      <c r="QF299" s="9"/>
      <c r="QG299" s="9"/>
      <c r="QH299" s="9"/>
      <c r="QI299" s="9"/>
      <c r="QJ299" s="9"/>
      <c r="QK299" s="9"/>
      <c r="QL299" s="9"/>
      <c r="QM299" s="9"/>
      <c r="QN299" s="9"/>
      <c r="QO299" s="9"/>
      <c r="QP299" s="9"/>
      <c r="QQ299" s="67"/>
      <c r="QR299" s="68"/>
      <c r="QS299" s="63"/>
      <c r="QT299" s="71"/>
    </row>
    <row r="300" spans="1:462" s="11" customFormat="1" x14ac:dyDescent="0.2">
      <c r="A300" s="9">
        <v>20</v>
      </c>
      <c r="B300" s="9"/>
      <c r="C300" s="9"/>
      <c r="D300" s="9" t="s">
        <v>368</v>
      </c>
      <c r="E300" s="65" t="s">
        <v>497</v>
      </c>
      <c r="F300" s="65"/>
      <c r="G300" s="92" t="s">
        <v>2252</v>
      </c>
      <c r="H300" s="66" t="s">
        <v>1143</v>
      </c>
      <c r="I300" s="9" t="s">
        <v>1101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 t="s">
        <v>1101</v>
      </c>
      <c r="DH300" s="9"/>
      <c r="DI300" s="9" t="s">
        <v>1101</v>
      </c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9"/>
      <c r="GY300" s="9"/>
      <c r="GZ300" s="9"/>
      <c r="HA300" s="9"/>
      <c r="HB300" s="9"/>
      <c r="HC300" s="9"/>
      <c r="HD300" s="9"/>
      <c r="HE300" s="9"/>
      <c r="HF300" s="9"/>
      <c r="HG300" s="9"/>
      <c r="HH300" s="9"/>
      <c r="HI300" s="9"/>
      <c r="HJ300" s="9"/>
      <c r="HK300" s="9"/>
      <c r="HL300" s="9"/>
      <c r="HM300" s="9"/>
      <c r="HN300" s="9"/>
      <c r="HO300" s="9"/>
      <c r="HP300" s="9"/>
      <c r="HQ300" s="9"/>
      <c r="HR300" s="9"/>
      <c r="HS300" s="9"/>
      <c r="HT300" s="9"/>
      <c r="HU300" s="9"/>
      <c r="HV300" s="9"/>
      <c r="HW300" s="9"/>
      <c r="HX300" s="9"/>
      <c r="HY300" s="9"/>
      <c r="HZ300" s="9"/>
      <c r="IA300" s="9"/>
      <c r="IB300" s="9"/>
      <c r="IC300" s="9"/>
      <c r="ID300" s="9"/>
      <c r="IE300" s="9"/>
      <c r="IF300" s="9"/>
      <c r="IG300" s="9"/>
      <c r="IH300" s="9"/>
      <c r="II300" s="9"/>
      <c r="IJ300" s="9"/>
      <c r="IK300" s="9"/>
      <c r="IL300" s="9"/>
      <c r="IM300" s="9"/>
      <c r="IN300" s="9"/>
      <c r="IO300" s="9"/>
      <c r="IP300" s="9"/>
      <c r="IQ300" s="9"/>
      <c r="IR300" s="9"/>
      <c r="IS300" s="9"/>
      <c r="IT300" s="9"/>
      <c r="IU300" s="9"/>
      <c r="IV300" s="9"/>
      <c r="IW300" s="9"/>
      <c r="IX300" s="9"/>
      <c r="IY300" s="9"/>
      <c r="IZ300" s="9"/>
      <c r="JA300" s="9"/>
      <c r="JB300" s="9"/>
      <c r="JC300" s="9"/>
      <c r="JD300" s="9"/>
      <c r="JE300" s="9"/>
      <c r="JF300" s="9"/>
      <c r="JG300" s="9"/>
      <c r="JH300" s="9"/>
      <c r="JI300" s="9"/>
      <c r="JJ300" s="9"/>
      <c r="JK300" s="9"/>
      <c r="JL300" s="9"/>
      <c r="JM300" s="9"/>
      <c r="JN300" s="9"/>
      <c r="JO300" s="9"/>
      <c r="JP300" s="9"/>
      <c r="JQ300" s="9"/>
      <c r="JR300" s="9"/>
      <c r="JS300" s="9"/>
      <c r="JT300" s="9"/>
      <c r="JU300" s="9"/>
      <c r="JV300" s="9"/>
      <c r="JW300" s="9"/>
      <c r="JX300" s="9"/>
      <c r="JY300" s="9"/>
      <c r="JZ300" s="9"/>
      <c r="KA300" s="9"/>
      <c r="KB300" s="9"/>
      <c r="KC300" s="9"/>
      <c r="KD300" s="9"/>
      <c r="KE300" s="9"/>
      <c r="KF300" s="9"/>
      <c r="KG300" s="9"/>
      <c r="KH300" s="9"/>
      <c r="KI300" s="9"/>
      <c r="KJ300" s="9"/>
      <c r="KK300" s="9"/>
      <c r="KL300" s="9"/>
      <c r="KM300" s="9"/>
      <c r="KN300" s="9"/>
      <c r="KO300" s="9"/>
      <c r="KP300" s="9"/>
      <c r="KQ300" s="9"/>
      <c r="KR300" s="9"/>
      <c r="KS300" s="9"/>
      <c r="KT300" s="9"/>
      <c r="KU300" s="9"/>
      <c r="KV300" s="9"/>
      <c r="KW300" s="9"/>
      <c r="KX300" s="9"/>
      <c r="KY300" s="9"/>
      <c r="KZ300" s="9"/>
      <c r="LA300" s="9"/>
      <c r="LB300" s="9"/>
      <c r="LC300" s="9"/>
      <c r="LD300" s="9"/>
      <c r="LE300" s="9"/>
      <c r="LF300" s="9"/>
      <c r="LG300" s="9"/>
      <c r="LH300" s="9"/>
      <c r="LI300" s="9"/>
      <c r="LJ300" s="9"/>
      <c r="LK300" s="9"/>
      <c r="LL300" s="9"/>
      <c r="LM300" s="9"/>
      <c r="LN300" s="9"/>
      <c r="LO300" s="9"/>
      <c r="LP300" s="9"/>
      <c r="LQ300" s="9"/>
      <c r="LR300" s="9"/>
      <c r="LS300" s="9"/>
      <c r="LT300" s="9"/>
      <c r="LU300" s="9"/>
      <c r="LV300" s="9"/>
      <c r="LW300" s="9"/>
      <c r="LX300" s="9"/>
      <c r="LY300" s="9"/>
      <c r="LZ300" s="9"/>
      <c r="MA300" s="9"/>
      <c r="MB300" s="9"/>
      <c r="MC300" s="9"/>
      <c r="MD300" s="9"/>
      <c r="ME300" s="9"/>
      <c r="MF300" s="9"/>
      <c r="MG300" s="9"/>
      <c r="MH300" s="9"/>
      <c r="MI300" s="9"/>
      <c r="MJ300" s="9"/>
      <c r="MK300" s="9"/>
      <c r="ML300" s="9"/>
      <c r="MM300" s="9"/>
      <c r="MN300" s="9"/>
      <c r="MO300" s="9"/>
      <c r="MP300" s="9"/>
      <c r="MQ300" s="9"/>
      <c r="MR300" s="9"/>
      <c r="MS300" s="9"/>
      <c r="MT300" s="9"/>
      <c r="MU300" s="9"/>
      <c r="MV300" s="9"/>
      <c r="MW300" s="9"/>
      <c r="MX300" s="9"/>
      <c r="MY300" s="9"/>
      <c r="MZ300" s="9"/>
      <c r="NA300" s="9"/>
      <c r="NB300" s="9"/>
      <c r="NC300" s="9"/>
      <c r="ND300" s="9"/>
      <c r="NE300" s="9"/>
      <c r="NF300" s="9"/>
      <c r="NG300" s="9"/>
      <c r="NH300" s="9"/>
      <c r="NI300" s="9"/>
      <c r="NJ300" s="9"/>
      <c r="NK300" s="9"/>
      <c r="NL300" s="9"/>
      <c r="NM300" s="9"/>
      <c r="NN300" s="9"/>
      <c r="NO300" s="9"/>
      <c r="NP300" s="9"/>
      <c r="NQ300" s="9"/>
      <c r="NR300" s="9"/>
      <c r="NS300" s="9"/>
      <c r="NT300" s="9"/>
      <c r="NU300" s="9"/>
      <c r="NV300" s="9"/>
      <c r="NW300" s="9"/>
      <c r="NX300" s="9"/>
      <c r="NY300" s="9"/>
      <c r="NZ300" s="9"/>
      <c r="OA300" s="9"/>
      <c r="OB300" s="9"/>
      <c r="OC300" s="9"/>
      <c r="OD300" s="9"/>
      <c r="OE300" s="9"/>
      <c r="OF300" s="9"/>
      <c r="OG300" s="9"/>
      <c r="OH300" s="9"/>
      <c r="OI300" s="9"/>
      <c r="OJ300" s="9"/>
      <c r="OK300" s="9"/>
      <c r="OL300" s="9"/>
      <c r="OM300" s="9"/>
      <c r="ON300" s="9"/>
      <c r="OO300" s="9"/>
      <c r="OP300" s="9"/>
      <c r="OQ300" s="9"/>
      <c r="OR300" s="9"/>
      <c r="OS300" s="9"/>
      <c r="OT300" s="9"/>
      <c r="OU300" s="9"/>
      <c r="OV300" s="9"/>
      <c r="OW300" s="9"/>
      <c r="OX300" s="9"/>
      <c r="OY300" s="9"/>
      <c r="OZ300" s="9"/>
      <c r="PA300" s="9"/>
      <c r="PB300" s="9"/>
      <c r="PC300" s="9"/>
      <c r="PD300" s="9"/>
      <c r="PE300" s="9"/>
      <c r="PF300" s="9"/>
      <c r="PG300" s="9"/>
      <c r="PH300" s="9"/>
      <c r="PI300" s="9"/>
      <c r="PJ300" s="9"/>
      <c r="PK300" s="9"/>
      <c r="PL300" s="9"/>
      <c r="PM300" s="9"/>
      <c r="PN300" s="9"/>
      <c r="PO300" s="9"/>
      <c r="PP300" s="9"/>
      <c r="PQ300" s="9"/>
      <c r="PR300" s="9"/>
      <c r="PS300" s="9"/>
      <c r="PT300" s="9"/>
      <c r="PU300" s="9"/>
      <c r="PV300" s="9"/>
      <c r="PW300" s="9"/>
      <c r="PX300" s="9"/>
      <c r="PY300" s="9"/>
      <c r="PZ300" s="9"/>
      <c r="QA300" s="9"/>
      <c r="QB300" s="9"/>
      <c r="QC300" s="9"/>
      <c r="QD300" s="9"/>
      <c r="QE300" s="9"/>
      <c r="QF300" s="9"/>
      <c r="QG300" s="9"/>
      <c r="QH300" s="9"/>
      <c r="QI300" s="9"/>
      <c r="QJ300" s="9"/>
      <c r="QK300" s="9"/>
      <c r="QL300" s="9"/>
      <c r="QM300" s="9"/>
      <c r="QN300" s="9"/>
      <c r="QO300" s="9"/>
      <c r="QP300" s="9"/>
      <c r="QQ300" s="67"/>
      <c r="QR300" s="68"/>
      <c r="QS300" s="63"/>
      <c r="QT300" s="71"/>
    </row>
    <row r="301" spans="1:462" s="11" customFormat="1" x14ac:dyDescent="0.2">
      <c r="A301" s="9">
        <v>20</v>
      </c>
      <c r="B301" s="9"/>
      <c r="C301" s="9"/>
      <c r="D301" s="9" t="s">
        <v>382</v>
      </c>
      <c r="E301" s="65" t="s">
        <v>509</v>
      </c>
      <c r="F301" s="65"/>
      <c r="G301" s="92" t="s">
        <v>2270</v>
      </c>
      <c r="H301" s="66" t="s">
        <v>1166</v>
      </c>
      <c r="I301" s="9" t="s">
        <v>1101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 t="s">
        <v>1101</v>
      </c>
      <c r="DP301" s="9"/>
      <c r="DQ301" s="9" t="s">
        <v>1101</v>
      </c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  <c r="FI301" s="9"/>
      <c r="FJ301" s="9"/>
      <c r="FK301" s="9"/>
      <c r="FL301" s="9"/>
      <c r="FM301" s="9"/>
      <c r="FN301" s="9"/>
      <c r="FO301" s="9"/>
      <c r="FP301" s="9"/>
      <c r="FQ301" s="9"/>
      <c r="FR301" s="9"/>
      <c r="FS301" s="9"/>
      <c r="FT301" s="9"/>
      <c r="FU301" s="9"/>
      <c r="FV301" s="9"/>
      <c r="FW301" s="9"/>
      <c r="FX301" s="9"/>
      <c r="FY301" s="9"/>
      <c r="FZ301" s="9"/>
      <c r="GA301" s="9"/>
      <c r="GB301" s="9"/>
      <c r="GC301" s="9"/>
      <c r="GD301" s="9"/>
      <c r="GE301" s="9"/>
      <c r="GF301" s="9"/>
      <c r="GG301" s="9"/>
      <c r="GH301" s="9"/>
      <c r="GI301" s="9"/>
      <c r="GJ301" s="9"/>
      <c r="GK301" s="9"/>
      <c r="GL301" s="9"/>
      <c r="GM301" s="9"/>
      <c r="GN301" s="9"/>
      <c r="GO301" s="9"/>
      <c r="GP301" s="9"/>
      <c r="GQ301" s="9"/>
      <c r="GR301" s="9"/>
      <c r="GS301" s="9"/>
      <c r="GT301" s="9"/>
      <c r="GU301" s="9"/>
      <c r="GV301" s="9"/>
      <c r="GW301" s="9"/>
      <c r="GX301" s="9"/>
      <c r="GY301" s="9"/>
      <c r="GZ301" s="9"/>
      <c r="HA301" s="9"/>
      <c r="HB301" s="9"/>
      <c r="HC301" s="9"/>
      <c r="HD301" s="9"/>
      <c r="HE301" s="9"/>
      <c r="HF301" s="9"/>
      <c r="HG301" s="9"/>
      <c r="HH301" s="9"/>
      <c r="HI301" s="9"/>
      <c r="HJ301" s="9"/>
      <c r="HK301" s="9"/>
      <c r="HL301" s="9"/>
      <c r="HM301" s="9"/>
      <c r="HN301" s="9"/>
      <c r="HO301" s="9"/>
      <c r="HP301" s="9"/>
      <c r="HQ301" s="9"/>
      <c r="HR301" s="9"/>
      <c r="HS301" s="9"/>
      <c r="HT301" s="9"/>
      <c r="HU301" s="9"/>
      <c r="HV301" s="9"/>
      <c r="HW301" s="9"/>
      <c r="HX301" s="9"/>
      <c r="HY301" s="9"/>
      <c r="HZ301" s="9"/>
      <c r="IA301" s="9"/>
      <c r="IB301" s="9"/>
      <c r="IC301" s="9"/>
      <c r="ID301" s="9"/>
      <c r="IE301" s="9"/>
      <c r="IF301" s="9"/>
      <c r="IG301" s="9"/>
      <c r="IH301" s="9"/>
      <c r="II301" s="9"/>
      <c r="IJ301" s="9"/>
      <c r="IK301" s="9"/>
      <c r="IL301" s="9"/>
      <c r="IM301" s="9"/>
      <c r="IN301" s="9"/>
      <c r="IO301" s="9"/>
      <c r="IP301" s="9"/>
      <c r="IQ301" s="9"/>
      <c r="IR301" s="9"/>
      <c r="IS301" s="9"/>
      <c r="IT301" s="9"/>
      <c r="IU301" s="9"/>
      <c r="IV301" s="9"/>
      <c r="IW301" s="9"/>
      <c r="IX301" s="9"/>
      <c r="IY301" s="9"/>
      <c r="IZ301" s="9"/>
      <c r="JA301" s="9"/>
      <c r="JB301" s="9"/>
      <c r="JC301" s="9"/>
      <c r="JD301" s="9"/>
      <c r="JE301" s="9"/>
      <c r="JF301" s="9"/>
      <c r="JG301" s="9"/>
      <c r="JH301" s="9"/>
      <c r="JI301" s="9"/>
      <c r="JJ301" s="9"/>
      <c r="JK301" s="9"/>
      <c r="JL301" s="9"/>
      <c r="JM301" s="9"/>
      <c r="JN301" s="9"/>
      <c r="JO301" s="9"/>
      <c r="JP301" s="9"/>
      <c r="JQ301" s="9"/>
      <c r="JR301" s="9"/>
      <c r="JS301" s="9"/>
      <c r="JT301" s="9"/>
      <c r="JU301" s="9"/>
      <c r="JV301" s="9"/>
      <c r="JW301" s="9"/>
      <c r="JX301" s="9"/>
      <c r="JY301" s="9"/>
      <c r="JZ301" s="9"/>
      <c r="KA301" s="9"/>
      <c r="KB301" s="9"/>
      <c r="KC301" s="9"/>
      <c r="KD301" s="9"/>
      <c r="KE301" s="9"/>
      <c r="KF301" s="9"/>
      <c r="KG301" s="9"/>
      <c r="KH301" s="9"/>
      <c r="KI301" s="9"/>
      <c r="KJ301" s="9"/>
      <c r="KK301" s="9"/>
      <c r="KL301" s="9"/>
      <c r="KM301" s="9"/>
      <c r="KN301" s="9"/>
      <c r="KO301" s="9"/>
      <c r="KP301" s="9"/>
      <c r="KQ301" s="9"/>
      <c r="KR301" s="9"/>
      <c r="KS301" s="9"/>
      <c r="KT301" s="9"/>
      <c r="KU301" s="9"/>
      <c r="KV301" s="9"/>
      <c r="KW301" s="9"/>
      <c r="KX301" s="9"/>
      <c r="KY301" s="9"/>
      <c r="KZ301" s="9"/>
      <c r="LA301" s="9"/>
      <c r="LB301" s="9"/>
      <c r="LC301" s="9"/>
      <c r="LD301" s="9"/>
      <c r="LE301" s="9"/>
      <c r="LF301" s="9"/>
      <c r="LG301" s="9"/>
      <c r="LH301" s="9"/>
      <c r="LI301" s="9"/>
      <c r="LJ301" s="9"/>
      <c r="LK301" s="9"/>
      <c r="LL301" s="9"/>
      <c r="LM301" s="9"/>
      <c r="LN301" s="9"/>
      <c r="LO301" s="9"/>
      <c r="LP301" s="9"/>
      <c r="LQ301" s="9"/>
      <c r="LR301" s="9"/>
      <c r="LS301" s="9"/>
      <c r="LT301" s="9"/>
      <c r="LU301" s="9"/>
      <c r="LV301" s="9"/>
      <c r="LW301" s="9"/>
      <c r="LX301" s="9"/>
      <c r="LY301" s="9"/>
      <c r="LZ301" s="9"/>
      <c r="MA301" s="9"/>
      <c r="MB301" s="9"/>
      <c r="MC301" s="9"/>
      <c r="MD301" s="9"/>
      <c r="ME301" s="9"/>
      <c r="MF301" s="9"/>
      <c r="MG301" s="9"/>
      <c r="MH301" s="9"/>
      <c r="MI301" s="9"/>
      <c r="MJ301" s="9"/>
      <c r="MK301" s="9"/>
      <c r="ML301" s="9"/>
      <c r="MM301" s="9"/>
      <c r="MN301" s="9"/>
      <c r="MO301" s="9"/>
      <c r="MP301" s="9"/>
      <c r="MQ301" s="9"/>
      <c r="MR301" s="9"/>
      <c r="MS301" s="9"/>
      <c r="MT301" s="9"/>
      <c r="MU301" s="9"/>
      <c r="MV301" s="9"/>
      <c r="MW301" s="9"/>
      <c r="MX301" s="9"/>
      <c r="MY301" s="9"/>
      <c r="MZ301" s="9"/>
      <c r="NA301" s="9"/>
      <c r="NB301" s="9"/>
      <c r="NC301" s="9"/>
      <c r="ND301" s="9"/>
      <c r="NE301" s="9"/>
      <c r="NF301" s="9"/>
      <c r="NG301" s="9"/>
      <c r="NH301" s="9"/>
      <c r="NI301" s="9"/>
      <c r="NJ301" s="9"/>
      <c r="NK301" s="9"/>
      <c r="NL301" s="9"/>
      <c r="NM301" s="9"/>
      <c r="NN301" s="9"/>
      <c r="NO301" s="9"/>
      <c r="NP301" s="9"/>
      <c r="NQ301" s="9"/>
      <c r="NR301" s="9"/>
      <c r="NS301" s="9"/>
      <c r="NT301" s="9"/>
      <c r="NU301" s="9"/>
      <c r="NV301" s="9"/>
      <c r="NW301" s="9"/>
      <c r="NX301" s="9"/>
      <c r="NY301" s="9"/>
      <c r="NZ301" s="9"/>
      <c r="OA301" s="9"/>
      <c r="OB301" s="9"/>
      <c r="OC301" s="9"/>
      <c r="OD301" s="9"/>
      <c r="OE301" s="9"/>
      <c r="OF301" s="9"/>
      <c r="OG301" s="9"/>
      <c r="OH301" s="9"/>
      <c r="OI301" s="9"/>
      <c r="OJ301" s="9"/>
      <c r="OK301" s="9"/>
      <c r="OL301" s="9"/>
      <c r="OM301" s="9"/>
      <c r="ON301" s="9"/>
      <c r="OO301" s="9"/>
      <c r="OP301" s="9"/>
      <c r="OQ301" s="9"/>
      <c r="OR301" s="9"/>
      <c r="OS301" s="9"/>
      <c r="OT301" s="9"/>
      <c r="OU301" s="9"/>
      <c r="OV301" s="9"/>
      <c r="OW301" s="9"/>
      <c r="OX301" s="9"/>
      <c r="OY301" s="9"/>
      <c r="OZ301" s="9"/>
      <c r="PA301" s="9"/>
      <c r="PB301" s="9"/>
      <c r="PC301" s="9"/>
      <c r="PD301" s="9"/>
      <c r="PE301" s="9"/>
      <c r="PF301" s="9"/>
      <c r="PG301" s="9"/>
      <c r="PH301" s="9"/>
      <c r="PI301" s="9"/>
      <c r="PJ301" s="9"/>
      <c r="PK301" s="9"/>
      <c r="PL301" s="9"/>
      <c r="PM301" s="9"/>
      <c r="PN301" s="9"/>
      <c r="PO301" s="9"/>
      <c r="PP301" s="9"/>
      <c r="PQ301" s="9"/>
      <c r="PR301" s="9"/>
      <c r="PS301" s="9"/>
      <c r="PT301" s="9"/>
      <c r="PU301" s="9"/>
      <c r="PV301" s="9"/>
      <c r="PW301" s="9"/>
      <c r="PX301" s="9"/>
      <c r="PY301" s="9"/>
      <c r="PZ301" s="9"/>
      <c r="QA301" s="9"/>
      <c r="QB301" s="9"/>
      <c r="QC301" s="9"/>
      <c r="QD301" s="9"/>
      <c r="QE301" s="9"/>
      <c r="QF301" s="9"/>
      <c r="QG301" s="9"/>
      <c r="QH301" s="9"/>
      <c r="QI301" s="9"/>
      <c r="QJ301" s="9"/>
      <c r="QK301" s="9"/>
      <c r="QL301" s="9"/>
      <c r="QM301" s="9"/>
      <c r="QN301" s="9"/>
      <c r="QO301" s="9"/>
      <c r="QP301" s="9"/>
      <c r="QQ301" s="67"/>
      <c r="QR301" s="68"/>
      <c r="QS301" s="63"/>
      <c r="QT301" s="71"/>
    </row>
    <row r="302" spans="1:462" s="11" customFormat="1" ht="26" x14ac:dyDescent="0.2">
      <c r="A302" s="9">
        <v>20</v>
      </c>
      <c r="B302" s="9"/>
      <c r="C302" s="9"/>
      <c r="D302" s="9" t="s">
        <v>386</v>
      </c>
      <c r="E302" s="65" t="s">
        <v>513</v>
      </c>
      <c r="F302" s="65"/>
      <c r="G302" s="92" t="s">
        <v>2277</v>
      </c>
      <c r="H302" s="66" t="s">
        <v>1175</v>
      </c>
      <c r="I302" s="9" t="s">
        <v>1101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 t="s">
        <v>1101</v>
      </c>
      <c r="DX302" s="9"/>
      <c r="DY302" s="9" t="s">
        <v>1101</v>
      </c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  <c r="EN302" s="9"/>
      <c r="EO302" s="9"/>
      <c r="EP302" s="9"/>
      <c r="EQ302" s="9"/>
      <c r="ER302" s="9"/>
      <c r="ES302" s="9"/>
      <c r="ET302" s="9"/>
      <c r="EU302" s="9"/>
      <c r="EV302" s="9"/>
      <c r="EW302" s="9"/>
      <c r="EX302" s="9"/>
      <c r="EY302" s="9"/>
      <c r="EZ302" s="9"/>
      <c r="FA302" s="9"/>
      <c r="FB302" s="9"/>
      <c r="FC302" s="9"/>
      <c r="FD302" s="9"/>
      <c r="FE302" s="9"/>
      <c r="FF302" s="9"/>
      <c r="FG302" s="9"/>
      <c r="FH302" s="9"/>
      <c r="FI302" s="9"/>
      <c r="FJ302" s="9"/>
      <c r="FK302" s="9"/>
      <c r="FL302" s="9"/>
      <c r="FM302" s="9"/>
      <c r="FN302" s="9"/>
      <c r="FO302" s="9"/>
      <c r="FP302" s="9"/>
      <c r="FQ302" s="9"/>
      <c r="FR302" s="9"/>
      <c r="FS302" s="9"/>
      <c r="FT302" s="9"/>
      <c r="FU302" s="9"/>
      <c r="FV302" s="9"/>
      <c r="FW302" s="9"/>
      <c r="FX302" s="9"/>
      <c r="FY302" s="9"/>
      <c r="FZ302" s="9"/>
      <c r="GA302" s="9"/>
      <c r="GB302" s="9"/>
      <c r="GC302" s="9"/>
      <c r="GD302" s="9"/>
      <c r="GE302" s="9"/>
      <c r="GF302" s="9"/>
      <c r="GG302" s="9"/>
      <c r="GH302" s="9"/>
      <c r="GI302" s="9"/>
      <c r="GJ302" s="9"/>
      <c r="GK302" s="9"/>
      <c r="GL302" s="9"/>
      <c r="GM302" s="9"/>
      <c r="GN302" s="9"/>
      <c r="GO302" s="9"/>
      <c r="GP302" s="9"/>
      <c r="GQ302" s="9"/>
      <c r="GR302" s="9"/>
      <c r="GS302" s="9"/>
      <c r="GT302" s="9"/>
      <c r="GU302" s="9"/>
      <c r="GV302" s="9"/>
      <c r="GW302" s="9"/>
      <c r="GX302" s="9"/>
      <c r="GY302" s="9"/>
      <c r="GZ302" s="9"/>
      <c r="HA302" s="9"/>
      <c r="HB302" s="9"/>
      <c r="HC302" s="9"/>
      <c r="HD302" s="9"/>
      <c r="HE302" s="9"/>
      <c r="HF302" s="9"/>
      <c r="HG302" s="9"/>
      <c r="HH302" s="9"/>
      <c r="HI302" s="9"/>
      <c r="HJ302" s="9"/>
      <c r="HK302" s="9"/>
      <c r="HL302" s="9"/>
      <c r="HM302" s="9"/>
      <c r="HN302" s="9"/>
      <c r="HO302" s="9"/>
      <c r="HP302" s="9"/>
      <c r="HQ302" s="9"/>
      <c r="HR302" s="9"/>
      <c r="HS302" s="9"/>
      <c r="HT302" s="9"/>
      <c r="HU302" s="9"/>
      <c r="HV302" s="9"/>
      <c r="HW302" s="9"/>
      <c r="HX302" s="9"/>
      <c r="HY302" s="9"/>
      <c r="HZ302" s="9"/>
      <c r="IA302" s="9"/>
      <c r="IB302" s="9"/>
      <c r="IC302" s="9"/>
      <c r="ID302" s="9"/>
      <c r="IE302" s="9"/>
      <c r="IF302" s="9"/>
      <c r="IG302" s="9"/>
      <c r="IH302" s="9"/>
      <c r="II302" s="9"/>
      <c r="IJ302" s="9"/>
      <c r="IK302" s="9"/>
      <c r="IL302" s="9"/>
      <c r="IM302" s="9"/>
      <c r="IN302" s="9"/>
      <c r="IO302" s="9"/>
      <c r="IP302" s="9"/>
      <c r="IQ302" s="9"/>
      <c r="IR302" s="9"/>
      <c r="IS302" s="9"/>
      <c r="IT302" s="9"/>
      <c r="IU302" s="9"/>
      <c r="IV302" s="9"/>
      <c r="IW302" s="9"/>
      <c r="IX302" s="9"/>
      <c r="IY302" s="9"/>
      <c r="IZ302" s="9"/>
      <c r="JA302" s="9"/>
      <c r="JB302" s="9"/>
      <c r="JC302" s="9"/>
      <c r="JD302" s="9"/>
      <c r="JE302" s="9"/>
      <c r="JF302" s="9"/>
      <c r="JG302" s="9"/>
      <c r="JH302" s="9"/>
      <c r="JI302" s="9"/>
      <c r="JJ302" s="9"/>
      <c r="JK302" s="9"/>
      <c r="JL302" s="9"/>
      <c r="JM302" s="9"/>
      <c r="JN302" s="9"/>
      <c r="JO302" s="9"/>
      <c r="JP302" s="9"/>
      <c r="JQ302" s="9"/>
      <c r="JR302" s="9"/>
      <c r="JS302" s="9"/>
      <c r="JT302" s="9"/>
      <c r="JU302" s="9"/>
      <c r="JV302" s="9"/>
      <c r="JW302" s="9"/>
      <c r="JX302" s="9"/>
      <c r="JY302" s="9"/>
      <c r="JZ302" s="9"/>
      <c r="KA302" s="9"/>
      <c r="KB302" s="9"/>
      <c r="KC302" s="9"/>
      <c r="KD302" s="9"/>
      <c r="KE302" s="9"/>
      <c r="KF302" s="9"/>
      <c r="KG302" s="9"/>
      <c r="KH302" s="9"/>
      <c r="KI302" s="9"/>
      <c r="KJ302" s="9"/>
      <c r="KK302" s="9"/>
      <c r="KL302" s="9"/>
      <c r="KM302" s="9"/>
      <c r="KN302" s="9"/>
      <c r="KO302" s="9"/>
      <c r="KP302" s="9"/>
      <c r="KQ302" s="9"/>
      <c r="KR302" s="9"/>
      <c r="KS302" s="9"/>
      <c r="KT302" s="9"/>
      <c r="KU302" s="9"/>
      <c r="KV302" s="9"/>
      <c r="KW302" s="9"/>
      <c r="KX302" s="9"/>
      <c r="KY302" s="9"/>
      <c r="KZ302" s="9"/>
      <c r="LA302" s="9"/>
      <c r="LB302" s="9"/>
      <c r="LC302" s="9"/>
      <c r="LD302" s="9"/>
      <c r="LE302" s="9"/>
      <c r="LF302" s="9"/>
      <c r="LG302" s="9"/>
      <c r="LH302" s="9"/>
      <c r="LI302" s="9"/>
      <c r="LJ302" s="9"/>
      <c r="LK302" s="9"/>
      <c r="LL302" s="9"/>
      <c r="LM302" s="9"/>
      <c r="LN302" s="9"/>
      <c r="LO302" s="9"/>
      <c r="LP302" s="9"/>
      <c r="LQ302" s="9"/>
      <c r="LR302" s="9"/>
      <c r="LS302" s="9"/>
      <c r="LT302" s="9"/>
      <c r="LU302" s="9"/>
      <c r="LV302" s="9"/>
      <c r="LW302" s="9"/>
      <c r="LX302" s="9"/>
      <c r="LY302" s="9"/>
      <c r="LZ302" s="9"/>
      <c r="MA302" s="9"/>
      <c r="MB302" s="9"/>
      <c r="MC302" s="9"/>
      <c r="MD302" s="9"/>
      <c r="ME302" s="9"/>
      <c r="MF302" s="9"/>
      <c r="MG302" s="9"/>
      <c r="MH302" s="9"/>
      <c r="MI302" s="9"/>
      <c r="MJ302" s="9"/>
      <c r="MK302" s="9"/>
      <c r="ML302" s="9"/>
      <c r="MM302" s="9"/>
      <c r="MN302" s="9"/>
      <c r="MO302" s="9"/>
      <c r="MP302" s="9"/>
      <c r="MQ302" s="9"/>
      <c r="MR302" s="9"/>
      <c r="MS302" s="9"/>
      <c r="MT302" s="9"/>
      <c r="MU302" s="9"/>
      <c r="MV302" s="9"/>
      <c r="MW302" s="9"/>
      <c r="MX302" s="9"/>
      <c r="MY302" s="9"/>
      <c r="MZ302" s="9"/>
      <c r="NA302" s="9"/>
      <c r="NB302" s="9"/>
      <c r="NC302" s="9"/>
      <c r="ND302" s="9"/>
      <c r="NE302" s="9"/>
      <c r="NF302" s="9"/>
      <c r="NG302" s="9"/>
      <c r="NH302" s="9"/>
      <c r="NI302" s="9"/>
      <c r="NJ302" s="9"/>
      <c r="NK302" s="9"/>
      <c r="NL302" s="9"/>
      <c r="NM302" s="9"/>
      <c r="NN302" s="9"/>
      <c r="NO302" s="9"/>
      <c r="NP302" s="9"/>
      <c r="NQ302" s="9"/>
      <c r="NR302" s="9"/>
      <c r="NS302" s="9"/>
      <c r="NT302" s="9"/>
      <c r="NU302" s="9"/>
      <c r="NV302" s="9"/>
      <c r="NW302" s="9"/>
      <c r="NX302" s="9"/>
      <c r="NY302" s="9"/>
      <c r="NZ302" s="9"/>
      <c r="OA302" s="9"/>
      <c r="OB302" s="9"/>
      <c r="OC302" s="9"/>
      <c r="OD302" s="9"/>
      <c r="OE302" s="9"/>
      <c r="OF302" s="9"/>
      <c r="OG302" s="9"/>
      <c r="OH302" s="9"/>
      <c r="OI302" s="9"/>
      <c r="OJ302" s="9"/>
      <c r="OK302" s="9"/>
      <c r="OL302" s="9"/>
      <c r="OM302" s="9"/>
      <c r="ON302" s="9"/>
      <c r="OO302" s="9"/>
      <c r="OP302" s="9"/>
      <c r="OQ302" s="9"/>
      <c r="OR302" s="9"/>
      <c r="OS302" s="9"/>
      <c r="OT302" s="9"/>
      <c r="OU302" s="9"/>
      <c r="OV302" s="9"/>
      <c r="OW302" s="9"/>
      <c r="OX302" s="9"/>
      <c r="OY302" s="9"/>
      <c r="OZ302" s="9"/>
      <c r="PA302" s="9"/>
      <c r="PB302" s="9"/>
      <c r="PC302" s="9"/>
      <c r="PD302" s="9"/>
      <c r="PE302" s="9"/>
      <c r="PF302" s="9"/>
      <c r="PG302" s="9"/>
      <c r="PH302" s="9"/>
      <c r="PI302" s="9"/>
      <c r="PJ302" s="9"/>
      <c r="PK302" s="9"/>
      <c r="PL302" s="9"/>
      <c r="PM302" s="9"/>
      <c r="PN302" s="9"/>
      <c r="PO302" s="9"/>
      <c r="PP302" s="9"/>
      <c r="PQ302" s="9"/>
      <c r="PR302" s="9"/>
      <c r="PS302" s="9"/>
      <c r="PT302" s="9"/>
      <c r="PU302" s="9"/>
      <c r="PV302" s="9"/>
      <c r="PW302" s="9"/>
      <c r="PX302" s="9"/>
      <c r="PY302" s="9"/>
      <c r="PZ302" s="9"/>
      <c r="QA302" s="9"/>
      <c r="QB302" s="9"/>
      <c r="QC302" s="9"/>
      <c r="QD302" s="9"/>
      <c r="QE302" s="9"/>
      <c r="QF302" s="9"/>
      <c r="QG302" s="9"/>
      <c r="QH302" s="9"/>
      <c r="QI302" s="9"/>
      <c r="QJ302" s="9"/>
      <c r="QK302" s="9"/>
      <c r="QL302" s="9"/>
      <c r="QM302" s="9"/>
      <c r="QN302" s="9"/>
      <c r="QO302" s="9"/>
      <c r="QP302" s="9"/>
      <c r="QQ302" s="67"/>
      <c r="QR302" s="68"/>
      <c r="QS302" s="63"/>
      <c r="QT302" s="71"/>
    </row>
    <row r="303" spans="1:462" s="11" customFormat="1" x14ac:dyDescent="0.2">
      <c r="A303" s="9">
        <v>20</v>
      </c>
      <c r="B303" s="9"/>
      <c r="C303" s="9"/>
      <c r="D303" s="9" t="s">
        <v>388</v>
      </c>
      <c r="E303" s="65" t="s">
        <v>744</v>
      </c>
      <c r="F303" s="65"/>
      <c r="G303" s="92" t="s">
        <v>2280</v>
      </c>
      <c r="H303" s="66" t="s">
        <v>1178</v>
      </c>
      <c r="I303" s="9" t="s">
        <v>1101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 t="s">
        <v>1101</v>
      </c>
      <c r="EF303" s="9"/>
      <c r="EG303" s="9" t="s">
        <v>1101</v>
      </c>
      <c r="EH303" s="9"/>
      <c r="EI303" s="9"/>
      <c r="EJ303" s="9"/>
      <c r="EK303" s="9"/>
      <c r="EL303" s="9"/>
      <c r="EM303" s="9"/>
      <c r="EN303" s="9"/>
      <c r="EO303" s="9"/>
      <c r="EP303" s="9"/>
      <c r="EQ303" s="9"/>
      <c r="ER303" s="9"/>
      <c r="ES303" s="9"/>
      <c r="ET303" s="9"/>
      <c r="EU303" s="9"/>
      <c r="EV303" s="9"/>
      <c r="EW303" s="9"/>
      <c r="EX303" s="9"/>
      <c r="EY303" s="9"/>
      <c r="EZ303" s="9"/>
      <c r="FA303" s="9"/>
      <c r="FB303" s="9"/>
      <c r="FC303" s="9"/>
      <c r="FD303" s="9"/>
      <c r="FE303" s="9"/>
      <c r="FF303" s="9"/>
      <c r="FG303" s="9"/>
      <c r="FH303" s="9"/>
      <c r="FI303" s="9"/>
      <c r="FJ303" s="9"/>
      <c r="FK303" s="9"/>
      <c r="FL303" s="9"/>
      <c r="FM303" s="9"/>
      <c r="FN303" s="9"/>
      <c r="FO303" s="9"/>
      <c r="FP303" s="9"/>
      <c r="FQ303" s="9"/>
      <c r="FR303" s="9"/>
      <c r="FS303" s="9"/>
      <c r="FT303" s="9"/>
      <c r="FU303" s="9"/>
      <c r="FV303" s="9"/>
      <c r="FW303" s="9"/>
      <c r="FX303" s="9"/>
      <c r="FY303" s="9"/>
      <c r="FZ303" s="9"/>
      <c r="GA303" s="9"/>
      <c r="GB303" s="9"/>
      <c r="GC303" s="9"/>
      <c r="GD303" s="9"/>
      <c r="GE303" s="9"/>
      <c r="GF303" s="9"/>
      <c r="GG303" s="9"/>
      <c r="GH303" s="9"/>
      <c r="GI303" s="9"/>
      <c r="GJ303" s="9"/>
      <c r="GK303" s="9"/>
      <c r="GL303" s="9"/>
      <c r="GM303" s="9"/>
      <c r="GN303" s="9"/>
      <c r="GO303" s="9"/>
      <c r="GP303" s="9"/>
      <c r="GQ303" s="9"/>
      <c r="GR303" s="9"/>
      <c r="GS303" s="9"/>
      <c r="GT303" s="9"/>
      <c r="GU303" s="9"/>
      <c r="GV303" s="9"/>
      <c r="GW303" s="9"/>
      <c r="GX303" s="9"/>
      <c r="GY303" s="9"/>
      <c r="GZ303" s="9"/>
      <c r="HA303" s="9"/>
      <c r="HB303" s="9"/>
      <c r="HC303" s="9"/>
      <c r="HD303" s="9"/>
      <c r="HE303" s="9"/>
      <c r="HF303" s="9"/>
      <c r="HG303" s="9"/>
      <c r="HH303" s="9"/>
      <c r="HI303" s="9"/>
      <c r="HJ303" s="9"/>
      <c r="HK303" s="9"/>
      <c r="HL303" s="9"/>
      <c r="HM303" s="9"/>
      <c r="HN303" s="9"/>
      <c r="HO303" s="9"/>
      <c r="HP303" s="9"/>
      <c r="HQ303" s="9"/>
      <c r="HR303" s="9"/>
      <c r="HS303" s="9"/>
      <c r="HT303" s="9"/>
      <c r="HU303" s="9"/>
      <c r="HV303" s="9"/>
      <c r="HW303" s="9"/>
      <c r="HX303" s="9"/>
      <c r="HY303" s="9"/>
      <c r="HZ303" s="9"/>
      <c r="IA303" s="9"/>
      <c r="IB303" s="9"/>
      <c r="IC303" s="9"/>
      <c r="ID303" s="9"/>
      <c r="IE303" s="9"/>
      <c r="IF303" s="9"/>
      <c r="IG303" s="9"/>
      <c r="IH303" s="9"/>
      <c r="II303" s="9"/>
      <c r="IJ303" s="9"/>
      <c r="IK303" s="9"/>
      <c r="IL303" s="9"/>
      <c r="IM303" s="9"/>
      <c r="IN303" s="9"/>
      <c r="IO303" s="9"/>
      <c r="IP303" s="9"/>
      <c r="IQ303" s="9"/>
      <c r="IR303" s="9"/>
      <c r="IS303" s="9"/>
      <c r="IT303" s="9"/>
      <c r="IU303" s="9"/>
      <c r="IV303" s="9"/>
      <c r="IW303" s="9"/>
      <c r="IX303" s="9"/>
      <c r="IY303" s="9"/>
      <c r="IZ303" s="9"/>
      <c r="JA303" s="9"/>
      <c r="JB303" s="9"/>
      <c r="JC303" s="9"/>
      <c r="JD303" s="9"/>
      <c r="JE303" s="9"/>
      <c r="JF303" s="9"/>
      <c r="JG303" s="9"/>
      <c r="JH303" s="9"/>
      <c r="JI303" s="9"/>
      <c r="JJ303" s="9"/>
      <c r="JK303" s="9"/>
      <c r="JL303" s="9"/>
      <c r="JM303" s="9"/>
      <c r="JN303" s="9"/>
      <c r="JO303" s="9"/>
      <c r="JP303" s="9"/>
      <c r="JQ303" s="9"/>
      <c r="JR303" s="9"/>
      <c r="JS303" s="9"/>
      <c r="JT303" s="9"/>
      <c r="JU303" s="9"/>
      <c r="JV303" s="9"/>
      <c r="JW303" s="9"/>
      <c r="JX303" s="9"/>
      <c r="JY303" s="9"/>
      <c r="JZ303" s="9"/>
      <c r="KA303" s="9"/>
      <c r="KB303" s="9"/>
      <c r="KC303" s="9"/>
      <c r="KD303" s="9"/>
      <c r="KE303" s="9"/>
      <c r="KF303" s="9"/>
      <c r="KG303" s="9"/>
      <c r="KH303" s="9"/>
      <c r="KI303" s="9"/>
      <c r="KJ303" s="9"/>
      <c r="KK303" s="9"/>
      <c r="KL303" s="9"/>
      <c r="KM303" s="9"/>
      <c r="KN303" s="9"/>
      <c r="KO303" s="9"/>
      <c r="KP303" s="9"/>
      <c r="KQ303" s="9"/>
      <c r="KR303" s="9"/>
      <c r="KS303" s="9"/>
      <c r="KT303" s="9"/>
      <c r="KU303" s="9"/>
      <c r="KV303" s="9"/>
      <c r="KW303" s="9"/>
      <c r="KX303" s="9"/>
      <c r="KY303" s="9"/>
      <c r="KZ303" s="9"/>
      <c r="LA303" s="9"/>
      <c r="LB303" s="9"/>
      <c r="LC303" s="9"/>
      <c r="LD303" s="9"/>
      <c r="LE303" s="9"/>
      <c r="LF303" s="9"/>
      <c r="LG303" s="9"/>
      <c r="LH303" s="9"/>
      <c r="LI303" s="9"/>
      <c r="LJ303" s="9"/>
      <c r="LK303" s="9"/>
      <c r="LL303" s="9"/>
      <c r="LM303" s="9"/>
      <c r="LN303" s="9"/>
      <c r="LO303" s="9"/>
      <c r="LP303" s="9"/>
      <c r="LQ303" s="9"/>
      <c r="LR303" s="9"/>
      <c r="LS303" s="9"/>
      <c r="LT303" s="9"/>
      <c r="LU303" s="9"/>
      <c r="LV303" s="9"/>
      <c r="LW303" s="9"/>
      <c r="LX303" s="9"/>
      <c r="LY303" s="9"/>
      <c r="LZ303" s="9"/>
      <c r="MA303" s="9"/>
      <c r="MB303" s="9"/>
      <c r="MC303" s="9"/>
      <c r="MD303" s="9"/>
      <c r="ME303" s="9"/>
      <c r="MF303" s="9"/>
      <c r="MG303" s="9"/>
      <c r="MH303" s="9"/>
      <c r="MI303" s="9"/>
      <c r="MJ303" s="9"/>
      <c r="MK303" s="9"/>
      <c r="ML303" s="9"/>
      <c r="MM303" s="9"/>
      <c r="MN303" s="9"/>
      <c r="MO303" s="9"/>
      <c r="MP303" s="9"/>
      <c r="MQ303" s="9"/>
      <c r="MR303" s="9"/>
      <c r="MS303" s="9"/>
      <c r="MT303" s="9"/>
      <c r="MU303" s="9"/>
      <c r="MV303" s="9"/>
      <c r="MW303" s="9"/>
      <c r="MX303" s="9"/>
      <c r="MY303" s="9"/>
      <c r="MZ303" s="9"/>
      <c r="NA303" s="9"/>
      <c r="NB303" s="9"/>
      <c r="NC303" s="9"/>
      <c r="ND303" s="9"/>
      <c r="NE303" s="9"/>
      <c r="NF303" s="9"/>
      <c r="NG303" s="9"/>
      <c r="NH303" s="9"/>
      <c r="NI303" s="9"/>
      <c r="NJ303" s="9"/>
      <c r="NK303" s="9"/>
      <c r="NL303" s="9"/>
      <c r="NM303" s="9"/>
      <c r="NN303" s="9"/>
      <c r="NO303" s="9"/>
      <c r="NP303" s="9"/>
      <c r="NQ303" s="9"/>
      <c r="NR303" s="9"/>
      <c r="NS303" s="9"/>
      <c r="NT303" s="9"/>
      <c r="NU303" s="9"/>
      <c r="NV303" s="9"/>
      <c r="NW303" s="9"/>
      <c r="NX303" s="9"/>
      <c r="NY303" s="9"/>
      <c r="NZ303" s="9"/>
      <c r="OA303" s="9"/>
      <c r="OB303" s="9"/>
      <c r="OC303" s="9"/>
      <c r="OD303" s="9"/>
      <c r="OE303" s="9"/>
      <c r="OF303" s="9"/>
      <c r="OG303" s="9"/>
      <c r="OH303" s="9"/>
      <c r="OI303" s="9"/>
      <c r="OJ303" s="9"/>
      <c r="OK303" s="9"/>
      <c r="OL303" s="9"/>
      <c r="OM303" s="9"/>
      <c r="ON303" s="9"/>
      <c r="OO303" s="9"/>
      <c r="OP303" s="9"/>
      <c r="OQ303" s="9"/>
      <c r="OR303" s="9"/>
      <c r="OS303" s="9"/>
      <c r="OT303" s="9"/>
      <c r="OU303" s="9"/>
      <c r="OV303" s="9"/>
      <c r="OW303" s="9"/>
      <c r="OX303" s="9"/>
      <c r="OY303" s="9"/>
      <c r="OZ303" s="9"/>
      <c r="PA303" s="9"/>
      <c r="PB303" s="9"/>
      <c r="PC303" s="9"/>
      <c r="PD303" s="9"/>
      <c r="PE303" s="9"/>
      <c r="PF303" s="9"/>
      <c r="PG303" s="9"/>
      <c r="PH303" s="9"/>
      <c r="PI303" s="9"/>
      <c r="PJ303" s="9"/>
      <c r="PK303" s="9"/>
      <c r="PL303" s="9"/>
      <c r="PM303" s="9"/>
      <c r="PN303" s="9"/>
      <c r="PO303" s="9"/>
      <c r="PP303" s="9"/>
      <c r="PQ303" s="9"/>
      <c r="PR303" s="9"/>
      <c r="PS303" s="9"/>
      <c r="PT303" s="9"/>
      <c r="PU303" s="9"/>
      <c r="PV303" s="9"/>
      <c r="PW303" s="9"/>
      <c r="PX303" s="9"/>
      <c r="PY303" s="9"/>
      <c r="PZ303" s="9"/>
      <c r="QA303" s="9"/>
      <c r="QB303" s="9"/>
      <c r="QC303" s="9"/>
      <c r="QD303" s="9"/>
      <c r="QE303" s="9"/>
      <c r="QF303" s="9"/>
      <c r="QG303" s="9"/>
      <c r="QH303" s="9"/>
      <c r="QI303" s="9"/>
      <c r="QJ303" s="9"/>
      <c r="QK303" s="9"/>
      <c r="QL303" s="9"/>
      <c r="QM303" s="9"/>
      <c r="QN303" s="9"/>
      <c r="QO303" s="9"/>
      <c r="QP303" s="9"/>
      <c r="QQ303" s="67"/>
      <c r="QR303" s="68"/>
      <c r="QS303" s="63"/>
      <c r="QT303" s="71"/>
    </row>
    <row r="304" spans="1:462" s="11" customFormat="1" ht="26" x14ac:dyDescent="0.2">
      <c r="A304" s="9">
        <v>20</v>
      </c>
      <c r="B304" s="9"/>
      <c r="C304" s="9"/>
      <c r="D304" s="9" t="s">
        <v>392</v>
      </c>
      <c r="E304" s="65" t="s">
        <v>515</v>
      </c>
      <c r="F304" s="65"/>
      <c r="G304" s="92" t="s">
        <v>2285</v>
      </c>
      <c r="H304" s="66" t="s">
        <v>1401</v>
      </c>
      <c r="I304" s="9" t="s">
        <v>1101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 t="s">
        <v>1101</v>
      </c>
      <c r="EN304" s="9"/>
      <c r="EO304" s="9" t="s">
        <v>1101</v>
      </c>
      <c r="EP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E304" s="9"/>
      <c r="FF304" s="9"/>
      <c r="FG304" s="9"/>
      <c r="FH304" s="9"/>
      <c r="FI304" s="9"/>
      <c r="FJ304" s="9"/>
      <c r="FK304" s="9"/>
      <c r="FL304" s="9"/>
      <c r="FM304" s="9"/>
      <c r="FN304" s="9"/>
      <c r="FO304" s="9"/>
      <c r="FP304" s="9"/>
      <c r="FQ304" s="9"/>
      <c r="FR304" s="9"/>
      <c r="FS304" s="9"/>
      <c r="FT304" s="9"/>
      <c r="FU304" s="9"/>
      <c r="FV304" s="9"/>
      <c r="FW304" s="9"/>
      <c r="FX304" s="9"/>
      <c r="FY304" s="9"/>
      <c r="FZ304" s="9"/>
      <c r="GA304" s="9"/>
      <c r="GB304" s="9"/>
      <c r="GC304" s="9"/>
      <c r="GD304" s="9"/>
      <c r="GE304" s="9"/>
      <c r="GF304" s="9"/>
      <c r="GG304" s="9"/>
      <c r="GH304" s="9"/>
      <c r="GI304" s="9"/>
      <c r="GJ304" s="9"/>
      <c r="GK304" s="9"/>
      <c r="GL304" s="9"/>
      <c r="GM304" s="9"/>
      <c r="GN304" s="9"/>
      <c r="GO304" s="9"/>
      <c r="GP304" s="9"/>
      <c r="GQ304" s="9"/>
      <c r="GR304" s="9"/>
      <c r="GS304" s="9"/>
      <c r="GT304" s="9"/>
      <c r="GU304" s="9"/>
      <c r="GV304" s="9"/>
      <c r="GW304" s="9"/>
      <c r="GX304" s="9"/>
      <c r="GY304" s="9"/>
      <c r="GZ304" s="9"/>
      <c r="HA304" s="9"/>
      <c r="HB304" s="9"/>
      <c r="HC304" s="9"/>
      <c r="HD304" s="9"/>
      <c r="HE304" s="9"/>
      <c r="HF304" s="9"/>
      <c r="HG304" s="9"/>
      <c r="HH304" s="9"/>
      <c r="HI304" s="9"/>
      <c r="HJ304" s="9"/>
      <c r="HK304" s="9"/>
      <c r="HL304" s="9"/>
      <c r="HM304" s="9"/>
      <c r="HN304" s="9"/>
      <c r="HO304" s="9"/>
      <c r="HP304" s="9"/>
      <c r="HQ304" s="9"/>
      <c r="HR304" s="9"/>
      <c r="HS304" s="9"/>
      <c r="HT304" s="9"/>
      <c r="HU304" s="9"/>
      <c r="HV304" s="9"/>
      <c r="HW304" s="9"/>
      <c r="HX304" s="9"/>
      <c r="HY304" s="9"/>
      <c r="HZ304" s="9"/>
      <c r="IA304" s="9"/>
      <c r="IB304" s="9"/>
      <c r="IC304" s="9"/>
      <c r="ID304" s="9"/>
      <c r="IE304" s="9"/>
      <c r="IF304" s="9"/>
      <c r="IG304" s="9"/>
      <c r="IH304" s="9"/>
      <c r="II304" s="9"/>
      <c r="IJ304" s="9"/>
      <c r="IK304" s="9"/>
      <c r="IL304" s="9"/>
      <c r="IM304" s="9"/>
      <c r="IN304" s="9"/>
      <c r="IO304" s="9"/>
      <c r="IP304" s="9"/>
      <c r="IQ304" s="9"/>
      <c r="IR304" s="9"/>
      <c r="IS304" s="9"/>
      <c r="IT304" s="9"/>
      <c r="IU304" s="9"/>
      <c r="IV304" s="9"/>
      <c r="IW304" s="9"/>
      <c r="IX304" s="9"/>
      <c r="IY304" s="9"/>
      <c r="IZ304" s="9"/>
      <c r="JA304" s="9"/>
      <c r="JB304" s="9"/>
      <c r="JC304" s="9"/>
      <c r="JD304" s="9"/>
      <c r="JE304" s="9"/>
      <c r="JF304" s="9"/>
      <c r="JG304" s="9"/>
      <c r="JH304" s="9"/>
      <c r="JI304" s="9"/>
      <c r="JJ304" s="9"/>
      <c r="JK304" s="9"/>
      <c r="JL304" s="9"/>
      <c r="JM304" s="9"/>
      <c r="JN304" s="9"/>
      <c r="JO304" s="9"/>
      <c r="JP304" s="9"/>
      <c r="JQ304" s="9"/>
      <c r="JR304" s="9"/>
      <c r="JS304" s="9"/>
      <c r="JT304" s="9"/>
      <c r="JU304" s="9"/>
      <c r="JV304" s="9"/>
      <c r="JW304" s="9"/>
      <c r="JX304" s="9"/>
      <c r="JY304" s="9"/>
      <c r="JZ304" s="9"/>
      <c r="KA304" s="9"/>
      <c r="KB304" s="9"/>
      <c r="KC304" s="9"/>
      <c r="KD304" s="9"/>
      <c r="KE304" s="9"/>
      <c r="KF304" s="9"/>
      <c r="KG304" s="9"/>
      <c r="KH304" s="9"/>
      <c r="KI304" s="9"/>
      <c r="KJ304" s="9"/>
      <c r="KK304" s="9"/>
      <c r="KL304" s="9"/>
      <c r="KM304" s="9"/>
      <c r="KN304" s="9"/>
      <c r="KO304" s="9"/>
      <c r="KP304" s="9"/>
      <c r="KQ304" s="9"/>
      <c r="KR304" s="9"/>
      <c r="KS304" s="9"/>
      <c r="KT304" s="9"/>
      <c r="KU304" s="9"/>
      <c r="KV304" s="9"/>
      <c r="KW304" s="9"/>
      <c r="KX304" s="9"/>
      <c r="KY304" s="9"/>
      <c r="KZ304" s="9"/>
      <c r="LA304" s="9"/>
      <c r="LB304" s="9"/>
      <c r="LC304" s="9"/>
      <c r="LD304" s="9"/>
      <c r="LE304" s="9"/>
      <c r="LF304" s="9"/>
      <c r="LG304" s="9"/>
      <c r="LH304" s="9"/>
      <c r="LI304" s="9"/>
      <c r="LJ304" s="9"/>
      <c r="LK304" s="9"/>
      <c r="LL304" s="9"/>
      <c r="LM304" s="9"/>
      <c r="LN304" s="9"/>
      <c r="LO304" s="9"/>
      <c r="LP304" s="9"/>
      <c r="LQ304" s="9"/>
      <c r="LR304" s="9"/>
      <c r="LS304" s="9"/>
      <c r="LT304" s="9"/>
      <c r="LU304" s="9"/>
      <c r="LV304" s="9"/>
      <c r="LW304" s="9"/>
      <c r="LX304" s="9"/>
      <c r="LY304" s="9"/>
      <c r="LZ304" s="9"/>
      <c r="MA304" s="9"/>
      <c r="MB304" s="9"/>
      <c r="MC304" s="9"/>
      <c r="MD304" s="9"/>
      <c r="ME304" s="9"/>
      <c r="MF304" s="9"/>
      <c r="MG304" s="9"/>
      <c r="MH304" s="9"/>
      <c r="MI304" s="9"/>
      <c r="MJ304" s="9"/>
      <c r="MK304" s="9"/>
      <c r="ML304" s="9"/>
      <c r="MM304" s="9"/>
      <c r="MN304" s="9"/>
      <c r="MO304" s="9"/>
      <c r="MP304" s="9"/>
      <c r="MQ304" s="9"/>
      <c r="MR304" s="9"/>
      <c r="MS304" s="9"/>
      <c r="MT304" s="9"/>
      <c r="MU304" s="9"/>
      <c r="MV304" s="9"/>
      <c r="MW304" s="9"/>
      <c r="MX304" s="9"/>
      <c r="MY304" s="9"/>
      <c r="MZ304" s="9"/>
      <c r="NA304" s="9"/>
      <c r="NB304" s="9"/>
      <c r="NC304" s="9"/>
      <c r="ND304" s="9"/>
      <c r="NE304" s="9"/>
      <c r="NF304" s="9"/>
      <c r="NG304" s="9"/>
      <c r="NH304" s="9"/>
      <c r="NI304" s="9"/>
      <c r="NJ304" s="9"/>
      <c r="NK304" s="9"/>
      <c r="NL304" s="9"/>
      <c r="NM304" s="9"/>
      <c r="NN304" s="9"/>
      <c r="NO304" s="9"/>
      <c r="NP304" s="9"/>
      <c r="NQ304" s="9"/>
      <c r="NR304" s="9"/>
      <c r="NS304" s="9"/>
      <c r="NT304" s="9"/>
      <c r="NU304" s="9"/>
      <c r="NV304" s="9"/>
      <c r="NW304" s="9"/>
      <c r="NX304" s="9"/>
      <c r="NY304" s="9"/>
      <c r="NZ304" s="9"/>
      <c r="OA304" s="9"/>
      <c r="OB304" s="9"/>
      <c r="OC304" s="9"/>
      <c r="OD304" s="9"/>
      <c r="OE304" s="9"/>
      <c r="OF304" s="9"/>
      <c r="OG304" s="9"/>
      <c r="OH304" s="9"/>
      <c r="OI304" s="9"/>
      <c r="OJ304" s="9"/>
      <c r="OK304" s="9"/>
      <c r="OL304" s="9"/>
      <c r="OM304" s="9"/>
      <c r="ON304" s="9"/>
      <c r="OO304" s="9"/>
      <c r="OP304" s="9"/>
      <c r="OQ304" s="9"/>
      <c r="OR304" s="9"/>
      <c r="OS304" s="9"/>
      <c r="OT304" s="9"/>
      <c r="OU304" s="9"/>
      <c r="OV304" s="9"/>
      <c r="OW304" s="9"/>
      <c r="OX304" s="9"/>
      <c r="OY304" s="9"/>
      <c r="OZ304" s="9"/>
      <c r="PA304" s="9"/>
      <c r="PB304" s="9"/>
      <c r="PC304" s="9"/>
      <c r="PD304" s="9"/>
      <c r="PE304" s="9"/>
      <c r="PF304" s="9"/>
      <c r="PG304" s="9"/>
      <c r="PH304" s="9"/>
      <c r="PI304" s="9"/>
      <c r="PJ304" s="9"/>
      <c r="PK304" s="9"/>
      <c r="PL304" s="9"/>
      <c r="PM304" s="9"/>
      <c r="PN304" s="9"/>
      <c r="PO304" s="9"/>
      <c r="PP304" s="9"/>
      <c r="PQ304" s="9"/>
      <c r="PR304" s="9"/>
      <c r="PS304" s="9"/>
      <c r="PT304" s="9"/>
      <c r="PU304" s="9"/>
      <c r="PV304" s="9"/>
      <c r="PW304" s="9"/>
      <c r="PX304" s="9"/>
      <c r="PY304" s="9"/>
      <c r="PZ304" s="9"/>
      <c r="QA304" s="9"/>
      <c r="QB304" s="9"/>
      <c r="QC304" s="9"/>
      <c r="QD304" s="9"/>
      <c r="QE304" s="9"/>
      <c r="QF304" s="9"/>
      <c r="QG304" s="9"/>
      <c r="QH304" s="9"/>
      <c r="QI304" s="9"/>
      <c r="QJ304" s="9"/>
      <c r="QK304" s="9"/>
      <c r="QL304" s="9"/>
      <c r="QM304" s="9"/>
      <c r="QN304" s="9"/>
      <c r="QO304" s="9"/>
      <c r="QP304" s="9"/>
      <c r="QQ304" s="67"/>
      <c r="QR304" s="68"/>
      <c r="QS304" s="63"/>
      <c r="QT304" s="71"/>
    </row>
    <row r="305" spans="1:462" s="11" customFormat="1" x14ac:dyDescent="0.2">
      <c r="A305" s="9">
        <v>20</v>
      </c>
      <c r="B305" s="9"/>
      <c r="C305" s="9"/>
      <c r="D305" s="9" t="s">
        <v>394</v>
      </c>
      <c r="E305" s="65" t="s">
        <v>516</v>
      </c>
      <c r="F305" s="65"/>
      <c r="G305" s="92" t="s">
        <v>2288</v>
      </c>
      <c r="H305" s="66" t="s">
        <v>1188</v>
      </c>
      <c r="I305" s="9" t="s">
        <v>1101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 t="s">
        <v>1101</v>
      </c>
      <c r="EN305" s="9"/>
      <c r="EO305" s="9" t="s">
        <v>1101</v>
      </c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9"/>
      <c r="GG305" s="9"/>
      <c r="GH305" s="9"/>
      <c r="GI305" s="9"/>
      <c r="GJ305" s="9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9"/>
      <c r="GY305" s="9"/>
      <c r="GZ305" s="9"/>
      <c r="HA305" s="9"/>
      <c r="HB305" s="9"/>
      <c r="HC305" s="9"/>
      <c r="HD305" s="9"/>
      <c r="HE305" s="9"/>
      <c r="HF305" s="9"/>
      <c r="HG305" s="9"/>
      <c r="HH305" s="9"/>
      <c r="HI305" s="9"/>
      <c r="HJ305" s="9"/>
      <c r="HK305" s="9"/>
      <c r="HL305" s="9"/>
      <c r="HM305" s="9"/>
      <c r="HN305" s="9"/>
      <c r="HO305" s="9"/>
      <c r="HP305" s="9"/>
      <c r="HQ305" s="9"/>
      <c r="HR305" s="9"/>
      <c r="HS305" s="9"/>
      <c r="HT305" s="9"/>
      <c r="HU305" s="9"/>
      <c r="HV305" s="9"/>
      <c r="HW305" s="9"/>
      <c r="HX305" s="9"/>
      <c r="HY305" s="9"/>
      <c r="HZ305" s="9"/>
      <c r="IA305" s="9"/>
      <c r="IB305" s="9"/>
      <c r="IC305" s="9"/>
      <c r="ID305" s="9"/>
      <c r="IE305" s="9"/>
      <c r="IF305" s="9"/>
      <c r="IG305" s="9"/>
      <c r="IH305" s="9"/>
      <c r="II305" s="9"/>
      <c r="IJ305" s="9"/>
      <c r="IK305" s="9"/>
      <c r="IL305" s="9"/>
      <c r="IM305" s="9"/>
      <c r="IN305" s="9"/>
      <c r="IO305" s="9"/>
      <c r="IP305" s="9"/>
      <c r="IQ305" s="9"/>
      <c r="IR305" s="9"/>
      <c r="IS305" s="9"/>
      <c r="IT305" s="9"/>
      <c r="IU305" s="9"/>
      <c r="IV305" s="9"/>
      <c r="IW305" s="9"/>
      <c r="IX305" s="9"/>
      <c r="IY305" s="9"/>
      <c r="IZ305" s="9"/>
      <c r="JA305" s="9"/>
      <c r="JB305" s="9"/>
      <c r="JC305" s="9"/>
      <c r="JD305" s="9"/>
      <c r="JE305" s="9"/>
      <c r="JF305" s="9"/>
      <c r="JG305" s="9"/>
      <c r="JH305" s="9"/>
      <c r="JI305" s="9"/>
      <c r="JJ305" s="9"/>
      <c r="JK305" s="9"/>
      <c r="JL305" s="9"/>
      <c r="JM305" s="9"/>
      <c r="JN305" s="9"/>
      <c r="JO305" s="9"/>
      <c r="JP305" s="9"/>
      <c r="JQ305" s="9"/>
      <c r="JR305" s="9"/>
      <c r="JS305" s="9"/>
      <c r="JT305" s="9"/>
      <c r="JU305" s="9"/>
      <c r="JV305" s="9"/>
      <c r="JW305" s="9"/>
      <c r="JX305" s="9"/>
      <c r="JY305" s="9"/>
      <c r="JZ305" s="9"/>
      <c r="KA305" s="9"/>
      <c r="KB305" s="9"/>
      <c r="KC305" s="9"/>
      <c r="KD305" s="9"/>
      <c r="KE305" s="9"/>
      <c r="KF305" s="9"/>
      <c r="KG305" s="9"/>
      <c r="KH305" s="9"/>
      <c r="KI305" s="9"/>
      <c r="KJ305" s="9"/>
      <c r="KK305" s="9"/>
      <c r="KL305" s="9"/>
      <c r="KM305" s="9"/>
      <c r="KN305" s="9"/>
      <c r="KO305" s="9"/>
      <c r="KP305" s="9"/>
      <c r="KQ305" s="9"/>
      <c r="KR305" s="9"/>
      <c r="KS305" s="9"/>
      <c r="KT305" s="9"/>
      <c r="KU305" s="9"/>
      <c r="KV305" s="9"/>
      <c r="KW305" s="9"/>
      <c r="KX305" s="9"/>
      <c r="KY305" s="9"/>
      <c r="KZ305" s="9"/>
      <c r="LA305" s="9"/>
      <c r="LB305" s="9"/>
      <c r="LC305" s="9"/>
      <c r="LD305" s="9"/>
      <c r="LE305" s="9"/>
      <c r="LF305" s="9"/>
      <c r="LG305" s="9"/>
      <c r="LH305" s="9"/>
      <c r="LI305" s="9"/>
      <c r="LJ305" s="9"/>
      <c r="LK305" s="9"/>
      <c r="LL305" s="9"/>
      <c r="LM305" s="9"/>
      <c r="LN305" s="9"/>
      <c r="LO305" s="9"/>
      <c r="LP305" s="9"/>
      <c r="LQ305" s="9"/>
      <c r="LR305" s="9"/>
      <c r="LS305" s="9"/>
      <c r="LT305" s="9"/>
      <c r="LU305" s="9"/>
      <c r="LV305" s="9"/>
      <c r="LW305" s="9"/>
      <c r="LX305" s="9"/>
      <c r="LY305" s="9"/>
      <c r="LZ305" s="9"/>
      <c r="MA305" s="9"/>
      <c r="MB305" s="9"/>
      <c r="MC305" s="9"/>
      <c r="MD305" s="9"/>
      <c r="ME305" s="9"/>
      <c r="MF305" s="9"/>
      <c r="MG305" s="9"/>
      <c r="MH305" s="9"/>
      <c r="MI305" s="9"/>
      <c r="MJ305" s="9"/>
      <c r="MK305" s="9"/>
      <c r="ML305" s="9"/>
      <c r="MM305" s="9"/>
      <c r="MN305" s="9"/>
      <c r="MO305" s="9"/>
      <c r="MP305" s="9"/>
      <c r="MQ305" s="9"/>
      <c r="MR305" s="9"/>
      <c r="MS305" s="9"/>
      <c r="MT305" s="9"/>
      <c r="MU305" s="9"/>
      <c r="MV305" s="9"/>
      <c r="MW305" s="9"/>
      <c r="MX305" s="9"/>
      <c r="MY305" s="9"/>
      <c r="MZ305" s="9"/>
      <c r="NA305" s="9"/>
      <c r="NB305" s="9"/>
      <c r="NC305" s="9"/>
      <c r="ND305" s="9"/>
      <c r="NE305" s="9"/>
      <c r="NF305" s="9"/>
      <c r="NG305" s="9"/>
      <c r="NH305" s="9"/>
      <c r="NI305" s="9"/>
      <c r="NJ305" s="9"/>
      <c r="NK305" s="9"/>
      <c r="NL305" s="9"/>
      <c r="NM305" s="9"/>
      <c r="NN305" s="9"/>
      <c r="NO305" s="9"/>
      <c r="NP305" s="9"/>
      <c r="NQ305" s="9"/>
      <c r="NR305" s="9"/>
      <c r="NS305" s="9"/>
      <c r="NT305" s="9"/>
      <c r="NU305" s="9"/>
      <c r="NV305" s="9"/>
      <c r="NW305" s="9"/>
      <c r="NX305" s="9"/>
      <c r="NY305" s="9"/>
      <c r="NZ305" s="9"/>
      <c r="OA305" s="9"/>
      <c r="OB305" s="9"/>
      <c r="OC305" s="9"/>
      <c r="OD305" s="9"/>
      <c r="OE305" s="9"/>
      <c r="OF305" s="9"/>
      <c r="OG305" s="9"/>
      <c r="OH305" s="9"/>
      <c r="OI305" s="9"/>
      <c r="OJ305" s="9"/>
      <c r="OK305" s="9"/>
      <c r="OL305" s="9"/>
      <c r="OM305" s="9"/>
      <c r="ON305" s="9"/>
      <c r="OO305" s="9"/>
      <c r="OP305" s="9"/>
      <c r="OQ305" s="9"/>
      <c r="OR305" s="9"/>
      <c r="OS305" s="9"/>
      <c r="OT305" s="9"/>
      <c r="OU305" s="9"/>
      <c r="OV305" s="9"/>
      <c r="OW305" s="9"/>
      <c r="OX305" s="9"/>
      <c r="OY305" s="9"/>
      <c r="OZ305" s="9"/>
      <c r="PA305" s="9"/>
      <c r="PB305" s="9"/>
      <c r="PC305" s="9"/>
      <c r="PD305" s="9"/>
      <c r="PE305" s="9"/>
      <c r="PF305" s="9"/>
      <c r="PG305" s="9"/>
      <c r="PH305" s="9"/>
      <c r="PI305" s="9"/>
      <c r="PJ305" s="9"/>
      <c r="PK305" s="9"/>
      <c r="PL305" s="9"/>
      <c r="PM305" s="9"/>
      <c r="PN305" s="9"/>
      <c r="PO305" s="9"/>
      <c r="PP305" s="9"/>
      <c r="PQ305" s="9"/>
      <c r="PR305" s="9"/>
      <c r="PS305" s="9"/>
      <c r="PT305" s="9"/>
      <c r="PU305" s="9"/>
      <c r="PV305" s="9"/>
      <c r="PW305" s="9"/>
      <c r="PX305" s="9"/>
      <c r="PY305" s="9"/>
      <c r="PZ305" s="9"/>
      <c r="QA305" s="9"/>
      <c r="QB305" s="9"/>
      <c r="QC305" s="9"/>
      <c r="QD305" s="9"/>
      <c r="QE305" s="9"/>
      <c r="QF305" s="9"/>
      <c r="QG305" s="9"/>
      <c r="QH305" s="9"/>
      <c r="QI305" s="9"/>
      <c r="QJ305" s="9"/>
      <c r="QK305" s="9"/>
      <c r="QL305" s="9"/>
      <c r="QM305" s="9"/>
      <c r="QN305" s="9"/>
      <c r="QO305" s="9"/>
      <c r="QP305" s="9"/>
      <c r="QQ305" s="67"/>
      <c r="QR305" s="68"/>
      <c r="QS305" s="63"/>
      <c r="QT305" s="71"/>
    </row>
    <row r="306" spans="1:462" s="11" customFormat="1" x14ac:dyDescent="0.2">
      <c r="A306" s="9">
        <v>20</v>
      </c>
      <c r="B306" s="9"/>
      <c r="C306" s="9"/>
      <c r="D306" s="9" t="s">
        <v>395</v>
      </c>
      <c r="E306" s="65" t="s">
        <v>517</v>
      </c>
      <c r="F306" s="65"/>
      <c r="G306" s="92" t="s">
        <v>2289</v>
      </c>
      <c r="H306" s="66" t="s">
        <v>1189</v>
      </c>
      <c r="I306" s="9" t="s">
        <v>1101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 t="s">
        <v>1101</v>
      </c>
      <c r="EN306" s="9"/>
      <c r="EO306" s="9" t="s">
        <v>1101</v>
      </c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  <c r="FO306" s="9"/>
      <c r="FP306" s="9"/>
      <c r="FQ306" s="9"/>
      <c r="FR306" s="9"/>
      <c r="FS306" s="9"/>
      <c r="FT306" s="9"/>
      <c r="FU306" s="9"/>
      <c r="FV306" s="9"/>
      <c r="FW306" s="9"/>
      <c r="FX306" s="9"/>
      <c r="FY306" s="9"/>
      <c r="FZ306" s="9"/>
      <c r="GA306" s="9"/>
      <c r="GB306" s="9"/>
      <c r="GC306" s="9"/>
      <c r="GD306" s="9"/>
      <c r="GE306" s="9"/>
      <c r="GF306" s="9"/>
      <c r="GG306" s="9"/>
      <c r="GH306" s="9"/>
      <c r="GI306" s="9"/>
      <c r="GJ306" s="9"/>
      <c r="GK306" s="9"/>
      <c r="GL306" s="9"/>
      <c r="GM306" s="9"/>
      <c r="GN306" s="9"/>
      <c r="GO306" s="9"/>
      <c r="GP306" s="9"/>
      <c r="GQ306" s="9"/>
      <c r="GR306" s="9"/>
      <c r="GS306" s="9"/>
      <c r="GT306" s="9"/>
      <c r="GU306" s="9"/>
      <c r="GV306" s="9"/>
      <c r="GW306" s="9"/>
      <c r="GX306" s="9"/>
      <c r="GY306" s="9"/>
      <c r="GZ306" s="9"/>
      <c r="HA306" s="9"/>
      <c r="HB306" s="9"/>
      <c r="HC306" s="9"/>
      <c r="HD306" s="9"/>
      <c r="HE306" s="9"/>
      <c r="HF306" s="9"/>
      <c r="HG306" s="9"/>
      <c r="HH306" s="9"/>
      <c r="HI306" s="9"/>
      <c r="HJ306" s="9"/>
      <c r="HK306" s="9"/>
      <c r="HL306" s="9"/>
      <c r="HM306" s="9"/>
      <c r="HN306" s="9"/>
      <c r="HO306" s="9"/>
      <c r="HP306" s="9"/>
      <c r="HQ306" s="9"/>
      <c r="HR306" s="9"/>
      <c r="HS306" s="9"/>
      <c r="HT306" s="9"/>
      <c r="HU306" s="9"/>
      <c r="HV306" s="9"/>
      <c r="HW306" s="9"/>
      <c r="HX306" s="9"/>
      <c r="HY306" s="9"/>
      <c r="HZ306" s="9"/>
      <c r="IA306" s="9"/>
      <c r="IB306" s="9"/>
      <c r="IC306" s="9"/>
      <c r="ID306" s="9"/>
      <c r="IE306" s="9"/>
      <c r="IF306" s="9"/>
      <c r="IG306" s="9"/>
      <c r="IH306" s="9"/>
      <c r="II306" s="9"/>
      <c r="IJ306" s="9"/>
      <c r="IK306" s="9"/>
      <c r="IL306" s="9"/>
      <c r="IM306" s="9"/>
      <c r="IN306" s="9"/>
      <c r="IO306" s="9"/>
      <c r="IP306" s="9"/>
      <c r="IQ306" s="9"/>
      <c r="IR306" s="9"/>
      <c r="IS306" s="9"/>
      <c r="IT306" s="9"/>
      <c r="IU306" s="9"/>
      <c r="IV306" s="9"/>
      <c r="IW306" s="9"/>
      <c r="IX306" s="9"/>
      <c r="IY306" s="9"/>
      <c r="IZ306" s="9"/>
      <c r="JA306" s="9"/>
      <c r="JB306" s="9"/>
      <c r="JC306" s="9"/>
      <c r="JD306" s="9"/>
      <c r="JE306" s="9"/>
      <c r="JF306" s="9"/>
      <c r="JG306" s="9"/>
      <c r="JH306" s="9"/>
      <c r="JI306" s="9"/>
      <c r="JJ306" s="9"/>
      <c r="JK306" s="9"/>
      <c r="JL306" s="9"/>
      <c r="JM306" s="9"/>
      <c r="JN306" s="9"/>
      <c r="JO306" s="9"/>
      <c r="JP306" s="9"/>
      <c r="JQ306" s="9"/>
      <c r="JR306" s="9"/>
      <c r="JS306" s="9"/>
      <c r="JT306" s="9"/>
      <c r="JU306" s="9"/>
      <c r="JV306" s="9"/>
      <c r="JW306" s="9"/>
      <c r="JX306" s="9"/>
      <c r="JY306" s="9"/>
      <c r="JZ306" s="9"/>
      <c r="KA306" s="9"/>
      <c r="KB306" s="9"/>
      <c r="KC306" s="9"/>
      <c r="KD306" s="9"/>
      <c r="KE306" s="9"/>
      <c r="KF306" s="9"/>
      <c r="KG306" s="9"/>
      <c r="KH306" s="9"/>
      <c r="KI306" s="9"/>
      <c r="KJ306" s="9"/>
      <c r="KK306" s="9"/>
      <c r="KL306" s="9"/>
      <c r="KM306" s="9"/>
      <c r="KN306" s="9"/>
      <c r="KO306" s="9"/>
      <c r="KP306" s="9"/>
      <c r="KQ306" s="9"/>
      <c r="KR306" s="9"/>
      <c r="KS306" s="9"/>
      <c r="KT306" s="9"/>
      <c r="KU306" s="9"/>
      <c r="KV306" s="9"/>
      <c r="KW306" s="9"/>
      <c r="KX306" s="9"/>
      <c r="KY306" s="9"/>
      <c r="KZ306" s="9"/>
      <c r="LA306" s="9"/>
      <c r="LB306" s="9"/>
      <c r="LC306" s="9"/>
      <c r="LD306" s="9"/>
      <c r="LE306" s="9"/>
      <c r="LF306" s="9"/>
      <c r="LG306" s="9"/>
      <c r="LH306" s="9"/>
      <c r="LI306" s="9"/>
      <c r="LJ306" s="9"/>
      <c r="LK306" s="9"/>
      <c r="LL306" s="9"/>
      <c r="LM306" s="9"/>
      <c r="LN306" s="9"/>
      <c r="LO306" s="9"/>
      <c r="LP306" s="9"/>
      <c r="LQ306" s="9"/>
      <c r="LR306" s="9"/>
      <c r="LS306" s="9"/>
      <c r="LT306" s="9"/>
      <c r="LU306" s="9"/>
      <c r="LV306" s="9"/>
      <c r="LW306" s="9"/>
      <c r="LX306" s="9"/>
      <c r="LY306" s="9"/>
      <c r="LZ306" s="9"/>
      <c r="MA306" s="9"/>
      <c r="MB306" s="9"/>
      <c r="MC306" s="9"/>
      <c r="MD306" s="9"/>
      <c r="ME306" s="9"/>
      <c r="MF306" s="9"/>
      <c r="MG306" s="9"/>
      <c r="MH306" s="9"/>
      <c r="MI306" s="9"/>
      <c r="MJ306" s="9"/>
      <c r="MK306" s="9"/>
      <c r="ML306" s="9"/>
      <c r="MM306" s="9"/>
      <c r="MN306" s="9"/>
      <c r="MO306" s="9"/>
      <c r="MP306" s="9"/>
      <c r="MQ306" s="9"/>
      <c r="MR306" s="9"/>
      <c r="MS306" s="9"/>
      <c r="MT306" s="9"/>
      <c r="MU306" s="9"/>
      <c r="MV306" s="9"/>
      <c r="MW306" s="9"/>
      <c r="MX306" s="9"/>
      <c r="MY306" s="9"/>
      <c r="MZ306" s="9"/>
      <c r="NA306" s="9"/>
      <c r="NB306" s="9"/>
      <c r="NC306" s="9"/>
      <c r="ND306" s="9"/>
      <c r="NE306" s="9"/>
      <c r="NF306" s="9"/>
      <c r="NG306" s="9"/>
      <c r="NH306" s="9"/>
      <c r="NI306" s="9"/>
      <c r="NJ306" s="9"/>
      <c r="NK306" s="9"/>
      <c r="NL306" s="9"/>
      <c r="NM306" s="9"/>
      <c r="NN306" s="9"/>
      <c r="NO306" s="9"/>
      <c r="NP306" s="9"/>
      <c r="NQ306" s="9"/>
      <c r="NR306" s="9"/>
      <c r="NS306" s="9"/>
      <c r="NT306" s="9"/>
      <c r="NU306" s="9"/>
      <c r="NV306" s="9"/>
      <c r="NW306" s="9"/>
      <c r="NX306" s="9"/>
      <c r="NY306" s="9"/>
      <c r="NZ306" s="9"/>
      <c r="OA306" s="9"/>
      <c r="OB306" s="9"/>
      <c r="OC306" s="9"/>
      <c r="OD306" s="9"/>
      <c r="OE306" s="9"/>
      <c r="OF306" s="9"/>
      <c r="OG306" s="9"/>
      <c r="OH306" s="9"/>
      <c r="OI306" s="9"/>
      <c r="OJ306" s="9"/>
      <c r="OK306" s="9"/>
      <c r="OL306" s="9"/>
      <c r="OM306" s="9"/>
      <c r="ON306" s="9"/>
      <c r="OO306" s="9"/>
      <c r="OP306" s="9"/>
      <c r="OQ306" s="9"/>
      <c r="OR306" s="9"/>
      <c r="OS306" s="9"/>
      <c r="OT306" s="9"/>
      <c r="OU306" s="9"/>
      <c r="OV306" s="9"/>
      <c r="OW306" s="9"/>
      <c r="OX306" s="9"/>
      <c r="OY306" s="9"/>
      <c r="OZ306" s="9"/>
      <c r="PA306" s="9"/>
      <c r="PB306" s="9"/>
      <c r="PC306" s="9"/>
      <c r="PD306" s="9"/>
      <c r="PE306" s="9"/>
      <c r="PF306" s="9"/>
      <c r="PG306" s="9"/>
      <c r="PH306" s="9"/>
      <c r="PI306" s="9"/>
      <c r="PJ306" s="9"/>
      <c r="PK306" s="9"/>
      <c r="PL306" s="9"/>
      <c r="PM306" s="9"/>
      <c r="PN306" s="9"/>
      <c r="PO306" s="9"/>
      <c r="PP306" s="9"/>
      <c r="PQ306" s="9"/>
      <c r="PR306" s="9"/>
      <c r="PS306" s="9"/>
      <c r="PT306" s="9"/>
      <c r="PU306" s="9"/>
      <c r="PV306" s="9"/>
      <c r="PW306" s="9"/>
      <c r="PX306" s="9"/>
      <c r="PY306" s="9"/>
      <c r="PZ306" s="9"/>
      <c r="QA306" s="9"/>
      <c r="QB306" s="9"/>
      <c r="QC306" s="9"/>
      <c r="QD306" s="9"/>
      <c r="QE306" s="9"/>
      <c r="QF306" s="9"/>
      <c r="QG306" s="9"/>
      <c r="QH306" s="9"/>
      <c r="QI306" s="9"/>
      <c r="QJ306" s="9"/>
      <c r="QK306" s="9"/>
      <c r="QL306" s="9"/>
      <c r="QM306" s="9"/>
      <c r="QN306" s="9"/>
      <c r="QO306" s="9"/>
      <c r="QP306" s="9"/>
      <c r="QQ306" s="67"/>
      <c r="QR306" s="68"/>
      <c r="QS306" s="63"/>
      <c r="QT306" s="71"/>
    </row>
    <row r="307" spans="1:462" s="11" customFormat="1" x14ac:dyDescent="0.2">
      <c r="A307" s="9">
        <v>20</v>
      </c>
      <c r="B307" s="9"/>
      <c r="C307" s="9"/>
      <c r="D307" s="9" t="s">
        <v>105</v>
      </c>
      <c r="E307" s="65" t="s">
        <v>181</v>
      </c>
      <c r="F307" s="65"/>
      <c r="G307" s="92" t="s">
        <v>2290</v>
      </c>
      <c r="H307" s="66" t="s">
        <v>1190</v>
      </c>
      <c r="I307" s="9" t="s">
        <v>1101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 t="s">
        <v>1101</v>
      </c>
      <c r="EN307" s="9"/>
      <c r="EO307" s="9" t="s">
        <v>1101</v>
      </c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  <c r="FI307" s="9"/>
      <c r="FJ307" s="9"/>
      <c r="FK307" s="9"/>
      <c r="FL307" s="9"/>
      <c r="FM307" s="9"/>
      <c r="FN307" s="9"/>
      <c r="FO307" s="9"/>
      <c r="FP307" s="9"/>
      <c r="FQ307" s="9"/>
      <c r="FR307" s="9"/>
      <c r="FS307" s="9"/>
      <c r="FT307" s="9"/>
      <c r="FU307" s="9"/>
      <c r="FV307" s="9"/>
      <c r="FW307" s="9"/>
      <c r="FX307" s="9"/>
      <c r="FY307" s="9"/>
      <c r="FZ307" s="9"/>
      <c r="GA307" s="9"/>
      <c r="GB307" s="9"/>
      <c r="GC307" s="9"/>
      <c r="GD307" s="9"/>
      <c r="GE307" s="9"/>
      <c r="GF307" s="9"/>
      <c r="GG307" s="9"/>
      <c r="GH307" s="9"/>
      <c r="GI307" s="9"/>
      <c r="GJ307" s="9"/>
      <c r="GK307" s="9"/>
      <c r="GL307" s="9"/>
      <c r="GM307" s="9"/>
      <c r="GN307" s="9"/>
      <c r="GO307" s="9"/>
      <c r="GP307" s="9"/>
      <c r="GQ307" s="9"/>
      <c r="GR307" s="9"/>
      <c r="GS307" s="9"/>
      <c r="GT307" s="9"/>
      <c r="GU307" s="9"/>
      <c r="GV307" s="9"/>
      <c r="GW307" s="9"/>
      <c r="GX307" s="9"/>
      <c r="GY307" s="9"/>
      <c r="GZ307" s="9"/>
      <c r="HA307" s="9"/>
      <c r="HB307" s="9"/>
      <c r="HC307" s="9"/>
      <c r="HD307" s="9"/>
      <c r="HE307" s="9"/>
      <c r="HF307" s="9"/>
      <c r="HG307" s="9"/>
      <c r="HH307" s="9"/>
      <c r="HI307" s="9"/>
      <c r="HJ307" s="9"/>
      <c r="HK307" s="9"/>
      <c r="HL307" s="9"/>
      <c r="HM307" s="9"/>
      <c r="HN307" s="9"/>
      <c r="HO307" s="9"/>
      <c r="HP307" s="9"/>
      <c r="HQ307" s="9"/>
      <c r="HR307" s="9"/>
      <c r="HS307" s="9"/>
      <c r="HT307" s="9"/>
      <c r="HU307" s="9"/>
      <c r="HV307" s="9"/>
      <c r="HW307" s="9"/>
      <c r="HX307" s="9"/>
      <c r="HY307" s="9"/>
      <c r="HZ307" s="9"/>
      <c r="IA307" s="9"/>
      <c r="IB307" s="9"/>
      <c r="IC307" s="9"/>
      <c r="ID307" s="9"/>
      <c r="IE307" s="9"/>
      <c r="IF307" s="9"/>
      <c r="IG307" s="9"/>
      <c r="IH307" s="9"/>
      <c r="II307" s="9"/>
      <c r="IJ307" s="9"/>
      <c r="IK307" s="9"/>
      <c r="IL307" s="9"/>
      <c r="IM307" s="9"/>
      <c r="IN307" s="9"/>
      <c r="IO307" s="9"/>
      <c r="IP307" s="9"/>
      <c r="IQ307" s="9"/>
      <c r="IR307" s="9"/>
      <c r="IS307" s="9"/>
      <c r="IT307" s="9"/>
      <c r="IU307" s="9"/>
      <c r="IV307" s="9"/>
      <c r="IW307" s="9"/>
      <c r="IX307" s="9"/>
      <c r="IY307" s="9"/>
      <c r="IZ307" s="9"/>
      <c r="JA307" s="9"/>
      <c r="JB307" s="9"/>
      <c r="JC307" s="9"/>
      <c r="JD307" s="9"/>
      <c r="JE307" s="9"/>
      <c r="JF307" s="9"/>
      <c r="JG307" s="9"/>
      <c r="JH307" s="9"/>
      <c r="JI307" s="9"/>
      <c r="JJ307" s="9"/>
      <c r="JK307" s="9"/>
      <c r="JL307" s="9"/>
      <c r="JM307" s="9"/>
      <c r="JN307" s="9"/>
      <c r="JO307" s="9"/>
      <c r="JP307" s="9"/>
      <c r="JQ307" s="9"/>
      <c r="JR307" s="9"/>
      <c r="JS307" s="9"/>
      <c r="JT307" s="9"/>
      <c r="JU307" s="9"/>
      <c r="JV307" s="9"/>
      <c r="JW307" s="9"/>
      <c r="JX307" s="9"/>
      <c r="JY307" s="9"/>
      <c r="JZ307" s="9"/>
      <c r="KA307" s="9"/>
      <c r="KB307" s="9"/>
      <c r="KC307" s="9"/>
      <c r="KD307" s="9"/>
      <c r="KE307" s="9"/>
      <c r="KF307" s="9"/>
      <c r="KG307" s="9"/>
      <c r="KH307" s="9"/>
      <c r="KI307" s="9"/>
      <c r="KJ307" s="9"/>
      <c r="KK307" s="9"/>
      <c r="KL307" s="9"/>
      <c r="KM307" s="9"/>
      <c r="KN307" s="9"/>
      <c r="KO307" s="9"/>
      <c r="KP307" s="9"/>
      <c r="KQ307" s="9"/>
      <c r="KR307" s="9"/>
      <c r="KS307" s="9"/>
      <c r="KT307" s="9"/>
      <c r="KU307" s="9"/>
      <c r="KV307" s="9"/>
      <c r="KW307" s="9"/>
      <c r="KX307" s="9"/>
      <c r="KY307" s="9"/>
      <c r="KZ307" s="9"/>
      <c r="LA307" s="9"/>
      <c r="LB307" s="9"/>
      <c r="LC307" s="9"/>
      <c r="LD307" s="9"/>
      <c r="LE307" s="9"/>
      <c r="LF307" s="9"/>
      <c r="LG307" s="9"/>
      <c r="LH307" s="9"/>
      <c r="LI307" s="9"/>
      <c r="LJ307" s="9"/>
      <c r="LK307" s="9"/>
      <c r="LL307" s="9"/>
      <c r="LM307" s="9"/>
      <c r="LN307" s="9"/>
      <c r="LO307" s="9"/>
      <c r="LP307" s="9"/>
      <c r="LQ307" s="9"/>
      <c r="LR307" s="9"/>
      <c r="LS307" s="9"/>
      <c r="LT307" s="9"/>
      <c r="LU307" s="9"/>
      <c r="LV307" s="9"/>
      <c r="LW307" s="9"/>
      <c r="LX307" s="9"/>
      <c r="LY307" s="9"/>
      <c r="LZ307" s="9"/>
      <c r="MA307" s="9"/>
      <c r="MB307" s="9"/>
      <c r="MC307" s="9"/>
      <c r="MD307" s="9"/>
      <c r="ME307" s="9"/>
      <c r="MF307" s="9"/>
      <c r="MG307" s="9"/>
      <c r="MH307" s="9"/>
      <c r="MI307" s="9"/>
      <c r="MJ307" s="9"/>
      <c r="MK307" s="9"/>
      <c r="ML307" s="9"/>
      <c r="MM307" s="9"/>
      <c r="MN307" s="9"/>
      <c r="MO307" s="9"/>
      <c r="MP307" s="9"/>
      <c r="MQ307" s="9"/>
      <c r="MR307" s="9"/>
      <c r="MS307" s="9"/>
      <c r="MT307" s="9"/>
      <c r="MU307" s="9"/>
      <c r="MV307" s="9"/>
      <c r="MW307" s="9"/>
      <c r="MX307" s="9"/>
      <c r="MY307" s="9"/>
      <c r="MZ307" s="9"/>
      <c r="NA307" s="9"/>
      <c r="NB307" s="9"/>
      <c r="NC307" s="9"/>
      <c r="ND307" s="9"/>
      <c r="NE307" s="9"/>
      <c r="NF307" s="9"/>
      <c r="NG307" s="9"/>
      <c r="NH307" s="9"/>
      <c r="NI307" s="9"/>
      <c r="NJ307" s="9"/>
      <c r="NK307" s="9"/>
      <c r="NL307" s="9"/>
      <c r="NM307" s="9"/>
      <c r="NN307" s="9"/>
      <c r="NO307" s="9"/>
      <c r="NP307" s="9"/>
      <c r="NQ307" s="9"/>
      <c r="NR307" s="9"/>
      <c r="NS307" s="9"/>
      <c r="NT307" s="9"/>
      <c r="NU307" s="9"/>
      <c r="NV307" s="9"/>
      <c r="NW307" s="9"/>
      <c r="NX307" s="9"/>
      <c r="NY307" s="9"/>
      <c r="NZ307" s="9"/>
      <c r="OA307" s="9"/>
      <c r="OB307" s="9"/>
      <c r="OC307" s="9"/>
      <c r="OD307" s="9"/>
      <c r="OE307" s="9"/>
      <c r="OF307" s="9"/>
      <c r="OG307" s="9"/>
      <c r="OH307" s="9"/>
      <c r="OI307" s="9"/>
      <c r="OJ307" s="9"/>
      <c r="OK307" s="9"/>
      <c r="OL307" s="9"/>
      <c r="OM307" s="9"/>
      <c r="ON307" s="9"/>
      <c r="OO307" s="9"/>
      <c r="OP307" s="9"/>
      <c r="OQ307" s="9"/>
      <c r="OR307" s="9"/>
      <c r="OS307" s="9"/>
      <c r="OT307" s="9"/>
      <c r="OU307" s="9"/>
      <c r="OV307" s="9"/>
      <c r="OW307" s="9"/>
      <c r="OX307" s="9"/>
      <c r="OY307" s="9"/>
      <c r="OZ307" s="9"/>
      <c r="PA307" s="9"/>
      <c r="PB307" s="9"/>
      <c r="PC307" s="9"/>
      <c r="PD307" s="9"/>
      <c r="PE307" s="9"/>
      <c r="PF307" s="9"/>
      <c r="PG307" s="9"/>
      <c r="PH307" s="9"/>
      <c r="PI307" s="9"/>
      <c r="PJ307" s="9"/>
      <c r="PK307" s="9"/>
      <c r="PL307" s="9"/>
      <c r="PM307" s="9"/>
      <c r="PN307" s="9"/>
      <c r="PO307" s="9"/>
      <c r="PP307" s="9"/>
      <c r="PQ307" s="9"/>
      <c r="PR307" s="9"/>
      <c r="PS307" s="9"/>
      <c r="PT307" s="9"/>
      <c r="PU307" s="9"/>
      <c r="PV307" s="9"/>
      <c r="PW307" s="9"/>
      <c r="PX307" s="9"/>
      <c r="PY307" s="9"/>
      <c r="PZ307" s="9"/>
      <c r="QA307" s="9"/>
      <c r="QB307" s="9"/>
      <c r="QC307" s="9"/>
      <c r="QD307" s="9"/>
      <c r="QE307" s="9"/>
      <c r="QF307" s="9"/>
      <c r="QG307" s="9"/>
      <c r="QH307" s="9"/>
      <c r="QI307" s="9"/>
      <c r="QJ307" s="9"/>
      <c r="QK307" s="9"/>
      <c r="QL307" s="9"/>
      <c r="QM307" s="9"/>
      <c r="QN307" s="9"/>
      <c r="QO307" s="9"/>
      <c r="QP307" s="9"/>
      <c r="QQ307" s="67"/>
      <c r="QR307" s="68"/>
      <c r="QS307" s="63"/>
      <c r="QT307" s="71"/>
    </row>
    <row r="308" spans="1:462" s="11" customFormat="1" x14ac:dyDescent="0.2">
      <c r="A308" s="9">
        <v>20</v>
      </c>
      <c r="B308" s="9"/>
      <c r="C308" s="9"/>
      <c r="D308" s="9" t="s">
        <v>106</v>
      </c>
      <c r="E308" s="65" t="s">
        <v>182</v>
      </c>
      <c r="F308" s="65"/>
      <c r="G308" s="92" t="s">
        <v>2291</v>
      </c>
      <c r="H308" s="66" t="s">
        <v>1191</v>
      </c>
      <c r="I308" s="9" t="s">
        <v>1101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 t="s">
        <v>1101</v>
      </c>
      <c r="EN308" s="9"/>
      <c r="EO308" s="9" t="s">
        <v>1101</v>
      </c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  <c r="GA308" s="9"/>
      <c r="GB308" s="9"/>
      <c r="GC308" s="9"/>
      <c r="GD308" s="9"/>
      <c r="GE308" s="9"/>
      <c r="GF308" s="9"/>
      <c r="GG308" s="9"/>
      <c r="GH308" s="9"/>
      <c r="GI308" s="9"/>
      <c r="GJ308" s="9"/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9"/>
      <c r="GY308" s="9"/>
      <c r="GZ308" s="9"/>
      <c r="HA308" s="9"/>
      <c r="HB308" s="9"/>
      <c r="HC308" s="9"/>
      <c r="HD308" s="9"/>
      <c r="HE308" s="9"/>
      <c r="HF308" s="9"/>
      <c r="HG308" s="9"/>
      <c r="HH308" s="9"/>
      <c r="HI308" s="9"/>
      <c r="HJ308" s="9"/>
      <c r="HK308" s="9"/>
      <c r="HL308" s="9"/>
      <c r="HM308" s="9"/>
      <c r="HN308" s="9"/>
      <c r="HO308" s="9"/>
      <c r="HP308" s="9"/>
      <c r="HQ308" s="9"/>
      <c r="HR308" s="9"/>
      <c r="HS308" s="9"/>
      <c r="HT308" s="9"/>
      <c r="HU308" s="9"/>
      <c r="HV308" s="9"/>
      <c r="HW308" s="9"/>
      <c r="HX308" s="9"/>
      <c r="HY308" s="9"/>
      <c r="HZ308" s="9"/>
      <c r="IA308" s="9"/>
      <c r="IB308" s="9"/>
      <c r="IC308" s="9"/>
      <c r="ID308" s="9"/>
      <c r="IE308" s="9"/>
      <c r="IF308" s="9"/>
      <c r="IG308" s="9"/>
      <c r="IH308" s="9"/>
      <c r="II308" s="9"/>
      <c r="IJ308" s="9"/>
      <c r="IK308" s="9"/>
      <c r="IL308" s="9"/>
      <c r="IM308" s="9"/>
      <c r="IN308" s="9"/>
      <c r="IO308" s="9"/>
      <c r="IP308" s="9"/>
      <c r="IQ308" s="9"/>
      <c r="IR308" s="9"/>
      <c r="IS308" s="9"/>
      <c r="IT308" s="9"/>
      <c r="IU308" s="9"/>
      <c r="IV308" s="9"/>
      <c r="IW308" s="9"/>
      <c r="IX308" s="9"/>
      <c r="IY308" s="9"/>
      <c r="IZ308" s="9"/>
      <c r="JA308" s="9"/>
      <c r="JB308" s="9"/>
      <c r="JC308" s="9"/>
      <c r="JD308" s="9"/>
      <c r="JE308" s="9"/>
      <c r="JF308" s="9"/>
      <c r="JG308" s="9"/>
      <c r="JH308" s="9"/>
      <c r="JI308" s="9"/>
      <c r="JJ308" s="9"/>
      <c r="JK308" s="9"/>
      <c r="JL308" s="9"/>
      <c r="JM308" s="9"/>
      <c r="JN308" s="9"/>
      <c r="JO308" s="9"/>
      <c r="JP308" s="9"/>
      <c r="JQ308" s="9"/>
      <c r="JR308" s="9"/>
      <c r="JS308" s="9"/>
      <c r="JT308" s="9"/>
      <c r="JU308" s="9"/>
      <c r="JV308" s="9"/>
      <c r="JW308" s="9"/>
      <c r="JX308" s="9"/>
      <c r="JY308" s="9"/>
      <c r="JZ308" s="9"/>
      <c r="KA308" s="9"/>
      <c r="KB308" s="9"/>
      <c r="KC308" s="9"/>
      <c r="KD308" s="9"/>
      <c r="KE308" s="9"/>
      <c r="KF308" s="9"/>
      <c r="KG308" s="9"/>
      <c r="KH308" s="9"/>
      <c r="KI308" s="9"/>
      <c r="KJ308" s="9"/>
      <c r="KK308" s="9"/>
      <c r="KL308" s="9"/>
      <c r="KM308" s="9"/>
      <c r="KN308" s="9"/>
      <c r="KO308" s="9"/>
      <c r="KP308" s="9"/>
      <c r="KQ308" s="9"/>
      <c r="KR308" s="9"/>
      <c r="KS308" s="9"/>
      <c r="KT308" s="9"/>
      <c r="KU308" s="9"/>
      <c r="KV308" s="9"/>
      <c r="KW308" s="9"/>
      <c r="KX308" s="9"/>
      <c r="KY308" s="9"/>
      <c r="KZ308" s="9"/>
      <c r="LA308" s="9"/>
      <c r="LB308" s="9"/>
      <c r="LC308" s="9"/>
      <c r="LD308" s="9"/>
      <c r="LE308" s="9"/>
      <c r="LF308" s="9"/>
      <c r="LG308" s="9"/>
      <c r="LH308" s="9"/>
      <c r="LI308" s="9"/>
      <c r="LJ308" s="9"/>
      <c r="LK308" s="9"/>
      <c r="LL308" s="9"/>
      <c r="LM308" s="9"/>
      <c r="LN308" s="9"/>
      <c r="LO308" s="9"/>
      <c r="LP308" s="9"/>
      <c r="LQ308" s="9"/>
      <c r="LR308" s="9"/>
      <c r="LS308" s="9"/>
      <c r="LT308" s="9"/>
      <c r="LU308" s="9"/>
      <c r="LV308" s="9"/>
      <c r="LW308" s="9"/>
      <c r="LX308" s="9"/>
      <c r="LY308" s="9"/>
      <c r="LZ308" s="9"/>
      <c r="MA308" s="9"/>
      <c r="MB308" s="9"/>
      <c r="MC308" s="9"/>
      <c r="MD308" s="9"/>
      <c r="ME308" s="9"/>
      <c r="MF308" s="9"/>
      <c r="MG308" s="9"/>
      <c r="MH308" s="9"/>
      <c r="MI308" s="9"/>
      <c r="MJ308" s="9"/>
      <c r="MK308" s="9"/>
      <c r="ML308" s="9"/>
      <c r="MM308" s="9"/>
      <c r="MN308" s="9"/>
      <c r="MO308" s="9"/>
      <c r="MP308" s="9"/>
      <c r="MQ308" s="9"/>
      <c r="MR308" s="9"/>
      <c r="MS308" s="9"/>
      <c r="MT308" s="9"/>
      <c r="MU308" s="9"/>
      <c r="MV308" s="9"/>
      <c r="MW308" s="9"/>
      <c r="MX308" s="9"/>
      <c r="MY308" s="9"/>
      <c r="MZ308" s="9"/>
      <c r="NA308" s="9"/>
      <c r="NB308" s="9"/>
      <c r="NC308" s="9"/>
      <c r="ND308" s="9"/>
      <c r="NE308" s="9"/>
      <c r="NF308" s="9"/>
      <c r="NG308" s="9"/>
      <c r="NH308" s="9"/>
      <c r="NI308" s="9"/>
      <c r="NJ308" s="9"/>
      <c r="NK308" s="9"/>
      <c r="NL308" s="9"/>
      <c r="NM308" s="9"/>
      <c r="NN308" s="9"/>
      <c r="NO308" s="9"/>
      <c r="NP308" s="9"/>
      <c r="NQ308" s="9"/>
      <c r="NR308" s="9"/>
      <c r="NS308" s="9"/>
      <c r="NT308" s="9"/>
      <c r="NU308" s="9"/>
      <c r="NV308" s="9"/>
      <c r="NW308" s="9"/>
      <c r="NX308" s="9"/>
      <c r="NY308" s="9"/>
      <c r="NZ308" s="9"/>
      <c r="OA308" s="9"/>
      <c r="OB308" s="9"/>
      <c r="OC308" s="9"/>
      <c r="OD308" s="9"/>
      <c r="OE308" s="9"/>
      <c r="OF308" s="9"/>
      <c r="OG308" s="9"/>
      <c r="OH308" s="9"/>
      <c r="OI308" s="9"/>
      <c r="OJ308" s="9"/>
      <c r="OK308" s="9"/>
      <c r="OL308" s="9"/>
      <c r="OM308" s="9"/>
      <c r="ON308" s="9"/>
      <c r="OO308" s="9"/>
      <c r="OP308" s="9"/>
      <c r="OQ308" s="9"/>
      <c r="OR308" s="9"/>
      <c r="OS308" s="9"/>
      <c r="OT308" s="9"/>
      <c r="OU308" s="9"/>
      <c r="OV308" s="9"/>
      <c r="OW308" s="9"/>
      <c r="OX308" s="9"/>
      <c r="OY308" s="9"/>
      <c r="OZ308" s="9"/>
      <c r="PA308" s="9"/>
      <c r="PB308" s="9"/>
      <c r="PC308" s="9"/>
      <c r="PD308" s="9"/>
      <c r="PE308" s="9"/>
      <c r="PF308" s="9"/>
      <c r="PG308" s="9"/>
      <c r="PH308" s="9"/>
      <c r="PI308" s="9"/>
      <c r="PJ308" s="9"/>
      <c r="PK308" s="9"/>
      <c r="PL308" s="9"/>
      <c r="PM308" s="9"/>
      <c r="PN308" s="9"/>
      <c r="PO308" s="9"/>
      <c r="PP308" s="9"/>
      <c r="PQ308" s="9"/>
      <c r="PR308" s="9"/>
      <c r="PS308" s="9"/>
      <c r="PT308" s="9"/>
      <c r="PU308" s="9"/>
      <c r="PV308" s="9"/>
      <c r="PW308" s="9"/>
      <c r="PX308" s="9"/>
      <c r="PY308" s="9"/>
      <c r="PZ308" s="9"/>
      <c r="QA308" s="9"/>
      <c r="QB308" s="9"/>
      <c r="QC308" s="9"/>
      <c r="QD308" s="9"/>
      <c r="QE308" s="9"/>
      <c r="QF308" s="9"/>
      <c r="QG308" s="9"/>
      <c r="QH308" s="9"/>
      <c r="QI308" s="9"/>
      <c r="QJ308" s="9"/>
      <c r="QK308" s="9"/>
      <c r="QL308" s="9"/>
      <c r="QM308" s="9"/>
      <c r="QN308" s="9"/>
      <c r="QO308" s="9"/>
      <c r="QP308" s="9"/>
      <c r="QQ308" s="67"/>
      <c r="QR308" s="68"/>
      <c r="QS308" s="63"/>
      <c r="QT308" s="71"/>
    </row>
    <row r="309" spans="1:462" s="11" customFormat="1" x14ac:dyDescent="0.2">
      <c r="A309" s="9">
        <v>20</v>
      </c>
      <c r="B309" s="9"/>
      <c r="C309" s="9"/>
      <c r="D309" s="9" t="s">
        <v>107</v>
      </c>
      <c r="E309" s="65" t="s">
        <v>183</v>
      </c>
      <c r="F309" s="65"/>
      <c r="G309" s="92" t="s">
        <v>2292</v>
      </c>
      <c r="H309" s="66" t="s">
        <v>1192</v>
      </c>
      <c r="I309" s="9" t="s">
        <v>1101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 t="s">
        <v>1101</v>
      </c>
      <c r="EN309" s="9"/>
      <c r="EO309" s="9" t="s">
        <v>1101</v>
      </c>
      <c r="EP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E309" s="9"/>
      <c r="FF309" s="9"/>
      <c r="FG309" s="9"/>
      <c r="FH309" s="9"/>
      <c r="FI309" s="9"/>
      <c r="FJ309" s="9"/>
      <c r="FK309" s="9"/>
      <c r="FL309" s="9"/>
      <c r="FM309" s="9"/>
      <c r="FN309" s="9"/>
      <c r="FO309" s="9"/>
      <c r="FP309" s="9"/>
      <c r="FQ309" s="9"/>
      <c r="FR309" s="9"/>
      <c r="FS309" s="9"/>
      <c r="FT309" s="9"/>
      <c r="FU309" s="9"/>
      <c r="FV309" s="9"/>
      <c r="FW309" s="9"/>
      <c r="FX309" s="9"/>
      <c r="FY309" s="9"/>
      <c r="FZ309" s="9"/>
      <c r="GA309" s="9"/>
      <c r="GB309" s="9"/>
      <c r="GC309" s="9"/>
      <c r="GD309" s="9"/>
      <c r="GE309" s="9"/>
      <c r="GF309" s="9"/>
      <c r="GG309" s="9"/>
      <c r="GH309" s="9"/>
      <c r="GI309" s="9"/>
      <c r="GJ309" s="9"/>
      <c r="GK309" s="9"/>
      <c r="GL309" s="9"/>
      <c r="GM309" s="9"/>
      <c r="GN309" s="9"/>
      <c r="GO309" s="9"/>
      <c r="GP309" s="9"/>
      <c r="GQ309" s="9"/>
      <c r="GR309" s="9"/>
      <c r="GS309" s="9"/>
      <c r="GT309" s="9"/>
      <c r="GU309" s="9"/>
      <c r="GV309" s="9"/>
      <c r="GW309" s="9"/>
      <c r="GX309" s="9"/>
      <c r="GY309" s="9"/>
      <c r="GZ309" s="9"/>
      <c r="HA309" s="9"/>
      <c r="HB309" s="9"/>
      <c r="HC309" s="9"/>
      <c r="HD309" s="9"/>
      <c r="HE309" s="9"/>
      <c r="HF309" s="9"/>
      <c r="HG309" s="9"/>
      <c r="HH309" s="9"/>
      <c r="HI309" s="9"/>
      <c r="HJ309" s="9"/>
      <c r="HK309" s="9"/>
      <c r="HL309" s="9"/>
      <c r="HM309" s="9"/>
      <c r="HN309" s="9"/>
      <c r="HO309" s="9"/>
      <c r="HP309" s="9"/>
      <c r="HQ309" s="9"/>
      <c r="HR309" s="9"/>
      <c r="HS309" s="9"/>
      <c r="HT309" s="9"/>
      <c r="HU309" s="9"/>
      <c r="HV309" s="9"/>
      <c r="HW309" s="9"/>
      <c r="HX309" s="9"/>
      <c r="HY309" s="9"/>
      <c r="HZ309" s="9"/>
      <c r="IA309" s="9"/>
      <c r="IB309" s="9"/>
      <c r="IC309" s="9"/>
      <c r="ID309" s="9"/>
      <c r="IE309" s="9"/>
      <c r="IF309" s="9"/>
      <c r="IG309" s="9"/>
      <c r="IH309" s="9"/>
      <c r="II309" s="9"/>
      <c r="IJ309" s="9"/>
      <c r="IK309" s="9"/>
      <c r="IL309" s="9"/>
      <c r="IM309" s="9"/>
      <c r="IN309" s="9"/>
      <c r="IO309" s="9"/>
      <c r="IP309" s="9"/>
      <c r="IQ309" s="9"/>
      <c r="IR309" s="9"/>
      <c r="IS309" s="9"/>
      <c r="IT309" s="9"/>
      <c r="IU309" s="9"/>
      <c r="IV309" s="9"/>
      <c r="IW309" s="9"/>
      <c r="IX309" s="9"/>
      <c r="IY309" s="9"/>
      <c r="IZ309" s="9"/>
      <c r="JA309" s="9"/>
      <c r="JB309" s="9"/>
      <c r="JC309" s="9"/>
      <c r="JD309" s="9"/>
      <c r="JE309" s="9"/>
      <c r="JF309" s="9"/>
      <c r="JG309" s="9"/>
      <c r="JH309" s="9"/>
      <c r="JI309" s="9"/>
      <c r="JJ309" s="9"/>
      <c r="JK309" s="9"/>
      <c r="JL309" s="9"/>
      <c r="JM309" s="9"/>
      <c r="JN309" s="9"/>
      <c r="JO309" s="9"/>
      <c r="JP309" s="9"/>
      <c r="JQ309" s="9"/>
      <c r="JR309" s="9"/>
      <c r="JS309" s="9"/>
      <c r="JT309" s="9"/>
      <c r="JU309" s="9"/>
      <c r="JV309" s="9"/>
      <c r="JW309" s="9"/>
      <c r="JX309" s="9"/>
      <c r="JY309" s="9"/>
      <c r="JZ309" s="9"/>
      <c r="KA309" s="9"/>
      <c r="KB309" s="9"/>
      <c r="KC309" s="9"/>
      <c r="KD309" s="9"/>
      <c r="KE309" s="9"/>
      <c r="KF309" s="9"/>
      <c r="KG309" s="9"/>
      <c r="KH309" s="9"/>
      <c r="KI309" s="9"/>
      <c r="KJ309" s="9"/>
      <c r="KK309" s="9"/>
      <c r="KL309" s="9"/>
      <c r="KM309" s="9"/>
      <c r="KN309" s="9"/>
      <c r="KO309" s="9"/>
      <c r="KP309" s="9"/>
      <c r="KQ309" s="9"/>
      <c r="KR309" s="9"/>
      <c r="KS309" s="9"/>
      <c r="KT309" s="9"/>
      <c r="KU309" s="9"/>
      <c r="KV309" s="9"/>
      <c r="KW309" s="9"/>
      <c r="KX309" s="9"/>
      <c r="KY309" s="9"/>
      <c r="KZ309" s="9"/>
      <c r="LA309" s="9"/>
      <c r="LB309" s="9"/>
      <c r="LC309" s="9"/>
      <c r="LD309" s="9"/>
      <c r="LE309" s="9"/>
      <c r="LF309" s="9"/>
      <c r="LG309" s="9"/>
      <c r="LH309" s="9"/>
      <c r="LI309" s="9"/>
      <c r="LJ309" s="9"/>
      <c r="LK309" s="9"/>
      <c r="LL309" s="9"/>
      <c r="LM309" s="9"/>
      <c r="LN309" s="9"/>
      <c r="LO309" s="9"/>
      <c r="LP309" s="9"/>
      <c r="LQ309" s="9"/>
      <c r="LR309" s="9"/>
      <c r="LS309" s="9"/>
      <c r="LT309" s="9"/>
      <c r="LU309" s="9"/>
      <c r="LV309" s="9"/>
      <c r="LW309" s="9"/>
      <c r="LX309" s="9"/>
      <c r="LY309" s="9"/>
      <c r="LZ309" s="9"/>
      <c r="MA309" s="9"/>
      <c r="MB309" s="9"/>
      <c r="MC309" s="9"/>
      <c r="MD309" s="9"/>
      <c r="ME309" s="9"/>
      <c r="MF309" s="9"/>
      <c r="MG309" s="9"/>
      <c r="MH309" s="9"/>
      <c r="MI309" s="9"/>
      <c r="MJ309" s="9"/>
      <c r="MK309" s="9"/>
      <c r="ML309" s="9"/>
      <c r="MM309" s="9"/>
      <c r="MN309" s="9"/>
      <c r="MO309" s="9"/>
      <c r="MP309" s="9"/>
      <c r="MQ309" s="9"/>
      <c r="MR309" s="9"/>
      <c r="MS309" s="9"/>
      <c r="MT309" s="9"/>
      <c r="MU309" s="9"/>
      <c r="MV309" s="9"/>
      <c r="MW309" s="9"/>
      <c r="MX309" s="9"/>
      <c r="MY309" s="9"/>
      <c r="MZ309" s="9"/>
      <c r="NA309" s="9"/>
      <c r="NB309" s="9"/>
      <c r="NC309" s="9"/>
      <c r="ND309" s="9"/>
      <c r="NE309" s="9"/>
      <c r="NF309" s="9"/>
      <c r="NG309" s="9"/>
      <c r="NH309" s="9"/>
      <c r="NI309" s="9"/>
      <c r="NJ309" s="9"/>
      <c r="NK309" s="9"/>
      <c r="NL309" s="9"/>
      <c r="NM309" s="9"/>
      <c r="NN309" s="9"/>
      <c r="NO309" s="9"/>
      <c r="NP309" s="9"/>
      <c r="NQ309" s="9"/>
      <c r="NR309" s="9"/>
      <c r="NS309" s="9"/>
      <c r="NT309" s="9"/>
      <c r="NU309" s="9"/>
      <c r="NV309" s="9"/>
      <c r="NW309" s="9"/>
      <c r="NX309" s="9"/>
      <c r="NY309" s="9"/>
      <c r="NZ309" s="9"/>
      <c r="OA309" s="9"/>
      <c r="OB309" s="9"/>
      <c r="OC309" s="9"/>
      <c r="OD309" s="9"/>
      <c r="OE309" s="9"/>
      <c r="OF309" s="9"/>
      <c r="OG309" s="9"/>
      <c r="OH309" s="9"/>
      <c r="OI309" s="9"/>
      <c r="OJ309" s="9"/>
      <c r="OK309" s="9"/>
      <c r="OL309" s="9"/>
      <c r="OM309" s="9"/>
      <c r="ON309" s="9"/>
      <c r="OO309" s="9"/>
      <c r="OP309" s="9"/>
      <c r="OQ309" s="9"/>
      <c r="OR309" s="9"/>
      <c r="OS309" s="9"/>
      <c r="OT309" s="9"/>
      <c r="OU309" s="9"/>
      <c r="OV309" s="9"/>
      <c r="OW309" s="9"/>
      <c r="OX309" s="9"/>
      <c r="OY309" s="9"/>
      <c r="OZ309" s="9"/>
      <c r="PA309" s="9"/>
      <c r="PB309" s="9"/>
      <c r="PC309" s="9"/>
      <c r="PD309" s="9"/>
      <c r="PE309" s="9"/>
      <c r="PF309" s="9"/>
      <c r="PG309" s="9"/>
      <c r="PH309" s="9"/>
      <c r="PI309" s="9"/>
      <c r="PJ309" s="9"/>
      <c r="PK309" s="9"/>
      <c r="PL309" s="9"/>
      <c r="PM309" s="9"/>
      <c r="PN309" s="9"/>
      <c r="PO309" s="9"/>
      <c r="PP309" s="9"/>
      <c r="PQ309" s="9"/>
      <c r="PR309" s="9"/>
      <c r="PS309" s="9"/>
      <c r="PT309" s="9"/>
      <c r="PU309" s="9"/>
      <c r="PV309" s="9"/>
      <c r="PW309" s="9"/>
      <c r="PX309" s="9"/>
      <c r="PY309" s="9"/>
      <c r="PZ309" s="9"/>
      <c r="QA309" s="9"/>
      <c r="QB309" s="9"/>
      <c r="QC309" s="9"/>
      <c r="QD309" s="9"/>
      <c r="QE309" s="9"/>
      <c r="QF309" s="9"/>
      <c r="QG309" s="9"/>
      <c r="QH309" s="9"/>
      <c r="QI309" s="9"/>
      <c r="QJ309" s="9"/>
      <c r="QK309" s="9"/>
      <c r="QL309" s="9"/>
      <c r="QM309" s="9"/>
      <c r="QN309" s="9"/>
      <c r="QO309" s="9"/>
      <c r="QP309" s="9"/>
      <c r="QQ309" s="67"/>
      <c r="QR309" s="68"/>
      <c r="QS309" s="63"/>
      <c r="QT309" s="71"/>
    </row>
    <row r="310" spans="1:462" s="11" customFormat="1" x14ac:dyDescent="0.2">
      <c r="A310" s="9">
        <v>20</v>
      </c>
      <c r="B310" s="9"/>
      <c r="C310" s="9"/>
      <c r="D310" s="9" t="s">
        <v>396</v>
      </c>
      <c r="E310" s="65" t="s">
        <v>518</v>
      </c>
      <c r="F310" s="65"/>
      <c r="G310" s="92" t="s">
        <v>2293</v>
      </c>
      <c r="H310" s="66" t="s">
        <v>1193</v>
      </c>
      <c r="I310" s="9" t="s">
        <v>1101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 t="s">
        <v>1101</v>
      </c>
      <c r="EN310" s="9"/>
      <c r="EO310" s="9" t="s">
        <v>1101</v>
      </c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9"/>
      <c r="FS310" s="9"/>
      <c r="FT310" s="9"/>
      <c r="FU310" s="9"/>
      <c r="FV310" s="9"/>
      <c r="FW310" s="9"/>
      <c r="FX310" s="9"/>
      <c r="FY310" s="9"/>
      <c r="FZ310" s="9"/>
      <c r="GA310" s="9"/>
      <c r="GB310" s="9"/>
      <c r="GC310" s="9"/>
      <c r="GD310" s="9"/>
      <c r="GE310" s="9"/>
      <c r="GF310" s="9"/>
      <c r="GG310" s="9"/>
      <c r="GH310" s="9"/>
      <c r="GI310" s="9"/>
      <c r="GJ310" s="9"/>
      <c r="GK310" s="9"/>
      <c r="GL310" s="9"/>
      <c r="GM310" s="9"/>
      <c r="GN310" s="9"/>
      <c r="GO310" s="9"/>
      <c r="GP310" s="9"/>
      <c r="GQ310" s="9"/>
      <c r="GR310" s="9"/>
      <c r="GS310" s="9"/>
      <c r="GT310" s="9"/>
      <c r="GU310" s="9"/>
      <c r="GV310" s="9"/>
      <c r="GW310" s="9"/>
      <c r="GX310" s="9"/>
      <c r="GY310" s="9"/>
      <c r="GZ310" s="9"/>
      <c r="HA310" s="9"/>
      <c r="HB310" s="9"/>
      <c r="HC310" s="9"/>
      <c r="HD310" s="9"/>
      <c r="HE310" s="9"/>
      <c r="HF310" s="9"/>
      <c r="HG310" s="9"/>
      <c r="HH310" s="9"/>
      <c r="HI310" s="9"/>
      <c r="HJ310" s="9"/>
      <c r="HK310" s="9"/>
      <c r="HL310" s="9"/>
      <c r="HM310" s="9"/>
      <c r="HN310" s="9"/>
      <c r="HO310" s="9"/>
      <c r="HP310" s="9"/>
      <c r="HQ310" s="9"/>
      <c r="HR310" s="9"/>
      <c r="HS310" s="9"/>
      <c r="HT310" s="9"/>
      <c r="HU310" s="9"/>
      <c r="HV310" s="9"/>
      <c r="HW310" s="9"/>
      <c r="HX310" s="9"/>
      <c r="HY310" s="9"/>
      <c r="HZ310" s="9"/>
      <c r="IA310" s="9"/>
      <c r="IB310" s="9"/>
      <c r="IC310" s="9"/>
      <c r="ID310" s="9"/>
      <c r="IE310" s="9"/>
      <c r="IF310" s="9"/>
      <c r="IG310" s="9"/>
      <c r="IH310" s="9"/>
      <c r="II310" s="9"/>
      <c r="IJ310" s="9"/>
      <c r="IK310" s="9"/>
      <c r="IL310" s="9"/>
      <c r="IM310" s="9"/>
      <c r="IN310" s="9"/>
      <c r="IO310" s="9"/>
      <c r="IP310" s="9"/>
      <c r="IQ310" s="9"/>
      <c r="IR310" s="9"/>
      <c r="IS310" s="9"/>
      <c r="IT310" s="9"/>
      <c r="IU310" s="9"/>
      <c r="IV310" s="9"/>
      <c r="IW310" s="9"/>
      <c r="IX310" s="9"/>
      <c r="IY310" s="9"/>
      <c r="IZ310" s="9"/>
      <c r="JA310" s="9"/>
      <c r="JB310" s="9"/>
      <c r="JC310" s="9"/>
      <c r="JD310" s="9"/>
      <c r="JE310" s="9"/>
      <c r="JF310" s="9"/>
      <c r="JG310" s="9"/>
      <c r="JH310" s="9"/>
      <c r="JI310" s="9"/>
      <c r="JJ310" s="9"/>
      <c r="JK310" s="9"/>
      <c r="JL310" s="9"/>
      <c r="JM310" s="9"/>
      <c r="JN310" s="9"/>
      <c r="JO310" s="9"/>
      <c r="JP310" s="9"/>
      <c r="JQ310" s="9"/>
      <c r="JR310" s="9"/>
      <c r="JS310" s="9"/>
      <c r="JT310" s="9"/>
      <c r="JU310" s="9"/>
      <c r="JV310" s="9"/>
      <c r="JW310" s="9"/>
      <c r="JX310" s="9"/>
      <c r="JY310" s="9"/>
      <c r="JZ310" s="9"/>
      <c r="KA310" s="9"/>
      <c r="KB310" s="9"/>
      <c r="KC310" s="9"/>
      <c r="KD310" s="9"/>
      <c r="KE310" s="9"/>
      <c r="KF310" s="9"/>
      <c r="KG310" s="9"/>
      <c r="KH310" s="9"/>
      <c r="KI310" s="9"/>
      <c r="KJ310" s="9"/>
      <c r="KK310" s="9"/>
      <c r="KL310" s="9"/>
      <c r="KM310" s="9"/>
      <c r="KN310" s="9"/>
      <c r="KO310" s="9"/>
      <c r="KP310" s="9"/>
      <c r="KQ310" s="9"/>
      <c r="KR310" s="9"/>
      <c r="KS310" s="9"/>
      <c r="KT310" s="9"/>
      <c r="KU310" s="9"/>
      <c r="KV310" s="9"/>
      <c r="KW310" s="9"/>
      <c r="KX310" s="9"/>
      <c r="KY310" s="9"/>
      <c r="KZ310" s="9"/>
      <c r="LA310" s="9"/>
      <c r="LB310" s="9"/>
      <c r="LC310" s="9"/>
      <c r="LD310" s="9"/>
      <c r="LE310" s="9"/>
      <c r="LF310" s="9"/>
      <c r="LG310" s="9"/>
      <c r="LH310" s="9"/>
      <c r="LI310" s="9"/>
      <c r="LJ310" s="9"/>
      <c r="LK310" s="9"/>
      <c r="LL310" s="9"/>
      <c r="LM310" s="9"/>
      <c r="LN310" s="9"/>
      <c r="LO310" s="9"/>
      <c r="LP310" s="9"/>
      <c r="LQ310" s="9"/>
      <c r="LR310" s="9"/>
      <c r="LS310" s="9"/>
      <c r="LT310" s="9"/>
      <c r="LU310" s="9"/>
      <c r="LV310" s="9"/>
      <c r="LW310" s="9"/>
      <c r="LX310" s="9"/>
      <c r="LY310" s="9"/>
      <c r="LZ310" s="9"/>
      <c r="MA310" s="9"/>
      <c r="MB310" s="9"/>
      <c r="MC310" s="9"/>
      <c r="MD310" s="9"/>
      <c r="ME310" s="9"/>
      <c r="MF310" s="9"/>
      <c r="MG310" s="9"/>
      <c r="MH310" s="9"/>
      <c r="MI310" s="9"/>
      <c r="MJ310" s="9"/>
      <c r="MK310" s="9"/>
      <c r="ML310" s="9"/>
      <c r="MM310" s="9"/>
      <c r="MN310" s="9"/>
      <c r="MO310" s="9"/>
      <c r="MP310" s="9"/>
      <c r="MQ310" s="9"/>
      <c r="MR310" s="9"/>
      <c r="MS310" s="9"/>
      <c r="MT310" s="9"/>
      <c r="MU310" s="9"/>
      <c r="MV310" s="9"/>
      <c r="MW310" s="9"/>
      <c r="MX310" s="9"/>
      <c r="MY310" s="9"/>
      <c r="MZ310" s="9"/>
      <c r="NA310" s="9"/>
      <c r="NB310" s="9"/>
      <c r="NC310" s="9"/>
      <c r="ND310" s="9"/>
      <c r="NE310" s="9"/>
      <c r="NF310" s="9"/>
      <c r="NG310" s="9"/>
      <c r="NH310" s="9"/>
      <c r="NI310" s="9"/>
      <c r="NJ310" s="9"/>
      <c r="NK310" s="9"/>
      <c r="NL310" s="9"/>
      <c r="NM310" s="9"/>
      <c r="NN310" s="9"/>
      <c r="NO310" s="9"/>
      <c r="NP310" s="9"/>
      <c r="NQ310" s="9"/>
      <c r="NR310" s="9"/>
      <c r="NS310" s="9"/>
      <c r="NT310" s="9"/>
      <c r="NU310" s="9"/>
      <c r="NV310" s="9"/>
      <c r="NW310" s="9"/>
      <c r="NX310" s="9"/>
      <c r="NY310" s="9"/>
      <c r="NZ310" s="9"/>
      <c r="OA310" s="9"/>
      <c r="OB310" s="9"/>
      <c r="OC310" s="9"/>
      <c r="OD310" s="9"/>
      <c r="OE310" s="9"/>
      <c r="OF310" s="9"/>
      <c r="OG310" s="9"/>
      <c r="OH310" s="9"/>
      <c r="OI310" s="9"/>
      <c r="OJ310" s="9"/>
      <c r="OK310" s="9"/>
      <c r="OL310" s="9"/>
      <c r="OM310" s="9"/>
      <c r="ON310" s="9"/>
      <c r="OO310" s="9"/>
      <c r="OP310" s="9"/>
      <c r="OQ310" s="9"/>
      <c r="OR310" s="9"/>
      <c r="OS310" s="9"/>
      <c r="OT310" s="9"/>
      <c r="OU310" s="9"/>
      <c r="OV310" s="9"/>
      <c r="OW310" s="9"/>
      <c r="OX310" s="9"/>
      <c r="OY310" s="9"/>
      <c r="OZ310" s="9"/>
      <c r="PA310" s="9"/>
      <c r="PB310" s="9"/>
      <c r="PC310" s="9"/>
      <c r="PD310" s="9"/>
      <c r="PE310" s="9"/>
      <c r="PF310" s="9"/>
      <c r="PG310" s="9"/>
      <c r="PH310" s="9"/>
      <c r="PI310" s="9"/>
      <c r="PJ310" s="9"/>
      <c r="PK310" s="9"/>
      <c r="PL310" s="9"/>
      <c r="PM310" s="9"/>
      <c r="PN310" s="9"/>
      <c r="PO310" s="9"/>
      <c r="PP310" s="9"/>
      <c r="PQ310" s="9"/>
      <c r="PR310" s="9"/>
      <c r="PS310" s="9"/>
      <c r="PT310" s="9"/>
      <c r="PU310" s="9"/>
      <c r="PV310" s="9"/>
      <c r="PW310" s="9"/>
      <c r="PX310" s="9"/>
      <c r="PY310" s="9"/>
      <c r="PZ310" s="9"/>
      <c r="QA310" s="9"/>
      <c r="QB310" s="9"/>
      <c r="QC310" s="9"/>
      <c r="QD310" s="9"/>
      <c r="QE310" s="9"/>
      <c r="QF310" s="9"/>
      <c r="QG310" s="9"/>
      <c r="QH310" s="9"/>
      <c r="QI310" s="9"/>
      <c r="QJ310" s="9"/>
      <c r="QK310" s="9"/>
      <c r="QL310" s="9"/>
      <c r="QM310" s="9"/>
      <c r="QN310" s="9"/>
      <c r="QO310" s="9"/>
      <c r="QP310" s="9"/>
      <c r="QQ310" s="67"/>
      <c r="QR310" s="68"/>
      <c r="QS310" s="63"/>
      <c r="QT310" s="71"/>
    </row>
    <row r="311" spans="1:462" s="11" customFormat="1" x14ac:dyDescent="0.2">
      <c r="A311" s="9">
        <v>20</v>
      </c>
      <c r="B311" s="9"/>
      <c r="C311" s="9"/>
      <c r="D311" s="9" t="s">
        <v>397</v>
      </c>
      <c r="E311" s="65" t="s">
        <v>518</v>
      </c>
      <c r="F311" s="65"/>
      <c r="G311" s="92" t="s">
        <v>2294</v>
      </c>
      <c r="H311" s="66" t="s">
        <v>1194</v>
      </c>
      <c r="I311" s="9" t="s">
        <v>1101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 t="s">
        <v>1101</v>
      </c>
      <c r="EN311" s="9"/>
      <c r="EO311" s="9" t="s">
        <v>1101</v>
      </c>
      <c r="EP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E311" s="9"/>
      <c r="FF311" s="9"/>
      <c r="FG311" s="9"/>
      <c r="FH311" s="9"/>
      <c r="FI311" s="9"/>
      <c r="FJ311" s="9"/>
      <c r="FK311" s="9"/>
      <c r="FL311" s="9"/>
      <c r="FM311" s="9"/>
      <c r="FN311" s="9"/>
      <c r="FO311" s="9"/>
      <c r="FP311" s="9"/>
      <c r="FQ311" s="9"/>
      <c r="FR311" s="9"/>
      <c r="FS311" s="9"/>
      <c r="FT311" s="9"/>
      <c r="FU311" s="9"/>
      <c r="FV311" s="9"/>
      <c r="FW311" s="9"/>
      <c r="FX311" s="9"/>
      <c r="FY311" s="9"/>
      <c r="FZ311" s="9"/>
      <c r="GA311" s="9"/>
      <c r="GB311" s="9"/>
      <c r="GC311" s="9"/>
      <c r="GD311" s="9"/>
      <c r="GE311" s="9"/>
      <c r="GF311" s="9"/>
      <c r="GG311" s="9"/>
      <c r="GH311" s="9"/>
      <c r="GI311" s="9"/>
      <c r="GJ311" s="9"/>
      <c r="GK311" s="9"/>
      <c r="GL311" s="9"/>
      <c r="GM311" s="9"/>
      <c r="GN311" s="9"/>
      <c r="GO311" s="9"/>
      <c r="GP311" s="9"/>
      <c r="GQ311" s="9"/>
      <c r="GR311" s="9"/>
      <c r="GS311" s="9"/>
      <c r="GT311" s="9"/>
      <c r="GU311" s="9"/>
      <c r="GV311" s="9"/>
      <c r="GW311" s="9"/>
      <c r="GX311" s="9"/>
      <c r="GY311" s="9"/>
      <c r="GZ311" s="9"/>
      <c r="HA311" s="9"/>
      <c r="HB311" s="9"/>
      <c r="HC311" s="9"/>
      <c r="HD311" s="9"/>
      <c r="HE311" s="9"/>
      <c r="HF311" s="9"/>
      <c r="HG311" s="9"/>
      <c r="HH311" s="9"/>
      <c r="HI311" s="9"/>
      <c r="HJ311" s="9"/>
      <c r="HK311" s="9"/>
      <c r="HL311" s="9"/>
      <c r="HM311" s="9"/>
      <c r="HN311" s="9"/>
      <c r="HO311" s="9"/>
      <c r="HP311" s="9"/>
      <c r="HQ311" s="9"/>
      <c r="HR311" s="9"/>
      <c r="HS311" s="9"/>
      <c r="HT311" s="9"/>
      <c r="HU311" s="9"/>
      <c r="HV311" s="9"/>
      <c r="HW311" s="9"/>
      <c r="HX311" s="9"/>
      <c r="HY311" s="9"/>
      <c r="HZ311" s="9"/>
      <c r="IA311" s="9"/>
      <c r="IB311" s="9"/>
      <c r="IC311" s="9"/>
      <c r="ID311" s="9"/>
      <c r="IE311" s="9"/>
      <c r="IF311" s="9"/>
      <c r="IG311" s="9"/>
      <c r="IH311" s="9"/>
      <c r="II311" s="9"/>
      <c r="IJ311" s="9"/>
      <c r="IK311" s="9"/>
      <c r="IL311" s="9"/>
      <c r="IM311" s="9"/>
      <c r="IN311" s="9"/>
      <c r="IO311" s="9"/>
      <c r="IP311" s="9"/>
      <c r="IQ311" s="9"/>
      <c r="IR311" s="9"/>
      <c r="IS311" s="9"/>
      <c r="IT311" s="9"/>
      <c r="IU311" s="9"/>
      <c r="IV311" s="9"/>
      <c r="IW311" s="9"/>
      <c r="IX311" s="9"/>
      <c r="IY311" s="9"/>
      <c r="IZ311" s="9"/>
      <c r="JA311" s="9"/>
      <c r="JB311" s="9"/>
      <c r="JC311" s="9"/>
      <c r="JD311" s="9"/>
      <c r="JE311" s="9"/>
      <c r="JF311" s="9"/>
      <c r="JG311" s="9"/>
      <c r="JH311" s="9"/>
      <c r="JI311" s="9"/>
      <c r="JJ311" s="9"/>
      <c r="JK311" s="9"/>
      <c r="JL311" s="9"/>
      <c r="JM311" s="9"/>
      <c r="JN311" s="9"/>
      <c r="JO311" s="9"/>
      <c r="JP311" s="9"/>
      <c r="JQ311" s="9"/>
      <c r="JR311" s="9"/>
      <c r="JS311" s="9"/>
      <c r="JT311" s="9"/>
      <c r="JU311" s="9"/>
      <c r="JV311" s="9"/>
      <c r="JW311" s="9"/>
      <c r="JX311" s="9"/>
      <c r="JY311" s="9"/>
      <c r="JZ311" s="9"/>
      <c r="KA311" s="9"/>
      <c r="KB311" s="9"/>
      <c r="KC311" s="9"/>
      <c r="KD311" s="9"/>
      <c r="KE311" s="9"/>
      <c r="KF311" s="9"/>
      <c r="KG311" s="9"/>
      <c r="KH311" s="9"/>
      <c r="KI311" s="9"/>
      <c r="KJ311" s="9"/>
      <c r="KK311" s="9"/>
      <c r="KL311" s="9"/>
      <c r="KM311" s="9"/>
      <c r="KN311" s="9"/>
      <c r="KO311" s="9"/>
      <c r="KP311" s="9"/>
      <c r="KQ311" s="9"/>
      <c r="KR311" s="9"/>
      <c r="KS311" s="9"/>
      <c r="KT311" s="9"/>
      <c r="KU311" s="9"/>
      <c r="KV311" s="9"/>
      <c r="KW311" s="9"/>
      <c r="KX311" s="9"/>
      <c r="KY311" s="9"/>
      <c r="KZ311" s="9"/>
      <c r="LA311" s="9"/>
      <c r="LB311" s="9"/>
      <c r="LC311" s="9"/>
      <c r="LD311" s="9"/>
      <c r="LE311" s="9"/>
      <c r="LF311" s="9"/>
      <c r="LG311" s="9"/>
      <c r="LH311" s="9"/>
      <c r="LI311" s="9"/>
      <c r="LJ311" s="9"/>
      <c r="LK311" s="9"/>
      <c r="LL311" s="9"/>
      <c r="LM311" s="9"/>
      <c r="LN311" s="9"/>
      <c r="LO311" s="9"/>
      <c r="LP311" s="9"/>
      <c r="LQ311" s="9"/>
      <c r="LR311" s="9"/>
      <c r="LS311" s="9"/>
      <c r="LT311" s="9"/>
      <c r="LU311" s="9"/>
      <c r="LV311" s="9"/>
      <c r="LW311" s="9"/>
      <c r="LX311" s="9"/>
      <c r="LY311" s="9"/>
      <c r="LZ311" s="9"/>
      <c r="MA311" s="9"/>
      <c r="MB311" s="9"/>
      <c r="MC311" s="9"/>
      <c r="MD311" s="9"/>
      <c r="ME311" s="9"/>
      <c r="MF311" s="9"/>
      <c r="MG311" s="9"/>
      <c r="MH311" s="9"/>
      <c r="MI311" s="9"/>
      <c r="MJ311" s="9"/>
      <c r="MK311" s="9"/>
      <c r="ML311" s="9"/>
      <c r="MM311" s="9"/>
      <c r="MN311" s="9"/>
      <c r="MO311" s="9"/>
      <c r="MP311" s="9"/>
      <c r="MQ311" s="9"/>
      <c r="MR311" s="9"/>
      <c r="MS311" s="9"/>
      <c r="MT311" s="9"/>
      <c r="MU311" s="9"/>
      <c r="MV311" s="9"/>
      <c r="MW311" s="9"/>
      <c r="MX311" s="9"/>
      <c r="MY311" s="9"/>
      <c r="MZ311" s="9"/>
      <c r="NA311" s="9"/>
      <c r="NB311" s="9"/>
      <c r="NC311" s="9"/>
      <c r="ND311" s="9"/>
      <c r="NE311" s="9"/>
      <c r="NF311" s="9"/>
      <c r="NG311" s="9"/>
      <c r="NH311" s="9"/>
      <c r="NI311" s="9"/>
      <c r="NJ311" s="9"/>
      <c r="NK311" s="9"/>
      <c r="NL311" s="9"/>
      <c r="NM311" s="9"/>
      <c r="NN311" s="9"/>
      <c r="NO311" s="9"/>
      <c r="NP311" s="9"/>
      <c r="NQ311" s="9"/>
      <c r="NR311" s="9"/>
      <c r="NS311" s="9"/>
      <c r="NT311" s="9"/>
      <c r="NU311" s="9"/>
      <c r="NV311" s="9"/>
      <c r="NW311" s="9"/>
      <c r="NX311" s="9"/>
      <c r="NY311" s="9"/>
      <c r="NZ311" s="9"/>
      <c r="OA311" s="9"/>
      <c r="OB311" s="9"/>
      <c r="OC311" s="9"/>
      <c r="OD311" s="9"/>
      <c r="OE311" s="9"/>
      <c r="OF311" s="9"/>
      <c r="OG311" s="9"/>
      <c r="OH311" s="9"/>
      <c r="OI311" s="9"/>
      <c r="OJ311" s="9"/>
      <c r="OK311" s="9"/>
      <c r="OL311" s="9"/>
      <c r="OM311" s="9"/>
      <c r="ON311" s="9"/>
      <c r="OO311" s="9"/>
      <c r="OP311" s="9"/>
      <c r="OQ311" s="9"/>
      <c r="OR311" s="9"/>
      <c r="OS311" s="9"/>
      <c r="OT311" s="9"/>
      <c r="OU311" s="9"/>
      <c r="OV311" s="9"/>
      <c r="OW311" s="9"/>
      <c r="OX311" s="9"/>
      <c r="OY311" s="9"/>
      <c r="OZ311" s="9"/>
      <c r="PA311" s="9"/>
      <c r="PB311" s="9"/>
      <c r="PC311" s="9"/>
      <c r="PD311" s="9"/>
      <c r="PE311" s="9"/>
      <c r="PF311" s="9"/>
      <c r="PG311" s="9"/>
      <c r="PH311" s="9"/>
      <c r="PI311" s="9"/>
      <c r="PJ311" s="9"/>
      <c r="PK311" s="9"/>
      <c r="PL311" s="9"/>
      <c r="PM311" s="9"/>
      <c r="PN311" s="9"/>
      <c r="PO311" s="9"/>
      <c r="PP311" s="9"/>
      <c r="PQ311" s="9"/>
      <c r="PR311" s="9"/>
      <c r="PS311" s="9"/>
      <c r="PT311" s="9"/>
      <c r="PU311" s="9"/>
      <c r="PV311" s="9"/>
      <c r="PW311" s="9"/>
      <c r="PX311" s="9"/>
      <c r="PY311" s="9"/>
      <c r="PZ311" s="9"/>
      <c r="QA311" s="9"/>
      <c r="QB311" s="9"/>
      <c r="QC311" s="9"/>
      <c r="QD311" s="9"/>
      <c r="QE311" s="9"/>
      <c r="QF311" s="9"/>
      <c r="QG311" s="9"/>
      <c r="QH311" s="9"/>
      <c r="QI311" s="9"/>
      <c r="QJ311" s="9"/>
      <c r="QK311" s="9"/>
      <c r="QL311" s="9"/>
      <c r="QM311" s="9"/>
      <c r="QN311" s="9"/>
      <c r="QO311" s="9"/>
      <c r="QP311" s="9"/>
      <c r="QQ311" s="67"/>
      <c r="QR311" s="68"/>
      <c r="QS311" s="63"/>
      <c r="QT311" s="71"/>
    </row>
    <row r="312" spans="1:462" s="11" customFormat="1" x14ac:dyDescent="0.2">
      <c r="A312" s="9">
        <v>20</v>
      </c>
      <c r="B312" s="9"/>
      <c r="C312" s="9"/>
      <c r="D312" s="9" t="s">
        <v>403</v>
      </c>
      <c r="E312" s="65" t="s">
        <v>520</v>
      </c>
      <c r="F312" s="65"/>
      <c r="G312" s="92" t="s">
        <v>2296</v>
      </c>
      <c r="H312" s="66" t="s">
        <v>1196</v>
      </c>
      <c r="I312" s="9" t="s">
        <v>1101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  <c r="EN312" s="9"/>
      <c r="EO312" s="9"/>
      <c r="EP312" s="9"/>
      <c r="EQ312" s="9"/>
      <c r="ER312" s="9"/>
      <c r="ES312" s="9"/>
      <c r="ET312" s="9"/>
      <c r="EU312" s="9" t="s">
        <v>1101</v>
      </c>
      <c r="EV312" s="9"/>
      <c r="EW312" s="9" t="s">
        <v>1101</v>
      </c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  <c r="FO312" s="9"/>
      <c r="FP312" s="9"/>
      <c r="FQ312" s="9"/>
      <c r="FR312" s="9"/>
      <c r="FS312" s="9"/>
      <c r="FT312" s="9"/>
      <c r="FU312" s="9"/>
      <c r="FV312" s="9"/>
      <c r="FW312" s="9"/>
      <c r="FX312" s="9"/>
      <c r="FY312" s="9"/>
      <c r="FZ312" s="9"/>
      <c r="GA312" s="9"/>
      <c r="GB312" s="9"/>
      <c r="GC312" s="9"/>
      <c r="GD312" s="9"/>
      <c r="GE312" s="9"/>
      <c r="GF312" s="9"/>
      <c r="GG312" s="9"/>
      <c r="GH312" s="9"/>
      <c r="GI312" s="9"/>
      <c r="GJ312" s="9"/>
      <c r="GK312" s="9"/>
      <c r="GL312" s="9"/>
      <c r="GM312" s="9"/>
      <c r="GN312" s="9"/>
      <c r="GO312" s="9"/>
      <c r="GP312" s="9"/>
      <c r="GQ312" s="9"/>
      <c r="GR312" s="9"/>
      <c r="GS312" s="9"/>
      <c r="GT312" s="9"/>
      <c r="GU312" s="9"/>
      <c r="GV312" s="9"/>
      <c r="GW312" s="9"/>
      <c r="GX312" s="9"/>
      <c r="GY312" s="9"/>
      <c r="GZ312" s="9"/>
      <c r="HA312" s="9"/>
      <c r="HB312" s="9"/>
      <c r="HC312" s="9"/>
      <c r="HD312" s="9"/>
      <c r="HE312" s="9"/>
      <c r="HF312" s="9"/>
      <c r="HG312" s="9"/>
      <c r="HH312" s="9"/>
      <c r="HI312" s="9"/>
      <c r="HJ312" s="9"/>
      <c r="HK312" s="9"/>
      <c r="HL312" s="9"/>
      <c r="HM312" s="9"/>
      <c r="HN312" s="9"/>
      <c r="HO312" s="9"/>
      <c r="HP312" s="9"/>
      <c r="HQ312" s="9"/>
      <c r="HR312" s="9"/>
      <c r="HS312" s="9"/>
      <c r="HT312" s="9"/>
      <c r="HU312" s="9"/>
      <c r="HV312" s="9"/>
      <c r="HW312" s="9"/>
      <c r="HX312" s="9"/>
      <c r="HY312" s="9"/>
      <c r="HZ312" s="9"/>
      <c r="IA312" s="9"/>
      <c r="IB312" s="9"/>
      <c r="IC312" s="9"/>
      <c r="ID312" s="9"/>
      <c r="IE312" s="9"/>
      <c r="IF312" s="9"/>
      <c r="IG312" s="9"/>
      <c r="IH312" s="9"/>
      <c r="II312" s="9"/>
      <c r="IJ312" s="9"/>
      <c r="IK312" s="9"/>
      <c r="IL312" s="9"/>
      <c r="IM312" s="9"/>
      <c r="IN312" s="9"/>
      <c r="IO312" s="9"/>
      <c r="IP312" s="9"/>
      <c r="IQ312" s="9"/>
      <c r="IR312" s="9"/>
      <c r="IS312" s="9"/>
      <c r="IT312" s="9"/>
      <c r="IU312" s="9"/>
      <c r="IV312" s="9"/>
      <c r="IW312" s="9"/>
      <c r="IX312" s="9"/>
      <c r="IY312" s="9"/>
      <c r="IZ312" s="9"/>
      <c r="JA312" s="9"/>
      <c r="JB312" s="9"/>
      <c r="JC312" s="9"/>
      <c r="JD312" s="9"/>
      <c r="JE312" s="9"/>
      <c r="JF312" s="9"/>
      <c r="JG312" s="9"/>
      <c r="JH312" s="9"/>
      <c r="JI312" s="9"/>
      <c r="JJ312" s="9"/>
      <c r="JK312" s="9"/>
      <c r="JL312" s="9"/>
      <c r="JM312" s="9"/>
      <c r="JN312" s="9"/>
      <c r="JO312" s="9"/>
      <c r="JP312" s="9"/>
      <c r="JQ312" s="9"/>
      <c r="JR312" s="9"/>
      <c r="JS312" s="9"/>
      <c r="JT312" s="9"/>
      <c r="JU312" s="9"/>
      <c r="JV312" s="9"/>
      <c r="JW312" s="9"/>
      <c r="JX312" s="9"/>
      <c r="JY312" s="9"/>
      <c r="JZ312" s="9"/>
      <c r="KA312" s="9"/>
      <c r="KB312" s="9"/>
      <c r="KC312" s="9"/>
      <c r="KD312" s="9"/>
      <c r="KE312" s="9"/>
      <c r="KF312" s="9"/>
      <c r="KG312" s="9"/>
      <c r="KH312" s="9"/>
      <c r="KI312" s="9"/>
      <c r="KJ312" s="9"/>
      <c r="KK312" s="9"/>
      <c r="KL312" s="9"/>
      <c r="KM312" s="9"/>
      <c r="KN312" s="9"/>
      <c r="KO312" s="9"/>
      <c r="KP312" s="9"/>
      <c r="KQ312" s="9"/>
      <c r="KR312" s="9"/>
      <c r="KS312" s="9"/>
      <c r="KT312" s="9"/>
      <c r="KU312" s="9"/>
      <c r="KV312" s="9"/>
      <c r="KW312" s="9"/>
      <c r="KX312" s="9"/>
      <c r="KY312" s="9"/>
      <c r="KZ312" s="9"/>
      <c r="LA312" s="9"/>
      <c r="LB312" s="9"/>
      <c r="LC312" s="9"/>
      <c r="LD312" s="9"/>
      <c r="LE312" s="9"/>
      <c r="LF312" s="9"/>
      <c r="LG312" s="9"/>
      <c r="LH312" s="9"/>
      <c r="LI312" s="9"/>
      <c r="LJ312" s="9"/>
      <c r="LK312" s="9"/>
      <c r="LL312" s="9"/>
      <c r="LM312" s="9"/>
      <c r="LN312" s="9"/>
      <c r="LO312" s="9"/>
      <c r="LP312" s="9"/>
      <c r="LQ312" s="9"/>
      <c r="LR312" s="9"/>
      <c r="LS312" s="9"/>
      <c r="LT312" s="9"/>
      <c r="LU312" s="9"/>
      <c r="LV312" s="9"/>
      <c r="LW312" s="9"/>
      <c r="LX312" s="9"/>
      <c r="LY312" s="9"/>
      <c r="LZ312" s="9"/>
      <c r="MA312" s="9"/>
      <c r="MB312" s="9"/>
      <c r="MC312" s="9"/>
      <c r="MD312" s="9"/>
      <c r="ME312" s="9"/>
      <c r="MF312" s="9"/>
      <c r="MG312" s="9"/>
      <c r="MH312" s="9"/>
      <c r="MI312" s="9"/>
      <c r="MJ312" s="9"/>
      <c r="MK312" s="9"/>
      <c r="ML312" s="9"/>
      <c r="MM312" s="9"/>
      <c r="MN312" s="9"/>
      <c r="MO312" s="9"/>
      <c r="MP312" s="9"/>
      <c r="MQ312" s="9"/>
      <c r="MR312" s="9"/>
      <c r="MS312" s="9"/>
      <c r="MT312" s="9"/>
      <c r="MU312" s="9"/>
      <c r="MV312" s="9"/>
      <c r="MW312" s="9"/>
      <c r="MX312" s="9"/>
      <c r="MY312" s="9"/>
      <c r="MZ312" s="9"/>
      <c r="NA312" s="9"/>
      <c r="NB312" s="9"/>
      <c r="NC312" s="9"/>
      <c r="ND312" s="9"/>
      <c r="NE312" s="9"/>
      <c r="NF312" s="9"/>
      <c r="NG312" s="9"/>
      <c r="NH312" s="9"/>
      <c r="NI312" s="9"/>
      <c r="NJ312" s="9"/>
      <c r="NK312" s="9"/>
      <c r="NL312" s="9"/>
      <c r="NM312" s="9"/>
      <c r="NN312" s="9"/>
      <c r="NO312" s="9"/>
      <c r="NP312" s="9"/>
      <c r="NQ312" s="9"/>
      <c r="NR312" s="9"/>
      <c r="NS312" s="9"/>
      <c r="NT312" s="9"/>
      <c r="NU312" s="9"/>
      <c r="NV312" s="9"/>
      <c r="NW312" s="9"/>
      <c r="NX312" s="9"/>
      <c r="NY312" s="9"/>
      <c r="NZ312" s="9"/>
      <c r="OA312" s="9"/>
      <c r="OB312" s="9"/>
      <c r="OC312" s="9"/>
      <c r="OD312" s="9"/>
      <c r="OE312" s="9"/>
      <c r="OF312" s="9"/>
      <c r="OG312" s="9"/>
      <c r="OH312" s="9"/>
      <c r="OI312" s="9"/>
      <c r="OJ312" s="9"/>
      <c r="OK312" s="9"/>
      <c r="OL312" s="9"/>
      <c r="OM312" s="9"/>
      <c r="ON312" s="9"/>
      <c r="OO312" s="9"/>
      <c r="OP312" s="9"/>
      <c r="OQ312" s="9"/>
      <c r="OR312" s="9"/>
      <c r="OS312" s="9"/>
      <c r="OT312" s="9"/>
      <c r="OU312" s="9"/>
      <c r="OV312" s="9"/>
      <c r="OW312" s="9"/>
      <c r="OX312" s="9"/>
      <c r="OY312" s="9"/>
      <c r="OZ312" s="9"/>
      <c r="PA312" s="9"/>
      <c r="PB312" s="9"/>
      <c r="PC312" s="9"/>
      <c r="PD312" s="9"/>
      <c r="PE312" s="9"/>
      <c r="PF312" s="9"/>
      <c r="PG312" s="9"/>
      <c r="PH312" s="9"/>
      <c r="PI312" s="9"/>
      <c r="PJ312" s="9"/>
      <c r="PK312" s="9"/>
      <c r="PL312" s="9"/>
      <c r="PM312" s="9"/>
      <c r="PN312" s="9"/>
      <c r="PO312" s="9"/>
      <c r="PP312" s="9"/>
      <c r="PQ312" s="9"/>
      <c r="PR312" s="9"/>
      <c r="PS312" s="9"/>
      <c r="PT312" s="9"/>
      <c r="PU312" s="9"/>
      <c r="PV312" s="9"/>
      <c r="PW312" s="9"/>
      <c r="PX312" s="9"/>
      <c r="PY312" s="9"/>
      <c r="PZ312" s="9"/>
      <c r="QA312" s="9"/>
      <c r="QB312" s="9"/>
      <c r="QC312" s="9"/>
      <c r="QD312" s="9"/>
      <c r="QE312" s="9"/>
      <c r="QF312" s="9"/>
      <c r="QG312" s="9"/>
      <c r="QH312" s="9"/>
      <c r="QI312" s="9"/>
      <c r="QJ312" s="9"/>
      <c r="QK312" s="9"/>
      <c r="QL312" s="9"/>
      <c r="QM312" s="9"/>
      <c r="QN312" s="9"/>
      <c r="QO312" s="9"/>
      <c r="QP312" s="9"/>
      <c r="QQ312" s="67"/>
      <c r="QR312" s="68"/>
      <c r="QS312" s="63"/>
      <c r="QT312" s="71"/>
    </row>
    <row r="313" spans="1:462" s="11" customFormat="1" x14ac:dyDescent="0.2">
      <c r="A313" s="9">
        <v>20</v>
      </c>
      <c r="B313" s="9"/>
      <c r="C313" s="9"/>
      <c r="D313" s="9" t="s">
        <v>405</v>
      </c>
      <c r="E313" s="65" t="s">
        <v>524</v>
      </c>
      <c r="F313" s="65"/>
      <c r="G313" s="92" t="s">
        <v>2300</v>
      </c>
      <c r="H313" s="66" t="s">
        <v>1200</v>
      </c>
      <c r="I313" s="9" t="s">
        <v>1101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  <c r="EN313" s="9"/>
      <c r="EO313" s="9"/>
      <c r="EP313" s="9"/>
      <c r="EQ313" s="9"/>
      <c r="ER313" s="9"/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 t="s">
        <v>1101</v>
      </c>
      <c r="FD313" s="9"/>
      <c r="FE313" s="9" t="s">
        <v>1101</v>
      </c>
      <c r="FF313" s="9"/>
      <c r="FG313" s="9"/>
      <c r="FH313" s="9"/>
      <c r="FI313" s="9"/>
      <c r="FJ313" s="9"/>
      <c r="FK313" s="9"/>
      <c r="FL313" s="9"/>
      <c r="FM313" s="9"/>
      <c r="FN313" s="9"/>
      <c r="FO313" s="9"/>
      <c r="FP313" s="9"/>
      <c r="FQ313" s="9"/>
      <c r="FR313" s="9"/>
      <c r="FS313" s="9"/>
      <c r="FT313" s="9"/>
      <c r="FU313" s="9"/>
      <c r="FV313" s="9"/>
      <c r="FW313" s="9"/>
      <c r="FX313" s="9"/>
      <c r="FY313" s="9"/>
      <c r="FZ313" s="9"/>
      <c r="GA313" s="9"/>
      <c r="GB313" s="9"/>
      <c r="GC313" s="9"/>
      <c r="GD313" s="9"/>
      <c r="GE313" s="9"/>
      <c r="GF313" s="9"/>
      <c r="GG313" s="9"/>
      <c r="GH313" s="9"/>
      <c r="GI313" s="9"/>
      <c r="GJ313" s="9"/>
      <c r="GK313" s="9"/>
      <c r="GL313" s="9"/>
      <c r="GM313" s="9"/>
      <c r="GN313" s="9"/>
      <c r="GO313" s="9"/>
      <c r="GP313" s="9"/>
      <c r="GQ313" s="9"/>
      <c r="GR313" s="9"/>
      <c r="GS313" s="9"/>
      <c r="GT313" s="9"/>
      <c r="GU313" s="9"/>
      <c r="GV313" s="9"/>
      <c r="GW313" s="9"/>
      <c r="GX313" s="9"/>
      <c r="GY313" s="9"/>
      <c r="GZ313" s="9"/>
      <c r="HA313" s="9"/>
      <c r="HB313" s="9"/>
      <c r="HC313" s="9"/>
      <c r="HD313" s="9"/>
      <c r="HE313" s="9"/>
      <c r="HF313" s="9"/>
      <c r="HG313" s="9"/>
      <c r="HH313" s="9"/>
      <c r="HI313" s="9"/>
      <c r="HJ313" s="9"/>
      <c r="HK313" s="9"/>
      <c r="HL313" s="9"/>
      <c r="HM313" s="9"/>
      <c r="HN313" s="9"/>
      <c r="HO313" s="9"/>
      <c r="HP313" s="9"/>
      <c r="HQ313" s="9"/>
      <c r="HR313" s="9"/>
      <c r="HS313" s="9"/>
      <c r="HT313" s="9"/>
      <c r="HU313" s="9"/>
      <c r="HV313" s="9"/>
      <c r="HW313" s="9"/>
      <c r="HX313" s="9"/>
      <c r="HY313" s="9"/>
      <c r="HZ313" s="9"/>
      <c r="IA313" s="9"/>
      <c r="IB313" s="9"/>
      <c r="IC313" s="9"/>
      <c r="ID313" s="9"/>
      <c r="IE313" s="9"/>
      <c r="IF313" s="9"/>
      <c r="IG313" s="9"/>
      <c r="IH313" s="9"/>
      <c r="II313" s="9"/>
      <c r="IJ313" s="9"/>
      <c r="IK313" s="9"/>
      <c r="IL313" s="9"/>
      <c r="IM313" s="9"/>
      <c r="IN313" s="9"/>
      <c r="IO313" s="9"/>
      <c r="IP313" s="9"/>
      <c r="IQ313" s="9"/>
      <c r="IR313" s="9"/>
      <c r="IS313" s="9"/>
      <c r="IT313" s="9"/>
      <c r="IU313" s="9"/>
      <c r="IV313" s="9"/>
      <c r="IW313" s="9"/>
      <c r="IX313" s="9"/>
      <c r="IY313" s="9"/>
      <c r="IZ313" s="9"/>
      <c r="JA313" s="9"/>
      <c r="JB313" s="9"/>
      <c r="JC313" s="9"/>
      <c r="JD313" s="9"/>
      <c r="JE313" s="9"/>
      <c r="JF313" s="9"/>
      <c r="JG313" s="9"/>
      <c r="JH313" s="9"/>
      <c r="JI313" s="9"/>
      <c r="JJ313" s="9"/>
      <c r="JK313" s="9"/>
      <c r="JL313" s="9"/>
      <c r="JM313" s="9"/>
      <c r="JN313" s="9"/>
      <c r="JO313" s="9"/>
      <c r="JP313" s="9"/>
      <c r="JQ313" s="9"/>
      <c r="JR313" s="9"/>
      <c r="JS313" s="9"/>
      <c r="JT313" s="9"/>
      <c r="JU313" s="9"/>
      <c r="JV313" s="9"/>
      <c r="JW313" s="9"/>
      <c r="JX313" s="9"/>
      <c r="JY313" s="9"/>
      <c r="JZ313" s="9"/>
      <c r="KA313" s="9"/>
      <c r="KB313" s="9"/>
      <c r="KC313" s="9"/>
      <c r="KD313" s="9"/>
      <c r="KE313" s="9"/>
      <c r="KF313" s="9"/>
      <c r="KG313" s="9"/>
      <c r="KH313" s="9"/>
      <c r="KI313" s="9"/>
      <c r="KJ313" s="9"/>
      <c r="KK313" s="9"/>
      <c r="KL313" s="9"/>
      <c r="KM313" s="9"/>
      <c r="KN313" s="9"/>
      <c r="KO313" s="9"/>
      <c r="KP313" s="9"/>
      <c r="KQ313" s="9"/>
      <c r="KR313" s="9"/>
      <c r="KS313" s="9"/>
      <c r="KT313" s="9"/>
      <c r="KU313" s="9"/>
      <c r="KV313" s="9"/>
      <c r="KW313" s="9"/>
      <c r="KX313" s="9"/>
      <c r="KY313" s="9"/>
      <c r="KZ313" s="9"/>
      <c r="LA313" s="9"/>
      <c r="LB313" s="9"/>
      <c r="LC313" s="9"/>
      <c r="LD313" s="9"/>
      <c r="LE313" s="9"/>
      <c r="LF313" s="9"/>
      <c r="LG313" s="9"/>
      <c r="LH313" s="9"/>
      <c r="LI313" s="9"/>
      <c r="LJ313" s="9"/>
      <c r="LK313" s="9"/>
      <c r="LL313" s="9"/>
      <c r="LM313" s="9"/>
      <c r="LN313" s="9"/>
      <c r="LO313" s="9"/>
      <c r="LP313" s="9"/>
      <c r="LQ313" s="9"/>
      <c r="LR313" s="9"/>
      <c r="LS313" s="9"/>
      <c r="LT313" s="9"/>
      <c r="LU313" s="9"/>
      <c r="LV313" s="9"/>
      <c r="LW313" s="9"/>
      <c r="LX313" s="9"/>
      <c r="LY313" s="9"/>
      <c r="LZ313" s="9"/>
      <c r="MA313" s="9"/>
      <c r="MB313" s="9"/>
      <c r="MC313" s="9"/>
      <c r="MD313" s="9"/>
      <c r="ME313" s="9"/>
      <c r="MF313" s="9"/>
      <c r="MG313" s="9"/>
      <c r="MH313" s="9"/>
      <c r="MI313" s="9"/>
      <c r="MJ313" s="9"/>
      <c r="MK313" s="9"/>
      <c r="ML313" s="9"/>
      <c r="MM313" s="9"/>
      <c r="MN313" s="9"/>
      <c r="MO313" s="9"/>
      <c r="MP313" s="9"/>
      <c r="MQ313" s="9"/>
      <c r="MR313" s="9"/>
      <c r="MS313" s="9"/>
      <c r="MT313" s="9"/>
      <c r="MU313" s="9"/>
      <c r="MV313" s="9"/>
      <c r="MW313" s="9"/>
      <c r="MX313" s="9"/>
      <c r="MY313" s="9"/>
      <c r="MZ313" s="9"/>
      <c r="NA313" s="9"/>
      <c r="NB313" s="9"/>
      <c r="NC313" s="9"/>
      <c r="ND313" s="9"/>
      <c r="NE313" s="9"/>
      <c r="NF313" s="9"/>
      <c r="NG313" s="9"/>
      <c r="NH313" s="9"/>
      <c r="NI313" s="9"/>
      <c r="NJ313" s="9"/>
      <c r="NK313" s="9"/>
      <c r="NL313" s="9"/>
      <c r="NM313" s="9"/>
      <c r="NN313" s="9"/>
      <c r="NO313" s="9"/>
      <c r="NP313" s="9"/>
      <c r="NQ313" s="9"/>
      <c r="NR313" s="9"/>
      <c r="NS313" s="9"/>
      <c r="NT313" s="9"/>
      <c r="NU313" s="9"/>
      <c r="NV313" s="9"/>
      <c r="NW313" s="9"/>
      <c r="NX313" s="9"/>
      <c r="NY313" s="9"/>
      <c r="NZ313" s="9"/>
      <c r="OA313" s="9"/>
      <c r="OB313" s="9"/>
      <c r="OC313" s="9"/>
      <c r="OD313" s="9"/>
      <c r="OE313" s="9"/>
      <c r="OF313" s="9"/>
      <c r="OG313" s="9"/>
      <c r="OH313" s="9"/>
      <c r="OI313" s="9"/>
      <c r="OJ313" s="9"/>
      <c r="OK313" s="9"/>
      <c r="OL313" s="9"/>
      <c r="OM313" s="9"/>
      <c r="ON313" s="9"/>
      <c r="OO313" s="9"/>
      <c r="OP313" s="9"/>
      <c r="OQ313" s="9"/>
      <c r="OR313" s="9"/>
      <c r="OS313" s="9"/>
      <c r="OT313" s="9"/>
      <c r="OU313" s="9"/>
      <c r="OV313" s="9"/>
      <c r="OW313" s="9"/>
      <c r="OX313" s="9"/>
      <c r="OY313" s="9"/>
      <c r="OZ313" s="9"/>
      <c r="PA313" s="9"/>
      <c r="PB313" s="9"/>
      <c r="PC313" s="9"/>
      <c r="PD313" s="9"/>
      <c r="PE313" s="9"/>
      <c r="PF313" s="9"/>
      <c r="PG313" s="9"/>
      <c r="PH313" s="9"/>
      <c r="PI313" s="9"/>
      <c r="PJ313" s="9"/>
      <c r="PK313" s="9"/>
      <c r="PL313" s="9"/>
      <c r="PM313" s="9"/>
      <c r="PN313" s="9"/>
      <c r="PO313" s="9"/>
      <c r="PP313" s="9"/>
      <c r="PQ313" s="9"/>
      <c r="PR313" s="9"/>
      <c r="PS313" s="9"/>
      <c r="PT313" s="9"/>
      <c r="PU313" s="9"/>
      <c r="PV313" s="9"/>
      <c r="PW313" s="9"/>
      <c r="PX313" s="9"/>
      <c r="PY313" s="9"/>
      <c r="PZ313" s="9"/>
      <c r="QA313" s="9"/>
      <c r="QB313" s="9"/>
      <c r="QC313" s="9"/>
      <c r="QD313" s="9"/>
      <c r="QE313" s="9"/>
      <c r="QF313" s="9"/>
      <c r="QG313" s="9"/>
      <c r="QH313" s="9"/>
      <c r="QI313" s="9"/>
      <c r="QJ313" s="9"/>
      <c r="QK313" s="9"/>
      <c r="QL313" s="9"/>
      <c r="QM313" s="9"/>
      <c r="QN313" s="9"/>
      <c r="QO313" s="9"/>
      <c r="QP313" s="9"/>
      <c r="QQ313" s="67"/>
      <c r="QR313" s="68"/>
      <c r="QS313" s="63"/>
      <c r="QT313" s="71"/>
    </row>
    <row r="314" spans="1:462" s="11" customFormat="1" ht="26" x14ac:dyDescent="0.2">
      <c r="A314" s="9">
        <v>20</v>
      </c>
      <c r="B314" s="9"/>
      <c r="C314" s="9"/>
      <c r="D314" s="9" t="s">
        <v>411</v>
      </c>
      <c r="E314" s="65" t="s">
        <v>522</v>
      </c>
      <c r="F314" s="65"/>
      <c r="G314" s="92" t="s">
        <v>2298</v>
      </c>
      <c r="H314" s="66" t="s">
        <v>1198</v>
      </c>
      <c r="I314" s="9" t="s">
        <v>1101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  <c r="FI314" s="9"/>
      <c r="FJ314" s="9"/>
      <c r="FK314" s="9" t="s">
        <v>1101</v>
      </c>
      <c r="FL314" s="9"/>
      <c r="FM314" s="9" t="s">
        <v>1101</v>
      </c>
      <c r="FN314" s="9"/>
      <c r="FO314" s="9"/>
      <c r="FP314" s="9"/>
      <c r="FQ314" s="9"/>
      <c r="FR314" s="9"/>
      <c r="FS314" s="9"/>
      <c r="FT314" s="9"/>
      <c r="FU314" s="9"/>
      <c r="FV314" s="9"/>
      <c r="FW314" s="9"/>
      <c r="FX314" s="9"/>
      <c r="FY314" s="9"/>
      <c r="FZ314" s="9"/>
      <c r="GA314" s="9"/>
      <c r="GB314" s="9"/>
      <c r="GC314" s="9"/>
      <c r="GD314" s="9"/>
      <c r="GE314" s="9"/>
      <c r="GF314" s="9"/>
      <c r="GG314" s="9"/>
      <c r="GH314" s="9"/>
      <c r="GI314" s="9"/>
      <c r="GJ314" s="9"/>
      <c r="GK314" s="9"/>
      <c r="GL314" s="9"/>
      <c r="GM314" s="9"/>
      <c r="GN314" s="9"/>
      <c r="GO314" s="9"/>
      <c r="GP314" s="9"/>
      <c r="GQ314" s="9"/>
      <c r="GR314" s="9"/>
      <c r="GS314" s="9"/>
      <c r="GT314" s="9"/>
      <c r="GU314" s="9"/>
      <c r="GV314" s="9"/>
      <c r="GW314" s="9"/>
      <c r="GX314" s="9"/>
      <c r="GY314" s="9"/>
      <c r="GZ314" s="9"/>
      <c r="HA314" s="9"/>
      <c r="HB314" s="9"/>
      <c r="HC314" s="9"/>
      <c r="HD314" s="9"/>
      <c r="HE314" s="9"/>
      <c r="HF314" s="9"/>
      <c r="HG314" s="9"/>
      <c r="HH314" s="9"/>
      <c r="HI314" s="9"/>
      <c r="HJ314" s="9"/>
      <c r="HK314" s="9"/>
      <c r="HL314" s="9"/>
      <c r="HM314" s="9"/>
      <c r="HN314" s="9"/>
      <c r="HO314" s="9"/>
      <c r="HP314" s="9"/>
      <c r="HQ314" s="9"/>
      <c r="HR314" s="9"/>
      <c r="HS314" s="9"/>
      <c r="HT314" s="9"/>
      <c r="HU314" s="9"/>
      <c r="HV314" s="9"/>
      <c r="HW314" s="9"/>
      <c r="HX314" s="9"/>
      <c r="HY314" s="9"/>
      <c r="HZ314" s="9"/>
      <c r="IA314" s="9"/>
      <c r="IB314" s="9"/>
      <c r="IC314" s="9"/>
      <c r="ID314" s="9"/>
      <c r="IE314" s="9"/>
      <c r="IF314" s="9"/>
      <c r="IG314" s="9"/>
      <c r="IH314" s="9"/>
      <c r="II314" s="9"/>
      <c r="IJ314" s="9"/>
      <c r="IK314" s="9"/>
      <c r="IL314" s="9"/>
      <c r="IM314" s="9"/>
      <c r="IN314" s="9"/>
      <c r="IO314" s="9"/>
      <c r="IP314" s="9"/>
      <c r="IQ314" s="9"/>
      <c r="IR314" s="9"/>
      <c r="IS314" s="9"/>
      <c r="IT314" s="9"/>
      <c r="IU314" s="9"/>
      <c r="IV314" s="9"/>
      <c r="IW314" s="9"/>
      <c r="IX314" s="9"/>
      <c r="IY314" s="9"/>
      <c r="IZ314" s="9"/>
      <c r="JA314" s="9"/>
      <c r="JB314" s="9"/>
      <c r="JC314" s="9"/>
      <c r="JD314" s="9"/>
      <c r="JE314" s="9"/>
      <c r="JF314" s="9"/>
      <c r="JG314" s="9"/>
      <c r="JH314" s="9"/>
      <c r="JI314" s="9"/>
      <c r="JJ314" s="9"/>
      <c r="JK314" s="9"/>
      <c r="JL314" s="9"/>
      <c r="JM314" s="9"/>
      <c r="JN314" s="9"/>
      <c r="JO314" s="9"/>
      <c r="JP314" s="9"/>
      <c r="JQ314" s="9"/>
      <c r="JR314" s="9"/>
      <c r="JS314" s="9"/>
      <c r="JT314" s="9"/>
      <c r="JU314" s="9"/>
      <c r="JV314" s="9"/>
      <c r="JW314" s="9"/>
      <c r="JX314" s="9"/>
      <c r="JY314" s="9"/>
      <c r="JZ314" s="9"/>
      <c r="KA314" s="9"/>
      <c r="KB314" s="9"/>
      <c r="KC314" s="9"/>
      <c r="KD314" s="9"/>
      <c r="KE314" s="9"/>
      <c r="KF314" s="9"/>
      <c r="KG314" s="9"/>
      <c r="KH314" s="9"/>
      <c r="KI314" s="9"/>
      <c r="KJ314" s="9"/>
      <c r="KK314" s="9"/>
      <c r="KL314" s="9"/>
      <c r="KM314" s="9"/>
      <c r="KN314" s="9"/>
      <c r="KO314" s="9"/>
      <c r="KP314" s="9"/>
      <c r="KQ314" s="9"/>
      <c r="KR314" s="9"/>
      <c r="KS314" s="9"/>
      <c r="KT314" s="9"/>
      <c r="KU314" s="9"/>
      <c r="KV314" s="9"/>
      <c r="KW314" s="9"/>
      <c r="KX314" s="9"/>
      <c r="KY314" s="9"/>
      <c r="KZ314" s="9"/>
      <c r="LA314" s="9"/>
      <c r="LB314" s="9"/>
      <c r="LC314" s="9"/>
      <c r="LD314" s="9"/>
      <c r="LE314" s="9"/>
      <c r="LF314" s="9"/>
      <c r="LG314" s="9"/>
      <c r="LH314" s="9"/>
      <c r="LI314" s="9"/>
      <c r="LJ314" s="9"/>
      <c r="LK314" s="9"/>
      <c r="LL314" s="9"/>
      <c r="LM314" s="9"/>
      <c r="LN314" s="9"/>
      <c r="LO314" s="9"/>
      <c r="LP314" s="9"/>
      <c r="LQ314" s="9"/>
      <c r="LR314" s="9"/>
      <c r="LS314" s="9"/>
      <c r="LT314" s="9"/>
      <c r="LU314" s="9"/>
      <c r="LV314" s="9"/>
      <c r="LW314" s="9"/>
      <c r="LX314" s="9"/>
      <c r="LY314" s="9"/>
      <c r="LZ314" s="9"/>
      <c r="MA314" s="9"/>
      <c r="MB314" s="9"/>
      <c r="MC314" s="9"/>
      <c r="MD314" s="9"/>
      <c r="ME314" s="9"/>
      <c r="MF314" s="9"/>
      <c r="MG314" s="9"/>
      <c r="MH314" s="9"/>
      <c r="MI314" s="9"/>
      <c r="MJ314" s="9"/>
      <c r="MK314" s="9"/>
      <c r="ML314" s="9"/>
      <c r="MM314" s="9"/>
      <c r="MN314" s="9"/>
      <c r="MO314" s="9"/>
      <c r="MP314" s="9"/>
      <c r="MQ314" s="9"/>
      <c r="MR314" s="9"/>
      <c r="MS314" s="9"/>
      <c r="MT314" s="9"/>
      <c r="MU314" s="9"/>
      <c r="MV314" s="9"/>
      <c r="MW314" s="9"/>
      <c r="MX314" s="9"/>
      <c r="MY314" s="9"/>
      <c r="MZ314" s="9"/>
      <c r="NA314" s="9"/>
      <c r="NB314" s="9"/>
      <c r="NC314" s="9"/>
      <c r="ND314" s="9"/>
      <c r="NE314" s="9"/>
      <c r="NF314" s="9"/>
      <c r="NG314" s="9"/>
      <c r="NH314" s="9"/>
      <c r="NI314" s="9"/>
      <c r="NJ314" s="9"/>
      <c r="NK314" s="9"/>
      <c r="NL314" s="9"/>
      <c r="NM314" s="9"/>
      <c r="NN314" s="9"/>
      <c r="NO314" s="9"/>
      <c r="NP314" s="9"/>
      <c r="NQ314" s="9"/>
      <c r="NR314" s="9"/>
      <c r="NS314" s="9"/>
      <c r="NT314" s="9"/>
      <c r="NU314" s="9"/>
      <c r="NV314" s="9"/>
      <c r="NW314" s="9"/>
      <c r="NX314" s="9"/>
      <c r="NY314" s="9"/>
      <c r="NZ314" s="9"/>
      <c r="OA314" s="9"/>
      <c r="OB314" s="9"/>
      <c r="OC314" s="9"/>
      <c r="OD314" s="9"/>
      <c r="OE314" s="9"/>
      <c r="OF314" s="9"/>
      <c r="OG314" s="9"/>
      <c r="OH314" s="9"/>
      <c r="OI314" s="9"/>
      <c r="OJ314" s="9"/>
      <c r="OK314" s="9"/>
      <c r="OL314" s="9"/>
      <c r="OM314" s="9"/>
      <c r="ON314" s="9"/>
      <c r="OO314" s="9"/>
      <c r="OP314" s="9"/>
      <c r="OQ314" s="9"/>
      <c r="OR314" s="9"/>
      <c r="OS314" s="9"/>
      <c r="OT314" s="9"/>
      <c r="OU314" s="9"/>
      <c r="OV314" s="9"/>
      <c r="OW314" s="9"/>
      <c r="OX314" s="9"/>
      <c r="OY314" s="9"/>
      <c r="OZ314" s="9"/>
      <c r="PA314" s="9"/>
      <c r="PB314" s="9"/>
      <c r="PC314" s="9"/>
      <c r="PD314" s="9"/>
      <c r="PE314" s="9"/>
      <c r="PF314" s="9"/>
      <c r="PG314" s="9"/>
      <c r="PH314" s="9"/>
      <c r="PI314" s="9"/>
      <c r="PJ314" s="9"/>
      <c r="PK314" s="9"/>
      <c r="PL314" s="9"/>
      <c r="PM314" s="9"/>
      <c r="PN314" s="9"/>
      <c r="PO314" s="9"/>
      <c r="PP314" s="9"/>
      <c r="PQ314" s="9"/>
      <c r="PR314" s="9"/>
      <c r="PS314" s="9"/>
      <c r="PT314" s="9"/>
      <c r="PU314" s="9"/>
      <c r="PV314" s="9"/>
      <c r="PW314" s="9"/>
      <c r="PX314" s="9"/>
      <c r="PY314" s="9"/>
      <c r="PZ314" s="9"/>
      <c r="QA314" s="9"/>
      <c r="QB314" s="9"/>
      <c r="QC314" s="9"/>
      <c r="QD314" s="9"/>
      <c r="QE314" s="9"/>
      <c r="QF314" s="9"/>
      <c r="QG314" s="9"/>
      <c r="QH314" s="9"/>
      <c r="QI314" s="9"/>
      <c r="QJ314" s="9"/>
      <c r="QK314" s="9"/>
      <c r="QL314" s="9"/>
      <c r="QM314" s="9"/>
      <c r="QN314" s="9"/>
      <c r="QO314" s="9"/>
      <c r="QP314" s="9"/>
      <c r="QQ314" s="67"/>
      <c r="QR314" s="68"/>
      <c r="QS314" s="63"/>
      <c r="QT314" s="71"/>
    </row>
    <row r="315" spans="1:462" s="11" customFormat="1" x14ac:dyDescent="0.2">
      <c r="A315" s="9">
        <v>20</v>
      </c>
      <c r="B315" s="9"/>
      <c r="C315" s="9"/>
      <c r="D315" s="9" t="s">
        <v>413</v>
      </c>
      <c r="E315" s="65" t="s">
        <v>526</v>
      </c>
      <c r="F315" s="65"/>
      <c r="G315" s="92" t="s">
        <v>2303</v>
      </c>
      <c r="H315" s="66" t="s">
        <v>1838</v>
      </c>
      <c r="I315" s="9" t="s">
        <v>1101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  <c r="EN315" s="9"/>
      <c r="EO315" s="9"/>
      <c r="EP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E315" s="9"/>
      <c r="FF315" s="9"/>
      <c r="FG315" s="9"/>
      <c r="FH315" s="9"/>
      <c r="FI315" s="9"/>
      <c r="FJ315" s="9"/>
      <c r="FK315" s="9"/>
      <c r="FL315" s="9"/>
      <c r="FM315" s="9"/>
      <c r="FN315" s="9"/>
      <c r="FO315" s="9"/>
      <c r="FP315" s="9"/>
      <c r="FQ315" s="9"/>
      <c r="FR315" s="9"/>
      <c r="FS315" s="9" t="s">
        <v>1101</v>
      </c>
      <c r="FT315" s="9"/>
      <c r="FU315" s="9" t="s">
        <v>1101</v>
      </c>
      <c r="FV315" s="9"/>
      <c r="FW315" s="9"/>
      <c r="FX315" s="9"/>
      <c r="FY315" s="9"/>
      <c r="FZ315" s="9"/>
      <c r="GA315" s="9"/>
      <c r="GB315" s="9"/>
      <c r="GC315" s="9"/>
      <c r="GD315" s="9"/>
      <c r="GE315" s="9"/>
      <c r="GF315" s="9"/>
      <c r="GG315" s="9"/>
      <c r="GH315" s="9"/>
      <c r="GI315" s="9"/>
      <c r="GJ315" s="9"/>
      <c r="GK315" s="9"/>
      <c r="GL315" s="9"/>
      <c r="GM315" s="9"/>
      <c r="GN315" s="9"/>
      <c r="GO315" s="9"/>
      <c r="GP315" s="9"/>
      <c r="GQ315" s="9"/>
      <c r="GR315" s="9"/>
      <c r="GS315" s="9"/>
      <c r="GT315" s="9"/>
      <c r="GU315" s="9"/>
      <c r="GV315" s="9"/>
      <c r="GW315" s="9"/>
      <c r="GX315" s="9"/>
      <c r="GY315" s="9"/>
      <c r="GZ315" s="9"/>
      <c r="HA315" s="9"/>
      <c r="HB315" s="9"/>
      <c r="HC315" s="9"/>
      <c r="HD315" s="9"/>
      <c r="HE315" s="9"/>
      <c r="HF315" s="9"/>
      <c r="HG315" s="9"/>
      <c r="HH315" s="9"/>
      <c r="HI315" s="9"/>
      <c r="HJ315" s="9"/>
      <c r="HK315" s="9"/>
      <c r="HL315" s="9"/>
      <c r="HM315" s="9"/>
      <c r="HN315" s="9"/>
      <c r="HO315" s="9"/>
      <c r="HP315" s="9"/>
      <c r="HQ315" s="9"/>
      <c r="HR315" s="9"/>
      <c r="HS315" s="9"/>
      <c r="HT315" s="9"/>
      <c r="HU315" s="9"/>
      <c r="HV315" s="9"/>
      <c r="HW315" s="9"/>
      <c r="HX315" s="9"/>
      <c r="HY315" s="9"/>
      <c r="HZ315" s="9"/>
      <c r="IA315" s="9"/>
      <c r="IB315" s="9"/>
      <c r="IC315" s="9"/>
      <c r="ID315" s="9"/>
      <c r="IE315" s="9"/>
      <c r="IF315" s="9"/>
      <c r="IG315" s="9"/>
      <c r="IH315" s="9"/>
      <c r="II315" s="9"/>
      <c r="IJ315" s="9"/>
      <c r="IK315" s="9"/>
      <c r="IL315" s="9"/>
      <c r="IM315" s="9"/>
      <c r="IN315" s="9"/>
      <c r="IO315" s="9"/>
      <c r="IP315" s="9"/>
      <c r="IQ315" s="9"/>
      <c r="IR315" s="9"/>
      <c r="IS315" s="9"/>
      <c r="IT315" s="9"/>
      <c r="IU315" s="9"/>
      <c r="IV315" s="9"/>
      <c r="IW315" s="9"/>
      <c r="IX315" s="9"/>
      <c r="IY315" s="9"/>
      <c r="IZ315" s="9"/>
      <c r="JA315" s="9"/>
      <c r="JB315" s="9"/>
      <c r="JC315" s="9"/>
      <c r="JD315" s="9"/>
      <c r="JE315" s="9"/>
      <c r="JF315" s="9"/>
      <c r="JG315" s="9"/>
      <c r="JH315" s="9"/>
      <c r="JI315" s="9"/>
      <c r="JJ315" s="9"/>
      <c r="JK315" s="9"/>
      <c r="JL315" s="9"/>
      <c r="JM315" s="9"/>
      <c r="JN315" s="9"/>
      <c r="JO315" s="9"/>
      <c r="JP315" s="9"/>
      <c r="JQ315" s="9"/>
      <c r="JR315" s="9"/>
      <c r="JS315" s="9"/>
      <c r="JT315" s="9"/>
      <c r="JU315" s="9"/>
      <c r="JV315" s="9"/>
      <c r="JW315" s="9"/>
      <c r="JX315" s="9"/>
      <c r="JY315" s="9"/>
      <c r="JZ315" s="9"/>
      <c r="KA315" s="9"/>
      <c r="KB315" s="9"/>
      <c r="KC315" s="9"/>
      <c r="KD315" s="9"/>
      <c r="KE315" s="9"/>
      <c r="KF315" s="9"/>
      <c r="KG315" s="9"/>
      <c r="KH315" s="9"/>
      <c r="KI315" s="9"/>
      <c r="KJ315" s="9"/>
      <c r="KK315" s="9"/>
      <c r="KL315" s="9"/>
      <c r="KM315" s="9"/>
      <c r="KN315" s="9"/>
      <c r="KO315" s="9"/>
      <c r="KP315" s="9"/>
      <c r="KQ315" s="9"/>
      <c r="KR315" s="9"/>
      <c r="KS315" s="9"/>
      <c r="KT315" s="9"/>
      <c r="KU315" s="9"/>
      <c r="KV315" s="9"/>
      <c r="KW315" s="9"/>
      <c r="KX315" s="9"/>
      <c r="KY315" s="9"/>
      <c r="KZ315" s="9"/>
      <c r="LA315" s="9"/>
      <c r="LB315" s="9"/>
      <c r="LC315" s="9"/>
      <c r="LD315" s="9"/>
      <c r="LE315" s="9"/>
      <c r="LF315" s="9"/>
      <c r="LG315" s="9"/>
      <c r="LH315" s="9"/>
      <c r="LI315" s="9"/>
      <c r="LJ315" s="9"/>
      <c r="LK315" s="9"/>
      <c r="LL315" s="9"/>
      <c r="LM315" s="9"/>
      <c r="LN315" s="9"/>
      <c r="LO315" s="9"/>
      <c r="LP315" s="9"/>
      <c r="LQ315" s="9"/>
      <c r="LR315" s="9"/>
      <c r="LS315" s="9"/>
      <c r="LT315" s="9"/>
      <c r="LU315" s="9"/>
      <c r="LV315" s="9"/>
      <c r="LW315" s="9"/>
      <c r="LX315" s="9"/>
      <c r="LY315" s="9"/>
      <c r="LZ315" s="9"/>
      <c r="MA315" s="9"/>
      <c r="MB315" s="9"/>
      <c r="MC315" s="9"/>
      <c r="MD315" s="9"/>
      <c r="ME315" s="9"/>
      <c r="MF315" s="9"/>
      <c r="MG315" s="9"/>
      <c r="MH315" s="9"/>
      <c r="MI315" s="9"/>
      <c r="MJ315" s="9"/>
      <c r="MK315" s="9"/>
      <c r="ML315" s="9"/>
      <c r="MM315" s="9"/>
      <c r="MN315" s="9"/>
      <c r="MO315" s="9"/>
      <c r="MP315" s="9"/>
      <c r="MQ315" s="9"/>
      <c r="MR315" s="9"/>
      <c r="MS315" s="9"/>
      <c r="MT315" s="9"/>
      <c r="MU315" s="9"/>
      <c r="MV315" s="9"/>
      <c r="MW315" s="9"/>
      <c r="MX315" s="9"/>
      <c r="MY315" s="9"/>
      <c r="MZ315" s="9"/>
      <c r="NA315" s="9"/>
      <c r="NB315" s="9"/>
      <c r="NC315" s="9"/>
      <c r="ND315" s="9"/>
      <c r="NE315" s="9"/>
      <c r="NF315" s="9"/>
      <c r="NG315" s="9"/>
      <c r="NH315" s="9"/>
      <c r="NI315" s="9"/>
      <c r="NJ315" s="9"/>
      <c r="NK315" s="9"/>
      <c r="NL315" s="9"/>
      <c r="NM315" s="9"/>
      <c r="NN315" s="9"/>
      <c r="NO315" s="9"/>
      <c r="NP315" s="9"/>
      <c r="NQ315" s="9"/>
      <c r="NR315" s="9"/>
      <c r="NS315" s="9"/>
      <c r="NT315" s="9"/>
      <c r="NU315" s="9"/>
      <c r="NV315" s="9"/>
      <c r="NW315" s="9"/>
      <c r="NX315" s="9"/>
      <c r="NY315" s="9"/>
      <c r="NZ315" s="9"/>
      <c r="OA315" s="9"/>
      <c r="OB315" s="9"/>
      <c r="OC315" s="9"/>
      <c r="OD315" s="9"/>
      <c r="OE315" s="9"/>
      <c r="OF315" s="9"/>
      <c r="OG315" s="9"/>
      <c r="OH315" s="9"/>
      <c r="OI315" s="9"/>
      <c r="OJ315" s="9"/>
      <c r="OK315" s="9"/>
      <c r="OL315" s="9"/>
      <c r="OM315" s="9"/>
      <c r="ON315" s="9"/>
      <c r="OO315" s="9"/>
      <c r="OP315" s="9"/>
      <c r="OQ315" s="9"/>
      <c r="OR315" s="9"/>
      <c r="OS315" s="9"/>
      <c r="OT315" s="9"/>
      <c r="OU315" s="9"/>
      <c r="OV315" s="9"/>
      <c r="OW315" s="9"/>
      <c r="OX315" s="9"/>
      <c r="OY315" s="9"/>
      <c r="OZ315" s="9"/>
      <c r="PA315" s="9"/>
      <c r="PB315" s="9"/>
      <c r="PC315" s="9"/>
      <c r="PD315" s="9"/>
      <c r="PE315" s="9"/>
      <c r="PF315" s="9"/>
      <c r="PG315" s="9"/>
      <c r="PH315" s="9"/>
      <c r="PI315" s="9"/>
      <c r="PJ315" s="9"/>
      <c r="PK315" s="9"/>
      <c r="PL315" s="9"/>
      <c r="PM315" s="9"/>
      <c r="PN315" s="9"/>
      <c r="PO315" s="9"/>
      <c r="PP315" s="9"/>
      <c r="PQ315" s="9"/>
      <c r="PR315" s="9"/>
      <c r="PS315" s="9"/>
      <c r="PT315" s="9"/>
      <c r="PU315" s="9"/>
      <c r="PV315" s="9"/>
      <c r="PW315" s="9"/>
      <c r="PX315" s="9"/>
      <c r="PY315" s="9"/>
      <c r="PZ315" s="9"/>
      <c r="QA315" s="9"/>
      <c r="QB315" s="9"/>
      <c r="QC315" s="9"/>
      <c r="QD315" s="9"/>
      <c r="QE315" s="9"/>
      <c r="QF315" s="9"/>
      <c r="QG315" s="9"/>
      <c r="QH315" s="9"/>
      <c r="QI315" s="9"/>
      <c r="QJ315" s="9"/>
      <c r="QK315" s="9"/>
      <c r="QL315" s="9"/>
      <c r="QM315" s="9"/>
      <c r="QN315" s="9"/>
      <c r="QO315" s="9"/>
      <c r="QP315" s="9"/>
      <c r="QQ315" s="67"/>
      <c r="QR315" s="68"/>
      <c r="QS315" s="63"/>
      <c r="QT315" s="71"/>
    </row>
    <row r="316" spans="1:462" s="11" customFormat="1" x14ac:dyDescent="0.2">
      <c r="A316" s="9">
        <v>20</v>
      </c>
      <c r="B316" s="9"/>
      <c r="C316" s="9"/>
      <c r="D316" s="9" t="s">
        <v>420</v>
      </c>
      <c r="E316" s="65" t="s">
        <v>528</v>
      </c>
      <c r="F316" s="65"/>
      <c r="G316" s="92" t="s">
        <v>2341</v>
      </c>
      <c r="H316" s="66" t="s">
        <v>1241</v>
      </c>
      <c r="I316" s="9" t="s">
        <v>1101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  <c r="FO316" s="9"/>
      <c r="FP316" s="9"/>
      <c r="FQ316" s="9"/>
      <c r="FR316" s="9"/>
      <c r="FS316" s="9"/>
      <c r="FT316" s="9"/>
      <c r="FU316" s="9"/>
      <c r="FV316" s="9"/>
      <c r="FW316" s="9"/>
      <c r="FX316" s="9"/>
      <c r="FY316" s="9"/>
      <c r="FZ316" s="9"/>
      <c r="GA316" s="9" t="s">
        <v>1101</v>
      </c>
      <c r="GB316" s="9"/>
      <c r="GC316" s="9" t="s">
        <v>1101</v>
      </c>
      <c r="GD316" s="9"/>
      <c r="GE316" s="9"/>
      <c r="GF316" s="9"/>
      <c r="GG316" s="9"/>
      <c r="GH316" s="9"/>
      <c r="GI316" s="9"/>
      <c r="GJ316" s="9"/>
      <c r="GK316" s="9"/>
      <c r="GL316" s="9"/>
      <c r="GM316" s="9"/>
      <c r="GN316" s="9"/>
      <c r="GO316" s="9"/>
      <c r="GP316" s="9"/>
      <c r="GQ316" s="9"/>
      <c r="GR316" s="9"/>
      <c r="GS316" s="9"/>
      <c r="GT316" s="9"/>
      <c r="GU316" s="9"/>
      <c r="GV316" s="9"/>
      <c r="GW316" s="9"/>
      <c r="GX316" s="9"/>
      <c r="GY316" s="9"/>
      <c r="GZ316" s="9"/>
      <c r="HA316" s="9"/>
      <c r="HB316" s="9"/>
      <c r="HC316" s="9"/>
      <c r="HD316" s="9"/>
      <c r="HE316" s="9"/>
      <c r="HF316" s="9"/>
      <c r="HG316" s="9"/>
      <c r="HH316" s="9"/>
      <c r="HI316" s="9"/>
      <c r="HJ316" s="9"/>
      <c r="HK316" s="9"/>
      <c r="HL316" s="9"/>
      <c r="HM316" s="9"/>
      <c r="HN316" s="9"/>
      <c r="HO316" s="9"/>
      <c r="HP316" s="9"/>
      <c r="HQ316" s="9"/>
      <c r="HR316" s="9"/>
      <c r="HS316" s="9"/>
      <c r="HT316" s="9"/>
      <c r="HU316" s="9"/>
      <c r="HV316" s="9"/>
      <c r="HW316" s="9"/>
      <c r="HX316" s="9"/>
      <c r="HY316" s="9"/>
      <c r="HZ316" s="9"/>
      <c r="IA316" s="9"/>
      <c r="IB316" s="9"/>
      <c r="IC316" s="9"/>
      <c r="ID316" s="9"/>
      <c r="IE316" s="9"/>
      <c r="IF316" s="9"/>
      <c r="IG316" s="9"/>
      <c r="IH316" s="9"/>
      <c r="II316" s="9"/>
      <c r="IJ316" s="9"/>
      <c r="IK316" s="9"/>
      <c r="IL316" s="9"/>
      <c r="IM316" s="9"/>
      <c r="IN316" s="9"/>
      <c r="IO316" s="9"/>
      <c r="IP316" s="9"/>
      <c r="IQ316" s="9"/>
      <c r="IR316" s="9"/>
      <c r="IS316" s="9"/>
      <c r="IT316" s="9"/>
      <c r="IU316" s="9"/>
      <c r="IV316" s="9"/>
      <c r="IW316" s="9"/>
      <c r="IX316" s="9"/>
      <c r="IY316" s="9"/>
      <c r="IZ316" s="9"/>
      <c r="JA316" s="9"/>
      <c r="JB316" s="9"/>
      <c r="JC316" s="9"/>
      <c r="JD316" s="9"/>
      <c r="JE316" s="9"/>
      <c r="JF316" s="9"/>
      <c r="JG316" s="9"/>
      <c r="JH316" s="9"/>
      <c r="JI316" s="9"/>
      <c r="JJ316" s="9"/>
      <c r="JK316" s="9"/>
      <c r="JL316" s="9"/>
      <c r="JM316" s="9"/>
      <c r="JN316" s="9"/>
      <c r="JO316" s="9"/>
      <c r="JP316" s="9"/>
      <c r="JQ316" s="9"/>
      <c r="JR316" s="9"/>
      <c r="JS316" s="9"/>
      <c r="JT316" s="9"/>
      <c r="JU316" s="9"/>
      <c r="JV316" s="9"/>
      <c r="JW316" s="9"/>
      <c r="JX316" s="9"/>
      <c r="JY316" s="9"/>
      <c r="JZ316" s="9"/>
      <c r="KA316" s="9"/>
      <c r="KB316" s="9"/>
      <c r="KC316" s="9"/>
      <c r="KD316" s="9"/>
      <c r="KE316" s="9"/>
      <c r="KF316" s="9"/>
      <c r="KG316" s="9"/>
      <c r="KH316" s="9"/>
      <c r="KI316" s="9"/>
      <c r="KJ316" s="9"/>
      <c r="KK316" s="9"/>
      <c r="KL316" s="9"/>
      <c r="KM316" s="9"/>
      <c r="KN316" s="9"/>
      <c r="KO316" s="9"/>
      <c r="KP316" s="9"/>
      <c r="KQ316" s="9"/>
      <c r="KR316" s="9"/>
      <c r="KS316" s="9"/>
      <c r="KT316" s="9"/>
      <c r="KU316" s="9"/>
      <c r="KV316" s="9"/>
      <c r="KW316" s="9"/>
      <c r="KX316" s="9"/>
      <c r="KY316" s="9"/>
      <c r="KZ316" s="9"/>
      <c r="LA316" s="9"/>
      <c r="LB316" s="9"/>
      <c r="LC316" s="9"/>
      <c r="LD316" s="9"/>
      <c r="LE316" s="9"/>
      <c r="LF316" s="9"/>
      <c r="LG316" s="9"/>
      <c r="LH316" s="9"/>
      <c r="LI316" s="9"/>
      <c r="LJ316" s="9"/>
      <c r="LK316" s="9"/>
      <c r="LL316" s="9"/>
      <c r="LM316" s="9"/>
      <c r="LN316" s="9"/>
      <c r="LO316" s="9"/>
      <c r="LP316" s="9"/>
      <c r="LQ316" s="9"/>
      <c r="LR316" s="9"/>
      <c r="LS316" s="9"/>
      <c r="LT316" s="9"/>
      <c r="LU316" s="9"/>
      <c r="LV316" s="9"/>
      <c r="LW316" s="9"/>
      <c r="LX316" s="9"/>
      <c r="LY316" s="9"/>
      <c r="LZ316" s="9"/>
      <c r="MA316" s="9"/>
      <c r="MB316" s="9"/>
      <c r="MC316" s="9"/>
      <c r="MD316" s="9"/>
      <c r="ME316" s="9"/>
      <c r="MF316" s="9"/>
      <c r="MG316" s="9"/>
      <c r="MH316" s="9"/>
      <c r="MI316" s="9"/>
      <c r="MJ316" s="9"/>
      <c r="MK316" s="9"/>
      <c r="ML316" s="9"/>
      <c r="MM316" s="9"/>
      <c r="MN316" s="9"/>
      <c r="MO316" s="9"/>
      <c r="MP316" s="9"/>
      <c r="MQ316" s="9"/>
      <c r="MR316" s="9"/>
      <c r="MS316" s="9"/>
      <c r="MT316" s="9"/>
      <c r="MU316" s="9"/>
      <c r="MV316" s="9"/>
      <c r="MW316" s="9"/>
      <c r="MX316" s="9"/>
      <c r="MY316" s="9"/>
      <c r="MZ316" s="9"/>
      <c r="NA316" s="9"/>
      <c r="NB316" s="9"/>
      <c r="NC316" s="9"/>
      <c r="ND316" s="9"/>
      <c r="NE316" s="9"/>
      <c r="NF316" s="9"/>
      <c r="NG316" s="9"/>
      <c r="NH316" s="9"/>
      <c r="NI316" s="9"/>
      <c r="NJ316" s="9"/>
      <c r="NK316" s="9"/>
      <c r="NL316" s="9"/>
      <c r="NM316" s="9"/>
      <c r="NN316" s="9"/>
      <c r="NO316" s="9"/>
      <c r="NP316" s="9"/>
      <c r="NQ316" s="9"/>
      <c r="NR316" s="9"/>
      <c r="NS316" s="9"/>
      <c r="NT316" s="9"/>
      <c r="NU316" s="9"/>
      <c r="NV316" s="9"/>
      <c r="NW316" s="9"/>
      <c r="NX316" s="9"/>
      <c r="NY316" s="9"/>
      <c r="NZ316" s="9"/>
      <c r="OA316" s="9"/>
      <c r="OB316" s="9"/>
      <c r="OC316" s="9"/>
      <c r="OD316" s="9"/>
      <c r="OE316" s="9"/>
      <c r="OF316" s="9"/>
      <c r="OG316" s="9"/>
      <c r="OH316" s="9"/>
      <c r="OI316" s="9"/>
      <c r="OJ316" s="9"/>
      <c r="OK316" s="9"/>
      <c r="OL316" s="9"/>
      <c r="OM316" s="9"/>
      <c r="ON316" s="9"/>
      <c r="OO316" s="9"/>
      <c r="OP316" s="9"/>
      <c r="OQ316" s="9"/>
      <c r="OR316" s="9"/>
      <c r="OS316" s="9"/>
      <c r="OT316" s="9"/>
      <c r="OU316" s="9"/>
      <c r="OV316" s="9"/>
      <c r="OW316" s="9"/>
      <c r="OX316" s="9"/>
      <c r="OY316" s="9"/>
      <c r="OZ316" s="9"/>
      <c r="PA316" s="9"/>
      <c r="PB316" s="9"/>
      <c r="PC316" s="9"/>
      <c r="PD316" s="9"/>
      <c r="PE316" s="9"/>
      <c r="PF316" s="9"/>
      <c r="PG316" s="9"/>
      <c r="PH316" s="9"/>
      <c r="PI316" s="9"/>
      <c r="PJ316" s="9"/>
      <c r="PK316" s="9"/>
      <c r="PL316" s="9"/>
      <c r="PM316" s="9"/>
      <c r="PN316" s="9"/>
      <c r="PO316" s="9"/>
      <c r="PP316" s="9"/>
      <c r="PQ316" s="9"/>
      <c r="PR316" s="9"/>
      <c r="PS316" s="9"/>
      <c r="PT316" s="9"/>
      <c r="PU316" s="9"/>
      <c r="PV316" s="9"/>
      <c r="PW316" s="9"/>
      <c r="PX316" s="9"/>
      <c r="PY316" s="9"/>
      <c r="PZ316" s="9"/>
      <c r="QA316" s="9"/>
      <c r="QB316" s="9"/>
      <c r="QC316" s="9"/>
      <c r="QD316" s="9"/>
      <c r="QE316" s="9"/>
      <c r="QF316" s="9"/>
      <c r="QG316" s="9"/>
      <c r="QH316" s="9"/>
      <c r="QI316" s="9"/>
      <c r="QJ316" s="9"/>
      <c r="QK316" s="9"/>
      <c r="QL316" s="9"/>
      <c r="QM316" s="9"/>
      <c r="QN316" s="9"/>
      <c r="QO316" s="9"/>
      <c r="QP316" s="9"/>
      <c r="QQ316" s="67"/>
      <c r="QR316" s="68"/>
      <c r="QS316" s="63"/>
      <c r="QT316" s="71"/>
    </row>
    <row r="317" spans="1:462" s="11" customFormat="1" x14ac:dyDescent="0.2">
      <c r="A317" s="9">
        <v>20</v>
      </c>
      <c r="B317" s="9"/>
      <c r="C317" s="9"/>
      <c r="D317" s="9" t="s">
        <v>423</v>
      </c>
      <c r="E317" s="65" t="s">
        <v>531</v>
      </c>
      <c r="F317" s="65"/>
      <c r="G317" s="92" t="s">
        <v>2345</v>
      </c>
      <c r="H317" s="66" t="s">
        <v>1245</v>
      </c>
      <c r="I317" s="9" t="s">
        <v>1101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  <c r="EN317" s="9"/>
      <c r="EO317" s="9"/>
      <c r="EP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E317" s="9"/>
      <c r="FF317" s="9"/>
      <c r="FG317" s="9"/>
      <c r="FH317" s="9"/>
      <c r="FI317" s="9"/>
      <c r="FJ317" s="9"/>
      <c r="FK317" s="9"/>
      <c r="FL317" s="9"/>
      <c r="FM317" s="9"/>
      <c r="FN317" s="9"/>
      <c r="FO317" s="9"/>
      <c r="FP317" s="9"/>
      <c r="FQ317" s="9"/>
      <c r="FR317" s="9"/>
      <c r="FS317" s="9"/>
      <c r="FT317" s="9"/>
      <c r="FU317" s="9"/>
      <c r="FV317" s="9"/>
      <c r="FW317" s="9"/>
      <c r="FX317" s="9"/>
      <c r="FY317" s="9"/>
      <c r="FZ317" s="9"/>
      <c r="GA317" s="9"/>
      <c r="GB317" s="9"/>
      <c r="GC317" s="9"/>
      <c r="GD317" s="9"/>
      <c r="GE317" s="9"/>
      <c r="GF317" s="9"/>
      <c r="GG317" s="9"/>
      <c r="GH317" s="9"/>
      <c r="GI317" s="9" t="s">
        <v>1101</v>
      </c>
      <c r="GJ317" s="9"/>
      <c r="GK317" s="9" t="s">
        <v>1101</v>
      </c>
      <c r="GL317" s="9"/>
      <c r="GM317" s="9"/>
      <c r="GN317" s="9"/>
      <c r="GO317" s="9"/>
      <c r="GP317" s="9"/>
      <c r="GQ317" s="9"/>
      <c r="GR317" s="9"/>
      <c r="GS317" s="9"/>
      <c r="GT317" s="9"/>
      <c r="GU317" s="9"/>
      <c r="GV317" s="9"/>
      <c r="GW317" s="9"/>
      <c r="GX317" s="9"/>
      <c r="GY317" s="9"/>
      <c r="GZ317" s="9"/>
      <c r="HA317" s="9"/>
      <c r="HB317" s="9"/>
      <c r="HC317" s="9"/>
      <c r="HD317" s="9"/>
      <c r="HE317" s="9"/>
      <c r="HF317" s="9"/>
      <c r="HG317" s="9"/>
      <c r="HH317" s="9"/>
      <c r="HI317" s="9"/>
      <c r="HJ317" s="9"/>
      <c r="HK317" s="9"/>
      <c r="HL317" s="9"/>
      <c r="HM317" s="9"/>
      <c r="HN317" s="9"/>
      <c r="HO317" s="9"/>
      <c r="HP317" s="9"/>
      <c r="HQ317" s="9"/>
      <c r="HR317" s="9"/>
      <c r="HS317" s="9"/>
      <c r="HT317" s="9"/>
      <c r="HU317" s="9"/>
      <c r="HV317" s="9"/>
      <c r="HW317" s="9"/>
      <c r="HX317" s="9"/>
      <c r="HY317" s="9"/>
      <c r="HZ317" s="9"/>
      <c r="IA317" s="9"/>
      <c r="IB317" s="9"/>
      <c r="IC317" s="9"/>
      <c r="ID317" s="9"/>
      <c r="IE317" s="9"/>
      <c r="IF317" s="9"/>
      <c r="IG317" s="9"/>
      <c r="IH317" s="9"/>
      <c r="II317" s="9"/>
      <c r="IJ317" s="9"/>
      <c r="IK317" s="9"/>
      <c r="IL317" s="9"/>
      <c r="IM317" s="9"/>
      <c r="IN317" s="9"/>
      <c r="IO317" s="9"/>
      <c r="IP317" s="9"/>
      <c r="IQ317" s="9"/>
      <c r="IR317" s="9"/>
      <c r="IS317" s="9"/>
      <c r="IT317" s="9"/>
      <c r="IU317" s="9"/>
      <c r="IV317" s="9"/>
      <c r="IW317" s="9"/>
      <c r="IX317" s="9"/>
      <c r="IY317" s="9"/>
      <c r="IZ317" s="9"/>
      <c r="JA317" s="9"/>
      <c r="JB317" s="9"/>
      <c r="JC317" s="9"/>
      <c r="JD317" s="9"/>
      <c r="JE317" s="9"/>
      <c r="JF317" s="9"/>
      <c r="JG317" s="9"/>
      <c r="JH317" s="9"/>
      <c r="JI317" s="9"/>
      <c r="JJ317" s="9"/>
      <c r="JK317" s="9"/>
      <c r="JL317" s="9"/>
      <c r="JM317" s="9"/>
      <c r="JN317" s="9"/>
      <c r="JO317" s="9"/>
      <c r="JP317" s="9"/>
      <c r="JQ317" s="9"/>
      <c r="JR317" s="9"/>
      <c r="JS317" s="9"/>
      <c r="JT317" s="9"/>
      <c r="JU317" s="9"/>
      <c r="JV317" s="9"/>
      <c r="JW317" s="9"/>
      <c r="JX317" s="9"/>
      <c r="JY317" s="9"/>
      <c r="JZ317" s="9"/>
      <c r="KA317" s="9"/>
      <c r="KB317" s="9"/>
      <c r="KC317" s="9"/>
      <c r="KD317" s="9"/>
      <c r="KE317" s="9"/>
      <c r="KF317" s="9"/>
      <c r="KG317" s="9"/>
      <c r="KH317" s="9"/>
      <c r="KI317" s="9"/>
      <c r="KJ317" s="9"/>
      <c r="KK317" s="9"/>
      <c r="KL317" s="9"/>
      <c r="KM317" s="9"/>
      <c r="KN317" s="9"/>
      <c r="KO317" s="9"/>
      <c r="KP317" s="9"/>
      <c r="KQ317" s="9"/>
      <c r="KR317" s="9"/>
      <c r="KS317" s="9"/>
      <c r="KT317" s="9"/>
      <c r="KU317" s="9"/>
      <c r="KV317" s="9"/>
      <c r="KW317" s="9"/>
      <c r="KX317" s="9"/>
      <c r="KY317" s="9"/>
      <c r="KZ317" s="9"/>
      <c r="LA317" s="9"/>
      <c r="LB317" s="9"/>
      <c r="LC317" s="9"/>
      <c r="LD317" s="9"/>
      <c r="LE317" s="9"/>
      <c r="LF317" s="9"/>
      <c r="LG317" s="9"/>
      <c r="LH317" s="9"/>
      <c r="LI317" s="9"/>
      <c r="LJ317" s="9"/>
      <c r="LK317" s="9"/>
      <c r="LL317" s="9"/>
      <c r="LM317" s="9"/>
      <c r="LN317" s="9"/>
      <c r="LO317" s="9"/>
      <c r="LP317" s="9"/>
      <c r="LQ317" s="9"/>
      <c r="LR317" s="9"/>
      <c r="LS317" s="9"/>
      <c r="LT317" s="9"/>
      <c r="LU317" s="9"/>
      <c r="LV317" s="9"/>
      <c r="LW317" s="9"/>
      <c r="LX317" s="9"/>
      <c r="LY317" s="9"/>
      <c r="LZ317" s="9"/>
      <c r="MA317" s="9"/>
      <c r="MB317" s="9"/>
      <c r="MC317" s="9"/>
      <c r="MD317" s="9"/>
      <c r="ME317" s="9"/>
      <c r="MF317" s="9"/>
      <c r="MG317" s="9"/>
      <c r="MH317" s="9"/>
      <c r="MI317" s="9"/>
      <c r="MJ317" s="9"/>
      <c r="MK317" s="9"/>
      <c r="ML317" s="9"/>
      <c r="MM317" s="9"/>
      <c r="MN317" s="9"/>
      <c r="MO317" s="9"/>
      <c r="MP317" s="9"/>
      <c r="MQ317" s="9"/>
      <c r="MR317" s="9"/>
      <c r="MS317" s="9"/>
      <c r="MT317" s="9"/>
      <c r="MU317" s="9"/>
      <c r="MV317" s="9"/>
      <c r="MW317" s="9"/>
      <c r="MX317" s="9"/>
      <c r="MY317" s="9"/>
      <c r="MZ317" s="9"/>
      <c r="NA317" s="9"/>
      <c r="NB317" s="9"/>
      <c r="NC317" s="9"/>
      <c r="ND317" s="9"/>
      <c r="NE317" s="9"/>
      <c r="NF317" s="9"/>
      <c r="NG317" s="9"/>
      <c r="NH317" s="9"/>
      <c r="NI317" s="9"/>
      <c r="NJ317" s="9"/>
      <c r="NK317" s="9"/>
      <c r="NL317" s="9"/>
      <c r="NM317" s="9"/>
      <c r="NN317" s="9"/>
      <c r="NO317" s="9"/>
      <c r="NP317" s="9"/>
      <c r="NQ317" s="9"/>
      <c r="NR317" s="9"/>
      <c r="NS317" s="9"/>
      <c r="NT317" s="9"/>
      <c r="NU317" s="9"/>
      <c r="NV317" s="9"/>
      <c r="NW317" s="9"/>
      <c r="NX317" s="9"/>
      <c r="NY317" s="9"/>
      <c r="NZ317" s="9"/>
      <c r="OA317" s="9"/>
      <c r="OB317" s="9"/>
      <c r="OC317" s="9"/>
      <c r="OD317" s="9"/>
      <c r="OE317" s="9"/>
      <c r="OF317" s="9"/>
      <c r="OG317" s="9"/>
      <c r="OH317" s="9"/>
      <c r="OI317" s="9"/>
      <c r="OJ317" s="9"/>
      <c r="OK317" s="9"/>
      <c r="OL317" s="9"/>
      <c r="OM317" s="9"/>
      <c r="ON317" s="9"/>
      <c r="OO317" s="9"/>
      <c r="OP317" s="9"/>
      <c r="OQ317" s="9"/>
      <c r="OR317" s="9"/>
      <c r="OS317" s="9"/>
      <c r="OT317" s="9"/>
      <c r="OU317" s="9"/>
      <c r="OV317" s="9"/>
      <c r="OW317" s="9"/>
      <c r="OX317" s="9"/>
      <c r="OY317" s="9"/>
      <c r="OZ317" s="9"/>
      <c r="PA317" s="9"/>
      <c r="PB317" s="9"/>
      <c r="PC317" s="9"/>
      <c r="PD317" s="9"/>
      <c r="PE317" s="9"/>
      <c r="PF317" s="9"/>
      <c r="PG317" s="9"/>
      <c r="PH317" s="9"/>
      <c r="PI317" s="9"/>
      <c r="PJ317" s="9"/>
      <c r="PK317" s="9"/>
      <c r="PL317" s="9"/>
      <c r="PM317" s="9"/>
      <c r="PN317" s="9"/>
      <c r="PO317" s="9"/>
      <c r="PP317" s="9"/>
      <c r="PQ317" s="9"/>
      <c r="PR317" s="9"/>
      <c r="PS317" s="9"/>
      <c r="PT317" s="9"/>
      <c r="PU317" s="9"/>
      <c r="PV317" s="9"/>
      <c r="PW317" s="9"/>
      <c r="PX317" s="9"/>
      <c r="PY317" s="9"/>
      <c r="PZ317" s="9"/>
      <c r="QA317" s="9"/>
      <c r="QB317" s="9"/>
      <c r="QC317" s="9"/>
      <c r="QD317" s="9"/>
      <c r="QE317" s="9"/>
      <c r="QF317" s="9"/>
      <c r="QG317" s="9"/>
      <c r="QH317" s="9"/>
      <c r="QI317" s="9"/>
      <c r="QJ317" s="9"/>
      <c r="QK317" s="9"/>
      <c r="QL317" s="9"/>
      <c r="QM317" s="9"/>
      <c r="QN317" s="9"/>
      <c r="QO317" s="9"/>
      <c r="QP317" s="9"/>
      <c r="QQ317" s="67"/>
      <c r="QR317" s="68"/>
      <c r="QS317" s="63"/>
      <c r="QT317" s="71"/>
    </row>
    <row r="318" spans="1:462" s="11" customFormat="1" x14ac:dyDescent="0.2">
      <c r="A318" s="9">
        <v>20</v>
      </c>
      <c r="B318" s="9"/>
      <c r="C318" s="9"/>
      <c r="D318" s="9" t="s">
        <v>678</v>
      </c>
      <c r="E318" s="65" t="s">
        <v>679</v>
      </c>
      <c r="F318" s="65"/>
      <c r="G318" s="92" t="s">
        <v>2347</v>
      </c>
      <c r="H318" s="66" t="s">
        <v>1247</v>
      </c>
      <c r="I318" s="9" t="s">
        <v>1101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  <c r="FI318" s="9"/>
      <c r="FJ318" s="9"/>
      <c r="FK318" s="9"/>
      <c r="FL318" s="9"/>
      <c r="FM318" s="9"/>
      <c r="FN318" s="9"/>
      <c r="FO318" s="9"/>
      <c r="FP318" s="9"/>
      <c r="FQ318" s="9"/>
      <c r="FR318" s="9"/>
      <c r="FS318" s="9"/>
      <c r="FT318" s="9"/>
      <c r="FU318" s="9"/>
      <c r="FV318" s="9"/>
      <c r="FW318" s="9"/>
      <c r="FX318" s="9"/>
      <c r="FY318" s="9"/>
      <c r="FZ318" s="9"/>
      <c r="GA318" s="9"/>
      <c r="GB318" s="9"/>
      <c r="GC318" s="9"/>
      <c r="GD318" s="9"/>
      <c r="GE318" s="9"/>
      <c r="GF318" s="9"/>
      <c r="GG318" s="9"/>
      <c r="GH318" s="9"/>
      <c r="GI318" s="9" t="s">
        <v>1101</v>
      </c>
      <c r="GJ318" s="9"/>
      <c r="GK318" s="9" t="s">
        <v>1101</v>
      </c>
      <c r="GL318" s="9"/>
      <c r="GM318" s="9"/>
      <c r="GN318" s="9"/>
      <c r="GO318" s="9"/>
      <c r="GP318" s="9"/>
      <c r="GQ318" s="9"/>
      <c r="GR318" s="9"/>
      <c r="GS318" s="9"/>
      <c r="GT318" s="9"/>
      <c r="GU318" s="9"/>
      <c r="GV318" s="9"/>
      <c r="GW318" s="9"/>
      <c r="GX318" s="9"/>
      <c r="GY318" s="9"/>
      <c r="GZ318" s="9"/>
      <c r="HA318" s="9"/>
      <c r="HB318" s="9"/>
      <c r="HC318" s="9"/>
      <c r="HD318" s="9"/>
      <c r="HE318" s="9"/>
      <c r="HF318" s="9"/>
      <c r="HG318" s="9"/>
      <c r="HH318" s="9"/>
      <c r="HI318" s="9"/>
      <c r="HJ318" s="9"/>
      <c r="HK318" s="9"/>
      <c r="HL318" s="9"/>
      <c r="HM318" s="9"/>
      <c r="HN318" s="9"/>
      <c r="HO318" s="9"/>
      <c r="HP318" s="9"/>
      <c r="HQ318" s="9"/>
      <c r="HR318" s="9"/>
      <c r="HS318" s="9"/>
      <c r="HT318" s="9"/>
      <c r="HU318" s="9"/>
      <c r="HV318" s="9"/>
      <c r="HW318" s="9"/>
      <c r="HX318" s="9"/>
      <c r="HY318" s="9"/>
      <c r="HZ318" s="9"/>
      <c r="IA318" s="9"/>
      <c r="IB318" s="9"/>
      <c r="IC318" s="9"/>
      <c r="ID318" s="9"/>
      <c r="IE318" s="9"/>
      <c r="IF318" s="9"/>
      <c r="IG318" s="9"/>
      <c r="IH318" s="9"/>
      <c r="II318" s="9"/>
      <c r="IJ318" s="9"/>
      <c r="IK318" s="9"/>
      <c r="IL318" s="9"/>
      <c r="IM318" s="9"/>
      <c r="IN318" s="9"/>
      <c r="IO318" s="9"/>
      <c r="IP318" s="9"/>
      <c r="IQ318" s="9"/>
      <c r="IR318" s="9"/>
      <c r="IS318" s="9"/>
      <c r="IT318" s="9"/>
      <c r="IU318" s="9"/>
      <c r="IV318" s="9"/>
      <c r="IW318" s="9"/>
      <c r="IX318" s="9"/>
      <c r="IY318" s="9"/>
      <c r="IZ318" s="9"/>
      <c r="JA318" s="9"/>
      <c r="JB318" s="9"/>
      <c r="JC318" s="9"/>
      <c r="JD318" s="9"/>
      <c r="JE318" s="9"/>
      <c r="JF318" s="9"/>
      <c r="JG318" s="9"/>
      <c r="JH318" s="9"/>
      <c r="JI318" s="9"/>
      <c r="JJ318" s="9"/>
      <c r="JK318" s="9"/>
      <c r="JL318" s="9"/>
      <c r="JM318" s="9"/>
      <c r="JN318" s="9"/>
      <c r="JO318" s="9"/>
      <c r="JP318" s="9"/>
      <c r="JQ318" s="9"/>
      <c r="JR318" s="9"/>
      <c r="JS318" s="9"/>
      <c r="JT318" s="9"/>
      <c r="JU318" s="9"/>
      <c r="JV318" s="9"/>
      <c r="JW318" s="9"/>
      <c r="JX318" s="9"/>
      <c r="JY318" s="9"/>
      <c r="JZ318" s="9"/>
      <c r="KA318" s="9"/>
      <c r="KB318" s="9"/>
      <c r="KC318" s="9"/>
      <c r="KD318" s="9"/>
      <c r="KE318" s="9"/>
      <c r="KF318" s="9"/>
      <c r="KG318" s="9"/>
      <c r="KH318" s="9"/>
      <c r="KI318" s="9"/>
      <c r="KJ318" s="9"/>
      <c r="KK318" s="9"/>
      <c r="KL318" s="9"/>
      <c r="KM318" s="9"/>
      <c r="KN318" s="9"/>
      <c r="KO318" s="9"/>
      <c r="KP318" s="9"/>
      <c r="KQ318" s="9"/>
      <c r="KR318" s="9"/>
      <c r="KS318" s="9"/>
      <c r="KT318" s="9"/>
      <c r="KU318" s="9"/>
      <c r="KV318" s="9"/>
      <c r="KW318" s="9"/>
      <c r="KX318" s="9"/>
      <c r="KY318" s="9"/>
      <c r="KZ318" s="9"/>
      <c r="LA318" s="9"/>
      <c r="LB318" s="9"/>
      <c r="LC318" s="9"/>
      <c r="LD318" s="9"/>
      <c r="LE318" s="9"/>
      <c r="LF318" s="9"/>
      <c r="LG318" s="9"/>
      <c r="LH318" s="9"/>
      <c r="LI318" s="9"/>
      <c r="LJ318" s="9"/>
      <c r="LK318" s="9"/>
      <c r="LL318" s="9"/>
      <c r="LM318" s="9"/>
      <c r="LN318" s="9"/>
      <c r="LO318" s="9"/>
      <c r="LP318" s="9"/>
      <c r="LQ318" s="9"/>
      <c r="LR318" s="9"/>
      <c r="LS318" s="9"/>
      <c r="LT318" s="9"/>
      <c r="LU318" s="9"/>
      <c r="LV318" s="9"/>
      <c r="LW318" s="9"/>
      <c r="LX318" s="9"/>
      <c r="LY318" s="9"/>
      <c r="LZ318" s="9"/>
      <c r="MA318" s="9"/>
      <c r="MB318" s="9"/>
      <c r="MC318" s="9"/>
      <c r="MD318" s="9"/>
      <c r="ME318" s="9"/>
      <c r="MF318" s="9"/>
      <c r="MG318" s="9"/>
      <c r="MH318" s="9"/>
      <c r="MI318" s="9"/>
      <c r="MJ318" s="9"/>
      <c r="MK318" s="9"/>
      <c r="ML318" s="9"/>
      <c r="MM318" s="9"/>
      <c r="MN318" s="9"/>
      <c r="MO318" s="9"/>
      <c r="MP318" s="9"/>
      <c r="MQ318" s="9"/>
      <c r="MR318" s="9"/>
      <c r="MS318" s="9"/>
      <c r="MT318" s="9"/>
      <c r="MU318" s="9"/>
      <c r="MV318" s="9"/>
      <c r="MW318" s="9"/>
      <c r="MX318" s="9"/>
      <c r="MY318" s="9"/>
      <c r="MZ318" s="9"/>
      <c r="NA318" s="9"/>
      <c r="NB318" s="9"/>
      <c r="NC318" s="9"/>
      <c r="ND318" s="9"/>
      <c r="NE318" s="9"/>
      <c r="NF318" s="9"/>
      <c r="NG318" s="9"/>
      <c r="NH318" s="9"/>
      <c r="NI318" s="9"/>
      <c r="NJ318" s="9"/>
      <c r="NK318" s="9"/>
      <c r="NL318" s="9"/>
      <c r="NM318" s="9"/>
      <c r="NN318" s="9"/>
      <c r="NO318" s="9"/>
      <c r="NP318" s="9"/>
      <c r="NQ318" s="9"/>
      <c r="NR318" s="9"/>
      <c r="NS318" s="9"/>
      <c r="NT318" s="9"/>
      <c r="NU318" s="9"/>
      <c r="NV318" s="9"/>
      <c r="NW318" s="9"/>
      <c r="NX318" s="9"/>
      <c r="NY318" s="9"/>
      <c r="NZ318" s="9"/>
      <c r="OA318" s="9"/>
      <c r="OB318" s="9"/>
      <c r="OC318" s="9"/>
      <c r="OD318" s="9"/>
      <c r="OE318" s="9"/>
      <c r="OF318" s="9"/>
      <c r="OG318" s="9"/>
      <c r="OH318" s="9"/>
      <c r="OI318" s="9"/>
      <c r="OJ318" s="9"/>
      <c r="OK318" s="9"/>
      <c r="OL318" s="9"/>
      <c r="OM318" s="9"/>
      <c r="ON318" s="9"/>
      <c r="OO318" s="9"/>
      <c r="OP318" s="9"/>
      <c r="OQ318" s="9"/>
      <c r="OR318" s="9"/>
      <c r="OS318" s="9"/>
      <c r="OT318" s="9"/>
      <c r="OU318" s="9"/>
      <c r="OV318" s="9"/>
      <c r="OW318" s="9"/>
      <c r="OX318" s="9"/>
      <c r="OY318" s="9"/>
      <c r="OZ318" s="9"/>
      <c r="PA318" s="9"/>
      <c r="PB318" s="9"/>
      <c r="PC318" s="9"/>
      <c r="PD318" s="9"/>
      <c r="PE318" s="9"/>
      <c r="PF318" s="9"/>
      <c r="PG318" s="9"/>
      <c r="PH318" s="9"/>
      <c r="PI318" s="9"/>
      <c r="PJ318" s="9"/>
      <c r="PK318" s="9"/>
      <c r="PL318" s="9"/>
      <c r="PM318" s="9"/>
      <c r="PN318" s="9"/>
      <c r="PO318" s="9"/>
      <c r="PP318" s="9"/>
      <c r="PQ318" s="9"/>
      <c r="PR318" s="9"/>
      <c r="PS318" s="9"/>
      <c r="PT318" s="9"/>
      <c r="PU318" s="9"/>
      <c r="PV318" s="9"/>
      <c r="PW318" s="9"/>
      <c r="PX318" s="9"/>
      <c r="PY318" s="9"/>
      <c r="PZ318" s="9"/>
      <c r="QA318" s="9"/>
      <c r="QB318" s="9"/>
      <c r="QC318" s="9"/>
      <c r="QD318" s="9"/>
      <c r="QE318" s="9"/>
      <c r="QF318" s="9"/>
      <c r="QG318" s="9"/>
      <c r="QH318" s="9"/>
      <c r="QI318" s="9"/>
      <c r="QJ318" s="9"/>
      <c r="QK318" s="9"/>
      <c r="QL318" s="9"/>
      <c r="QM318" s="9"/>
      <c r="QN318" s="9"/>
      <c r="QO318" s="9"/>
      <c r="QP318" s="9"/>
      <c r="QQ318" s="67"/>
      <c r="QR318" s="68"/>
      <c r="QS318" s="63"/>
      <c r="QT318" s="71"/>
    </row>
    <row r="319" spans="1:462" s="11" customFormat="1" x14ac:dyDescent="0.2">
      <c r="A319" s="9">
        <v>20</v>
      </c>
      <c r="B319" s="9"/>
      <c r="C319" s="9"/>
      <c r="D319" s="9" t="s">
        <v>426</v>
      </c>
      <c r="E319" s="65" t="s">
        <v>534</v>
      </c>
      <c r="F319" s="65"/>
      <c r="G319" s="92" t="s">
        <v>2349</v>
      </c>
      <c r="H319" s="66" t="s">
        <v>1250</v>
      </c>
      <c r="I319" s="9" t="s">
        <v>1101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  <c r="EN319" s="9"/>
      <c r="EO319" s="9"/>
      <c r="EP319" s="9"/>
      <c r="EQ319" s="9"/>
      <c r="ER319" s="9"/>
      <c r="ES319" s="9"/>
      <c r="ET319" s="9"/>
      <c r="EU319" s="9"/>
      <c r="EV319" s="9"/>
      <c r="EW319" s="9"/>
      <c r="EX319" s="9"/>
      <c r="EY319" s="9"/>
      <c r="EZ319" s="9"/>
      <c r="FA319" s="9"/>
      <c r="FB319" s="9"/>
      <c r="FC319" s="9"/>
      <c r="FD319" s="9"/>
      <c r="FE319" s="9"/>
      <c r="FF319" s="9"/>
      <c r="FG319" s="9"/>
      <c r="FH319" s="9"/>
      <c r="FI319" s="9"/>
      <c r="FJ319" s="9"/>
      <c r="FK319" s="9"/>
      <c r="FL319" s="9"/>
      <c r="FM319" s="9"/>
      <c r="FN319" s="9"/>
      <c r="FO319" s="9"/>
      <c r="FP319" s="9"/>
      <c r="FQ319" s="9"/>
      <c r="FR319" s="9"/>
      <c r="FS319" s="9"/>
      <c r="FT319" s="9"/>
      <c r="FU319" s="9"/>
      <c r="FV319" s="9"/>
      <c r="FW319" s="9"/>
      <c r="FX319" s="9"/>
      <c r="FY319" s="9"/>
      <c r="FZ319" s="9"/>
      <c r="GA319" s="9"/>
      <c r="GB319" s="9"/>
      <c r="GC319" s="9"/>
      <c r="GD319" s="9"/>
      <c r="GE319" s="9"/>
      <c r="GF319" s="9"/>
      <c r="GG319" s="9"/>
      <c r="GH319" s="9"/>
      <c r="GI319" s="9"/>
      <c r="GJ319" s="9"/>
      <c r="GK319" s="9"/>
      <c r="GL319" s="9"/>
      <c r="GM319" s="9"/>
      <c r="GN319" s="9"/>
      <c r="GO319" s="9"/>
      <c r="GP319" s="9"/>
      <c r="GQ319" s="9" t="s">
        <v>1101</v>
      </c>
      <c r="GR319" s="9"/>
      <c r="GS319" s="9" t="s">
        <v>1101</v>
      </c>
      <c r="GT319" s="9"/>
      <c r="GU319" s="9"/>
      <c r="GV319" s="9"/>
      <c r="GW319" s="9"/>
      <c r="GX319" s="9"/>
      <c r="GY319" s="9"/>
      <c r="GZ319" s="9"/>
      <c r="HA319" s="9"/>
      <c r="HB319" s="9"/>
      <c r="HC319" s="9"/>
      <c r="HD319" s="9"/>
      <c r="HE319" s="9"/>
      <c r="HF319" s="9"/>
      <c r="HG319" s="9"/>
      <c r="HH319" s="9"/>
      <c r="HI319" s="9"/>
      <c r="HJ319" s="9"/>
      <c r="HK319" s="9"/>
      <c r="HL319" s="9"/>
      <c r="HM319" s="9"/>
      <c r="HN319" s="9"/>
      <c r="HO319" s="9"/>
      <c r="HP319" s="9"/>
      <c r="HQ319" s="9"/>
      <c r="HR319" s="9"/>
      <c r="HS319" s="9"/>
      <c r="HT319" s="9"/>
      <c r="HU319" s="9"/>
      <c r="HV319" s="9"/>
      <c r="HW319" s="9"/>
      <c r="HX319" s="9"/>
      <c r="HY319" s="9"/>
      <c r="HZ319" s="9"/>
      <c r="IA319" s="9"/>
      <c r="IB319" s="9"/>
      <c r="IC319" s="9"/>
      <c r="ID319" s="9"/>
      <c r="IE319" s="9"/>
      <c r="IF319" s="9"/>
      <c r="IG319" s="9"/>
      <c r="IH319" s="9"/>
      <c r="II319" s="9"/>
      <c r="IJ319" s="9"/>
      <c r="IK319" s="9"/>
      <c r="IL319" s="9"/>
      <c r="IM319" s="9"/>
      <c r="IN319" s="9"/>
      <c r="IO319" s="9"/>
      <c r="IP319" s="9"/>
      <c r="IQ319" s="9"/>
      <c r="IR319" s="9"/>
      <c r="IS319" s="9"/>
      <c r="IT319" s="9"/>
      <c r="IU319" s="9"/>
      <c r="IV319" s="9"/>
      <c r="IW319" s="9"/>
      <c r="IX319" s="9"/>
      <c r="IY319" s="9"/>
      <c r="IZ319" s="9"/>
      <c r="JA319" s="9"/>
      <c r="JB319" s="9"/>
      <c r="JC319" s="9"/>
      <c r="JD319" s="9"/>
      <c r="JE319" s="9"/>
      <c r="JF319" s="9"/>
      <c r="JG319" s="9"/>
      <c r="JH319" s="9"/>
      <c r="JI319" s="9"/>
      <c r="JJ319" s="9"/>
      <c r="JK319" s="9"/>
      <c r="JL319" s="9"/>
      <c r="JM319" s="9"/>
      <c r="JN319" s="9"/>
      <c r="JO319" s="9"/>
      <c r="JP319" s="9"/>
      <c r="JQ319" s="9"/>
      <c r="JR319" s="9"/>
      <c r="JS319" s="9"/>
      <c r="JT319" s="9"/>
      <c r="JU319" s="9"/>
      <c r="JV319" s="9"/>
      <c r="JW319" s="9"/>
      <c r="JX319" s="9"/>
      <c r="JY319" s="9"/>
      <c r="JZ319" s="9"/>
      <c r="KA319" s="9"/>
      <c r="KB319" s="9"/>
      <c r="KC319" s="9"/>
      <c r="KD319" s="9"/>
      <c r="KE319" s="9"/>
      <c r="KF319" s="9"/>
      <c r="KG319" s="9"/>
      <c r="KH319" s="9"/>
      <c r="KI319" s="9"/>
      <c r="KJ319" s="9"/>
      <c r="KK319" s="9"/>
      <c r="KL319" s="9"/>
      <c r="KM319" s="9"/>
      <c r="KN319" s="9"/>
      <c r="KO319" s="9"/>
      <c r="KP319" s="9"/>
      <c r="KQ319" s="9"/>
      <c r="KR319" s="9"/>
      <c r="KS319" s="9"/>
      <c r="KT319" s="9"/>
      <c r="KU319" s="9"/>
      <c r="KV319" s="9"/>
      <c r="KW319" s="9"/>
      <c r="KX319" s="9"/>
      <c r="KY319" s="9"/>
      <c r="KZ319" s="9"/>
      <c r="LA319" s="9"/>
      <c r="LB319" s="9"/>
      <c r="LC319" s="9"/>
      <c r="LD319" s="9"/>
      <c r="LE319" s="9"/>
      <c r="LF319" s="9"/>
      <c r="LG319" s="9"/>
      <c r="LH319" s="9"/>
      <c r="LI319" s="9"/>
      <c r="LJ319" s="9"/>
      <c r="LK319" s="9"/>
      <c r="LL319" s="9"/>
      <c r="LM319" s="9"/>
      <c r="LN319" s="9"/>
      <c r="LO319" s="9"/>
      <c r="LP319" s="9"/>
      <c r="LQ319" s="9"/>
      <c r="LR319" s="9"/>
      <c r="LS319" s="9"/>
      <c r="LT319" s="9"/>
      <c r="LU319" s="9"/>
      <c r="LV319" s="9"/>
      <c r="LW319" s="9"/>
      <c r="LX319" s="9"/>
      <c r="LY319" s="9"/>
      <c r="LZ319" s="9"/>
      <c r="MA319" s="9"/>
      <c r="MB319" s="9"/>
      <c r="MC319" s="9"/>
      <c r="MD319" s="9"/>
      <c r="ME319" s="9"/>
      <c r="MF319" s="9"/>
      <c r="MG319" s="9"/>
      <c r="MH319" s="9"/>
      <c r="MI319" s="9"/>
      <c r="MJ319" s="9"/>
      <c r="MK319" s="9"/>
      <c r="ML319" s="9"/>
      <c r="MM319" s="9"/>
      <c r="MN319" s="9"/>
      <c r="MO319" s="9"/>
      <c r="MP319" s="9"/>
      <c r="MQ319" s="9"/>
      <c r="MR319" s="9"/>
      <c r="MS319" s="9"/>
      <c r="MT319" s="9"/>
      <c r="MU319" s="9"/>
      <c r="MV319" s="9"/>
      <c r="MW319" s="9"/>
      <c r="MX319" s="9"/>
      <c r="MY319" s="9"/>
      <c r="MZ319" s="9"/>
      <c r="NA319" s="9"/>
      <c r="NB319" s="9"/>
      <c r="NC319" s="9"/>
      <c r="ND319" s="9"/>
      <c r="NE319" s="9"/>
      <c r="NF319" s="9"/>
      <c r="NG319" s="9"/>
      <c r="NH319" s="9"/>
      <c r="NI319" s="9"/>
      <c r="NJ319" s="9"/>
      <c r="NK319" s="9"/>
      <c r="NL319" s="9"/>
      <c r="NM319" s="9"/>
      <c r="NN319" s="9"/>
      <c r="NO319" s="9"/>
      <c r="NP319" s="9"/>
      <c r="NQ319" s="9"/>
      <c r="NR319" s="9"/>
      <c r="NS319" s="9"/>
      <c r="NT319" s="9"/>
      <c r="NU319" s="9"/>
      <c r="NV319" s="9"/>
      <c r="NW319" s="9"/>
      <c r="NX319" s="9"/>
      <c r="NY319" s="9"/>
      <c r="NZ319" s="9"/>
      <c r="OA319" s="9"/>
      <c r="OB319" s="9"/>
      <c r="OC319" s="9"/>
      <c r="OD319" s="9"/>
      <c r="OE319" s="9"/>
      <c r="OF319" s="9"/>
      <c r="OG319" s="9"/>
      <c r="OH319" s="9"/>
      <c r="OI319" s="9"/>
      <c r="OJ319" s="9"/>
      <c r="OK319" s="9"/>
      <c r="OL319" s="9"/>
      <c r="OM319" s="9"/>
      <c r="ON319" s="9"/>
      <c r="OO319" s="9"/>
      <c r="OP319" s="9"/>
      <c r="OQ319" s="9"/>
      <c r="OR319" s="9"/>
      <c r="OS319" s="9"/>
      <c r="OT319" s="9"/>
      <c r="OU319" s="9"/>
      <c r="OV319" s="9"/>
      <c r="OW319" s="9"/>
      <c r="OX319" s="9"/>
      <c r="OY319" s="9"/>
      <c r="OZ319" s="9"/>
      <c r="PA319" s="9"/>
      <c r="PB319" s="9"/>
      <c r="PC319" s="9"/>
      <c r="PD319" s="9"/>
      <c r="PE319" s="9"/>
      <c r="PF319" s="9"/>
      <c r="PG319" s="9"/>
      <c r="PH319" s="9"/>
      <c r="PI319" s="9"/>
      <c r="PJ319" s="9"/>
      <c r="PK319" s="9"/>
      <c r="PL319" s="9"/>
      <c r="PM319" s="9"/>
      <c r="PN319" s="9"/>
      <c r="PO319" s="9"/>
      <c r="PP319" s="9"/>
      <c r="PQ319" s="9"/>
      <c r="PR319" s="9"/>
      <c r="PS319" s="9"/>
      <c r="PT319" s="9"/>
      <c r="PU319" s="9"/>
      <c r="PV319" s="9"/>
      <c r="PW319" s="9"/>
      <c r="PX319" s="9"/>
      <c r="PY319" s="9"/>
      <c r="PZ319" s="9"/>
      <c r="QA319" s="9"/>
      <c r="QB319" s="9"/>
      <c r="QC319" s="9"/>
      <c r="QD319" s="9"/>
      <c r="QE319" s="9"/>
      <c r="QF319" s="9"/>
      <c r="QG319" s="9"/>
      <c r="QH319" s="9"/>
      <c r="QI319" s="9"/>
      <c r="QJ319" s="9"/>
      <c r="QK319" s="9"/>
      <c r="QL319" s="9"/>
      <c r="QM319" s="9"/>
      <c r="QN319" s="9"/>
      <c r="QO319" s="9"/>
      <c r="QP319" s="9"/>
      <c r="QQ319" s="67"/>
      <c r="QR319" s="68"/>
      <c r="QS319" s="63"/>
      <c r="QT319" s="71"/>
    </row>
    <row r="320" spans="1:462" s="11" customFormat="1" ht="26" x14ac:dyDescent="0.2">
      <c r="A320" s="9">
        <v>20</v>
      </c>
      <c r="B320" s="9"/>
      <c r="C320" s="9"/>
      <c r="D320" s="9" t="s">
        <v>428</v>
      </c>
      <c r="E320" s="65" t="s">
        <v>536</v>
      </c>
      <c r="F320" s="65"/>
      <c r="G320" s="92" t="s">
        <v>2352</v>
      </c>
      <c r="H320" s="66" t="s">
        <v>1253</v>
      </c>
      <c r="I320" s="9" t="s">
        <v>1101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9"/>
      <c r="FK320" s="9"/>
      <c r="FL320" s="9"/>
      <c r="FM320" s="9"/>
      <c r="FN320" s="9"/>
      <c r="FO320" s="9"/>
      <c r="FP320" s="9"/>
      <c r="FQ320" s="9"/>
      <c r="FR320" s="9"/>
      <c r="FS320" s="9"/>
      <c r="FT320" s="9"/>
      <c r="FU320" s="9"/>
      <c r="FV320" s="9"/>
      <c r="FW320" s="9"/>
      <c r="FX320" s="9"/>
      <c r="FY320" s="9"/>
      <c r="FZ320" s="9"/>
      <c r="GA320" s="9"/>
      <c r="GB320" s="9"/>
      <c r="GC320" s="9"/>
      <c r="GD320" s="9"/>
      <c r="GE320" s="9"/>
      <c r="GF320" s="9"/>
      <c r="GG320" s="9"/>
      <c r="GH320" s="9"/>
      <c r="GI320" s="9"/>
      <c r="GJ320" s="9"/>
      <c r="GK320" s="9"/>
      <c r="GL320" s="9"/>
      <c r="GM320" s="9"/>
      <c r="GN320" s="9"/>
      <c r="GO320" s="9"/>
      <c r="GP320" s="9"/>
      <c r="GQ320" s="9"/>
      <c r="GR320" s="9"/>
      <c r="GS320" s="9"/>
      <c r="GT320" s="9"/>
      <c r="GU320" s="9"/>
      <c r="GV320" s="9"/>
      <c r="GW320" s="9"/>
      <c r="GX320" s="9"/>
      <c r="GY320" s="9" t="s">
        <v>1101</v>
      </c>
      <c r="GZ320" s="9"/>
      <c r="HA320" s="9" t="s">
        <v>1101</v>
      </c>
      <c r="HB320" s="9"/>
      <c r="HC320" s="9"/>
      <c r="HD320" s="9"/>
      <c r="HE320" s="9"/>
      <c r="HF320" s="9"/>
      <c r="HG320" s="9"/>
      <c r="HH320" s="9"/>
      <c r="HI320" s="9"/>
      <c r="HJ320" s="9"/>
      <c r="HK320" s="9"/>
      <c r="HL320" s="9"/>
      <c r="HM320" s="9"/>
      <c r="HN320" s="9"/>
      <c r="HO320" s="9"/>
      <c r="HP320" s="9"/>
      <c r="HQ320" s="9"/>
      <c r="HR320" s="9"/>
      <c r="HS320" s="9"/>
      <c r="HT320" s="9"/>
      <c r="HU320" s="9"/>
      <c r="HV320" s="9"/>
      <c r="HW320" s="9"/>
      <c r="HX320" s="9"/>
      <c r="HY320" s="9"/>
      <c r="HZ320" s="9"/>
      <c r="IA320" s="9"/>
      <c r="IB320" s="9"/>
      <c r="IC320" s="9"/>
      <c r="ID320" s="9"/>
      <c r="IE320" s="9"/>
      <c r="IF320" s="9"/>
      <c r="IG320" s="9"/>
      <c r="IH320" s="9"/>
      <c r="II320" s="9"/>
      <c r="IJ320" s="9"/>
      <c r="IK320" s="9"/>
      <c r="IL320" s="9"/>
      <c r="IM320" s="9"/>
      <c r="IN320" s="9"/>
      <c r="IO320" s="9"/>
      <c r="IP320" s="9"/>
      <c r="IQ320" s="9"/>
      <c r="IR320" s="9"/>
      <c r="IS320" s="9"/>
      <c r="IT320" s="9"/>
      <c r="IU320" s="9"/>
      <c r="IV320" s="9"/>
      <c r="IW320" s="9"/>
      <c r="IX320" s="9"/>
      <c r="IY320" s="9"/>
      <c r="IZ320" s="9"/>
      <c r="JA320" s="9"/>
      <c r="JB320" s="9"/>
      <c r="JC320" s="9"/>
      <c r="JD320" s="9"/>
      <c r="JE320" s="9"/>
      <c r="JF320" s="9"/>
      <c r="JG320" s="9"/>
      <c r="JH320" s="9"/>
      <c r="JI320" s="9"/>
      <c r="JJ320" s="9"/>
      <c r="JK320" s="9"/>
      <c r="JL320" s="9"/>
      <c r="JM320" s="9"/>
      <c r="JN320" s="9"/>
      <c r="JO320" s="9"/>
      <c r="JP320" s="9"/>
      <c r="JQ320" s="9"/>
      <c r="JR320" s="9"/>
      <c r="JS320" s="9"/>
      <c r="JT320" s="9"/>
      <c r="JU320" s="9"/>
      <c r="JV320" s="9"/>
      <c r="JW320" s="9"/>
      <c r="JX320" s="9"/>
      <c r="JY320" s="9"/>
      <c r="JZ320" s="9"/>
      <c r="KA320" s="9"/>
      <c r="KB320" s="9"/>
      <c r="KC320" s="9"/>
      <c r="KD320" s="9"/>
      <c r="KE320" s="9"/>
      <c r="KF320" s="9"/>
      <c r="KG320" s="9"/>
      <c r="KH320" s="9"/>
      <c r="KI320" s="9"/>
      <c r="KJ320" s="9"/>
      <c r="KK320" s="9"/>
      <c r="KL320" s="9"/>
      <c r="KM320" s="9"/>
      <c r="KN320" s="9"/>
      <c r="KO320" s="9"/>
      <c r="KP320" s="9"/>
      <c r="KQ320" s="9"/>
      <c r="KR320" s="9"/>
      <c r="KS320" s="9"/>
      <c r="KT320" s="9"/>
      <c r="KU320" s="9"/>
      <c r="KV320" s="9"/>
      <c r="KW320" s="9"/>
      <c r="KX320" s="9"/>
      <c r="KY320" s="9"/>
      <c r="KZ320" s="9"/>
      <c r="LA320" s="9"/>
      <c r="LB320" s="9"/>
      <c r="LC320" s="9"/>
      <c r="LD320" s="9"/>
      <c r="LE320" s="9"/>
      <c r="LF320" s="9"/>
      <c r="LG320" s="9"/>
      <c r="LH320" s="9"/>
      <c r="LI320" s="9"/>
      <c r="LJ320" s="9"/>
      <c r="LK320" s="9"/>
      <c r="LL320" s="9"/>
      <c r="LM320" s="9"/>
      <c r="LN320" s="9"/>
      <c r="LO320" s="9"/>
      <c r="LP320" s="9"/>
      <c r="LQ320" s="9"/>
      <c r="LR320" s="9"/>
      <c r="LS320" s="9"/>
      <c r="LT320" s="9"/>
      <c r="LU320" s="9"/>
      <c r="LV320" s="9"/>
      <c r="LW320" s="9"/>
      <c r="LX320" s="9"/>
      <c r="LY320" s="9"/>
      <c r="LZ320" s="9"/>
      <c r="MA320" s="9"/>
      <c r="MB320" s="9"/>
      <c r="MC320" s="9"/>
      <c r="MD320" s="9"/>
      <c r="ME320" s="9"/>
      <c r="MF320" s="9"/>
      <c r="MG320" s="9"/>
      <c r="MH320" s="9"/>
      <c r="MI320" s="9"/>
      <c r="MJ320" s="9"/>
      <c r="MK320" s="9"/>
      <c r="ML320" s="9"/>
      <c r="MM320" s="9"/>
      <c r="MN320" s="9"/>
      <c r="MO320" s="9"/>
      <c r="MP320" s="9"/>
      <c r="MQ320" s="9"/>
      <c r="MR320" s="9"/>
      <c r="MS320" s="9"/>
      <c r="MT320" s="9"/>
      <c r="MU320" s="9"/>
      <c r="MV320" s="9"/>
      <c r="MW320" s="9"/>
      <c r="MX320" s="9"/>
      <c r="MY320" s="9"/>
      <c r="MZ320" s="9"/>
      <c r="NA320" s="9"/>
      <c r="NB320" s="9"/>
      <c r="NC320" s="9"/>
      <c r="ND320" s="9"/>
      <c r="NE320" s="9"/>
      <c r="NF320" s="9"/>
      <c r="NG320" s="9"/>
      <c r="NH320" s="9"/>
      <c r="NI320" s="9"/>
      <c r="NJ320" s="9"/>
      <c r="NK320" s="9"/>
      <c r="NL320" s="9"/>
      <c r="NM320" s="9"/>
      <c r="NN320" s="9"/>
      <c r="NO320" s="9"/>
      <c r="NP320" s="9"/>
      <c r="NQ320" s="9"/>
      <c r="NR320" s="9"/>
      <c r="NS320" s="9"/>
      <c r="NT320" s="9"/>
      <c r="NU320" s="9"/>
      <c r="NV320" s="9"/>
      <c r="NW320" s="9"/>
      <c r="NX320" s="9"/>
      <c r="NY320" s="9"/>
      <c r="NZ320" s="9"/>
      <c r="OA320" s="9"/>
      <c r="OB320" s="9"/>
      <c r="OC320" s="9"/>
      <c r="OD320" s="9"/>
      <c r="OE320" s="9"/>
      <c r="OF320" s="9"/>
      <c r="OG320" s="9"/>
      <c r="OH320" s="9"/>
      <c r="OI320" s="9"/>
      <c r="OJ320" s="9"/>
      <c r="OK320" s="9"/>
      <c r="OL320" s="9"/>
      <c r="OM320" s="9"/>
      <c r="ON320" s="9"/>
      <c r="OO320" s="9"/>
      <c r="OP320" s="9"/>
      <c r="OQ320" s="9"/>
      <c r="OR320" s="9"/>
      <c r="OS320" s="9"/>
      <c r="OT320" s="9"/>
      <c r="OU320" s="9"/>
      <c r="OV320" s="9"/>
      <c r="OW320" s="9"/>
      <c r="OX320" s="9"/>
      <c r="OY320" s="9"/>
      <c r="OZ320" s="9"/>
      <c r="PA320" s="9"/>
      <c r="PB320" s="9"/>
      <c r="PC320" s="9"/>
      <c r="PD320" s="9"/>
      <c r="PE320" s="9"/>
      <c r="PF320" s="9"/>
      <c r="PG320" s="9"/>
      <c r="PH320" s="9"/>
      <c r="PI320" s="9"/>
      <c r="PJ320" s="9"/>
      <c r="PK320" s="9"/>
      <c r="PL320" s="9"/>
      <c r="PM320" s="9"/>
      <c r="PN320" s="9"/>
      <c r="PO320" s="9"/>
      <c r="PP320" s="9"/>
      <c r="PQ320" s="9"/>
      <c r="PR320" s="9"/>
      <c r="PS320" s="9"/>
      <c r="PT320" s="9"/>
      <c r="PU320" s="9"/>
      <c r="PV320" s="9"/>
      <c r="PW320" s="9"/>
      <c r="PX320" s="9"/>
      <c r="PY320" s="9"/>
      <c r="PZ320" s="9"/>
      <c r="QA320" s="9"/>
      <c r="QB320" s="9"/>
      <c r="QC320" s="9"/>
      <c r="QD320" s="9"/>
      <c r="QE320" s="9"/>
      <c r="QF320" s="9"/>
      <c r="QG320" s="9"/>
      <c r="QH320" s="9"/>
      <c r="QI320" s="9"/>
      <c r="QJ320" s="9"/>
      <c r="QK320" s="9"/>
      <c r="QL320" s="9"/>
      <c r="QM320" s="9"/>
      <c r="QN320" s="9"/>
      <c r="QO320" s="9"/>
      <c r="QP320" s="9"/>
      <c r="QQ320" s="67"/>
      <c r="QR320" s="68"/>
      <c r="QS320" s="63"/>
      <c r="QT320" s="71"/>
    </row>
    <row r="321" spans="1:462" s="11" customFormat="1" x14ac:dyDescent="0.2">
      <c r="A321" s="9">
        <v>20</v>
      </c>
      <c r="B321" s="9"/>
      <c r="C321" s="9"/>
      <c r="D321" s="9" t="s">
        <v>430</v>
      </c>
      <c r="E321" s="65" t="s">
        <v>538</v>
      </c>
      <c r="F321" s="65"/>
      <c r="G321" s="92" t="s">
        <v>2355</v>
      </c>
      <c r="H321" s="66" t="s">
        <v>1256</v>
      </c>
      <c r="I321" s="9" t="s">
        <v>1101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  <c r="EN321" s="9"/>
      <c r="EO321" s="9"/>
      <c r="EP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E321" s="9"/>
      <c r="FF321" s="9"/>
      <c r="FG321" s="9"/>
      <c r="FH321" s="9"/>
      <c r="FI321" s="9"/>
      <c r="FJ321" s="9"/>
      <c r="FK321" s="9"/>
      <c r="FL321" s="9"/>
      <c r="FM321" s="9"/>
      <c r="FN321" s="9"/>
      <c r="FO321" s="9"/>
      <c r="FP321" s="9"/>
      <c r="FQ321" s="9"/>
      <c r="FR321" s="9"/>
      <c r="FS321" s="9"/>
      <c r="FT321" s="9"/>
      <c r="FU321" s="9"/>
      <c r="FV321" s="9"/>
      <c r="FW321" s="9"/>
      <c r="FX321" s="9"/>
      <c r="FY321" s="9"/>
      <c r="FZ321" s="9"/>
      <c r="GA321" s="9"/>
      <c r="GB321" s="9"/>
      <c r="GC321" s="9"/>
      <c r="GD321" s="9"/>
      <c r="GE321" s="9"/>
      <c r="GF321" s="9"/>
      <c r="GG321" s="9"/>
      <c r="GH321" s="9"/>
      <c r="GI321" s="9"/>
      <c r="GJ321" s="9"/>
      <c r="GK321" s="9"/>
      <c r="GL321" s="9"/>
      <c r="GM321" s="9"/>
      <c r="GN321" s="9"/>
      <c r="GO321" s="9"/>
      <c r="GP321" s="9"/>
      <c r="GQ321" s="9"/>
      <c r="GR321" s="9"/>
      <c r="GS321" s="9"/>
      <c r="GT321" s="9"/>
      <c r="GU321" s="9"/>
      <c r="GV321" s="9"/>
      <c r="GW321" s="9"/>
      <c r="GX321" s="9"/>
      <c r="GY321" s="9"/>
      <c r="GZ321" s="9"/>
      <c r="HA321" s="9"/>
      <c r="HB321" s="9"/>
      <c r="HC321" s="9"/>
      <c r="HD321" s="9"/>
      <c r="HE321" s="9"/>
      <c r="HF321" s="9"/>
      <c r="HG321" s="9" t="s">
        <v>1101</v>
      </c>
      <c r="HH321" s="9"/>
      <c r="HI321" s="9" t="s">
        <v>1101</v>
      </c>
      <c r="HJ321" s="9"/>
      <c r="HK321" s="9"/>
      <c r="HL321" s="9"/>
      <c r="HM321" s="9"/>
      <c r="HN321" s="9"/>
      <c r="HO321" s="9"/>
      <c r="HP321" s="9"/>
      <c r="HQ321" s="9"/>
      <c r="HR321" s="9"/>
      <c r="HS321" s="9"/>
      <c r="HT321" s="9"/>
      <c r="HU321" s="9"/>
      <c r="HV321" s="9"/>
      <c r="HW321" s="9"/>
      <c r="HX321" s="9"/>
      <c r="HY321" s="9"/>
      <c r="HZ321" s="9"/>
      <c r="IA321" s="9"/>
      <c r="IB321" s="9"/>
      <c r="IC321" s="9"/>
      <c r="ID321" s="9"/>
      <c r="IE321" s="9"/>
      <c r="IF321" s="9"/>
      <c r="IG321" s="9"/>
      <c r="IH321" s="9"/>
      <c r="II321" s="9"/>
      <c r="IJ321" s="9"/>
      <c r="IK321" s="9"/>
      <c r="IL321" s="9"/>
      <c r="IM321" s="9"/>
      <c r="IN321" s="9"/>
      <c r="IO321" s="9"/>
      <c r="IP321" s="9"/>
      <c r="IQ321" s="9"/>
      <c r="IR321" s="9"/>
      <c r="IS321" s="9"/>
      <c r="IT321" s="9"/>
      <c r="IU321" s="9"/>
      <c r="IV321" s="9"/>
      <c r="IW321" s="9"/>
      <c r="IX321" s="9"/>
      <c r="IY321" s="9"/>
      <c r="IZ321" s="9"/>
      <c r="JA321" s="9"/>
      <c r="JB321" s="9"/>
      <c r="JC321" s="9"/>
      <c r="JD321" s="9"/>
      <c r="JE321" s="9"/>
      <c r="JF321" s="9"/>
      <c r="JG321" s="9"/>
      <c r="JH321" s="9"/>
      <c r="JI321" s="9"/>
      <c r="JJ321" s="9"/>
      <c r="JK321" s="9"/>
      <c r="JL321" s="9"/>
      <c r="JM321" s="9"/>
      <c r="JN321" s="9"/>
      <c r="JO321" s="9"/>
      <c r="JP321" s="9"/>
      <c r="JQ321" s="9"/>
      <c r="JR321" s="9"/>
      <c r="JS321" s="9"/>
      <c r="JT321" s="9"/>
      <c r="JU321" s="9"/>
      <c r="JV321" s="9"/>
      <c r="JW321" s="9"/>
      <c r="JX321" s="9"/>
      <c r="JY321" s="9"/>
      <c r="JZ321" s="9"/>
      <c r="KA321" s="9"/>
      <c r="KB321" s="9"/>
      <c r="KC321" s="9"/>
      <c r="KD321" s="9"/>
      <c r="KE321" s="9"/>
      <c r="KF321" s="9"/>
      <c r="KG321" s="9"/>
      <c r="KH321" s="9"/>
      <c r="KI321" s="9"/>
      <c r="KJ321" s="9"/>
      <c r="KK321" s="9"/>
      <c r="KL321" s="9"/>
      <c r="KM321" s="9"/>
      <c r="KN321" s="9"/>
      <c r="KO321" s="9"/>
      <c r="KP321" s="9"/>
      <c r="KQ321" s="9"/>
      <c r="KR321" s="9"/>
      <c r="KS321" s="9"/>
      <c r="KT321" s="9"/>
      <c r="KU321" s="9"/>
      <c r="KV321" s="9"/>
      <c r="KW321" s="9"/>
      <c r="KX321" s="9"/>
      <c r="KY321" s="9"/>
      <c r="KZ321" s="9"/>
      <c r="LA321" s="9"/>
      <c r="LB321" s="9"/>
      <c r="LC321" s="9"/>
      <c r="LD321" s="9"/>
      <c r="LE321" s="9"/>
      <c r="LF321" s="9"/>
      <c r="LG321" s="9"/>
      <c r="LH321" s="9"/>
      <c r="LI321" s="9"/>
      <c r="LJ321" s="9"/>
      <c r="LK321" s="9"/>
      <c r="LL321" s="9"/>
      <c r="LM321" s="9"/>
      <c r="LN321" s="9"/>
      <c r="LO321" s="9"/>
      <c r="LP321" s="9"/>
      <c r="LQ321" s="9"/>
      <c r="LR321" s="9"/>
      <c r="LS321" s="9"/>
      <c r="LT321" s="9"/>
      <c r="LU321" s="9"/>
      <c r="LV321" s="9"/>
      <c r="LW321" s="9"/>
      <c r="LX321" s="9"/>
      <c r="LY321" s="9"/>
      <c r="LZ321" s="9"/>
      <c r="MA321" s="9"/>
      <c r="MB321" s="9"/>
      <c r="MC321" s="9"/>
      <c r="MD321" s="9"/>
      <c r="ME321" s="9"/>
      <c r="MF321" s="9"/>
      <c r="MG321" s="9"/>
      <c r="MH321" s="9"/>
      <c r="MI321" s="9"/>
      <c r="MJ321" s="9"/>
      <c r="MK321" s="9"/>
      <c r="ML321" s="9"/>
      <c r="MM321" s="9"/>
      <c r="MN321" s="9"/>
      <c r="MO321" s="9"/>
      <c r="MP321" s="9"/>
      <c r="MQ321" s="9"/>
      <c r="MR321" s="9"/>
      <c r="MS321" s="9"/>
      <c r="MT321" s="9"/>
      <c r="MU321" s="9"/>
      <c r="MV321" s="9"/>
      <c r="MW321" s="9"/>
      <c r="MX321" s="9"/>
      <c r="MY321" s="9"/>
      <c r="MZ321" s="9"/>
      <c r="NA321" s="9"/>
      <c r="NB321" s="9"/>
      <c r="NC321" s="9"/>
      <c r="ND321" s="9"/>
      <c r="NE321" s="9"/>
      <c r="NF321" s="9"/>
      <c r="NG321" s="9"/>
      <c r="NH321" s="9"/>
      <c r="NI321" s="9"/>
      <c r="NJ321" s="9"/>
      <c r="NK321" s="9"/>
      <c r="NL321" s="9"/>
      <c r="NM321" s="9"/>
      <c r="NN321" s="9"/>
      <c r="NO321" s="9"/>
      <c r="NP321" s="9"/>
      <c r="NQ321" s="9"/>
      <c r="NR321" s="9"/>
      <c r="NS321" s="9"/>
      <c r="NT321" s="9"/>
      <c r="NU321" s="9"/>
      <c r="NV321" s="9"/>
      <c r="NW321" s="9"/>
      <c r="NX321" s="9"/>
      <c r="NY321" s="9"/>
      <c r="NZ321" s="9"/>
      <c r="OA321" s="9"/>
      <c r="OB321" s="9"/>
      <c r="OC321" s="9"/>
      <c r="OD321" s="9"/>
      <c r="OE321" s="9"/>
      <c r="OF321" s="9"/>
      <c r="OG321" s="9"/>
      <c r="OH321" s="9"/>
      <c r="OI321" s="9"/>
      <c r="OJ321" s="9"/>
      <c r="OK321" s="9"/>
      <c r="OL321" s="9"/>
      <c r="OM321" s="9"/>
      <c r="ON321" s="9"/>
      <c r="OO321" s="9"/>
      <c r="OP321" s="9"/>
      <c r="OQ321" s="9"/>
      <c r="OR321" s="9"/>
      <c r="OS321" s="9"/>
      <c r="OT321" s="9"/>
      <c r="OU321" s="9"/>
      <c r="OV321" s="9"/>
      <c r="OW321" s="9"/>
      <c r="OX321" s="9"/>
      <c r="OY321" s="9"/>
      <c r="OZ321" s="9"/>
      <c r="PA321" s="9"/>
      <c r="PB321" s="9"/>
      <c r="PC321" s="9"/>
      <c r="PD321" s="9"/>
      <c r="PE321" s="9"/>
      <c r="PF321" s="9"/>
      <c r="PG321" s="9"/>
      <c r="PH321" s="9"/>
      <c r="PI321" s="9"/>
      <c r="PJ321" s="9"/>
      <c r="PK321" s="9"/>
      <c r="PL321" s="9"/>
      <c r="PM321" s="9"/>
      <c r="PN321" s="9"/>
      <c r="PO321" s="9"/>
      <c r="PP321" s="9"/>
      <c r="PQ321" s="9"/>
      <c r="PR321" s="9"/>
      <c r="PS321" s="9"/>
      <c r="PT321" s="9"/>
      <c r="PU321" s="9"/>
      <c r="PV321" s="9"/>
      <c r="PW321" s="9"/>
      <c r="PX321" s="9"/>
      <c r="PY321" s="9"/>
      <c r="PZ321" s="9"/>
      <c r="QA321" s="9"/>
      <c r="QB321" s="9"/>
      <c r="QC321" s="9"/>
      <c r="QD321" s="9"/>
      <c r="QE321" s="9"/>
      <c r="QF321" s="9"/>
      <c r="QG321" s="9"/>
      <c r="QH321" s="9"/>
      <c r="QI321" s="9"/>
      <c r="QJ321" s="9"/>
      <c r="QK321" s="9"/>
      <c r="QL321" s="9"/>
      <c r="QM321" s="9"/>
      <c r="QN321" s="9"/>
      <c r="QO321" s="9"/>
      <c r="QP321" s="9"/>
      <c r="QQ321" s="67"/>
      <c r="QR321" s="68"/>
      <c r="QS321" s="63"/>
      <c r="QT321" s="71"/>
    </row>
    <row r="322" spans="1:462" s="11" customFormat="1" x14ac:dyDescent="0.2">
      <c r="A322" s="9">
        <v>20</v>
      </c>
      <c r="B322" s="9"/>
      <c r="C322" s="9"/>
      <c r="D322" s="9" t="s">
        <v>432</v>
      </c>
      <c r="E322" s="65" t="s">
        <v>540</v>
      </c>
      <c r="F322" s="65"/>
      <c r="G322" s="92" t="s">
        <v>2358</v>
      </c>
      <c r="H322" s="66" t="s">
        <v>1259</v>
      </c>
      <c r="I322" s="9" t="s">
        <v>1101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  <c r="EN322" s="9"/>
      <c r="EO322" s="9"/>
      <c r="EP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E322" s="9"/>
      <c r="FF322" s="9"/>
      <c r="FG322" s="9"/>
      <c r="FH322" s="9"/>
      <c r="FI322" s="9"/>
      <c r="FJ322" s="9"/>
      <c r="FK322" s="9"/>
      <c r="FL322" s="9"/>
      <c r="FM322" s="9"/>
      <c r="FN322" s="9"/>
      <c r="FO322" s="9"/>
      <c r="FP322" s="9"/>
      <c r="FQ322" s="9"/>
      <c r="FR322" s="9"/>
      <c r="FS322" s="9"/>
      <c r="FT322" s="9"/>
      <c r="FU322" s="9"/>
      <c r="FV322" s="9"/>
      <c r="FW322" s="9"/>
      <c r="FX322" s="9"/>
      <c r="FY322" s="9"/>
      <c r="FZ322" s="9"/>
      <c r="GA322" s="9"/>
      <c r="GB322" s="9"/>
      <c r="GC322" s="9"/>
      <c r="GD322" s="9"/>
      <c r="GE322" s="9"/>
      <c r="GF322" s="9"/>
      <c r="GG322" s="9"/>
      <c r="GH322" s="9"/>
      <c r="GI322" s="9"/>
      <c r="GJ322" s="9"/>
      <c r="GK322" s="9"/>
      <c r="GL322" s="9"/>
      <c r="GM322" s="9"/>
      <c r="GN322" s="9"/>
      <c r="GO322" s="9"/>
      <c r="GP322" s="9"/>
      <c r="GQ322" s="9"/>
      <c r="GR322" s="9"/>
      <c r="GS322" s="9"/>
      <c r="GT322" s="9"/>
      <c r="GU322" s="9"/>
      <c r="GV322" s="9"/>
      <c r="GW322" s="9"/>
      <c r="GX322" s="9"/>
      <c r="GY322" s="9"/>
      <c r="GZ322" s="9"/>
      <c r="HA322" s="9"/>
      <c r="HB322" s="9"/>
      <c r="HC322" s="9"/>
      <c r="HD322" s="9"/>
      <c r="HE322" s="9"/>
      <c r="HF322" s="9"/>
      <c r="HG322" s="9"/>
      <c r="HH322" s="9"/>
      <c r="HI322" s="9"/>
      <c r="HJ322" s="9"/>
      <c r="HK322" s="9"/>
      <c r="HL322" s="9"/>
      <c r="HM322" s="9"/>
      <c r="HN322" s="9"/>
      <c r="HO322" s="9" t="s">
        <v>1101</v>
      </c>
      <c r="HP322" s="9"/>
      <c r="HQ322" s="9" t="s">
        <v>1101</v>
      </c>
      <c r="HR322" s="9"/>
      <c r="HS322" s="9"/>
      <c r="HT322" s="9"/>
      <c r="HU322" s="9"/>
      <c r="HV322" s="9"/>
      <c r="HW322" s="9"/>
      <c r="HX322" s="9"/>
      <c r="HY322" s="9"/>
      <c r="HZ322" s="9"/>
      <c r="IA322" s="9"/>
      <c r="IB322" s="9"/>
      <c r="IC322" s="9"/>
      <c r="ID322" s="9"/>
      <c r="IE322" s="9"/>
      <c r="IF322" s="9"/>
      <c r="IG322" s="9"/>
      <c r="IH322" s="9"/>
      <c r="II322" s="9"/>
      <c r="IJ322" s="9"/>
      <c r="IK322" s="9"/>
      <c r="IL322" s="9"/>
      <c r="IM322" s="9"/>
      <c r="IN322" s="9"/>
      <c r="IO322" s="9"/>
      <c r="IP322" s="9"/>
      <c r="IQ322" s="9"/>
      <c r="IR322" s="9"/>
      <c r="IS322" s="9"/>
      <c r="IT322" s="9"/>
      <c r="IU322" s="9"/>
      <c r="IV322" s="9"/>
      <c r="IW322" s="9"/>
      <c r="IX322" s="9"/>
      <c r="IY322" s="9"/>
      <c r="IZ322" s="9"/>
      <c r="JA322" s="9"/>
      <c r="JB322" s="9"/>
      <c r="JC322" s="9"/>
      <c r="JD322" s="9"/>
      <c r="JE322" s="9"/>
      <c r="JF322" s="9"/>
      <c r="JG322" s="9"/>
      <c r="JH322" s="9"/>
      <c r="JI322" s="9"/>
      <c r="JJ322" s="9"/>
      <c r="JK322" s="9"/>
      <c r="JL322" s="9"/>
      <c r="JM322" s="9"/>
      <c r="JN322" s="9"/>
      <c r="JO322" s="9"/>
      <c r="JP322" s="9"/>
      <c r="JQ322" s="9"/>
      <c r="JR322" s="9"/>
      <c r="JS322" s="9"/>
      <c r="JT322" s="9"/>
      <c r="JU322" s="9"/>
      <c r="JV322" s="9"/>
      <c r="JW322" s="9"/>
      <c r="JX322" s="9"/>
      <c r="JY322" s="9"/>
      <c r="JZ322" s="9"/>
      <c r="KA322" s="9"/>
      <c r="KB322" s="9"/>
      <c r="KC322" s="9"/>
      <c r="KD322" s="9"/>
      <c r="KE322" s="9"/>
      <c r="KF322" s="9"/>
      <c r="KG322" s="9"/>
      <c r="KH322" s="9"/>
      <c r="KI322" s="9"/>
      <c r="KJ322" s="9"/>
      <c r="KK322" s="9"/>
      <c r="KL322" s="9"/>
      <c r="KM322" s="9"/>
      <c r="KN322" s="9"/>
      <c r="KO322" s="9"/>
      <c r="KP322" s="9"/>
      <c r="KQ322" s="9"/>
      <c r="KR322" s="9"/>
      <c r="KS322" s="9"/>
      <c r="KT322" s="9"/>
      <c r="KU322" s="9"/>
      <c r="KV322" s="9"/>
      <c r="KW322" s="9"/>
      <c r="KX322" s="9"/>
      <c r="KY322" s="9"/>
      <c r="KZ322" s="9"/>
      <c r="LA322" s="9"/>
      <c r="LB322" s="9"/>
      <c r="LC322" s="9"/>
      <c r="LD322" s="9"/>
      <c r="LE322" s="9"/>
      <c r="LF322" s="9"/>
      <c r="LG322" s="9"/>
      <c r="LH322" s="9"/>
      <c r="LI322" s="9"/>
      <c r="LJ322" s="9"/>
      <c r="LK322" s="9"/>
      <c r="LL322" s="9"/>
      <c r="LM322" s="9"/>
      <c r="LN322" s="9"/>
      <c r="LO322" s="9"/>
      <c r="LP322" s="9"/>
      <c r="LQ322" s="9"/>
      <c r="LR322" s="9"/>
      <c r="LS322" s="9"/>
      <c r="LT322" s="9"/>
      <c r="LU322" s="9"/>
      <c r="LV322" s="9"/>
      <c r="LW322" s="9"/>
      <c r="LX322" s="9"/>
      <c r="LY322" s="9"/>
      <c r="LZ322" s="9"/>
      <c r="MA322" s="9"/>
      <c r="MB322" s="9"/>
      <c r="MC322" s="9"/>
      <c r="MD322" s="9"/>
      <c r="ME322" s="9"/>
      <c r="MF322" s="9"/>
      <c r="MG322" s="9"/>
      <c r="MH322" s="9"/>
      <c r="MI322" s="9"/>
      <c r="MJ322" s="9"/>
      <c r="MK322" s="9"/>
      <c r="ML322" s="9"/>
      <c r="MM322" s="9"/>
      <c r="MN322" s="9"/>
      <c r="MO322" s="9"/>
      <c r="MP322" s="9"/>
      <c r="MQ322" s="9"/>
      <c r="MR322" s="9"/>
      <c r="MS322" s="9"/>
      <c r="MT322" s="9"/>
      <c r="MU322" s="9"/>
      <c r="MV322" s="9"/>
      <c r="MW322" s="9"/>
      <c r="MX322" s="9"/>
      <c r="MY322" s="9"/>
      <c r="MZ322" s="9"/>
      <c r="NA322" s="9"/>
      <c r="NB322" s="9"/>
      <c r="NC322" s="9"/>
      <c r="ND322" s="9"/>
      <c r="NE322" s="9"/>
      <c r="NF322" s="9"/>
      <c r="NG322" s="9"/>
      <c r="NH322" s="9"/>
      <c r="NI322" s="9"/>
      <c r="NJ322" s="9"/>
      <c r="NK322" s="9"/>
      <c r="NL322" s="9"/>
      <c r="NM322" s="9"/>
      <c r="NN322" s="9"/>
      <c r="NO322" s="9"/>
      <c r="NP322" s="9"/>
      <c r="NQ322" s="9"/>
      <c r="NR322" s="9"/>
      <c r="NS322" s="9"/>
      <c r="NT322" s="9"/>
      <c r="NU322" s="9"/>
      <c r="NV322" s="9"/>
      <c r="NW322" s="9"/>
      <c r="NX322" s="9"/>
      <c r="NY322" s="9"/>
      <c r="NZ322" s="9"/>
      <c r="OA322" s="9"/>
      <c r="OB322" s="9"/>
      <c r="OC322" s="9"/>
      <c r="OD322" s="9"/>
      <c r="OE322" s="9"/>
      <c r="OF322" s="9"/>
      <c r="OG322" s="9"/>
      <c r="OH322" s="9"/>
      <c r="OI322" s="9"/>
      <c r="OJ322" s="9"/>
      <c r="OK322" s="9"/>
      <c r="OL322" s="9"/>
      <c r="OM322" s="9"/>
      <c r="ON322" s="9"/>
      <c r="OO322" s="9"/>
      <c r="OP322" s="9"/>
      <c r="OQ322" s="9"/>
      <c r="OR322" s="9"/>
      <c r="OS322" s="9"/>
      <c r="OT322" s="9"/>
      <c r="OU322" s="9"/>
      <c r="OV322" s="9"/>
      <c r="OW322" s="9"/>
      <c r="OX322" s="9"/>
      <c r="OY322" s="9"/>
      <c r="OZ322" s="9"/>
      <c r="PA322" s="9"/>
      <c r="PB322" s="9"/>
      <c r="PC322" s="9"/>
      <c r="PD322" s="9"/>
      <c r="PE322" s="9"/>
      <c r="PF322" s="9"/>
      <c r="PG322" s="9"/>
      <c r="PH322" s="9"/>
      <c r="PI322" s="9"/>
      <c r="PJ322" s="9"/>
      <c r="PK322" s="9"/>
      <c r="PL322" s="9"/>
      <c r="PM322" s="9"/>
      <c r="PN322" s="9"/>
      <c r="PO322" s="9"/>
      <c r="PP322" s="9"/>
      <c r="PQ322" s="9"/>
      <c r="PR322" s="9"/>
      <c r="PS322" s="9"/>
      <c r="PT322" s="9"/>
      <c r="PU322" s="9"/>
      <c r="PV322" s="9"/>
      <c r="PW322" s="9"/>
      <c r="PX322" s="9"/>
      <c r="PY322" s="9"/>
      <c r="PZ322" s="9"/>
      <c r="QA322" s="9"/>
      <c r="QB322" s="9"/>
      <c r="QC322" s="9"/>
      <c r="QD322" s="9"/>
      <c r="QE322" s="9"/>
      <c r="QF322" s="9"/>
      <c r="QG322" s="9"/>
      <c r="QH322" s="9"/>
      <c r="QI322" s="9"/>
      <c r="QJ322" s="9"/>
      <c r="QK322" s="9"/>
      <c r="QL322" s="9"/>
      <c r="QM322" s="9"/>
      <c r="QN322" s="9"/>
      <c r="QO322" s="9"/>
      <c r="QP322" s="9"/>
      <c r="QQ322" s="67"/>
      <c r="QR322" s="68"/>
      <c r="QS322" s="63"/>
      <c r="QT322" s="71"/>
    </row>
    <row r="323" spans="1:462" s="11" customFormat="1" ht="26" x14ac:dyDescent="0.2">
      <c r="A323" s="9">
        <v>20</v>
      </c>
      <c r="B323" s="9"/>
      <c r="C323" s="9"/>
      <c r="D323" s="9" t="s">
        <v>434</v>
      </c>
      <c r="E323" s="65" t="s">
        <v>542</v>
      </c>
      <c r="F323" s="65"/>
      <c r="G323" s="92" t="s">
        <v>2361</v>
      </c>
      <c r="H323" s="66" t="s">
        <v>1262</v>
      </c>
      <c r="I323" s="9" t="s">
        <v>1101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  <c r="EN323" s="9"/>
      <c r="EO323" s="9"/>
      <c r="EP323" s="9"/>
      <c r="EQ323" s="9"/>
      <c r="ER323" s="9"/>
      <c r="ES323" s="9"/>
      <c r="ET323" s="9"/>
      <c r="EU323" s="9"/>
      <c r="EV323" s="9"/>
      <c r="EW323" s="9"/>
      <c r="EX323" s="9"/>
      <c r="EY323" s="9"/>
      <c r="EZ323" s="9"/>
      <c r="FA323" s="9"/>
      <c r="FB323" s="9"/>
      <c r="FC323" s="9"/>
      <c r="FD323" s="9"/>
      <c r="FE323" s="9"/>
      <c r="FF323" s="9"/>
      <c r="FG323" s="9"/>
      <c r="FH323" s="9"/>
      <c r="FI323" s="9"/>
      <c r="FJ323" s="9"/>
      <c r="FK323" s="9"/>
      <c r="FL323" s="9"/>
      <c r="FM323" s="9"/>
      <c r="FN323" s="9"/>
      <c r="FO323" s="9"/>
      <c r="FP323" s="9"/>
      <c r="FQ323" s="9"/>
      <c r="FR323" s="9"/>
      <c r="FS323" s="9"/>
      <c r="FT323" s="9"/>
      <c r="FU323" s="9"/>
      <c r="FV323" s="9"/>
      <c r="FW323" s="9"/>
      <c r="FX323" s="9"/>
      <c r="FY323" s="9"/>
      <c r="FZ323" s="9"/>
      <c r="GA323" s="9"/>
      <c r="GB323" s="9"/>
      <c r="GC323" s="9"/>
      <c r="GD323" s="9"/>
      <c r="GE323" s="9"/>
      <c r="GF323" s="9"/>
      <c r="GG323" s="9"/>
      <c r="GH323" s="9"/>
      <c r="GI323" s="9"/>
      <c r="GJ323" s="9"/>
      <c r="GK323" s="9"/>
      <c r="GL323" s="9"/>
      <c r="GM323" s="9"/>
      <c r="GN323" s="9"/>
      <c r="GO323" s="9"/>
      <c r="GP323" s="9"/>
      <c r="GQ323" s="9"/>
      <c r="GR323" s="9"/>
      <c r="GS323" s="9"/>
      <c r="GT323" s="9"/>
      <c r="GU323" s="9"/>
      <c r="GV323" s="9"/>
      <c r="GW323" s="9"/>
      <c r="GX323" s="9"/>
      <c r="GY323" s="9"/>
      <c r="GZ323" s="9"/>
      <c r="HA323" s="9"/>
      <c r="HB323" s="9"/>
      <c r="HC323" s="9"/>
      <c r="HD323" s="9"/>
      <c r="HE323" s="9"/>
      <c r="HF323" s="9"/>
      <c r="HG323" s="9"/>
      <c r="HH323" s="9"/>
      <c r="HI323" s="9"/>
      <c r="HJ323" s="9"/>
      <c r="HK323" s="9"/>
      <c r="HL323" s="9"/>
      <c r="HM323" s="9"/>
      <c r="HN323" s="9"/>
      <c r="HO323" s="9"/>
      <c r="HP323" s="9"/>
      <c r="HQ323" s="9"/>
      <c r="HR323" s="9"/>
      <c r="HS323" s="9"/>
      <c r="HT323" s="9"/>
      <c r="HU323" s="9"/>
      <c r="HV323" s="9"/>
      <c r="HW323" s="9" t="s">
        <v>1101</v>
      </c>
      <c r="HX323" s="9"/>
      <c r="HY323" s="9" t="s">
        <v>1101</v>
      </c>
      <c r="HZ323" s="9"/>
      <c r="IA323" s="9"/>
      <c r="IB323" s="9"/>
      <c r="IC323" s="9"/>
      <c r="ID323" s="9"/>
      <c r="IE323" s="9"/>
      <c r="IF323" s="9"/>
      <c r="IG323" s="9"/>
      <c r="IH323" s="9"/>
      <c r="II323" s="9"/>
      <c r="IJ323" s="9"/>
      <c r="IK323" s="9"/>
      <c r="IL323" s="9"/>
      <c r="IM323" s="9"/>
      <c r="IN323" s="9"/>
      <c r="IO323" s="9"/>
      <c r="IP323" s="9"/>
      <c r="IQ323" s="9"/>
      <c r="IR323" s="9"/>
      <c r="IS323" s="9"/>
      <c r="IT323" s="9"/>
      <c r="IU323" s="9"/>
      <c r="IV323" s="9"/>
      <c r="IW323" s="9"/>
      <c r="IX323" s="9"/>
      <c r="IY323" s="9"/>
      <c r="IZ323" s="9"/>
      <c r="JA323" s="9"/>
      <c r="JB323" s="9"/>
      <c r="JC323" s="9"/>
      <c r="JD323" s="9"/>
      <c r="JE323" s="9"/>
      <c r="JF323" s="9"/>
      <c r="JG323" s="9"/>
      <c r="JH323" s="9"/>
      <c r="JI323" s="9"/>
      <c r="JJ323" s="9"/>
      <c r="JK323" s="9"/>
      <c r="JL323" s="9"/>
      <c r="JM323" s="9"/>
      <c r="JN323" s="9"/>
      <c r="JO323" s="9"/>
      <c r="JP323" s="9"/>
      <c r="JQ323" s="9"/>
      <c r="JR323" s="9"/>
      <c r="JS323" s="9"/>
      <c r="JT323" s="9"/>
      <c r="JU323" s="9"/>
      <c r="JV323" s="9"/>
      <c r="JW323" s="9"/>
      <c r="JX323" s="9"/>
      <c r="JY323" s="9"/>
      <c r="JZ323" s="9"/>
      <c r="KA323" s="9"/>
      <c r="KB323" s="9"/>
      <c r="KC323" s="9"/>
      <c r="KD323" s="9"/>
      <c r="KE323" s="9"/>
      <c r="KF323" s="9"/>
      <c r="KG323" s="9"/>
      <c r="KH323" s="9"/>
      <c r="KI323" s="9"/>
      <c r="KJ323" s="9"/>
      <c r="KK323" s="9"/>
      <c r="KL323" s="9"/>
      <c r="KM323" s="9"/>
      <c r="KN323" s="9"/>
      <c r="KO323" s="9"/>
      <c r="KP323" s="9"/>
      <c r="KQ323" s="9"/>
      <c r="KR323" s="9"/>
      <c r="KS323" s="9"/>
      <c r="KT323" s="9"/>
      <c r="KU323" s="9"/>
      <c r="KV323" s="9"/>
      <c r="KW323" s="9"/>
      <c r="KX323" s="9"/>
      <c r="KY323" s="9"/>
      <c r="KZ323" s="9"/>
      <c r="LA323" s="9"/>
      <c r="LB323" s="9"/>
      <c r="LC323" s="9"/>
      <c r="LD323" s="9"/>
      <c r="LE323" s="9"/>
      <c r="LF323" s="9"/>
      <c r="LG323" s="9"/>
      <c r="LH323" s="9"/>
      <c r="LI323" s="9"/>
      <c r="LJ323" s="9"/>
      <c r="LK323" s="9"/>
      <c r="LL323" s="9"/>
      <c r="LM323" s="9"/>
      <c r="LN323" s="9"/>
      <c r="LO323" s="9"/>
      <c r="LP323" s="9"/>
      <c r="LQ323" s="9"/>
      <c r="LR323" s="9"/>
      <c r="LS323" s="9"/>
      <c r="LT323" s="9"/>
      <c r="LU323" s="9"/>
      <c r="LV323" s="9"/>
      <c r="LW323" s="9"/>
      <c r="LX323" s="9"/>
      <c r="LY323" s="9"/>
      <c r="LZ323" s="9"/>
      <c r="MA323" s="9"/>
      <c r="MB323" s="9"/>
      <c r="MC323" s="9"/>
      <c r="MD323" s="9"/>
      <c r="ME323" s="9"/>
      <c r="MF323" s="9"/>
      <c r="MG323" s="9"/>
      <c r="MH323" s="9"/>
      <c r="MI323" s="9"/>
      <c r="MJ323" s="9"/>
      <c r="MK323" s="9"/>
      <c r="ML323" s="9"/>
      <c r="MM323" s="9"/>
      <c r="MN323" s="9"/>
      <c r="MO323" s="9"/>
      <c r="MP323" s="9"/>
      <c r="MQ323" s="9"/>
      <c r="MR323" s="9"/>
      <c r="MS323" s="9"/>
      <c r="MT323" s="9"/>
      <c r="MU323" s="9"/>
      <c r="MV323" s="9"/>
      <c r="MW323" s="9"/>
      <c r="MX323" s="9"/>
      <c r="MY323" s="9"/>
      <c r="MZ323" s="9"/>
      <c r="NA323" s="9"/>
      <c r="NB323" s="9"/>
      <c r="NC323" s="9"/>
      <c r="ND323" s="9"/>
      <c r="NE323" s="9"/>
      <c r="NF323" s="9"/>
      <c r="NG323" s="9"/>
      <c r="NH323" s="9"/>
      <c r="NI323" s="9"/>
      <c r="NJ323" s="9"/>
      <c r="NK323" s="9"/>
      <c r="NL323" s="9"/>
      <c r="NM323" s="9"/>
      <c r="NN323" s="9"/>
      <c r="NO323" s="9"/>
      <c r="NP323" s="9"/>
      <c r="NQ323" s="9"/>
      <c r="NR323" s="9"/>
      <c r="NS323" s="9"/>
      <c r="NT323" s="9"/>
      <c r="NU323" s="9"/>
      <c r="NV323" s="9"/>
      <c r="NW323" s="9"/>
      <c r="NX323" s="9"/>
      <c r="NY323" s="9"/>
      <c r="NZ323" s="9"/>
      <c r="OA323" s="9"/>
      <c r="OB323" s="9"/>
      <c r="OC323" s="9"/>
      <c r="OD323" s="9"/>
      <c r="OE323" s="9"/>
      <c r="OF323" s="9"/>
      <c r="OG323" s="9"/>
      <c r="OH323" s="9"/>
      <c r="OI323" s="9"/>
      <c r="OJ323" s="9"/>
      <c r="OK323" s="9"/>
      <c r="OL323" s="9"/>
      <c r="OM323" s="9"/>
      <c r="ON323" s="9"/>
      <c r="OO323" s="9"/>
      <c r="OP323" s="9"/>
      <c r="OQ323" s="9"/>
      <c r="OR323" s="9"/>
      <c r="OS323" s="9"/>
      <c r="OT323" s="9"/>
      <c r="OU323" s="9"/>
      <c r="OV323" s="9"/>
      <c r="OW323" s="9"/>
      <c r="OX323" s="9"/>
      <c r="OY323" s="9"/>
      <c r="OZ323" s="9"/>
      <c r="PA323" s="9"/>
      <c r="PB323" s="9"/>
      <c r="PC323" s="9"/>
      <c r="PD323" s="9"/>
      <c r="PE323" s="9"/>
      <c r="PF323" s="9"/>
      <c r="PG323" s="9"/>
      <c r="PH323" s="9"/>
      <c r="PI323" s="9"/>
      <c r="PJ323" s="9"/>
      <c r="PK323" s="9"/>
      <c r="PL323" s="9"/>
      <c r="PM323" s="9"/>
      <c r="PN323" s="9"/>
      <c r="PO323" s="9"/>
      <c r="PP323" s="9"/>
      <c r="PQ323" s="9"/>
      <c r="PR323" s="9"/>
      <c r="PS323" s="9"/>
      <c r="PT323" s="9"/>
      <c r="PU323" s="9"/>
      <c r="PV323" s="9"/>
      <c r="PW323" s="9"/>
      <c r="PX323" s="9"/>
      <c r="PY323" s="9"/>
      <c r="PZ323" s="9"/>
      <c r="QA323" s="9"/>
      <c r="QB323" s="9"/>
      <c r="QC323" s="9"/>
      <c r="QD323" s="9"/>
      <c r="QE323" s="9"/>
      <c r="QF323" s="9"/>
      <c r="QG323" s="9"/>
      <c r="QH323" s="9"/>
      <c r="QI323" s="9"/>
      <c r="QJ323" s="9"/>
      <c r="QK323" s="9"/>
      <c r="QL323" s="9"/>
      <c r="QM323" s="9"/>
      <c r="QN323" s="9"/>
      <c r="QO323" s="9"/>
      <c r="QP323" s="9"/>
      <c r="QQ323" s="67"/>
      <c r="QR323" s="68"/>
      <c r="QS323" s="63"/>
      <c r="QT323" s="71"/>
    </row>
    <row r="324" spans="1:462" s="11" customFormat="1" x14ac:dyDescent="0.2">
      <c r="A324" s="9">
        <v>20</v>
      </c>
      <c r="B324" s="9"/>
      <c r="C324" s="9"/>
      <c r="D324" s="9" t="s">
        <v>436</v>
      </c>
      <c r="E324" s="65" t="s">
        <v>544</v>
      </c>
      <c r="F324" s="65"/>
      <c r="G324" s="92" t="s">
        <v>2364</v>
      </c>
      <c r="H324" s="66" t="s">
        <v>1265</v>
      </c>
      <c r="I324" s="9" t="s">
        <v>1101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  <c r="EN324" s="9"/>
      <c r="EO324" s="9"/>
      <c r="EP324" s="9"/>
      <c r="EQ324" s="9"/>
      <c r="ER324" s="9"/>
      <c r="ES324" s="9"/>
      <c r="ET324" s="9"/>
      <c r="EU324" s="9"/>
      <c r="EV324" s="9"/>
      <c r="EW324" s="9"/>
      <c r="EX324" s="9"/>
      <c r="EY324" s="9"/>
      <c r="EZ324" s="9"/>
      <c r="FA324" s="9"/>
      <c r="FB324" s="9"/>
      <c r="FC324" s="9"/>
      <c r="FD324" s="9"/>
      <c r="FE324" s="9"/>
      <c r="FF324" s="9"/>
      <c r="FG324" s="9"/>
      <c r="FH324" s="9"/>
      <c r="FI324" s="9"/>
      <c r="FJ324" s="9"/>
      <c r="FK324" s="9"/>
      <c r="FL324" s="9"/>
      <c r="FM324" s="9"/>
      <c r="FN324" s="9"/>
      <c r="FO324" s="9"/>
      <c r="FP324" s="9"/>
      <c r="FQ324" s="9"/>
      <c r="FR324" s="9"/>
      <c r="FS324" s="9"/>
      <c r="FT324" s="9"/>
      <c r="FU324" s="9"/>
      <c r="FV324" s="9"/>
      <c r="FW324" s="9"/>
      <c r="FX324" s="9"/>
      <c r="FY324" s="9"/>
      <c r="FZ324" s="9"/>
      <c r="GA324" s="9"/>
      <c r="GB324" s="9"/>
      <c r="GC324" s="9"/>
      <c r="GD324" s="9"/>
      <c r="GE324" s="9"/>
      <c r="GF324" s="9"/>
      <c r="GG324" s="9"/>
      <c r="GH324" s="9"/>
      <c r="GI324" s="9"/>
      <c r="GJ324" s="9"/>
      <c r="GK324" s="9"/>
      <c r="GL324" s="9"/>
      <c r="GM324" s="9"/>
      <c r="GN324" s="9"/>
      <c r="GO324" s="9"/>
      <c r="GP324" s="9"/>
      <c r="GQ324" s="9"/>
      <c r="GR324" s="9"/>
      <c r="GS324" s="9"/>
      <c r="GT324" s="9"/>
      <c r="GU324" s="9"/>
      <c r="GV324" s="9"/>
      <c r="GW324" s="9"/>
      <c r="GX324" s="9"/>
      <c r="GY324" s="9"/>
      <c r="GZ324" s="9"/>
      <c r="HA324" s="9"/>
      <c r="HB324" s="9"/>
      <c r="HC324" s="9"/>
      <c r="HD324" s="9"/>
      <c r="HE324" s="9"/>
      <c r="HF324" s="9"/>
      <c r="HG324" s="9"/>
      <c r="HH324" s="9"/>
      <c r="HI324" s="9"/>
      <c r="HJ324" s="9"/>
      <c r="HK324" s="9"/>
      <c r="HL324" s="9"/>
      <c r="HM324" s="9"/>
      <c r="HN324" s="9"/>
      <c r="HO324" s="9"/>
      <c r="HP324" s="9"/>
      <c r="HQ324" s="9"/>
      <c r="HR324" s="9"/>
      <c r="HS324" s="9"/>
      <c r="HT324" s="9"/>
      <c r="HU324" s="9"/>
      <c r="HV324" s="9"/>
      <c r="HW324" s="9"/>
      <c r="HX324" s="9"/>
      <c r="HY324" s="9"/>
      <c r="HZ324" s="9"/>
      <c r="IA324" s="9"/>
      <c r="IB324" s="9"/>
      <c r="IC324" s="9"/>
      <c r="ID324" s="9"/>
      <c r="IE324" s="9" t="s">
        <v>1101</v>
      </c>
      <c r="IF324" s="9"/>
      <c r="IG324" s="9" t="s">
        <v>1101</v>
      </c>
      <c r="IH324" s="9"/>
      <c r="II324" s="9"/>
      <c r="IJ324" s="9"/>
      <c r="IK324" s="9"/>
      <c r="IL324" s="9"/>
      <c r="IM324" s="9"/>
      <c r="IN324" s="9"/>
      <c r="IO324" s="9"/>
      <c r="IP324" s="9"/>
      <c r="IQ324" s="9"/>
      <c r="IR324" s="9"/>
      <c r="IS324" s="9"/>
      <c r="IT324" s="9"/>
      <c r="IU324" s="9"/>
      <c r="IV324" s="9"/>
      <c r="IW324" s="9"/>
      <c r="IX324" s="9"/>
      <c r="IY324" s="9"/>
      <c r="IZ324" s="9"/>
      <c r="JA324" s="9"/>
      <c r="JB324" s="9"/>
      <c r="JC324" s="9"/>
      <c r="JD324" s="9"/>
      <c r="JE324" s="9"/>
      <c r="JF324" s="9"/>
      <c r="JG324" s="9"/>
      <c r="JH324" s="9"/>
      <c r="JI324" s="9"/>
      <c r="JJ324" s="9"/>
      <c r="JK324" s="9"/>
      <c r="JL324" s="9"/>
      <c r="JM324" s="9"/>
      <c r="JN324" s="9"/>
      <c r="JO324" s="9"/>
      <c r="JP324" s="9"/>
      <c r="JQ324" s="9"/>
      <c r="JR324" s="9"/>
      <c r="JS324" s="9"/>
      <c r="JT324" s="9"/>
      <c r="JU324" s="9"/>
      <c r="JV324" s="9"/>
      <c r="JW324" s="9"/>
      <c r="JX324" s="9"/>
      <c r="JY324" s="9"/>
      <c r="JZ324" s="9"/>
      <c r="KA324" s="9"/>
      <c r="KB324" s="9"/>
      <c r="KC324" s="9"/>
      <c r="KD324" s="9"/>
      <c r="KE324" s="9"/>
      <c r="KF324" s="9"/>
      <c r="KG324" s="9"/>
      <c r="KH324" s="9"/>
      <c r="KI324" s="9"/>
      <c r="KJ324" s="9"/>
      <c r="KK324" s="9"/>
      <c r="KL324" s="9"/>
      <c r="KM324" s="9"/>
      <c r="KN324" s="9"/>
      <c r="KO324" s="9"/>
      <c r="KP324" s="9"/>
      <c r="KQ324" s="9"/>
      <c r="KR324" s="9"/>
      <c r="KS324" s="9"/>
      <c r="KT324" s="9"/>
      <c r="KU324" s="9"/>
      <c r="KV324" s="9"/>
      <c r="KW324" s="9"/>
      <c r="KX324" s="9"/>
      <c r="KY324" s="9"/>
      <c r="KZ324" s="9"/>
      <c r="LA324" s="9"/>
      <c r="LB324" s="9"/>
      <c r="LC324" s="9"/>
      <c r="LD324" s="9"/>
      <c r="LE324" s="9"/>
      <c r="LF324" s="9"/>
      <c r="LG324" s="9"/>
      <c r="LH324" s="9"/>
      <c r="LI324" s="9"/>
      <c r="LJ324" s="9"/>
      <c r="LK324" s="9"/>
      <c r="LL324" s="9"/>
      <c r="LM324" s="9"/>
      <c r="LN324" s="9"/>
      <c r="LO324" s="9"/>
      <c r="LP324" s="9"/>
      <c r="LQ324" s="9"/>
      <c r="LR324" s="9"/>
      <c r="LS324" s="9"/>
      <c r="LT324" s="9"/>
      <c r="LU324" s="9"/>
      <c r="LV324" s="9"/>
      <c r="LW324" s="9"/>
      <c r="LX324" s="9"/>
      <c r="LY324" s="9"/>
      <c r="LZ324" s="9"/>
      <c r="MA324" s="9"/>
      <c r="MB324" s="9"/>
      <c r="MC324" s="9"/>
      <c r="MD324" s="9"/>
      <c r="ME324" s="9"/>
      <c r="MF324" s="9"/>
      <c r="MG324" s="9"/>
      <c r="MH324" s="9"/>
      <c r="MI324" s="9"/>
      <c r="MJ324" s="9"/>
      <c r="MK324" s="9"/>
      <c r="ML324" s="9"/>
      <c r="MM324" s="9"/>
      <c r="MN324" s="9"/>
      <c r="MO324" s="9"/>
      <c r="MP324" s="9"/>
      <c r="MQ324" s="9"/>
      <c r="MR324" s="9"/>
      <c r="MS324" s="9"/>
      <c r="MT324" s="9"/>
      <c r="MU324" s="9"/>
      <c r="MV324" s="9"/>
      <c r="MW324" s="9"/>
      <c r="MX324" s="9"/>
      <c r="MY324" s="9"/>
      <c r="MZ324" s="9"/>
      <c r="NA324" s="9"/>
      <c r="NB324" s="9"/>
      <c r="NC324" s="9"/>
      <c r="ND324" s="9"/>
      <c r="NE324" s="9"/>
      <c r="NF324" s="9"/>
      <c r="NG324" s="9"/>
      <c r="NH324" s="9"/>
      <c r="NI324" s="9"/>
      <c r="NJ324" s="9"/>
      <c r="NK324" s="9"/>
      <c r="NL324" s="9"/>
      <c r="NM324" s="9"/>
      <c r="NN324" s="9"/>
      <c r="NO324" s="9"/>
      <c r="NP324" s="9"/>
      <c r="NQ324" s="9"/>
      <c r="NR324" s="9"/>
      <c r="NS324" s="9"/>
      <c r="NT324" s="9"/>
      <c r="NU324" s="9"/>
      <c r="NV324" s="9"/>
      <c r="NW324" s="9"/>
      <c r="NX324" s="9"/>
      <c r="NY324" s="9"/>
      <c r="NZ324" s="9"/>
      <c r="OA324" s="9"/>
      <c r="OB324" s="9"/>
      <c r="OC324" s="9"/>
      <c r="OD324" s="9"/>
      <c r="OE324" s="9"/>
      <c r="OF324" s="9"/>
      <c r="OG324" s="9"/>
      <c r="OH324" s="9"/>
      <c r="OI324" s="9"/>
      <c r="OJ324" s="9"/>
      <c r="OK324" s="9"/>
      <c r="OL324" s="9"/>
      <c r="OM324" s="9"/>
      <c r="ON324" s="9"/>
      <c r="OO324" s="9"/>
      <c r="OP324" s="9"/>
      <c r="OQ324" s="9"/>
      <c r="OR324" s="9"/>
      <c r="OS324" s="9"/>
      <c r="OT324" s="9"/>
      <c r="OU324" s="9"/>
      <c r="OV324" s="9"/>
      <c r="OW324" s="9"/>
      <c r="OX324" s="9"/>
      <c r="OY324" s="9"/>
      <c r="OZ324" s="9"/>
      <c r="PA324" s="9"/>
      <c r="PB324" s="9"/>
      <c r="PC324" s="9"/>
      <c r="PD324" s="9"/>
      <c r="PE324" s="9"/>
      <c r="PF324" s="9"/>
      <c r="PG324" s="9"/>
      <c r="PH324" s="9"/>
      <c r="PI324" s="9"/>
      <c r="PJ324" s="9"/>
      <c r="PK324" s="9"/>
      <c r="PL324" s="9"/>
      <c r="PM324" s="9"/>
      <c r="PN324" s="9"/>
      <c r="PO324" s="9"/>
      <c r="PP324" s="9"/>
      <c r="PQ324" s="9"/>
      <c r="PR324" s="9"/>
      <c r="PS324" s="9"/>
      <c r="PT324" s="9"/>
      <c r="PU324" s="9"/>
      <c r="PV324" s="9"/>
      <c r="PW324" s="9"/>
      <c r="PX324" s="9"/>
      <c r="PY324" s="9"/>
      <c r="PZ324" s="9"/>
      <c r="QA324" s="9"/>
      <c r="QB324" s="9"/>
      <c r="QC324" s="9"/>
      <c r="QD324" s="9"/>
      <c r="QE324" s="9"/>
      <c r="QF324" s="9"/>
      <c r="QG324" s="9"/>
      <c r="QH324" s="9"/>
      <c r="QI324" s="9"/>
      <c r="QJ324" s="9"/>
      <c r="QK324" s="9"/>
      <c r="QL324" s="9"/>
      <c r="QM324" s="9"/>
      <c r="QN324" s="9"/>
      <c r="QO324" s="9"/>
      <c r="QP324" s="9"/>
      <c r="QQ324" s="67"/>
      <c r="QR324" s="68"/>
      <c r="QS324" s="63"/>
      <c r="QT324" s="71"/>
    </row>
    <row r="325" spans="1:462" s="11" customFormat="1" x14ac:dyDescent="0.2">
      <c r="A325" s="9">
        <v>20</v>
      </c>
      <c r="B325" s="9"/>
      <c r="C325" s="9"/>
      <c r="D325" s="9" t="s">
        <v>438</v>
      </c>
      <c r="E325" s="65" t="s">
        <v>546</v>
      </c>
      <c r="F325" s="65"/>
      <c r="G325" s="92" t="s">
        <v>2367</v>
      </c>
      <c r="H325" s="66" t="s">
        <v>1268</v>
      </c>
      <c r="I325" s="9" t="s">
        <v>1101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  <c r="EN325" s="9"/>
      <c r="EO325" s="9"/>
      <c r="EP325" s="9"/>
      <c r="EQ325" s="9"/>
      <c r="ER325" s="9"/>
      <c r="ES325" s="9"/>
      <c r="ET325" s="9"/>
      <c r="EU325" s="9"/>
      <c r="EV325" s="9"/>
      <c r="EW325" s="9"/>
      <c r="EX325" s="9"/>
      <c r="EY325" s="9"/>
      <c r="EZ325" s="9"/>
      <c r="FA325" s="9"/>
      <c r="FB325" s="9"/>
      <c r="FC325" s="9"/>
      <c r="FD325" s="9"/>
      <c r="FE325" s="9"/>
      <c r="FF325" s="9"/>
      <c r="FG325" s="9"/>
      <c r="FH325" s="9"/>
      <c r="FI325" s="9"/>
      <c r="FJ325" s="9"/>
      <c r="FK325" s="9"/>
      <c r="FL325" s="9"/>
      <c r="FM325" s="9"/>
      <c r="FN325" s="9"/>
      <c r="FO325" s="9"/>
      <c r="FP325" s="9"/>
      <c r="FQ325" s="9"/>
      <c r="FR325" s="9"/>
      <c r="FS325" s="9"/>
      <c r="FT325" s="9"/>
      <c r="FU325" s="9"/>
      <c r="FV325" s="9"/>
      <c r="FW325" s="9"/>
      <c r="FX325" s="9"/>
      <c r="FY325" s="9"/>
      <c r="FZ325" s="9"/>
      <c r="GA325" s="9"/>
      <c r="GB325" s="9"/>
      <c r="GC325" s="9"/>
      <c r="GD325" s="9"/>
      <c r="GE325" s="9"/>
      <c r="GF325" s="9"/>
      <c r="GG325" s="9"/>
      <c r="GH325" s="9"/>
      <c r="GI325" s="9"/>
      <c r="GJ325" s="9"/>
      <c r="GK325" s="9"/>
      <c r="GL325" s="9"/>
      <c r="GM325" s="9"/>
      <c r="GN325" s="9"/>
      <c r="GO325" s="9"/>
      <c r="GP325" s="9"/>
      <c r="GQ325" s="9"/>
      <c r="GR325" s="9"/>
      <c r="GS325" s="9"/>
      <c r="GT325" s="9"/>
      <c r="GU325" s="9"/>
      <c r="GV325" s="9"/>
      <c r="GW325" s="9"/>
      <c r="GX325" s="9"/>
      <c r="GY325" s="9"/>
      <c r="GZ325" s="9"/>
      <c r="HA325" s="9"/>
      <c r="HB325" s="9"/>
      <c r="HC325" s="9"/>
      <c r="HD325" s="9"/>
      <c r="HE325" s="9"/>
      <c r="HF325" s="9"/>
      <c r="HG325" s="9"/>
      <c r="HH325" s="9"/>
      <c r="HI325" s="9"/>
      <c r="HJ325" s="9"/>
      <c r="HK325" s="9"/>
      <c r="HL325" s="9"/>
      <c r="HM325" s="9"/>
      <c r="HN325" s="9"/>
      <c r="HO325" s="9"/>
      <c r="HP325" s="9"/>
      <c r="HQ325" s="9"/>
      <c r="HR325" s="9"/>
      <c r="HS325" s="9"/>
      <c r="HT325" s="9"/>
      <c r="HU325" s="9"/>
      <c r="HV325" s="9"/>
      <c r="HW325" s="9"/>
      <c r="HX325" s="9"/>
      <c r="HY325" s="9"/>
      <c r="HZ325" s="9"/>
      <c r="IA325" s="9"/>
      <c r="IB325" s="9"/>
      <c r="IC325" s="9"/>
      <c r="ID325" s="9"/>
      <c r="IE325" s="9"/>
      <c r="IF325" s="9"/>
      <c r="IG325" s="9"/>
      <c r="IH325" s="9"/>
      <c r="II325" s="9"/>
      <c r="IJ325" s="9"/>
      <c r="IK325" s="9"/>
      <c r="IL325" s="9"/>
      <c r="IM325" s="9" t="s">
        <v>1101</v>
      </c>
      <c r="IN325" s="9"/>
      <c r="IO325" s="9" t="s">
        <v>1101</v>
      </c>
      <c r="IP325" s="9"/>
      <c r="IQ325" s="9"/>
      <c r="IR325" s="9"/>
      <c r="IS325" s="9"/>
      <c r="IT325" s="9"/>
      <c r="IU325" s="9"/>
      <c r="IV325" s="9"/>
      <c r="IW325" s="9"/>
      <c r="IX325" s="9"/>
      <c r="IY325" s="9"/>
      <c r="IZ325" s="9"/>
      <c r="JA325" s="9"/>
      <c r="JB325" s="9"/>
      <c r="JC325" s="9"/>
      <c r="JD325" s="9"/>
      <c r="JE325" s="9"/>
      <c r="JF325" s="9"/>
      <c r="JG325" s="9"/>
      <c r="JH325" s="9"/>
      <c r="JI325" s="9"/>
      <c r="JJ325" s="9"/>
      <c r="JK325" s="9"/>
      <c r="JL325" s="9"/>
      <c r="JM325" s="9"/>
      <c r="JN325" s="9"/>
      <c r="JO325" s="9"/>
      <c r="JP325" s="9"/>
      <c r="JQ325" s="9"/>
      <c r="JR325" s="9"/>
      <c r="JS325" s="9"/>
      <c r="JT325" s="9"/>
      <c r="JU325" s="9"/>
      <c r="JV325" s="9"/>
      <c r="JW325" s="9"/>
      <c r="JX325" s="9"/>
      <c r="JY325" s="9"/>
      <c r="JZ325" s="9"/>
      <c r="KA325" s="9"/>
      <c r="KB325" s="9"/>
      <c r="KC325" s="9"/>
      <c r="KD325" s="9"/>
      <c r="KE325" s="9"/>
      <c r="KF325" s="9"/>
      <c r="KG325" s="9"/>
      <c r="KH325" s="9"/>
      <c r="KI325" s="9"/>
      <c r="KJ325" s="9"/>
      <c r="KK325" s="9"/>
      <c r="KL325" s="9"/>
      <c r="KM325" s="9"/>
      <c r="KN325" s="9"/>
      <c r="KO325" s="9"/>
      <c r="KP325" s="9"/>
      <c r="KQ325" s="9"/>
      <c r="KR325" s="9"/>
      <c r="KS325" s="9"/>
      <c r="KT325" s="9"/>
      <c r="KU325" s="9"/>
      <c r="KV325" s="9"/>
      <c r="KW325" s="9"/>
      <c r="KX325" s="9"/>
      <c r="KY325" s="9"/>
      <c r="KZ325" s="9"/>
      <c r="LA325" s="9"/>
      <c r="LB325" s="9"/>
      <c r="LC325" s="9"/>
      <c r="LD325" s="9"/>
      <c r="LE325" s="9"/>
      <c r="LF325" s="9"/>
      <c r="LG325" s="9"/>
      <c r="LH325" s="9"/>
      <c r="LI325" s="9"/>
      <c r="LJ325" s="9"/>
      <c r="LK325" s="9"/>
      <c r="LL325" s="9"/>
      <c r="LM325" s="9"/>
      <c r="LN325" s="9"/>
      <c r="LO325" s="9"/>
      <c r="LP325" s="9"/>
      <c r="LQ325" s="9"/>
      <c r="LR325" s="9"/>
      <c r="LS325" s="9"/>
      <c r="LT325" s="9"/>
      <c r="LU325" s="9"/>
      <c r="LV325" s="9"/>
      <c r="LW325" s="9"/>
      <c r="LX325" s="9"/>
      <c r="LY325" s="9"/>
      <c r="LZ325" s="9"/>
      <c r="MA325" s="9"/>
      <c r="MB325" s="9"/>
      <c r="MC325" s="9"/>
      <c r="MD325" s="9"/>
      <c r="ME325" s="9"/>
      <c r="MF325" s="9"/>
      <c r="MG325" s="9"/>
      <c r="MH325" s="9"/>
      <c r="MI325" s="9"/>
      <c r="MJ325" s="9"/>
      <c r="MK325" s="9"/>
      <c r="ML325" s="9"/>
      <c r="MM325" s="9"/>
      <c r="MN325" s="9"/>
      <c r="MO325" s="9"/>
      <c r="MP325" s="9"/>
      <c r="MQ325" s="9"/>
      <c r="MR325" s="9"/>
      <c r="MS325" s="9"/>
      <c r="MT325" s="9"/>
      <c r="MU325" s="9"/>
      <c r="MV325" s="9"/>
      <c r="MW325" s="9"/>
      <c r="MX325" s="9"/>
      <c r="MY325" s="9"/>
      <c r="MZ325" s="9"/>
      <c r="NA325" s="9"/>
      <c r="NB325" s="9"/>
      <c r="NC325" s="9"/>
      <c r="ND325" s="9"/>
      <c r="NE325" s="9"/>
      <c r="NF325" s="9"/>
      <c r="NG325" s="9"/>
      <c r="NH325" s="9"/>
      <c r="NI325" s="9"/>
      <c r="NJ325" s="9"/>
      <c r="NK325" s="9"/>
      <c r="NL325" s="9"/>
      <c r="NM325" s="9"/>
      <c r="NN325" s="9"/>
      <c r="NO325" s="9"/>
      <c r="NP325" s="9"/>
      <c r="NQ325" s="9"/>
      <c r="NR325" s="9"/>
      <c r="NS325" s="9"/>
      <c r="NT325" s="9"/>
      <c r="NU325" s="9"/>
      <c r="NV325" s="9"/>
      <c r="NW325" s="9"/>
      <c r="NX325" s="9"/>
      <c r="NY325" s="9"/>
      <c r="NZ325" s="9"/>
      <c r="OA325" s="9"/>
      <c r="OB325" s="9"/>
      <c r="OC325" s="9"/>
      <c r="OD325" s="9"/>
      <c r="OE325" s="9"/>
      <c r="OF325" s="9"/>
      <c r="OG325" s="9"/>
      <c r="OH325" s="9"/>
      <c r="OI325" s="9"/>
      <c r="OJ325" s="9"/>
      <c r="OK325" s="9"/>
      <c r="OL325" s="9"/>
      <c r="OM325" s="9"/>
      <c r="ON325" s="9"/>
      <c r="OO325" s="9"/>
      <c r="OP325" s="9"/>
      <c r="OQ325" s="9"/>
      <c r="OR325" s="9"/>
      <c r="OS325" s="9"/>
      <c r="OT325" s="9"/>
      <c r="OU325" s="9"/>
      <c r="OV325" s="9"/>
      <c r="OW325" s="9"/>
      <c r="OX325" s="9"/>
      <c r="OY325" s="9"/>
      <c r="OZ325" s="9"/>
      <c r="PA325" s="9"/>
      <c r="PB325" s="9"/>
      <c r="PC325" s="9"/>
      <c r="PD325" s="9"/>
      <c r="PE325" s="9"/>
      <c r="PF325" s="9"/>
      <c r="PG325" s="9"/>
      <c r="PH325" s="9"/>
      <c r="PI325" s="9"/>
      <c r="PJ325" s="9"/>
      <c r="PK325" s="9"/>
      <c r="PL325" s="9"/>
      <c r="PM325" s="9"/>
      <c r="PN325" s="9"/>
      <c r="PO325" s="9"/>
      <c r="PP325" s="9"/>
      <c r="PQ325" s="9"/>
      <c r="PR325" s="9"/>
      <c r="PS325" s="9"/>
      <c r="PT325" s="9"/>
      <c r="PU325" s="9"/>
      <c r="PV325" s="9"/>
      <c r="PW325" s="9"/>
      <c r="PX325" s="9"/>
      <c r="PY325" s="9"/>
      <c r="PZ325" s="9"/>
      <c r="QA325" s="9"/>
      <c r="QB325" s="9"/>
      <c r="QC325" s="9"/>
      <c r="QD325" s="9"/>
      <c r="QE325" s="9"/>
      <c r="QF325" s="9"/>
      <c r="QG325" s="9"/>
      <c r="QH325" s="9"/>
      <c r="QI325" s="9"/>
      <c r="QJ325" s="9"/>
      <c r="QK325" s="9"/>
      <c r="QL325" s="9"/>
      <c r="QM325" s="9"/>
      <c r="QN325" s="9"/>
      <c r="QO325" s="9"/>
      <c r="QP325" s="9"/>
      <c r="QQ325" s="67"/>
      <c r="QR325" s="68"/>
      <c r="QS325" s="63"/>
      <c r="QT325" s="71"/>
    </row>
    <row r="326" spans="1:462" s="11" customFormat="1" x14ac:dyDescent="0.2">
      <c r="A326" s="9">
        <v>20</v>
      </c>
      <c r="B326" s="9"/>
      <c r="C326" s="9"/>
      <c r="D326" s="9" t="s">
        <v>440</v>
      </c>
      <c r="E326" s="65" t="s">
        <v>548</v>
      </c>
      <c r="F326" s="65"/>
      <c r="G326" s="92" t="s">
        <v>2492</v>
      </c>
      <c r="H326" s="66" t="s">
        <v>1839</v>
      </c>
      <c r="I326" s="9" t="s">
        <v>1101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  <c r="EN326" s="9"/>
      <c r="EO326" s="9"/>
      <c r="EP326" s="9"/>
      <c r="EQ326" s="9"/>
      <c r="ER326" s="9"/>
      <c r="ES326" s="9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9"/>
      <c r="FE326" s="9"/>
      <c r="FF326" s="9"/>
      <c r="FG326" s="9"/>
      <c r="FH326" s="9"/>
      <c r="FI326" s="9"/>
      <c r="FJ326" s="9"/>
      <c r="FK326" s="9"/>
      <c r="FL326" s="9"/>
      <c r="FM326" s="9"/>
      <c r="FN326" s="9"/>
      <c r="FO326" s="9"/>
      <c r="FP326" s="9"/>
      <c r="FQ326" s="9"/>
      <c r="FR326" s="9"/>
      <c r="FS326" s="9"/>
      <c r="FT326" s="9"/>
      <c r="FU326" s="9"/>
      <c r="FV326" s="9"/>
      <c r="FW326" s="9"/>
      <c r="FX326" s="9"/>
      <c r="FY326" s="9"/>
      <c r="FZ326" s="9"/>
      <c r="GA326" s="9"/>
      <c r="GB326" s="9"/>
      <c r="GC326" s="9"/>
      <c r="GD326" s="9"/>
      <c r="GE326" s="9"/>
      <c r="GF326" s="9"/>
      <c r="GG326" s="9"/>
      <c r="GH326" s="9"/>
      <c r="GI326" s="9"/>
      <c r="GJ326" s="9"/>
      <c r="GK326" s="9"/>
      <c r="GL326" s="9"/>
      <c r="GM326" s="9"/>
      <c r="GN326" s="9"/>
      <c r="GO326" s="9"/>
      <c r="GP326" s="9"/>
      <c r="GQ326" s="9"/>
      <c r="GR326" s="9"/>
      <c r="GS326" s="9"/>
      <c r="GT326" s="9"/>
      <c r="GU326" s="9"/>
      <c r="GV326" s="9"/>
      <c r="GW326" s="9"/>
      <c r="GX326" s="9"/>
      <c r="GY326" s="9"/>
      <c r="GZ326" s="9"/>
      <c r="HA326" s="9"/>
      <c r="HB326" s="9"/>
      <c r="HC326" s="9"/>
      <c r="HD326" s="9"/>
      <c r="HE326" s="9"/>
      <c r="HF326" s="9"/>
      <c r="HG326" s="9"/>
      <c r="HH326" s="9"/>
      <c r="HI326" s="9"/>
      <c r="HJ326" s="9"/>
      <c r="HK326" s="9"/>
      <c r="HL326" s="9"/>
      <c r="HM326" s="9"/>
      <c r="HN326" s="9"/>
      <c r="HO326" s="9"/>
      <c r="HP326" s="9"/>
      <c r="HQ326" s="9"/>
      <c r="HR326" s="9"/>
      <c r="HS326" s="9"/>
      <c r="HT326" s="9"/>
      <c r="HU326" s="9"/>
      <c r="HV326" s="9"/>
      <c r="HW326" s="9"/>
      <c r="HX326" s="9"/>
      <c r="HY326" s="9"/>
      <c r="HZ326" s="9"/>
      <c r="IA326" s="9"/>
      <c r="IB326" s="9"/>
      <c r="IC326" s="9"/>
      <c r="ID326" s="9"/>
      <c r="IE326" s="9"/>
      <c r="IF326" s="9"/>
      <c r="IG326" s="9"/>
      <c r="IH326" s="9"/>
      <c r="II326" s="9"/>
      <c r="IJ326" s="9"/>
      <c r="IK326" s="9"/>
      <c r="IL326" s="9"/>
      <c r="IM326" s="9"/>
      <c r="IN326" s="9"/>
      <c r="IO326" s="9"/>
      <c r="IP326" s="9"/>
      <c r="IQ326" s="9"/>
      <c r="IR326" s="9"/>
      <c r="IS326" s="9"/>
      <c r="IT326" s="9"/>
      <c r="IU326" s="9" t="s">
        <v>1101</v>
      </c>
      <c r="IV326" s="9"/>
      <c r="IW326" s="9" t="s">
        <v>1101</v>
      </c>
      <c r="IX326" s="9"/>
      <c r="IY326" s="9"/>
      <c r="IZ326" s="9"/>
      <c r="JA326" s="9"/>
      <c r="JB326" s="9"/>
      <c r="JC326" s="9"/>
      <c r="JD326" s="9"/>
      <c r="JE326" s="9"/>
      <c r="JF326" s="9"/>
      <c r="JG326" s="9"/>
      <c r="JH326" s="9"/>
      <c r="JI326" s="9"/>
      <c r="JJ326" s="9"/>
      <c r="JK326" s="9"/>
      <c r="JL326" s="9"/>
      <c r="JM326" s="9"/>
      <c r="JN326" s="9"/>
      <c r="JO326" s="9"/>
      <c r="JP326" s="9"/>
      <c r="JQ326" s="9"/>
      <c r="JR326" s="9"/>
      <c r="JS326" s="9"/>
      <c r="JT326" s="9"/>
      <c r="JU326" s="9"/>
      <c r="JV326" s="9"/>
      <c r="JW326" s="9"/>
      <c r="JX326" s="9"/>
      <c r="JY326" s="9"/>
      <c r="JZ326" s="9"/>
      <c r="KA326" s="9"/>
      <c r="KB326" s="9"/>
      <c r="KC326" s="9"/>
      <c r="KD326" s="9"/>
      <c r="KE326" s="9"/>
      <c r="KF326" s="9"/>
      <c r="KG326" s="9"/>
      <c r="KH326" s="9"/>
      <c r="KI326" s="9"/>
      <c r="KJ326" s="9"/>
      <c r="KK326" s="9"/>
      <c r="KL326" s="9"/>
      <c r="KM326" s="9"/>
      <c r="KN326" s="9"/>
      <c r="KO326" s="9"/>
      <c r="KP326" s="9"/>
      <c r="KQ326" s="9"/>
      <c r="KR326" s="9"/>
      <c r="KS326" s="9"/>
      <c r="KT326" s="9"/>
      <c r="KU326" s="9"/>
      <c r="KV326" s="9"/>
      <c r="KW326" s="9"/>
      <c r="KX326" s="9"/>
      <c r="KY326" s="9"/>
      <c r="KZ326" s="9"/>
      <c r="LA326" s="9"/>
      <c r="LB326" s="9"/>
      <c r="LC326" s="9"/>
      <c r="LD326" s="9"/>
      <c r="LE326" s="9"/>
      <c r="LF326" s="9"/>
      <c r="LG326" s="9"/>
      <c r="LH326" s="9"/>
      <c r="LI326" s="9"/>
      <c r="LJ326" s="9"/>
      <c r="LK326" s="9"/>
      <c r="LL326" s="9"/>
      <c r="LM326" s="9"/>
      <c r="LN326" s="9"/>
      <c r="LO326" s="9"/>
      <c r="LP326" s="9"/>
      <c r="LQ326" s="9"/>
      <c r="LR326" s="9"/>
      <c r="LS326" s="9"/>
      <c r="LT326" s="9"/>
      <c r="LU326" s="9"/>
      <c r="LV326" s="9"/>
      <c r="LW326" s="9"/>
      <c r="LX326" s="9"/>
      <c r="LY326" s="9"/>
      <c r="LZ326" s="9"/>
      <c r="MA326" s="9"/>
      <c r="MB326" s="9"/>
      <c r="MC326" s="9"/>
      <c r="MD326" s="9"/>
      <c r="ME326" s="9"/>
      <c r="MF326" s="9"/>
      <c r="MG326" s="9"/>
      <c r="MH326" s="9"/>
      <c r="MI326" s="9"/>
      <c r="MJ326" s="9"/>
      <c r="MK326" s="9"/>
      <c r="ML326" s="9"/>
      <c r="MM326" s="9"/>
      <c r="MN326" s="9"/>
      <c r="MO326" s="9"/>
      <c r="MP326" s="9"/>
      <c r="MQ326" s="9"/>
      <c r="MR326" s="9"/>
      <c r="MS326" s="9"/>
      <c r="MT326" s="9"/>
      <c r="MU326" s="9"/>
      <c r="MV326" s="9"/>
      <c r="MW326" s="9"/>
      <c r="MX326" s="9"/>
      <c r="MY326" s="9"/>
      <c r="MZ326" s="9"/>
      <c r="NA326" s="9"/>
      <c r="NB326" s="9"/>
      <c r="NC326" s="9"/>
      <c r="ND326" s="9"/>
      <c r="NE326" s="9"/>
      <c r="NF326" s="9"/>
      <c r="NG326" s="9"/>
      <c r="NH326" s="9"/>
      <c r="NI326" s="9"/>
      <c r="NJ326" s="9"/>
      <c r="NK326" s="9"/>
      <c r="NL326" s="9"/>
      <c r="NM326" s="9"/>
      <c r="NN326" s="9"/>
      <c r="NO326" s="9"/>
      <c r="NP326" s="9"/>
      <c r="NQ326" s="9"/>
      <c r="NR326" s="9"/>
      <c r="NS326" s="9"/>
      <c r="NT326" s="9"/>
      <c r="NU326" s="9"/>
      <c r="NV326" s="9"/>
      <c r="NW326" s="9"/>
      <c r="NX326" s="9"/>
      <c r="NY326" s="9"/>
      <c r="NZ326" s="9"/>
      <c r="OA326" s="9"/>
      <c r="OB326" s="9"/>
      <c r="OC326" s="9"/>
      <c r="OD326" s="9"/>
      <c r="OE326" s="9"/>
      <c r="OF326" s="9"/>
      <c r="OG326" s="9"/>
      <c r="OH326" s="9"/>
      <c r="OI326" s="9"/>
      <c r="OJ326" s="9"/>
      <c r="OK326" s="9"/>
      <c r="OL326" s="9"/>
      <c r="OM326" s="9"/>
      <c r="ON326" s="9"/>
      <c r="OO326" s="9"/>
      <c r="OP326" s="9"/>
      <c r="OQ326" s="9"/>
      <c r="OR326" s="9"/>
      <c r="OS326" s="9"/>
      <c r="OT326" s="9"/>
      <c r="OU326" s="9"/>
      <c r="OV326" s="9"/>
      <c r="OW326" s="9"/>
      <c r="OX326" s="9"/>
      <c r="OY326" s="9"/>
      <c r="OZ326" s="9"/>
      <c r="PA326" s="9"/>
      <c r="PB326" s="9"/>
      <c r="PC326" s="9"/>
      <c r="PD326" s="9"/>
      <c r="PE326" s="9"/>
      <c r="PF326" s="9"/>
      <c r="PG326" s="9"/>
      <c r="PH326" s="9"/>
      <c r="PI326" s="9"/>
      <c r="PJ326" s="9"/>
      <c r="PK326" s="9"/>
      <c r="PL326" s="9"/>
      <c r="PM326" s="9"/>
      <c r="PN326" s="9"/>
      <c r="PO326" s="9"/>
      <c r="PP326" s="9"/>
      <c r="PQ326" s="9"/>
      <c r="PR326" s="9"/>
      <c r="PS326" s="9"/>
      <c r="PT326" s="9"/>
      <c r="PU326" s="9"/>
      <c r="PV326" s="9"/>
      <c r="PW326" s="9"/>
      <c r="PX326" s="9"/>
      <c r="PY326" s="9"/>
      <c r="PZ326" s="9"/>
      <c r="QA326" s="9"/>
      <c r="QB326" s="9"/>
      <c r="QC326" s="9"/>
      <c r="QD326" s="9"/>
      <c r="QE326" s="9"/>
      <c r="QF326" s="9"/>
      <c r="QG326" s="9"/>
      <c r="QH326" s="9"/>
      <c r="QI326" s="9"/>
      <c r="QJ326" s="9"/>
      <c r="QK326" s="9"/>
      <c r="QL326" s="9"/>
      <c r="QM326" s="9"/>
      <c r="QN326" s="9"/>
      <c r="QO326" s="9"/>
      <c r="QP326" s="9"/>
      <c r="QQ326" s="67"/>
      <c r="QR326" s="68"/>
      <c r="QS326" s="63"/>
      <c r="QT326" s="71"/>
    </row>
    <row r="327" spans="1:462" s="11" customFormat="1" x14ac:dyDescent="0.2">
      <c r="A327" s="9">
        <v>20</v>
      </c>
      <c r="B327" s="9"/>
      <c r="C327" s="9"/>
      <c r="D327" s="9" t="s">
        <v>443</v>
      </c>
      <c r="E327" s="65" t="s">
        <v>550</v>
      </c>
      <c r="F327" s="65"/>
      <c r="G327" s="92" t="s">
        <v>2375</v>
      </c>
      <c r="H327" s="66" t="s">
        <v>1277</v>
      </c>
      <c r="I327" s="9" t="s">
        <v>1101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  <c r="EN327" s="9"/>
      <c r="EO327" s="9"/>
      <c r="EP327" s="9"/>
      <c r="EQ327" s="9"/>
      <c r="ER327" s="9"/>
      <c r="ES327" s="9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9"/>
      <c r="FE327" s="9"/>
      <c r="FF327" s="9"/>
      <c r="FG327" s="9"/>
      <c r="FH327" s="9"/>
      <c r="FI327" s="9"/>
      <c r="FJ327" s="9"/>
      <c r="FK327" s="9"/>
      <c r="FL327" s="9"/>
      <c r="FM327" s="9"/>
      <c r="FN327" s="9"/>
      <c r="FO327" s="9"/>
      <c r="FP327" s="9"/>
      <c r="FQ327" s="9"/>
      <c r="FR327" s="9"/>
      <c r="FS327" s="9"/>
      <c r="FT327" s="9"/>
      <c r="FU327" s="9"/>
      <c r="FV327" s="9"/>
      <c r="FW327" s="9"/>
      <c r="FX327" s="9"/>
      <c r="FY327" s="9"/>
      <c r="FZ327" s="9"/>
      <c r="GA327" s="9"/>
      <c r="GB327" s="9"/>
      <c r="GC327" s="9"/>
      <c r="GD327" s="9"/>
      <c r="GE327" s="9"/>
      <c r="GF327" s="9"/>
      <c r="GG327" s="9"/>
      <c r="GH327" s="9"/>
      <c r="GI327" s="9"/>
      <c r="GJ327" s="9"/>
      <c r="GK327" s="9"/>
      <c r="GL327" s="9"/>
      <c r="GM327" s="9"/>
      <c r="GN327" s="9"/>
      <c r="GO327" s="9"/>
      <c r="GP327" s="9"/>
      <c r="GQ327" s="9"/>
      <c r="GR327" s="9"/>
      <c r="GS327" s="9"/>
      <c r="GT327" s="9"/>
      <c r="GU327" s="9"/>
      <c r="GV327" s="9"/>
      <c r="GW327" s="9"/>
      <c r="GX327" s="9"/>
      <c r="GY327" s="9"/>
      <c r="GZ327" s="9"/>
      <c r="HA327" s="9"/>
      <c r="HB327" s="9"/>
      <c r="HC327" s="9"/>
      <c r="HD327" s="9"/>
      <c r="HE327" s="9"/>
      <c r="HF327" s="9"/>
      <c r="HG327" s="9"/>
      <c r="HH327" s="9"/>
      <c r="HI327" s="9"/>
      <c r="HJ327" s="9"/>
      <c r="HK327" s="9"/>
      <c r="HL327" s="9"/>
      <c r="HM327" s="9"/>
      <c r="HN327" s="9"/>
      <c r="HO327" s="9"/>
      <c r="HP327" s="9"/>
      <c r="HQ327" s="9"/>
      <c r="HR327" s="9"/>
      <c r="HS327" s="9"/>
      <c r="HT327" s="9"/>
      <c r="HU327" s="9"/>
      <c r="HV327" s="9"/>
      <c r="HW327" s="9"/>
      <c r="HX327" s="9"/>
      <c r="HY327" s="9"/>
      <c r="HZ327" s="9"/>
      <c r="IA327" s="9"/>
      <c r="IB327" s="9"/>
      <c r="IC327" s="9"/>
      <c r="ID327" s="9"/>
      <c r="IE327" s="9"/>
      <c r="IF327" s="9"/>
      <c r="IG327" s="9"/>
      <c r="IH327" s="9"/>
      <c r="II327" s="9"/>
      <c r="IJ327" s="9"/>
      <c r="IK327" s="9"/>
      <c r="IL327" s="9"/>
      <c r="IM327" s="9"/>
      <c r="IN327" s="9"/>
      <c r="IO327" s="9"/>
      <c r="IP327" s="9"/>
      <c r="IQ327" s="9"/>
      <c r="IR327" s="9"/>
      <c r="IS327" s="9"/>
      <c r="IT327" s="9"/>
      <c r="IU327" s="9"/>
      <c r="IV327" s="9"/>
      <c r="IW327" s="9"/>
      <c r="IX327" s="9"/>
      <c r="IY327" s="9"/>
      <c r="IZ327" s="9"/>
      <c r="JA327" s="9"/>
      <c r="JB327" s="9"/>
      <c r="JC327" s="9" t="s">
        <v>1101</v>
      </c>
      <c r="JD327" s="9"/>
      <c r="JE327" s="9" t="s">
        <v>1101</v>
      </c>
      <c r="JF327" s="9"/>
      <c r="JG327" s="9"/>
      <c r="JH327" s="9"/>
      <c r="JI327" s="9"/>
      <c r="JJ327" s="9"/>
      <c r="JK327" s="9"/>
      <c r="JL327" s="9"/>
      <c r="JM327" s="9"/>
      <c r="JN327" s="9"/>
      <c r="JO327" s="9"/>
      <c r="JP327" s="9"/>
      <c r="JQ327" s="9"/>
      <c r="JR327" s="9"/>
      <c r="JS327" s="9"/>
      <c r="JT327" s="9"/>
      <c r="JU327" s="9"/>
      <c r="JV327" s="9"/>
      <c r="JW327" s="9"/>
      <c r="JX327" s="9"/>
      <c r="JY327" s="9"/>
      <c r="JZ327" s="9"/>
      <c r="KA327" s="9"/>
      <c r="KB327" s="9"/>
      <c r="KC327" s="9"/>
      <c r="KD327" s="9"/>
      <c r="KE327" s="9"/>
      <c r="KF327" s="9"/>
      <c r="KG327" s="9"/>
      <c r="KH327" s="9"/>
      <c r="KI327" s="9"/>
      <c r="KJ327" s="9"/>
      <c r="KK327" s="9"/>
      <c r="KL327" s="9"/>
      <c r="KM327" s="9"/>
      <c r="KN327" s="9"/>
      <c r="KO327" s="9"/>
      <c r="KP327" s="9"/>
      <c r="KQ327" s="9"/>
      <c r="KR327" s="9"/>
      <c r="KS327" s="9"/>
      <c r="KT327" s="9"/>
      <c r="KU327" s="9"/>
      <c r="KV327" s="9"/>
      <c r="KW327" s="9"/>
      <c r="KX327" s="9"/>
      <c r="KY327" s="9"/>
      <c r="KZ327" s="9"/>
      <c r="LA327" s="9"/>
      <c r="LB327" s="9"/>
      <c r="LC327" s="9"/>
      <c r="LD327" s="9"/>
      <c r="LE327" s="9"/>
      <c r="LF327" s="9"/>
      <c r="LG327" s="9"/>
      <c r="LH327" s="9"/>
      <c r="LI327" s="9"/>
      <c r="LJ327" s="9"/>
      <c r="LK327" s="9"/>
      <c r="LL327" s="9"/>
      <c r="LM327" s="9"/>
      <c r="LN327" s="9"/>
      <c r="LO327" s="9"/>
      <c r="LP327" s="9"/>
      <c r="LQ327" s="9"/>
      <c r="LR327" s="9"/>
      <c r="LS327" s="9"/>
      <c r="LT327" s="9"/>
      <c r="LU327" s="9"/>
      <c r="LV327" s="9"/>
      <c r="LW327" s="9"/>
      <c r="LX327" s="9"/>
      <c r="LY327" s="9"/>
      <c r="LZ327" s="9"/>
      <c r="MA327" s="9"/>
      <c r="MB327" s="9"/>
      <c r="MC327" s="9"/>
      <c r="MD327" s="9"/>
      <c r="ME327" s="9"/>
      <c r="MF327" s="9"/>
      <c r="MG327" s="9"/>
      <c r="MH327" s="9"/>
      <c r="MI327" s="9"/>
      <c r="MJ327" s="9"/>
      <c r="MK327" s="9"/>
      <c r="ML327" s="9"/>
      <c r="MM327" s="9"/>
      <c r="MN327" s="9"/>
      <c r="MO327" s="9"/>
      <c r="MP327" s="9"/>
      <c r="MQ327" s="9"/>
      <c r="MR327" s="9"/>
      <c r="MS327" s="9"/>
      <c r="MT327" s="9"/>
      <c r="MU327" s="9"/>
      <c r="MV327" s="9"/>
      <c r="MW327" s="9"/>
      <c r="MX327" s="9"/>
      <c r="MY327" s="9"/>
      <c r="MZ327" s="9"/>
      <c r="NA327" s="9"/>
      <c r="NB327" s="9"/>
      <c r="NC327" s="9"/>
      <c r="ND327" s="9"/>
      <c r="NE327" s="9"/>
      <c r="NF327" s="9"/>
      <c r="NG327" s="9"/>
      <c r="NH327" s="9"/>
      <c r="NI327" s="9"/>
      <c r="NJ327" s="9"/>
      <c r="NK327" s="9"/>
      <c r="NL327" s="9"/>
      <c r="NM327" s="9"/>
      <c r="NN327" s="9"/>
      <c r="NO327" s="9"/>
      <c r="NP327" s="9"/>
      <c r="NQ327" s="9"/>
      <c r="NR327" s="9"/>
      <c r="NS327" s="9"/>
      <c r="NT327" s="9"/>
      <c r="NU327" s="9"/>
      <c r="NV327" s="9"/>
      <c r="NW327" s="9"/>
      <c r="NX327" s="9"/>
      <c r="NY327" s="9"/>
      <c r="NZ327" s="9"/>
      <c r="OA327" s="9"/>
      <c r="OB327" s="9"/>
      <c r="OC327" s="9"/>
      <c r="OD327" s="9"/>
      <c r="OE327" s="9"/>
      <c r="OF327" s="9"/>
      <c r="OG327" s="9"/>
      <c r="OH327" s="9"/>
      <c r="OI327" s="9"/>
      <c r="OJ327" s="9"/>
      <c r="OK327" s="9"/>
      <c r="OL327" s="9"/>
      <c r="OM327" s="9"/>
      <c r="ON327" s="9"/>
      <c r="OO327" s="9"/>
      <c r="OP327" s="9"/>
      <c r="OQ327" s="9"/>
      <c r="OR327" s="9"/>
      <c r="OS327" s="9"/>
      <c r="OT327" s="9"/>
      <c r="OU327" s="9"/>
      <c r="OV327" s="9"/>
      <c r="OW327" s="9"/>
      <c r="OX327" s="9"/>
      <c r="OY327" s="9"/>
      <c r="OZ327" s="9"/>
      <c r="PA327" s="9"/>
      <c r="PB327" s="9"/>
      <c r="PC327" s="9"/>
      <c r="PD327" s="9"/>
      <c r="PE327" s="9"/>
      <c r="PF327" s="9"/>
      <c r="PG327" s="9"/>
      <c r="PH327" s="9"/>
      <c r="PI327" s="9"/>
      <c r="PJ327" s="9"/>
      <c r="PK327" s="9"/>
      <c r="PL327" s="9"/>
      <c r="PM327" s="9"/>
      <c r="PN327" s="9"/>
      <c r="PO327" s="9"/>
      <c r="PP327" s="9"/>
      <c r="PQ327" s="9"/>
      <c r="PR327" s="9"/>
      <c r="PS327" s="9"/>
      <c r="PT327" s="9"/>
      <c r="PU327" s="9"/>
      <c r="PV327" s="9"/>
      <c r="PW327" s="9"/>
      <c r="PX327" s="9"/>
      <c r="PY327" s="9"/>
      <c r="PZ327" s="9"/>
      <c r="QA327" s="9"/>
      <c r="QB327" s="9"/>
      <c r="QC327" s="9"/>
      <c r="QD327" s="9"/>
      <c r="QE327" s="9"/>
      <c r="QF327" s="9"/>
      <c r="QG327" s="9"/>
      <c r="QH327" s="9"/>
      <c r="QI327" s="9"/>
      <c r="QJ327" s="9"/>
      <c r="QK327" s="9"/>
      <c r="QL327" s="9"/>
      <c r="QM327" s="9"/>
      <c r="QN327" s="9"/>
      <c r="QO327" s="9"/>
      <c r="QP327" s="9"/>
      <c r="QQ327" s="67"/>
      <c r="QR327" s="68"/>
      <c r="QS327" s="63"/>
      <c r="QT327" s="71"/>
    </row>
    <row r="328" spans="1:462" s="11" customFormat="1" x14ac:dyDescent="0.2">
      <c r="A328" s="9">
        <v>20</v>
      </c>
      <c r="B328" s="9"/>
      <c r="C328" s="9"/>
      <c r="D328" s="9" t="s">
        <v>445</v>
      </c>
      <c r="E328" s="65" t="s">
        <v>663</v>
      </c>
      <c r="F328" s="65"/>
      <c r="G328" s="92" t="s">
        <v>2378</v>
      </c>
      <c r="H328" s="66" t="s">
        <v>1281</v>
      </c>
      <c r="I328" s="9" t="s">
        <v>1101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  <c r="EN328" s="9"/>
      <c r="EO328" s="9"/>
      <c r="EP328" s="9"/>
      <c r="EQ328" s="9"/>
      <c r="ER328" s="9"/>
      <c r="ES328" s="9"/>
      <c r="ET328" s="9"/>
      <c r="EU328" s="9"/>
      <c r="EV328" s="9"/>
      <c r="EW328" s="9"/>
      <c r="EX328" s="9"/>
      <c r="EY328" s="9"/>
      <c r="EZ328" s="9"/>
      <c r="FA328" s="9"/>
      <c r="FB328" s="9"/>
      <c r="FC328" s="9"/>
      <c r="FD328" s="9"/>
      <c r="FE328" s="9"/>
      <c r="FF328" s="9"/>
      <c r="FG328" s="9"/>
      <c r="FH328" s="9"/>
      <c r="FI328" s="9"/>
      <c r="FJ328" s="9"/>
      <c r="FK328" s="9"/>
      <c r="FL328" s="9"/>
      <c r="FM328" s="9"/>
      <c r="FN328" s="9"/>
      <c r="FO328" s="9"/>
      <c r="FP328" s="9"/>
      <c r="FQ328" s="9"/>
      <c r="FR328" s="9"/>
      <c r="FS328" s="9"/>
      <c r="FT328" s="9"/>
      <c r="FU328" s="9"/>
      <c r="FV328" s="9"/>
      <c r="FW328" s="9"/>
      <c r="FX328" s="9"/>
      <c r="FY328" s="9"/>
      <c r="FZ328" s="9"/>
      <c r="GA328" s="9"/>
      <c r="GB328" s="9"/>
      <c r="GC328" s="9"/>
      <c r="GD328" s="9"/>
      <c r="GE328" s="9"/>
      <c r="GF328" s="9"/>
      <c r="GG328" s="9"/>
      <c r="GH328" s="9"/>
      <c r="GI328" s="9"/>
      <c r="GJ328" s="9"/>
      <c r="GK328" s="9"/>
      <c r="GL328" s="9"/>
      <c r="GM328" s="9"/>
      <c r="GN328" s="9"/>
      <c r="GO328" s="9"/>
      <c r="GP328" s="9"/>
      <c r="GQ328" s="9"/>
      <c r="GR328" s="9"/>
      <c r="GS328" s="9"/>
      <c r="GT328" s="9"/>
      <c r="GU328" s="9"/>
      <c r="GV328" s="9"/>
      <c r="GW328" s="9"/>
      <c r="GX328" s="9"/>
      <c r="GY328" s="9"/>
      <c r="GZ328" s="9"/>
      <c r="HA328" s="9"/>
      <c r="HB328" s="9"/>
      <c r="HC328" s="9"/>
      <c r="HD328" s="9"/>
      <c r="HE328" s="9"/>
      <c r="HF328" s="9"/>
      <c r="HG328" s="9"/>
      <c r="HH328" s="9"/>
      <c r="HI328" s="9"/>
      <c r="HJ328" s="9"/>
      <c r="HK328" s="9"/>
      <c r="HL328" s="9"/>
      <c r="HM328" s="9"/>
      <c r="HN328" s="9"/>
      <c r="HO328" s="9"/>
      <c r="HP328" s="9"/>
      <c r="HQ328" s="9"/>
      <c r="HR328" s="9"/>
      <c r="HS328" s="9"/>
      <c r="HT328" s="9"/>
      <c r="HU328" s="9"/>
      <c r="HV328" s="9"/>
      <c r="HW328" s="9"/>
      <c r="HX328" s="9"/>
      <c r="HY328" s="9"/>
      <c r="HZ328" s="9"/>
      <c r="IA328" s="9"/>
      <c r="IB328" s="9"/>
      <c r="IC328" s="9"/>
      <c r="ID328" s="9"/>
      <c r="IE328" s="9"/>
      <c r="IF328" s="9"/>
      <c r="IG328" s="9"/>
      <c r="IH328" s="9"/>
      <c r="II328" s="9"/>
      <c r="IJ328" s="9"/>
      <c r="IK328" s="9"/>
      <c r="IL328" s="9"/>
      <c r="IM328" s="9"/>
      <c r="IN328" s="9"/>
      <c r="IO328" s="9"/>
      <c r="IP328" s="9"/>
      <c r="IQ328" s="9"/>
      <c r="IR328" s="9"/>
      <c r="IS328" s="9"/>
      <c r="IT328" s="9"/>
      <c r="IU328" s="9"/>
      <c r="IV328" s="9"/>
      <c r="IW328" s="9"/>
      <c r="IX328" s="9"/>
      <c r="IY328" s="9"/>
      <c r="IZ328" s="9"/>
      <c r="JA328" s="9"/>
      <c r="JB328" s="9"/>
      <c r="JC328" s="9"/>
      <c r="JD328" s="9"/>
      <c r="JE328" s="9"/>
      <c r="JF328" s="9"/>
      <c r="JG328" s="9"/>
      <c r="JH328" s="9"/>
      <c r="JI328" s="9"/>
      <c r="JJ328" s="9"/>
      <c r="JK328" s="9" t="s">
        <v>1101</v>
      </c>
      <c r="JL328" s="9"/>
      <c r="JM328" s="9" t="s">
        <v>1101</v>
      </c>
      <c r="JN328" s="9"/>
      <c r="JO328" s="9"/>
      <c r="JP328" s="9"/>
      <c r="JQ328" s="9"/>
      <c r="JR328" s="9"/>
      <c r="JS328" s="9"/>
      <c r="JT328" s="9"/>
      <c r="JU328" s="9"/>
      <c r="JV328" s="9"/>
      <c r="JW328" s="9"/>
      <c r="JX328" s="9"/>
      <c r="JY328" s="9"/>
      <c r="JZ328" s="9"/>
      <c r="KA328" s="9"/>
      <c r="KB328" s="9"/>
      <c r="KC328" s="9"/>
      <c r="KD328" s="9"/>
      <c r="KE328" s="9"/>
      <c r="KF328" s="9"/>
      <c r="KG328" s="9"/>
      <c r="KH328" s="9"/>
      <c r="KI328" s="9"/>
      <c r="KJ328" s="9"/>
      <c r="KK328" s="9"/>
      <c r="KL328" s="9"/>
      <c r="KM328" s="9"/>
      <c r="KN328" s="9"/>
      <c r="KO328" s="9"/>
      <c r="KP328" s="9"/>
      <c r="KQ328" s="9"/>
      <c r="KR328" s="9"/>
      <c r="KS328" s="9"/>
      <c r="KT328" s="9"/>
      <c r="KU328" s="9"/>
      <c r="KV328" s="9"/>
      <c r="KW328" s="9"/>
      <c r="KX328" s="9"/>
      <c r="KY328" s="9"/>
      <c r="KZ328" s="9"/>
      <c r="LA328" s="9"/>
      <c r="LB328" s="9"/>
      <c r="LC328" s="9"/>
      <c r="LD328" s="9"/>
      <c r="LE328" s="9"/>
      <c r="LF328" s="9"/>
      <c r="LG328" s="9"/>
      <c r="LH328" s="9"/>
      <c r="LI328" s="9"/>
      <c r="LJ328" s="9"/>
      <c r="LK328" s="9"/>
      <c r="LL328" s="9"/>
      <c r="LM328" s="9"/>
      <c r="LN328" s="9"/>
      <c r="LO328" s="9"/>
      <c r="LP328" s="9"/>
      <c r="LQ328" s="9"/>
      <c r="LR328" s="9"/>
      <c r="LS328" s="9"/>
      <c r="LT328" s="9"/>
      <c r="LU328" s="9"/>
      <c r="LV328" s="9"/>
      <c r="LW328" s="9"/>
      <c r="LX328" s="9"/>
      <c r="LY328" s="9"/>
      <c r="LZ328" s="9"/>
      <c r="MA328" s="9"/>
      <c r="MB328" s="9"/>
      <c r="MC328" s="9"/>
      <c r="MD328" s="9"/>
      <c r="ME328" s="9"/>
      <c r="MF328" s="9"/>
      <c r="MG328" s="9"/>
      <c r="MH328" s="9"/>
      <c r="MI328" s="9"/>
      <c r="MJ328" s="9"/>
      <c r="MK328" s="9"/>
      <c r="ML328" s="9"/>
      <c r="MM328" s="9"/>
      <c r="MN328" s="9"/>
      <c r="MO328" s="9"/>
      <c r="MP328" s="9"/>
      <c r="MQ328" s="9"/>
      <c r="MR328" s="9"/>
      <c r="MS328" s="9"/>
      <c r="MT328" s="9"/>
      <c r="MU328" s="9"/>
      <c r="MV328" s="9"/>
      <c r="MW328" s="9"/>
      <c r="MX328" s="9"/>
      <c r="MY328" s="9"/>
      <c r="MZ328" s="9"/>
      <c r="NA328" s="9"/>
      <c r="NB328" s="9"/>
      <c r="NC328" s="9"/>
      <c r="ND328" s="9"/>
      <c r="NE328" s="9"/>
      <c r="NF328" s="9"/>
      <c r="NG328" s="9"/>
      <c r="NH328" s="9"/>
      <c r="NI328" s="9"/>
      <c r="NJ328" s="9"/>
      <c r="NK328" s="9"/>
      <c r="NL328" s="9"/>
      <c r="NM328" s="9"/>
      <c r="NN328" s="9"/>
      <c r="NO328" s="9"/>
      <c r="NP328" s="9"/>
      <c r="NQ328" s="9"/>
      <c r="NR328" s="9"/>
      <c r="NS328" s="9"/>
      <c r="NT328" s="9"/>
      <c r="NU328" s="9"/>
      <c r="NV328" s="9"/>
      <c r="NW328" s="9"/>
      <c r="NX328" s="9"/>
      <c r="NY328" s="9"/>
      <c r="NZ328" s="9"/>
      <c r="OA328" s="9"/>
      <c r="OB328" s="9"/>
      <c r="OC328" s="9"/>
      <c r="OD328" s="9"/>
      <c r="OE328" s="9"/>
      <c r="OF328" s="9"/>
      <c r="OG328" s="9"/>
      <c r="OH328" s="9"/>
      <c r="OI328" s="9"/>
      <c r="OJ328" s="9"/>
      <c r="OK328" s="9"/>
      <c r="OL328" s="9"/>
      <c r="OM328" s="9"/>
      <c r="ON328" s="9"/>
      <c r="OO328" s="9"/>
      <c r="OP328" s="9"/>
      <c r="OQ328" s="9"/>
      <c r="OR328" s="9"/>
      <c r="OS328" s="9"/>
      <c r="OT328" s="9"/>
      <c r="OU328" s="9"/>
      <c r="OV328" s="9"/>
      <c r="OW328" s="9"/>
      <c r="OX328" s="9"/>
      <c r="OY328" s="9"/>
      <c r="OZ328" s="9"/>
      <c r="PA328" s="9"/>
      <c r="PB328" s="9"/>
      <c r="PC328" s="9"/>
      <c r="PD328" s="9"/>
      <c r="PE328" s="9"/>
      <c r="PF328" s="9"/>
      <c r="PG328" s="9"/>
      <c r="PH328" s="9"/>
      <c r="PI328" s="9"/>
      <c r="PJ328" s="9"/>
      <c r="PK328" s="9"/>
      <c r="PL328" s="9"/>
      <c r="PM328" s="9"/>
      <c r="PN328" s="9"/>
      <c r="PO328" s="9"/>
      <c r="PP328" s="9"/>
      <c r="PQ328" s="9"/>
      <c r="PR328" s="9"/>
      <c r="PS328" s="9"/>
      <c r="PT328" s="9"/>
      <c r="PU328" s="9"/>
      <c r="PV328" s="9"/>
      <c r="PW328" s="9"/>
      <c r="PX328" s="9"/>
      <c r="PY328" s="9"/>
      <c r="PZ328" s="9"/>
      <c r="QA328" s="9"/>
      <c r="QB328" s="9"/>
      <c r="QC328" s="9"/>
      <c r="QD328" s="9"/>
      <c r="QE328" s="9"/>
      <c r="QF328" s="9"/>
      <c r="QG328" s="9"/>
      <c r="QH328" s="9"/>
      <c r="QI328" s="9"/>
      <c r="QJ328" s="9"/>
      <c r="QK328" s="9"/>
      <c r="QL328" s="9"/>
      <c r="QM328" s="9"/>
      <c r="QN328" s="9"/>
      <c r="QO328" s="9"/>
      <c r="QP328" s="9"/>
      <c r="QQ328" s="67"/>
      <c r="QR328" s="68"/>
      <c r="QS328" s="63"/>
      <c r="QT328" s="71"/>
    </row>
    <row r="329" spans="1:462" s="11" customFormat="1" x14ac:dyDescent="0.2">
      <c r="A329" s="9">
        <v>20</v>
      </c>
      <c r="B329" s="9"/>
      <c r="C329" s="9"/>
      <c r="D329" s="9" t="s">
        <v>449</v>
      </c>
      <c r="E329" s="65" t="s">
        <v>552</v>
      </c>
      <c r="F329" s="65"/>
      <c r="G329" s="92" t="s">
        <v>2382</v>
      </c>
      <c r="H329" s="66" t="s">
        <v>1285</v>
      </c>
      <c r="I329" s="9" t="s">
        <v>1101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  <c r="EN329" s="9"/>
      <c r="EO329" s="9"/>
      <c r="EP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E329" s="9"/>
      <c r="FF329" s="9"/>
      <c r="FG329" s="9"/>
      <c r="FH329" s="9"/>
      <c r="FI329" s="9"/>
      <c r="FJ329" s="9"/>
      <c r="FK329" s="9"/>
      <c r="FL329" s="9"/>
      <c r="FM329" s="9"/>
      <c r="FN329" s="9"/>
      <c r="FO329" s="9"/>
      <c r="FP329" s="9"/>
      <c r="FQ329" s="9"/>
      <c r="FR329" s="9"/>
      <c r="FS329" s="9"/>
      <c r="FT329" s="9"/>
      <c r="FU329" s="9"/>
      <c r="FV329" s="9"/>
      <c r="FW329" s="9"/>
      <c r="FX329" s="9"/>
      <c r="FY329" s="9"/>
      <c r="FZ329" s="9"/>
      <c r="GA329" s="9"/>
      <c r="GB329" s="9"/>
      <c r="GC329" s="9"/>
      <c r="GD329" s="9"/>
      <c r="GE329" s="9"/>
      <c r="GF329" s="9"/>
      <c r="GG329" s="9"/>
      <c r="GH329" s="9"/>
      <c r="GI329" s="9"/>
      <c r="GJ329" s="9"/>
      <c r="GK329" s="9"/>
      <c r="GL329" s="9"/>
      <c r="GM329" s="9"/>
      <c r="GN329" s="9"/>
      <c r="GO329" s="9"/>
      <c r="GP329" s="9"/>
      <c r="GQ329" s="9"/>
      <c r="GR329" s="9"/>
      <c r="GS329" s="9"/>
      <c r="GT329" s="9"/>
      <c r="GU329" s="9"/>
      <c r="GV329" s="9"/>
      <c r="GW329" s="9"/>
      <c r="GX329" s="9"/>
      <c r="GY329" s="9"/>
      <c r="GZ329" s="9"/>
      <c r="HA329" s="9"/>
      <c r="HB329" s="9"/>
      <c r="HC329" s="9"/>
      <c r="HD329" s="9"/>
      <c r="HE329" s="9"/>
      <c r="HF329" s="9"/>
      <c r="HG329" s="9"/>
      <c r="HH329" s="9"/>
      <c r="HI329" s="9"/>
      <c r="HJ329" s="9"/>
      <c r="HK329" s="9"/>
      <c r="HL329" s="9"/>
      <c r="HM329" s="9"/>
      <c r="HN329" s="9"/>
      <c r="HO329" s="9"/>
      <c r="HP329" s="9"/>
      <c r="HQ329" s="9"/>
      <c r="HR329" s="9"/>
      <c r="HS329" s="9"/>
      <c r="HT329" s="9"/>
      <c r="HU329" s="9"/>
      <c r="HV329" s="9"/>
      <c r="HW329" s="9"/>
      <c r="HX329" s="9"/>
      <c r="HY329" s="9"/>
      <c r="HZ329" s="9"/>
      <c r="IA329" s="9"/>
      <c r="IB329" s="9"/>
      <c r="IC329" s="9"/>
      <c r="ID329" s="9"/>
      <c r="IE329" s="9"/>
      <c r="IF329" s="9"/>
      <c r="IG329" s="9"/>
      <c r="IH329" s="9"/>
      <c r="II329" s="9"/>
      <c r="IJ329" s="9"/>
      <c r="IK329" s="9"/>
      <c r="IL329" s="9"/>
      <c r="IM329" s="9"/>
      <c r="IN329" s="9"/>
      <c r="IO329" s="9"/>
      <c r="IP329" s="9"/>
      <c r="IQ329" s="9"/>
      <c r="IR329" s="9"/>
      <c r="IS329" s="9"/>
      <c r="IT329" s="9"/>
      <c r="IU329" s="9"/>
      <c r="IV329" s="9"/>
      <c r="IW329" s="9"/>
      <c r="IX329" s="9"/>
      <c r="IY329" s="9"/>
      <c r="IZ329" s="9"/>
      <c r="JA329" s="9"/>
      <c r="JB329" s="9"/>
      <c r="JC329" s="9"/>
      <c r="JD329" s="9"/>
      <c r="JE329" s="9"/>
      <c r="JF329" s="9"/>
      <c r="JG329" s="9"/>
      <c r="JH329" s="9"/>
      <c r="JI329" s="9"/>
      <c r="JJ329" s="9"/>
      <c r="JK329" s="9"/>
      <c r="JL329" s="9"/>
      <c r="JM329" s="9"/>
      <c r="JN329" s="9"/>
      <c r="JO329" s="9"/>
      <c r="JP329" s="9"/>
      <c r="JQ329" s="9"/>
      <c r="JR329" s="9"/>
      <c r="JS329" s="9" t="s">
        <v>1101</v>
      </c>
      <c r="JT329" s="9"/>
      <c r="JU329" s="9" t="s">
        <v>1101</v>
      </c>
      <c r="JV329" s="9"/>
      <c r="JW329" s="9"/>
      <c r="JX329" s="9"/>
      <c r="JY329" s="9"/>
      <c r="JZ329" s="9"/>
      <c r="KA329" s="9"/>
      <c r="KB329" s="9"/>
      <c r="KC329" s="9"/>
      <c r="KD329" s="9"/>
      <c r="KE329" s="9"/>
      <c r="KF329" s="9"/>
      <c r="KG329" s="9"/>
      <c r="KH329" s="9"/>
      <c r="KI329" s="9"/>
      <c r="KJ329" s="9"/>
      <c r="KK329" s="9"/>
      <c r="KL329" s="9"/>
      <c r="KM329" s="9"/>
      <c r="KN329" s="9"/>
      <c r="KO329" s="9"/>
      <c r="KP329" s="9"/>
      <c r="KQ329" s="9"/>
      <c r="KR329" s="9"/>
      <c r="KS329" s="9"/>
      <c r="KT329" s="9"/>
      <c r="KU329" s="9"/>
      <c r="KV329" s="9"/>
      <c r="KW329" s="9"/>
      <c r="KX329" s="9"/>
      <c r="KY329" s="9"/>
      <c r="KZ329" s="9"/>
      <c r="LA329" s="9"/>
      <c r="LB329" s="9"/>
      <c r="LC329" s="9"/>
      <c r="LD329" s="9"/>
      <c r="LE329" s="9"/>
      <c r="LF329" s="9"/>
      <c r="LG329" s="9"/>
      <c r="LH329" s="9"/>
      <c r="LI329" s="9"/>
      <c r="LJ329" s="9"/>
      <c r="LK329" s="9"/>
      <c r="LL329" s="9"/>
      <c r="LM329" s="9"/>
      <c r="LN329" s="9"/>
      <c r="LO329" s="9"/>
      <c r="LP329" s="9"/>
      <c r="LQ329" s="9"/>
      <c r="LR329" s="9"/>
      <c r="LS329" s="9"/>
      <c r="LT329" s="9"/>
      <c r="LU329" s="9"/>
      <c r="LV329" s="9"/>
      <c r="LW329" s="9"/>
      <c r="LX329" s="9"/>
      <c r="LY329" s="9"/>
      <c r="LZ329" s="9"/>
      <c r="MA329" s="9"/>
      <c r="MB329" s="9"/>
      <c r="MC329" s="9"/>
      <c r="MD329" s="9"/>
      <c r="ME329" s="9"/>
      <c r="MF329" s="9"/>
      <c r="MG329" s="9"/>
      <c r="MH329" s="9"/>
      <c r="MI329" s="9"/>
      <c r="MJ329" s="9"/>
      <c r="MK329" s="9"/>
      <c r="ML329" s="9"/>
      <c r="MM329" s="9"/>
      <c r="MN329" s="9"/>
      <c r="MO329" s="9"/>
      <c r="MP329" s="9"/>
      <c r="MQ329" s="9"/>
      <c r="MR329" s="9"/>
      <c r="MS329" s="9"/>
      <c r="MT329" s="9"/>
      <c r="MU329" s="9"/>
      <c r="MV329" s="9"/>
      <c r="MW329" s="9"/>
      <c r="MX329" s="9"/>
      <c r="MY329" s="9"/>
      <c r="MZ329" s="9"/>
      <c r="NA329" s="9"/>
      <c r="NB329" s="9"/>
      <c r="NC329" s="9"/>
      <c r="ND329" s="9"/>
      <c r="NE329" s="9"/>
      <c r="NF329" s="9"/>
      <c r="NG329" s="9"/>
      <c r="NH329" s="9"/>
      <c r="NI329" s="9"/>
      <c r="NJ329" s="9"/>
      <c r="NK329" s="9"/>
      <c r="NL329" s="9"/>
      <c r="NM329" s="9"/>
      <c r="NN329" s="9"/>
      <c r="NO329" s="9"/>
      <c r="NP329" s="9"/>
      <c r="NQ329" s="9"/>
      <c r="NR329" s="9"/>
      <c r="NS329" s="9"/>
      <c r="NT329" s="9"/>
      <c r="NU329" s="9"/>
      <c r="NV329" s="9"/>
      <c r="NW329" s="9"/>
      <c r="NX329" s="9"/>
      <c r="NY329" s="9"/>
      <c r="NZ329" s="9"/>
      <c r="OA329" s="9"/>
      <c r="OB329" s="9"/>
      <c r="OC329" s="9"/>
      <c r="OD329" s="9"/>
      <c r="OE329" s="9"/>
      <c r="OF329" s="9"/>
      <c r="OG329" s="9"/>
      <c r="OH329" s="9"/>
      <c r="OI329" s="9"/>
      <c r="OJ329" s="9"/>
      <c r="OK329" s="9"/>
      <c r="OL329" s="9"/>
      <c r="OM329" s="9"/>
      <c r="ON329" s="9"/>
      <c r="OO329" s="9"/>
      <c r="OP329" s="9"/>
      <c r="OQ329" s="9"/>
      <c r="OR329" s="9"/>
      <c r="OS329" s="9"/>
      <c r="OT329" s="9"/>
      <c r="OU329" s="9"/>
      <c r="OV329" s="9"/>
      <c r="OW329" s="9"/>
      <c r="OX329" s="9"/>
      <c r="OY329" s="9"/>
      <c r="OZ329" s="9"/>
      <c r="PA329" s="9"/>
      <c r="PB329" s="9"/>
      <c r="PC329" s="9"/>
      <c r="PD329" s="9"/>
      <c r="PE329" s="9"/>
      <c r="PF329" s="9"/>
      <c r="PG329" s="9"/>
      <c r="PH329" s="9"/>
      <c r="PI329" s="9"/>
      <c r="PJ329" s="9"/>
      <c r="PK329" s="9"/>
      <c r="PL329" s="9"/>
      <c r="PM329" s="9"/>
      <c r="PN329" s="9"/>
      <c r="PO329" s="9"/>
      <c r="PP329" s="9"/>
      <c r="PQ329" s="9"/>
      <c r="PR329" s="9"/>
      <c r="PS329" s="9"/>
      <c r="PT329" s="9"/>
      <c r="PU329" s="9"/>
      <c r="PV329" s="9"/>
      <c r="PW329" s="9"/>
      <c r="PX329" s="9"/>
      <c r="PY329" s="9"/>
      <c r="PZ329" s="9"/>
      <c r="QA329" s="9"/>
      <c r="QB329" s="9"/>
      <c r="QC329" s="9"/>
      <c r="QD329" s="9"/>
      <c r="QE329" s="9"/>
      <c r="QF329" s="9"/>
      <c r="QG329" s="9"/>
      <c r="QH329" s="9"/>
      <c r="QI329" s="9"/>
      <c r="QJ329" s="9"/>
      <c r="QK329" s="9"/>
      <c r="QL329" s="9"/>
      <c r="QM329" s="9"/>
      <c r="QN329" s="9"/>
      <c r="QO329" s="9"/>
      <c r="QP329" s="9"/>
      <c r="QQ329" s="67"/>
      <c r="QR329" s="68"/>
      <c r="QS329" s="63"/>
      <c r="QT329" s="71"/>
    </row>
    <row r="330" spans="1:462" s="11" customFormat="1" x14ac:dyDescent="0.2">
      <c r="A330" s="9">
        <v>20</v>
      </c>
      <c r="B330" s="9"/>
      <c r="C330" s="9"/>
      <c r="D330" s="9" t="s">
        <v>452</v>
      </c>
      <c r="E330" s="65" t="s">
        <v>555</v>
      </c>
      <c r="F330" s="65"/>
      <c r="G330" s="92" t="s">
        <v>2390</v>
      </c>
      <c r="H330" s="66" t="s">
        <v>1296</v>
      </c>
      <c r="I330" s="9" t="s">
        <v>1101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  <c r="EN330" s="9"/>
      <c r="EO330" s="9"/>
      <c r="EP330" s="9"/>
      <c r="EQ330" s="9"/>
      <c r="ER330" s="9"/>
      <c r="ES330" s="9"/>
      <c r="ET330" s="9"/>
      <c r="EU330" s="9"/>
      <c r="EV330" s="9"/>
      <c r="EW330" s="9"/>
      <c r="EX330" s="9"/>
      <c r="EY330" s="9"/>
      <c r="EZ330" s="9"/>
      <c r="FA330" s="9"/>
      <c r="FB330" s="9"/>
      <c r="FC330" s="9"/>
      <c r="FD330" s="9"/>
      <c r="FE330" s="9"/>
      <c r="FF330" s="9"/>
      <c r="FG330" s="9"/>
      <c r="FH330" s="9"/>
      <c r="FI330" s="9"/>
      <c r="FJ330" s="9"/>
      <c r="FK330" s="9"/>
      <c r="FL330" s="9"/>
      <c r="FM330" s="9"/>
      <c r="FN330" s="9"/>
      <c r="FO330" s="9"/>
      <c r="FP330" s="9"/>
      <c r="FQ330" s="9"/>
      <c r="FR330" s="9"/>
      <c r="FS330" s="9"/>
      <c r="FT330" s="9"/>
      <c r="FU330" s="9"/>
      <c r="FV330" s="9"/>
      <c r="FW330" s="9"/>
      <c r="FX330" s="9"/>
      <c r="FY330" s="9"/>
      <c r="FZ330" s="9"/>
      <c r="GA330" s="9"/>
      <c r="GB330" s="9"/>
      <c r="GC330" s="9"/>
      <c r="GD330" s="9"/>
      <c r="GE330" s="9"/>
      <c r="GF330" s="9"/>
      <c r="GG330" s="9"/>
      <c r="GH330" s="9"/>
      <c r="GI330" s="9"/>
      <c r="GJ330" s="9"/>
      <c r="GK330" s="9"/>
      <c r="GL330" s="9"/>
      <c r="GM330" s="9"/>
      <c r="GN330" s="9"/>
      <c r="GO330" s="9"/>
      <c r="GP330" s="9"/>
      <c r="GQ330" s="9"/>
      <c r="GR330" s="9"/>
      <c r="GS330" s="9"/>
      <c r="GT330" s="9"/>
      <c r="GU330" s="9"/>
      <c r="GV330" s="9"/>
      <c r="GW330" s="9"/>
      <c r="GX330" s="9"/>
      <c r="GY330" s="9"/>
      <c r="GZ330" s="9"/>
      <c r="HA330" s="9"/>
      <c r="HB330" s="9"/>
      <c r="HC330" s="9"/>
      <c r="HD330" s="9"/>
      <c r="HE330" s="9"/>
      <c r="HF330" s="9"/>
      <c r="HG330" s="9"/>
      <c r="HH330" s="9"/>
      <c r="HI330" s="9"/>
      <c r="HJ330" s="9"/>
      <c r="HK330" s="9"/>
      <c r="HL330" s="9"/>
      <c r="HM330" s="9"/>
      <c r="HN330" s="9"/>
      <c r="HO330" s="9"/>
      <c r="HP330" s="9"/>
      <c r="HQ330" s="9"/>
      <c r="HR330" s="9"/>
      <c r="HS330" s="9"/>
      <c r="HT330" s="9"/>
      <c r="HU330" s="9"/>
      <c r="HV330" s="9"/>
      <c r="HW330" s="9"/>
      <c r="HX330" s="9"/>
      <c r="HY330" s="9"/>
      <c r="HZ330" s="9"/>
      <c r="IA330" s="9"/>
      <c r="IB330" s="9"/>
      <c r="IC330" s="9"/>
      <c r="ID330" s="9"/>
      <c r="IE330" s="9"/>
      <c r="IF330" s="9"/>
      <c r="IG330" s="9"/>
      <c r="IH330" s="9"/>
      <c r="II330" s="9"/>
      <c r="IJ330" s="9"/>
      <c r="IK330" s="9"/>
      <c r="IL330" s="9"/>
      <c r="IM330" s="9"/>
      <c r="IN330" s="9"/>
      <c r="IO330" s="9"/>
      <c r="IP330" s="9"/>
      <c r="IQ330" s="9"/>
      <c r="IR330" s="9"/>
      <c r="IS330" s="9"/>
      <c r="IT330" s="9"/>
      <c r="IU330" s="9"/>
      <c r="IV330" s="9"/>
      <c r="IW330" s="9"/>
      <c r="IX330" s="9"/>
      <c r="IY330" s="9"/>
      <c r="IZ330" s="9"/>
      <c r="JA330" s="9"/>
      <c r="JB330" s="9"/>
      <c r="JC330" s="9"/>
      <c r="JD330" s="9"/>
      <c r="JE330" s="9"/>
      <c r="JF330" s="9"/>
      <c r="JG330" s="9"/>
      <c r="JH330" s="9"/>
      <c r="JI330" s="9"/>
      <c r="JJ330" s="9"/>
      <c r="JK330" s="9"/>
      <c r="JL330" s="9"/>
      <c r="JM330" s="9"/>
      <c r="JN330" s="9"/>
      <c r="JO330" s="9"/>
      <c r="JP330" s="9"/>
      <c r="JQ330" s="9"/>
      <c r="JR330" s="9"/>
      <c r="JS330" s="9"/>
      <c r="JT330" s="9"/>
      <c r="JU330" s="9"/>
      <c r="JV330" s="9"/>
      <c r="JW330" s="9"/>
      <c r="JX330" s="9"/>
      <c r="JY330" s="9"/>
      <c r="JZ330" s="9"/>
      <c r="KA330" s="9" t="s">
        <v>1101</v>
      </c>
      <c r="KB330" s="9"/>
      <c r="KC330" s="9" t="s">
        <v>1101</v>
      </c>
      <c r="KD330" s="9"/>
      <c r="KE330" s="9"/>
      <c r="KF330" s="9"/>
      <c r="KG330" s="9"/>
      <c r="KH330" s="9"/>
      <c r="KI330" s="9"/>
      <c r="KJ330" s="9"/>
      <c r="KK330" s="9"/>
      <c r="KL330" s="9"/>
      <c r="KM330" s="9"/>
      <c r="KN330" s="9"/>
      <c r="KO330" s="9"/>
      <c r="KP330" s="9"/>
      <c r="KQ330" s="9"/>
      <c r="KR330" s="9"/>
      <c r="KS330" s="9"/>
      <c r="KT330" s="9"/>
      <c r="KU330" s="9"/>
      <c r="KV330" s="9"/>
      <c r="KW330" s="9"/>
      <c r="KX330" s="9"/>
      <c r="KY330" s="9"/>
      <c r="KZ330" s="9"/>
      <c r="LA330" s="9"/>
      <c r="LB330" s="9"/>
      <c r="LC330" s="9"/>
      <c r="LD330" s="9"/>
      <c r="LE330" s="9"/>
      <c r="LF330" s="9"/>
      <c r="LG330" s="9"/>
      <c r="LH330" s="9"/>
      <c r="LI330" s="9"/>
      <c r="LJ330" s="9"/>
      <c r="LK330" s="9"/>
      <c r="LL330" s="9"/>
      <c r="LM330" s="9"/>
      <c r="LN330" s="9"/>
      <c r="LO330" s="9"/>
      <c r="LP330" s="9"/>
      <c r="LQ330" s="9"/>
      <c r="LR330" s="9"/>
      <c r="LS330" s="9"/>
      <c r="LT330" s="9"/>
      <c r="LU330" s="9"/>
      <c r="LV330" s="9"/>
      <c r="LW330" s="9"/>
      <c r="LX330" s="9"/>
      <c r="LY330" s="9"/>
      <c r="LZ330" s="9"/>
      <c r="MA330" s="9"/>
      <c r="MB330" s="9"/>
      <c r="MC330" s="9"/>
      <c r="MD330" s="9"/>
      <c r="ME330" s="9"/>
      <c r="MF330" s="9"/>
      <c r="MG330" s="9"/>
      <c r="MH330" s="9"/>
      <c r="MI330" s="9"/>
      <c r="MJ330" s="9"/>
      <c r="MK330" s="9"/>
      <c r="ML330" s="9"/>
      <c r="MM330" s="9"/>
      <c r="MN330" s="9"/>
      <c r="MO330" s="9"/>
      <c r="MP330" s="9"/>
      <c r="MQ330" s="9"/>
      <c r="MR330" s="9"/>
      <c r="MS330" s="9"/>
      <c r="MT330" s="9"/>
      <c r="MU330" s="9"/>
      <c r="MV330" s="9"/>
      <c r="MW330" s="9"/>
      <c r="MX330" s="9"/>
      <c r="MY330" s="9"/>
      <c r="MZ330" s="9"/>
      <c r="NA330" s="9"/>
      <c r="NB330" s="9"/>
      <c r="NC330" s="9"/>
      <c r="ND330" s="9"/>
      <c r="NE330" s="9"/>
      <c r="NF330" s="9"/>
      <c r="NG330" s="9"/>
      <c r="NH330" s="9"/>
      <c r="NI330" s="9"/>
      <c r="NJ330" s="9"/>
      <c r="NK330" s="9"/>
      <c r="NL330" s="9"/>
      <c r="NM330" s="9"/>
      <c r="NN330" s="9"/>
      <c r="NO330" s="9"/>
      <c r="NP330" s="9"/>
      <c r="NQ330" s="9"/>
      <c r="NR330" s="9"/>
      <c r="NS330" s="9"/>
      <c r="NT330" s="9"/>
      <c r="NU330" s="9"/>
      <c r="NV330" s="9"/>
      <c r="NW330" s="9"/>
      <c r="NX330" s="9"/>
      <c r="NY330" s="9"/>
      <c r="NZ330" s="9"/>
      <c r="OA330" s="9"/>
      <c r="OB330" s="9"/>
      <c r="OC330" s="9"/>
      <c r="OD330" s="9"/>
      <c r="OE330" s="9"/>
      <c r="OF330" s="9"/>
      <c r="OG330" s="9"/>
      <c r="OH330" s="9"/>
      <c r="OI330" s="9"/>
      <c r="OJ330" s="9"/>
      <c r="OK330" s="9"/>
      <c r="OL330" s="9"/>
      <c r="OM330" s="9"/>
      <c r="ON330" s="9"/>
      <c r="OO330" s="9"/>
      <c r="OP330" s="9"/>
      <c r="OQ330" s="9"/>
      <c r="OR330" s="9"/>
      <c r="OS330" s="9"/>
      <c r="OT330" s="9"/>
      <c r="OU330" s="9"/>
      <c r="OV330" s="9"/>
      <c r="OW330" s="9"/>
      <c r="OX330" s="9"/>
      <c r="OY330" s="9"/>
      <c r="OZ330" s="9"/>
      <c r="PA330" s="9"/>
      <c r="PB330" s="9"/>
      <c r="PC330" s="9"/>
      <c r="PD330" s="9"/>
      <c r="PE330" s="9"/>
      <c r="PF330" s="9"/>
      <c r="PG330" s="9"/>
      <c r="PH330" s="9"/>
      <c r="PI330" s="9"/>
      <c r="PJ330" s="9"/>
      <c r="PK330" s="9"/>
      <c r="PL330" s="9"/>
      <c r="PM330" s="9"/>
      <c r="PN330" s="9"/>
      <c r="PO330" s="9"/>
      <c r="PP330" s="9"/>
      <c r="PQ330" s="9"/>
      <c r="PR330" s="9"/>
      <c r="PS330" s="9"/>
      <c r="PT330" s="9"/>
      <c r="PU330" s="9"/>
      <c r="PV330" s="9"/>
      <c r="PW330" s="9"/>
      <c r="PX330" s="9"/>
      <c r="PY330" s="9"/>
      <c r="PZ330" s="9"/>
      <c r="QA330" s="9"/>
      <c r="QB330" s="9"/>
      <c r="QC330" s="9"/>
      <c r="QD330" s="9"/>
      <c r="QE330" s="9"/>
      <c r="QF330" s="9"/>
      <c r="QG330" s="9"/>
      <c r="QH330" s="9"/>
      <c r="QI330" s="9"/>
      <c r="QJ330" s="9"/>
      <c r="QK330" s="9"/>
      <c r="QL330" s="9"/>
      <c r="QM330" s="9"/>
      <c r="QN330" s="9"/>
      <c r="QO330" s="9"/>
      <c r="QP330" s="9"/>
      <c r="QQ330" s="67"/>
      <c r="QR330" s="68"/>
      <c r="QS330" s="63"/>
      <c r="QT330" s="71"/>
    </row>
    <row r="331" spans="1:462" s="11" customFormat="1" x14ac:dyDescent="0.2">
      <c r="A331" s="9">
        <v>20</v>
      </c>
      <c r="B331" s="9"/>
      <c r="C331" s="9"/>
      <c r="D331" s="9" t="s">
        <v>457</v>
      </c>
      <c r="E331" s="65" t="s">
        <v>558</v>
      </c>
      <c r="F331" s="65"/>
      <c r="G331" s="92" t="s">
        <v>2399</v>
      </c>
      <c r="H331" s="66" t="s">
        <v>1304</v>
      </c>
      <c r="I331" s="9" t="s">
        <v>1101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  <c r="EN331" s="9"/>
      <c r="EO331" s="9"/>
      <c r="EP331" s="9"/>
      <c r="EQ331" s="9"/>
      <c r="ER331" s="9"/>
      <c r="ES331" s="9"/>
      <c r="ET331" s="9"/>
      <c r="EU331" s="9"/>
      <c r="EV331" s="9"/>
      <c r="EW331" s="9"/>
      <c r="EX331" s="9"/>
      <c r="EY331" s="9"/>
      <c r="EZ331" s="9"/>
      <c r="FA331" s="9"/>
      <c r="FB331" s="9"/>
      <c r="FC331" s="9"/>
      <c r="FD331" s="9"/>
      <c r="FE331" s="9"/>
      <c r="FF331" s="9"/>
      <c r="FG331" s="9"/>
      <c r="FH331" s="9"/>
      <c r="FI331" s="9"/>
      <c r="FJ331" s="9"/>
      <c r="FK331" s="9"/>
      <c r="FL331" s="9"/>
      <c r="FM331" s="9"/>
      <c r="FN331" s="9"/>
      <c r="FO331" s="9"/>
      <c r="FP331" s="9"/>
      <c r="FQ331" s="9"/>
      <c r="FR331" s="9"/>
      <c r="FS331" s="9"/>
      <c r="FT331" s="9"/>
      <c r="FU331" s="9"/>
      <c r="FV331" s="9"/>
      <c r="FW331" s="9"/>
      <c r="FX331" s="9"/>
      <c r="FY331" s="9"/>
      <c r="FZ331" s="9"/>
      <c r="GA331" s="9"/>
      <c r="GB331" s="9"/>
      <c r="GC331" s="9"/>
      <c r="GD331" s="9"/>
      <c r="GE331" s="9"/>
      <c r="GF331" s="9"/>
      <c r="GG331" s="9"/>
      <c r="GH331" s="9"/>
      <c r="GI331" s="9"/>
      <c r="GJ331" s="9"/>
      <c r="GK331" s="9"/>
      <c r="GL331" s="9"/>
      <c r="GM331" s="9"/>
      <c r="GN331" s="9"/>
      <c r="GO331" s="9"/>
      <c r="GP331" s="9"/>
      <c r="GQ331" s="9"/>
      <c r="GR331" s="9"/>
      <c r="GS331" s="9"/>
      <c r="GT331" s="9"/>
      <c r="GU331" s="9"/>
      <c r="GV331" s="9"/>
      <c r="GW331" s="9"/>
      <c r="GX331" s="9"/>
      <c r="GY331" s="9"/>
      <c r="GZ331" s="9"/>
      <c r="HA331" s="9"/>
      <c r="HB331" s="9"/>
      <c r="HC331" s="9"/>
      <c r="HD331" s="9"/>
      <c r="HE331" s="9"/>
      <c r="HF331" s="9"/>
      <c r="HG331" s="9"/>
      <c r="HH331" s="9"/>
      <c r="HI331" s="9"/>
      <c r="HJ331" s="9"/>
      <c r="HK331" s="9"/>
      <c r="HL331" s="9"/>
      <c r="HM331" s="9"/>
      <c r="HN331" s="9"/>
      <c r="HO331" s="9"/>
      <c r="HP331" s="9"/>
      <c r="HQ331" s="9"/>
      <c r="HR331" s="9"/>
      <c r="HS331" s="9"/>
      <c r="HT331" s="9"/>
      <c r="HU331" s="9"/>
      <c r="HV331" s="9"/>
      <c r="HW331" s="9"/>
      <c r="HX331" s="9"/>
      <c r="HY331" s="9"/>
      <c r="HZ331" s="9"/>
      <c r="IA331" s="9"/>
      <c r="IB331" s="9"/>
      <c r="IC331" s="9"/>
      <c r="ID331" s="9"/>
      <c r="IE331" s="9"/>
      <c r="IF331" s="9"/>
      <c r="IG331" s="9"/>
      <c r="IH331" s="9"/>
      <c r="II331" s="9"/>
      <c r="IJ331" s="9"/>
      <c r="IK331" s="9"/>
      <c r="IL331" s="9"/>
      <c r="IM331" s="9"/>
      <c r="IN331" s="9"/>
      <c r="IO331" s="9"/>
      <c r="IP331" s="9"/>
      <c r="IQ331" s="9"/>
      <c r="IR331" s="9"/>
      <c r="IS331" s="9"/>
      <c r="IT331" s="9"/>
      <c r="IU331" s="9"/>
      <c r="IV331" s="9"/>
      <c r="IW331" s="9"/>
      <c r="IX331" s="9"/>
      <c r="IY331" s="9"/>
      <c r="IZ331" s="9"/>
      <c r="JA331" s="9"/>
      <c r="JB331" s="9"/>
      <c r="JC331" s="9"/>
      <c r="JD331" s="9"/>
      <c r="JE331" s="9"/>
      <c r="JF331" s="9"/>
      <c r="JG331" s="9"/>
      <c r="JH331" s="9"/>
      <c r="JI331" s="9"/>
      <c r="JJ331" s="9"/>
      <c r="JK331" s="9"/>
      <c r="JL331" s="9"/>
      <c r="JM331" s="9"/>
      <c r="JN331" s="9"/>
      <c r="JO331" s="9"/>
      <c r="JP331" s="9"/>
      <c r="JQ331" s="9"/>
      <c r="JR331" s="9"/>
      <c r="JS331" s="9"/>
      <c r="JT331" s="9"/>
      <c r="JU331" s="9"/>
      <c r="JV331" s="9"/>
      <c r="JW331" s="9"/>
      <c r="JX331" s="9"/>
      <c r="JY331" s="9"/>
      <c r="JZ331" s="9"/>
      <c r="KA331" s="9"/>
      <c r="KB331" s="9"/>
      <c r="KC331" s="9"/>
      <c r="KD331" s="9"/>
      <c r="KE331" s="9"/>
      <c r="KF331" s="9"/>
      <c r="KG331" s="9"/>
      <c r="KH331" s="9"/>
      <c r="KI331" s="9" t="s">
        <v>1101</v>
      </c>
      <c r="KJ331" s="9"/>
      <c r="KK331" s="9" t="s">
        <v>1101</v>
      </c>
      <c r="KL331" s="9"/>
      <c r="KM331" s="9"/>
      <c r="KN331" s="9"/>
      <c r="KO331" s="9"/>
      <c r="KP331" s="9"/>
      <c r="KQ331" s="9"/>
      <c r="KR331" s="9"/>
      <c r="KS331" s="9"/>
      <c r="KT331" s="9"/>
      <c r="KU331" s="9"/>
      <c r="KV331" s="9"/>
      <c r="KW331" s="9"/>
      <c r="KX331" s="9"/>
      <c r="KY331" s="9"/>
      <c r="KZ331" s="9"/>
      <c r="LA331" s="9"/>
      <c r="LB331" s="9"/>
      <c r="LC331" s="9"/>
      <c r="LD331" s="9"/>
      <c r="LE331" s="9"/>
      <c r="LF331" s="9"/>
      <c r="LG331" s="9"/>
      <c r="LH331" s="9"/>
      <c r="LI331" s="9"/>
      <c r="LJ331" s="9"/>
      <c r="LK331" s="9"/>
      <c r="LL331" s="9"/>
      <c r="LM331" s="9"/>
      <c r="LN331" s="9"/>
      <c r="LO331" s="9"/>
      <c r="LP331" s="9"/>
      <c r="LQ331" s="9"/>
      <c r="LR331" s="9"/>
      <c r="LS331" s="9"/>
      <c r="LT331" s="9"/>
      <c r="LU331" s="9"/>
      <c r="LV331" s="9"/>
      <c r="LW331" s="9"/>
      <c r="LX331" s="9"/>
      <c r="LY331" s="9"/>
      <c r="LZ331" s="9"/>
      <c r="MA331" s="9"/>
      <c r="MB331" s="9"/>
      <c r="MC331" s="9"/>
      <c r="MD331" s="9"/>
      <c r="ME331" s="9"/>
      <c r="MF331" s="9"/>
      <c r="MG331" s="9"/>
      <c r="MH331" s="9"/>
      <c r="MI331" s="9"/>
      <c r="MJ331" s="9"/>
      <c r="MK331" s="9"/>
      <c r="ML331" s="9"/>
      <c r="MM331" s="9"/>
      <c r="MN331" s="9"/>
      <c r="MO331" s="9"/>
      <c r="MP331" s="9"/>
      <c r="MQ331" s="9"/>
      <c r="MR331" s="9"/>
      <c r="MS331" s="9"/>
      <c r="MT331" s="9"/>
      <c r="MU331" s="9"/>
      <c r="MV331" s="9"/>
      <c r="MW331" s="9"/>
      <c r="MX331" s="9"/>
      <c r="MY331" s="9"/>
      <c r="MZ331" s="9"/>
      <c r="NA331" s="9"/>
      <c r="NB331" s="9"/>
      <c r="NC331" s="9"/>
      <c r="ND331" s="9"/>
      <c r="NE331" s="9"/>
      <c r="NF331" s="9"/>
      <c r="NG331" s="9"/>
      <c r="NH331" s="9"/>
      <c r="NI331" s="9"/>
      <c r="NJ331" s="9"/>
      <c r="NK331" s="9"/>
      <c r="NL331" s="9"/>
      <c r="NM331" s="9"/>
      <c r="NN331" s="9"/>
      <c r="NO331" s="9"/>
      <c r="NP331" s="9"/>
      <c r="NQ331" s="9"/>
      <c r="NR331" s="9"/>
      <c r="NS331" s="9"/>
      <c r="NT331" s="9"/>
      <c r="NU331" s="9"/>
      <c r="NV331" s="9"/>
      <c r="NW331" s="9"/>
      <c r="NX331" s="9"/>
      <c r="NY331" s="9"/>
      <c r="NZ331" s="9"/>
      <c r="OA331" s="9"/>
      <c r="OB331" s="9"/>
      <c r="OC331" s="9"/>
      <c r="OD331" s="9"/>
      <c r="OE331" s="9"/>
      <c r="OF331" s="9"/>
      <c r="OG331" s="9"/>
      <c r="OH331" s="9"/>
      <c r="OI331" s="9"/>
      <c r="OJ331" s="9"/>
      <c r="OK331" s="9"/>
      <c r="OL331" s="9"/>
      <c r="OM331" s="9"/>
      <c r="ON331" s="9"/>
      <c r="OO331" s="9"/>
      <c r="OP331" s="9"/>
      <c r="OQ331" s="9"/>
      <c r="OR331" s="9"/>
      <c r="OS331" s="9"/>
      <c r="OT331" s="9"/>
      <c r="OU331" s="9"/>
      <c r="OV331" s="9"/>
      <c r="OW331" s="9"/>
      <c r="OX331" s="9"/>
      <c r="OY331" s="9"/>
      <c r="OZ331" s="9"/>
      <c r="PA331" s="9"/>
      <c r="PB331" s="9"/>
      <c r="PC331" s="9"/>
      <c r="PD331" s="9"/>
      <c r="PE331" s="9"/>
      <c r="PF331" s="9"/>
      <c r="PG331" s="9"/>
      <c r="PH331" s="9"/>
      <c r="PI331" s="9"/>
      <c r="PJ331" s="9"/>
      <c r="PK331" s="9"/>
      <c r="PL331" s="9"/>
      <c r="PM331" s="9"/>
      <c r="PN331" s="9"/>
      <c r="PO331" s="9"/>
      <c r="PP331" s="9"/>
      <c r="PQ331" s="9"/>
      <c r="PR331" s="9"/>
      <c r="PS331" s="9"/>
      <c r="PT331" s="9"/>
      <c r="PU331" s="9"/>
      <c r="PV331" s="9"/>
      <c r="PW331" s="9"/>
      <c r="PX331" s="9"/>
      <c r="PY331" s="9"/>
      <c r="PZ331" s="9"/>
      <c r="QA331" s="9"/>
      <c r="QB331" s="9"/>
      <c r="QC331" s="9"/>
      <c r="QD331" s="9"/>
      <c r="QE331" s="9"/>
      <c r="QF331" s="9"/>
      <c r="QG331" s="9"/>
      <c r="QH331" s="9"/>
      <c r="QI331" s="9"/>
      <c r="QJ331" s="9"/>
      <c r="QK331" s="9"/>
      <c r="QL331" s="9"/>
      <c r="QM331" s="9"/>
      <c r="QN331" s="9"/>
      <c r="QO331" s="9"/>
      <c r="QP331" s="9"/>
      <c r="QQ331" s="67"/>
      <c r="QR331" s="68"/>
      <c r="QS331" s="63"/>
      <c r="QT331" s="71"/>
    </row>
    <row r="332" spans="1:462" s="11" customFormat="1" ht="26" x14ac:dyDescent="0.2">
      <c r="A332" s="9">
        <v>20</v>
      </c>
      <c r="B332" s="9"/>
      <c r="C332" s="9"/>
      <c r="D332" s="9" t="s">
        <v>459</v>
      </c>
      <c r="E332" s="65" t="s">
        <v>560</v>
      </c>
      <c r="F332" s="65"/>
      <c r="G332" s="92" t="s">
        <v>2409</v>
      </c>
      <c r="H332" s="66" t="s">
        <v>1314</v>
      </c>
      <c r="I332" s="9" t="s">
        <v>1101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  <c r="EN332" s="9"/>
      <c r="EO332" s="9"/>
      <c r="EP332" s="9"/>
      <c r="EQ332" s="9"/>
      <c r="ER332" s="9"/>
      <c r="ES332" s="9"/>
      <c r="ET332" s="9"/>
      <c r="EU332" s="9"/>
      <c r="EV332" s="9"/>
      <c r="EW332" s="9"/>
      <c r="EX332" s="9"/>
      <c r="EY332" s="9"/>
      <c r="EZ332" s="9"/>
      <c r="FA332" s="9"/>
      <c r="FB332" s="9"/>
      <c r="FC332" s="9"/>
      <c r="FD332" s="9"/>
      <c r="FE332" s="9"/>
      <c r="FF332" s="9"/>
      <c r="FG332" s="9"/>
      <c r="FH332" s="9"/>
      <c r="FI332" s="9"/>
      <c r="FJ332" s="9"/>
      <c r="FK332" s="9"/>
      <c r="FL332" s="9"/>
      <c r="FM332" s="9"/>
      <c r="FN332" s="9"/>
      <c r="FO332" s="9"/>
      <c r="FP332" s="9"/>
      <c r="FQ332" s="9"/>
      <c r="FR332" s="9"/>
      <c r="FS332" s="9"/>
      <c r="FT332" s="9"/>
      <c r="FU332" s="9"/>
      <c r="FV332" s="9"/>
      <c r="FW332" s="9"/>
      <c r="FX332" s="9"/>
      <c r="FY332" s="9"/>
      <c r="FZ332" s="9"/>
      <c r="GA332" s="9"/>
      <c r="GB332" s="9"/>
      <c r="GC332" s="9"/>
      <c r="GD332" s="9"/>
      <c r="GE332" s="9"/>
      <c r="GF332" s="9"/>
      <c r="GG332" s="9"/>
      <c r="GH332" s="9"/>
      <c r="GI332" s="9"/>
      <c r="GJ332" s="9"/>
      <c r="GK332" s="9"/>
      <c r="GL332" s="9"/>
      <c r="GM332" s="9"/>
      <c r="GN332" s="9"/>
      <c r="GO332" s="9"/>
      <c r="GP332" s="9"/>
      <c r="GQ332" s="9"/>
      <c r="GR332" s="9"/>
      <c r="GS332" s="9"/>
      <c r="GT332" s="9"/>
      <c r="GU332" s="9"/>
      <c r="GV332" s="9"/>
      <c r="GW332" s="9"/>
      <c r="GX332" s="9"/>
      <c r="GY332" s="9"/>
      <c r="GZ332" s="9"/>
      <c r="HA332" s="9"/>
      <c r="HB332" s="9"/>
      <c r="HC332" s="9"/>
      <c r="HD332" s="9"/>
      <c r="HE332" s="9"/>
      <c r="HF332" s="9"/>
      <c r="HG332" s="9"/>
      <c r="HH332" s="9"/>
      <c r="HI332" s="9"/>
      <c r="HJ332" s="9"/>
      <c r="HK332" s="9"/>
      <c r="HL332" s="9"/>
      <c r="HM332" s="9"/>
      <c r="HN332" s="9"/>
      <c r="HO332" s="9"/>
      <c r="HP332" s="9"/>
      <c r="HQ332" s="9"/>
      <c r="HR332" s="9"/>
      <c r="HS332" s="9"/>
      <c r="HT332" s="9"/>
      <c r="HU332" s="9"/>
      <c r="HV332" s="9"/>
      <c r="HW332" s="9"/>
      <c r="HX332" s="9"/>
      <c r="HY332" s="9"/>
      <c r="HZ332" s="9"/>
      <c r="IA332" s="9"/>
      <c r="IB332" s="9"/>
      <c r="IC332" s="9"/>
      <c r="ID332" s="9"/>
      <c r="IE332" s="9"/>
      <c r="IF332" s="9"/>
      <c r="IG332" s="9"/>
      <c r="IH332" s="9"/>
      <c r="II332" s="9"/>
      <c r="IJ332" s="9"/>
      <c r="IK332" s="9"/>
      <c r="IL332" s="9"/>
      <c r="IM332" s="9"/>
      <c r="IN332" s="9"/>
      <c r="IO332" s="9"/>
      <c r="IP332" s="9"/>
      <c r="IQ332" s="9"/>
      <c r="IR332" s="9"/>
      <c r="IS332" s="9"/>
      <c r="IT332" s="9"/>
      <c r="IU332" s="9"/>
      <c r="IV332" s="9"/>
      <c r="IW332" s="9"/>
      <c r="IX332" s="9"/>
      <c r="IY332" s="9"/>
      <c r="IZ332" s="9"/>
      <c r="JA332" s="9"/>
      <c r="JB332" s="9"/>
      <c r="JC332" s="9"/>
      <c r="JD332" s="9"/>
      <c r="JE332" s="9"/>
      <c r="JF332" s="9"/>
      <c r="JG332" s="9"/>
      <c r="JH332" s="9"/>
      <c r="JI332" s="9"/>
      <c r="JJ332" s="9"/>
      <c r="JK332" s="9"/>
      <c r="JL332" s="9"/>
      <c r="JM332" s="9"/>
      <c r="JN332" s="9"/>
      <c r="JO332" s="9"/>
      <c r="JP332" s="9"/>
      <c r="JQ332" s="9"/>
      <c r="JR332" s="9"/>
      <c r="JS332" s="9"/>
      <c r="JT332" s="9"/>
      <c r="JU332" s="9"/>
      <c r="JV332" s="9"/>
      <c r="JW332" s="9"/>
      <c r="JX332" s="9"/>
      <c r="JY332" s="9"/>
      <c r="JZ332" s="9"/>
      <c r="KA332" s="9"/>
      <c r="KB332" s="9"/>
      <c r="KC332" s="9"/>
      <c r="KD332" s="9"/>
      <c r="KE332" s="9"/>
      <c r="KF332" s="9"/>
      <c r="KG332" s="9"/>
      <c r="KH332" s="9"/>
      <c r="KI332" s="9"/>
      <c r="KJ332" s="9"/>
      <c r="KK332" s="9"/>
      <c r="KL332" s="9"/>
      <c r="KM332" s="9"/>
      <c r="KN332" s="9"/>
      <c r="KO332" s="9"/>
      <c r="KP332" s="9"/>
      <c r="KQ332" s="9" t="s">
        <v>1101</v>
      </c>
      <c r="KR332" s="9"/>
      <c r="KS332" s="9" t="s">
        <v>1101</v>
      </c>
      <c r="KT332" s="9"/>
      <c r="KU332" s="9"/>
      <c r="KV332" s="9"/>
      <c r="KW332" s="9"/>
      <c r="KX332" s="9"/>
      <c r="KY332" s="9"/>
      <c r="KZ332" s="9"/>
      <c r="LA332" s="9"/>
      <c r="LB332" s="9"/>
      <c r="LC332" s="9"/>
      <c r="LD332" s="9"/>
      <c r="LE332" s="9"/>
      <c r="LF332" s="9"/>
      <c r="LG332" s="9"/>
      <c r="LH332" s="9"/>
      <c r="LI332" s="9"/>
      <c r="LJ332" s="9"/>
      <c r="LK332" s="9"/>
      <c r="LL332" s="9"/>
      <c r="LM332" s="9"/>
      <c r="LN332" s="9"/>
      <c r="LO332" s="9"/>
      <c r="LP332" s="9"/>
      <c r="LQ332" s="9"/>
      <c r="LR332" s="9"/>
      <c r="LS332" s="9"/>
      <c r="LT332" s="9"/>
      <c r="LU332" s="9"/>
      <c r="LV332" s="9"/>
      <c r="LW332" s="9"/>
      <c r="LX332" s="9"/>
      <c r="LY332" s="9"/>
      <c r="LZ332" s="9"/>
      <c r="MA332" s="9"/>
      <c r="MB332" s="9"/>
      <c r="MC332" s="9"/>
      <c r="MD332" s="9"/>
      <c r="ME332" s="9"/>
      <c r="MF332" s="9"/>
      <c r="MG332" s="9"/>
      <c r="MH332" s="9"/>
      <c r="MI332" s="9"/>
      <c r="MJ332" s="9"/>
      <c r="MK332" s="9"/>
      <c r="ML332" s="9"/>
      <c r="MM332" s="9"/>
      <c r="MN332" s="9"/>
      <c r="MO332" s="9"/>
      <c r="MP332" s="9"/>
      <c r="MQ332" s="9"/>
      <c r="MR332" s="9"/>
      <c r="MS332" s="9"/>
      <c r="MT332" s="9"/>
      <c r="MU332" s="9"/>
      <c r="MV332" s="9"/>
      <c r="MW332" s="9"/>
      <c r="MX332" s="9"/>
      <c r="MY332" s="9"/>
      <c r="MZ332" s="9"/>
      <c r="NA332" s="9"/>
      <c r="NB332" s="9"/>
      <c r="NC332" s="9"/>
      <c r="ND332" s="9"/>
      <c r="NE332" s="9"/>
      <c r="NF332" s="9"/>
      <c r="NG332" s="9"/>
      <c r="NH332" s="9"/>
      <c r="NI332" s="9"/>
      <c r="NJ332" s="9"/>
      <c r="NK332" s="9"/>
      <c r="NL332" s="9"/>
      <c r="NM332" s="9"/>
      <c r="NN332" s="9"/>
      <c r="NO332" s="9"/>
      <c r="NP332" s="9"/>
      <c r="NQ332" s="9"/>
      <c r="NR332" s="9"/>
      <c r="NS332" s="9"/>
      <c r="NT332" s="9"/>
      <c r="NU332" s="9"/>
      <c r="NV332" s="9"/>
      <c r="NW332" s="9"/>
      <c r="NX332" s="9"/>
      <c r="NY332" s="9"/>
      <c r="NZ332" s="9"/>
      <c r="OA332" s="9"/>
      <c r="OB332" s="9"/>
      <c r="OC332" s="9"/>
      <c r="OD332" s="9"/>
      <c r="OE332" s="9"/>
      <c r="OF332" s="9"/>
      <c r="OG332" s="9"/>
      <c r="OH332" s="9"/>
      <c r="OI332" s="9"/>
      <c r="OJ332" s="9"/>
      <c r="OK332" s="9"/>
      <c r="OL332" s="9"/>
      <c r="OM332" s="9"/>
      <c r="ON332" s="9"/>
      <c r="OO332" s="9"/>
      <c r="OP332" s="9"/>
      <c r="OQ332" s="9"/>
      <c r="OR332" s="9"/>
      <c r="OS332" s="9"/>
      <c r="OT332" s="9"/>
      <c r="OU332" s="9"/>
      <c r="OV332" s="9"/>
      <c r="OW332" s="9"/>
      <c r="OX332" s="9"/>
      <c r="OY332" s="9"/>
      <c r="OZ332" s="9"/>
      <c r="PA332" s="9"/>
      <c r="PB332" s="9"/>
      <c r="PC332" s="9"/>
      <c r="PD332" s="9"/>
      <c r="PE332" s="9"/>
      <c r="PF332" s="9"/>
      <c r="PG332" s="9"/>
      <c r="PH332" s="9"/>
      <c r="PI332" s="9"/>
      <c r="PJ332" s="9"/>
      <c r="PK332" s="9"/>
      <c r="PL332" s="9"/>
      <c r="PM332" s="9"/>
      <c r="PN332" s="9"/>
      <c r="PO332" s="9"/>
      <c r="PP332" s="9"/>
      <c r="PQ332" s="9"/>
      <c r="PR332" s="9"/>
      <c r="PS332" s="9"/>
      <c r="PT332" s="9"/>
      <c r="PU332" s="9"/>
      <c r="PV332" s="9"/>
      <c r="PW332" s="9"/>
      <c r="PX332" s="9"/>
      <c r="PY332" s="9"/>
      <c r="PZ332" s="9"/>
      <c r="QA332" s="9"/>
      <c r="QB332" s="9"/>
      <c r="QC332" s="9"/>
      <c r="QD332" s="9"/>
      <c r="QE332" s="9"/>
      <c r="QF332" s="9"/>
      <c r="QG332" s="9"/>
      <c r="QH332" s="9"/>
      <c r="QI332" s="9"/>
      <c r="QJ332" s="9"/>
      <c r="QK332" s="9"/>
      <c r="QL332" s="9"/>
      <c r="QM332" s="9"/>
      <c r="QN332" s="9"/>
      <c r="QO332" s="9"/>
      <c r="QP332" s="9"/>
      <c r="QQ332" s="67"/>
      <c r="QR332" s="68"/>
      <c r="QS332" s="63"/>
      <c r="QT332" s="71"/>
    </row>
    <row r="333" spans="1:462" s="11" customFormat="1" x14ac:dyDescent="0.2">
      <c r="A333" s="9">
        <v>20</v>
      </c>
      <c r="B333" s="9"/>
      <c r="C333" s="9"/>
      <c r="D333" s="9" t="s">
        <v>461</v>
      </c>
      <c r="E333" s="65" t="s">
        <v>562</v>
      </c>
      <c r="F333" s="65"/>
      <c r="G333" s="92" t="s">
        <v>2412</v>
      </c>
      <c r="H333" s="66" t="s">
        <v>1317</v>
      </c>
      <c r="I333" s="9" t="s">
        <v>1101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  <c r="FI333" s="9"/>
      <c r="FJ333" s="9"/>
      <c r="FK333" s="9"/>
      <c r="FL333" s="9"/>
      <c r="FM333" s="9"/>
      <c r="FN333" s="9"/>
      <c r="FO333" s="9"/>
      <c r="FP333" s="9"/>
      <c r="FQ333" s="9"/>
      <c r="FR333" s="9"/>
      <c r="FS333" s="9"/>
      <c r="FT333" s="9"/>
      <c r="FU333" s="9"/>
      <c r="FV333" s="9"/>
      <c r="FW333" s="9"/>
      <c r="FX333" s="9"/>
      <c r="FY333" s="9"/>
      <c r="FZ333" s="9"/>
      <c r="GA333" s="9"/>
      <c r="GB333" s="9"/>
      <c r="GC333" s="9"/>
      <c r="GD333" s="9"/>
      <c r="GE333" s="9"/>
      <c r="GF333" s="9"/>
      <c r="GG333" s="9"/>
      <c r="GH333" s="9"/>
      <c r="GI333" s="9"/>
      <c r="GJ333" s="9"/>
      <c r="GK333" s="9"/>
      <c r="GL333" s="9"/>
      <c r="GM333" s="9"/>
      <c r="GN333" s="9"/>
      <c r="GO333" s="9"/>
      <c r="GP333" s="9"/>
      <c r="GQ333" s="9"/>
      <c r="GR333" s="9"/>
      <c r="GS333" s="9"/>
      <c r="GT333" s="9"/>
      <c r="GU333" s="9"/>
      <c r="GV333" s="9"/>
      <c r="GW333" s="9"/>
      <c r="GX333" s="9"/>
      <c r="GY333" s="9"/>
      <c r="GZ333" s="9"/>
      <c r="HA333" s="9"/>
      <c r="HB333" s="9"/>
      <c r="HC333" s="9"/>
      <c r="HD333" s="9"/>
      <c r="HE333" s="9"/>
      <c r="HF333" s="9"/>
      <c r="HG333" s="9"/>
      <c r="HH333" s="9"/>
      <c r="HI333" s="9"/>
      <c r="HJ333" s="9"/>
      <c r="HK333" s="9"/>
      <c r="HL333" s="9"/>
      <c r="HM333" s="9"/>
      <c r="HN333" s="9"/>
      <c r="HO333" s="9"/>
      <c r="HP333" s="9"/>
      <c r="HQ333" s="9"/>
      <c r="HR333" s="9"/>
      <c r="HS333" s="9"/>
      <c r="HT333" s="9"/>
      <c r="HU333" s="9"/>
      <c r="HV333" s="9"/>
      <c r="HW333" s="9"/>
      <c r="HX333" s="9"/>
      <c r="HY333" s="9"/>
      <c r="HZ333" s="9"/>
      <c r="IA333" s="9"/>
      <c r="IB333" s="9"/>
      <c r="IC333" s="9"/>
      <c r="ID333" s="9"/>
      <c r="IE333" s="9"/>
      <c r="IF333" s="9"/>
      <c r="IG333" s="9"/>
      <c r="IH333" s="9"/>
      <c r="II333" s="9"/>
      <c r="IJ333" s="9"/>
      <c r="IK333" s="9"/>
      <c r="IL333" s="9"/>
      <c r="IM333" s="9"/>
      <c r="IN333" s="9"/>
      <c r="IO333" s="9"/>
      <c r="IP333" s="9"/>
      <c r="IQ333" s="9"/>
      <c r="IR333" s="9"/>
      <c r="IS333" s="9"/>
      <c r="IT333" s="9"/>
      <c r="IU333" s="9"/>
      <c r="IV333" s="9"/>
      <c r="IW333" s="9"/>
      <c r="IX333" s="9"/>
      <c r="IY333" s="9"/>
      <c r="IZ333" s="9"/>
      <c r="JA333" s="9"/>
      <c r="JB333" s="9"/>
      <c r="JC333" s="9"/>
      <c r="JD333" s="9"/>
      <c r="JE333" s="9"/>
      <c r="JF333" s="9"/>
      <c r="JG333" s="9"/>
      <c r="JH333" s="9"/>
      <c r="JI333" s="9"/>
      <c r="JJ333" s="9"/>
      <c r="JK333" s="9"/>
      <c r="JL333" s="9"/>
      <c r="JM333" s="9"/>
      <c r="JN333" s="9"/>
      <c r="JO333" s="9"/>
      <c r="JP333" s="9"/>
      <c r="JQ333" s="9"/>
      <c r="JR333" s="9"/>
      <c r="JS333" s="9"/>
      <c r="JT333" s="9"/>
      <c r="JU333" s="9"/>
      <c r="JV333" s="9"/>
      <c r="JW333" s="9"/>
      <c r="JX333" s="9"/>
      <c r="JY333" s="9"/>
      <c r="JZ333" s="9"/>
      <c r="KA333" s="9"/>
      <c r="KB333" s="9"/>
      <c r="KC333" s="9"/>
      <c r="KD333" s="9"/>
      <c r="KE333" s="9"/>
      <c r="KF333" s="9"/>
      <c r="KG333" s="9"/>
      <c r="KH333" s="9"/>
      <c r="KI333" s="9"/>
      <c r="KJ333" s="9"/>
      <c r="KK333" s="9"/>
      <c r="KL333" s="9"/>
      <c r="KM333" s="9"/>
      <c r="KN333" s="9"/>
      <c r="KO333" s="9"/>
      <c r="KP333" s="9"/>
      <c r="KQ333" s="9"/>
      <c r="KR333" s="9"/>
      <c r="KS333" s="9"/>
      <c r="KT333" s="9"/>
      <c r="KU333" s="9"/>
      <c r="KV333" s="9"/>
      <c r="KW333" s="9"/>
      <c r="KX333" s="9"/>
      <c r="KY333" s="9" t="s">
        <v>1101</v>
      </c>
      <c r="KZ333" s="9"/>
      <c r="LA333" s="9" t="s">
        <v>1101</v>
      </c>
      <c r="LB333" s="9"/>
      <c r="LC333" s="9"/>
      <c r="LD333" s="9"/>
      <c r="LE333" s="9"/>
      <c r="LF333" s="9"/>
      <c r="LG333" s="9"/>
      <c r="LH333" s="9"/>
      <c r="LI333" s="9"/>
      <c r="LJ333" s="9"/>
      <c r="LK333" s="9"/>
      <c r="LL333" s="9"/>
      <c r="LM333" s="9"/>
      <c r="LN333" s="9"/>
      <c r="LO333" s="9"/>
      <c r="LP333" s="9"/>
      <c r="LQ333" s="9"/>
      <c r="LR333" s="9"/>
      <c r="LS333" s="9"/>
      <c r="LT333" s="9"/>
      <c r="LU333" s="9"/>
      <c r="LV333" s="9"/>
      <c r="LW333" s="9"/>
      <c r="LX333" s="9"/>
      <c r="LY333" s="9"/>
      <c r="LZ333" s="9"/>
      <c r="MA333" s="9"/>
      <c r="MB333" s="9"/>
      <c r="MC333" s="9"/>
      <c r="MD333" s="9"/>
      <c r="ME333" s="9"/>
      <c r="MF333" s="9"/>
      <c r="MG333" s="9"/>
      <c r="MH333" s="9"/>
      <c r="MI333" s="9"/>
      <c r="MJ333" s="9"/>
      <c r="MK333" s="9"/>
      <c r="ML333" s="9"/>
      <c r="MM333" s="9"/>
      <c r="MN333" s="9"/>
      <c r="MO333" s="9"/>
      <c r="MP333" s="9"/>
      <c r="MQ333" s="9"/>
      <c r="MR333" s="9"/>
      <c r="MS333" s="9"/>
      <c r="MT333" s="9"/>
      <c r="MU333" s="9"/>
      <c r="MV333" s="9"/>
      <c r="MW333" s="9"/>
      <c r="MX333" s="9"/>
      <c r="MY333" s="9"/>
      <c r="MZ333" s="9"/>
      <c r="NA333" s="9"/>
      <c r="NB333" s="9"/>
      <c r="NC333" s="9"/>
      <c r="ND333" s="9"/>
      <c r="NE333" s="9"/>
      <c r="NF333" s="9"/>
      <c r="NG333" s="9"/>
      <c r="NH333" s="9"/>
      <c r="NI333" s="9"/>
      <c r="NJ333" s="9"/>
      <c r="NK333" s="9"/>
      <c r="NL333" s="9"/>
      <c r="NM333" s="9"/>
      <c r="NN333" s="9"/>
      <c r="NO333" s="9"/>
      <c r="NP333" s="9"/>
      <c r="NQ333" s="9"/>
      <c r="NR333" s="9"/>
      <c r="NS333" s="9"/>
      <c r="NT333" s="9"/>
      <c r="NU333" s="9"/>
      <c r="NV333" s="9"/>
      <c r="NW333" s="9"/>
      <c r="NX333" s="9"/>
      <c r="NY333" s="9"/>
      <c r="NZ333" s="9"/>
      <c r="OA333" s="9"/>
      <c r="OB333" s="9"/>
      <c r="OC333" s="9"/>
      <c r="OD333" s="9"/>
      <c r="OE333" s="9"/>
      <c r="OF333" s="9"/>
      <c r="OG333" s="9"/>
      <c r="OH333" s="9"/>
      <c r="OI333" s="9"/>
      <c r="OJ333" s="9"/>
      <c r="OK333" s="9"/>
      <c r="OL333" s="9"/>
      <c r="OM333" s="9"/>
      <c r="ON333" s="9"/>
      <c r="OO333" s="9"/>
      <c r="OP333" s="9"/>
      <c r="OQ333" s="9"/>
      <c r="OR333" s="9"/>
      <c r="OS333" s="9"/>
      <c r="OT333" s="9"/>
      <c r="OU333" s="9"/>
      <c r="OV333" s="9"/>
      <c r="OW333" s="9"/>
      <c r="OX333" s="9"/>
      <c r="OY333" s="9"/>
      <c r="OZ333" s="9"/>
      <c r="PA333" s="9"/>
      <c r="PB333" s="9"/>
      <c r="PC333" s="9"/>
      <c r="PD333" s="9"/>
      <c r="PE333" s="9"/>
      <c r="PF333" s="9"/>
      <c r="PG333" s="9"/>
      <c r="PH333" s="9"/>
      <c r="PI333" s="9"/>
      <c r="PJ333" s="9"/>
      <c r="PK333" s="9"/>
      <c r="PL333" s="9"/>
      <c r="PM333" s="9"/>
      <c r="PN333" s="9"/>
      <c r="PO333" s="9"/>
      <c r="PP333" s="9"/>
      <c r="PQ333" s="9"/>
      <c r="PR333" s="9"/>
      <c r="PS333" s="9"/>
      <c r="PT333" s="9"/>
      <c r="PU333" s="9"/>
      <c r="PV333" s="9"/>
      <c r="PW333" s="9"/>
      <c r="PX333" s="9"/>
      <c r="PY333" s="9"/>
      <c r="PZ333" s="9"/>
      <c r="QA333" s="9"/>
      <c r="QB333" s="9"/>
      <c r="QC333" s="9"/>
      <c r="QD333" s="9"/>
      <c r="QE333" s="9"/>
      <c r="QF333" s="9"/>
      <c r="QG333" s="9"/>
      <c r="QH333" s="9"/>
      <c r="QI333" s="9"/>
      <c r="QJ333" s="9"/>
      <c r="QK333" s="9"/>
      <c r="QL333" s="9"/>
      <c r="QM333" s="9"/>
      <c r="QN333" s="9"/>
      <c r="QO333" s="9"/>
      <c r="QP333" s="9"/>
      <c r="QQ333" s="67"/>
      <c r="QR333" s="68"/>
      <c r="QS333" s="63"/>
      <c r="QT333" s="71"/>
    </row>
    <row r="334" spans="1:462" s="11" customFormat="1" x14ac:dyDescent="0.2">
      <c r="A334" s="9">
        <v>20</v>
      </c>
      <c r="B334" s="9"/>
      <c r="C334" s="9"/>
      <c r="D334" s="9" t="s">
        <v>465</v>
      </c>
      <c r="E334" s="65" t="s">
        <v>564</v>
      </c>
      <c r="F334" s="65"/>
      <c r="G334" s="92" t="s">
        <v>2417</v>
      </c>
      <c r="H334" s="66" t="s">
        <v>1322</v>
      </c>
      <c r="I334" s="9" t="s">
        <v>1101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  <c r="EN334" s="9"/>
      <c r="EO334" s="9"/>
      <c r="EP334" s="9"/>
      <c r="EQ334" s="9"/>
      <c r="ER334" s="9"/>
      <c r="ES334" s="9"/>
      <c r="ET334" s="9"/>
      <c r="EU334" s="9"/>
      <c r="EV334" s="9"/>
      <c r="EW334" s="9"/>
      <c r="EX334" s="9"/>
      <c r="EY334" s="9"/>
      <c r="EZ334" s="9"/>
      <c r="FA334" s="9"/>
      <c r="FB334" s="9"/>
      <c r="FC334" s="9"/>
      <c r="FD334" s="9"/>
      <c r="FE334" s="9"/>
      <c r="FF334" s="9"/>
      <c r="FG334" s="9"/>
      <c r="FH334" s="9"/>
      <c r="FI334" s="9"/>
      <c r="FJ334" s="9"/>
      <c r="FK334" s="9"/>
      <c r="FL334" s="9"/>
      <c r="FM334" s="9"/>
      <c r="FN334" s="9"/>
      <c r="FO334" s="9"/>
      <c r="FP334" s="9"/>
      <c r="FQ334" s="9"/>
      <c r="FR334" s="9"/>
      <c r="FS334" s="9"/>
      <c r="FT334" s="9"/>
      <c r="FU334" s="9"/>
      <c r="FV334" s="9"/>
      <c r="FW334" s="9"/>
      <c r="FX334" s="9"/>
      <c r="FY334" s="9"/>
      <c r="FZ334" s="9"/>
      <c r="GA334" s="9"/>
      <c r="GB334" s="9"/>
      <c r="GC334" s="9"/>
      <c r="GD334" s="9"/>
      <c r="GE334" s="9"/>
      <c r="GF334" s="9"/>
      <c r="GG334" s="9"/>
      <c r="GH334" s="9"/>
      <c r="GI334" s="9"/>
      <c r="GJ334" s="9"/>
      <c r="GK334" s="9"/>
      <c r="GL334" s="9"/>
      <c r="GM334" s="9"/>
      <c r="GN334" s="9"/>
      <c r="GO334" s="9"/>
      <c r="GP334" s="9"/>
      <c r="GQ334" s="9"/>
      <c r="GR334" s="9"/>
      <c r="GS334" s="9"/>
      <c r="GT334" s="9"/>
      <c r="GU334" s="9"/>
      <c r="GV334" s="9"/>
      <c r="GW334" s="9"/>
      <c r="GX334" s="9"/>
      <c r="GY334" s="9"/>
      <c r="GZ334" s="9"/>
      <c r="HA334" s="9"/>
      <c r="HB334" s="9"/>
      <c r="HC334" s="9"/>
      <c r="HD334" s="9"/>
      <c r="HE334" s="9"/>
      <c r="HF334" s="9"/>
      <c r="HG334" s="9"/>
      <c r="HH334" s="9"/>
      <c r="HI334" s="9"/>
      <c r="HJ334" s="9"/>
      <c r="HK334" s="9"/>
      <c r="HL334" s="9"/>
      <c r="HM334" s="9"/>
      <c r="HN334" s="9"/>
      <c r="HO334" s="9"/>
      <c r="HP334" s="9"/>
      <c r="HQ334" s="9"/>
      <c r="HR334" s="9"/>
      <c r="HS334" s="9"/>
      <c r="HT334" s="9"/>
      <c r="HU334" s="9"/>
      <c r="HV334" s="9"/>
      <c r="HW334" s="9"/>
      <c r="HX334" s="9"/>
      <c r="HY334" s="9"/>
      <c r="HZ334" s="9"/>
      <c r="IA334" s="9"/>
      <c r="IB334" s="9"/>
      <c r="IC334" s="9"/>
      <c r="ID334" s="9"/>
      <c r="IE334" s="9"/>
      <c r="IF334" s="9"/>
      <c r="IG334" s="9"/>
      <c r="IH334" s="9"/>
      <c r="II334" s="9"/>
      <c r="IJ334" s="9"/>
      <c r="IK334" s="9"/>
      <c r="IL334" s="9"/>
      <c r="IM334" s="9"/>
      <c r="IN334" s="9"/>
      <c r="IO334" s="9"/>
      <c r="IP334" s="9"/>
      <c r="IQ334" s="9"/>
      <c r="IR334" s="9"/>
      <c r="IS334" s="9"/>
      <c r="IT334" s="9"/>
      <c r="IU334" s="9"/>
      <c r="IV334" s="9"/>
      <c r="IW334" s="9"/>
      <c r="IX334" s="9"/>
      <c r="IY334" s="9"/>
      <c r="IZ334" s="9"/>
      <c r="JA334" s="9"/>
      <c r="JB334" s="9"/>
      <c r="JC334" s="9"/>
      <c r="JD334" s="9"/>
      <c r="JE334" s="9"/>
      <c r="JF334" s="9"/>
      <c r="JG334" s="9"/>
      <c r="JH334" s="9"/>
      <c r="JI334" s="9"/>
      <c r="JJ334" s="9"/>
      <c r="JK334" s="9"/>
      <c r="JL334" s="9"/>
      <c r="JM334" s="9"/>
      <c r="JN334" s="9"/>
      <c r="JO334" s="9"/>
      <c r="JP334" s="9"/>
      <c r="JQ334" s="9"/>
      <c r="JR334" s="9"/>
      <c r="JS334" s="9"/>
      <c r="JT334" s="9"/>
      <c r="JU334" s="9"/>
      <c r="JV334" s="9"/>
      <c r="JW334" s="9"/>
      <c r="JX334" s="9"/>
      <c r="JY334" s="9"/>
      <c r="JZ334" s="9"/>
      <c r="KA334" s="9"/>
      <c r="KB334" s="9"/>
      <c r="KC334" s="9"/>
      <c r="KD334" s="9"/>
      <c r="KE334" s="9"/>
      <c r="KF334" s="9"/>
      <c r="KG334" s="9"/>
      <c r="KH334" s="9"/>
      <c r="KI334" s="9"/>
      <c r="KJ334" s="9"/>
      <c r="KK334" s="9"/>
      <c r="KL334" s="9"/>
      <c r="KM334" s="9"/>
      <c r="KN334" s="9"/>
      <c r="KO334" s="9"/>
      <c r="KP334" s="9"/>
      <c r="KQ334" s="9"/>
      <c r="KR334" s="9"/>
      <c r="KS334" s="9"/>
      <c r="KT334" s="9"/>
      <c r="KU334" s="9"/>
      <c r="KV334" s="9"/>
      <c r="KW334" s="9"/>
      <c r="KX334" s="9"/>
      <c r="KY334" s="9"/>
      <c r="KZ334" s="9"/>
      <c r="LA334" s="9"/>
      <c r="LB334" s="9"/>
      <c r="LC334" s="9"/>
      <c r="LD334" s="9"/>
      <c r="LE334" s="9"/>
      <c r="LF334" s="9"/>
      <c r="LG334" s="9" t="s">
        <v>1101</v>
      </c>
      <c r="LH334" s="9"/>
      <c r="LI334" s="9" t="s">
        <v>1101</v>
      </c>
      <c r="LJ334" s="9"/>
      <c r="LK334" s="9"/>
      <c r="LL334" s="9"/>
      <c r="LM334" s="9"/>
      <c r="LN334" s="9"/>
      <c r="LO334" s="9"/>
      <c r="LP334" s="9"/>
      <c r="LQ334" s="9"/>
      <c r="LR334" s="9"/>
      <c r="LS334" s="9"/>
      <c r="LT334" s="9"/>
      <c r="LU334" s="9"/>
      <c r="LV334" s="9"/>
      <c r="LW334" s="9"/>
      <c r="LX334" s="9"/>
      <c r="LY334" s="9"/>
      <c r="LZ334" s="9"/>
      <c r="MA334" s="9"/>
      <c r="MB334" s="9"/>
      <c r="MC334" s="9"/>
      <c r="MD334" s="9"/>
      <c r="ME334" s="9"/>
      <c r="MF334" s="9"/>
      <c r="MG334" s="9"/>
      <c r="MH334" s="9"/>
      <c r="MI334" s="9"/>
      <c r="MJ334" s="9"/>
      <c r="MK334" s="9"/>
      <c r="ML334" s="9"/>
      <c r="MM334" s="9"/>
      <c r="MN334" s="9"/>
      <c r="MO334" s="9"/>
      <c r="MP334" s="9"/>
      <c r="MQ334" s="9"/>
      <c r="MR334" s="9"/>
      <c r="MS334" s="9"/>
      <c r="MT334" s="9"/>
      <c r="MU334" s="9"/>
      <c r="MV334" s="9"/>
      <c r="MW334" s="9"/>
      <c r="MX334" s="9"/>
      <c r="MY334" s="9"/>
      <c r="MZ334" s="9"/>
      <c r="NA334" s="9"/>
      <c r="NB334" s="9"/>
      <c r="NC334" s="9"/>
      <c r="ND334" s="9"/>
      <c r="NE334" s="9"/>
      <c r="NF334" s="9"/>
      <c r="NG334" s="9"/>
      <c r="NH334" s="9"/>
      <c r="NI334" s="9"/>
      <c r="NJ334" s="9"/>
      <c r="NK334" s="9"/>
      <c r="NL334" s="9"/>
      <c r="NM334" s="9"/>
      <c r="NN334" s="9"/>
      <c r="NO334" s="9"/>
      <c r="NP334" s="9"/>
      <c r="NQ334" s="9"/>
      <c r="NR334" s="9"/>
      <c r="NS334" s="9"/>
      <c r="NT334" s="9"/>
      <c r="NU334" s="9"/>
      <c r="NV334" s="9"/>
      <c r="NW334" s="9"/>
      <c r="NX334" s="9"/>
      <c r="NY334" s="9"/>
      <c r="NZ334" s="9"/>
      <c r="OA334" s="9"/>
      <c r="OB334" s="9"/>
      <c r="OC334" s="9"/>
      <c r="OD334" s="9"/>
      <c r="OE334" s="9"/>
      <c r="OF334" s="9"/>
      <c r="OG334" s="9"/>
      <c r="OH334" s="9"/>
      <c r="OI334" s="9"/>
      <c r="OJ334" s="9"/>
      <c r="OK334" s="9"/>
      <c r="OL334" s="9"/>
      <c r="OM334" s="9"/>
      <c r="ON334" s="9"/>
      <c r="OO334" s="9"/>
      <c r="OP334" s="9"/>
      <c r="OQ334" s="9"/>
      <c r="OR334" s="9"/>
      <c r="OS334" s="9"/>
      <c r="OT334" s="9"/>
      <c r="OU334" s="9"/>
      <c r="OV334" s="9"/>
      <c r="OW334" s="9"/>
      <c r="OX334" s="9"/>
      <c r="OY334" s="9"/>
      <c r="OZ334" s="9"/>
      <c r="PA334" s="9"/>
      <c r="PB334" s="9"/>
      <c r="PC334" s="9"/>
      <c r="PD334" s="9"/>
      <c r="PE334" s="9"/>
      <c r="PF334" s="9"/>
      <c r="PG334" s="9"/>
      <c r="PH334" s="9"/>
      <c r="PI334" s="9"/>
      <c r="PJ334" s="9"/>
      <c r="PK334" s="9"/>
      <c r="PL334" s="9"/>
      <c r="PM334" s="9"/>
      <c r="PN334" s="9"/>
      <c r="PO334" s="9"/>
      <c r="PP334" s="9"/>
      <c r="PQ334" s="9"/>
      <c r="PR334" s="9"/>
      <c r="PS334" s="9"/>
      <c r="PT334" s="9"/>
      <c r="PU334" s="9"/>
      <c r="PV334" s="9"/>
      <c r="PW334" s="9"/>
      <c r="PX334" s="9"/>
      <c r="PY334" s="9"/>
      <c r="PZ334" s="9"/>
      <c r="QA334" s="9"/>
      <c r="QB334" s="9"/>
      <c r="QC334" s="9"/>
      <c r="QD334" s="9"/>
      <c r="QE334" s="9"/>
      <c r="QF334" s="9"/>
      <c r="QG334" s="9"/>
      <c r="QH334" s="9"/>
      <c r="QI334" s="9"/>
      <c r="QJ334" s="9"/>
      <c r="QK334" s="9"/>
      <c r="QL334" s="9"/>
      <c r="QM334" s="9"/>
      <c r="QN334" s="9"/>
      <c r="QO334" s="9"/>
      <c r="QP334" s="9"/>
      <c r="QQ334" s="67"/>
      <c r="QR334" s="68"/>
      <c r="QS334" s="63"/>
      <c r="QT334" s="71"/>
    </row>
    <row r="335" spans="1:462" s="11" customFormat="1" x14ac:dyDescent="0.2">
      <c r="A335" s="9">
        <v>20</v>
      </c>
      <c r="B335" s="9"/>
      <c r="C335" s="9"/>
      <c r="D335" s="9" t="s">
        <v>468</v>
      </c>
      <c r="E335" s="65" t="s">
        <v>566</v>
      </c>
      <c r="F335" s="65"/>
      <c r="G335" s="92" t="s">
        <v>2421</v>
      </c>
      <c r="H335" s="66" t="s">
        <v>1326</v>
      </c>
      <c r="I335" s="9" t="s">
        <v>1101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  <c r="EN335" s="9"/>
      <c r="EO335" s="9"/>
      <c r="EP335" s="9"/>
      <c r="EQ335" s="9"/>
      <c r="ER335" s="9"/>
      <c r="ES335" s="9"/>
      <c r="ET335" s="9"/>
      <c r="EU335" s="9"/>
      <c r="EV335" s="9"/>
      <c r="EW335" s="9"/>
      <c r="EX335" s="9"/>
      <c r="EY335" s="9"/>
      <c r="EZ335" s="9"/>
      <c r="FA335" s="9"/>
      <c r="FB335" s="9"/>
      <c r="FC335" s="9"/>
      <c r="FD335" s="9"/>
      <c r="FE335" s="9"/>
      <c r="FF335" s="9"/>
      <c r="FG335" s="9"/>
      <c r="FH335" s="9"/>
      <c r="FI335" s="9"/>
      <c r="FJ335" s="9"/>
      <c r="FK335" s="9"/>
      <c r="FL335" s="9"/>
      <c r="FM335" s="9"/>
      <c r="FN335" s="9"/>
      <c r="FO335" s="9"/>
      <c r="FP335" s="9"/>
      <c r="FQ335" s="9"/>
      <c r="FR335" s="9"/>
      <c r="FS335" s="9"/>
      <c r="FT335" s="9"/>
      <c r="FU335" s="9"/>
      <c r="FV335" s="9"/>
      <c r="FW335" s="9"/>
      <c r="FX335" s="9"/>
      <c r="FY335" s="9"/>
      <c r="FZ335" s="9"/>
      <c r="GA335" s="9"/>
      <c r="GB335" s="9"/>
      <c r="GC335" s="9"/>
      <c r="GD335" s="9"/>
      <c r="GE335" s="9"/>
      <c r="GF335" s="9"/>
      <c r="GG335" s="9"/>
      <c r="GH335" s="9"/>
      <c r="GI335" s="9"/>
      <c r="GJ335" s="9"/>
      <c r="GK335" s="9"/>
      <c r="GL335" s="9"/>
      <c r="GM335" s="9"/>
      <c r="GN335" s="9"/>
      <c r="GO335" s="9"/>
      <c r="GP335" s="9"/>
      <c r="GQ335" s="9"/>
      <c r="GR335" s="9"/>
      <c r="GS335" s="9"/>
      <c r="GT335" s="9"/>
      <c r="GU335" s="9"/>
      <c r="GV335" s="9"/>
      <c r="GW335" s="9"/>
      <c r="GX335" s="9"/>
      <c r="GY335" s="9"/>
      <c r="GZ335" s="9"/>
      <c r="HA335" s="9"/>
      <c r="HB335" s="9"/>
      <c r="HC335" s="9"/>
      <c r="HD335" s="9"/>
      <c r="HE335" s="9"/>
      <c r="HF335" s="9"/>
      <c r="HG335" s="9"/>
      <c r="HH335" s="9"/>
      <c r="HI335" s="9"/>
      <c r="HJ335" s="9"/>
      <c r="HK335" s="9"/>
      <c r="HL335" s="9"/>
      <c r="HM335" s="9"/>
      <c r="HN335" s="9"/>
      <c r="HO335" s="9"/>
      <c r="HP335" s="9"/>
      <c r="HQ335" s="9"/>
      <c r="HR335" s="9"/>
      <c r="HS335" s="9"/>
      <c r="HT335" s="9"/>
      <c r="HU335" s="9"/>
      <c r="HV335" s="9"/>
      <c r="HW335" s="9"/>
      <c r="HX335" s="9"/>
      <c r="HY335" s="9"/>
      <c r="HZ335" s="9"/>
      <c r="IA335" s="9"/>
      <c r="IB335" s="9"/>
      <c r="IC335" s="9"/>
      <c r="ID335" s="9"/>
      <c r="IE335" s="9"/>
      <c r="IF335" s="9"/>
      <c r="IG335" s="9"/>
      <c r="IH335" s="9"/>
      <c r="II335" s="9"/>
      <c r="IJ335" s="9"/>
      <c r="IK335" s="9"/>
      <c r="IL335" s="9"/>
      <c r="IM335" s="9"/>
      <c r="IN335" s="9"/>
      <c r="IO335" s="9"/>
      <c r="IP335" s="9"/>
      <c r="IQ335" s="9"/>
      <c r="IR335" s="9"/>
      <c r="IS335" s="9"/>
      <c r="IT335" s="9"/>
      <c r="IU335" s="9"/>
      <c r="IV335" s="9"/>
      <c r="IW335" s="9"/>
      <c r="IX335" s="9"/>
      <c r="IY335" s="9"/>
      <c r="IZ335" s="9"/>
      <c r="JA335" s="9"/>
      <c r="JB335" s="9"/>
      <c r="JC335" s="9"/>
      <c r="JD335" s="9"/>
      <c r="JE335" s="9"/>
      <c r="JF335" s="9"/>
      <c r="JG335" s="9"/>
      <c r="JH335" s="9"/>
      <c r="JI335" s="9"/>
      <c r="JJ335" s="9"/>
      <c r="JK335" s="9"/>
      <c r="JL335" s="9"/>
      <c r="JM335" s="9"/>
      <c r="JN335" s="9"/>
      <c r="JO335" s="9"/>
      <c r="JP335" s="9"/>
      <c r="JQ335" s="9"/>
      <c r="JR335" s="9"/>
      <c r="JS335" s="9"/>
      <c r="JT335" s="9"/>
      <c r="JU335" s="9"/>
      <c r="JV335" s="9"/>
      <c r="JW335" s="9"/>
      <c r="JX335" s="9"/>
      <c r="JY335" s="9"/>
      <c r="JZ335" s="9"/>
      <c r="KA335" s="9"/>
      <c r="KB335" s="9"/>
      <c r="KC335" s="9"/>
      <c r="KD335" s="9"/>
      <c r="KE335" s="9"/>
      <c r="KF335" s="9"/>
      <c r="KG335" s="9"/>
      <c r="KH335" s="9"/>
      <c r="KI335" s="9"/>
      <c r="KJ335" s="9"/>
      <c r="KK335" s="9"/>
      <c r="KL335" s="9"/>
      <c r="KM335" s="9"/>
      <c r="KN335" s="9"/>
      <c r="KO335" s="9"/>
      <c r="KP335" s="9"/>
      <c r="KQ335" s="9"/>
      <c r="KR335" s="9"/>
      <c r="KS335" s="9"/>
      <c r="KT335" s="9"/>
      <c r="KU335" s="9"/>
      <c r="KV335" s="9"/>
      <c r="KW335" s="9"/>
      <c r="KX335" s="9"/>
      <c r="KY335" s="9"/>
      <c r="KZ335" s="9"/>
      <c r="LA335" s="9"/>
      <c r="LB335" s="9"/>
      <c r="LC335" s="9"/>
      <c r="LD335" s="9"/>
      <c r="LE335" s="9"/>
      <c r="LF335" s="9"/>
      <c r="LG335" s="9"/>
      <c r="LH335" s="9"/>
      <c r="LI335" s="9"/>
      <c r="LJ335" s="9"/>
      <c r="LK335" s="9"/>
      <c r="LL335" s="9"/>
      <c r="LM335" s="9"/>
      <c r="LN335" s="9"/>
      <c r="LO335" s="9" t="s">
        <v>1101</v>
      </c>
      <c r="LP335" s="9"/>
      <c r="LQ335" s="9" t="s">
        <v>1101</v>
      </c>
      <c r="LR335" s="9"/>
      <c r="LS335" s="9"/>
      <c r="LT335" s="9"/>
      <c r="LU335" s="9"/>
      <c r="LV335" s="9"/>
      <c r="LW335" s="9"/>
      <c r="LX335" s="9"/>
      <c r="LY335" s="9"/>
      <c r="LZ335" s="9"/>
      <c r="MA335" s="9"/>
      <c r="MB335" s="9"/>
      <c r="MC335" s="9"/>
      <c r="MD335" s="9"/>
      <c r="ME335" s="9"/>
      <c r="MF335" s="9"/>
      <c r="MG335" s="9"/>
      <c r="MH335" s="9"/>
      <c r="MI335" s="9"/>
      <c r="MJ335" s="9"/>
      <c r="MK335" s="9"/>
      <c r="ML335" s="9"/>
      <c r="MM335" s="9"/>
      <c r="MN335" s="9"/>
      <c r="MO335" s="9"/>
      <c r="MP335" s="9"/>
      <c r="MQ335" s="9"/>
      <c r="MR335" s="9"/>
      <c r="MS335" s="9"/>
      <c r="MT335" s="9"/>
      <c r="MU335" s="9"/>
      <c r="MV335" s="9"/>
      <c r="MW335" s="9"/>
      <c r="MX335" s="9"/>
      <c r="MY335" s="9"/>
      <c r="MZ335" s="9"/>
      <c r="NA335" s="9"/>
      <c r="NB335" s="9"/>
      <c r="NC335" s="9"/>
      <c r="ND335" s="9"/>
      <c r="NE335" s="9"/>
      <c r="NF335" s="9"/>
      <c r="NG335" s="9"/>
      <c r="NH335" s="9"/>
      <c r="NI335" s="9"/>
      <c r="NJ335" s="9"/>
      <c r="NK335" s="9"/>
      <c r="NL335" s="9"/>
      <c r="NM335" s="9"/>
      <c r="NN335" s="9"/>
      <c r="NO335" s="9"/>
      <c r="NP335" s="9"/>
      <c r="NQ335" s="9"/>
      <c r="NR335" s="9"/>
      <c r="NS335" s="9"/>
      <c r="NT335" s="9"/>
      <c r="NU335" s="9"/>
      <c r="NV335" s="9"/>
      <c r="NW335" s="9"/>
      <c r="NX335" s="9"/>
      <c r="NY335" s="9"/>
      <c r="NZ335" s="9"/>
      <c r="OA335" s="9"/>
      <c r="OB335" s="9"/>
      <c r="OC335" s="9"/>
      <c r="OD335" s="9"/>
      <c r="OE335" s="9"/>
      <c r="OF335" s="9"/>
      <c r="OG335" s="9"/>
      <c r="OH335" s="9"/>
      <c r="OI335" s="9"/>
      <c r="OJ335" s="9"/>
      <c r="OK335" s="9"/>
      <c r="OL335" s="9"/>
      <c r="OM335" s="9"/>
      <c r="ON335" s="9"/>
      <c r="OO335" s="9"/>
      <c r="OP335" s="9"/>
      <c r="OQ335" s="9"/>
      <c r="OR335" s="9"/>
      <c r="OS335" s="9"/>
      <c r="OT335" s="9"/>
      <c r="OU335" s="9"/>
      <c r="OV335" s="9"/>
      <c r="OW335" s="9"/>
      <c r="OX335" s="9"/>
      <c r="OY335" s="9"/>
      <c r="OZ335" s="9"/>
      <c r="PA335" s="9"/>
      <c r="PB335" s="9"/>
      <c r="PC335" s="9"/>
      <c r="PD335" s="9"/>
      <c r="PE335" s="9"/>
      <c r="PF335" s="9"/>
      <c r="PG335" s="9"/>
      <c r="PH335" s="9"/>
      <c r="PI335" s="9"/>
      <c r="PJ335" s="9"/>
      <c r="PK335" s="9"/>
      <c r="PL335" s="9"/>
      <c r="PM335" s="9"/>
      <c r="PN335" s="9"/>
      <c r="PO335" s="9"/>
      <c r="PP335" s="9"/>
      <c r="PQ335" s="9"/>
      <c r="PR335" s="9"/>
      <c r="PS335" s="9"/>
      <c r="PT335" s="9"/>
      <c r="PU335" s="9"/>
      <c r="PV335" s="9"/>
      <c r="PW335" s="9"/>
      <c r="PX335" s="9"/>
      <c r="PY335" s="9"/>
      <c r="PZ335" s="9"/>
      <c r="QA335" s="9"/>
      <c r="QB335" s="9"/>
      <c r="QC335" s="9"/>
      <c r="QD335" s="9"/>
      <c r="QE335" s="9"/>
      <c r="QF335" s="9"/>
      <c r="QG335" s="9"/>
      <c r="QH335" s="9"/>
      <c r="QI335" s="9"/>
      <c r="QJ335" s="9"/>
      <c r="QK335" s="9"/>
      <c r="QL335" s="9"/>
      <c r="QM335" s="9"/>
      <c r="QN335" s="9"/>
      <c r="QO335" s="9"/>
      <c r="QP335" s="9"/>
      <c r="QQ335" s="67"/>
      <c r="QR335" s="68"/>
      <c r="QS335" s="63"/>
      <c r="QT335" s="71"/>
    </row>
    <row r="336" spans="1:462" s="11" customFormat="1" x14ac:dyDescent="0.2">
      <c r="A336" s="9">
        <v>20</v>
      </c>
      <c r="B336" s="9"/>
      <c r="C336" s="9"/>
      <c r="D336" s="9" t="s">
        <v>472</v>
      </c>
      <c r="E336" s="65" t="s">
        <v>568</v>
      </c>
      <c r="F336" s="65"/>
      <c r="G336" s="92" t="s">
        <v>2493</v>
      </c>
      <c r="H336" s="66" t="s">
        <v>1840</v>
      </c>
      <c r="I336" s="9" t="s">
        <v>1101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  <c r="EN336" s="9"/>
      <c r="EO336" s="9"/>
      <c r="EP336" s="9"/>
      <c r="EQ336" s="9"/>
      <c r="ER336" s="9"/>
      <c r="ES336" s="9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9"/>
      <c r="FE336" s="9"/>
      <c r="FF336" s="9"/>
      <c r="FG336" s="9"/>
      <c r="FH336" s="9"/>
      <c r="FI336" s="9"/>
      <c r="FJ336" s="9"/>
      <c r="FK336" s="9"/>
      <c r="FL336" s="9"/>
      <c r="FM336" s="9"/>
      <c r="FN336" s="9"/>
      <c r="FO336" s="9"/>
      <c r="FP336" s="9"/>
      <c r="FQ336" s="9"/>
      <c r="FR336" s="9"/>
      <c r="FS336" s="9"/>
      <c r="FT336" s="9"/>
      <c r="FU336" s="9"/>
      <c r="FV336" s="9"/>
      <c r="FW336" s="9"/>
      <c r="FX336" s="9"/>
      <c r="FY336" s="9"/>
      <c r="FZ336" s="9"/>
      <c r="GA336" s="9"/>
      <c r="GB336" s="9"/>
      <c r="GC336" s="9"/>
      <c r="GD336" s="9"/>
      <c r="GE336" s="9"/>
      <c r="GF336" s="9"/>
      <c r="GG336" s="9"/>
      <c r="GH336" s="9"/>
      <c r="GI336" s="9"/>
      <c r="GJ336" s="9"/>
      <c r="GK336" s="9"/>
      <c r="GL336" s="9"/>
      <c r="GM336" s="9"/>
      <c r="GN336" s="9"/>
      <c r="GO336" s="9"/>
      <c r="GP336" s="9"/>
      <c r="GQ336" s="9"/>
      <c r="GR336" s="9"/>
      <c r="GS336" s="9"/>
      <c r="GT336" s="9"/>
      <c r="GU336" s="9"/>
      <c r="GV336" s="9"/>
      <c r="GW336" s="9"/>
      <c r="GX336" s="9"/>
      <c r="GY336" s="9"/>
      <c r="GZ336" s="9"/>
      <c r="HA336" s="9"/>
      <c r="HB336" s="9"/>
      <c r="HC336" s="9"/>
      <c r="HD336" s="9"/>
      <c r="HE336" s="9"/>
      <c r="HF336" s="9"/>
      <c r="HG336" s="9"/>
      <c r="HH336" s="9"/>
      <c r="HI336" s="9"/>
      <c r="HJ336" s="9"/>
      <c r="HK336" s="9"/>
      <c r="HL336" s="9"/>
      <c r="HM336" s="9"/>
      <c r="HN336" s="9"/>
      <c r="HO336" s="9"/>
      <c r="HP336" s="9"/>
      <c r="HQ336" s="9"/>
      <c r="HR336" s="9"/>
      <c r="HS336" s="9"/>
      <c r="HT336" s="9"/>
      <c r="HU336" s="9"/>
      <c r="HV336" s="9"/>
      <c r="HW336" s="9"/>
      <c r="HX336" s="9"/>
      <c r="HY336" s="9"/>
      <c r="HZ336" s="9"/>
      <c r="IA336" s="9"/>
      <c r="IB336" s="9"/>
      <c r="IC336" s="9"/>
      <c r="ID336" s="9"/>
      <c r="IE336" s="9"/>
      <c r="IF336" s="9"/>
      <c r="IG336" s="9"/>
      <c r="IH336" s="9"/>
      <c r="II336" s="9"/>
      <c r="IJ336" s="9"/>
      <c r="IK336" s="9"/>
      <c r="IL336" s="9"/>
      <c r="IM336" s="9"/>
      <c r="IN336" s="9"/>
      <c r="IO336" s="9"/>
      <c r="IP336" s="9"/>
      <c r="IQ336" s="9"/>
      <c r="IR336" s="9"/>
      <c r="IS336" s="9"/>
      <c r="IT336" s="9"/>
      <c r="IU336" s="9"/>
      <c r="IV336" s="9"/>
      <c r="IW336" s="9"/>
      <c r="IX336" s="9"/>
      <c r="IY336" s="9"/>
      <c r="IZ336" s="9"/>
      <c r="JA336" s="9"/>
      <c r="JB336" s="9"/>
      <c r="JC336" s="9"/>
      <c r="JD336" s="9"/>
      <c r="JE336" s="9"/>
      <c r="JF336" s="9"/>
      <c r="JG336" s="9"/>
      <c r="JH336" s="9"/>
      <c r="JI336" s="9"/>
      <c r="JJ336" s="9"/>
      <c r="JK336" s="9"/>
      <c r="JL336" s="9"/>
      <c r="JM336" s="9"/>
      <c r="JN336" s="9"/>
      <c r="JO336" s="9"/>
      <c r="JP336" s="9"/>
      <c r="JQ336" s="9"/>
      <c r="JR336" s="9"/>
      <c r="JS336" s="9"/>
      <c r="JT336" s="9"/>
      <c r="JU336" s="9"/>
      <c r="JV336" s="9"/>
      <c r="JW336" s="9"/>
      <c r="JX336" s="9"/>
      <c r="JY336" s="9"/>
      <c r="JZ336" s="9"/>
      <c r="KA336" s="9"/>
      <c r="KB336" s="9"/>
      <c r="KC336" s="9"/>
      <c r="KD336" s="9"/>
      <c r="KE336" s="9"/>
      <c r="KF336" s="9"/>
      <c r="KG336" s="9"/>
      <c r="KH336" s="9"/>
      <c r="KI336" s="9"/>
      <c r="KJ336" s="9"/>
      <c r="KK336" s="9"/>
      <c r="KL336" s="9"/>
      <c r="KM336" s="9"/>
      <c r="KN336" s="9"/>
      <c r="KO336" s="9"/>
      <c r="KP336" s="9"/>
      <c r="KQ336" s="9"/>
      <c r="KR336" s="9"/>
      <c r="KS336" s="9"/>
      <c r="KT336" s="9"/>
      <c r="KU336" s="9"/>
      <c r="KV336" s="9"/>
      <c r="KW336" s="9"/>
      <c r="KX336" s="9"/>
      <c r="KY336" s="9"/>
      <c r="KZ336" s="9"/>
      <c r="LA336" s="9"/>
      <c r="LB336" s="9"/>
      <c r="LC336" s="9"/>
      <c r="LD336" s="9"/>
      <c r="LE336" s="9"/>
      <c r="LF336" s="9"/>
      <c r="LG336" s="9"/>
      <c r="LH336" s="9"/>
      <c r="LI336" s="9"/>
      <c r="LJ336" s="9"/>
      <c r="LK336" s="9"/>
      <c r="LL336" s="9"/>
      <c r="LM336" s="9"/>
      <c r="LN336" s="9"/>
      <c r="LO336" s="9"/>
      <c r="LP336" s="9"/>
      <c r="LQ336" s="9"/>
      <c r="LR336" s="9"/>
      <c r="LS336" s="9"/>
      <c r="LT336" s="9"/>
      <c r="LU336" s="9"/>
      <c r="LV336" s="9"/>
      <c r="LW336" s="9" t="s">
        <v>1101</v>
      </c>
      <c r="LX336" s="9"/>
      <c r="LY336" s="9" t="s">
        <v>1101</v>
      </c>
      <c r="LZ336" s="9"/>
      <c r="MA336" s="9"/>
      <c r="MB336" s="9"/>
      <c r="MC336" s="9"/>
      <c r="MD336" s="9"/>
      <c r="ME336" s="9"/>
      <c r="MF336" s="9"/>
      <c r="MG336" s="9"/>
      <c r="MH336" s="9"/>
      <c r="MI336" s="9"/>
      <c r="MJ336" s="9"/>
      <c r="MK336" s="9"/>
      <c r="ML336" s="9"/>
      <c r="MM336" s="9"/>
      <c r="MN336" s="9"/>
      <c r="MO336" s="9"/>
      <c r="MP336" s="9"/>
      <c r="MQ336" s="9"/>
      <c r="MR336" s="9"/>
      <c r="MS336" s="9"/>
      <c r="MT336" s="9"/>
      <c r="MU336" s="9"/>
      <c r="MV336" s="9"/>
      <c r="MW336" s="9"/>
      <c r="MX336" s="9"/>
      <c r="MY336" s="9"/>
      <c r="MZ336" s="9"/>
      <c r="NA336" s="9"/>
      <c r="NB336" s="9"/>
      <c r="NC336" s="9"/>
      <c r="ND336" s="9"/>
      <c r="NE336" s="9"/>
      <c r="NF336" s="9"/>
      <c r="NG336" s="9"/>
      <c r="NH336" s="9"/>
      <c r="NI336" s="9"/>
      <c r="NJ336" s="9"/>
      <c r="NK336" s="9"/>
      <c r="NL336" s="9"/>
      <c r="NM336" s="9"/>
      <c r="NN336" s="9"/>
      <c r="NO336" s="9"/>
      <c r="NP336" s="9"/>
      <c r="NQ336" s="9"/>
      <c r="NR336" s="9"/>
      <c r="NS336" s="9"/>
      <c r="NT336" s="9"/>
      <c r="NU336" s="9"/>
      <c r="NV336" s="9"/>
      <c r="NW336" s="9"/>
      <c r="NX336" s="9"/>
      <c r="NY336" s="9"/>
      <c r="NZ336" s="9"/>
      <c r="OA336" s="9"/>
      <c r="OB336" s="9"/>
      <c r="OC336" s="9"/>
      <c r="OD336" s="9"/>
      <c r="OE336" s="9"/>
      <c r="OF336" s="9"/>
      <c r="OG336" s="9"/>
      <c r="OH336" s="9"/>
      <c r="OI336" s="9"/>
      <c r="OJ336" s="9"/>
      <c r="OK336" s="9"/>
      <c r="OL336" s="9"/>
      <c r="OM336" s="9"/>
      <c r="ON336" s="9"/>
      <c r="OO336" s="9"/>
      <c r="OP336" s="9"/>
      <c r="OQ336" s="9"/>
      <c r="OR336" s="9"/>
      <c r="OS336" s="9"/>
      <c r="OT336" s="9"/>
      <c r="OU336" s="9"/>
      <c r="OV336" s="9"/>
      <c r="OW336" s="9"/>
      <c r="OX336" s="9"/>
      <c r="OY336" s="9"/>
      <c r="OZ336" s="9"/>
      <c r="PA336" s="9"/>
      <c r="PB336" s="9"/>
      <c r="PC336" s="9"/>
      <c r="PD336" s="9"/>
      <c r="PE336" s="9"/>
      <c r="PF336" s="9"/>
      <c r="PG336" s="9"/>
      <c r="PH336" s="9"/>
      <c r="PI336" s="9"/>
      <c r="PJ336" s="9"/>
      <c r="PK336" s="9"/>
      <c r="PL336" s="9"/>
      <c r="PM336" s="9"/>
      <c r="PN336" s="9"/>
      <c r="PO336" s="9"/>
      <c r="PP336" s="9"/>
      <c r="PQ336" s="9"/>
      <c r="PR336" s="9"/>
      <c r="PS336" s="9"/>
      <c r="PT336" s="9"/>
      <c r="PU336" s="9"/>
      <c r="PV336" s="9"/>
      <c r="PW336" s="9"/>
      <c r="PX336" s="9"/>
      <c r="PY336" s="9"/>
      <c r="PZ336" s="9"/>
      <c r="QA336" s="9"/>
      <c r="QB336" s="9"/>
      <c r="QC336" s="9"/>
      <c r="QD336" s="9"/>
      <c r="QE336" s="9"/>
      <c r="QF336" s="9"/>
      <c r="QG336" s="9"/>
      <c r="QH336" s="9"/>
      <c r="QI336" s="9"/>
      <c r="QJ336" s="9"/>
      <c r="QK336" s="9"/>
      <c r="QL336" s="9"/>
      <c r="QM336" s="9"/>
      <c r="QN336" s="9"/>
      <c r="QO336" s="9"/>
      <c r="QP336" s="9"/>
      <c r="QQ336" s="67"/>
      <c r="QR336" s="68"/>
      <c r="QS336" s="63"/>
      <c r="QT336" s="71"/>
    </row>
    <row r="337" spans="1:462" s="11" customFormat="1" x14ac:dyDescent="0.2">
      <c r="A337" s="9">
        <v>20</v>
      </c>
      <c r="B337" s="9"/>
      <c r="C337" s="9"/>
      <c r="D337" s="9" t="s">
        <v>474</v>
      </c>
      <c r="E337" s="65" t="s">
        <v>570</v>
      </c>
      <c r="F337" s="65"/>
      <c r="G337" s="92" t="s">
        <v>2429</v>
      </c>
      <c r="H337" s="66" t="s">
        <v>1334</v>
      </c>
      <c r="I337" s="9" t="s">
        <v>1101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9"/>
      <c r="FJ337" s="9"/>
      <c r="FK337" s="9"/>
      <c r="FL337" s="9"/>
      <c r="FM337" s="9"/>
      <c r="FN337" s="9"/>
      <c r="FO337" s="9"/>
      <c r="FP337" s="9"/>
      <c r="FQ337" s="9"/>
      <c r="FR337" s="9"/>
      <c r="FS337" s="9"/>
      <c r="FT337" s="9"/>
      <c r="FU337" s="9"/>
      <c r="FV337" s="9"/>
      <c r="FW337" s="9"/>
      <c r="FX337" s="9"/>
      <c r="FY337" s="9"/>
      <c r="FZ337" s="9"/>
      <c r="GA337" s="9"/>
      <c r="GB337" s="9"/>
      <c r="GC337" s="9"/>
      <c r="GD337" s="9"/>
      <c r="GE337" s="9"/>
      <c r="GF337" s="9"/>
      <c r="GG337" s="9"/>
      <c r="GH337" s="9"/>
      <c r="GI337" s="9"/>
      <c r="GJ337" s="9"/>
      <c r="GK337" s="9"/>
      <c r="GL337" s="9"/>
      <c r="GM337" s="9"/>
      <c r="GN337" s="9"/>
      <c r="GO337" s="9"/>
      <c r="GP337" s="9"/>
      <c r="GQ337" s="9"/>
      <c r="GR337" s="9"/>
      <c r="GS337" s="9"/>
      <c r="GT337" s="9"/>
      <c r="GU337" s="9"/>
      <c r="GV337" s="9"/>
      <c r="GW337" s="9"/>
      <c r="GX337" s="9"/>
      <c r="GY337" s="9"/>
      <c r="GZ337" s="9"/>
      <c r="HA337" s="9"/>
      <c r="HB337" s="9"/>
      <c r="HC337" s="9"/>
      <c r="HD337" s="9"/>
      <c r="HE337" s="9"/>
      <c r="HF337" s="9"/>
      <c r="HG337" s="9"/>
      <c r="HH337" s="9"/>
      <c r="HI337" s="9"/>
      <c r="HJ337" s="9"/>
      <c r="HK337" s="9"/>
      <c r="HL337" s="9"/>
      <c r="HM337" s="9"/>
      <c r="HN337" s="9"/>
      <c r="HO337" s="9"/>
      <c r="HP337" s="9"/>
      <c r="HQ337" s="9"/>
      <c r="HR337" s="9"/>
      <c r="HS337" s="9"/>
      <c r="HT337" s="9"/>
      <c r="HU337" s="9"/>
      <c r="HV337" s="9"/>
      <c r="HW337" s="9"/>
      <c r="HX337" s="9"/>
      <c r="HY337" s="9"/>
      <c r="HZ337" s="9"/>
      <c r="IA337" s="9"/>
      <c r="IB337" s="9"/>
      <c r="IC337" s="9"/>
      <c r="ID337" s="9"/>
      <c r="IE337" s="9"/>
      <c r="IF337" s="9"/>
      <c r="IG337" s="9"/>
      <c r="IH337" s="9"/>
      <c r="II337" s="9"/>
      <c r="IJ337" s="9"/>
      <c r="IK337" s="9"/>
      <c r="IL337" s="9"/>
      <c r="IM337" s="9"/>
      <c r="IN337" s="9"/>
      <c r="IO337" s="9"/>
      <c r="IP337" s="9"/>
      <c r="IQ337" s="9"/>
      <c r="IR337" s="9"/>
      <c r="IS337" s="9"/>
      <c r="IT337" s="9"/>
      <c r="IU337" s="9"/>
      <c r="IV337" s="9"/>
      <c r="IW337" s="9"/>
      <c r="IX337" s="9"/>
      <c r="IY337" s="9"/>
      <c r="IZ337" s="9"/>
      <c r="JA337" s="9"/>
      <c r="JB337" s="9"/>
      <c r="JC337" s="9"/>
      <c r="JD337" s="9"/>
      <c r="JE337" s="9"/>
      <c r="JF337" s="9"/>
      <c r="JG337" s="9"/>
      <c r="JH337" s="9"/>
      <c r="JI337" s="9"/>
      <c r="JJ337" s="9"/>
      <c r="JK337" s="9"/>
      <c r="JL337" s="9"/>
      <c r="JM337" s="9"/>
      <c r="JN337" s="9"/>
      <c r="JO337" s="9"/>
      <c r="JP337" s="9"/>
      <c r="JQ337" s="9"/>
      <c r="JR337" s="9"/>
      <c r="JS337" s="9"/>
      <c r="JT337" s="9"/>
      <c r="JU337" s="9"/>
      <c r="JV337" s="9"/>
      <c r="JW337" s="9"/>
      <c r="JX337" s="9"/>
      <c r="JY337" s="9"/>
      <c r="JZ337" s="9"/>
      <c r="KA337" s="9"/>
      <c r="KB337" s="9"/>
      <c r="KC337" s="9"/>
      <c r="KD337" s="9"/>
      <c r="KE337" s="9"/>
      <c r="KF337" s="9"/>
      <c r="KG337" s="9"/>
      <c r="KH337" s="9"/>
      <c r="KI337" s="9"/>
      <c r="KJ337" s="9"/>
      <c r="KK337" s="9"/>
      <c r="KL337" s="9"/>
      <c r="KM337" s="9"/>
      <c r="KN337" s="9"/>
      <c r="KO337" s="9"/>
      <c r="KP337" s="9"/>
      <c r="KQ337" s="9"/>
      <c r="KR337" s="9"/>
      <c r="KS337" s="9"/>
      <c r="KT337" s="9"/>
      <c r="KU337" s="9"/>
      <c r="KV337" s="9"/>
      <c r="KW337" s="9"/>
      <c r="KX337" s="9"/>
      <c r="KY337" s="9"/>
      <c r="KZ337" s="9"/>
      <c r="LA337" s="9"/>
      <c r="LB337" s="9"/>
      <c r="LC337" s="9"/>
      <c r="LD337" s="9"/>
      <c r="LE337" s="9"/>
      <c r="LF337" s="9"/>
      <c r="LG337" s="9"/>
      <c r="LH337" s="9"/>
      <c r="LI337" s="9"/>
      <c r="LJ337" s="9"/>
      <c r="LK337" s="9"/>
      <c r="LL337" s="9"/>
      <c r="LM337" s="9"/>
      <c r="LN337" s="9"/>
      <c r="LO337" s="9"/>
      <c r="LP337" s="9"/>
      <c r="LQ337" s="9"/>
      <c r="LR337" s="9"/>
      <c r="LS337" s="9"/>
      <c r="LT337" s="9"/>
      <c r="LU337" s="9"/>
      <c r="LV337" s="9"/>
      <c r="LW337" s="9"/>
      <c r="LX337" s="9"/>
      <c r="LY337" s="9"/>
      <c r="LZ337" s="9"/>
      <c r="MA337" s="9"/>
      <c r="MB337" s="9"/>
      <c r="MC337" s="9"/>
      <c r="MD337" s="9"/>
      <c r="ME337" s="9" t="s">
        <v>1101</v>
      </c>
      <c r="MF337" s="9"/>
      <c r="MG337" s="9" t="s">
        <v>1101</v>
      </c>
      <c r="MH337" s="9"/>
      <c r="MI337" s="9"/>
      <c r="MJ337" s="9"/>
      <c r="MK337" s="9"/>
      <c r="ML337" s="9"/>
      <c r="MM337" s="9"/>
      <c r="MN337" s="9"/>
      <c r="MO337" s="9"/>
      <c r="MP337" s="9"/>
      <c r="MQ337" s="9"/>
      <c r="MR337" s="9"/>
      <c r="MS337" s="9"/>
      <c r="MT337" s="9"/>
      <c r="MU337" s="9"/>
      <c r="MV337" s="9"/>
      <c r="MW337" s="9"/>
      <c r="MX337" s="9"/>
      <c r="MY337" s="9"/>
      <c r="MZ337" s="9"/>
      <c r="NA337" s="9"/>
      <c r="NB337" s="9"/>
      <c r="NC337" s="9"/>
      <c r="ND337" s="9"/>
      <c r="NE337" s="9"/>
      <c r="NF337" s="9"/>
      <c r="NG337" s="9"/>
      <c r="NH337" s="9"/>
      <c r="NI337" s="9"/>
      <c r="NJ337" s="9"/>
      <c r="NK337" s="9"/>
      <c r="NL337" s="9"/>
      <c r="NM337" s="9"/>
      <c r="NN337" s="9"/>
      <c r="NO337" s="9"/>
      <c r="NP337" s="9"/>
      <c r="NQ337" s="9"/>
      <c r="NR337" s="9"/>
      <c r="NS337" s="9"/>
      <c r="NT337" s="9"/>
      <c r="NU337" s="9"/>
      <c r="NV337" s="9"/>
      <c r="NW337" s="9"/>
      <c r="NX337" s="9"/>
      <c r="NY337" s="9"/>
      <c r="NZ337" s="9"/>
      <c r="OA337" s="9"/>
      <c r="OB337" s="9"/>
      <c r="OC337" s="9"/>
      <c r="OD337" s="9"/>
      <c r="OE337" s="9"/>
      <c r="OF337" s="9"/>
      <c r="OG337" s="9"/>
      <c r="OH337" s="9"/>
      <c r="OI337" s="9"/>
      <c r="OJ337" s="9"/>
      <c r="OK337" s="9"/>
      <c r="OL337" s="9"/>
      <c r="OM337" s="9"/>
      <c r="ON337" s="9"/>
      <c r="OO337" s="9"/>
      <c r="OP337" s="9"/>
      <c r="OQ337" s="9"/>
      <c r="OR337" s="9"/>
      <c r="OS337" s="9"/>
      <c r="OT337" s="9"/>
      <c r="OU337" s="9"/>
      <c r="OV337" s="9"/>
      <c r="OW337" s="9"/>
      <c r="OX337" s="9"/>
      <c r="OY337" s="9"/>
      <c r="OZ337" s="9"/>
      <c r="PA337" s="9"/>
      <c r="PB337" s="9"/>
      <c r="PC337" s="9"/>
      <c r="PD337" s="9"/>
      <c r="PE337" s="9"/>
      <c r="PF337" s="9"/>
      <c r="PG337" s="9"/>
      <c r="PH337" s="9"/>
      <c r="PI337" s="9"/>
      <c r="PJ337" s="9"/>
      <c r="PK337" s="9"/>
      <c r="PL337" s="9"/>
      <c r="PM337" s="9"/>
      <c r="PN337" s="9"/>
      <c r="PO337" s="9"/>
      <c r="PP337" s="9"/>
      <c r="PQ337" s="9"/>
      <c r="PR337" s="9"/>
      <c r="PS337" s="9"/>
      <c r="PT337" s="9"/>
      <c r="PU337" s="9"/>
      <c r="PV337" s="9"/>
      <c r="PW337" s="9"/>
      <c r="PX337" s="9"/>
      <c r="PY337" s="9"/>
      <c r="PZ337" s="9"/>
      <c r="QA337" s="9"/>
      <c r="QB337" s="9"/>
      <c r="QC337" s="9"/>
      <c r="QD337" s="9"/>
      <c r="QE337" s="9"/>
      <c r="QF337" s="9"/>
      <c r="QG337" s="9"/>
      <c r="QH337" s="9"/>
      <c r="QI337" s="9"/>
      <c r="QJ337" s="9"/>
      <c r="QK337" s="9"/>
      <c r="QL337" s="9"/>
      <c r="QM337" s="9"/>
      <c r="QN337" s="9"/>
      <c r="QO337" s="9"/>
      <c r="QP337" s="9"/>
      <c r="QQ337" s="67"/>
      <c r="QR337" s="68"/>
      <c r="QS337" s="63"/>
      <c r="QT337" s="71"/>
    </row>
    <row r="338" spans="1:462" s="11" customFormat="1" x14ac:dyDescent="0.2">
      <c r="A338" s="9">
        <v>20</v>
      </c>
      <c r="B338" s="9"/>
      <c r="C338" s="9"/>
      <c r="D338" s="9" t="s">
        <v>476</v>
      </c>
      <c r="E338" s="65" t="s">
        <v>572</v>
      </c>
      <c r="F338" s="65"/>
      <c r="G338" s="92" t="s">
        <v>2432</v>
      </c>
      <c r="H338" s="66" t="s">
        <v>1337</v>
      </c>
      <c r="I338" s="9" t="s">
        <v>1101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  <c r="EN338" s="9"/>
      <c r="EO338" s="9"/>
      <c r="EP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E338" s="9"/>
      <c r="FF338" s="9"/>
      <c r="FG338" s="9"/>
      <c r="FH338" s="9"/>
      <c r="FI338" s="9"/>
      <c r="FJ338" s="9"/>
      <c r="FK338" s="9"/>
      <c r="FL338" s="9"/>
      <c r="FM338" s="9"/>
      <c r="FN338" s="9"/>
      <c r="FO338" s="9"/>
      <c r="FP338" s="9"/>
      <c r="FQ338" s="9"/>
      <c r="FR338" s="9"/>
      <c r="FS338" s="9"/>
      <c r="FT338" s="9"/>
      <c r="FU338" s="9"/>
      <c r="FV338" s="9"/>
      <c r="FW338" s="9"/>
      <c r="FX338" s="9"/>
      <c r="FY338" s="9"/>
      <c r="FZ338" s="9"/>
      <c r="GA338" s="9"/>
      <c r="GB338" s="9"/>
      <c r="GC338" s="9"/>
      <c r="GD338" s="9"/>
      <c r="GE338" s="9"/>
      <c r="GF338" s="9"/>
      <c r="GG338" s="9"/>
      <c r="GH338" s="9"/>
      <c r="GI338" s="9"/>
      <c r="GJ338" s="9"/>
      <c r="GK338" s="9"/>
      <c r="GL338" s="9"/>
      <c r="GM338" s="9"/>
      <c r="GN338" s="9"/>
      <c r="GO338" s="9"/>
      <c r="GP338" s="9"/>
      <c r="GQ338" s="9"/>
      <c r="GR338" s="9"/>
      <c r="GS338" s="9"/>
      <c r="GT338" s="9"/>
      <c r="GU338" s="9"/>
      <c r="GV338" s="9"/>
      <c r="GW338" s="9"/>
      <c r="GX338" s="9"/>
      <c r="GY338" s="9"/>
      <c r="GZ338" s="9"/>
      <c r="HA338" s="9"/>
      <c r="HB338" s="9"/>
      <c r="HC338" s="9"/>
      <c r="HD338" s="9"/>
      <c r="HE338" s="9"/>
      <c r="HF338" s="9"/>
      <c r="HG338" s="9"/>
      <c r="HH338" s="9"/>
      <c r="HI338" s="9"/>
      <c r="HJ338" s="9"/>
      <c r="HK338" s="9"/>
      <c r="HL338" s="9"/>
      <c r="HM338" s="9"/>
      <c r="HN338" s="9"/>
      <c r="HO338" s="9"/>
      <c r="HP338" s="9"/>
      <c r="HQ338" s="9"/>
      <c r="HR338" s="9"/>
      <c r="HS338" s="9"/>
      <c r="HT338" s="9"/>
      <c r="HU338" s="9"/>
      <c r="HV338" s="9"/>
      <c r="HW338" s="9"/>
      <c r="HX338" s="9"/>
      <c r="HY338" s="9"/>
      <c r="HZ338" s="9"/>
      <c r="IA338" s="9"/>
      <c r="IB338" s="9"/>
      <c r="IC338" s="9"/>
      <c r="ID338" s="9"/>
      <c r="IE338" s="9"/>
      <c r="IF338" s="9"/>
      <c r="IG338" s="9"/>
      <c r="IH338" s="9"/>
      <c r="II338" s="9"/>
      <c r="IJ338" s="9"/>
      <c r="IK338" s="9"/>
      <c r="IL338" s="9"/>
      <c r="IM338" s="9"/>
      <c r="IN338" s="9"/>
      <c r="IO338" s="9"/>
      <c r="IP338" s="9"/>
      <c r="IQ338" s="9"/>
      <c r="IR338" s="9"/>
      <c r="IS338" s="9"/>
      <c r="IT338" s="9"/>
      <c r="IU338" s="9"/>
      <c r="IV338" s="9"/>
      <c r="IW338" s="9"/>
      <c r="IX338" s="9"/>
      <c r="IY338" s="9"/>
      <c r="IZ338" s="9"/>
      <c r="JA338" s="9"/>
      <c r="JB338" s="9"/>
      <c r="JC338" s="9"/>
      <c r="JD338" s="9"/>
      <c r="JE338" s="9"/>
      <c r="JF338" s="9"/>
      <c r="JG338" s="9"/>
      <c r="JH338" s="9"/>
      <c r="JI338" s="9"/>
      <c r="JJ338" s="9"/>
      <c r="JK338" s="9"/>
      <c r="JL338" s="9"/>
      <c r="JM338" s="9"/>
      <c r="JN338" s="9"/>
      <c r="JO338" s="9"/>
      <c r="JP338" s="9"/>
      <c r="JQ338" s="9"/>
      <c r="JR338" s="9"/>
      <c r="JS338" s="9"/>
      <c r="JT338" s="9"/>
      <c r="JU338" s="9"/>
      <c r="JV338" s="9"/>
      <c r="JW338" s="9"/>
      <c r="JX338" s="9"/>
      <c r="JY338" s="9"/>
      <c r="JZ338" s="9"/>
      <c r="KA338" s="9"/>
      <c r="KB338" s="9"/>
      <c r="KC338" s="9"/>
      <c r="KD338" s="9"/>
      <c r="KE338" s="9"/>
      <c r="KF338" s="9"/>
      <c r="KG338" s="9"/>
      <c r="KH338" s="9"/>
      <c r="KI338" s="9"/>
      <c r="KJ338" s="9"/>
      <c r="KK338" s="9"/>
      <c r="KL338" s="9"/>
      <c r="KM338" s="9"/>
      <c r="KN338" s="9"/>
      <c r="KO338" s="9"/>
      <c r="KP338" s="9"/>
      <c r="KQ338" s="9"/>
      <c r="KR338" s="9"/>
      <c r="KS338" s="9"/>
      <c r="KT338" s="9"/>
      <c r="KU338" s="9"/>
      <c r="KV338" s="9"/>
      <c r="KW338" s="9"/>
      <c r="KX338" s="9"/>
      <c r="KY338" s="9"/>
      <c r="KZ338" s="9"/>
      <c r="LA338" s="9"/>
      <c r="LB338" s="9"/>
      <c r="LC338" s="9"/>
      <c r="LD338" s="9"/>
      <c r="LE338" s="9"/>
      <c r="LF338" s="9"/>
      <c r="LG338" s="9"/>
      <c r="LH338" s="9"/>
      <c r="LI338" s="9"/>
      <c r="LJ338" s="9"/>
      <c r="LK338" s="9"/>
      <c r="LL338" s="9"/>
      <c r="LM338" s="9"/>
      <c r="LN338" s="9"/>
      <c r="LO338" s="9"/>
      <c r="LP338" s="9"/>
      <c r="LQ338" s="9"/>
      <c r="LR338" s="9"/>
      <c r="LS338" s="9"/>
      <c r="LT338" s="9"/>
      <c r="LU338" s="9"/>
      <c r="LV338" s="9"/>
      <c r="LW338" s="9"/>
      <c r="LX338" s="9"/>
      <c r="LY338" s="9"/>
      <c r="LZ338" s="9"/>
      <c r="MA338" s="9"/>
      <c r="MB338" s="9"/>
      <c r="MC338" s="9"/>
      <c r="MD338" s="9"/>
      <c r="ME338" s="9"/>
      <c r="MF338" s="9"/>
      <c r="MG338" s="9"/>
      <c r="MH338" s="9"/>
      <c r="MI338" s="9"/>
      <c r="MJ338" s="9"/>
      <c r="MK338" s="9"/>
      <c r="ML338" s="9"/>
      <c r="MM338" s="9" t="s">
        <v>1101</v>
      </c>
      <c r="MN338" s="9"/>
      <c r="MO338" s="9" t="s">
        <v>1101</v>
      </c>
      <c r="MP338" s="9"/>
      <c r="MQ338" s="9"/>
      <c r="MR338" s="9"/>
      <c r="MS338" s="9"/>
      <c r="MT338" s="9"/>
      <c r="MU338" s="9"/>
      <c r="MV338" s="9"/>
      <c r="MW338" s="9"/>
      <c r="MX338" s="9"/>
      <c r="MY338" s="9"/>
      <c r="MZ338" s="9"/>
      <c r="NA338" s="9"/>
      <c r="NB338" s="9"/>
      <c r="NC338" s="9"/>
      <c r="ND338" s="9"/>
      <c r="NE338" s="9"/>
      <c r="NF338" s="9"/>
      <c r="NG338" s="9"/>
      <c r="NH338" s="9"/>
      <c r="NI338" s="9"/>
      <c r="NJ338" s="9"/>
      <c r="NK338" s="9"/>
      <c r="NL338" s="9"/>
      <c r="NM338" s="9"/>
      <c r="NN338" s="9"/>
      <c r="NO338" s="9"/>
      <c r="NP338" s="9"/>
      <c r="NQ338" s="9"/>
      <c r="NR338" s="9"/>
      <c r="NS338" s="9"/>
      <c r="NT338" s="9"/>
      <c r="NU338" s="9"/>
      <c r="NV338" s="9"/>
      <c r="NW338" s="9"/>
      <c r="NX338" s="9"/>
      <c r="NY338" s="9"/>
      <c r="NZ338" s="9"/>
      <c r="OA338" s="9"/>
      <c r="OB338" s="9"/>
      <c r="OC338" s="9"/>
      <c r="OD338" s="9"/>
      <c r="OE338" s="9"/>
      <c r="OF338" s="9"/>
      <c r="OG338" s="9"/>
      <c r="OH338" s="9"/>
      <c r="OI338" s="9"/>
      <c r="OJ338" s="9"/>
      <c r="OK338" s="9"/>
      <c r="OL338" s="9"/>
      <c r="OM338" s="9"/>
      <c r="ON338" s="9"/>
      <c r="OO338" s="9"/>
      <c r="OP338" s="9"/>
      <c r="OQ338" s="9"/>
      <c r="OR338" s="9"/>
      <c r="OS338" s="9"/>
      <c r="OT338" s="9"/>
      <c r="OU338" s="9"/>
      <c r="OV338" s="9"/>
      <c r="OW338" s="9"/>
      <c r="OX338" s="9"/>
      <c r="OY338" s="9"/>
      <c r="OZ338" s="9"/>
      <c r="PA338" s="9"/>
      <c r="PB338" s="9"/>
      <c r="PC338" s="9"/>
      <c r="PD338" s="9"/>
      <c r="PE338" s="9"/>
      <c r="PF338" s="9"/>
      <c r="PG338" s="9"/>
      <c r="PH338" s="9"/>
      <c r="PI338" s="9"/>
      <c r="PJ338" s="9"/>
      <c r="PK338" s="9"/>
      <c r="PL338" s="9"/>
      <c r="PM338" s="9"/>
      <c r="PN338" s="9"/>
      <c r="PO338" s="9"/>
      <c r="PP338" s="9"/>
      <c r="PQ338" s="9"/>
      <c r="PR338" s="9"/>
      <c r="PS338" s="9"/>
      <c r="PT338" s="9"/>
      <c r="PU338" s="9"/>
      <c r="PV338" s="9"/>
      <c r="PW338" s="9"/>
      <c r="PX338" s="9"/>
      <c r="PY338" s="9"/>
      <c r="PZ338" s="9"/>
      <c r="QA338" s="9"/>
      <c r="QB338" s="9"/>
      <c r="QC338" s="9"/>
      <c r="QD338" s="9"/>
      <c r="QE338" s="9"/>
      <c r="QF338" s="9"/>
      <c r="QG338" s="9"/>
      <c r="QH338" s="9"/>
      <c r="QI338" s="9"/>
      <c r="QJ338" s="9"/>
      <c r="QK338" s="9"/>
      <c r="QL338" s="9"/>
      <c r="QM338" s="9"/>
      <c r="QN338" s="9"/>
      <c r="QO338" s="9"/>
      <c r="QP338" s="9"/>
      <c r="QQ338" s="67"/>
      <c r="QR338" s="68"/>
      <c r="QS338" s="63"/>
      <c r="QT338" s="71"/>
    </row>
    <row r="339" spans="1:462" s="11" customFormat="1" x14ac:dyDescent="0.2">
      <c r="A339" s="9">
        <v>20</v>
      </c>
      <c r="B339" s="9"/>
      <c r="C339" s="9"/>
      <c r="D339" s="9" t="s">
        <v>731</v>
      </c>
      <c r="E339" s="65" t="s">
        <v>733</v>
      </c>
      <c r="F339" s="65"/>
      <c r="G339" s="92" t="s">
        <v>2435</v>
      </c>
      <c r="H339" s="66" t="s">
        <v>1340</v>
      </c>
      <c r="I339" s="9" t="s">
        <v>1101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  <c r="EN339" s="9"/>
      <c r="EO339" s="9"/>
      <c r="EP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  <c r="FI339" s="9"/>
      <c r="FJ339" s="9"/>
      <c r="FK339" s="9"/>
      <c r="FL339" s="9"/>
      <c r="FM339" s="9"/>
      <c r="FN339" s="9"/>
      <c r="FO339" s="9"/>
      <c r="FP339" s="9"/>
      <c r="FQ339" s="9"/>
      <c r="FR339" s="9"/>
      <c r="FS339" s="9"/>
      <c r="FT339" s="9"/>
      <c r="FU339" s="9"/>
      <c r="FV339" s="9"/>
      <c r="FW339" s="9"/>
      <c r="FX339" s="9"/>
      <c r="FY339" s="9"/>
      <c r="FZ339" s="9"/>
      <c r="GA339" s="9"/>
      <c r="GB339" s="9"/>
      <c r="GC339" s="9"/>
      <c r="GD339" s="9"/>
      <c r="GE339" s="9"/>
      <c r="GF339" s="9"/>
      <c r="GG339" s="9"/>
      <c r="GH339" s="9"/>
      <c r="GI339" s="9"/>
      <c r="GJ339" s="9"/>
      <c r="GK339" s="9"/>
      <c r="GL339" s="9"/>
      <c r="GM339" s="9"/>
      <c r="GN339" s="9"/>
      <c r="GO339" s="9"/>
      <c r="GP339" s="9"/>
      <c r="GQ339" s="9"/>
      <c r="GR339" s="9"/>
      <c r="GS339" s="9"/>
      <c r="GT339" s="9"/>
      <c r="GU339" s="9"/>
      <c r="GV339" s="9"/>
      <c r="GW339" s="9"/>
      <c r="GX339" s="9"/>
      <c r="GY339" s="9"/>
      <c r="GZ339" s="9"/>
      <c r="HA339" s="9"/>
      <c r="HB339" s="9"/>
      <c r="HC339" s="9"/>
      <c r="HD339" s="9"/>
      <c r="HE339" s="9"/>
      <c r="HF339" s="9"/>
      <c r="HG339" s="9"/>
      <c r="HH339" s="9"/>
      <c r="HI339" s="9"/>
      <c r="HJ339" s="9"/>
      <c r="HK339" s="9"/>
      <c r="HL339" s="9"/>
      <c r="HM339" s="9"/>
      <c r="HN339" s="9"/>
      <c r="HO339" s="9"/>
      <c r="HP339" s="9"/>
      <c r="HQ339" s="9"/>
      <c r="HR339" s="9"/>
      <c r="HS339" s="9"/>
      <c r="HT339" s="9"/>
      <c r="HU339" s="9"/>
      <c r="HV339" s="9"/>
      <c r="HW339" s="9"/>
      <c r="HX339" s="9"/>
      <c r="HY339" s="9"/>
      <c r="HZ339" s="9"/>
      <c r="IA339" s="9"/>
      <c r="IB339" s="9"/>
      <c r="IC339" s="9"/>
      <c r="ID339" s="9"/>
      <c r="IE339" s="9"/>
      <c r="IF339" s="9"/>
      <c r="IG339" s="9"/>
      <c r="IH339" s="9"/>
      <c r="II339" s="9"/>
      <c r="IJ339" s="9"/>
      <c r="IK339" s="9"/>
      <c r="IL339" s="9"/>
      <c r="IM339" s="9"/>
      <c r="IN339" s="9"/>
      <c r="IO339" s="9"/>
      <c r="IP339" s="9"/>
      <c r="IQ339" s="9"/>
      <c r="IR339" s="9"/>
      <c r="IS339" s="9"/>
      <c r="IT339" s="9"/>
      <c r="IU339" s="9"/>
      <c r="IV339" s="9"/>
      <c r="IW339" s="9"/>
      <c r="IX339" s="9"/>
      <c r="IY339" s="9"/>
      <c r="IZ339" s="9"/>
      <c r="JA339" s="9"/>
      <c r="JB339" s="9"/>
      <c r="JC339" s="9"/>
      <c r="JD339" s="9"/>
      <c r="JE339" s="9"/>
      <c r="JF339" s="9"/>
      <c r="JG339" s="9"/>
      <c r="JH339" s="9"/>
      <c r="JI339" s="9"/>
      <c r="JJ339" s="9"/>
      <c r="JK339" s="9"/>
      <c r="JL339" s="9"/>
      <c r="JM339" s="9"/>
      <c r="JN339" s="9"/>
      <c r="JO339" s="9"/>
      <c r="JP339" s="9"/>
      <c r="JQ339" s="9"/>
      <c r="JR339" s="9"/>
      <c r="JS339" s="9"/>
      <c r="JT339" s="9"/>
      <c r="JU339" s="9"/>
      <c r="JV339" s="9"/>
      <c r="JW339" s="9"/>
      <c r="JX339" s="9"/>
      <c r="JY339" s="9"/>
      <c r="JZ339" s="9"/>
      <c r="KA339" s="9"/>
      <c r="KB339" s="9"/>
      <c r="KC339" s="9"/>
      <c r="KD339" s="9"/>
      <c r="KE339" s="9"/>
      <c r="KF339" s="9"/>
      <c r="KG339" s="9"/>
      <c r="KH339" s="9"/>
      <c r="KI339" s="9"/>
      <c r="KJ339" s="9"/>
      <c r="KK339" s="9"/>
      <c r="KL339" s="9"/>
      <c r="KM339" s="9"/>
      <c r="KN339" s="9"/>
      <c r="KO339" s="9"/>
      <c r="KP339" s="9"/>
      <c r="KQ339" s="9"/>
      <c r="KR339" s="9"/>
      <c r="KS339" s="9"/>
      <c r="KT339" s="9"/>
      <c r="KU339" s="9"/>
      <c r="KV339" s="9"/>
      <c r="KW339" s="9"/>
      <c r="KX339" s="9"/>
      <c r="KY339" s="9"/>
      <c r="KZ339" s="9"/>
      <c r="LA339" s="9"/>
      <c r="LB339" s="9"/>
      <c r="LC339" s="9"/>
      <c r="LD339" s="9"/>
      <c r="LE339" s="9"/>
      <c r="LF339" s="9"/>
      <c r="LG339" s="9"/>
      <c r="LH339" s="9"/>
      <c r="LI339" s="9"/>
      <c r="LJ339" s="9"/>
      <c r="LK339" s="9"/>
      <c r="LL339" s="9"/>
      <c r="LM339" s="9"/>
      <c r="LN339" s="9"/>
      <c r="LO339" s="9"/>
      <c r="LP339" s="9"/>
      <c r="LQ339" s="9"/>
      <c r="LR339" s="9"/>
      <c r="LS339" s="9"/>
      <c r="LT339" s="9"/>
      <c r="LU339" s="9"/>
      <c r="LV339" s="9"/>
      <c r="LW339" s="9"/>
      <c r="LX339" s="9"/>
      <c r="LY339" s="9"/>
      <c r="LZ339" s="9"/>
      <c r="MA339" s="9"/>
      <c r="MB339" s="9"/>
      <c r="MC339" s="9"/>
      <c r="MD339" s="9"/>
      <c r="ME339" s="9"/>
      <c r="MF339" s="9"/>
      <c r="MG339" s="9"/>
      <c r="MH339" s="9"/>
      <c r="MI339" s="9"/>
      <c r="MJ339" s="9"/>
      <c r="MK339" s="9"/>
      <c r="ML339" s="9"/>
      <c r="MM339" s="9"/>
      <c r="MN339" s="9"/>
      <c r="MO339" s="9"/>
      <c r="MP339" s="9"/>
      <c r="MQ339" s="9"/>
      <c r="MR339" s="9"/>
      <c r="MS339" s="9"/>
      <c r="MT339" s="9"/>
      <c r="MU339" s="9" t="s">
        <v>1101</v>
      </c>
      <c r="MV339" s="9"/>
      <c r="MW339" s="9" t="s">
        <v>1101</v>
      </c>
      <c r="MX339" s="9"/>
      <c r="MY339" s="9"/>
      <c r="MZ339" s="9"/>
      <c r="NA339" s="9"/>
      <c r="NB339" s="9"/>
      <c r="NC339" s="9"/>
      <c r="ND339" s="9"/>
      <c r="NE339" s="9"/>
      <c r="NF339" s="9"/>
      <c r="NG339" s="9"/>
      <c r="NH339" s="9"/>
      <c r="NI339" s="9"/>
      <c r="NJ339" s="9"/>
      <c r="NK339" s="9"/>
      <c r="NL339" s="9"/>
      <c r="NM339" s="9"/>
      <c r="NN339" s="9"/>
      <c r="NO339" s="9"/>
      <c r="NP339" s="9"/>
      <c r="NQ339" s="9"/>
      <c r="NR339" s="9"/>
      <c r="NS339" s="9"/>
      <c r="NT339" s="9"/>
      <c r="NU339" s="9"/>
      <c r="NV339" s="9"/>
      <c r="NW339" s="9"/>
      <c r="NX339" s="9"/>
      <c r="NY339" s="9"/>
      <c r="NZ339" s="9"/>
      <c r="OA339" s="9"/>
      <c r="OB339" s="9"/>
      <c r="OC339" s="9"/>
      <c r="OD339" s="9"/>
      <c r="OE339" s="9"/>
      <c r="OF339" s="9"/>
      <c r="OG339" s="9"/>
      <c r="OH339" s="9"/>
      <c r="OI339" s="9"/>
      <c r="OJ339" s="9"/>
      <c r="OK339" s="9"/>
      <c r="OL339" s="9"/>
      <c r="OM339" s="9"/>
      <c r="ON339" s="9"/>
      <c r="OO339" s="9"/>
      <c r="OP339" s="9"/>
      <c r="OQ339" s="9"/>
      <c r="OR339" s="9"/>
      <c r="OS339" s="9"/>
      <c r="OT339" s="9"/>
      <c r="OU339" s="9"/>
      <c r="OV339" s="9"/>
      <c r="OW339" s="9"/>
      <c r="OX339" s="9"/>
      <c r="OY339" s="9"/>
      <c r="OZ339" s="9"/>
      <c r="PA339" s="9"/>
      <c r="PB339" s="9"/>
      <c r="PC339" s="9"/>
      <c r="PD339" s="9"/>
      <c r="PE339" s="9"/>
      <c r="PF339" s="9"/>
      <c r="PG339" s="9"/>
      <c r="PH339" s="9"/>
      <c r="PI339" s="9"/>
      <c r="PJ339" s="9"/>
      <c r="PK339" s="9"/>
      <c r="PL339" s="9"/>
      <c r="PM339" s="9"/>
      <c r="PN339" s="9"/>
      <c r="PO339" s="9"/>
      <c r="PP339" s="9"/>
      <c r="PQ339" s="9"/>
      <c r="PR339" s="9"/>
      <c r="PS339" s="9"/>
      <c r="PT339" s="9"/>
      <c r="PU339" s="9"/>
      <c r="PV339" s="9"/>
      <c r="PW339" s="9"/>
      <c r="PX339" s="9"/>
      <c r="PY339" s="9"/>
      <c r="PZ339" s="9"/>
      <c r="QA339" s="9"/>
      <c r="QB339" s="9"/>
      <c r="QC339" s="9"/>
      <c r="QD339" s="9"/>
      <c r="QE339" s="9"/>
      <c r="QF339" s="9"/>
      <c r="QG339" s="9"/>
      <c r="QH339" s="9"/>
      <c r="QI339" s="9"/>
      <c r="QJ339" s="9"/>
      <c r="QK339" s="9"/>
      <c r="QL339" s="9"/>
      <c r="QM339" s="9"/>
      <c r="QN339" s="9"/>
      <c r="QO339" s="9"/>
      <c r="QP339" s="9"/>
      <c r="QQ339" s="67"/>
      <c r="QR339" s="68"/>
      <c r="QS339" s="63"/>
      <c r="QT339" s="71"/>
    </row>
    <row r="340" spans="1:462" s="11" customFormat="1" x14ac:dyDescent="0.2">
      <c r="A340" s="9">
        <v>20</v>
      </c>
      <c r="B340" s="9"/>
      <c r="C340" s="9"/>
      <c r="D340" s="9" t="s">
        <v>750</v>
      </c>
      <c r="E340" s="65" t="s">
        <v>754</v>
      </c>
      <c r="F340" s="65"/>
      <c r="G340" s="92" t="s">
        <v>2438</v>
      </c>
      <c r="H340" s="66" t="s">
        <v>1343</v>
      </c>
      <c r="I340" s="9" t="s">
        <v>1101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  <c r="FI340" s="9"/>
      <c r="FJ340" s="9"/>
      <c r="FK340" s="9"/>
      <c r="FL340" s="9"/>
      <c r="FM340" s="9"/>
      <c r="FN340" s="9"/>
      <c r="FO340" s="9"/>
      <c r="FP340" s="9"/>
      <c r="FQ340" s="9"/>
      <c r="FR340" s="9"/>
      <c r="FS340" s="9"/>
      <c r="FT340" s="9"/>
      <c r="FU340" s="9"/>
      <c r="FV340" s="9"/>
      <c r="FW340" s="9"/>
      <c r="FX340" s="9"/>
      <c r="FY340" s="9"/>
      <c r="FZ340" s="9"/>
      <c r="GA340" s="9"/>
      <c r="GB340" s="9"/>
      <c r="GC340" s="9"/>
      <c r="GD340" s="9"/>
      <c r="GE340" s="9"/>
      <c r="GF340" s="9"/>
      <c r="GG340" s="9"/>
      <c r="GH340" s="9"/>
      <c r="GI340" s="9"/>
      <c r="GJ340" s="9"/>
      <c r="GK340" s="9"/>
      <c r="GL340" s="9"/>
      <c r="GM340" s="9"/>
      <c r="GN340" s="9"/>
      <c r="GO340" s="9"/>
      <c r="GP340" s="9"/>
      <c r="GQ340" s="9"/>
      <c r="GR340" s="9"/>
      <c r="GS340" s="9"/>
      <c r="GT340" s="9"/>
      <c r="GU340" s="9"/>
      <c r="GV340" s="9"/>
      <c r="GW340" s="9"/>
      <c r="GX340" s="9"/>
      <c r="GY340" s="9"/>
      <c r="GZ340" s="9"/>
      <c r="HA340" s="9"/>
      <c r="HB340" s="9"/>
      <c r="HC340" s="9"/>
      <c r="HD340" s="9"/>
      <c r="HE340" s="9"/>
      <c r="HF340" s="9"/>
      <c r="HG340" s="9"/>
      <c r="HH340" s="9"/>
      <c r="HI340" s="9"/>
      <c r="HJ340" s="9"/>
      <c r="HK340" s="9"/>
      <c r="HL340" s="9"/>
      <c r="HM340" s="9"/>
      <c r="HN340" s="9"/>
      <c r="HO340" s="9"/>
      <c r="HP340" s="9"/>
      <c r="HQ340" s="9"/>
      <c r="HR340" s="9"/>
      <c r="HS340" s="9"/>
      <c r="HT340" s="9"/>
      <c r="HU340" s="9"/>
      <c r="HV340" s="9"/>
      <c r="HW340" s="9"/>
      <c r="HX340" s="9"/>
      <c r="HY340" s="9"/>
      <c r="HZ340" s="9"/>
      <c r="IA340" s="9"/>
      <c r="IB340" s="9"/>
      <c r="IC340" s="9"/>
      <c r="ID340" s="9"/>
      <c r="IE340" s="9"/>
      <c r="IF340" s="9"/>
      <c r="IG340" s="9"/>
      <c r="IH340" s="9"/>
      <c r="II340" s="9"/>
      <c r="IJ340" s="9"/>
      <c r="IK340" s="9"/>
      <c r="IL340" s="9"/>
      <c r="IM340" s="9"/>
      <c r="IN340" s="9"/>
      <c r="IO340" s="9"/>
      <c r="IP340" s="9"/>
      <c r="IQ340" s="9"/>
      <c r="IR340" s="9"/>
      <c r="IS340" s="9"/>
      <c r="IT340" s="9"/>
      <c r="IU340" s="9"/>
      <c r="IV340" s="9"/>
      <c r="IW340" s="9"/>
      <c r="IX340" s="9"/>
      <c r="IY340" s="9"/>
      <c r="IZ340" s="9"/>
      <c r="JA340" s="9"/>
      <c r="JB340" s="9"/>
      <c r="JC340" s="9"/>
      <c r="JD340" s="9"/>
      <c r="JE340" s="9"/>
      <c r="JF340" s="9"/>
      <c r="JG340" s="9"/>
      <c r="JH340" s="9"/>
      <c r="JI340" s="9"/>
      <c r="JJ340" s="9"/>
      <c r="JK340" s="9"/>
      <c r="JL340" s="9"/>
      <c r="JM340" s="9"/>
      <c r="JN340" s="9"/>
      <c r="JO340" s="9"/>
      <c r="JP340" s="9"/>
      <c r="JQ340" s="9"/>
      <c r="JR340" s="9"/>
      <c r="JS340" s="9"/>
      <c r="JT340" s="9"/>
      <c r="JU340" s="9"/>
      <c r="JV340" s="9"/>
      <c r="JW340" s="9"/>
      <c r="JX340" s="9"/>
      <c r="JY340" s="9"/>
      <c r="JZ340" s="9"/>
      <c r="KA340" s="9"/>
      <c r="KB340" s="9"/>
      <c r="KC340" s="9"/>
      <c r="KD340" s="9"/>
      <c r="KE340" s="9"/>
      <c r="KF340" s="9"/>
      <c r="KG340" s="9"/>
      <c r="KH340" s="9"/>
      <c r="KI340" s="9"/>
      <c r="KJ340" s="9"/>
      <c r="KK340" s="9"/>
      <c r="KL340" s="9"/>
      <c r="KM340" s="9"/>
      <c r="KN340" s="9"/>
      <c r="KO340" s="9"/>
      <c r="KP340" s="9"/>
      <c r="KQ340" s="9"/>
      <c r="KR340" s="9"/>
      <c r="KS340" s="9"/>
      <c r="KT340" s="9"/>
      <c r="KU340" s="9"/>
      <c r="KV340" s="9"/>
      <c r="KW340" s="9"/>
      <c r="KX340" s="9"/>
      <c r="KY340" s="9"/>
      <c r="KZ340" s="9"/>
      <c r="LA340" s="9"/>
      <c r="LB340" s="9"/>
      <c r="LC340" s="9"/>
      <c r="LD340" s="9"/>
      <c r="LE340" s="9"/>
      <c r="LF340" s="9"/>
      <c r="LG340" s="9"/>
      <c r="LH340" s="9"/>
      <c r="LI340" s="9"/>
      <c r="LJ340" s="9"/>
      <c r="LK340" s="9"/>
      <c r="LL340" s="9"/>
      <c r="LM340" s="9"/>
      <c r="LN340" s="9"/>
      <c r="LO340" s="9"/>
      <c r="LP340" s="9"/>
      <c r="LQ340" s="9"/>
      <c r="LR340" s="9"/>
      <c r="LS340" s="9"/>
      <c r="LT340" s="9"/>
      <c r="LU340" s="9"/>
      <c r="LV340" s="9"/>
      <c r="LW340" s="9"/>
      <c r="LX340" s="9"/>
      <c r="LY340" s="9"/>
      <c r="LZ340" s="9"/>
      <c r="MA340" s="9"/>
      <c r="MB340" s="9"/>
      <c r="MC340" s="9"/>
      <c r="MD340" s="9"/>
      <c r="ME340" s="9"/>
      <c r="MF340" s="9"/>
      <c r="MG340" s="9"/>
      <c r="MH340" s="9"/>
      <c r="MI340" s="9"/>
      <c r="MJ340" s="9"/>
      <c r="MK340" s="9"/>
      <c r="ML340" s="9"/>
      <c r="MM340" s="9"/>
      <c r="MN340" s="9"/>
      <c r="MO340" s="9"/>
      <c r="MP340" s="9"/>
      <c r="MQ340" s="9"/>
      <c r="MR340" s="9"/>
      <c r="MS340" s="9"/>
      <c r="MT340" s="9"/>
      <c r="MU340" s="9"/>
      <c r="MV340" s="9"/>
      <c r="MW340" s="9"/>
      <c r="MX340" s="9"/>
      <c r="MY340" s="9"/>
      <c r="MZ340" s="9"/>
      <c r="NA340" s="9"/>
      <c r="NB340" s="9"/>
      <c r="NC340" s="9" t="s">
        <v>1101</v>
      </c>
      <c r="ND340" s="9"/>
      <c r="NE340" s="9" t="s">
        <v>1101</v>
      </c>
      <c r="NF340" s="9"/>
      <c r="NG340" s="9"/>
      <c r="NH340" s="9"/>
      <c r="NI340" s="9"/>
      <c r="NJ340" s="9"/>
      <c r="NK340" s="9"/>
      <c r="NL340" s="9"/>
      <c r="NM340" s="9"/>
      <c r="NN340" s="9"/>
      <c r="NO340" s="9"/>
      <c r="NP340" s="9"/>
      <c r="NQ340" s="9"/>
      <c r="NR340" s="9"/>
      <c r="NS340" s="9"/>
      <c r="NT340" s="9"/>
      <c r="NU340" s="9"/>
      <c r="NV340" s="9"/>
      <c r="NW340" s="9"/>
      <c r="NX340" s="9"/>
      <c r="NY340" s="9"/>
      <c r="NZ340" s="9"/>
      <c r="OA340" s="9"/>
      <c r="OB340" s="9"/>
      <c r="OC340" s="9"/>
      <c r="OD340" s="9"/>
      <c r="OE340" s="9"/>
      <c r="OF340" s="9"/>
      <c r="OG340" s="9"/>
      <c r="OH340" s="9"/>
      <c r="OI340" s="9"/>
      <c r="OJ340" s="9"/>
      <c r="OK340" s="9"/>
      <c r="OL340" s="9"/>
      <c r="OM340" s="9"/>
      <c r="ON340" s="9"/>
      <c r="OO340" s="9"/>
      <c r="OP340" s="9"/>
      <c r="OQ340" s="9"/>
      <c r="OR340" s="9"/>
      <c r="OS340" s="9"/>
      <c r="OT340" s="9"/>
      <c r="OU340" s="9"/>
      <c r="OV340" s="9"/>
      <c r="OW340" s="9"/>
      <c r="OX340" s="9"/>
      <c r="OY340" s="9"/>
      <c r="OZ340" s="9"/>
      <c r="PA340" s="9"/>
      <c r="PB340" s="9"/>
      <c r="PC340" s="9"/>
      <c r="PD340" s="9"/>
      <c r="PE340" s="9"/>
      <c r="PF340" s="9"/>
      <c r="PG340" s="9"/>
      <c r="PH340" s="9"/>
      <c r="PI340" s="9"/>
      <c r="PJ340" s="9"/>
      <c r="PK340" s="9"/>
      <c r="PL340" s="9"/>
      <c r="PM340" s="9"/>
      <c r="PN340" s="9"/>
      <c r="PO340" s="9"/>
      <c r="PP340" s="9"/>
      <c r="PQ340" s="9"/>
      <c r="PR340" s="9"/>
      <c r="PS340" s="9"/>
      <c r="PT340" s="9"/>
      <c r="PU340" s="9"/>
      <c r="PV340" s="9"/>
      <c r="PW340" s="9"/>
      <c r="PX340" s="9"/>
      <c r="PY340" s="9"/>
      <c r="PZ340" s="9"/>
      <c r="QA340" s="9"/>
      <c r="QB340" s="9"/>
      <c r="QC340" s="9"/>
      <c r="QD340" s="9"/>
      <c r="QE340" s="9"/>
      <c r="QF340" s="9"/>
      <c r="QG340" s="9"/>
      <c r="QH340" s="9"/>
      <c r="QI340" s="9"/>
      <c r="QJ340" s="9"/>
      <c r="QK340" s="9"/>
      <c r="QL340" s="9"/>
      <c r="QM340" s="9"/>
      <c r="QN340" s="9"/>
      <c r="QO340" s="9"/>
      <c r="QP340" s="9"/>
      <c r="QQ340" s="67"/>
      <c r="QR340" s="68"/>
      <c r="QS340" s="63"/>
      <c r="QT340" s="71"/>
    </row>
    <row r="341" spans="1:462" s="11" customFormat="1" x14ac:dyDescent="0.2">
      <c r="A341" s="9">
        <v>20</v>
      </c>
      <c r="B341" s="9"/>
      <c r="C341" s="9"/>
      <c r="D341" s="9" t="s">
        <v>826</v>
      </c>
      <c r="E341" s="65" t="s">
        <v>828</v>
      </c>
      <c r="F341" s="65"/>
      <c r="G341" s="92" t="s">
        <v>2441</v>
      </c>
      <c r="H341" s="66" t="s">
        <v>1346</v>
      </c>
      <c r="I341" s="9" t="s">
        <v>1101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  <c r="EN341" s="9"/>
      <c r="EO341" s="9"/>
      <c r="EP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E341" s="9"/>
      <c r="FF341" s="9"/>
      <c r="FG341" s="9"/>
      <c r="FH341" s="9"/>
      <c r="FI341" s="9"/>
      <c r="FJ341" s="9"/>
      <c r="FK341" s="9"/>
      <c r="FL341" s="9"/>
      <c r="FM341" s="9"/>
      <c r="FN341" s="9"/>
      <c r="FO341" s="9"/>
      <c r="FP341" s="9"/>
      <c r="FQ341" s="9"/>
      <c r="FR341" s="9"/>
      <c r="FS341" s="9"/>
      <c r="FT341" s="9"/>
      <c r="FU341" s="9"/>
      <c r="FV341" s="9"/>
      <c r="FW341" s="9"/>
      <c r="FX341" s="9"/>
      <c r="FY341" s="9"/>
      <c r="FZ341" s="9"/>
      <c r="GA341" s="9"/>
      <c r="GB341" s="9"/>
      <c r="GC341" s="9"/>
      <c r="GD341" s="9"/>
      <c r="GE341" s="9"/>
      <c r="GF341" s="9"/>
      <c r="GG341" s="9"/>
      <c r="GH341" s="9"/>
      <c r="GI341" s="9"/>
      <c r="GJ341" s="9"/>
      <c r="GK341" s="9"/>
      <c r="GL341" s="9"/>
      <c r="GM341" s="9"/>
      <c r="GN341" s="9"/>
      <c r="GO341" s="9"/>
      <c r="GP341" s="9"/>
      <c r="GQ341" s="9"/>
      <c r="GR341" s="9"/>
      <c r="GS341" s="9"/>
      <c r="GT341" s="9"/>
      <c r="GU341" s="9"/>
      <c r="GV341" s="9"/>
      <c r="GW341" s="9"/>
      <c r="GX341" s="9"/>
      <c r="GY341" s="9"/>
      <c r="GZ341" s="9"/>
      <c r="HA341" s="9"/>
      <c r="HB341" s="9"/>
      <c r="HC341" s="9"/>
      <c r="HD341" s="9"/>
      <c r="HE341" s="9"/>
      <c r="HF341" s="9"/>
      <c r="HG341" s="9"/>
      <c r="HH341" s="9"/>
      <c r="HI341" s="9"/>
      <c r="HJ341" s="9"/>
      <c r="HK341" s="9"/>
      <c r="HL341" s="9"/>
      <c r="HM341" s="9"/>
      <c r="HN341" s="9"/>
      <c r="HO341" s="9"/>
      <c r="HP341" s="9"/>
      <c r="HQ341" s="9"/>
      <c r="HR341" s="9"/>
      <c r="HS341" s="9"/>
      <c r="HT341" s="9"/>
      <c r="HU341" s="9"/>
      <c r="HV341" s="9"/>
      <c r="HW341" s="9"/>
      <c r="HX341" s="9"/>
      <c r="HY341" s="9"/>
      <c r="HZ341" s="9"/>
      <c r="IA341" s="9"/>
      <c r="IB341" s="9"/>
      <c r="IC341" s="9"/>
      <c r="ID341" s="9"/>
      <c r="IE341" s="9"/>
      <c r="IF341" s="9"/>
      <c r="IG341" s="9"/>
      <c r="IH341" s="9"/>
      <c r="II341" s="9"/>
      <c r="IJ341" s="9"/>
      <c r="IK341" s="9"/>
      <c r="IL341" s="9"/>
      <c r="IM341" s="9"/>
      <c r="IN341" s="9"/>
      <c r="IO341" s="9"/>
      <c r="IP341" s="9"/>
      <c r="IQ341" s="9"/>
      <c r="IR341" s="9"/>
      <c r="IS341" s="9"/>
      <c r="IT341" s="9"/>
      <c r="IU341" s="9"/>
      <c r="IV341" s="9"/>
      <c r="IW341" s="9"/>
      <c r="IX341" s="9"/>
      <c r="IY341" s="9"/>
      <c r="IZ341" s="9"/>
      <c r="JA341" s="9"/>
      <c r="JB341" s="9"/>
      <c r="JC341" s="9"/>
      <c r="JD341" s="9"/>
      <c r="JE341" s="9"/>
      <c r="JF341" s="9"/>
      <c r="JG341" s="9"/>
      <c r="JH341" s="9"/>
      <c r="JI341" s="9"/>
      <c r="JJ341" s="9"/>
      <c r="JK341" s="9"/>
      <c r="JL341" s="9"/>
      <c r="JM341" s="9"/>
      <c r="JN341" s="9"/>
      <c r="JO341" s="9"/>
      <c r="JP341" s="9"/>
      <c r="JQ341" s="9"/>
      <c r="JR341" s="9"/>
      <c r="JS341" s="9"/>
      <c r="JT341" s="9"/>
      <c r="JU341" s="9"/>
      <c r="JV341" s="9"/>
      <c r="JW341" s="9"/>
      <c r="JX341" s="9"/>
      <c r="JY341" s="9"/>
      <c r="JZ341" s="9"/>
      <c r="KA341" s="9"/>
      <c r="KB341" s="9"/>
      <c r="KC341" s="9"/>
      <c r="KD341" s="9"/>
      <c r="KE341" s="9"/>
      <c r="KF341" s="9"/>
      <c r="KG341" s="9"/>
      <c r="KH341" s="9"/>
      <c r="KI341" s="9"/>
      <c r="KJ341" s="9"/>
      <c r="KK341" s="9"/>
      <c r="KL341" s="9"/>
      <c r="KM341" s="9"/>
      <c r="KN341" s="9"/>
      <c r="KO341" s="9"/>
      <c r="KP341" s="9"/>
      <c r="KQ341" s="9"/>
      <c r="KR341" s="9"/>
      <c r="KS341" s="9"/>
      <c r="KT341" s="9"/>
      <c r="KU341" s="9"/>
      <c r="KV341" s="9"/>
      <c r="KW341" s="9"/>
      <c r="KX341" s="9"/>
      <c r="KY341" s="9"/>
      <c r="KZ341" s="9"/>
      <c r="LA341" s="9"/>
      <c r="LB341" s="9"/>
      <c r="LC341" s="9"/>
      <c r="LD341" s="9"/>
      <c r="LE341" s="9"/>
      <c r="LF341" s="9"/>
      <c r="LG341" s="9"/>
      <c r="LH341" s="9"/>
      <c r="LI341" s="9"/>
      <c r="LJ341" s="9"/>
      <c r="LK341" s="9"/>
      <c r="LL341" s="9"/>
      <c r="LM341" s="9"/>
      <c r="LN341" s="9"/>
      <c r="LO341" s="9"/>
      <c r="LP341" s="9"/>
      <c r="LQ341" s="9"/>
      <c r="LR341" s="9"/>
      <c r="LS341" s="9"/>
      <c r="LT341" s="9"/>
      <c r="LU341" s="9"/>
      <c r="LV341" s="9"/>
      <c r="LW341" s="9"/>
      <c r="LX341" s="9"/>
      <c r="LY341" s="9"/>
      <c r="LZ341" s="9"/>
      <c r="MA341" s="9"/>
      <c r="MB341" s="9"/>
      <c r="MC341" s="9"/>
      <c r="MD341" s="9"/>
      <c r="ME341" s="9"/>
      <c r="MF341" s="9"/>
      <c r="MG341" s="9"/>
      <c r="MH341" s="9"/>
      <c r="MI341" s="9"/>
      <c r="MJ341" s="9"/>
      <c r="MK341" s="9"/>
      <c r="ML341" s="9"/>
      <c r="MM341" s="9"/>
      <c r="MN341" s="9"/>
      <c r="MO341" s="9"/>
      <c r="MP341" s="9"/>
      <c r="MQ341" s="9"/>
      <c r="MR341" s="9"/>
      <c r="MS341" s="9"/>
      <c r="MT341" s="9"/>
      <c r="MU341" s="9"/>
      <c r="MV341" s="9"/>
      <c r="MW341" s="9"/>
      <c r="MX341" s="9"/>
      <c r="MY341" s="9"/>
      <c r="MZ341" s="9"/>
      <c r="NA341" s="9"/>
      <c r="NB341" s="9"/>
      <c r="NC341" s="9"/>
      <c r="ND341" s="9"/>
      <c r="NE341" s="9"/>
      <c r="NF341" s="9"/>
      <c r="NG341" s="9"/>
      <c r="NH341" s="9"/>
      <c r="NI341" s="9"/>
      <c r="NJ341" s="9"/>
      <c r="NK341" s="9" t="s">
        <v>1101</v>
      </c>
      <c r="NL341" s="9"/>
      <c r="NM341" s="9" t="s">
        <v>1101</v>
      </c>
      <c r="NN341" s="9"/>
      <c r="NO341" s="9"/>
      <c r="NP341" s="9"/>
      <c r="NQ341" s="9"/>
      <c r="NR341" s="9"/>
      <c r="NS341" s="9"/>
      <c r="NT341" s="9"/>
      <c r="NU341" s="9"/>
      <c r="NV341" s="9"/>
      <c r="NW341" s="9"/>
      <c r="NX341" s="9"/>
      <c r="NY341" s="9"/>
      <c r="NZ341" s="9"/>
      <c r="OA341" s="9"/>
      <c r="OB341" s="9"/>
      <c r="OC341" s="9"/>
      <c r="OD341" s="9"/>
      <c r="OE341" s="9"/>
      <c r="OF341" s="9"/>
      <c r="OG341" s="9"/>
      <c r="OH341" s="9"/>
      <c r="OI341" s="9"/>
      <c r="OJ341" s="9"/>
      <c r="OK341" s="9"/>
      <c r="OL341" s="9"/>
      <c r="OM341" s="9"/>
      <c r="ON341" s="9"/>
      <c r="OO341" s="9"/>
      <c r="OP341" s="9"/>
      <c r="OQ341" s="9"/>
      <c r="OR341" s="9"/>
      <c r="OS341" s="9"/>
      <c r="OT341" s="9"/>
      <c r="OU341" s="9"/>
      <c r="OV341" s="9"/>
      <c r="OW341" s="9"/>
      <c r="OX341" s="9"/>
      <c r="OY341" s="9"/>
      <c r="OZ341" s="9"/>
      <c r="PA341" s="9"/>
      <c r="PB341" s="9"/>
      <c r="PC341" s="9"/>
      <c r="PD341" s="9"/>
      <c r="PE341" s="9"/>
      <c r="PF341" s="9"/>
      <c r="PG341" s="9"/>
      <c r="PH341" s="9"/>
      <c r="PI341" s="9"/>
      <c r="PJ341" s="9"/>
      <c r="PK341" s="9"/>
      <c r="PL341" s="9"/>
      <c r="PM341" s="9"/>
      <c r="PN341" s="9"/>
      <c r="PO341" s="9"/>
      <c r="PP341" s="9"/>
      <c r="PQ341" s="9"/>
      <c r="PR341" s="9"/>
      <c r="PS341" s="9"/>
      <c r="PT341" s="9"/>
      <c r="PU341" s="9"/>
      <c r="PV341" s="9"/>
      <c r="PW341" s="9"/>
      <c r="PX341" s="9"/>
      <c r="PY341" s="9"/>
      <c r="PZ341" s="9"/>
      <c r="QA341" s="9"/>
      <c r="QB341" s="9"/>
      <c r="QC341" s="9"/>
      <c r="QD341" s="9"/>
      <c r="QE341" s="9"/>
      <c r="QF341" s="9"/>
      <c r="QG341" s="9"/>
      <c r="QH341" s="9"/>
      <c r="QI341" s="9"/>
      <c r="QJ341" s="9"/>
      <c r="QK341" s="9"/>
      <c r="QL341" s="9"/>
      <c r="QM341" s="9"/>
      <c r="QN341" s="9"/>
      <c r="QO341" s="9"/>
      <c r="QP341" s="9"/>
      <c r="QQ341" s="67"/>
      <c r="QR341" s="68"/>
      <c r="QS341" s="63"/>
      <c r="QT341" s="71"/>
    </row>
    <row r="342" spans="1:462" s="11" customFormat="1" x14ac:dyDescent="0.2">
      <c r="A342" s="9">
        <v>20</v>
      </c>
      <c r="B342" s="9"/>
      <c r="C342" s="9"/>
      <c r="D342" s="9" t="s">
        <v>773</v>
      </c>
      <c r="E342" s="65" t="s">
        <v>789</v>
      </c>
      <c r="F342" s="65"/>
      <c r="G342" s="92" t="s">
        <v>2444</v>
      </c>
      <c r="H342" s="66" t="s">
        <v>1349</v>
      </c>
      <c r="I342" s="9" t="s">
        <v>1101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  <c r="FO342" s="9"/>
      <c r="FP342" s="9"/>
      <c r="FQ342" s="9"/>
      <c r="FR342" s="9"/>
      <c r="FS342" s="9"/>
      <c r="FT342" s="9"/>
      <c r="FU342" s="9"/>
      <c r="FV342" s="9"/>
      <c r="FW342" s="9"/>
      <c r="FX342" s="9"/>
      <c r="FY342" s="9"/>
      <c r="FZ342" s="9"/>
      <c r="GA342" s="9"/>
      <c r="GB342" s="9"/>
      <c r="GC342" s="9"/>
      <c r="GD342" s="9"/>
      <c r="GE342" s="9"/>
      <c r="GF342" s="9"/>
      <c r="GG342" s="9"/>
      <c r="GH342" s="9"/>
      <c r="GI342" s="9"/>
      <c r="GJ342" s="9"/>
      <c r="GK342" s="9"/>
      <c r="GL342" s="9"/>
      <c r="GM342" s="9"/>
      <c r="GN342" s="9"/>
      <c r="GO342" s="9"/>
      <c r="GP342" s="9"/>
      <c r="GQ342" s="9"/>
      <c r="GR342" s="9"/>
      <c r="GS342" s="9"/>
      <c r="GT342" s="9"/>
      <c r="GU342" s="9"/>
      <c r="GV342" s="9"/>
      <c r="GW342" s="9"/>
      <c r="GX342" s="9"/>
      <c r="GY342" s="9"/>
      <c r="GZ342" s="9"/>
      <c r="HA342" s="9"/>
      <c r="HB342" s="9"/>
      <c r="HC342" s="9"/>
      <c r="HD342" s="9"/>
      <c r="HE342" s="9"/>
      <c r="HF342" s="9"/>
      <c r="HG342" s="9"/>
      <c r="HH342" s="9"/>
      <c r="HI342" s="9"/>
      <c r="HJ342" s="9"/>
      <c r="HK342" s="9"/>
      <c r="HL342" s="9"/>
      <c r="HM342" s="9"/>
      <c r="HN342" s="9"/>
      <c r="HO342" s="9"/>
      <c r="HP342" s="9"/>
      <c r="HQ342" s="9"/>
      <c r="HR342" s="9"/>
      <c r="HS342" s="9"/>
      <c r="HT342" s="9"/>
      <c r="HU342" s="9"/>
      <c r="HV342" s="9"/>
      <c r="HW342" s="9"/>
      <c r="HX342" s="9"/>
      <c r="HY342" s="9"/>
      <c r="HZ342" s="9"/>
      <c r="IA342" s="9"/>
      <c r="IB342" s="9"/>
      <c r="IC342" s="9"/>
      <c r="ID342" s="9"/>
      <c r="IE342" s="9"/>
      <c r="IF342" s="9"/>
      <c r="IG342" s="9"/>
      <c r="IH342" s="9"/>
      <c r="II342" s="9"/>
      <c r="IJ342" s="9"/>
      <c r="IK342" s="9"/>
      <c r="IL342" s="9"/>
      <c r="IM342" s="9"/>
      <c r="IN342" s="9"/>
      <c r="IO342" s="9"/>
      <c r="IP342" s="9"/>
      <c r="IQ342" s="9"/>
      <c r="IR342" s="9"/>
      <c r="IS342" s="9"/>
      <c r="IT342" s="9"/>
      <c r="IU342" s="9"/>
      <c r="IV342" s="9"/>
      <c r="IW342" s="9"/>
      <c r="IX342" s="9"/>
      <c r="IY342" s="9"/>
      <c r="IZ342" s="9"/>
      <c r="JA342" s="9"/>
      <c r="JB342" s="9"/>
      <c r="JC342" s="9"/>
      <c r="JD342" s="9"/>
      <c r="JE342" s="9"/>
      <c r="JF342" s="9"/>
      <c r="JG342" s="9"/>
      <c r="JH342" s="9"/>
      <c r="JI342" s="9"/>
      <c r="JJ342" s="9"/>
      <c r="JK342" s="9"/>
      <c r="JL342" s="9"/>
      <c r="JM342" s="9"/>
      <c r="JN342" s="9"/>
      <c r="JO342" s="9"/>
      <c r="JP342" s="9"/>
      <c r="JQ342" s="9"/>
      <c r="JR342" s="9"/>
      <c r="JS342" s="9"/>
      <c r="JT342" s="9"/>
      <c r="JU342" s="9"/>
      <c r="JV342" s="9"/>
      <c r="JW342" s="9"/>
      <c r="JX342" s="9"/>
      <c r="JY342" s="9"/>
      <c r="JZ342" s="9"/>
      <c r="KA342" s="9"/>
      <c r="KB342" s="9"/>
      <c r="KC342" s="9"/>
      <c r="KD342" s="9"/>
      <c r="KE342" s="9"/>
      <c r="KF342" s="9"/>
      <c r="KG342" s="9"/>
      <c r="KH342" s="9"/>
      <c r="KI342" s="9"/>
      <c r="KJ342" s="9"/>
      <c r="KK342" s="9"/>
      <c r="KL342" s="9"/>
      <c r="KM342" s="9"/>
      <c r="KN342" s="9"/>
      <c r="KO342" s="9"/>
      <c r="KP342" s="9"/>
      <c r="KQ342" s="9"/>
      <c r="KR342" s="9"/>
      <c r="KS342" s="9"/>
      <c r="KT342" s="9"/>
      <c r="KU342" s="9"/>
      <c r="KV342" s="9"/>
      <c r="KW342" s="9"/>
      <c r="KX342" s="9"/>
      <c r="KY342" s="9"/>
      <c r="KZ342" s="9"/>
      <c r="LA342" s="9"/>
      <c r="LB342" s="9"/>
      <c r="LC342" s="9"/>
      <c r="LD342" s="9"/>
      <c r="LE342" s="9"/>
      <c r="LF342" s="9"/>
      <c r="LG342" s="9"/>
      <c r="LH342" s="9"/>
      <c r="LI342" s="9"/>
      <c r="LJ342" s="9"/>
      <c r="LK342" s="9"/>
      <c r="LL342" s="9"/>
      <c r="LM342" s="9"/>
      <c r="LN342" s="9"/>
      <c r="LO342" s="9"/>
      <c r="LP342" s="9"/>
      <c r="LQ342" s="9"/>
      <c r="LR342" s="9"/>
      <c r="LS342" s="9"/>
      <c r="LT342" s="9"/>
      <c r="LU342" s="9"/>
      <c r="LV342" s="9"/>
      <c r="LW342" s="9"/>
      <c r="LX342" s="9"/>
      <c r="LY342" s="9"/>
      <c r="LZ342" s="9"/>
      <c r="MA342" s="9"/>
      <c r="MB342" s="9"/>
      <c r="MC342" s="9"/>
      <c r="MD342" s="9"/>
      <c r="ME342" s="9"/>
      <c r="MF342" s="9"/>
      <c r="MG342" s="9"/>
      <c r="MH342" s="9"/>
      <c r="MI342" s="9"/>
      <c r="MJ342" s="9"/>
      <c r="MK342" s="9"/>
      <c r="ML342" s="9"/>
      <c r="MM342" s="9"/>
      <c r="MN342" s="9"/>
      <c r="MO342" s="9"/>
      <c r="MP342" s="9"/>
      <c r="MQ342" s="9"/>
      <c r="MR342" s="9"/>
      <c r="MS342" s="9"/>
      <c r="MT342" s="9"/>
      <c r="MU342" s="9"/>
      <c r="MV342" s="9"/>
      <c r="MW342" s="9"/>
      <c r="MX342" s="9"/>
      <c r="MY342" s="9"/>
      <c r="MZ342" s="9"/>
      <c r="NA342" s="9"/>
      <c r="NB342" s="9"/>
      <c r="NC342" s="9"/>
      <c r="ND342" s="9"/>
      <c r="NE342" s="9"/>
      <c r="NF342" s="9"/>
      <c r="NG342" s="9"/>
      <c r="NH342" s="9"/>
      <c r="NI342" s="9"/>
      <c r="NJ342" s="9"/>
      <c r="NK342" s="9"/>
      <c r="NL342" s="9"/>
      <c r="NM342" s="9"/>
      <c r="NN342" s="9"/>
      <c r="NO342" s="9"/>
      <c r="NP342" s="9"/>
      <c r="NQ342" s="9"/>
      <c r="NR342" s="9"/>
      <c r="NS342" s="9" t="s">
        <v>1101</v>
      </c>
      <c r="NT342" s="9"/>
      <c r="NU342" s="9" t="s">
        <v>1101</v>
      </c>
      <c r="NV342" s="9"/>
      <c r="NW342" s="9"/>
      <c r="NX342" s="9"/>
      <c r="NY342" s="9"/>
      <c r="NZ342" s="9"/>
      <c r="OA342" s="9"/>
      <c r="OB342" s="9"/>
      <c r="OC342" s="9"/>
      <c r="OD342" s="9"/>
      <c r="OE342" s="9"/>
      <c r="OF342" s="9"/>
      <c r="OG342" s="9"/>
      <c r="OH342" s="9"/>
      <c r="OI342" s="9"/>
      <c r="OJ342" s="9"/>
      <c r="OK342" s="9"/>
      <c r="OL342" s="9"/>
      <c r="OM342" s="9"/>
      <c r="ON342" s="9"/>
      <c r="OO342" s="9"/>
      <c r="OP342" s="9"/>
      <c r="OQ342" s="9"/>
      <c r="OR342" s="9"/>
      <c r="OS342" s="9"/>
      <c r="OT342" s="9"/>
      <c r="OU342" s="9"/>
      <c r="OV342" s="9"/>
      <c r="OW342" s="9"/>
      <c r="OX342" s="9"/>
      <c r="OY342" s="9"/>
      <c r="OZ342" s="9"/>
      <c r="PA342" s="9"/>
      <c r="PB342" s="9"/>
      <c r="PC342" s="9"/>
      <c r="PD342" s="9"/>
      <c r="PE342" s="9"/>
      <c r="PF342" s="9"/>
      <c r="PG342" s="9"/>
      <c r="PH342" s="9"/>
      <c r="PI342" s="9"/>
      <c r="PJ342" s="9"/>
      <c r="PK342" s="9"/>
      <c r="PL342" s="9"/>
      <c r="PM342" s="9"/>
      <c r="PN342" s="9"/>
      <c r="PO342" s="9"/>
      <c r="PP342" s="9"/>
      <c r="PQ342" s="9"/>
      <c r="PR342" s="9"/>
      <c r="PS342" s="9"/>
      <c r="PT342" s="9"/>
      <c r="PU342" s="9"/>
      <c r="PV342" s="9"/>
      <c r="PW342" s="9"/>
      <c r="PX342" s="9"/>
      <c r="PY342" s="9"/>
      <c r="PZ342" s="9"/>
      <c r="QA342" s="9"/>
      <c r="QB342" s="9"/>
      <c r="QC342" s="9"/>
      <c r="QD342" s="9"/>
      <c r="QE342" s="9"/>
      <c r="QF342" s="9"/>
      <c r="QG342" s="9"/>
      <c r="QH342" s="9"/>
      <c r="QI342" s="9"/>
      <c r="QJ342" s="9"/>
      <c r="QK342" s="9"/>
      <c r="QL342" s="9"/>
      <c r="QM342" s="9"/>
      <c r="QN342" s="9"/>
      <c r="QO342" s="9"/>
      <c r="QP342" s="9"/>
      <c r="QQ342" s="67"/>
      <c r="QR342" s="68"/>
      <c r="QS342" s="63"/>
      <c r="QT342" s="71"/>
    </row>
    <row r="343" spans="1:462" s="11" customFormat="1" x14ac:dyDescent="0.2">
      <c r="A343" s="9">
        <v>20</v>
      </c>
      <c r="B343" s="9"/>
      <c r="C343" s="9"/>
      <c r="D343" s="9" t="s">
        <v>863</v>
      </c>
      <c r="E343" s="65" t="s">
        <v>864</v>
      </c>
      <c r="F343" s="65"/>
      <c r="G343" s="92" t="s">
        <v>2446</v>
      </c>
      <c r="H343" s="66" t="s">
        <v>1351</v>
      </c>
      <c r="I343" s="9" t="s">
        <v>1101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9"/>
      <c r="FJ343" s="9"/>
      <c r="FK343" s="9"/>
      <c r="FL343" s="9"/>
      <c r="FM343" s="9"/>
      <c r="FN343" s="9"/>
      <c r="FO343" s="9"/>
      <c r="FP343" s="9"/>
      <c r="FQ343" s="9"/>
      <c r="FR343" s="9"/>
      <c r="FS343" s="9"/>
      <c r="FT343" s="9"/>
      <c r="FU343" s="9"/>
      <c r="FV343" s="9"/>
      <c r="FW343" s="9"/>
      <c r="FX343" s="9"/>
      <c r="FY343" s="9"/>
      <c r="FZ343" s="9"/>
      <c r="GA343" s="9"/>
      <c r="GB343" s="9"/>
      <c r="GC343" s="9"/>
      <c r="GD343" s="9"/>
      <c r="GE343" s="9"/>
      <c r="GF343" s="9"/>
      <c r="GG343" s="9"/>
      <c r="GH343" s="9"/>
      <c r="GI343" s="9"/>
      <c r="GJ343" s="9"/>
      <c r="GK343" s="9"/>
      <c r="GL343" s="9"/>
      <c r="GM343" s="9"/>
      <c r="GN343" s="9"/>
      <c r="GO343" s="9"/>
      <c r="GP343" s="9"/>
      <c r="GQ343" s="9"/>
      <c r="GR343" s="9"/>
      <c r="GS343" s="9"/>
      <c r="GT343" s="9"/>
      <c r="GU343" s="9"/>
      <c r="GV343" s="9"/>
      <c r="GW343" s="9"/>
      <c r="GX343" s="9"/>
      <c r="GY343" s="9"/>
      <c r="GZ343" s="9"/>
      <c r="HA343" s="9"/>
      <c r="HB343" s="9"/>
      <c r="HC343" s="9"/>
      <c r="HD343" s="9"/>
      <c r="HE343" s="9"/>
      <c r="HF343" s="9"/>
      <c r="HG343" s="9"/>
      <c r="HH343" s="9"/>
      <c r="HI343" s="9"/>
      <c r="HJ343" s="9"/>
      <c r="HK343" s="9"/>
      <c r="HL343" s="9"/>
      <c r="HM343" s="9"/>
      <c r="HN343" s="9"/>
      <c r="HO343" s="9"/>
      <c r="HP343" s="9"/>
      <c r="HQ343" s="9"/>
      <c r="HR343" s="9"/>
      <c r="HS343" s="9"/>
      <c r="HT343" s="9"/>
      <c r="HU343" s="9"/>
      <c r="HV343" s="9"/>
      <c r="HW343" s="9"/>
      <c r="HX343" s="9"/>
      <c r="HY343" s="9"/>
      <c r="HZ343" s="9"/>
      <c r="IA343" s="9"/>
      <c r="IB343" s="9"/>
      <c r="IC343" s="9"/>
      <c r="ID343" s="9"/>
      <c r="IE343" s="9"/>
      <c r="IF343" s="9"/>
      <c r="IG343" s="9"/>
      <c r="IH343" s="9"/>
      <c r="II343" s="9"/>
      <c r="IJ343" s="9"/>
      <c r="IK343" s="9"/>
      <c r="IL343" s="9"/>
      <c r="IM343" s="9"/>
      <c r="IN343" s="9"/>
      <c r="IO343" s="9"/>
      <c r="IP343" s="9"/>
      <c r="IQ343" s="9"/>
      <c r="IR343" s="9"/>
      <c r="IS343" s="9"/>
      <c r="IT343" s="9"/>
      <c r="IU343" s="9"/>
      <c r="IV343" s="9"/>
      <c r="IW343" s="9"/>
      <c r="IX343" s="9"/>
      <c r="IY343" s="9"/>
      <c r="IZ343" s="9"/>
      <c r="JA343" s="9"/>
      <c r="JB343" s="9"/>
      <c r="JC343" s="9"/>
      <c r="JD343" s="9"/>
      <c r="JE343" s="9"/>
      <c r="JF343" s="9"/>
      <c r="JG343" s="9"/>
      <c r="JH343" s="9"/>
      <c r="JI343" s="9"/>
      <c r="JJ343" s="9"/>
      <c r="JK343" s="9"/>
      <c r="JL343" s="9"/>
      <c r="JM343" s="9"/>
      <c r="JN343" s="9"/>
      <c r="JO343" s="9"/>
      <c r="JP343" s="9"/>
      <c r="JQ343" s="9"/>
      <c r="JR343" s="9"/>
      <c r="JS343" s="9"/>
      <c r="JT343" s="9"/>
      <c r="JU343" s="9"/>
      <c r="JV343" s="9"/>
      <c r="JW343" s="9"/>
      <c r="JX343" s="9"/>
      <c r="JY343" s="9"/>
      <c r="JZ343" s="9"/>
      <c r="KA343" s="9"/>
      <c r="KB343" s="9"/>
      <c r="KC343" s="9"/>
      <c r="KD343" s="9"/>
      <c r="KE343" s="9"/>
      <c r="KF343" s="9"/>
      <c r="KG343" s="9"/>
      <c r="KH343" s="9"/>
      <c r="KI343" s="9"/>
      <c r="KJ343" s="9"/>
      <c r="KK343" s="9"/>
      <c r="KL343" s="9"/>
      <c r="KM343" s="9"/>
      <c r="KN343" s="9"/>
      <c r="KO343" s="9"/>
      <c r="KP343" s="9"/>
      <c r="KQ343" s="9"/>
      <c r="KR343" s="9"/>
      <c r="KS343" s="9"/>
      <c r="KT343" s="9"/>
      <c r="KU343" s="9"/>
      <c r="KV343" s="9"/>
      <c r="KW343" s="9"/>
      <c r="KX343" s="9"/>
      <c r="KY343" s="9"/>
      <c r="KZ343" s="9"/>
      <c r="LA343" s="9"/>
      <c r="LB343" s="9"/>
      <c r="LC343" s="9"/>
      <c r="LD343" s="9"/>
      <c r="LE343" s="9"/>
      <c r="LF343" s="9"/>
      <c r="LG343" s="9"/>
      <c r="LH343" s="9"/>
      <c r="LI343" s="9"/>
      <c r="LJ343" s="9"/>
      <c r="LK343" s="9"/>
      <c r="LL343" s="9"/>
      <c r="LM343" s="9"/>
      <c r="LN343" s="9"/>
      <c r="LO343" s="9"/>
      <c r="LP343" s="9"/>
      <c r="LQ343" s="9"/>
      <c r="LR343" s="9"/>
      <c r="LS343" s="9"/>
      <c r="LT343" s="9"/>
      <c r="LU343" s="9"/>
      <c r="LV343" s="9"/>
      <c r="LW343" s="9"/>
      <c r="LX343" s="9"/>
      <c r="LY343" s="9"/>
      <c r="LZ343" s="9"/>
      <c r="MA343" s="9"/>
      <c r="MB343" s="9"/>
      <c r="MC343" s="9"/>
      <c r="MD343" s="9"/>
      <c r="ME343" s="9"/>
      <c r="MF343" s="9"/>
      <c r="MG343" s="9"/>
      <c r="MH343" s="9"/>
      <c r="MI343" s="9"/>
      <c r="MJ343" s="9"/>
      <c r="MK343" s="9"/>
      <c r="ML343" s="9"/>
      <c r="MM343" s="9"/>
      <c r="MN343" s="9"/>
      <c r="MO343" s="9"/>
      <c r="MP343" s="9"/>
      <c r="MQ343" s="9"/>
      <c r="MR343" s="9"/>
      <c r="MS343" s="9"/>
      <c r="MT343" s="9"/>
      <c r="MU343" s="9"/>
      <c r="MV343" s="9"/>
      <c r="MW343" s="9"/>
      <c r="MX343" s="9"/>
      <c r="MY343" s="9"/>
      <c r="MZ343" s="9"/>
      <c r="NA343" s="9"/>
      <c r="NB343" s="9"/>
      <c r="NC343" s="9"/>
      <c r="ND343" s="9"/>
      <c r="NE343" s="9"/>
      <c r="NF343" s="9"/>
      <c r="NG343" s="9"/>
      <c r="NH343" s="9"/>
      <c r="NI343" s="9"/>
      <c r="NJ343" s="9"/>
      <c r="NK343" s="9"/>
      <c r="NL343" s="9"/>
      <c r="NM343" s="9"/>
      <c r="NN343" s="9"/>
      <c r="NO343" s="9"/>
      <c r="NP343" s="9"/>
      <c r="NQ343" s="9"/>
      <c r="NR343" s="9"/>
      <c r="NS343" s="9" t="s">
        <v>1101</v>
      </c>
      <c r="NT343" s="9"/>
      <c r="NU343" s="9" t="s">
        <v>1101</v>
      </c>
      <c r="NV343" s="9"/>
      <c r="NW343" s="9"/>
      <c r="NX343" s="9"/>
      <c r="NY343" s="9"/>
      <c r="NZ343" s="9"/>
      <c r="OA343" s="9"/>
      <c r="OB343" s="9"/>
      <c r="OC343" s="9"/>
      <c r="OD343" s="9"/>
      <c r="OE343" s="9"/>
      <c r="OF343" s="9"/>
      <c r="OG343" s="9"/>
      <c r="OH343" s="9"/>
      <c r="OI343" s="9"/>
      <c r="OJ343" s="9"/>
      <c r="OK343" s="9"/>
      <c r="OL343" s="9"/>
      <c r="OM343" s="9"/>
      <c r="ON343" s="9"/>
      <c r="OO343" s="9"/>
      <c r="OP343" s="9"/>
      <c r="OQ343" s="9"/>
      <c r="OR343" s="9"/>
      <c r="OS343" s="9"/>
      <c r="OT343" s="9"/>
      <c r="OU343" s="9"/>
      <c r="OV343" s="9"/>
      <c r="OW343" s="9"/>
      <c r="OX343" s="9"/>
      <c r="OY343" s="9"/>
      <c r="OZ343" s="9"/>
      <c r="PA343" s="9"/>
      <c r="PB343" s="9"/>
      <c r="PC343" s="9"/>
      <c r="PD343" s="9"/>
      <c r="PE343" s="9"/>
      <c r="PF343" s="9"/>
      <c r="PG343" s="9"/>
      <c r="PH343" s="9"/>
      <c r="PI343" s="9"/>
      <c r="PJ343" s="9"/>
      <c r="PK343" s="9"/>
      <c r="PL343" s="9"/>
      <c r="PM343" s="9"/>
      <c r="PN343" s="9"/>
      <c r="PO343" s="9"/>
      <c r="PP343" s="9"/>
      <c r="PQ343" s="9"/>
      <c r="PR343" s="9"/>
      <c r="PS343" s="9"/>
      <c r="PT343" s="9"/>
      <c r="PU343" s="9"/>
      <c r="PV343" s="9"/>
      <c r="PW343" s="9"/>
      <c r="PX343" s="9"/>
      <c r="PY343" s="9"/>
      <c r="PZ343" s="9"/>
      <c r="QA343" s="9"/>
      <c r="QB343" s="9"/>
      <c r="QC343" s="9"/>
      <c r="QD343" s="9"/>
      <c r="QE343" s="9"/>
      <c r="QF343" s="9"/>
      <c r="QG343" s="9"/>
      <c r="QH343" s="9"/>
      <c r="QI343" s="9"/>
      <c r="QJ343" s="9"/>
      <c r="QK343" s="9"/>
      <c r="QL343" s="9"/>
      <c r="QM343" s="9"/>
      <c r="QN343" s="9"/>
      <c r="QO343" s="9"/>
      <c r="QP343" s="9"/>
      <c r="QQ343" s="67"/>
      <c r="QR343" s="68"/>
      <c r="QS343" s="63"/>
      <c r="QT343" s="71"/>
    </row>
    <row r="344" spans="1:462" s="11" customFormat="1" x14ac:dyDescent="0.2">
      <c r="A344" s="9">
        <v>20</v>
      </c>
      <c r="B344" s="9"/>
      <c r="C344" s="9"/>
      <c r="D344" s="9" t="s">
        <v>780</v>
      </c>
      <c r="E344" s="65" t="s">
        <v>793</v>
      </c>
      <c r="F344" s="65"/>
      <c r="G344" s="92" t="s">
        <v>2448</v>
      </c>
      <c r="H344" s="66" t="s">
        <v>1353</v>
      </c>
      <c r="I344" s="9" t="s">
        <v>1101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  <c r="FI344" s="9"/>
      <c r="FJ344" s="9"/>
      <c r="FK344" s="9"/>
      <c r="FL344" s="9"/>
      <c r="FM344" s="9"/>
      <c r="FN344" s="9"/>
      <c r="FO344" s="9"/>
      <c r="FP344" s="9"/>
      <c r="FQ344" s="9"/>
      <c r="FR344" s="9"/>
      <c r="FS344" s="9"/>
      <c r="FT344" s="9"/>
      <c r="FU344" s="9"/>
      <c r="FV344" s="9"/>
      <c r="FW344" s="9"/>
      <c r="FX344" s="9"/>
      <c r="FY344" s="9"/>
      <c r="FZ344" s="9"/>
      <c r="GA344" s="9"/>
      <c r="GB344" s="9"/>
      <c r="GC344" s="9"/>
      <c r="GD344" s="9"/>
      <c r="GE344" s="9"/>
      <c r="GF344" s="9"/>
      <c r="GG344" s="9"/>
      <c r="GH344" s="9"/>
      <c r="GI344" s="9"/>
      <c r="GJ344" s="9"/>
      <c r="GK344" s="9"/>
      <c r="GL344" s="9"/>
      <c r="GM344" s="9"/>
      <c r="GN344" s="9"/>
      <c r="GO344" s="9"/>
      <c r="GP344" s="9"/>
      <c r="GQ344" s="9"/>
      <c r="GR344" s="9"/>
      <c r="GS344" s="9"/>
      <c r="GT344" s="9"/>
      <c r="GU344" s="9"/>
      <c r="GV344" s="9"/>
      <c r="GW344" s="9"/>
      <c r="GX344" s="9"/>
      <c r="GY344" s="9"/>
      <c r="GZ344" s="9"/>
      <c r="HA344" s="9"/>
      <c r="HB344" s="9"/>
      <c r="HC344" s="9"/>
      <c r="HD344" s="9"/>
      <c r="HE344" s="9"/>
      <c r="HF344" s="9"/>
      <c r="HG344" s="9"/>
      <c r="HH344" s="9"/>
      <c r="HI344" s="9"/>
      <c r="HJ344" s="9"/>
      <c r="HK344" s="9"/>
      <c r="HL344" s="9"/>
      <c r="HM344" s="9"/>
      <c r="HN344" s="9"/>
      <c r="HO344" s="9"/>
      <c r="HP344" s="9"/>
      <c r="HQ344" s="9"/>
      <c r="HR344" s="9"/>
      <c r="HS344" s="9"/>
      <c r="HT344" s="9"/>
      <c r="HU344" s="9"/>
      <c r="HV344" s="9"/>
      <c r="HW344" s="9"/>
      <c r="HX344" s="9"/>
      <c r="HY344" s="9"/>
      <c r="HZ344" s="9"/>
      <c r="IA344" s="9"/>
      <c r="IB344" s="9"/>
      <c r="IC344" s="9"/>
      <c r="ID344" s="9"/>
      <c r="IE344" s="9"/>
      <c r="IF344" s="9"/>
      <c r="IG344" s="9"/>
      <c r="IH344" s="9"/>
      <c r="II344" s="9"/>
      <c r="IJ344" s="9"/>
      <c r="IK344" s="9"/>
      <c r="IL344" s="9"/>
      <c r="IM344" s="9"/>
      <c r="IN344" s="9"/>
      <c r="IO344" s="9"/>
      <c r="IP344" s="9"/>
      <c r="IQ344" s="9"/>
      <c r="IR344" s="9"/>
      <c r="IS344" s="9"/>
      <c r="IT344" s="9"/>
      <c r="IU344" s="9"/>
      <c r="IV344" s="9"/>
      <c r="IW344" s="9"/>
      <c r="IX344" s="9"/>
      <c r="IY344" s="9"/>
      <c r="IZ344" s="9"/>
      <c r="JA344" s="9"/>
      <c r="JB344" s="9"/>
      <c r="JC344" s="9"/>
      <c r="JD344" s="9"/>
      <c r="JE344" s="9"/>
      <c r="JF344" s="9"/>
      <c r="JG344" s="9"/>
      <c r="JH344" s="9"/>
      <c r="JI344" s="9"/>
      <c r="JJ344" s="9"/>
      <c r="JK344" s="9"/>
      <c r="JL344" s="9"/>
      <c r="JM344" s="9"/>
      <c r="JN344" s="9"/>
      <c r="JO344" s="9"/>
      <c r="JP344" s="9"/>
      <c r="JQ344" s="9"/>
      <c r="JR344" s="9"/>
      <c r="JS344" s="9"/>
      <c r="JT344" s="9"/>
      <c r="JU344" s="9"/>
      <c r="JV344" s="9"/>
      <c r="JW344" s="9"/>
      <c r="JX344" s="9"/>
      <c r="JY344" s="9"/>
      <c r="JZ344" s="9"/>
      <c r="KA344" s="9"/>
      <c r="KB344" s="9"/>
      <c r="KC344" s="9"/>
      <c r="KD344" s="9"/>
      <c r="KE344" s="9"/>
      <c r="KF344" s="9"/>
      <c r="KG344" s="9"/>
      <c r="KH344" s="9"/>
      <c r="KI344" s="9"/>
      <c r="KJ344" s="9"/>
      <c r="KK344" s="9"/>
      <c r="KL344" s="9"/>
      <c r="KM344" s="9"/>
      <c r="KN344" s="9"/>
      <c r="KO344" s="9"/>
      <c r="KP344" s="9"/>
      <c r="KQ344" s="9"/>
      <c r="KR344" s="9"/>
      <c r="KS344" s="9"/>
      <c r="KT344" s="9"/>
      <c r="KU344" s="9"/>
      <c r="KV344" s="9"/>
      <c r="KW344" s="9"/>
      <c r="KX344" s="9"/>
      <c r="KY344" s="9"/>
      <c r="KZ344" s="9"/>
      <c r="LA344" s="9"/>
      <c r="LB344" s="9"/>
      <c r="LC344" s="9"/>
      <c r="LD344" s="9"/>
      <c r="LE344" s="9"/>
      <c r="LF344" s="9"/>
      <c r="LG344" s="9"/>
      <c r="LH344" s="9"/>
      <c r="LI344" s="9"/>
      <c r="LJ344" s="9"/>
      <c r="LK344" s="9"/>
      <c r="LL344" s="9"/>
      <c r="LM344" s="9"/>
      <c r="LN344" s="9"/>
      <c r="LO344" s="9"/>
      <c r="LP344" s="9"/>
      <c r="LQ344" s="9"/>
      <c r="LR344" s="9"/>
      <c r="LS344" s="9"/>
      <c r="LT344" s="9"/>
      <c r="LU344" s="9"/>
      <c r="LV344" s="9"/>
      <c r="LW344" s="9"/>
      <c r="LX344" s="9"/>
      <c r="LY344" s="9"/>
      <c r="LZ344" s="9"/>
      <c r="MA344" s="9"/>
      <c r="MB344" s="9"/>
      <c r="MC344" s="9"/>
      <c r="MD344" s="9"/>
      <c r="ME344" s="9"/>
      <c r="MF344" s="9"/>
      <c r="MG344" s="9"/>
      <c r="MH344" s="9"/>
      <c r="MI344" s="9"/>
      <c r="MJ344" s="9"/>
      <c r="MK344" s="9"/>
      <c r="ML344" s="9"/>
      <c r="MM344" s="9"/>
      <c r="MN344" s="9"/>
      <c r="MO344" s="9"/>
      <c r="MP344" s="9"/>
      <c r="MQ344" s="9"/>
      <c r="MR344" s="9"/>
      <c r="MS344" s="9"/>
      <c r="MT344" s="9"/>
      <c r="MU344" s="9"/>
      <c r="MV344" s="9"/>
      <c r="MW344" s="9"/>
      <c r="MX344" s="9"/>
      <c r="MY344" s="9"/>
      <c r="MZ344" s="9"/>
      <c r="NA344" s="9"/>
      <c r="NB344" s="9"/>
      <c r="NC344" s="9"/>
      <c r="ND344" s="9"/>
      <c r="NE344" s="9"/>
      <c r="NF344" s="9"/>
      <c r="NG344" s="9"/>
      <c r="NH344" s="9"/>
      <c r="NI344" s="9"/>
      <c r="NJ344" s="9"/>
      <c r="NK344" s="9"/>
      <c r="NL344" s="9"/>
      <c r="NM344" s="9"/>
      <c r="NN344" s="9"/>
      <c r="NO344" s="9"/>
      <c r="NP344" s="9"/>
      <c r="NQ344" s="9"/>
      <c r="NR344" s="9"/>
      <c r="NS344" s="9"/>
      <c r="NT344" s="9"/>
      <c r="NU344" s="9"/>
      <c r="NV344" s="9"/>
      <c r="NW344" s="9"/>
      <c r="NX344" s="9"/>
      <c r="NY344" s="9"/>
      <c r="NZ344" s="9"/>
      <c r="OA344" s="9" t="s">
        <v>1101</v>
      </c>
      <c r="OB344" s="9"/>
      <c r="OC344" s="9" t="s">
        <v>1101</v>
      </c>
      <c r="OD344" s="9"/>
      <c r="OE344" s="9"/>
      <c r="OF344" s="9"/>
      <c r="OG344" s="9"/>
      <c r="OH344" s="9"/>
      <c r="OI344" s="9"/>
      <c r="OJ344" s="9"/>
      <c r="OK344" s="9"/>
      <c r="OL344" s="9"/>
      <c r="OM344" s="9"/>
      <c r="ON344" s="9"/>
      <c r="OO344" s="9"/>
      <c r="OP344" s="9"/>
      <c r="OQ344" s="9"/>
      <c r="OR344" s="9"/>
      <c r="OS344" s="9"/>
      <c r="OT344" s="9"/>
      <c r="OU344" s="9"/>
      <c r="OV344" s="9"/>
      <c r="OW344" s="9"/>
      <c r="OX344" s="9"/>
      <c r="OY344" s="9"/>
      <c r="OZ344" s="9"/>
      <c r="PA344" s="9"/>
      <c r="PB344" s="9"/>
      <c r="PC344" s="9"/>
      <c r="PD344" s="9"/>
      <c r="PE344" s="9"/>
      <c r="PF344" s="9"/>
      <c r="PG344" s="9"/>
      <c r="PH344" s="9"/>
      <c r="PI344" s="9"/>
      <c r="PJ344" s="9"/>
      <c r="PK344" s="9"/>
      <c r="PL344" s="9"/>
      <c r="PM344" s="9"/>
      <c r="PN344" s="9"/>
      <c r="PO344" s="9"/>
      <c r="PP344" s="9"/>
      <c r="PQ344" s="9"/>
      <c r="PR344" s="9"/>
      <c r="PS344" s="9"/>
      <c r="PT344" s="9"/>
      <c r="PU344" s="9"/>
      <c r="PV344" s="9"/>
      <c r="PW344" s="9"/>
      <c r="PX344" s="9"/>
      <c r="PY344" s="9"/>
      <c r="PZ344" s="9"/>
      <c r="QA344" s="9"/>
      <c r="QB344" s="9"/>
      <c r="QC344" s="9"/>
      <c r="QD344" s="9"/>
      <c r="QE344" s="9"/>
      <c r="QF344" s="9"/>
      <c r="QG344" s="9"/>
      <c r="QH344" s="9"/>
      <c r="QI344" s="9"/>
      <c r="QJ344" s="9"/>
      <c r="QK344" s="9"/>
      <c r="QL344" s="9"/>
      <c r="QM344" s="9"/>
      <c r="QN344" s="9"/>
      <c r="QO344" s="9"/>
      <c r="QP344" s="9"/>
      <c r="QQ344" s="67"/>
      <c r="QR344" s="68"/>
      <c r="QS344" s="63"/>
      <c r="QT344" s="71"/>
    </row>
    <row r="345" spans="1:462" s="11" customFormat="1" x14ac:dyDescent="0.2">
      <c r="A345" s="9">
        <v>20</v>
      </c>
      <c r="B345" s="9"/>
      <c r="C345" s="9"/>
      <c r="D345" s="9" t="s">
        <v>784</v>
      </c>
      <c r="E345" s="65" t="s">
        <v>796</v>
      </c>
      <c r="F345" s="65"/>
      <c r="G345" s="92" t="s">
        <v>2452</v>
      </c>
      <c r="H345" s="66" t="s">
        <v>1357</v>
      </c>
      <c r="I345" s="9" t="s">
        <v>1101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  <c r="EN345" s="9"/>
      <c r="EO345" s="9"/>
      <c r="EP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  <c r="FI345" s="9"/>
      <c r="FJ345" s="9"/>
      <c r="FK345" s="9"/>
      <c r="FL345" s="9"/>
      <c r="FM345" s="9"/>
      <c r="FN345" s="9"/>
      <c r="FO345" s="9"/>
      <c r="FP345" s="9"/>
      <c r="FQ345" s="9"/>
      <c r="FR345" s="9"/>
      <c r="FS345" s="9"/>
      <c r="FT345" s="9"/>
      <c r="FU345" s="9"/>
      <c r="FV345" s="9"/>
      <c r="FW345" s="9"/>
      <c r="FX345" s="9"/>
      <c r="FY345" s="9"/>
      <c r="FZ345" s="9"/>
      <c r="GA345" s="9"/>
      <c r="GB345" s="9"/>
      <c r="GC345" s="9"/>
      <c r="GD345" s="9"/>
      <c r="GE345" s="9"/>
      <c r="GF345" s="9"/>
      <c r="GG345" s="9"/>
      <c r="GH345" s="9"/>
      <c r="GI345" s="9"/>
      <c r="GJ345" s="9"/>
      <c r="GK345" s="9"/>
      <c r="GL345" s="9"/>
      <c r="GM345" s="9"/>
      <c r="GN345" s="9"/>
      <c r="GO345" s="9"/>
      <c r="GP345" s="9"/>
      <c r="GQ345" s="9"/>
      <c r="GR345" s="9"/>
      <c r="GS345" s="9"/>
      <c r="GT345" s="9"/>
      <c r="GU345" s="9"/>
      <c r="GV345" s="9"/>
      <c r="GW345" s="9"/>
      <c r="GX345" s="9"/>
      <c r="GY345" s="9"/>
      <c r="GZ345" s="9"/>
      <c r="HA345" s="9"/>
      <c r="HB345" s="9"/>
      <c r="HC345" s="9"/>
      <c r="HD345" s="9"/>
      <c r="HE345" s="9"/>
      <c r="HF345" s="9"/>
      <c r="HG345" s="9"/>
      <c r="HH345" s="9"/>
      <c r="HI345" s="9"/>
      <c r="HJ345" s="9"/>
      <c r="HK345" s="9"/>
      <c r="HL345" s="9"/>
      <c r="HM345" s="9"/>
      <c r="HN345" s="9"/>
      <c r="HO345" s="9"/>
      <c r="HP345" s="9"/>
      <c r="HQ345" s="9"/>
      <c r="HR345" s="9"/>
      <c r="HS345" s="9"/>
      <c r="HT345" s="9"/>
      <c r="HU345" s="9"/>
      <c r="HV345" s="9"/>
      <c r="HW345" s="9"/>
      <c r="HX345" s="9"/>
      <c r="HY345" s="9"/>
      <c r="HZ345" s="9"/>
      <c r="IA345" s="9"/>
      <c r="IB345" s="9"/>
      <c r="IC345" s="9"/>
      <c r="ID345" s="9"/>
      <c r="IE345" s="9"/>
      <c r="IF345" s="9"/>
      <c r="IG345" s="9"/>
      <c r="IH345" s="9"/>
      <c r="II345" s="9"/>
      <c r="IJ345" s="9"/>
      <c r="IK345" s="9"/>
      <c r="IL345" s="9"/>
      <c r="IM345" s="9"/>
      <c r="IN345" s="9"/>
      <c r="IO345" s="9"/>
      <c r="IP345" s="9"/>
      <c r="IQ345" s="9"/>
      <c r="IR345" s="9"/>
      <c r="IS345" s="9"/>
      <c r="IT345" s="9"/>
      <c r="IU345" s="9"/>
      <c r="IV345" s="9"/>
      <c r="IW345" s="9"/>
      <c r="IX345" s="9"/>
      <c r="IY345" s="9"/>
      <c r="IZ345" s="9"/>
      <c r="JA345" s="9"/>
      <c r="JB345" s="9"/>
      <c r="JC345" s="9"/>
      <c r="JD345" s="9"/>
      <c r="JE345" s="9"/>
      <c r="JF345" s="9"/>
      <c r="JG345" s="9"/>
      <c r="JH345" s="9"/>
      <c r="JI345" s="9"/>
      <c r="JJ345" s="9"/>
      <c r="JK345" s="9"/>
      <c r="JL345" s="9"/>
      <c r="JM345" s="9"/>
      <c r="JN345" s="9"/>
      <c r="JO345" s="9"/>
      <c r="JP345" s="9"/>
      <c r="JQ345" s="9"/>
      <c r="JR345" s="9"/>
      <c r="JS345" s="9"/>
      <c r="JT345" s="9"/>
      <c r="JU345" s="9"/>
      <c r="JV345" s="9"/>
      <c r="JW345" s="9"/>
      <c r="JX345" s="9"/>
      <c r="JY345" s="9"/>
      <c r="JZ345" s="9"/>
      <c r="KA345" s="9"/>
      <c r="KB345" s="9"/>
      <c r="KC345" s="9"/>
      <c r="KD345" s="9"/>
      <c r="KE345" s="9"/>
      <c r="KF345" s="9"/>
      <c r="KG345" s="9"/>
      <c r="KH345" s="9"/>
      <c r="KI345" s="9"/>
      <c r="KJ345" s="9"/>
      <c r="KK345" s="9"/>
      <c r="KL345" s="9"/>
      <c r="KM345" s="9"/>
      <c r="KN345" s="9"/>
      <c r="KO345" s="9"/>
      <c r="KP345" s="9"/>
      <c r="KQ345" s="9"/>
      <c r="KR345" s="9"/>
      <c r="KS345" s="9"/>
      <c r="KT345" s="9"/>
      <c r="KU345" s="9"/>
      <c r="KV345" s="9"/>
      <c r="KW345" s="9"/>
      <c r="KX345" s="9"/>
      <c r="KY345" s="9"/>
      <c r="KZ345" s="9"/>
      <c r="LA345" s="9"/>
      <c r="LB345" s="9"/>
      <c r="LC345" s="9"/>
      <c r="LD345" s="9"/>
      <c r="LE345" s="9"/>
      <c r="LF345" s="9"/>
      <c r="LG345" s="9"/>
      <c r="LH345" s="9"/>
      <c r="LI345" s="9"/>
      <c r="LJ345" s="9"/>
      <c r="LK345" s="9"/>
      <c r="LL345" s="9"/>
      <c r="LM345" s="9"/>
      <c r="LN345" s="9"/>
      <c r="LO345" s="9"/>
      <c r="LP345" s="9"/>
      <c r="LQ345" s="9"/>
      <c r="LR345" s="9"/>
      <c r="LS345" s="9"/>
      <c r="LT345" s="9"/>
      <c r="LU345" s="9"/>
      <c r="LV345" s="9"/>
      <c r="LW345" s="9"/>
      <c r="LX345" s="9"/>
      <c r="LY345" s="9"/>
      <c r="LZ345" s="9"/>
      <c r="MA345" s="9"/>
      <c r="MB345" s="9"/>
      <c r="MC345" s="9"/>
      <c r="MD345" s="9"/>
      <c r="ME345" s="9"/>
      <c r="MF345" s="9"/>
      <c r="MG345" s="9"/>
      <c r="MH345" s="9"/>
      <c r="MI345" s="9"/>
      <c r="MJ345" s="9"/>
      <c r="MK345" s="9"/>
      <c r="ML345" s="9"/>
      <c r="MM345" s="9"/>
      <c r="MN345" s="9"/>
      <c r="MO345" s="9"/>
      <c r="MP345" s="9"/>
      <c r="MQ345" s="9"/>
      <c r="MR345" s="9"/>
      <c r="MS345" s="9"/>
      <c r="MT345" s="9"/>
      <c r="MU345" s="9"/>
      <c r="MV345" s="9"/>
      <c r="MW345" s="9"/>
      <c r="MX345" s="9"/>
      <c r="MY345" s="9"/>
      <c r="MZ345" s="9"/>
      <c r="NA345" s="9"/>
      <c r="NB345" s="9"/>
      <c r="NC345" s="9"/>
      <c r="ND345" s="9"/>
      <c r="NE345" s="9"/>
      <c r="NF345" s="9"/>
      <c r="NG345" s="9"/>
      <c r="NH345" s="9"/>
      <c r="NI345" s="9"/>
      <c r="NJ345" s="9"/>
      <c r="NK345" s="9"/>
      <c r="NL345" s="9"/>
      <c r="NM345" s="9"/>
      <c r="NN345" s="9"/>
      <c r="NO345" s="9"/>
      <c r="NP345" s="9"/>
      <c r="NQ345" s="9"/>
      <c r="NR345" s="9"/>
      <c r="NS345" s="9"/>
      <c r="NT345" s="9"/>
      <c r="NU345" s="9"/>
      <c r="NV345" s="9"/>
      <c r="NW345" s="9"/>
      <c r="NX345" s="9"/>
      <c r="NY345" s="9"/>
      <c r="NZ345" s="9"/>
      <c r="OA345" s="9"/>
      <c r="OB345" s="9"/>
      <c r="OC345" s="9"/>
      <c r="OD345" s="9"/>
      <c r="OE345" s="9"/>
      <c r="OF345" s="9"/>
      <c r="OG345" s="9"/>
      <c r="OH345" s="9"/>
      <c r="OI345" s="9" t="s">
        <v>1101</v>
      </c>
      <c r="OJ345" s="9"/>
      <c r="OK345" s="9" t="s">
        <v>1101</v>
      </c>
      <c r="OL345" s="9"/>
      <c r="OM345" s="9"/>
      <c r="ON345" s="9"/>
      <c r="OO345" s="9"/>
      <c r="OP345" s="9"/>
      <c r="OQ345" s="9"/>
      <c r="OR345" s="9"/>
      <c r="OS345" s="9"/>
      <c r="OT345" s="9"/>
      <c r="OU345" s="9"/>
      <c r="OV345" s="9"/>
      <c r="OW345" s="9"/>
      <c r="OX345" s="9"/>
      <c r="OY345" s="9"/>
      <c r="OZ345" s="9"/>
      <c r="PA345" s="9"/>
      <c r="PB345" s="9"/>
      <c r="PC345" s="9"/>
      <c r="PD345" s="9"/>
      <c r="PE345" s="9"/>
      <c r="PF345" s="9"/>
      <c r="PG345" s="9"/>
      <c r="PH345" s="9"/>
      <c r="PI345" s="9"/>
      <c r="PJ345" s="9"/>
      <c r="PK345" s="9"/>
      <c r="PL345" s="9"/>
      <c r="PM345" s="9"/>
      <c r="PN345" s="9"/>
      <c r="PO345" s="9"/>
      <c r="PP345" s="9"/>
      <c r="PQ345" s="9"/>
      <c r="PR345" s="9"/>
      <c r="PS345" s="9"/>
      <c r="PT345" s="9"/>
      <c r="PU345" s="9"/>
      <c r="PV345" s="9"/>
      <c r="PW345" s="9"/>
      <c r="PX345" s="9"/>
      <c r="PY345" s="9"/>
      <c r="PZ345" s="9"/>
      <c r="QA345" s="9"/>
      <c r="QB345" s="9"/>
      <c r="QC345" s="9"/>
      <c r="QD345" s="9"/>
      <c r="QE345" s="9"/>
      <c r="QF345" s="9"/>
      <c r="QG345" s="9"/>
      <c r="QH345" s="9"/>
      <c r="QI345" s="9"/>
      <c r="QJ345" s="9"/>
      <c r="QK345" s="9"/>
      <c r="QL345" s="9"/>
      <c r="QM345" s="9"/>
      <c r="QN345" s="9"/>
      <c r="QO345" s="9"/>
      <c r="QP345" s="9"/>
      <c r="QQ345" s="67"/>
      <c r="QR345" s="68"/>
      <c r="QS345" s="63"/>
      <c r="QT345" s="71"/>
    </row>
    <row r="346" spans="1:462" s="11" customFormat="1" x14ac:dyDescent="0.2">
      <c r="A346" s="9">
        <v>20</v>
      </c>
      <c r="B346" s="9"/>
      <c r="C346" s="9"/>
      <c r="D346" s="9" t="s">
        <v>787</v>
      </c>
      <c r="E346" s="65" t="s">
        <v>798</v>
      </c>
      <c r="F346" s="65"/>
      <c r="G346" s="92" t="s">
        <v>2455</v>
      </c>
      <c r="H346" s="66" t="s">
        <v>1360</v>
      </c>
      <c r="I346" s="9" t="s">
        <v>1101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  <c r="EN346" s="9"/>
      <c r="EO346" s="9"/>
      <c r="EP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  <c r="FI346" s="9"/>
      <c r="FJ346" s="9"/>
      <c r="FK346" s="9"/>
      <c r="FL346" s="9"/>
      <c r="FM346" s="9"/>
      <c r="FN346" s="9"/>
      <c r="FO346" s="9"/>
      <c r="FP346" s="9"/>
      <c r="FQ346" s="9"/>
      <c r="FR346" s="9"/>
      <c r="FS346" s="9"/>
      <c r="FT346" s="9"/>
      <c r="FU346" s="9"/>
      <c r="FV346" s="9"/>
      <c r="FW346" s="9"/>
      <c r="FX346" s="9"/>
      <c r="FY346" s="9"/>
      <c r="FZ346" s="9"/>
      <c r="GA346" s="9"/>
      <c r="GB346" s="9"/>
      <c r="GC346" s="9"/>
      <c r="GD346" s="9"/>
      <c r="GE346" s="9"/>
      <c r="GF346" s="9"/>
      <c r="GG346" s="9"/>
      <c r="GH346" s="9"/>
      <c r="GI346" s="9"/>
      <c r="GJ346" s="9"/>
      <c r="GK346" s="9"/>
      <c r="GL346" s="9"/>
      <c r="GM346" s="9"/>
      <c r="GN346" s="9"/>
      <c r="GO346" s="9"/>
      <c r="GP346" s="9"/>
      <c r="GQ346" s="9"/>
      <c r="GR346" s="9"/>
      <c r="GS346" s="9"/>
      <c r="GT346" s="9"/>
      <c r="GU346" s="9"/>
      <c r="GV346" s="9"/>
      <c r="GW346" s="9"/>
      <c r="GX346" s="9"/>
      <c r="GY346" s="9"/>
      <c r="GZ346" s="9"/>
      <c r="HA346" s="9"/>
      <c r="HB346" s="9"/>
      <c r="HC346" s="9"/>
      <c r="HD346" s="9"/>
      <c r="HE346" s="9"/>
      <c r="HF346" s="9"/>
      <c r="HG346" s="9"/>
      <c r="HH346" s="9"/>
      <c r="HI346" s="9"/>
      <c r="HJ346" s="9"/>
      <c r="HK346" s="9"/>
      <c r="HL346" s="9"/>
      <c r="HM346" s="9"/>
      <c r="HN346" s="9"/>
      <c r="HO346" s="9"/>
      <c r="HP346" s="9"/>
      <c r="HQ346" s="9"/>
      <c r="HR346" s="9"/>
      <c r="HS346" s="9"/>
      <c r="HT346" s="9"/>
      <c r="HU346" s="9"/>
      <c r="HV346" s="9"/>
      <c r="HW346" s="9"/>
      <c r="HX346" s="9"/>
      <c r="HY346" s="9"/>
      <c r="HZ346" s="9"/>
      <c r="IA346" s="9"/>
      <c r="IB346" s="9"/>
      <c r="IC346" s="9"/>
      <c r="ID346" s="9"/>
      <c r="IE346" s="9"/>
      <c r="IF346" s="9"/>
      <c r="IG346" s="9"/>
      <c r="IH346" s="9"/>
      <c r="II346" s="9"/>
      <c r="IJ346" s="9"/>
      <c r="IK346" s="9"/>
      <c r="IL346" s="9"/>
      <c r="IM346" s="9"/>
      <c r="IN346" s="9"/>
      <c r="IO346" s="9"/>
      <c r="IP346" s="9"/>
      <c r="IQ346" s="9"/>
      <c r="IR346" s="9"/>
      <c r="IS346" s="9"/>
      <c r="IT346" s="9"/>
      <c r="IU346" s="9"/>
      <c r="IV346" s="9"/>
      <c r="IW346" s="9"/>
      <c r="IX346" s="9"/>
      <c r="IY346" s="9"/>
      <c r="IZ346" s="9"/>
      <c r="JA346" s="9"/>
      <c r="JB346" s="9"/>
      <c r="JC346" s="9"/>
      <c r="JD346" s="9"/>
      <c r="JE346" s="9"/>
      <c r="JF346" s="9"/>
      <c r="JG346" s="9"/>
      <c r="JH346" s="9"/>
      <c r="JI346" s="9"/>
      <c r="JJ346" s="9"/>
      <c r="JK346" s="9"/>
      <c r="JL346" s="9"/>
      <c r="JM346" s="9"/>
      <c r="JN346" s="9"/>
      <c r="JO346" s="9"/>
      <c r="JP346" s="9"/>
      <c r="JQ346" s="9"/>
      <c r="JR346" s="9"/>
      <c r="JS346" s="9"/>
      <c r="JT346" s="9"/>
      <c r="JU346" s="9"/>
      <c r="JV346" s="9"/>
      <c r="JW346" s="9"/>
      <c r="JX346" s="9"/>
      <c r="JY346" s="9"/>
      <c r="JZ346" s="9"/>
      <c r="KA346" s="9"/>
      <c r="KB346" s="9"/>
      <c r="KC346" s="9"/>
      <c r="KD346" s="9"/>
      <c r="KE346" s="9"/>
      <c r="KF346" s="9"/>
      <c r="KG346" s="9"/>
      <c r="KH346" s="9"/>
      <c r="KI346" s="9"/>
      <c r="KJ346" s="9"/>
      <c r="KK346" s="9"/>
      <c r="KL346" s="9"/>
      <c r="KM346" s="9"/>
      <c r="KN346" s="9"/>
      <c r="KO346" s="9"/>
      <c r="KP346" s="9"/>
      <c r="KQ346" s="9"/>
      <c r="KR346" s="9"/>
      <c r="KS346" s="9"/>
      <c r="KT346" s="9"/>
      <c r="KU346" s="9"/>
      <c r="KV346" s="9"/>
      <c r="KW346" s="9"/>
      <c r="KX346" s="9"/>
      <c r="KY346" s="9"/>
      <c r="KZ346" s="9"/>
      <c r="LA346" s="9"/>
      <c r="LB346" s="9"/>
      <c r="LC346" s="9"/>
      <c r="LD346" s="9"/>
      <c r="LE346" s="9"/>
      <c r="LF346" s="9"/>
      <c r="LG346" s="9"/>
      <c r="LH346" s="9"/>
      <c r="LI346" s="9"/>
      <c r="LJ346" s="9"/>
      <c r="LK346" s="9"/>
      <c r="LL346" s="9"/>
      <c r="LM346" s="9"/>
      <c r="LN346" s="9"/>
      <c r="LO346" s="9"/>
      <c r="LP346" s="9"/>
      <c r="LQ346" s="9"/>
      <c r="LR346" s="9"/>
      <c r="LS346" s="9"/>
      <c r="LT346" s="9"/>
      <c r="LU346" s="9"/>
      <c r="LV346" s="9"/>
      <c r="LW346" s="9"/>
      <c r="LX346" s="9"/>
      <c r="LY346" s="9"/>
      <c r="LZ346" s="9"/>
      <c r="MA346" s="9"/>
      <c r="MB346" s="9"/>
      <c r="MC346" s="9"/>
      <c r="MD346" s="9"/>
      <c r="ME346" s="9"/>
      <c r="MF346" s="9"/>
      <c r="MG346" s="9"/>
      <c r="MH346" s="9"/>
      <c r="MI346" s="9"/>
      <c r="MJ346" s="9"/>
      <c r="MK346" s="9"/>
      <c r="ML346" s="9"/>
      <c r="MM346" s="9"/>
      <c r="MN346" s="9"/>
      <c r="MO346" s="9"/>
      <c r="MP346" s="9"/>
      <c r="MQ346" s="9"/>
      <c r="MR346" s="9"/>
      <c r="MS346" s="9"/>
      <c r="MT346" s="9"/>
      <c r="MU346" s="9"/>
      <c r="MV346" s="9"/>
      <c r="MW346" s="9"/>
      <c r="MX346" s="9"/>
      <c r="MY346" s="9"/>
      <c r="MZ346" s="9"/>
      <c r="NA346" s="9"/>
      <c r="NB346" s="9"/>
      <c r="NC346" s="9"/>
      <c r="ND346" s="9"/>
      <c r="NE346" s="9"/>
      <c r="NF346" s="9"/>
      <c r="NG346" s="9"/>
      <c r="NH346" s="9"/>
      <c r="NI346" s="9"/>
      <c r="NJ346" s="9"/>
      <c r="NK346" s="9"/>
      <c r="NL346" s="9"/>
      <c r="NM346" s="9"/>
      <c r="NN346" s="9"/>
      <c r="NO346" s="9"/>
      <c r="NP346" s="9"/>
      <c r="NQ346" s="9"/>
      <c r="NR346" s="9"/>
      <c r="NS346" s="9"/>
      <c r="NT346" s="9"/>
      <c r="NU346" s="9"/>
      <c r="NV346" s="9"/>
      <c r="NW346" s="9"/>
      <c r="NX346" s="9"/>
      <c r="NY346" s="9"/>
      <c r="NZ346" s="9"/>
      <c r="OA346" s="9"/>
      <c r="OB346" s="9"/>
      <c r="OC346" s="9"/>
      <c r="OD346" s="9"/>
      <c r="OE346" s="9"/>
      <c r="OF346" s="9"/>
      <c r="OG346" s="9"/>
      <c r="OH346" s="9"/>
      <c r="OI346" s="9"/>
      <c r="OJ346" s="9"/>
      <c r="OK346" s="9"/>
      <c r="OL346" s="9"/>
      <c r="OM346" s="9"/>
      <c r="ON346" s="9"/>
      <c r="OO346" s="9"/>
      <c r="OP346" s="9"/>
      <c r="OQ346" s="9" t="s">
        <v>1101</v>
      </c>
      <c r="OR346" s="9"/>
      <c r="OS346" s="9" t="s">
        <v>1101</v>
      </c>
      <c r="OT346" s="9"/>
      <c r="OU346" s="9"/>
      <c r="OV346" s="9"/>
      <c r="OW346" s="9"/>
      <c r="OX346" s="9"/>
      <c r="OY346" s="9"/>
      <c r="OZ346" s="9"/>
      <c r="PA346" s="9"/>
      <c r="PB346" s="9"/>
      <c r="PC346" s="9"/>
      <c r="PD346" s="9"/>
      <c r="PE346" s="9"/>
      <c r="PF346" s="9"/>
      <c r="PG346" s="9"/>
      <c r="PH346" s="9"/>
      <c r="PI346" s="9"/>
      <c r="PJ346" s="9"/>
      <c r="PK346" s="9"/>
      <c r="PL346" s="9"/>
      <c r="PM346" s="9"/>
      <c r="PN346" s="9"/>
      <c r="PO346" s="9"/>
      <c r="PP346" s="9"/>
      <c r="PQ346" s="9"/>
      <c r="PR346" s="9"/>
      <c r="PS346" s="9"/>
      <c r="PT346" s="9"/>
      <c r="PU346" s="9"/>
      <c r="PV346" s="9"/>
      <c r="PW346" s="9"/>
      <c r="PX346" s="9"/>
      <c r="PY346" s="9"/>
      <c r="PZ346" s="9"/>
      <c r="QA346" s="9"/>
      <c r="QB346" s="9"/>
      <c r="QC346" s="9"/>
      <c r="QD346" s="9"/>
      <c r="QE346" s="9"/>
      <c r="QF346" s="9"/>
      <c r="QG346" s="9"/>
      <c r="QH346" s="9"/>
      <c r="QI346" s="9"/>
      <c r="QJ346" s="9"/>
      <c r="QK346" s="9"/>
      <c r="QL346" s="9"/>
      <c r="QM346" s="9"/>
      <c r="QN346" s="9"/>
      <c r="QO346" s="9"/>
      <c r="QP346" s="9"/>
      <c r="QQ346" s="67"/>
      <c r="QR346" s="68"/>
      <c r="QS346" s="63"/>
      <c r="QT346" s="71"/>
    </row>
    <row r="347" spans="1:462" s="11" customFormat="1" x14ac:dyDescent="0.2">
      <c r="A347" s="9">
        <v>20</v>
      </c>
      <c r="B347" s="9"/>
      <c r="C347" s="9"/>
      <c r="D347" s="9" t="s">
        <v>936</v>
      </c>
      <c r="E347" s="65" t="s">
        <v>937</v>
      </c>
      <c r="F347" s="65"/>
      <c r="G347" s="92" t="s">
        <v>2458</v>
      </c>
      <c r="H347" s="66" t="s">
        <v>1363</v>
      </c>
      <c r="I347" s="9" t="s">
        <v>1101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  <c r="EN347" s="9"/>
      <c r="EO347" s="9"/>
      <c r="EP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E347" s="9"/>
      <c r="FF347" s="9"/>
      <c r="FG347" s="9"/>
      <c r="FH347" s="9"/>
      <c r="FI347" s="9"/>
      <c r="FJ347" s="9"/>
      <c r="FK347" s="9"/>
      <c r="FL347" s="9"/>
      <c r="FM347" s="9"/>
      <c r="FN347" s="9"/>
      <c r="FO347" s="9"/>
      <c r="FP347" s="9"/>
      <c r="FQ347" s="9"/>
      <c r="FR347" s="9"/>
      <c r="FS347" s="9"/>
      <c r="FT347" s="9"/>
      <c r="FU347" s="9"/>
      <c r="FV347" s="9"/>
      <c r="FW347" s="9"/>
      <c r="FX347" s="9"/>
      <c r="FY347" s="9"/>
      <c r="FZ347" s="9"/>
      <c r="GA347" s="9"/>
      <c r="GB347" s="9"/>
      <c r="GC347" s="9"/>
      <c r="GD347" s="9"/>
      <c r="GE347" s="9"/>
      <c r="GF347" s="9"/>
      <c r="GG347" s="9"/>
      <c r="GH347" s="9"/>
      <c r="GI347" s="9"/>
      <c r="GJ347" s="9"/>
      <c r="GK347" s="9"/>
      <c r="GL347" s="9"/>
      <c r="GM347" s="9"/>
      <c r="GN347" s="9"/>
      <c r="GO347" s="9"/>
      <c r="GP347" s="9"/>
      <c r="GQ347" s="9"/>
      <c r="GR347" s="9"/>
      <c r="GS347" s="9"/>
      <c r="GT347" s="9"/>
      <c r="GU347" s="9"/>
      <c r="GV347" s="9"/>
      <c r="GW347" s="9"/>
      <c r="GX347" s="9"/>
      <c r="GY347" s="9"/>
      <c r="GZ347" s="9"/>
      <c r="HA347" s="9"/>
      <c r="HB347" s="9"/>
      <c r="HC347" s="9"/>
      <c r="HD347" s="9"/>
      <c r="HE347" s="9"/>
      <c r="HF347" s="9"/>
      <c r="HG347" s="9"/>
      <c r="HH347" s="9"/>
      <c r="HI347" s="9"/>
      <c r="HJ347" s="9"/>
      <c r="HK347" s="9"/>
      <c r="HL347" s="9"/>
      <c r="HM347" s="9"/>
      <c r="HN347" s="9"/>
      <c r="HO347" s="9"/>
      <c r="HP347" s="9"/>
      <c r="HQ347" s="9"/>
      <c r="HR347" s="9"/>
      <c r="HS347" s="9"/>
      <c r="HT347" s="9"/>
      <c r="HU347" s="9"/>
      <c r="HV347" s="9"/>
      <c r="HW347" s="9"/>
      <c r="HX347" s="9"/>
      <c r="HY347" s="9"/>
      <c r="HZ347" s="9"/>
      <c r="IA347" s="9"/>
      <c r="IB347" s="9"/>
      <c r="IC347" s="9"/>
      <c r="ID347" s="9"/>
      <c r="IE347" s="9"/>
      <c r="IF347" s="9"/>
      <c r="IG347" s="9"/>
      <c r="IH347" s="9"/>
      <c r="II347" s="9"/>
      <c r="IJ347" s="9"/>
      <c r="IK347" s="9"/>
      <c r="IL347" s="9"/>
      <c r="IM347" s="9"/>
      <c r="IN347" s="9"/>
      <c r="IO347" s="9"/>
      <c r="IP347" s="9"/>
      <c r="IQ347" s="9"/>
      <c r="IR347" s="9"/>
      <c r="IS347" s="9"/>
      <c r="IT347" s="9"/>
      <c r="IU347" s="9"/>
      <c r="IV347" s="9"/>
      <c r="IW347" s="9"/>
      <c r="IX347" s="9"/>
      <c r="IY347" s="9"/>
      <c r="IZ347" s="9"/>
      <c r="JA347" s="9"/>
      <c r="JB347" s="9"/>
      <c r="JC347" s="9"/>
      <c r="JD347" s="9"/>
      <c r="JE347" s="9"/>
      <c r="JF347" s="9"/>
      <c r="JG347" s="9"/>
      <c r="JH347" s="9"/>
      <c r="JI347" s="9"/>
      <c r="JJ347" s="9"/>
      <c r="JK347" s="9"/>
      <c r="JL347" s="9"/>
      <c r="JM347" s="9"/>
      <c r="JN347" s="9"/>
      <c r="JO347" s="9"/>
      <c r="JP347" s="9"/>
      <c r="JQ347" s="9"/>
      <c r="JR347" s="9"/>
      <c r="JS347" s="9"/>
      <c r="JT347" s="9"/>
      <c r="JU347" s="9"/>
      <c r="JV347" s="9"/>
      <c r="JW347" s="9"/>
      <c r="JX347" s="9"/>
      <c r="JY347" s="9"/>
      <c r="JZ347" s="9"/>
      <c r="KA347" s="9"/>
      <c r="KB347" s="9"/>
      <c r="KC347" s="9"/>
      <c r="KD347" s="9"/>
      <c r="KE347" s="9"/>
      <c r="KF347" s="9"/>
      <c r="KG347" s="9"/>
      <c r="KH347" s="9"/>
      <c r="KI347" s="9"/>
      <c r="KJ347" s="9"/>
      <c r="KK347" s="9"/>
      <c r="KL347" s="9"/>
      <c r="KM347" s="9"/>
      <c r="KN347" s="9"/>
      <c r="KO347" s="9"/>
      <c r="KP347" s="9"/>
      <c r="KQ347" s="9"/>
      <c r="KR347" s="9"/>
      <c r="KS347" s="9"/>
      <c r="KT347" s="9"/>
      <c r="KU347" s="9"/>
      <c r="KV347" s="9"/>
      <c r="KW347" s="9"/>
      <c r="KX347" s="9"/>
      <c r="KY347" s="9"/>
      <c r="KZ347" s="9"/>
      <c r="LA347" s="9"/>
      <c r="LB347" s="9"/>
      <c r="LC347" s="9"/>
      <c r="LD347" s="9"/>
      <c r="LE347" s="9"/>
      <c r="LF347" s="9"/>
      <c r="LG347" s="9"/>
      <c r="LH347" s="9"/>
      <c r="LI347" s="9"/>
      <c r="LJ347" s="9"/>
      <c r="LK347" s="9"/>
      <c r="LL347" s="9"/>
      <c r="LM347" s="9"/>
      <c r="LN347" s="9"/>
      <c r="LO347" s="9"/>
      <c r="LP347" s="9"/>
      <c r="LQ347" s="9"/>
      <c r="LR347" s="9"/>
      <c r="LS347" s="9"/>
      <c r="LT347" s="9"/>
      <c r="LU347" s="9"/>
      <c r="LV347" s="9"/>
      <c r="LW347" s="9"/>
      <c r="LX347" s="9"/>
      <c r="LY347" s="9"/>
      <c r="LZ347" s="9"/>
      <c r="MA347" s="9"/>
      <c r="MB347" s="9"/>
      <c r="MC347" s="9"/>
      <c r="MD347" s="9"/>
      <c r="ME347" s="9"/>
      <c r="MF347" s="9"/>
      <c r="MG347" s="9"/>
      <c r="MH347" s="9"/>
      <c r="MI347" s="9"/>
      <c r="MJ347" s="9"/>
      <c r="MK347" s="9"/>
      <c r="ML347" s="9"/>
      <c r="MM347" s="9"/>
      <c r="MN347" s="9"/>
      <c r="MO347" s="9"/>
      <c r="MP347" s="9"/>
      <c r="MQ347" s="9"/>
      <c r="MR347" s="9"/>
      <c r="MS347" s="9"/>
      <c r="MT347" s="9"/>
      <c r="MU347" s="9"/>
      <c r="MV347" s="9"/>
      <c r="MW347" s="9"/>
      <c r="MX347" s="9"/>
      <c r="MY347" s="9"/>
      <c r="MZ347" s="9"/>
      <c r="NA347" s="9"/>
      <c r="NB347" s="9"/>
      <c r="NC347" s="9"/>
      <c r="ND347" s="9"/>
      <c r="NE347" s="9"/>
      <c r="NF347" s="9"/>
      <c r="NG347" s="9"/>
      <c r="NH347" s="9"/>
      <c r="NI347" s="9"/>
      <c r="NJ347" s="9"/>
      <c r="NK347" s="9"/>
      <c r="NL347" s="9"/>
      <c r="NM347" s="9"/>
      <c r="NN347" s="9"/>
      <c r="NO347" s="9"/>
      <c r="NP347" s="9"/>
      <c r="NQ347" s="9"/>
      <c r="NR347" s="9"/>
      <c r="NS347" s="9"/>
      <c r="NT347" s="9"/>
      <c r="NU347" s="9"/>
      <c r="NV347" s="9"/>
      <c r="NW347" s="9"/>
      <c r="NX347" s="9"/>
      <c r="NY347" s="9"/>
      <c r="NZ347" s="9"/>
      <c r="OA347" s="9"/>
      <c r="OB347" s="9"/>
      <c r="OC347" s="9"/>
      <c r="OD347" s="9"/>
      <c r="OE347" s="9"/>
      <c r="OF347" s="9"/>
      <c r="OG347" s="9"/>
      <c r="OH347" s="9"/>
      <c r="OI347" s="9"/>
      <c r="OJ347" s="9"/>
      <c r="OK347" s="9"/>
      <c r="OL347" s="9"/>
      <c r="OM347" s="9"/>
      <c r="ON347" s="9"/>
      <c r="OO347" s="9"/>
      <c r="OP347" s="9"/>
      <c r="OQ347" s="9"/>
      <c r="OR347" s="9"/>
      <c r="OS347" s="9"/>
      <c r="OT347" s="9"/>
      <c r="OU347" s="9"/>
      <c r="OV347" s="9"/>
      <c r="OW347" s="9"/>
      <c r="OX347" s="9"/>
      <c r="OY347" s="9" t="s">
        <v>1101</v>
      </c>
      <c r="OZ347" s="9"/>
      <c r="PA347" s="9" t="s">
        <v>1101</v>
      </c>
      <c r="PB347" s="9"/>
      <c r="PC347" s="9"/>
      <c r="PD347" s="9"/>
      <c r="PE347" s="9"/>
      <c r="PF347" s="9"/>
      <c r="PG347" s="9"/>
      <c r="PH347" s="9"/>
      <c r="PI347" s="9"/>
      <c r="PJ347" s="9"/>
      <c r="PK347" s="9"/>
      <c r="PL347" s="9"/>
      <c r="PM347" s="9"/>
      <c r="PN347" s="9"/>
      <c r="PO347" s="9"/>
      <c r="PP347" s="9"/>
      <c r="PQ347" s="9"/>
      <c r="PR347" s="9"/>
      <c r="PS347" s="9"/>
      <c r="PT347" s="9"/>
      <c r="PU347" s="9"/>
      <c r="PV347" s="9"/>
      <c r="PW347" s="9"/>
      <c r="PX347" s="9"/>
      <c r="PY347" s="9"/>
      <c r="PZ347" s="9"/>
      <c r="QA347" s="9"/>
      <c r="QB347" s="9"/>
      <c r="QC347" s="9"/>
      <c r="QD347" s="9"/>
      <c r="QE347" s="9"/>
      <c r="QF347" s="9"/>
      <c r="QG347" s="9"/>
      <c r="QH347" s="9"/>
      <c r="QI347" s="9"/>
      <c r="QJ347" s="9"/>
      <c r="QK347" s="9"/>
      <c r="QL347" s="9"/>
      <c r="QM347" s="9"/>
      <c r="QN347" s="9"/>
      <c r="QO347" s="9"/>
      <c r="QP347" s="9"/>
      <c r="QQ347" s="67"/>
      <c r="QR347" s="68"/>
      <c r="QS347" s="63"/>
      <c r="QT347" s="71"/>
    </row>
    <row r="348" spans="1:462" s="11" customFormat="1" ht="26" x14ac:dyDescent="0.2">
      <c r="A348" s="9">
        <v>20</v>
      </c>
      <c r="B348" s="9"/>
      <c r="C348" s="9"/>
      <c r="D348" s="9" t="s">
        <v>958</v>
      </c>
      <c r="E348" s="65" t="s">
        <v>960</v>
      </c>
      <c r="F348" s="65"/>
      <c r="G348" s="92" t="s">
        <v>2461</v>
      </c>
      <c r="H348" s="66" t="s">
        <v>1402</v>
      </c>
      <c r="I348" s="9" t="s">
        <v>1101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  <c r="EN348" s="9"/>
      <c r="EO348" s="9"/>
      <c r="EP348" s="9"/>
      <c r="EQ348" s="9"/>
      <c r="ER348" s="9"/>
      <c r="ES348" s="9"/>
      <c r="ET348" s="9"/>
      <c r="EU348" s="9"/>
      <c r="EV348" s="9"/>
      <c r="EW348" s="9"/>
      <c r="EX348" s="9"/>
      <c r="EY348" s="9"/>
      <c r="EZ348" s="9"/>
      <c r="FA348" s="9"/>
      <c r="FB348" s="9"/>
      <c r="FC348" s="9"/>
      <c r="FD348" s="9"/>
      <c r="FE348" s="9"/>
      <c r="FF348" s="9"/>
      <c r="FG348" s="9"/>
      <c r="FH348" s="9"/>
      <c r="FI348" s="9"/>
      <c r="FJ348" s="9"/>
      <c r="FK348" s="9"/>
      <c r="FL348" s="9"/>
      <c r="FM348" s="9"/>
      <c r="FN348" s="9"/>
      <c r="FO348" s="9"/>
      <c r="FP348" s="9"/>
      <c r="FQ348" s="9"/>
      <c r="FR348" s="9"/>
      <c r="FS348" s="9"/>
      <c r="FT348" s="9"/>
      <c r="FU348" s="9"/>
      <c r="FV348" s="9"/>
      <c r="FW348" s="9"/>
      <c r="FX348" s="9"/>
      <c r="FY348" s="9"/>
      <c r="FZ348" s="9"/>
      <c r="GA348" s="9"/>
      <c r="GB348" s="9"/>
      <c r="GC348" s="9"/>
      <c r="GD348" s="9"/>
      <c r="GE348" s="9"/>
      <c r="GF348" s="9"/>
      <c r="GG348" s="9"/>
      <c r="GH348" s="9"/>
      <c r="GI348" s="9"/>
      <c r="GJ348" s="9"/>
      <c r="GK348" s="9"/>
      <c r="GL348" s="9"/>
      <c r="GM348" s="9"/>
      <c r="GN348" s="9"/>
      <c r="GO348" s="9"/>
      <c r="GP348" s="9"/>
      <c r="GQ348" s="9"/>
      <c r="GR348" s="9"/>
      <c r="GS348" s="9"/>
      <c r="GT348" s="9"/>
      <c r="GU348" s="9"/>
      <c r="GV348" s="9"/>
      <c r="GW348" s="9"/>
      <c r="GX348" s="9"/>
      <c r="GY348" s="9"/>
      <c r="GZ348" s="9"/>
      <c r="HA348" s="9"/>
      <c r="HB348" s="9"/>
      <c r="HC348" s="9"/>
      <c r="HD348" s="9"/>
      <c r="HE348" s="9"/>
      <c r="HF348" s="9"/>
      <c r="HG348" s="9"/>
      <c r="HH348" s="9"/>
      <c r="HI348" s="9"/>
      <c r="HJ348" s="9"/>
      <c r="HK348" s="9"/>
      <c r="HL348" s="9"/>
      <c r="HM348" s="9"/>
      <c r="HN348" s="9"/>
      <c r="HO348" s="9"/>
      <c r="HP348" s="9"/>
      <c r="HQ348" s="9"/>
      <c r="HR348" s="9"/>
      <c r="HS348" s="9"/>
      <c r="HT348" s="9"/>
      <c r="HU348" s="9"/>
      <c r="HV348" s="9"/>
      <c r="HW348" s="9"/>
      <c r="HX348" s="9"/>
      <c r="HY348" s="9"/>
      <c r="HZ348" s="9"/>
      <c r="IA348" s="9"/>
      <c r="IB348" s="9"/>
      <c r="IC348" s="9"/>
      <c r="ID348" s="9"/>
      <c r="IE348" s="9"/>
      <c r="IF348" s="9"/>
      <c r="IG348" s="9"/>
      <c r="IH348" s="9"/>
      <c r="II348" s="9"/>
      <c r="IJ348" s="9"/>
      <c r="IK348" s="9"/>
      <c r="IL348" s="9"/>
      <c r="IM348" s="9"/>
      <c r="IN348" s="9"/>
      <c r="IO348" s="9"/>
      <c r="IP348" s="9"/>
      <c r="IQ348" s="9"/>
      <c r="IR348" s="9"/>
      <c r="IS348" s="9"/>
      <c r="IT348" s="9"/>
      <c r="IU348" s="9"/>
      <c r="IV348" s="9"/>
      <c r="IW348" s="9"/>
      <c r="IX348" s="9"/>
      <c r="IY348" s="9"/>
      <c r="IZ348" s="9"/>
      <c r="JA348" s="9"/>
      <c r="JB348" s="9"/>
      <c r="JC348" s="9"/>
      <c r="JD348" s="9"/>
      <c r="JE348" s="9"/>
      <c r="JF348" s="9"/>
      <c r="JG348" s="9"/>
      <c r="JH348" s="9"/>
      <c r="JI348" s="9"/>
      <c r="JJ348" s="9"/>
      <c r="JK348" s="9"/>
      <c r="JL348" s="9"/>
      <c r="JM348" s="9"/>
      <c r="JN348" s="9"/>
      <c r="JO348" s="9"/>
      <c r="JP348" s="9"/>
      <c r="JQ348" s="9"/>
      <c r="JR348" s="9"/>
      <c r="JS348" s="9"/>
      <c r="JT348" s="9"/>
      <c r="JU348" s="9"/>
      <c r="JV348" s="9"/>
      <c r="JW348" s="9"/>
      <c r="JX348" s="9"/>
      <c r="JY348" s="9"/>
      <c r="JZ348" s="9"/>
      <c r="KA348" s="9"/>
      <c r="KB348" s="9"/>
      <c r="KC348" s="9"/>
      <c r="KD348" s="9"/>
      <c r="KE348" s="9"/>
      <c r="KF348" s="9"/>
      <c r="KG348" s="9"/>
      <c r="KH348" s="9"/>
      <c r="KI348" s="9"/>
      <c r="KJ348" s="9"/>
      <c r="KK348" s="9"/>
      <c r="KL348" s="9"/>
      <c r="KM348" s="9"/>
      <c r="KN348" s="9"/>
      <c r="KO348" s="9"/>
      <c r="KP348" s="9"/>
      <c r="KQ348" s="9"/>
      <c r="KR348" s="9"/>
      <c r="KS348" s="9"/>
      <c r="KT348" s="9"/>
      <c r="KU348" s="9"/>
      <c r="KV348" s="9"/>
      <c r="KW348" s="9"/>
      <c r="KX348" s="9"/>
      <c r="KY348" s="9"/>
      <c r="KZ348" s="9"/>
      <c r="LA348" s="9"/>
      <c r="LB348" s="9"/>
      <c r="LC348" s="9"/>
      <c r="LD348" s="9"/>
      <c r="LE348" s="9"/>
      <c r="LF348" s="9"/>
      <c r="LG348" s="9"/>
      <c r="LH348" s="9"/>
      <c r="LI348" s="9"/>
      <c r="LJ348" s="9"/>
      <c r="LK348" s="9"/>
      <c r="LL348" s="9"/>
      <c r="LM348" s="9"/>
      <c r="LN348" s="9"/>
      <c r="LO348" s="9"/>
      <c r="LP348" s="9"/>
      <c r="LQ348" s="9"/>
      <c r="LR348" s="9"/>
      <c r="LS348" s="9"/>
      <c r="LT348" s="9"/>
      <c r="LU348" s="9"/>
      <c r="LV348" s="9"/>
      <c r="LW348" s="9"/>
      <c r="LX348" s="9"/>
      <c r="LY348" s="9"/>
      <c r="LZ348" s="9"/>
      <c r="MA348" s="9"/>
      <c r="MB348" s="9"/>
      <c r="MC348" s="9"/>
      <c r="MD348" s="9"/>
      <c r="ME348" s="9"/>
      <c r="MF348" s="9"/>
      <c r="MG348" s="9"/>
      <c r="MH348" s="9"/>
      <c r="MI348" s="9"/>
      <c r="MJ348" s="9"/>
      <c r="MK348" s="9"/>
      <c r="ML348" s="9"/>
      <c r="MM348" s="9"/>
      <c r="MN348" s="9"/>
      <c r="MO348" s="9"/>
      <c r="MP348" s="9"/>
      <c r="MQ348" s="9"/>
      <c r="MR348" s="9"/>
      <c r="MS348" s="9"/>
      <c r="MT348" s="9"/>
      <c r="MU348" s="9"/>
      <c r="MV348" s="9"/>
      <c r="MW348" s="9"/>
      <c r="MX348" s="9"/>
      <c r="MY348" s="9"/>
      <c r="MZ348" s="9"/>
      <c r="NA348" s="9"/>
      <c r="NB348" s="9"/>
      <c r="NC348" s="9"/>
      <c r="ND348" s="9"/>
      <c r="NE348" s="9"/>
      <c r="NF348" s="9"/>
      <c r="NG348" s="9"/>
      <c r="NH348" s="9"/>
      <c r="NI348" s="9"/>
      <c r="NJ348" s="9"/>
      <c r="NK348" s="9"/>
      <c r="NL348" s="9"/>
      <c r="NM348" s="9"/>
      <c r="NN348" s="9"/>
      <c r="NO348" s="9"/>
      <c r="NP348" s="9"/>
      <c r="NQ348" s="9"/>
      <c r="NR348" s="9"/>
      <c r="NS348" s="9"/>
      <c r="NT348" s="9"/>
      <c r="NU348" s="9"/>
      <c r="NV348" s="9"/>
      <c r="NW348" s="9"/>
      <c r="NX348" s="9"/>
      <c r="NY348" s="9"/>
      <c r="NZ348" s="9"/>
      <c r="OA348" s="9"/>
      <c r="OB348" s="9"/>
      <c r="OC348" s="9"/>
      <c r="OD348" s="9"/>
      <c r="OE348" s="9"/>
      <c r="OF348" s="9"/>
      <c r="OG348" s="9"/>
      <c r="OH348" s="9"/>
      <c r="OI348" s="9"/>
      <c r="OJ348" s="9"/>
      <c r="OK348" s="9"/>
      <c r="OL348" s="9"/>
      <c r="OM348" s="9"/>
      <c r="ON348" s="9"/>
      <c r="OO348" s="9"/>
      <c r="OP348" s="9"/>
      <c r="OQ348" s="9"/>
      <c r="OR348" s="9"/>
      <c r="OS348" s="9"/>
      <c r="OT348" s="9"/>
      <c r="OU348" s="9"/>
      <c r="OV348" s="9"/>
      <c r="OW348" s="9"/>
      <c r="OX348" s="9"/>
      <c r="OY348" s="9"/>
      <c r="OZ348" s="9"/>
      <c r="PA348" s="9"/>
      <c r="PB348" s="9"/>
      <c r="PC348" s="9"/>
      <c r="PD348" s="9"/>
      <c r="PE348" s="9"/>
      <c r="PF348" s="9"/>
      <c r="PG348" s="9" t="s">
        <v>1101</v>
      </c>
      <c r="PH348" s="9"/>
      <c r="PI348" s="9" t="s">
        <v>1101</v>
      </c>
      <c r="PJ348" s="9"/>
      <c r="PK348" s="9"/>
      <c r="PL348" s="9"/>
      <c r="PM348" s="9"/>
      <c r="PN348" s="9"/>
      <c r="PO348" s="9"/>
      <c r="PP348" s="9"/>
      <c r="PQ348" s="9"/>
      <c r="PR348" s="9"/>
      <c r="PS348" s="9"/>
      <c r="PT348" s="9"/>
      <c r="PU348" s="9"/>
      <c r="PV348" s="9"/>
      <c r="PW348" s="9"/>
      <c r="PX348" s="9"/>
      <c r="PY348" s="9"/>
      <c r="PZ348" s="9"/>
      <c r="QA348" s="9"/>
      <c r="QB348" s="9"/>
      <c r="QC348" s="9"/>
      <c r="QD348" s="9"/>
      <c r="QE348" s="9"/>
      <c r="QF348" s="9"/>
      <c r="QG348" s="9"/>
      <c r="QH348" s="9"/>
      <c r="QI348" s="9"/>
      <c r="QJ348" s="9"/>
      <c r="QK348" s="9"/>
      <c r="QL348" s="9"/>
      <c r="QM348" s="9"/>
      <c r="QN348" s="9"/>
      <c r="QO348" s="9"/>
      <c r="QP348" s="9"/>
      <c r="QQ348" s="67"/>
      <c r="QR348" s="68"/>
      <c r="QS348" s="63"/>
      <c r="QT348" s="71"/>
    </row>
    <row r="349" spans="1:462" s="11" customFormat="1" x14ac:dyDescent="0.2">
      <c r="A349" s="9">
        <v>20</v>
      </c>
      <c r="B349" s="9"/>
      <c r="C349" s="9"/>
      <c r="D349" s="9" t="s">
        <v>968</v>
      </c>
      <c r="E349" s="65" t="s">
        <v>966</v>
      </c>
      <c r="F349" s="65"/>
      <c r="G349" s="92" t="s">
        <v>2464</v>
      </c>
      <c r="H349" s="66" t="s">
        <v>1403</v>
      </c>
      <c r="I349" s="9" t="s">
        <v>1101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  <c r="EN349" s="9"/>
      <c r="EO349" s="9"/>
      <c r="EP349" s="9"/>
      <c r="EQ349" s="9"/>
      <c r="ER349" s="9"/>
      <c r="ES349" s="9"/>
      <c r="ET349" s="9"/>
      <c r="EU349" s="9"/>
      <c r="EV349" s="9"/>
      <c r="EW349" s="9"/>
      <c r="EX349" s="9"/>
      <c r="EY349" s="9"/>
      <c r="EZ349" s="9"/>
      <c r="FA349" s="9"/>
      <c r="FB349" s="9"/>
      <c r="FC349" s="9"/>
      <c r="FD349" s="9"/>
      <c r="FE349" s="9"/>
      <c r="FF349" s="9"/>
      <c r="FG349" s="9"/>
      <c r="FH349" s="9"/>
      <c r="FI349" s="9"/>
      <c r="FJ349" s="9"/>
      <c r="FK349" s="9"/>
      <c r="FL349" s="9"/>
      <c r="FM349" s="9"/>
      <c r="FN349" s="9"/>
      <c r="FO349" s="9"/>
      <c r="FP349" s="9"/>
      <c r="FQ349" s="9"/>
      <c r="FR349" s="9"/>
      <c r="FS349" s="9"/>
      <c r="FT349" s="9"/>
      <c r="FU349" s="9"/>
      <c r="FV349" s="9"/>
      <c r="FW349" s="9"/>
      <c r="FX349" s="9"/>
      <c r="FY349" s="9"/>
      <c r="FZ349" s="9"/>
      <c r="GA349" s="9"/>
      <c r="GB349" s="9"/>
      <c r="GC349" s="9"/>
      <c r="GD349" s="9"/>
      <c r="GE349" s="9"/>
      <c r="GF349" s="9"/>
      <c r="GG349" s="9"/>
      <c r="GH349" s="9"/>
      <c r="GI349" s="9"/>
      <c r="GJ349" s="9"/>
      <c r="GK349" s="9"/>
      <c r="GL349" s="9"/>
      <c r="GM349" s="9"/>
      <c r="GN349" s="9"/>
      <c r="GO349" s="9"/>
      <c r="GP349" s="9"/>
      <c r="GQ349" s="9"/>
      <c r="GR349" s="9"/>
      <c r="GS349" s="9"/>
      <c r="GT349" s="9"/>
      <c r="GU349" s="9"/>
      <c r="GV349" s="9"/>
      <c r="GW349" s="9"/>
      <c r="GX349" s="9"/>
      <c r="GY349" s="9"/>
      <c r="GZ349" s="9"/>
      <c r="HA349" s="9"/>
      <c r="HB349" s="9"/>
      <c r="HC349" s="9"/>
      <c r="HD349" s="9"/>
      <c r="HE349" s="9"/>
      <c r="HF349" s="9"/>
      <c r="HG349" s="9"/>
      <c r="HH349" s="9"/>
      <c r="HI349" s="9"/>
      <c r="HJ349" s="9"/>
      <c r="HK349" s="9"/>
      <c r="HL349" s="9"/>
      <c r="HM349" s="9"/>
      <c r="HN349" s="9"/>
      <c r="HO349" s="9"/>
      <c r="HP349" s="9"/>
      <c r="HQ349" s="9"/>
      <c r="HR349" s="9"/>
      <c r="HS349" s="9"/>
      <c r="HT349" s="9"/>
      <c r="HU349" s="9"/>
      <c r="HV349" s="9"/>
      <c r="HW349" s="9"/>
      <c r="HX349" s="9"/>
      <c r="HY349" s="9"/>
      <c r="HZ349" s="9"/>
      <c r="IA349" s="9"/>
      <c r="IB349" s="9"/>
      <c r="IC349" s="9"/>
      <c r="ID349" s="9"/>
      <c r="IE349" s="9"/>
      <c r="IF349" s="9"/>
      <c r="IG349" s="9"/>
      <c r="IH349" s="9"/>
      <c r="II349" s="9"/>
      <c r="IJ349" s="9"/>
      <c r="IK349" s="9"/>
      <c r="IL349" s="9"/>
      <c r="IM349" s="9"/>
      <c r="IN349" s="9"/>
      <c r="IO349" s="9"/>
      <c r="IP349" s="9"/>
      <c r="IQ349" s="9"/>
      <c r="IR349" s="9"/>
      <c r="IS349" s="9"/>
      <c r="IT349" s="9"/>
      <c r="IU349" s="9"/>
      <c r="IV349" s="9"/>
      <c r="IW349" s="9"/>
      <c r="IX349" s="9"/>
      <c r="IY349" s="9"/>
      <c r="IZ349" s="9"/>
      <c r="JA349" s="9"/>
      <c r="JB349" s="9"/>
      <c r="JC349" s="9"/>
      <c r="JD349" s="9"/>
      <c r="JE349" s="9"/>
      <c r="JF349" s="9"/>
      <c r="JG349" s="9"/>
      <c r="JH349" s="9"/>
      <c r="JI349" s="9"/>
      <c r="JJ349" s="9"/>
      <c r="JK349" s="9"/>
      <c r="JL349" s="9"/>
      <c r="JM349" s="9"/>
      <c r="JN349" s="9"/>
      <c r="JO349" s="9"/>
      <c r="JP349" s="9"/>
      <c r="JQ349" s="9"/>
      <c r="JR349" s="9"/>
      <c r="JS349" s="9"/>
      <c r="JT349" s="9"/>
      <c r="JU349" s="9"/>
      <c r="JV349" s="9"/>
      <c r="JW349" s="9"/>
      <c r="JX349" s="9"/>
      <c r="JY349" s="9"/>
      <c r="JZ349" s="9"/>
      <c r="KA349" s="9"/>
      <c r="KB349" s="9"/>
      <c r="KC349" s="9"/>
      <c r="KD349" s="9"/>
      <c r="KE349" s="9"/>
      <c r="KF349" s="9"/>
      <c r="KG349" s="9"/>
      <c r="KH349" s="9"/>
      <c r="KI349" s="9"/>
      <c r="KJ349" s="9"/>
      <c r="KK349" s="9"/>
      <c r="KL349" s="9"/>
      <c r="KM349" s="9"/>
      <c r="KN349" s="9"/>
      <c r="KO349" s="9"/>
      <c r="KP349" s="9"/>
      <c r="KQ349" s="9"/>
      <c r="KR349" s="9"/>
      <c r="KS349" s="9"/>
      <c r="KT349" s="9"/>
      <c r="KU349" s="9"/>
      <c r="KV349" s="9"/>
      <c r="KW349" s="9"/>
      <c r="KX349" s="9"/>
      <c r="KY349" s="9"/>
      <c r="KZ349" s="9"/>
      <c r="LA349" s="9"/>
      <c r="LB349" s="9"/>
      <c r="LC349" s="9"/>
      <c r="LD349" s="9"/>
      <c r="LE349" s="9"/>
      <c r="LF349" s="9"/>
      <c r="LG349" s="9"/>
      <c r="LH349" s="9"/>
      <c r="LI349" s="9"/>
      <c r="LJ349" s="9"/>
      <c r="LK349" s="9"/>
      <c r="LL349" s="9"/>
      <c r="LM349" s="9"/>
      <c r="LN349" s="9"/>
      <c r="LO349" s="9"/>
      <c r="LP349" s="9"/>
      <c r="LQ349" s="9"/>
      <c r="LR349" s="9"/>
      <c r="LS349" s="9"/>
      <c r="LT349" s="9"/>
      <c r="LU349" s="9"/>
      <c r="LV349" s="9"/>
      <c r="LW349" s="9"/>
      <c r="LX349" s="9"/>
      <c r="LY349" s="9"/>
      <c r="LZ349" s="9"/>
      <c r="MA349" s="9"/>
      <c r="MB349" s="9"/>
      <c r="MC349" s="9"/>
      <c r="MD349" s="9"/>
      <c r="ME349" s="9"/>
      <c r="MF349" s="9"/>
      <c r="MG349" s="9"/>
      <c r="MH349" s="9"/>
      <c r="MI349" s="9"/>
      <c r="MJ349" s="9"/>
      <c r="MK349" s="9"/>
      <c r="ML349" s="9"/>
      <c r="MM349" s="9"/>
      <c r="MN349" s="9"/>
      <c r="MO349" s="9"/>
      <c r="MP349" s="9"/>
      <c r="MQ349" s="9"/>
      <c r="MR349" s="9"/>
      <c r="MS349" s="9"/>
      <c r="MT349" s="9"/>
      <c r="MU349" s="9"/>
      <c r="MV349" s="9"/>
      <c r="MW349" s="9"/>
      <c r="MX349" s="9"/>
      <c r="MY349" s="9"/>
      <c r="MZ349" s="9"/>
      <c r="NA349" s="9"/>
      <c r="NB349" s="9"/>
      <c r="NC349" s="9"/>
      <c r="ND349" s="9"/>
      <c r="NE349" s="9"/>
      <c r="NF349" s="9"/>
      <c r="NG349" s="9"/>
      <c r="NH349" s="9"/>
      <c r="NI349" s="9"/>
      <c r="NJ349" s="9"/>
      <c r="NK349" s="9"/>
      <c r="NL349" s="9"/>
      <c r="NM349" s="9"/>
      <c r="NN349" s="9"/>
      <c r="NO349" s="9"/>
      <c r="NP349" s="9"/>
      <c r="NQ349" s="9"/>
      <c r="NR349" s="9"/>
      <c r="NS349" s="9"/>
      <c r="NT349" s="9"/>
      <c r="NU349" s="9"/>
      <c r="NV349" s="9"/>
      <c r="NW349" s="9"/>
      <c r="NX349" s="9"/>
      <c r="NY349" s="9"/>
      <c r="NZ349" s="9"/>
      <c r="OA349" s="9"/>
      <c r="OB349" s="9"/>
      <c r="OC349" s="9"/>
      <c r="OD349" s="9"/>
      <c r="OE349" s="9"/>
      <c r="OF349" s="9"/>
      <c r="OG349" s="9"/>
      <c r="OH349" s="9"/>
      <c r="OI349" s="9"/>
      <c r="OJ349" s="9"/>
      <c r="OK349" s="9"/>
      <c r="OL349" s="9"/>
      <c r="OM349" s="9"/>
      <c r="ON349" s="9"/>
      <c r="OO349" s="9"/>
      <c r="OP349" s="9"/>
      <c r="OQ349" s="9"/>
      <c r="OR349" s="9"/>
      <c r="OS349" s="9"/>
      <c r="OT349" s="9"/>
      <c r="OU349" s="9"/>
      <c r="OV349" s="9"/>
      <c r="OW349" s="9"/>
      <c r="OX349" s="9"/>
      <c r="OY349" s="9"/>
      <c r="OZ349" s="9"/>
      <c r="PA349" s="9"/>
      <c r="PB349" s="9"/>
      <c r="PC349" s="9"/>
      <c r="PD349" s="9"/>
      <c r="PE349" s="9"/>
      <c r="PF349" s="9"/>
      <c r="PG349" s="9"/>
      <c r="PH349" s="9"/>
      <c r="PI349" s="9"/>
      <c r="PJ349" s="9"/>
      <c r="PK349" s="9"/>
      <c r="PL349" s="9"/>
      <c r="PM349" s="9"/>
      <c r="PN349" s="9"/>
      <c r="PO349" s="9" t="s">
        <v>1101</v>
      </c>
      <c r="PP349" s="9"/>
      <c r="PQ349" s="9" t="s">
        <v>1101</v>
      </c>
      <c r="PR349" s="9"/>
      <c r="PS349" s="9"/>
      <c r="PT349" s="9"/>
      <c r="PU349" s="9"/>
      <c r="PV349" s="9"/>
      <c r="PW349" s="9"/>
      <c r="PX349" s="9"/>
      <c r="PY349" s="9"/>
      <c r="PZ349" s="9"/>
      <c r="QA349" s="9"/>
      <c r="QB349" s="9"/>
      <c r="QC349" s="9"/>
      <c r="QD349" s="9"/>
      <c r="QE349" s="9"/>
      <c r="QF349" s="9"/>
      <c r="QG349" s="9"/>
      <c r="QH349" s="9"/>
      <c r="QI349" s="9"/>
      <c r="QJ349" s="9"/>
      <c r="QK349" s="9"/>
      <c r="QL349" s="9"/>
      <c r="QM349" s="9"/>
      <c r="QN349" s="9"/>
      <c r="QO349" s="9"/>
      <c r="QP349" s="9"/>
      <c r="QQ349" s="67"/>
      <c r="QR349" s="68"/>
      <c r="QS349" s="63"/>
      <c r="QT349" s="71"/>
    </row>
    <row r="350" spans="1:462" s="11" customFormat="1" x14ac:dyDescent="0.2">
      <c r="A350" s="9">
        <v>20</v>
      </c>
      <c r="B350" s="9"/>
      <c r="C350" s="9"/>
      <c r="D350" s="9" t="s">
        <v>976</v>
      </c>
      <c r="E350" s="65" t="s">
        <v>970</v>
      </c>
      <c r="F350" s="65"/>
      <c r="G350" s="92" t="s">
        <v>2467</v>
      </c>
      <c r="H350" s="66" t="s">
        <v>1404</v>
      </c>
      <c r="I350" s="9" t="s">
        <v>1101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  <c r="FI350" s="9"/>
      <c r="FJ350" s="9"/>
      <c r="FK350" s="9"/>
      <c r="FL350" s="9"/>
      <c r="FM350" s="9"/>
      <c r="FN350" s="9"/>
      <c r="FO350" s="9"/>
      <c r="FP350" s="9"/>
      <c r="FQ350" s="9"/>
      <c r="FR350" s="9"/>
      <c r="FS350" s="9"/>
      <c r="FT350" s="9"/>
      <c r="FU350" s="9"/>
      <c r="FV350" s="9"/>
      <c r="FW350" s="9"/>
      <c r="FX350" s="9"/>
      <c r="FY350" s="9"/>
      <c r="FZ350" s="9"/>
      <c r="GA350" s="9"/>
      <c r="GB350" s="9"/>
      <c r="GC350" s="9"/>
      <c r="GD350" s="9"/>
      <c r="GE350" s="9"/>
      <c r="GF350" s="9"/>
      <c r="GG350" s="9"/>
      <c r="GH350" s="9"/>
      <c r="GI350" s="9"/>
      <c r="GJ350" s="9"/>
      <c r="GK350" s="9"/>
      <c r="GL350" s="9"/>
      <c r="GM350" s="9"/>
      <c r="GN350" s="9"/>
      <c r="GO350" s="9"/>
      <c r="GP350" s="9"/>
      <c r="GQ350" s="9"/>
      <c r="GR350" s="9"/>
      <c r="GS350" s="9"/>
      <c r="GT350" s="9"/>
      <c r="GU350" s="9"/>
      <c r="GV350" s="9"/>
      <c r="GW350" s="9"/>
      <c r="GX350" s="9"/>
      <c r="GY350" s="9"/>
      <c r="GZ350" s="9"/>
      <c r="HA350" s="9"/>
      <c r="HB350" s="9"/>
      <c r="HC350" s="9"/>
      <c r="HD350" s="9"/>
      <c r="HE350" s="9"/>
      <c r="HF350" s="9"/>
      <c r="HG350" s="9"/>
      <c r="HH350" s="9"/>
      <c r="HI350" s="9"/>
      <c r="HJ350" s="9"/>
      <c r="HK350" s="9"/>
      <c r="HL350" s="9"/>
      <c r="HM350" s="9"/>
      <c r="HN350" s="9"/>
      <c r="HO350" s="9"/>
      <c r="HP350" s="9"/>
      <c r="HQ350" s="9"/>
      <c r="HR350" s="9"/>
      <c r="HS350" s="9"/>
      <c r="HT350" s="9"/>
      <c r="HU350" s="9"/>
      <c r="HV350" s="9"/>
      <c r="HW350" s="9"/>
      <c r="HX350" s="9"/>
      <c r="HY350" s="9"/>
      <c r="HZ350" s="9"/>
      <c r="IA350" s="9"/>
      <c r="IB350" s="9"/>
      <c r="IC350" s="9"/>
      <c r="ID350" s="9"/>
      <c r="IE350" s="9"/>
      <c r="IF350" s="9"/>
      <c r="IG350" s="9"/>
      <c r="IH350" s="9"/>
      <c r="II350" s="9"/>
      <c r="IJ350" s="9"/>
      <c r="IK350" s="9"/>
      <c r="IL350" s="9"/>
      <c r="IM350" s="9"/>
      <c r="IN350" s="9"/>
      <c r="IO350" s="9"/>
      <c r="IP350" s="9"/>
      <c r="IQ350" s="9"/>
      <c r="IR350" s="9"/>
      <c r="IS350" s="9"/>
      <c r="IT350" s="9"/>
      <c r="IU350" s="9"/>
      <c r="IV350" s="9"/>
      <c r="IW350" s="9"/>
      <c r="IX350" s="9"/>
      <c r="IY350" s="9"/>
      <c r="IZ350" s="9"/>
      <c r="JA350" s="9"/>
      <c r="JB350" s="9"/>
      <c r="JC350" s="9"/>
      <c r="JD350" s="9"/>
      <c r="JE350" s="9"/>
      <c r="JF350" s="9"/>
      <c r="JG350" s="9"/>
      <c r="JH350" s="9"/>
      <c r="JI350" s="9"/>
      <c r="JJ350" s="9"/>
      <c r="JK350" s="9"/>
      <c r="JL350" s="9"/>
      <c r="JM350" s="9"/>
      <c r="JN350" s="9"/>
      <c r="JO350" s="9"/>
      <c r="JP350" s="9"/>
      <c r="JQ350" s="9"/>
      <c r="JR350" s="9"/>
      <c r="JS350" s="9"/>
      <c r="JT350" s="9"/>
      <c r="JU350" s="9"/>
      <c r="JV350" s="9"/>
      <c r="JW350" s="9"/>
      <c r="JX350" s="9"/>
      <c r="JY350" s="9"/>
      <c r="JZ350" s="9"/>
      <c r="KA350" s="9"/>
      <c r="KB350" s="9"/>
      <c r="KC350" s="9"/>
      <c r="KD350" s="9"/>
      <c r="KE350" s="9"/>
      <c r="KF350" s="9"/>
      <c r="KG350" s="9"/>
      <c r="KH350" s="9"/>
      <c r="KI350" s="9"/>
      <c r="KJ350" s="9"/>
      <c r="KK350" s="9"/>
      <c r="KL350" s="9"/>
      <c r="KM350" s="9"/>
      <c r="KN350" s="9"/>
      <c r="KO350" s="9"/>
      <c r="KP350" s="9"/>
      <c r="KQ350" s="9"/>
      <c r="KR350" s="9"/>
      <c r="KS350" s="9"/>
      <c r="KT350" s="9"/>
      <c r="KU350" s="9"/>
      <c r="KV350" s="9"/>
      <c r="KW350" s="9"/>
      <c r="KX350" s="9"/>
      <c r="KY350" s="9"/>
      <c r="KZ350" s="9"/>
      <c r="LA350" s="9"/>
      <c r="LB350" s="9"/>
      <c r="LC350" s="9"/>
      <c r="LD350" s="9"/>
      <c r="LE350" s="9"/>
      <c r="LF350" s="9"/>
      <c r="LG350" s="9"/>
      <c r="LH350" s="9"/>
      <c r="LI350" s="9"/>
      <c r="LJ350" s="9"/>
      <c r="LK350" s="9"/>
      <c r="LL350" s="9"/>
      <c r="LM350" s="9"/>
      <c r="LN350" s="9"/>
      <c r="LO350" s="9"/>
      <c r="LP350" s="9"/>
      <c r="LQ350" s="9"/>
      <c r="LR350" s="9"/>
      <c r="LS350" s="9"/>
      <c r="LT350" s="9"/>
      <c r="LU350" s="9"/>
      <c r="LV350" s="9"/>
      <c r="LW350" s="9"/>
      <c r="LX350" s="9"/>
      <c r="LY350" s="9"/>
      <c r="LZ350" s="9"/>
      <c r="MA350" s="9"/>
      <c r="MB350" s="9"/>
      <c r="MC350" s="9"/>
      <c r="MD350" s="9"/>
      <c r="ME350" s="9"/>
      <c r="MF350" s="9"/>
      <c r="MG350" s="9"/>
      <c r="MH350" s="9"/>
      <c r="MI350" s="9"/>
      <c r="MJ350" s="9"/>
      <c r="MK350" s="9"/>
      <c r="ML350" s="9"/>
      <c r="MM350" s="9"/>
      <c r="MN350" s="9"/>
      <c r="MO350" s="9"/>
      <c r="MP350" s="9"/>
      <c r="MQ350" s="9"/>
      <c r="MR350" s="9"/>
      <c r="MS350" s="9"/>
      <c r="MT350" s="9"/>
      <c r="MU350" s="9"/>
      <c r="MV350" s="9"/>
      <c r="MW350" s="9"/>
      <c r="MX350" s="9"/>
      <c r="MY350" s="9"/>
      <c r="MZ350" s="9"/>
      <c r="NA350" s="9"/>
      <c r="NB350" s="9"/>
      <c r="NC350" s="9"/>
      <c r="ND350" s="9"/>
      <c r="NE350" s="9"/>
      <c r="NF350" s="9"/>
      <c r="NG350" s="9"/>
      <c r="NH350" s="9"/>
      <c r="NI350" s="9"/>
      <c r="NJ350" s="9"/>
      <c r="NK350" s="9"/>
      <c r="NL350" s="9"/>
      <c r="NM350" s="9"/>
      <c r="NN350" s="9"/>
      <c r="NO350" s="9"/>
      <c r="NP350" s="9"/>
      <c r="NQ350" s="9"/>
      <c r="NR350" s="9"/>
      <c r="NS350" s="9"/>
      <c r="NT350" s="9"/>
      <c r="NU350" s="9"/>
      <c r="NV350" s="9"/>
      <c r="NW350" s="9"/>
      <c r="NX350" s="9"/>
      <c r="NY350" s="9"/>
      <c r="NZ350" s="9"/>
      <c r="OA350" s="9"/>
      <c r="OB350" s="9"/>
      <c r="OC350" s="9"/>
      <c r="OD350" s="9"/>
      <c r="OE350" s="9"/>
      <c r="OF350" s="9"/>
      <c r="OG350" s="9"/>
      <c r="OH350" s="9"/>
      <c r="OI350" s="9"/>
      <c r="OJ350" s="9"/>
      <c r="OK350" s="9"/>
      <c r="OL350" s="9"/>
      <c r="OM350" s="9"/>
      <c r="ON350" s="9"/>
      <c r="OO350" s="9"/>
      <c r="OP350" s="9"/>
      <c r="OQ350" s="9"/>
      <c r="OR350" s="9"/>
      <c r="OS350" s="9"/>
      <c r="OT350" s="9"/>
      <c r="OU350" s="9"/>
      <c r="OV350" s="9"/>
      <c r="OW350" s="9"/>
      <c r="OX350" s="9"/>
      <c r="OY350" s="9"/>
      <c r="OZ350" s="9"/>
      <c r="PA350" s="9"/>
      <c r="PB350" s="9"/>
      <c r="PC350" s="9"/>
      <c r="PD350" s="9"/>
      <c r="PE350" s="9"/>
      <c r="PF350" s="9"/>
      <c r="PG350" s="9"/>
      <c r="PH350" s="9"/>
      <c r="PI350" s="9"/>
      <c r="PJ350" s="9"/>
      <c r="PK350" s="9"/>
      <c r="PL350" s="9"/>
      <c r="PM350" s="9"/>
      <c r="PN350" s="9"/>
      <c r="PO350" s="9"/>
      <c r="PP350" s="9"/>
      <c r="PQ350" s="9"/>
      <c r="PR350" s="9"/>
      <c r="PS350" s="9"/>
      <c r="PT350" s="9"/>
      <c r="PU350" s="9"/>
      <c r="PV350" s="9"/>
      <c r="PW350" s="9" t="s">
        <v>1101</v>
      </c>
      <c r="PX350" s="9"/>
      <c r="PY350" s="9" t="s">
        <v>1101</v>
      </c>
      <c r="PZ350" s="9"/>
      <c r="QA350" s="9"/>
      <c r="QB350" s="9"/>
      <c r="QC350" s="9"/>
      <c r="QD350" s="9"/>
      <c r="QE350" s="9"/>
      <c r="QF350" s="9"/>
      <c r="QG350" s="9"/>
      <c r="QH350" s="9"/>
      <c r="QI350" s="9"/>
      <c r="QJ350" s="9"/>
      <c r="QK350" s="9"/>
      <c r="QL350" s="9"/>
      <c r="QM350" s="9"/>
      <c r="QN350" s="9"/>
      <c r="QO350" s="9"/>
      <c r="QP350" s="9"/>
      <c r="QQ350" s="67"/>
      <c r="QR350" s="68"/>
      <c r="QS350" s="63"/>
      <c r="QT350" s="71"/>
    </row>
    <row r="351" spans="1:462" s="11" customFormat="1" x14ac:dyDescent="0.2">
      <c r="A351" s="9">
        <v>20</v>
      </c>
      <c r="B351" s="9"/>
      <c r="C351" s="9"/>
      <c r="D351" s="9" t="s">
        <v>964</v>
      </c>
      <c r="E351" s="65" t="s">
        <v>962</v>
      </c>
      <c r="F351" s="65"/>
      <c r="G351" s="92" t="s">
        <v>2470</v>
      </c>
      <c r="H351" s="66" t="s">
        <v>1405</v>
      </c>
      <c r="I351" s="9" t="s">
        <v>1101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  <c r="EN351" s="9"/>
      <c r="EO351" s="9"/>
      <c r="EP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E351" s="9"/>
      <c r="FF351" s="9"/>
      <c r="FG351" s="9"/>
      <c r="FH351" s="9"/>
      <c r="FI351" s="9"/>
      <c r="FJ351" s="9"/>
      <c r="FK351" s="9"/>
      <c r="FL351" s="9"/>
      <c r="FM351" s="9"/>
      <c r="FN351" s="9"/>
      <c r="FO351" s="9"/>
      <c r="FP351" s="9"/>
      <c r="FQ351" s="9"/>
      <c r="FR351" s="9"/>
      <c r="FS351" s="9"/>
      <c r="FT351" s="9"/>
      <c r="FU351" s="9"/>
      <c r="FV351" s="9"/>
      <c r="FW351" s="9"/>
      <c r="FX351" s="9"/>
      <c r="FY351" s="9"/>
      <c r="FZ351" s="9"/>
      <c r="GA351" s="9"/>
      <c r="GB351" s="9"/>
      <c r="GC351" s="9"/>
      <c r="GD351" s="9"/>
      <c r="GE351" s="9"/>
      <c r="GF351" s="9"/>
      <c r="GG351" s="9"/>
      <c r="GH351" s="9"/>
      <c r="GI351" s="9"/>
      <c r="GJ351" s="9"/>
      <c r="GK351" s="9"/>
      <c r="GL351" s="9"/>
      <c r="GM351" s="9"/>
      <c r="GN351" s="9"/>
      <c r="GO351" s="9"/>
      <c r="GP351" s="9"/>
      <c r="GQ351" s="9"/>
      <c r="GR351" s="9"/>
      <c r="GS351" s="9"/>
      <c r="GT351" s="9"/>
      <c r="GU351" s="9"/>
      <c r="GV351" s="9"/>
      <c r="GW351" s="9"/>
      <c r="GX351" s="9"/>
      <c r="GY351" s="9"/>
      <c r="GZ351" s="9"/>
      <c r="HA351" s="9"/>
      <c r="HB351" s="9"/>
      <c r="HC351" s="9"/>
      <c r="HD351" s="9"/>
      <c r="HE351" s="9"/>
      <c r="HF351" s="9"/>
      <c r="HG351" s="9"/>
      <c r="HH351" s="9"/>
      <c r="HI351" s="9"/>
      <c r="HJ351" s="9"/>
      <c r="HK351" s="9"/>
      <c r="HL351" s="9"/>
      <c r="HM351" s="9"/>
      <c r="HN351" s="9"/>
      <c r="HO351" s="9"/>
      <c r="HP351" s="9"/>
      <c r="HQ351" s="9"/>
      <c r="HR351" s="9"/>
      <c r="HS351" s="9"/>
      <c r="HT351" s="9"/>
      <c r="HU351" s="9"/>
      <c r="HV351" s="9"/>
      <c r="HW351" s="9"/>
      <c r="HX351" s="9"/>
      <c r="HY351" s="9"/>
      <c r="HZ351" s="9"/>
      <c r="IA351" s="9"/>
      <c r="IB351" s="9"/>
      <c r="IC351" s="9"/>
      <c r="ID351" s="9"/>
      <c r="IE351" s="9"/>
      <c r="IF351" s="9"/>
      <c r="IG351" s="9"/>
      <c r="IH351" s="9"/>
      <c r="II351" s="9"/>
      <c r="IJ351" s="9"/>
      <c r="IK351" s="9"/>
      <c r="IL351" s="9"/>
      <c r="IM351" s="9"/>
      <c r="IN351" s="9"/>
      <c r="IO351" s="9"/>
      <c r="IP351" s="9"/>
      <c r="IQ351" s="9"/>
      <c r="IR351" s="9"/>
      <c r="IS351" s="9"/>
      <c r="IT351" s="9"/>
      <c r="IU351" s="9"/>
      <c r="IV351" s="9"/>
      <c r="IW351" s="9"/>
      <c r="IX351" s="9"/>
      <c r="IY351" s="9"/>
      <c r="IZ351" s="9"/>
      <c r="JA351" s="9"/>
      <c r="JB351" s="9"/>
      <c r="JC351" s="9"/>
      <c r="JD351" s="9"/>
      <c r="JE351" s="9"/>
      <c r="JF351" s="9"/>
      <c r="JG351" s="9"/>
      <c r="JH351" s="9"/>
      <c r="JI351" s="9"/>
      <c r="JJ351" s="9"/>
      <c r="JK351" s="9"/>
      <c r="JL351" s="9"/>
      <c r="JM351" s="9"/>
      <c r="JN351" s="9"/>
      <c r="JO351" s="9"/>
      <c r="JP351" s="9"/>
      <c r="JQ351" s="9"/>
      <c r="JR351" s="9"/>
      <c r="JS351" s="9"/>
      <c r="JT351" s="9"/>
      <c r="JU351" s="9"/>
      <c r="JV351" s="9"/>
      <c r="JW351" s="9"/>
      <c r="JX351" s="9"/>
      <c r="JY351" s="9"/>
      <c r="JZ351" s="9"/>
      <c r="KA351" s="9"/>
      <c r="KB351" s="9"/>
      <c r="KC351" s="9"/>
      <c r="KD351" s="9"/>
      <c r="KE351" s="9"/>
      <c r="KF351" s="9"/>
      <c r="KG351" s="9"/>
      <c r="KH351" s="9"/>
      <c r="KI351" s="9"/>
      <c r="KJ351" s="9"/>
      <c r="KK351" s="9"/>
      <c r="KL351" s="9"/>
      <c r="KM351" s="9"/>
      <c r="KN351" s="9"/>
      <c r="KO351" s="9"/>
      <c r="KP351" s="9"/>
      <c r="KQ351" s="9"/>
      <c r="KR351" s="9"/>
      <c r="KS351" s="9"/>
      <c r="KT351" s="9"/>
      <c r="KU351" s="9"/>
      <c r="KV351" s="9"/>
      <c r="KW351" s="9"/>
      <c r="KX351" s="9"/>
      <c r="KY351" s="9"/>
      <c r="KZ351" s="9"/>
      <c r="LA351" s="9"/>
      <c r="LB351" s="9"/>
      <c r="LC351" s="9"/>
      <c r="LD351" s="9"/>
      <c r="LE351" s="9"/>
      <c r="LF351" s="9"/>
      <c r="LG351" s="9"/>
      <c r="LH351" s="9"/>
      <c r="LI351" s="9"/>
      <c r="LJ351" s="9"/>
      <c r="LK351" s="9"/>
      <c r="LL351" s="9"/>
      <c r="LM351" s="9"/>
      <c r="LN351" s="9"/>
      <c r="LO351" s="9"/>
      <c r="LP351" s="9"/>
      <c r="LQ351" s="9"/>
      <c r="LR351" s="9"/>
      <c r="LS351" s="9"/>
      <c r="LT351" s="9"/>
      <c r="LU351" s="9"/>
      <c r="LV351" s="9"/>
      <c r="LW351" s="9"/>
      <c r="LX351" s="9"/>
      <c r="LY351" s="9"/>
      <c r="LZ351" s="9"/>
      <c r="MA351" s="9"/>
      <c r="MB351" s="9"/>
      <c r="MC351" s="9"/>
      <c r="MD351" s="9"/>
      <c r="ME351" s="9"/>
      <c r="MF351" s="9"/>
      <c r="MG351" s="9"/>
      <c r="MH351" s="9"/>
      <c r="MI351" s="9"/>
      <c r="MJ351" s="9"/>
      <c r="MK351" s="9"/>
      <c r="ML351" s="9"/>
      <c r="MM351" s="9"/>
      <c r="MN351" s="9"/>
      <c r="MO351" s="9"/>
      <c r="MP351" s="9"/>
      <c r="MQ351" s="9"/>
      <c r="MR351" s="9"/>
      <c r="MS351" s="9"/>
      <c r="MT351" s="9"/>
      <c r="MU351" s="9"/>
      <c r="MV351" s="9"/>
      <c r="MW351" s="9"/>
      <c r="MX351" s="9"/>
      <c r="MY351" s="9"/>
      <c r="MZ351" s="9"/>
      <c r="NA351" s="9"/>
      <c r="NB351" s="9"/>
      <c r="NC351" s="9"/>
      <c r="ND351" s="9"/>
      <c r="NE351" s="9"/>
      <c r="NF351" s="9"/>
      <c r="NG351" s="9"/>
      <c r="NH351" s="9"/>
      <c r="NI351" s="9"/>
      <c r="NJ351" s="9"/>
      <c r="NK351" s="9"/>
      <c r="NL351" s="9"/>
      <c r="NM351" s="9"/>
      <c r="NN351" s="9"/>
      <c r="NO351" s="9"/>
      <c r="NP351" s="9"/>
      <c r="NQ351" s="9"/>
      <c r="NR351" s="9"/>
      <c r="NS351" s="9"/>
      <c r="NT351" s="9"/>
      <c r="NU351" s="9"/>
      <c r="NV351" s="9"/>
      <c r="NW351" s="9"/>
      <c r="NX351" s="9"/>
      <c r="NY351" s="9"/>
      <c r="NZ351" s="9"/>
      <c r="OA351" s="9"/>
      <c r="OB351" s="9"/>
      <c r="OC351" s="9"/>
      <c r="OD351" s="9"/>
      <c r="OE351" s="9"/>
      <c r="OF351" s="9"/>
      <c r="OG351" s="9"/>
      <c r="OH351" s="9"/>
      <c r="OI351" s="9"/>
      <c r="OJ351" s="9"/>
      <c r="OK351" s="9"/>
      <c r="OL351" s="9"/>
      <c r="OM351" s="9"/>
      <c r="ON351" s="9"/>
      <c r="OO351" s="9"/>
      <c r="OP351" s="9"/>
      <c r="OQ351" s="9"/>
      <c r="OR351" s="9"/>
      <c r="OS351" s="9"/>
      <c r="OT351" s="9"/>
      <c r="OU351" s="9"/>
      <c r="OV351" s="9"/>
      <c r="OW351" s="9"/>
      <c r="OX351" s="9"/>
      <c r="OY351" s="9"/>
      <c r="OZ351" s="9"/>
      <c r="PA351" s="9"/>
      <c r="PB351" s="9"/>
      <c r="PC351" s="9"/>
      <c r="PD351" s="9"/>
      <c r="PE351" s="9"/>
      <c r="PF351" s="9"/>
      <c r="PG351" s="9"/>
      <c r="PH351" s="9"/>
      <c r="PI351" s="9"/>
      <c r="PJ351" s="9"/>
      <c r="PK351" s="9"/>
      <c r="PL351" s="9"/>
      <c r="PM351" s="9"/>
      <c r="PN351" s="9"/>
      <c r="PO351" s="9"/>
      <c r="PP351" s="9"/>
      <c r="PQ351" s="9"/>
      <c r="PR351" s="9"/>
      <c r="PS351" s="9"/>
      <c r="PT351" s="9"/>
      <c r="PU351" s="9"/>
      <c r="PV351" s="9"/>
      <c r="PW351" s="9"/>
      <c r="PX351" s="9"/>
      <c r="PY351" s="9"/>
      <c r="PZ351" s="9"/>
      <c r="QA351" s="9"/>
      <c r="QB351" s="9"/>
      <c r="QC351" s="9"/>
      <c r="QD351" s="9"/>
      <c r="QE351" s="9" t="s">
        <v>1101</v>
      </c>
      <c r="QF351" s="9"/>
      <c r="QG351" s="9" t="s">
        <v>1101</v>
      </c>
      <c r="QH351" s="9"/>
      <c r="QI351" s="9"/>
      <c r="QJ351" s="9"/>
      <c r="QK351" s="9"/>
      <c r="QL351" s="9"/>
      <c r="QM351" s="9"/>
      <c r="QN351" s="9"/>
      <c r="QO351" s="9"/>
      <c r="QP351" s="9"/>
      <c r="QQ351" s="67"/>
      <c r="QR351" s="68"/>
      <c r="QS351" s="63"/>
      <c r="QT351" s="71"/>
    </row>
    <row r="352" spans="1:462" s="11" customFormat="1" x14ac:dyDescent="0.2">
      <c r="A352" s="9">
        <v>20</v>
      </c>
      <c r="B352" s="9"/>
      <c r="C352" s="9"/>
      <c r="D352" s="9" t="s">
        <v>2051</v>
      </c>
      <c r="E352" s="65" t="s">
        <v>2053</v>
      </c>
      <c r="F352" s="65"/>
      <c r="G352" s="92" t="s">
        <v>2311</v>
      </c>
      <c r="H352" s="66" t="s">
        <v>2042</v>
      </c>
      <c r="I352" s="9" t="s">
        <v>1041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  <c r="FI352" s="9"/>
      <c r="FJ352" s="9"/>
      <c r="FK352" s="9"/>
      <c r="FL352" s="9"/>
      <c r="FM352" s="9"/>
      <c r="FN352" s="9"/>
      <c r="FO352" s="9"/>
      <c r="FP352" s="9"/>
      <c r="FQ352" s="9"/>
      <c r="FR352" s="9"/>
      <c r="FS352" s="9"/>
      <c r="FT352" s="9"/>
      <c r="FU352" s="9"/>
      <c r="FV352" s="9"/>
      <c r="FW352" s="9"/>
      <c r="FX352" s="9"/>
      <c r="FY352" s="9"/>
      <c r="FZ352" s="9"/>
      <c r="GA352" s="9"/>
      <c r="GB352" s="9"/>
      <c r="GC352" s="9"/>
      <c r="GD352" s="9"/>
      <c r="GE352" s="9"/>
      <c r="GF352" s="9"/>
      <c r="GG352" s="9"/>
      <c r="GH352" s="9"/>
      <c r="GI352" s="9"/>
      <c r="GJ352" s="9"/>
      <c r="GK352" s="9"/>
      <c r="GL352" s="9"/>
      <c r="GM352" s="9"/>
      <c r="GN352" s="9"/>
      <c r="GO352" s="9"/>
      <c r="GP352" s="9"/>
      <c r="GQ352" s="9"/>
      <c r="GR352" s="9"/>
      <c r="GS352" s="9"/>
      <c r="GT352" s="9"/>
      <c r="GU352" s="9"/>
      <c r="GV352" s="9"/>
      <c r="GW352" s="9"/>
      <c r="GX352" s="9"/>
      <c r="GY352" s="9"/>
      <c r="GZ352" s="9"/>
      <c r="HA352" s="9"/>
      <c r="HB352" s="9"/>
      <c r="HC352" s="9"/>
      <c r="HD352" s="9"/>
      <c r="HE352" s="9"/>
      <c r="HF352" s="9"/>
      <c r="HG352" s="9"/>
      <c r="HH352" s="9"/>
      <c r="HI352" s="9"/>
      <c r="HJ352" s="9"/>
      <c r="HK352" s="9"/>
      <c r="HL352" s="9"/>
      <c r="HM352" s="9"/>
      <c r="HN352" s="9"/>
      <c r="HO352" s="9"/>
      <c r="HP352" s="9"/>
      <c r="HQ352" s="9"/>
      <c r="HR352" s="9"/>
      <c r="HS352" s="9"/>
      <c r="HT352" s="9"/>
      <c r="HU352" s="9"/>
      <c r="HV352" s="9"/>
      <c r="HW352" s="9"/>
      <c r="HX352" s="9"/>
      <c r="HY352" s="9"/>
      <c r="HZ352" s="9"/>
      <c r="IA352" s="9"/>
      <c r="IB352" s="9"/>
      <c r="IC352" s="9"/>
      <c r="ID352" s="9"/>
      <c r="IE352" s="9"/>
      <c r="IF352" s="9"/>
      <c r="IG352" s="9"/>
      <c r="IH352" s="9"/>
      <c r="II352" s="9"/>
      <c r="IJ352" s="9"/>
      <c r="IK352" s="9"/>
      <c r="IL352" s="9"/>
      <c r="IM352" s="9"/>
      <c r="IN352" s="9"/>
      <c r="IO352" s="9"/>
      <c r="IP352" s="9"/>
      <c r="IQ352" s="9"/>
      <c r="IR352" s="9"/>
      <c r="IS352" s="9"/>
      <c r="IT352" s="9"/>
      <c r="IU352" s="9"/>
      <c r="IV352" s="9"/>
      <c r="IW352" s="9"/>
      <c r="IX352" s="9"/>
      <c r="IY352" s="9"/>
      <c r="IZ352" s="9"/>
      <c r="JA352" s="9"/>
      <c r="JB352" s="9"/>
      <c r="JC352" s="9"/>
      <c r="JD352" s="9"/>
      <c r="JE352" s="9"/>
      <c r="JF352" s="9"/>
      <c r="JG352" s="9"/>
      <c r="JH352" s="9"/>
      <c r="JI352" s="9"/>
      <c r="JJ352" s="9"/>
      <c r="JK352" s="9"/>
      <c r="JL352" s="9"/>
      <c r="JM352" s="9"/>
      <c r="JN352" s="9"/>
      <c r="JO352" s="9"/>
      <c r="JP352" s="9"/>
      <c r="JQ352" s="9"/>
      <c r="JR352" s="9"/>
      <c r="JS352" s="9"/>
      <c r="JT352" s="9"/>
      <c r="JU352" s="9"/>
      <c r="JV352" s="9"/>
      <c r="JW352" s="9"/>
      <c r="JX352" s="9"/>
      <c r="JY352" s="9"/>
      <c r="JZ352" s="9"/>
      <c r="KA352" s="9"/>
      <c r="KB352" s="9"/>
      <c r="KC352" s="9"/>
      <c r="KD352" s="9"/>
      <c r="KE352" s="9"/>
      <c r="KF352" s="9"/>
      <c r="KG352" s="9"/>
      <c r="KH352" s="9"/>
      <c r="KI352" s="9"/>
      <c r="KJ352" s="9"/>
      <c r="KK352" s="9"/>
      <c r="KL352" s="9"/>
      <c r="KM352" s="9"/>
      <c r="KN352" s="9"/>
      <c r="KO352" s="9"/>
      <c r="KP352" s="9"/>
      <c r="KQ352" s="9"/>
      <c r="KR352" s="9"/>
      <c r="KS352" s="9"/>
      <c r="KT352" s="9"/>
      <c r="KU352" s="9"/>
      <c r="KV352" s="9"/>
      <c r="KW352" s="9"/>
      <c r="KX352" s="9"/>
      <c r="KY352" s="9"/>
      <c r="KZ352" s="9"/>
      <c r="LA352" s="9"/>
      <c r="LB352" s="9"/>
      <c r="LC352" s="9"/>
      <c r="LD352" s="9"/>
      <c r="LE352" s="9"/>
      <c r="LF352" s="9"/>
      <c r="LG352" s="9"/>
      <c r="LH352" s="9"/>
      <c r="LI352" s="9"/>
      <c r="LJ352" s="9"/>
      <c r="LK352" s="9"/>
      <c r="LL352" s="9"/>
      <c r="LM352" s="9"/>
      <c r="LN352" s="9"/>
      <c r="LO352" s="9"/>
      <c r="LP352" s="9"/>
      <c r="LQ352" s="9"/>
      <c r="LR352" s="9"/>
      <c r="LS352" s="9"/>
      <c r="LT352" s="9"/>
      <c r="LU352" s="9"/>
      <c r="LV352" s="9"/>
      <c r="LW352" s="9"/>
      <c r="LX352" s="9"/>
      <c r="LY352" s="9"/>
      <c r="LZ352" s="9"/>
      <c r="MA352" s="9"/>
      <c r="MB352" s="9"/>
      <c r="MC352" s="9"/>
      <c r="MD352" s="9"/>
      <c r="ME352" s="9"/>
      <c r="MF352" s="9"/>
      <c r="MG352" s="9"/>
      <c r="MH352" s="9"/>
      <c r="MI352" s="9"/>
      <c r="MJ352" s="9"/>
      <c r="MK352" s="9"/>
      <c r="ML352" s="9"/>
      <c r="MM352" s="9"/>
      <c r="MN352" s="9"/>
      <c r="MO352" s="9"/>
      <c r="MP352" s="9"/>
      <c r="MQ352" s="9"/>
      <c r="MR352" s="9"/>
      <c r="MS352" s="9"/>
      <c r="MT352" s="9"/>
      <c r="MU352" s="9"/>
      <c r="MV352" s="9"/>
      <c r="MW352" s="9"/>
      <c r="MX352" s="9"/>
      <c r="MY352" s="9"/>
      <c r="MZ352" s="9"/>
      <c r="NA352" s="9"/>
      <c r="NB352" s="9"/>
      <c r="NC352" s="9"/>
      <c r="ND352" s="9"/>
      <c r="NE352" s="9"/>
      <c r="NF352" s="9"/>
      <c r="NG352" s="9"/>
      <c r="NH352" s="9"/>
      <c r="NI352" s="9"/>
      <c r="NJ352" s="9"/>
      <c r="NK352" s="9"/>
      <c r="NL352" s="9"/>
      <c r="NM352" s="9"/>
      <c r="NN352" s="9"/>
      <c r="NO352" s="9"/>
      <c r="NP352" s="9"/>
      <c r="NQ352" s="9"/>
      <c r="NR352" s="9"/>
      <c r="NS352" s="9"/>
      <c r="NT352" s="9"/>
      <c r="NU352" s="9"/>
      <c r="NV352" s="9"/>
      <c r="NW352" s="9"/>
      <c r="NX352" s="9"/>
      <c r="NY352" s="9"/>
      <c r="NZ352" s="9"/>
      <c r="OA352" s="9"/>
      <c r="OB352" s="9"/>
      <c r="OC352" s="9"/>
      <c r="OD352" s="9"/>
      <c r="OE352" s="9"/>
      <c r="OF352" s="9"/>
      <c r="OG352" s="9"/>
      <c r="OH352" s="9"/>
      <c r="OI352" s="9"/>
      <c r="OJ352" s="9"/>
      <c r="OK352" s="9"/>
      <c r="OL352" s="9"/>
      <c r="OM352" s="9"/>
      <c r="ON352" s="9"/>
      <c r="OO352" s="9"/>
      <c r="OP352" s="9"/>
      <c r="OQ352" s="9"/>
      <c r="OR352" s="9"/>
      <c r="OS352" s="9"/>
      <c r="OT352" s="9"/>
      <c r="OU352" s="9"/>
      <c r="OV352" s="9"/>
      <c r="OW352" s="9"/>
      <c r="OX352" s="9"/>
      <c r="OY352" s="9"/>
      <c r="OZ352" s="9"/>
      <c r="PA352" s="9"/>
      <c r="PB352" s="9"/>
      <c r="PC352" s="9"/>
      <c r="PD352" s="9"/>
      <c r="PE352" s="9"/>
      <c r="PF352" s="9"/>
      <c r="PG352" s="9"/>
      <c r="PH352" s="9"/>
      <c r="PI352" s="9"/>
      <c r="PJ352" s="9"/>
      <c r="PK352" s="9"/>
      <c r="PL352" s="9"/>
      <c r="PM352" s="9"/>
      <c r="PN352" s="9"/>
      <c r="PO352" s="9"/>
      <c r="PP352" s="9"/>
      <c r="PQ352" s="9"/>
      <c r="PR352" s="9"/>
      <c r="PS352" s="9"/>
      <c r="PT352" s="9"/>
      <c r="PU352" s="9"/>
      <c r="PV352" s="9"/>
      <c r="PW352" s="9"/>
      <c r="PX352" s="9"/>
      <c r="PY352" s="9"/>
      <c r="PZ352" s="9"/>
      <c r="QA352" s="9"/>
      <c r="QB352" s="9"/>
      <c r="QC352" s="9"/>
      <c r="QD352" s="9"/>
      <c r="QE352" s="9"/>
      <c r="QF352" s="9"/>
      <c r="QG352" s="9"/>
      <c r="QH352" s="9"/>
      <c r="QI352" s="9"/>
      <c r="QJ352" s="9"/>
      <c r="QK352" s="9"/>
      <c r="QL352" s="9"/>
      <c r="QM352" s="9" t="s">
        <v>1101</v>
      </c>
      <c r="QN352" s="9"/>
      <c r="QO352" s="9" t="s">
        <v>1101</v>
      </c>
      <c r="QP352" s="9"/>
      <c r="QQ352" s="67"/>
      <c r="QR352" s="68"/>
      <c r="QS352" s="63"/>
      <c r="QT352" s="71"/>
    </row>
    <row r="353" spans="1:462" s="11" customFormat="1" x14ac:dyDescent="0.2">
      <c r="A353" s="9">
        <v>20</v>
      </c>
      <c r="B353" s="9"/>
      <c r="C353" s="9"/>
      <c r="D353" s="9" t="s">
        <v>41</v>
      </c>
      <c r="E353" s="65" t="s">
        <v>42</v>
      </c>
      <c r="F353" s="65"/>
      <c r="G353" s="92" t="s">
        <v>2212</v>
      </c>
      <c r="H353" s="66" t="s">
        <v>1377</v>
      </c>
      <c r="I353" s="9" t="s">
        <v>1101</v>
      </c>
      <c r="J353" s="9"/>
      <c r="K353" s="9"/>
      <c r="L353" s="9"/>
      <c r="M353" s="9"/>
      <c r="N353" s="9"/>
      <c r="O353" s="9" t="s">
        <v>1101</v>
      </c>
      <c r="P353" s="9"/>
      <c r="Q353" s="9" t="s">
        <v>1101</v>
      </c>
      <c r="R353" s="9"/>
      <c r="S353" s="9"/>
      <c r="T353" s="9"/>
      <c r="U353" s="9"/>
      <c r="V353" s="9"/>
      <c r="W353" s="9" t="s">
        <v>1101</v>
      </c>
      <c r="X353" s="9"/>
      <c r="Y353" s="9" t="s">
        <v>1101</v>
      </c>
      <c r="Z353" s="9"/>
      <c r="AA353" s="9"/>
      <c r="AB353" s="9"/>
      <c r="AC353" s="9"/>
      <c r="AD353" s="9"/>
      <c r="AE353" s="9" t="s">
        <v>1101</v>
      </c>
      <c r="AF353" s="9"/>
      <c r="AG353" s="9" t="s">
        <v>1101</v>
      </c>
      <c r="AH353" s="9"/>
      <c r="AI353" s="9"/>
      <c r="AJ353" s="9"/>
      <c r="AK353" s="9"/>
      <c r="AL353" s="9"/>
      <c r="AM353" s="9" t="s">
        <v>1101</v>
      </c>
      <c r="AN353" s="9"/>
      <c r="AO353" s="9" t="s">
        <v>1101</v>
      </c>
      <c r="AP353" s="9"/>
      <c r="AQ353" s="9"/>
      <c r="AR353" s="9"/>
      <c r="AS353" s="9"/>
      <c r="AT353" s="9"/>
      <c r="AU353" s="9" t="s">
        <v>1101</v>
      </c>
      <c r="AV353" s="9"/>
      <c r="AW353" s="9" t="s">
        <v>1101</v>
      </c>
      <c r="AX353" s="9"/>
      <c r="AY353" s="9"/>
      <c r="AZ353" s="9"/>
      <c r="BA353" s="9"/>
      <c r="BB353" s="9"/>
      <c r="BC353" s="9" t="s">
        <v>1101</v>
      </c>
      <c r="BD353" s="9"/>
      <c r="BE353" s="9" t="s">
        <v>1101</v>
      </c>
      <c r="BF353" s="9"/>
      <c r="BG353" s="9"/>
      <c r="BH353" s="9"/>
      <c r="BI353" s="9"/>
      <c r="BJ353" s="9"/>
      <c r="BK353" s="9" t="s">
        <v>1101</v>
      </c>
      <c r="BL353" s="9"/>
      <c r="BM353" s="9" t="s">
        <v>1101</v>
      </c>
      <c r="BN353" s="9"/>
      <c r="BO353" s="9"/>
      <c r="BP353" s="9"/>
      <c r="BQ353" s="9"/>
      <c r="BR353" s="9"/>
      <c r="BS353" s="9" t="s">
        <v>1101</v>
      </c>
      <c r="BT353" s="9"/>
      <c r="BU353" s="9" t="s">
        <v>1101</v>
      </c>
      <c r="BV353" s="9"/>
      <c r="BW353" s="9"/>
      <c r="BX353" s="9"/>
      <c r="BY353" s="9"/>
      <c r="BZ353" s="9"/>
      <c r="CA353" s="9" t="s">
        <v>1101</v>
      </c>
      <c r="CB353" s="9"/>
      <c r="CC353" s="9" t="s">
        <v>1101</v>
      </c>
      <c r="CD353" s="9"/>
      <c r="CE353" s="9"/>
      <c r="CF353" s="9"/>
      <c r="CG353" s="9"/>
      <c r="CH353" s="9"/>
      <c r="CI353" s="9" t="s">
        <v>1101</v>
      </c>
      <c r="CJ353" s="9"/>
      <c r="CK353" s="9" t="s">
        <v>1101</v>
      </c>
      <c r="CL353" s="9"/>
      <c r="CM353" s="9"/>
      <c r="CN353" s="9"/>
      <c r="CO353" s="9"/>
      <c r="CP353" s="9"/>
      <c r="CQ353" s="9" t="s">
        <v>1101</v>
      </c>
      <c r="CR353" s="9"/>
      <c r="CS353" s="9" t="s">
        <v>1101</v>
      </c>
      <c r="CT353" s="9"/>
      <c r="CU353" s="9"/>
      <c r="CV353" s="9"/>
      <c r="CW353" s="9"/>
      <c r="CX353" s="9"/>
      <c r="CY353" s="9" t="s">
        <v>1101</v>
      </c>
      <c r="CZ353" s="9"/>
      <c r="DA353" s="9" t="s">
        <v>1101</v>
      </c>
      <c r="DB353" s="9"/>
      <c r="DC353" s="9"/>
      <c r="DD353" s="9"/>
      <c r="DE353" s="9"/>
      <c r="DF353" s="9"/>
      <c r="DG353" s="9" t="s">
        <v>1101</v>
      </c>
      <c r="DH353" s="9"/>
      <c r="DI353" s="9" t="s">
        <v>1101</v>
      </c>
      <c r="DJ353" s="9"/>
      <c r="DK353" s="9"/>
      <c r="DL353" s="9"/>
      <c r="DM353" s="9"/>
      <c r="DN353" s="9"/>
      <c r="DO353" s="9" t="s">
        <v>1101</v>
      </c>
      <c r="DP353" s="9"/>
      <c r="DQ353" s="9" t="s">
        <v>1101</v>
      </c>
      <c r="DR353" s="9"/>
      <c r="DS353" s="9"/>
      <c r="DT353" s="9"/>
      <c r="DU353" s="9"/>
      <c r="DV353" s="9"/>
      <c r="DW353" s="9" t="s">
        <v>1101</v>
      </c>
      <c r="DX353" s="9"/>
      <c r="DY353" s="9" t="s">
        <v>1101</v>
      </c>
      <c r="DZ353" s="9"/>
      <c r="EA353" s="9"/>
      <c r="EB353" s="9"/>
      <c r="EC353" s="9"/>
      <c r="ED353" s="9"/>
      <c r="EE353" s="9" t="s">
        <v>1101</v>
      </c>
      <c r="EF353" s="9"/>
      <c r="EG353" s="9" t="s">
        <v>1101</v>
      </c>
      <c r="EH353" s="9"/>
      <c r="EI353" s="9"/>
      <c r="EJ353" s="9"/>
      <c r="EK353" s="9"/>
      <c r="EL353" s="9"/>
      <c r="EM353" s="9" t="s">
        <v>1101</v>
      </c>
      <c r="EN353" s="9"/>
      <c r="EO353" s="9" t="s">
        <v>1101</v>
      </c>
      <c r="EP353" s="9"/>
      <c r="EQ353" s="9"/>
      <c r="ER353" s="9"/>
      <c r="ES353" s="9"/>
      <c r="ET353" s="9"/>
      <c r="EU353" s="9" t="s">
        <v>1101</v>
      </c>
      <c r="EV353" s="9"/>
      <c r="EW353" s="9" t="s">
        <v>1101</v>
      </c>
      <c r="EX353" s="9"/>
      <c r="EY353" s="9"/>
      <c r="EZ353" s="9"/>
      <c r="FA353" s="9"/>
      <c r="FB353" s="9"/>
      <c r="FC353" s="9" t="s">
        <v>1101</v>
      </c>
      <c r="FD353" s="9"/>
      <c r="FE353" s="9" t="s">
        <v>1101</v>
      </c>
      <c r="FF353" s="9"/>
      <c r="FG353" s="9"/>
      <c r="FH353" s="9"/>
      <c r="FI353" s="9"/>
      <c r="FJ353" s="9"/>
      <c r="FK353" s="9" t="s">
        <v>1101</v>
      </c>
      <c r="FL353" s="9"/>
      <c r="FM353" s="9" t="s">
        <v>1101</v>
      </c>
      <c r="FN353" s="9"/>
      <c r="FO353" s="9"/>
      <c r="FP353" s="9"/>
      <c r="FQ353" s="9"/>
      <c r="FR353" s="9"/>
      <c r="FS353" s="9" t="s">
        <v>1101</v>
      </c>
      <c r="FT353" s="9"/>
      <c r="FU353" s="9" t="s">
        <v>1101</v>
      </c>
      <c r="FV353" s="9"/>
      <c r="FW353" s="9"/>
      <c r="FX353" s="9"/>
      <c r="FY353" s="9"/>
      <c r="FZ353" s="9"/>
      <c r="GA353" s="9" t="s">
        <v>1101</v>
      </c>
      <c r="GB353" s="9"/>
      <c r="GC353" s="9" t="s">
        <v>1101</v>
      </c>
      <c r="GD353" s="9"/>
      <c r="GE353" s="9"/>
      <c r="GF353" s="9"/>
      <c r="GG353" s="9"/>
      <c r="GH353" s="9"/>
      <c r="GI353" s="9" t="s">
        <v>1101</v>
      </c>
      <c r="GJ353" s="9"/>
      <c r="GK353" s="9" t="s">
        <v>1101</v>
      </c>
      <c r="GL353" s="9"/>
      <c r="GM353" s="9"/>
      <c r="GN353" s="9"/>
      <c r="GO353" s="9"/>
      <c r="GP353" s="9"/>
      <c r="GQ353" s="9" t="s">
        <v>1101</v>
      </c>
      <c r="GR353" s="9"/>
      <c r="GS353" s="9" t="s">
        <v>1101</v>
      </c>
      <c r="GT353" s="9"/>
      <c r="GU353" s="9"/>
      <c r="GV353" s="9"/>
      <c r="GW353" s="9"/>
      <c r="GX353" s="9"/>
      <c r="GY353" s="9" t="s">
        <v>1101</v>
      </c>
      <c r="GZ353" s="9"/>
      <c r="HA353" s="9" t="s">
        <v>1101</v>
      </c>
      <c r="HB353" s="9"/>
      <c r="HC353" s="9"/>
      <c r="HD353" s="9"/>
      <c r="HE353" s="9"/>
      <c r="HF353" s="9"/>
      <c r="HG353" s="9" t="s">
        <v>1101</v>
      </c>
      <c r="HH353" s="9"/>
      <c r="HI353" s="9" t="s">
        <v>1101</v>
      </c>
      <c r="HJ353" s="9"/>
      <c r="HK353" s="9"/>
      <c r="HL353" s="9"/>
      <c r="HM353" s="9"/>
      <c r="HN353" s="9"/>
      <c r="HO353" s="9" t="s">
        <v>1101</v>
      </c>
      <c r="HP353" s="9"/>
      <c r="HQ353" s="9" t="s">
        <v>1101</v>
      </c>
      <c r="HR353" s="9"/>
      <c r="HS353" s="9"/>
      <c r="HT353" s="9"/>
      <c r="HU353" s="9"/>
      <c r="HV353" s="9"/>
      <c r="HW353" s="9" t="s">
        <v>1101</v>
      </c>
      <c r="HX353" s="9"/>
      <c r="HY353" s="9" t="s">
        <v>1101</v>
      </c>
      <c r="HZ353" s="9"/>
      <c r="IA353" s="9"/>
      <c r="IB353" s="9"/>
      <c r="IC353" s="9"/>
      <c r="ID353" s="9"/>
      <c r="IE353" s="9" t="s">
        <v>1101</v>
      </c>
      <c r="IF353" s="9"/>
      <c r="IG353" s="9" t="s">
        <v>1101</v>
      </c>
      <c r="IH353" s="9"/>
      <c r="II353" s="9"/>
      <c r="IJ353" s="9"/>
      <c r="IK353" s="9"/>
      <c r="IL353" s="9"/>
      <c r="IM353" s="9" t="s">
        <v>1101</v>
      </c>
      <c r="IN353" s="9"/>
      <c r="IO353" s="9" t="s">
        <v>1101</v>
      </c>
      <c r="IP353" s="9"/>
      <c r="IQ353" s="9"/>
      <c r="IR353" s="9"/>
      <c r="IS353" s="9"/>
      <c r="IT353" s="9"/>
      <c r="IU353" s="9" t="s">
        <v>1101</v>
      </c>
      <c r="IV353" s="9"/>
      <c r="IW353" s="9" t="s">
        <v>1101</v>
      </c>
      <c r="IX353" s="9"/>
      <c r="IY353" s="9"/>
      <c r="IZ353" s="9"/>
      <c r="JA353" s="9"/>
      <c r="JB353" s="9"/>
      <c r="JC353" s="9" t="s">
        <v>1101</v>
      </c>
      <c r="JD353" s="9"/>
      <c r="JE353" s="9" t="s">
        <v>1101</v>
      </c>
      <c r="JF353" s="9"/>
      <c r="JG353" s="9"/>
      <c r="JH353" s="9"/>
      <c r="JI353" s="9"/>
      <c r="JJ353" s="9"/>
      <c r="JK353" s="9" t="s">
        <v>1101</v>
      </c>
      <c r="JL353" s="9"/>
      <c r="JM353" s="9" t="s">
        <v>1101</v>
      </c>
      <c r="JN353" s="9"/>
      <c r="JO353" s="9"/>
      <c r="JP353" s="9"/>
      <c r="JQ353" s="9"/>
      <c r="JR353" s="9"/>
      <c r="JS353" s="9" t="s">
        <v>1101</v>
      </c>
      <c r="JT353" s="9"/>
      <c r="JU353" s="9" t="s">
        <v>1101</v>
      </c>
      <c r="JV353" s="9"/>
      <c r="JW353" s="9"/>
      <c r="JX353" s="9"/>
      <c r="JY353" s="9"/>
      <c r="JZ353" s="9"/>
      <c r="KA353" s="9" t="s">
        <v>1101</v>
      </c>
      <c r="KB353" s="9"/>
      <c r="KC353" s="9" t="s">
        <v>1101</v>
      </c>
      <c r="KD353" s="9"/>
      <c r="KE353" s="9"/>
      <c r="KF353" s="9"/>
      <c r="KG353" s="9"/>
      <c r="KH353" s="9"/>
      <c r="KI353" s="9" t="s">
        <v>1101</v>
      </c>
      <c r="KJ353" s="9"/>
      <c r="KK353" s="9" t="s">
        <v>1101</v>
      </c>
      <c r="KL353" s="9"/>
      <c r="KM353" s="9"/>
      <c r="KN353" s="9"/>
      <c r="KO353" s="9"/>
      <c r="KP353" s="9"/>
      <c r="KQ353" s="9" t="s">
        <v>1101</v>
      </c>
      <c r="KR353" s="9"/>
      <c r="KS353" s="9" t="s">
        <v>1101</v>
      </c>
      <c r="KT353" s="9"/>
      <c r="KU353" s="9"/>
      <c r="KV353" s="9"/>
      <c r="KW353" s="9"/>
      <c r="KX353" s="9"/>
      <c r="KY353" s="9" t="s">
        <v>1101</v>
      </c>
      <c r="KZ353" s="9"/>
      <c r="LA353" s="9" t="s">
        <v>1101</v>
      </c>
      <c r="LB353" s="9"/>
      <c r="LC353" s="9"/>
      <c r="LD353" s="9"/>
      <c r="LE353" s="9"/>
      <c r="LF353" s="9"/>
      <c r="LG353" s="9" t="s">
        <v>1101</v>
      </c>
      <c r="LH353" s="9"/>
      <c r="LI353" s="9" t="s">
        <v>1101</v>
      </c>
      <c r="LJ353" s="9"/>
      <c r="LK353" s="9"/>
      <c r="LL353" s="9"/>
      <c r="LM353" s="9"/>
      <c r="LN353" s="9"/>
      <c r="LO353" s="9" t="s">
        <v>1101</v>
      </c>
      <c r="LP353" s="9"/>
      <c r="LQ353" s="9" t="s">
        <v>1101</v>
      </c>
      <c r="LR353" s="9"/>
      <c r="LS353" s="9"/>
      <c r="LT353" s="9"/>
      <c r="LU353" s="9"/>
      <c r="LV353" s="9"/>
      <c r="LW353" s="9" t="s">
        <v>1101</v>
      </c>
      <c r="LX353" s="9"/>
      <c r="LY353" s="9" t="s">
        <v>1101</v>
      </c>
      <c r="LZ353" s="9"/>
      <c r="MA353" s="9"/>
      <c r="MB353" s="9"/>
      <c r="MC353" s="9"/>
      <c r="MD353" s="9"/>
      <c r="ME353" s="9" t="s">
        <v>1101</v>
      </c>
      <c r="MF353" s="9"/>
      <c r="MG353" s="9" t="s">
        <v>1101</v>
      </c>
      <c r="MH353" s="9"/>
      <c r="MI353" s="9"/>
      <c r="MJ353" s="9"/>
      <c r="MK353" s="9"/>
      <c r="ML353" s="9"/>
      <c r="MM353" s="9" t="s">
        <v>1101</v>
      </c>
      <c r="MN353" s="9"/>
      <c r="MO353" s="9" t="s">
        <v>1101</v>
      </c>
      <c r="MP353" s="9"/>
      <c r="MQ353" s="9"/>
      <c r="MR353" s="9"/>
      <c r="MS353" s="9"/>
      <c r="MT353" s="9"/>
      <c r="MU353" s="9" t="s">
        <v>1101</v>
      </c>
      <c r="MV353" s="9"/>
      <c r="MW353" s="9" t="s">
        <v>1101</v>
      </c>
      <c r="MX353" s="9"/>
      <c r="MY353" s="9"/>
      <c r="MZ353" s="9"/>
      <c r="NA353" s="9"/>
      <c r="NB353" s="9"/>
      <c r="NC353" s="9" t="s">
        <v>1101</v>
      </c>
      <c r="ND353" s="9"/>
      <c r="NE353" s="9" t="s">
        <v>1101</v>
      </c>
      <c r="NF353" s="9"/>
      <c r="NG353" s="9"/>
      <c r="NH353" s="9"/>
      <c r="NI353" s="9"/>
      <c r="NJ353" s="9"/>
      <c r="NK353" s="9" t="s">
        <v>1101</v>
      </c>
      <c r="NL353" s="9"/>
      <c r="NM353" s="9" t="s">
        <v>1101</v>
      </c>
      <c r="NN353" s="9"/>
      <c r="NO353" s="9"/>
      <c r="NP353" s="9"/>
      <c r="NQ353" s="9"/>
      <c r="NR353" s="9"/>
      <c r="NS353" s="9" t="s">
        <v>1101</v>
      </c>
      <c r="NT353" s="9"/>
      <c r="NU353" s="9" t="s">
        <v>1101</v>
      </c>
      <c r="NV353" s="9"/>
      <c r="NW353" s="9"/>
      <c r="NX353" s="9"/>
      <c r="NY353" s="9"/>
      <c r="NZ353" s="9"/>
      <c r="OA353" s="9" t="s">
        <v>1101</v>
      </c>
      <c r="OB353" s="9"/>
      <c r="OC353" s="9" t="s">
        <v>1101</v>
      </c>
      <c r="OD353" s="9"/>
      <c r="OE353" s="9"/>
      <c r="OF353" s="9"/>
      <c r="OG353" s="9"/>
      <c r="OH353" s="9"/>
      <c r="OI353" s="9" t="s">
        <v>1101</v>
      </c>
      <c r="OJ353" s="9"/>
      <c r="OK353" s="9" t="s">
        <v>1101</v>
      </c>
      <c r="OL353" s="9"/>
      <c r="OM353" s="9"/>
      <c r="ON353" s="9"/>
      <c r="OO353" s="9"/>
      <c r="OP353" s="9"/>
      <c r="OQ353" s="9" t="s">
        <v>1101</v>
      </c>
      <c r="OR353" s="9"/>
      <c r="OS353" s="9" t="s">
        <v>1101</v>
      </c>
      <c r="OT353" s="9"/>
      <c r="OU353" s="9"/>
      <c r="OV353" s="9"/>
      <c r="OW353" s="9"/>
      <c r="OX353" s="9"/>
      <c r="OY353" s="9" t="s">
        <v>1101</v>
      </c>
      <c r="OZ353" s="9"/>
      <c r="PA353" s="9" t="s">
        <v>1101</v>
      </c>
      <c r="PB353" s="9"/>
      <c r="PC353" s="9"/>
      <c r="PD353" s="9"/>
      <c r="PE353" s="9"/>
      <c r="PF353" s="9"/>
      <c r="PG353" s="9" t="s">
        <v>1101</v>
      </c>
      <c r="PH353" s="9"/>
      <c r="PI353" s="9" t="s">
        <v>1101</v>
      </c>
      <c r="PJ353" s="9"/>
      <c r="PK353" s="9"/>
      <c r="PL353" s="9"/>
      <c r="PM353" s="9"/>
      <c r="PN353" s="9"/>
      <c r="PO353" s="9" t="s">
        <v>1101</v>
      </c>
      <c r="PP353" s="9"/>
      <c r="PQ353" s="9" t="s">
        <v>1101</v>
      </c>
      <c r="PR353" s="9"/>
      <c r="PS353" s="9"/>
      <c r="PT353" s="9"/>
      <c r="PU353" s="9"/>
      <c r="PV353" s="9"/>
      <c r="PW353" s="9" t="s">
        <v>1101</v>
      </c>
      <c r="PX353" s="9"/>
      <c r="PY353" s="9" t="s">
        <v>1101</v>
      </c>
      <c r="PZ353" s="9"/>
      <c r="QA353" s="9"/>
      <c r="QB353" s="9"/>
      <c r="QC353" s="9"/>
      <c r="QD353" s="9"/>
      <c r="QE353" s="9" t="s">
        <v>1101</v>
      </c>
      <c r="QF353" s="9"/>
      <c r="QG353" s="9" t="s">
        <v>1101</v>
      </c>
      <c r="QH353" s="9"/>
      <c r="QI353" s="9"/>
      <c r="QJ353" s="9"/>
      <c r="QK353" s="9"/>
      <c r="QL353" s="9"/>
      <c r="QM353" s="9" t="s">
        <v>1041</v>
      </c>
      <c r="QN353" s="9"/>
      <c r="QO353" s="9" t="s">
        <v>1041</v>
      </c>
      <c r="QP353" s="9"/>
      <c r="QQ353" s="67"/>
      <c r="QR353" s="68"/>
      <c r="QS353" s="157"/>
      <c r="QT353" s="158"/>
    </row>
    <row r="354" spans="1:462" s="11" customFormat="1" x14ac:dyDescent="0.2">
      <c r="A354" s="9">
        <v>20</v>
      </c>
      <c r="B354" s="9"/>
      <c r="C354" s="9"/>
      <c r="D354" s="9" t="s">
        <v>45</v>
      </c>
      <c r="E354" s="65" t="s">
        <v>46</v>
      </c>
      <c r="F354" s="65"/>
      <c r="G354" s="92" t="s">
        <v>2213</v>
      </c>
      <c r="H354" s="66" t="s">
        <v>1378</v>
      </c>
      <c r="I354" s="9" t="s">
        <v>1101</v>
      </c>
      <c r="J354" s="9"/>
      <c r="K354" s="9"/>
      <c r="L354" s="9"/>
      <c r="M354" s="9"/>
      <c r="N354" s="9"/>
      <c r="O354" s="9" t="s">
        <v>1101</v>
      </c>
      <c r="P354" s="9"/>
      <c r="Q354" s="9" t="s">
        <v>1101</v>
      </c>
      <c r="R354" s="9"/>
      <c r="S354" s="9"/>
      <c r="T354" s="9"/>
      <c r="U354" s="9"/>
      <c r="V354" s="9"/>
      <c r="W354" s="9" t="s">
        <v>1101</v>
      </c>
      <c r="X354" s="9"/>
      <c r="Y354" s="9" t="s">
        <v>1101</v>
      </c>
      <c r="Z354" s="9"/>
      <c r="AA354" s="9"/>
      <c r="AB354" s="9"/>
      <c r="AC354" s="9"/>
      <c r="AD354" s="9"/>
      <c r="AE354" s="9" t="s">
        <v>1101</v>
      </c>
      <c r="AF354" s="9"/>
      <c r="AG354" s="9" t="s">
        <v>1101</v>
      </c>
      <c r="AH354" s="9"/>
      <c r="AI354" s="9"/>
      <c r="AJ354" s="9"/>
      <c r="AK354" s="9"/>
      <c r="AL354" s="9"/>
      <c r="AM354" s="9" t="s">
        <v>1101</v>
      </c>
      <c r="AN354" s="9"/>
      <c r="AO354" s="9" t="s">
        <v>1101</v>
      </c>
      <c r="AP354" s="9"/>
      <c r="AQ354" s="9"/>
      <c r="AR354" s="9"/>
      <c r="AS354" s="9"/>
      <c r="AT354" s="9"/>
      <c r="AU354" s="9" t="s">
        <v>1101</v>
      </c>
      <c r="AV354" s="9"/>
      <c r="AW354" s="9" t="s">
        <v>1101</v>
      </c>
      <c r="AX354" s="9"/>
      <c r="AY354" s="9"/>
      <c r="AZ354" s="9"/>
      <c r="BA354" s="9"/>
      <c r="BB354" s="9"/>
      <c r="BC354" s="9" t="s">
        <v>1101</v>
      </c>
      <c r="BD354" s="9"/>
      <c r="BE354" s="9" t="s">
        <v>1101</v>
      </c>
      <c r="BF354" s="9"/>
      <c r="BG354" s="9"/>
      <c r="BH354" s="9"/>
      <c r="BI354" s="9"/>
      <c r="BJ354" s="9"/>
      <c r="BK354" s="9" t="s">
        <v>1101</v>
      </c>
      <c r="BL354" s="9"/>
      <c r="BM354" s="9" t="s">
        <v>1101</v>
      </c>
      <c r="BN354" s="9"/>
      <c r="BO354" s="9"/>
      <c r="BP354" s="9"/>
      <c r="BQ354" s="9"/>
      <c r="BR354" s="9"/>
      <c r="BS354" s="9" t="s">
        <v>1101</v>
      </c>
      <c r="BT354" s="9"/>
      <c r="BU354" s="9" t="s">
        <v>1101</v>
      </c>
      <c r="BV354" s="9"/>
      <c r="BW354" s="9"/>
      <c r="BX354" s="9"/>
      <c r="BY354" s="9"/>
      <c r="BZ354" s="9"/>
      <c r="CA354" s="9" t="s">
        <v>1101</v>
      </c>
      <c r="CB354" s="9"/>
      <c r="CC354" s="9" t="s">
        <v>1101</v>
      </c>
      <c r="CD354" s="9"/>
      <c r="CE354" s="9"/>
      <c r="CF354" s="9"/>
      <c r="CG354" s="9"/>
      <c r="CH354" s="9"/>
      <c r="CI354" s="9" t="s">
        <v>1101</v>
      </c>
      <c r="CJ354" s="9"/>
      <c r="CK354" s="9" t="s">
        <v>1101</v>
      </c>
      <c r="CL354" s="9"/>
      <c r="CM354" s="9"/>
      <c r="CN354" s="9"/>
      <c r="CO354" s="9"/>
      <c r="CP354" s="9"/>
      <c r="CQ354" s="9" t="s">
        <v>1101</v>
      </c>
      <c r="CR354" s="9"/>
      <c r="CS354" s="9" t="s">
        <v>1101</v>
      </c>
      <c r="CT354" s="9"/>
      <c r="CU354" s="9"/>
      <c r="CV354" s="9"/>
      <c r="CW354" s="9"/>
      <c r="CX354" s="9"/>
      <c r="CY354" s="9" t="s">
        <v>1101</v>
      </c>
      <c r="CZ354" s="9"/>
      <c r="DA354" s="9" t="s">
        <v>1101</v>
      </c>
      <c r="DB354" s="9"/>
      <c r="DC354" s="9"/>
      <c r="DD354" s="9"/>
      <c r="DE354" s="9"/>
      <c r="DF354" s="9"/>
      <c r="DG354" s="9" t="s">
        <v>1101</v>
      </c>
      <c r="DH354" s="9"/>
      <c r="DI354" s="9" t="s">
        <v>1101</v>
      </c>
      <c r="DJ354" s="9"/>
      <c r="DK354" s="9"/>
      <c r="DL354" s="9"/>
      <c r="DM354" s="9"/>
      <c r="DN354" s="9"/>
      <c r="DO354" s="9" t="s">
        <v>1101</v>
      </c>
      <c r="DP354" s="9"/>
      <c r="DQ354" s="9" t="s">
        <v>1101</v>
      </c>
      <c r="DR354" s="9"/>
      <c r="DS354" s="9"/>
      <c r="DT354" s="9"/>
      <c r="DU354" s="9"/>
      <c r="DV354" s="9"/>
      <c r="DW354" s="9" t="s">
        <v>1101</v>
      </c>
      <c r="DX354" s="9"/>
      <c r="DY354" s="9" t="s">
        <v>1101</v>
      </c>
      <c r="DZ354" s="9"/>
      <c r="EA354" s="9"/>
      <c r="EB354" s="9"/>
      <c r="EC354" s="9"/>
      <c r="ED354" s="9"/>
      <c r="EE354" s="9" t="s">
        <v>1101</v>
      </c>
      <c r="EF354" s="9"/>
      <c r="EG354" s="9" t="s">
        <v>1101</v>
      </c>
      <c r="EH354" s="9"/>
      <c r="EI354" s="9"/>
      <c r="EJ354" s="9"/>
      <c r="EK354" s="9"/>
      <c r="EL354" s="9"/>
      <c r="EM354" s="9" t="s">
        <v>1101</v>
      </c>
      <c r="EN354" s="9"/>
      <c r="EO354" s="9" t="s">
        <v>1101</v>
      </c>
      <c r="EP354" s="9"/>
      <c r="EQ354" s="9"/>
      <c r="ER354" s="9"/>
      <c r="ES354" s="9"/>
      <c r="ET354" s="9"/>
      <c r="EU354" s="9" t="s">
        <v>1101</v>
      </c>
      <c r="EV354" s="9"/>
      <c r="EW354" s="9" t="s">
        <v>1101</v>
      </c>
      <c r="EX354" s="9"/>
      <c r="EY354" s="9"/>
      <c r="EZ354" s="9"/>
      <c r="FA354" s="9"/>
      <c r="FB354" s="9"/>
      <c r="FC354" s="9" t="s">
        <v>1101</v>
      </c>
      <c r="FD354" s="9"/>
      <c r="FE354" s="9" t="s">
        <v>1101</v>
      </c>
      <c r="FF354" s="9"/>
      <c r="FG354" s="9"/>
      <c r="FH354" s="9"/>
      <c r="FI354" s="9"/>
      <c r="FJ354" s="9"/>
      <c r="FK354" s="9" t="s">
        <v>1101</v>
      </c>
      <c r="FL354" s="9"/>
      <c r="FM354" s="9" t="s">
        <v>1101</v>
      </c>
      <c r="FN354" s="9"/>
      <c r="FO354" s="9"/>
      <c r="FP354" s="9"/>
      <c r="FQ354" s="9"/>
      <c r="FR354" s="9"/>
      <c r="FS354" s="9" t="s">
        <v>1101</v>
      </c>
      <c r="FT354" s="9"/>
      <c r="FU354" s="9" t="s">
        <v>1101</v>
      </c>
      <c r="FV354" s="9"/>
      <c r="FW354" s="9"/>
      <c r="FX354" s="9"/>
      <c r="FY354" s="9"/>
      <c r="FZ354" s="9"/>
      <c r="GA354" s="9" t="s">
        <v>1101</v>
      </c>
      <c r="GB354" s="9"/>
      <c r="GC354" s="9" t="s">
        <v>1101</v>
      </c>
      <c r="GD354" s="9"/>
      <c r="GE354" s="9"/>
      <c r="GF354" s="9"/>
      <c r="GG354" s="9"/>
      <c r="GH354" s="9"/>
      <c r="GI354" s="9" t="s">
        <v>1101</v>
      </c>
      <c r="GJ354" s="9"/>
      <c r="GK354" s="9" t="s">
        <v>1101</v>
      </c>
      <c r="GL354" s="9"/>
      <c r="GM354" s="9"/>
      <c r="GN354" s="9"/>
      <c r="GO354" s="9"/>
      <c r="GP354" s="9"/>
      <c r="GQ354" s="9" t="s">
        <v>1101</v>
      </c>
      <c r="GR354" s="9"/>
      <c r="GS354" s="9" t="s">
        <v>1101</v>
      </c>
      <c r="GT354" s="9"/>
      <c r="GU354" s="9"/>
      <c r="GV354" s="9"/>
      <c r="GW354" s="9"/>
      <c r="GX354" s="9"/>
      <c r="GY354" s="9" t="s">
        <v>1101</v>
      </c>
      <c r="GZ354" s="9"/>
      <c r="HA354" s="9" t="s">
        <v>1101</v>
      </c>
      <c r="HB354" s="9"/>
      <c r="HC354" s="9"/>
      <c r="HD354" s="9"/>
      <c r="HE354" s="9"/>
      <c r="HF354" s="9"/>
      <c r="HG354" s="9" t="s">
        <v>1101</v>
      </c>
      <c r="HH354" s="9"/>
      <c r="HI354" s="9" t="s">
        <v>1101</v>
      </c>
      <c r="HJ354" s="9"/>
      <c r="HK354" s="9"/>
      <c r="HL354" s="9"/>
      <c r="HM354" s="9"/>
      <c r="HN354" s="9"/>
      <c r="HO354" s="9" t="s">
        <v>1101</v>
      </c>
      <c r="HP354" s="9"/>
      <c r="HQ354" s="9" t="s">
        <v>1101</v>
      </c>
      <c r="HR354" s="9"/>
      <c r="HS354" s="9"/>
      <c r="HT354" s="9"/>
      <c r="HU354" s="9"/>
      <c r="HV354" s="9"/>
      <c r="HW354" s="9" t="s">
        <v>1101</v>
      </c>
      <c r="HX354" s="9"/>
      <c r="HY354" s="9" t="s">
        <v>1101</v>
      </c>
      <c r="HZ354" s="9"/>
      <c r="IA354" s="9"/>
      <c r="IB354" s="9"/>
      <c r="IC354" s="9"/>
      <c r="ID354" s="9"/>
      <c r="IE354" s="9" t="s">
        <v>1101</v>
      </c>
      <c r="IF354" s="9"/>
      <c r="IG354" s="9" t="s">
        <v>1101</v>
      </c>
      <c r="IH354" s="9"/>
      <c r="II354" s="9"/>
      <c r="IJ354" s="9"/>
      <c r="IK354" s="9"/>
      <c r="IL354" s="9"/>
      <c r="IM354" s="9" t="s">
        <v>1101</v>
      </c>
      <c r="IN354" s="9"/>
      <c r="IO354" s="9" t="s">
        <v>1101</v>
      </c>
      <c r="IP354" s="9"/>
      <c r="IQ354" s="9"/>
      <c r="IR354" s="9"/>
      <c r="IS354" s="9"/>
      <c r="IT354" s="9"/>
      <c r="IU354" s="9" t="s">
        <v>1101</v>
      </c>
      <c r="IV354" s="9"/>
      <c r="IW354" s="9" t="s">
        <v>1101</v>
      </c>
      <c r="IX354" s="9"/>
      <c r="IY354" s="9"/>
      <c r="IZ354" s="9"/>
      <c r="JA354" s="9"/>
      <c r="JB354" s="9"/>
      <c r="JC354" s="9" t="s">
        <v>1101</v>
      </c>
      <c r="JD354" s="9"/>
      <c r="JE354" s="9" t="s">
        <v>1101</v>
      </c>
      <c r="JF354" s="9"/>
      <c r="JG354" s="9"/>
      <c r="JH354" s="9"/>
      <c r="JI354" s="9"/>
      <c r="JJ354" s="9"/>
      <c r="JK354" s="9" t="s">
        <v>1101</v>
      </c>
      <c r="JL354" s="9"/>
      <c r="JM354" s="9" t="s">
        <v>1101</v>
      </c>
      <c r="JN354" s="9"/>
      <c r="JO354" s="9"/>
      <c r="JP354" s="9"/>
      <c r="JQ354" s="9"/>
      <c r="JR354" s="9"/>
      <c r="JS354" s="9" t="s">
        <v>1101</v>
      </c>
      <c r="JT354" s="9"/>
      <c r="JU354" s="9" t="s">
        <v>1101</v>
      </c>
      <c r="JV354" s="9"/>
      <c r="JW354" s="9"/>
      <c r="JX354" s="9"/>
      <c r="JY354" s="9"/>
      <c r="JZ354" s="9"/>
      <c r="KA354" s="9" t="s">
        <v>1101</v>
      </c>
      <c r="KB354" s="9"/>
      <c r="KC354" s="9" t="s">
        <v>1101</v>
      </c>
      <c r="KD354" s="9"/>
      <c r="KE354" s="9"/>
      <c r="KF354" s="9"/>
      <c r="KG354" s="9"/>
      <c r="KH354" s="9"/>
      <c r="KI354" s="9" t="s">
        <v>1101</v>
      </c>
      <c r="KJ354" s="9"/>
      <c r="KK354" s="9" t="s">
        <v>1101</v>
      </c>
      <c r="KL354" s="9"/>
      <c r="KM354" s="9"/>
      <c r="KN354" s="9"/>
      <c r="KO354" s="9"/>
      <c r="KP354" s="9"/>
      <c r="KQ354" s="9" t="s">
        <v>1101</v>
      </c>
      <c r="KR354" s="9"/>
      <c r="KS354" s="9" t="s">
        <v>1101</v>
      </c>
      <c r="KT354" s="9"/>
      <c r="KU354" s="9"/>
      <c r="KV354" s="9"/>
      <c r="KW354" s="9"/>
      <c r="KX354" s="9"/>
      <c r="KY354" s="9" t="s">
        <v>1101</v>
      </c>
      <c r="KZ354" s="9"/>
      <c r="LA354" s="9" t="s">
        <v>1101</v>
      </c>
      <c r="LB354" s="9"/>
      <c r="LC354" s="9"/>
      <c r="LD354" s="9"/>
      <c r="LE354" s="9"/>
      <c r="LF354" s="9"/>
      <c r="LG354" s="9" t="s">
        <v>1101</v>
      </c>
      <c r="LH354" s="9"/>
      <c r="LI354" s="9" t="s">
        <v>1101</v>
      </c>
      <c r="LJ354" s="9"/>
      <c r="LK354" s="9"/>
      <c r="LL354" s="9"/>
      <c r="LM354" s="9"/>
      <c r="LN354" s="9"/>
      <c r="LO354" s="9" t="s">
        <v>1101</v>
      </c>
      <c r="LP354" s="9"/>
      <c r="LQ354" s="9" t="s">
        <v>1101</v>
      </c>
      <c r="LR354" s="9"/>
      <c r="LS354" s="9"/>
      <c r="LT354" s="9"/>
      <c r="LU354" s="9"/>
      <c r="LV354" s="9"/>
      <c r="LW354" s="9" t="s">
        <v>1101</v>
      </c>
      <c r="LX354" s="9"/>
      <c r="LY354" s="9" t="s">
        <v>1101</v>
      </c>
      <c r="LZ354" s="9"/>
      <c r="MA354" s="9"/>
      <c r="MB354" s="9"/>
      <c r="MC354" s="9"/>
      <c r="MD354" s="9"/>
      <c r="ME354" s="9" t="s">
        <v>1101</v>
      </c>
      <c r="MF354" s="9"/>
      <c r="MG354" s="9" t="s">
        <v>1101</v>
      </c>
      <c r="MH354" s="9"/>
      <c r="MI354" s="9"/>
      <c r="MJ354" s="9"/>
      <c r="MK354" s="9"/>
      <c r="ML354" s="9"/>
      <c r="MM354" s="9" t="s">
        <v>1101</v>
      </c>
      <c r="MN354" s="9"/>
      <c r="MO354" s="9" t="s">
        <v>1101</v>
      </c>
      <c r="MP354" s="9"/>
      <c r="MQ354" s="9"/>
      <c r="MR354" s="9"/>
      <c r="MS354" s="9"/>
      <c r="MT354" s="9"/>
      <c r="MU354" s="9" t="s">
        <v>1101</v>
      </c>
      <c r="MV354" s="9"/>
      <c r="MW354" s="9" t="s">
        <v>1101</v>
      </c>
      <c r="MX354" s="9"/>
      <c r="MY354" s="9"/>
      <c r="MZ354" s="9"/>
      <c r="NA354" s="9"/>
      <c r="NB354" s="9"/>
      <c r="NC354" s="9" t="s">
        <v>1101</v>
      </c>
      <c r="ND354" s="9"/>
      <c r="NE354" s="9" t="s">
        <v>1101</v>
      </c>
      <c r="NF354" s="9"/>
      <c r="NG354" s="9"/>
      <c r="NH354" s="9"/>
      <c r="NI354" s="9"/>
      <c r="NJ354" s="9"/>
      <c r="NK354" s="9" t="s">
        <v>1101</v>
      </c>
      <c r="NL354" s="9"/>
      <c r="NM354" s="9" t="s">
        <v>1101</v>
      </c>
      <c r="NN354" s="9"/>
      <c r="NO354" s="9"/>
      <c r="NP354" s="9"/>
      <c r="NQ354" s="9"/>
      <c r="NR354" s="9"/>
      <c r="NS354" s="9" t="s">
        <v>1101</v>
      </c>
      <c r="NT354" s="9"/>
      <c r="NU354" s="9" t="s">
        <v>1101</v>
      </c>
      <c r="NV354" s="9"/>
      <c r="NW354" s="9"/>
      <c r="NX354" s="9"/>
      <c r="NY354" s="9"/>
      <c r="NZ354" s="9"/>
      <c r="OA354" s="9" t="s">
        <v>1101</v>
      </c>
      <c r="OB354" s="9"/>
      <c r="OC354" s="9" t="s">
        <v>1101</v>
      </c>
      <c r="OD354" s="9"/>
      <c r="OE354" s="9"/>
      <c r="OF354" s="9"/>
      <c r="OG354" s="9"/>
      <c r="OH354" s="9"/>
      <c r="OI354" s="9" t="s">
        <v>1101</v>
      </c>
      <c r="OJ354" s="9"/>
      <c r="OK354" s="9" t="s">
        <v>1101</v>
      </c>
      <c r="OL354" s="9"/>
      <c r="OM354" s="9"/>
      <c r="ON354" s="9"/>
      <c r="OO354" s="9"/>
      <c r="OP354" s="9"/>
      <c r="OQ354" s="9" t="s">
        <v>1101</v>
      </c>
      <c r="OR354" s="9"/>
      <c r="OS354" s="9" t="s">
        <v>1101</v>
      </c>
      <c r="OT354" s="9"/>
      <c r="OU354" s="9"/>
      <c r="OV354" s="9"/>
      <c r="OW354" s="9"/>
      <c r="OX354" s="9"/>
      <c r="OY354" s="9" t="s">
        <v>1101</v>
      </c>
      <c r="OZ354" s="9"/>
      <c r="PA354" s="9" t="s">
        <v>1101</v>
      </c>
      <c r="PB354" s="9"/>
      <c r="PC354" s="9"/>
      <c r="PD354" s="9"/>
      <c r="PE354" s="9"/>
      <c r="PF354" s="9"/>
      <c r="PG354" s="9" t="s">
        <v>1101</v>
      </c>
      <c r="PH354" s="9"/>
      <c r="PI354" s="9" t="s">
        <v>1101</v>
      </c>
      <c r="PJ354" s="9"/>
      <c r="PK354" s="9"/>
      <c r="PL354" s="9"/>
      <c r="PM354" s="9"/>
      <c r="PN354" s="9"/>
      <c r="PO354" s="9" t="s">
        <v>1101</v>
      </c>
      <c r="PP354" s="9"/>
      <c r="PQ354" s="9" t="s">
        <v>1101</v>
      </c>
      <c r="PR354" s="9"/>
      <c r="PS354" s="9"/>
      <c r="PT354" s="9"/>
      <c r="PU354" s="9"/>
      <c r="PV354" s="9"/>
      <c r="PW354" s="9" t="s">
        <v>1101</v>
      </c>
      <c r="PX354" s="9"/>
      <c r="PY354" s="9" t="s">
        <v>1101</v>
      </c>
      <c r="PZ354" s="9"/>
      <c r="QA354" s="9"/>
      <c r="QB354" s="9"/>
      <c r="QC354" s="9"/>
      <c r="QD354" s="9"/>
      <c r="QE354" s="9" t="s">
        <v>1101</v>
      </c>
      <c r="QF354" s="9"/>
      <c r="QG354" s="9" t="s">
        <v>1101</v>
      </c>
      <c r="QH354" s="9"/>
      <c r="QI354" s="9"/>
      <c r="QJ354" s="9"/>
      <c r="QK354" s="9"/>
      <c r="QL354" s="9"/>
      <c r="QM354" s="9" t="s">
        <v>1041</v>
      </c>
      <c r="QN354" s="9"/>
      <c r="QO354" s="9" t="s">
        <v>1041</v>
      </c>
      <c r="QP354" s="9"/>
      <c r="QQ354" s="67"/>
      <c r="QR354" s="68"/>
      <c r="QS354" s="157"/>
      <c r="QT354" s="158"/>
    </row>
    <row r="355" spans="1:462" s="11" customFormat="1" x14ac:dyDescent="0.2">
      <c r="A355" s="9">
        <v>20</v>
      </c>
      <c r="B355" s="9"/>
      <c r="C355" s="9"/>
      <c r="D355" s="9" t="s">
        <v>43</v>
      </c>
      <c r="E355" s="65" t="s">
        <v>44</v>
      </c>
      <c r="F355" s="65"/>
      <c r="G355" s="92" t="s">
        <v>2214</v>
      </c>
      <c r="H355" s="66" t="s">
        <v>1102</v>
      </c>
      <c r="I355" s="9" t="s">
        <v>1101</v>
      </c>
      <c r="J355" s="9"/>
      <c r="K355" s="9"/>
      <c r="L355" s="9"/>
      <c r="M355" s="9"/>
      <c r="N355" s="9"/>
      <c r="O355" s="9" t="s">
        <v>1101</v>
      </c>
      <c r="P355" s="9"/>
      <c r="Q355" s="9" t="s">
        <v>1101</v>
      </c>
      <c r="R355" s="9"/>
      <c r="S355" s="9"/>
      <c r="T355" s="9"/>
      <c r="U355" s="9"/>
      <c r="V355" s="9"/>
      <c r="W355" s="9" t="s">
        <v>1101</v>
      </c>
      <c r="X355" s="9"/>
      <c r="Y355" s="9" t="s">
        <v>1101</v>
      </c>
      <c r="Z355" s="9"/>
      <c r="AA355" s="9"/>
      <c r="AB355" s="9"/>
      <c r="AC355" s="9"/>
      <c r="AD355" s="9"/>
      <c r="AE355" s="9" t="s">
        <v>1101</v>
      </c>
      <c r="AF355" s="9"/>
      <c r="AG355" s="9" t="s">
        <v>1101</v>
      </c>
      <c r="AH355" s="9"/>
      <c r="AI355" s="9"/>
      <c r="AJ355" s="9"/>
      <c r="AK355" s="9"/>
      <c r="AL355" s="9"/>
      <c r="AM355" s="9" t="s">
        <v>1101</v>
      </c>
      <c r="AN355" s="9"/>
      <c r="AO355" s="9" t="s">
        <v>1101</v>
      </c>
      <c r="AP355" s="9"/>
      <c r="AQ355" s="9"/>
      <c r="AR355" s="9"/>
      <c r="AS355" s="9"/>
      <c r="AT355" s="9"/>
      <c r="AU355" s="9" t="s">
        <v>1101</v>
      </c>
      <c r="AV355" s="9"/>
      <c r="AW355" s="9" t="s">
        <v>1101</v>
      </c>
      <c r="AX355" s="9"/>
      <c r="AY355" s="9"/>
      <c r="AZ355" s="9"/>
      <c r="BA355" s="9"/>
      <c r="BB355" s="9"/>
      <c r="BC355" s="9" t="s">
        <v>1101</v>
      </c>
      <c r="BD355" s="9"/>
      <c r="BE355" s="9" t="s">
        <v>1101</v>
      </c>
      <c r="BF355" s="9"/>
      <c r="BG355" s="9"/>
      <c r="BH355" s="9"/>
      <c r="BI355" s="9"/>
      <c r="BJ355" s="9"/>
      <c r="BK355" s="9" t="s">
        <v>1101</v>
      </c>
      <c r="BL355" s="9"/>
      <c r="BM355" s="9" t="s">
        <v>1101</v>
      </c>
      <c r="BN355" s="9"/>
      <c r="BO355" s="9"/>
      <c r="BP355" s="9"/>
      <c r="BQ355" s="9"/>
      <c r="BR355" s="9"/>
      <c r="BS355" s="9" t="s">
        <v>1101</v>
      </c>
      <c r="BT355" s="9"/>
      <c r="BU355" s="9" t="s">
        <v>1101</v>
      </c>
      <c r="BV355" s="9"/>
      <c r="BW355" s="9"/>
      <c r="BX355" s="9"/>
      <c r="BY355" s="9"/>
      <c r="BZ355" s="9"/>
      <c r="CA355" s="9" t="s">
        <v>1101</v>
      </c>
      <c r="CB355" s="9"/>
      <c r="CC355" s="9" t="s">
        <v>1101</v>
      </c>
      <c r="CD355" s="9"/>
      <c r="CE355" s="9"/>
      <c r="CF355" s="9"/>
      <c r="CG355" s="9"/>
      <c r="CH355" s="9"/>
      <c r="CI355" s="9" t="s">
        <v>1101</v>
      </c>
      <c r="CJ355" s="9"/>
      <c r="CK355" s="9" t="s">
        <v>1101</v>
      </c>
      <c r="CL355" s="9"/>
      <c r="CM355" s="9"/>
      <c r="CN355" s="9"/>
      <c r="CO355" s="9"/>
      <c r="CP355" s="9"/>
      <c r="CQ355" s="9" t="s">
        <v>1101</v>
      </c>
      <c r="CR355" s="9"/>
      <c r="CS355" s="9" t="s">
        <v>1101</v>
      </c>
      <c r="CT355" s="9"/>
      <c r="CU355" s="9"/>
      <c r="CV355" s="9"/>
      <c r="CW355" s="9"/>
      <c r="CX355" s="9"/>
      <c r="CY355" s="9" t="s">
        <v>1101</v>
      </c>
      <c r="CZ355" s="9"/>
      <c r="DA355" s="9" t="s">
        <v>1101</v>
      </c>
      <c r="DB355" s="9"/>
      <c r="DC355" s="9"/>
      <c r="DD355" s="9"/>
      <c r="DE355" s="9"/>
      <c r="DF355" s="9"/>
      <c r="DG355" s="9" t="s">
        <v>1101</v>
      </c>
      <c r="DH355" s="9"/>
      <c r="DI355" s="9" t="s">
        <v>1101</v>
      </c>
      <c r="DJ355" s="9"/>
      <c r="DK355" s="9"/>
      <c r="DL355" s="9"/>
      <c r="DM355" s="9"/>
      <c r="DN355" s="9"/>
      <c r="DO355" s="9" t="s">
        <v>1101</v>
      </c>
      <c r="DP355" s="9"/>
      <c r="DQ355" s="9" t="s">
        <v>1101</v>
      </c>
      <c r="DR355" s="9"/>
      <c r="DS355" s="9"/>
      <c r="DT355" s="9"/>
      <c r="DU355" s="9"/>
      <c r="DV355" s="9"/>
      <c r="DW355" s="9" t="s">
        <v>1101</v>
      </c>
      <c r="DX355" s="9"/>
      <c r="DY355" s="9" t="s">
        <v>1101</v>
      </c>
      <c r="DZ355" s="9"/>
      <c r="EA355" s="9"/>
      <c r="EB355" s="9"/>
      <c r="EC355" s="9"/>
      <c r="ED355" s="9"/>
      <c r="EE355" s="9" t="s">
        <v>1101</v>
      </c>
      <c r="EF355" s="9"/>
      <c r="EG355" s="9" t="s">
        <v>1101</v>
      </c>
      <c r="EH355" s="9"/>
      <c r="EI355" s="9"/>
      <c r="EJ355" s="9"/>
      <c r="EK355" s="9"/>
      <c r="EL355" s="9"/>
      <c r="EM355" s="9" t="s">
        <v>1101</v>
      </c>
      <c r="EN355" s="9"/>
      <c r="EO355" s="9" t="s">
        <v>1101</v>
      </c>
      <c r="EP355" s="9"/>
      <c r="EQ355" s="9"/>
      <c r="ER355" s="9"/>
      <c r="ES355" s="9"/>
      <c r="ET355" s="9"/>
      <c r="EU355" s="9" t="s">
        <v>1101</v>
      </c>
      <c r="EV355" s="9"/>
      <c r="EW355" s="9" t="s">
        <v>1101</v>
      </c>
      <c r="EX355" s="9"/>
      <c r="EY355" s="9"/>
      <c r="EZ355" s="9"/>
      <c r="FA355" s="9"/>
      <c r="FB355" s="9"/>
      <c r="FC355" s="9" t="s">
        <v>1101</v>
      </c>
      <c r="FD355" s="9"/>
      <c r="FE355" s="9" t="s">
        <v>1101</v>
      </c>
      <c r="FF355" s="9"/>
      <c r="FG355" s="9"/>
      <c r="FH355" s="9"/>
      <c r="FI355" s="9"/>
      <c r="FJ355" s="9"/>
      <c r="FK355" s="9" t="s">
        <v>1101</v>
      </c>
      <c r="FL355" s="9"/>
      <c r="FM355" s="9" t="s">
        <v>1101</v>
      </c>
      <c r="FN355" s="9"/>
      <c r="FO355" s="9"/>
      <c r="FP355" s="9"/>
      <c r="FQ355" s="9"/>
      <c r="FR355" s="9"/>
      <c r="FS355" s="9" t="s">
        <v>1101</v>
      </c>
      <c r="FT355" s="9"/>
      <c r="FU355" s="9" t="s">
        <v>1101</v>
      </c>
      <c r="FV355" s="9"/>
      <c r="FW355" s="9"/>
      <c r="FX355" s="9"/>
      <c r="FY355" s="9"/>
      <c r="FZ355" s="9"/>
      <c r="GA355" s="9" t="s">
        <v>1101</v>
      </c>
      <c r="GB355" s="9"/>
      <c r="GC355" s="9" t="s">
        <v>1101</v>
      </c>
      <c r="GD355" s="9"/>
      <c r="GE355" s="9"/>
      <c r="GF355" s="9"/>
      <c r="GG355" s="9"/>
      <c r="GH355" s="9"/>
      <c r="GI355" s="9" t="s">
        <v>1101</v>
      </c>
      <c r="GJ355" s="9"/>
      <c r="GK355" s="9" t="s">
        <v>1101</v>
      </c>
      <c r="GL355" s="9"/>
      <c r="GM355" s="9"/>
      <c r="GN355" s="9"/>
      <c r="GO355" s="9"/>
      <c r="GP355" s="9"/>
      <c r="GQ355" s="9" t="s">
        <v>1101</v>
      </c>
      <c r="GR355" s="9"/>
      <c r="GS355" s="9" t="s">
        <v>1101</v>
      </c>
      <c r="GT355" s="9"/>
      <c r="GU355" s="9"/>
      <c r="GV355" s="9"/>
      <c r="GW355" s="9"/>
      <c r="GX355" s="9"/>
      <c r="GY355" s="9" t="s">
        <v>1101</v>
      </c>
      <c r="GZ355" s="9"/>
      <c r="HA355" s="9" t="s">
        <v>1101</v>
      </c>
      <c r="HB355" s="9"/>
      <c r="HC355" s="9"/>
      <c r="HD355" s="9"/>
      <c r="HE355" s="9"/>
      <c r="HF355" s="9"/>
      <c r="HG355" s="9" t="s">
        <v>1101</v>
      </c>
      <c r="HH355" s="9"/>
      <c r="HI355" s="9" t="s">
        <v>1101</v>
      </c>
      <c r="HJ355" s="9"/>
      <c r="HK355" s="9"/>
      <c r="HL355" s="9"/>
      <c r="HM355" s="9"/>
      <c r="HN355" s="9"/>
      <c r="HO355" s="9" t="s">
        <v>1101</v>
      </c>
      <c r="HP355" s="9"/>
      <c r="HQ355" s="9" t="s">
        <v>1101</v>
      </c>
      <c r="HR355" s="9"/>
      <c r="HS355" s="9"/>
      <c r="HT355" s="9"/>
      <c r="HU355" s="9"/>
      <c r="HV355" s="9"/>
      <c r="HW355" s="9" t="s">
        <v>1101</v>
      </c>
      <c r="HX355" s="9"/>
      <c r="HY355" s="9" t="s">
        <v>1101</v>
      </c>
      <c r="HZ355" s="9"/>
      <c r="IA355" s="9"/>
      <c r="IB355" s="9"/>
      <c r="IC355" s="9"/>
      <c r="ID355" s="9"/>
      <c r="IE355" s="9" t="s">
        <v>1101</v>
      </c>
      <c r="IF355" s="9"/>
      <c r="IG355" s="9" t="s">
        <v>1101</v>
      </c>
      <c r="IH355" s="9"/>
      <c r="II355" s="9"/>
      <c r="IJ355" s="9"/>
      <c r="IK355" s="9"/>
      <c r="IL355" s="9"/>
      <c r="IM355" s="9" t="s">
        <v>1101</v>
      </c>
      <c r="IN355" s="9"/>
      <c r="IO355" s="9" t="s">
        <v>1101</v>
      </c>
      <c r="IP355" s="9"/>
      <c r="IQ355" s="9"/>
      <c r="IR355" s="9"/>
      <c r="IS355" s="9"/>
      <c r="IT355" s="9"/>
      <c r="IU355" s="9" t="s">
        <v>1101</v>
      </c>
      <c r="IV355" s="9"/>
      <c r="IW355" s="9" t="s">
        <v>1101</v>
      </c>
      <c r="IX355" s="9"/>
      <c r="IY355" s="9"/>
      <c r="IZ355" s="9"/>
      <c r="JA355" s="9"/>
      <c r="JB355" s="9"/>
      <c r="JC355" s="9" t="s">
        <v>1101</v>
      </c>
      <c r="JD355" s="9"/>
      <c r="JE355" s="9" t="s">
        <v>1101</v>
      </c>
      <c r="JF355" s="9"/>
      <c r="JG355" s="9"/>
      <c r="JH355" s="9"/>
      <c r="JI355" s="9"/>
      <c r="JJ355" s="9"/>
      <c r="JK355" s="9" t="s">
        <v>1101</v>
      </c>
      <c r="JL355" s="9"/>
      <c r="JM355" s="9" t="s">
        <v>1101</v>
      </c>
      <c r="JN355" s="9"/>
      <c r="JO355" s="9"/>
      <c r="JP355" s="9"/>
      <c r="JQ355" s="9"/>
      <c r="JR355" s="9"/>
      <c r="JS355" s="9" t="s">
        <v>1101</v>
      </c>
      <c r="JT355" s="9"/>
      <c r="JU355" s="9" t="s">
        <v>1101</v>
      </c>
      <c r="JV355" s="9"/>
      <c r="JW355" s="9"/>
      <c r="JX355" s="9"/>
      <c r="JY355" s="9"/>
      <c r="JZ355" s="9"/>
      <c r="KA355" s="9" t="s">
        <v>1101</v>
      </c>
      <c r="KB355" s="9"/>
      <c r="KC355" s="9" t="s">
        <v>1101</v>
      </c>
      <c r="KD355" s="9"/>
      <c r="KE355" s="9"/>
      <c r="KF355" s="9"/>
      <c r="KG355" s="9"/>
      <c r="KH355" s="9"/>
      <c r="KI355" s="9" t="s">
        <v>1101</v>
      </c>
      <c r="KJ355" s="9"/>
      <c r="KK355" s="9" t="s">
        <v>1101</v>
      </c>
      <c r="KL355" s="9"/>
      <c r="KM355" s="9"/>
      <c r="KN355" s="9"/>
      <c r="KO355" s="9"/>
      <c r="KP355" s="9"/>
      <c r="KQ355" s="9" t="s">
        <v>1101</v>
      </c>
      <c r="KR355" s="9"/>
      <c r="KS355" s="9" t="s">
        <v>1101</v>
      </c>
      <c r="KT355" s="9"/>
      <c r="KU355" s="9"/>
      <c r="KV355" s="9"/>
      <c r="KW355" s="9"/>
      <c r="KX355" s="9"/>
      <c r="KY355" s="9" t="s">
        <v>1101</v>
      </c>
      <c r="KZ355" s="9"/>
      <c r="LA355" s="9" t="s">
        <v>1101</v>
      </c>
      <c r="LB355" s="9"/>
      <c r="LC355" s="9"/>
      <c r="LD355" s="9"/>
      <c r="LE355" s="9"/>
      <c r="LF355" s="9"/>
      <c r="LG355" s="9" t="s">
        <v>1101</v>
      </c>
      <c r="LH355" s="9"/>
      <c r="LI355" s="9" t="s">
        <v>1101</v>
      </c>
      <c r="LJ355" s="9"/>
      <c r="LK355" s="9"/>
      <c r="LL355" s="9"/>
      <c r="LM355" s="9"/>
      <c r="LN355" s="9"/>
      <c r="LO355" s="9" t="s">
        <v>1101</v>
      </c>
      <c r="LP355" s="9"/>
      <c r="LQ355" s="9" t="s">
        <v>1101</v>
      </c>
      <c r="LR355" s="9"/>
      <c r="LS355" s="9"/>
      <c r="LT355" s="9"/>
      <c r="LU355" s="9"/>
      <c r="LV355" s="9"/>
      <c r="LW355" s="9" t="s">
        <v>1101</v>
      </c>
      <c r="LX355" s="9"/>
      <c r="LY355" s="9" t="s">
        <v>1101</v>
      </c>
      <c r="LZ355" s="9"/>
      <c r="MA355" s="9"/>
      <c r="MB355" s="9"/>
      <c r="MC355" s="9"/>
      <c r="MD355" s="9"/>
      <c r="ME355" s="9" t="s">
        <v>1101</v>
      </c>
      <c r="MF355" s="9"/>
      <c r="MG355" s="9" t="s">
        <v>1101</v>
      </c>
      <c r="MH355" s="9"/>
      <c r="MI355" s="9"/>
      <c r="MJ355" s="9"/>
      <c r="MK355" s="9"/>
      <c r="ML355" s="9"/>
      <c r="MM355" s="9" t="s">
        <v>1101</v>
      </c>
      <c r="MN355" s="9"/>
      <c r="MO355" s="9" t="s">
        <v>1101</v>
      </c>
      <c r="MP355" s="9"/>
      <c r="MQ355" s="9"/>
      <c r="MR355" s="9"/>
      <c r="MS355" s="9"/>
      <c r="MT355" s="9"/>
      <c r="MU355" s="9" t="s">
        <v>1101</v>
      </c>
      <c r="MV355" s="9"/>
      <c r="MW355" s="9" t="s">
        <v>1101</v>
      </c>
      <c r="MX355" s="9"/>
      <c r="MY355" s="9"/>
      <c r="MZ355" s="9"/>
      <c r="NA355" s="9"/>
      <c r="NB355" s="9"/>
      <c r="NC355" s="9" t="s">
        <v>1101</v>
      </c>
      <c r="ND355" s="9"/>
      <c r="NE355" s="9" t="s">
        <v>1101</v>
      </c>
      <c r="NF355" s="9"/>
      <c r="NG355" s="9"/>
      <c r="NH355" s="9"/>
      <c r="NI355" s="9"/>
      <c r="NJ355" s="9"/>
      <c r="NK355" s="9" t="s">
        <v>1101</v>
      </c>
      <c r="NL355" s="9"/>
      <c r="NM355" s="9" t="s">
        <v>1101</v>
      </c>
      <c r="NN355" s="9"/>
      <c r="NO355" s="9"/>
      <c r="NP355" s="9"/>
      <c r="NQ355" s="9"/>
      <c r="NR355" s="9"/>
      <c r="NS355" s="9" t="s">
        <v>1101</v>
      </c>
      <c r="NT355" s="9"/>
      <c r="NU355" s="9" t="s">
        <v>1101</v>
      </c>
      <c r="NV355" s="9"/>
      <c r="NW355" s="9"/>
      <c r="NX355" s="9"/>
      <c r="NY355" s="9"/>
      <c r="NZ355" s="9"/>
      <c r="OA355" s="9" t="s">
        <v>1101</v>
      </c>
      <c r="OB355" s="9"/>
      <c r="OC355" s="9" t="s">
        <v>1101</v>
      </c>
      <c r="OD355" s="9"/>
      <c r="OE355" s="9"/>
      <c r="OF355" s="9"/>
      <c r="OG355" s="9"/>
      <c r="OH355" s="9"/>
      <c r="OI355" s="9" t="s">
        <v>1101</v>
      </c>
      <c r="OJ355" s="9"/>
      <c r="OK355" s="9" t="s">
        <v>1101</v>
      </c>
      <c r="OL355" s="9"/>
      <c r="OM355" s="9"/>
      <c r="ON355" s="9"/>
      <c r="OO355" s="9"/>
      <c r="OP355" s="9"/>
      <c r="OQ355" s="9" t="s">
        <v>1101</v>
      </c>
      <c r="OR355" s="9"/>
      <c r="OS355" s="9" t="s">
        <v>1101</v>
      </c>
      <c r="OT355" s="9"/>
      <c r="OU355" s="9"/>
      <c r="OV355" s="9"/>
      <c r="OW355" s="9"/>
      <c r="OX355" s="9"/>
      <c r="OY355" s="9" t="s">
        <v>1101</v>
      </c>
      <c r="OZ355" s="9"/>
      <c r="PA355" s="9" t="s">
        <v>1101</v>
      </c>
      <c r="PB355" s="9"/>
      <c r="PC355" s="9"/>
      <c r="PD355" s="9"/>
      <c r="PE355" s="9"/>
      <c r="PF355" s="9"/>
      <c r="PG355" s="9" t="s">
        <v>1101</v>
      </c>
      <c r="PH355" s="9"/>
      <c r="PI355" s="9" t="s">
        <v>1101</v>
      </c>
      <c r="PJ355" s="9"/>
      <c r="PK355" s="9"/>
      <c r="PL355" s="9"/>
      <c r="PM355" s="9"/>
      <c r="PN355" s="9"/>
      <c r="PO355" s="9" t="s">
        <v>1101</v>
      </c>
      <c r="PP355" s="9"/>
      <c r="PQ355" s="9" t="s">
        <v>1101</v>
      </c>
      <c r="PR355" s="9"/>
      <c r="PS355" s="9"/>
      <c r="PT355" s="9"/>
      <c r="PU355" s="9"/>
      <c r="PV355" s="9"/>
      <c r="PW355" s="9" t="s">
        <v>1101</v>
      </c>
      <c r="PX355" s="9"/>
      <c r="PY355" s="9" t="s">
        <v>1101</v>
      </c>
      <c r="PZ355" s="9"/>
      <c r="QA355" s="9"/>
      <c r="QB355" s="9"/>
      <c r="QC355" s="9"/>
      <c r="QD355" s="9"/>
      <c r="QE355" s="9" t="s">
        <v>1101</v>
      </c>
      <c r="QF355" s="9"/>
      <c r="QG355" s="9" t="s">
        <v>1101</v>
      </c>
      <c r="QH355" s="9"/>
      <c r="QI355" s="9"/>
      <c r="QJ355" s="9"/>
      <c r="QK355" s="9"/>
      <c r="QL355" s="9"/>
      <c r="QM355" s="9" t="s">
        <v>1041</v>
      </c>
      <c r="QN355" s="9"/>
      <c r="QO355" s="9" t="s">
        <v>1041</v>
      </c>
      <c r="QP355" s="9"/>
      <c r="QQ355" s="67"/>
      <c r="QR355" s="68"/>
      <c r="QS355" s="157"/>
      <c r="QT355" s="158"/>
    </row>
    <row r="356" spans="1:462" s="11" customFormat="1" x14ac:dyDescent="0.2">
      <c r="A356" s="9">
        <v>20</v>
      </c>
      <c r="B356" s="9"/>
      <c r="C356" s="9"/>
      <c r="D356" s="9" t="s">
        <v>63</v>
      </c>
      <c r="E356" s="65" t="s">
        <v>64</v>
      </c>
      <c r="F356" s="65"/>
      <c r="G356" s="92" t="s">
        <v>2478</v>
      </c>
      <c r="H356" s="66" t="s">
        <v>1384</v>
      </c>
      <c r="I356" s="9" t="s">
        <v>1101</v>
      </c>
      <c r="J356" s="9"/>
      <c r="K356" s="9"/>
      <c r="L356" s="9"/>
      <c r="M356" s="9"/>
      <c r="N356" s="9"/>
      <c r="O356" s="9" t="s">
        <v>1101</v>
      </c>
      <c r="P356" s="9"/>
      <c r="Q356" s="9" t="s">
        <v>1101</v>
      </c>
      <c r="R356" s="9"/>
      <c r="S356" s="9"/>
      <c r="T356" s="9"/>
      <c r="U356" s="9"/>
      <c r="V356" s="9"/>
      <c r="W356" s="9" t="s">
        <v>1101</v>
      </c>
      <c r="X356" s="9"/>
      <c r="Y356" s="9" t="s">
        <v>1101</v>
      </c>
      <c r="Z356" s="9"/>
      <c r="AA356" s="9"/>
      <c r="AB356" s="9"/>
      <c r="AC356" s="9"/>
      <c r="AD356" s="9"/>
      <c r="AE356" s="9" t="s">
        <v>1101</v>
      </c>
      <c r="AF356" s="9"/>
      <c r="AG356" s="9" t="s">
        <v>1101</v>
      </c>
      <c r="AH356" s="9"/>
      <c r="AI356" s="9"/>
      <c r="AJ356" s="9"/>
      <c r="AK356" s="9"/>
      <c r="AL356" s="9"/>
      <c r="AM356" s="9" t="s">
        <v>1101</v>
      </c>
      <c r="AN356" s="9"/>
      <c r="AO356" s="9" t="s">
        <v>1101</v>
      </c>
      <c r="AP356" s="9"/>
      <c r="AQ356" s="9"/>
      <c r="AR356" s="9"/>
      <c r="AS356" s="9"/>
      <c r="AT356" s="9"/>
      <c r="AU356" s="9" t="s">
        <v>1101</v>
      </c>
      <c r="AV356" s="9"/>
      <c r="AW356" s="9" t="s">
        <v>1101</v>
      </c>
      <c r="AX356" s="9"/>
      <c r="AY356" s="9"/>
      <c r="AZ356" s="9"/>
      <c r="BA356" s="9"/>
      <c r="BB356" s="9"/>
      <c r="BC356" s="9" t="s">
        <v>1101</v>
      </c>
      <c r="BD356" s="9"/>
      <c r="BE356" s="9" t="s">
        <v>1101</v>
      </c>
      <c r="BF356" s="9"/>
      <c r="BG356" s="9"/>
      <c r="BH356" s="9"/>
      <c r="BI356" s="9"/>
      <c r="BJ356" s="9"/>
      <c r="BK356" s="9" t="s">
        <v>1101</v>
      </c>
      <c r="BL356" s="9"/>
      <c r="BM356" s="9" t="s">
        <v>1101</v>
      </c>
      <c r="BN356" s="9"/>
      <c r="BO356" s="9"/>
      <c r="BP356" s="9"/>
      <c r="BQ356" s="9"/>
      <c r="BR356" s="9"/>
      <c r="BS356" s="9" t="s">
        <v>1101</v>
      </c>
      <c r="BT356" s="9"/>
      <c r="BU356" s="9" t="s">
        <v>1101</v>
      </c>
      <c r="BV356" s="9"/>
      <c r="BW356" s="9"/>
      <c r="BX356" s="9"/>
      <c r="BY356" s="9"/>
      <c r="BZ356" s="9"/>
      <c r="CA356" s="9" t="s">
        <v>1101</v>
      </c>
      <c r="CB356" s="9"/>
      <c r="CC356" s="9" t="s">
        <v>1101</v>
      </c>
      <c r="CD356" s="9"/>
      <c r="CE356" s="9"/>
      <c r="CF356" s="9"/>
      <c r="CG356" s="9"/>
      <c r="CH356" s="9"/>
      <c r="CI356" s="9" t="s">
        <v>1101</v>
      </c>
      <c r="CJ356" s="9"/>
      <c r="CK356" s="9" t="s">
        <v>1101</v>
      </c>
      <c r="CL356" s="9"/>
      <c r="CM356" s="9"/>
      <c r="CN356" s="9"/>
      <c r="CO356" s="9"/>
      <c r="CP356" s="9"/>
      <c r="CQ356" s="9" t="s">
        <v>1101</v>
      </c>
      <c r="CR356" s="9"/>
      <c r="CS356" s="9" t="s">
        <v>1101</v>
      </c>
      <c r="CT356" s="9"/>
      <c r="CU356" s="9"/>
      <c r="CV356" s="9"/>
      <c r="CW356" s="9"/>
      <c r="CX356" s="9"/>
      <c r="CY356" s="9" t="s">
        <v>1101</v>
      </c>
      <c r="CZ356" s="9"/>
      <c r="DA356" s="9" t="s">
        <v>1101</v>
      </c>
      <c r="DB356" s="9"/>
      <c r="DC356" s="9"/>
      <c r="DD356" s="9"/>
      <c r="DE356" s="9"/>
      <c r="DF356" s="9"/>
      <c r="DG356" s="9" t="s">
        <v>1101</v>
      </c>
      <c r="DH356" s="9"/>
      <c r="DI356" s="9" t="s">
        <v>1101</v>
      </c>
      <c r="DJ356" s="9"/>
      <c r="DK356" s="9"/>
      <c r="DL356" s="9"/>
      <c r="DM356" s="9"/>
      <c r="DN356" s="9"/>
      <c r="DO356" s="9" t="s">
        <v>1101</v>
      </c>
      <c r="DP356" s="9"/>
      <c r="DQ356" s="9" t="s">
        <v>1101</v>
      </c>
      <c r="DR356" s="9"/>
      <c r="DS356" s="9"/>
      <c r="DT356" s="9"/>
      <c r="DU356" s="9"/>
      <c r="DV356" s="9"/>
      <c r="DW356" s="9" t="s">
        <v>1101</v>
      </c>
      <c r="DX356" s="9"/>
      <c r="DY356" s="9" t="s">
        <v>1101</v>
      </c>
      <c r="DZ356" s="9"/>
      <c r="EA356" s="9"/>
      <c r="EB356" s="9"/>
      <c r="EC356" s="9"/>
      <c r="ED356" s="9"/>
      <c r="EE356" s="9" t="s">
        <v>1101</v>
      </c>
      <c r="EF356" s="9"/>
      <c r="EG356" s="9" t="s">
        <v>1101</v>
      </c>
      <c r="EH356" s="9"/>
      <c r="EI356" s="9"/>
      <c r="EJ356" s="9"/>
      <c r="EK356" s="9"/>
      <c r="EL356" s="9"/>
      <c r="EM356" s="9" t="s">
        <v>1101</v>
      </c>
      <c r="EN356" s="9"/>
      <c r="EO356" s="9" t="s">
        <v>1101</v>
      </c>
      <c r="EP356" s="9"/>
      <c r="EQ356" s="9"/>
      <c r="ER356" s="9"/>
      <c r="ES356" s="9"/>
      <c r="ET356" s="9"/>
      <c r="EU356" s="9" t="s">
        <v>1101</v>
      </c>
      <c r="EV356" s="9"/>
      <c r="EW356" s="9" t="s">
        <v>1101</v>
      </c>
      <c r="EX356" s="9"/>
      <c r="EY356" s="9"/>
      <c r="EZ356" s="9"/>
      <c r="FA356" s="9"/>
      <c r="FB356" s="9"/>
      <c r="FC356" s="9" t="s">
        <v>1101</v>
      </c>
      <c r="FD356" s="9"/>
      <c r="FE356" s="9" t="s">
        <v>1101</v>
      </c>
      <c r="FF356" s="9"/>
      <c r="FG356" s="9"/>
      <c r="FH356" s="9"/>
      <c r="FI356" s="9"/>
      <c r="FJ356" s="9"/>
      <c r="FK356" s="9" t="s">
        <v>1101</v>
      </c>
      <c r="FL356" s="9"/>
      <c r="FM356" s="9" t="s">
        <v>1101</v>
      </c>
      <c r="FN356" s="9"/>
      <c r="FO356" s="9"/>
      <c r="FP356" s="9"/>
      <c r="FQ356" s="9"/>
      <c r="FR356" s="9"/>
      <c r="FS356" s="9" t="s">
        <v>1101</v>
      </c>
      <c r="FT356" s="9"/>
      <c r="FU356" s="9" t="s">
        <v>1101</v>
      </c>
      <c r="FV356" s="9"/>
      <c r="FW356" s="9"/>
      <c r="FX356" s="9"/>
      <c r="FY356" s="9"/>
      <c r="FZ356" s="9"/>
      <c r="GA356" s="9" t="s">
        <v>1101</v>
      </c>
      <c r="GB356" s="9"/>
      <c r="GC356" s="9" t="s">
        <v>1101</v>
      </c>
      <c r="GD356" s="9"/>
      <c r="GE356" s="9"/>
      <c r="GF356" s="9"/>
      <c r="GG356" s="9"/>
      <c r="GH356" s="9"/>
      <c r="GI356" s="9" t="s">
        <v>1101</v>
      </c>
      <c r="GJ356" s="9"/>
      <c r="GK356" s="9" t="s">
        <v>1101</v>
      </c>
      <c r="GL356" s="9"/>
      <c r="GM356" s="9"/>
      <c r="GN356" s="9"/>
      <c r="GO356" s="9"/>
      <c r="GP356" s="9"/>
      <c r="GQ356" s="9" t="s">
        <v>1101</v>
      </c>
      <c r="GR356" s="9"/>
      <c r="GS356" s="9" t="s">
        <v>1101</v>
      </c>
      <c r="GT356" s="9"/>
      <c r="GU356" s="9"/>
      <c r="GV356" s="9"/>
      <c r="GW356" s="9"/>
      <c r="GX356" s="9"/>
      <c r="GY356" s="9" t="s">
        <v>1101</v>
      </c>
      <c r="GZ356" s="9"/>
      <c r="HA356" s="9" t="s">
        <v>1101</v>
      </c>
      <c r="HB356" s="9"/>
      <c r="HC356" s="9"/>
      <c r="HD356" s="9"/>
      <c r="HE356" s="9"/>
      <c r="HF356" s="9"/>
      <c r="HG356" s="9" t="s">
        <v>1101</v>
      </c>
      <c r="HH356" s="9"/>
      <c r="HI356" s="9" t="s">
        <v>1101</v>
      </c>
      <c r="HJ356" s="9"/>
      <c r="HK356" s="9"/>
      <c r="HL356" s="9"/>
      <c r="HM356" s="9"/>
      <c r="HN356" s="9"/>
      <c r="HO356" s="9" t="s">
        <v>1101</v>
      </c>
      <c r="HP356" s="9"/>
      <c r="HQ356" s="9" t="s">
        <v>1101</v>
      </c>
      <c r="HR356" s="9"/>
      <c r="HS356" s="9"/>
      <c r="HT356" s="9"/>
      <c r="HU356" s="9"/>
      <c r="HV356" s="9"/>
      <c r="HW356" s="9" t="s">
        <v>1101</v>
      </c>
      <c r="HX356" s="9"/>
      <c r="HY356" s="9" t="s">
        <v>1101</v>
      </c>
      <c r="HZ356" s="9"/>
      <c r="IA356" s="9"/>
      <c r="IB356" s="9"/>
      <c r="IC356" s="9"/>
      <c r="ID356" s="9"/>
      <c r="IE356" s="9" t="s">
        <v>1101</v>
      </c>
      <c r="IF356" s="9"/>
      <c r="IG356" s="9" t="s">
        <v>1101</v>
      </c>
      <c r="IH356" s="9"/>
      <c r="II356" s="9"/>
      <c r="IJ356" s="9"/>
      <c r="IK356" s="9"/>
      <c r="IL356" s="9"/>
      <c r="IM356" s="9" t="s">
        <v>1101</v>
      </c>
      <c r="IN356" s="9"/>
      <c r="IO356" s="9" t="s">
        <v>1101</v>
      </c>
      <c r="IP356" s="9"/>
      <c r="IQ356" s="9"/>
      <c r="IR356" s="9"/>
      <c r="IS356" s="9"/>
      <c r="IT356" s="9"/>
      <c r="IU356" s="9" t="s">
        <v>1101</v>
      </c>
      <c r="IV356" s="9"/>
      <c r="IW356" s="9" t="s">
        <v>1101</v>
      </c>
      <c r="IX356" s="9"/>
      <c r="IY356" s="9"/>
      <c r="IZ356" s="9"/>
      <c r="JA356" s="9"/>
      <c r="JB356" s="9"/>
      <c r="JC356" s="9" t="s">
        <v>1101</v>
      </c>
      <c r="JD356" s="9"/>
      <c r="JE356" s="9" t="s">
        <v>1101</v>
      </c>
      <c r="JF356" s="9"/>
      <c r="JG356" s="9"/>
      <c r="JH356" s="9"/>
      <c r="JI356" s="9"/>
      <c r="JJ356" s="9"/>
      <c r="JK356" s="9" t="s">
        <v>1101</v>
      </c>
      <c r="JL356" s="9"/>
      <c r="JM356" s="9" t="s">
        <v>1101</v>
      </c>
      <c r="JN356" s="9"/>
      <c r="JO356" s="9"/>
      <c r="JP356" s="9"/>
      <c r="JQ356" s="9"/>
      <c r="JR356" s="9"/>
      <c r="JS356" s="9" t="s">
        <v>1101</v>
      </c>
      <c r="JT356" s="9"/>
      <c r="JU356" s="9" t="s">
        <v>1101</v>
      </c>
      <c r="JV356" s="9"/>
      <c r="JW356" s="9"/>
      <c r="JX356" s="9"/>
      <c r="JY356" s="9"/>
      <c r="JZ356" s="9"/>
      <c r="KA356" s="9" t="s">
        <v>1101</v>
      </c>
      <c r="KB356" s="9"/>
      <c r="KC356" s="9" t="s">
        <v>1101</v>
      </c>
      <c r="KD356" s="9"/>
      <c r="KE356" s="9"/>
      <c r="KF356" s="9"/>
      <c r="KG356" s="9"/>
      <c r="KH356" s="9"/>
      <c r="KI356" s="9" t="s">
        <v>1101</v>
      </c>
      <c r="KJ356" s="9"/>
      <c r="KK356" s="9" t="s">
        <v>1101</v>
      </c>
      <c r="KL356" s="9"/>
      <c r="KM356" s="9"/>
      <c r="KN356" s="9"/>
      <c r="KO356" s="9"/>
      <c r="KP356" s="9"/>
      <c r="KQ356" s="9" t="s">
        <v>1101</v>
      </c>
      <c r="KR356" s="9"/>
      <c r="KS356" s="9" t="s">
        <v>1101</v>
      </c>
      <c r="KT356" s="9"/>
      <c r="KU356" s="9"/>
      <c r="KV356" s="9"/>
      <c r="KW356" s="9"/>
      <c r="KX356" s="9"/>
      <c r="KY356" s="9" t="s">
        <v>1101</v>
      </c>
      <c r="KZ356" s="9"/>
      <c r="LA356" s="9" t="s">
        <v>1101</v>
      </c>
      <c r="LB356" s="9"/>
      <c r="LC356" s="9"/>
      <c r="LD356" s="9"/>
      <c r="LE356" s="9"/>
      <c r="LF356" s="9"/>
      <c r="LG356" s="9" t="s">
        <v>1101</v>
      </c>
      <c r="LH356" s="9"/>
      <c r="LI356" s="9" t="s">
        <v>1101</v>
      </c>
      <c r="LJ356" s="9"/>
      <c r="LK356" s="9"/>
      <c r="LL356" s="9"/>
      <c r="LM356" s="9"/>
      <c r="LN356" s="9"/>
      <c r="LO356" s="9" t="s">
        <v>1101</v>
      </c>
      <c r="LP356" s="9"/>
      <c r="LQ356" s="9" t="s">
        <v>1101</v>
      </c>
      <c r="LR356" s="9"/>
      <c r="LS356" s="9"/>
      <c r="LT356" s="9"/>
      <c r="LU356" s="9"/>
      <c r="LV356" s="9"/>
      <c r="LW356" s="9" t="s">
        <v>1101</v>
      </c>
      <c r="LX356" s="9"/>
      <c r="LY356" s="9" t="s">
        <v>1101</v>
      </c>
      <c r="LZ356" s="9"/>
      <c r="MA356" s="9"/>
      <c r="MB356" s="9"/>
      <c r="MC356" s="9"/>
      <c r="MD356" s="9"/>
      <c r="ME356" s="9" t="s">
        <v>1101</v>
      </c>
      <c r="MF356" s="9"/>
      <c r="MG356" s="9" t="s">
        <v>1101</v>
      </c>
      <c r="MH356" s="9"/>
      <c r="MI356" s="9"/>
      <c r="MJ356" s="9"/>
      <c r="MK356" s="9"/>
      <c r="ML356" s="9"/>
      <c r="MM356" s="9" t="s">
        <v>1101</v>
      </c>
      <c r="MN356" s="9"/>
      <c r="MO356" s="9" t="s">
        <v>1101</v>
      </c>
      <c r="MP356" s="9"/>
      <c r="MQ356" s="9"/>
      <c r="MR356" s="9"/>
      <c r="MS356" s="9"/>
      <c r="MT356" s="9"/>
      <c r="MU356" s="9" t="s">
        <v>1101</v>
      </c>
      <c r="MV356" s="9"/>
      <c r="MW356" s="9" t="s">
        <v>1101</v>
      </c>
      <c r="MX356" s="9"/>
      <c r="MY356" s="9"/>
      <c r="MZ356" s="9"/>
      <c r="NA356" s="9"/>
      <c r="NB356" s="9"/>
      <c r="NC356" s="9" t="s">
        <v>1101</v>
      </c>
      <c r="ND356" s="9"/>
      <c r="NE356" s="9" t="s">
        <v>1101</v>
      </c>
      <c r="NF356" s="9"/>
      <c r="NG356" s="9"/>
      <c r="NH356" s="9"/>
      <c r="NI356" s="9"/>
      <c r="NJ356" s="9"/>
      <c r="NK356" s="9" t="s">
        <v>1101</v>
      </c>
      <c r="NL356" s="9"/>
      <c r="NM356" s="9" t="s">
        <v>1101</v>
      </c>
      <c r="NN356" s="9"/>
      <c r="NO356" s="9"/>
      <c r="NP356" s="9"/>
      <c r="NQ356" s="9"/>
      <c r="NR356" s="9"/>
      <c r="NS356" s="9" t="s">
        <v>1101</v>
      </c>
      <c r="NT356" s="9"/>
      <c r="NU356" s="9" t="s">
        <v>1101</v>
      </c>
      <c r="NV356" s="9"/>
      <c r="NW356" s="9"/>
      <c r="NX356" s="9"/>
      <c r="NY356" s="9"/>
      <c r="NZ356" s="9"/>
      <c r="OA356" s="9" t="s">
        <v>1101</v>
      </c>
      <c r="OB356" s="9"/>
      <c r="OC356" s="9" t="s">
        <v>1101</v>
      </c>
      <c r="OD356" s="9"/>
      <c r="OE356" s="9"/>
      <c r="OF356" s="9"/>
      <c r="OG356" s="9"/>
      <c r="OH356" s="9"/>
      <c r="OI356" s="9" t="s">
        <v>1101</v>
      </c>
      <c r="OJ356" s="9"/>
      <c r="OK356" s="9" t="s">
        <v>1101</v>
      </c>
      <c r="OL356" s="9"/>
      <c r="OM356" s="9"/>
      <c r="ON356" s="9"/>
      <c r="OO356" s="9"/>
      <c r="OP356" s="9"/>
      <c r="OQ356" s="9" t="s">
        <v>1101</v>
      </c>
      <c r="OR356" s="9"/>
      <c r="OS356" s="9" t="s">
        <v>1101</v>
      </c>
      <c r="OT356" s="9"/>
      <c r="OU356" s="9"/>
      <c r="OV356" s="9"/>
      <c r="OW356" s="9"/>
      <c r="OX356" s="9"/>
      <c r="OY356" s="9" t="s">
        <v>1101</v>
      </c>
      <c r="OZ356" s="9"/>
      <c r="PA356" s="9" t="s">
        <v>1101</v>
      </c>
      <c r="PB356" s="9"/>
      <c r="PC356" s="9"/>
      <c r="PD356" s="9"/>
      <c r="PE356" s="9"/>
      <c r="PF356" s="9"/>
      <c r="PG356" s="9" t="s">
        <v>1101</v>
      </c>
      <c r="PH356" s="9"/>
      <c r="PI356" s="9" t="s">
        <v>1101</v>
      </c>
      <c r="PJ356" s="9"/>
      <c r="PK356" s="9"/>
      <c r="PL356" s="9"/>
      <c r="PM356" s="9"/>
      <c r="PN356" s="9"/>
      <c r="PO356" s="9" t="s">
        <v>1101</v>
      </c>
      <c r="PP356" s="9"/>
      <c r="PQ356" s="9" t="s">
        <v>1101</v>
      </c>
      <c r="PR356" s="9"/>
      <c r="PS356" s="9"/>
      <c r="PT356" s="9"/>
      <c r="PU356" s="9"/>
      <c r="PV356" s="9"/>
      <c r="PW356" s="9" t="s">
        <v>1101</v>
      </c>
      <c r="PX356" s="9"/>
      <c r="PY356" s="9" t="s">
        <v>1101</v>
      </c>
      <c r="PZ356" s="9"/>
      <c r="QA356" s="9"/>
      <c r="QB356" s="9"/>
      <c r="QC356" s="9"/>
      <c r="QD356" s="9"/>
      <c r="QE356" s="9" t="s">
        <v>1101</v>
      </c>
      <c r="QF356" s="9"/>
      <c r="QG356" s="9" t="s">
        <v>1101</v>
      </c>
      <c r="QH356" s="9"/>
      <c r="QI356" s="9"/>
      <c r="QJ356" s="9"/>
      <c r="QK356" s="9"/>
      <c r="QL356" s="9"/>
      <c r="QM356" s="9" t="s">
        <v>1041</v>
      </c>
      <c r="QN356" s="9"/>
      <c r="QO356" s="9" t="s">
        <v>1041</v>
      </c>
      <c r="QP356" s="9"/>
      <c r="QQ356" s="67"/>
      <c r="QR356" s="68"/>
      <c r="QS356" s="157"/>
      <c r="QT356" s="158"/>
    </row>
    <row r="357" spans="1:462" s="11" customFormat="1" x14ac:dyDescent="0.2">
      <c r="A357" s="34"/>
      <c r="G357" s="82"/>
      <c r="QT357" s="69"/>
    </row>
    <row r="358" spans="1:462" s="11" customFormat="1" x14ac:dyDescent="0.2">
      <c r="A358" s="9">
        <v>30</v>
      </c>
      <c r="B358" s="50" t="s">
        <v>0</v>
      </c>
      <c r="C358" s="51"/>
      <c r="D358" s="33" t="s">
        <v>669</v>
      </c>
      <c r="E358" s="57" t="s">
        <v>20</v>
      </c>
      <c r="F358" s="58"/>
      <c r="G358" s="81"/>
      <c r="H358" s="59"/>
      <c r="I358" s="60"/>
      <c r="J358" s="61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62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  <c r="DK358" s="62"/>
      <c r="DL358" s="62"/>
      <c r="DM358" s="62"/>
      <c r="DN358" s="62"/>
      <c r="DO358" s="62"/>
      <c r="DP358" s="62"/>
      <c r="DQ358" s="62"/>
      <c r="DR358" s="62"/>
      <c r="DS358" s="62"/>
      <c r="DT358" s="62"/>
      <c r="DU358" s="62"/>
      <c r="DV358" s="62"/>
      <c r="DW358" s="62"/>
      <c r="DX358" s="62"/>
      <c r="DY358" s="62"/>
      <c r="DZ358" s="62"/>
      <c r="EA358" s="62"/>
      <c r="EB358" s="62"/>
      <c r="EC358" s="62"/>
      <c r="ED358" s="62"/>
      <c r="EE358" s="62"/>
      <c r="EF358" s="62"/>
      <c r="EG358" s="62"/>
      <c r="EH358" s="62"/>
      <c r="EI358" s="62"/>
      <c r="EJ358" s="62"/>
      <c r="EK358" s="62"/>
      <c r="EL358" s="62"/>
      <c r="EM358" s="62"/>
      <c r="EN358" s="62"/>
      <c r="EO358" s="62"/>
      <c r="EP358" s="62"/>
      <c r="EQ358" s="62"/>
      <c r="ER358" s="62"/>
      <c r="ES358" s="62"/>
      <c r="ET358" s="62"/>
      <c r="EU358" s="62"/>
      <c r="EV358" s="62"/>
      <c r="EW358" s="62"/>
      <c r="EX358" s="62"/>
      <c r="EY358" s="62"/>
      <c r="EZ358" s="62"/>
      <c r="FA358" s="62"/>
      <c r="FB358" s="62"/>
      <c r="FC358" s="62"/>
      <c r="FD358" s="62"/>
      <c r="FE358" s="62"/>
      <c r="FF358" s="62"/>
      <c r="FG358" s="62"/>
      <c r="FH358" s="62"/>
      <c r="FI358" s="62"/>
      <c r="FJ358" s="62"/>
      <c r="FK358" s="62"/>
      <c r="FL358" s="62"/>
      <c r="FM358" s="62"/>
      <c r="FN358" s="62"/>
      <c r="FO358" s="62"/>
      <c r="FP358" s="62"/>
      <c r="FQ358" s="62"/>
      <c r="FR358" s="62"/>
      <c r="FS358" s="62"/>
      <c r="FT358" s="62"/>
      <c r="FU358" s="62"/>
      <c r="FV358" s="62"/>
      <c r="FW358" s="62"/>
      <c r="FX358" s="62"/>
      <c r="FY358" s="62"/>
      <c r="FZ358" s="62"/>
      <c r="GA358" s="62"/>
      <c r="GB358" s="62"/>
      <c r="GC358" s="62"/>
      <c r="GD358" s="62"/>
      <c r="GE358" s="62"/>
      <c r="GF358" s="62"/>
      <c r="GG358" s="62"/>
      <c r="GH358" s="62"/>
      <c r="GI358" s="62"/>
      <c r="GJ358" s="62"/>
      <c r="GK358" s="62"/>
      <c r="GL358" s="62"/>
      <c r="GM358" s="62"/>
      <c r="GN358" s="62"/>
      <c r="GO358" s="62"/>
      <c r="GP358" s="62"/>
      <c r="GQ358" s="62"/>
      <c r="GR358" s="62"/>
      <c r="GS358" s="62"/>
      <c r="GT358" s="62"/>
      <c r="GU358" s="62"/>
      <c r="GV358" s="62"/>
      <c r="GW358" s="62"/>
      <c r="GX358" s="62"/>
      <c r="GY358" s="62"/>
      <c r="GZ358" s="62"/>
      <c r="HA358" s="62"/>
      <c r="HB358" s="62"/>
      <c r="HC358" s="62"/>
      <c r="HD358" s="62"/>
      <c r="HE358" s="62"/>
      <c r="HF358" s="62"/>
      <c r="HG358" s="62"/>
      <c r="HH358" s="62"/>
      <c r="HI358" s="62"/>
      <c r="HJ358" s="62"/>
      <c r="HK358" s="62"/>
      <c r="HL358" s="62"/>
      <c r="HM358" s="62"/>
      <c r="HN358" s="62"/>
      <c r="HO358" s="62"/>
      <c r="HP358" s="62"/>
      <c r="HQ358" s="62"/>
      <c r="HR358" s="62"/>
      <c r="HS358" s="62"/>
      <c r="HT358" s="62"/>
      <c r="HU358" s="62"/>
      <c r="HV358" s="62"/>
      <c r="HW358" s="62"/>
      <c r="HX358" s="62"/>
      <c r="HY358" s="62"/>
      <c r="HZ358" s="62"/>
      <c r="IA358" s="62"/>
      <c r="IB358" s="62"/>
      <c r="IC358" s="62"/>
      <c r="ID358" s="62"/>
      <c r="IE358" s="62"/>
      <c r="IF358" s="62"/>
      <c r="IG358" s="62"/>
      <c r="IH358" s="62"/>
      <c r="II358" s="62"/>
      <c r="IJ358" s="62"/>
      <c r="IK358" s="62"/>
      <c r="IL358" s="62"/>
      <c r="IM358" s="62"/>
      <c r="IN358" s="62"/>
      <c r="IO358" s="62"/>
      <c r="IP358" s="62"/>
      <c r="IQ358" s="62"/>
      <c r="IR358" s="62"/>
      <c r="IS358" s="62"/>
      <c r="IT358" s="62"/>
      <c r="IU358" s="62"/>
      <c r="IV358" s="62"/>
      <c r="IW358" s="62"/>
      <c r="IX358" s="62"/>
      <c r="IY358" s="62"/>
      <c r="IZ358" s="62"/>
      <c r="JA358" s="62"/>
      <c r="JB358" s="62"/>
      <c r="JC358" s="62"/>
      <c r="JD358" s="62"/>
      <c r="JE358" s="62"/>
      <c r="JF358" s="62"/>
      <c r="JG358" s="62"/>
      <c r="JH358" s="62"/>
      <c r="JI358" s="62"/>
      <c r="JJ358" s="62"/>
      <c r="JK358" s="62"/>
      <c r="JL358" s="62"/>
      <c r="JM358" s="62"/>
      <c r="JN358" s="62"/>
      <c r="JO358" s="62"/>
      <c r="JP358" s="62"/>
      <c r="JQ358" s="62"/>
      <c r="JR358" s="62"/>
      <c r="JS358" s="62"/>
      <c r="JT358" s="62"/>
      <c r="JU358" s="62"/>
      <c r="JV358" s="62"/>
      <c r="JW358" s="62"/>
      <c r="JX358" s="62"/>
      <c r="JY358" s="62"/>
      <c r="JZ358" s="62"/>
      <c r="KA358" s="62"/>
      <c r="KB358" s="62"/>
      <c r="KC358" s="62"/>
      <c r="KD358" s="62"/>
      <c r="KE358" s="62"/>
      <c r="KF358" s="62"/>
      <c r="KG358" s="62"/>
      <c r="KH358" s="62"/>
      <c r="KI358" s="62"/>
      <c r="KJ358" s="62"/>
      <c r="KK358" s="62"/>
      <c r="KL358" s="62"/>
      <c r="KM358" s="62"/>
      <c r="KN358" s="62"/>
      <c r="KO358" s="62"/>
      <c r="KP358" s="62"/>
      <c r="KQ358" s="62"/>
      <c r="KR358" s="62"/>
      <c r="KS358" s="62"/>
      <c r="KT358" s="62"/>
      <c r="KU358" s="62"/>
      <c r="KV358" s="62"/>
      <c r="KW358" s="62"/>
      <c r="KX358" s="62"/>
      <c r="KY358" s="62"/>
      <c r="KZ358" s="62"/>
      <c r="LA358" s="62"/>
      <c r="LB358" s="62"/>
      <c r="LC358" s="62"/>
      <c r="LD358" s="62"/>
      <c r="LE358" s="62"/>
      <c r="LF358" s="62"/>
      <c r="LG358" s="62"/>
      <c r="LH358" s="62"/>
      <c r="LI358" s="62"/>
      <c r="LJ358" s="62"/>
      <c r="LK358" s="62"/>
      <c r="LL358" s="62"/>
      <c r="LM358" s="62"/>
      <c r="LN358" s="62"/>
      <c r="LO358" s="62"/>
      <c r="LP358" s="62"/>
      <c r="LQ358" s="62"/>
      <c r="LR358" s="62"/>
      <c r="LS358" s="62"/>
      <c r="LT358" s="62"/>
      <c r="LU358" s="62"/>
      <c r="LV358" s="62"/>
      <c r="LW358" s="62"/>
      <c r="LX358" s="62"/>
      <c r="LY358" s="62"/>
      <c r="LZ358" s="62"/>
      <c r="MA358" s="62"/>
      <c r="MB358" s="62"/>
      <c r="MC358" s="62"/>
      <c r="MD358" s="62"/>
      <c r="ME358" s="62"/>
      <c r="MF358" s="62"/>
      <c r="MG358" s="62"/>
      <c r="MH358" s="62"/>
      <c r="MI358" s="62"/>
      <c r="MJ358" s="62"/>
      <c r="MK358" s="62"/>
      <c r="ML358" s="62"/>
      <c r="MM358" s="62"/>
      <c r="MN358" s="62"/>
      <c r="MO358" s="62"/>
      <c r="MP358" s="62"/>
      <c r="MQ358" s="62"/>
      <c r="MR358" s="62"/>
      <c r="MS358" s="62"/>
      <c r="MT358" s="62"/>
      <c r="MU358" s="62"/>
      <c r="MV358" s="62"/>
      <c r="MW358" s="62"/>
      <c r="MX358" s="62"/>
      <c r="MY358" s="62"/>
      <c r="MZ358" s="62"/>
      <c r="NA358" s="62"/>
      <c r="NB358" s="62"/>
      <c r="NC358" s="62"/>
      <c r="ND358" s="62"/>
      <c r="NE358" s="62"/>
      <c r="NF358" s="62"/>
      <c r="NG358" s="62"/>
      <c r="NH358" s="62"/>
      <c r="NI358" s="62"/>
      <c r="NJ358" s="62"/>
      <c r="NK358" s="62"/>
      <c r="NL358" s="62"/>
      <c r="NM358" s="62"/>
      <c r="NN358" s="62"/>
      <c r="NO358" s="62"/>
      <c r="NP358" s="62"/>
      <c r="NQ358" s="62"/>
      <c r="NR358" s="62"/>
      <c r="NS358" s="62"/>
      <c r="NT358" s="62"/>
      <c r="NU358" s="62"/>
      <c r="NV358" s="62"/>
      <c r="NW358" s="62"/>
      <c r="NX358" s="62"/>
      <c r="NY358" s="62"/>
      <c r="NZ358" s="62"/>
      <c r="OA358" s="62"/>
      <c r="OB358" s="62"/>
      <c r="OC358" s="62"/>
      <c r="OD358" s="62"/>
      <c r="OE358" s="62"/>
      <c r="OF358" s="62"/>
      <c r="OG358" s="62"/>
      <c r="OH358" s="62"/>
      <c r="OI358" s="62"/>
      <c r="OJ358" s="62"/>
      <c r="OK358" s="62"/>
      <c r="OL358" s="62"/>
      <c r="OM358" s="62"/>
      <c r="ON358" s="62"/>
      <c r="OO358" s="62"/>
      <c r="OP358" s="62"/>
      <c r="OQ358" s="62"/>
      <c r="OR358" s="62"/>
      <c r="OS358" s="62"/>
      <c r="OT358" s="62"/>
      <c r="OU358" s="62"/>
      <c r="OV358" s="62"/>
      <c r="OW358" s="62"/>
      <c r="OX358" s="62"/>
      <c r="OY358" s="62"/>
      <c r="OZ358" s="62"/>
      <c r="PA358" s="62"/>
      <c r="PB358" s="62"/>
      <c r="PC358" s="62"/>
      <c r="PD358" s="62"/>
      <c r="PE358" s="62"/>
      <c r="PF358" s="62"/>
      <c r="PG358" s="62"/>
      <c r="PH358" s="62"/>
      <c r="PI358" s="62"/>
      <c r="PJ358" s="62"/>
      <c r="PK358" s="62"/>
      <c r="PL358" s="62"/>
      <c r="PM358" s="62"/>
      <c r="PN358" s="62"/>
      <c r="PO358" s="62"/>
      <c r="PP358" s="62"/>
      <c r="PQ358" s="62"/>
      <c r="PR358" s="62"/>
      <c r="PS358" s="62"/>
      <c r="PT358" s="62"/>
      <c r="PU358" s="62"/>
      <c r="PV358" s="62"/>
      <c r="PW358" s="62"/>
      <c r="PX358" s="62"/>
      <c r="PY358" s="62"/>
      <c r="PZ358" s="62"/>
      <c r="QA358" s="62"/>
      <c r="QB358" s="62"/>
      <c r="QC358" s="62"/>
      <c r="QD358" s="62"/>
      <c r="QE358" s="62"/>
      <c r="QF358" s="62"/>
      <c r="QG358" s="62"/>
      <c r="QH358" s="62"/>
      <c r="QI358" s="62"/>
      <c r="QJ358" s="62"/>
      <c r="QK358" s="62"/>
      <c r="QL358" s="62"/>
      <c r="QM358" s="62"/>
      <c r="QN358" s="62"/>
      <c r="QO358" s="62"/>
      <c r="QP358" s="62"/>
      <c r="QQ358" s="48"/>
      <c r="QR358" s="49"/>
      <c r="QS358" s="63"/>
      <c r="QT358" s="64"/>
    </row>
    <row r="359" spans="1:462" s="11" customFormat="1" x14ac:dyDescent="0.2">
      <c r="A359" s="9">
        <v>30</v>
      </c>
      <c r="B359" s="9"/>
      <c r="C359" s="9"/>
      <c r="D359" s="9" t="s">
        <v>87</v>
      </c>
      <c r="E359" s="65" t="s">
        <v>88</v>
      </c>
      <c r="F359" s="65"/>
      <c r="G359" s="92" t="s">
        <v>2209</v>
      </c>
      <c r="H359" s="66" t="s">
        <v>1841</v>
      </c>
      <c r="I359" s="9" t="s">
        <v>1101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  <c r="EN359" s="9"/>
      <c r="EO359" s="9"/>
      <c r="EP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E359" s="9"/>
      <c r="FF359" s="9"/>
      <c r="FG359" s="9"/>
      <c r="FH359" s="9"/>
      <c r="FI359" s="9"/>
      <c r="FJ359" s="9"/>
      <c r="FK359" s="9"/>
      <c r="FL359" s="9"/>
      <c r="FM359" s="9"/>
      <c r="FN359" s="9"/>
      <c r="FO359" s="9"/>
      <c r="FP359" s="9"/>
      <c r="FQ359" s="9"/>
      <c r="FR359" s="9"/>
      <c r="FS359" s="9"/>
      <c r="FT359" s="9"/>
      <c r="FU359" s="9"/>
      <c r="FV359" s="9"/>
      <c r="FW359" s="9"/>
      <c r="FX359" s="9"/>
      <c r="FY359" s="9"/>
      <c r="FZ359" s="9"/>
      <c r="GA359" s="9"/>
      <c r="GB359" s="9"/>
      <c r="GC359" s="9"/>
      <c r="GD359" s="9"/>
      <c r="GE359" s="9"/>
      <c r="GF359" s="9"/>
      <c r="GG359" s="9"/>
      <c r="GH359" s="9"/>
      <c r="GI359" s="9"/>
      <c r="GJ359" s="9"/>
      <c r="GK359" s="9"/>
      <c r="GL359" s="9"/>
      <c r="GM359" s="9"/>
      <c r="GN359" s="9"/>
      <c r="GO359" s="9"/>
      <c r="GP359" s="9"/>
      <c r="GQ359" s="9"/>
      <c r="GR359" s="9"/>
      <c r="GS359" s="9"/>
      <c r="GT359" s="9"/>
      <c r="GU359" s="9"/>
      <c r="GV359" s="9"/>
      <c r="GW359" s="9"/>
      <c r="GX359" s="9"/>
      <c r="GY359" s="9"/>
      <c r="GZ359" s="9"/>
      <c r="HA359" s="9"/>
      <c r="HB359" s="9"/>
      <c r="HC359" s="9"/>
      <c r="HD359" s="9"/>
      <c r="HE359" s="9"/>
      <c r="HF359" s="9"/>
      <c r="HG359" s="9"/>
      <c r="HH359" s="9"/>
      <c r="HI359" s="9"/>
      <c r="HJ359" s="9"/>
      <c r="HK359" s="9"/>
      <c r="HL359" s="9"/>
      <c r="HM359" s="9"/>
      <c r="HN359" s="9"/>
      <c r="HO359" s="9"/>
      <c r="HP359" s="9"/>
      <c r="HQ359" s="9"/>
      <c r="HR359" s="9"/>
      <c r="HS359" s="9"/>
      <c r="HT359" s="9"/>
      <c r="HU359" s="9"/>
      <c r="HV359" s="9"/>
      <c r="HW359" s="9"/>
      <c r="HX359" s="9"/>
      <c r="HY359" s="9"/>
      <c r="HZ359" s="9"/>
      <c r="IA359" s="9"/>
      <c r="IB359" s="9"/>
      <c r="IC359" s="9"/>
      <c r="ID359" s="9"/>
      <c r="IE359" s="9"/>
      <c r="IF359" s="9"/>
      <c r="IG359" s="9"/>
      <c r="IH359" s="9"/>
      <c r="II359" s="9"/>
      <c r="IJ359" s="9"/>
      <c r="IK359" s="9"/>
      <c r="IL359" s="9"/>
      <c r="IM359" s="9"/>
      <c r="IN359" s="9"/>
      <c r="IO359" s="9"/>
      <c r="IP359" s="9"/>
      <c r="IQ359" s="9"/>
      <c r="IR359" s="9"/>
      <c r="IS359" s="9"/>
      <c r="IT359" s="9"/>
      <c r="IU359" s="9"/>
      <c r="IV359" s="9"/>
      <c r="IW359" s="9"/>
      <c r="IX359" s="9"/>
      <c r="IY359" s="9"/>
      <c r="IZ359" s="9"/>
      <c r="JA359" s="9"/>
      <c r="JB359" s="9"/>
      <c r="JC359" s="9"/>
      <c r="JD359" s="9"/>
      <c r="JE359" s="9"/>
      <c r="JF359" s="9"/>
      <c r="JG359" s="9"/>
      <c r="JH359" s="9"/>
      <c r="JI359" s="9"/>
      <c r="JJ359" s="9"/>
      <c r="JK359" s="9"/>
      <c r="JL359" s="9"/>
      <c r="JM359" s="9"/>
      <c r="JN359" s="9"/>
      <c r="JO359" s="9"/>
      <c r="JP359" s="9"/>
      <c r="JQ359" s="9"/>
      <c r="JR359" s="9"/>
      <c r="JS359" s="9"/>
      <c r="JT359" s="9"/>
      <c r="JU359" s="9"/>
      <c r="JV359" s="9"/>
      <c r="JW359" s="9"/>
      <c r="JX359" s="9"/>
      <c r="JY359" s="9"/>
      <c r="JZ359" s="9"/>
      <c r="KA359" s="9"/>
      <c r="KB359" s="9"/>
      <c r="KC359" s="9"/>
      <c r="KD359" s="9"/>
      <c r="KE359" s="9"/>
      <c r="KF359" s="9"/>
      <c r="KG359" s="9"/>
      <c r="KH359" s="9"/>
      <c r="KI359" s="9"/>
      <c r="KJ359" s="9"/>
      <c r="KK359" s="9"/>
      <c r="KL359" s="9"/>
      <c r="KM359" s="9"/>
      <c r="KN359" s="9"/>
      <c r="KO359" s="9"/>
      <c r="KP359" s="9"/>
      <c r="KQ359" s="9"/>
      <c r="KR359" s="9"/>
      <c r="KS359" s="9"/>
      <c r="KT359" s="9"/>
      <c r="KU359" s="9"/>
      <c r="KV359" s="9"/>
      <c r="KW359" s="9"/>
      <c r="KX359" s="9"/>
      <c r="KY359" s="9"/>
      <c r="KZ359" s="9"/>
      <c r="LA359" s="9"/>
      <c r="LB359" s="9"/>
      <c r="LC359" s="9"/>
      <c r="LD359" s="9"/>
      <c r="LE359" s="9"/>
      <c r="LF359" s="9"/>
      <c r="LG359" s="9"/>
      <c r="LH359" s="9"/>
      <c r="LI359" s="9"/>
      <c r="LJ359" s="9"/>
      <c r="LK359" s="9"/>
      <c r="LL359" s="9"/>
      <c r="LM359" s="9"/>
      <c r="LN359" s="9"/>
      <c r="LO359" s="9"/>
      <c r="LP359" s="9"/>
      <c r="LQ359" s="9"/>
      <c r="LR359" s="9"/>
      <c r="LS359" s="9"/>
      <c r="LT359" s="9"/>
      <c r="LU359" s="9"/>
      <c r="LV359" s="9"/>
      <c r="LW359" s="9"/>
      <c r="LX359" s="9"/>
      <c r="LY359" s="9"/>
      <c r="LZ359" s="9"/>
      <c r="MA359" s="9"/>
      <c r="MB359" s="9"/>
      <c r="MC359" s="9"/>
      <c r="MD359" s="9"/>
      <c r="ME359" s="9"/>
      <c r="MF359" s="9"/>
      <c r="MG359" s="9"/>
      <c r="MH359" s="9"/>
      <c r="MI359" s="9"/>
      <c r="MJ359" s="9"/>
      <c r="MK359" s="9"/>
      <c r="ML359" s="9"/>
      <c r="MM359" s="9"/>
      <c r="MN359" s="9"/>
      <c r="MO359" s="9"/>
      <c r="MP359" s="9"/>
      <c r="MQ359" s="9"/>
      <c r="MR359" s="9"/>
      <c r="MS359" s="9"/>
      <c r="MT359" s="9"/>
      <c r="MU359" s="9"/>
      <c r="MV359" s="9"/>
      <c r="MW359" s="9"/>
      <c r="MX359" s="9"/>
      <c r="MY359" s="9"/>
      <c r="MZ359" s="9"/>
      <c r="NA359" s="9"/>
      <c r="NB359" s="9"/>
      <c r="NC359" s="9"/>
      <c r="ND359" s="9"/>
      <c r="NE359" s="9"/>
      <c r="NF359" s="9"/>
      <c r="NG359" s="9"/>
      <c r="NH359" s="9"/>
      <c r="NI359" s="9"/>
      <c r="NJ359" s="9"/>
      <c r="NK359" s="9"/>
      <c r="NL359" s="9"/>
      <c r="NM359" s="9"/>
      <c r="NN359" s="9"/>
      <c r="NO359" s="9"/>
      <c r="NP359" s="9"/>
      <c r="NQ359" s="9"/>
      <c r="NR359" s="9"/>
      <c r="NS359" s="9"/>
      <c r="NT359" s="9"/>
      <c r="NU359" s="9"/>
      <c r="NV359" s="9"/>
      <c r="NW359" s="9"/>
      <c r="NX359" s="9"/>
      <c r="NY359" s="9"/>
      <c r="NZ359" s="9"/>
      <c r="OA359" s="9"/>
      <c r="OB359" s="9"/>
      <c r="OC359" s="9"/>
      <c r="OD359" s="9"/>
      <c r="OE359" s="9"/>
      <c r="OF359" s="9"/>
      <c r="OG359" s="9"/>
      <c r="OH359" s="9"/>
      <c r="OI359" s="9"/>
      <c r="OJ359" s="9"/>
      <c r="OK359" s="9"/>
      <c r="OL359" s="9"/>
      <c r="OM359" s="9"/>
      <c r="ON359" s="9"/>
      <c r="OO359" s="9"/>
      <c r="OP359" s="9"/>
      <c r="OQ359" s="9"/>
      <c r="OR359" s="9"/>
      <c r="OS359" s="9"/>
      <c r="OT359" s="9"/>
      <c r="OU359" s="9"/>
      <c r="OV359" s="9"/>
      <c r="OW359" s="9"/>
      <c r="OX359" s="9"/>
      <c r="OY359" s="9"/>
      <c r="OZ359" s="9"/>
      <c r="PA359" s="9"/>
      <c r="PB359" s="9"/>
      <c r="PC359" s="9"/>
      <c r="PD359" s="9"/>
      <c r="PE359" s="9"/>
      <c r="PF359" s="9"/>
      <c r="PG359" s="9"/>
      <c r="PH359" s="9"/>
      <c r="PI359" s="9"/>
      <c r="PJ359" s="9"/>
      <c r="PK359" s="9"/>
      <c r="PL359" s="9"/>
      <c r="PM359" s="9"/>
      <c r="PN359" s="9"/>
      <c r="PO359" s="9"/>
      <c r="PP359" s="9"/>
      <c r="PQ359" s="9"/>
      <c r="PR359" s="9"/>
      <c r="PS359" s="9"/>
      <c r="PT359" s="9"/>
      <c r="PU359" s="9"/>
      <c r="PV359" s="9"/>
      <c r="PW359" s="9"/>
      <c r="PX359" s="9"/>
      <c r="PY359" s="9"/>
      <c r="PZ359" s="9"/>
      <c r="QA359" s="9"/>
      <c r="QB359" s="9"/>
      <c r="QC359" s="9"/>
      <c r="QD359" s="9"/>
      <c r="QE359" s="9"/>
      <c r="QF359" s="9"/>
      <c r="QG359" s="9"/>
      <c r="QH359" s="9"/>
      <c r="QI359" s="9"/>
      <c r="QJ359" s="9"/>
      <c r="QK359" s="9"/>
      <c r="QL359" s="9"/>
      <c r="QM359" s="9"/>
      <c r="QN359" s="9"/>
      <c r="QO359" s="9"/>
      <c r="QP359" s="9"/>
      <c r="QQ359" s="67"/>
      <c r="QR359" s="68"/>
      <c r="QS359" s="63"/>
      <c r="QT359" s="71"/>
    </row>
    <row r="360" spans="1:462" s="11" customFormat="1" x14ac:dyDescent="0.2">
      <c r="A360" s="72"/>
      <c r="B360" s="73"/>
      <c r="C360" s="73"/>
      <c r="D360" s="29" t="s">
        <v>1</v>
      </c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  <c r="FE360" s="28"/>
      <c r="FF360" s="28"/>
      <c r="FG360" s="28"/>
      <c r="FH360" s="28"/>
      <c r="FI360" s="28"/>
      <c r="FJ360" s="28"/>
      <c r="FK360" s="28"/>
      <c r="FL360" s="28"/>
      <c r="FM360" s="28"/>
      <c r="FN360" s="28"/>
      <c r="FO360" s="28"/>
      <c r="FP360" s="28"/>
      <c r="FQ360" s="28"/>
      <c r="FR360" s="28"/>
      <c r="FS360" s="28"/>
      <c r="FT360" s="28"/>
      <c r="FU360" s="28"/>
      <c r="FV360" s="28"/>
      <c r="FW360" s="28"/>
      <c r="FX360" s="28"/>
      <c r="FY360" s="28"/>
      <c r="FZ360" s="28"/>
      <c r="GA360" s="28"/>
      <c r="GB360" s="28"/>
      <c r="GC360" s="28"/>
      <c r="GD360" s="28"/>
      <c r="GE360" s="28"/>
      <c r="GF360" s="28"/>
      <c r="GG360" s="28"/>
      <c r="GH360" s="28"/>
      <c r="GI360" s="28"/>
      <c r="GJ360" s="28"/>
      <c r="GK360" s="28"/>
      <c r="GL360" s="28"/>
      <c r="GM360" s="28"/>
      <c r="GN360" s="28"/>
      <c r="GO360" s="28"/>
      <c r="GP360" s="28"/>
      <c r="GQ360" s="28"/>
      <c r="GR360" s="28"/>
      <c r="GS360" s="28"/>
      <c r="GT360" s="28"/>
      <c r="GU360" s="28"/>
      <c r="GV360" s="28"/>
      <c r="GW360" s="28"/>
      <c r="GX360" s="28"/>
      <c r="GY360" s="28"/>
      <c r="GZ360" s="28"/>
      <c r="HA360" s="28"/>
      <c r="HB360" s="28"/>
      <c r="HC360" s="28"/>
      <c r="HD360" s="28"/>
      <c r="HE360" s="28"/>
      <c r="HF360" s="28"/>
      <c r="HG360" s="28"/>
      <c r="HH360" s="28"/>
      <c r="HI360" s="28"/>
      <c r="HJ360" s="28"/>
      <c r="HK360" s="28"/>
      <c r="HL360" s="28"/>
      <c r="HM360" s="28"/>
      <c r="HN360" s="28"/>
      <c r="HO360" s="28"/>
      <c r="HP360" s="28"/>
      <c r="HQ360" s="28"/>
      <c r="HR360" s="28"/>
      <c r="HS360" s="28"/>
      <c r="HT360" s="28"/>
      <c r="HU360" s="28"/>
      <c r="HV360" s="28"/>
      <c r="HW360" s="28"/>
      <c r="HX360" s="28"/>
      <c r="HY360" s="28"/>
      <c r="HZ360" s="28"/>
      <c r="IA360" s="28"/>
      <c r="IB360" s="28"/>
      <c r="IC360" s="28"/>
      <c r="ID360" s="28"/>
      <c r="IE360" s="28"/>
      <c r="IF360" s="28"/>
      <c r="IG360" s="28"/>
      <c r="IH360" s="28"/>
      <c r="II360" s="28"/>
      <c r="IJ360" s="28"/>
      <c r="IK360" s="28"/>
      <c r="IL360" s="28"/>
      <c r="IM360" s="28"/>
      <c r="IN360" s="28"/>
      <c r="IO360" s="28"/>
      <c r="IP360" s="28"/>
      <c r="IQ360" s="28"/>
      <c r="IR360" s="28"/>
      <c r="IS360" s="28"/>
      <c r="IT360" s="28"/>
      <c r="IU360" s="28"/>
      <c r="IV360" s="28"/>
      <c r="IW360" s="28"/>
      <c r="IX360" s="28"/>
      <c r="IY360" s="28"/>
      <c r="IZ360" s="28"/>
      <c r="JA360" s="28"/>
      <c r="JB360" s="28"/>
      <c r="JC360" s="28"/>
      <c r="JD360" s="28"/>
      <c r="JE360" s="28"/>
      <c r="JF360" s="28"/>
      <c r="JG360" s="28"/>
      <c r="JH360" s="28"/>
      <c r="JI360" s="28"/>
      <c r="JJ360" s="28"/>
      <c r="JK360" s="28"/>
      <c r="JL360" s="28"/>
      <c r="JM360" s="28"/>
      <c r="JN360" s="28"/>
      <c r="JO360" s="28"/>
      <c r="JP360" s="28"/>
      <c r="JQ360" s="28"/>
      <c r="JR360" s="28"/>
      <c r="JS360" s="28"/>
      <c r="JT360" s="28"/>
      <c r="JU360" s="28"/>
      <c r="JV360" s="28"/>
      <c r="JW360" s="28"/>
      <c r="JX360" s="28"/>
      <c r="JY360" s="28"/>
      <c r="JZ360" s="28"/>
      <c r="KA360" s="28"/>
      <c r="KB360" s="28"/>
      <c r="KC360" s="28"/>
      <c r="KD360" s="28"/>
      <c r="KE360" s="28"/>
      <c r="KF360" s="28"/>
      <c r="KG360" s="28"/>
      <c r="KH360" s="28"/>
      <c r="KI360" s="28"/>
      <c r="KJ360" s="28"/>
      <c r="KK360" s="28"/>
      <c r="KL360" s="28"/>
      <c r="KM360" s="28"/>
      <c r="KN360" s="28"/>
      <c r="KO360" s="28"/>
      <c r="KP360" s="28"/>
      <c r="KQ360" s="28"/>
      <c r="KR360" s="28"/>
      <c r="KS360" s="28"/>
      <c r="KT360" s="28"/>
      <c r="KU360" s="28"/>
      <c r="KV360" s="28"/>
      <c r="KW360" s="28"/>
      <c r="KX360" s="28"/>
      <c r="KY360" s="28"/>
      <c r="KZ360" s="28"/>
      <c r="LA360" s="28"/>
      <c r="LB360" s="28"/>
      <c r="LC360" s="28"/>
      <c r="LD360" s="28"/>
      <c r="LE360" s="28"/>
      <c r="LF360" s="28"/>
      <c r="LG360" s="28"/>
      <c r="LH360" s="28"/>
      <c r="LI360" s="28"/>
      <c r="LJ360" s="28"/>
      <c r="LK360" s="28"/>
      <c r="LL360" s="28"/>
      <c r="LM360" s="28"/>
      <c r="LN360" s="28"/>
      <c r="LO360" s="28"/>
      <c r="LP360" s="28"/>
      <c r="LQ360" s="28"/>
      <c r="LR360" s="28"/>
      <c r="LS360" s="28"/>
      <c r="LT360" s="28"/>
      <c r="LU360" s="28"/>
      <c r="LV360" s="28"/>
      <c r="LW360" s="28"/>
      <c r="LX360" s="28"/>
      <c r="LY360" s="28"/>
      <c r="LZ360" s="28"/>
      <c r="MA360" s="28"/>
      <c r="MB360" s="28"/>
      <c r="MC360" s="28"/>
      <c r="MD360" s="28"/>
      <c r="ME360" s="28"/>
      <c r="MF360" s="28"/>
      <c r="MG360" s="28"/>
      <c r="MH360" s="28"/>
      <c r="MI360" s="28"/>
      <c r="MJ360" s="28"/>
      <c r="MK360" s="28"/>
      <c r="ML360" s="28"/>
      <c r="MM360" s="28"/>
      <c r="MN360" s="28"/>
      <c r="MO360" s="28"/>
      <c r="MP360" s="28"/>
      <c r="MQ360" s="28"/>
      <c r="MR360" s="28"/>
      <c r="MS360" s="28"/>
      <c r="MT360" s="28"/>
      <c r="MU360" s="28"/>
      <c r="MV360" s="28"/>
      <c r="MW360" s="28"/>
      <c r="MX360" s="28"/>
      <c r="MY360" s="28"/>
      <c r="MZ360" s="28"/>
      <c r="NA360" s="28"/>
      <c r="NB360" s="28"/>
      <c r="NC360" s="28"/>
      <c r="ND360" s="28"/>
      <c r="NE360" s="28"/>
      <c r="NF360" s="28"/>
      <c r="NG360" s="28"/>
      <c r="NH360" s="28"/>
      <c r="NI360" s="28"/>
      <c r="NJ360" s="28"/>
      <c r="NK360" s="28"/>
      <c r="NL360" s="28"/>
      <c r="NM360" s="28"/>
      <c r="NN360" s="28"/>
      <c r="NO360" s="28"/>
      <c r="NP360" s="28"/>
      <c r="NQ360" s="28"/>
      <c r="NR360" s="28"/>
      <c r="NS360" s="28"/>
      <c r="NT360" s="28"/>
      <c r="NU360" s="28"/>
      <c r="NV360" s="28"/>
      <c r="NW360" s="28"/>
      <c r="NX360" s="28"/>
      <c r="NY360" s="28"/>
      <c r="NZ360" s="28"/>
      <c r="OA360" s="28"/>
      <c r="OB360" s="28"/>
      <c r="OC360" s="28"/>
      <c r="OD360" s="28"/>
      <c r="OE360" s="28"/>
      <c r="OF360" s="28"/>
      <c r="OG360" s="28"/>
      <c r="OH360" s="28"/>
      <c r="OI360" s="28"/>
      <c r="OJ360" s="28"/>
      <c r="OK360" s="28"/>
      <c r="OL360" s="28"/>
      <c r="OM360" s="28"/>
      <c r="ON360" s="28"/>
      <c r="OO360" s="28"/>
      <c r="OP360" s="28"/>
      <c r="OQ360" s="28"/>
      <c r="OR360" s="28"/>
      <c r="OS360" s="28"/>
      <c r="OT360" s="28"/>
      <c r="OU360" s="28"/>
      <c r="OV360" s="28"/>
      <c r="OW360" s="28"/>
      <c r="OX360" s="28"/>
      <c r="OY360" s="28"/>
      <c r="OZ360" s="28"/>
      <c r="PA360" s="28"/>
      <c r="PB360" s="28"/>
      <c r="PC360" s="28"/>
      <c r="PD360" s="28"/>
      <c r="PE360" s="28"/>
      <c r="PF360" s="28"/>
      <c r="PG360" s="28"/>
      <c r="PH360" s="28"/>
      <c r="PI360" s="28"/>
      <c r="PJ360" s="28"/>
      <c r="PK360" s="28"/>
      <c r="PL360" s="28"/>
      <c r="PM360" s="28"/>
      <c r="PN360" s="28"/>
      <c r="PO360" s="28"/>
      <c r="PP360" s="28"/>
      <c r="PQ360" s="28"/>
      <c r="PR360" s="28"/>
      <c r="PS360" s="28"/>
      <c r="PT360" s="28"/>
      <c r="PU360" s="28"/>
      <c r="PV360" s="28"/>
      <c r="PW360" s="28"/>
      <c r="PX360" s="28"/>
      <c r="PY360" s="28"/>
      <c r="PZ360" s="28"/>
      <c r="QA360" s="28"/>
      <c r="QB360" s="28"/>
      <c r="QC360" s="28"/>
      <c r="QD360" s="28"/>
      <c r="QE360" s="28"/>
      <c r="QF360" s="28"/>
      <c r="QG360" s="28"/>
      <c r="QH360" s="28"/>
      <c r="QI360" s="28"/>
      <c r="QJ360" s="28"/>
      <c r="QK360" s="28"/>
      <c r="QL360" s="28"/>
      <c r="QM360" s="28"/>
      <c r="QN360" s="28"/>
      <c r="QO360" s="28"/>
      <c r="QP360" s="28"/>
      <c r="QQ360" s="4"/>
      <c r="QR360" s="4"/>
      <c r="QS360" s="6"/>
      <c r="QT360" s="23"/>
    </row>
    <row r="361" spans="1:462" s="11" customFormat="1" x14ac:dyDescent="0.2">
      <c r="A361" s="34"/>
      <c r="QT361" s="69"/>
    </row>
    <row r="362" spans="1:462" s="11" customFormat="1" x14ac:dyDescent="0.2">
      <c r="A362" s="34"/>
      <c r="QT362" s="69"/>
    </row>
    <row r="363" spans="1:462" s="11" customFormat="1" x14ac:dyDescent="0.2">
      <c r="A363" s="34"/>
      <c r="QT363" s="69"/>
    </row>
    <row r="364" spans="1:462" s="11" customFormat="1" x14ac:dyDescent="0.2">
      <c r="A364" s="3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9"/>
      <c r="DX364" s="19"/>
      <c r="DY364" s="19"/>
      <c r="DZ364" s="19"/>
      <c r="EA364" s="19"/>
      <c r="EB364" s="19"/>
      <c r="EC364" s="19"/>
      <c r="ED364" s="19"/>
      <c r="EE364" s="19"/>
      <c r="EF364" s="19"/>
      <c r="EG364" s="19"/>
      <c r="EH364" s="19"/>
      <c r="EI364" s="19"/>
      <c r="EJ364" s="19"/>
      <c r="EK364" s="19"/>
      <c r="EL364" s="19"/>
      <c r="EM364" s="19"/>
      <c r="EN364" s="19"/>
      <c r="EO364" s="19"/>
      <c r="EP364" s="19"/>
      <c r="EQ364" s="19"/>
      <c r="ER364" s="19"/>
      <c r="ES364" s="19"/>
      <c r="ET364" s="19"/>
      <c r="EU364" s="19"/>
      <c r="EV364" s="19"/>
      <c r="EW364" s="19"/>
      <c r="EX364" s="19"/>
      <c r="EY364" s="19"/>
      <c r="EZ364" s="19"/>
      <c r="FA364" s="19"/>
      <c r="FB364" s="19"/>
      <c r="FC364" s="19"/>
      <c r="FD364" s="19"/>
      <c r="FE364" s="19"/>
      <c r="FF364" s="19"/>
      <c r="FG364" s="19"/>
      <c r="FH364" s="19"/>
      <c r="FI364" s="19"/>
      <c r="FJ364" s="19"/>
      <c r="FK364" s="19"/>
      <c r="FL364" s="19"/>
      <c r="FM364" s="19"/>
      <c r="FN364" s="19"/>
      <c r="FO364" s="19"/>
      <c r="FP364" s="19"/>
      <c r="FQ364" s="19"/>
      <c r="FR364" s="19"/>
      <c r="FS364" s="19"/>
      <c r="FT364" s="19"/>
      <c r="FU364" s="19"/>
      <c r="FV364" s="19"/>
      <c r="FW364" s="19"/>
      <c r="FX364" s="19"/>
      <c r="FY364" s="19"/>
      <c r="FZ364" s="19"/>
      <c r="GA364" s="19"/>
      <c r="GB364" s="19"/>
      <c r="GC364" s="19"/>
      <c r="GD364" s="19"/>
      <c r="GE364" s="19"/>
      <c r="GF364" s="19"/>
      <c r="GG364" s="19"/>
      <c r="GH364" s="19"/>
      <c r="GI364" s="19"/>
      <c r="GJ364" s="19"/>
      <c r="GK364" s="19"/>
      <c r="GL364" s="19"/>
      <c r="GM364" s="19"/>
      <c r="GN364" s="19"/>
      <c r="GO364" s="19"/>
      <c r="GP364" s="19"/>
      <c r="GQ364" s="19"/>
      <c r="GR364" s="19"/>
      <c r="GS364" s="19"/>
      <c r="GT364" s="19"/>
      <c r="GU364" s="19"/>
      <c r="GV364" s="19"/>
      <c r="GW364" s="19"/>
      <c r="GX364" s="19"/>
      <c r="GY364" s="19"/>
      <c r="GZ364" s="19"/>
      <c r="HA364" s="19"/>
      <c r="HB364" s="19"/>
      <c r="HC364" s="19"/>
      <c r="HD364" s="19"/>
      <c r="HE364" s="19"/>
      <c r="HF364" s="19"/>
      <c r="HG364" s="19"/>
      <c r="HH364" s="19"/>
      <c r="HI364" s="19"/>
      <c r="HJ364" s="19"/>
      <c r="HK364" s="19"/>
      <c r="HL364" s="19"/>
      <c r="HM364" s="19"/>
      <c r="HN364" s="19"/>
      <c r="HO364" s="19"/>
      <c r="HP364" s="19"/>
      <c r="HQ364" s="19"/>
      <c r="HR364" s="19"/>
      <c r="HS364" s="19"/>
      <c r="HT364" s="19"/>
      <c r="HU364" s="19"/>
      <c r="HV364" s="19"/>
      <c r="HW364" s="19"/>
      <c r="HX364" s="19"/>
      <c r="HY364" s="19"/>
      <c r="HZ364" s="19"/>
      <c r="IA364" s="19"/>
      <c r="IB364" s="19"/>
      <c r="IC364" s="19"/>
      <c r="ID364" s="19"/>
      <c r="IE364" s="19"/>
      <c r="IF364" s="19"/>
      <c r="IG364" s="19"/>
      <c r="IH364" s="19"/>
      <c r="II364" s="19"/>
      <c r="IJ364" s="19"/>
      <c r="IK364" s="19"/>
      <c r="IL364" s="19"/>
      <c r="IM364" s="19"/>
      <c r="IN364" s="19"/>
      <c r="IO364" s="19"/>
      <c r="IP364" s="19"/>
      <c r="IQ364" s="19"/>
      <c r="IR364" s="19"/>
      <c r="IS364" s="19"/>
      <c r="IT364" s="19"/>
      <c r="IU364" s="19"/>
      <c r="IV364" s="19"/>
      <c r="IW364" s="19"/>
      <c r="IX364" s="19"/>
      <c r="IY364" s="19"/>
      <c r="IZ364" s="19"/>
      <c r="JA364" s="19"/>
      <c r="JB364" s="19"/>
      <c r="JC364" s="19"/>
      <c r="JD364" s="19"/>
      <c r="JE364" s="19"/>
      <c r="JF364" s="19"/>
      <c r="JG364" s="19"/>
      <c r="JH364" s="19"/>
      <c r="JI364" s="19"/>
      <c r="JJ364" s="19"/>
      <c r="JK364" s="19"/>
      <c r="JL364" s="19"/>
      <c r="JM364" s="19"/>
      <c r="JN364" s="19"/>
      <c r="JO364" s="19"/>
      <c r="JP364" s="19"/>
      <c r="JQ364" s="19"/>
      <c r="JR364" s="19"/>
      <c r="JS364" s="19"/>
      <c r="JT364" s="19"/>
      <c r="JU364" s="19"/>
      <c r="JV364" s="19"/>
      <c r="JW364" s="19"/>
      <c r="JX364" s="19"/>
      <c r="JY364" s="19"/>
      <c r="JZ364" s="19"/>
      <c r="KA364" s="19"/>
      <c r="KB364" s="19"/>
      <c r="KC364" s="19"/>
      <c r="KD364" s="19"/>
      <c r="KE364" s="19"/>
      <c r="KF364" s="19"/>
      <c r="KG364" s="19"/>
      <c r="KH364" s="19"/>
      <c r="KI364" s="19"/>
      <c r="KJ364" s="19"/>
      <c r="KK364" s="19"/>
      <c r="KL364" s="19"/>
      <c r="KM364" s="19"/>
      <c r="KN364" s="19"/>
      <c r="KO364" s="19"/>
      <c r="KP364" s="19"/>
      <c r="KQ364" s="19"/>
      <c r="KR364" s="19"/>
      <c r="KS364" s="19"/>
      <c r="KT364" s="19"/>
      <c r="KU364" s="19"/>
      <c r="KV364" s="19"/>
      <c r="KW364" s="19"/>
      <c r="KX364" s="19"/>
      <c r="KY364" s="19"/>
      <c r="KZ364" s="19"/>
      <c r="LA364" s="19"/>
      <c r="LB364" s="19"/>
      <c r="LC364" s="19"/>
      <c r="LD364" s="19"/>
      <c r="LE364" s="19"/>
      <c r="LF364" s="19"/>
      <c r="LG364" s="19"/>
      <c r="LH364" s="19"/>
      <c r="LI364" s="19"/>
      <c r="LJ364" s="19"/>
      <c r="LK364" s="19"/>
      <c r="LL364" s="19"/>
      <c r="LM364" s="19"/>
      <c r="LN364" s="19"/>
      <c r="LO364" s="19"/>
      <c r="LP364" s="19"/>
      <c r="LQ364" s="19"/>
      <c r="LR364" s="19"/>
      <c r="LS364" s="19"/>
      <c r="LT364" s="19"/>
      <c r="LU364" s="19"/>
      <c r="LV364" s="19"/>
      <c r="LW364" s="19"/>
      <c r="LX364" s="19"/>
      <c r="LY364" s="19"/>
      <c r="LZ364" s="19"/>
      <c r="MA364" s="19"/>
      <c r="MB364" s="19"/>
      <c r="MC364" s="19"/>
      <c r="MD364" s="19"/>
      <c r="ME364" s="19"/>
      <c r="MF364" s="19"/>
      <c r="MG364" s="19"/>
      <c r="MH364" s="19"/>
      <c r="MI364" s="19"/>
      <c r="MJ364" s="19"/>
      <c r="MK364" s="19"/>
      <c r="ML364" s="19"/>
      <c r="MM364" s="19"/>
      <c r="MN364" s="19"/>
      <c r="MO364" s="19"/>
      <c r="MP364" s="19"/>
      <c r="MQ364" s="19"/>
      <c r="MR364" s="19"/>
      <c r="MS364" s="19"/>
      <c r="MT364" s="19"/>
      <c r="MU364" s="19"/>
      <c r="MV364" s="19"/>
      <c r="MW364" s="19"/>
      <c r="MX364" s="19"/>
      <c r="MY364" s="19"/>
      <c r="MZ364" s="19"/>
      <c r="NA364" s="19"/>
      <c r="NB364" s="19"/>
      <c r="NC364" s="19"/>
      <c r="ND364" s="19"/>
      <c r="NE364" s="19"/>
      <c r="NF364" s="19"/>
      <c r="NG364" s="19"/>
      <c r="NH364" s="19"/>
      <c r="NI364" s="19"/>
      <c r="NJ364" s="19"/>
      <c r="NK364" s="19"/>
      <c r="NL364" s="19"/>
      <c r="NM364" s="19"/>
      <c r="NN364" s="19"/>
      <c r="NO364" s="19"/>
      <c r="NP364" s="19"/>
      <c r="NQ364" s="19"/>
      <c r="NR364" s="19"/>
      <c r="NS364" s="19"/>
      <c r="NT364" s="19"/>
      <c r="NU364" s="19"/>
      <c r="NV364" s="19"/>
      <c r="NW364" s="19"/>
      <c r="NX364" s="19"/>
      <c r="NY364" s="19"/>
      <c r="NZ364" s="19"/>
      <c r="OA364" s="19"/>
      <c r="OB364" s="19"/>
      <c r="OC364" s="19"/>
      <c r="OD364" s="19"/>
      <c r="OE364" s="19"/>
      <c r="OF364" s="19"/>
      <c r="OG364" s="19"/>
      <c r="OH364" s="19"/>
      <c r="OI364" s="19"/>
      <c r="OJ364" s="19"/>
      <c r="OK364" s="19"/>
      <c r="OL364" s="19"/>
      <c r="OM364" s="19"/>
      <c r="ON364" s="19"/>
      <c r="OO364" s="19"/>
      <c r="OP364" s="19"/>
      <c r="OQ364" s="19"/>
      <c r="OR364" s="19"/>
      <c r="OS364" s="19"/>
      <c r="OT364" s="19"/>
      <c r="OU364" s="19"/>
      <c r="OV364" s="19"/>
      <c r="OW364" s="19"/>
      <c r="OX364" s="19"/>
      <c r="OY364" s="19"/>
      <c r="OZ364" s="19"/>
      <c r="PA364" s="19"/>
      <c r="PB364" s="19"/>
      <c r="PC364" s="19"/>
      <c r="PD364" s="19"/>
      <c r="PE364" s="19"/>
      <c r="PF364" s="19"/>
      <c r="PG364" s="19"/>
      <c r="PH364" s="19"/>
      <c r="PI364" s="19"/>
      <c r="PJ364" s="19"/>
      <c r="PK364" s="19"/>
      <c r="PL364" s="19"/>
      <c r="PM364" s="19"/>
      <c r="PN364" s="19"/>
      <c r="PO364" s="19"/>
      <c r="PP364" s="19"/>
      <c r="PQ364" s="19"/>
      <c r="PR364" s="19"/>
      <c r="PS364" s="19"/>
      <c r="PT364" s="19"/>
      <c r="PU364" s="19"/>
      <c r="PV364" s="19"/>
      <c r="PW364" s="19"/>
      <c r="PX364" s="19"/>
      <c r="PY364" s="19"/>
      <c r="PZ364" s="19"/>
      <c r="QA364" s="19"/>
      <c r="QB364" s="19"/>
      <c r="QC364" s="19"/>
      <c r="QD364" s="19"/>
      <c r="QE364" s="19"/>
      <c r="QF364" s="19"/>
      <c r="QG364" s="19"/>
      <c r="QH364" s="19"/>
      <c r="QI364" s="19"/>
      <c r="QJ364" s="19"/>
      <c r="QK364" s="19"/>
      <c r="QL364" s="19"/>
      <c r="QM364" s="19"/>
      <c r="QN364" s="19"/>
      <c r="QO364" s="19"/>
      <c r="QP364" s="19"/>
      <c r="QQ364" s="19"/>
      <c r="QR364" s="19"/>
      <c r="QS364" s="19"/>
      <c r="QT364" s="20"/>
    </row>
  </sheetData>
  <dataConsolidate/>
  <mergeCells count="9">
    <mergeCell ref="QS224:QT224"/>
    <mergeCell ref="QS356:QT356"/>
    <mergeCell ref="QS223:QT223"/>
    <mergeCell ref="QS225:QT225"/>
    <mergeCell ref="QS353:QT353"/>
    <mergeCell ref="QS354:QT354"/>
    <mergeCell ref="QS355:QT355"/>
    <mergeCell ref="QS226:QT226"/>
    <mergeCell ref="QS227:QT22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ID7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8" customWidth="1"/>
    <col min="2" max="2" width="2.6328125" style="28" bestFit="1" customWidth="1"/>
    <col min="3" max="3" width="3.36328125" style="28" customWidth="1"/>
    <col min="4" max="4" width="18.1796875" style="29" customWidth="1"/>
    <col min="5" max="5" width="25.81640625" style="29" customWidth="1"/>
    <col min="6" max="6" width="7.453125" style="28" bestFit="1" customWidth="1"/>
    <col min="7" max="7" width="30.81640625" style="28" customWidth="1"/>
    <col min="8" max="8" width="19.6328125" style="28" customWidth="1"/>
    <col min="9" max="10" width="15.81640625" style="28" customWidth="1"/>
    <col min="11" max="11" width="7.08984375" style="28" customWidth="1"/>
    <col min="12" max="12" width="7.6328125" style="28" customWidth="1"/>
    <col min="13" max="13" width="7.08984375" style="28" customWidth="1"/>
    <col min="14" max="14" width="50.81640625" style="28" customWidth="1"/>
    <col min="15" max="15" width="7.08984375" style="28" customWidth="1"/>
    <col min="16" max="16" width="6.90625" style="28" customWidth="1"/>
    <col min="17" max="234" width="7.08984375" style="29" customWidth="1"/>
    <col min="235" max="235" width="30.81640625" style="29" customWidth="1"/>
    <col min="236" max="236" width="9" style="29"/>
    <col min="237" max="237" width="15.81640625" style="29" customWidth="1"/>
    <col min="238" max="16384" width="9" style="29"/>
  </cols>
  <sheetData>
    <row r="1" spans="1:238" s="11" customFormat="1" x14ac:dyDescent="0.2">
      <c r="A1" s="27" t="s">
        <v>1014</v>
      </c>
      <c r="B1" s="27" t="s">
        <v>1842</v>
      </c>
      <c r="C1" s="27"/>
      <c r="D1" s="1" t="s">
        <v>1843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</row>
    <row r="2" spans="1:238" s="11" customFormat="1" ht="40" customHeight="1" x14ac:dyDescent="0.2">
      <c r="A2" s="30" t="s">
        <v>1842</v>
      </c>
      <c r="B2" s="31"/>
      <c r="C2" s="31"/>
      <c r="D2" s="89" t="s">
        <v>2195</v>
      </c>
      <c r="E2" s="7" t="s">
        <v>1844</v>
      </c>
      <c r="F2" s="32" t="str">
        <f>IF(LogicCommon!C2="","",LogicCommon!C2)</f>
        <v>MA</v>
      </c>
      <c r="G2" s="7" t="s">
        <v>1845</v>
      </c>
      <c r="H2" s="32" t="str">
        <f>IF(LogicCommon!E2="","",LogicCommon!E2)</f>
        <v>MABCL0030</v>
      </c>
      <c r="I2" s="7" t="s">
        <v>1846</v>
      </c>
      <c r="J2" s="9" t="s">
        <v>50</v>
      </c>
      <c r="K2" s="7" t="s">
        <v>1847</v>
      </c>
      <c r="L2" s="32" t="str">
        <f>IF(LogicCommon!G2="","",LogicCommon!G2)</f>
        <v>MC</v>
      </c>
      <c r="M2" s="5" t="s">
        <v>1848</v>
      </c>
      <c r="N2" s="33" t="s">
        <v>2074</v>
      </c>
      <c r="O2" s="7"/>
      <c r="P2" s="7"/>
      <c r="Q2" s="4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9"/>
      <c r="EW2" s="29"/>
      <c r="EX2" s="29"/>
      <c r="EY2" s="29"/>
      <c r="EZ2" s="29"/>
      <c r="FA2" s="29"/>
      <c r="FB2" s="29"/>
      <c r="FC2" s="29"/>
      <c r="FD2" s="29"/>
      <c r="FE2" s="29"/>
      <c r="FF2" s="29"/>
      <c r="FG2" s="29"/>
      <c r="FH2" s="29"/>
      <c r="FI2" s="29"/>
      <c r="FJ2" s="29"/>
      <c r="FK2" s="29"/>
      <c r="FL2" s="29"/>
      <c r="FM2" s="29"/>
      <c r="FN2" s="29"/>
      <c r="FO2" s="29"/>
      <c r="FP2" s="29"/>
      <c r="FQ2" s="29"/>
      <c r="FR2" s="29"/>
      <c r="FS2" s="29"/>
      <c r="FT2" s="29"/>
      <c r="FU2" s="29"/>
      <c r="FV2" s="29"/>
      <c r="FW2" s="29"/>
      <c r="FX2" s="29"/>
      <c r="FY2" s="29"/>
      <c r="FZ2" s="29"/>
      <c r="GA2" s="29"/>
      <c r="GB2" s="29"/>
      <c r="GC2" s="29"/>
      <c r="GD2" s="29"/>
      <c r="GE2" s="29"/>
      <c r="GF2" s="29"/>
      <c r="GG2" s="29"/>
      <c r="GH2" s="29"/>
      <c r="GI2" s="29"/>
      <c r="GJ2" s="29"/>
      <c r="GK2" s="29"/>
      <c r="GL2" s="29"/>
      <c r="GM2" s="29"/>
      <c r="GN2" s="29"/>
      <c r="GO2" s="29"/>
      <c r="GP2" s="29"/>
      <c r="GQ2" s="29"/>
      <c r="GR2" s="29"/>
      <c r="GS2" s="29"/>
      <c r="GT2" s="29"/>
      <c r="GU2" s="29"/>
      <c r="GV2" s="29"/>
      <c r="GW2" s="29"/>
      <c r="GX2" s="29"/>
      <c r="GY2" s="29"/>
      <c r="GZ2" s="29"/>
      <c r="HA2" s="29"/>
      <c r="HB2" s="29"/>
      <c r="HC2" s="29"/>
      <c r="HD2" s="29"/>
      <c r="HE2" s="29"/>
      <c r="HF2" s="29"/>
      <c r="HG2" s="29"/>
      <c r="HH2" s="29"/>
      <c r="HI2" s="29"/>
      <c r="HJ2" s="29"/>
      <c r="HK2" s="29"/>
      <c r="HL2" s="29"/>
      <c r="HM2" s="29"/>
      <c r="HN2" s="29"/>
      <c r="HO2" s="29"/>
      <c r="HP2" s="29"/>
      <c r="HQ2" s="29"/>
      <c r="HR2" s="29"/>
      <c r="HS2" s="29"/>
      <c r="HT2" s="29"/>
      <c r="HU2" s="29"/>
      <c r="HV2" s="29"/>
      <c r="HW2" s="29"/>
      <c r="HX2" s="29"/>
      <c r="HY2" s="29"/>
      <c r="HZ2" s="29"/>
      <c r="IA2" s="29"/>
      <c r="IB2" s="29"/>
      <c r="IC2" s="29"/>
      <c r="ID2" s="29"/>
    </row>
    <row r="3" spans="1:238" s="11" customFormat="1" x14ac:dyDescent="0.2">
      <c r="A3" s="34" t="s">
        <v>1842</v>
      </c>
      <c r="B3" s="35"/>
      <c r="C3" s="35"/>
      <c r="D3" s="36" t="str">
        <f>IF(LogicCommon!A3="","",LogicCommon!A3)</f>
        <v/>
      </c>
      <c r="E3" s="7" t="s">
        <v>1849</v>
      </c>
      <c r="F3" s="32" t="str">
        <f>IF(LogicCommon!C3="","",LogicCommon!C3)</f>
        <v>MABC</v>
      </c>
      <c r="G3" s="7" t="s">
        <v>1850</v>
      </c>
      <c r="H3" s="32" t="str">
        <f>IF(LogicCommon!E3="","",LogicCommon!E3)</f>
        <v>MABCL_MultiReg</v>
      </c>
      <c r="I3" s="7" t="s">
        <v>1851</v>
      </c>
      <c r="J3" s="9" t="s">
        <v>29</v>
      </c>
      <c r="K3" s="7" t="s">
        <v>1852</v>
      </c>
      <c r="L3" s="32" t="str">
        <f>IF(LogicCommon!G3="","",LogicCommon!G3)</f>
        <v/>
      </c>
      <c r="M3" s="37" t="s">
        <v>30</v>
      </c>
      <c r="N3" s="7"/>
      <c r="O3" s="7" t="s">
        <v>1853</v>
      </c>
      <c r="P3" s="9" t="s">
        <v>1854</v>
      </c>
      <c r="Q3" s="4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</row>
    <row r="4" spans="1:238" s="11" customFormat="1" x14ac:dyDescent="0.2">
      <c r="A4" s="34" t="s">
        <v>1842</v>
      </c>
      <c r="B4" s="35"/>
      <c r="C4" s="35"/>
      <c r="D4" s="4"/>
      <c r="E4" s="7" t="s">
        <v>8</v>
      </c>
      <c r="F4" s="10" t="s">
        <v>1975</v>
      </c>
      <c r="G4" s="7" t="s">
        <v>1855</v>
      </c>
      <c r="H4" s="32" t="str">
        <f>IF(LogicCommon!E4="","",LogicCommon!E4)</f>
        <v>マルチマスタ登録</v>
      </c>
      <c r="I4" s="7" t="s">
        <v>1856</v>
      </c>
      <c r="J4" s="9" t="s">
        <v>51</v>
      </c>
      <c r="K4" s="7" t="s">
        <v>1857</v>
      </c>
      <c r="L4" s="32" t="str">
        <f>IF(LogicCommon!G4="","",LogicCommon!G4)</f>
        <v>MA.MAUDL5010</v>
      </c>
      <c r="M4" s="38"/>
      <c r="N4" s="33"/>
      <c r="O4" s="14"/>
      <c r="P4" s="4"/>
      <c r="Q4" s="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</row>
    <row r="5" spans="1:238" s="11" customFormat="1" x14ac:dyDescent="0.2">
      <c r="A5" s="39" t="s">
        <v>1842</v>
      </c>
      <c r="B5" s="27"/>
      <c r="C5" s="27"/>
      <c r="D5" s="26"/>
      <c r="E5" s="7" t="s">
        <v>1858</v>
      </c>
      <c r="F5" s="10"/>
      <c r="G5" s="40"/>
      <c r="H5" s="40"/>
      <c r="I5" s="40"/>
      <c r="J5" s="6"/>
      <c r="K5" s="6">
        <v>1</v>
      </c>
      <c r="L5" s="6"/>
      <c r="M5" s="5"/>
      <c r="N5" s="5"/>
      <c r="O5" s="14">
        <v>2</v>
      </c>
      <c r="P5" s="4"/>
      <c r="Q5" s="4"/>
      <c r="R5" s="5"/>
      <c r="S5" s="4">
        <v>3</v>
      </c>
      <c r="T5" s="4"/>
      <c r="U5" s="5"/>
      <c r="V5" s="5"/>
      <c r="W5" s="4">
        <v>4</v>
      </c>
      <c r="X5" s="4"/>
      <c r="Y5" s="5"/>
      <c r="Z5" s="5"/>
      <c r="AA5" s="4">
        <v>5</v>
      </c>
      <c r="AB5" s="4"/>
      <c r="AC5" s="5"/>
      <c r="AD5" s="5"/>
      <c r="AE5" s="4">
        <v>6</v>
      </c>
      <c r="AF5" s="4"/>
      <c r="AG5" s="5"/>
      <c r="AH5" s="5"/>
      <c r="AI5" s="4">
        <v>7</v>
      </c>
      <c r="AJ5" s="4"/>
      <c r="AK5" s="5"/>
      <c r="AL5" s="5"/>
      <c r="AM5" s="4">
        <v>8</v>
      </c>
      <c r="AN5" s="4"/>
      <c r="AO5" s="5"/>
      <c r="AP5" s="5"/>
      <c r="AQ5" s="4">
        <v>9</v>
      </c>
      <c r="AR5" s="4"/>
      <c r="AS5" s="5"/>
      <c r="AT5" s="5"/>
      <c r="AU5" s="4">
        <v>10</v>
      </c>
      <c r="AV5" s="4"/>
      <c r="AW5" s="5"/>
      <c r="AX5" s="5"/>
      <c r="AY5" s="4">
        <v>11</v>
      </c>
      <c r="AZ5" s="4"/>
      <c r="BA5" s="5"/>
      <c r="BB5" s="5"/>
      <c r="BC5" s="4">
        <v>12</v>
      </c>
      <c r="BD5" s="4"/>
      <c r="BE5" s="5"/>
      <c r="BF5" s="5"/>
      <c r="BG5" s="4">
        <v>13</v>
      </c>
      <c r="BH5" s="4"/>
      <c r="BI5" s="5"/>
      <c r="BJ5" s="5"/>
      <c r="BK5" s="4">
        <v>14</v>
      </c>
      <c r="BL5" s="4"/>
      <c r="BM5" s="5"/>
      <c r="BN5" s="5"/>
      <c r="BO5" s="4">
        <v>15</v>
      </c>
      <c r="BP5" s="4"/>
      <c r="BQ5" s="5"/>
      <c r="BR5" s="5"/>
      <c r="BS5" s="4">
        <v>16</v>
      </c>
      <c r="BT5" s="4"/>
      <c r="BU5" s="5"/>
      <c r="BV5" s="5"/>
      <c r="BW5" s="4">
        <v>17</v>
      </c>
      <c r="BX5" s="4"/>
      <c r="BY5" s="5"/>
      <c r="BZ5" s="5"/>
      <c r="CA5" s="4">
        <v>18</v>
      </c>
      <c r="CB5" s="4"/>
      <c r="CC5" s="5"/>
      <c r="CD5" s="5"/>
      <c r="CE5" s="4">
        <v>19</v>
      </c>
      <c r="CF5" s="4"/>
      <c r="CG5" s="5"/>
      <c r="CH5" s="5"/>
      <c r="CI5" s="4">
        <v>20</v>
      </c>
      <c r="CJ5" s="4"/>
      <c r="CK5" s="5"/>
      <c r="CL5" s="5"/>
      <c r="CM5" s="4">
        <v>21</v>
      </c>
      <c r="CN5" s="4"/>
      <c r="CO5" s="5"/>
      <c r="CP5" s="5"/>
      <c r="CQ5" s="4">
        <v>22</v>
      </c>
      <c r="CR5" s="4"/>
      <c r="CS5" s="5"/>
      <c r="CT5" s="5"/>
      <c r="CU5" s="4">
        <v>23</v>
      </c>
      <c r="CV5" s="4"/>
      <c r="CW5" s="5"/>
      <c r="CX5" s="5"/>
      <c r="CY5" s="4">
        <v>24</v>
      </c>
      <c r="CZ5" s="4"/>
      <c r="DA5" s="5"/>
      <c r="DB5" s="5"/>
      <c r="DC5" s="4">
        <v>25</v>
      </c>
      <c r="DD5" s="4"/>
      <c r="DE5" s="5"/>
      <c r="DF5" s="5"/>
      <c r="DG5" s="4">
        <v>26</v>
      </c>
      <c r="DH5" s="4"/>
      <c r="DI5" s="5"/>
      <c r="DJ5" s="5"/>
      <c r="DK5" s="4">
        <v>27</v>
      </c>
      <c r="DL5" s="4"/>
      <c r="DM5" s="5"/>
      <c r="DN5" s="5"/>
      <c r="DO5" s="4">
        <v>28</v>
      </c>
      <c r="DP5" s="4"/>
      <c r="DQ5" s="5"/>
      <c r="DR5" s="5"/>
      <c r="DS5" s="4">
        <v>29</v>
      </c>
      <c r="DT5" s="4"/>
      <c r="DU5" s="5"/>
      <c r="DV5" s="5"/>
      <c r="DW5" s="4">
        <v>30</v>
      </c>
      <c r="DX5" s="4"/>
      <c r="DY5" s="5"/>
      <c r="DZ5" s="5"/>
      <c r="EA5" s="4">
        <v>31</v>
      </c>
      <c r="EB5" s="4"/>
      <c r="EC5" s="5"/>
      <c r="ED5" s="5"/>
      <c r="EE5" s="4">
        <v>32</v>
      </c>
      <c r="EF5" s="4"/>
      <c r="EG5" s="5"/>
      <c r="EH5" s="5"/>
      <c r="EI5" s="4">
        <v>33</v>
      </c>
      <c r="EJ5" s="4"/>
      <c r="EK5" s="5"/>
      <c r="EL5" s="5"/>
      <c r="EM5" s="4">
        <v>34</v>
      </c>
      <c r="EN5" s="4"/>
      <c r="EO5" s="5"/>
      <c r="EP5" s="5"/>
      <c r="EQ5" s="4">
        <v>35</v>
      </c>
      <c r="ER5" s="4"/>
      <c r="ES5" s="5"/>
      <c r="ET5" s="5"/>
      <c r="EU5" s="4">
        <v>36</v>
      </c>
      <c r="EV5" s="4"/>
      <c r="EW5" s="5"/>
      <c r="EX5" s="5"/>
      <c r="EY5" s="4">
        <v>37</v>
      </c>
      <c r="EZ5" s="4"/>
      <c r="FA5" s="5"/>
      <c r="FB5" s="5"/>
      <c r="FC5" s="4">
        <v>38</v>
      </c>
      <c r="FD5" s="4"/>
      <c r="FE5" s="5"/>
      <c r="FF5" s="5"/>
      <c r="FG5" s="4">
        <v>39</v>
      </c>
      <c r="FH5" s="4"/>
      <c r="FI5" s="5"/>
      <c r="FJ5" s="5"/>
      <c r="FK5" s="4">
        <v>40</v>
      </c>
      <c r="FL5" s="4"/>
      <c r="FM5" s="5"/>
      <c r="FN5" s="5"/>
      <c r="FO5" s="4">
        <v>41</v>
      </c>
      <c r="FP5" s="4"/>
      <c r="FQ5" s="5"/>
      <c r="FR5" s="5"/>
      <c r="FS5" s="4">
        <v>42</v>
      </c>
      <c r="FT5" s="4"/>
      <c r="FU5" s="5"/>
      <c r="FV5" s="5"/>
      <c r="FW5" s="4">
        <v>43</v>
      </c>
      <c r="FX5" s="4"/>
      <c r="FY5" s="5"/>
      <c r="FZ5" s="5"/>
      <c r="GA5" s="4">
        <v>44</v>
      </c>
      <c r="GB5" s="4"/>
      <c r="GC5" s="5"/>
      <c r="GD5" s="5"/>
      <c r="GE5" s="4">
        <v>45</v>
      </c>
      <c r="GF5" s="4"/>
      <c r="GG5" s="5"/>
      <c r="GH5" s="5"/>
      <c r="GI5" s="4">
        <v>46</v>
      </c>
      <c r="GJ5" s="4"/>
      <c r="GK5" s="5"/>
      <c r="GL5" s="5"/>
      <c r="GM5" s="4">
        <v>47</v>
      </c>
      <c r="GN5" s="4"/>
      <c r="GO5" s="5"/>
      <c r="GP5" s="5"/>
      <c r="GQ5" s="4">
        <v>48</v>
      </c>
      <c r="GR5" s="4"/>
      <c r="GS5" s="5"/>
      <c r="GT5" s="5"/>
      <c r="GU5" s="4">
        <v>49</v>
      </c>
      <c r="GV5" s="4"/>
      <c r="GW5" s="5"/>
      <c r="GX5" s="5"/>
      <c r="GY5" s="4">
        <v>50</v>
      </c>
      <c r="GZ5" s="4"/>
      <c r="HA5" s="5"/>
      <c r="HB5" s="5"/>
      <c r="HC5" s="4">
        <v>51</v>
      </c>
      <c r="HD5" s="4"/>
      <c r="HE5" s="5"/>
      <c r="HF5" s="5"/>
      <c r="HG5" s="4">
        <v>52</v>
      </c>
      <c r="HH5" s="4"/>
      <c r="HI5" s="5"/>
      <c r="HJ5" s="5"/>
      <c r="HK5" s="4">
        <v>53</v>
      </c>
      <c r="HL5" s="4"/>
      <c r="HM5" s="5"/>
      <c r="HN5" s="5"/>
      <c r="HO5" s="4">
        <v>54</v>
      </c>
      <c r="HP5" s="4"/>
      <c r="HQ5" s="5"/>
      <c r="HR5" s="5"/>
      <c r="HS5" s="4">
        <v>55</v>
      </c>
      <c r="HT5" s="4"/>
      <c r="HU5" s="5"/>
      <c r="HV5" s="5"/>
      <c r="HW5" s="4">
        <v>56</v>
      </c>
      <c r="HX5" s="4"/>
      <c r="HY5" s="5"/>
      <c r="HZ5" s="5"/>
      <c r="IA5" s="29"/>
      <c r="IB5" s="29"/>
      <c r="IC5" s="29"/>
      <c r="ID5" s="29"/>
    </row>
    <row r="6" spans="1:238" s="11" customFormat="1" x14ac:dyDescent="0.2">
      <c r="A6" s="34" t="s">
        <v>1842</v>
      </c>
      <c r="B6" s="35"/>
      <c r="C6" s="35"/>
      <c r="D6" s="4" t="s">
        <v>1859</v>
      </c>
      <c r="E6" s="16" t="s">
        <v>668</v>
      </c>
      <c r="F6" s="16"/>
      <c r="G6" s="16"/>
      <c r="H6" s="16"/>
      <c r="I6" s="16"/>
      <c r="J6" s="18"/>
      <c r="K6" s="41" t="s">
        <v>1976</v>
      </c>
      <c r="L6" s="3" t="s">
        <v>879</v>
      </c>
      <c r="M6" s="19"/>
      <c r="N6" s="19"/>
      <c r="O6" s="3" t="s">
        <v>1977</v>
      </c>
      <c r="P6" s="3" t="s">
        <v>879</v>
      </c>
      <c r="Q6" s="19"/>
      <c r="R6" s="3"/>
      <c r="S6" s="3" t="s">
        <v>1978</v>
      </c>
      <c r="T6" s="3" t="s">
        <v>879</v>
      </c>
      <c r="U6" s="3"/>
      <c r="V6" s="3"/>
      <c r="W6" s="3" t="s">
        <v>1979</v>
      </c>
      <c r="X6" s="3" t="s">
        <v>879</v>
      </c>
      <c r="Y6" s="3"/>
      <c r="Z6" s="3"/>
      <c r="AA6" s="3" t="s">
        <v>1980</v>
      </c>
      <c r="AB6" s="3" t="s">
        <v>879</v>
      </c>
      <c r="AC6" s="3"/>
      <c r="AD6" s="3"/>
      <c r="AE6" s="3" t="s">
        <v>1981</v>
      </c>
      <c r="AF6" s="3" t="s">
        <v>879</v>
      </c>
      <c r="AG6" s="3"/>
      <c r="AH6" s="3"/>
      <c r="AI6" s="3" t="s">
        <v>1982</v>
      </c>
      <c r="AJ6" s="3" t="s">
        <v>879</v>
      </c>
      <c r="AK6" s="3"/>
      <c r="AL6" s="3"/>
      <c r="AM6" s="3" t="s">
        <v>1983</v>
      </c>
      <c r="AN6" s="3" t="s">
        <v>879</v>
      </c>
      <c r="AO6" s="3"/>
      <c r="AP6" s="3"/>
      <c r="AQ6" s="3" t="s">
        <v>1984</v>
      </c>
      <c r="AR6" s="3" t="s">
        <v>879</v>
      </c>
      <c r="AS6" s="3"/>
      <c r="AT6" s="3"/>
      <c r="AU6" s="3" t="s">
        <v>1985</v>
      </c>
      <c r="AV6" s="3" t="s">
        <v>879</v>
      </c>
      <c r="AW6" s="3"/>
      <c r="AX6" s="3"/>
      <c r="AY6" s="3" t="s">
        <v>1986</v>
      </c>
      <c r="AZ6" s="3" t="s">
        <v>1010</v>
      </c>
      <c r="BA6" s="3"/>
      <c r="BB6" s="3"/>
      <c r="BC6" s="3" t="s">
        <v>1987</v>
      </c>
      <c r="BD6" s="3" t="s">
        <v>1010</v>
      </c>
      <c r="BE6" s="3"/>
      <c r="BF6" s="3"/>
      <c r="BG6" s="3" t="s">
        <v>1988</v>
      </c>
      <c r="BH6" s="3" t="s">
        <v>1010</v>
      </c>
      <c r="BI6" s="3"/>
      <c r="BJ6" s="3"/>
      <c r="BK6" s="3" t="s">
        <v>1989</v>
      </c>
      <c r="BL6" s="3" t="s">
        <v>1010</v>
      </c>
      <c r="BM6" s="3"/>
      <c r="BN6" s="3"/>
      <c r="BO6" s="3" t="s">
        <v>1990</v>
      </c>
      <c r="BP6" s="3" t="s">
        <v>1010</v>
      </c>
      <c r="BQ6" s="3"/>
      <c r="BR6" s="3"/>
      <c r="BS6" s="3" t="s">
        <v>1991</v>
      </c>
      <c r="BT6" s="3" t="s">
        <v>1010</v>
      </c>
      <c r="BU6" s="3"/>
      <c r="BV6" s="3"/>
      <c r="BW6" s="3" t="s">
        <v>1992</v>
      </c>
      <c r="BX6" s="3" t="s">
        <v>1010</v>
      </c>
      <c r="BY6" s="3"/>
      <c r="BZ6" s="3"/>
      <c r="CA6" s="3" t="s">
        <v>1993</v>
      </c>
      <c r="CB6" s="3" t="s">
        <v>1010</v>
      </c>
      <c r="CC6" s="3"/>
      <c r="CD6" s="3"/>
      <c r="CE6" s="3" t="s">
        <v>1994</v>
      </c>
      <c r="CF6" s="3" t="s">
        <v>1010</v>
      </c>
      <c r="CG6" s="3"/>
      <c r="CH6" s="3"/>
      <c r="CI6" s="3" t="s">
        <v>1995</v>
      </c>
      <c r="CJ6" s="3" t="s">
        <v>1010</v>
      </c>
      <c r="CK6" s="3"/>
      <c r="CL6" s="3"/>
      <c r="CM6" s="3" t="s">
        <v>1996</v>
      </c>
      <c r="CN6" s="3" t="s">
        <v>1011</v>
      </c>
      <c r="CO6" s="3"/>
      <c r="CP6" s="3"/>
      <c r="CQ6" s="3" t="s">
        <v>1997</v>
      </c>
      <c r="CR6" s="3" t="s">
        <v>1011</v>
      </c>
      <c r="CS6" s="3"/>
      <c r="CT6" s="3"/>
      <c r="CU6" s="3" t="s">
        <v>1998</v>
      </c>
      <c r="CV6" s="3" t="s">
        <v>1011</v>
      </c>
      <c r="CW6" s="3"/>
      <c r="CX6" s="3"/>
      <c r="CY6" s="3" t="s">
        <v>1999</v>
      </c>
      <c r="CZ6" s="3" t="s">
        <v>1011</v>
      </c>
      <c r="DA6" s="3"/>
      <c r="DB6" s="3"/>
      <c r="DC6" s="3" t="s">
        <v>2000</v>
      </c>
      <c r="DD6" s="3" t="s">
        <v>1011</v>
      </c>
      <c r="DE6" s="3"/>
      <c r="DF6" s="3"/>
      <c r="DG6" s="3" t="s">
        <v>2001</v>
      </c>
      <c r="DH6" s="3" t="s">
        <v>1011</v>
      </c>
      <c r="DI6" s="3"/>
      <c r="DJ6" s="3"/>
      <c r="DK6" s="3" t="s">
        <v>2002</v>
      </c>
      <c r="DL6" s="3" t="s">
        <v>1011</v>
      </c>
      <c r="DM6" s="3"/>
      <c r="DN6" s="3"/>
      <c r="DO6" s="3" t="s">
        <v>2003</v>
      </c>
      <c r="DP6" s="3" t="s">
        <v>1011</v>
      </c>
      <c r="DQ6" s="3"/>
      <c r="DR6" s="3"/>
      <c r="DS6" s="3" t="s">
        <v>2004</v>
      </c>
      <c r="DT6" s="3" t="s">
        <v>1011</v>
      </c>
      <c r="DU6" s="3"/>
      <c r="DV6" s="3"/>
      <c r="DW6" s="3" t="s">
        <v>2005</v>
      </c>
      <c r="DX6" s="3" t="s">
        <v>1011</v>
      </c>
      <c r="DY6" s="3"/>
      <c r="DZ6" s="3"/>
      <c r="EA6" s="3" t="s">
        <v>2006</v>
      </c>
      <c r="EB6" s="3" t="s">
        <v>1007</v>
      </c>
      <c r="EC6" s="3"/>
      <c r="ED6" s="3"/>
      <c r="EE6" s="3" t="s">
        <v>2007</v>
      </c>
      <c r="EF6" s="3" t="s">
        <v>1007</v>
      </c>
      <c r="EG6" s="3"/>
      <c r="EH6" s="3"/>
      <c r="EI6" s="3" t="s">
        <v>2008</v>
      </c>
      <c r="EJ6" s="3" t="s">
        <v>1007</v>
      </c>
      <c r="EK6" s="3"/>
      <c r="EL6" s="3"/>
      <c r="EM6" s="3" t="s">
        <v>2009</v>
      </c>
      <c r="EN6" s="3" t="s">
        <v>1007</v>
      </c>
      <c r="EO6" s="3"/>
      <c r="EP6" s="3"/>
      <c r="EQ6" s="3" t="s">
        <v>2010</v>
      </c>
      <c r="ER6" s="3" t="s">
        <v>1007</v>
      </c>
      <c r="ES6" s="3"/>
      <c r="ET6" s="3"/>
      <c r="EU6" s="3" t="s">
        <v>2011</v>
      </c>
      <c r="EV6" s="3" t="s">
        <v>1007</v>
      </c>
      <c r="EW6" s="3"/>
      <c r="EX6" s="3"/>
      <c r="EY6" s="3" t="s">
        <v>2012</v>
      </c>
      <c r="EZ6" s="3" t="s">
        <v>1007</v>
      </c>
      <c r="FA6" s="3"/>
      <c r="FB6" s="3"/>
      <c r="FC6" s="3" t="s">
        <v>2013</v>
      </c>
      <c r="FD6" s="3" t="s">
        <v>1007</v>
      </c>
      <c r="FE6" s="3"/>
      <c r="FF6" s="3"/>
      <c r="FG6" s="3" t="s">
        <v>2014</v>
      </c>
      <c r="FH6" s="3" t="s">
        <v>1007</v>
      </c>
      <c r="FI6" s="3"/>
      <c r="FJ6" s="3"/>
      <c r="FK6" s="3" t="s">
        <v>2015</v>
      </c>
      <c r="FL6" s="3" t="s">
        <v>1007</v>
      </c>
      <c r="FM6" s="3"/>
      <c r="FN6" s="3"/>
      <c r="FO6" s="3" t="s">
        <v>2016</v>
      </c>
      <c r="FP6" s="3" t="s">
        <v>1008</v>
      </c>
      <c r="FQ6" s="3"/>
      <c r="FR6" s="3"/>
      <c r="FS6" s="3" t="s">
        <v>2017</v>
      </c>
      <c r="FT6" s="3" t="s">
        <v>1008</v>
      </c>
      <c r="FU6" s="3"/>
      <c r="FV6" s="3"/>
      <c r="FW6" s="3" t="s">
        <v>2018</v>
      </c>
      <c r="FX6" s="3" t="s">
        <v>1008</v>
      </c>
      <c r="FY6" s="3"/>
      <c r="FZ6" s="3"/>
      <c r="GA6" s="3" t="s">
        <v>2019</v>
      </c>
      <c r="GB6" s="3" t="s">
        <v>1008</v>
      </c>
      <c r="GC6" s="3"/>
      <c r="GD6" s="3"/>
      <c r="GE6" s="3" t="s">
        <v>2020</v>
      </c>
      <c r="GF6" s="3" t="s">
        <v>1008</v>
      </c>
      <c r="GG6" s="3"/>
      <c r="GH6" s="3"/>
      <c r="GI6" s="3" t="s">
        <v>2021</v>
      </c>
      <c r="GJ6" s="3" t="s">
        <v>1008</v>
      </c>
      <c r="GK6" s="3"/>
      <c r="GL6" s="3"/>
      <c r="GM6" s="3" t="s">
        <v>2022</v>
      </c>
      <c r="GN6" s="3" t="s">
        <v>1008</v>
      </c>
      <c r="GO6" s="3"/>
      <c r="GP6" s="3"/>
      <c r="GQ6" s="3" t="s">
        <v>2023</v>
      </c>
      <c r="GR6" s="3" t="s">
        <v>1008</v>
      </c>
      <c r="GS6" s="3"/>
      <c r="GT6" s="3"/>
      <c r="GU6" s="3" t="s">
        <v>2024</v>
      </c>
      <c r="GV6" s="3" t="s">
        <v>1008</v>
      </c>
      <c r="GW6" s="3"/>
      <c r="GX6" s="3"/>
      <c r="GY6" s="3" t="s">
        <v>2025</v>
      </c>
      <c r="GZ6" s="3" t="s">
        <v>1008</v>
      </c>
      <c r="HA6" s="3"/>
      <c r="HB6" s="3"/>
      <c r="HC6" s="3" t="s">
        <v>2026</v>
      </c>
      <c r="HD6" s="3" t="s">
        <v>1008</v>
      </c>
      <c r="HE6" s="3"/>
      <c r="HF6" s="3"/>
      <c r="HG6" s="3" t="s">
        <v>2027</v>
      </c>
      <c r="HH6" s="3" t="s">
        <v>2028</v>
      </c>
      <c r="HI6" s="3"/>
      <c r="HJ6" s="3"/>
      <c r="HK6" s="3" t="s">
        <v>2029</v>
      </c>
      <c r="HL6" s="3" t="s">
        <v>2028</v>
      </c>
      <c r="HM6" s="3"/>
      <c r="HN6" s="3"/>
      <c r="HO6" s="3" t="s">
        <v>2030</v>
      </c>
      <c r="HP6" s="3" t="s">
        <v>2028</v>
      </c>
      <c r="HQ6" s="3"/>
      <c r="HR6" s="3"/>
      <c r="HS6" s="3" t="s">
        <v>2031</v>
      </c>
      <c r="HT6" s="3" t="s">
        <v>2028</v>
      </c>
      <c r="HU6" s="3"/>
      <c r="HV6" s="3"/>
      <c r="HW6" s="3" t="s">
        <v>2047</v>
      </c>
      <c r="HX6" s="3" t="s">
        <v>2028</v>
      </c>
      <c r="HY6" s="3"/>
      <c r="HZ6" s="3"/>
      <c r="IA6" s="4"/>
      <c r="IB6" s="28"/>
      <c r="IC6" s="28"/>
      <c r="ID6" s="29"/>
    </row>
    <row r="7" spans="1:238" s="11" customFormat="1" x14ac:dyDescent="0.2">
      <c r="A7" s="42" t="s">
        <v>17</v>
      </c>
      <c r="B7" s="42"/>
      <c r="C7" s="42"/>
      <c r="D7" s="43"/>
      <c r="E7" s="43"/>
      <c r="F7" s="43"/>
      <c r="G7" s="43"/>
      <c r="H7" s="43"/>
      <c r="I7" s="43" t="s">
        <v>34</v>
      </c>
      <c r="J7" s="28"/>
      <c r="K7" s="78" t="s">
        <v>35</v>
      </c>
      <c r="L7" s="44" t="str">
        <f>UPPER(K6)&amp;".chk"&amp;TEXT(K5,"00")</f>
        <v>DA.chk01</v>
      </c>
      <c r="M7" s="45" t="s">
        <v>55</v>
      </c>
      <c r="N7" s="44" t="str">
        <f>UPPER(K6)&amp;".del"&amp;TEXT(K5,"00")</f>
        <v>DA.del01</v>
      </c>
      <c r="O7" s="45" t="s">
        <v>35</v>
      </c>
      <c r="P7" s="44" t="str">
        <f>UPPER(O6)&amp;".chk"&amp;TEXT(O5,"00")</f>
        <v>DPT_BASE.chk02</v>
      </c>
      <c r="Q7" s="45" t="s">
        <v>55</v>
      </c>
      <c r="R7" s="79" t="str">
        <f>UPPER(O6)&amp;".del"&amp;TEXT(O5,"00")</f>
        <v>DPT_BASE.del02</v>
      </c>
      <c r="S7" s="78" t="s">
        <v>35</v>
      </c>
      <c r="T7" s="79" t="str">
        <f t="shared" ref="T7" si="0">UPPER(S6)&amp;".chk"&amp;TEXT(S5,"00")</f>
        <v>DPT_LVL.chk03</v>
      </c>
      <c r="U7" s="78" t="s">
        <v>55</v>
      </c>
      <c r="V7" s="79" t="str">
        <f t="shared" ref="V7" si="1">UPPER(S6)&amp;".del"&amp;TEXT(S5,"00")</f>
        <v>DPT_LVL.del03</v>
      </c>
      <c r="W7" s="78" t="s">
        <v>35</v>
      </c>
      <c r="X7" s="79" t="str">
        <f t="shared" ref="X7" si="2">UPPER(W6)&amp;".chk"&amp;TEXT(W5,"00")</f>
        <v>APRV_ROLE.chk04</v>
      </c>
      <c r="Y7" s="78" t="s">
        <v>55</v>
      </c>
      <c r="Z7" s="79" t="str">
        <f t="shared" ref="Z7" si="3">UPPER(W6)&amp;".del"&amp;TEXT(W5,"00")</f>
        <v>APRV_ROLE.del04</v>
      </c>
      <c r="AA7" s="78" t="s">
        <v>35</v>
      </c>
      <c r="AB7" s="79" t="str">
        <f t="shared" ref="AB7" si="4">UPPER(AA6)&amp;".chk"&amp;TEXT(AA5,"00")</f>
        <v>CNTRY.chk05</v>
      </c>
      <c r="AC7" s="78" t="s">
        <v>55</v>
      </c>
      <c r="AD7" s="79" t="str">
        <f t="shared" ref="AD7" si="5">UPPER(AA6)&amp;".del"&amp;TEXT(AA5,"00")</f>
        <v>CNTRY.del05</v>
      </c>
      <c r="AE7" s="78" t="s">
        <v>35</v>
      </c>
      <c r="AF7" s="79" t="str">
        <f t="shared" ref="AF7" si="6">UPPER(AE6)&amp;".chk"&amp;TEXT(AE5,"00")</f>
        <v>AREA.chk06</v>
      </c>
      <c r="AG7" s="78" t="s">
        <v>55</v>
      </c>
      <c r="AH7" s="79" t="str">
        <f t="shared" ref="AH7" si="7">UPPER(AE6)&amp;".del"&amp;TEXT(AE5,"00")</f>
        <v>AREA.del06</v>
      </c>
      <c r="AI7" s="78" t="s">
        <v>35</v>
      </c>
      <c r="AJ7" s="79" t="str">
        <f t="shared" ref="AJ7" si="8">UPPER(AI6)&amp;".chk"&amp;TEXT(AI5,"00")</f>
        <v>CUR.chk07</v>
      </c>
      <c r="AK7" s="78" t="s">
        <v>55</v>
      </c>
      <c r="AL7" s="79" t="str">
        <f t="shared" ref="AL7" si="9">UPPER(AI6)&amp;".del"&amp;TEXT(AI5,"00")</f>
        <v>CUR.del07</v>
      </c>
      <c r="AM7" s="78" t="s">
        <v>35</v>
      </c>
      <c r="AN7" s="79" t="str">
        <f t="shared" ref="AN7" si="10">UPPER(AM6)&amp;".chk"&amp;TEXT(AM5,"00")</f>
        <v>UNIT.chk08</v>
      </c>
      <c r="AO7" s="78" t="s">
        <v>55</v>
      </c>
      <c r="AP7" s="79" t="str">
        <f t="shared" ref="AP7" si="11">UPPER(AM6)&amp;".del"&amp;TEXT(AM5,"00")</f>
        <v>UNIT.del08</v>
      </c>
      <c r="AQ7" s="78" t="s">
        <v>35</v>
      </c>
      <c r="AR7" s="79" t="str">
        <f t="shared" ref="AR7" si="12">UPPER(AQ6)&amp;".chk"&amp;TEXT(AQ5,"00")</f>
        <v>BANK.chk09</v>
      </c>
      <c r="AS7" s="78" t="s">
        <v>55</v>
      </c>
      <c r="AT7" s="79" t="str">
        <f t="shared" ref="AT7" si="13">UPPER(AQ6)&amp;".del"&amp;TEXT(AQ5,"00")</f>
        <v>BANK.del09</v>
      </c>
      <c r="AU7" s="78" t="s">
        <v>35</v>
      </c>
      <c r="AV7" s="79" t="str">
        <f t="shared" ref="AV7" si="14">UPPER(AU6)&amp;".chk"&amp;TEXT(AU5,"00")</f>
        <v>BANK_BRANCH.chk10</v>
      </c>
      <c r="AW7" s="78" t="s">
        <v>55</v>
      </c>
      <c r="AX7" s="79" t="str">
        <f t="shared" ref="AX7" si="15">UPPER(AU6)&amp;".del"&amp;TEXT(AU5,"00")</f>
        <v>BANK_BRANCH.del10</v>
      </c>
      <c r="AY7" s="78" t="s">
        <v>35</v>
      </c>
      <c r="AZ7" s="79" t="str">
        <f t="shared" ref="AZ7" si="16">UPPER(AY6)&amp;".chk"&amp;TEXT(AY5,"00")</f>
        <v>BANK_AC.chk11</v>
      </c>
      <c r="BA7" s="78" t="s">
        <v>55</v>
      </c>
      <c r="BB7" s="79" t="str">
        <f t="shared" ref="BB7" si="17">UPPER(AY6)&amp;".del"&amp;TEXT(AY5,"00")</f>
        <v>BANK_AC.del11</v>
      </c>
      <c r="BC7" s="78" t="s">
        <v>35</v>
      </c>
      <c r="BD7" s="79" t="str">
        <f t="shared" ref="BD7" si="18">UPPER(BC6)&amp;".chk"&amp;TEXT(BC5,"00")</f>
        <v>XRATE.chk12</v>
      </c>
      <c r="BE7" s="78" t="s">
        <v>55</v>
      </c>
      <c r="BF7" s="79" t="str">
        <f t="shared" ref="BF7" si="19">UPPER(BC6)&amp;".del"&amp;TEXT(BC5,"00")</f>
        <v>XRATE.del12</v>
      </c>
      <c r="BG7" s="78" t="s">
        <v>35</v>
      </c>
      <c r="BH7" s="79" t="str">
        <f t="shared" ref="BH7" si="20">UPPER(BG6)&amp;".chk"&amp;TEXT(BG5,"00")</f>
        <v>CAL_BASE.chk13</v>
      </c>
      <c r="BI7" s="78" t="s">
        <v>55</v>
      </c>
      <c r="BJ7" s="79" t="str">
        <f t="shared" ref="BJ7" si="21">UPPER(BG6)&amp;".del"&amp;TEXT(BG5,"00")</f>
        <v>CAL_BASE.del13</v>
      </c>
      <c r="BK7" s="78" t="s">
        <v>35</v>
      </c>
      <c r="BL7" s="79" t="str">
        <f t="shared" ref="BL7" si="22">UPPER(BK6)&amp;".chk"&amp;TEXT(BK5,"00")</f>
        <v>ITM_JNL.chk14</v>
      </c>
      <c r="BM7" s="78" t="s">
        <v>55</v>
      </c>
      <c r="BN7" s="79" t="str">
        <f t="shared" ref="BN7" si="23">UPPER(BK6)&amp;".del"&amp;TEXT(BK5,"00")</f>
        <v>ITM_JNL.del14</v>
      </c>
      <c r="BO7" s="78" t="s">
        <v>35</v>
      </c>
      <c r="BP7" s="79" t="str">
        <f t="shared" ref="BP7" si="24">UPPER(BO6)&amp;".chk"&amp;TEXT(BO5,"00")</f>
        <v>AC_ITM_GRP.chk15</v>
      </c>
      <c r="BQ7" s="78" t="s">
        <v>55</v>
      </c>
      <c r="BR7" s="79" t="str">
        <f t="shared" ref="BR7" si="25">UPPER(BO6)&amp;".del"&amp;TEXT(BO5,"00")</f>
        <v>AC_ITM_GRP.del15</v>
      </c>
      <c r="BS7" s="78" t="s">
        <v>35</v>
      </c>
      <c r="BT7" s="79" t="str">
        <f t="shared" ref="BT7" si="26">UPPER(BS6)&amp;".chk"&amp;TEXT(BS5,"00")</f>
        <v>AC_RSN.chk16</v>
      </c>
      <c r="BU7" s="78" t="s">
        <v>55</v>
      </c>
      <c r="BV7" s="79" t="str">
        <f t="shared" ref="BV7" si="27">UPPER(BS6)&amp;".del"&amp;TEXT(BS5,"00")</f>
        <v>AC_RSN.del16</v>
      </c>
      <c r="BW7" s="78" t="s">
        <v>35</v>
      </c>
      <c r="BX7" s="79" t="str">
        <f t="shared" ref="BX7" si="28">UPPER(BW6)&amp;".chk"&amp;TEXT(BW5,"00")</f>
        <v>SITE.chk17</v>
      </c>
      <c r="BY7" s="78" t="s">
        <v>55</v>
      </c>
      <c r="BZ7" s="79" t="str">
        <f t="shared" ref="BZ7" si="29">UPPER(BW6)&amp;".del"&amp;TEXT(BW5,"00")</f>
        <v>SITE.del17</v>
      </c>
      <c r="CA7" s="78" t="s">
        <v>35</v>
      </c>
      <c r="CB7" s="79" t="str">
        <f t="shared" ref="CB7" si="30">UPPER(CA6)&amp;".chk"&amp;TEXT(CA5,"00")</f>
        <v>LOC_GRP.chk18</v>
      </c>
      <c r="CC7" s="78" t="s">
        <v>55</v>
      </c>
      <c r="CD7" s="79" t="str">
        <f t="shared" ref="CD7" si="31">UPPER(CA6)&amp;".del"&amp;TEXT(CA5,"00")</f>
        <v>LOC_GRP.del18</v>
      </c>
      <c r="CE7" s="78" t="s">
        <v>35</v>
      </c>
      <c r="CF7" s="79" t="str">
        <f t="shared" ref="CF7" si="32">UPPER(CE6)&amp;".chk"&amp;TEXT(CE5,"00")</f>
        <v>LG_GRP.chk19</v>
      </c>
      <c r="CG7" s="78" t="s">
        <v>55</v>
      </c>
      <c r="CH7" s="79" t="str">
        <f t="shared" ref="CH7" si="33">UPPER(CE6)&amp;".del"&amp;TEXT(CE5,"00")</f>
        <v>LG_GRP.del19</v>
      </c>
      <c r="CI7" s="78" t="s">
        <v>35</v>
      </c>
      <c r="CJ7" s="79" t="str">
        <f t="shared" ref="CJ7" si="34">UPPER(CI6)&amp;".chk"&amp;TEXT(CI5,"00")</f>
        <v>ALLOC_GRP.chk20</v>
      </c>
      <c r="CK7" s="78" t="s">
        <v>55</v>
      </c>
      <c r="CL7" s="79" t="str">
        <f t="shared" ref="CL7" si="35">UPPER(CI6)&amp;".del"&amp;TEXT(CI5,"00")</f>
        <v>ALLOC_GRP.del20</v>
      </c>
      <c r="CM7" s="78" t="s">
        <v>35</v>
      </c>
      <c r="CN7" s="79" t="str">
        <f t="shared" ref="CN7" si="36">UPPER(CM6)&amp;".chk"&amp;TEXT(CM5,"00")</f>
        <v>WG.chk21</v>
      </c>
      <c r="CO7" s="78" t="s">
        <v>55</v>
      </c>
      <c r="CP7" s="79" t="str">
        <f t="shared" ref="CP7" si="37">UPPER(CM6)&amp;".del"&amp;TEXT(CM5,"00")</f>
        <v>WG.del21</v>
      </c>
      <c r="CQ7" s="78" t="s">
        <v>35</v>
      </c>
      <c r="CR7" s="79" t="str">
        <f t="shared" ref="CR7" si="38">UPPER(CQ6)&amp;".chk"&amp;TEXT(CQ5,"00")</f>
        <v>OPER.chk22</v>
      </c>
      <c r="CS7" s="78" t="s">
        <v>55</v>
      </c>
      <c r="CT7" s="79" t="str">
        <f t="shared" ref="CT7" si="39">UPPER(CQ6)&amp;".del"&amp;TEXT(CQ5,"00")</f>
        <v>OPER.del22</v>
      </c>
      <c r="CU7" s="78" t="s">
        <v>35</v>
      </c>
      <c r="CV7" s="79" t="str">
        <f t="shared" ref="CV7" si="40">UPPER(CU6)&amp;".chk"&amp;TEXT(CU5,"00")</f>
        <v>WK_COST.chk23</v>
      </c>
      <c r="CW7" s="78" t="s">
        <v>55</v>
      </c>
      <c r="CX7" s="79" t="str">
        <f t="shared" ref="CX7" si="41">UPPER(CU6)&amp;".del"&amp;TEXT(CU5,"00")</f>
        <v>WK_COST.del23</v>
      </c>
      <c r="CY7" s="78" t="s">
        <v>35</v>
      </c>
      <c r="CZ7" s="79" t="str">
        <f t="shared" ref="CZ7" si="42">UPPER(CY6)&amp;".chk"&amp;TEXT(CY5,"00")</f>
        <v>WK_RSN.chk24</v>
      </c>
      <c r="DA7" s="78" t="s">
        <v>55</v>
      </c>
      <c r="DB7" s="79" t="str">
        <f t="shared" ref="DB7" si="43">UPPER(CY6)&amp;".del"&amp;TEXT(CY5,"00")</f>
        <v>WK_RSN.del24</v>
      </c>
      <c r="DC7" s="78" t="s">
        <v>35</v>
      </c>
      <c r="DD7" s="79" t="str">
        <f t="shared" ref="DD7" si="44">UPPER(DC6)&amp;".chk"&amp;TEXT(DC5,"00")</f>
        <v>SLS_UPRI_GRP.chk25</v>
      </c>
      <c r="DE7" s="78" t="s">
        <v>55</v>
      </c>
      <c r="DF7" s="79" t="str">
        <f t="shared" ref="DF7" si="45">UPPER(DC6)&amp;".del"&amp;TEXT(DC5,"00")</f>
        <v>SLS_UPRI_GRP.del25</v>
      </c>
      <c r="DG7" s="78" t="s">
        <v>35</v>
      </c>
      <c r="DH7" s="79" t="str">
        <f t="shared" ref="DH7" si="46">UPPER(DG6)&amp;".chk"&amp;TEXT(DG5,"00")</f>
        <v>SLS_UPRI_RANK.chk26</v>
      </c>
      <c r="DI7" s="78" t="s">
        <v>55</v>
      </c>
      <c r="DJ7" s="79" t="str">
        <f t="shared" ref="DJ7" si="47">UPPER(DG6)&amp;".del"&amp;TEXT(DG5,"00")</f>
        <v>SLS_UPRI_RANK.del26</v>
      </c>
      <c r="DK7" s="78" t="s">
        <v>35</v>
      </c>
      <c r="DL7" s="79" t="str">
        <f t="shared" ref="DL7" si="48">UPPER(DK6)&amp;".chk"&amp;TEXT(DK5,"00")</f>
        <v>SETOFF_GRP.chk27</v>
      </c>
      <c r="DM7" s="78" t="s">
        <v>55</v>
      </c>
      <c r="DN7" s="79" t="str">
        <f t="shared" ref="DN7" si="49">UPPER(DK6)&amp;".del"&amp;TEXT(DK5,"00")</f>
        <v>SETOFF_GRP.del27</v>
      </c>
      <c r="DO7" s="78" t="s">
        <v>35</v>
      </c>
      <c r="DP7" s="79" t="str">
        <f t="shared" ref="DP7" si="50">UPPER(DO6)&amp;".chk"&amp;TEXT(DO5,"00")</f>
        <v>SHIP_VALID.chk28</v>
      </c>
      <c r="DQ7" s="78" t="s">
        <v>55</v>
      </c>
      <c r="DR7" s="79" t="str">
        <f t="shared" ref="DR7" si="51">UPPER(DO6)&amp;".del"&amp;TEXT(DO5,"00")</f>
        <v>SHIP_VALID.del28</v>
      </c>
      <c r="DS7" s="78" t="s">
        <v>35</v>
      </c>
      <c r="DT7" s="79" t="str">
        <f t="shared" ref="DT7" si="52">UPPER(DS6)&amp;".chk"&amp;TEXT(DS5,"00")</f>
        <v>ITM_SHIP_GRP.chk29</v>
      </c>
      <c r="DU7" s="78" t="s">
        <v>55</v>
      </c>
      <c r="DV7" s="79" t="str">
        <f t="shared" ref="DV7" si="53">UPPER(DS6)&amp;".del"&amp;TEXT(DS5,"00")</f>
        <v>ITM_SHIP_GRP.del29</v>
      </c>
      <c r="DW7" s="78" t="s">
        <v>35</v>
      </c>
      <c r="DX7" s="79" t="str">
        <f t="shared" ref="DX7" si="54">UPPER(DW6)&amp;".chk"&amp;TEXT(DW5,"00")</f>
        <v>TRNSPT.chk30</v>
      </c>
      <c r="DY7" s="78" t="s">
        <v>55</v>
      </c>
      <c r="DZ7" s="79" t="str">
        <f t="shared" ref="DZ7" si="55">UPPER(DW6)&amp;".del"&amp;TEXT(DW5,"00")</f>
        <v>TRNSPT.del30</v>
      </c>
      <c r="EA7" s="78" t="s">
        <v>35</v>
      </c>
      <c r="EB7" s="79" t="str">
        <f t="shared" ref="EB7" si="56">UPPER(EA6)&amp;".chk"&amp;TEXT(EA5,"00")</f>
        <v>EX_CNTNR.chk31</v>
      </c>
      <c r="EC7" s="78" t="s">
        <v>55</v>
      </c>
      <c r="ED7" s="79" t="str">
        <f t="shared" ref="ED7" si="57">UPPER(EA6)&amp;".del"&amp;TEXT(EA5,"00")</f>
        <v>EX_CNTNR.del31</v>
      </c>
      <c r="EE7" s="78" t="s">
        <v>35</v>
      </c>
      <c r="EF7" s="79" t="str">
        <f t="shared" ref="EF7" si="58">UPPER(EE6)&amp;".chk"&amp;TEXT(EE5,"00")</f>
        <v>EXIM_PORT.chk32</v>
      </c>
      <c r="EG7" s="78" t="s">
        <v>55</v>
      </c>
      <c r="EH7" s="79" t="str">
        <f t="shared" ref="EH7" si="59">UPPER(EE6)&amp;".del"&amp;TEXT(EE5,"00")</f>
        <v>EXIM_PORT.del32</v>
      </c>
      <c r="EI7" s="78" t="s">
        <v>35</v>
      </c>
      <c r="EJ7" s="79" t="str">
        <f t="shared" ref="EJ7" si="60">UPPER(EI6)&amp;".chk"&amp;TEXT(EI5,"00")</f>
        <v>STK_GD.chk33</v>
      </c>
      <c r="EK7" s="78" t="s">
        <v>55</v>
      </c>
      <c r="EL7" s="79" t="str">
        <f t="shared" ref="EL7" si="61">UPPER(EI6)&amp;".del"&amp;TEXT(EI5,"00")</f>
        <v>STK_GD.del33</v>
      </c>
      <c r="EM7" s="78" t="s">
        <v>35</v>
      </c>
      <c r="EN7" s="79" t="str">
        <f t="shared" ref="EN7" si="62">UPPER(EM6)&amp;".chk"&amp;TEXT(EM5,"00")</f>
        <v>TRD.chk34</v>
      </c>
      <c r="EO7" s="78" t="s">
        <v>55</v>
      </c>
      <c r="EP7" s="79" t="str">
        <f t="shared" ref="EP7" si="63">UPPER(EM6)&amp;".del"&amp;TEXT(EM5,"00")</f>
        <v>TRD.del34</v>
      </c>
      <c r="EQ7" s="78" t="s">
        <v>35</v>
      </c>
      <c r="ER7" s="79" t="str">
        <f t="shared" ref="ER7" si="64">UPPER(EQ6)&amp;".chk"&amp;TEXT(EQ5,"00")</f>
        <v>SLIP_FORM.chk35</v>
      </c>
      <c r="ES7" s="78" t="s">
        <v>55</v>
      </c>
      <c r="ET7" s="79" t="str">
        <f t="shared" ref="ET7" si="65">UPPER(EQ6)&amp;".del"&amp;TEXT(EQ5,"00")</f>
        <v>SLIP_FORM.del35</v>
      </c>
      <c r="EU7" s="78" t="s">
        <v>35</v>
      </c>
      <c r="EV7" s="79" t="str">
        <f t="shared" ref="EV7" si="66">UPPER(EU6)&amp;".chk"&amp;TEXT(EU5,"00")</f>
        <v>PF_GRP.chk36</v>
      </c>
      <c r="EW7" s="78" t="s">
        <v>55</v>
      </c>
      <c r="EX7" s="79" t="str">
        <f t="shared" ref="EX7" si="67">UPPER(EU6)&amp;".del"&amp;TEXT(EU5,"00")</f>
        <v>PF_GRP.del36</v>
      </c>
      <c r="EY7" s="78" t="s">
        <v>35</v>
      </c>
      <c r="EZ7" s="79" t="str">
        <f t="shared" ref="EZ7" si="68">UPPER(EY6)&amp;".chk"&amp;TEXT(EY5,"00")</f>
        <v>ITM_SPEC_GRP.chk37</v>
      </c>
      <c r="FA7" s="78" t="s">
        <v>55</v>
      </c>
      <c r="FB7" s="79" t="str">
        <f t="shared" ref="FB7" si="69">UPPER(EY6)&amp;".del"&amp;TEXT(EY5,"00")</f>
        <v>ITM_SPEC_GRP.del37</v>
      </c>
      <c r="FC7" s="78" t="s">
        <v>35</v>
      </c>
      <c r="FD7" s="79" t="str">
        <f t="shared" ref="FD7" si="70">UPPER(FC6)&amp;".chk"&amp;TEXT(FC5,"00")</f>
        <v>ITM_COMP_GRP.chk38</v>
      </c>
      <c r="FE7" s="78" t="s">
        <v>55</v>
      </c>
      <c r="FF7" s="79" t="str">
        <f t="shared" ref="FF7" si="71">UPPER(FC6)&amp;".del"&amp;TEXT(FC5,"00")</f>
        <v>ITM_COMP_GRP.del38</v>
      </c>
      <c r="FG7" s="78" t="s">
        <v>35</v>
      </c>
      <c r="FH7" s="79" t="str">
        <f t="shared" ref="FH7" si="72">UPPER(FG6)&amp;".chk"&amp;TEXT(FG5,"00")</f>
        <v>JNL_ACT.chk39</v>
      </c>
      <c r="FI7" s="78" t="s">
        <v>55</v>
      </c>
      <c r="FJ7" s="79" t="str">
        <f t="shared" ref="FJ7" si="73">UPPER(FG6)&amp;".del"&amp;TEXT(FG5,"00")</f>
        <v>JNL_ACT.del39</v>
      </c>
      <c r="FK7" s="78" t="s">
        <v>35</v>
      </c>
      <c r="FL7" s="79" t="str">
        <f t="shared" ref="FL7" si="74">UPPER(FK6)&amp;".chk"&amp;TEXT(FK5,"00")</f>
        <v>JNL_GRP.chk40</v>
      </c>
      <c r="FM7" s="78" t="s">
        <v>55</v>
      </c>
      <c r="FN7" s="79" t="str">
        <f t="shared" ref="FN7" si="75">UPPER(FK6)&amp;".del"&amp;TEXT(FK5,"00")</f>
        <v>JNL_GRP.del40</v>
      </c>
      <c r="FO7" s="78" t="s">
        <v>35</v>
      </c>
      <c r="FP7" s="79" t="str">
        <f t="shared" ref="FP7" si="76">UPPER(FO6)&amp;".chk"&amp;TEXT(FO5,"00")</f>
        <v>JNL_PTN_BASE.chk41</v>
      </c>
      <c r="FQ7" s="78" t="s">
        <v>55</v>
      </c>
      <c r="FR7" s="79" t="str">
        <f t="shared" ref="FR7" si="77">UPPER(FO6)&amp;".del"&amp;TEXT(FO5,"00")</f>
        <v>JNL_PTN_BASE.del41</v>
      </c>
      <c r="FS7" s="78" t="s">
        <v>35</v>
      </c>
      <c r="FT7" s="79" t="str">
        <f t="shared" ref="FT7" si="78">UPPER(FS6)&amp;".chk"&amp;TEXT(FS5,"00")</f>
        <v>AUTO_JNL_KEY.chk42</v>
      </c>
      <c r="FU7" s="78" t="s">
        <v>55</v>
      </c>
      <c r="FV7" s="79" t="str">
        <f t="shared" ref="FV7" si="79">UPPER(FS6)&amp;".del"&amp;TEXT(FS5,"00")</f>
        <v>AUTO_JNL_KEY.del42</v>
      </c>
      <c r="FW7" s="78" t="s">
        <v>35</v>
      </c>
      <c r="FX7" s="79" t="str">
        <f t="shared" ref="FX7" si="80">UPPER(FW6)&amp;".chk"&amp;TEXT(FW5,"00")</f>
        <v>INSP_PTN.chk43</v>
      </c>
      <c r="FY7" s="78" t="s">
        <v>55</v>
      </c>
      <c r="FZ7" s="79" t="str">
        <f t="shared" ref="FZ7" si="81">UPPER(FW6)&amp;".del"&amp;TEXT(FW5,"00")</f>
        <v>INSP_PTN.del43</v>
      </c>
      <c r="GA7" s="78" t="s">
        <v>35</v>
      </c>
      <c r="GB7" s="79" t="str">
        <f t="shared" ref="GB7" si="82">UPPER(GA6)&amp;".chk"&amp;TEXT(GA5,"00")</f>
        <v>WK_DAY.chk44</v>
      </c>
      <c r="GC7" s="78" t="s">
        <v>55</v>
      </c>
      <c r="GD7" s="79" t="str">
        <f t="shared" ref="GD7" si="83">UPPER(GA6)&amp;".del"&amp;TEXT(GA5,"00")</f>
        <v>WK_DAY.del44</v>
      </c>
      <c r="GE7" s="78" t="s">
        <v>35</v>
      </c>
      <c r="GF7" s="79" t="str">
        <f t="shared" ref="GF7" si="84">UPPER(GE6)&amp;".chk"&amp;TEXT(GE5,"00")</f>
        <v>SHIP_TERM.chk45</v>
      </c>
      <c r="GG7" s="78" t="s">
        <v>55</v>
      </c>
      <c r="GH7" s="79" t="str">
        <f t="shared" ref="GH7" si="85">UPPER(GE6)&amp;".del"&amp;TEXT(GE5,"00")</f>
        <v>SHIP_TERM.del45</v>
      </c>
      <c r="GI7" s="78" t="s">
        <v>35</v>
      </c>
      <c r="GJ7" s="79" t="str">
        <f t="shared" ref="GJ7" si="86">UPPER(GI6)&amp;".chk"&amp;TEXT(GI5,"00")</f>
        <v>SHIP_WK.chk46</v>
      </c>
      <c r="GK7" s="78" t="s">
        <v>55</v>
      </c>
      <c r="GL7" s="79" t="str">
        <f t="shared" ref="GL7" si="87">UPPER(GI6)&amp;".del"&amp;TEXT(GI5,"00")</f>
        <v>SHIP_WK.del46</v>
      </c>
      <c r="GM7" s="78" t="s">
        <v>35</v>
      </c>
      <c r="GN7" s="79" t="str">
        <f t="shared" ref="GN7" si="88">UPPER(GM6)&amp;".chk"&amp;TEXT(GM5,"00")</f>
        <v>RSRC.chk47</v>
      </c>
      <c r="GO7" s="78" t="s">
        <v>55</v>
      </c>
      <c r="GP7" s="79" t="str">
        <f t="shared" ref="GP7" si="89">UPPER(GM6)&amp;".del"&amp;TEXT(GM5,"00")</f>
        <v>RSRC.del47</v>
      </c>
      <c r="GQ7" s="78" t="s">
        <v>35</v>
      </c>
      <c r="GR7" s="79" t="str">
        <f t="shared" ref="GR7" si="90">UPPER(GQ6)&amp;".chk"&amp;TEXT(GQ5,"00")</f>
        <v>HS_GRP.chk48</v>
      </c>
      <c r="GS7" s="78" t="s">
        <v>55</v>
      </c>
      <c r="GT7" s="79" t="str">
        <f t="shared" ref="GT7" si="91">UPPER(GQ6)&amp;".del"&amp;TEXT(GQ5,"00")</f>
        <v>HS_GRP.del48</v>
      </c>
      <c r="GU7" s="78" t="s">
        <v>35</v>
      </c>
      <c r="GV7" s="79" t="str">
        <f t="shared" ref="GV7" si="92">UPPER(GU6)&amp;".chk"&amp;TEXT(GU5,"00")</f>
        <v>ALC_PTN.chk49</v>
      </c>
      <c r="GW7" s="78" t="s">
        <v>55</v>
      </c>
      <c r="GX7" s="79" t="str">
        <f t="shared" ref="GX7" si="93">UPPER(GU6)&amp;".del"&amp;TEXT(GU5,"00")</f>
        <v>ALC_PTN.del49</v>
      </c>
      <c r="GY7" s="78" t="s">
        <v>35</v>
      </c>
      <c r="GZ7" s="79" t="str">
        <f t="shared" ref="GZ7" si="94">UPPER(GY6)&amp;".chk"&amp;TEXT(GY5,"00")</f>
        <v>CTG_GRP.chk50</v>
      </c>
      <c r="HA7" s="78" t="s">
        <v>55</v>
      </c>
      <c r="HB7" s="79" t="str">
        <f t="shared" ref="HB7" si="95">UPPER(GY6)&amp;".del"&amp;TEXT(GY5,"00")</f>
        <v>CTG_GRP.del50</v>
      </c>
      <c r="HC7" s="78" t="s">
        <v>35</v>
      </c>
      <c r="HD7" s="79" t="str">
        <f t="shared" ref="HD7" si="96">UPPER(HC6)&amp;".chk"&amp;TEXT(HC5,"00")</f>
        <v>ACT_PTN.chk51</v>
      </c>
      <c r="HE7" s="78" t="s">
        <v>55</v>
      </c>
      <c r="HF7" s="79" t="str">
        <f t="shared" ref="HF7" si="97">UPPER(HC6)&amp;".del"&amp;TEXT(HC5,"00")</f>
        <v>ACT_PTN.del51</v>
      </c>
      <c r="HG7" s="78" t="s">
        <v>35</v>
      </c>
      <c r="HH7" s="79" t="str">
        <f t="shared" ref="HH7" si="98">UPPER(HG6)&amp;".chk"&amp;TEXT(HG5,"00")</f>
        <v>GP_ALC.chk52</v>
      </c>
      <c r="HI7" s="78" t="s">
        <v>55</v>
      </c>
      <c r="HJ7" s="79" t="str">
        <f t="shared" ref="HJ7" si="99">UPPER(HG6)&amp;".del"&amp;TEXT(HG5,"00")</f>
        <v>GP_ALC.del52</v>
      </c>
      <c r="HK7" s="78" t="s">
        <v>35</v>
      </c>
      <c r="HL7" s="79" t="str">
        <f t="shared" ref="HL7" si="100">UPPER(HK6)&amp;".chk"&amp;TEXT(HK5,"00")</f>
        <v>CALC_CTG.chk53</v>
      </c>
      <c r="HM7" s="78" t="s">
        <v>55</v>
      </c>
      <c r="HN7" s="79" t="str">
        <f t="shared" ref="HN7" si="101">UPPER(HK6)&amp;".del"&amp;TEXT(HK5,"00")</f>
        <v>CALC_CTG.del53</v>
      </c>
      <c r="HO7" s="78" t="s">
        <v>35</v>
      </c>
      <c r="HP7" s="79" t="str">
        <f t="shared" ref="HP7" si="102">UPPER(HO6)&amp;".chk"&amp;TEXT(HO5,"00")</f>
        <v>RPT_PTN.chk54</v>
      </c>
      <c r="HQ7" s="78" t="s">
        <v>55</v>
      </c>
      <c r="HR7" s="79" t="str">
        <f t="shared" ref="HR7" si="103">UPPER(HO6)&amp;".del"&amp;TEXT(HO5,"00")</f>
        <v>RPT_PTN.del54</v>
      </c>
      <c r="HS7" s="78" t="s">
        <v>35</v>
      </c>
      <c r="HT7" s="79" t="str">
        <f t="shared" ref="HT7" si="104">UPPER(HS6)&amp;".chk"&amp;TEXT(HS5,"00")</f>
        <v>COST_MENU.chk55</v>
      </c>
      <c r="HU7" s="78" t="s">
        <v>55</v>
      </c>
      <c r="HV7" s="79" t="str">
        <f t="shared" ref="HV7" si="105">UPPER(HS6)&amp;".del"&amp;TEXT(HS5,"00")</f>
        <v>COST_MENU.del55</v>
      </c>
      <c r="HW7" s="78" t="s">
        <v>35</v>
      </c>
      <c r="HX7" s="79" t="str">
        <f>UPPER(HW6)&amp;".chk"&amp;TEXT(HW5,"00")</f>
        <v>SITE_CO.chk56</v>
      </c>
      <c r="HY7" s="78" t="s">
        <v>55</v>
      </c>
      <c r="HZ7" s="79" t="str">
        <f>UPPER(HW6)&amp;".del"&amp;TEXT(HW5,"00")</f>
        <v>SITE_CO.del56</v>
      </c>
      <c r="IA7" s="28"/>
      <c r="IB7" s="28"/>
      <c r="IC7" s="28"/>
      <c r="ID7" s="28"/>
    </row>
    <row r="8" spans="1:238" s="11" customFormat="1" ht="60" customHeight="1" x14ac:dyDescent="0.2">
      <c r="A8" s="65" t="s">
        <v>1860</v>
      </c>
      <c r="B8" s="94"/>
      <c r="C8" s="95"/>
      <c r="D8" s="90" t="s">
        <v>2196</v>
      </c>
      <c r="E8" s="90" t="s">
        <v>2197</v>
      </c>
      <c r="F8" s="41"/>
      <c r="G8" s="90" t="s">
        <v>1406</v>
      </c>
      <c r="H8" s="90" t="s">
        <v>2198</v>
      </c>
      <c r="I8" s="41"/>
      <c r="J8" s="3"/>
      <c r="K8" s="45" t="s">
        <v>16</v>
      </c>
      <c r="L8" s="9" t="str">
        <f>"OPE.MA."&amp;L6&amp;"."&amp;SUBSTITUTE(K6,"_","")&amp;"_DelChk01"</f>
        <v>OPE.MA.MABCL0031.Da_DelChk01</v>
      </c>
      <c r="M8" s="45" t="s">
        <v>56</v>
      </c>
      <c r="N8" s="9" t="str">
        <f>"OPE.MA."&amp;L6&amp;"."&amp;SUBSTITUTE(K6,"_","")&amp;"_Del01"</f>
        <v>OPE.MA.MABCL0031.Da_Del01</v>
      </c>
      <c r="O8" s="45" t="s">
        <v>16</v>
      </c>
      <c r="P8" s="9" t="str">
        <f t="shared" ref="P8" si="106">"OPE.MA."&amp;P6&amp;"."&amp;SUBSTITUTE(O6,"_","")&amp;"_DelChk01"</f>
        <v>OPE.MA.MABCL0031.DptBase_DelChk01</v>
      </c>
      <c r="Q8" s="45" t="s">
        <v>56</v>
      </c>
      <c r="R8" s="9" t="str">
        <f t="shared" ref="R8" si="107">"OPE.MA."&amp;P6&amp;"."&amp;SUBSTITUTE(O6,"_","")&amp;"_Del01"</f>
        <v>OPE.MA.MABCL0031.DptBase_Del01</v>
      </c>
      <c r="S8" s="45" t="s">
        <v>16</v>
      </c>
      <c r="T8" s="9" t="str">
        <f t="shared" ref="T8" si="108">"OPE.MA."&amp;T6&amp;"."&amp;SUBSTITUTE(S6,"_","")&amp;"_DelChk01"</f>
        <v>OPE.MA.MABCL0031.DptLvl_DelChk01</v>
      </c>
      <c r="U8" s="45" t="s">
        <v>56</v>
      </c>
      <c r="V8" s="9" t="str">
        <f t="shared" ref="V8" si="109">"OPE.MA."&amp;T6&amp;"."&amp;SUBSTITUTE(S6,"_","")&amp;"_Del01"</f>
        <v>OPE.MA.MABCL0031.DptLvl_Del01</v>
      </c>
      <c r="W8" s="45" t="s">
        <v>16</v>
      </c>
      <c r="X8" s="9" t="str">
        <f t="shared" ref="X8" si="110">"OPE.MA."&amp;X6&amp;"."&amp;SUBSTITUTE(W6,"_","")&amp;"_DelChk01"</f>
        <v>OPE.MA.MABCL0031.AprvRole_DelChk01</v>
      </c>
      <c r="Y8" s="45" t="s">
        <v>56</v>
      </c>
      <c r="Z8" s="9" t="str">
        <f t="shared" ref="Z8" si="111">"OPE.MA."&amp;X6&amp;"."&amp;SUBSTITUTE(W6,"_","")&amp;"_Del01"</f>
        <v>OPE.MA.MABCL0031.AprvRole_Del01</v>
      </c>
      <c r="AA8" s="45" t="s">
        <v>16</v>
      </c>
      <c r="AB8" s="9" t="str">
        <f t="shared" ref="AB8" si="112">"OPE.MA."&amp;AB6&amp;"."&amp;SUBSTITUTE(AA6,"_","")&amp;"_DelChk01"</f>
        <v>OPE.MA.MABCL0031.Cntry_DelChk01</v>
      </c>
      <c r="AC8" s="45" t="s">
        <v>56</v>
      </c>
      <c r="AD8" s="9" t="str">
        <f t="shared" ref="AD8" si="113">"OPE.MA."&amp;AB6&amp;"."&amp;SUBSTITUTE(AA6,"_","")&amp;"_Del01"</f>
        <v>OPE.MA.MABCL0031.Cntry_Del01</v>
      </c>
      <c r="AE8" s="45" t="s">
        <v>16</v>
      </c>
      <c r="AF8" s="9" t="str">
        <f t="shared" ref="AF8" si="114">"OPE.MA."&amp;AF6&amp;"."&amp;SUBSTITUTE(AE6,"_","")&amp;"_DelChk01"</f>
        <v>OPE.MA.MABCL0031.Area_DelChk01</v>
      </c>
      <c r="AG8" s="45" t="s">
        <v>56</v>
      </c>
      <c r="AH8" s="9" t="str">
        <f t="shared" ref="AH8" si="115">"OPE.MA."&amp;AF6&amp;"."&amp;SUBSTITUTE(AE6,"_","")&amp;"_Del01"</f>
        <v>OPE.MA.MABCL0031.Area_Del01</v>
      </c>
      <c r="AI8" s="45" t="s">
        <v>16</v>
      </c>
      <c r="AJ8" s="9" t="str">
        <f t="shared" ref="AJ8" si="116">"OPE.MA."&amp;AJ6&amp;"."&amp;SUBSTITUTE(AI6,"_","")&amp;"_DelChk01"</f>
        <v>OPE.MA.MABCL0031.Cur_DelChk01</v>
      </c>
      <c r="AK8" s="45" t="s">
        <v>56</v>
      </c>
      <c r="AL8" s="9" t="str">
        <f t="shared" ref="AL8" si="117">"OPE.MA."&amp;AJ6&amp;"."&amp;SUBSTITUTE(AI6,"_","")&amp;"_Del01"</f>
        <v>OPE.MA.MABCL0031.Cur_Del01</v>
      </c>
      <c r="AM8" s="45" t="s">
        <v>16</v>
      </c>
      <c r="AN8" s="9" t="str">
        <f t="shared" ref="AN8" si="118">"OPE.MA."&amp;AN6&amp;"."&amp;SUBSTITUTE(AM6,"_","")&amp;"_DelChk01"</f>
        <v>OPE.MA.MABCL0031.Unit_DelChk01</v>
      </c>
      <c r="AO8" s="45" t="s">
        <v>56</v>
      </c>
      <c r="AP8" s="9" t="str">
        <f t="shared" ref="AP8" si="119">"OPE.MA."&amp;AN6&amp;"."&amp;SUBSTITUTE(AM6,"_","")&amp;"_Del01"</f>
        <v>OPE.MA.MABCL0031.Unit_Del01</v>
      </c>
      <c r="AQ8" s="45" t="s">
        <v>16</v>
      </c>
      <c r="AR8" s="9" t="str">
        <f t="shared" ref="AR8" si="120">"OPE.MA."&amp;AR6&amp;"."&amp;SUBSTITUTE(AQ6,"_","")&amp;"_DelChk01"</f>
        <v>OPE.MA.MABCL0031.Bank_DelChk01</v>
      </c>
      <c r="AS8" s="45" t="s">
        <v>56</v>
      </c>
      <c r="AT8" s="9" t="str">
        <f t="shared" ref="AT8" si="121">"OPE.MA."&amp;AR6&amp;"."&amp;SUBSTITUTE(AQ6,"_","")&amp;"_Del01"</f>
        <v>OPE.MA.MABCL0031.Bank_Del01</v>
      </c>
      <c r="AU8" s="45" t="s">
        <v>16</v>
      </c>
      <c r="AV8" s="9" t="str">
        <f t="shared" ref="AV8" si="122">"OPE.MA."&amp;AV6&amp;"."&amp;SUBSTITUTE(AU6,"_","")&amp;"_DelChk01"</f>
        <v>OPE.MA.MABCL0031.BankBranch_DelChk01</v>
      </c>
      <c r="AW8" s="45" t="s">
        <v>56</v>
      </c>
      <c r="AX8" s="9" t="str">
        <f t="shared" ref="AX8" si="123">"OPE.MA."&amp;AV6&amp;"."&amp;SUBSTITUTE(AU6,"_","")&amp;"_Del01"</f>
        <v>OPE.MA.MABCL0031.BankBranch_Del01</v>
      </c>
      <c r="AY8" s="45" t="s">
        <v>16</v>
      </c>
      <c r="AZ8" s="9" t="str">
        <f t="shared" ref="AZ8" si="124">"OPE.MA."&amp;AZ6&amp;"."&amp;SUBSTITUTE(AY6,"_","")&amp;"_DelChk01"</f>
        <v>OPE.MA.MABCL0032.BankAc_DelChk01</v>
      </c>
      <c r="BA8" s="45" t="s">
        <v>56</v>
      </c>
      <c r="BB8" s="9" t="str">
        <f t="shared" ref="BB8" si="125">"OPE.MA."&amp;AZ6&amp;"."&amp;SUBSTITUTE(AY6,"_","")&amp;"_Del01"</f>
        <v>OPE.MA.MABCL0032.BankAc_Del01</v>
      </c>
      <c r="BC8" s="45" t="s">
        <v>16</v>
      </c>
      <c r="BD8" s="9" t="str">
        <f t="shared" ref="BD8" si="126">"OPE.MA."&amp;BD6&amp;"."&amp;SUBSTITUTE(BC6,"_","")&amp;"_DelChk01"</f>
        <v>OPE.MA.MABCL0032.Xrate_DelChk01</v>
      </c>
      <c r="BE8" s="45" t="s">
        <v>56</v>
      </c>
      <c r="BF8" s="9" t="str">
        <f t="shared" ref="BF8" si="127">"OPE.MA."&amp;BD6&amp;"."&amp;SUBSTITUTE(BC6,"_","")&amp;"_Del01"</f>
        <v>OPE.MA.MABCL0032.Xrate_Del01</v>
      </c>
      <c r="BG8" s="45" t="s">
        <v>16</v>
      </c>
      <c r="BH8" s="9" t="str">
        <f t="shared" ref="BH8" si="128">"OPE.MA."&amp;BH6&amp;"."&amp;SUBSTITUTE(BG6,"_","")&amp;"_DelChk01"</f>
        <v>OPE.MA.MABCL0032.CalBase_DelChk01</v>
      </c>
      <c r="BI8" s="45" t="s">
        <v>56</v>
      </c>
      <c r="BJ8" s="9" t="str">
        <f t="shared" ref="BJ8" si="129">"OPE.MA."&amp;BH6&amp;"."&amp;SUBSTITUTE(BG6,"_","")&amp;"_Del01"</f>
        <v>OPE.MA.MABCL0032.CalBase_Del01</v>
      </c>
      <c r="BK8" s="45" t="s">
        <v>16</v>
      </c>
      <c r="BL8" s="9" t="str">
        <f t="shared" ref="BL8" si="130">"OPE.MA."&amp;BL6&amp;"."&amp;SUBSTITUTE(BK6,"_","")&amp;"_DelChk01"</f>
        <v>OPE.MA.MABCL0032.ItmJnl_DelChk01</v>
      </c>
      <c r="BM8" s="45" t="s">
        <v>56</v>
      </c>
      <c r="BN8" s="9" t="str">
        <f t="shared" ref="BN8" si="131">"OPE.MA."&amp;BL6&amp;"."&amp;SUBSTITUTE(BK6,"_","")&amp;"_Del01"</f>
        <v>OPE.MA.MABCL0032.ItmJnl_Del01</v>
      </c>
      <c r="BO8" s="45" t="s">
        <v>16</v>
      </c>
      <c r="BP8" s="9" t="str">
        <f t="shared" ref="BP8" si="132">"OPE.MA."&amp;BP6&amp;"."&amp;SUBSTITUTE(BO6,"_","")&amp;"_DelChk01"</f>
        <v>OPE.MA.MABCL0032.AcItmGrp_DelChk01</v>
      </c>
      <c r="BQ8" s="45" t="s">
        <v>56</v>
      </c>
      <c r="BR8" s="9" t="str">
        <f t="shared" ref="BR8" si="133">"OPE.MA."&amp;BP6&amp;"."&amp;SUBSTITUTE(BO6,"_","")&amp;"_Del01"</f>
        <v>OPE.MA.MABCL0032.AcItmGrp_Del01</v>
      </c>
      <c r="BS8" s="45" t="s">
        <v>16</v>
      </c>
      <c r="BT8" s="9" t="str">
        <f t="shared" ref="BT8" si="134">"OPE.MA."&amp;BT6&amp;"."&amp;SUBSTITUTE(BS6,"_","")&amp;"_DelChk01"</f>
        <v>OPE.MA.MABCL0032.AcRsn_DelChk01</v>
      </c>
      <c r="BU8" s="45" t="s">
        <v>56</v>
      </c>
      <c r="BV8" s="9" t="str">
        <f t="shared" ref="BV8" si="135">"OPE.MA."&amp;BT6&amp;"."&amp;SUBSTITUTE(BS6,"_","")&amp;"_Del01"</f>
        <v>OPE.MA.MABCL0032.AcRsn_Del01</v>
      </c>
      <c r="BW8" s="45" t="s">
        <v>16</v>
      </c>
      <c r="BX8" s="9" t="str">
        <f t="shared" ref="BX8" si="136">"OPE.MA."&amp;BX6&amp;"."&amp;SUBSTITUTE(BW6,"_","")&amp;"_DelChk01"</f>
        <v>OPE.MA.MABCL0032.Site_DelChk01</v>
      </c>
      <c r="BY8" s="45" t="s">
        <v>56</v>
      </c>
      <c r="BZ8" s="9" t="str">
        <f t="shared" ref="BZ8" si="137">"OPE.MA."&amp;BX6&amp;"."&amp;SUBSTITUTE(BW6,"_","")&amp;"_Del01"</f>
        <v>OPE.MA.MABCL0032.Site_Del01</v>
      </c>
      <c r="CA8" s="45" t="s">
        <v>16</v>
      </c>
      <c r="CB8" s="9" t="str">
        <f t="shared" ref="CB8" si="138">"OPE.MA."&amp;CB6&amp;"."&amp;SUBSTITUTE(CA6,"_","")&amp;"_DelChk01"</f>
        <v>OPE.MA.MABCL0032.LocGrp_DelChk01</v>
      </c>
      <c r="CC8" s="45" t="s">
        <v>56</v>
      </c>
      <c r="CD8" s="9" t="str">
        <f t="shared" ref="CD8" si="139">"OPE.MA."&amp;CB6&amp;"."&amp;SUBSTITUTE(CA6,"_","")&amp;"_Del01"</f>
        <v>OPE.MA.MABCL0032.LocGrp_Del01</v>
      </c>
      <c r="CE8" s="45" t="s">
        <v>16</v>
      </c>
      <c r="CF8" s="9" t="str">
        <f t="shared" ref="CF8" si="140">"OPE.MA."&amp;CF6&amp;"."&amp;SUBSTITUTE(CE6,"_","")&amp;"_DelChk01"</f>
        <v>OPE.MA.MABCL0032.LgGrp_DelChk01</v>
      </c>
      <c r="CG8" s="45" t="s">
        <v>56</v>
      </c>
      <c r="CH8" s="9" t="str">
        <f t="shared" ref="CH8" si="141">"OPE.MA."&amp;CF6&amp;"."&amp;SUBSTITUTE(CE6,"_","")&amp;"_Del01"</f>
        <v>OPE.MA.MABCL0032.LgGrp_Del01</v>
      </c>
      <c r="CI8" s="45" t="s">
        <v>16</v>
      </c>
      <c r="CJ8" s="9" t="str">
        <f t="shared" ref="CJ8" si="142">"OPE.MA."&amp;CJ6&amp;"."&amp;SUBSTITUTE(CI6,"_","")&amp;"_DelChk01"</f>
        <v>OPE.MA.MABCL0032.AllocGrp_DelChk01</v>
      </c>
      <c r="CK8" s="45" t="s">
        <v>56</v>
      </c>
      <c r="CL8" s="9" t="str">
        <f t="shared" ref="CL8" si="143">"OPE.MA."&amp;CJ6&amp;"."&amp;SUBSTITUTE(CI6,"_","")&amp;"_Del01"</f>
        <v>OPE.MA.MABCL0032.AllocGrp_Del01</v>
      </c>
      <c r="CM8" s="45" t="s">
        <v>16</v>
      </c>
      <c r="CN8" s="9" t="str">
        <f t="shared" ref="CN8" si="144">"OPE.MA."&amp;CN6&amp;"."&amp;SUBSTITUTE(CM6,"_","")&amp;"_DelChk01"</f>
        <v>OPE.MA.MABCL0033.Wg_DelChk01</v>
      </c>
      <c r="CO8" s="45" t="s">
        <v>56</v>
      </c>
      <c r="CP8" s="9" t="str">
        <f t="shared" ref="CP8" si="145">"OPE.MA."&amp;CN6&amp;"."&amp;SUBSTITUTE(CM6,"_","")&amp;"_Del01"</f>
        <v>OPE.MA.MABCL0033.Wg_Del01</v>
      </c>
      <c r="CQ8" s="45" t="s">
        <v>16</v>
      </c>
      <c r="CR8" s="9" t="str">
        <f t="shared" ref="CR8" si="146">"OPE.MA."&amp;CR6&amp;"."&amp;SUBSTITUTE(CQ6,"_","")&amp;"_DelChk01"</f>
        <v>OPE.MA.MABCL0033.Oper_DelChk01</v>
      </c>
      <c r="CS8" s="45" t="s">
        <v>56</v>
      </c>
      <c r="CT8" s="9" t="str">
        <f t="shared" ref="CT8" si="147">"OPE.MA."&amp;CR6&amp;"."&amp;SUBSTITUTE(CQ6,"_","")&amp;"_Del01"</f>
        <v>OPE.MA.MABCL0033.Oper_Del01</v>
      </c>
      <c r="CU8" s="45" t="s">
        <v>16</v>
      </c>
      <c r="CV8" s="9" t="str">
        <f t="shared" ref="CV8" si="148">"OPE.MA."&amp;CV6&amp;"."&amp;SUBSTITUTE(CU6,"_","")&amp;"_DelChk01"</f>
        <v>OPE.MA.MABCL0033.WkCost_DelChk01</v>
      </c>
      <c r="CW8" s="45" t="s">
        <v>56</v>
      </c>
      <c r="CX8" s="9" t="str">
        <f t="shared" ref="CX8" si="149">"OPE.MA."&amp;CV6&amp;"."&amp;SUBSTITUTE(CU6,"_","")&amp;"_Del01"</f>
        <v>OPE.MA.MABCL0033.WkCost_Del01</v>
      </c>
      <c r="CY8" s="45" t="s">
        <v>16</v>
      </c>
      <c r="CZ8" s="9" t="str">
        <f t="shared" ref="CZ8" si="150">"OPE.MA."&amp;CZ6&amp;"."&amp;SUBSTITUTE(CY6,"_","")&amp;"_DelChk01"</f>
        <v>OPE.MA.MABCL0033.WkRsn_DelChk01</v>
      </c>
      <c r="DA8" s="45" t="s">
        <v>56</v>
      </c>
      <c r="DB8" s="9" t="str">
        <f t="shared" ref="DB8" si="151">"OPE.MA."&amp;CZ6&amp;"."&amp;SUBSTITUTE(CY6,"_","")&amp;"_Del01"</f>
        <v>OPE.MA.MABCL0033.WkRsn_Del01</v>
      </c>
      <c r="DC8" s="45" t="s">
        <v>16</v>
      </c>
      <c r="DD8" s="9" t="str">
        <f t="shared" ref="DD8" si="152">"OPE.MA."&amp;DD6&amp;"."&amp;SUBSTITUTE(DC6,"_","")&amp;"_DelChk01"</f>
        <v>OPE.MA.MABCL0033.SlsUpriGrp_DelChk01</v>
      </c>
      <c r="DE8" s="45" t="s">
        <v>56</v>
      </c>
      <c r="DF8" s="9" t="str">
        <f t="shared" ref="DF8" si="153">"OPE.MA."&amp;DD6&amp;"."&amp;SUBSTITUTE(DC6,"_","")&amp;"_Del01"</f>
        <v>OPE.MA.MABCL0033.SlsUpriGrp_Del01</v>
      </c>
      <c r="DG8" s="45" t="s">
        <v>16</v>
      </c>
      <c r="DH8" s="9" t="str">
        <f t="shared" ref="DH8" si="154">"OPE.MA."&amp;DH6&amp;"."&amp;SUBSTITUTE(DG6,"_","")&amp;"_DelChk01"</f>
        <v>OPE.MA.MABCL0033.SlsUpriRank_DelChk01</v>
      </c>
      <c r="DI8" s="45" t="s">
        <v>56</v>
      </c>
      <c r="DJ8" s="9" t="str">
        <f t="shared" ref="DJ8" si="155">"OPE.MA."&amp;DH6&amp;"."&amp;SUBSTITUTE(DG6,"_","")&amp;"_Del01"</f>
        <v>OPE.MA.MABCL0033.SlsUpriRank_Del01</v>
      </c>
      <c r="DK8" s="45" t="s">
        <v>16</v>
      </c>
      <c r="DL8" s="9" t="str">
        <f t="shared" ref="DL8" si="156">"OPE.MA."&amp;DL6&amp;"."&amp;SUBSTITUTE(DK6,"_","")&amp;"_DelChk01"</f>
        <v>OPE.MA.MABCL0033.SetoffGrp_DelChk01</v>
      </c>
      <c r="DM8" s="45" t="s">
        <v>56</v>
      </c>
      <c r="DN8" s="9" t="str">
        <f t="shared" ref="DN8" si="157">"OPE.MA."&amp;DL6&amp;"."&amp;SUBSTITUTE(DK6,"_","")&amp;"_Del01"</f>
        <v>OPE.MA.MABCL0033.SetoffGrp_Del01</v>
      </c>
      <c r="DO8" s="45" t="s">
        <v>16</v>
      </c>
      <c r="DP8" s="9" t="str">
        <f t="shared" ref="DP8" si="158">"OPE.MA."&amp;DP6&amp;"."&amp;SUBSTITUTE(DO6,"_","")&amp;"_DelChk01"</f>
        <v>OPE.MA.MABCL0033.ShipValid_DelChk01</v>
      </c>
      <c r="DQ8" s="45" t="s">
        <v>56</v>
      </c>
      <c r="DR8" s="9" t="str">
        <f t="shared" ref="DR8" si="159">"OPE.MA."&amp;DP6&amp;"."&amp;SUBSTITUTE(DO6,"_","")&amp;"_Del01"</f>
        <v>OPE.MA.MABCL0033.ShipValid_Del01</v>
      </c>
      <c r="DS8" s="45" t="s">
        <v>16</v>
      </c>
      <c r="DT8" s="9" t="str">
        <f t="shared" ref="DT8" si="160">"OPE.MA."&amp;DT6&amp;"."&amp;SUBSTITUTE(DS6,"_","")&amp;"_DelChk01"</f>
        <v>OPE.MA.MABCL0033.ItmShipGrp_DelChk01</v>
      </c>
      <c r="DU8" s="45" t="s">
        <v>56</v>
      </c>
      <c r="DV8" s="9" t="str">
        <f t="shared" ref="DV8" si="161">"OPE.MA."&amp;DT6&amp;"."&amp;SUBSTITUTE(DS6,"_","")&amp;"_Del01"</f>
        <v>OPE.MA.MABCL0033.ItmShipGrp_Del01</v>
      </c>
      <c r="DW8" s="45" t="s">
        <v>16</v>
      </c>
      <c r="DX8" s="9" t="str">
        <f t="shared" ref="DX8" si="162">"OPE.MA."&amp;DX6&amp;"."&amp;SUBSTITUTE(DW6,"_","")&amp;"_DelChk01"</f>
        <v>OPE.MA.MABCL0033.Trnspt_DelChk01</v>
      </c>
      <c r="DY8" s="45" t="s">
        <v>56</v>
      </c>
      <c r="DZ8" s="9" t="str">
        <f t="shared" ref="DZ8" si="163">"OPE.MA."&amp;DX6&amp;"."&amp;SUBSTITUTE(DW6,"_","")&amp;"_Del01"</f>
        <v>OPE.MA.MABCL0033.Trnspt_Del01</v>
      </c>
      <c r="EA8" s="45" t="s">
        <v>16</v>
      </c>
      <c r="EB8" s="9" t="str">
        <f t="shared" ref="EB8" si="164">"OPE.MA."&amp;EB6&amp;"."&amp;SUBSTITUTE(EA6,"_","")&amp;"_DelChk01"</f>
        <v>OPE.MA.MABCL0034.ExCntnr_DelChk01</v>
      </c>
      <c r="EC8" s="45" t="s">
        <v>56</v>
      </c>
      <c r="ED8" s="9" t="str">
        <f t="shared" ref="ED8" si="165">"OPE.MA."&amp;EB6&amp;"."&amp;SUBSTITUTE(EA6,"_","")&amp;"_Del01"</f>
        <v>OPE.MA.MABCL0034.ExCntnr_Del01</v>
      </c>
      <c r="EE8" s="45" t="s">
        <v>16</v>
      </c>
      <c r="EF8" s="9" t="str">
        <f t="shared" ref="EF8" si="166">"OPE.MA."&amp;EF6&amp;"."&amp;SUBSTITUTE(EE6,"_","")&amp;"_DelChk01"</f>
        <v>OPE.MA.MABCL0034.EximPort_DelChk01</v>
      </c>
      <c r="EG8" s="45" t="s">
        <v>56</v>
      </c>
      <c r="EH8" s="9" t="str">
        <f t="shared" ref="EH8" si="167">"OPE.MA."&amp;EF6&amp;"."&amp;SUBSTITUTE(EE6,"_","")&amp;"_Del01"</f>
        <v>OPE.MA.MABCL0034.EximPort_Del01</v>
      </c>
      <c r="EI8" s="45" t="s">
        <v>16</v>
      </c>
      <c r="EJ8" s="9" t="str">
        <f t="shared" ref="EJ8" si="168">"OPE.MA."&amp;EJ6&amp;"."&amp;SUBSTITUTE(EI6,"_","")&amp;"_DelChk01"</f>
        <v>OPE.MA.MABCL0034.StkGd_DelChk01</v>
      </c>
      <c r="EK8" s="45" t="s">
        <v>56</v>
      </c>
      <c r="EL8" s="9" t="str">
        <f t="shared" ref="EL8" si="169">"OPE.MA."&amp;EJ6&amp;"."&amp;SUBSTITUTE(EI6,"_","")&amp;"_Del01"</f>
        <v>OPE.MA.MABCL0034.StkGd_Del01</v>
      </c>
      <c r="EM8" s="45" t="s">
        <v>16</v>
      </c>
      <c r="EN8" s="9" t="str">
        <f t="shared" ref="EN8" si="170">"OPE.MA."&amp;EN6&amp;"."&amp;SUBSTITUTE(EM6,"_","")&amp;"_DelChk01"</f>
        <v>OPE.MA.MABCL0034.Trd_DelChk01</v>
      </c>
      <c r="EO8" s="45" t="s">
        <v>56</v>
      </c>
      <c r="EP8" s="9" t="str">
        <f t="shared" ref="EP8" si="171">"OPE.MA."&amp;EN6&amp;"."&amp;SUBSTITUTE(EM6,"_","")&amp;"_Del01"</f>
        <v>OPE.MA.MABCL0034.Trd_Del01</v>
      </c>
      <c r="EQ8" s="45" t="s">
        <v>16</v>
      </c>
      <c r="ER8" s="9" t="str">
        <f t="shared" ref="ER8" si="172">"OPE.MA."&amp;ER6&amp;"."&amp;SUBSTITUTE(EQ6,"_","")&amp;"_DelChk01"</f>
        <v>OPE.MA.MABCL0034.SlipForm_DelChk01</v>
      </c>
      <c r="ES8" s="45" t="s">
        <v>56</v>
      </c>
      <c r="ET8" s="9" t="str">
        <f t="shared" ref="ET8" si="173">"OPE.MA."&amp;ER6&amp;"."&amp;SUBSTITUTE(EQ6,"_","")&amp;"_Del01"</f>
        <v>OPE.MA.MABCL0034.SlipForm_Del01</v>
      </c>
      <c r="EU8" s="45" t="s">
        <v>16</v>
      </c>
      <c r="EV8" s="9" t="str">
        <f t="shared" ref="EV8" si="174">"OPE.MA."&amp;EV6&amp;"."&amp;SUBSTITUTE(EU6,"_","")&amp;"_DelChk01"</f>
        <v>OPE.MA.MABCL0034.PfGrp_DelChk01</v>
      </c>
      <c r="EW8" s="45" t="s">
        <v>56</v>
      </c>
      <c r="EX8" s="9" t="str">
        <f t="shared" ref="EX8" si="175">"OPE.MA."&amp;EV6&amp;"."&amp;SUBSTITUTE(EU6,"_","")&amp;"_Del01"</f>
        <v>OPE.MA.MABCL0034.PfGrp_Del01</v>
      </c>
      <c r="EY8" s="45" t="s">
        <v>16</v>
      </c>
      <c r="EZ8" s="9" t="str">
        <f t="shared" ref="EZ8" si="176">"OPE.MA."&amp;EZ6&amp;"."&amp;SUBSTITUTE(EY6,"_","")&amp;"_DelChk01"</f>
        <v>OPE.MA.MABCL0034.ItmSpecGrp_DelChk01</v>
      </c>
      <c r="FA8" s="45" t="s">
        <v>56</v>
      </c>
      <c r="FB8" s="9" t="str">
        <f t="shared" ref="FB8" si="177">"OPE.MA."&amp;EZ6&amp;"."&amp;SUBSTITUTE(EY6,"_","")&amp;"_Del01"</f>
        <v>OPE.MA.MABCL0034.ItmSpecGrp_Del01</v>
      </c>
      <c r="FC8" s="45" t="s">
        <v>16</v>
      </c>
      <c r="FD8" s="9" t="str">
        <f t="shared" ref="FD8" si="178">"OPE.MA."&amp;FD6&amp;"."&amp;SUBSTITUTE(FC6,"_","")&amp;"_DelChk01"</f>
        <v>OPE.MA.MABCL0034.ItmCompGrp_DelChk01</v>
      </c>
      <c r="FE8" s="45" t="s">
        <v>56</v>
      </c>
      <c r="FF8" s="9" t="str">
        <f t="shared" ref="FF8" si="179">"OPE.MA."&amp;FD6&amp;"."&amp;SUBSTITUTE(FC6,"_","")&amp;"_Del01"</f>
        <v>OPE.MA.MABCL0034.ItmCompGrp_Del01</v>
      </c>
      <c r="FG8" s="45" t="s">
        <v>16</v>
      </c>
      <c r="FH8" s="9" t="str">
        <f t="shared" ref="FH8" si="180">"OPE.MA."&amp;FH6&amp;"."&amp;SUBSTITUTE(FG6,"_","")&amp;"_DelChk01"</f>
        <v>OPE.MA.MABCL0034.JnlAct_DelChk01</v>
      </c>
      <c r="FI8" s="45" t="s">
        <v>56</v>
      </c>
      <c r="FJ8" s="9" t="str">
        <f t="shared" ref="FJ8" si="181">"OPE.MA."&amp;FH6&amp;"."&amp;SUBSTITUTE(FG6,"_","")&amp;"_Del01"</f>
        <v>OPE.MA.MABCL0034.JnlAct_Del01</v>
      </c>
      <c r="FK8" s="45" t="s">
        <v>16</v>
      </c>
      <c r="FL8" s="9" t="str">
        <f t="shared" ref="FL8" si="182">"OPE.MA."&amp;FL6&amp;"."&amp;SUBSTITUTE(FK6,"_","")&amp;"_DelChk01"</f>
        <v>OPE.MA.MABCL0034.JnlGrp_DelChk01</v>
      </c>
      <c r="FM8" s="45" t="s">
        <v>56</v>
      </c>
      <c r="FN8" s="9" t="str">
        <f t="shared" ref="FN8" si="183">"OPE.MA."&amp;FL6&amp;"."&amp;SUBSTITUTE(FK6,"_","")&amp;"_Del01"</f>
        <v>OPE.MA.MABCL0034.JnlGrp_Del01</v>
      </c>
      <c r="FO8" s="45" t="s">
        <v>16</v>
      </c>
      <c r="FP8" s="9" t="str">
        <f t="shared" ref="FP8" si="184">"OPE.MA."&amp;FP6&amp;"."&amp;SUBSTITUTE(FO6,"_","")&amp;"_DelChk01"</f>
        <v>OPE.MA.MABCL0035.JnlPtnBase_DelChk01</v>
      </c>
      <c r="FQ8" s="45" t="s">
        <v>56</v>
      </c>
      <c r="FR8" s="9" t="str">
        <f t="shared" ref="FR8" si="185">"OPE.MA."&amp;FP6&amp;"."&amp;SUBSTITUTE(FO6,"_","")&amp;"_Del01"</f>
        <v>OPE.MA.MABCL0035.JnlPtnBase_Del01</v>
      </c>
      <c r="FS8" s="45" t="s">
        <v>16</v>
      </c>
      <c r="FT8" s="9" t="str">
        <f t="shared" ref="FT8" si="186">"OPE.MA."&amp;FT6&amp;"."&amp;SUBSTITUTE(FS6,"_","")&amp;"_DelChk01"</f>
        <v>OPE.MA.MABCL0035.AutoJnlKey_DelChk01</v>
      </c>
      <c r="FU8" s="45" t="s">
        <v>56</v>
      </c>
      <c r="FV8" s="9" t="str">
        <f t="shared" ref="FV8" si="187">"OPE.MA."&amp;FT6&amp;"."&amp;SUBSTITUTE(FS6,"_","")&amp;"_Del01"</f>
        <v>OPE.MA.MABCL0035.AutoJnlKey_Del01</v>
      </c>
      <c r="FW8" s="45" t="s">
        <v>16</v>
      </c>
      <c r="FX8" s="9" t="str">
        <f t="shared" ref="FX8" si="188">"OPE.MA."&amp;FX6&amp;"."&amp;SUBSTITUTE(FW6,"_","")&amp;"_DelChk01"</f>
        <v>OPE.MA.MABCL0035.InspPtn_DelChk01</v>
      </c>
      <c r="FY8" s="45" t="s">
        <v>56</v>
      </c>
      <c r="FZ8" s="9" t="str">
        <f t="shared" ref="FZ8" si="189">"OPE.MA."&amp;FX6&amp;"."&amp;SUBSTITUTE(FW6,"_","")&amp;"_Del01"</f>
        <v>OPE.MA.MABCL0035.InspPtn_Del01</v>
      </c>
      <c r="GA8" s="45" t="s">
        <v>16</v>
      </c>
      <c r="GB8" s="9" t="str">
        <f t="shared" ref="GB8" si="190">"OPE.MA."&amp;GB6&amp;"."&amp;SUBSTITUTE(GA6,"_","")&amp;"_DelChk01"</f>
        <v>OPE.MA.MABCL0035.WkDay_DelChk01</v>
      </c>
      <c r="GC8" s="45" t="s">
        <v>56</v>
      </c>
      <c r="GD8" s="9" t="str">
        <f t="shared" ref="GD8" si="191">"OPE.MA."&amp;GB6&amp;"."&amp;SUBSTITUTE(GA6,"_","")&amp;"_Del01"</f>
        <v>OPE.MA.MABCL0035.WkDay_Del01</v>
      </c>
      <c r="GE8" s="45" t="s">
        <v>16</v>
      </c>
      <c r="GF8" s="9" t="str">
        <f t="shared" ref="GF8" si="192">"OPE.MA."&amp;GF6&amp;"."&amp;SUBSTITUTE(GE6,"_","")&amp;"_DelChk01"</f>
        <v>OPE.MA.MABCL0035.ShipTerm_DelChk01</v>
      </c>
      <c r="GG8" s="45" t="s">
        <v>56</v>
      </c>
      <c r="GH8" s="9" t="str">
        <f t="shared" ref="GH8" si="193">"OPE.MA."&amp;GF6&amp;"."&amp;SUBSTITUTE(GE6,"_","")&amp;"_Del01"</f>
        <v>OPE.MA.MABCL0035.ShipTerm_Del01</v>
      </c>
      <c r="GI8" s="45" t="s">
        <v>16</v>
      </c>
      <c r="GJ8" s="9" t="str">
        <f t="shared" ref="GJ8" si="194">"OPE.MA."&amp;GJ6&amp;"."&amp;SUBSTITUTE(GI6,"_","")&amp;"_DelChk01"</f>
        <v>OPE.MA.MABCL0035.ShipWk_DelChk01</v>
      </c>
      <c r="GK8" s="45" t="s">
        <v>56</v>
      </c>
      <c r="GL8" s="9" t="str">
        <f t="shared" ref="GL8" si="195">"OPE.MA."&amp;GJ6&amp;"."&amp;SUBSTITUTE(GI6,"_","")&amp;"_Del01"</f>
        <v>OPE.MA.MABCL0035.ShipWk_Del01</v>
      </c>
      <c r="GM8" s="45" t="s">
        <v>16</v>
      </c>
      <c r="GN8" s="9" t="str">
        <f t="shared" ref="GN8" si="196">"OPE.MA."&amp;GN6&amp;"."&amp;SUBSTITUTE(GM6,"_","")&amp;"_DelChk01"</f>
        <v>OPE.MA.MABCL0035.Rsrc_DelChk01</v>
      </c>
      <c r="GO8" s="45" t="s">
        <v>56</v>
      </c>
      <c r="GP8" s="9" t="str">
        <f t="shared" ref="GP8" si="197">"OPE.MA."&amp;GN6&amp;"."&amp;SUBSTITUTE(GM6,"_","")&amp;"_Del01"</f>
        <v>OPE.MA.MABCL0035.Rsrc_Del01</v>
      </c>
      <c r="GQ8" s="45" t="s">
        <v>16</v>
      </c>
      <c r="GR8" s="9" t="str">
        <f t="shared" ref="GR8" si="198">"OPE.MA."&amp;GR6&amp;"."&amp;SUBSTITUTE(GQ6,"_","")&amp;"_DelChk01"</f>
        <v>OPE.MA.MABCL0035.HsGrp_DelChk01</v>
      </c>
      <c r="GS8" s="45" t="s">
        <v>56</v>
      </c>
      <c r="GT8" s="9" t="str">
        <f t="shared" ref="GT8" si="199">"OPE.MA."&amp;GR6&amp;"."&amp;SUBSTITUTE(GQ6,"_","")&amp;"_Del01"</f>
        <v>OPE.MA.MABCL0035.HsGrp_Del01</v>
      </c>
      <c r="GU8" s="45" t="s">
        <v>16</v>
      </c>
      <c r="GV8" s="9" t="str">
        <f t="shared" ref="GV8" si="200">"OPE.MA."&amp;GV6&amp;"."&amp;SUBSTITUTE(GU6,"_","")&amp;"_DelChk01"</f>
        <v>OPE.MA.MABCL0035.AlcPtn_DelChk01</v>
      </c>
      <c r="GW8" s="45" t="s">
        <v>56</v>
      </c>
      <c r="GX8" s="9" t="str">
        <f t="shared" ref="GX8" si="201">"OPE.MA."&amp;GV6&amp;"."&amp;SUBSTITUTE(GU6,"_","")&amp;"_Del01"</f>
        <v>OPE.MA.MABCL0035.AlcPtn_Del01</v>
      </c>
      <c r="GY8" s="45" t="s">
        <v>16</v>
      </c>
      <c r="GZ8" s="9" t="str">
        <f t="shared" ref="GZ8" si="202">"OPE.MA."&amp;GZ6&amp;"."&amp;SUBSTITUTE(GY6,"_","")&amp;"_DelChk01"</f>
        <v>OPE.MA.MABCL0035.CtgGrp_DelChk01</v>
      </c>
      <c r="HA8" s="45" t="s">
        <v>56</v>
      </c>
      <c r="HB8" s="9" t="str">
        <f t="shared" ref="HB8" si="203">"OPE.MA."&amp;GZ6&amp;"."&amp;SUBSTITUTE(GY6,"_","")&amp;"_Del01"</f>
        <v>OPE.MA.MABCL0035.CtgGrp_Del01</v>
      </c>
      <c r="HC8" s="45" t="s">
        <v>16</v>
      </c>
      <c r="HD8" s="9" t="str">
        <f t="shared" ref="HD8" si="204">"OPE.MA."&amp;HD6&amp;"."&amp;SUBSTITUTE(HC6,"_","")&amp;"_DelChk01"</f>
        <v>OPE.MA.MABCL0035.ActPtn_DelChk01</v>
      </c>
      <c r="HE8" s="45" t="s">
        <v>56</v>
      </c>
      <c r="HF8" s="9" t="str">
        <f t="shared" ref="HF8" si="205">"OPE.MA."&amp;HD6&amp;"."&amp;SUBSTITUTE(HC6,"_","")&amp;"_Del01"</f>
        <v>OPE.MA.MABCL0035.ActPtn_Del01</v>
      </c>
      <c r="HG8" s="45" t="s">
        <v>16</v>
      </c>
      <c r="HH8" s="9" t="str">
        <f t="shared" ref="HH8" si="206">"OPE.MA."&amp;HH6&amp;"."&amp;SUBSTITUTE(HG6,"_","")&amp;"_DelChk01"</f>
        <v>OPE.MA.MABCL0036.GpAlc_DelChk01</v>
      </c>
      <c r="HI8" s="45" t="s">
        <v>56</v>
      </c>
      <c r="HJ8" s="9" t="str">
        <f t="shared" ref="HJ8" si="207">"OPE.MA."&amp;HH6&amp;"."&amp;SUBSTITUTE(HG6,"_","")&amp;"_Del01"</f>
        <v>OPE.MA.MABCL0036.GpAlc_Del01</v>
      </c>
      <c r="HK8" s="45" t="s">
        <v>16</v>
      </c>
      <c r="HL8" s="9" t="str">
        <f t="shared" ref="HL8" si="208">"OPE.MA."&amp;HL6&amp;"."&amp;SUBSTITUTE(HK6,"_","")&amp;"_DelChk01"</f>
        <v>OPE.MA.MABCL0036.CalcCtg_DelChk01</v>
      </c>
      <c r="HM8" s="45" t="s">
        <v>56</v>
      </c>
      <c r="HN8" s="9" t="str">
        <f t="shared" ref="HN8" si="209">"OPE.MA."&amp;HL6&amp;"."&amp;SUBSTITUTE(HK6,"_","")&amp;"_Del01"</f>
        <v>OPE.MA.MABCL0036.CalcCtg_Del01</v>
      </c>
      <c r="HO8" s="45" t="s">
        <v>16</v>
      </c>
      <c r="HP8" s="9" t="str">
        <f t="shared" ref="HP8" si="210">"OPE.MA."&amp;HP6&amp;"."&amp;SUBSTITUTE(HO6,"_","")&amp;"_DelChk01"</f>
        <v>OPE.MA.MABCL0036.RptPtn_DelChk01</v>
      </c>
      <c r="HQ8" s="45" t="s">
        <v>56</v>
      </c>
      <c r="HR8" s="9" t="str">
        <f t="shared" ref="HR8" si="211">"OPE.MA."&amp;HP6&amp;"."&amp;SUBSTITUTE(HO6,"_","")&amp;"_Del01"</f>
        <v>OPE.MA.MABCL0036.RptPtn_Del01</v>
      </c>
      <c r="HS8" s="45" t="s">
        <v>16</v>
      </c>
      <c r="HT8" s="9" t="str">
        <f t="shared" ref="HT8" si="212">"OPE.MA."&amp;HT6&amp;"."&amp;SUBSTITUTE(HS6,"_","")&amp;"_DelChk01"</f>
        <v>OPE.MA.MABCL0036.CostMenu_DelChk01</v>
      </c>
      <c r="HU8" s="45" t="s">
        <v>56</v>
      </c>
      <c r="HV8" s="9" t="str">
        <f t="shared" ref="HV8" si="213">"OPE.MA."&amp;HT6&amp;"."&amp;SUBSTITUTE(HS6,"_","")&amp;"_Del01"</f>
        <v>OPE.MA.MABCL0036.CostMenu_Del01</v>
      </c>
      <c r="HW8" s="45" t="s">
        <v>16</v>
      </c>
      <c r="HX8" s="9" t="str">
        <f>"OPE.MA."&amp;HX6&amp;"."&amp;SUBSTITUTE(HW6,"_","")&amp;"_DelChk01"</f>
        <v>OPE.MA.MABCL0036.SiteCo_DelChk01</v>
      </c>
      <c r="HY8" s="45" t="s">
        <v>56</v>
      </c>
      <c r="HZ8" s="9" t="str">
        <f>"OPE.MA."&amp;HX6&amp;"."&amp;SUBSTITUTE(HW6,"_","")&amp;"_Del01"</f>
        <v>OPE.MA.MABCL0036.SiteCo_Del01</v>
      </c>
      <c r="IA8" s="96"/>
      <c r="IB8" s="97"/>
      <c r="IC8" s="98" t="s">
        <v>2207</v>
      </c>
      <c r="ID8" s="68"/>
    </row>
    <row r="9" spans="1:238" s="11" customFormat="1" ht="60" customHeight="1" x14ac:dyDescent="0.2">
      <c r="A9" s="9" t="s">
        <v>1038</v>
      </c>
      <c r="B9" s="50"/>
      <c r="C9" s="51"/>
      <c r="D9" s="90" t="s">
        <v>2494</v>
      </c>
      <c r="E9" s="99" t="s">
        <v>2495</v>
      </c>
      <c r="F9" s="90" t="s">
        <v>2201</v>
      </c>
      <c r="G9" s="90" t="s">
        <v>2202</v>
      </c>
      <c r="H9" s="90" t="s">
        <v>2203</v>
      </c>
      <c r="I9" s="100" t="s">
        <v>2204</v>
      </c>
      <c r="J9" s="90" t="s">
        <v>2205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98" t="s">
        <v>2206</v>
      </c>
      <c r="IB9" s="68"/>
      <c r="IC9" s="98" t="s">
        <v>2208</v>
      </c>
      <c r="ID9" s="68"/>
    </row>
    <row r="10" spans="1:238" s="11" customFormat="1" ht="91" x14ac:dyDescent="0.2">
      <c r="A10" s="52" t="s">
        <v>17</v>
      </c>
      <c r="B10" s="53"/>
      <c r="C10" s="53"/>
      <c r="D10" s="54"/>
      <c r="E10" s="55"/>
      <c r="F10" s="55"/>
      <c r="G10" s="56"/>
      <c r="H10" s="56"/>
      <c r="I10" s="55"/>
      <c r="J10" s="55"/>
      <c r="K10" s="93" t="s">
        <v>2204</v>
      </c>
      <c r="L10" s="93" t="s">
        <v>2205</v>
      </c>
      <c r="M10" s="93" t="s">
        <v>2204</v>
      </c>
      <c r="N10" s="93" t="s">
        <v>2205</v>
      </c>
      <c r="O10" s="93" t="s">
        <v>2204</v>
      </c>
      <c r="P10" s="93" t="s">
        <v>2205</v>
      </c>
      <c r="Q10" s="93" t="s">
        <v>2204</v>
      </c>
      <c r="R10" s="93" t="s">
        <v>2205</v>
      </c>
      <c r="S10" s="93" t="s">
        <v>2204</v>
      </c>
      <c r="T10" s="93" t="s">
        <v>2205</v>
      </c>
      <c r="U10" s="93" t="s">
        <v>2204</v>
      </c>
      <c r="V10" s="93" t="s">
        <v>2205</v>
      </c>
      <c r="W10" s="93" t="s">
        <v>2204</v>
      </c>
      <c r="X10" s="93" t="s">
        <v>2205</v>
      </c>
      <c r="Y10" s="93" t="s">
        <v>2204</v>
      </c>
      <c r="Z10" s="93" t="s">
        <v>2205</v>
      </c>
      <c r="AA10" s="93" t="s">
        <v>2204</v>
      </c>
      <c r="AB10" s="93" t="s">
        <v>2205</v>
      </c>
      <c r="AC10" s="93" t="s">
        <v>2204</v>
      </c>
      <c r="AD10" s="93" t="s">
        <v>2205</v>
      </c>
      <c r="AE10" s="93" t="s">
        <v>2204</v>
      </c>
      <c r="AF10" s="93" t="s">
        <v>2205</v>
      </c>
      <c r="AG10" s="93" t="s">
        <v>2204</v>
      </c>
      <c r="AH10" s="93" t="s">
        <v>2205</v>
      </c>
      <c r="AI10" s="93" t="s">
        <v>2204</v>
      </c>
      <c r="AJ10" s="93" t="s">
        <v>2205</v>
      </c>
      <c r="AK10" s="93" t="s">
        <v>2204</v>
      </c>
      <c r="AL10" s="93" t="s">
        <v>2205</v>
      </c>
      <c r="AM10" s="93" t="s">
        <v>2204</v>
      </c>
      <c r="AN10" s="93" t="s">
        <v>2205</v>
      </c>
      <c r="AO10" s="93" t="s">
        <v>2204</v>
      </c>
      <c r="AP10" s="93" t="s">
        <v>2205</v>
      </c>
      <c r="AQ10" s="93" t="s">
        <v>2204</v>
      </c>
      <c r="AR10" s="93" t="s">
        <v>2205</v>
      </c>
      <c r="AS10" s="93" t="s">
        <v>2204</v>
      </c>
      <c r="AT10" s="93" t="s">
        <v>2205</v>
      </c>
      <c r="AU10" s="93" t="s">
        <v>2204</v>
      </c>
      <c r="AV10" s="93" t="s">
        <v>2205</v>
      </c>
      <c r="AW10" s="93" t="s">
        <v>2204</v>
      </c>
      <c r="AX10" s="93" t="s">
        <v>2205</v>
      </c>
      <c r="AY10" s="93" t="s">
        <v>2204</v>
      </c>
      <c r="AZ10" s="93" t="s">
        <v>2205</v>
      </c>
      <c r="BA10" s="93" t="s">
        <v>2204</v>
      </c>
      <c r="BB10" s="93" t="s">
        <v>2205</v>
      </c>
      <c r="BC10" s="93" t="s">
        <v>2204</v>
      </c>
      <c r="BD10" s="93" t="s">
        <v>2205</v>
      </c>
      <c r="BE10" s="93" t="s">
        <v>2204</v>
      </c>
      <c r="BF10" s="93" t="s">
        <v>2205</v>
      </c>
      <c r="BG10" s="93" t="s">
        <v>2204</v>
      </c>
      <c r="BH10" s="93" t="s">
        <v>2205</v>
      </c>
      <c r="BI10" s="93" t="s">
        <v>2204</v>
      </c>
      <c r="BJ10" s="93" t="s">
        <v>2205</v>
      </c>
      <c r="BK10" s="93" t="s">
        <v>2204</v>
      </c>
      <c r="BL10" s="93" t="s">
        <v>2205</v>
      </c>
      <c r="BM10" s="93" t="s">
        <v>2204</v>
      </c>
      <c r="BN10" s="93" t="s">
        <v>2205</v>
      </c>
      <c r="BO10" s="93" t="s">
        <v>2204</v>
      </c>
      <c r="BP10" s="93" t="s">
        <v>2205</v>
      </c>
      <c r="BQ10" s="93" t="s">
        <v>2204</v>
      </c>
      <c r="BR10" s="93" t="s">
        <v>2205</v>
      </c>
      <c r="BS10" s="93" t="s">
        <v>2204</v>
      </c>
      <c r="BT10" s="93" t="s">
        <v>2205</v>
      </c>
      <c r="BU10" s="93" t="s">
        <v>2204</v>
      </c>
      <c r="BV10" s="93" t="s">
        <v>2205</v>
      </c>
      <c r="BW10" s="93" t="s">
        <v>2204</v>
      </c>
      <c r="BX10" s="93" t="s">
        <v>2205</v>
      </c>
      <c r="BY10" s="93" t="s">
        <v>2204</v>
      </c>
      <c r="BZ10" s="93" t="s">
        <v>2205</v>
      </c>
      <c r="CA10" s="93" t="s">
        <v>2204</v>
      </c>
      <c r="CB10" s="93" t="s">
        <v>2205</v>
      </c>
      <c r="CC10" s="93" t="s">
        <v>2204</v>
      </c>
      <c r="CD10" s="93" t="s">
        <v>2205</v>
      </c>
      <c r="CE10" s="93" t="s">
        <v>2204</v>
      </c>
      <c r="CF10" s="93" t="s">
        <v>2205</v>
      </c>
      <c r="CG10" s="93" t="s">
        <v>2204</v>
      </c>
      <c r="CH10" s="93" t="s">
        <v>2205</v>
      </c>
      <c r="CI10" s="93" t="s">
        <v>2204</v>
      </c>
      <c r="CJ10" s="93" t="s">
        <v>2205</v>
      </c>
      <c r="CK10" s="93" t="s">
        <v>2204</v>
      </c>
      <c r="CL10" s="93" t="s">
        <v>2205</v>
      </c>
      <c r="CM10" s="93" t="s">
        <v>2204</v>
      </c>
      <c r="CN10" s="93" t="s">
        <v>2205</v>
      </c>
      <c r="CO10" s="93" t="s">
        <v>2204</v>
      </c>
      <c r="CP10" s="93" t="s">
        <v>2205</v>
      </c>
      <c r="CQ10" s="93" t="s">
        <v>2204</v>
      </c>
      <c r="CR10" s="93" t="s">
        <v>2205</v>
      </c>
      <c r="CS10" s="93" t="s">
        <v>2204</v>
      </c>
      <c r="CT10" s="93" t="s">
        <v>2205</v>
      </c>
      <c r="CU10" s="93" t="s">
        <v>2204</v>
      </c>
      <c r="CV10" s="93" t="s">
        <v>2205</v>
      </c>
      <c r="CW10" s="93" t="s">
        <v>2204</v>
      </c>
      <c r="CX10" s="93" t="s">
        <v>2205</v>
      </c>
      <c r="CY10" s="93" t="s">
        <v>2204</v>
      </c>
      <c r="CZ10" s="93" t="s">
        <v>2205</v>
      </c>
      <c r="DA10" s="93" t="s">
        <v>2204</v>
      </c>
      <c r="DB10" s="93" t="s">
        <v>2205</v>
      </c>
      <c r="DC10" s="93" t="s">
        <v>2204</v>
      </c>
      <c r="DD10" s="93" t="s">
        <v>2205</v>
      </c>
      <c r="DE10" s="93" t="s">
        <v>2204</v>
      </c>
      <c r="DF10" s="93" t="s">
        <v>2205</v>
      </c>
      <c r="DG10" s="93" t="s">
        <v>2204</v>
      </c>
      <c r="DH10" s="93" t="s">
        <v>2205</v>
      </c>
      <c r="DI10" s="93" t="s">
        <v>2204</v>
      </c>
      <c r="DJ10" s="93" t="s">
        <v>2205</v>
      </c>
      <c r="DK10" s="93" t="s">
        <v>2204</v>
      </c>
      <c r="DL10" s="93" t="s">
        <v>2205</v>
      </c>
      <c r="DM10" s="93" t="s">
        <v>2204</v>
      </c>
      <c r="DN10" s="93" t="s">
        <v>2205</v>
      </c>
      <c r="DO10" s="93" t="s">
        <v>2204</v>
      </c>
      <c r="DP10" s="93" t="s">
        <v>2205</v>
      </c>
      <c r="DQ10" s="93" t="s">
        <v>2204</v>
      </c>
      <c r="DR10" s="93" t="s">
        <v>2205</v>
      </c>
      <c r="DS10" s="93" t="s">
        <v>2204</v>
      </c>
      <c r="DT10" s="93" t="s">
        <v>2205</v>
      </c>
      <c r="DU10" s="93" t="s">
        <v>2204</v>
      </c>
      <c r="DV10" s="93" t="s">
        <v>2205</v>
      </c>
      <c r="DW10" s="93" t="s">
        <v>2204</v>
      </c>
      <c r="DX10" s="93" t="s">
        <v>2205</v>
      </c>
      <c r="DY10" s="93" t="s">
        <v>2204</v>
      </c>
      <c r="DZ10" s="93" t="s">
        <v>2205</v>
      </c>
      <c r="EA10" s="93" t="s">
        <v>2204</v>
      </c>
      <c r="EB10" s="93" t="s">
        <v>2205</v>
      </c>
      <c r="EC10" s="93" t="s">
        <v>2204</v>
      </c>
      <c r="ED10" s="93" t="s">
        <v>2205</v>
      </c>
      <c r="EE10" s="93" t="s">
        <v>2204</v>
      </c>
      <c r="EF10" s="93" t="s">
        <v>2205</v>
      </c>
      <c r="EG10" s="93" t="s">
        <v>2204</v>
      </c>
      <c r="EH10" s="93" t="s">
        <v>2205</v>
      </c>
      <c r="EI10" s="93" t="s">
        <v>2204</v>
      </c>
      <c r="EJ10" s="93" t="s">
        <v>2205</v>
      </c>
      <c r="EK10" s="93" t="s">
        <v>2204</v>
      </c>
      <c r="EL10" s="93" t="s">
        <v>2205</v>
      </c>
      <c r="EM10" s="93" t="s">
        <v>2204</v>
      </c>
      <c r="EN10" s="93" t="s">
        <v>2205</v>
      </c>
      <c r="EO10" s="93" t="s">
        <v>2204</v>
      </c>
      <c r="EP10" s="93" t="s">
        <v>2205</v>
      </c>
      <c r="EQ10" s="93" t="s">
        <v>2204</v>
      </c>
      <c r="ER10" s="93" t="s">
        <v>2205</v>
      </c>
      <c r="ES10" s="93" t="s">
        <v>2204</v>
      </c>
      <c r="ET10" s="93" t="s">
        <v>2205</v>
      </c>
      <c r="EU10" s="93" t="s">
        <v>2204</v>
      </c>
      <c r="EV10" s="93" t="s">
        <v>2205</v>
      </c>
      <c r="EW10" s="93" t="s">
        <v>2204</v>
      </c>
      <c r="EX10" s="93" t="s">
        <v>2205</v>
      </c>
      <c r="EY10" s="93" t="s">
        <v>2204</v>
      </c>
      <c r="EZ10" s="93" t="s">
        <v>2205</v>
      </c>
      <c r="FA10" s="93" t="s">
        <v>2204</v>
      </c>
      <c r="FB10" s="93" t="s">
        <v>2205</v>
      </c>
      <c r="FC10" s="93" t="s">
        <v>2204</v>
      </c>
      <c r="FD10" s="93" t="s">
        <v>2205</v>
      </c>
      <c r="FE10" s="93" t="s">
        <v>2204</v>
      </c>
      <c r="FF10" s="93" t="s">
        <v>2205</v>
      </c>
      <c r="FG10" s="93" t="s">
        <v>2204</v>
      </c>
      <c r="FH10" s="93" t="s">
        <v>2205</v>
      </c>
      <c r="FI10" s="93" t="s">
        <v>2204</v>
      </c>
      <c r="FJ10" s="93" t="s">
        <v>2205</v>
      </c>
      <c r="FK10" s="93" t="s">
        <v>2204</v>
      </c>
      <c r="FL10" s="93" t="s">
        <v>2205</v>
      </c>
      <c r="FM10" s="93" t="s">
        <v>2204</v>
      </c>
      <c r="FN10" s="93" t="s">
        <v>2205</v>
      </c>
      <c r="FO10" s="93" t="s">
        <v>2204</v>
      </c>
      <c r="FP10" s="93" t="s">
        <v>2205</v>
      </c>
      <c r="FQ10" s="93" t="s">
        <v>2204</v>
      </c>
      <c r="FR10" s="93" t="s">
        <v>2205</v>
      </c>
      <c r="FS10" s="93" t="s">
        <v>2204</v>
      </c>
      <c r="FT10" s="93" t="s">
        <v>2205</v>
      </c>
      <c r="FU10" s="93" t="s">
        <v>2204</v>
      </c>
      <c r="FV10" s="93" t="s">
        <v>2205</v>
      </c>
      <c r="FW10" s="93" t="s">
        <v>2204</v>
      </c>
      <c r="FX10" s="93" t="s">
        <v>2205</v>
      </c>
      <c r="FY10" s="93" t="s">
        <v>2204</v>
      </c>
      <c r="FZ10" s="93" t="s">
        <v>2205</v>
      </c>
      <c r="GA10" s="93" t="s">
        <v>2204</v>
      </c>
      <c r="GB10" s="93" t="s">
        <v>2205</v>
      </c>
      <c r="GC10" s="93" t="s">
        <v>2204</v>
      </c>
      <c r="GD10" s="93" t="s">
        <v>2205</v>
      </c>
      <c r="GE10" s="93" t="s">
        <v>2204</v>
      </c>
      <c r="GF10" s="93" t="s">
        <v>2205</v>
      </c>
      <c r="GG10" s="93" t="s">
        <v>2204</v>
      </c>
      <c r="GH10" s="93" t="s">
        <v>2205</v>
      </c>
      <c r="GI10" s="93" t="s">
        <v>2204</v>
      </c>
      <c r="GJ10" s="93" t="s">
        <v>2205</v>
      </c>
      <c r="GK10" s="93" t="s">
        <v>2204</v>
      </c>
      <c r="GL10" s="93" t="s">
        <v>2205</v>
      </c>
      <c r="GM10" s="93" t="s">
        <v>2204</v>
      </c>
      <c r="GN10" s="93" t="s">
        <v>2205</v>
      </c>
      <c r="GO10" s="93" t="s">
        <v>2204</v>
      </c>
      <c r="GP10" s="93" t="s">
        <v>2205</v>
      </c>
      <c r="GQ10" s="93" t="s">
        <v>2204</v>
      </c>
      <c r="GR10" s="93" t="s">
        <v>2205</v>
      </c>
      <c r="GS10" s="93" t="s">
        <v>2204</v>
      </c>
      <c r="GT10" s="93" t="s">
        <v>2205</v>
      </c>
      <c r="GU10" s="93" t="s">
        <v>2204</v>
      </c>
      <c r="GV10" s="93" t="s">
        <v>2205</v>
      </c>
      <c r="GW10" s="93" t="s">
        <v>2204</v>
      </c>
      <c r="GX10" s="93" t="s">
        <v>2205</v>
      </c>
      <c r="GY10" s="93" t="s">
        <v>2204</v>
      </c>
      <c r="GZ10" s="93" t="s">
        <v>2205</v>
      </c>
      <c r="HA10" s="93" t="s">
        <v>2204</v>
      </c>
      <c r="HB10" s="93" t="s">
        <v>2205</v>
      </c>
      <c r="HC10" s="93" t="s">
        <v>2204</v>
      </c>
      <c r="HD10" s="93" t="s">
        <v>2205</v>
      </c>
      <c r="HE10" s="93" t="s">
        <v>2204</v>
      </c>
      <c r="HF10" s="93" t="s">
        <v>2205</v>
      </c>
      <c r="HG10" s="93" t="s">
        <v>2204</v>
      </c>
      <c r="HH10" s="93" t="s">
        <v>2205</v>
      </c>
      <c r="HI10" s="93" t="s">
        <v>2204</v>
      </c>
      <c r="HJ10" s="93" t="s">
        <v>2205</v>
      </c>
      <c r="HK10" s="93" t="s">
        <v>2204</v>
      </c>
      <c r="HL10" s="93" t="s">
        <v>2205</v>
      </c>
      <c r="HM10" s="93" t="s">
        <v>2204</v>
      </c>
      <c r="HN10" s="93" t="s">
        <v>2205</v>
      </c>
      <c r="HO10" s="93" t="s">
        <v>2204</v>
      </c>
      <c r="HP10" s="93" t="s">
        <v>2205</v>
      </c>
      <c r="HQ10" s="93" t="s">
        <v>2204</v>
      </c>
      <c r="HR10" s="93" t="s">
        <v>2205</v>
      </c>
      <c r="HS10" s="93" t="s">
        <v>2204</v>
      </c>
      <c r="HT10" s="93" t="s">
        <v>2205</v>
      </c>
      <c r="HU10" s="93" t="s">
        <v>2204</v>
      </c>
      <c r="HV10" s="93" t="s">
        <v>2205</v>
      </c>
      <c r="HW10" s="93" t="s">
        <v>2204</v>
      </c>
      <c r="HX10" s="93" t="s">
        <v>2205</v>
      </c>
      <c r="HY10" s="93" t="s">
        <v>2204</v>
      </c>
      <c r="HZ10" s="93" t="s">
        <v>2205</v>
      </c>
      <c r="IA10" s="55"/>
      <c r="IB10" s="55"/>
      <c r="IC10" s="56"/>
      <c r="ID10" s="49"/>
    </row>
    <row r="11" spans="1:238" s="11" customFormat="1" x14ac:dyDescent="0.2">
      <c r="A11" s="9">
        <v>10</v>
      </c>
      <c r="B11" s="50" t="s">
        <v>0</v>
      </c>
      <c r="C11" s="51"/>
      <c r="D11" s="33" t="s">
        <v>2058</v>
      </c>
      <c r="E11" s="57" t="s">
        <v>21</v>
      </c>
      <c r="F11" s="58"/>
      <c r="G11" s="33"/>
      <c r="H11" s="59"/>
      <c r="I11" s="60"/>
      <c r="J11" s="61"/>
      <c r="K11" s="62" t="s">
        <v>1861</v>
      </c>
      <c r="L11" s="62"/>
      <c r="M11" s="62" t="s">
        <v>1862</v>
      </c>
      <c r="N11" s="62"/>
      <c r="O11" s="62" t="s">
        <v>1863</v>
      </c>
      <c r="P11" s="62"/>
      <c r="Q11" s="62" t="s">
        <v>1864</v>
      </c>
      <c r="R11" s="62"/>
      <c r="S11" s="62" t="s">
        <v>1865</v>
      </c>
      <c r="T11" s="62"/>
      <c r="U11" s="62" t="s">
        <v>1866</v>
      </c>
      <c r="V11" s="62"/>
      <c r="W11" s="62" t="s">
        <v>1867</v>
      </c>
      <c r="X11" s="62"/>
      <c r="Y11" s="62" t="s">
        <v>1868</v>
      </c>
      <c r="Z11" s="62"/>
      <c r="AA11" s="62" t="s">
        <v>1869</v>
      </c>
      <c r="AB11" s="62"/>
      <c r="AC11" s="62" t="s">
        <v>1870</v>
      </c>
      <c r="AD11" s="62"/>
      <c r="AE11" s="62" t="s">
        <v>1871</v>
      </c>
      <c r="AF11" s="62"/>
      <c r="AG11" s="62" t="s">
        <v>1872</v>
      </c>
      <c r="AH11" s="62"/>
      <c r="AI11" s="62" t="s">
        <v>1873</v>
      </c>
      <c r="AJ11" s="62"/>
      <c r="AK11" s="62" t="s">
        <v>1874</v>
      </c>
      <c r="AL11" s="62"/>
      <c r="AM11" s="62" t="s">
        <v>1875</v>
      </c>
      <c r="AN11" s="62"/>
      <c r="AO11" s="62" t="s">
        <v>1876</v>
      </c>
      <c r="AP11" s="62"/>
      <c r="AQ11" s="62" t="s">
        <v>1877</v>
      </c>
      <c r="AR11" s="62"/>
      <c r="AS11" s="62" t="s">
        <v>1878</v>
      </c>
      <c r="AT11" s="62"/>
      <c r="AU11" s="62" t="s">
        <v>1879</v>
      </c>
      <c r="AV11" s="62"/>
      <c r="AW11" s="62" t="s">
        <v>1880</v>
      </c>
      <c r="AX11" s="62"/>
      <c r="AY11" s="62" t="s">
        <v>1881</v>
      </c>
      <c r="AZ11" s="62"/>
      <c r="BA11" s="62" t="s">
        <v>1882</v>
      </c>
      <c r="BB11" s="62"/>
      <c r="BC11" s="62" t="s">
        <v>1883</v>
      </c>
      <c r="BD11" s="62"/>
      <c r="BE11" s="62" t="s">
        <v>1884</v>
      </c>
      <c r="BF11" s="62"/>
      <c r="BG11" s="62" t="s">
        <v>1885</v>
      </c>
      <c r="BH11" s="62"/>
      <c r="BI11" s="62" t="s">
        <v>1886</v>
      </c>
      <c r="BJ11" s="62"/>
      <c r="BK11" s="62" t="s">
        <v>1887</v>
      </c>
      <c r="BL11" s="62"/>
      <c r="BM11" s="62" t="s">
        <v>1888</v>
      </c>
      <c r="BN11" s="62"/>
      <c r="BO11" s="62" t="s">
        <v>1889</v>
      </c>
      <c r="BP11" s="62"/>
      <c r="BQ11" s="62" t="s">
        <v>1890</v>
      </c>
      <c r="BR11" s="62"/>
      <c r="BS11" s="62" t="s">
        <v>1891</v>
      </c>
      <c r="BT11" s="62"/>
      <c r="BU11" s="62" t="s">
        <v>1892</v>
      </c>
      <c r="BV11" s="62"/>
      <c r="BW11" s="62" t="s">
        <v>1893</v>
      </c>
      <c r="BX11" s="62"/>
      <c r="BY11" s="62" t="s">
        <v>1894</v>
      </c>
      <c r="BZ11" s="62"/>
      <c r="CA11" s="62" t="s">
        <v>1895</v>
      </c>
      <c r="CB11" s="62"/>
      <c r="CC11" s="62" t="s">
        <v>1896</v>
      </c>
      <c r="CD11" s="62"/>
      <c r="CE11" s="62" t="s">
        <v>1897</v>
      </c>
      <c r="CF11" s="62"/>
      <c r="CG11" s="62" t="s">
        <v>1898</v>
      </c>
      <c r="CH11" s="62"/>
      <c r="CI11" s="62" t="s">
        <v>1899</v>
      </c>
      <c r="CJ11" s="62"/>
      <c r="CK11" s="62" t="s">
        <v>1900</v>
      </c>
      <c r="CL11" s="62"/>
      <c r="CM11" s="62" t="s">
        <v>1901</v>
      </c>
      <c r="CN11" s="62"/>
      <c r="CO11" s="62" t="s">
        <v>1902</v>
      </c>
      <c r="CP11" s="62"/>
      <c r="CQ11" s="62" t="s">
        <v>1903</v>
      </c>
      <c r="CR11" s="62"/>
      <c r="CS11" s="62" t="s">
        <v>1904</v>
      </c>
      <c r="CT11" s="62"/>
      <c r="CU11" s="62" t="s">
        <v>1905</v>
      </c>
      <c r="CV11" s="62"/>
      <c r="CW11" s="62" t="s">
        <v>1906</v>
      </c>
      <c r="CX11" s="62"/>
      <c r="CY11" s="62" t="s">
        <v>1907</v>
      </c>
      <c r="CZ11" s="62"/>
      <c r="DA11" s="62" t="s">
        <v>1908</v>
      </c>
      <c r="DB11" s="62"/>
      <c r="DC11" s="62" t="s">
        <v>1909</v>
      </c>
      <c r="DD11" s="62"/>
      <c r="DE11" s="62" t="s">
        <v>1910</v>
      </c>
      <c r="DF11" s="62"/>
      <c r="DG11" s="62" t="s">
        <v>1911</v>
      </c>
      <c r="DH11" s="62"/>
      <c r="DI11" s="62" t="s">
        <v>1912</v>
      </c>
      <c r="DJ11" s="62"/>
      <c r="DK11" s="62" t="s">
        <v>1913</v>
      </c>
      <c r="DL11" s="62"/>
      <c r="DM11" s="62" t="s">
        <v>1914</v>
      </c>
      <c r="DN11" s="62"/>
      <c r="DO11" s="62" t="s">
        <v>1915</v>
      </c>
      <c r="DP11" s="62"/>
      <c r="DQ11" s="62" t="s">
        <v>1916</v>
      </c>
      <c r="DR11" s="62"/>
      <c r="DS11" s="62" t="s">
        <v>1917</v>
      </c>
      <c r="DT11" s="62"/>
      <c r="DU11" s="62" t="s">
        <v>1918</v>
      </c>
      <c r="DV11" s="62"/>
      <c r="DW11" s="62" t="s">
        <v>1919</v>
      </c>
      <c r="DX11" s="62"/>
      <c r="DY11" s="62" t="s">
        <v>1920</v>
      </c>
      <c r="DZ11" s="62"/>
      <c r="EA11" s="62" t="s">
        <v>1921</v>
      </c>
      <c r="EB11" s="62"/>
      <c r="EC11" s="62" t="s">
        <v>1922</v>
      </c>
      <c r="ED11" s="62"/>
      <c r="EE11" s="62" t="s">
        <v>1923</v>
      </c>
      <c r="EF11" s="62"/>
      <c r="EG11" s="62" t="s">
        <v>1924</v>
      </c>
      <c r="EH11" s="62"/>
      <c r="EI11" s="62" t="s">
        <v>1925</v>
      </c>
      <c r="EJ11" s="62"/>
      <c r="EK11" s="62" t="s">
        <v>1926</v>
      </c>
      <c r="EL11" s="62"/>
      <c r="EM11" s="62" t="s">
        <v>1927</v>
      </c>
      <c r="EN11" s="62"/>
      <c r="EO11" s="62" t="s">
        <v>1928</v>
      </c>
      <c r="EP11" s="62"/>
      <c r="EQ11" s="62" t="s">
        <v>1929</v>
      </c>
      <c r="ER11" s="62"/>
      <c r="ES11" s="62" t="s">
        <v>1930</v>
      </c>
      <c r="ET11" s="62"/>
      <c r="EU11" s="62" t="s">
        <v>1931</v>
      </c>
      <c r="EV11" s="62"/>
      <c r="EW11" s="62" t="s">
        <v>1932</v>
      </c>
      <c r="EX11" s="62"/>
      <c r="EY11" s="62" t="s">
        <v>1933</v>
      </c>
      <c r="EZ11" s="62"/>
      <c r="FA11" s="62" t="s">
        <v>1934</v>
      </c>
      <c r="FB11" s="62"/>
      <c r="FC11" s="62" t="s">
        <v>1935</v>
      </c>
      <c r="FD11" s="62"/>
      <c r="FE11" s="62" t="s">
        <v>1936</v>
      </c>
      <c r="FF11" s="62"/>
      <c r="FG11" s="62" t="s">
        <v>1937</v>
      </c>
      <c r="FH11" s="62"/>
      <c r="FI11" s="62" t="s">
        <v>1938</v>
      </c>
      <c r="FJ11" s="62"/>
      <c r="FK11" s="62" t="s">
        <v>1939</v>
      </c>
      <c r="FL11" s="62"/>
      <c r="FM11" s="62" t="s">
        <v>1940</v>
      </c>
      <c r="FN11" s="62"/>
      <c r="FO11" s="62" t="s">
        <v>1941</v>
      </c>
      <c r="FP11" s="62"/>
      <c r="FQ11" s="62" t="s">
        <v>1942</v>
      </c>
      <c r="FR11" s="62"/>
      <c r="FS11" s="62" t="s">
        <v>1943</v>
      </c>
      <c r="FT11" s="62"/>
      <c r="FU11" s="62" t="s">
        <v>1944</v>
      </c>
      <c r="FV11" s="62"/>
      <c r="FW11" s="62" t="s">
        <v>1945</v>
      </c>
      <c r="FX11" s="62"/>
      <c r="FY11" s="62" t="s">
        <v>1946</v>
      </c>
      <c r="FZ11" s="62"/>
      <c r="GA11" s="62" t="s">
        <v>1947</v>
      </c>
      <c r="GB11" s="62"/>
      <c r="GC11" s="62" t="s">
        <v>1948</v>
      </c>
      <c r="GD11" s="62"/>
      <c r="GE11" s="62" t="s">
        <v>1949</v>
      </c>
      <c r="GF11" s="62"/>
      <c r="GG11" s="62" t="s">
        <v>1950</v>
      </c>
      <c r="GH11" s="62"/>
      <c r="GI11" s="62" t="s">
        <v>1951</v>
      </c>
      <c r="GJ11" s="62"/>
      <c r="GK11" s="62" t="s">
        <v>1952</v>
      </c>
      <c r="GL11" s="62"/>
      <c r="GM11" s="62" t="s">
        <v>1953</v>
      </c>
      <c r="GN11" s="62"/>
      <c r="GO11" s="62" t="s">
        <v>1954</v>
      </c>
      <c r="GP11" s="62"/>
      <c r="GQ11" s="62" t="s">
        <v>1955</v>
      </c>
      <c r="GR11" s="62"/>
      <c r="GS11" s="62" t="s">
        <v>1956</v>
      </c>
      <c r="GT11" s="62"/>
      <c r="GU11" s="62" t="s">
        <v>1957</v>
      </c>
      <c r="GV11" s="62"/>
      <c r="GW11" s="62" t="s">
        <v>1958</v>
      </c>
      <c r="GX11" s="62"/>
      <c r="GY11" s="62" t="s">
        <v>1959</v>
      </c>
      <c r="GZ11" s="62"/>
      <c r="HA11" s="62" t="s">
        <v>1960</v>
      </c>
      <c r="HB11" s="62"/>
      <c r="HC11" s="62" t="s">
        <v>1961</v>
      </c>
      <c r="HD11" s="62"/>
      <c r="HE11" s="62" t="s">
        <v>1962</v>
      </c>
      <c r="HF11" s="62"/>
      <c r="HG11" s="62" t="s">
        <v>1963</v>
      </c>
      <c r="HH11" s="62"/>
      <c r="HI11" s="62" t="s">
        <v>1964</v>
      </c>
      <c r="HJ11" s="62"/>
      <c r="HK11" s="62" t="s">
        <v>1965</v>
      </c>
      <c r="HL11" s="62"/>
      <c r="HM11" s="62" t="s">
        <v>1966</v>
      </c>
      <c r="HN11" s="62"/>
      <c r="HO11" s="62" t="s">
        <v>1967</v>
      </c>
      <c r="HP11" s="62"/>
      <c r="HQ11" s="62" t="s">
        <v>1968</v>
      </c>
      <c r="HR11" s="62"/>
      <c r="HS11" s="62" t="s">
        <v>1969</v>
      </c>
      <c r="HT11" s="62"/>
      <c r="HU11" s="62" t="s">
        <v>1970</v>
      </c>
      <c r="HV11" s="62"/>
      <c r="HW11" s="62" t="s">
        <v>2056</v>
      </c>
      <c r="HX11" s="62"/>
      <c r="HY11" s="62" t="s">
        <v>2057</v>
      </c>
      <c r="HZ11" s="62"/>
      <c r="IA11" s="48"/>
      <c r="IB11" s="49"/>
      <c r="IC11" s="63"/>
      <c r="ID11" s="64"/>
    </row>
    <row r="12" spans="1:238" s="11" customFormat="1" x14ac:dyDescent="0.2">
      <c r="A12" s="9">
        <v>10</v>
      </c>
      <c r="B12" s="9"/>
      <c r="C12" s="9"/>
      <c r="D12" s="9" t="s">
        <v>346</v>
      </c>
      <c r="E12" s="65" t="s">
        <v>477</v>
      </c>
      <c r="F12" s="65"/>
      <c r="G12" s="66" t="s">
        <v>2219</v>
      </c>
      <c r="H12" s="66" t="s">
        <v>1394</v>
      </c>
      <c r="I12" s="9" t="s">
        <v>1101</v>
      </c>
      <c r="J12" s="9"/>
      <c r="K12" s="9" t="s">
        <v>1971</v>
      </c>
      <c r="L12" s="9"/>
      <c r="M12" s="9" t="s">
        <v>1971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48"/>
      <c r="IB12" s="49"/>
      <c r="IC12" s="63"/>
      <c r="ID12" s="64"/>
    </row>
    <row r="13" spans="1:238" s="11" customFormat="1" x14ac:dyDescent="0.2">
      <c r="A13" s="9">
        <v>10</v>
      </c>
      <c r="B13" s="9"/>
      <c r="C13" s="9"/>
      <c r="D13" s="9" t="s">
        <v>348</v>
      </c>
      <c r="E13" s="65" t="s">
        <v>479</v>
      </c>
      <c r="F13" s="65"/>
      <c r="G13" s="66" t="s">
        <v>2222</v>
      </c>
      <c r="H13" s="66" t="s">
        <v>1395</v>
      </c>
      <c r="I13" s="9" t="s">
        <v>1101</v>
      </c>
      <c r="J13" s="9"/>
      <c r="K13" s="9"/>
      <c r="L13" s="9"/>
      <c r="M13" s="9"/>
      <c r="N13" s="9"/>
      <c r="O13" s="9" t="s">
        <v>1971</v>
      </c>
      <c r="P13" s="9"/>
      <c r="Q13" s="9" t="s">
        <v>1971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48"/>
      <c r="IB13" s="49"/>
      <c r="IC13" s="63"/>
      <c r="ID13" s="64"/>
    </row>
    <row r="14" spans="1:238" s="11" customFormat="1" x14ac:dyDescent="0.2">
      <c r="A14" s="9">
        <v>10</v>
      </c>
      <c r="B14" s="9"/>
      <c r="C14" s="9"/>
      <c r="D14" s="9" t="s">
        <v>350</v>
      </c>
      <c r="E14" s="65" t="s">
        <v>481</v>
      </c>
      <c r="F14" s="65"/>
      <c r="G14" s="66" t="s">
        <v>2225</v>
      </c>
      <c r="H14" s="66" t="s">
        <v>1114</v>
      </c>
      <c r="I14" s="9" t="s">
        <v>1101</v>
      </c>
      <c r="J14" s="9"/>
      <c r="K14" s="9"/>
      <c r="L14" s="9"/>
      <c r="M14" s="9"/>
      <c r="N14" s="9"/>
      <c r="O14" s="9"/>
      <c r="P14" s="9"/>
      <c r="Q14" s="9"/>
      <c r="R14" s="9"/>
      <c r="S14" s="9" t="s">
        <v>1971</v>
      </c>
      <c r="T14" s="9"/>
      <c r="U14" s="9" t="s">
        <v>1971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48"/>
      <c r="IB14" s="49"/>
      <c r="IC14" s="63"/>
      <c r="ID14" s="64"/>
    </row>
    <row r="15" spans="1:238" s="11" customFormat="1" x14ac:dyDescent="0.2">
      <c r="A15" s="9">
        <v>10</v>
      </c>
      <c r="B15" s="9"/>
      <c r="C15" s="9"/>
      <c r="D15" s="9" t="s">
        <v>352</v>
      </c>
      <c r="E15" s="65" t="s">
        <v>483</v>
      </c>
      <c r="F15" s="65"/>
      <c r="G15" s="66" t="s">
        <v>2228</v>
      </c>
      <c r="H15" s="66" t="s">
        <v>1117</v>
      </c>
      <c r="I15" s="9" t="s">
        <v>1101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 t="s">
        <v>1971</v>
      </c>
      <c r="X15" s="9"/>
      <c r="Y15" s="9" t="s">
        <v>1971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48"/>
      <c r="IB15" s="49"/>
      <c r="IC15" s="63"/>
      <c r="ID15" s="64"/>
    </row>
    <row r="16" spans="1:238" s="11" customFormat="1" x14ac:dyDescent="0.2">
      <c r="A16" s="9">
        <v>10</v>
      </c>
      <c r="B16" s="9"/>
      <c r="C16" s="9"/>
      <c r="D16" s="9" t="s">
        <v>354</v>
      </c>
      <c r="E16" s="65" t="s">
        <v>485</v>
      </c>
      <c r="F16" s="65"/>
      <c r="G16" s="66" t="s">
        <v>2231</v>
      </c>
      <c r="H16" s="66" t="s">
        <v>1120</v>
      </c>
      <c r="I16" s="9" t="s">
        <v>1101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 t="s">
        <v>1971</v>
      </c>
      <c r="AB16" s="9"/>
      <c r="AC16" s="9" t="s">
        <v>1971</v>
      </c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48"/>
      <c r="IB16" s="49"/>
      <c r="IC16" s="63"/>
      <c r="ID16" s="64"/>
    </row>
    <row r="17" spans="1:238" s="11" customFormat="1" x14ac:dyDescent="0.2">
      <c r="A17" s="9">
        <v>10</v>
      </c>
      <c r="B17" s="9"/>
      <c r="C17" s="9"/>
      <c r="D17" s="9" t="s">
        <v>356</v>
      </c>
      <c r="E17" s="65" t="s">
        <v>487</v>
      </c>
      <c r="F17" s="65"/>
      <c r="G17" s="66" t="s">
        <v>2234</v>
      </c>
      <c r="H17" s="66" t="s">
        <v>1123</v>
      </c>
      <c r="I17" s="9" t="s">
        <v>1101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 t="s">
        <v>1971</v>
      </c>
      <c r="AF17" s="9"/>
      <c r="AG17" s="9" t="s">
        <v>1971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48"/>
      <c r="IB17" s="49"/>
      <c r="IC17" s="63"/>
      <c r="ID17" s="64"/>
    </row>
    <row r="18" spans="1:238" s="11" customFormat="1" x14ac:dyDescent="0.2">
      <c r="A18" s="9">
        <v>10</v>
      </c>
      <c r="B18" s="9"/>
      <c r="C18" s="9"/>
      <c r="D18" s="9" t="s">
        <v>358</v>
      </c>
      <c r="E18" s="65" t="s">
        <v>489</v>
      </c>
      <c r="F18" s="65"/>
      <c r="G18" s="66" t="s">
        <v>2237</v>
      </c>
      <c r="H18" s="66" t="s">
        <v>1126</v>
      </c>
      <c r="I18" s="9" t="s">
        <v>1101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 t="s">
        <v>1971</v>
      </c>
      <c r="AJ18" s="9"/>
      <c r="AK18" s="9" t="s">
        <v>1971</v>
      </c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48"/>
      <c r="IB18" s="49"/>
      <c r="IC18" s="63"/>
      <c r="ID18" s="64"/>
    </row>
    <row r="19" spans="1:238" s="11" customFormat="1" x14ac:dyDescent="0.2">
      <c r="A19" s="9">
        <v>10</v>
      </c>
      <c r="B19" s="9"/>
      <c r="C19" s="9"/>
      <c r="D19" s="9" t="s">
        <v>362</v>
      </c>
      <c r="E19" s="65" t="s">
        <v>492</v>
      </c>
      <c r="F19" s="65"/>
      <c r="G19" s="66" t="s">
        <v>2242</v>
      </c>
      <c r="H19" s="66" t="s">
        <v>1131</v>
      </c>
      <c r="I19" s="9" t="s">
        <v>1101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 t="s">
        <v>1971</v>
      </c>
      <c r="AN19" s="9"/>
      <c r="AO19" s="9" t="s">
        <v>1971</v>
      </c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48"/>
      <c r="IB19" s="49"/>
      <c r="IC19" s="63"/>
      <c r="ID19" s="64"/>
    </row>
    <row r="20" spans="1:238" s="11" customFormat="1" x14ac:dyDescent="0.2">
      <c r="A20" s="9">
        <v>10</v>
      </c>
      <c r="B20" s="9"/>
      <c r="C20" s="9"/>
      <c r="D20" s="9" t="s">
        <v>365</v>
      </c>
      <c r="E20" s="65" t="s">
        <v>494</v>
      </c>
      <c r="F20" s="65"/>
      <c r="G20" s="66" t="s">
        <v>2248</v>
      </c>
      <c r="H20" s="66" t="s">
        <v>1139</v>
      </c>
      <c r="I20" s="9" t="s">
        <v>1101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 t="s">
        <v>1971</v>
      </c>
      <c r="AR20" s="9"/>
      <c r="AS20" s="9" t="s">
        <v>1971</v>
      </c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48"/>
      <c r="IB20" s="49"/>
      <c r="IC20" s="63"/>
      <c r="ID20" s="64"/>
    </row>
    <row r="21" spans="1:238" s="11" customFormat="1" x14ac:dyDescent="0.2">
      <c r="A21" s="9">
        <v>10</v>
      </c>
      <c r="B21" s="9"/>
      <c r="C21" s="9"/>
      <c r="D21" s="9" t="s">
        <v>585</v>
      </c>
      <c r="E21" s="65" t="s">
        <v>494</v>
      </c>
      <c r="F21" s="65"/>
      <c r="G21" s="66" t="s">
        <v>2248</v>
      </c>
      <c r="H21" s="66" t="s">
        <v>1139</v>
      </c>
      <c r="I21" s="9" t="s">
        <v>1101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 t="s">
        <v>1972</v>
      </c>
      <c r="AV21" s="9"/>
      <c r="AW21" s="9" t="s">
        <v>1972</v>
      </c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48"/>
      <c r="IB21" s="49"/>
      <c r="IC21" s="63"/>
      <c r="ID21" s="64"/>
    </row>
    <row r="22" spans="1:238" s="11" customFormat="1" x14ac:dyDescent="0.2">
      <c r="A22" s="9">
        <v>10</v>
      </c>
      <c r="B22" s="9"/>
      <c r="C22" s="9"/>
      <c r="D22" s="9" t="s">
        <v>369</v>
      </c>
      <c r="E22" s="65" t="s">
        <v>498</v>
      </c>
      <c r="F22" s="65"/>
      <c r="G22" s="66" t="s">
        <v>2253</v>
      </c>
      <c r="H22" s="66" t="s">
        <v>1146</v>
      </c>
      <c r="I22" s="9" t="s">
        <v>1101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 t="s">
        <v>1971</v>
      </c>
      <c r="AV22" s="9"/>
      <c r="AW22" s="9" t="s">
        <v>1971</v>
      </c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48"/>
      <c r="IB22" s="49"/>
      <c r="IC22" s="63"/>
      <c r="ID22" s="64"/>
    </row>
    <row r="23" spans="1:238" s="11" customFormat="1" x14ac:dyDescent="0.2">
      <c r="A23" s="9">
        <v>10</v>
      </c>
      <c r="B23" s="9"/>
      <c r="C23" s="9"/>
      <c r="D23" s="9" t="s">
        <v>371</v>
      </c>
      <c r="E23" s="65" t="s">
        <v>500</v>
      </c>
      <c r="F23" s="65"/>
      <c r="G23" s="66" t="s">
        <v>2256</v>
      </c>
      <c r="H23" s="66" t="s">
        <v>1149</v>
      </c>
      <c r="I23" s="9" t="s">
        <v>1101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 t="s">
        <v>1971</v>
      </c>
      <c r="AZ23" s="9"/>
      <c r="BA23" s="9" t="s">
        <v>1971</v>
      </c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48"/>
      <c r="IB23" s="49"/>
      <c r="IC23" s="63"/>
      <c r="ID23" s="64"/>
    </row>
    <row r="24" spans="1:238" s="11" customFormat="1" x14ac:dyDescent="0.2">
      <c r="A24" s="9">
        <v>10</v>
      </c>
      <c r="B24" s="9"/>
      <c r="C24" s="9"/>
      <c r="D24" s="9" t="s">
        <v>379</v>
      </c>
      <c r="E24" s="65" t="s">
        <v>506</v>
      </c>
      <c r="F24" s="65"/>
      <c r="G24" s="66" t="s">
        <v>2265</v>
      </c>
      <c r="H24" s="66" t="s">
        <v>1161</v>
      </c>
      <c r="I24" s="9" t="s">
        <v>1101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 t="s">
        <v>1971</v>
      </c>
      <c r="BD24" s="9"/>
      <c r="BE24" s="9" t="s">
        <v>1971</v>
      </c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48"/>
      <c r="IB24" s="49"/>
      <c r="IC24" s="63"/>
      <c r="ID24" s="64"/>
    </row>
    <row r="25" spans="1:238" s="11" customFormat="1" x14ac:dyDescent="0.2">
      <c r="A25" s="9">
        <v>10</v>
      </c>
      <c r="B25" s="9"/>
      <c r="C25" s="9"/>
      <c r="D25" s="9" t="s">
        <v>367</v>
      </c>
      <c r="E25" s="65" t="s">
        <v>496</v>
      </c>
      <c r="F25" s="65"/>
      <c r="G25" s="66" t="s">
        <v>2251</v>
      </c>
      <c r="H25" s="66" t="s">
        <v>1142</v>
      </c>
      <c r="I25" s="9" t="s">
        <v>1101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 t="s">
        <v>1971</v>
      </c>
      <c r="BH25" s="9"/>
      <c r="BI25" s="9" t="s">
        <v>1971</v>
      </c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48"/>
      <c r="IB25" s="49"/>
      <c r="IC25" s="63"/>
      <c r="ID25" s="64"/>
    </row>
    <row r="26" spans="1:238" s="11" customFormat="1" x14ac:dyDescent="0.2">
      <c r="A26" s="9">
        <v>10</v>
      </c>
      <c r="B26" s="9"/>
      <c r="C26" s="9"/>
      <c r="D26" s="9" t="s">
        <v>381</v>
      </c>
      <c r="E26" s="65" t="s">
        <v>508</v>
      </c>
      <c r="F26" s="65"/>
      <c r="G26" s="66" t="s">
        <v>2269</v>
      </c>
      <c r="H26" s="66" t="s">
        <v>1165</v>
      </c>
      <c r="I26" s="9" t="s">
        <v>1101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 t="s">
        <v>1971</v>
      </c>
      <c r="BL26" s="9"/>
      <c r="BM26" s="9" t="s">
        <v>1971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48"/>
      <c r="IB26" s="49"/>
      <c r="IC26" s="63"/>
      <c r="ID26" s="64"/>
    </row>
    <row r="27" spans="1:238" s="11" customFormat="1" ht="26" x14ac:dyDescent="0.2">
      <c r="A27" s="9">
        <v>10</v>
      </c>
      <c r="B27" s="9"/>
      <c r="C27" s="9"/>
      <c r="D27" s="9" t="s">
        <v>385</v>
      </c>
      <c r="E27" s="65" t="s">
        <v>512</v>
      </c>
      <c r="F27" s="65"/>
      <c r="G27" s="66" t="s">
        <v>2276</v>
      </c>
      <c r="H27" s="66" t="s">
        <v>1174</v>
      </c>
      <c r="I27" s="9" t="s">
        <v>1101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 t="s">
        <v>1971</v>
      </c>
      <c r="BP27" s="9"/>
      <c r="BQ27" s="9" t="s">
        <v>1971</v>
      </c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48"/>
      <c r="IB27" s="49"/>
      <c r="IC27" s="63"/>
      <c r="ID27" s="64"/>
    </row>
    <row r="28" spans="1:238" s="11" customFormat="1" x14ac:dyDescent="0.2">
      <c r="A28" s="9">
        <v>10</v>
      </c>
      <c r="B28" s="9"/>
      <c r="C28" s="9"/>
      <c r="D28" s="9" t="s">
        <v>387</v>
      </c>
      <c r="E28" s="65" t="s">
        <v>745</v>
      </c>
      <c r="F28" s="65"/>
      <c r="G28" s="66" t="s">
        <v>2279</v>
      </c>
      <c r="H28" s="66" t="s">
        <v>1177</v>
      </c>
      <c r="I28" s="9" t="s">
        <v>1101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 t="s">
        <v>1971</v>
      </c>
      <c r="BT28" s="9"/>
      <c r="BU28" s="9" t="s">
        <v>1971</v>
      </c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48"/>
      <c r="IB28" s="49"/>
      <c r="IC28" s="63"/>
      <c r="ID28" s="64"/>
    </row>
    <row r="29" spans="1:238" s="11" customFormat="1" ht="26" x14ac:dyDescent="0.2">
      <c r="A29" s="9">
        <v>10</v>
      </c>
      <c r="B29" s="9"/>
      <c r="C29" s="9"/>
      <c r="D29" s="9" t="s">
        <v>391</v>
      </c>
      <c r="E29" s="65" t="s">
        <v>514</v>
      </c>
      <c r="F29" s="65"/>
      <c r="G29" s="66" t="s">
        <v>2284</v>
      </c>
      <c r="H29" s="66" t="s">
        <v>1184</v>
      </c>
      <c r="I29" s="9" t="s">
        <v>1101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 t="s">
        <v>1971</v>
      </c>
      <c r="BX29" s="9"/>
      <c r="BY29" s="9" t="s">
        <v>1971</v>
      </c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48"/>
      <c r="IB29" s="49"/>
      <c r="IC29" s="63"/>
      <c r="ID29" s="64"/>
    </row>
    <row r="30" spans="1:238" s="11" customFormat="1" ht="26" x14ac:dyDescent="0.2">
      <c r="A30" s="9">
        <v>10</v>
      </c>
      <c r="B30" s="9"/>
      <c r="C30" s="9"/>
      <c r="D30" s="9" t="s">
        <v>402</v>
      </c>
      <c r="E30" s="65" t="s">
        <v>519</v>
      </c>
      <c r="F30" s="65"/>
      <c r="G30" s="66" t="s">
        <v>2295</v>
      </c>
      <c r="H30" s="66" t="s">
        <v>1195</v>
      </c>
      <c r="I30" s="9" t="s">
        <v>1101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 t="s">
        <v>1971</v>
      </c>
      <c r="CB30" s="9"/>
      <c r="CC30" s="9" t="s">
        <v>1971</v>
      </c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48"/>
      <c r="IB30" s="49"/>
      <c r="IC30" s="63"/>
      <c r="ID30" s="64"/>
    </row>
    <row r="31" spans="1:238" s="11" customFormat="1" x14ac:dyDescent="0.2">
      <c r="A31" s="9">
        <v>10</v>
      </c>
      <c r="B31" s="9"/>
      <c r="C31" s="9"/>
      <c r="D31" s="9" t="s">
        <v>404</v>
      </c>
      <c r="E31" s="65" t="s">
        <v>523</v>
      </c>
      <c r="F31" s="65"/>
      <c r="G31" s="66" t="s">
        <v>2299</v>
      </c>
      <c r="H31" s="66" t="s">
        <v>1199</v>
      </c>
      <c r="I31" s="9" t="s">
        <v>1101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 t="s">
        <v>1971</v>
      </c>
      <c r="CF31" s="9"/>
      <c r="CG31" s="9" t="s">
        <v>1971</v>
      </c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48"/>
      <c r="IB31" s="49"/>
      <c r="IC31" s="63"/>
      <c r="ID31" s="64"/>
    </row>
    <row r="32" spans="1:238" s="11" customFormat="1" ht="26" x14ac:dyDescent="0.2">
      <c r="A32" s="9">
        <v>10</v>
      </c>
      <c r="B32" s="9"/>
      <c r="C32" s="9"/>
      <c r="D32" s="9" t="s">
        <v>410</v>
      </c>
      <c r="E32" s="65" t="s">
        <v>521</v>
      </c>
      <c r="F32" s="65"/>
      <c r="G32" s="66" t="s">
        <v>2297</v>
      </c>
      <c r="H32" s="66" t="s">
        <v>1197</v>
      </c>
      <c r="I32" s="9" t="s">
        <v>1101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 t="s">
        <v>1971</v>
      </c>
      <c r="CJ32" s="9"/>
      <c r="CK32" s="9" t="s">
        <v>1971</v>
      </c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48"/>
      <c r="IB32" s="49"/>
      <c r="IC32" s="63"/>
      <c r="ID32" s="64"/>
    </row>
    <row r="33" spans="1:238" s="11" customFormat="1" ht="26" x14ac:dyDescent="0.2">
      <c r="A33" s="9">
        <v>10</v>
      </c>
      <c r="B33" s="9"/>
      <c r="C33" s="9"/>
      <c r="D33" s="9" t="s">
        <v>412</v>
      </c>
      <c r="E33" s="65" t="s">
        <v>525</v>
      </c>
      <c r="F33" s="65"/>
      <c r="G33" s="66" t="s">
        <v>2302</v>
      </c>
      <c r="H33" s="66" t="s">
        <v>1202</v>
      </c>
      <c r="I33" s="9" t="s">
        <v>1101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 t="s">
        <v>1971</v>
      </c>
      <c r="CN33" s="9"/>
      <c r="CO33" s="9" t="s">
        <v>1971</v>
      </c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48"/>
      <c r="IB33" s="49"/>
      <c r="IC33" s="63"/>
      <c r="ID33" s="64"/>
    </row>
    <row r="34" spans="1:238" s="11" customFormat="1" x14ac:dyDescent="0.2">
      <c r="A34" s="9">
        <v>10</v>
      </c>
      <c r="B34" s="9"/>
      <c r="C34" s="9"/>
      <c r="D34" s="9" t="s">
        <v>419</v>
      </c>
      <c r="E34" s="65" t="s">
        <v>527</v>
      </c>
      <c r="F34" s="65"/>
      <c r="G34" s="66" t="s">
        <v>2340</v>
      </c>
      <c r="H34" s="66" t="s">
        <v>1240</v>
      </c>
      <c r="I34" s="9" t="s">
        <v>1101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 t="s">
        <v>1971</v>
      </c>
      <c r="CR34" s="9"/>
      <c r="CS34" s="9" t="s">
        <v>1971</v>
      </c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48"/>
      <c r="IB34" s="49"/>
      <c r="IC34" s="63"/>
      <c r="ID34" s="64"/>
    </row>
    <row r="35" spans="1:238" s="11" customFormat="1" x14ac:dyDescent="0.2">
      <c r="A35" s="9">
        <v>10</v>
      </c>
      <c r="B35" s="9"/>
      <c r="C35" s="9"/>
      <c r="D35" s="9" t="s">
        <v>422</v>
      </c>
      <c r="E35" s="65" t="s">
        <v>530</v>
      </c>
      <c r="F35" s="65"/>
      <c r="G35" s="66" t="s">
        <v>2344</v>
      </c>
      <c r="H35" s="66" t="s">
        <v>1244</v>
      </c>
      <c r="I35" s="9" t="s">
        <v>1101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 t="s">
        <v>1971</v>
      </c>
      <c r="CV35" s="9"/>
      <c r="CW35" s="9" t="s">
        <v>1971</v>
      </c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48"/>
      <c r="IB35" s="49"/>
      <c r="IC35" s="63"/>
      <c r="ID35" s="64"/>
    </row>
    <row r="36" spans="1:238" s="11" customFormat="1" x14ac:dyDescent="0.2">
      <c r="A36" s="9">
        <v>10</v>
      </c>
      <c r="B36" s="9"/>
      <c r="C36" s="9"/>
      <c r="D36" s="9" t="s">
        <v>425</v>
      </c>
      <c r="E36" s="65" t="s">
        <v>533</v>
      </c>
      <c r="F36" s="65"/>
      <c r="G36" s="66" t="s">
        <v>2348</v>
      </c>
      <c r="H36" s="66" t="s">
        <v>1249</v>
      </c>
      <c r="I36" s="9" t="s">
        <v>1101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 t="s">
        <v>1971</v>
      </c>
      <c r="CZ36" s="9"/>
      <c r="DA36" s="9" t="s">
        <v>1971</v>
      </c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48"/>
      <c r="IB36" s="49"/>
      <c r="IC36" s="63"/>
      <c r="ID36" s="64"/>
    </row>
    <row r="37" spans="1:238" s="11" customFormat="1" ht="26" x14ac:dyDescent="0.2">
      <c r="A37" s="9">
        <v>10</v>
      </c>
      <c r="B37" s="9"/>
      <c r="C37" s="9"/>
      <c r="D37" s="9" t="s">
        <v>427</v>
      </c>
      <c r="E37" s="65" t="s">
        <v>535</v>
      </c>
      <c r="F37" s="65"/>
      <c r="G37" s="66" t="s">
        <v>2351</v>
      </c>
      <c r="H37" s="66" t="s">
        <v>1252</v>
      </c>
      <c r="I37" s="9" t="s">
        <v>1101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 t="s">
        <v>1971</v>
      </c>
      <c r="DD37" s="9"/>
      <c r="DE37" s="9" t="s">
        <v>1971</v>
      </c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48"/>
      <c r="IB37" s="49"/>
      <c r="IC37" s="63"/>
      <c r="ID37" s="64"/>
    </row>
    <row r="38" spans="1:238" s="11" customFormat="1" x14ac:dyDescent="0.2">
      <c r="A38" s="9">
        <v>10</v>
      </c>
      <c r="B38" s="9"/>
      <c r="C38" s="9"/>
      <c r="D38" s="9" t="s">
        <v>429</v>
      </c>
      <c r="E38" s="65" t="s">
        <v>537</v>
      </c>
      <c r="F38" s="65"/>
      <c r="G38" s="66" t="s">
        <v>2354</v>
      </c>
      <c r="H38" s="66" t="s">
        <v>1255</v>
      </c>
      <c r="I38" s="9" t="s">
        <v>1101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 t="s">
        <v>1971</v>
      </c>
      <c r="DH38" s="9"/>
      <c r="DI38" s="9" t="s">
        <v>1971</v>
      </c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48"/>
      <c r="IB38" s="49"/>
      <c r="IC38" s="63"/>
      <c r="ID38" s="64"/>
    </row>
    <row r="39" spans="1:238" s="11" customFormat="1" x14ac:dyDescent="0.2">
      <c r="A39" s="9">
        <v>10</v>
      </c>
      <c r="B39" s="9"/>
      <c r="C39" s="9"/>
      <c r="D39" s="9" t="s">
        <v>431</v>
      </c>
      <c r="E39" s="65" t="s">
        <v>539</v>
      </c>
      <c r="F39" s="65"/>
      <c r="G39" s="66" t="s">
        <v>2357</v>
      </c>
      <c r="H39" s="66" t="s">
        <v>1258</v>
      </c>
      <c r="I39" s="9" t="s">
        <v>1101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 t="s">
        <v>1971</v>
      </c>
      <c r="DL39" s="9"/>
      <c r="DM39" s="9" t="s">
        <v>1971</v>
      </c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48"/>
      <c r="IB39" s="49"/>
      <c r="IC39" s="63"/>
      <c r="ID39" s="64"/>
    </row>
    <row r="40" spans="1:238" s="11" customFormat="1" ht="26" x14ac:dyDescent="0.2">
      <c r="A40" s="9">
        <v>10</v>
      </c>
      <c r="B40" s="9"/>
      <c r="C40" s="9"/>
      <c r="D40" s="9" t="s">
        <v>433</v>
      </c>
      <c r="E40" s="65" t="s">
        <v>541</v>
      </c>
      <c r="F40" s="65"/>
      <c r="G40" s="66" t="s">
        <v>2360</v>
      </c>
      <c r="H40" s="66" t="s">
        <v>1261</v>
      </c>
      <c r="I40" s="9" t="s">
        <v>1101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 t="s">
        <v>1971</v>
      </c>
      <c r="DP40" s="9"/>
      <c r="DQ40" s="9" t="s">
        <v>1971</v>
      </c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48"/>
      <c r="IB40" s="49"/>
      <c r="IC40" s="63"/>
      <c r="ID40" s="64"/>
    </row>
    <row r="41" spans="1:238" s="11" customFormat="1" ht="26" x14ac:dyDescent="0.2">
      <c r="A41" s="9">
        <v>10</v>
      </c>
      <c r="B41" s="9"/>
      <c r="C41" s="9"/>
      <c r="D41" s="9" t="s">
        <v>435</v>
      </c>
      <c r="E41" s="65" t="s">
        <v>543</v>
      </c>
      <c r="F41" s="65"/>
      <c r="G41" s="66" t="s">
        <v>2363</v>
      </c>
      <c r="H41" s="66" t="s">
        <v>1264</v>
      </c>
      <c r="I41" s="9" t="s">
        <v>1101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 t="s">
        <v>1971</v>
      </c>
      <c r="DT41" s="9"/>
      <c r="DU41" s="9" t="s">
        <v>1971</v>
      </c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48"/>
      <c r="IB41" s="49"/>
      <c r="IC41" s="63"/>
      <c r="ID41" s="64"/>
    </row>
    <row r="42" spans="1:238" s="11" customFormat="1" x14ac:dyDescent="0.2">
      <c r="A42" s="9">
        <v>10</v>
      </c>
      <c r="B42" s="9"/>
      <c r="C42" s="9"/>
      <c r="D42" s="9" t="s">
        <v>437</v>
      </c>
      <c r="E42" s="65" t="s">
        <v>545</v>
      </c>
      <c r="F42" s="65"/>
      <c r="G42" s="66" t="s">
        <v>2366</v>
      </c>
      <c r="H42" s="66" t="s">
        <v>1267</v>
      </c>
      <c r="I42" s="9" t="s">
        <v>1101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 t="s">
        <v>1971</v>
      </c>
      <c r="DX42" s="9"/>
      <c r="DY42" s="9" t="s">
        <v>1971</v>
      </c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48"/>
      <c r="IB42" s="49"/>
      <c r="IC42" s="63"/>
      <c r="ID42" s="64"/>
    </row>
    <row r="43" spans="1:238" s="11" customFormat="1" x14ac:dyDescent="0.2">
      <c r="A43" s="9">
        <v>10</v>
      </c>
      <c r="B43" s="9"/>
      <c r="C43" s="9"/>
      <c r="D43" s="9" t="s">
        <v>439</v>
      </c>
      <c r="E43" s="65" t="s">
        <v>547</v>
      </c>
      <c r="F43" s="65"/>
      <c r="G43" s="66" t="s">
        <v>2490</v>
      </c>
      <c r="H43" s="66" t="s">
        <v>1836</v>
      </c>
      <c r="I43" s="9" t="s">
        <v>1101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 t="s">
        <v>1971</v>
      </c>
      <c r="EB43" s="9"/>
      <c r="EC43" s="9" t="s">
        <v>1971</v>
      </c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48"/>
      <c r="IB43" s="49"/>
      <c r="IC43" s="63"/>
      <c r="ID43" s="64"/>
    </row>
    <row r="44" spans="1:238" s="11" customFormat="1" x14ac:dyDescent="0.2">
      <c r="A44" s="9">
        <v>10</v>
      </c>
      <c r="B44" s="9"/>
      <c r="C44" s="9"/>
      <c r="D44" s="9" t="s">
        <v>442</v>
      </c>
      <c r="E44" s="65" t="s">
        <v>549</v>
      </c>
      <c r="F44" s="65"/>
      <c r="G44" s="66" t="s">
        <v>2374</v>
      </c>
      <c r="H44" s="66" t="s">
        <v>1276</v>
      </c>
      <c r="I44" s="9" t="s">
        <v>1101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 t="s">
        <v>1971</v>
      </c>
      <c r="EF44" s="9"/>
      <c r="EG44" s="9" t="s">
        <v>1971</v>
      </c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48"/>
      <c r="IB44" s="49"/>
      <c r="IC44" s="63"/>
      <c r="ID44" s="64"/>
    </row>
    <row r="45" spans="1:238" s="11" customFormat="1" x14ac:dyDescent="0.2">
      <c r="A45" s="9">
        <v>10</v>
      </c>
      <c r="B45" s="9"/>
      <c r="C45" s="9"/>
      <c r="D45" s="9" t="s">
        <v>444</v>
      </c>
      <c r="E45" s="65" t="s">
        <v>659</v>
      </c>
      <c r="F45" s="65"/>
      <c r="G45" s="66" t="s">
        <v>2377</v>
      </c>
      <c r="H45" s="66" t="s">
        <v>1280</v>
      </c>
      <c r="I45" s="9" t="s">
        <v>1101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 t="s">
        <v>1971</v>
      </c>
      <c r="EJ45" s="9"/>
      <c r="EK45" s="9" t="s">
        <v>1971</v>
      </c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48"/>
      <c r="IB45" s="49"/>
      <c r="IC45" s="63"/>
      <c r="ID45" s="64"/>
    </row>
    <row r="46" spans="1:238" s="11" customFormat="1" x14ac:dyDescent="0.2">
      <c r="A46" s="9">
        <v>10</v>
      </c>
      <c r="B46" s="9"/>
      <c r="C46" s="9"/>
      <c r="D46" s="9" t="s">
        <v>448</v>
      </c>
      <c r="E46" s="65" t="s">
        <v>551</v>
      </c>
      <c r="F46" s="65"/>
      <c r="G46" s="66" t="s">
        <v>2381</v>
      </c>
      <c r="H46" s="66" t="s">
        <v>1284</v>
      </c>
      <c r="I46" s="9" t="s">
        <v>1101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 t="s">
        <v>1971</v>
      </c>
      <c r="EN46" s="9"/>
      <c r="EO46" s="9" t="s">
        <v>1971</v>
      </c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48"/>
      <c r="IB46" s="49"/>
      <c r="IC46" s="63"/>
      <c r="ID46" s="64"/>
    </row>
    <row r="47" spans="1:238" s="11" customFormat="1" x14ac:dyDescent="0.2">
      <c r="A47" s="9">
        <v>10</v>
      </c>
      <c r="B47" s="9"/>
      <c r="C47" s="9"/>
      <c r="D47" s="9" t="s">
        <v>451</v>
      </c>
      <c r="E47" s="65" t="s">
        <v>554</v>
      </c>
      <c r="F47" s="65"/>
      <c r="G47" s="66" t="s">
        <v>2389</v>
      </c>
      <c r="H47" s="66" t="s">
        <v>1295</v>
      </c>
      <c r="I47" s="9" t="s">
        <v>1101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 t="s">
        <v>1971</v>
      </c>
      <c r="ER47" s="9"/>
      <c r="ES47" s="9" t="s">
        <v>1971</v>
      </c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48"/>
      <c r="IB47" s="49"/>
      <c r="IC47" s="63"/>
      <c r="ID47" s="64"/>
    </row>
    <row r="48" spans="1:238" s="11" customFormat="1" ht="26" x14ac:dyDescent="0.2">
      <c r="A48" s="9">
        <v>10</v>
      </c>
      <c r="B48" s="9"/>
      <c r="C48" s="9"/>
      <c r="D48" s="9" t="s">
        <v>456</v>
      </c>
      <c r="E48" s="65" t="s">
        <v>557</v>
      </c>
      <c r="F48" s="65"/>
      <c r="G48" s="66" t="s">
        <v>2398</v>
      </c>
      <c r="H48" s="66" t="s">
        <v>1303</v>
      </c>
      <c r="I48" s="9" t="s">
        <v>1101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 t="s">
        <v>1971</v>
      </c>
      <c r="EV48" s="9"/>
      <c r="EW48" s="9" t="s">
        <v>1971</v>
      </c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48"/>
      <c r="IB48" s="49"/>
      <c r="IC48" s="63"/>
      <c r="ID48" s="64"/>
    </row>
    <row r="49" spans="1:238" s="11" customFormat="1" ht="26" x14ac:dyDescent="0.2">
      <c r="A49" s="9">
        <v>10</v>
      </c>
      <c r="B49" s="9"/>
      <c r="C49" s="9"/>
      <c r="D49" s="9" t="s">
        <v>458</v>
      </c>
      <c r="E49" s="65" t="s">
        <v>559</v>
      </c>
      <c r="F49" s="65"/>
      <c r="G49" s="66" t="s">
        <v>2408</v>
      </c>
      <c r="H49" s="66" t="s">
        <v>1313</v>
      </c>
      <c r="I49" s="9" t="s">
        <v>1101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 t="s">
        <v>1971</v>
      </c>
      <c r="EZ49" s="9"/>
      <c r="FA49" s="9" t="s">
        <v>1971</v>
      </c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48"/>
      <c r="IB49" s="49"/>
      <c r="IC49" s="63"/>
      <c r="ID49" s="64"/>
    </row>
    <row r="50" spans="1:238" s="11" customFormat="1" ht="26" x14ac:dyDescent="0.2">
      <c r="A50" s="9">
        <v>10</v>
      </c>
      <c r="B50" s="9"/>
      <c r="C50" s="9"/>
      <c r="D50" s="9" t="s">
        <v>460</v>
      </c>
      <c r="E50" s="65" t="s">
        <v>561</v>
      </c>
      <c r="F50" s="65"/>
      <c r="G50" s="66" t="s">
        <v>2411</v>
      </c>
      <c r="H50" s="66" t="s">
        <v>1316</v>
      </c>
      <c r="I50" s="9" t="s">
        <v>1101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 t="s">
        <v>1971</v>
      </c>
      <c r="FD50" s="9"/>
      <c r="FE50" s="9" t="s">
        <v>1971</v>
      </c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48"/>
      <c r="IB50" s="49"/>
      <c r="IC50" s="63"/>
      <c r="ID50" s="64"/>
    </row>
    <row r="51" spans="1:238" s="11" customFormat="1" x14ac:dyDescent="0.2">
      <c r="A51" s="9">
        <v>10</v>
      </c>
      <c r="B51" s="9"/>
      <c r="C51" s="9"/>
      <c r="D51" s="9" t="s">
        <v>464</v>
      </c>
      <c r="E51" s="65" t="s">
        <v>563</v>
      </c>
      <c r="F51" s="65"/>
      <c r="G51" s="66" t="s">
        <v>2416</v>
      </c>
      <c r="H51" s="66" t="s">
        <v>1321</v>
      </c>
      <c r="I51" s="9" t="s">
        <v>1101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 t="s">
        <v>1971</v>
      </c>
      <c r="FH51" s="9"/>
      <c r="FI51" s="9" t="s">
        <v>1971</v>
      </c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48"/>
      <c r="IB51" s="49"/>
      <c r="IC51" s="63"/>
      <c r="ID51" s="64"/>
    </row>
    <row r="52" spans="1:238" s="11" customFormat="1" x14ac:dyDescent="0.2">
      <c r="A52" s="9">
        <v>10</v>
      </c>
      <c r="B52" s="9"/>
      <c r="C52" s="9"/>
      <c r="D52" s="9" t="s">
        <v>467</v>
      </c>
      <c r="E52" s="65" t="s">
        <v>565</v>
      </c>
      <c r="F52" s="65"/>
      <c r="G52" s="66" t="s">
        <v>2420</v>
      </c>
      <c r="H52" s="66" t="s">
        <v>1325</v>
      </c>
      <c r="I52" s="9" t="s">
        <v>1101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 t="s">
        <v>1971</v>
      </c>
      <c r="FL52" s="9"/>
      <c r="FM52" s="9" t="s">
        <v>1971</v>
      </c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48"/>
      <c r="IB52" s="49"/>
      <c r="IC52" s="63"/>
      <c r="ID52" s="64"/>
    </row>
    <row r="53" spans="1:238" s="11" customFormat="1" x14ac:dyDescent="0.2">
      <c r="A53" s="9">
        <v>10</v>
      </c>
      <c r="B53" s="9"/>
      <c r="C53" s="9"/>
      <c r="D53" s="9" t="s">
        <v>471</v>
      </c>
      <c r="E53" s="65" t="s">
        <v>567</v>
      </c>
      <c r="F53" s="65"/>
      <c r="G53" s="66" t="s">
        <v>2491</v>
      </c>
      <c r="H53" s="66" t="s">
        <v>1837</v>
      </c>
      <c r="I53" s="9" t="s">
        <v>1101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 t="s">
        <v>1971</v>
      </c>
      <c r="FP53" s="9"/>
      <c r="FQ53" s="9" t="s">
        <v>1971</v>
      </c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48"/>
      <c r="IB53" s="49"/>
      <c r="IC53" s="63"/>
      <c r="ID53" s="64"/>
    </row>
    <row r="54" spans="1:238" s="11" customFormat="1" x14ac:dyDescent="0.2">
      <c r="A54" s="9">
        <v>10</v>
      </c>
      <c r="B54" s="9"/>
      <c r="C54" s="9"/>
      <c r="D54" s="9" t="s">
        <v>473</v>
      </c>
      <c r="E54" s="65" t="s">
        <v>569</v>
      </c>
      <c r="F54" s="65"/>
      <c r="G54" s="66" t="s">
        <v>2428</v>
      </c>
      <c r="H54" s="66" t="s">
        <v>1333</v>
      </c>
      <c r="I54" s="9" t="s">
        <v>1101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 t="s">
        <v>1971</v>
      </c>
      <c r="FT54" s="9"/>
      <c r="FU54" s="9" t="s">
        <v>1971</v>
      </c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48"/>
      <c r="IB54" s="49"/>
      <c r="IC54" s="63"/>
      <c r="ID54" s="64"/>
    </row>
    <row r="55" spans="1:238" s="11" customFormat="1" x14ac:dyDescent="0.2">
      <c r="A55" s="9">
        <v>10</v>
      </c>
      <c r="B55" s="9"/>
      <c r="C55" s="9"/>
      <c r="D55" s="9" t="s">
        <v>475</v>
      </c>
      <c r="E55" s="65" t="s">
        <v>571</v>
      </c>
      <c r="F55" s="65"/>
      <c r="G55" s="66" t="s">
        <v>2431</v>
      </c>
      <c r="H55" s="66" t="s">
        <v>1336</v>
      </c>
      <c r="I55" s="9" t="s">
        <v>1101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 t="s">
        <v>1971</v>
      </c>
      <c r="FX55" s="9"/>
      <c r="FY55" s="9" t="s">
        <v>1971</v>
      </c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48"/>
      <c r="IB55" s="49"/>
      <c r="IC55" s="63"/>
      <c r="ID55" s="64"/>
    </row>
    <row r="56" spans="1:238" s="11" customFormat="1" x14ac:dyDescent="0.2">
      <c r="A56" s="9">
        <v>10</v>
      </c>
      <c r="B56" s="9"/>
      <c r="C56" s="9"/>
      <c r="D56" s="9" t="s">
        <v>734</v>
      </c>
      <c r="E56" s="65" t="s">
        <v>735</v>
      </c>
      <c r="F56" s="65"/>
      <c r="G56" s="66" t="s">
        <v>2434</v>
      </c>
      <c r="H56" s="66" t="s">
        <v>1339</v>
      </c>
      <c r="I56" s="9" t="s">
        <v>1101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 t="s">
        <v>1971</v>
      </c>
      <c r="GB56" s="9"/>
      <c r="GC56" s="9" t="s">
        <v>1971</v>
      </c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48"/>
      <c r="IB56" s="49"/>
      <c r="IC56" s="63"/>
      <c r="ID56" s="64"/>
    </row>
    <row r="57" spans="1:238" s="11" customFormat="1" x14ac:dyDescent="0.2">
      <c r="A57" s="9">
        <v>10</v>
      </c>
      <c r="B57" s="9"/>
      <c r="C57" s="9"/>
      <c r="D57" s="9" t="s">
        <v>756</v>
      </c>
      <c r="E57" s="65" t="s">
        <v>757</v>
      </c>
      <c r="F57" s="65"/>
      <c r="G57" s="66" t="s">
        <v>2437</v>
      </c>
      <c r="H57" s="66" t="s">
        <v>1342</v>
      </c>
      <c r="I57" s="9" t="s">
        <v>1101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 t="s">
        <v>1971</v>
      </c>
      <c r="GF57" s="9"/>
      <c r="GG57" s="9" t="s">
        <v>1971</v>
      </c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48"/>
      <c r="IB57" s="49"/>
      <c r="IC57" s="63"/>
      <c r="ID57" s="64"/>
    </row>
    <row r="58" spans="1:238" s="11" customFormat="1" x14ac:dyDescent="0.2">
      <c r="A58" s="9">
        <v>10</v>
      </c>
      <c r="B58" s="9"/>
      <c r="C58" s="9"/>
      <c r="D58" s="9" t="s">
        <v>823</v>
      </c>
      <c r="E58" s="65" t="s">
        <v>824</v>
      </c>
      <c r="F58" s="65"/>
      <c r="G58" s="66" t="s">
        <v>2440</v>
      </c>
      <c r="H58" s="66" t="s">
        <v>1396</v>
      </c>
      <c r="I58" s="9" t="s">
        <v>1101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 t="s">
        <v>1971</v>
      </c>
      <c r="GJ58" s="9"/>
      <c r="GK58" s="9" t="s">
        <v>1971</v>
      </c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48"/>
      <c r="IB58" s="49"/>
      <c r="IC58" s="63"/>
      <c r="ID58" s="64"/>
    </row>
    <row r="59" spans="1:238" s="11" customFormat="1" x14ac:dyDescent="0.2">
      <c r="A59" s="9">
        <v>10</v>
      </c>
      <c r="B59" s="9"/>
      <c r="C59" s="9"/>
      <c r="D59" s="9" t="s">
        <v>771</v>
      </c>
      <c r="E59" s="65" t="s">
        <v>788</v>
      </c>
      <c r="F59" s="65"/>
      <c r="G59" s="66" t="s">
        <v>2443</v>
      </c>
      <c r="H59" s="66" t="s">
        <v>1348</v>
      </c>
      <c r="I59" s="9" t="s">
        <v>1101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 t="s">
        <v>1971</v>
      </c>
      <c r="GN59" s="9"/>
      <c r="GO59" s="9" t="s">
        <v>1971</v>
      </c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48"/>
      <c r="IB59" s="49"/>
      <c r="IC59" s="63"/>
      <c r="ID59" s="64"/>
    </row>
    <row r="60" spans="1:238" s="11" customFormat="1" x14ac:dyDescent="0.2">
      <c r="A60" s="9">
        <v>10</v>
      </c>
      <c r="B60" s="9"/>
      <c r="C60" s="9"/>
      <c r="D60" s="9" t="s">
        <v>809</v>
      </c>
      <c r="E60" s="65" t="s">
        <v>792</v>
      </c>
      <c r="F60" s="65"/>
      <c r="G60" s="66" t="s">
        <v>2447</v>
      </c>
      <c r="H60" s="66" t="s">
        <v>1352</v>
      </c>
      <c r="I60" s="9" t="s">
        <v>1101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 t="s">
        <v>1971</v>
      </c>
      <c r="GR60" s="9"/>
      <c r="GS60" s="9" t="s">
        <v>1971</v>
      </c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48"/>
      <c r="IB60" s="49"/>
      <c r="IC60" s="63"/>
      <c r="ID60" s="64"/>
    </row>
    <row r="61" spans="1:238" s="11" customFormat="1" x14ac:dyDescent="0.2">
      <c r="A61" s="9">
        <v>10</v>
      </c>
      <c r="B61" s="9"/>
      <c r="C61" s="9"/>
      <c r="D61" s="9" t="s">
        <v>782</v>
      </c>
      <c r="E61" s="65" t="s">
        <v>795</v>
      </c>
      <c r="F61" s="65"/>
      <c r="G61" s="66" t="s">
        <v>2451</v>
      </c>
      <c r="H61" s="66" t="s">
        <v>1356</v>
      </c>
      <c r="I61" s="9" t="s">
        <v>1101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 t="s">
        <v>1971</v>
      </c>
      <c r="GV61" s="9"/>
      <c r="GW61" s="9" t="s">
        <v>1971</v>
      </c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48"/>
      <c r="IB61" s="49"/>
      <c r="IC61" s="63"/>
      <c r="ID61" s="64"/>
    </row>
    <row r="62" spans="1:238" s="11" customFormat="1" x14ac:dyDescent="0.2">
      <c r="A62" s="9">
        <v>10</v>
      </c>
      <c r="B62" s="9"/>
      <c r="C62" s="9"/>
      <c r="D62" s="9" t="s">
        <v>785</v>
      </c>
      <c r="E62" s="65" t="s">
        <v>797</v>
      </c>
      <c r="F62" s="65"/>
      <c r="G62" s="66" t="s">
        <v>2454</v>
      </c>
      <c r="H62" s="66" t="s">
        <v>1359</v>
      </c>
      <c r="I62" s="9" t="s">
        <v>1101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 t="s">
        <v>1971</v>
      </c>
      <c r="GZ62" s="9"/>
      <c r="HA62" s="9" t="s">
        <v>1971</v>
      </c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48"/>
      <c r="IB62" s="49"/>
      <c r="IC62" s="63"/>
      <c r="ID62" s="64"/>
    </row>
    <row r="63" spans="1:238" s="11" customFormat="1" x14ac:dyDescent="0.2">
      <c r="A63" s="9">
        <v>10</v>
      </c>
      <c r="B63" s="9"/>
      <c r="C63" s="9"/>
      <c r="D63" s="9" t="s">
        <v>938</v>
      </c>
      <c r="E63" s="65" t="s">
        <v>939</v>
      </c>
      <c r="F63" s="65"/>
      <c r="G63" s="66" t="s">
        <v>2457</v>
      </c>
      <c r="H63" s="66" t="s">
        <v>1973</v>
      </c>
      <c r="I63" s="9" t="s">
        <v>1101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 t="s">
        <v>1971</v>
      </c>
      <c r="HD63" s="9"/>
      <c r="HE63" s="9" t="s">
        <v>1971</v>
      </c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48"/>
      <c r="IB63" s="49"/>
      <c r="IC63" s="63"/>
      <c r="ID63" s="64"/>
    </row>
    <row r="64" spans="1:238" s="11" customFormat="1" ht="26" x14ac:dyDescent="0.2">
      <c r="A64" s="9">
        <v>10</v>
      </c>
      <c r="B64" s="9"/>
      <c r="C64" s="9"/>
      <c r="D64" s="9" t="s">
        <v>954</v>
      </c>
      <c r="E64" s="65" t="s">
        <v>984</v>
      </c>
      <c r="F64" s="65"/>
      <c r="G64" s="66" t="s">
        <v>2460</v>
      </c>
      <c r="H64" s="66" t="s">
        <v>1365</v>
      </c>
      <c r="I64" s="9" t="s">
        <v>1101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 t="s">
        <v>1971</v>
      </c>
      <c r="HH64" s="9"/>
      <c r="HI64" s="9" t="s">
        <v>1971</v>
      </c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48"/>
      <c r="IB64" s="49"/>
      <c r="IC64" s="63"/>
      <c r="ID64" s="64"/>
    </row>
    <row r="65" spans="1:238" s="11" customFormat="1" x14ac:dyDescent="0.2">
      <c r="A65" s="9">
        <v>10</v>
      </c>
      <c r="B65" s="9"/>
      <c r="C65" s="9"/>
      <c r="D65" s="9" t="s">
        <v>955</v>
      </c>
      <c r="E65" s="65" t="s">
        <v>980</v>
      </c>
      <c r="F65" s="65"/>
      <c r="G65" s="66" t="s">
        <v>2463</v>
      </c>
      <c r="H65" s="66" t="s">
        <v>1368</v>
      </c>
      <c r="I65" s="9" t="s">
        <v>1101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 t="s">
        <v>1971</v>
      </c>
      <c r="HL65" s="9"/>
      <c r="HM65" s="9" t="s">
        <v>1971</v>
      </c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48"/>
      <c r="IB65" s="49"/>
      <c r="IC65" s="63"/>
      <c r="ID65" s="64"/>
    </row>
    <row r="66" spans="1:238" s="11" customFormat="1" x14ac:dyDescent="0.2">
      <c r="A66" s="9">
        <v>10</v>
      </c>
      <c r="B66" s="9"/>
      <c r="C66" s="9"/>
      <c r="D66" s="9" t="s">
        <v>956</v>
      </c>
      <c r="E66" s="65" t="s">
        <v>972</v>
      </c>
      <c r="F66" s="65"/>
      <c r="G66" s="66" t="s">
        <v>2466</v>
      </c>
      <c r="H66" s="66" t="s">
        <v>1371</v>
      </c>
      <c r="I66" s="9" t="s">
        <v>1101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 t="s">
        <v>1971</v>
      </c>
      <c r="HP66" s="9"/>
      <c r="HQ66" s="9" t="s">
        <v>1971</v>
      </c>
      <c r="HR66" s="9"/>
      <c r="HS66" s="9"/>
      <c r="HT66" s="9"/>
      <c r="HU66" s="9"/>
      <c r="HV66" s="9"/>
      <c r="HW66" s="9"/>
      <c r="HX66" s="9"/>
      <c r="HY66" s="9"/>
      <c r="HZ66" s="9"/>
      <c r="IA66" s="48"/>
      <c r="IB66" s="49"/>
      <c r="IC66" s="63"/>
      <c r="ID66" s="64"/>
    </row>
    <row r="67" spans="1:238" s="11" customFormat="1" x14ac:dyDescent="0.2">
      <c r="A67" s="9">
        <v>10</v>
      </c>
      <c r="B67" s="9"/>
      <c r="C67" s="9"/>
      <c r="D67" s="9" t="s">
        <v>957</v>
      </c>
      <c r="E67" s="65" t="s">
        <v>988</v>
      </c>
      <c r="F67" s="65"/>
      <c r="G67" s="66" t="s">
        <v>2469</v>
      </c>
      <c r="H67" s="66" t="s">
        <v>1374</v>
      </c>
      <c r="I67" s="9" t="s">
        <v>1101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 t="s">
        <v>1971</v>
      </c>
      <c r="HT67" s="9"/>
      <c r="HU67" s="9" t="s">
        <v>1971</v>
      </c>
      <c r="HV67" s="9"/>
      <c r="HW67" s="9"/>
      <c r="HX67" s="9"/>
      <c r="HY67" s="9"/>
      <c r="HZ67" s="9"/>
      <c r="IA67" s="48"/>
      <c r="IB67" s="49"/>
      <c r="IC67" s="63"/>
      <c r="ID67" s="64"/>
    </row>
    <row r="68" spans="1:238" s="11" customFormat="1" x14ac:dyDescent="0.2">
      <c r="A68" s="9">
        <v>10</v>
      </c>
      <c r="B68" s="9"/>
      <c r="C68" s="9"/>
      <c r="D68" s="9" t="s">
        <v>2059</v>
      </c>
      <c r="E68" s="65" t="s">
        <v>2052</v>
      </c>
      <c r="F68" s="65"/>
      <c r="G68" s="66" t="s">
        <v>2310</v>
      </c>
      <c r="H68" s="66" t="s">
        <v>2041</v>
      </c>
      <c r="I68" s="9" t="s">
        <v>1041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 t="s">
        <v>1971</v>
      </c>
      <c r="HX68" s="9"/>
      <c r="HY68" s="9" t="s">
        <v>1971</v>
      </c>
      <c r="HZ68" s="9"/>
      <c r="IA68" s="48"/>
      <c r="IB68" s="49"/>
      <c r="IC68" s="63"/>
      <c r="ID68" s="64"/>
    </row>
    <row r="69" spans="1:238" s="11" customFormat="1" x14ac:dyDescent="0.2">
      <c r="A69" s="9">
        <v>10</v>
      </c>
      <c r="B69" s="9"/>
      <c r="C69" s="9"/>
      <c r="D69" s="9" t="s">
        <v>63</v>
      </c>
      <c r="E69" s="65" t="s">
        <v>64</v>
      </c>
      <c r="F69" s="65"/>
      <c r="G69" s="66" t="s">
        <v>2478</v>
      </c>
      <c r="H69" s="66" t="s">
        <v>1384</v>
      </c>
      <c r="I69" s="9" t="s">
        <v>1101</v>
      </c>
      <c r="J69" s="9"/>
      <c r="K69" s="9" t="s">
        <v>1971</v>
      </c>
      <c r="L69" s="9"/>
      <c r="M69" s="9" t="s">
        <v>1101</v>
      </c>
      <c r="N69" s="9"/>
      <c r="O69" s="9" t="s">
        <v>1971</v>
      </c>
      <c r="P69" s="9"/>
      <c r="Q69" s="9" t="s">
        <v>1101</v>
      </c>
      <c r="R69" s="9"/>
      <c r="S69" s="9" t="s">
        <v>1971</v>
      </c>
      <c r="T69" s="9"/>
      <c r="U69" s="9" t="s">
        <v>1101</v>
      </c>
      <c r="V69" s="9"/>
      <c r="W69" s="9" t="s">
        <v>1971</v>
      </c>
      <c r="X69" s="9"/>
      <c r="Y69" s="9" t="s">
        <v>1101</v>
      </c>
      <c r="Z69" s="9"/>
      <c r="AA69" s="9" t="s">
        <v>1971</v>
      </c>
      <c r="AB69" s="9"/>
      <c r="AC69" s="9" t="s">
        <v>1101</v>
      </c>
      <c r="AD69" s="9"/>
      <c r="AE69" s="9" t="s">
        <v>1971</v>
      </c>
      <c r="AF69" s="9"/>
      <c r="AG69" s="9" t="s">
        <v>1101</v>
      </c>
      <c r="AH69" s="9"/>
      <c r="AI69" s="9" t="s">
        <v>1971</v>
      </c>
      <c r="AJ69" s="9"/>
      <c r="AK69" s="9" t="s">
        <v>1101</v>
      </c>
      <c r="AL69" s="9"/>
      <c r="AM69" s="9" t="s">
        <v>1971</v>
      </c>
      <c r="AN69" s="9"/>
      <c r="AO69" s="9" t="s">
        <v>1101</v>
      </c>
      <c r="AP69" s="9"/>
      <c r="AQ69" s="9" t="s">
        <v>1971</v>
      </c>
      <c r="AR69" s="9"/>
      <c r="AS69" s="9" t="s">
        <v>1101</v>
      </c>
      <c r="AT69" s="9"/>
      <c r="AU69" s="9" t="s">
        <v>1971</v>
      </c>
      <c r="AV69" s="9"/>
      <c r="AW69" s="9" t="s">
        <v>1101</v>
      </c>
      <c r="AX69" s="9"/>
      <c r="AY69" s="9" t="s">
        <v>1971</v>
      </c>
      <c r="AZ69" s="9"/>
      <c r="BA69" s="9" t="s">
        <v>1101</v>
      </c>
      <c r="BB69" s="9"/>
      <c r="BC69" s="9" t="s">
        <v>1971</v>
      </c>
      <c r="BD69" s="9"/>
      <c r="BE69" s="9" t="s">
        <v>1101</v>
      </c>
      <c r="BF69" s="9"/>
      <c r="BG69" s="9" t="s">
        <v>1971</v>
      </c>
      <c r="BH69" s="9"/>
      <c r="BI69" s="9" t="s">
        <v>1101</v>
      </c>
      <c r="BJ69" s="9"/>
      <c r="BK69" s="9" t="s">
        <v>1971</v>
      </c>
      <c r="BL69" s="9"/>
      <c r="BM69" s="9" t="s">
        <v>1101</v>
      </c>
      <c r="BN69" s="9"/>
      <c r="BO69" s="9" t="s">
        <v>1971</v>
      </c>
      <c r="BP69" s="9"/>
      <c r="BQ69" s="9" t="s">
        <v>1101</v>
      </c>
      <c r="BR69" s="9"/>
      <c r="BS69" s="9" t="s">
        <v>1971</v>
      </c>
      <c r="BT69" s="9"/>
      <c r="BU69" s="9" t="s">
        <v>1101</v>
      </c>
      <c r="BV69" s="9"/>
      <c r="BW69" s="9" t="s">
        <v>1971</v>
      </c>
      <c r="BX69" s="9"/>
      <c r="BY69" s="9" t="s">
        <v>1101</v>
      </c>
      <c r="BZ69" s="9"/>
      <c r="CA69" s="9" t="s">
        <v>1971</v>
      </c>
      <c r="CB69" s="9"/>
      <c r="CC69" s="9" t="s">
        <v>1101</v>
      </c>
      <c r="CD69" s="9"/>
      <c r="CE69" s="9" t="s">
        <v>1971</v>
      </c>
      <c r="CF69" s="9"/>
      <c r="CG69" s="9" t="s">
        <v>1101</v>
      </c>
      <c r="CH69" s="9"/>
      <c r="CI69" s="9" t="s">
        <v>1971</v>
      </c>
      <c r="CJ69" s="9"/>
      <c r="CK69" s="9" t="s">
        <v>1101</v>
      </c>
      <c r="CL69" s="9"/>
      <c r="CM69" s="9" t="s">
        <v>1971</v>
      </c>
      <c r="CN69" s="9"/>
      <c r="CO69" s="9" t="s">
        <v>1101</v>
      </c>
      <c r="CP69" s="9"/>
      <c r="CQ69" s="9" t="s">
        <v>1971</v>
      </c>
      <c r="CR69" s="9"/>
      <c r="CS69" s="9" t="s">
        <v>1101</v>
      </c>
      <c r="CT69" s="9"/>
      <c r="CU69" s="9" t="s">
        <v>1971</v>
      </c>
      <c r="CV69" s="9"/>
      <c r="CW69" s="9" t="s">
        <v>1101</v>
      </c>
      <c r="CX69" s="9"/>
      <c r="CY69" s="9" t="s">
        <v>1971</v>
      </c>
      <c r="CZ69" s="9"/>
      <c r="DA69" s="9" t="s">
        <v>1101</v>
      </c>
      <c r="DB69" s="9"/>
      <c r="DC69" s="9" t="s">
        <v>1971</v>
      </c>
      <c r="DD69" s="9"/>
      <c r="DE69" s="9" t="s">
        <v>1101</v>
      </c>
      <c r="DF69" s="9"/>
      <c r="DG69" s="9" t="s">
        <v>1971</v>
      </c>
      <c r="DH69" s="9"/>
      <c r="DI69" s="9" t="s">
        <v>1101</v>
      </c>
      <c r="DJ69" s="9"/>
      <c r="DK69" s="9" t="s">
        <v>1971</v>
      </c>
      <c r="DL69" s="9"/>
      <c r="DM69" s="9" t="s">
        <v>1101</v>
      </c>
      <c r="DN69" s="9"/>
      <c r="DO69" s="9" t="s">
        <v>1971</v>
      </c>
      <c r="DP69" s="9"/>
      <c r="DQ69" s="9" t="s">
        <v>1101</v>
      </c>
      <c r="DR69" s="9"/>
      <c r="DS69" s="9" t="s">
        <v>1971</v>
      </c>
      <c r="DT69" s="9"/>
      <c r="DU69" s="9" t="s">
        <v>1101</v>
      </c>
      <c r="DV69" s="9"/>
      <c r="DW69" s="9" t="s">
        <v>1971</v>
      </c>
      <c r="DX69" s="9"/>
      <c r="DY69" s="9" t="s">
        <v>1101</v>
      </c>
      <c r="DZ69" s="9"/>
      <c r="EA69" s="9" t="s">
        <v>1971</v>
      </c>
      <c r="EB69" s="9"/>
      <c r="EC69" s="9" t="s">
        <v>1101</v>
      </c>
      <c r="ED69" s="9"/>
      <c r="EE69" s="9" t="s">
        <v>1971</v>
      </c>
      <c r="EF69" s="9"/>
      <c r="EG69" s="9" t="s">
        <v>1101</v>
      </c>
      <c r="EH69" s="9"/>
      <c r="EI69" s="9" t="s">
        <v>1971</v>
      </c>
      <c r="EJ69" s="9"/>
      <c r="EK69" s="9" t="s">
        <v>1101</v>
      </c>
      <c r="EL69" s="9"/>
      <c r="EM69" s="9" t="s">
        <v>1971</v>
      </c>
      <c r="EN69" s="9"/>
      <c r="EO69" s="9" t="s">
        <v>1101</v>
      </c>
      <c r="EP69" s="9"/>
      <c r="EQ69" s="9" t="s">
        <v>1971</v>
      </c>
      <c r="ER69" s="9"/>
      <c r="ES69" s="9" t="s">
        <v>1101</v>
      </c>
      <c r="ET69" s="9"/>
      <c r="EU69" s="9" t="s">
        <v>1971</v>
      </c>
      <c r="EV69" s="9"/>
      <c r="EW69" s="9" t="s">
        <v>1101</v>
      </c>
      <c r="EX69" s="9"/>
      <c r="EY69" s="9" t="s">
        <v>1971</v>
      </c>
      <c r="EZ69" s="9"/>
      <c r="FA69" s="9" t="s">
        <v>1101</v>
      </c>
      <c r="FB69" s="9"/>
      <c r="FC69" s="9" t="s">
        <v>1971</v>
      </c>
      <c r="FD69" s="9"/>
      <c r="FE69" s="9" t="s">
        <v>1101</v>
      </c>
      <c r="FF69" s="9"/>
      <c r="FG69" s="9" t="s">
        <v>1971</v>
      </c>
      <c r="FH69" s="9"/>
      <c r="FI69" s="9" t="s">
        <v>1101</v>
      </c>
      <c r="FJ69" s="9"/>
      <c r="FK69" s="9" t="s">
        <v>1971</v>
      </c>
      <c r="FL69" s="9"/>
      <c r="FM69" s="9" t="s">
        <v>1101</v>
      </c>
      <c r="FN69" s="9"/>
      <c r="FO69" s="9" t="s">
        <v>1971</v>
      </c>
      <c r="FP69" s="9"/>
      <c r="FQ69" s="9" t="s">
        <v>1101</v>
      </c>
      <c r="FR69" s="9"/>
      <c r="FS69" s="9" t="s">
        <v>1971</v>
      </c>
      <c r="FT69" s="9"/>
      <c r="FU69" s="9" t="s">
        <v>1101</v>
      </c>
      <c r="FV69" s="9"/>
      <c r="FW69" s="9" t="s">
        <v>1971</v>
      </c>
      <c r="FX69" s="9"/>
      <c r="FY69" s="9" t="s">
        <v>1101</v>
      </c>
      <c r="FZ69" s="9"/>
      <c r="GA69" s="9" t="s">
        <v>1971</v>
      </c>
      <c r="GB69" s="9"/>
      <c r="GC69" s="9" t="s">
        <v>1101</v>
      </c>
      <c r="GD69" s="9"/>
      <c r="GE69" s="9" t="s">
        <v>1971</v>
      </c>
      <c r="GF69" s="9"/>
      <c r="GG69" s="9" t="s">
        <v>1101</v>
      </c>
      <c r="GH69" s="9"/>
      <c r="GI69" s="9" t="s">
        <v>1971</v>
      </c>
      <c r="GJ69" s="9"/>
      <c r="GK69" s="9" t="s">
        <v>1101</v>
      </c>
      <c r="GL69" s="9"/>
      <c r="GM69" s="9" t="s">
        <v>1971</v>
      </c>
      <c r="GN69" s="9"/>
      <c r="GO69" s="9" t="s">
        <v>1101</v>
      </c>
      <c r="GP69" s="9"/>
      <c r="GQ69" s="9" t="s">
        <v>1971</v>
      </c>
      <c r="GR69" s="9"/>
      <c r="GS69" s="9" t="s">
        <v>1101</v>
      </c>
      <c r="GT69" s="9"/>
      <c r="GU69" s="9" t="s">
        <v>1971</v>
      </c>
      <c r="GV69" s="9"/>
      <c r="GW69" s="9" t="s">
        <v>1101</v>
      </c>
      <c r="GX69" s="9"/>
      <c r="GY69" s="9" t="s">
        <v>1971</v>
      </c>
      <c r="GZ69" s="9"/>
      <c r="HA69" s="9" t="s">
        <v>1101</v>
      </c>
      <c r="HB69" s="9"/>
      <c r="HC69" s="9" t="s">
        <v>1971</v>
      </c>
      <c r="HD69" s="9"/>
      <c r="HE69" s="9" t="s">
        <v>1101</v>
      </c>
      <c r="HF69" s="9"/>
      <c r="HG69" s="9" t="s">
        <v>1971</v>
      </c>
      <c r="HH69" s="9"/>
      <c r="HI69" s="9" t="s">
        <v>1101</v>
      </c>
      <c r="HJ69" s="9"/>
      <c r="HK69" s="9" t="s">
        <v>1971</v>
      </c>
      <c r="HL69" s="9"/>
      <c r="HM69" s="9" t="s">
        <v>1101</v>
      </c>
      <c r="HN69" s="9"/>
      <c r="HO69" s="9" t="s">
        <v>1971</v>
      </c>
      <c r="HP69" s="9"/>
      <c r="HQ69" s="9" t="s">
        <v>1101</v>
      </c>
      <c r="HR69" s="9"/>
      <c r="HS69" s="9" t="s">
        <v>1971</v>
      </c>
      <c r="HT69" s="9"/>
      <c r="HU69" s="9" t="s">
        <v>1101</v>
      </c>
      <c r="HV69" s="9"/>
      <c r="HW69" s="9" t="s">
        <v>1971</v>
      </c>
      <c r="HX69" s="9"/>
      <c r="HY69" s="9" t="s">
        <v>1041</v>
      </c>
      <c r="HZ69" s="9"/>
      <c r="IA69" s="48"/>
      <c r="IB69" s="49"/>
      <c r="IC69" s="63"/>
      <c r="ID69" s="64"/>
    </row>
    <row r="70" spans="1:238" s="11" customFormat="1" x14ac:dyDescent="0.2">
      <c r="A70" s="34"/>
      <c r="G70" s="82"/>
    </row>
    <row r="71" spans="1:238" s="11" customFormat="1" x14ac:dyDescent="0.2">
      <c r="A71" s="9">
        <v>20</v>
      </c>
      <c r="B71" s="50" t="s">
        <v>0</v>
      </c>
      <c r="C71" s="51"/>
      <c r="D71" s="33" t="s">
        <v>670</v>
      </c>
      <c r="E71" s="57" t="s">
        <v>20</v>
      </c>
      <c r="F71" s="58"/>
      <c r="G71" s="33"/>
      <c r="H71" s="59"/>
      <c r="I71" s="60"/>
      <c r="J71" s="61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62"/>
      <c r="DJ71" s="62"/>
      <c r="DK71" s="62"/>
      <c r="DL71" s="62"/>
      <c r="DM71" s="62"/>
      <c r="DN71" s="62"/>
      <c r="DO71" s="62"/>
      <c r="DP71" s="62"/>
      <c r="DQ71" s="62"/>
      <c r="DR71" s="62"/>
      <c r="DS71" s="62"/>
      <c r="DT71" s="62"/>
      <c r="DU71" s="62"/>
      <c r="DV71" s="62"/>
      <c r="DW71" s="62"/>
      <c r="DX71" s="62"/>
      <c r="DY71" s="62"/>
      <c r="DZ71" s="62"/>
      <c r="EA71" s="62"/>
      <c r="EB71" s="62"/>
      <c r="EC71" s="62"/>
      <c r="ED71" s="62"/>
      <c r="EE71" s="62"/>
      <c r="EF71" s="62"/>
      <c r="EG71" s="62"/>
      <c r="EH71" s="62"/>
      <c r="EI71" s="62"/>
      <c r="EJ71" s="62"/>
      <c r="EK71" s="62"/>
      <c r="EL71" s="62"/>
      <c r="EM71" s="62"/>
      <c r="EN71" s="62"/>
      <c r="EO71" s="62"/>
      <c r="EP71" s="62"/>
      <c r="EQ71" s="62"/>
      <c r="ER71" s="62"/>
      <c r="ES71" s="62"/>
      <c r="ET71" s="62"/>
      <c r="EU71" s="62"/>
      <c r="EV71" s="62"/>
      <c r="EW71" s="62"/>
      <c r="EX71" s="62"/>
      <c r="EY71" s="62"/>
      <c r="EZ71" s="62"/>
      <c r="FA71" s="62"/>
      <c r="FB71" s="62"/>
      <c r="FC71" s="62"/>
      <c r="FD71" s="62"/>
      <c r="FE71" s="62"/>
      <c r="FF71" s="62"/>
      <c r="FG71" s="62"/>
      <c r="FH71" s="62"/>
      <c r="FI71" s="62"/>
      <c r="FJ71" s="62"/>
      <c r="FK71" s="62"/>
      <c r="FL71" s="62"/>
      <c r="FM71" s="62"/>
      <c r="FN71" s="62"/>
      <c r="FO71" s="62"/>
      <c r="FP71" s="62"/>
      <c r="FQ71" s="62"/>
      <c r="FR71" s="62"/>
      <c r="FS71" s="62"/>
      <c r="FT71" s="62"/>
      <c r="FU71" s="62"/>
      <c r="FV71" s="62"/>
      <c r="FW71" s="62"/>
      <c r="FX71" s="62"/>
      <c r="FY71" s="62"/>
      <c r="FZ71" s="62"/>
      <c r="GA71" s="62"/>
      <c r="GB71" s="62"/>
      <c r="GC71" s="62"/>
      <c r="GD71" s="62"/>
      <c r="GE71" s="62"/>
      <c r="GF71" s="62"/>
      <c r="GG71" s="62"/>
      <c r="GH71" s="62"/>
      <c r="GI71" s="62"/>
      <c r="GJ71" s="62"/>
      <c r="GK71" s="62"/>
      <c r="GL71" s="62"/>
      <c r="GM71" s="62"/>
      <c r="GN71" s="62"/>
      <c r="GO71" s="62"/>
      <c r="GP71" s="62"/>
      <c r="GQ71" s="62"/>
      <c r="GR71" s="62"/>
      <c r="GS71" s="62"/>
      <c r="GT71" s="62"/>
      <c r="GU71" s="62"/>
      <c r="GV71" s="62"/>
      <c r="GW71" s="62"/>
      <c r="GX71" s="62"/>
      <c r="GY71" s="62"/>
      <c r="GZ71" s="62"/>
      <c r="HA71" s="62"/>
      <c r="HB71" s="62"/>
      <c r="HC71" s="62"/>
      <c r="HD71" s="62"/>
      <c r="HE71" s="62"/>
      <c r="HF71" s="62"/>
      <c r="HG71" s="62"/>
      <c r="HH71" s="62"/>
      <c r="HI71" s="62"/>
      <c r="HJ71" s="62"/>
      <c r="HK71" s="62"/>
      <c r="HL71" s="62"/>
      <c r="HM71" s="62"/>
      <c r="HN71" s="62"/>
      <c r="HO71" s="62"/>
      <c r="HP71" s="62"/>
      <c r="HQ71" s="62"/>
      <c r="HR71" s="62"/>
      <c r="HS71" s="62"/>
      <c r="HT71" s="62"/>
      <c r="HU71" s="62"/>
      <c r="HV71" s="62"/>
      <c r="HW71" s="62"/>
      <c r="HX71" s="62"/>
      <c r="HY71" s="62"/>
      <c r="HZ71" s="62"/>
      <c r="IA71" s="48"/>
      <c r="IB71" s="49"/>
      <c r="IC71" s="63"/>
      <c r="ID71" s="64"/>
    </row>
    <row r="72" spans="1:238" s="11" customFormat="1" x14ac:dyDescent="0.2">
      <c r="A72" s="9">
        <v>20</v>
      </c>
      <c r="B72" s="9"/>
      <c r="C72" s="9"/>
      <c r="D72" s="9" t="s">
        <v>87</v>
      </c>
      <c r="E72" s="65" t="s">
        <v>88</v>
      </c>
      <c r="F72" s="65"/>
      <c r="G72" s="66" t="s">
        <v>2209</v>
      </c>
      <c r="H72" s="66" t="s">
        <v>1841</v>
      </c>
      <c r="I72" s="9" t="s">
        <v>1101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48"/>
      <c r="IB72" s="49"/>
      <c r="IC72" s="63"/>
      <c r="ID72" s="64"/>
    </row>
    <row r="73" spans="1:238" s="11" customFormat="1" x14ac:dyDescent="0.2">
      <c r="A73" s="72"/>
      <c r="B73" s="73"/>
      <c r="C73" s="73"/>
      <c r="D73" s="29" t="s">
        <v>1</v>
      </c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  <c r="FW73" s="28"/>
      <c r="FX73" s="28"/>
      <c r="FY73" s="28"/>
      <c r="FZ73" s="28"/>
      <c r="GA73" s="28"/>
      <c r="GB73" s="28"/>
      <c r="GC73" s="28"/>
      <c r="GD73" s="28"/>
      <c r="GE73" s="28"/>
      <c r="GF73" s="28"/>
      <c r="GG73" s="28"/>
      <c r="GH73" s="28"/>
      <c r="GI73" s="28"/>
      <c r="GJ73" s="28"/>
      <c r="GK73" s="28"/>
      <c r="GL73" s="28"/>
      <c r="GM73" s="28"/>
      <c r="GN73" s="28"/>
      <c r="GO73" s="28"/>
      <c r="GP73" s="28"/>
      <c r="GQ73" s="28"/>
      <c r="GR73" s="28"/>
      <c r="GS73" s="28"/>
      <c r="GT73" s="28"/>
      <c r="GU73" s="28"/>
      <c r="GV73" s="28"/>
      <c r="GW73" s="28"/>
      <c r="GX73" s="28"/>
      <c r="GY73" s="28"/>
      <c r="GZ73" s="28"/>
      <c r="HA73" s="28"/>
      <c r="HB73" s="28"/>
      <c r="HC73" s="28"/>
      <c r="HD73" s="28"/>
      <c r="HE73" s="28"/>
      <c r="HF73" s="28"/>
      <c r="HG73" s="28"/>
      <c r="HH73" s="28"/>
      <c r="HI73" s="28"/>
      <c r="HJ73" s="28"/>
      <c r="HK73" s="28"/>
      <c r="HL73" s="28"/>
      <c r="HM73" s="28"/>
      <c r="HN73" s="28"/>
      <c r="HO73" s="28"/>
      <c r="HP73" s="28"/>
      <c r="HQ73" s="28"/>
      <c r="HR73" s="28"/>
      <c r="HS73" s="28"/>
      <c r="HT73" s="28"/>
      <c r="HU73" s="28"/>
      <c r="HV73" s="28"/>
      <c r="HW73" s="28"/>
      <c r="HX73" s="28"/>
      <c r="HY73" s="28"/>
      <c r="HZ73" s="28"/>
      <c r="IA73" s="4"/>
      <c r="IB73" s="4"/>
      <c r="IC73" s="6"/>
      <c r="ID73" s="23"/>
    </row>
    <row r="74" spans="1:238" s="11" customFormat="1" x14ac:dyDescent="0.2">
      <c r="A74" s="34"/>
      <c r="ID74" s="69"/>
    </row>
    <row r="75" spans="1:238" s="11" customFormat="1" x14ac:dyDescent="0.2">
      <c r="A75" s="34"/>
      <c r="ID75" s="69"/>
    </row>
    <row r="76" spans="1:238" s="11" customFormat="1" x14ac:dyDescent="0.2">
      <c r="A76" s="34"/>
      <c r="ID76" s="69"/>
    </row>
    <row r="77" spans="1:238" s="11" customFormat="1" x14ac:dyDescent="0.2">
      <c r="A77" s="3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19"/>
      <c r="HF77" s="19"/>
      <c r="HG77" s="19"/>
      <c r="HH77" s="19"/>
      <c r="HI77" s="19"/>
      <c r="HJ77" s="19"/>
      <c r="HK77" s="19"/>
      <c r="HL77" s="19"/>
      <c r="HM77" s="19"/>
      <c r="HN77" s="19"/>
      <c r="HO77" s="19"/>
      <c r="HP77" s="19"/>
      <c r="HQ77" s="19"/>
      <c r="HR77" s="19"/>
      <c r="HS77" s="19"/>
      <c r="HT77" s="19"/>
      <c r="HU77" s="19"/>
      <c r="HV77" s="19"/>
      <c r="HW77" s="19"/>
      <c r="HX77" s="19"/>
      <c r="HY77" s="19"/>
      <c r="HZ77" s="19"/>
      <c r="IA77" s="19"/>
      <c r="IB77" s="19"/>
      <c r="IC77" s="19"/>
      <c r="ID77" s="20"/>
    </row>
  </sheetData>
  <dataConsolidate/>
  <phoneticPr fontId="20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74" customWidth="1"/>
    <col min="43" max="44" width="2.08984375" style="76" customWidth="1"/>
    <col min="45" max="71" width="2.08984375" style="74" customWidth="1"/>
    <col min="72" max="16384" width="9" style="74"/>
  </cols>
  <sheetData>
    <row r="1" spans="1:57" ht="38.25" customHeight="1" thickBot="1" x14ac:dyDescent="0.25">
      <c r="A1" s="149" t="s">
        <v>22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1"/>
    </row>
    <row r="2" spans="1:57" ht="12" customHeight="1" thickBo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</row>
    <row r="3" spans="1:57" ht="15" customHeight="1" thickBot="1" x14ac:dyDescent="0.25">
      <c r="A3" s="124" t="s">
        <v>23</v>
      </c>
      <c r="B3" s="125"/>
      <c r="C3" s="125"/>
      <c r="D3" s="125"/>
      <c r="E3" s="125"/>
      <c r="F3" s="125"/>
      <c r="G3" s="126"/>
      <c r="H3" s="152" t="s">
        <v>24</v>
      </c>
      <c r="I3" s="125"/>
      <c r="J3" s="125"/>
      <c r="K3" s="125"/>
      <c r="L3" s="125"/>
      <c r="M3" s="125"/>
      <c r="N3" s="126"/>
      <c r="O3" s="152" t="s">
        <v>25</v>
      </c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4"/>
      <c r="AQ3" s="152" t="s">
        <v>26</v>
      </c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6"/>
    </row>
    <row r="4" spans="1:57" ht="15" customHeight="1" x14ac:dyDescent="0.2">
      <c r="A4" s="130">
        <v>1</v>
      </c>
      <c r="B4" s="131"/>
      <c r="C4" s="131"/>
      <c r="D4" s="131"/>
      <c r="E4" s="131"/>
      <c r="F4" s="131"/>
      <c r="G4" s="132"/>
      <c r="H4" s="117"/>
      <c r="I4" s="118"/>
      <c r="J4" s="118"/>
      <c r="K4" s="118"/>
      <c r="L4" s="118"/>
      <c r="M4" s="118"/>
      <c r="N4" s="119"/>
      <c r="O4" s="117" t="s">
        <v>27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31.5" customHeight="1" x14ac:dyDescent="0.2">
      <c r="A5" s="133">
        <v>1.1000000000000001</v>
      </c>
      <c r="B5" s="134"/>
      <c r="C5" s="134"/>
      <c r="D5" s="134"/>
      <c r="E5" s="134"/>
      <c r="F5" s="134"/>
      <c r="G5" s="135"/>
      <c r="H5" s="114" t="s">
        <v>2194</v>
      </c>
      <c r="I5" s="115"/>
      <c r="J5" s="115"/>
      <c r="K5" s="115"/>
      <c r="L5" s="115"/>
      <c r="M5" s="115"/>
      <c r="N5" s="116"/>
      <c r="O5" s="104" t="s">
        <v>2192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7"/>
      <c r="AQ5" s="127" t="s">
        <v>28</v>
      </c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9"/>
    </row>
    <row r="6" spans="1:57" ht="31.5" customHeight="1" x14ac:dyDescent="0.2">
      <c r="A6" s="133" t="s">
        <v>2191</v>
      </c>
      <c r="B6" s="134"/>
      <c r="C6" s="134"/>
      <c r="D6" s="134"/>
      <c r="E6" s="134"/>
      <c r="F6" s="134"/>
      <c r="G6" s="135"/>
      <c r="H6" s="114" t="s">
        <v>2191</v>
      </c>
      <c r="I6" s="115"/>
      <c r="J6" s="115"/>
      <c r="K6" s="115"/>
      <c r="L6" s="115"/>
      <c r="M6" s="115"/>
      <c r="N6" s="116"/>
      <c r="O6" s="104" t="s">
        <v>2193</v>
      </c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7"/>
      <c r="AQ6" s="127" t="s">
        <v>31</v>
      </c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9"/>
    </row>
    <row r="7" spans="1:57" ht="15" customHeight="1" x14ac:dyDescent="0.2">
      <c r="A7" s="143">
        <v>1.2000000000000002</v>
      </c>
      <c r="B7" s="144"/>
      <c r="C7" s="144"/>
      <c r="D7" s="144"/>
      <c r="E7" s="144"/>
      <c r="F7" s="144"/>
      <c r="G7" s="145"/>
      <c r="H7" s="104"/>
      <c r="I7" s="105"/>
      <c r="J7" s="105"/>
      <c r="K7" s="105"/>
      <c r="L7" s="105"/>
      <c r="M7" s="105"/>
      <c r="N7" s="106"/>
      <c r="O7" s="108" t="s">
        <v>2496</v>
      </c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 t="s">
        <v>2497</v>
      </c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3"/>
    </row>
    <row r="8" spans="1:57" ht="15" customHeight="1" x14ac:dyDescent="0.2">
      <c r="A8" s="143"/>
      <c r="B8" s="144"/>
      <c r="C8" s="144"/>
      <c r="D8" s="144"/>
      <c r="E8" s="144"/>
      <c r="F8" s="144"/>
      <c r="G8" s="145"/>
      <c r="H8" s="104"/>
      <c r="I8" s="105"/>
      <c r="J8" s="105"/>
      <c r="K8" s="105"/>
      <c r="L8" s="105"/>
      <c r="M8" s="105"/>
      <c r="N8" s="106"/>
      <c r="O8" s="104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7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143"/>
      <c r="B9" s="144"/>
      <c r="C9" s="144"/>
      <c r="D9" s="144"/>
      <c r="E9" s="144"/>
      <c r="F9" s="144"/>
      <c r="G9" s="145"/>
      <c r="H9" s="104"/>
      <c r="I9" s="105"/>
      <c r="J9" s="105"/>
      <c r="K9" s="105"/>
      <c r="L9" s="105"/>
      <c r="M9" s="105"/>
      <c r="N9" s="106"/>
      <c r="O9" s="104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7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143"/>
      <c r="B10" s="144"/>
      <c r="C10" s="144"/>
      <c r="D10" s="144"/>
      <c r="E10" s="144"/>
      <c r="F10" s="144"/>
      <c r="G10" s="145"/>
      <c r="H10" s="104"/>
      <c r="I10" s="105"/>
      <c r="J10" s="105"/>
      <c r="K10" s="105"/>
      <c r="L10" s="105"/>
      <c r="M10" s="105"/>
      <c r="N10" s="106"/>
      <c r="O10" s="104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7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143"/>
      <c r="B11" s="144"/>
      <c r="C11" s="144"/>
      <c r="D11" s="144"/>
      <c r="E11" s="144"/>
      <c r="F11" s="144"/>
      <c r="G11" s="145"/>
      <c r="H11" s="104"/>
      <c r="I11" s="105"/>
      <c r="J11" s="105"/>
      <c r="K11" s="105"/>
      <c r="L11" s="105"/>
      <c r="M11" s="105"/>
      <c r="N11" s="106"/>
      <c r="O11" s="104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7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143"/>
      <c r="B12" s="144"/>
      <c r="C12" s="144"/>
      <c r="D12" s="144"/>
      <c r="E12" s="144"/>
      <c r="F12" s="144"/>
      <c r="G12" s="145"/>
      <c r="H12" s="104"/>
      <c r="I12" s="105"/>
      <c r="J12" s="105"/>
      <c r="K12" s="105"/>
      <c r="L12" s="105"/>
      <c r="M12" s="105"/>
      <c r="N12" s="106"/>
      <c r="O12" s="104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7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143"/>
      <c r="B13" s="144"/>
      <c r="C13" s="144"/>
      <c r="D13" s="144"/>
      <c r="E13" s="144"/>
      <c r="F13" s="144"/>
      <c r="G13" s="145"/>
      <c r="H13" s="104"/>
      <c r="I13" s="105"/>
      <c r="J13" s="105"/>
      <c r="K13" s="105"/>
      <c r="L13" s="105"/>
      <c r="M13" s="105"/>
      <c r="N13" s="106"/>
      <c r="O13" s="104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7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143"/>
      <c r="B14" s="144"/>
      <c r="C14" s="144"/>
      <c r="D14" s="144"/>
      <c r="E14" s="144"/>
      <c r="F14" s="144"/>
      <c r="G14" s="145"/>
      <c r="H14" s="104"/>
      <c r="I14" s="105"/>
      <c r="J14" s="105"/>
      <c r="K14" s="105"/>
      <c r="L14" s="105"/>
      <c r="M14" s="105"/>
      <c r="N14" s="106"/>
      <c r="O14" s="104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7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143"/>
      <c r="B15" s="144"/>
      <c r="C15" s="144"/>
      <c r="D15" s="144"/>
      <c r="E15" s="144"/>
      <c r="F15" s="144"/>
      <c r="G15" s="145"/>
      <c r="H15" s="104"/>
      <c r="I15" s="105"/>
      <c r="J15" s="105"/>
      <c r="K15" s="105"/>
      <c r="L15" s="105"/>
      <c r="M15" s="105"/>
      <c r="N15" s="106"/>
      <c r="O15" s="104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7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143"/>
      <c r="B16" s="144"/>
      <c r="C16" s="144"/>
      <c r="D16" s="144"/>
      <c r="E16" s="144"/>
      <c r="F16" s="144"/>
      <c r="G16" s="145"/>
      <c r="H16" s="104"/>
      <c r="I16" s="105"/>
      <c r="J16" s="105"/>
      <c r="K16" s="105"/>
      <c r="L16" s="105"/>
      <c r="M16" s="105"/>
      <c r="N16" s="106"/>
      <c r="O16" s="104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7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143"/>
      <c r="B17" s="144"/>
      <c r="C17" s="144"/>
      <c r="D17" s="144"/>
      <c r="E17" s="144"/>
      <c r="F17" s="144"/>
      <c r="G17" s="145"/>
      <c r="H17" s="104"/>
      <c r="I17" s="105"/>
      <c r="J17" s="105"/>
      <c r="K17" s="105"/>
      <c r="L17" s="105"/>
      <c r="M17" s="105"/>
      <c r="N17" s="106"/>
      <c r="O17" s="104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7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143"/>
      <c r="B18" s="144"/>
      <c r="C18" s="144"/>
      <c r="D18" s="144"/>
      <c r="E18" s="144"/>
      <c r="F18" s="144"/>
      <c r="G18" s="145"/>
      <c r="H18" s="104"/>
      <c r="I18" s="105"/>
      <c r="J18" s="105"/>
      <c r="K18" s="105"/>
      <c r="L18" s="105"/>
      <c r="M18" s="105"/>
      <c r="N18" s="106"/>
      <c r="O18" s="104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7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143"/>
      <c r="B19" s="144"/>
      <c r="C19" s="144"/>
      <c r="D19" s="144"/>
      <c r="E19" s="144"/>
      <c r="F19" s="144"/>
      <c r="G19" s="145"/>
      <c r="H19" s="104"/>
      <c r="I19" s="105"/>
      <c r="J19" s="105"/>
      <c r="K19" s="105"/>
      <c r="L19" s="105"/>
      <c r="M19" s="105"/>
      <c r="N19" s="106"/>
      <c r="O19" s="104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7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143"/>
      <c r="B20" s="144"/>
      <c r="C20" s="144"/>
      <c r="D20" s="144"/>
      <c r="E20" s="144"/>
      <c r="F20" s="144"/>
      <c r="G20" s="145"/>
      <c r="H20" s="104"/>
      <c r="I20" s="105"/>
      <c r="J20" s="105"/>
      <c r="K20" s="105"/>
      <c r="L20" s="105"/>
      <c r="M20" s="105"/>
      <c r="N20" s="106"/>
      <c r="O20" s="104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7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143"/>
      <c r="B21" s="144"/>
      <c r="C21" s="144"/>
      <c r="D21" s="144"/>
      <c r="E21" s="144"/>
      <c r="F21" s="144"/>
      <c r="G21" s="145"/>
      <c r="H21" s="104"/>
      <c r="I21" s="105"/>
      <c r="J21" s="105"/>
      <c r="K21" s="105"/>
      <c r="L21" s="105"/>
      <c r="M21" s="105"/>
      <c r="N21" s="106"/>
      <c r="O21" s="104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7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143"/>
      <c r="B22" s="144"/>
      <c r="C22" s="144"/>
      <c r="D22" s="144"/>
      <c r="E22" s="144"/>
      <c r="F22" s="144"/>
      <c r="G22" s="145"/>
      <c r="H22" s="104"/>
      <c r="I22" s="105"/>
      <c r="J22" s="105"/>
      <c r="K22" s="105"/>
      <c r="L22" s="105"/>
      <c r="M22" s="105"/>
      <c r="N22" s="106"/>
      <c r="O22" s="104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7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143"/>
      <c r="B23" s="144"/>
      <c r="C23" s="144"/>
      <c r="D23" s="144"/>
      <c r="E23" s="144"/>
      <c r="F23" s="144"/>
      <c r="G23" s="145"/>
      <c r="H23" s="104"/>
      <c r="I23" s="105"/>
      <c r="J23" s="105"/>
      <c r="K23" s="105"/>
      <c r="L23" s="105"/>
      <c r="M23" s="105"/>
      <c r="N23" s="106"/>
      <c r="O23" s="104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7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143"/>
      <c r="B24" s="144"/>
      <c r="C24" s="144"/>
      <c r="D24" s="144"/>
      <c r="E24" s="144"/>
      <c r="F24" s="144"/>
      <c r="G24" s="145"/>
      <c r="H24" s="104"/>
      <c r="I24" s="105"/>
      <c r="J24" s="105"/>
      <c r="K24" s="105"/>
      <c r="L24" s="105"/>
      <c r="M24" s="105"/>
      <c r="N24" s="106"/>
      <c r="O24" s="104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7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143"/>
      <c r="B25" s="144"/>
      <c r="C25" s="144"/>
      <c r="D25" s="144"/>
      <c r="E25" s="144"/>
      <c r="F25" s="144"/>
      <c r="G25" s="145"/>
      <c r="H25" s="104"/>
      <c r="I25" s="105"/>
      <c r="J25" s="105"/>
      <c r="K25" s="105"/>
      <c r="L25" s="105"/>
      <c r="M25" s="105"/>
      <c r="N25" s="106"/>
      <c r="O25" s="104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7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143"/>
      <c r="B26" s="144"/>
      <c r="C26" s="144"/>
      <c r="D26" s="144"/>
      <c r="E26" s="144"/>
      <c r="F26" s="144"/>
      <c r="G26" s="145"/>
      <c r="H26" s="104"/>
      <c r="I26" s="105"/>
      <c r="J26" s="105"/>
      <c r="K26" s="105"/>
      <c r="L26" s="105"/>
      <c r="M26" s="105"/>
      <c r="N26" s="106"/>
      <c r="O26" s="104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7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143"/>
      <c r="B27" s="144"/>
      <c r="C27" s="144"/>
      <c r="D27" s="144"/>
      <c r="E27" s="144"/>
      <c r="F27" s="144"/>
      <c r="G27" s="145"/>
      <c r="H27" s="104"/>
      <c r="I27" s="105"/>
      <c r="J27" s="105"/>
      <c r="K27" s="105"/>
      <c r="L27" s="105"/>
      <c r="M27" s="105"/>
      <c r="N27" s="106"/>
      <c r="O27" s="104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7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143"/>
      <c r="B28" s="144"/>
      <c r="C28" s="144"/>
      <c r="D28" s="144"/>
      <c r="E28" s="144"/>
      <c r="F28" s="144"/>
      <c r="G28" s="145"/>
      <c r="H28" s="104"/>
      <c r="I28" s="105"/>
      <c r="J28" s="105"/>
      <c r="K28" s="105"/>
      <c r="L28" s="105"/>
      <c r="M28" s="105"/>
      <c r="N28" s="106"/>
      <c r="O28" s="104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7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143"/>
      <c r="B29" s="144"/>
      <c r="C29" s="144"/>
      <c r="D29" s="144"/>
      <c r="E29" s="144"/>
      <c r="F29" s="144"/>
      <c r="G29" s="145"/>
      <c r="H29" s="104"/>
      <c r="I29" s="105"/>
      <c r="J29" s="105"/>
      <c r="K29" s="105"/>
      <c r="L29" s="105"/>
      <c r="M29" s="105"/>
      <c r="N29" s="106"/>
      <c r="O29" s="104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7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143"/>
      <c r="B30" s="144"/>
      <c r="C30" s="144"/>
      <c r="D30" s="144"/>
      <c r="E30" s="144"/>
      <c r="F30" s="144"/>
      <c r="G30" s="145"/>
      <c r="H30" s="104"/>
      <c r="I30" s="105"/>
      <c r="J30" s="105"/>
      <c r="K30" s="105"/>
      <c r="L30" s="105"/>
      <c r="M30" s="105"/>
      <c r="N30" s="106"/>
      <c r="O30" s="104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7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143"/>
      <c r="B31" s="144"/>
      <c r="C31" s="144"/>
      <c r="D31" s="144"/>
      <c r="E31" s="144"/>
      <c r="F31" s="144"/>
      <c r="G31" s="145"/>
      <c r="H31" s="104"/>
      <c r="I31" s="105"/>
      <c r="J31" s="105"/>
      <c r="K31" s="105"/>
      <c r="L31" s="105"/>
      <c r="M31" s="105"/>
      <c r="N31" s="106"/>
      <c r="O31" s="104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7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143"/>
      <c r="B32" s="144"/>
      <c r="C32" s="144"/>
      <c r="D32" s="144"/>
      <c r="E32" s="144"/>
      <c r="F32" s="144"/>
      <c r="G32" s="145"/>
      <c r="H32" s="104"/>
      <c r="I32" s="105"/>
      <c r="J32" s="105"/>
      <c r="K32" s="105"/>
      <c r="L32" s="105"/>
      <c r="M32" s="105"/>
      <c r="N32" s="106"/>
      <c r="O32" s="104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7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143"/>
      <c r="B33" s="144"/>
      <c r="C33" s="144"/>
      <c r="D33" s="144"/>
      <c r="E33" s="144"/>
      <c r="F33" s="144"/>
      <c r="G33" s="145"/>
      <c r="H33" s="104"/>
      <c r="I33" s="105"/>
      <c r="J33" s="105"/>
      <c r="K33" s="105"/>
      <c r="L33" s="105"/>
      <c r="M33" s="105"/>
      <c r="N33" s="106"/>
      <c r="O33" s="104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7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143"/>
      <c r="B34" s="144"/>
      <c r="C34" s="144"/>
      <c r="D34" s="144"/>
      <c r="E34" s="144"/>
      <c r="F34" s="144"/>
      <c r="G34" s="145"/>
      <c r="H34" s="104"/>
      <c r="I34" s="105"/>
      <c r="J34" s="105"/>
      <c r="K34" s="105"/>
      <c r="L34" s="105"/>
      <c r="M34" s="105"/>
      <c r="N34" s="106"/>
      <c r="O34" s="104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7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46"/>
      <c r="B35" s="147"/>
      <c r="C35" s="147"/>
      <c r="D35" s="147"/>
      <c r="E35" s="147"/>
      <c r="F35" s="147"/>
      <c r="G35" s="148"/>
      <c r="H35" s="136"/>
      <c r="I35" s="137"/>
      <c r="J35" s="137"/>
      <c r="K35" s="137"/>
      <c r="L35" s="137"/>
      <c r="M35" s="137"/>
      <c r="N35" s="138"/>
      <c r="O35" s="136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40"/>
      <c r="AQ35" s="141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4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8:G18"/>
    <mergeCell ref="A19:G19"/>
    <mergeCell ref="A20:G20"/>
    <mergeCell ref="A28:G28"/>
    <mergeCell ref="A29:G29"/>
    <mergeCell ref="A30:G30"/>
    <mergeCell ref="A21:G21"/>
    <mergeCell ref="A22:G22"/>
    <mergeCell ref="A23:G23"/>
    <mergeCell ref="A26:G26"/>
    <mergeCell ref="A12:G12"/>
    <mergeCell ref="A13:G13"/>
    <mergeCell ref="A14:G14"/>
    <mergeCell ref="A15:G15"/>
    <mergeCell ref="O31:AP31"/>
    <mergeCell ref="AQ31:BE31"/>
    <mergeCell ref="O29:AP29"/>
    <mergeCell ref="AQ29:BE29"/>
    <mergeCell ref="H30:N30"/>
    <mergeCell ref="A16:G16"/>
    <mergeCell ref="A17:G17"/>
    <mergeCell ref="A6:G6"/>
    <mergeCell ref="A7:G7"/>
    <mergeCell ref="A8:G8"/>
    <mergeCell ref="A9:G9"/>
    <mergeCell ref="A10:G10"/>
    <mergeCell ref="A11:G11"/>
    <mergeCell ref="H31:N31"/>
    <mergeCell ref="H26:N26"/>
    <mergeCell ref="H28:N28"/>
    <mergeCell ref="H21:N21"/>
    <mergeCell ref="A24:G24"/>
    <mergeCell ref="A25:G25"/>
    <mergeCell ref="H25:N25"/>
    <mergeCell ref="H19:N19"/>
    <mergeCell ref="H22:N22"/>
    <mergeCell ref="H10:N10"/>
    <mergeCell ref="H29:N29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H34:N34"/>
    <mergeCell ref="O30:AP30"/>
    <mergeCell ref="AQ30:BE30"/>
    <mergeCell ref="O27:AP27"/>
    <mergeCell ref="AQ27:BE27"/>
    <mergeCell ref="O26:AP26"/>
    <mergeCell ref="AQ26:BE26"/>
    <mergeCell ref="H24:N24"/>
    <mergeCell ref="O24:AP24"/>
    <mergeCell ref="AQ24:BE24"/>
    <mergeCell ref="O28:AP28"/>
    <mergeCell ref="AQ28:BE28"/>
    <mergeCell ref="H27:N27"/>
    <mergeCell ref="H11:N11"/>
    <mergeCell ref="O11:AP11"/>
    <mergeCell ref="AQ11:BE11"/>
    <mergeCell ref="O21:AP21"/>
    <mergeCell ref="AQ21:BE21"/>
    <mergeCell ref="H15:N15"/>
    <mergeCell ref="O15:AP15"/>
    <mergeCell ref="AQ15:BE15"/>
    <mergeCell ref="H16:N16"/>
    <mergeCell ref="H18:N18"/>
    <mergeCell ref="O18:AP18"/>
    <mergeCell ref="AQ18:BE18"/>
    <mergeCell ref="H17:N17"/>
    <mergeCell ref="O16:AP16"/>
    <mergeCell ref="AQ16:BE16"/>
    <mergeCell ref="O19:AP19"/>
    <mergeCell ref="AQ19:BE19"/>
    <mergeCell ref="H20:N20"/>
    <mergeCell ref="O20:AP20"/>
    <mergeCell ref="AQ20:BE20"/>
    <mergeCell ref="O17:AP17"/>
    <mergeCell ref="AQ17:BE17"/>
    <mergeCell ref="O13:AP13"/>
    <mergeCell ref="AQ13:BE13"/>
    <mergeCell ref="H14:N14"/>
    <mergeCell ref="O14:AP14"/>
    <mergeCell ref="AQ14:BE14"/>
    <mergeCell ref="H13:N13"/>
    <mergeCell ref="H12:N12"/>
    <mergeCell ref="O12:AP12"/>
    <mergeCell ref="AQ12:BE12"/>
    <mergeCell ref="O25:AP25"/>
    <mergeCell ref="AQ25:BE25"/>
    <mergeCell ref="O22:AP22"/>
    <mergeCell ref="AQ22:BE22"/>
    <mergeCell ref="H23:N23"/>
    <mergeCell ref="O23:AP23"/>
    <mergeCell ref="AQ23:BE23"/>
    <mergeCell ref="H4:N4"/>
    <mergeCell ref="O4:AP4"/>
    <mergeCell ref="AQ4:BE4"/>
    <mergeCell ref="A3:G3"/>
    <mergeCell ref="O5:AP5"/>
    <mergeCell ref="AQ5:BE5"/>
    <mergeCell ref="A4:G4"/>
    <mergeCell ref="A5:G5"/>
    <mergeCell ref="O6:AP6"/>
    <mergeCell ref="AQ6:BE6"/>
    <mergeCell ref="H5:N5"/>
    <mergeCell ref="AQ10:BE10"/>
    <mergeCell ref="H9:N9"/>
    <mergeCell ref="O9:AP9"/>
    <mergeCell ref="AQ9:BE9"/>
    <mergeCell ref="H7:N7"/>
    <mergeCell ref="O7:AP7"/>
    <mergeCell ref="AQ7:BE7"/>
    <mergeCell ref="H8:N8"/>
    <mergeCell ref="H6:N6"/>
    <mergeCell ref="O8:AP8"/>
    <mergeCell ref="AQ8:BE8"/>
    <mergeCell ref="O10:AP1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2016-02-18T07:23:43Z</cp:lastPrinted>
  <dcterms:created xsi:type="dcterms:W3CDTF">2000-04-01T00:00:00Z</dcterms:created>
  <dcterms:modified xsi:type="dcterms:W3CDTF">2026-03-27T05:42:15Z</dcterms:modified>
  <cp:category/>
</cp:coreProperties>
</file>