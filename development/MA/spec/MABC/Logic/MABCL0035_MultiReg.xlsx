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6877918F-0A0C-4F01-9B83-EF9FDE7ED515}" xr6:coauthVersionLast="47" xr6:coauthVersionMax="47" xr10:uidLastSave="{00000000-0000-0000-0000-000000000000}"/>
  <bookViews>
    <workbookView xWindow="1710" yWindow="1710" windowWidth="21600" windowHeight="11265" tabRatio="822" firstSheet="62" activeTab="67" xr2:uid="{00000000-000D-0000-FFFF-FFFF00000000}"/>
  </bookViews>
  <sheets>
    <sheet name="LogicCommon" sheetId="10" r:id="rId1"/>
    <sheet name="JnlPtnBase_UpdChk01" sheetId="193" r:id="rId2"/>
    <sheet name="JnlPtnBase_Upd01" sheetId="194" r:id="rId3"/>
    <sheet name="JnlPtnBaseLcl_UpdChk01" sheetId="195" r:id="rId4"/>
    <sheet name="JnlPtnBaseLcl_Upd01" sheetId="196" r:id="rId5"/>
    <sheet name="JnlPtnBase_DelChk01" sheetId="355" r:id="rId6"/>
    <sheet name="JnlPtnBase_Del01" sheetId="356" r:id="rId7"/>
    <sheet name="AutoJnlKey_UpdChk01" sheetId="197" r:id="rId8"/>
    <sheet name="AutoJnlKey_Upd01" sheetId="198" r:id="rId9"/>
    <sheet name="AutoJnlKeyLcl_UpdChk01" sheetId="199" r:id="rId10"/>
    <sheet name="AutoJnlKeyLcl_Upd01" sheetId="200" r:id="rId11"/>
    <sheet name="AutoJnlKey_DelChk01" sheetId="357" r:id="rId12"/>
    <sheet name="AutoJnlKey_Del01" sheetId="358" r:id="rId13"/>
    <sheet name="InspPtn_UpdChk01" sheetId="201" r:id="rId14"/>
    <sheet name="InspPtn_Upd01" sheetId="202" r:id="rId15"/>
    <sheet name="InspPtnLcl_UpdChk01" sheetId="203" r:id="rId16"/>
    <sheet name="InspPtnLcl_Upd01" sheetId="204" r:id="rId17"/>
    <sheet name="InspPtn_DelChk01" sheetId="359" r:id="rId18"/>
    <sheet name="InspPtn_Del01" sheetId="360" r:id="rId19"/>
    <sheet name="WkDay_UpdChk01" sheetId="311" r:id="rId20"/>
    <sheet name="WkDay_Upd01" sheetId="312" r:id="rId21"/>
    <sheet name="WkDayLcl_UpdChk01" sheetId="313" r:id="rId22"/>
    <sheet name="WkDayLcl_Upd01" sheetId="314" r:id="rId23"/>
    <sheet name="WkDay_DelChk01" sheetId="361" r:id="rId24"/>
    <sheet name="WkDay_Del01" sheetId="362" r:id="rId25"/>
    <sheet name="ShipTerm_UpdChk01" sheetId="317" r:id="rId26"/>
    <sheet name="ShipTerm_Upd01" sheetId="318" r:id="rId27"/>
    <sheet name="ShipTermLcl_UpdChk01" sheetId="319" r:id="rId28"/>
    <sheet name="ShipTermLcl_Upd01" sheetId="320" r:id="rId29"/>
    <sheet name="ShipTerm_DelChk01" sheetId="363" r:id="rId30"/>
    <sheet name="ShipTerm_Del01" sheetId="364" r:id="rId31"/>
    <sheet name="ShipWk_UpdChk01" sheetId="351" r:id="rId32"/>
    <sheet name="ShipWk_Upd01" sheetId="352" r:id="rId33"/>
    <sheet name="ShipWkLcl_UpdChk01" sheetId="353" r:id="rId34"/>
    <sheet name="ShipWkLcl_Upd01" sheetId="354" r:id="rId35"/>
    <sheet name="ShipWk_DelChk01" sheetId="365" r:id="rId36"/>
    <sheet name="ShipWk_Del01" sheetId="366" r:id="rId37"/>
    <sheet name="Rsrc_UpdChk01" sheetId="321" r:id="rId38"/>
    <sheet name="Rsrc_Upd01" sheetId="322" r:id="rId39"/>
    <sheet name="RsrcLcl_UpdChk01" sheetId="323" r:id="rId40"/>
    <sheet name="RsrcLcl_Upd01" sheetId="324" r:id="rId41"/>
    <sheet name="Rsrc_DelChk01" sheetId="367" r:id="rId42"/>
    <sheet name="Rsrc_Del01" sheetId="368" r:id="rId43"/>
    <sheet name="HsGrp_UpdChk01" sheetId="329" r:id="rId44"/>
    <sheet name="HsGrp_Upd01" sheetId="330" r:id="rId45"/>
    <sheet name="HsGrpLcl_UpdChk01" sheetId="331" r:id="rId46"/>
    <sheet name="HsGrpLcl_Upd01" sheetId="332" r:id="rId47"/>
    <sheet name="HsGrp_DelChk01" sheetId="369" r:id="rId48"/>
    <sheet name="HsGrp_Del01" sheetId="370" r:id="rId49"/>
    <sheet name="AlcPtn_UpdChk01" sheetId="333" r:id="rId50"/>
    <sheet name="AlcPtn_Upd01" sheetId="334" r:id="rId51"/>
    <sheet name="AlcPtnLcl_UpdChk01" sheetId="335" r:id="rId52"/>
    <sheet name="AlcPtnLcl_Upd01" sheetId="336" r:id="rId53"/>
    <sheet name="AlcPtn_DelChk01" sheetId="371" r:id="rId54"/>
    <sheet name="AlcPtn_Del01" sheetId="372" r:id="rId55"/>
    <sheet name="CtgGrp_UpdChk01" sheetId="337" r:id="rId56"/>
    <sheet name="CtgGrp_Upd01" sheetId="338" r:id="rId57"/>
    <sheet name="CtgGrpLcl_UpdChk01" sheetId="339" r:id="rId58"/>
    <sheet name="CtgGrpLcl_Upd01" sheetId="340" r:id="rId59"/>
    <sheet name="CtgGrp_DelChk01" sheetId="373" r:id="rId60"/>
    <sheet name="CtgGrp_Del01" sheetId="374" r:id="rId61"/>
    <sheet name="ActPtn_UpdChk01" sheetId="375" r:id="rId62"/>
    <sheet name="ActPtn_Upd01" sheetId="376" r:id="rId63"/>
    <sheet name="ActPtnLcl_UpdChk01" sheetId="377" r:id="rId64"/>
    <sheet name="ActPtnLcl_Upd01" sheetId="378" r:id="rId65"/>
    <sheet name="ActPtn_DelChk01" sheetId="379" r:id="rId66"/>
    <sheet name="ActPtn_Del01" sheetId="380" r:id="rId67"/>
    <sheet name="来歴" sheetId="13" r:id="rId6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80" l="1"/>
  <c r="H4" i="380"/>
  <c r="L3" i="380"/>
  <c r="H3" i="380"/>
  <c r="F3" i="380"/>
  <c r="D3" i="380"/>
  <c r="L2" i="380"/>
  <c r="H2" i="380"/>
  <c r="F2" i="380"/>
  <c r="L4" i="379"/>
  <c r="N2" i="379" s="1"/>
  <c r="H4" i="379"/>
  <c r="L3" i="379"/>
  <c r="H3" i="379"/>
  <c r="F3" i="379"/>
  <c r="D3" i="379"/>
  <c r="L2" i="379"/>
  <c r="H2" i="379"/>
  <c r="F2" i="379"/>
  <c r="L4" i="378"/>
  <c r="H4" i="378"/>
  <c r="L3" i="378"/>
  <c r="H3" i="378"/>
  <c r="F3" i="378"/>
  <c r="D3" i="378"/>
  <c r="L2" i="378"/>
  <c r="H2" i="378"/>
  <c r="F2" i="378"/>
  <c r="L4" i="377"/>
  <c r="N2" i="377" s="1"/>
  <c r="H4" i="377"/>
  <c r="L3" i="377"/>
  <c r="H3" i="377"/>
  <c r="F3" i="377"/>
  <c r="D3" i="377"/>
  <c r="L2" i="377"/>
  <c r="H2" i="377"/>
  <c r="F2" i="377"/>
  <c r="L4" i="376"/>
  <c r="H4" i="376"/>
  <c r="L3" i="376"/>
  <c r="H3" i="376"/>
  <c r="F3" i="376"/>
  <c r="D3" i="376"/>
  <c r="L2" i="376"/>
  <c r="H2" i="376"/>
  <c r="F2" i="376"/>
  <c r="L4" i="375"/>
  <c r="N2" i="375" s="1"/>
  <c r="H4" i="375"/>
  <c r="L3" i="375"/>
  <c r="H3" i="375"/>
  <c r="F3" i="375"/>
  <c r="D3" i="375"/>
  <c r="L2" i="375"/>
  <c r="H2" i="375"/>
  <c r="F2" i="375"/>
  <c r="L4" i="374" l="1"/>
  <c r="L3" i="374"/>
  <c r="L2" i="374"/>
  <c r="L4" i="373"/>
  <c r="N2" i="373" s="1"/>
  <c r="L3" i="373"/>
  <c r="L2" i="373"/>
  <c r="L4" i="372"/>
  <c r="L3" i="372"/>
  <c r="L2" i="372"/>
  <c r="L4" i="371"/>
  <c r="L3" i="371"/>
  <c r="L2" i="371"/>
  <c r="L4" i="370"/>
  <c r="L3" i="370"/>
  <c r="L2" i="370"/>
  <c r="L4" i="369"/>
  <c r="N2" i="369" s="1"/>
  <c r="L3" i="369"/>
  <c r="L2" i="369"/>
  <c r="L4" i="368"/>
  <c r="L3" i="368"/>
  <c r="L2" i="368"/>
  <c r="L4" i="367"/>
  <c r="L3" i="367"/>
  <c r="L2" i="367"/>
  <c r="L4" i="366"/>
  <c r="L3" i="366"/>
  <c r="L2" i="366"/>
  <c r="L4" i="365"/>
  <c r="N2" i="365" s="1"/>
  <c r="L3" i="365"/>
  <c r="L2" i="365"/>
  <c r="L4" i="364"/>
  <c r="L3" i="364"/>
  <c r="L2" i="364"/>
  <c r="L4" i="363"/>
  <c r="L3" i="363"/>
  <c r="L2" i="363"/>
  <c r="L4" i="362"/>
  <c r="L3" i="362"/>
  <c r="L2" i="362"/>
  <c r="L4" i="361"/>
  <c r="N2" i="361" s="1"/>
  <c r="L3" i="361"/>
  <c r="L2" i="361"/>
  <c r="L4" i="360"/>
  <c r="L3" i="360"/>
  <c r="L2" i="360"/>
  <c r="L4" i="359"/>
  <c r="L3" i="359"/>
  <c r="L2" i="359"/>
  <c r="L4" i="358"/>
  <c r="L3" i="358"/>
  <c r="L2" i="358"/>
  <c r="L4" i="357"/>
  <c r="N2" i="357" s="1"/>
  <c r="L3" i="357"/>
  <c r="L2" i="357"/>
  <c r="L4" i="356"/>
  <c r="L3" i="356"/>
  <c r="L2" i="356"/>
  <c r="L4" i="355"/>
  <c r="L3" i="355"/>
  <c r="L2" i="355"/>
  <c r="H4" i="374"/>
  <c r="H3" i="374"/>
  <c r="F3" i="374"/>
  <c r="D3" i="374"/>
  <c r="H2" i="374"/>
  <c r="F2" i="374"/>
  <c r="H4" i="373"/>
  <c r="H3" i="373"/>
  <c r="F3" i="373"/>
  <c r="D3" i="373"/>
  <c r="H2" i="373"/>
  <c r="F2" i="373"/>
  <c r="H4" i="372"/>
  <c r="H3" i="372"/>
  <c r="F3" i="372"/>
  <c r="D3" i="372"/>
  <c r="H2" i="372"/>
  <c r="F2" i="372"/>
  <c r="H4" i="371"/>
  <c r="H3" i="371"/>
  <c r="F3" i="371"/>
  <c r="D3" i="371"/>
  <c r="H2" i="371"/>
  <c r="F2" i="371"/>
  <c r="H4" i="370"/>
  <c r="H3" i="370"/>
  <c r="F3" i="370"/>
  <c r="D3" i="370"/>
  <c r="H2" i="370"/>
  <c r="F2" i="370"/>
  <c r="H4" i="369"/>
  <c r="H3" i="369"/>
  <c r="F3" i="369"/>
  <c r="D3" i="369"/>
  <c r="H2" i="369"/>
  <c r="F2" i="369"/>
  <c r="H4" i="368"/>
  <c r="H3" i="368"/>
  <c r="F3" i="368"/>
  <c r="D3" i="368"/>
  <c r="H2" i="368"/>
  <c r="F2" i="368"/>
  <c r="H4" i="367"/>
  <c r="H3" i="367"/>
  <c r="F3" i="367"/>
  <c r="D3" i="367"/>
  <c r="H2" i="367"/>
  <c r="F2" i="367"/>
  <c r="H4" i="366"/>
  <c r="H3" i="366"/>
  <c r="F3" i="366"/>
  <c r="D3" i="366"/>
  <c r="H2" i="366"/>
  <c r="F2" i="366"/>
  <c r="H4" i="365"/>
  <c r="H3" i="365"/>
  <c r="F3" i="365"/>
  <c r="D3" i="365"/>
  <c r="H2" i="365"/>
  <c r="F2" i="365"/>
  <c r="H4" i="364"/>
  <c r="H3" i="364"/>
  <c r="F3" i="364"/>
  <c r="D3" i="364"/>
  <c r="H2" i="364"/>
  <c r="F2" i="364"/>
  <c r="H4" i="363"/>
  <c r="H3" i="363"/>
  <c r="F3" i="363"/>
  <c r="D3" i="363"/>
  <c r="H2" i="363"/>
  <c r="F2" i="363"/>
  <c r="H4" i="362"/>
  <c r="H3" i="362"/>
  <c r="F3" i="362"/>
  <c r="D3" i="362"/>
  <c r="H2" i="362"/>
  <c r="F2" i="362"/>
  <c r="H4" i="361"/>
  <c r="H3" i="361"/>
  <c r="F3" i="361"/>
  <c r="D3" i="361"/>
  <c r="H2" i="361"/>
  <c r="F2" i="361"/>
  <c r="H4" i="360"/>
  <c r="H3" i="360"/>
  <c r="F3" i="360"/>
  <c r="D3" i="360"/>
  <c r="H2" i="360"/>
  <c r="F2" i="360"/>
  <c r="H4" i="359"/>
  <c r="H3" i="359"/>
  <c r="F3" i="359"/>
  <c r="D3" i="359"/>
  <c r="H2" i="359"/>
  <c r="F2" i="359"/>
  <c r="H4" i="358"/>
  <c r="H3" i="358"/>
  <c r="F3" i="358"/>
  <c r="D3" i="358"/>
  <c r="H2" i="358"/>
  <c r="F2" i="358"/>
  <c r="H4" i="357"/>
  <c r="H3" i="357"/>
  <c r="F3" i="357"/>
  <c r="D3" i="357"/>
  <c r="H2" i="357"/>
  <c r="F2" i="357"/>
  <c r="H4" i="356"/>
  <c r="H3" i="356"/>
  <c r="F3" i="356"/>
  <c r="D3" i="356"/>
  <c r="H2" i="356"/>
  <c r="F2" i="356"/>
  <c r="H4" i="355"/>
  <c r="H3" i="355"/>
  <c r="F3" i="355"/>
  <c r="D3" i="355"/>
  <c r="H2" i="355"/>
  <c r="F2" i="355"/>
  <c r="N2" i="371"/>
  <c r="N2" i="367"/>
  <c r="N2" i="363"/>
  <c r="N2" i="359"/>
  <c r="N2" i="355"/>
  <c r="L4" i="354" l="1"/>
  <c r="H4" i="354"/>
  <c r="L3" i="354"/>
  <c r="H3" i="354"/>
  <c r="F3" i="354"/>
  <c r="D3" i="354"/>
  <c r="L2" i="354"/>
  <c r="H2" i="354"/>
  <c r="F2" i="354"/>
  <c r="L4" i="353"/>
  <c r="N2" i="353" s="1"/>
  <c r="H4" i="353"/>
  <c r="L3" i="353"/>
  <c r="H3" i="353"/>
  <c r="F3" i="353"/>
  <c r="D3" i="353"/>
  <c r="L2" i="353"/>
  <c r="H2" i="353"/>
  <c r="F2" i="353"/>
  <c r="L4" i="352"/>
  <c r="H4" i="352"/>
  <c r="L3" i="352"/>
  <c r="H3" i="352"/>
  <c r="F3" i="352"/>
  <c r="D3" i="352"/>
  <c r="L2" i="352"/>
  <c r="H2" i="352"/>
  <c r="F2" i="352"/>
  <c r="L4" i="351"/>
  <c r="N2" i="351" s="1"/>
  <c r="H4" i="351"/>
  <c r="L3" i="351"/>
  <c r="H3" i="351"/>
  <c r="F3" i="351"/>
  <c r="D3" i="351"/>
  <c r="L2" i="351"/>
  <c r="H2" i="351"/>
  <c r="F2" i="351"/>
  <c r="L4" i="340" l="1"/>
  <c r="L3" i="340"/>
  <c r="L2" i="340"/>
  <c r="L4" i="339"/>
  <c r="L3" i="339"/>
  <c r="L2" i="339"/>
  <c r="L4" i="338"/>
  <c r="L3" i="338"/>
  <c r="L2" i="338"/>
  <c r="L4" i="337"/>
  <c r="L3" i="337"/>
  <c r="L2" i="337"/>
  <c r="L4" i="336"/>
  <c r="L3" i="336"/>
  <c r="L2" i="336"/>
  <c r="L4" i="335"/>
  <c r="L3" i="335"/>
  <c r="L2" i="335"/>
  <c r="L4" i="334"/>
  <c r="L3" i="334"/>
  <c r="L2" i="334"/>
  <c r="L4" i="333"/>
  <c r="L3" i="333"/>
  <c r="L2" i="333"/>
  <c r="L4" i="332"/>
  <c r="L3" i="332"/>
  <c r="L2" i="332"/>
  <c r="L4" i="331"/>
  <c r="L3" i="331"/>
  <c r="L2" i="331"/>
  <c r="L4" i="330"/>
  <c r="L3" i="330"/>
  <c r="L2" i="330"/>
  <c r="L4" i="329"/>
  <c r="L3" i="329"/>
  <c r="L2" i="329"/>
  <c r="L4" i="324"/>
  <c r="L3" i="324"/>
  <c r="L2" i="324"/>
  <c r="L4" i="323"/>
  <c r="L3" i="323"/>
  <c r="L2" i="323"/>
  <c r="L4" i="322"/>
  <c r="L3" i="322"/>
  <c r="L2" i="322"/>
  <c r="L4" i="321"/>
  <c r="L3" i="321"/>
  <c r="L2" i="321"/>
  <c r="H4" i="340"/>
  <c r="H3" i="340"/>
  <c r="F3" i="340"/>
  <c r="D3" i="340"/>
  <c r="H2" i="340"/>
  <c r="F2" i="340"/>
  <c r="H4" i="339"/>
  <c r="H3" i="339"/>
  <c r="F3" i="339"/>
  <c r="D3" i="339"/>
  <c r="H2" i="339"/>
  <c r="F2" i="339"/>
  <c r="H4" i="338"/>
  <c r="H3" i="338"/>
  <c r="F3" i="338"/>
  <c r="D3" i="338"/>
  <c r="H2" i="338"/>
  <c r="F2" i="338"/>
  <c r="H4" i="337"/>
  <c r="H3" i="337"/>
  <c r="F3" i="337"/>
  <c r="D3" i="337"/>
  <c r="H2" i="337"/>
  <c r="F2" i="337"/>
  <c r="H4" i="336"/>
  <c r="H3" i="336"/>
  <c r="F3" i="336"/>
  <c r="D3" i="336"/>
  <c r="H2" i="336"/>
  <c r="F2" i="336"/>
  <c r="H4" i="335"/>
  <c r="H3" i="335"/>
  <c r="F3" i="335"/>
  <c r="D3" i="335"/>
  <c r="H2" i="335"/>
  <c r="F2" i="335"/>
  <c r="H4" i="334"/>
  <c r="H3" i="334"/>
  <c r="F3" i="334"/>
  <c r="D3" i="334"/>
  <c r="H2" i="334"/>
  <c r="F2" i="334"/>
  <c r="H4" i="333"/>
  <c r="H3" i="333"/>
  <c r="F3" i="333"/>
  <c r="D3" i="333"/>
  <c r="H2" i="333"/>
  <c r="F2" i="333"/>
  <c r="H4" i="332"/>
  <c r="H3" i="332"/>
  <c r="F3" i="332"/>
  <c r="D3" i="332"/>
  <c r="H2" i="332"/>
  <c r="F2" i="332"/>
  <c r="H4" i="331"/>
  <c r="H3" i="331"/>
  <c r="F3" i="331"/>
  <c r="D3" i="331"/>
  <c r="H2" i="331"/>
  <c r="F2" i="331"/>
  <c r="H4" i="330"/>
  <c r="H3" i="330"/>
  <c r="F3" i="330"/>
  <c r="D3" i="330"/>
  <c r="H2" i="330"/>
  <c r="F2" i="330"/>
  <c r="H4" i="329"/>
  <c r="H3" i="329"/>
  <c r="F3" i="329"/>
  <c r="D3" i="329"/>
  <c r="H2" i="329"/>
  <c r="F2" i="329"/>
  <c r="H4" i="324"/>
  <c r="H3" i="324"/>
  <c r="F3" i="324"/>
  <c r="D3" i="324"/>
  <c r="H2" i="324"/>
  <c r="F2" i="324"/>
  <c r="H4" i="323"/>
  <c r="H3" i="323"/>
  <c r="F3" i="323"/>
  <c r="D3" i="323"/>
  <c r="H2" i="323"/>
  <c r="F2" i="323"/>
  <c r="H4" i="322"/>
  <c r="H3" i="322"/>
  <c r="F3" i="322"/>
  <c r="D3" i="322"/>
  <c r="H2" i="322"/>
  <c r="F2" i="322"/>
  <c r="H4" i="321"/>
  <c r="H3" i="321"/>
  <c r="F3" i="321"/>
  <c r="D3" i="321"/>
  <c r="H2" i="321"/>
  <c r="F2" i="321"/>
  <c r="N2" i="339" l="1"/>
  <c r="N2" i="337"/>
  <c r="N2" i="335"/>
  <c r="N2" i="333"/>
  <c r="N2" i="331"/>
  <c r="N2" i="329"/>
  <c r="N2" i="323"/>
  <c r="N2" i="321"/>
  <c r="L4" i="320" l="1"/>
  <c r="H4" i="320"/>
  <c r="L3" i="320"/>
  <c r="H3" i="320"/>
  <c r="F3" i="320"/>
  <c r="D3" i="320"/>
  <c r="L2" i="320"/>
  <c r="H2" i="320"/>
  <c r="F2" i="320"/>
  <c r="L4" i="319"/>
  <c r="N2" i="319" s="1"/>
  <c r="H4" i="319"/>
  <c r="L3" i="319"/>
  <c r="H3" i="319"/>
  <c r="F3" i="319"/>
  <c r="D3" i="319"/>
  <c r="L2" i="319"/>
  <c r="H2" i="319"/>
  <c r="F2" i="319"/>
  <c r="L4" i="318"/>
  <c r="H4" i="318"/>
  <c r="L3" i="318"/>
  <c r="H3" i="318"/>
  <c r="F3" i="318"/>
  <c r="D3" i="318"/>
  <c r="L2" i="318"/>
  <c r="H2" i="318"/>
  <c r="F2" i="318"/>
  <c r="L4" i="317"/>
  <c r="N2" i="317" s="1"/>
  <c r="H4" i="317"/>
  <c r="L3" i="317"/>
  <c r="H3" i="317"/>
  <c r="F3" i="317"/>
  <c r="D3" i="317"/>
  <c r="L2" i="317"/>
  <c r="H2" i="317"/>
  <c r="F2" i="317"/>
  <c r="L4" i="314" l="1"/>
  <c r="H4" i="314"/>
  <c r="L3" i="314"/>
  <c r="H3" i="314"/>
  <c r="F3" i="314"/>
  <c r="D3" i="314"/>
  <c r="L2" i="314"/>
  <c r="H2" i="314"/>
  <c r="F2" i="314"/>
  <c r="L4" i="313"/>
  <c r="N2" i="313" s="1"/>
  <c r="H4" i="313"/>
  <c r="L3" i="313"/>
  <c r="H3" i="313"/>
  <c r="F3" i="313"/>
  <c r="D3" i="313"/>
  <c r="L2" i="313"/>
  <c r="H2" i="313"/>
  <c r="F2" i="313"/>
  <c r="L4" i="312"/>
  <c r="H4" i="312"/>
  <c r="L3" i="312"/>
  <c r="H3" i="312"/>
  <c r="F3" i="312"/>
  <c r="D3" i="312"/>
  <c r="L2" i="312"/>
  <c r="H2" i="312"/>
  <c r="F2" i="312"/>
  <c r="L4" i="311"/>
  <c r="N2" i="311" s="1"/>
  <c r="H4" i="311"/>
  <c r="L3" i="311"/>
  <c r="H3" i="311"/>
  <c r="F3" i="311"/>
  <c r="D3" i="311"/>
  <c r="L2" i="311"/>
  <c r="H2" i="311"/>
  <c r="F2" i="311"/>
  <c r="L4" i="204" l="1"/>
  <c r="H4" i="204"/>
  <c r="L3" i="204"/>
  <c r="H3" i="204"/>
  <c r="F3" i="204"/>
  <c r="D3" i="204"/>
  <c r="L2" i="204"/>
  <c r="H2" i="204"/>
  <c r="F2" i="204"/>
  <c r="L4" i="203"/>
  <c r="N2" i="203" s="1"/>
  <c r="H4" i="203"/>
  <c r="L3" i="203"/>
  <c r="H3" i="203"/>
  <c r="F3" i="203"/>
  <c r="D3" i="203"/>
  <c r="L2" i="203"/>
  <c r="H2" i="203"/>
  <c r="F2" i="203"/>
  <c r="L4" i="202"/>
  <c r="H4" i="202"/>
  <c r="L3" i="202"/>
  <c r="H3" i="202"/>
  <c r="F3" i="202"/>
  <c r="D3" i="202"/>
  <c r="L2" i="202"/>
  <c r="H2" i="202"/>
  <c r="F2" i="202"/>
  <c r="L4" i="201"/>
  <c r="N2" i="201" s="1"/>
  <c r="H4" i="201"/>
  <c r="L3" i="201"/>
  <c r="H3" i="201"/>
  <c r="F3" i="201"/>
  <c r="D3" i="201"/>
  <c r="L2" i="201"/>
  <c r="H2" i="201"/>
  <c r="F2" i="201"/>
  <c r="L4" i="200"/>
  <c r="H4" i="200"/>
  <c r="L3" i="200"/>
  <c r="H3" i="200"/>
  <c r="F3" i="200"/>
  <c r="D3" i="200"/>
  <c r="L2" i="200"/>
  <c r="H2" i="200"/>
  <c r="F2" i="200"/>
  <c r="L4" i="199"/>
  <c r="N2" i="199" s="1"/>
  <c r="H4" i="199"/>
  <c r="L3" i="199"/>
  <c r="H3" i="199"/>
  <c r="F3" i="199"/>
  <c r="D3" i="199"/>
  <c r="L2" i="199"/>
  <c r="H2" i="199"/>
  <c r="F2" i="199"/>
  <c r="L4" i="198"/>
  <c r="H4" i="198"/>
  <c r="L3" i="198"/>
  <c r="H3" i="198"/>
  <c r="F3" i="198"/>
  <c r="D3" i="198"/>
  <c r="L2" i="198"/>
  <c r="H2" i="198"/>
  <c r="F2" i="198"/>
  <c r="L4" i="197"/>
  <c r="N2" i="197" s="1"/>
  <c r="H4" i="197"/>
  <c r="L3" i="197"/>
  <c r="H3" i="197"/>
  <c r="F3" i="197"/>
  <c r="D3" i="197"/>
  <c r="L2" i="197"/>
  <c r="H2" i="197"/>
  <c r="F2" i="197"/>
  <c r="L4" i="196"/>
  <c r="H4" i="196"/>
  <c r="L3" i="196"/>
  <c r="H3" i="196"/>
  <c r="F3" i="196"/>
  <c r="D3" i="196"/>
  <c r="L2" i="196"/>
  <c r="H2" i="196"/>
  <c r="F2" i="196"/>
  <c r="L4" i="195"/>
  <c r="N2" i="195" s="1"/>
  <c r="H4" i="195"/>
  <c r="L3" i="195"/>
  <c r="H3" i="195"/>
  <c r="F3" i="195"/>
  <c r="D3" i="195"/>
  <c r="L2" i="195"/>
  <c r="H2" i="195"/>
  <c r="F2" i="195"/>
  <c r="L4" i="194"/>
  <c r="H4" i="194"/>
  <c r="L3" i="194"/>
  <c r="H3" i="194"/>
  <c r="F3" i="194"/>
  <c r="D3" i="194"/>
  <c r="L2" i="194"/>
  <c r="H2" i="194"/>
  <c r="F2" i="194"/>
  <c r="L4" i="193"/>
  <c r="N2" i="193" s="1"/>
  <c r="H4" i="193"/>
  <c r="L3" i="193"/>
  <c r="H3" i="193"/>
  <c r="F3" i="193"/>
  <c r="D3" i="193"/>
  <c r="L2" i="193"/>
  <c r="H2" i="193"/>
  <c r="F2" i="193"/>
</calcChain>
</file>

<file path=xl/sharedStrings.xml><?xml version="1.0" encoding="utf-8"?>
<sst xmlns="http://schemas.openxmlformats.org/spreadsheetml/2006/main" count="7208" uniqueCount="647">
  <si>
    <t>*</t>
  </si>
  <si>
    <t>詳細 :</t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</si>
  <si>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</si>
  <si>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</si>
  <si>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</si>
  <si>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</si>
  <si>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</si>
  <si>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</si>
  <si>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</si>
  <si>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</si>
  <si>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</si>
  <si>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</si>
  <si>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</si>
  <si>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TargetName</t>
    <phoneticPr fontId="1"/>
  </si>
  <si>
    <t>#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</si>
  <si>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</si>
  <si>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</si>
  <si>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</si>
  <si>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</si>
  <si>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</si>
  <si>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</si>
  <si>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</si>
  <si>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</si>
  <si>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</si>
  <si>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U</t>
    <phoneticPr fontId="1"/>
  </si>
  <si>
    <t>o</t>
    <phoneticPr fontId="1"/>
  </si>
  <si>
    <t>U</t>
    <phoneticPr fontId="1"/>
  </si>
  <si>
    <t>Pj.ID :</t>
    <phoneticPr fontId="1"/>
  </si>
  <si>
    <t>SuperClassPj.ID :</t>
    <phoneticPr fontId="1"/>
  </si>
  <si>
    <t>MA</t>
    <phoneticPr fontId="1"/>
  </si>
  <si>
    <t>memo1</t>
  </si>
  <si>
    <t>#MA.MST_MEMO1</t>
  </si>
  <si>
    <t>memo3</t>
  </si>
  <si>
    <t>#MA.MST_MEMO3</t>
  </si>
  <si>
    <t>memo2</t>
  </si>
  <si>
    <t>#MA.MST_MEMO2</t>
  </si>
  <si>
    <t>#MA.FLG</t>
  </si>
  <si>
    <t>登録</t>
    <rPh sb="0" eb="2">
      <t>トウロク</t>
    </rPh>
    <phoneticPr fontId="1"/>
  </si>
  <si>
    <t>L</t>
  </si>
  <si>
    <t>o</t>
  </si>
  <si>
    <t>TargetName</t>
  </si>
  <si>
    <t>del_flg</t>
  </si>
  <si>
    <t>upd_cntr</t>
  </si>
  <si>
    <t>#MA.UPD_CNT</t>
  </si>
  <si>
    <t>#MA.LCL_CD</t>
  </si>
  <si>
    <t>lcl_cd</t>
  </si>
  <si>
    <t>MABCL_MultiReg</t>
    <phoneticPr fontId="1"/>
  </si>
  <si>
    <t>マルチマスタ登録</t>
    <phoneticPr fontId="1"/>
  </si>
  <si>
    <t>jnl_ptn_cd</t>
  </si>
  <si>
    <t>jnl_ptn_nm</t>
  </si>
  <si>
    <t>auto_jnl_key_cd</t>
  </si>
  <si>
    <t>auto_jnl_key_nm</t>
  </si>
  <si>
    <t>insp_ptn_cd</t>
  </si>
  <si>
    <t>insp_ptn_nm</t>
  </si>
  <si>
    <t>#MA.DEC_PLACE</t>
  </si>
  <si>
    <t>#MA.RND_TYP</t>
  </si>
  <si>
    <t>#MA.JNL_PTN_CD</t>
  </si>
  <si>
    <t>#MA.JNL_PTN_NM</t>
  </si>
  <si>
    <t>#MA.AUTO_JNL_KEY_CD</t>
  </si>
  <si>
    <t>#MA.AUTO_JNL_KEY_NM</t>
  </si>
  <si>
    <t>#MA.INSP_PTN_CD</t>
  </si>
  <si>
    <t>#MA.INSP_PTN_NM</t>
  </si>
  <si>
    <t>L</t>
    <phoneticPr fontId="1"/>
  </si>
  <si>
    <t>@</t>
  </si>
  <si>
    <t>ReportID :</t>
    <phoneticPr fontId="1"/>
  </si>
  <si>
    <t>チェック</t>
  </si>
  <si>
    <t>#</t>
    <phoneticPr fontId="1"/>
  </si>
  <si>
    <t>K</t>
    <phoneticPr fontId="20"/>
  </si>
  <si>
    <t>REQUIRED</t>
    <phoneticPr fontId="20"/>
  </si>
  <si>
    <t>@</t>
    <phoneticPr fontId="1"/>
  </si>
  <si>
    <t>o</t>
    <phoneticPr fontId="1"/>
  </si>
  <si>
    <t>UPDATE.updMaster</t>
    <phoneticPr fontId="1"/>
  </si>
  <si>
    <t>MAIN.chkMaster</t>
    <phoneticPr fontId="20"/>
  </si>
  <si>
    <t>TargetName</t>
    <phoneticPr fontId="1"/>
  </si>
  <si>
    <t>#</t>
    <phoneticPr fontId="1"/>
  </si>
  <si>
    <t>L</t>
    <phoneticPr fontId="1"/>
  </si>
  <si>
    <t>$share$</t>
  </si>
  <si>
    <t>K</t>
    <phoneticPr fontId="20"/>
  </si>
  <si>
    <t>REQUIRED</t>
    <phoneticPr fontId="20"/>
  </si>
  <si>
    <t>@</t>
    <phoneticPr fontId="1"/>
  </si>
  <si>
    <t>UPDATE.updMaster</t>
    <phoneticPr fontId="1"/>
  </si>
  <si>
    <t>ReportID :</t>
    <phoneticPr fontId="1"/>
  </si>
  <si>
    <t>JnlPtnBase_UpdChk01</t>
  </si>
  <si>
    <t>JnlPtnBase_UpdChk01_Dtl</t>
  </si>
  <si>
    <t>JnlPtnBase_Upd01</t>
  </si>
  <si>
    <t>JnlPtnBase_Upd01_Dtl</t>
  </si>
  <si>
    <t>JnlPtnBaseLcl_UpdChk01</t>
  </si>
  <si>
    <t>JnlPtnBaseLcl_UpdChk01_Dtl</t>
  </si>
  <si>
    <t>JnlPtnBaseLcl_Upd01</t>
  </si>
  <si>
    <t>JnlPtnBaseLcl_Upd01_Dtl</t>
  </si>
  <si>
    <t>DBC.MA.MAM_JNL_PTN_BASE_LCL</t>
  </si>
  <si>
    <t>AutoJnlKey_UpdChk01</t>
  </si>
  <si>
    <t>AutoJnlKey_UpdChk01_Dtl</t>
  </si>
  <si>
    <t>AutoJnlKey_Upd01</t>
  </si>
  <si>
    <t>AutoJnlKey_Upd01_Dtl</t>
  </si>
  <si>
    <t>AutoJnlKeyLcl_UpdChk01</t>
  </si>
  <si>
    <t>AutoJnlKeyLcl_UpdChk01_Dtl</t>
  </si>
  <si>
    <t>@</t>
    <phoneticPr fontId="1"/>
  </si>
  <si>
    <t>AutoJnlKeyLcl_Upd01</t>
  </si>
  <si>
    <t>AutoJnlKeyLcl_Upd01_Dtl</t>
  </si>
  <si>
    <t>DBC.MA.MAM_AUTO_JNL_KEY_LCL</t>
  </si>
  <si>
    <t>InspPtn_UpdChk01</t>
  </si>
  <si>
    <t>InspPtn_UpdChk01_Dtl</t>
  </si>
  <si>
    <t>InspPtn_Upd01</t>
  </si>
  <si>
    <t>InspPtn_Upd01_Dtl</t>
  </si>
  <si>
    <t>InspPtnLcl_UpdChk01</t>
  </si>
  <si>
    <t>InspPtnLcl_UpdChk01_Dtl</t>
  </si>
  <si>
    <t>InspPtnLcl_Upd01</t>
  </si>
  <si>
    <t>InspPtnLcl_Upd01_Dtl</t>
  </si>
  <si>
    <t>DBC.MA.MAM_INSP_PTN_LCL</t>
  </si>
  <si>
    <t>EXISTS.chk01</t>
  </si>
  <si>
    <t>CONST</t>
    <phoneticPr fontId="20"/>
  </si>
  <si>
    <t>wk_day_cd</t>
    <phoneticPr fontId="20"/>
  </si>
  <si>
    <t>#MA.WK_DAY_CD</t>
    <phoneticPr fontId="20"/>
  </si>
  <si>
    <t>DBC.MA.MAM_WK_DAY_LCL</t>
    <phoneticPr fontId="20"/>
  </si>
  <si>
    <t>WkDay_UpdChk01</t>
    <phoneticPr fontId="20"/>
  </si>
  <si>
    <t>WkDay_UpdChk01_Dtl</t>
    <phoneticPr fontId="20"/>
  </si>
  <si>
    <t>wk_day_nm</t>
    <phoneticPr fontId="20"/>
  </si>
  <si>
    <t>#MA.WK_DAY_NM</t>
    <phoneticPr fontId="20"/>
  </si>
  <si>
    <t>WkDay_Upd01</t>
    <phoneticPr fontId="20"/>
  </si>
  <si>
    <t>WkDay_Upd01_Dtl</t>
    <phoneticPr fontId="20"/>
  </si>
  <si>
    <t>WkDayLcl_UpdChk01</t>
    <phoneticPr fontId="20"/>
  </si>
  <si>
    <t>WkDayLcl_UpdChk01_Dtl</t>
    <phoneticPr fontId="20"/>
  </si>
  <si>
    <t>WkDayLcl_Upd01</t>
    <phoneticPr fontId="20"/>
  </si>
  <si>
    <t>WkDayLcl_Upd01_Dtl</t>
    <phoneticPr fontId="20"/>
  </si>
  <si>
    <t>$super$</t>
  </si>
  <si>
    <t>ship_term_cd</t>
    <phoneticPr fontId="20"/>
  </si>
  <si>
    <t>#MA.SHIP_TERM_CD</t>
    <phoneticPr fontId="20"/>
  </si>
  <si>
    <t>DBC.MA.MAM_SHIP_TERM_LCL</t>
    <phoneticPr fontId="20"/>
  </si>
  <si>
    <t>ShipTerm_UpdChk01</t>
    <phoneticPr fontId="20"/>
  </si>
  <si>
    <t>ShipTerm_UpdChk01_Dtl</t>
    <phoneticPr fontId="20"/>
  </si>
  <si>
    <t>ship_term_nm</t>
    <phoneticPr fontId="20"/>
  </si>
  <si>
    <t>#MA.SHIP_TERM_NM</t>
    <phoneticPr fontId="20"/>
  </si>
  <si>
    <t>ShipTerm_Upd01</t>
    <phoneticPr fontId="20"/>
  </si>
  <si>
    <t>ShipTerm_Upd01_Dtl</t>
    <phoneticPr fontId="20"/>
  </si>
  <si>
    <t>ShipTermLcl_UpdChk01</t>
    <phoneticPr fontId="20"/>
  </si>
  <si>
    <t>ShipTermLcl_UpdChk01_Dtl</t>
    <phoneticPr fontId="20"/>
  </si>
  <si>
    <t>ShipTermLcl_Upd01</t>
    <phoneticPr fontId="20"/>
  </si>
  <si>
    <t>ShipTermLcl_Upd01_Dtl</t>
    <phoneticPr fontId="20"/>
  </si>
  <si>
    <t>#MA.SHIP_TERM_CD</t>
    <phoneticPr fontId="20"/>
  </si>
  <si>
    <t>DBC.MA.MAM_SHIP_TERM_LCL</t>
    <phoneticPr fontId="20"/>
  </si>
  <si>
    <t>rsrc_cd</t>
  </si>
  <si>
    <t>rsrc_nm</t>
  </si>
  <si>
    <t>rsrc_unit_nm</t>
  </si>
  <si>
    <t>hs_grp_cd</t>
  </si>
  <si>
    <t>hs_grp_nm</t>
  </si>
  <si>
    <t>hs_typ</t>
  </si>
  <si>
    <t>alc_ptn_cd</t>
  </si>
  <si>
    <t>alc_ptn_nm</t>
  </si>
  <si>
    <t>ctg_grp_cd</t>
  </si>
  <si>
    <t>ctg_grp_nm</t>
  </si>
  <si>
    <t>#MA.RSRC_CD</t>
  </si>
  <si>
    <t>#MA.RSRC_NM</t>
  </si>
  <si>
    <t>#MA.RSRC_UNIT_NM</t>
  </si>
  <si>
    <t>#MA.HS_GRP_CD</t>
  </si>
  <si>
    <t>#MA.HS_GRP_NM</t>
  </si>
  <si>
    <t>#MA.HS_TYP</t>
  </si>
  <si>
    <t>#MA.ALC_PTN_CD</t>
  </si>
  <si>
    <t>#MA.ALC_PTN_NM</t>
  </si>
  <si>
    <t>#MA.CTG_GRP_CD</t>
  </si>
  <si>
    <t>#MA.CTG_GRP_NM</t>
  </si>
  <si>
    <t>資源マスタ</t>
  </si>
  <si>
    <t>ＨＳ分類マスタ</t>
  </si>
  <si>
    <t>配賦パタンマスタ</t>
  </si>
  <si>
    <t>原価品群グループマスタ</t>
  </si>
  <si>
    <t>Rsrc_UpdChk01_Dtl</t>
  </si>
  <si>
    <t>#</t>
    <phoneticPr fontId="1"/>
  </si>
  <si>
    <t>#</t>
    <phoneticPr fontId="1"/>
  </si>
  <si>
    <t>#</t>
    <phoneticPr fontId="1"/>
  </si>
  <si>
    <t>REQUIRED</t>
    <phoneticPr fontId="20"/>
  </si>
  <si>
    <t>REQUIRED</t>
    <phoneticPr fontId="20"/>
  </si>
  <si>
    <t>#</t>
    <phoneticPr fontId="1"/>
  </si>
  <si>
    <t>K</t>
    <phoneticPr fontId="20"/>
  </si>
  <si>
    <t>U</t>
    <phoneticPr fontId="1"/>
  </si>
  <si>
    <t>U</t>
    <phoneticPr fontId="1"/>
  </si>
  <si>
    <t>ReportID :</t>
    <phoneticPr fontId="1"/>
  </si>
  <si>
    <t>ReportID :</t>
    <phoneticPr fontId="1"/>
  </si>
  <si>
    <t>Rsrc_UpdChk01</t>
  </si>
  <si>
    <t>L</t>
    <phoneticPr fontId="1"/>
  </si>
  <si>
    <t>Rsrc_Upd01_Dtl</t>
  </si>
  <si>
    <t>MAIN.chkMaster</t>
    <phoneticPr fontId="20"/>
  </si>
  <si>
    <t>o</t>
    <phoneticPr fontId="1"/>
  </si>
  <si>
    <t>U</t>
    <phoneticPr fontId="1"/>
  </si>
  <si>
    <t>ReportID :</t>
    <phoneticPr fontId="1"/>
  </si>
  <si>
    <t>@</t>
    <phoneticPr fontId="1"/>
  </si>
  <si>
    <t>Rsrc_Upd01</t>
  </si>
  <si>
    <t>RsrcLcl_UpdChk01_Dtl</t>
  </si>
  <si>
    <t>REQUIRED</t>
    <phoneticPr fontId="20"/>
  </si>
  <si>
    <t>K</t>
    <phoneticPr fontId="20"/>
  </si>
  <si>
    <t>RsrcLcl_UpdChk01</t>
  </si>
  <si>
    <t>RsrcLcl_Upd01_Dtl</t>
  </si>
  <si>
    <t>DBC.MA.MAM_RSRC_LCL</t>
  </si>
  <si>
    <t>TargetName</t>
    <phoneticPr fontId="1"/>
  </si>
  <si>
    <t>MAIN.chkMaster</t>
    <phoneticPr fontId="20"/>
  </si>
  <si>
    <t>UPDATE.updMaster</t>
    <phoneticPr fontId="1"/>
  </si>
  <si>
    <t>o</t>
    <phoneticPr fontId="1"/>
  </si>
  <si>
    <t>RsrcLcl_Upd01</t>
  </si>
  <si>
    <t>L</t>
    <phoneticPr fontId="1"/>
  </si>
  <si>
    <t>K</t>
    <phoneticPr fontId="20"/>
  </si>
  <si>
    <t>MAIN.chkMaster</t>
    <phoneticPr fontId="20"/>
  </si>
  <si>
    <t>o</t>
    <phoneticPr fontId="1"/>
  </si>
  <si>
    <t>@</t>
    <phoneticPr fontId="1"/>
  </si>
  <si>
    <t>HsGrp_UpdChk01_Dtl</t>
  </si>
  <si>
    <t>U</t>
    <phoneticPr fontId="1"/>
  </si>
  <si>
    <t>HsGrp_UpdChk01</t>
  </si>
  <si>
    <t>HsGrp_Upd01_Dtl</t>
  </si>
  <si>
    <t>HsGrp_Upd01</t>
  </si>
  <si>
    <t>HsGrpLcl_UpdChk01_Dtl</t>
  </si>
  <si>
    <t>#</t>
    <phoneticPr fontId="1"/>
  </si>
  <si>
    <t>K</t>
    <phoneticPr fontId="20"/>
  </si>
  <si>
    <t>HsGrpLcl_UpdChk01</t>
  </si>
  <si>
    <t>HsGrpLcl_Upd01_Dtl</t>
  </si>
  <si>
    <t>DBC.MA.MAM_HS_GRP_LCL</t>
  </si>
  <si>
    <t>TargetName</t>
    <phoneticPr fontId="1"/>
  </si>
  <si>
    <t>UPDATE.updMaster</t>
    <phoneticPr fontId="1"/>
  </si>
  <si>
    <t>@</t>
    <phoneticPr fontId="1"/>
  </si>
  <si>
    <t>HsGrpLcl_Upd01</t>
  </si>
  <si>
    <t>AlcPtn_UpdChk01_Dtl</t>
  </si>
  <si>
    <t>ReportID :</t>
    <phoneticPr fontId="1"/>
  </si>
  <si>
    <t>AlcPtn_UpdChk01</t>
  </si>
  <si>
    <t>AlcPtn_Upd01_Dtl</t>
  </si>
  <si>
    <t>AlcPtn_Upd01</t>
  </si>
  <si>
    <t>AlcPtnLcl_UpdChk01_Dtl</t>
  </si>
  <si>
    <t>K</t>
    <phoneticPr fontId="20"/>
  </si>
  <si>
    <t>AlcPtnLcl_UpdChk01</t>
  </si>
  <si>
    <t>E</t>
    <phoneticPr fontId="20"/>
  </si>
  <si>
    <t>AlcPtnLcl_Upd01_Dtl</t>
  </si>
  <si>
    <t>DBC.MA.MAM_ALC_PTN_LCL</t>
  </si>
  <si>
    <t>UPDATE.updMaster</t>
    <phoneticPr fontId="1"/>
  </si>
  <si>
    <t>AlcPtnLcl_Upd01</t>
  </si>
  <si>
    <t>CtgGrp_UpdChk01_Dtl</t>
  </si>
  <si>
    <t>CtgGrp_UpdChk01</t>
  </si>
  <si>
    <t>CtgGrp_Upd01_Dtl</t>
  </si>
  <si>
    <t>CtgGrp_Upd01</t>
  </si>
  <si>
    <t>CtgGrpLcl_UpdChk01_Dtl</t>
  </si>
  <si>
    <t>CtgGrpLcl_UpdChk01</t>
  </si>
  <si>
    <t>CtgGrpLcl_Upd01_Dtl</t>
  </si>
  <si>
    <t>DBC.MA.MAM_CTG_GRP_LCL</t>
  </si>
  <si>
    <t>CtgGrpLcl_Upd01</t>
  </si>
  <si>
    <t>K</t>
    <phoneticPr fontId="20"/>
  </si>
  <si>
    <t>SMALL_LARGE</t>
    <phoneticPr fontId="20"/>
  </si>
  <si>
    <t>dec_place</t>
    <phoneticPr fontId="20"/>
  </si>
  <si>
    <t>rnd_typ</t>
    <phoneticPr fontId="20"/>
  </si>
  <si>
    <t>CHK_PTN</t>
    <phoneticPr fontId="20"/>
  </si>
  <si>
    <t>#MA.SHIP_WK_CD</t>
    <phoneticPr fontId="20"/>
  </si>
  <si>
    <t>ship_wk_cd</t>
  </si>
  <si>
    <t>ship_wk_nm</t>
  </si>
  <si>
    <t>#MA.SHIP_WK_NM</t>
    <phoneticPr fontId="20"/>
  </si>
  <si>
    <t>ShipWk_UpdChk01</t>
  </si>
  <si>
    <t>ShipWk_Upd01</t>
  </si>
  <si>
    <t>ShipWkLcl_UpdChk01</t>
  </si>
  <si>
    <t>ShipWkLcl_UpdChk01_Dtl</t>
  </si>
  <si>
    <t>ShipWkLcl_Upd01</t>
  </si>
  <si>
    <t>ShipWkLcl_Upd01_Dtl</t>
  </si>
  <si>
    <t>DBC.MA.MAM_SHIP_WK_LCL</t>
    <phoneticPr fontId="20"/>
  </si>
  <si>
    <t>DBC.MA.MAM_SHIP_WK_LCL</t>
    <phoneticPr fontId="20"/>
  </si>
  <si>
    <t>rsrc_unit_nm</t>
    <phoneticPr fontId="20"/>
  </si>
  <si>
    <t>#MA.RSRC_UNIT_NM</t>
    <phoneticPr fontId="20"/>
  </si>
  <si>
    <t>MABCL0035</t>
    <phoneticPr fontId="1"/>
  </si>
  <si>
    <t>仕訳パタンマスタ</t>
  </si>
  <si>
    <t>自動仕訳キーマスタ</t>
  </si>
  <si>
    <t>検査パタンマスタ</t>
  </si>
  <si>
    <t>勤務種類マスタ</t>
  </si>
  <si>
    <t>出荷条件マスタ</t>
  </si>
  <si>
    <t>出荷作業マスタ</t>
  </si>
  <si>
    <t>対象マスタ</t>
    <rPh sb="0" eb="2">
      <t>タイショウ</t>
    </rPh>
    <phoneticPr fontId="1"/>
  </si>
  <si>
    <t>JnlPtnBase_DelChk01_Dtl</t>
  </si>
  <si>
    <t>#</t>
    <phoneticPr fontId="1"/>
  </si>
  <si>
    <t>REQUIRED</t>
    <phoneticPr fontId="20"/>
  </si>
  <si>
    <t>#</t>
    <phoneticPr fontId="1"/>
  </si>
  <si>
    <t>U</t>
    <phoneticPr fontId="1"/>
  </si>
  <si>
    <t>ReportID :</t>
    <phoneticPr fontId="1"/>
  </si>
  <si>
    <t>JnlPtnBase_DelChk01</t>
  </si>
  <si>
    <t>L</t>
    <phoneticPr fontId="1"/>
  </si>
  <si>
    <t>JnlPtnBase_Del01_Dtl</t>
  </si>
  <si>
    <t>#</t>
    <phoneticPr fontId="1"/>
  </si>
  <si>
    <t>TargetName</t>
    <phoneticPr fontId="1"/>
  </si>
  <si>
    <t>UPDATE.updMaster2</t>
  </si>
  <si>
    <t>UPDATE.updMaster1</t>
  </si>
  <si>
    <t>o</t>
    <phoneticPr fontId="1"/>
  </si>
  <si>
    <t>削除</t>
    <rPh sb="0" eb="2">
      <t>サクジョ</t>
    </rPh>
    <phoneticPr fontId="1"/>
  </si>
  <si>
    <t>@</t>
    <phoneticPr fontId="1"/>
  </si>
  <si>
    <t>JnlPtnBase_Del01</t>
  </si>
  <si>
    <t>AutoJnlKey_DelChk01_Dtl</t>
  </si>
  <si>
    <t>K</t>
    <phoneticPr fontId="20"/>
  </si>
  <si>
    <t>AutoJnlKey_DelChk01</t>
  </si>
  <si>
    <t>AutoJnlKey_Del01_Dtl</t>
  </si>
  <si>
    <t>AutoJnlKey_Del01</t>
  </si>
  <si>
    <t>InspPtn_DelChk01_Dtl</t>
  </si>
  <si>
    <t>InspPtn_DelChk01</t>
  </si>
  <si>
    <t>InspPtn_Del01_Dtl</t>
  </si>
  <si>
    <t>TargetName</t>
    <phoneticPr fontId="1"/>
  </si>
  <si>
    <t>U</t>
    <phoneticPr fontId="1"/>
  </si>
  <si>
    <t>InspPtn_Del01</t>
  </si>
  <si>
    <t>WkDay_DelChk01_Dtl</t>
    <phoneticPr fontId="20"/>
  </si>
  <si>
    <t>WkDay_DelChk01</t>
    <phoneticPr fontId="20"/>
  </si>
  <si>
    <t>#MA.WK_DAY_CD</t>
    <phoneticPr fontId="20"/>
  </si>
  <si>
    <t>wk_day_cd</t>
    <phoneticPr fontId="20"/>
  </si>
  <si>
    <t>WkDay_Del01_Dtl</t>
    <phoneticPr fontId="20"/>
  </si>
  <si>
    <t>DBC.MA.MAM_WK_DAY_LCL</t>
    <phoneticPr fontId="20"/>
  </si>
  <si>
    <t>WkDay_Del01</t>
    <phoneticPr fontId="20"/>
  </si>
  <si>
    <t>#MA.SHIP_TERM_CD</t>
    <phoneticPr fontId="20"/>
  </si>
  <si>
    <t>ship_term_cd</t>
    <phoneticPr fontId="20"/>
  </si>
  <si>
    <t>ShipTerm_DelChk01_Dtl</t>
    <phoneticPr fontId="20"/>
  </si>
  <si>
    <t>ShipTerm_DelChk01</t>
    <phoneticPr fontId="20"/>
  </si>
  <si>
    <t>ShipTerm_Del01_Dtl</t>
    <phoneticPr fontId="20"/>
  </si>
  <si>
    <t>DBC.MA.MAM_SHIP_TERM_LCL</t>
    <phoneticPr fontId="20"/>
  </si>
  <si>
    <t>ShipTerm_Del01</t>
    <phoneticPr fontId="20"/>
  </si>
  <si>
    <t>ShipWk_DelChk01_Dtl</t>
  </si>
  <si>
    <t>K</t>
    <phoneticPr fontId="20"/>
  </si>
  <si>
    <t>ShipWk_DelChk01</t>
  </si>
  <si>
    <t>ShipWk_Del01_Dtl</t>
  </si>
  <si>
    <t>TargetName</t>
    <phoneticPr fontId="1"/>
  </si>
  <si>
    <t>o</t>
    <phoneticPr fontId="1"/>
  </si>
  <si>
    <t>ShipWk_Del01</t>
  </si>
  <si>
    <t>Rsrc_DelChk01_Dtl</t>
  </si>
  <si>
    <t>#</t>
    <phoneticPr fontId="1"/>
  </si>
  <si>
    <t>REQUIRED</t>
    <phoneticPr fontId="20"/>
  </si>
  <si>
    <t>ReportID :</t>
    <phoneticPr fontId="1"/>
  </si>
  <si>
    <t>Rsrc_DelChk01</t>
  </si>
  <si>
    <t>Rsrc_Del01_Dtl</t>
  </si>
  <si>
    <t>Rsrc_Del01</t>
  </si>
  <si>
    <t>hs_grp_cd</t>
    <phoneticPr fontId="20"/>
  </si>
  <si>
    <t>HsGrp_DelChk01_Dtl</t>
  </si>
  <si>
    <t>HsGrp_DelChk01</t>
  </si>
  <si>
    <t>hs_grp_cd</t>
    <phoneticPr fontId="20"/>
  </si>
  <si>
    <t>HsGrp_Del01_Dtl</t>
  </si>
  <si>
    <t>#</t>
    <phoneticPr fontId="1"/>
  </si>
  <si>
    <t>o</t>
    <phoneticPr fontId="1"/>
  </si>
  <si>
    <t>HsGrp_Del01</t>
  </si>
  <si>
    <t>AlcPtn_DelChk01_Dtl</t>
  </si>
  <si>
    <t>AlcPtn_DelChk01</t>
  </si>
  <si>
    <t>L</t>
    <phoneticPr fontId="1"/>
  </si>
  <si>
    <t>AlcPtn_Del01_Dtl</t>
  </si>
  <si>
    <t>AlcPtn_Del01</t>
  </si>
  <si>
    <t>CtgGrp_DelChk01_Dtl</t>
  </si>
  <si>
    <t>CtgGrp_DelChk01</t>
  </si>
  <si>
    <t>CtgGrp_Del01_Dtl</t>
  </si>
  <si>
    <t>CtgGrp_Del01</t>
  </si>
  <si>
    <t>仕訳パタンマスタの登録前のチェックを行います。</t>
    <phoneticPr fontId="20"/>
  </si>
  <si>
    <t>仕訳パタンマスタの登録を行います。</t>
    <phoneticPr fontId="20"/>
  </si>
  <si>
    <t>仕訳パタンマスタの登録前のチェックを行います。（ロケール用）</t>
    <phoneticPr fontId="20"/>
  </si>
  <si>
    <t>仕訳パタンマスタの登録を行います。（ロケール用）</t>
    <phoneticPr fontId="20"/>
  </si>
  <si>
    <t>仕訳パタンマスタの削除前のチェックを行います。</t>
    <phoneticPr fontId="20"/>
  </si>
  <si>
    <t>仕訳パタンマスタの削除を行います。</t>
    <phoneticPr fontId="20"/>
  </si>
  <si>
    <t>自動仕訳キーマスタの登録前のチェックを行います。</t>
    <phoneticPr fontId="20"/>
  </si>
  <si>
    <t>自動仕訳キーマスタの登録を行います。</t>
    <phoneticPr fontId="20"/>
  </si>
  <si>
    <t>自動仕訳キーマスタの登録前のチェックを行います。（ロケール用）</t>
    <phoneticPr fontId="20"/>
  </si>
  <si>
    <t>自動仕訳キーマスタの登録を行います。（ロケール用）</t>
    <phoneticPr fontId="20"/>
  </si>
  <si>
    <t>自動仕訳キーマスタの削除前のチェックを行います。</t>
    <phoneticPr fontId="20"/>
  </si>
  <si>
    <t>自動仕訳キーマスタの削除を行います。</t>
    <phoneticPr fontId="20"/>
  </si>
  <si>
    <t>検査パタンマスタの登録前のチェックを行います。</t>
    <phoneticPr fontId="20"/>
  </si>
  <si>
    <t>検査パタンマスタの登録を行います。</t>
    <phoneticPr fontId="20"/>
  </si>
  <si>
    <t>検査パタンマスタの登録前のチェックを行います。（ロケール用）</t>
    <phoneticPr fontId="20"/>
  </si>
  <si>
    <t>検査パタンマスタの登録を行います。（ロケール用）</t>
    <phoneticPr fontId="20"/>
  </si>
  <si>
    <t>検査パタンマスタの削除前のチェックを行います。</t>
    <phoneticPr fontId="20"/>
  </si>
  <si>
    <t>検査パタンマスタの削除を行います。</t>
    <phoneticPr fontId="20"/>
  </si>
  <si>
    <t>勤務種類マスタの登録前のチェックを行います。</t>
    <phoneticPr fontId="20"/>
  </si>
  <si>
    <t>勤務種類マスタの登録を行います。</t>
    <phoneticPr fontId="20"/>
  </si>
  <si>
    <t>勤務種類マスタの登録前のチェックを行います。（ロケール用）</t>
    <phoneticPr fontId="20"/>
  </si>
  <si>
    <t>勤務種類マスタの登録を行います。（ロケール用）</t>
    <phoneticPr fontId="20"/>
  </si>
  <si>
    <t>勤務種類マスタの削除前のチェックを行います。</t>
    <phoneticPr fontId="20"/>
  </si>
  <si>
    <t>勤務種類マスタの削除を行います。</t>
    <phoneticPr fontId="20"/>
  </si>
  <si>
    <t>出荷条件マスタの登録前のチェックを行います。</t>
    <phoneticPr fontId="20"/>
  </si>
  <si>
    <t>出荷条件マスタの登録を行います。</t>
    <phoneticPr fontId="20"/>
  </si>
  <si>
    <t>出荷条件マスタの登録前のチェックを行います。（ロケール用）</t>
    <phoneticPr fontId="20"/>
  </si>
  <si>
    <t>出荷条件マスタの登録を行います。（ロケール用）</t>
    <phoneticPr fontId="20"/>
  </si>
  <si>
    <t>出荷条件マスタの削除前のチェックを行います。</t>
    <phoneticPr fontId="20"/>
  </si>
  <si>
    <t>出荷条件マスタの削除を行います。</t>
    <phoneticPr fontId="20"/>
  </si>
  <si>
    <t>出荷作業マスタの登録前のチェックを行います。</t>
    <phoneticPr fontId="20"/>
  </si>
  <si>
    <t>出荷作業マスタの登録を行います。</t>
    <phoneticPr fontId="20"/>
  </si>
  <si>
    <t>出荷作業マスタの登録前のチェックを行います。（ロケール用）</t>
    <phoneticPr fontId="20"/>
  </si>
  <si>
    <t>出荷作業マスタの登録を行います。（ロケール用）</t>
    <phoneticPr fontId="20"/>
  </si>
  <si>
    <t>出荷作業マスタの削除前のチェックを行います。</t>
    <phoneticPr fontId="20"/>
  </si>
  <si>
    <t>出荷作業マスタの削除を行います。</t>
    <phoneticPr fontId="20"/>
  </si>
  <si>
    <t>資源マスタの登録前のチェックを行います。</t>
    <phoneticPr fontId="20"/>
  </si>
  <si>
    <t>資源マスタの登録を行います。</t>
    <phoneticPr fontId="20"/>
  </si>
  <si>
    <t>資源マスタの登録前のチェックを行います。（ロケール用）</t>
    <phoneticPr fontId="20"/>
  </si>
  <si>
    <t>資源マスタの登録を行います。（ロケール用）</t>
    <phoneticPr fontId="20"/>
  </si>
  <si>
    <t>資源マスタの削除前のチェックを行います。</t>
    <phoneticPr fontId="20"/>
  </si>
  <si>
    <t>資源マスタの削除を行います。</t>
    <phoneticPr fontId="20"/>
  </si>
  <si>
    <t>ＨＳ分類マスタの登録前のチェックを行います。</t>
    <phoneticPr fontId="20"/>
  </si>
  <si>
    <t>ＨＳ分類マスタの登録を行います。</t>
    <phoneticPr fontId="20"/>
  </si>
  <si>
    <t>ＨＳ分類マスタの登録前のチェックを行います。（ロケール用）</t>
    <phoneticPr fontId="20"/>
  </si>
  <si>
    <t>ＨＳ分類マスタの登録を行います。（ロケール用）</t>
    <phoneticPr fontId="20"/>
  </si>
  <si>
    <t>ＨＳ分類マスタの削除前のチェックを行います。</t>
    <phoneticPr fontId="20"/>
  </si>
  <si>
    <t>ＨＳ分類マスタの削除を行います。</t>
    <phoneticPr fontId="20"/>
  </si>
  <si>
    <t>配賦パタンマスタの登録前のチェックを行います。</t>
    <phoneticPr fontId="20"/>
  </si>
  <si>
    <t>配賦パタンマスタの登録を行います。</t>
    <phoneticPr fontId="20"/>
  </si>
  <si>
    <t>配賦パタンマスタの登録前のチェックを行います。（ロケール用）</t>
    <phoneticPr fontId="20"/>
  </si>
  <si>
    <t>配賦パタンマスタの登録を行います。（ロケール用）</t>
    <phoneticPr fontId="20"/>
  </si>
  <si>
    <t>配賦パタンマスタの削除前のチェックを行います。</t>
    <phoneticPr fontId="20"/>
  </si>
  <si>
    <t>配賦パタンマスタの削除を行います。</t>
    <phoneticPr fontId="20"/>
  </si>
  <si>
    <t>原価品群グループマスタの登録前のチェックを行います。</t>
    <phoneticPr fontId="20"/>
  </si>
  <si>
    <t>原価品群グループマスタの登録を行います。</t>
    <phoneticPr fontId="20"/>
  </si>
  <si>
    <t>原価品群グループマスタの登録前のチェックを行います。（ロケール用）</t>
    <phoneticPr fontId="20"/>
  </si>
  <si>
    <t>原価品群グループマスタの登録を行います。（ロケール用）</t>
    <phoneticPr fontId="20"/>
  </si>
  <si>
    <t>原価品群グループマスタの削除前のチェックを行います。</t>
    <phoneticPr fontId="20"/>
  </si>
  <si>
    <t>原価品群グループマスタの削除を行います。</t>
    <phoneticPr fontId="20"/>
  </si>
  <si>
    <t>計算実行パタンマスタ</t>
    <phoneticPr fontId="1"/>
  </si>
  <si>
    <t>act_ptn_cd</t>
  </si>
  <si>
    <t>act_ptn_nm</t>
  </si>
  <si>
    <t>#MA.ACT_PTN_CD</t>
  </si>
  <si>
    <t>#MA.ACT_PTN_NM</t>
  </si>
  <si>
    <t>計算実行パタンマスタの登録前のチェックを行います。</t>
  </si>
  <si>
    <t>計算実行パタンマスタの登録を行います。</t>
  </si>
  <si>
    <t>計算実行パタンマスタの登録前のチェックを行います。（ロケール用）</t>
  </si>
  <si>
    <t>計算実行パタンマスタの登録を行います。（ロケール用）</t>
  </si>
  <si>
    <t>計算実行パタンマスタの削除前のチェックを行います。</t>
  </si>
  <si>
    <t>計算実行パタンマスタの削除を行います。</t>
  </si>
  <si>
    <t>ActPtn_UpdChk01_Dtl</t>
  </si>
  <si>
    <t>ActPtn_UpdChk01</t>
  </si>
  <si>
    <t>ActPtn_Upd01_Dtl</t>
  </si>
  <si>
    <t>ActPtn_Upd01</t>
  </si>
  <si>
    <t>ActPtnLcl_UpdChk01_Dtl</t>
  </si>
  <si>
    <t>ActPtnLcl_UpdChk01</t>
  </si>
  <si>
    <t>ActPtnLcl_Upd01_Dtl</t>
  </si>
  <si>
    <t>ActPtnLcl_Upd01</t>
  </si>
  <si>
    <t>ActPtn_DelChk01_Dtl</t>
  </si>
  <si>
    <t>ActPtn_DelChk01</t>
  </si>
  <si>
    <t>ActPtn_Del01_Dtl</t>
  </si>
  <si>
    <t>ActPtn_Del01</t>
  </si>
  <si>
    <t>DBC.MA.MAM_ACT_PTN_LCL</t>
  </si>
  <si>
    <t>MABC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</si>
  <si>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</si>
  <si>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</si>
  <si>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</si>
  <si>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</si>
  <si>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</si>
  <si>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</si>
  <si>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</si>
  <si>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</si>
  <si>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</si>
  <si>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仕訳パタンＣＤ</t>
    <phoneticPr fontId="1"/>
  </si>
  <si>
    <t>E</t>
    <phoneticPr fontId="1"/>
  </si>
  <si>
    <t>標準仕訳パタン名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</si>
  <si>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</si>
  <si>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</si>
  <si>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</si>
  <si>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</si>
  <si>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1"/>
  </si>
  <si>
    <t>super/share</t>
    <phoneticPr fontId="1"/>
  </si>
  <si>
    <t>MA.MABCL0035.JnlPtnBase_UpdChk01.JnlPtnBase_UpdChk01_Dtl</t>
    <phoneticPr fontId="1"/>
  </si>
  <si>
    <t>L</t>
    <phoneticPr fontId="20"/>
  </si>
  <si>
    <t>DBC:MA.MAM_JNL_PTN_BASE_LCL</t>
    <phoneticPr fontId="20"/>
  </si>
  <si>
    <t>自動仕訳パタンＣＤ</t>
    <phoneticPr fontId="1"/>
  </si>
  <si>
    <t>ロケールＣＤ</t>
    <phoneticPr fontId="1"/>
  </si>
  <si>
    <t>自動仕訳パタン名</t>
    <phoneticPr fontId="1"/>
  </si>
  <si>
    <t>MA.MABCL0035.JnlPtnBaseLcl_UpdChk01.JnlPtnBaseLcl_UpdChk01_Dtl</t>
    <phoneticPr fontId="1"/>
  </si>
  <si>
    <t>自動仕訳パタン基本ＣＤ</t>
    <phoneticPr fontId="20"/>
  </si>
  <si>
    <t>MA.MABCL0035.JnlPtnBase_DelChk01.JnlPtnBase_DelChk01_Dtl</t>
    <phoneticPr fontId="1"/>
  </si>
  <si>
    <t>自動仕訳キーＣＤ</t>
    <phoneticPr fontId="1"/>
  </si>
  <si>
    <t>標準自動仕訳キー名</t>
    <phoneticPr fontId="1"/>
  </si>
  <si>
    <t>MA.MABCL0035.AutoJnlKey_UpdChk01.AutoJnlKey_UpdChk01_Dtl</t>
    <phoneticPr fontId="1"/>
  </si>
  <si>
    <t>DBC:MA.MAM_AUTO_JNL_KEY_LCL</t>
    <phoneticPr fontId="20"/>
  </si>
  <si>
    <t>自動仕訳キー名</t>
    <phoneticPr fontId="1"/>
  </si>
  <si>
    <t>MA.MABCL0035.AutoJnlKeyLcl_UpdChk01.AutoJnlKeyLcl_UpdChk01_Dtl</t>
    <phoneticPr fontId="1"/>
  </si>
  <si>
    <t>自動仕訳キーＣＤ</t>
    <phoneticPr fontId="20"/>
  </si>
  <si>
    <t>MA.MABCL0035.AutoJnlKey_DelChk01.AutoJnlKey_DelChk01_Dtl</t>
    <phoneticPr fontId="1"/>
  </si>
  <si>
    <t>検査パタンＣＤ</t>
    <phoneticPr fontId="1"/>
  </si>
  <si>
    <t>標準検査パタン名</t>
    <phoneticPr fontId="1"/>
  </si>
  <si>
    <t>MA.MABCL0035.InspPtn_UpdChk01.InspPtn_UpdChk01_Dtl</t>
    <phoneticPr fontId="1"/>
  </si>
  <si>
    <t>DBC:MA.MAM_INSP_PTN_LCL</t>
    <phoneticPr fontId="20"/>
  </si>
  <si>
    <t>検査パタン名</t>
    <phoneticPr fontId="1"/>
  </si>
  <si>
    <t>MA.MABCL0035.InspPtnLcl_UpdChk01.InspPtnLcl_UpdChk01_Dtl</t>
    <phoneticPr fontId="1"/>
  </si>
  <si>
    <t>検査パタンＣＤ</t>
    <phoneticPr fontId="20"/>
  </si>
  <si>
    <t>MA.MABCL0035.InspPtn_DelChk01.InspPtn_DelChk01_Dtl</t>
    <phoneticPr fontId="1"/>
  </si>
  <si>
    <t>勤務種類ＣＤ</t>
    <phoneticPr fontId="20"/>
  </si>
  <si>
    <t>標準勤務種類名</t>
    <phoneticPr fontId="20"/>
  </si>
  <si>
    <t>MA.MABCL0035.WkDay_UpdChk01.WkDay_UpdChk01_Dtl</t>
    <phoneticPr fontId="1"/>
  </si>
  <si>
    <t>DBC:MA.MAM_WK_DAY_LCL</t>
    <phoneticPr fontId="20"/>
  </si>
  <si>
    <t>勤務種類ＣＤ</t>
    <phoneticPr fontId="1"/>
  </si>
  <si>
    <t>勤務種類名</t>
    <phoneticPr fontId="1"/>
  </si>
  <si>
    <t>MA.MABCL0035.WkDayLcl_UpdChk01.WkDayLcl_UpdChk01_Dtl</t>
    <phoneticPr fontId="1"/>
  </si>
  <si>
    <t>MA.MABCL0035.WkDay_DelChk01.WkDay_DelChk01_Dtl</t>
    <phoneticPr fontId="1"/>
  </si>
  <si>
    <t>出荷条件ＣＤ</t>
    <phoneticPr fontId="20"/>
  </si>
  <si>
    <t>標準出荷条件名</t>
    <phoneticPr fontId="20"/>
  </si>
  <si>
    <t>MA.MABCL0035.ShipTerm_UpdChk01.ShipTerm_UpdChk01_Dtl</t>
    <phoneticPr fontId="1"/>
  </si>
  <si>
    <t>DBC:MA.MAM_SHIP_TERM_LCL</t>
    <phoneticPr fontId="20"/>
  </si>
  <si>
    <t>出荷条件ＣＤ</t>
    <phoneticPr fontId="1"/>
  </si>
  <si>
    <t>出荷条件名</t>
    <phoneticPr fontId="1"/>
  </si>
  <si>
    <t>MA.MABCL0035.ShipTermLcl_UpdChk01.ShipTermLcl_UpdChk01_Dtl</t>
    <phoneticPr fontId="1"/>
  </si>
  <si>
    <t>MA.MABCL0035.ShipTerm_DelChk01.ShipTerm_DelChk01_Dtl</t>
    <phoneticPr fontId="1"/>
  </si>
  <si>
    <t>出荷作業ＣＤ</t>
    <phoneticPr fontId="20"/>
  </si>
  <si>
    <t>標準出荷作業名</t>
    <phoneticPr fontId="20"/>
  </si>
  <si>
    <t>MA.MABCL0035.ShipWk_UpdChk01.ShipWk_UpdChk01_Dtl</t>
    <phoneticPr fontId="1"/>
  </si>
  <si>
    <t>DBC:MA.MAM_SHIP_WK_LCL</t>
    <phoneticPr fontId="20"/>
  </si>
  <si>
    <t>出荷作業ＣＤ</t>
    <phoneticPr fontId="1"/>
  </si>
  <si>
    <t>出荷作業名</t>
    <phoneticPr fontId="1"/>
  </si>
  <si>
    <t>MA.MABCL0035.ShipWkLcl_UpdChk01.ShipWkLcl_UpdChk01_Dtl</t>
    <phoneticPr fontId="1"/>
  </si>
  <si>
    <t>MA.MABCL0035.ShipWk_DelChk01.ShipWk_DelChk01_Dtl</t>
    <phoneticPr fontId="1"/>
  </si>
  <si>
    <t>資源ＣＤ</t>
    <phoneticPr fontId="1"/>
  </si>
  <si>
    <t>標準資源名</t>
    <phoneticPr fontId="1"/>
  </si>
  <si>
    <t>資源単位名</t>
    <phoneticPr fontId="1"/>
  </si>
  <si>
    <t>小数部有効桁数</t>
    <phoneticPr fontId="1"/>
  </si>
  <si>
    <t>端数処理区分</t>
    <phoneticPr fontId="1"/>
  </si>
  <si>
    <t>$super$</t>
    <phoneticPr fontId="20"/>
  </si>
  <si>
    <t>MA.MABCL0035.Rsrc_UpdChk01.Rsrc_UpdChk01_Dtl</t>
    <phoneticPr fontId="1"/>
  </si>
  <si>
    <t>DBC:MA.MAM_RSRC_LCL</t>
    <phoneticPr fontId="20"/>
  </si>
  <si>
    <t>資源名</t>
    <phoneticPr fontId="1"/>
  </si>
  <si>
    <t>資源単位名</t>
    <phoneticPr fontId="20"/>
  </si>
  <si>
    <t>$super$</t>
    <phoneticPr fontId="20"/>
  </si>
  <si>
    <t>MA.MABCL0035.RsrcLcl_UpdChk01.RsrcLcl_UpdChk01_Dtl</t>
    <phoneticPr fontId="1"/>
  </si>
  <si>
    <t>MA.MABCL0035.Rsrc_DelChk01.Rsrc_DelChk01_Dtl</t>
    <phoneticPr fontId="1"/>
  </si>
  <si>
    <t>ＨＳ分類ＣＤ</t>
    <phoneticPr fontId="1"/>
  </si>
  <si>
    <t>HALF_NUM</t>
    <phoneticPr fontId="20"/>
  </si>
  <si>
    <t>標準ＨＳ分類名</t>
    <phoneticPr fontId="1"/>
  </si>
  <si>
    <t>ＨＳ区分</t>
    <phoneticPr fontId="1"/>
  </si>
  <si>
    <t>MA.MABCL0035.HsGrp_UpdChk01.HsGrp_UpdChk01_Dtl</t>
    <phoneticPr fontId="1"/>
  </si>
  <si>
    <t>DBC:MA.MAM_HS_GRP_LCL</t>
    <phoneticPr fontId="20"/>
  </si>
  <si>
    <t>ＨＳ分類名</t>
    <phoneticPr fontId="1"/>
  </si>
  <si>
    <t>MA.MABCL0035.HsGrpLcl_UpdChk01.HsGrpLcl_UpdChk01_Dtl</t>
    <phoneticPr fontId="1"/>
  </si>
  <si>
    <t>MA.MABCL0035.HsGrp_DelChk01.HsGrp_DelChk01_Dtl</t>
    <phoneticPr fontId="1"/>
  </si>
  <si>
    <t>配賦パタンＣＤ</t>
    <phoneticPr fontId="1"/>
  </si>
  <si>
    <t>標準配賦パタン名</t>
    <phoneticPr fontId="1"/>
  </si>
  <si>
    <t>MA.MABCL0035.AlcPtn_UpdChk01.AlcPtn_UpdChk01_Dtl</t>
    <phoneticPr fontId="1"/>
  </si>
  <si>
    <t>DBC:MA.MAM_ALC_PTN_LCL</t>
    <phoneticPr fontId="20"/>
  </si>
  <si>
    <t>配賦パタン名</t>
    <phoneticPr fontId="1"/>
  </si>
  <si>
    <t>MA.MABCL0035.AlcPtnLcl_UpdChk01.AlcPtnLcl_UpdChk01_Dtl</t>
    <phoneticPr fontId="1"/>
  </si>
  <si>
    <t>MA.MABCL0035.AlcPtn_DelChk01.AlcPtn_DelChk01_Dtl</t>
    <phoneticPr fontId="1"/>
  </si>
  <si>
    <t>品群グループＣＤ</t>
    <phoneticPr fontId="1"/>
  </si>
  <si>
    <t>標準品群グループ名</t>
    <phoneticPr fontId="1"/>
  </si>
  <si>
    <t>MA.MABCL0035.CtgGrp_UpdChk01.CtgGrp_UpdChk01_Dtl</t>
    <phoneticPr fontId="1"/>
  </si>
  <si>
    <t>DBC:MA.MAM_CTG_GRP_LCL</t>
    <phoneticPr fontId="20"/>
  </si>
  <si>
    <t>品群グループ名</t>
    <phoneticPr fontId="1"/>
  </si>
  <si>
    <t>MA.MABCL0035.CtgGrpLcl_UpdChk01.CtgGrpLcl_UpdChk01_Dtl</t>
    <phoneticPr fontId="1"/>
  </si>
  <si>
    <t>MA.MABCL0035.CtgGrp_DelChk01.CtgGrp_DelChk01_Dtl</t>
    <phoneticPr fontId="1"/>
  </si>
  <si>
    <t>計算実行パタンＣＤ</t>
    <phoneticPr fontId="1"/>
  </si>
  <si>
    <t>標準計算実行パタン名</t>
    <phoneticPr fontId="1"/>
  </si>
  <si>
    <t>MA.MABCL0035.ActPtn_UpdChk01.ActPtn_UpdChk01_Dtl</t>
    <phoneticPr fontId="1"/>
  </si>
  <si>
    <t>DBC:MA.MAM_ACT_PTN_LCL</t>
    <phoneticPr fontId="1"/>
  </si>
  <si>
    <t>計算実行パタン名</t>
    <phoneticPr fontId="1"/>
  </si>
  <si>
    <t>MA.MABCL0035.ActPtnLcl_UpdChk01.ActPtnLcl_UpdChk01_Dtl</t>
    <phoneticPr fontId="1"/>
  </si>
  <si>
    <t>MA.MABCL0035.ActPtn_DelChk01.ActPtn_DelChk01_Dtl</t>
    <phoneticPr fontId="1"/>
  </si>
  <si>
    <t>000000</t>
    <phoneticPr fontId="1"/>
  </si>
  <si>
    <t>0:8</t>
    <phoneticPr fontId="20"/>
  </si>
  <si>
    <t>MA.MAUDL5010</t>
    <phoneticPr fontId="1"/>
  </si>
  <si>
    <t>"mcframe.serverMAUD.MAUDL6020.MAUDL_LCLRLUpdater"</t>
  </si>
  <si>
    <t>"mcframe.serverMAUD.MAUDL6020.MAUDL_LCLRLDeleter"</t>
  </si>
  <si>
    <t>DBC:MA.MAM_JNL_PTN_BASE</t>
    <phoneticPr fontId="20"/>
  </si>
  <si>
    <t>DBC.MA.MAM_JNL_PTN_BASE</t>
    <phoneticPr fontId="1"/>
  </si>
  <si>
    <t>DBC.MA.MAM_JNL_PTN_BASE</t>
    <phoneticPr fontId="20"/>
  </si>
  <si>
    <t>DBC:MA.MAM_AUTO_JNL_KEY</t>
    <phoneticPr fontId="20"/>
  </si>
  <si>
    <t>DBC.MA.MAM_AUTO_JNL_KEY</t>
    <phoneticPr fontId="1"/>
  </si>
  <si>
    <t>DBC.MA.MAM_AUTO_JNL_KEY</t>
    <phoneticPr fontId="20"/>
  </si>
  <si>
    <t>DBC:MA.MAM_INSP_PTN</t>
    <phoneticPr fontId="20"/>
  </si>
  <si>
    <t>DBC.MA.MAM_INSP_PTN</t>
    <phoneticPr fontId="1"/>
  </si>
  <si>
    <t>DBC.MA.MAM_INSP_PTN</t>
    <phoneticPr fontId="20"/>
  </si>
  <si>
    <t>DBC:MA.MAM_WK_DAY</t>
    <phoneticPr fontId="20"/>
  </si>
  <si>
    <t>DBC.MA.MAM_WK_DAY</t>
    <phoneticPr fontId="20"/>
  </si>
  <si>
    <t>DBC:MA.MAM_SHIP_TERM</t>
    <phoneticPr fontId="20"/>
  </si>
  <si>
    <t>DBC.MA.MAM_SHIP_TERM</t>
    <phoneticPr fontId="20"/>
  </si>
  <si>
    <t>DBC:MA.MAM_SHIP_WK</t>
    <phoneticPr fontId="20"/>
  </si>
  <si>
    <t>DBC.MA.MAM_SHIP_WK</t>
    <phoneticPr fontId="20"/>
  </si>
  <si>
    <t>DBC:MA.MAM_RSRC</t>
    <phoneticPr fontId="1"/>
  </si>
  <si>
    <t>DBC.MA.MAM_RSRC</t>
    <phoneticPr fontId="1"/>
  </si>
  <si>
    <t>DBC.MA.MAM_RSRC</t>
    <phoneticPr fontId="20"/>
  </si>
  <si>
    <t>DBC:MA.MAM_HS_GRP</t>
    <phoneticPr fontId="1"/>
  </si>
  <si>
    <t>DBC.MA.MAM_HS_GRP</t>
    <phoneticPr fontId="1"/>
  </si>
  <si>
    <t>DBC.MA.MAM_HS_GRP</t>
    <phoneticPr fontId="20"/>
  </si>
  <si>
    <t>DBC:MA.MAM_ALC_PTN</t>
    <phoneticPr fontId="1"/>
  </si>
  <si>
    <t>DBC.MA.MAM_ALC_PTN</t>
    <phoneticPr fontId="1"/>
  </si>
  <si>
    <t>DBC.MA.MAM_ALC_PTN</t>
    <phoneticPr fontId="20"/>
  </si>
  <si>
    <t>DBC:MA.MAM_CTG_GRP</t>
    <phoneticPr fontId="1"/>
  </si>
  <si>
    <t>DBC.MA.MAM_CTG_GRP</t>
    <phoneticPr fontId="1"/>
  </si>
  <si>
    <t>DBC.MA.MAM_CTG_GRP</t>
    <phoneticPr fontId="20"/>
  </si>
  <si>
    <t>DBC:MA.MAM_ACT_PTN</t>
    <phoneticPr fontId="1"/>
  </si>
  <si>
    <t>DBC.MA.MAM_ACT_PTN</t>
    <phoneticPr fontId="1"/>
  </si>
  <si>
    <t>MAC_RND_TYP</t>
    <phoneticPr fontId="1"/>
  </si>
  <si>
    <t>cal_cd</t>
  </si>
  <si>
    <t>#MA.CAL_CD</t>
  </si>
  <si>
    <t>カレンダ</t>
  </si>
  <si>
    <t>MA.MAUAL0010.CalBase</t>
    <phoneticPr fontId="1"/>
  </si>
  <si>
    <t>LIST_LOGIC</t>
  </si>
  <si>
    <t>"</t>
    <phoneticPr fontId="1"/>
  </si>
  <si>
    <t>ShipWk_UpdChk01</t>
    <phoneticPr fontId="1"/>
  </si>
  <si>
    <t>ShipWk_Upd01</t>
    <phoneticPr fontId="1"/>
  </si>
  <si>
    <t>ShipWk_UpdChk01_Dtl</t>
    <phoneticPr fontId="1"/>
  </si>
  <si>
    <t>cal_cd</t>
    <phoneticPr fontId="1"/>
  </si>
  <si>
    <t>ShipWk_UpdChk01_Dtlブロックに以下の項目を追加
・cal_cd</t>
    <phoneticPr fontId="1"/>
  </si>
  <si>
    <t>ShipWk_Upd01_Dtl</t>
    <phoneticPr fontId="1"/>
  </si>
  <si>
    <t>ShipWk_Upd01_Dtlブロックに以下の項目を追加
・cal_cd</t>
    <phoneticPr fontId="1"/>
  </si>
  <si>
    <t>MA7032#031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</si>
  <si>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</si>
  <si>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</si>
  <si>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</si>
  <si>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</si>
  <si>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</si>
  <si>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</si>
  <si>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</si>
  <si>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</si>
  <si>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</si>
  <si>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</si>
  <si>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</si>
  <si>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</si>
  <si>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</si>
  <si>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</si>
  <si>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Journal pattern cd.</t>
  </si>
  <si>
    <t>Standard journal pattern name</t>
  </si>
  <si>
    <t>Memo 1</t>
  </si>
  <si>
    <t>Memo 2</t>
  </si>
  <si>
    <t>Memo 3</t>
  </si>
  <si>
    <t>Logical delete</t>
  </si>
  <si>
    <t>Update counter</t>
  </si>
  <si>
    <t>Auto-journal pattern cd.</t>
  </si>
  <si>
    <t>Locale cd.</t>
  </si>
  <si>
    <t>Auto-journal pattern name</t>
  </si>
  <si>
    <t>Auto-journal pattern basic cd.</t>
  </si>
  <si>
    <t>Auto-journal key cd.</t>
  </si>
  <si>
    <t>Standard auto-journal key name</t>
  </si>
  <si>
    <t>Auto-journal key name</t>
  </si>
  <si>
    <t>Inspection pattern cd.</t>
  </si>
  <si>
    <t>Standard inspection pattern name</t>
  </si>
  <si>
    <t>項目名
Field Name</t>
    <phoneticPr fontId="1"/>
  </si>
  <si>
    <t>型
Type</t>
    <phoneticPr fontId="1"/>
  </si>
  <si>
    <t>Inspection pattern name</t>
  </si>
  <si>
    <t>Work type cd.</t>
  </si>
  <si>
    <t>Standard work classification name</t>
  </si>
  <si>
    <t>Work type name</t>
  </si>
  <si>
    <t>Shipping conditions cd.</t>
  </si>
  <si>
    <t>Standard shipping conditions name</t>
  </si>
  <si>
    <t>Shipping conditions name</t>
  </si>
  <si>
    <t>Shipping operation cd.</t>
  </si>
  <si>
    <t>Standard shipping operation name</t>
  </si>
  <si>
    <t>Calendar</t>
  </si>
  <si>
    <t>Shipping operation name</t>
  </si>
  <si>
    <t>Resource cd.</t>
  </si>
  <si>
    <t>Standard resource name</t>
  </si>
  <si>
    <t>Resource unit name</t>
  </si>
  <si>
    <t>Number of decimal places</t>
  </si>
  <si>
    <t>Rounding type</t>
  </si>
  <si>
    <t>Resource name</t>
  </si>
  <si>
    <t>HS classification cd.</t>
  </si>
  <si>
    <t>Standard HS classification name</t>
  </si>
  <si>
    <t>HS type</t>
  </si>
  <si>
    <t>HS classification name</t>
  </si>
  <si>
    <t>Allocation pattern cd.</t>
  </si>
  <si>
    <t>Standard allocation pattern name</t>
  </si>
  <si>
    <t>Allocation pattern name</t>
  </si>
  <si>
    <t>Item category group cd.</t>
  </si>
  <si>
    <t>Standard item category group name</t>
  </si>
  <si>
    <t>Item category group name</t>
  </si>
  <si>
    <t>Calculation run pattern cd.</t>
  </si>
  <si>
    <t>Standard calculation run pattern name</t>
  </si>
  <si>
    <t>Calculation run pattern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</si>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</sst>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8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7" fillId="0" borderId="0"/>
    <xf numFmtId="0" fontId="28" fillId="0" borderId="0"/>
  </cellStyleXfs>
  <cellXfs count="153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5" borderId="19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2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49" fontId="22" fillId="24" borderId="15" xfId="0" applyNumberFormat="1" applyFont="1" applyFill="1" applyBorder="1" applyAlignment="1" applyProtection="1">
      <protection locked="0"/>
    </xf>
    <xf numFmtId="49" fontId="22" fillId="24" borderId="15" xfId="0" applyNumberFormat="1" applyFont="1" applyFill="1" applyBorder="1" applyAlignment="1">
      <alignment vertical="top"/>
    </xf>
    <xf numFmtId="49" fontId="22" fillId="24" borderId="15" xfId="0" quotePrefix="1" applyNumberFormat="1" applyFont="1" applyFill="1" applyBorder="1" applyAlignment="1">
      <alignment vertical="top"/>
    </xf>
    <xf numFmtId="0" fontId="22" fillId="25" borderId="19" xfId="0" applyFont="1" applyFill="1" applyBorder="1" applyAlignment="1"/>
    <xf numFmtId="0" fontId="26" fillId="27" borderId="15" xfId="0" applyFont="1" applyFill="1" applyBorder="1" applyAlignment="1">
      <alignment vertical="top"/>
    </xf>
    <xf numFmtId="0" fontId="26" fillId="27" borderId="15" xfId="0" applyFont="1" applyFill="1" applyBorder="1">
      <alignment vertical="top" wrapText="1"/>
    </xf>
    <xf numFmtId="0" fontId="26" fillId="27" borderId="2" xfId="0" applyFont="1" applyFill="1" applyBorder="1" applyAlignment="1" applyProtection="1">
      <alignment vertical="top"/>
      <protection locked="0"/>
    </xf>
    <xf numFmtId="0" fontId="26" fillId="27" borderId="19" xfId="0" applyFont="1" applyFill="1" applyBorder="1" applyAlignment="1" applyProtection="1">
      <alignment vertical="top"/>
      <protection locked="0"/>
    </xf>
    <xf numFmtId="0" fontId="26" fillId="27" borderId="22" xfId="0" applyFont="1" applyFill="1" applyBorder="1" applyAlignment="1" applyProtection="1">
      <protection locked="0"/>
    </xf>
    <xf numFmtId="0" fontId="26" fillId="27" borderId="19" xfId="0" applyFont="1" applyFill="1" applyBorder="1" applyAlignment="1"/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177" fontId="24" fillId="0" borderId="32" xfId="46" applyNumberFormat="1" applyFont="1" applyBorder="1" applyAlignment="1">
      <alignment horizontal="center" vertical="center"/>
    </xf>
    <xf numFmtId="177" fontId="24" fillId="0" borderId="2" xfId="47" applyNumberFormat="1" applyFont="1" applyBorder="1" applyAlignment="1">
      <alignment horizontal="center" vertical="center"/>
    </xf>
    <xf numFmtId="177" fontId="24" fillId="0" borderId="19" xfId="47" applyNumberFormat="1" applyFont="1" applyBorder="1" applyAlignment="1">
      <alignment horizontal="center" vertical="center"/>
    </xf>
    <xf numFmtId="0" fontId="24" fillId="0" borderId="22" xfId="46" applyFont="1" applyBorder="1" applyAlignment="1">
      <alignment horizontal="center" vertical="center" wrapText="1"/>
    </xf>
    <xf numFmtId="0" fontId="24" fillId="0" borderId="2" xfId="47" applyFont="1" applyBorder="1" applyAlignment="1">
      <alignment horizontal="center" vertical="center" wrapText="1"/>
    </xf>
    <xf numFmtId="0" fontId="24" fillId="0" borderId="19" xfId="47" applyFont="1" applyBorder="1" applyAlignment="1">
      <alignment horizontal="center" vertical="center" wrapText="1"/>
    </xf>
    <xf numFmtId="0" fontId="24" fillId="0" borderId="22" xfId="46" applyFont="1" applyBorder="1" applyAlignment="1">
      <alignment vertical="center" wrapText="1"/>
    </xf>
    <xf numFmtId="0" fontId="24" fillId="0" borderId="2" xfId="47" applyFont="1" applyBorder="1" applyAlignment="1">
      <alignment vertical="center" wrapText="1"/>
    </xf>
    <xf numFmtId="0" fontId="24" fillId="0" borderId="33" xfId="47" applyFont="1" applyBorder="1" applyAlignment="1">
      <alignment vertical="center" wrapText="1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6" fillId="27" borderId="22" xfId="0" applyFont="1" applyFill="1" applyBorder="1" applyAlignment="1" applyProtection="1">
      <protection locked="0"/>
    </xf>
    <xf numFmtId="0" fontId="26" fillId="27" borderId="19" xfId="0" applyFont="1" applyFill="1" applyBorder="1" applyAlignment="1"/>
  </cellXfs>
  <cellStyles count="48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標準_02_変更来歴例" xfId="47" xr:uid="{7CDADA29-0880-4453-8089-7EFA643EF567}"/>
    <cellStyle name="標準_変更来歴_1" xfId="46" xr:uid="{7D9435CA-3B14-4DF2-95E1-8E478AE3FE38}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1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29</v>
      </c>
      <c r="D2" s="7" t="s">
        <v>8</v>
      </c>
      <c r="E2" s="9" t="s">
        <v>258</v>
      </c>
      <c r="F2" s="7" t="s">
        <v>27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423</v>
      </c>
      <c r="D3" s="7" t="s">
        <v>9</v>
      </c>
      <c r="E3" s="9" t="s">
        <v>46</v>
      </c>
      <c r="F3" s="7" t="s">
        <v>28</v>
      </c>
      <c r="G3" s="9"/>
      <c r="H3" s="7"/>
      <c r="I3" s="9"/>
    </row>
    <row r="4" spans="1:12" x14ac:dyDescent="0.2">
      <c r="A4" s="3"/>
      <c r="B4" s="7"/>
      <c r="C4" s="59"/>
      <c r="D4" s="7" t="s">
        <v>10</v>
      </c>
      <c r="E4" s="13" t="s">
        <v>47</v>
      </c>
      <c r="F4" s="7" t="s">
        <v>4</v>
      </c>
      <c r="G4" s="9" t="s">
        <v>536</v>
      </c>
      <c r="H4" s="14"/>
      <c r="I4" s="15"/>
    </row>
    <row r="5" spans="1:12" x14ac:dyDescent="0.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 t="s">
        <v>265</v>
      </c>
      <c r="C7" s="25"/>
      <c r="D7" s="4"/>
      <c r="E7" s="4"/>
      <c r="F7" s="4"/>
      <c r="G7" s="4"/>
      <c r="H7" s="4"/>
      <c r="I7" s="15"/>
    </row>
    <row r="8" spans="1:12" x14ac:dyDescent="0.2">
      <c r="B8" s="4"/>
      <c r="C8" s="25" t="s">
        <v>259</v>
      </c>
      <c r="I8" s="15"/>
    </row>
    <row r="9" spans="1:12" x14ac:dyDescent="0.2">
      <c r="B9" s="4"/>
      <c r="C9" s="25" t="s">
        <v>260</v>
      </c>
      <c r="I9" s="15"/>
      <c r="J9" s="4"/>
    </row>
    <row r="10" spans="1:12" x14ac:dyDescent="0.2">
      <c r="B10" s="4"/>
      <c r="C10" s="25" t="s">
        <v>261</v>
      </c>
      <c r="I10" s="15"/>
      <c r="J10" s="4"/>
    </row>
    <row r="11" spans="1:12" x14ac:dyDescent="0.2">
      <c r="B11" s="4"/>
      <c r="C11" s="25" t="s">
        <v>262</v>
      </c>
      <c r="I11" s="15"/>
      <c r="J11" s="4"/>
    </row>
    <row r="12" spans="1:12" x14ac:dyDescent="0.2">
      <c r="B12" s="4"/>
      <c r="C12" s="25" t="s">
        <v>263</v>
      </c>
      <c r="I12" s="15"/>
      <c r="J12" s="4"/>
    </row>
    <row r="13" spans="1:12" x14ac:dyDescent="0.2">
      <c r="B13" s="4"/>
      <c r="C13" s="25" t="s">
        <v>264</v>
      </c>
      <c r="I13" s="15"/>
      <c r="J13" s="4"/>
    </row>
    <row r="14" spans="1:12" x14ac:dyDescent="0.2">
      <c r="B14" s="4"/>
      <c r="C14" s="25" t="s">
        <v>161</v>
      </c>
      <c r="I14" s="15"/>
      <c r="J14" s="4"/>
    </row>
    <row r="15" spans="1:12" x14ac:dyDescent="0.2">
      <c r="B15" s="4"/>
      <c r="C15" s="25" t="s">
        <v>162</v>
      </c>
      <c r="I15" s="15"/>
      <c r="J15" s="4"/>
    </row>
    <row r="16" spans="1:12" x14ac:dyDescent="0.2">
      <c r="B16" s="4"/>
      <c r="C16" s="25" t="s">
        <v>163</v>
      </c>
      <c r="I16" s="15"/>
      <c r="J16" s="4"/>
    </row>
    <row r="17" spans="1:10" x14ac:dyDescent="0.2">
      <c r="B17" s="4"/>
      <c r="C17" s="25" t="s">
        <v>164</v>
      </c>
      <c r="I17" s="15"/>
      <c r="J17" s="4"/>
    </row>
    <row r="18" spans="1:10" x14ac:dyDescent="0.2">
      <c r="B18" s="4"/>
      <c r="C18" s="25" t="s">
        <v>399</v>
      </c>
      <c r="I18" s="15"/>
      <c r="J18" s="4"/>
    </row>
    <row r="19" spans="1:10" x14ac:dyDescent="0.2">
      <c r="B19" s="4"/>
      <c r="I19" s="15"/>
      <c r="J19" s="4"/>
    </row>
    <row r="20" spans="1:10" x14ac:dyDescent="0.2">
      <c r="A20" s="1"/>
      <c r="B20" s="3"/>
      <c r="C20" s="2"/>
      <c r="D20" s="3"/>
      <c r="E20" s="3"/>
      <c r="F20" s="3"/>
      <c r="G20" s="3"/>
      <c r="H20" s="3"/>
      <c r="I20" s="26"/>
      <c r="J20" s="4"/>
    </row>
    <row r="21" spans="1:10" x14ac:dyDescent="0.2">
      <c r="B21" s="4"/>
      <c r="J21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80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82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339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2" t="s">
        <v>67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78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74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83</v>
      </c>
      <c r="E11" s="43" t="s">
        <v>38</v>
      </c>
      <c r="F11" s="44"/>
      <c r="G11" s="28" t="s">
        <v>125</v>
      </c>
      <c r="H11" s="45" t="s">
        <v>539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48</v>
      </c>
      <c r="E12" s="50" t="s">
        <v>56</v>
      </c>
      <c r="F12" s="50"/>
      <c r="G12" s="51" t="s">
        <v>597</v>
      </c>
      <c r="H12" s="51" t="s">
        <v>433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49</v>
      </c>
      <c r="E13" s="50" t="s">
        <v>57</v>
      </c>
      <c r="F13" s="50"/>
      <c r="G13" s="51" t="s">
        <v>598</v>
      </c>
      <c r="H13" s="51" t="s">
        <v>435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/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81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84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69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340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3" t="s">
        <v>70</v>
      </c>
      <c r="L7" s="32" t="s">
        <v>71</v>
      </c>
      <c r="M7" s="33" t="s">
        <v>39</v>
      </c>
      <c r="N7" s="32" t="s">
        <v>72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73</v>
      </c>
      <c r="L8" s="9" t="s">
        <v>540</v>
      </c>
      <c r="M8" s="33" t="s">
        <v>40</v>
      </c>
      <c r="N8" s="9" t="s">
        <v>540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74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85</v>
      </c>
      <c r="E11" s="43" t="s">
        <v>75</v>
      </c>
      <c r="F11" s="44"/>
      <c r="G11" s="28" t="s">
        <v>76</v>
      </c>
      <c r="H11" s="45" t="s">
        <v>442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48</v>
      </c>
      <c r="E12" s="50" t="s">
        <v>56</v>
      </c>
      <c r="F12" s="50"/>
      <c r="G12" s="51" t="s">
        <v>597</v>
      </c>
      <c r="H12" s="51" t="s">
        <v>433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49</v>
      </c>
      <c r="E13" s="50" t="s">
        <v>57</v>
      </c>
      <c r="F13" s="50"/>
      <c r="G13" s="51" t="s">
        <v>598</v>
      </c>
      <c r="H13" s="51" t="s">
        <v>435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82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86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341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2" t="s">
        <v>67</v>
      </c>
      <c r="L7" s="33" t="s">
        <v>39</v>
      </c>
      <c r="M7" s="32" t="s">
        <v>110</v>
      </c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78</v>
      </c>
      <c r="L8" s="33" t="s">
        <v>40</v>
      </c>
      <c r="M8" s="9" t="s">
        <v>541</v>
      </c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74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87</v>
      </c>
      <c r="E11" s="43" t="s">
        <v>38</v>
      </c>
      <c r="F11" s="44"/>
      <c r="G11" s="28" t="s">
        <v>125</v>
      </c>
      <c r="H11" s="45" t="s">
        <v>444</v>
      </c>
      <c r="I11" s="46"/>
      <c r="J11" s="47"/>
      <c r="K11" s="48"/>
      <c r="L11" s="48" t="s">
        <v>443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48</v>
      </c>
      <c r="E12" s="50" t="s">
        <v>56</v>
      </c>
      <c r="F12" s="50"/>
      <c r="G12" s="51" t="s">
        <v>604</v>
      </c>
      <c r="H12" s="51" t="s">
        <v>445</v>
      </c>
      <c r="I12" s="9" t="s">
        <v>434</v>
      </c>
      <c r="J12" s="9"/>
      <c r="K12" s="9" t="s">
        <v>225</v>
      </c>
      <c r="L12" s="9" t="s">
        <v>225</v>
      </c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49</v>
      </c>
      <c r="E14" s="50" t="s">
        <v>57</v>
      </c>
      <c r="F14" s="50"/>
      <c r="G14" s="51" t="s">
        <v>606</v>
      </c>
      <c r="H14" s="51" t="s">
        <v>447</v>
      </c>
      <c r="I14" s="9" t="s">
        <v>434</v>
      </c>
      <c r="J14" s="9"/>
      <c r="K14" s="9" t="s">
        <v>225</v>
      </c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83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88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69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342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3" t="s">
        <v>70</v>
      </c>
      <c r="L7" s="32" t="s">
        <v>71</v>
      </c>
      <c r="M7" s="33" t="s">
        <v>39</v>
      </c>
      <c r="N7" s="32" t="s">
        <v>72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73</v>
      </c>
      <c r="L8" s="9" t="s">
        <v>90</v>
      </c>
      <c r="M8" s="33" t="s">
        <v>40</v>
      </c>
      <c r="N8" s="9" t="s">
        <v>90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74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89</v>
      </c>
      <c r="E11" s="43" t="s">
        <v>75</v>
      </c>
      <c r="F11" s="44"/>
      <c r="G11" s="28" t="s">
        <v>76</v>
      </c>
      <c r="H11" s="45" t="s">
        <v>448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48</v>
      </c>
      <c r="E12" s="50" t="s">
        <v>56</v>
      </c>
      <c r="F12" s="50"/>
      <c r="G12" s="51" t="s">
        <v>604</v>
      </c>
      <c r="H12" s="51" t="s">
        <v>445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49</v>
      </c>
      <c r="E14" s="50" t="s">
        <v>57</v>
      </c>
      <c r="F14" s="50"/>
      <c r="G14" s="51" t="s">
        <v>606</v>
      </c>
      <c r="H14" s="51" t="s">
        <v>447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272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271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343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270</v>
      </c>
      <c r="J7" s="31"/>
      <c r="K7" s="32" t="s">
        <v>67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268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266</v>
      </c>
      <c r="E11" s="43" t="s">
        <v>38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48</v>
      </c>
      <c r="E12" s="50" t="s">
        <v>56</v>
      </c>
      <c r="F12" s="50"/>
      <c r="G12" s="51" t="s">
        <v>607</v>
      </c>
      <c r="H12" s="51" t="s">
        <v>449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/>
      <c r="L13" s="9"/>
      <c r="M13" s="9"/>
      <c r="N13" s="40"/>
      <c r="O13" s="52"/>
      <c r="P13" s="149"/>
      <c r="Q13" s="150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282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538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281</v>
      </c>
      <c r="K3" s="7" t="s">
        <v>28</v>
      </c>
      <c r="L3" s="64" t="str">
        <f>IF(LogicCommon!G3="","",LogicCommon!G3)</f>
        <v/>
      </c>
      <c r="M3" s="68" t="s">
        <v>271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280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344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269</v>
      </c>
      <c r="B7" s="30"/>
      <c r="C7" s="30"/>
      <c r="D7" s="31"/>
      <c r="E7" s="31"/>
      <c r="F7" s="31"/>
      <c r="G7" s="31"/>
      <c r="H7" s="31"/>
      <c r="I7" s="31" t="s">
        <v>270</v>
      </c>
      <c r="J7" s="31"/>
      <c r="K7" s="33" t="s">
        <v>279</v>
      </c>
      <c r="L7" s="32" t="s">
        <v>278</v>
      </c>
      <c r="M7" s="33" t="s">
        <v>39</v>
      </c>
      <c r="N7" s="32" t="s">
        <v>277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276</v>
      </c>
      <c r="L8" s="9" t="s">
        <v>540</v>
      </c>
      <c r="M8" s="33" t="s">
        <v>40</v>
      </c>
      <c r="N8" s="9" t="s">
        <v>90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275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274</v>
      </c>
      <c r="E11" s="43" t="s">
        <v>15</v>
      </c>
      <c r="F11" s="44"/>
      <c r="G11" s="28" t="s">
        <v>76</v>
      </c>
      <c r="H11" s="45" t="s">
        <v>450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48</v>
      </c>
      <c r="E12" s="50" t="s">
        <v>56</v>
      </c>
      <c r="F12" s="50"/>
      <c r="G12" s="51" t="s">
        <v>607</v>
      </c>
      <c r="H12" s="51" t="s">
        <v>449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 t="s">
        <v>225</v>
      </c>
      <c r="L13" s="9"/>
      <c r="M13" s="9"/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84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91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345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2" t="s">
        <v>67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78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74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92</v>
      </c>
      <c r="E11" s="43" t="s">
        <v>38</v>
      </c>
      <c r="F11" s="44"/>
      <c r="G11" s="28" t="s">
        <v>125</v>
      </c>
      <c r="H11" s="45" t="s">
        <v>542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50</v>
      </c>
      <c r="E12" s="50" t="s">
        <v>58</v>
      </c>
      <c r="F12" s="50"/>
      <c r="G12" s="51" t="s">
        <v>608</v>
      </c>
      <c r="H12" s="51" t="s">
        <v>451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51</v>
      </c>
      <c r="E13" s="50" t="s">
        <v>59</v>
      </c>
      <c r="F13" s="50"/>
      <c r="G13" s="51" t="s">
        <v>609</v>
      </c>
      <c r="H13" s="51" t="s">
        <v>452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/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5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93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69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346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3" t="s">
        <v>70</v>
      </c>
      <c r="L7" s="32" t="s">
        <v>71</v>
      </c>
      <c r="M7" s="33" t="s">
        <v>39</v>
      </c>
      <c r="N7" s="32" t="s">
        <v>72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73</v>
      </c>
      <c r="L8" s="9" t="s">
        <v>543</v>
      </c>
      <c r="M8" s="33" t="s">
        <v>40</v>
      </c>
      <c r="N8" s="9" t="s">
        <v>543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74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94</v>
      </c>
      <c r="E11" s="43" t="s">
        <v>75</v>
      </c>
      <c r="F11" s="44"/>
      <c r="G11" s="28" t="s">
        <v>76</v>
      </c>
      <c r="H11" s="45" t="s">
        <v>453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50</v>
      </c>
      <c r="E12" s="50" t="s">
        <v>58</v>
      </c>
      <c r="F12" s="50"/>
      <c r="G12" s="51" t="s">
        <v>608</v>
      </c>
      <c r="H12" s="51" t="s">
        <v>451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51</v>
      </c>
      <c r="E13" s="50" t="s">
        <v>59</v>
      </c>
      <c r="F13" s="50"/>
      <c r="G13" s="51" t="s">
        <v>609</v>
      </c>
      <c r="H13" s="51" t="s">
        <v>452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86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95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347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2" t="s">
        <v>67</v>
      </c>
      <c r="L7" s="33" t="s">
        <v>39</v>
      </c>
      <c r="M7" s="32" t="s">
        <v>110</v>
      </c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78</v>
      </c>
      <c r="L8" s="33" t="s">
        <v>40</v>
      </c>
      <c r="M8" s="9" t="s">
        <v>544</v>
      </c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74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96</v>
      </c>
      <c r="E11" s="43" t="s">
        <v>38</v>
      </c>
      <c r="F11" s="44"/>
      <c r="G11" s="28" t="s">
        <v>125</v>
      </c>
      <c r="H11" s="45" t="s">
        <v>454</v>
      </c>
      <c r="I11" s="46"/>
      <c r="J11" s="47"/>
      <c r="K11" s="48"/>
      <c r="L11" s="48" t="s">
        <v>443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50</v>
      </c>
      <c r="E12" s="50" t="s">
        <v>58</v>
      </c>
      <c r="F12" s="50"/>
      <c r="G12" s="51" t="s">
        <v>608</v>
      </c>
      <c r="H12" s="51" t="s">
        <v>451</v>
      </c>
      <c r="I12" s="9" t="s">
        <v>434</v>
      </c>
      <c r="J12" s="9"/>
      <c r="K12" s="9" t="s">
        <v>225</v>
      </c>
      <c r="L12" s="9" t="s">
        <v>225</v>
      </c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51</v>
      </c>
      <c r="E14" s="50" t="s">
        <v>59</v>
      </c>
      <c r="F14" s="50"/>
      <c r="G14" s="51" t="s">
        <v>610</v>
      </c>
      <c r="H14" s="51" t="s">
        <v>455</v>
      </c>
      <c r="I14" s="9" t="s">
        <v>434</v>
      </c>
      <c r="J14" s="9"/>
      <c r="K14" s="9" t="s">
        <v>225</v>
      </c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87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98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97</v>
      </c>
      <c r="K3" s="7" t="s">
        <v>28</v>
      </c>
      <c r="L3" s="64" t="str">
        <f>IF(LogicCommon!G3="","",LogicCommon!G3)</f>
        <v/>
      </c>
      <c r="M3" s="68" t="s">
        <v>81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348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3" t="s">
        <v>70</v>
      </c>
      <c r="L7" s="32" t="s">
        <v>71</v>
      </c>
      <c r="M7" s="33" t="s">
        <v>39</v>
      </c>
      <c r="N7" s="32" t="s">
        <v>72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73</v>
      </c>
      <c r="L8" s="9" t="s">
        <v>100</v>
      </c>
      <c r="M8" s="33" t="s">
        <v>40</v>
      </c>
      <c r="N8" s="9" t="s">
        <v>100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74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99</v>
      </c>
      <c r="E11" s="43" t="s">
        <v>75</v>
      </c>
      <c r="F11" s="44"/>
      <c r="G11" s="28" t="s">
        <v>76</v>
      </c>
      <c r="H11" s="45" t="s">
        <v>456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50</v>
      </c>
      <c r="E12" s="50" t="s">
        <v>58</v>
      </c>
      <c r="F12" s="50"/>
      <c r="G12" s="51" t="s">
        <v>608</v>
      </c>
      <c r="H12" s="51" t="s">
        <v>451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51</v>
      </c>
      <c r="E14" s="50" t="s">
        <v>59</v>
      </c>
      <c r="F14" s="50"/>
      <c r="G14" s="51" t="s">
        <v>610</v>
      </c>
      <c r="H14" s="51" t="s">
        <v>455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285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271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349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269</v>
      </c>
      <c r="B7" s="30"/>
      <c r="C7" s="30"/>
      <c r="D7" s="31"/>
      <c r="E7" s="31"/>
      <c r="F7" s="31"/>
      <c r="G7" s="31"/>
      <c r="H7" s="31"/>
      <c r="I7" s="31" t="s">
        <v>270</v>
      </c>
      <c r="J7" s="31"/>
      <c r="K7" s="32" t="s">
        <v>284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268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275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283</v>
      </c>
      <c r="E11" s="43" t="s">
        <v>38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50</v>
      </c>
      <c r="E12" s="50" t="s">
        <v>58</v>
      </c>
      <c r="F12" s="50"/>
      <c r="G12" s="51" t="s">
        <v>608</v>
      </c>
      <c r="H12" s="51" t="s">
        <v>457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/>
      <c r="L13" s="9"/>
      <c r="M13" s="9"/>
      <c r="N13" s="40"/>
      <c r="O13" s="52"/>
      <c r="P13" s="149"/>
      <c r="Q13" s="150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287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538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281</v>
      </c>
      <c r="K3" s="7" t="s">
        <v>28</v>
      </c>
      <c r="L3" s="64" t="str">
        <f>IF(LogicCommon!G3="","",LogicCommon!G3)</f>
        <v/>
      </c>
      <c r="M3" s="68" t="s">
        <v>271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280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350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269</v>
      </c>
      <c r="B7" s="30"/>
      <c r="C7" s="30"/>
      <c r="D7" s="31"/>
      <c r="E7" s="31"/>
      <c r="F7" s="31"/>
      <c r="G7" s="31"/>
      <c r="H7" s="31"/>
      <c r="I7" s="31" t="s">
        <v>270</v>
      </c>
      <c r="J7" s="31"/>
      <c r="K7" s="33" t="s">
        <v>279</v>
      </c>
      <c r="L7" s="32" t="s">
        <v>278</v>
      </c>
      <c r="M7" s="33" t="s">
        <v>39</v>
      </c>
      <c r="N7" s="32" t="s">
        <v>277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276</v>
      </c>
      <c r="L8" s="9" t="s">
        <v>543</v>
      </c>
      <c r="M8" s="33" t="s">
        <v>40</v>
      </c>
      <c r="N8" s="9" t="s">
        <v>100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286</v>
      </c>
      <c r="E11" s="43" t="s">
        <v>15</v>
      </c>
      <c r="F11" s="44"/>
      <c r="G11" s="28" t="s">
        <v>76</v>
      </c>
      <c r="H11" s="45" t="s">
        <v>458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50</v>
      </c>
      <c r="E12" s="50" t="s">
        <v>58</v>
      </c>
      <c r="F12" s="50"/>
      <c r="G12" s="51" t="s">
        <v>608</v>
      </c>
      <c r="H12" s="51" t="s">
        <v>457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 t="s">
        <v>225</v>
      </c>
      <c r="L13" s="9"/>
      <c r="M13" s="9"/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8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101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351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2" t="s">
        <v>67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78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74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102</v>
      </c>
      <c r="E11" s="43" t="s">
        <v>38</v>
      </c>
      <c r="F11" s="44"/>
      <c r="G11" s="28" t="s">
        <v>125</v>
      </c>
      <c r="H11" s="45" t="s">
        <v>545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52</v>
      </c>
      <c r="E12" s="50" t="s">
        <v>60</v>
      </c>
      <c r="F12" s="50"/>
      <c r="G12" s="51" t="s">
        <v>611</v>
      </c>
      <c r="H12" s="51" t="s">
        <v>459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ht="26" x14ac:dyDescent="0.2">
      <c r="A13" s="9">
        <v>10</v>
      </c>
      <c r="B13" s="9"/>
      <c r="C13" s="9"/>
      <c r="D13" s="9" t="s">
        <v>53</v>
      </c>
      <c r="E13" s="50" t="s">
        <v>61</v>
      </c>
      <c r="F13" s="50"/>
      <c r="G13" s="51" t="s">
        <v>612</v>
      </c>
      <c r="H13" s="51" t="s">
        <v>460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/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89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103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69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352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3" t="s">
        <v>70</v>
      </c>
      <c r="L7" s="32" t="s">
        <v>71</v>
      </c>
      <c r="M7" s="33" t="s">
        <v>39</v>
      </c>
      <c r="N7" s="32" t="s">
        <v>72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73</v>
      </c>
      <c r="L8" s="9" t="s">
        <v>546</v>
      </c>
      <c r="M8" s="33" t="s">
        <v>40</v>
      </c>
      <c r="N8" s="9" t="s">
        <v>546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74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104</v>
      </c>
      <c r="E11" s="43" t="s">
        <v>75</v>
      </c>
      <c r="F11" s="44"/>
      <c r="G11" s="28" t="s">
        <v>76</v>
      </c>
      <c r="H11" s="45" t="s">
        <v>461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52</v>
      </c>
      <c r="E12" s="50" t="s">
        <v>60</v>
      </c>
      <c r="F12" s="50"/>
      <c r="G12" s="51" t="s">
        <v>611</v>
      </c>
      <c r="H12" s="51" t="s">
        <v>459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ht="26" x14ac:dyDescent="0.2">
      <c r="A13" s="9">
        <v>10</v>
      </c>
      <c r="B13" s="9"/>
      <c r="C13" s="9"/>
      <c r="D13" s="9" t="s">
        <v>53</v>
      </c>
      <c r="E13" s="50" t="s">
        <v>61</v>
      </c>
      <c r="F13" s="50"/>
      <c r="G13" s="51" t="s">
        <v>612</v>
      </c>
      <c r="H13" s="51" t="s">
        <v>460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90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105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353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2" t="s">
        <v>67</v>
      </c>
      <c r="L7" s="33" t="s">
        <v>39</v>
      </c>
      <c r="M7" s="32" t="s">
        <v>110</v>
      </c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78</v>
      </c>
      <c r="L8" s="33" t="s">
        <v>40</v>
      </c>
      <c r="M8" s="9" t="s">
        <v>547</v>
      </c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74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106</v>
      </c>
      <c r="E11" s="43" t="s">
        <v>38</v>
      </c>
      <c r="F11" s="44"/>
      <c r="G11" s="28" t="s">
        <v>125</v>
      </c>
      <c r="H11" s="45" t="s">
        <v>462</v>
      </c>
      <c r="I11" s="46"/>
      <c r="J11" s="47"/>
      <c r="K11" s="48"/>
      <c r="L11" s="48" t="s">
        <v>443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52</v>
      </c>
      <c r="E12" s="50" t="s">
        <v>60</v>
      </c>
      <c r="F12" s="50"/>
      <c r="G12" s="51" t="s">
        <v>611</v>
      </c>
      <c r="H12" s="51" t="s">
        <v>459</v>
      </c>
      <c r="I12" s="9" t="s">
        <v>434</v>
      </c>
      <c r="J12" s="9"/>
      <c r="K12" s="9" t="s">
        <v>225</v>
      </c>
      <c r="L12" s="9" t="s">
        <v>225</v>
      </c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53</v>
      </c>
      <c r="E14" s="50" t="s">
        <v>61</v>
      </c>
      <c r="F14" s="50"/>
      <c r="G14" s="51" t="s">
        <v>615</v>
      </c>
      <c r="H14" s="51" t="s">
        <v>463</v>
      </c>
      <c r="I14" s="9" t="s">
        <v>434</v>
      </c>
      <c r="J14" s="9"/>
      <c r="K14" s="9" t="s">
        <v>225</v>
      </c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1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107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69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354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3" t="s">
        <v>70</v>
      </c>
      <c r="L7" s="32" t="s">
        <v>71</v>
      </c>
      <c r="M7" s="33" t="s">
        <v>39</v>
      </c>
      <c r="N7" s="32" t="s">
        <v>72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73</v>
      </c>
      <c r="L8" s="9" t="s">
        <v>109</v>
      </c>
      <c r="M8" s="33" t="s">
        <v>40</v>
      </c>
      <c r="N8" s="9" t="s">
        <v>109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74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108</v>
      </c>
      <c r="E11" s="43" t="s">
        <v>75</v>
      </c>
      <c r="F11" s="44"/>
      <c r="G11" s="28" t="s">
        <v>76</v>
      </c>
      <c r="H11" s="45" t="s">
        <v>464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52</v>
      </c>
      <c r="E12" s="50" t="s">
        <v>60</v>
      </c>
      <c r="F12" s="50"/>
      <c r="G12" s="51" t="s">
        <v>611</v>
      </c>
      <c r="H12" s="51" t="s">
        <v>459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53</v>
      </c>
      <c r="E14" s="50" t="s">
        <v>61</v>
      </c>
      <c r="F14" s="50"/>
      <c r="G14" s="51" t="s">
        <v>615</v>
      </c>
      <c r="H14" s="51" t="s">
        <v>463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289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271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355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269</v>
      </c>
      <c r="B7" s="30"/>
      <c r="C7" s="30"/>
      <c r="D7" s="31"/>
      <c r="E7" s="31"/>
      <c r="F7" s="31"/>
      <c r="G7" s="31"/>
      <c r="H7" s="31"/>
      <c r="I7" s="31" t="s">
        <v>270</v>
      </c>
      <c r="J7" s="31"/>
      <c r="K7" s="32" t="s">
        <v>284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268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288</v>
      </c>
      <c r="E11" s="43" t="s">
        <v>38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52</v>
      </c>
      <c r="E12" s="50" t="s">
        <v>60</v>
      </c>
      <c r="F12" s="50"/>
      <c r="G12" s="51" t="s">
        <v>611</v>
      </c>
      <c r="H12" s="51" t="s">
        <v>465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/>
      <c r="L13" s="9"/>
      <c r="M13" s="9"/>
      <c r="N13" s="40"/>
      <c r="O13" s="52"/>
      <c r="P13" s="149"/>
      <c r="Q13" s="150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293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538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281</v>
      </c>
      <c r="K3" s="7" t="s">
        <v>28</v>
      </c>
      <c r="L3" s="64" t="str">
        <f>IF(LogicCommon!G3="","",LogicCommon!G3)</f>
        <v/>
      </c>
      <c r="M3" s="68" t="s">
        <v>271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280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356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269</v>
      </c>
      <c r="B7" s="30"/>
      <c r="C7" s="30"/>
      <c r="D7" s="31"/>
      <c r="E7" s="31"/>
      <c r="F7" s="31"/>
      <c r="G7" s="31"/>
      <c r="H7" s="31"/>
      <c r="I7" s="31" t="s">
        <v>292</v>
      </c>
      <c r="J7" s="31"/>
      <c r="K7" s="33" t="s">
        <v>279</v>
      </c>
      <c r="L7" s="32" t="s">
        <v>278</v>
      </c>
      <c r="M7" s="33" t="s">
        <v>39</v>
      </c>
      <c r="N7" s="32" t="s">
        <v>277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291</v>
      </c>
      <c r="L8" s="9" t="s">
        <v>546</v>
      </c>
      <c r="M8" s="33" t="s">
        <v>40</v>
      </c>
      <c r="N8" s="9" t="s">
        <v>109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275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290</v>
      </c>
      <c r="E11" s="43" t="s">
        <v>273</v>
      </c>
      <c r="F11" s="44"/>
      <c r="G11" s="28" t="s">
        <v>76</v>
      </c>
      <c r="H11" s="45" t="s">
        <v>466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52</v>
      </c>
      <c r="E12" s="50" t="s">
        <v>60</v>
      </c>
      <c r="F12" s="50"/>
      <c r="G12" s="51" t="s">
        <v>611</v>
      </c>
      <c r="H12" s="51" t="s">
        <v>465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 t="s">
        <v>225</v>
      </c>
      <c r="L13" s="9"/>
      <c r="M13" s="9"/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115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357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2" t="s">
        <v>67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68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66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116</v>
      </c>
      <c r="E11" s="43" t="s">
        <v>38</v>
      </c>
      <c r="F11" s="44"/>
      <c r="G11" s="28" t="s">
        <v>125</v>
      </c>
      <c r="H11" s="45" t="s">
        <v>548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112</v>
      </c>
      <c r="E12" s="50" t="s">
        <v>113</v>
      </c>
      <c r="F12" s="50"/>
      <c r="G12" s="51" t="s">
        <v>616</v>
      </c>
      <c r="H12" s="51" t="s">
        <v>467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ht="26" x14ac:dyDescent="0.2">
      <c r="A13" s="9">
        <v>10</v>
      </c>
      <c r="B13" s="9"/>
      <c r="C13" s="9"/>
      <c r="D13" s="9" t="s">
        <v>117</v>
      </c>
      <c r="E13" s="50" t="s">
        <v>118</v>
      </c>
      <c r="F13" s="50"/>
      <c r="G13" s="51" t="s">
        <v>617</v>
      </c>
      <c r="H13" s="51" t="s">
        <v>468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/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5:Q15"/>
    <mergeCell ref="P16:Q16"/>
    <mergeCell ref="P17:Q17"/>
    <mergeCell ref="P18:Q18"/>
    <mergeCell ref="P12:Q12"/>
    <mergeCell ref="P13:Q13"/>
    <mergeCell ref="P14:Q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119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69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358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3" t="s">
        <v>70</v>
      </c>
      <c r="L7" s="32" t="s">
        <v>71</v>
      </c>
      <c r="M7" s="33" t="s">
        <v>39</v>
      </c>
      <c r="N7" s="32" t="s">
        <v>72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73</v>
      </c>
      <c r="L8" s="9" t="s">
        <v>549</v>
      </c>
      <c r="M8" s="33" t="s">
        <v>40</v>
      </c>
      <c r="N8" s="9" t="s">
        <v>549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66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120</v>
      </c>
      <c r="E11" s="43" t="s">
        <v>62</v>
      </c>
      <c r="F11" s="44"/>
      <c r="G11" s="28" t="s">
        <v>76</v>
      </c>
      <c r="H11" s="45" t="s">
        <v>469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112</v>
      </c>
      <c r="E12" s="50" t="s">
        <v>113</v>
      </c>
      <c r="F12" s="50"/>
      <c r="G12" s="51" t="s">
        <v>616</v>
      </c>
      <c r="H12" s="51" t="s">
        <v>467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ht="26" x14ac:dyDescent="0.2">
      <c r="A13" s="9">
        <v>10</v>
      </c>
      <c r="B13" s="9"/>
      <c r="C13" s="9"/>
      <c r="D13" s="9" t="s">
        <v>117</v>
      </c>
      <c r="E13" s="50" t="s">
        <v>118</v>
      </c>
      <c r="F13" s="50"/>
      <c r="G13" s="51" t="s">
        <v>617</v>
      </c>
      <c r="H13" s="51" t="s">
        <v>468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5:V15"/>
    <mergeCell ref="U16:V16"/>
    <mergeCell ref="U17:V17"/>
    <mergeCell ref="U18:V18"/>
    <mergeCell ref="U12:V12"/>
    <mergeCell ref="U13:V13"/>
    <mergeCell ref="U14:V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121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359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2" t="s">
        <v>67</v>
      </c>
      <c r="L7" s="33" t="s">
        <v>39</v>
      </c>
      <c r="M7" s="32" t="s">
        <v>110</v>
      </c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68</v>
      </c>
      <c r="L8" s="33" t="s">
        <v>40</v>
      </c>
      <c r="M8" s="9" t="s">
        <v>549</v>
      </c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66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122</v>
      </c>
      <c r="E11" s="43" t="s">
        <v>38</v>
      </c>
      <c r="F11" s="44"/>
      <c r="G11" s="28" t="s">
        <v>125</v>
      </c>
      <c r="H11" s="45" t="s">
        <v>470</v>
      </c>
      <c r="I11" s="46"/>
      <c r="J11" s="47"/>
      <c r="K11" s="48"/>
      <c r="L11" s="48" t="s">
        <v>443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112</v>
      </c>
      <c r="E12" s="50" t="s">
        <v>113</v>
      </c>
      <c r="F12" s="50"/>
      <c r="G12" s="51" t="s">
        <v>616</v>
      </c>
      <c r="H12" s="51" t="s">
        <v>471</v>
      </c>
      <c r="I12" s="9" t="s">
        <v>434</v>
      </c>
      <c r="J12" s="9"/>
      <c r="K12" s="9" t="s">
        <v>225</v>
      </c>
      <c r="L12" s="9" t="s">
        <v>225</v>
      </c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117</v>
      </c>
      <c r="E14" s="50" t="s">
        <v>118</v>
      </c>
      <c r="F14" s="50"/>
      <c r="G14" s="51" t="s">
        <v>618</v>
      </c>
      <c r="H14" s="51" t="s">
        <v>472</v>
      </c>
      <c r="I14" s="9" t="s">
        <v>434</v>
      </c>
      <c r="J14" s="9"/>
      <c r="K14" s="9" t="s">
        <v>225</v>
      </c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8:Q18"/>
    <mergeCell ref="P12:Q12"/>
    <mergeCell ref="P13:Q13"/>
    <mergeCell ref="P14:Q14"/>
    <mergeCell ref="P15:Q15"/>
    <mergeCell ref="P16:Q16"/>
    <mergeCell ref="P17:Q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123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69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360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3" t="s">
        <v>70</v>
      </c>
      <c r="L7" s="32" t="s">
        <v>71</v>
      </c>
      <c r="M7" s="33" t="s">
        <v>39</v>
      </c>
      <c r="N7" s="32" t="s">
        <v>72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73</v>
      </c>
      <c r="L8" s="9" t="s">
        <v>114</v>
      </c>
      <c r="M8" s="33" t="s">
        <v>40</v>
      </c>
      <c r="N8" s="9" t="s">
        <v>114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66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124</v>
      </c>
      <c r="E11" s="43" t="s">
        <v>62</v>
      </c>
      <c r="F11" s="44"/>
      <c r="G11" s="28" t="s">
        <v>76</v>
      </c>
      <c r="H11" s="45" t="s">
        <v>473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112</v>
      </c>
      <c r="E12" s="50" t="s">
        <v>113</v>
      </c>
      <c r="F12" s="50"/>
      <c r="G12" s="51" t="s">
        <v>616</v>
      </c>
      <c r="H12" s="51" t="s">
        <v>471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117</v>
      </c>
      <c r="E14" s="50" t="s">
        <v>118</v>
      </c>
      <c r="F14" s="50"/>
      <c r="G14" s="51" t="s">
        <v>618</v>
      </c>
      <c r="H14" s="51" t="s">
        <v>472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2:V12"/>
    <mergeCell ref="U13:V13"/>
    <mergeCell ref="U14:V14"/>
    <mergeCell ref="U15:V15"/>
    <mergeCell ref="U16:V16"/>
    <mergeCell ref="U17:V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295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271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361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269</v>
      </c>
      <c r="B7" s="30"/>
      <c r="C7" s="30"/>
      <c r="D7" s="31"/>
      <c r="E7" s="31"/>
      <c r="F7" s="31"/>
      <c r="G7" s="31"/>
      <c r="H7" s="31"/>
      <c r="I7" s="31" t="s">
        <v>270</v>
      </c>
      <c r="J7" s="31"/>
      <c r="K7" s="32" t="s">
        <v>284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268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294</v>
      </c>
      <c r="E11" s="43" t="s">
        <v>38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112</v>
      </c>
      <c r="E12" s="50" t="s">
        <v>113</v>
      </c>
      <c r="F12" s="50"/>
      <c r="G12" s="51" t="s">
        <v>616</v>
      </c>
      <c r="H12" s="51" t="s">
        <v>467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/>
      <c r="L13" s="9"/>
      <c r="M13" s="9"/>
      <c r="N13" s="40"/>
      <c r="O13" s="52"/>
      <c r="P13" s="149"/>
      <c r="Q13" s="150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300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538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281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280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362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275</v>
      </c>
      <c r="B7" s="30"/>
      <c r="C7" s="30"/>
      <c r="D7" s="31"/>
      <c r="E7" s="31"/>
      <c r="F7" s="31"/>
      <c r="G7" s="31"/>
      <c r="H7" s="31"/>
      <c r="I7" s="31" t="s">
        <v>270</v>
      </c>
      <c r="J7" s="31"/>
      <c r="K7" s="33" t="s">
        <v>279</v>
      </c>
      <c r="L7" s="32" t="s">
        <v>278</v>
      </c>
      <c r="M7" s="33" t="s">
        <v>39</v>
      </c>
      <c r="N7" s="32" t="s">
        <v>277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291</v>
      </c>
      <c r="L8" s="9" t="s">
        <v>549</v>
      </c>
      <c r="M8" s="33" t="s">
        <v>40</v>
      </c>
      <c r="N8" s="9" t="s">
        <v>299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275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298</v>
      </c>
      <c r="E11" s="43" t="s">
        <v>273</v>
      </c>
      <c r="F11" s="44"/>
      <c r="G11" s="28" t="s">
        <v>76</v>
      </c>
      <c r="H11" s="45" t="s">
        <v>474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297</v>
      </c>
      <c r="E12" s="50" t="s">
        <v>296</v>
      </c>
      <c r="F12" s="50"/>
      <c r="G12" s="51" t="s">
        <v>616</v>
      </c>
      <c r="H12" s="51" t="s">
        <v>467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 t="s">
        <v>225</v>
      </c>
      <c r="L13" s="9"/>
      <c r="M13" s="9"/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129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363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2" t="s">
        <v>67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68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66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130</v>
      </c>
      <c r="E11" s="43" t="s">
        <v>38</v>
      </c>
      <c r="F11" s="44"/>
      <c r="G11" s="28" t="s">
        <v>125</v>
      </c>
      <c r="H11" s="45" t="s">
        <v>550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126</v>
      </c>
      <c r="E12" s="50" t="s">
        <v>127</v>
      </c>
      <c r="F12" s="50"/>
      <c r="G12" s="51" t="s">
        <v>619</v>
      </c>
      <c r="H12" s="51" t="s">
        <v>475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ht="26" x14ac:dyDescent="0.2">
      <c r="A13" s="9">
        <v>10</v>
      </c>
      <c r="B13" s="9"/>
      <c r="C13" s="9"/>
      <c r="D13" s="9" t="s">
        <v>131</v>
      </c>
      <c r="E13" s="50" t="s">
        <v>132</v>
      </c>
      <c r="F13" s="50"/>
      <c r="G13" s="51" t="s">
        <v>620</v>
      </c>
      <c r="H13" s="51" t="s">
        <v>476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/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8:Q18"/>
    <mergeCell ref="P12:Q12"/>
    <mergeCell ref="P13:Q13"/>
    <mergeCell ref="P14:Q14"/>
    <mergeCell ref="P15:Q15"/>
    <mergeCell ref="P16:Q16"/>
    <mergeCell ref="P17:Q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133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69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364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3" t="s">
        <v>70</v>
      </c>
      <c r="L7" s="32" t="s">
        <v>71</v>
      </c>
      <c r="M7" s="33" t="s">
        <v>39</v>
      </c>
      <c r="N7" s="32" t="s">
        <v>72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73</v>
      </c>
      <c r="L8" s="9" t="s">
        <v>551</v>
      </c>
      <c r="M8" s="33" t="s">
        <v>40</v>
      </c>
      <c r="N8" s="9" t="s">
        <v>551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66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134</v>
      </c>
      <c r="E11" s="43" t="s">
        <v>62</v>
      </c>
      <c r="F11" s="44"/>
      <c r="G11" s="28" t="s">
        <v>76</v>
      </c>
      <c r="H11" s="45" t="s">
        <v>477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126</v>
      </c>
      <c r="E12" s="50" t="s">
        <v>127</v>
      </c>
      <c r="F12" s="50"/>
      <c r="G12" s="51" t="s">
        <v>619</v>
      </c>
      <c r="H12" s="51" t="s">
        <v>475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ht="26" x14ac:dyDescent="0.2">
      <c r="A13" s="9">
        <v>10</v>
      </c>
      <c r="B13" s="9"/>
      <c r="C13" s="9"/>
      <c r="D13" s="9" t="s">
        <v>131</v>
      </c>
      <c r="E13" s="50" t="s">
        <v>132</v>
      </c>
      <c r="F13" s="50"/>
      <c r="G13" s="51" t="s">
        <v>620</v>
      </c>
      <c r="H13" s="51" t="s">
        <v>476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2:V12"/>
    <mergeCell ref="U13:V13"/>
    <mergeCell ref="U14:V14"/>
    <mergeCell ref="U15:V15"/>
    <mergeCell ref="U16:V16"/>
    <mergeCell ref="U17:V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135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365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2" t="s">
        <v>67</v>
      </c>
      <c r="L7" s="33" t="s">
        <v>39</v>
      </c>
      <c r="M7" s="32" t="s">
        <v>110</v>
      </c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68</v>
      </c>
      <c r="L8" s="33" t="s">
        <v>40</v>
      </c>
      <c r="M8" s="9" t="s">
        <v>551</v>
      </c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66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136</v>
      </c>
      <c r="E11" s="43" t="s">
        <v>38</v>
      </c>
      <c r="F11" s="44"/>
      <c r="G11" s="28" t="s">
        <v>125</v>
      </c>
      <c r="H11" s="45" t="s">
        <v>478</v>
      </c>
      <c r="I11" s="46"/>
      <c r="J11" s="47"/>
      <c r="K11" s="48"/>
      <c r="L11" s="48" t="s">
        <v>443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126</v>
      </c>
      <c r="E12" s="50" t="s">
        <v>127</v>
      </c>
      <c r="F12" s="50"/>
      <c r="G12" s="51" t="s">
        <v>619</v>
      </c>
      <c r="H12" s="51" t="s">
        <v>479</v>
      </c>
      <c r="I12" s="9" t="s">
        <v>434</v>
      </c>
      <c r="J12" s="9"/>
      <c r="K12" s="9" t="s">
        <v>225</v>
      </c>
      <c r="L12" s="9" t="s">
        <v>225</v>
      </c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131</v>
      </c>
      <c r="E14" s="50" t="s">
        <v>132</v>
      </c>
      <c r="F14" s="50"/>
      <c r="G14" s="51" t="s">
        <v>621</v>
      </c>
      <c r="H14" s="51" t="s">
        <v>480</v>
      </c>
      <c r="I14" s="9" t="s">
        <v>434</v>
      </c>
      <c r="J14" s="9"/>
      <c r="K14" s="9" t="s">
        <v>225</v>
      </c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8:Q18"/>
    <mergeCell ref="P12:Q12"/>
    <mergeCell ref="P13:Q13"/>
    <mergeCell ref="P14:Q14"/>
    <mergeCell ref="P15:Q15"/>
    <mergeCell ref="P16:Q16"/>
    <mergeCell ref="P17:Q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137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69</v>
      </c>
      <c r="K3" s="7" t="s">
        <v>28</v>
      </c>
      <c r="L3" s="64" t="str">
        <f>IF(LogicCommon!G3="","",LogicCommon!G3)</f>
        <v/>
      </c>
      <c r="M3" s="68" t="s">
        <v>64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366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26</v>
      </c>
      <c r="J7" s="31"/>
      <c r="K7" s="33" t="s">
        <v>70</v>
      </c>
      <c r="L7" s="32" t="s">
        <v>71</v>
      </c>
      <c r="M7" s="33" t="s">
        <v>39</v>
      </c>
      <c r="N7" s="32" t="s">
        <v>72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73</v>
      </c>
      <c r="L8" s="9" t="s">
        <v>140</v>
      </c>
      <c r="M8" s="33" t="s">
        <v>40</v>
      </c>
      <c r="N8" s="9" t="s">
        <v>128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66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138</v>
      </c>
      <c r="E11" s="43" t="s">
        <v>62</v>
      </c>
      <c r="F11" s="44"/>
      <c r="G11" s="28" t="s">
        <v>76</v>
      </c>
      <c r="H11" s="45" t="s">
        <v>481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126</v>
      </c>
      <c r="E12" s="50" t="s">
        <v>139</v>
      </c>
      <c r="F12" s="50"/>
      <c r="G12" s="51" t="s">
        <v>619</v>
      </c>
      <c r="H12" s="51" t="s">
        <v>479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131</v>
      </c>
      <c r="E14" s="50" t="s">
        <v>132</v>
      </c>
      <c r="F14" s="50"/>
      <c r="G14" s="51" t="s">
        <v>621</v>
      </c>
      <c r="H14" s="51" t="s">
        <v>480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2:V12"/>
    <mergeCell ref="U13:V13"/>
    <mergeCell ref="U14:V14"/>
    <mergeCell ref="U15:V15"/>
    <mergeCell ref="U16:V16"/>
    <mergeCell ref="U17:V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304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367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269</v>
      </c>
      <c r="B7" s="30"/>
      <c r="C7" s="30"/>
      <c r="D7" s="31"/>
      <c r="E7" s="31"/>
      <c r="F7" s="31"/>
      <c r="G7" s="31"/>
      <c r="H7" s="31"/>
      <c r="I7" s="31" t="s">
        <v>270</v>
      </c>
      <c r="J7" s="31"/>
      <c r="K7" s="32" t="s">
        <v>284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268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275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303</v>
      </c>
      <c r="E11" s="43" t="s">
        <v>38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302</v>
      </c>
      <c r="E12" s="50" t="s">
        <v>301</v>
      </c>
      <c r="F12" s="50"/>
      <c r="G12" s="51" t="s">
        <v>619</v>
      </c>
      <c r="H12" s="51" t="s">
        <v>475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/>
      <c r="L13" s="9"/>
      <c r="M13" s="9"/>
      <c r="N13" s="40"/>
      <c r="O13" s="52"/>
      <c r="P13" s="149"/>
      <c r="Q13" s="150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307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538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281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280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368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275</v>
      </c>
      <c r="B7" s="30"/>
      <c r="C7" s="30"/>
      <c r="D7" s="31"/>
      <c r="E7" s="31"/>
      <c r="F7" s="31"/>
      <c r="G7" s="31"/>
      <c r="H7" s="31"/>
      <c r="I7" s="31" t="s">
        <v>270</v>
      </c>
      <c r="J7" s="31"/>
      <c r="K7" s="33" t="s">
        <v>279</v>
      </c>
      <c r="L7" s="32" t="s">
        <v>278</v>
      </c>
      <c r="M7" s="33" t="s">
        <v>39</v>
      </c>
      <c r="N7" s="32" t="s">
        <v>277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276</v>
      </c>
      <c r="L8" s="9" t="s">
        <v>551</v>
      </c>
      <c r="M8" s="33" t="s">
        <v>40</v>
      </c>
      <c r="N8" s="9" t="s">
        <v>306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275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305</v>
      </c>
      <c r="E11" s="43" t="s">
        <v>273</v>
      </c>
      <c r="F11" s="44"/>
      <c r="G11" s="28" t="s">
        <v>76</v>
      </c>
      <c r="H11" s="45" t="s">
        <v>482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302</v>
      </c>
      <c r="E12" s="50" t="s">
        <v>301</v>
      </c>
      <c r="F12" s="50"/>
      <c r="G12" s="51" t="s">
        <v>619</v>
      </c>
      <c r="H12" s="51" t="s">
        <v>475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 t="s">
        <v>225</v>
      </c>
      <c r="L13" s="9"/>
      <c r="M13" s="9"/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24"/>
  <sheetViews>
    <sheetView zoomScale="85" zoomScaleNormal="85" zoomScaleSheetLayoutView="85" workbookViewId="0">
      <selection activeCell="A14" sqref="A14:XFD14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8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248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8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</row>
    <row r="4" spans="1:18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8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8" s="11" customFormat="1" x14ac:dyDescent="0.2">
      <c r="A6" s="65" t="s">
        <v>425</v>
      </c>
      <c r="B6" s="66"/>
      <c r="C6" s="66"/>
      <c r="D6" s="4" t="s">
        <v>5</v>
      </c>
      <c r="E6" s="16" t="s">
        <v>369</v>
      </c>
      <c r="F6" s="16"/>
      <c r="G6" s="16"/>
      <c r="H6" s="16"/>
      <c r="I6" s="16"/>
      <c r="J6" s="16"/>
      <c r="K6" s="16"/>
      <c r="L6" s="72"/>
      <c r="M6" s="72"/>
      <c r="N6" s="19" t="s">
        <v>424</v>
      </c>
      <c r="O6" s="19"/>
      <c r="P6" s="19"/>
      <c r="Q6" s="19"/>
      <c r="R6" s="19"/>
    </row>
    <row r="7" spans="1:18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2" t="s">
        <v>67</v>
      </c>
      <c r="L7" s="32" t="s">
        <v>67</v>
      </c>
      <c r="M7" s="33" t="s">
        <v>39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68</v>
      </c>
      <c r="L8" s="9" t="s">
        <v>573</v>
      </c>
      <c r="M8" s="33" t="s">
        <v>40</v>
      </c>
      <c r="N8" s="9"/>
      <c r="O8" s="88"/>
      <c r="P8" s="89"/>
      <c r="Q8" s="90" t="s">
        <v>587</v>
      </c>
      <c r="R8" s="52"/>
    </row>
    <row r="9" spans="1:18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90" t="s">
        <v>595</v>
      </c>
      <c r="P9" s="52"/>
      <c r="Q9" s="90" t="s">
        <v>596</v>
      </c>
      <c r="R9" s="52"/>
    </row>
    <row r="10" spans="1:18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85" t="s">
        <v>593</v>
      </c>
      <c r="N10" s="85" t="s">
        <v>594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577</v>
      </c>
      <c r="E11" s="43" t="s">
        <v>38</v>
      </c>
      <c r="F11" s="44"/>
      <c r="G11" s="28" t="s">
        <v>125</v>
      </c>
      <c r="H11" s="45" t="s">
        <v>552</v>
      </c>
      <c r="I11" s="46"/>
      <c r="J11" s="47"/>
      <c r="K11" s="48"/>
      <c r="L11" s="48"/>
      <c r="M11" s="48"/>
      <c r="N11" s="48"/>
      <c r="O11" s="34"/>
      <c r="P11" s="35"/>
      <c r="Q11" s="60"/>
      <c r="R11" s="49"/>
    </row>
    <row r="12" spans="1:18" s="11" customFormat="1" x14ac:dyDescent="0.2">
      <c r="A12" s="9">
        <v>10</v>
      </c>
      <c r="B12" s="9"/>
      <c r="C12" s="9"/>
      <c r="D12" s="9" t="s">
        <v>245</v>
      </c>
      <c r="E12" s="50" t="s">
        <v>244</v>
      </c>
      <c r="F12" s="50"/>
      <c r="G12" s="51" t="s">
        <v>622</v>
      </c>
      <c r="H12" s="51" t="s">
        <v>483</v>
      </c>
      <c r="I12" s="9" t="s">
        <v>434</v>
      </c>
      <c r="J12" s="9"/>
      <c r="K12" s="9" t="s">
        <v>225</v>
      </c>
      <c r="L12" s="9"/>
      <c r="M12" s="9"/>
      <c r="N12" s="9"/>
      <c r="O12" s="40"/>
      <c r="P12" s="52"/>
      <c r="Q12" s="60"/>
      <c r="R12" s="76"/>
    </row>
    <row r="13" spans="1:18" s="11" customFormat="1" ht="26" x14ac:dyDescent="0.2">
      <c r="A13" s="9">
        <v>10</v>
      </c>
      <c r="B13" s="9"/>
      <c r="C13" s="9"/>
      <c r="D13" s="9" t="s">
        <v>246</v>
      </c>
      <c r="E13" s="50" t="s">
        <v>247</v>
      </c>
      <c r="F13" s="50"/>
      <c r="G13" s="51" t="s">
        <v>623</v>
      </c>
      <c r="H13" s="51" t="s">
        <v>484</v>
      </c>
      <c r="I13" s="9" t="s">
        <v>434</v>
      </c>
      <c r="J13" s="9"/>
      <c r="K13" s="9" t="s">
        <v>225</v>
      </c>
      <c r="L13" s="9"/>
      <c r="M13" s="9"/>
      <c r="N13" s="9"/>
      <c r="O13" s="40"/>
      <c r="P13" s="52"/>
      <c r="Q13" s="60"/>
      <c r="R13" s="76"/>
    </row>
    <row r="14" spans="1:18" s="11" customFormat="1" x14ac:dyDescent="0.2">
      <c r="A14" s="77">
        <v>10</v>
      </c>
      <c r="B14" s="77"/>
      <c r="C14" s="77"/>
      <c r="D14" s="77" t="s">
        <v>578</v>
      </c>
      <c r="E14" s="78" t="s">
        <v>570</v>
      </c>
      <c r="F14" s="78"/>
      <c r="G14" s="78" t="s">
        <v>624</v>
      </c>
      <c r="H14" s="78" t="s">
        <v>571</v>
      </c>
      <c r="I14" s="77" t="s">
        <v>434</v>
      </c>
      <c r="J14" s="77"/>
      <c r="K14" s="77"/>
      <c r="L14" s="77" t="s">
        <v>572</v>
      </c>
      <c r="M14" s="77"/>
      <c r="N14" s="77"/>
      <c r="O14" s="79"/>
      <c r="P14" s="80"/>
      <c r="Q14" s="81"/>
      <c r="R14" s="82"/>
    </row>
    <row r="15" spans="1:18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/>
      <c r="L15" s="9"/>
      <c r="M15" s="9"/>
      <c r="N15" s="9"/>
      <c r="O15" s="40"/>
      <c r="P15" s="52"/>
      <c r="Q15" s="60"/>
      <c r="R15" s="76"/>
    </row>
    <row r="16" spans="1:18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/>
      <c r="L16" s="9"/>
      <c r="M16" s="9"/>
      <c r="N16" s="9"/>
      <c r="O16" s="40"/>
      <c r="P16" s="52"/>
      <c r="Q16" s="60"/>
      <c r="R16" s="76"/>
    </row>
    <row r="17" spans="1:18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/>
      <c r="L17" s="9"/>
      <c r="M17" s="9"/>
      <c r="N17" s="9"/>
      <c r="O17" s="40"/>
      <c r="P17" s="52"/>
      <c r="Q17" s="60"/>
      <c r="R17" s="76"/>
    </row>
    <row r="18" spans="1:18" s="11" customFormat="1" x14ac:dyDescent="0.2">
      <c r="A18" s="9">
        <v>10</v>
      </c>
      <c r="B18" s="9"/>
      <c r="C18" s="9"/>
      <c r="D18" s="9" t="s">
        <v>41</v>
      </c>
      <c r="E18" s="50" t="s">
        <v>36</v>
      </c>
      <c r="F18" s="50"/>
      <c r="G18" s="51" t="s">
        <v>602</v>
      </c>
      <c r="H18" s="51" t="s">
        <v>439</v>
      </c>
      <c r="I18" s="9" t="s">
        <v>434</v>
      </c>
      <c r="J18" s="9"/>
      <c r="K18" s="9"/>
      <c r="L18" s="9"/>
      <c r="M18" s="9"/>
      <c r="N18" s="9"/>
      <c r="O18" s="40"/>
      <c r="P18" s="52"/>
      <c r="Q18" s="60"/>
      <c r="R18" s="76"/>
    </row>
    <row r="19" spans="1:18" s="11" customFormat="1" x14ac:dyDescent="0.2">
      <c r="A19" s="9">
        <v>10</v>
      </c>
      <c r="B19" s="9"/>
      <c r="C19" s="9"/>
      <c r="D19" s="9" t="s">
        <v>42</v>
      </c>
      <c r="E19" s="50" t="s">
        <v>43</v>
      </c>
      <c r="F19" s="50"/>
      <c r="G19" s="51" t="s">
        <v>603</v>
      </c>
      <c r="H19" s="51" t="s">
        <v>440</v>
      </c>
      <c r="I19" s="9" t="s">
        <v>434</v>
      </c>
      <c r="J19" s="9"/>
      <c r="K19" s="9"/>
      <c r="L19" s="9"/>
      <c r="M19" s="9"/>
      <c r="N19" s="9"/>
      <c r="O19" s="40"/>
      <c r="P19" s="52"/>
      <c r="Q19" s="60"/>
      <c r="R19" s="76"/>
    </row>
    <row r="20" spans="1:18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"/>
      <c r="P20" s="4"/>
      <c r="Q20" s="6"/>
      <c r="R20" s="23"/>
    </row>
    <row r="21" spans="1:18" s="11" customFormat="1" x14ac:dyDescent="0.2">
      <c r="A21" s="65"/>
      <c r="R21" s="55"/>
    </row>
    <row r="22" spans="1:18" s="11" customFormat="1" x14ac:dyDescent="0.2">
      <c r="A22" s="65"/>
      <c r="R22" s="55"/>
    </row>
    <row r="23" spans="1:18" s="11" customFormat="1" x14ac:dyDescent="0.2">
      <c r="A23" s="65"/>
      <c r="R23" s="55"/>
    </row>
    <row r="24" spans="1:18" s="11" customFormat="1" x14ac:dyDescent="0.2">
      <c r="A24" s="7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V24"/>
  <sheetViews>
    <sheetView zoomScale="85" zoomScaleNormal="85" zoomScaleSheetLayoutView="85" workbookViewId="0">
      <selection activeCell="D13" sqref="D13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249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22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370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3" t="s">
        <v>70</v>
      </c>
      <c r="L7" s="32" t="s">
        <v>71</v>
      </c>
      <c r="M7" s="33" t="s">
        <v>39</v>
      </c>
      <c r="N7" s="32" t="s">
        <v>72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73</v>
      </c>
      <c r="L8" s="9" t="s">
        <v>553</v>
      </c>
      <c r="M8" s="33" t="s">
        <v>40</v>
      </c>
      <c r="N8" s="9" t="s">
        <v>553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580</v>
      </c>
      <c r="E11" s="43" t="s">
        <v>15</v>
      </c>
      <c r="F11" s="44"/>
      <c r="G11" s="28" t="s">
        <v>76</v>
      </c>
      <c r="H11" s="45" t="s">
        <v>485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245</v>
      </c>
      <c r="E12" s="50" t="s">
        <v>244</v>
      </c>
      <c r="F12" s="50"/>
      <c r="G12" s="51" t="s">
        <v>622</v>
      </c>
      <c r="H12" s="51" t="s">
        <v>483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ht="26" x14ac:dyDescent="0.2">
      <c r="A13" s="9">
        <v>10</v>
      </c>
      <c r="B13" s="9"/>
      <c r="C13" s="9"/>
      <c r="D13" s="9" t="s">
        <v>246</v>
      </c>
      <c r="E13" s="50" t="s">
        <v>247</v>
      </c>
      <c r="F13" s="50"/>
      <c r="G13" s="51" t="s">
        <v>623</v>
      </c>
      <c r="H13" s="51" t="s">
        <v>484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77">
        <v>10</v>
      </c>
      <c r="B14" s="77"/>
      <c r="C14" s="77"/>
      <c r="D14" s="77" t="s">
        <v>569</v>
      </c>
      <c r="E14" s="78" t="s">
        <v>570</v>
      </c>
      <c r="F14" s="78"/>
      <c r="G14" s="78" t="s">
        <v>624</v>
      </c>
      <c r="H14" s="78" t="s">
        <v>571</v>
      </c>
      <c r="I14" s="77" t="s">
        <v>434</v>
      </c>
      <c r="J14" s="77"/>
      <c r="K14" s="77" t="s">
        <v>225</v>
      </c>
      <c r="L14" s="77"/>
      <c r="M14" s="77" t="s">
        <v>225</v>
      </c>
      <c r="N14" s="77"/>
      <c r="O14" s="77"/>
      <c r="P14" s="77"/>
      <c r="Q14" s="77"/>
      <c r="R14" s="77"/>
      <c r="S14" s="79"/>
      <c r="T14" s="80"/>
      <c r="U14" s="151"/>
      <c r="V14" s="152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41</v>
      </c>
      <c r="E18" s="50" t="s">
        <v>36</v>
      </c>
      <c r="F18" s="50"/>
      <c r="G18" s="51" t="s">
        <v>602</v>
      </c>
      <c r="H18" s="51" t="s">
        <v>439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9">
        <v>10</v>
      </c>
      <c r="B19" s="9"/>
      <c r="C19" s="9"/>
      <c r="D19" s="9" t="s">
        <v>42</v>
      </c>
      <c r="E19" s="50" t="s">
        <v>43</v>
      </c>
      <c r="F19" s="50"/>
      <c r="G19" s="51" t="s">
        <v>603</v>
      </c>
      <c r="H19" s="51" t="s">
        <v>440</v>
      </c>
      <c r="I19" s="9" t="s">
        <v>434</v>
      </c>
      <c r="J19" s="9"/>
      <c r="K19" s="9" t="s">
        <v>225</v>
      </c>
      <c r="L19" s="9"/>
      <c r="M19" s="9" t="s">
        <v>225</v>
      </c>
      <c r="N19" s="9"/>
      <c r="O19" s="9"/>
      <c r="P19" s="9"/>
      <c r="Q19" s="9"/>
      <c r="R19" s="9"/>
      <c r="S19" s="40"/>
      <c r="T19" s="52"/>
      <c r="U19" s="149"/>
      <c r="V19" s="150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65"/>
      <c r="V23" s="55"/>
    </row>
    <row r="24" spans="1:22" s="11" customFormat="1" x14ac:dyDescent="0.2">
      <c r="A24" s="7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4:V14"/>
    <mergeCell ref="U19:V19"/>
    <mergeCell ref="U12:V12"/>
    <mergeCell ref="U13:V13"/>
    <mergeCell ref="U15:V15"/>
    <mergeCell ref="U16:V16"/>
    <mergeCell ref="U17:V17"/>
    <mergeCell ref="U18:V18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250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371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2" t="s">
        <v>67</v>
      </c>
      <c r="L7" s="33" t="s">
        <v>39</v>
      </c>
      <c r="M7" s="32" t="s">
        <v>110</v>
      </c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68</v>
      </c>
      <c r="L8" s="33" t="s">
        <v>40</v>
      </c>
      <c r="M8" s="9" t="s">
        <v>553</v>
      </c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251</v>
      </c>
      <c r="E11" s="43" t="s">
        <v>38</v>
      </c>
      <c r="F11" s="44"/>
      <c r="G11" s="28" t="s">
        <v>125</v>
      </c>
      <c r="H11" s="45" t="s">
        <v>486</v>
      </c>
      <c r="I11" s="46"/>
      <c r="J11" s="47"/>
      <c r="K11" s="48"/>
      <c r="L11" s="48" t="s">
        <v>443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245</v>
      </c>
      <c r="E12" s="50" t="s">
        <v>244</v>
      </c>
      <c r="F12" s="50"/>
      <c r="G12" s="51" t="s">
        <v>622</v>
      </c>
      <c r="H12" s="51" t="s">
        <v>487</v>
      </c>
      <c r="I12" s="9" t="s">
        <v>434</v>
      </c>
      <c r="J12" s="9"/>
      <c r="K12" s="9" t="s">
        <v>225</v>
      </c>
      <c r="L12" s="9" t="s">
        <v>225</v>
      </c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246</v>
      </c>
      <c r="E14" s="50" t="s">
        <v>247</v>
      </c>
      <c r="F14" s="50"/>
      <c r="G14" s="51" t="s">
        <v>625</v>
      </c>
      <c r="H14" s="51" t="s">
        <v>488</v>
      </c>
      <c r="I14" s="9" t="s">
        <v>434</v>
      </c>
      <c r="J14" s="9"/>
      <c r="K14" s="9" t="s">
        <v>225</v>
      </c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8:Q18"/>
    <mergeCell ref="P12:Q12"/>
    <mergeCell ref="P13:Q13"/>
    <mergeCell ref="P14:Q14"/>
    <mergeCell ref="P15:Q15"/>
    <mergeCell ref="P16:Q16"/>
    <mergeCell ref="P17:Q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252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22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372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3" t="s">
        <v>70</v>
      </c>
      <c r="L7" s="32" t="s">
        <v>71</v>
      </c>
      <c r="M7" s="33" t="s">
        <v>39</v>
      </c>
      <c r="N7" s="32" t="s">
        <v>72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73</v>
      </c>
      <c r="L8" s="9" t="s">
        <v>255</v>
      </c>
      <c r="M8" s="33" t="s">
        <v>40</v>
      </c>
      <c r="N8" s="9" t="s">
        <v>254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253</v>
      </c>
      <c r="E11" s="43" t="s">
        <v>15</v>
      </c>
      <c r="F11" s="44"/>
      <c r="G11" s="28" t="s">
        <v>76</v>
      </c>
      <c r="H11" s="45" t="s">
        <v>489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245</v>
      </c>
      <c r="E12" s="50" t="s">
        <v>244</v>
      </c>
      <c r="F12" s="50"/>
      <c r="G12" s="51" t="s">
        <v>622</v>
      </c>
      <c r="H12" s="51" t="s">
        <v>487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246</v>
      </c>
      <c r="E14" s="50" t="s">
        <v>247</v>
      </c>
      <c r="F14" s="50"/>
      <c r="G14" s="51" t="s">
        <v>625</v>
      </c>
      <c r="H14" s="51" t="s">
        <v>488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2:V12"/>
    <mergeCell ref="U13:V13"/>
    <mergeCell ref="U14:V14"/>
    <mergeCell ref="U15:V15"/>
    <mergeCell ref="U16:V16"/>
    <mergeCell ref="U17:V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310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271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373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267</v>
      </c>
      <c r="B7" s="30"/>
      <c r="C7" s="30"/>
      <c r="D7" s="31"/>
      <c r="E7" s="31"/>
      <c r="F7" s="31"/>
      <c r="G7" s="31"/>
      <c r="H7" s="31"/>
      <c r="I7" s="31" t="s">
        <v>270</v>
      </c>
      <c r="J7" s="31"/>
      <c r="K7" s="32" t="s">
        <v>309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68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308</v>
      </c>
      <c r="E11" s="43" t="s">
        <v>38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245</v>
      </c>
      <c r="E12" s="50" t="s">
        <v>244</v>
      </c>
      <c r="F12" s="50"/>
      <c r="G12" s="51" t="s">
        <v>622</v>
      </c>
      <c r="H12" s="51" t="s">
        <v>483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/>
      <c r="L13" s="9"/>
      <c r="M13" s="9"/>
      <c r="N13" s="40"/>
      <c r="O13" s="52"/>
      <c r="P13" s="149"/>
      <c r="Q13" s="150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314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538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22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280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374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3" t="s">
        <v>313</v>
      </c>
      <c r="L7" s="32" t="s">
        <v>278</v>
      </c>
      <c r="M7" s="33" t="s">
        <v>39</v>
      </c>
      <c r="N7" s="32" t="s">
        <v>277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312</v>
      </c>
      <c r="L8" s="9" t="s">
        <v>553</v>
      </c>
      <c r="M8" s="33" t="s">
        <v>40</v>
      </c>
      <c r="N8" s="9" t="s">
        <v>254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311</v>
      </c>
      <c r="E11" s="43" t="s">
        <v>15</v>
      </c>
      <c r="F11" s="44"/>
      <c r="G11" s="28" t="s">
        <v>76</v>
      </c>
      <c r="H11" s="45" t="s">
        <v>490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245</v>
      </c>
      <c r="E12" s="50" t="s">
        <v>244</v>
      </c>
      <c r="F12" s="50"/>
      <c r="G12" s="51" t="s">
        <v>622</v>
      </c>
      <c r="H12" s="51" t="s">
        <v>483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 t="s">
        <v>225</v>
      </c>
      <c r="L13" s="9"/>
      <c r="M13" s="9"/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2">
    <pageSetUpPr fitToPage="1"/>
  </sheetPr>
  <dimension ref="A1:S26"/>
  <sheetViews>
    <sheetView topLeftCell="A8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30.81640625" style="29" customWidth="1"/>
    <col min="17" max="17" width="17.6328125" style="27" customWidth="1"/>
    <col min="18" max="18" width="15.81640625" style="27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9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</row>
    <row r="2" spans="1:19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177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  <c r="R2" s="4"/>
      <c r="S2" s="27"/>
    </row>
    <row r="3" spans="1:19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176</v>
      </c>
      <c r="N3" s="7"/>
      <c r="O3" s="7" t="s">
        <v>429</v>
      </c>
      <c r="P3" s="9" t="s">
        <v>430</v>
      </c>
      <c r="Q3" s="4"/>
      <c r="R3" s="4"/>
      <c r="S3" s="27"/>
    </row>
    <row r="4" spans="1:19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4"/>
      <c r="S4" s="27"/>
    </row>
    <row r="5" spans="1:19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4"/>
      <c r="S5" s="27"/>
    </row>
    <row r="6" spans="1:19" s="11" customFormat="1" x14ac:dyDescent="0.2">
      <c r="A6" s="65" t="s">
        <v>425</v>
      </c>
      <c r="B6" s="66"/>
      <c r="C6" s="66"/>
      <c r="D6" s="4" t="s">
        <v>5</v>
      </c>
      <c r="E6" s="16" t="s">
        <v>375</v>
      </c>
      <c r="F6" s="16"/>
      <c r="G6" s="16"/>
      <c r="H6" s="16"/>
      <c r="I6" s="16"/>
      <c r="J6" s="16"/>
      <c r="K6" s="16"/>
      <c r="L6" s="72"/>
      <c r="M6" s="19"/>
      <c r="N6" s="19"/>
      <c r="O6" s="19" t="s">
        <v>424</v>
      </c>
      <c r="P6" s="19"/>
      <c r="Q6" s="19"/>
      <c r="R6" s="29"/>
      <c r="S6" s="27"/>
    </row>
    <row r="7" spans="1:19" s="11" customFormat="1" x14ac:dyDescent="0.2">
      <c r="A7" s="30" t="s">
        <v>171</v>
      </c>
      <c r="B7" s="30"/>
      <c r="C7" s="30"/>
      <c r="D7" s="31"/>
      <c r="E7" s="31"/>
      <c r="F7" s="31"/>
      <c r="G7" s="31"/>
      <c r="H7" s="31"/>
      <c r="I7" s="31" t="s">
        <v>174</v>
      </c>
      <c r="J7" s="31"/>
      <c r="K7" s="32" t="s">
        <v>172</v>
      </c>
      <c r="L7" s="32" t="s">
        <v>77</v>
      </c>
      <c r="M7" s="32" t="s">
        <v>239</v>
      </c>
      <c r="N7" s="33" t="s">
        <v>39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170</v>
      </c>
      <c r="L8" s="9" t="s">
        <v>111</v>
      </c>
      <c r="M8" s="9" t="s">
        <v>240</v>
      </c>
      <c r="N8" s="33" t="s">
        <v>40</v>
      </c>
      <c r="O8" s="9"/>
      <c r="P8" s="88"/>
      <c r="Q8" s="89"/>
      <c r="R8" s="90" t="s">
        <v>587</v>
      </c>
      <c r="S8" s="52"/>
    </row>
    <row r="9" spans="1:19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90" t="s">
        <v>595</v>
      </c>
      <c r="Q9" s="52"/>
      <c r="R9" s="90" t="s">
        <v>596</v>
      </c>
      <c r="S9" s="52"/>
    </row>
    <row r="10" spans="1:19" s="11" customFormat="1" ht="39" x14ac:dyDescent="0.2">
      <c r="A10" s="38" t="s">
        <v>167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85" t="s">
        <v>593</v>
      </c>
      <c r="O10" s="85" t="s">
        <v>594</v>
      </c>
      <c r="P10" s="41"/>
      <c r="Q10" s="41"/>
      <c r="R10" s="42"/>
      <c r="S10" s="35"/>
    </row>
    <row r="11" spans="1:19" s="11" customFormat="1" x14ac:dyDescent="0.2">
      <c r="A11" s="9">
        <v>10</v>
      </c>
      <c r="B11" s="36" t="s">
        <v>0</v>
      </c>
      <c r="C11" s="37"/>
      <c r="D11" s="28" t="s">
        <v>165</v>
      </c>
      <c r="E11" s="43" t="s">
        <v>38</v>
      </c>
      <c r="F11" s="44"/>
      <c r="G11" s="28" t="s">
        <v>496</v>
      </c>
      <c r="H11" s="45" t="s">
        <v>554</v>
      </c>
      <c r="I11" s="46"/>
      <c r="J11" s="47"/>
      <c r="K11" s="48"/>
      <c r="L11" s="48"/>
      <c r="M11" s="73"/>
      <c r="N11" s="48"/>
      <c r="O11" s="48"/>
      <c r="P11" s="34"/>
      <c r="Q11" s="35"/>
      <c r="R11" s="60"/>
      <c r="S11" s="49"/>
    </row>
    <row r="12" spans="1:19" s="11" customFormat="1" x14ac:dyDescent="0.2">
      <c r="A12" s="9">
        <v>10</v>
      </c>
      <c r="B12" s="9"/>
      <c r="C12" s="9"/>
      <c r="D12" s="9" t="s">
        <v>141</v>
      </c>
      <c r="E12" s="50" t="s">
        <v>151</v>
      </c>
      <c r="F12" s="50"/>
      <c r="G12" s="51" t="s">
        <v>626</v>
      </c>
      <c r="H12" s="51" t="s">
        <v>491</v>
      </c>
      <c r="I12" s="9" t="s">
        <v>434</v>
      </c>
      <c r="J12" s="9"/>
      <c r="K12" s="9" t="s">
        <v>225</v>
      </c>
      <c r="L12" s="9"/>
      <c r="M12" s="74"/>
      <c r="N12" s="9"/>
      <c r="O12" s="9"/>
      <c r="P12" s="40"/>
      <c r="Q12" s="52"/>
      <c r="R12" s="149"/>
      <c r="S12" s="150"/>
    </row>
    <row r="13" spans="1:19" s="11" customFormat="1" x14ac:dyDescent="0.2">
      <c r="A13" s="9">
        <v>10</v>
      </c>
      <c r="B13" s="9"/>
      <c r="C13" s="9"/>
      <c r="D13" s="9" t="s">
        <v>142</v>
      </c>
      <c r="E13" s="50" t="s">
        <v>152</v>
      </c>
      <c r="F13" s="50"/>
      <c r="G13" s="51" t="s">
        <v>627</v>
      </c>
      <c r="H13" s="51" t="s">
        <v>492</v>
      </c>
      <c r="I13" s="9" t="s">
        <v>434</v>
      </c>
      <c r="J13" s="9"/>
      <c r="K13" s="9" t="s">
        <v>225</v>
      </c>
      <c r="L13" s="9"/>
      <c r="M13" s="74"/>
      <c r="N13" s="9"/>
      <c r="O13" s="9"/>
      <c r="P13" s="40"/>
      <c r="Q13" s="52"/>
      <c r="R13" s="149"/>
      <c r="S13" s="150"/>
    </row>
    <row r="14" spans="1:19" s="11" customFormat="1" x14ac:dyDescent="0.2">
      <c r="A14" s="9">
        <v>10</v>
      </c>
      <c r="B14" s="9"/>
      <c r="C14" s="9"/>
      <c r="D14" s="9" t="s">
        <v>143</v>
      </c>
      <c r="E14" s="50" t="s">
        <v>153</v>
      </c>
      <c r="F14" s="50"/>
      <c r="G14" s="51" t="s">
        <v>628</v>
      </c>
      <c r="H14" s="51" t="s">
        <v>493</v>
      </c>
      <c r="I14" s="9" t="s">
        <v>434</v>
      </c>
      <c r="J14" s="9"/>
      <c r="K14" s="9" t="s">
        <v>225</v>
      </c>
      <c r="L14" s="9"/>
      <c r="M14" s="74"/>
      <c r="N14" s="9"/>
      <c r="O14" s="9"/>
      <c r="P14" s="40"/>
      <c r="Q14" s="52"/>
      <c r="R14" s="149"/>
      <c r="S14" s="150"/>
    </row>
    <row r="15" spans="1:19" s="11" customFormat="1" x14ac:dyDescent="0.2">
      <c r="A15" s="9">
        <v>10</v>
      </c>
      <c r="B15" s="9"/>
      <c r="C15" s="9"/>
      <c r="D15" s="9" t="s">
        <v>241</v>
      </c>
      <c r="E15" s="50" t="s">
        <v>54</v>
      </c>
      <c r="F15" s="50"/>
      <c r="G15" s="51" t="s">
        <v>629</v>
      </c>
      <c r="H15" s="51" t="s">
        <v>494</v>
      </c>
      <c r="I15" s="9" t="s">
        <v>434</v>
      </c>
      <c r="J15" s="9"/>
      <c r="K15" s="9" t="s">
        <v>225</v>
      </c>
      <c r="L15" s="9"/>
      <c r="M15" s="75" t="s">
        <v>535</v>
      </c>
      <c r="N15" s="9"/>
      <c r="O15" s="9"/>
      <c r="P15" s="40"/>
      <c r="Q15" s="52"/>
      <c r="R15" s="149"/>
      <c r="S15" s="150"/>
    </row>
    <row r="16" spans="1:19" s="11" customFormat="1" x14ac:dyDescent="0.2">
      <c r="A16" s="9">
        <v>10</v>
      </c>
      <c r="B16" s="9"/>
      <c r="C16" s="9"/>
      <c r="D16" s="9" t="s">
        <v>242</v>
      </c>
      <c r="E16" s="50" t="s">
        <v>55</v>
      </c>
      <c r="F16" s="50"/>
      <c r="G16" s="51" t="s">
        <v>630</v>
      </c>
      <c r="H16" s="51" t="s">
        <v>495</v>
      </c>
      <c r="I16" s="9" t="s">
        <v>434</v>
      </c>
      <c r="J16" s="9"/>
      <c r="K16" s="9" t="s">
        <v>225</v>
      </c>
      <c r="L16" s="9" t="s">
        <v>568</v>
      </c>
      <c r="M16" s="74"/>
      <c r="N16" s="9"/>
      <c r="O16" s="9"/>
      <c r="P16" s="40"/>
      <c r="Q16" s="52"/>
      <c r="R16" s="149"/>
      <c r="S16" s="150"/>
    </row>
    <row r="17" spans="1:19" s="11" customFormat="1" x14ac:dyDescent="0.2">
      <c r="A17" s="9">
        <v>10</v>
      </c>
      <c r="B17" s="9"/>
      <c r="C17" s="9"/>
      <c r="D17" s="9" t="s">
        <v>30</v>
      </c>
      <c r="E17" s="50" t="s">
        <v>31</v>
      </c>
      <c r="F17" s="50"/>
      <c r="G17" s="51" t="s">
        <v>599</v>
      </c>
      <c r="H17" s="51" t="s">
        <v>436</v>
      </c>
      <c r="I17" s="9" t="s">
        <v>434</v>
      </c>
      <c r="J17" s="9"/>
      <c r="K17" s="9"/>
      <c r="L17" s="9"/>
      <c r="M17" s="74"/>
      <c r="N17" s="9"/>
      <c r="O17" s="9"/>
      <c r="P17" s="40"/>
      <c r="Q17" s="52"/>
      <c r="R17" s="149"/>
      <c r="S17" s="150"/>
    </row>
    <row r="18" spans="1:19" s="11" customFormat="1" x14ac:dyDescent="0.2">
      <c r="A18" s="9">
        <v>10</v>
      </c>
      <c r="B18" s="9"/>
      <c r="C18" s="9"/>
      <c r="D18" s="9" t="s">
        <v>34</v>
      </c>
      <c r="E18" s="50" t="s">
        <v>35</v>
      </c>
      <c r="F18" s="50"/>
      <c r="G18" s="51" t="s">
        <v>600</v>
      </c>
      <c r="H18" s="51" t="s">
        <v>437</v>
      </c>
      <c r="I18" s="9" t="s">
        <v>434</v>
      </c>
      <c r="J18" s="9"/>
      <c r="K18" s="9"/>
      <c r="L18" s="9"/>
      <c r="M18" s="74"/>
      <c r="N18" s="9"/>
      <c r="O18" s="9"/>
      <c r="P18" s="40"/>
      <c r="Q18" s="52"/>
      <c r="R18" s="149"/>
      <c r="S18" s="150"/>
    </row>
    <row r="19" spans="1:19" s="11" customFormat="1" x14ac:dyDescent="0.2">
      <c r="A19" s="9">
        <v>10</v>
      </c>
      <c r="B19" s="9"/>
      <c r="C19" s="9"/>
      <c r="D19" s="9" t="s">
        <v>32</v>
      </c>
      <c r="E19" s="50" t="s">
        <v>33</v>
      </c>
      <c r="F19" s="50"/>
      <c r="G19" s="51" t="s">
        <v>601</v>
      </c>
      <c r="H19" s="51" t="s">
        <v>438</v>
      </c>
      <c r="I19" s="9" t="s">
        <v>434</v>
      </c>
      <c r="J19" s="9"/>
      <c r="K19" s="9"/>
      <c r="L19" s="9"/>
      <c r="M19" s="74"/>
      <c r="N19" s="9"/>
      <c r="O19" s="9"/>
      <c r="P19" s="40"/>
      <c r="Q19" s="52"/>
      <c r="R19" s="149"/>
      <c r="S19" s="150"/>
    </row>
    <row r="20" spans="1:19" s="11" customFormat="1" x14ac:dyDescent="0.2">
      <c r="A20" s="9">
        <v>10</v>
      </c>
      <c r="B20" s="9"/>
      <c r="C20" s="9"/>
      <c r="D20" s="9" t="s">
        <v>41</v>
      </c>
      <c r="E20" s="50" t="s">
        <v>36</v>
      </c>
      <c r="F20" s="50"/>
      <c r="G20" s="51" t="s">
        <v>602</v>
      </c>
      <c r="H20" s="51" t="s">
        <v>439</v>
      </c>
      <c r="I20" s="9" t="s">
        <v>434</v>
      </c>
      <c r="J20" s="9"/>
      <c r="K20" s="9"/>
      <c r="L20" s="9"/>
      <c r="M20" s="74"/>
      <c r="N20" s="9"/>
      <c r="O20" s="9"/>
      <c r="P20" s="40"/>
      <c r="Q20" s="52"/>
      <c r="R20" s="149"/>
      <c r="S20" s="150"/>
    </row>
    <row r="21" spans="1:19" s="11" customFormat="1" x14ac:dyDescent="0.2">
      <c r="A21" s="9">
        <v>10</v>
      </c>
      <c r="B21" s="9"/>
      <c r="C21" s="9"/>
      <c r="D21" s="9" t="s">
        <v>42</v>
      </c>
      <c r="E21" s="50" t="s">
        <v>43</v>
      </c>
      <c r="F21" s="50"/>
      <c r="G21" s="51" t="s">
        <v>603</v>
      </c>
      <c r="H21" s="51" t="s">
        <v>440</v>
      </c>
      <c r="I21" s="9" t="s">
        <v>434</v>
      </c>
      <c r="J21" s="9"/>
      <c r="K21" s="9"/>
      <c r="L21" s="9"/>
      <c r="M21" s="74"/>
      <c r="N21" s="9"/>
      <c r="O21" s="9"/>
      <c r="P21" s="40"/>
      <c r="Q21" s="52"/>
      <c r="R21" s="149"/>
      <c r="S21" s="150"/>
    </row>
    <row r="22" spans="1:19" s="11" customFormat="1" x14ac:dyDescent="0.2">
      <c r="A22" s="53"/>
      <c r="B22" s="54"/>
      <c r="C22" s="54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4"/>
      <c r="Q22" s="4"/>
      <c r="R22" s="6"/>
      <c r="S22" s="23"/>
    </row>
    <row r="23" spans="1:19" s="11" customFormat="1" x14ac:dyDescent="0.2">
      <c r="A23" s="65"/>
      <c r="S23" s="55"/>
    </row>
    <row r="24" spans="1:19" s="11" customFormat="1" x14ac:dyDescent="0.2">
      <c r="A24" s="65"/>
      <c r="S24" s="55"/>
    </row>
    <row r="25" spans="1:19" s="11" customFormat="1" x14ac:dyDescent="0.2">
      <c r="A25" s="65"/>
      <c r="S25" s="55"/>
    </row>
    <row r="26" spans="1:19" s="11" customFormat="1" x14ac:dyDescent="0.2">
      <c r="A26" s="70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20"/>
    </row>
  </sheetData>
  <dataConsolidate/>
  <mergeCells count="10">
    <mergeCell ref="R17:S17"/>
    <mergeCell ref="R18:S18"/>
    <mergeCell ref="R19:S19"/>
    <mergeCell ref="R20:S20"/>
    <mergeCell ref="R21:S21"/>
    <mergeCell ref="R12:S12"/>
    <mergeCell ref="R13:S13"/>
    <mergeCell ref="R14:S14"/>
    <mergeCell ref="R15:S15"/>
    <mergeCell ref="R16:S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">
    <pageSetUpPr fitToPage="1"/>
  </sheetPr>
  <dimension ref="A1:V2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185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184</v>
      </c>
      <c r="K3" s="7" t="s">
        <v>28</v>
      </c>
      <c r="L3" s="64" t="str">
        <f>IF(LogicCommon!G3="","",LogicCommon!G3)</f>
        <v/>
      </c>
      <c r="M3" s="68" t="s">
        <v>183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376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166</v>
      </c>
      <c r="B7" s="30"/>
      <c r="C7" s="30"/>
      <c r="D7" s="31"/>
      <c r="E7" s="31"/>
      <c r="F7" s="31"/>
      <c r="G7" s="31"/>
      <c r="H7" s="31"/>
      <c r="I7" s="31" t="s">
        <v>182</v>
      </c>
      <c r="J7" s="31"/>
      <c r="K7" s="33" t="s">
        <v>181</v>
      </c>
      <c r="L7" s="32" t="s">
        <v>80</v>
      </c>
      <c r="M7" s="33" t="s">
        <v>39</v>
      </c>
      <c r="N7" s="32" t="s">
        <v>180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13</v>
      </c>
      <c r="L8" s="9" t="s">
        <v>555</v>
      </c>
      <c r="M8" s="33" t="s">
        <v>40</v>
      </c>
      <c r="N8" s="9" t="s">
        <v>555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179</v>
      </c>
      <c r="E11" s="43" t="s">
        <v>178</v>
      </c>
      <c r="F11" s="44"/>
      <c r="G11" s="28" t="s">
        <v>76</v>
      </c>
      <c r="H11" s="45" t="s">
        <v>497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141</v>
      </c>
      <c r="E12" s="50" t="s">
        <v>151</v>
      </c>
      <c r="F12" s="50"/>
      <c r="G12" s="51" t="s">
        <v>626</v>
      </c>
      <c r="H12" s="51" t="s">
        <v>491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142</v>
      </c>
      <c r="E13" s="50" t="s">
        <v>152</v>
      </c>
      <c r="F13" s="50"/>
      <c r="G13" s="51" t="s">
        <v>627</v>
      </c>
      <c r="H13" s="51" t="s">
        <v>492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143</v>
      </c>
      <c r="E14" s="50" t="s">
        <v>153</v>
      </c>
      <c r="F14" s="50"/>
      <c r="G14" s="51" t="s">
        <v>628</v>
      </c>
      <c r="H14" s="51" t="s">
        <v>493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241</v>
      </c>
      <c r="E15" s="50" t="s">
        <v>54</v>
      </c>
      <c r="F15" s="50"/>
      <c r="G15" s="51" t="s">
        <v>629</v>
      </c>
      <c r="H15" s="51" t="s">
        <v>494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242</v>
      </c>
      <c r="E16" s="50" t="s">
        <v>55</v>
      </c>
      <c r="F16" s="50"/>
      <c r="G16" s="51" t="s">
        <v>630</v>
      </c>
      <c r="H16" s="51" t="s">
        <v>495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30</v>
      </c>
      <c r="E17" s="50" t="s">
        <v>31</v>
      </c>
      <c r="F17" s="50"/>
      <c r="G17" s="51" t="s">
        <v>599</v>
      </c>
      <c r="H17" s="51" t="s">
        <v>436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34</v>
      </c>
      <c r="E18" s="50" t="s">
        <v>35</v>
      </c>
      <c r="F18" s="50"/>
      <c r="G18" s="51" t="s">
        <v>600</v>
      </c>
      <c r="H18" s="51" t="s">
        <v>437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9">
        <v>10</v>
      </c>
      <c r="B19" s="9"/>
      <c r="C19" s="9"/>
      <c r="D19" s="9" t="s">
        <v>32</v>
      </c>
      <c r="E19" s="50" t="s">
        <v>33</v>
      </c>
      <c r="F19" s="50"/>
      <c r="G19" s="51" t="s">
        <v>601</v>
      </c>
      <c r="H19" s="51" t="s">
        <v>438</v>
      </c>
      <c r="I19" s="9" t="s">
        <v>434</v>
      </c>
      <c r="J19" s="9"/>
      <c r="K19" s="9" t="s">
        <v>225</v>
      </c>
      <c r="L19" s="9"/>
      <c r="M19" s="9" t="s">
        <v>225</v>
      </c>
      <c r="N19" s="9"/>
      <c r="O19" s="9"/>
      <c r="P19" s="9"/>
      <c r="Q19" s="9"/>
      <c r="R19" s="9"/>
      <c r="S19" s="40"/>
      <c r="T19" s="52"/>
      <c r="U19" s="149"/>
      <c r="V19" s="150"/>
    </row>
    <row r="20" spans="1:22" s="11" customFormat="1" x14ac:dyDescent="0.2">
      <c r="A20" s="9">
        <v>10</v>
      </c>
      <c r="B20" s="9"/>
      <c r="C20" s="9"/>
      <c r="D20" s="9" t="s">
        <v>41</v>
      </c>
      <c r="E20" s="50" t="s">
        <v>36</v>
      </c>
      <c r="F20" s="50"/>
      <c r="G20" s="51" t="s">
        <v>602</v>
      </c>
      <c r="H20" s="51" t="s">
        <v>439</v>
      </c>
      <c r="I20" s="9" t="s">
        <v>434</v>
      </c>
      <c r="J20" s="9"/>
      <c r="K20" s="9" t="s">
        <v>225</v>
      </c>
      <c r="L20" s="9"/>
      <c r="M20" s="9" t="s">
        <v>225</v>
      </c>
      <c r="N20" s="9"/>
      <c r="O20" s="9"/>
      <c r="P20" s="9"/>
      <c r="Q20" s="9"/>
      <c r="R20" s="9"/>
      <c r="S20" s="40"/>
      <c r="T20" s="52"/>
      <c r="U20" s="149"/>
      <c r="V20" s="150"/>
    </row>
    <row r="21" spans="1:22" s="11" customFormat="1" x14ac:dyDescent="0.2">
      <c r="A21" s="9">
        <v>10</v>
      </c>
      <c r="B21" s="9"/>
      <c r="C21" s="9"/>
      <c r="D21" s="9" t="s">
        <v>42</v>
      </c>
      <c r="E21" s="50" t="s">
        <v>43</v>
      </c>
      <c r="F21" s="50"/>
      <c r="G21" s="51" t="s">
        <v>603</v>
      </c>
      <c r="H21" s="51" t="s">
        <v>440</v>
      </c>
      <c r="I21" s="9" t="s">
        <v>434</v>
      </c>
      <c r="J21" s="9"/>
      <c r="K21" s="9" t="s">
        <v>225</v>
      </c>
      <c r="L21" s="9"/>
      <c r="M21" s="9" t="s">
        <v>225</v>
      </c>
      <c r="N21" s="9"/>
      <c r="O21" s="9"/>
      <c r="P21" s="9"/>
      <c r="Q21" s="9"/>
      <c r="R21" s="9"/>
      <c r="S21" s="40"/>
      <c r="T21" s="52"/>
      <c r="U21" s="149"/>
      <c r="V21" s="150"/>
    </row>
    <row r="22" spans="1:22" s="11" customFormat="1" x14ac:dyDescent="0.2">
      <c r="A22" s="53"/>
      <c r="B22" s="54"/>
      <c r="C22" s="54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"/>
      <c r="T22" s="4"/>
      <c r="U22" s="6"/>
      <c r="V22" s="23"/>
    </row>
    <row r="23" spans="1:22" s="11" customFormat="1" x14ac:dyDescent="0.2">
      <c r="A23" s="65"/>
      <c r="V23" s="55"/>
    </row>
    <row r="24" spans="1:22" s="11" customFormat="1" x14ac:dyDescent="0.2">
      <c r="A24" s="65"/>
      <c r="V24" s="55"/>
    </row>
    <row r="25" spans="1:22" s="11" customFormat="1" x14ac:dyDescent="0.2">
      <c r="A25" s="65"/>
      <c r="V25" s="55"/>
    </row>
    <row r="26" spans="1:22" s="11" customFormat="1" x14ac:dyDescent="0.2">
      <c r="A26" s="70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10">
    <mergeCell ref="U17:V17"/>
    <mergeCell ref="U18:V18"/>
    <mergeCell ref="U19:V19"/>
    <mergeCell ref="U20:V20"/>
    <mergeCell ref="U21:V21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">
    <pageSetUpPr fitToPage="1"/>
  </sheetPr>
  <dimension ref="A1:Q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189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176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377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174</v>
      </c>
      <c r="J7" s="31"/>
      <c r="K7" s="32" t="s">
        <v>188</v>
      </c>
      <c r="L7" s="33" t="s">
        <v>39</v>
      </c>
      <c r="M7" s="32" t="s">
        <v>110</v>
      </c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187</v>
      </c>
      <c r="L8" s="33" t="s">
        <v>40</v>
      </c>
      <c r="M8" s="9" t="s">
        <v>556</v>
      </c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186</v>
      </c>
      <c r="E11" s="43" t="s">
        <v>38</v>
      </c>
      <c r="F11" s="44"/>
      <c r="G11" s="28" t="s">
        <v>501</v>
      </c>
      <c r="H11" s="45" t="s">
        <v>498</v>
      </c>
      <c r="I11" s="46"/>
      <c r="J11" s="47"/>
      <c r="K11" s="48"/>
      <c r="L11" s="48" t="s">
        <v>443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141</v>
      </c>
      <c r="E12" s="50" t="s">
        <v>151</v>
      </c>
      <c r="F12" s="50"/>
      <c r="G12" s="51" t="s">
        <v>626</v>
      </c>
      <c r="H12" s="51" t="s">
        <v>491</v>
      </c>
      <c r="I12" s="9" t="s">
        <v>434</v>
      </c>
      <c r="J12" s="9"/>
      <c r="K12" s="9" t="s">
        <v>225</v>
      </c>
      <c r="L12" s="9" t="s">
        <v>225</v>
      </c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142</v>
      </c>
      <c r="E14" s="50" t="s">
        <v>152</v>
      </c>
      <c r="F14" s="50"/>
      <c r="G14" s="51" t="s">
        <v>631</v>
      </c>
      <c r="H14" s="51" t="s">
        <v>499</v>
      </c>
      <c r="I14" s="9" t="s">
        <v>434</v>
      </c>
      <c r="J14" s="9"/>
      <c r="K14" s="9" t="s">
        <v>225</v>
      </c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256</v>
      </c>
      <c r="E15" s="50" t="s">
        <v>257</v>
      </c>
      <c r="F15" s="50"/>
      <c r="G15" s="51" t="s">
        <v>628</v>
      </c>
      <c r="H15" s="51" t="s">
        <v>500</v>
      </c>
      <c r="I15" s="9" t="s">
        <v>434</v>
      </c>
      <c r="J15" s="9"/>
      <c r="K15" s="9" t="s">
        <v>225</v>
      </c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599</v>
      </c>
      <c r="H16" s="51" t="s">
        <v>436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34</v>
      </c>
      <c r="E17" s="50" t="s">
        <v>35</v>
      </c>
      <c r="F17" s="50"/>
      <c r="G17" s="51" t="s">
        <v>600</v>
      </c>
      <c r="H17" s="51" t="s">
        <v>437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32</v>
      </c>
      <c r="E18" s="50" t="s">
        <v>33</v>
      </c>
      <c r="F18" s="50"/>
      <c r="G18" s="51" t="s">
        <v>601</v>
      </c>
      <c r="H18" s="51" t="s">
        <v>438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9">
        <v>10</v>
      </c>
      <c r="B19" s="9"/>
      <c r="C19" s="9"/>
      <c r="D19" s="9" t="s">
        <v>42</v>
      </c>
      <c r="E19" s="50" t="s">
        <v>43</v>
      </c>
      <c r="F19" s="50"/>
      <c r="G19" s="51" t="s">
        <v>603</v>
      </c>
      <c r="H19" s="51" t="s">
        <v>440</v>
      </c>
      <c r="I19" s="9" t="s">
        <v>434</v>
      </c>
      <c r="J19" s="9"/>
      <c r="K19" s="9"/>
      <c r="L19" s="9"/>
      <c r="M19" s="9"/>
      <c r="N19" s="40"/>
      <c r="O19" s="52"/>
      <c r="P19" s="149"/>
      <c r="Q19" s="150"/>
    </row>
    <row r="20" spans="1:17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4"/>
      <c r="O20" s="4"/>
      <c r="P20" s="6"/>
      <c r="Q20" s="23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65"/>
      <c r="Q23" s="55"/>
    </row>
    <row r="24" spans="1:17" s="11" customFormat="1" x14ac:dyDescent="0.2">
      <c r="A24" s="7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</sheetData>
  <dataConsolidate/>
  <mergeCells count="8">
    <mergeCell ref="P18:Q18"/>
    <mergeCell ref="P19:Q19"/>
    <mergeCell ref="P12:Q12"/>
    <mergeCell ref="P13:Q13"/>
    <mergeCell ref="P14:Q14"/>
    <mergeCell ref="P16:Q16"/>
    <mergeCell ref="P17:Q17"/>
    <mergeCell ref="P15:Q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5"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196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79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378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166</v>
      </c>
      <c r="B7" s="30"/>
      <c r="C7" s="30"/>
      <c r="D7" s="31"/>
      <c r="E7" s="31"/>
      <c r="F7" s="31"/>
      <c r="G7" s="31"/>
      <c r="H7" s="31"/>
      <c r="I7" s="31" t="s">
        <v>173</v>
      </c>
      <c r="J7" s="31"/>
      <c r="K7" s="33" t="s">
        <v>195</v>
      </c>
      <c r="L7" s="32" t="s">
        <v>194</v>
      </c>
      <c r="M7" s="33" t="s">
        <v>39</v>
      </c>
      <c r="N7" s="32" t="s">
        <v>193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192</v>
      </c>
      <c r="L8" s="9" t="s">
        <v>191</v>
      </c>
      <c r="M8" s="33" t="s">
        <v>40</v>
      </c>
      <c r="N8" s="9" t="s">
        <v>191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190</v>
      </c>
      <c r="E11" s="43" t="s">
        <v>15</v>
      </c>
      <c r="F11" s="44"/>
      <c r="G11" s="28" t="s">
        <v>76</v>
      </c>
      <c r="H11" s="45" t="s">
        <v>502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141</v>
      </c>
      <c r="E12" s="50" t="s">
        <v>151</v>
      </c>
      <c r="F12" s="50"/>
      <c r="G12" s="51" t="s">
        <v>626</v>
      </c>
      <c r="H12" s="51" t="s">
        <v>491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142</v>
      </c>
      <c r="E14" s="50" t="s">
        <v>152</v>
      </c>
      <c r="F14" s="50"/>
      <c r="G14" s="51" t="s">
        <v>631</v>
      </c>
      <c r="H14" s="51" t="s">
        <v>499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256</v>
      </c>
      <c r="E15" s="50" t="s">
        <v>257</v>
      </c>
      <c r="F15" s="50"/>
      <c r="G15" s="51" t="s">
        <v>628</v>
      </c>
      <c r="H15" s="51" t="s">
        <v>500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30</v>
      </c>
      <c r="E16" s="50" t="s">
        <v>31</v>
      </c>
      <c r="F16" s="50"/>
      <c r="G16" s="51" t="s">
        <v>599</v>
      </c>
      <c r="H16" s="51" t="s">
        <v>436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34</v>
      </c>
      <c r="E17" s="50" t="s">
        <v>35</v>
      </c>
      <c r="F17" s="50"/>
      <c r="G17" s="51" t="s">
        <v>600</v>
      </c>
      <c r="H17" s="51" t="s">
        <v>437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32</v>
      </c>
      <c r="E18" s="50" t="s">
        <v>33</v>
      </c>
      <c r="F18" s="50"/>
      <c r="G18" s="51" t="s">
        <v>601</v>
      </c>
      <c r="H18" s="51" t="s">
        <v>438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9">
        <v>10</v>
      </c>
      <c r="B19" s="9"/>
      <c r="C19" s="9"/>
      <c r="D19" s="9" t="s">
        <v>42</v>
      </c>
      <c r="E19" s="50" t="s">
        <v>43</v>
      </c>
      <c r="F19" s="50"/>
      <c r="G19" s="51" t="s">
        <v>603</v>
      </c>
      <c r="H19" s="51" t="s">
        <v>440</v>
      </c>
      <c r="I19" s="9" t="s">
        <v>434</v>
      </c>
      <c r="J19" s="9"/>
      <c r="K19" s="9" t="s">
        <v>225</v>
      </c>
      <c r="L19" s="9"/>
      <c r="M19" s="9" t="s">
        <v>225</v>
      </c>
      <c r="N19" s="9"/>
      <c r="O19" s="9"/>
      <c r="P19" s="9"/>
      <c r="Q19" s="9"/>
      <c r="R19" s="9"/>
      <c r="S19" s="40"/>
      <c r="T19" s="52"/>
      <c r="U19" s="149"/>
      <c r="V19" s="150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65"/>
      <c r="V23" s="55"/>
    </row>
    <row r="24" spans="1:22" s="11" customFormat="1" x14ac:dyDescent="0.2">
      <c r="A24" s="7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8:V18"/>
    <mergeCell ref="U19:V19"/>
    <mergeCell ref="U12:V12"/>
    <mergeCell ref="U13:V13"/>
    <mergeCell ref="U14:V14"/>
    <mergeCell ref="U16:V16"/>
    <mergeCell ref="U17:V17"/>
    <mergeCell ref="U15:V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319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318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379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316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2" t="s">
        <v>309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317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316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315</v>
      </c>
      <c r="E11" s="43" t="s">
        <v>38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141</v>
      </c>
      <c r="E12" s="50" t="s">
        <v>151</v>
      </c>
      <c r="F12" s="50"/>
      <c r="G12" s="51" t="s">
        <v>626</v>
      </c>
      <c r="H12" s="51" t="s">
        <v>491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/>
      <c r="L13" s="9"/>
      <c r="M13" s="9"/>
      <c r="N13" s="40"/>
      <c r="O13" s="52"/>
      <c r="P13" s="149"/>
      <c r="Q13" s="150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321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538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22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280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380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269</v>
      </c>
      <c r="B7" s="30"/>
      <c r="C7" s="30"/>
      <c r="D7" s="31"/>
      <c r="E7" s="31"/>
      <c r="F7" s="31"/>
      <c r="G7" s="31"/>
      <c r="H7" s="31"/>
      <c r="I7" s="31" t="s">
        <v>270</v>
      </c>
      <c r="J7" s="31"/>
      <c r="K7" s="33" t="s">
        <v>279</v>
      </c>
      <c r="L7" s="32" t="s">
        <v>278</v>
      </c>
      <c r="M7" s="33" t="s">
        <v>39</v>
      </c>
      <c r="N7" s="32" t="s">
        <v>277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276</v>
      </c>
      <c r="L8" s="9" t="s">
        <v>555</v>
      </c>
      <c r="M8" s="33" t="s">
        <v>40</v>
      </c>
      <c r="N8" s="9" t="s">
        <v>191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320</v>
      </c>
      <c r="E11" s="43" t="s">
        <v>15</v>
      </c>
      <c r="F11" s="44"/>
      <c r="G11" s="28" t="s">
        <v>76</v>
      </c>
      <c r="H11" s="45" t="s">
        <v>503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141</v>
      </c>
      <c r="E12" s="50" t="s">
        <v>151</v>
      </c>
      <c r="F12" s="50"/>
      <c r="G12" s="51" t="s">
        <v>626</v>
      </c>
      <c r="H12" s="51" t="s">
        <v>491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 t="s">
        <v>225</v>
      </c>
      <c r="L13" s="9"/>
      <c r="M13" s="9"/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0">
    <pageSetUpPr fitToPage="1"/>
  </sheetPr>
  <dimension ref="A1:R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204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175</v>
      </c>
      <c r="N3" s="7"/>
      <c r="O3" s="7" t="s">
        <v>429</v>
      </c>
      <c r="P3" s="9" t="s">
        <v>430</v>
      </c>
      <c r="Q3" s="4"/>
      <c r="R3" s="4"/>
    </row>
    <row r="4" spans="1:18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4"/>
    </row>
    <row r="5" spans="1:18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4"/>
    </row>
    <row r="6" spans="1:18" s="11" customFormat="1" x14ac:dyDescent="0.2">
      <c r="A6" s="65" t="s">
        <v>425</v>
      </c>
      <c r="B6" s="66"/>
      <c r="C6" s="66"/>
      <c r="D6" s="4" t="s">
        <v>5</v>
      </c>
      <c r="E6" s="16" t="s">
        <v>381</v>
      </c>
      <c r="F6" s="16"/>
      <c r="G6" s="16"/>
      <c r="H6" s="16"/>
      <c r="I6" s="16"/>
      <c r="J6" s="16"/>
      <c r="K6" s="16"/>
      <c r="L6" s="72"/>
      <c r="M6" s="19"/>
      <c r="N6" s="19" t="s">
        <v>424</v>
      </c>
      <c r="O6" s="19"/>
      <c r="P6" s="19"/>
      <c r="Q6" s="19"/>
      <c r="R6" s="27"/>
    </row>
    <row r="7" spans="1:18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173</v>
      </c>
      <c r="J7" s="31"/>
      <c r="K7" s="32" t="s">
        <v>198</v>
      </c>
      <c r="L7" s="32" t="s">
        <v>67</v>
      </c>
      <c r="M7" s="33" t="s">
        <v>39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169</v>
      </c>
      <c r="L8" s="9" t="s">
        <v>243</v>
      </c>
      <c r="M8" s="33" t="s">
        <v>40</v>
      </c>
      <c r="N8" s="9"/>
      <c r="O8" s="88"/>
      <c r="P8" s="89"/>
      <c r="Q8" s="90" t="s">
        <v>587</v>
      </c>
      <c r="R8" s="52"/>
    </row>
    <row r="9" spans="1:18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90" t="s">
        <v>595</v>
      </c>
      <c r="P9" s="52"/>
      <c r="Q9" s="90" t="s">
        <v>596</v>
      </c>
      <c r="R9" s="52"/>
    </row>
    <row r="10" spans="1:18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85" t="s">
        <v>593</v>
      </c>
      <c r="N10" s="85" t="s">
        <v>594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202</v>
      </c>
      <c r="E11" s="43" t="s">
        <v>38</v>
      </c>
      <c r="F11" s="44"/>
      <c r="G11" s="28" t="s">
        <v>501</v>
      </c>
      <c r="H11" s="45" t="s">
        <v>557</v>
      </c>
      <c r="I11" s="46"/>
      <c r="J11" s="47"/>
      <c r="K11" s="48"/>
      <c r="L11" s="48"/>
      <c r="M11" s="48"/>
      <c r="N11" s="48"/>
      <c r="O11" s="34"/>
      <c r="P11" s="35"/>
      <c r="Q11" s="60"/>
      <c r="R11" s="49"/>
    </row>
    <row r="12" spans="1:18" s="11" customFormat="1" x14ac:dyDescent="0.2">
      <c r="A12" s="9">
        <v>10</v>
      </c>
      <c r="B12" s="9"/>
      <c r="C12" s="9"/>
      <c r="D12" s="9" t="s">
        <v>144</v>
      </c>
      <c r="E12" s="50" t="s">
        <v>154</v>
      </c>
      <c r="F12" s="50"/>
      <c r="G12" s="51" t="s">
        <v>632</v>
      </c>
      <c r="H12" s="51" t="s">
        <v>504</v>
      </c>
      <c r="I12" s="9" t="s">
        <v>434</v>
      </c>
      <c r="J12" s="9"/>
      <c r="K12" s="9" t="s">
        <v>225</v>
      </c>
      <c r="L12" s="9" t="s">
        <v>505</v>
      </c>
      <c r="M12" s="9"/>
      <c r="N12" s="9"/>
      <c r="O12" s="40"/>
      <c r="P12" s="52"/>
      <c r="Q12" s="149"/>
      <c r="R12" s="150"/>
    </row>
    <row r="13" spans="1:18" s="11" customFormat="1" ht="26" x14ac:dyDescent="0.2">
      <c r="A13" s="9">
        <v>10</v>
      </c>
      <c r="B13" s="9"/>
      <c r="C13" s="9"/>
      <c r="D13" s="9" t="s">
        <v>145</v>
      </c>
      <c r="E13" s="50" t="s">
        <v>155</v>
      </c>
      <c r="F13" s="50"/>
      <c r="G13" s="51" t="s">
        <v>633</v>
      </c>
      <c r="H13" s="51" t="s">
        <v>506</v>
      </c>
      <c r="I13" s="9" t="s">
        <v>434</v>
      </c>
      <c r="J13" s="9"/>
      <c r="K13" s="9" t="s">
        <v>225</v>
      </c>
      <c r="L13" s="9"/>
      <c r="M13" s="9"/>
      <c r="N13" s="9"/>
      <c r="O13" s="40"/>
      <c r="P13" s="52"/>
      <c r="Q13" s="149"/>
      <c r="R13" s="150"/>
    </row>
    <row r="14" spans="1:18" s="11" customFormat="1" x14ac:dyDescent="0.2">
      <c r="A14" s="9">
        <v>10</v>
      </c>
      <c r="B14" s="9"/>
      <c r="C14" s="9"/>
      <c r="D14" s="9" t="s">
        <v>146</v>
      </c>
      <c r="E14" s="50" t="s">
        <v>156</v>
      </c>
      <c r="F14" s="50"/>
      <c r="G14" s="51" t="s">
        <v>634</v>
      </c>
      <c r="H14" s="51" t="s">
        <v>507</v>
      </c>
      <c r="I14" s="9" t="s">
        <v>434</v>
      </c>
      <c r="J14" s="9"/>
      <c r="K14" s="9" t="s">
        <v>225</v>
      </c>
      <c r="L14" s="9" t="s">
        <v>505</v>
      </c>
      <c r="M14" s="9"/>
      <c r="N14" s="9"/>
      <c r="O14" s="40"/>
      <c r="P14" s="52"/>
      <c r="Q14" s="149"/>
      <c r="R14" s="150"/>
    </row>
    <row r="15" spans="1:18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/>
      <c r="L15" s="9"/>
      <c r="M15" s="9"/>
      <c r="N15" s="9"/>
      <c r="O15" s="40"/>
      <c r="P15" s="52"/>
      <c r="Q15" s="149"/>
      <c r="R15" s="150"/>
    </row>
    <row r="16" spans="1:18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/>
      <c r="L16" s="9"/>
      <c r="M16" s="9"/>
      <c r="N16" s="9"/>
      <c r="O16" s="40"/>
      <c r="P16" s="52"/>
      <c r="Q16" s="149"/>
      <c r="R16" s="150"/>
    </row>
    <row r="17" spans="1:18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/>
      <c r="L17" s="9"/>
      <c r="M17" s="9"/>
      <c r="N17" s="9"/>
      <c r="O17" s="40"/>
      <c r="P17" s="52"/>
      <c r="Q17" s="149"/>
      <c r="R17" s="150"/>
    </row>
    <row r="18" spans="1:18" s="11" customFormat="1" x14ac:dyDescent="0.2">
      <c r="A18" s="9">
        <v>10</v>
      </c>
      <c r="B18" s="9"/>
      <c r="C18" s="9"/>
      <c r="D18" s="9" t="s">
        <v>41</v>
      </c>
      <c r="E18" s="50" t="s">
        <v>36</v>
      </c>
      <c r="F18" s="50"/>
      <c r="G18" s="51" t="s">
        <v>602</v>
      </c>
      <c r="H18" s="51" t="s">
        <v>439</v>
      </c>
      <c r="I18" s="9" t="s">
        <v>434</v>
      </c>
      <c r="J18" s="9"/>
      <c r="K18" s="9"/>
      <c r="L18" s="9"/>
      <c r="M18" s="9"/>
      <c r="N18" s="9"/>
      <c r="O18" s="40"/>
      <c r="P18" s="52"/>
      <c r="Q18" s="149"/>
      <c r="R18" s="150"/>
    </row>
    <row r="19" spans="1:18" s="11" customFormat="1" x14ac:dyDescent="0.2">
      <c r="A19" s="9">
        <v>10</v>
      </c>
      <c r="B19" s="9"/>
      <c r="C19" s="9"/>
      <c r="D19" s="9" t="s">
        <v>42</v>
      </c>
      <c r="E19" s="50" t="s">
        <v>43</v>
      </c>
      <c r="F19" s="50"/>
      <c r="G19" s="51" t="s">
        <v>603</v>
      </c>
      <c r="H19" s="51" t="s">
        <v>440</v>
      </c>
      <c r="I19" s="9" t="s">
        <v>434</v>
      </c>
      <c r="J19" s="9"/>
      <c r="K19" s="9"/>
      <c r="L19" s="9"/>
      <c r="M19" s="9"/>
      <c r="N19" s="9"/>
      <c r="O19" s="40"/>
      <c r="P19" s="52"/>
      <c r="Q19" s="149"/>
      <c r="R19" s="150"/>
    </row>
    <row r="20" spans="1:18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"/>
      <c r="P20" s="4"/>
      <c r="Q20" s="6"/>
      <c r="R20" s="23"/>
    </row>
    <row r="21" spans="1:18" s="11" customFormat="1" x14ac:dyDescent="0.2">
      <c r="A21" s="65"/>
      <c r="R21" s="55"/>
    </row>
    <row r="22" spans="1:18" s="11" customFormat="1" x14ac:dyDescent="0.2">
      <c r="A22" s="65"/>
      <c r="R22" s="55"/>
    </row>
    <row r="23" spans="1:18" s="11" customFormat="1" x14ac:dyDescent="0.2">
      <c r="A23" s="65"/>
      <c r="R23" s="55"/>
    </row>
    <row r="24" spans="1:18" s="11" customFormat="1" x14ac:dyDescent="0.2">
      <c r="A24" s="7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mergeCells count="8">
    <mergeCell ref="Q17:R17"/>
    <mergeCell ref="Q18:R18"/>
    <mergeCell ref="Q19:R19"/>
    <mergeCell ref="Q12:R12"/>
    <mergeCell ref="Q13:R13"/>
    <mergeCell ref="Q14:R14"/>
    <mergeCell ref="Q15:R15"/>
    <mergeCell ref="Q16:R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11">
    <pageSetUpPr fitToPage="1"/>
  </sheetPr>
  <dimension ref="A1:V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206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201</v>
      </c>
      <c r="K3" s="7" t="s">
        <v>28</v>
      </c>
      <c r="L3" s="64" t="str">
        <f>IF(LogicCommon!G3="","",LogicCommon!G3)</f>
        <v/>
      </c>
      <c r="M3" s="68" t="s">
        <v>175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382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171</v>
      </c>
      <c r="B7" s="30"/>
      <c r="C7" s="30"/>
      <c r="D7" s="31"/>
      <c r="E7" s="31"/>
      <c r="F7" s="31"/>
      <c r="G7" s="31"/>
      <c r="H7" s="31"/>
      <c r="I7" s="31" t="s">
        <v>173</v>
      </c>
      <c r="J7" s="31"/>
      <c r="K7" s="33" t="s">
        <v>200</v>
      </c>
      <c r="L7" s="32" t="s">
        <v>194</v>
      </c>
      <c r="M7" s="33" t="s">
        <v>39</v>
      </c>
      <c r="N7" s="32" t="s">
        <v>199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192</v>
      </c>
      <c r="L8" s="9" t="s">
        <v>558</v>
      </c>
      <c r="M8" s="33" t="s">
        <v>40</v>
      </c>
      <c r="N8" s="9" t="s">
        <v>558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205</v>
      </c>
      <c r="E11" s="43" t="s">
        <v>197</v>
      </c>
      <c r="F11" s="44"/>
      <c r="G11" s="28" t="s">
        <v>76</v>
      </c>
      <c r="H11" s="45" t="s">
        <v>508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144</v>
      </c>
      <c r="E12" s="50" t="s">
        <v>154</v>
      </c>
      <c r="F12" s="50"/>
      <c r="G12" s="51" t="s">
        <v>632</v>
      </c>
      <c r="H12" s="51" t="s">
        <v>504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ht="26" x14ac:dyDescent="0.2">
      <c r="A13" s="9">
        <v>10</v>
      </c>
      <c r="B13" s="9"/>
      <c r="C13" s="9"/>
      <c r="D13" s="9" t="s">
        <v>145</v>
      </c>
      <c r="E13" s="50" t="s">
        <v>155</v>
      </c>
      <c r="F13" s="50"/>
      <c r="G13" s="51" t="s">
        <v>633</v>
      </c>
      <c r="H13" s="51" t="s">
        <v>506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146</v>
      </c>
      <c r="E14" s="50" t="s">
        <v>156</v>
      </c>
      <c r="F14" s="50"/>
      <c r="G14" s="51" t="s">
        <v>634</v>
      </c>
      <c r="H14" s="51" t="s">
        <v>507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41</v>
      </c>
      <c r="E18" s="50" t="s">
        <v>36</v>
      </c>
      <c r="F18" s="50"/>
      <c r="G18" s="51" t="s">
        <v>602</v>
      </c>
      <c r="H18" s="51" t="s">
        <v>439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9">
        <v>10</v>
      </c>
      <c r="B19" s="9"/>
      <c r="C19" s="9"/>
      <c r="D19" s="9" t="s">
        <v>42</v>
      </c>
      <c r="E19" s="50" t="s">
        <v>43</v>
      </c>
      <c r="F19" s="50"/>
      <c r="G19" s="51" t="s">
        <v>603</v>
      </c>
      <c r="H19" s="51" t="s">
        <v>440</v>
      </c>
      <c r="I19" s="9" t="s">
        <v>434</v>
      </c>
      <c r="J19" s="9"/>
      <c r="K19" s="9" t="s">
        <v>225</v>
      </c>
      <c r="L19" s="9"/>
      <c r="M19" s="9" t="s">
        <v>225</v>
      </c>
      <c r="N19" s="9"/>
      <c r="O19" s="9"/>
      <c r="P19" s="9"/>
      <c r="Q19" s="9"/>
      <c r="R19" s="9"/>
      <c r="S19" s="40"/>
      <c r="T19" s="52"/>
      <c r="U19" s="149"/>
      <c r="V19" s="150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65"/>
      <c r="V23" s="55"/>
    </row>
    <row r="24" spans="1:22" s="11" customFormat="1" x14ac:dyDescent="0.2">
      <c r="A24" s="70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12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210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176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383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171</v>
      </c>
      <c r="B7" s="30"/>
      <c r="C7" s="30"/>
      <c r="D7" s="31"/>
      <c r="E7" s="31"/>
      <c r="F7" s="31"/>
      <c r="G7" s="31"/>
      <c r="H7" s="31"/>
      <c r="I7" s="31" t="s">
        <v>174</v>
      </c>
      <c r="J7" s="31"/>
      <c r="K7" s="32" t="s">
        <v>209</v>
      </c>
      <c r="L7" s="33" t="s">
        <v>39</v>
      </c>
      <c r="M7" s="32" t="s">
        <v>110</v>
      </c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170</v>
      </c>
      <c r="L8" s="33" t="s">
        <v>40</v>
      </c>
      <c r="M8" s="9" t="s">
        <v>559</v>
      </c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208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207</v>
      </c>
      <c r="E11" s="43" t="s">
        <v>38</v>
      </c>
      <c r="F11" s="44"/>
      <c r="G11" s="28" t="s">
        <v>501</v>
      </c>
      <c r="H11" s="45" t="s">
        <v>509</v>
      </c>
      <c r="I11" s="46"/>
      <c r="J11" s="47"/>
      <c r="K11" s="48"/>
      <c r="L11" s="48" t="s">
        <v>443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144</v>
      </c>
      <c r="E12" s="50" t="s">
        <v>154</v>
      </c>
      <c r="F12" s="50"/>
      <c r="G12" s="51" t="s">
        <v>632</v>
      </c>
      <c r="H12" s="51" t="s">
        <v>504</v>
      </c>
      <c r="I12" s="9" t="s">
        <v>434</v>
      </c>
      <c r="J12" s="9"/>
      <c r="K12" s="9" t="s">
        <v>225</v>
      </c>
      <c r="L12" s="9" t="s">
        <v>225</v>
      </c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145</v>
      </c>
      <c r="E14" s="50" t="s">
        <v>155</v>
      </c>
      <c r="F14" s="50"/>
      <c r="G14" s="51" t="s">
        <v>635</v>
      </c>
      <c r="H14" s="51" t="s">
        <v>510</v>
      </c>
      <c r="I14" s="9" t="s">
        <v>434</v>
      </c>
      <c r="J14" s="9"/>
      <c r="K14" s="9" t="s">
        <v>225</v>
      </c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3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216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215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384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171</v>
      </c>
      <c r="B7" s="30"/>
      <c r="C7" s="30"/>
      <c r="D7" s="31"/>
      <c r="E7" s="31"/>
      <c r="F7" s="31"/>
      <c r="G7" s="31"/>
      <c r="H7" s="31"/>
      <c r="I7" s="31" t="s">
        <v>174</v>
      </c>
      <c r="J7" s="31"/>
      <c r="K7" s="33" t="s">
        <v>195</v>
      </c>
      <c r="L7" s="32" t="s">
        <v>214</v>
      </c>
      <c r="M7" s="33" t="s">
        <v>39</v>
      </c>
      <c r="N7" s="32" t="s">
        <v>193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213</v>
      </c>
      <c r="L8" s="9" t="s">
        <v>212</v>
      </c>
      <c r="M8" s="33" t="s">
        <v>40</v>
      </c>
      <c r="N8" s="9" t="s">
        <v>212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211</v>
      </c>
      <c r="E11" s="43" t="s">
        <v>197</v>
      </c>
      <c r="F11" s="44"/>
      <c r="G11" s="28" t="s">
        <v>76</v>
      </c>
      <c r="H11" s="45" t="s">
        <v>511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144</v>
      </c>
      <c r="E12" s="50" t="s">
        <v>154</v>
      </c>
      <c r="F12" s="50"/>
      <c r="G12" s="51" t="s">
        <v>632</v>
      </c>
      <c r="H12" s="51" t="s">
        <v>504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145</v>
      </c>
      <c r="E14" s="50" t="s">
        <v>155</v>
      </c>
      <c r="F14" s="50"/>
      <c r="G14" s="51" t="s">
        <v>635</v>
      </c>
      <c r="H14" s="51" t="s">
        <v>510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324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271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385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269</v>
      </c>
      <c r="B7" s="30"/>
      <c r="C7" s="30"/>
      <c r="D7" s="31"/>
      <c r="E7" s="31"/>
      <c r="F7" s="31"/>
      <c r="G7" s="31"/>
      <c r="H7" s="31"/>
      <c r="I7" s="31" t="s">
        <v>270</v>
      </c>
      <c r="J7" s="31"/>
      <c r="K7" s="32" t="s">
        <v>284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268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323</v>
      </c>
      <c r="E11" s="43" t="s">
        <v>38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322</v>
      </c>
      <c r="E12" s="50" t="s">
        <v>154</v>
      </c>
      <c r="F12" s="50"/>
      <c r="G12" s="51" t="s">
        <v>632</v>
      </c>
      <c r="H12" s="51" t="s">
        <v>504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/>
      <c r="L13" s="9"/>
      <c r="M13" s="9"/>
      <c r="N13" s="40"/>
      <c r="O13" s="52"/>
      <c r="P13" s="149"/>
      <c r="Q13" s="150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329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538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22</v>
      </c>
      <c r="K3" s="7" t="s">
        <v>28</v>
      </c>
      <c r="L3" s="64" t="str">
        <f>IF(LogicCommon!G3="","",LogicCommon!G3)</f>
        <v/>
      </c>
      <c r="M3" s="68" t="s">
        <v>271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280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386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327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3" t="s">
        <v>328</v>
      </c>
      <c r="L7" s="32" t="s">
        <v>278</v>
      </c>
      <c r="M7" s="33" t="s">
        <v>39</v>
      </c>
      <c r="N7" s="32" t="s">
        <v>277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13</v>
      </c>
      <c r="L8" s="9" t="s">
        <v>558</v>
      </c>
      <c r="M8" s="33" t="s">
        <v>40</v>
      </c>
      <c r="N8" s="9" t="s">
        <v>212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327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326</v>
      </c>
      <c r="E11" s="43" t="s">
        <v>15</v>
      </c>
      <c r="F11" s="44"/>
      <c r="G11" s="28" t="s">
        <v>76</v>
      </c>
      <c r="H11" s="45" t="s">
        <v>512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325</v>
      </c>
      <c r="E12" s="50" t="s">
        <v>154</v>
      </c>
      <c r="F12" s="50"/>
      <c r="G12" s="51" t="s">
        <v>632</v>
      </c>
      <c r="H12" s="51" t="s">
        <v>504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 t="s">
        <v>225</v>
      </c>
      <c r="L13" s="9"/>
      <c r="M13" s="9"/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14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219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218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387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168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2" t="s">
        <v>209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169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217</v>
      </c>
      <c r="E11" s="43" t="s">
        <v>38</v>
      </c>
      <c r="F11" s="44"/>
      <c r="G11" s="28" t="s">
        <v>501</v>
      </c>
      <c r="H11" s="45" t="s">
        <v>560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147</v>
      </c>
      <c r="E12" s="50" t="s">
        <v>157</v>
      </c>
      <c r="F12" s="50"/>
      <c r="G12" s="51" t="s">
        <v>636</v>
      </c>
      <c r="H12" s="51" t="s">
        <v>513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ht="26" x14ac:dyDescent="0.2">
      <c r="A13" s="9">
        <v>10</v>
      </c>
      <c r="B13" s="9"/>
      <c r="C13" s="9"/>
      <c r="D13" s="9" t="s">
        <v>148</v>
      </c>
      <c r="E13" s="50" t="s">
        <v>158</v>
      </c>
      <c r="F13" s="50"/>
      <c r="G13" s="51" t="s">
        <v>637</v>
      </c>
      <c r="H13" s="51" t="s">
        <v>514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/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5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221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79</v>
      </c>
      <c r="K3" s="7" t="s">
        <v>28</v>
      </c>
      <c r="L3" s="64" t="str">
        <f>IF(LogicCommon!G3="","",LogicCommon!G3)</f>
        <v/>
      </c>
      <c r="M3" s="68" t="s">
        <v>175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388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168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3" t="s">
        <v>25</v>
      </c>
      <c r="L7" s="32" t="s">
        <v>194</v>
      </c>
      <c r="M7" s="33" t="s">
        <v>39</v>
      </c>
      <c r="N7" s="32" t="s">
        <v>180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213</v>
      </c>
      <c r="L8" s="9" t="s">
        <v>561</v>
      </c>
      <c r="M8" s="33" t="s">
        <v>40</v>
      </c>
      <c r="N8" s="9" t="s">
        <v>561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220</v>
      </c>
      <c r="E11" s="43" t="s">
        <v>197</v>
      </c>
      <c r="F11" s="44"/>
      <c r="G11" s="28" t="s">
        <v>76</v>
      </c>
      <c r="H11" s="45" t="s">
        <v>515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147</v>
      </c>
      <c r="E12" s="50" t="s">
        <v>157</v>
      </c>
      <c r="F12" s="50"/>
      <c r="G12" s="51" t="s">
        <v>636</v>
      </c>
      <c r="H12" s="51" t="s">
        <v>513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ht="26" x14ac:dyDescent="0.2">
      <c r="A13" s="9">
        <v>10</v>
      </c>
      <c r="B13" s="9"/>
      <c r="C13" s="9"/>
      <c r="D13" s="9" t="s">
        <v>148</v>
      </c>
      <c r="E13" s="50" t="s">
        <v>158</v>
      </c>
      <c r="F13" s="50"/>
      <c r="G13" s="51" t="s">
        <v>637</v>
      </c>
      <c r="H13" s="51" t="s">
        <v>514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16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224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176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389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168</v>
      </c>
      <c r="B7" s="30"/>
      <c r="C7" s="30"/>
      <c r="D7" s="31"/>
      <c r="E7" s="31"/>
      <c r="F7" s="31"/>
      <c r="G7" s="31"/>
      <c r="H7" s="31"/>
      <c r="I7" s="31" t="s">
        <v>173</v>
      </c>
      <c r="J7" s="31"/>
      <c r="K7" s="32" t="s">
        <v>223</v>
      </c>
      <c r="L7" s="33" t="s">
        <v>39</v>
      </c>
      <c r="M7" s="32" t="s">
        <v>110</v>
      </c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170</v>
      </c>
      <c r="L8" s="33" t="s">
        <v>40</v>
      </c>
      <c r="M8" s="9" t="s">
        <v>562</v>
      </c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222</v>
      </c>
      <c r="E11" s="43" t="s">
        <v>38</v>
      </c>
      <c r="F11" s="44"/>
      <c r="G11" s="28" t="s">
        <v>501</v>
      </c>
      <c r="H11" s="45" t="s">
        <v>516</v>
      </c>
      <c r="I11" s="46"/>
      <c r="J11" s="47"/>
      <c r="K11" s="48"/>
      <c r="L11" s="48" t="s">
        <v>443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147</v>
      </c>
      <c r="E12" s="50" t="s">
        <v>157</v>
      </c>
      <c r="F12" s="50"/>
      <c r="G12" s="51" t="s">
        <v>636</v>
      </c>
      <c r="H12" s="51" t="s">
        <v>513</v>
      </c>
      <c r="I12" s="9" t="s">
        <v>434</v>
      </c>
      <c r="J12" s="9"/>
      <c r="K12" s="9" t="s">
        <v>225</v>
      </c>
      <c r="L12" s="9" t="s">
        <v>225</v>
      </c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148</v>
      </c>
      <c r="E14" s="50" t="s">
        <v>158</v>
      </c>
      <c r="F14" s="50"/>
      <c r="G14" s="51" t="s">
        <v>638</v>
      </c>
      <c r="H14" s="51" t="s">
        <v>517</v>
      </c>
      <c r="I14" s="9" t="s">
        <v>434</v>
      </c>
      <c r="J14" s="9"/>
      <c r="K14" s="9" t="s">
        <v>225</v>
      </c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17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229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184</v>
      </c>
      <c r="K3" s="7" t="s">
        <v>28</v>
      </c>
      <c r="L3" s="64" t="str">
        <f>IF(LogicCommon!G3="","",LogicCommon!G3)</f>
        <v/>
      </c>
      <c r="M3" s="68" t="s">
        <v>218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390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168</v>
      </c>
      <c r="B7" s="30"/>
      <c r="C7" s="30"/>
      <c r="D7" s="31"/>
      <c r="E7" s="31"/>
      <c r="F7" s="31"/>
      <c r="G7" s="31"/>
      <c r="H7" s="31"/>
      <c r="I7" s="31" t="s">
        <v>174</v>
      </c>
      <c r="J7" s="31"/>
      <c r="K7" s="33" t="s">
        <v>181</v>
      </c>
      <c r="L7" s="32" t="s">
        <v>228</v>
      </c>
      <c r="M7" s="33" t="s">
        <v>39</v>
      </c>
      <c r="N7" s="32" t="s">
        <v>180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213</v>
      </c>
      <c r="L8" s="9" t="s">
        <v>227</v>
      </c>
      <c r="M8" s="33" t="s">
        <v>40</v>
      </c>
      <c r="N8" s="9" t="s">
        <v>227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226</v>
      </c>
      <c r="E11" s="43" t="s">
        <v>197</v>
      </c>
      <c r="F11" s="44"/>
      <c r="G11" s="28" t="s">
        <v>76</v>
      </c>
      <c r="H11" s="45" t="s">
        <v>518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147</v>
      </c>
      <c r="E12" s="50" t="s">
        <v>157</v>
      </c>
      <c r="F12" s="50"/>
      <c r="G12" s="51" t="s">
        <v>636</v>
      </c>
      <c r="H12" s="51" t="s">
        <v>513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148</v>
      </c>
      <c r="E14" s="50" t="s">
        <v>158</v>
      </c>
      <c r="F14" s="50"/>
      <c r="G14" s="51" t="s">
        <v>638</v>
      </c>
      <c r="H14" s="51" t="s">
        <v>517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331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318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391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267</v>
      </c>
      <c r="B7" s="30"/>
      <c r="C7" s="30"/>
      <c r="D7" s="31"/>
      <c r="E7" s="31"/>
      <c r="F7" s="31"/>
      <c r="G7" s="31"/>
      <c r="H7" s="31"/>
      <c r="I7" s="31" t="s">
        <v>270</v>
      </c>
      <c r="J7" s="31"/>
      <c r="K7" s="32" t="s">
        <v>284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68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269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330</v>
      </c>
      <c r="E11" s="43" t="s">
        <v>38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147</v>
      </c>
      <c r="E12" s="50" t="s">
        <v>157</v>
      </c>
      <c r="F12" s="50"/>
      <c r="G12" s="51" t="s">
        <v>636</v>
      </c>
      <c r="H12" s="51" t="s">
        <v>513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/>
      <c r="L13" s="9"/>
      <c r="M13" s="9"/>
      <c r="N13" s="40"/>
      <c r="O13" s="52"/>
      <c r="P13" s="149"/>
      <c r="Q13" s="150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334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538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22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280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392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3" t="s">
        <v>25</v>
      </c>
      <c r="L7" s="32" t="s">
        <v>278</v>
      </c>
      <c r="M7" s="33" t="s">
        <v>39</v>
      </c>
      <c r="N7" s="32" t="s">
        <v>277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13</v>
      </c>
      <c r="L8" s="9" t="s">
        <v>561</v>
      </c>
      <c r="M8" s="33" t="s">
        <v>40</v>
      </c>
      <c r="N8" s="9" t="s">
        <v>227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333</v>
      </c>
      <c r="E11" s="43" t="s">
        <v>332</v>
      </c>
      <c r="F11" s="44"/>
      <c r="G11" s="28" t="s">
        <v>76</v>
      </c>
      <c r="H11" s="45" t="s">
        <v>519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147</v>
      </c>
      <c r="E12" s="50" t="s">
        <v>157</v>
      </c>
      <c r="F12" s="50"/>
      <c r="G12" s="51" t="s">
        <v>636</v>
      </c>
      <c r="H12" s="51" t="s">
        <v>513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 t="s">
        <v>225</v>
      </c>
      <c r="L13" s="9"/>
      <c r="M13" s="9"/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18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231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176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393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166</v>
      </c>
      <c r="B7" s="30"/>
      <c r="C7" s="30"/>
      <c r="D7" s="31"/>
      <c r="E7" s="31"/>
      <c r="F7" s="31"/>
      <c r="G7" s="31"/>
      <c r="H7" s="31"/>
      <c r="I7" s="31" t="s">
        <v>203</v>
      </c>
      <c r="J7" s="31"/>
      <c r="K7" s="32" t="s">
        <v>223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169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230</v>
      </c>
      <c r="E11" s="43" t="s">
        <v>38</v>
      </c>
      <c r="F11" s="44"/>
      <c r="G11" s="28" t="s">
        <v>501</v>
      </c>
      <c r="H11" s="45" t="s">
        <v>563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149</v>
      </c>
      <c r="E12" s="50" t="s">
        <v>159</v>
      </c>
      <c r="F12" s="50"/>
      <c r="G12" s="51" t="s">
        <v>639</v>
      </c>
      <c r="H12" s="51" t="s">
        <v>520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ht="26" x14ac:dyDescent="0.2">
      <c r="A13" s="9">
        <v>10</v>
      </c>
      <c r="B13" s="9"/>
      <c r="C13" s="9"/>
      <c r="D13" s="9" t="s">
        <v>150</v>
      </c>
      <c r="E13" s="50" t="s">
        <v>160</v>
      </c>
      <c r="F13" s="50"/>
      <c r="G13" s="51" t="s">
        <v>640</v>
      </c>
      <c r="H13" s="51" t="s">
        <v>521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/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19"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233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215</v>
      </c>
      <c r="K3" s="7" t="s">
        <v>28</v>
      </c>
      <c r="L3" s="64" t="str">
        <f>IF(LogicCommon!G3="","",LogicCommon!G3)</f>
        <v/>
      </c>
      <c r="M3" s="68" t="s">
        <v>176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394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171</v>
      </c>
      <c r="B7" s="30"/>
      <c r="C7" s="30"/>
      <c r="D7" s="31"/>
      <c r="E7" s="31"/>
      <c r="F7" s="31"/>
      <c r="G7" s="31"/>
      <c r="H7" s="31"/>
      <c r="I7" s="31" t="s">
        <v>174</v>
      </c>
      <c r="J7" s="31"/>
      <c r="K7" s="33" t="s">
        <v>195</v>
      </c>
      <c r="L7" s="32" t="s">
        <v>194</v>
      </c>
      <c r="M7" s="33" t="s">
        <v>39</v>
      </c>
      <c r="N7" s="32" t="s">
        <v>199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213</v>
      </c>
      <c r="L8" s="9" t="s">
        <v>564</v>
      </c>
      <c r="M8" s="33" t="s">
        <v>40</v>
      </c>
      <c r="N8" s="9" t="s">
        <v>564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232</v>
      </c>
      <c r="E11" s="43" t="s">
        <v>197</v>
      </c>
      <c r="F11" s="44"/>
      <c r="G11" s="28" t="s">
        <v>76</v>
      </c>
      <c r="H11" s="45" t="s">
        <v>522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149</v>
      </c>
      <c r="E12" s="50" t="s">
        <v>159</v>
      </c>
      <c r="F12" s="50"/>
      <c r="G12" s="51" t="s">
        <v>639</v>
      </c>
      <c r="H12" s="51" t="s">
        <v>520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ht="26" x14ac:dyDescent="0.2">
      <c r="A13" s="9">
        <v>10</v>
      </c>
      <c r="B13" s="9"/>
      <c r="C13" s="9"/>
      <c r="D13" s="9" t="s">
        <v>150</v>
      </c>
      <c r="E13" s="50" t="s">
        <v>160</v>
      </c>
      <c r="F13" s="50"/>
      <c r="G13" s="51" t="s">
        <v>640</v>
      </c>
      <c r="H13" s="51" t="s">
        <v>521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20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235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176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395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171</v>
      </c>
      <c r="B7" s="30"/>
      <c r="C7" s="30"/>
      <c r="D7" s="31"/>
      <c r="E7" s="31"/>
      <c r="F7" s="31"/>
      <c r="G7" s="31"/>
      <c r="H7" s="31"/>
      <c r="I7" s="31" t="s">
        <v>174</v>
      </c>
      <c r="J7" s="31"/>
      <c r="K7" s="32" t="s">
        <v>209</v>
      </c>
      <c r="L7" s="33" t="s">
        <v>39</v>
      </c>
      <c r="M7" s="32" t="s">
        <v>110</v>
      </c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170</v>
      </c>
      <c r="L8" s="33" t="s">
        <v>40</v>
      </c>
      <c r="M8" s="9" t="s">
        <v>565</v>
      </c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234</v>
      </c>
      <c r="E11" s="43" t="s">
        <v>38</v>
      </c>
      <c r="F11" s="44"/>
      <c r="G11" s="28" t="s">
        <v>501</v>
      </c>
      <c r="H11" s="45" t="s">
        <v>523</v>
      </c>
      <c r="I11" s="46"/>
      <c r="J11" s="47"/>
      <c r="K11" s="48"/>
      <c r="L11" s="48" t="s">
        <v>443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149</v>
      </c>
      <c r="E12" s="50" t="s">
        <v>159</v>
      </c>
      <c r="F12" s="50"/>
      <c r="G12" s="51" t="s">
        <v>639</v>
      </c>
      <c r="H12" s="51" t="s">
        <v>520</v>
      </c>
      <c r="I12" s="9" t="s">
        <v>434</v>
      </c>
      <c r="J12" s="9"/>
      <c r="K12" s="9" t="s">
        <v>225</v>
      </c>
      <c r="L12" s="9" t="s">
        <v>225</v>
      </c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150</v>
      </c>
      <c r="E14" s="50" t="s">
        <v>160</v>
      </c>
      <c r="F14" s="50"/>
      <c r="G14" s="51" t="s">
        <v>641</v>
      </c>
      <c r="H14" s="51" t="s">
        <v>524</v>
      </c>
      <c r="I14" s="9" t="s">
        <v>434</v>
      </c>
      <c r="J14" s="9"/>
      <c r="K14" s="9" t="s">
        <v>225</v>
      </c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21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238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215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396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171</v>
      </c>
      <c r="B7" s="30"/>
      <c r="C7" s="30"/>
      <c r="D7" s="31"/>
      <c r="E7" s="31"/>
      <c r="F7" s="31"/>
      <c r="G7" s="31"/>
      <c r="H7" s="31"/>
      <c r="I7" s="31" t="s">
        <v>174</v>
      </c>
      <c r="J7" s="31"/>
      <c r="K7" s="33" t="s">
        <v>195</v>
      </c>
      <c r="L7" s="32" t="s">
        <v>214</v>
      </c>
      <c r="M7" s="33" t="s">
        <v>39</v>
      </c>
      <c r="N7" s="32" t="s">
        <v>193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213</v>
      </c>
      <c r="L8" s="9" t="s">
        <v>237</v>
      </c>
      <c r="M8" s="33" t="s">
        <v>40</v>
      </c>
      <c r="N8" s="9" t="s">
        <v>237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236</v>
      </c>
      <c r="E11" s="43" t="s">
        <v>197</v>
      </c>
      <c r="F11" s="44"/>
      <c r="G11" s="28" t="s">
        <v>76</v>
      </c>
      <c r="H11" s="45" t="s">
        <v>525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149</v>
      </c>
      <c r="E12" s="50" t="s">
        <v>159</v>
      </c>
      <c r="F12" s="50"/>
      <c r="G12" s="51" t="s">
        <v>639</v>
      </c>
      <c r="H12" s="51" t="s">
        <v>520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150</v>
      </c>
      <c r="E14" s="50" t="s">
        <v>160</v>
      </c>
      <c r="F14" s="50"/>
      <c r="G14" s="51" t="s">
        <v>641</v>
      </c>
      <c r="H14" s="51" t="s">
        <v>524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336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397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2" t="s">
        <v>67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68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335</v>
      </c>
      <c r="E11" s="43" t="s">
        <v>38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149</v>
      </c>
      <c r="E12" s="50" t="s">
        <v>159</v>
      </c>
      <c r="F12" s="50"/>
      <c r="G12" s="51" t="s">
        <v>639</v>
      </c>
      <c r="H12" s="51" t="s">
        <v>520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/>
      <c r="L13" s="9"/>
      <c r="M13" s="9"/>
      <c r="N13" s="40"/>
      <c r="O13" s="52"/>
      <c r="P13" s="149"/>
      <c r="Q13" s="150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338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538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281</v>
      </c>
      <c r="K3" s="7" t="s">
        <v>28</v>
      </c>
      <c r="L3" s="64" t="str">
        <f>IF(LogicCommon!G3="","",LogicCommon!G3)</f>
        <v/>
      </c>
      <c r="M3" s="68" t="s">
        <v>318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280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398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267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3" t="s">
        <v>328</v>
      </c>
      <c r="L7" s="32" t="s">
        <v>278</v>
      </c>
      <c r="M7" s="33" t="s">
        <v>39</v>
      </c>
      <c r="N7" s="32" t="s">
        <v>277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13</v>
      </c>
      <c r="L8" s="9" t="s">
        <v>564</v>
      </c>
      <c r="M8" s="33" t="s">
        <v>40</v>
      </c>
      <c r="N8" s="9" t="s">
        <v>237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337</v>
      </c>
      <c r="E11" s="43" t="s">
        <v>15</v>
      </c>
      <c r="F11" s="44"/>
      <c r="G11" s="28" t="s">
        <v>76</v>
      </c>
      <c r="H11" s="45" t="s">
        <v>526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149</v>
      </c>
      <c r="E12" s="50" t="s">
        <v>159</v>
      </c>
      <c r="F12" s="50"/>
      <c r="G12" s="51" t="s">
        <v>639</v>
      </c>
      <c r="H12" s="51" t="s">
        <v>520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 t="s">
        <v>225</v>
      </c>
      <c r="L13" s="9"/>
      <c r="M13" s="9"/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411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218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404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168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2" t="s">
        <v>209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169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410</v>
      </c>
      <c r="E11" s="43" t="s">
        <v>38</v>
      </c>
      <c r="F11" s="44"/>
      <c r="G11" s="28" t="s">
        <v>501</v>
      </c>
      <c r="H11" s="45" t="s">
        <v>566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400</v>
      </c>
      <c r="E12" s="50" t="s">
        <v>402</v>
      </c>
      <c r="F12" s="50"/>
      <c r="G12" s="51" t="s">
        <v>642</v>
      </c>
      <c r="H12" s="51" t="s">
        <v>527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ht="26" x14ac:dyDescent="0.2">
      <c r="A13" s="9">
        <v>10</v>
      </c>
      <c r="B13" s="9"/>
      <c r="C13" s="9"/>
      <c r="D13" s="9" t="s">
        <v>401</v>
      </c>
      <c r="E13" s="50" t="s">
        <v>403</v>
      </c>
      <c r="F13" s="50"/>
      <c r="G13" s="51" t="s">
        <v>643</v>
      </c>
      <c r="H13" s="51" t="s">
        <v>528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/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8:Q18"/>
    <mergeCell ref="P12:Q12"/>
    <mergeCell ref="P13:Q13"/>
    <mergeCell ref="P14:Q14"/>
    <mergeCell ref="P15:Q15"/>
    <mergeCell ref="P16:Q16"/>
    <mergeCell ref="P17:Q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V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413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79</v>
      </c>
      <c r="K3" s="7" t="s">
        <v>28</v>
      </c>
      <c r="L3" s="64" t="str">
        <f>IF(LogicCommon!G3="","",LogicCommon!G3)</f>
        <v/>
      </c>
      <c r="M3" s="68" t="s">
        <v>175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405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168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3" t="s">
        <v>25</v>
      </c>
      <c r="L7" s="32" t="s">
        <v>194</v>
      </c>
      <c r="M7" s="33" t="s">
        <v>39</v>
      </c>
      <c r="N7" s="32" t="s">
        <v>72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213</v>
      </c>
      <c r="L8" s="9" t="s">
        <v>567</v>
      </c>
      <c r="M8" s="33" t="s">
        <v>40</v>
      </c>
      <c r="N8" s="9" t="s">
        <v>567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412</v>
      </c>
      <c r="E11" s="43" t="s">
        <v>62</v>
      </c>
      <c r="F11" s="44"/>
      <c r="G11" s="28" t="s">
        <v>76</v>
      </c>
      <c r="H11" s="45" t="s">
        <v>529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400</v>
      </c>
      <c r="E12" s="50" t="s">
        <v>402</v>
      </c>
      <c r="F12" s="50"/>
      <c r="G12" s="51" t="s">
        <v>642</v>
      </c>
      <c r="H12" s="51" t="s">
        <v>527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ht="26" x14ac:dyDescent="0.2">
      <c r="A13" s="9">
        <v>10</v>
      </c>
      <c r="B13" s="9"/>
      <c r="C13" s="9"/>
      <c r="D13" s="9" t="s">
        <v>401</v>
      </c>
      <c r="E13" s="50" t="s">
        <v>403</v>
      </c>
      <c r="F13" s="50"/>
      <c r="G13" s="51" t="s">
        <v>643</v>
      </c>
      <c r="H13" s="51" t="s">
        <v>528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30</v>
      </c>
      <c r="E14" s="50" t="s">
        <v>31</v>
      </c>
      <c r="F14" s="50"/>
      <c r="G14" s="51" t="s">
        <v>599</v>
      </c>
      <c r="H14" s="51" t="s">
        <v>436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34</v>
      </c>
      <c r="E15" s="50" t="s">
        <v>35</v>
      </c>
      <c r="F15" s="50"/>
      <c r="G15" s="51" t="s">
        <v>600</v>
      </c>
      <c r="H15" s="51" t="s">
        <v>437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32</v>
      </c>
      <c r="E16" s="50" t="s">
        <v>33</v>
      </c>
      <c r="F16" s="50"/>
      <c r="G16" s="51" t="s">
        <v>601</v>
      </c>
      <c r="H16" s="51" t="s">
        <v>438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41</v>
      </c>
      <c r="E17" s="50" t="s">
        <v>36</v>
      </c>
      <c r="F17" s="50"/>
      <c r="G17" s="51" t="s">
        <v>602</v>
      </c>
      <c r="H17" s="51" t="s">
        <v>439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2:V12"/>
    <mergeCell ref="U13:V13"/>
    <mergeCell ref="U14:V14"/>
    <mergeCell ref="U15:V15"/>
    <mergeCell ref="U16:V16"/>
    <mergeCell ref="U17:V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415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176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406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168</v>
      </c>
      <c r="B7" s="30"/>
      <c r="C7" s="30"/>
      <c r="D7" s="31"/>
      <c r="E7" s="31"/>
      <c r="F7" s="31"/>
      <c r="G7" s="31"/>
      <c r="H7" s="31"/>
      <c r="I7" s="31" t="s">
        <v>173</v>
      </c>
      <c r="J7" s="31"/>
      <c r="K7" s="32" t="s">
        <v>223</v>
      </c>
      <c r="L7" s="33" t="s">
        <v>39</v>
      </c>
      <c r="M7" s="32" t="s">
        <v>110</v>
      </c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170</v>
      </c>
      <c r="L8" s="33" t="s">
        <v>40</v>
      </c>
      <c r="M8" s="9" t="s">
        <v>567</v>
      </c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613</v>
      </c>
      <c r="E9" s="91" t="s">
        <v>614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414</v>
      </c>
      <c r="E11" s="43" t="s">
        <v>38</v>
      </c>
      <c r="F11" s="44"/>
      <c r="G11" s="28" t="s">
        <v>501</v>
      </c>
      <c r="H11" s="45" t="s">
        <v>530</v>
      </c>
      <c r="I11" s="46"/>
      <c r="J11" s="47"/>
      <c r="K11" s="48"/>
      <c r="L11" s="48" t="s">
        <v>443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400</v>
      </c>
      <c r="E12" s="50" t="s">
        <v>402</v>
      </c>
      <c r="F12" s="50"/>
      <c r="G12" s="51" t="s">
        <v>642</v>
      </c>
      <c r="H12" s="51" t="s">
        <v>527</v>
      </c>
      <c r="I12" s="9" t="s">
        <v>434</v>
      </c>
      <c r="J12" s="9"/>
      <c r="K12" s="9" t="s">
        <v>225</v>
      </c>
      <c r="L12" s="9" t="s">
        <v>225</v>
      </c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/>
      <c r="N13" s="40"/>
      <c r="O13" s="52"/>
      <c r="P13" s="149"/>
      <c r="Q13" s="150"/>
    </row>
    <row r="14" spans="1:17" s="11" customFormat="1" x14ac:dyDescent="0.2">
      <c r="A14" s="9">
        <v>10</v>
      </c>
      <c r="B14" s="9"/>
      <c r="C14" s="9"/>
      <c r="D14" s="9" t="s">
        <v>401</v>
      </c>
      <c r="E14" s="50" t="s">
        <v>403</v>
      </c>
      <c r="F14" s="50"/>
      <c r="G14" s="51" t="s">
        <v>644</v>
      </c>
      <c r="H14" s="51" t="s">
        <v>531</v>
      </c>
      <c r="I14" s="9" t="s">
        <v>434</v>
      </c>
      <c r="J14" s="9"/>
      <c r="K14" s="9" t="s">
        <v>225</v>
      </c>
      <c r="L14" s="9"/>
      <c r="M14" s="9"/>
      <c r="N14" s="40"/>
      <c r="O14" s="52"/>
      <c r="P14" s="149"/>
      <c r="Q14" s="150"/>
    </row>
    <row r="15" spans="1:17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/>
      <c r="L15" s="9"/>
      <c r="M15" s="9"/>
      <c r="N15" s="40"/>
      <c r="O15" s="52"/>
      <c r="P15" s="149"/>
      <c r="Q15" s="150"/>
    </row>
    <row r="16" spans="1:17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/>
      <c r="L16" s="9"/>
      <c r="M16" s="9"/>
      <c r="N16" s="40"/>
      <c r="O16" s="52"/>
      <c r="P16" s="149"/>
      <c r="Q16" s="150"/>
    </row>
    <row r="17" spans="1:17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/>
      <c r="L17" s="9"/>
      <c r="M17" s="9"/>
      <c r="N17" s="40"/>
      <c r="O17" s="52"/>
      <c r="P17" s="149"/>
      <c r="Q17" s="150"/>
    </row>
    <row r="18" spans="1:17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/>
      <c r="L18" s="9"/>
      <c r="M18" s="9"/>
      <c r="N18" s="40"/>
      <c r="O18" s="52"/>
      <c r="P18" s="149"/>
      <c r="Q18" s="150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5"/>
      <c r="Q20" s="55"/>
    </row>
    <row r="21" spans="1:17" s="11" customFormat="1" x14ac:dyDescent="0.2">
      <c r="A21" s="65"/>
      <c r="Q21" s="55"/>
    </row>
    <row r="22" spans="1:17" s="11" customFormat="1" x14ac:dyDescent="0.2">
      <c r="A22" s="65"/>
      <c r="Q22" s="55"/>
    </row>
    <row r="23" spans="1:17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8:Q18"/>
    <mergeCell ref="P12:Q12"/>
    <mergeCell ref="P13:Q13"/>
    <mergeCell ref="P14:Q14"/>
    <mergeCell ref="P15:Q15"/>
    <mergeCell ref="P16:Q16"/>
    <mergeCell ref="P17:Q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417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537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22</v>
      </c>
      <c r="K3" s="7" t="s">
        <v>28</v>
      </c>
      <c r="L3" s="64" t="str">
        <f>IF(LogicCommon!G3="","",LogicCommon!G3)</f>
        <v/>
      </c>
      <c r="M3" s="68" t="s">
        <v>218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37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407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168</v>
      </c>
      <c r="B7" s="30"/>
      <c r="C7" s="30"/>
      <c r="D7" s="31"/>
      <c r="E7" s="31"/>
      <c r="F7" s="31"/>
      <c r="G7" s="31"/>
      <c r="H7" s="31"/>
      <c r="I7" s="31" t="s">
        <v>173</v>
      </c>
      <c r="J7" s="31"/>
      <c r="K7" s="33" t="s">
        <v>181</v>
      </c>
      <c r="L7" s="32" t="s">
        <v>228</v>
      </c>
      <c r="M7" s="33" t="s">
        <v>39</v>
      </c>
      <c r="N7" s="32" t="s">
        <v>72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213</v>
      </c>
      <c r="L8" s="9" t="s">
        <v>422</v>
      </c>
      <c r="M8" s="33" t="s">
        <v>40</v>
      </c>
      <c r="N8" s="9" t="s">
        <v>422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166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416</v>
      </c>
      <c r="E11" s="43" t="s">
        <v>62</v>
      </c>
      <c r="F11" s="44"/>
      <c r="G11" s="28" t="s">
        <v>76</v>
      </c>
      <c r="H11" s="45" t="s">
        <v>532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400</v>
      </c>
      <c r="E12" s="50" t="s">
        <v>402</v>
      </c>
      <c r="F12" s="50"/>
      <c r="G12" s="51" t="s">
        <v>642</v>
      </c>
      <c r="H12" s="51" t="s">
        <v>527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45</v>
      </c>
      <c r="E13" s="50" t="s">
        <v>44</v>
      </c>
      <c r="F13" s="50"/>
      <c r="G13" s="51" t="s">
        <v>605</v>
      </c>
      <c r="H13" s="51" t="s">
        <v>446</v>
      </c>
      <c r="I13" s="9" t="s">
        <v>434</v>
      </c>
      <c r="J13" s="9"/>
      <c r="K13" s="9" t="s">
        <v>225</v>
      </c>
      <c r="L13" s="9"/>
      <c r="M13" s="9" t="s">
        <v>225</v>
      </c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9">
        <v>10</v>
      </c>
      <c r="B14" s="9"/>
      <c r="C14" s="9"/>
      <c r="D14" s="9" t="s">
        <v>401</v>
      </c>
      <c r="E14" s="50" t="s">
        <v>403</v>
      </c>
      <c r="F14" s="50"/>
      <c r="G14" s="51" t="s">
        <v>644</v>
      </c>
      <c r="H14" s="51" t="s">
        <v>531</v>
      </c>
      <c r="I14" s="9" t="s">
        <v>434</v>
      </c>
      <c r="J14" s="9"/>
      <c r="K14" s="9" t="s">
        <v>225</v>
      </c>
      <c r="L14" s="9"/>
      <c r="M14" s="9" t="s">
        <v>225</v>
      </c>
      <c r="N14" s="9"/>
      <c r="O14" s="9"/>
      <c r="P14" s="9"/>
      <c r="Q14" s="9"/>
      <c r="R14" s="9"/>
      <c r="S14" s="40"/>
      <c r="T14" s="52"/>
      <c r="U14" s="149"/>
      <c r="V14" s="150"/>
    </row>
    <row r="15" spans="1:22" s="11" customFormat="1" x14ac:dyDescent="0.2">
      <c r="A15" s="9">
        <v>10</v>
      </c>
      <c r="B15" s="9"/>
      <c r="C15" s="9"/>
      <c r="D15" s="9" t="s">
        <v>30</v>
      </c>
      <c r="E15" s="50" t="s">
        <v>31</v>
      </c>
      <c r="F15" s="50"/>
      <c r="G15" s="51" t="s">
        <v>599</v>
      </c>
      <c r="H15" s="51" t="s">
        <v>436</v>
      </c>
      <c r="I15" s="9" t="s">
        <v>434</v>
      </c>
      <c r="J15" s="9"/>
      <c r="K15" s="9" t="s">
        <v>225</v>
      </c>
      <c r="L15" s="9"/>
      <c r="M15" s="9" t="s">
        <v>225</v>
      </c>
      <c r="N15" s="9"/>
      <c r="O15" s="9"/>
      <c r="P15" s="9"/>
      <c r="Q15" s="9"/>
      <c r="R15" s="9"/>
      <c r="S15" s="40"/>
      <c r="T15" s="52"/>
      <c r="U15" s="149"/>
      <c r="V15" s="150"/>
    </row>
    <row r="16" spans="1:22" s="11" customFormat="1" x14ac:dyDescent="0.2">
      <c r="A16" s="9">
        <v>10</v>
      </c>
      <c r="B16" s="9"/>
      <c r="C16" s="9"/>
      <c r="D16" s="9" t="s">
        <v>34</v>
      </c>
      <c r="E16" s="50" t="s">
        <v>35</v>
      </c>
      <c r="F16" s="50"/>
      <c r="G16" s="51" t="s">
        <v>600</v>
      </c>
      <c r="H16" s="51" t="s">
        <v>437</v>
      </c>
      <c r="I16" s="9" t="s">
        <v>434</v>
      </c>
      <c r="J16" s="9"/>
      <c r="K16" s="9" t="s">
        <v>225</v>
      </c>
      <c r="L16" s="9"/>
      <c r="M16" s="9" t="s">
        <v>225</v>
      </c>
      <c r="N16" s="9"/>
      <c r="O16" s="9"/>
      <c r="P16" s="9"/>
      <c r="Q16" s="9"/>
      <c r="R16" s="9"/>
      <c r="S16" s="40"/>
      <c r="T16" s="52"/>
      <c r="U16" s="149"/>
      <c r="V16" s="150"/>
    </row>
    <row r="17" spans="1:22" s="11" customFormat="1" x14ac:dyDescent="0.2">
      <c r="A17" s="9">
        <v>10</v>
      </c>
      <c r="B17" s="9"/>
      <c r="C17" s="9"/>
      <c r="D17" s="9" t="s">
        <v>32</v>
      </c>
      <c r="E17" s="50" t="s">
        <v>33</v>
      </c>
      <c r="F17" s="50"/>
      <c r="G17" s="51" t="s">
        <v>601</v>
      </c>
      <c r="H17" s="51" t="s">
        <v>438</v>
      </c>
      <c r="I17" s="9" t="s">
        <v>434</v>
      </c>
      <c r="J17" s="9"/>
      <c r="K17" s="9" t="s">
        <v>225</v>
      </c>
      <c r="L17" s="9"/>
      <c r="M17" s="9" t="s">
        <v>225</v>
      </c>
      <c r="N17" s="9"/>
      <c r="O17" s="9"/>
      <c r="P17" s="9"/>
      <c r="Q17" s="9"/>
      <c r="R17" s="9"/>
      <c r="S17" s="40"/>
      <c r="T17" s="52"/>
      <c r="U17" s="149"/>
      <c r="V17" s="150"/>
    </row>
    <row r="18" spans="1:22" s="11" customFormat="1" x14ac:dyDescent="0.2">
      <c r="A18" s="9">
        <v>10</v>
      </c>
      <c r="B18" s="9"/>
      <c r="C18" s="9"/>
      <c r="D18" s="9" t="s">
        <v>42</v>
      </c>
      <c r="E18" s="50" t="s">
        <v>43</v>
      </c>
      <c r="F18" s="50"/>
      <c r="G18" s="51" t="s">
        <v>603</v>
      </c>
      <c r="H18" s="51" t="s">
        <v>440</v>
      </c>
      <c r="I18" s="9" t="s">
        <v>434</v>
      </c>
      <c r="J18" s="9"/>
      <c r="K18" s="9" t="s">
        <v>225</v>
      </c>
      <c r="L18" s="9"/>
      <c r="M18" s="9" t="s">
        <v>225</v>
      </c>
      <c r="N18" s="9"/>
      <c r="O18" s="9"/>
      <c r="P18" s="9"/>
      <c r="Q18" s="9"/>
      <c r="R18" s="9"/>
      <c r="S18" s="40"/>
      <c r="T18" s="52"/>
      <c r="U18" s="149"/>
      <c r="V18" s="150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5"/>
      <c r="V20" s="55"/>
    </row>
    <row r="21" spans="1:22" s="11" customFormat="1" x14ac:dyDescent="0.2">
      <c r="A21" s="65"/>
      <c r="V21" s="55"/>
    </row>
    <row r="22" spans="1:22" s="11" customFormat="1" x14ac:dyDescent="0.2">
      <c r="A22" s="65"/>
      <c r="V22" s="55"/>
    </row>
    <row r="23" spans="1:22" s="11" customFormat="1" x14ac:dyDescent="0.2">
      <c r="A23" s="70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2:V12"/>
    <mergeCell ref="U13:V13"/>
    <mergeCell ref="U14:V14"/>
    <mergeCell ref="U15:V15"/>
    <mergeCell ref="U16:V16"/>
    <mergeCell ref="U17:V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419</v>
      </c>
      <c r="K2" s="7" t="s">
        <v>27</v>
      </c>
      <c r="L2" s="64" t="str">
        <f>IF(LogicCommon!G2="","",LogicCommon!G2)</f>
        <v>MC</v>
      </c>
      <c r="M2" s="5" t="s">
        <v>427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63</v>
      </c>
      <c r="K3" s="7" t="s">
        <v>28</v>
      </c>
      <c r="L3" s="64" t="str">
        <f>IF(LogicCommon!G3="","",LogicCommon!G3)</f>
        <v/>
      </c>
      <c r="M3" s="68" t="s">
        <v>318</v>
      </c>
      <c r="N3" s="7"/>
      <c r="O3" s="7" t="s">
        <v>429</v>
      </c>
      <c r="P3" s="9" t="s">
        <v>430</v>
      </c>
      <c r="Q3" s="4"/>
    </row>
    <row r="4" spans="1:17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65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</row>
    <row r="5" spans="1:17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</row>
    <row r="6" spans="1:17" s="11" customFormat="1" x14ac:dyDescent="0.2">
      <c r="A6" s="65" t="s">
        <v>425</v>
      </c>
      <c r="B6" s="66"/>
      <c r="C6" s="66"/>
      <c r="D6" s="4" t="s">
        <v>5</v>
      </c>
      <c r="E6" s="16" t="s">
        <v>408</v>
      </c>
      <c r="F6" s="16"/>
      <c r="G6" s="16"/>
      <c r="H6" s="16"/>
      <c r="I6" s="16"/>
      <c r="J6" s="16"/>
      <c r="K6" s="16"/>
      <c r="L6" s="72"/>
      <c r="M6" s="19" t="s">
        <v>424</v>
      </c>
      <c r="N6" s="19"/>
      <c r="O6" s="19"/>
      <c r="P6" s="19"/>
      <c r="Q6" s="19"/>
    </row>
    <row r="7" spans="1:17" s="11" customFormat="1" x14ac:dyDescent="0.2">
      <c r="A7" s="30" t="s">
        <v>267</v>
      </c>
      <c r="B7" s="30"/>
      <c r="C7" s="30"/>
      <c r="D7" s="31"/>
      <c r="E7" s="31"/>
      <c r="F7" s="31"/>
      <c r="G7" s="31"/>
      <c r="H7" s="31"/>
      <c r="I7" s="31" t="s">
        <v>270</v>
      </c>
      <c r="J7" s="31"/>
      <c r="K7" s="32" t="s">
        <v>223</v>
      </c>
      <c r="L7" s="33" t="s">
        <v>39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9" t="s">
        <v>68</v>
      </c>
      <c r="L8" s="33" t="s">
        <v>40</v>
      </c>
      <c r="M8" s="9"/>
      <c r="N8" s="88"/>
      <c r="O8" s="89"/>
      <c r="P8" s="90" t="s">
        <v>587</v>
      </c>
      <c r="Q8" s="52"/>
    </row>
    <row r="9" spans="1:17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90" t="s">
        <v>595</v>
      </c>
      <c r="O9" s="52"/>
      <c r="P9" s="90" t="s">
        <v>596</v>
      </c>
      <c r="Q9" s="52"/>
    </row>
    <row r="10" spans="1:17" s="11" customFormat="1" ht="52" x14ac:dyDescent="0.2">
      <c r="A10" s="38" t="s">
        <v>269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85" t="s">
        <v>593</v>
      </c>
      <c r="M10" s="85" t="s">
        <v>594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418</v>
      </c>
      <c r="E11" s="43" t="s">
        <v>38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400</v>
      </c>
      <c r="E12" s="50" t="s">
        <v>402</v>
      </c>
      <c r="F12" s="50"/>
      <c r="G12" s="51" t="s">
        <v>642</v>
      </c>
      <c r="H12" s="51" t="s">
        <v>527</v>
      </c>
      <c r="I12" s="9" t="s">
        <v>434</v>
      </c>
      <c r="J12" s="9"/>
      <c r="K12" s="9" t="s">
        <v>225</v>
      </c>
      <c r="L12" s="9"/>
      <c r="M12" s="9"/>
      <c r="N12" s="40"/>
      <c r="O12" s="52"/>
      <c r="P12" s="149"/>
      <c r="Q12" s="150"/>
    </row>
    <row r="13" spans="1:17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/>
      <c r="L13" s="9"/>
      <c r="M13" s="9"/>
      <c r="N13" s="40"/>
      <c r="O13" s="52"/>
      <c r="P13" s="149"/>
      <c r="Q13" s="150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5"/>
      <c r="Q15" s="55"/>
    </row>
    <row r="16" spans="1:17" s="11" customFormat="1" x14ac:dyDescent="0.2">
      <c r="A16" s="65"/>
      <c r="Q16" s="55"/>
    </row>
    <row r="17" spans="1:17" s="11" customFormat="1" x14ac:dyDescent="0.2">
      <c r="A17" s="65"/>
      <c r="Q17" s="55"/>
    </row>
    <row r="18" spans="1:17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1" t="s">
        <v>425</v>
      </c>
      <c r="B1" s="61" t="s">
        <v>425</v>
      </c>
      <c r="C1" s="6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2" t="s">
        <v>425</v>
      </c>
      <c r="B2" s="63"/>
      <c r="C2" s="63"/>
      <c r="D2" s="83" t="s">
        <v>583</v>
      </c>
      <c r="E2" s="7" t="s">
        <v>11</v>
      </c>
      <c r="F2" s="64" t="str">
        <f>IF(LogicCommon!C2="","",LogicCommon!C2)</f>
        <v>MA</v>
      </c>
      <c r="G2" s="7" t="s">
        <v>8</v>
      </c>
      <c r="H2" s="64" t="str">
        <f>IF(LogicCommon!E2="","",LogicCommon!E2)</f>
        <v>MABCL0035</v>
      </c>
      <c r="I2" s="7" t="s">
        <v>426</v>
      </c>
      <c r="J2" s="9" t="s">
        <v>421</v>
      </c>
      <c r="K2" s="7" t="s">
        <v>27</v>
      </c>
      <c r="L2" s="64" t="str">
        <f>IF(LogicCommon!G2="","",LogicCommon!G2)</f>
        <v>MC</v>
      </c>
      <c r="M2" s="5" t="s">
        <v>427</v>
      </c>
      <c r="N2" s="28" t="s">
        <v>538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5" t="s">
        <v>425</v>
      </c>
      <c r="B3" s="66"/>
      <c r="C3" s="66"/>
      <c r="D3" s="67" t="str">
        <f>IF(LogicCommon!A3="","",LogicCommon!A3)</f>
        <v/>
      </c>
      <c r="E3" s="7" t="s">
        <v>12</v>
      </c>
      <c r="F3" s="64" t="str">
        <f>IF(LogicCommon!C3="","",LogicCommon!C3)</f>
        <v>MABC</v>
      </c>
      <c r="G3" s="7" t="s">
        <v>9</v>
      </c>
      <c r="H3" s="64" t="str">
        <f>IF(LogicCommon!E3="","",LogicCommon!E3)</f>
        <v>MABCL_MultiReg</v>
      </c>
      <c r="I3" s="7" t="s">
        <v>428</v>
      </c>
      <c r="J3" s="9" t="s">
        <v>22</v>
      </c>
      <c r="K3" s="7" t="s">
        <v>28</v>
      </c>
      <c r="L3" s="64" t="str">
        <f>IF(LogicCommon!G3="","",LogicCommon!G3)</f>
        <v/>
      </c>
      <c r="M3" s="68" t="s">
        <v>23</v>
      </c>
      <c r="N3" s="7"/>
      <c r="O3" s="7" t="s">
        <v>429</v>
      </c>
      <c r="P3" s="9" t="s">
        <v>430</v>
      </c>
      <c r="Q3" s="4"/>
      <c r="R3" s="27"/>
      <c r="S3" s="4"/>
      <c r="T3" s="27"/>
      <c r="U3" s="27"/>
      <c r="V3" s="27"/>
    </row>
    <row r="4" spans="1:22" s="11" customFormat="1" x14ac:dyDescent="0.2">
      <c r="A4" s="65" t="s">
        <v>425</v>
      </c>
      <c r="B4" s="66"/>
      <c r="C4" s="66"/>
      <c r="D4" s="4"/>
      <c r="E4" s="7" t="s">
        <v>7</v>
      </c>
      <c r="F4" s="10" t="s">
        <v>534</v>
      </c>
      <c r="G4" s="7" t="s">
        <v>10</v>
      </c>
      <c r="H4" s="64" t="str">
        <f>IF(LogicCommon!E4="","",LogicCommon!E4)</f>
        <v>マルチマスタ登録</v>
      </c>
      <c r="I4" s="7" t="s">
        <v>431</v>
      </c>
      <c r="J4" s="9" t="s">
        <v>280</v>
      </c>
      <c r="K4" s="7" t="s">
        <v>4</v>
      </c>
      <c r="L4" s="64" t="str">
        <f>IF(LogicCommon!G4="","",LogicCommon!G4)</f>
        <v>MA.MAUDL5010</v>
      </c>
      <c r="M4" s="69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0" t="s">
        <v>425</v>
      </c>
      <c r="B5" s="61"/>
      <c r="C5" s="61"/>
      <c r="D5" s="26"/>
      <c r="E5" s="7" t="s">
        <v>432</v>
      </c>
      <c r="F5" s="10"/>
      <c r="G5" s="71"/>
      <c r="H5" s="71"/>
      <c r="I5" s="71"/>
      <c r="J5" s="71"/>
      <c r="K5" s="71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5" t="s">
        <v>425</v>
      </c>
      <c r="B6" s="66"/>
      <c r="C6" s="66"/>
      <c r="D6" s="4" t="s">
        <v>5</v>
      </c>
      <c r="E6" s="16" t="s">
        <v>409</v>
      </c>
      <c r="F6" s="16"/>
      <c r="G6" s="16"/>
      <c r="H6" s="16"/>
      <c r="I6" s="16"/>
      <c r="J6" s="16"/>
      <c r="K6" s="16"/>
      <c r="L6" s="72" t="s">
        <v>424</v>
      </c>
      <c r="M6" s="19"/>
      <c r="N6" s="19" t="s">
        <v>424</v>
      </c>
      <c r="O6" s="19"/>
      <c r="P6" s="19" t="s">
        <v>424</v>
      </c>
      <c r="Q6" s="19"/>
      <c r="R6" s="3" t="s">
        <v>424</v>
      </c>
      <c r="S6" s="4"/>
      <c r="T6" s="29"/>
      <c r="U6" s="29"/>
      <c r="V6" s="27"/>
    </row>
    <row r="7" spans="1:22" s="11" customFormat="1" x14ac:dyDescent="0.2">
      <c r="A7" s="30" t="s">
        <v>14</v>
      </c>
      <c r="B7" s="30"/>
      <c r="C7" s="30"/>
      <c r="D7" s="31"/>
      <c r="E7" s="31"/>
      <c r="F7" s="31"/>
      <c r="G7" s="31"/>
      <c r="H7" s="31"/>
      <c r="I7" s="31" t="s">
        <v>24</v>
      </c>
      <c r="J7" s="31"/>
      <c r="K7" s="33" t="s">
        <v>25</v>
      </c>
      <c r="L7" s="32" t="s">
        <v>278</v>
      </c>
      <c r="M7" s="33" t="s">
        <v>39</v>
      </c>
      <c r="N7" s="32" t="s">
        <v>277</v>
      </c>
      <c r="O7" s="33" t="s">
        <v>39</v>
      </c>
      <c r="P7" s="32"/>
      <c r="Q7" s="33" t="s">
        <v>39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14</v>
      </c>
      <c r="B8" s="86"/>
      <c r="C8" s="87"/>
      <c r="D8" s="84" t="s">
        <v>584</v>
      </c>
      <c r="E8" s="84" t="s">
        <v>585</v>
      </c>
      <c r="F8" s="72"/>
      <c r="G8" s="84" t="s">
        <v>441</v>
      </c>
      <c r="H8" s="84" t="s">
        <v>586</v>
      </c>
      <c r="I8" s="72"/>
      <c r="J8" s="3"/>
      <c r="K8" s="33" t="s">
        <v>13</v>
      </c>
      <c r="L8" s="9" t="s">
        <v>567</v>
      </c>
      <c r="M8" s="33" t="s">
        <v>40</v>
      </c>
      <c r="N8" s="9" t="s">
        <v>422</v>
      </c>
      <c r="O8" s="33" t="s">
        <v>40</v>
      </c>
      <c r="P8" s="9"/>
      <c r="Q8" s="33" t="s">
        <v>40</v>
      </c>
      <c r="R8" s="9"/>
      <c r="S8" s="88"/>
      <c r="T8" s="89"/>
      <c r="U8" s="90" t="s">
        <v>587</v>
      </c>
      <c r="V8" s="52"/>
    </row>
    <row r="9" spans="1:22" s="11" customFormat="1" ht="60" customHeight="1" x14ac:dyDescent="0.2">
      <c r="A9" s="9" t="s">
        <v>14</v>
      </c>
      <c r="B9" s="36"/>
      <c r="C9" s="37"/>
      <c r="D9" s="84" t="s">
        <v>588</v>
      </c>
      <c r="E9" s="91" t="s">
        <v>589</v>
      </c>
      <c r="F9" s="84" t="s">
        <v>590</v>
      </c>
      <c r="G9" s="84" t="s">
        <v>591</v>
      </c>
      <c r="H9" s="84" t="s">
        <v>592</v>
      </c>
      <c r="I9" s="92" t="s">
        <v>593</v>
      </c>
      <c r="J9" s="84" t="s">
        <v>594</v>
      </c>
      <c r="K9" s="33"/>
      <c r="L9" s="33"/>
      <c r="M9" s="33"/>
      <c r="N9" s="33"/>
      <c r="O9" s="33"/>
      <c r="P9" s="33"/>
      <c r="Q9" s="33"/>
      <c r="R9" s="33"/>
      <c r="S9" s="90" t="s">
        <v>595</v>
      </c>
      <c r="T9" s="52"/>
      <c r="U9" s="90" t="s">
        <v>596</v>
      </c>
      <c r="V9" s="52"/>
    </row>
    <row r="10" spans="1:22" s="11" customFormat="1" ht="52" x14ac:dyDescent="0.2">
      <c r="A10" s="38" t="s">
        <v>14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593</v>
      </c>
      <c r="L10" s="85" t="s">
        <v>594</v>
      </c>
      <c r="M10" s="85" t="s">
        <v>593</v>
      </c>
      <c r="N10" s="85" t="s">
        <v>594</v>
      </c>
      <c r="O10" s="85" t="s">
        <v>593</v>
      </c>
      <c r="P10" s="85" t="s">
        <v>594</v>
      </c>
      <c r="Q10" s="85" t="s">
        <v>593</v>
      </c>
      <c r="R10" s="85" t="s">
        <v>594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420</v>
      </c>
      <c r="E11" s="43" t="s">
        <v>332</v>
      </c>
      <c r="F11" s="44"/>
      <c r="G11" s="28" t="s">
        <v>76</v>
      </c>
      <c r="H11" s="45" t="s">
        <v>533</v>
      </c>
      <c r="I11" s="46"/>
      <c r="J11" s="47"/>
      <c r="K11" s="48" t="s">
        <v>15</v>
      </c>
      <c r="L11" s="48"/>
      <c r="M11" s="48" t="s">
        <v>443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400</v>
      </c>
      <c r="E12" s="50" t="s">
        <v>402</v>
      </c>
      <c r="F12" s="50"/>
      <c r="G12" s="51" t="s">
        <v>642</v>
      </c>
      <c r="H12" s="51" t="s">
        <v>527</v>
      </c>
      <c r="I12" s="9" t="s">
        <v>434</v>
      </c>
      <c r="J12" s="9"/>
      <c r="K12" s="9" t="s">
        <v>225</v>
      </c>
      <c r="L12" s="9"/>
      <c r="M12" s="9" t="s">
        <v>225</v>
      </c>
      <c r="N12" s="9"/>
      <c r="O12" s="9"/>
      <c r="P12" s="9"/>
      <c r="Q12" s="9"/>
      <c r="R12" s="9"/>
      <c r="S12" s="40"/>
      <c r="T12" s="52"/>
      <c r="U12" s="149"/>
      <c r="V12" s="150"/>
    </row>
    <row r="13" spans="1:22" s="11" customFormat="1" x14ac:dyDescent="0.2">
      <c r="A13" s="9">
        <v>10</v>
      </c>
      <c r="B13" s="9"/>
      <c r="C13" s="9"/>
      <c r="D13" s="9" t="s">
        <v>42</v>
      </c>
      <c r="E13" s="50" t="s">
        <v>43</v>
      </c>
      <c r="F13" s="50"/>
      <c r="G13" s="51" t="s">
        <v>603</v>
      </c>
      <c r="H13" s="51" t="s">
        <v>440</v>
      </c>
      <c r="I13" s="9" t="s">
        <v>434</v>
      </c>
      <c r="J13" s="9"/>
      <c r="K13" s="9" t="s">
        <v>225</v>
      </c>
      <c r="L13" s="9"/>
      <c r="M13" s="9"/>
      <c r="N13" s="9"/>
      <c r="O13" s="9"/>
      <c r="P13" s="9"/>
      <c r="Q13" s="9"/>
      <c r="R13" s="9"/>
      <c r="S13" s="40"/>
      <c r="T13" s="52"/>
      <c r="U13" s="149"/>
      <c r="V13" s="150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5"/>
      <c r="V15" s="55"/>
    </row>
    <row r="16" spans="1:22" s="11" customFormat="1" x14ac:dyDescent="0.2">
      <c r="A16" s="65"/>
      <c r="V16" s="55"/>
    </row>
    <row r="17" spans="1:22" s="11" customFormat="1" x14ac:dyDescent="0.2">
      <c r="A17" s="65"/>
      <c r="V17" s="55"/>
    </row>
    <row r="18" spans="1:22" s="11" customFormat="1" x14ac:dyDescent="0.2">
      <c r="A18" s="70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6" customWidth="1"/>
    <col min="43" max="44" width="2.08984375" style="58" customWidth="1"/>
    <col min="45" max="71" width="2.08984375" style="56" customWidth="1"/>
    <col min="72" max="16384" width="9" style="56"/>
  </cols>
  <sheetData>
    <row r="1" spans="1:57" ht="38.25" customHeight="1" thickBot="1" x14ac:dyDescent="0.25">
      <c r="A1" s="96" t="s">
        <v>16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</row>
    <row r="3" spans="1:57" ht="15" customHeight="1" thickBot="1" x14ac:dyDescent="0.25">
      <c r="A3" s="130" t="s">
        <v>17</v>
      </c>
      <c r="B3" s="100"/>
      <c r="C3" s="100"/>
      <c r="D3" s="100"/>
      <c r="E3" s="100"/>
      <c r="F3" s="100"/>
      <c r="G3" s="101"/>
      <c r="H3" s="99" t="s">
        <v>18</v>
      </c>
      <c r="I3" s="100"/>
      <c r="J3" s="100"/>
      <c r="K3" s="100"/>
      <c r="L3" s="100"/>
      <c r="M3" s="100"/>
      <c r="N3" s="101"/>
      <c r="O3" s="99" t="s">
        <v>19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99" t="s">
        <v>20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137">
        <v>1</v>
      </c>
      <c r="B4" s="138"/>
      <c r="C4" s="138"/>
      <c r="D4" s="138"/>
      <c r="E4" s="138"/>
      <c r="F4" s="138"/>
      <c r="G4" s="139"/>
      <c r="H4" s="123"/>
      <c r="I4" s="124"/>
      <c r="J4" s="124"/>
      <c r="K4" s="124"/>
      <c r="L4" s="124"/>
      <c r="M4" s="124"/>
      <c r="N4" s="125"/>
      <c r="O4" s="123" t="s">
        <v>21</v>
      </c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7"/>
      <c r="AQ4" s="128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9"/>
    </row>
    <row r="5" spans="1:57" ht="31.5" customHeight="1" x14ac:dyDescent="0.2">
      <c r="A5" s="140">
        <v>1.1000000000000001</v>
      </c>
      <c r="B5" s="141"/>
      <c r="C5" s="141"/>
      <c r="D5" s="141"/>
      <c r="E5" s="141"/>
      <c r="F5" s="141"/>
      <c r="G5" s="142"/>
      <c r="H5" s="143" t="s">
        <v>582</v>
      </c>
      <c r="I5" s="144"/>
      <c r="J5" s="144"/>
      <c r="K5" s="144"/>
      <c r="L5" s="144"/>
      <c r="M5" s="144"/>
      <c r="N5" s="145"/>
      <c r="O5" s="109" t="s">
        <v>579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46" t="s">
        <v>575</v>
      </c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8"/>
    </row>
    <row r="6" spans="1:57" ht="31.5" customHeight="1" x14ac:dyDescent="0.2">
      <c r="A6" s="140" t="s">
        <v>574</v>
      </c>
      <c r="B6" s="141"/>
      <c r="C6" s="141"/>
      <c r="D6" s="141"/>
      <c r="E6" s="141"/>
      <c r="F6" s="141"/>
      <c r="G6" s="142"/>
      <c r="H6" s="143" t="s">
        <v>574</v>
      </c>
      <c r="I6" s="144"/>
      <c r="J6" s="144"/>
      <c r="K6" s="144"/>
      <c r="L6" s="144"/>
      <c r="M6" s="144"/>
      <c r="N6" s="145"/>
      <c r="O6" s="109" t="s">
        <v>581</v>
      </c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46" t="s">
        <v>576</v>
      </c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8"/>
    </row>
    <row r="7" spans="1:57" ht="15" customHeight="1" x14ac:dyDescent="0.2">
      <c r="A7" s="106">
        <v>1.2000000000000002</v>
      </c>
      <c r="B7" s="107"/>
      <c r="C7" s="107"/>
      <c r="D7" s="107"/>
      <c r="E7" s="107"/>
      <c r="F7" s="107"/>
      <c r="G7" s="108"/>
      <c r="H7" s="109"/>
      <c r="I7" s="110"/>
      <c r="J7" s="110"/>
      <c r="K7" s="110"/>
      <c r="L7" s="110"/>
      <c r="M7" s="110"/>
      <c r="N7" s="111"/>
      <c r="O7" s="131" t="s">
        <v>645</v>
      </c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3"/>
      <c r="AQ7" s="134" t="s">
        <v>646</v>
      </c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6"/>
    </row>
    <row r="8" spans="1:57" ht="15" customHeight="1" x14ac:dyDescent="0.2">
      <c r="A8" s="106"/>
      <c r="B8" s="107"/>
      <c r="C8" s="107"/>
      <c r="D8" s="107"/>
      <c r="E8" s="107"/>
      <c r="F8" s="107"/>
      <c r="G8" s="108"/>
      <c r="H8" s="109"/>
      <c r="I8" s="110"/>
      <c r="J8" s="110"/>
      <c r="K8" s="110"/>
      <c r="L8" s="110"/>
      <c r="M8" s="110"/>
      <c r="N8" s="111"/>
      <c r="O8" s="109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5"/>
    </row>
    <row r="9" spans="1:57" ht="15" customHeight="1" x14ac:dyDescent="0.2">
      <c r="A9" s="106"/>
      <c r="B9" s="107"/>
      <c r="C9" s="107"/>
      <c r="D9" s="107"/>
      <c r="E9" s="107"/>
      <c r="F9" s="107"/>
      <c r="G9" s="108"/>
      <c r="H9" s="109"/>
      <c r="I9" s="110"/>
      <c r="J9" s="110"/>
      <c r="K9" s="110"/>
      <c r="L9" s="110"/>
      <c r="M9" s="110"/>
      <c r="N9" s="111"/>
      <c r="O9" s="109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14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5"/>
    </row>
    <row r="10" spans="1:57" ht="15" customHeight="1" x14ac:dyDescent="0.2">
      <c r="A10" s="106"/>
      <c r="B10" s="107"/>
      <c r="C10" s="107"/>
      <c r="D10" s="107"/>
      <c r="E10" s="107"/>
      <c r="F10" s="107"/>
      <c r="G10" s="108"/>
      <c r="H10" s="109"/>
      <c r="I10" s="110"/>
      <c r="J10" s="110"/>
      <c r="K10" s="110"/>
      <c r="L10" s="110"/>
      <c r="M10" s="110"/>
      <c r="N10" s="111"/>
      <c r="O10" s="109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5"/>
    </row>
    <row r="11" spans="1:57" ht="15" customHeight="1" x14ac:dyDescent="0.2">
      <c r="A11" s="106"/>
      <c r="B11" s="107"/>
      <c r="C11" s="107"/>
      <c r="D11" s="107"/>
      <c r="E11" s="107"/>
      <c r="F11" s="107"/>
      <c r="G11" s="108"/>
      <c r="H11" s="109"/>
      <c r="I11" s="110"/>
      <c r="J11" s="110"/>
      <c r="K11" s="110"/>
      <c r="L11" s="110"/>
      <c r="M11" s="110"/>
      <c r="N11" s="111"/>
      <c r="O11" s="109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4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5"/>
    </row>
    <row r="12" spans="1:57" ht="15" customHeight="1" x14ac:dyDescent="0.2">
      <c r="A12" s="106"/>
      <c r="B12" s="107"/>
      <c r="C12" s="107"/>
      <c r="D12" s="107"/>
      <c r="E12" s="107"/>
      <c r="F12" s="107"/>
      <c r="G12" s="108"/>
      <c r="H12" s="109"/>
      <c r="I12" s="110"/>
      <c r="J12" s="110"/>
      <c r="K12" s="110"/>
      <c r="L12" s="110"/>
      <c r="M12" s="110"/>
      <c r="N12" s="111"/>
      <c r="O12" s="109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4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5"/>
    </row>
    <row r="13" spans="1:57" ht="15" customHeight="1" x14ac:dyDescent="0.2">
      <c r="A13" s="106"/>
      <c r="B13" s="107"/>
      <c r="C13" s="107"/>
      <c r="D13" s="107"/>
      <c r="E13" s="107"/>
      <c r="F13" s="107"/>
      <c r="G13" s="108"/>
      <c r="H13" s="109"/>
      <c r="I13" s="110"/>
      <c r="J13" s="110"/>
      <c r="K13" s="110"/>
      <c r="L13" s="110"/>
      <c r="M13" s="110"/>
      <c r="N13" s="111"/>
      <c r="O13" s="109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14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5"/>
    </row>
    <row r="14" spans="1:57" ht="15" customHeight="1" x14ac:dyDescent="0.2">
      <c r="A14" s="106"/>
      <c r="B14" s="107"/>
      <c r="C14" s="107"/>
      <c r="D14" s="107"/>
      <c r="E14" s="107"/>
      <c r="F14" s="107"/>
      <c r="G14" s="108"/>
      <c r="H14" s="109"/>
      <c r="I14" s="110"/>
      <c r="J14" s="110"/>
      <c r="K14" s="110"/>
      <c r="L14" s="110"/>
      <c r="M14" s="110"/>
      <c r="N14" s="111"/>
      <c r="O14" s="109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14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5"/>
    </row>
    <row r="15" spans="1:57" ht="15" customHeight="1" x14ac:dyDescent="0.2">
      <c r="A15" s="106"/>
      <c r="B15" s="107"/>
      <c r="C15" s="107"/>
      <c r="D15" s="107"/>
      <c r="E15" s="107"/>
      <c r="F15" s="107"/>
      <c r="G15" s="108"/>
      <c r="H15" s="109"/>
      <c r="I15" s="110"/>
      <c r="J15" s="110"/>
      <c r="K15" s="110"/>
      <c r="L15" s="110"/>
      <c r="M15" s="110"/>
      <c r="N15" s="111"/>
      <c r="O15" s="109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14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5"/>
    </row>
    <row r="16" spans="1:57" ht="15" customHeight="1" x14ac:dyDescent="0.2">
      <c r="A16" s="106"/>
      <c r="B16" s="107"/>
      <c r="C16" s="107"/>
      <c r="D16" s="107"/>
      <c r="E16" s="107"/>
      <c r="F16" s="107"/>
      <c r="G16" s="108"/>
      <c r="H16" s="109"/>
      <c r="I16" s="110"/>
      <c r="J16" s="110"/>
      <c r="K16" s="110"/>
      <c r="L16" s="110"/>
      <c r="M16" s="110"/>
      <c r="N16" s="111"/>
      <c r="O16" s="109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14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5"/>
    </row>
    <row r="17" spans="1:57" ht="15" customHeight="1" x14ac:dyDescent="0.2">
      <c r="A17" s="106"/>
      <c r="B17" s="107"/>
      <c r="C17" s="107"/>
      <c r="D17" s="107"/>
      <c r="E17" s="107"/>
      <c r="F17" s="107"/>
      <c r="G17" s="108"/>
      <c r="H17" s="109"/>
      <c r="I17" s="110"/>
      <c r="J17" s="110"/>
      <c r="K17" s="110"/>
      <c r="L17" s="110"/>
      <c r="M17" s="110"/>
      <c r="N17" s="111"/>
      <c r="O17" s="109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14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5"/>
    </row>
    <row r="18" spans="1:57" ht="15" customHeight="1" x14ac:dyDescent="0.2">
      <c r="A18" s="106"/>
      <c r="B18" s="107"/>
      <c r="C18" s="107"/>
      <c r="D18" s="107"/>
      <c r="E18" s="107"/>
      <c r="F18" s="107"/>
      <c r="G18" s="108"/>
      <c r="H18" s="109"/>
      <c r="I18" s="110"/>
      <c r="J18" s="110"/>
      <c r="K18" s="110"/>
      <c r="L18" s="110"/>
      <c r="M18" s="110"/>
      <c r="N18" s="111"/>
      <c r="O18" s="109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5"/>
    </row>
    <row r="19" spans="1:57" ht="15" customHeight="1" x14ac:dyDescent="0.2">
      <c r="A19" s="106"/>
      <c r="B19" s="107"/>
      <c r="C19" s="107"/>
      <c r="D19" s="107"/>
      <c r="E19" s="107"/>
      <c r="F19" s="107"/>
      <c r="G19" s="108"/>
      <c r="H19" s="109"/>
      <c r="I19" s="110"/>
      <c r="J19" s="110"/>
      <c r="K19" s="110"/>
      <c r="L19" s="110"/>
      <c r="M19" s="110"/>
      <c r="N19" s="111"/>
      <c r="O19" s="109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5"/>
    </row>
    <row r="20" spans="1:57" ht="15" customHeight="1" x14ac:dyDescent="0.2">
      <c r="A20" s="106"/>
      <c r="B20" s="107"/>
      <c r="C20" s="107"/>
      <c r="D20" s="107"/>
      <c r="E20" s="107"/>
      <c r="F20" s="107"/>
      <c r="G20" s="108"/>
      <c r="H20" s="109"/>
      <c r="I20" s="110"/>
      <c r="J20" s="110"/>
      <c r="K20" s="110"/>
      <c r="L20" s="110"/>
      <c r="M20" s="110"/>
      <c r="N20" s="111"/>
      <c r="O20" s="109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5"/>
    </row>
    <row r="21" spans="1:57" ht="15" customHeight="1" x14ac:dyDescent="0.2">
      <c r="A21" s="106"/>
      <c r="B21" s="107"/>
      <c r="C21" s="107"/>
      <c r="D21" s="107"/>
      <c r="E21" s="107"/>
      <c r="F21" s="107"/>
      <c r="G21" s="108"/>
      <c r="H21" s="109"/>
      <c r="I21" s="110"/>
      <c r="J21" s="110"/>
      <c r="K21" s="110"/>
      <c r="L21" s="110"/>
      <c r="M21" s="110"/>
      <c r="N21" s="111"/>
      <c r="O21" s="109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5"/>
    </row>
    <row r="22" spans="1:57" ht="15" customHeight="1" x14ac:dyDescent="0.2">
      <c r="A22" s="106"/>
      <c r="B22" s="107"/>
      <c r="C22" s="107"/>
      <c r="D22" s="107"/>
      <c r="E22" s="107"/>
      <c r="F22" s="107"/>
      <c r="G22" s="108"/>
      <c r="H22" s="109"/>
      <c r="I22" s="110"/>
      <c r="J22" s="110"/>
      <c r="K22" s="110"/>
      <c r="L22" s="110"/>
      <c r="M22" s="110"/>
      <c r="N22" s="111"/>
      <c r="O22" s="109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5"/>
    </row>
    <row r="23" spans="1:57" ht="15" customHeight="1" x14ac:dyDescent="0.2">
      <c r="A23" s="106"/>
      <c r="B23" s="107"/>
      <c r="C23" s="107"/>
      <c r="D23" s="107"/>
      <c r="E23" s="107"/>
      <c r="F23" s="107"/>
      <c r="G23" s="108"/>
      <c r="H23" s="109"/>
      <c r="I23" s="110"/>
      <c r="J23" s="110"/>
      <c r="K23" s="110"/>
      <c r="L23" s="110"/>
      <c r="M23" s="110"/>
      <c r="N23" s="111"/>
      <c r="O23" s="109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5"/>
    </row>
    <row r="24" spans="1:57" ht="15" customHeight="1" x14ac:dyDescent="0.2">
      <c r="A24" s="106"/>
      <c r="B24" s="107"/>
      <c r="C24" s="107"/>
      <c r="D24" s="107"/>
      <c r="E24" s="107"/>
      <c r="F24" s="107"/>
      <c r="G24" s="108"/>
      <c r="H24" s="109"/>
      <c r="I24" s="110"/>
      <c r="J24" s="110"/>
      <c r="K24" s="110"/>
      <c r="L24" s="110"/>
      <c r="M24" s="110"/>
      <c r="N24" s="111"/>
      <c r="O24" s="109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5"/>
    </row>
    <row r="25" spans="1:57" ht="15" customHeight="1" x14ac:dyDescent="0.2">
      <c r="A25" s="106"/>
      <c r="B25" s="107"/>
      <c r="C25" s="107"/>
      <c r="D25" s="107"/>
      <c r="E25" s="107"/>
      <c r="F25" s="107"/>
      <c r="G25" s="108"/>
      <c r="H25" s="109"/>
      <c r="I25" s="110"/>
      <c r="J25" s="110"/>
      <c r="K25" s="110"/>
      <c r="L25" s="110"/>
      <c r="M25" s="110"/>
      <c r="N25" s="111"/>
      <c r="O25" s="109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14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5"/>
    </row>
    <row r="26" spans="1:57" ht="15" customHeight="1" x14ac:dyDescent="0.2">
      <c r="A26" s="106"/>
      <c r="B26" s="107"/>
      <c r="C26" s="107"/>
      <c r="D26" s="107"/>
      <c r="E26" s="107"/>
      <c r="F26" s="107"/>
      <c r="G26" s="108"/>
      <c r="H26" s="109"/>
      <c r="I26" s="110"/>
      <c r="J26" s="110"/>
      <c r="K26" s="110"/>
      <c r="L26" s="110"/>
      <c r="M26" s="110"/>
      <c r="N26" s="111"/>
      <c r="O26" s="109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14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5"/>
    </row>
    <row r="27" spans="1:57" ht="15" customHeight="1" x14ac:dyDescent="0.2">
      <c r="A27" s="106"/>
      <c r="B27" s="107"/>
      <c r="C27" s="107"/>
      <c r="D27" s="107"/>
      <c r="E27" s="107"/>
      <c r="F27" s="107"/>
      <c r="G27" s="108"/>
      <c r="H27" s="109"/>
      <c r="I27" s="110"/>
      <c r="J27" s="110"/>
      <c r="K27" s="110"/>
      <c r="L27" s="110"/>
      <c r="M27" s="110"/>
      <c r="N27" s="111"/>
      <c r="O27" s="109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14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5"/>
    </row>
    <row r="28" spans="1:57" ht="15" customHeight="1" x14ac:dyDescent="0.2">
      <c r="A28" s="106"/>
      <c r="B28" s="107"/>
      <c r="C28" s="107"/>
      <c r="D28" s="107"/>
      <c r="E28" s="107"/>
      <c r="F28" s="107"/>
      <c r="G28" s="108"/>
      <c r="H28" s="109"/>
      <c r="I28" s="110"/>
      <c r="J28" s="110"/>
      <c r="K28" s="110"/>
      <c r="L28" s="110"/>
      <c r="M28" s="110"/>
      <c r="N28" s="111"/>
      <c r="O28" s="109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14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5"/>
    </row>
    <row r="29" spans="1:57" ht="15" customHeight="1" x14ac:dyDescent="0.2">
      <c r="A29" s="106"/>
      <c r="B29" s="107"/>
      <c r="C29" s="107"/>
      <c r="D29" s="107"/>
      <c r="E29" s="107"/>
      <c r="F29" s="107"/>
      <c r="G29" s="108"/>
      <c r="H29" s="109"/>
      <c r="I29" s="110"/>
      <c r="J29" s="110"/>
      <c r="K29" s="110"/>
      <c r="L29" s="110"/>
      <c r="M29" s="110"/>
      <c r="N29" s="111"/>
      <c r="O29" s="109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14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5"/>
    </row>
    <row r="30" spans="1:57" ht="15" customHeight="1" x14ac:dyDescent="0.2">
      <c r="A30" s="106"/>
      <c r="B30" s="107"/>
      <c r="C30" s="107"/>
      <c r="D30" s="107"/>
      <c r="E30" s="107"/>
      <c r="F30" s="107"/>
      <c r="G30" s="108"/>
      <c r="H30" s="109"/>
      <c r="I30" s="110"/>
      <c r="J30" s="110"/>
      <c r="K30" s="110"/>
      <c r="L30" s="110"/>
      <c r="M30" s="110"/>
      <c r="N30" s="111"/>
      <c r="O30" s="109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14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5"/>
    </row>
    <row r="31" spans="1:57" ht="15" customHeight="1" x14ac:dyDescent="0.2">
      <c r="A31" s="106"/>
      <c r="B31" s="107"/>
      <c r="C31" s="107"/>
      <c r="D31" s="107"/>
      <c r="E31" s="107"/>
      <c r="F31" s="107"/>
      <c r="G31" s="108"/>
      <c r="H31" s="109"/>
      <c r="I31" s="110"/>
      <c r="J31" s="110"/>
      <c r="K31" s="110"/>
      <c r="L31" s="110"/>
      <c r="M31" s="110"/>
      <c r="N31" s="111"/>
      <c r="O31" s="109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14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5"/>
    </row>
    <row r="32" spans="1:57" ht="15" customHeight="1" x14ac:dyDescent="0.2">
      <c r="A32" s="106"/>
      <c r="B32" s="107"/>
      <c r="C32" s="107"/>
      <c r="D32" s="107"/>
      <c r="E32" s="107"/>
      <c r="F32" s="107"/>
      <c r="G32" s="108"/>
      <c r="H32" s="109"/>
      <c r="I32" s="110"/>
      <c r="J32" s="110"/>
      <c r="K32" s="110"/>
      <c r="L32" s="110"/>
      <c r="M32" s="110"/>
      <c r="N32" s="111"/>
      <c r="O32" s="109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14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5"/>
    </row>
    <row r="33" spans="1:57" ht="15" customHeight="1" x14ac:dyDescent="0.2">
      <c r="A33" s="106"/>
      <c r="B33" s="107"/>
      <c r="C33" s="107"/>
      <c r="D33" s="107"/>
      <c r="E33" s="107"/>
      <c r="F33" s="107"/>
      <c r="G33" s="108"/>
      <c r="H33" s="109"/>
      <c r="I33" s="110"/>
      <c r="J33" s="110"/>
      <c r="K33" s="110"/>
      <c r="L33" s="110"/>
      <c r="M33" s="110"/>
      <c r="N33" s="111"/>
      <c r="O33" s="109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14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5"/>
    </row>
    <row r="34" spans="1:57" ht="15" customHeight="1" x14ac:dyDescent="0.2">
      <c r="A34" s="106"/>
      <c r="B34" s="107"/>
      <c r="C34" s="107"/>
      <c r="D34" s="107"/>
      <c r="E34" s="107"/>
      <c r="F34" s="107"/>
      <c r="G34" s="108"/>
      <c r="H34" s="109"/>
      <c r="I34" s="110"/>
      <c r="J34" s="110"/>
      <c r="K34" s="110"/>
      <c r="L34" s="110"/>
      <c r="M34" s="110"/>
      <c r="N34" s="111"/>
      <c r="O34" s="109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  <row r="35" spans="1:57" ht="15" customHeight="1" thickBot="1" x14ac:dyDescent="0.25">
      <c r="A35" s="93"/>
      <c r="B35" s="94"/>
      <c r="C35" s="94"/>
      <c r="D35" s="94"/>
      <c r="E35" s="94"/>
      <c r="F35" s="94"/>
      <c r="G35" s="9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68</vt:i4>
      </vt:variant>
    </vt:vector>
  </HeadingPairs>
  <TitlesOfParts>
    <vt:vector size="68" baseType="lpstr">
      <vt:lpstr>LogicCommon</vt:lpstr>
      <vt:lpstr>JnlPtnBase_UpdChk01</vt:lpstr>
      <vt:lpstr>JnlPtnBase_Upd01</vt:lpstr>
      <vt:lpstr>JnlPtnBaseLcl_UpdChk01</vt:lpstr>
      <vt:lpstr>JnlPtnBaseLcl_Upd01</vt:lpstr>
      <vt:lpstr>JnlPtnBase_DelChk01</vt:lpstr>
      <vt:lpstr>JnlPtnBase_Del01</vt:lpstr>
      <vt:lpstr>AutoJnlKey_UpdChk01</vt:lpstr>
      <vt:lpstr>AutoJnlKey_Upd01</vt:lpstr>
      <vt:lpstr>AutoJnlKeyLcl_UpdChk01</vt:lpstr>
      <vt:lpstr>AutoJnlKeyLcl_Upd01</vt:lpstr>
      <vt:lpstr>AutoJnlKey_DelChk01</vt:lpstr>
      <vt:lpstr>AutoJnlKey_Del01</vt:lpstr>
      <vt:lpstr>InspPtn_UpdChk01</vt:lpstr>
      <vt:lpstr>InspPtn_Upd01</vt:lpstr>
      <vt:lpstr>InspPtnLcl_UpdChk01</vt:lpstr>
      <vt:lpstr>InspPtnLcl_Upd01</vt:lpstr>
      <vt:lpstr>InspPtn_DelChk01</vt:lpstr>
      <vt:lpstr>InspPtn_Del01</vt:lpstr>
      <vt:lpstr>WkDay_UpdChk01</vt:lpstr>
      <vt:lpstr>WkDay_Upd01</vt:lpstr>
      <vt:lpstr>WkDayLcl_UpdChk01</vt:lpstr>
      <vt:lpstr>WkDayLcl_Upd01</vt:lpstr>
      <vt:lpstr>WkDay_DelChk01</vt:lpstr>
      <vt:lpstr>WkDay_Del01</vt:lpstr>
      <vt:lpstr>ShipTerm_UpdChk01</vt:lpstr>
      <vt:lpstr>ShipTerm_Upd01</vt:lpstr>
      <vt:lpstr>ShipTermLcl_UpdChk01</vt:lpstr>
      <vt:lpstr>ShipTermLcl_Upd01</vt:lpstr>
      <vt:lpstr>ShipTerm_DelChk01</vt:lpstr>
      <vt:lpstr>ShipTerm_Del01</vt:lpstr>
      <vt:lpstr>ShipWk_UpdChk01</vt:lpstr>
      <vt:lpstr>ShipWk_Upd01</vt:lpstr>
      <vt:lpstr>ShipWkLcl_UpdChk01</vt:lpstr>
      <vt:lpstr>ShipWkLcl_Upd01</vt:lpstr>
      <vt:lpstr>ShipWk_DelChk01</vt:lpstr>
      <vt:lpstr>ShipWk_Del01</vt:lpstr>
      <vt:lpstr>Rsrc_UpdChk01</vt:lpstr>
      <vt:lpstr>Rsrc_Upd01</vt:lpstr>
      <vt:lpstr>RsrcLcl_UpdChk01</vt:lpstr>
      <vt:lpstr>RsrcLcl_Upd01</vt:lpstr>
      <vt:lpstr>Rsrc_DelChk01</vt:lpstr>
      <vt:lpstr>Rsrc_Del01</vt:lpstr>
      <vt:lpstr>HsGrp_UpdChk01</vt:lpstr>
      <vt:lpstr>HsGrp_Upd01</vt:lpstr>
      <vt:lpstr>HsGrpLcl_UpdChk01</vt:lpstr>
      <vt:lpstr>HsGrpLcl_Upd01</vt:lpstr>
      <vt:lpstr>HsGrp_DelChk01</vt:lpstr>
      <vt:lpstr>HsGrp_Del01</vt:lpstr>
      <vt:lpstr>AlcPtn_UpdChk01</vt:lpstr>
      <vt:lpstr>AlcPtn_Upd01</vt:lpstr>
      <vt:lpstr>AlcPtnLcl_UpdChk01</vt:lpstr>
      <vt:lpstr>AlcPtnLcl_Upd01</vt:lpstr>
      <vt:lpstr>AlcPtn_DelChk01</vt:lpstr>
      <vt:lpstr>AlcPtn_Del01</vt:lpstr>
      <vt:lpstr>CtgGrp_UpdChk01</vt:lpstr>
      <vt:lpstr>CtgGrp_Upd01</vt:lpstr>
      <vt:lpstr>CtgGrpLcl_UpdChk01</vt:lpstr>
      <vt:lpstr>CtgGrpLcl_Upd01</vt:lpstr>
      <vt:lpstr>CtgGrp_DelChk01</vt:lpstr>
      <vt:lpstr>CtgGrp_Del01</vt:lpstr>
      <vt:lpstr>ActPtn_UpdChk01</vt:lpstr>
      <vt:lpstr>ActPtn_Upd01</vt:lpstr>
      <vt:lpstr>ActPtnLcl_UpdChk01</vt:lpstr>
      <vt:lpstr>ActPtnLcl_Upd01</vt:lpstr>
      <vt:lpstr>ActPtn_DelChk01</vt:lpstr>
      <vt:lpstr>ActPtn_Del01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2016-02-18T07:23:43Z</cp:lastPrinted>
  <dcterms:created xsi:type="dcterms:W3CDTF">2000-04-01T00:00:00Z</dcterms:created>
  <dcterms:modified xsi:type="dcterms:W3CDTF">2026-03-27T05:42:19Z</dcterms:modified>
  <cp:category/>
</cp:coreProperties>
</file>