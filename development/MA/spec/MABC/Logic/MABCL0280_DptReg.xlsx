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0765982-091E-4276-BF41-A7AA954527A9}" xr6:coauthVersionLast="47" xr6:coauthVersionMax="47" xr10:uidLastSave="{00000000-0000-0000-0000-000000000000}"/>
  <bookViews>
    <workbookView xWindow="1710" yWindow="1710" windowWidth="21600" windowHeight="11265" tabRatio="870" firstSheet="6" activeTab="12" xr2:uid="{00000000-000D-0000-FFFF-FFFF00000000}"/>
  </bookViews>
  <sheets>
    <sheet name="LogicCommon" sheetId="10" r:id="rId1"/>
    <sheet name="DptHis_UpdChk01" sheetId="15" r:id="rId2"/>
    <sheet name="DptHis_Upd01" sheetId="16" r:id="rId3"/>
    <sheet name="Dpt_UpdChk01" sheetId="17" r:id="rId4"/>
    <sheet name="Dpt_Upd01" sheetId="18" r:id="rId5"/>
    <sheet name="DptMap_UpdChk01" sheetId="19" r:id="rId6"/>
    <sheet name="DptMap_Upd01" sheetId="20" r:id="rId7"/>
    <sheet name="Dpt_DelChk01" sheetId="23" r:id="rId8"/>
    <sheet name="Dpt_Del01" sheetId="24" r:id="rId9"/>
    <sheet name="Srch01" sheetId="1" r:id="rId10"/>
    <sheet name="Upd01" sheetId="11" r:id="rId11"/>
    <sheet name="Del01" sheetId="14" r:id="rId12"/>
    <sheet name="来歴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4" l="1"/>
  <c r="H4" i="24"/>
  <c r="L3" i="24"/>
  <c r="H3" i="24"/>
  <c r="F3" i="24"/>
  <c r="D3" i="24"/>
  <c r="L2" i="24"/>
  <c r="H2" i="24"/>
  <c r="F2" i="24"/>
  <c r="L4" i="23"/>
  <c r="N2" i="23" s="1"/>
  <c r="H4" i="23"/>
  <c r="L3" i="23"/>
  <c r="H3" i="23"/>
  <c r="F3" i="23"/>
  <c r="D3" i="23"/>
  <c r="L2" i="23"/>
  <c r="H2" i="23"/>
  <c r="F2" i="23"/>
  <c r="L4" i="20" l="1"/>
  <c r="H4" i="20"/>
  <c r="L3" i="20"/>
  <c r="H3" i="20"/>
  <c r="F3" i="20"/>
  <c r="D3" i="20"/>
  <c r="L2" i="20"/>
  <c r="H2" i="20"/>
  <c r="F2" i="20"/>
  <c r="L4" i="19"/>
  <c r="N2" i="19" s="1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/>
  <c r="N2" i="17" s="1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N2" i="15" s="1"/>
  <c r="H4" i="15"/>
  <c r="L3" i="15"/>
  <c r="H3" i="15"/>
  <c r="F3" i="15"/>
  <c r="D3" i="15"/>
  <c r="L2" i="15"/>
  <c r="H2" i="15"/>
  <c r="F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<sst xmlns="http://schemas.openxmlformats.org/spreadsheetml/2006/main" count="2534" uniqueCount="538">
  <si>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</si>
  <si>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</si>
  <si>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</si>
  <si>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</si>
  <si>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</si>
  <si>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</si>
  <si>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</si>
  <si>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</si>
  <si>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</si>
  <si>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</si>
  <si>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</si>
  <si>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</si>
  <si>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</si>
  <si>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</si>
  <si>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</si>
  <si>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</si>
  <si>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</si>
  <si>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</si>
  <si>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</si>
  <si>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</si>
  <si>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</si>
  <si>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</si>
  <si>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ACType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</si>
  <si>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</si>
  <si>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</si>
  <si>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</si>
  <si>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</si>
  <si>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</si>
  <si>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</si>
  <si>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Srch01</t>
    <phoneticPr fontId="1"/>
  </si>
  <si>
    <t>Pj.ID :</t>
    <phoneticPr fontId="1"/>
  </si>
  <si>
    <t>Ope.Method :</t>
    <phoneticPr fontId="1"/>
  </si>
  <si>
    <t>@</t>
    <phoneticPr fontId="1"/>
  </si>
  <si>
    <t>ReportID :</t>
    <phoneticPr fontId="1"/>
  </si>
  <si>
    <t>Upd01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</si>
  <si>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</si>
  <si>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</si>
  <si>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</si>
  <si>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</si>
  <si>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</si>
  <si>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</si>
  <si>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</si>
  <si>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</si>
  <si>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</si>
  <si>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</si>
  <si>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</si>
  <si>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MA</t>
    <phoneticPr fontId="1"/>
  </si>
  <si>
    <t>memo1</t>
  </si>
  <si>
    <t>#MA.MST_MEMO1</t>
  </si>
  <si>
    <t>memo3</t>
  </si>
  <si>
    <t>#MA.MST_MEMO3</t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</si>
  <si>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</si>
  <si>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</si>
  <si>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</si>
  <si>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</si>
  <si>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</si>
  <si>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</si>
  <si>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</si>
  <si>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</si>
  <si>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</si>
  <si>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</si>
  <si>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</si>
  <si>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</si>
  <si>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</si>
  <si>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</si>
  <si>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Del01</t>
    <phoneticPr fontId="1"/>
  </si>
  <si>
    <t>削除</t>
    <phoneticPr fontId="1"/>
  </si>
  <si>
    <t>登録</t>
    <rPh sb="0" eb="2">
      <t>トウロク</t>
    </rPh>
    <phoneticPr fontId="1"/>
  </si>
  <si>
    <t>o</t>
  </si>
  <si>
    <t>TargetName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</si>
  <si>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</si>
  <si>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</si>
  <si>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</si>
  <si>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</si>
  <si>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</si>
  <si>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</si>
  <si>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$share$</t>
    <phoneticPr fontId="20"/>
  </si>
  <si>
    <t>CALL_OPE01.upd01</t>
    <phoneticPr fontId="1"/>
  </si>
  <si>
    <t>CALL_OPE02.chk02</t>
    <phoneticPr fontId="1"/>
  </si>
  <si>
    <t>CALL_OPE02.upd02</t>
    <phoneticPr fontId="1"/>
  </si>
  <si>
    <t>CALL_OPE01.chk01</t>
    <phoneticPr fontId="1"/>
  </si>
  <si>
    <t>CALL_OPE01.chk01</t>
    <phoneticPr fontId="1"/>
  </si>
  <si>
    <t>CALL_OPE01.del01</t>
    <phoneticPr fontId="1"/>
  </si>
  <si>
    <t>st_dt</t>
    <phoneticPr fontId="1"/>
  </si>
  <si>
    <t>del_flg</t>
    <phoneticPr fontId="1"/>
  </si>
  <si>
    <t>dpt_cd</t>
  </si>
  <si>
    <t>dpt_nm</t>
  </si>
  <si>
    <t>new_dpt_cd</t>
  </si>
  <si>
    <t>up_lv_dpt_cd</t>
  </si>
  <si>
    <t>up_lv_dpt_nm</t>
  </si>
  <si>
    <t>dpt_lvl_cd</t>
  </si>
  <si>
    <t>dpt_lvl_nm</t>
  </si>
  <si>
    <t>zip_cd</t>
  </si>
  <si>
    <t>addr1</t>
  </si>
  <si>
    <t>addr2</t>
  </si>
  <si>
    <t>addr3</t>
  </si>
  <si>
    <t>addr4</t>
  </si>
  <si>
    <t>tel</t>
  </si>
  <si>
    <t>fax</t>
  </si>
  <si>
    <t>wg_cd</t>
  </si>
  <si>
    <t>wg_nm</t>
  </si>
  <si>
    <t>rcv_bank_ac_cd</t>
  </si>
  <si>
    <t>rcv_bank_ac_nm</t>
  </si>
  <si>
    <t>pay_bank_ac_cd</t>
  </si>
  <si>
    <t>pay_bank_ac_nm</t>
  </si>
  <si>
    <t>asst_dpt_flg</t>
  </si>
  <si>
    <t>ar_dpt_flg</t>
  </si>
  <si>
    <t>ap_dpt_flg</t>
  </si>
  <si>
    <t>sls_dpt_flg</t>
  </si>
  <si>
    <t>purc_dpt_flg</t>
  </si>
  <si>
    <t>ship_dpt_flg</t>
  </si>
  <si>
    <t>arr_dpt_flg</t>
  </si>
  <si>
    <t>mfg_dpt_flg</t>
  </si>
  <si>
    <t>insp_dpt_flg</t>
  </si>
  <si>
    <t>bd_dpt_flg</t>
  </si>
  <si>
    <t>#MA.DPT_CD</t>
  </si>
  <si>
    <t>#MA.DPT_NM</t>
  </si>
  <si>
    <t>#MA.DPT_LVL_CD</t>
  </si>
  <si>
    <t>#MA.DPT_LVL_NM</t>
  </si>
  <si>
    <t>#MA.ZIP_CD</t>
  </si>
  <si>
    <t>#MA.ADDR1</t>
  </si>
  <si>
    <t>#MA.ADDR2</t>
  </si>
  <si>
    <t>#MA.ADDR3</t>
  </si>
  <si>
    <t>#MA.ADDR4</t>
  </si>
  <si>
    <t>#MA.TEL</t>
  </si>
  <si>
    <t>#MA.WG_CD</t>
  </si>
  <si>
    <t>#MA.WG_NM</t>
  </si>
  <si>
    <t>#MA.BANK_AC_CD</t>
  </si>
  <si>
    <t>#MA.BANK_AC_NM</t>
  </si>
  <si>
    <t>SELECT1.c1</t>
    <phoneticPr fontId="1"/>
  </si>
  <si>
    <t>DBC.MA.MAM_DPT_HIS</t>
    <phoneticPr fontId="1"/>
  </si>
  <si>
    <t>st_dt</t>
    <phoneticPr fontId="1"/>
  </si>
  <si>
    <t>dpt_his_rmrks</t>
    <phoneticPr fontId="1"/>
  </si>
  <si>
    <t>#MA.DT</t>
  </si>
  <si>
    <t>#MA.DPT_HIS_RMRKS</t>
  </si>
  <si>
    <t>#MA.UPD_CNT</t>
  </si>
  <si>
    <t>MABCL0280</t>
    <phoneticPr fontId="1"/>
  </si>
  <si>
    <t>MABCL_DptReg</t>
    <phoneticPr fontId="1"/>
  </si>
  <si>
    <t>部門マスタ登録</t>
    <rPh sb="0" eb="2">
      <t>ブモン</t>
    </rPh>
    <phoneticPr fontId="1"/>
  </si>
  <si>
    <t>#MA.DT</t>
    <phoneticPr fontId="1"/>
  </si>
  <si>
    <t>OPE.MA.MABCL0280.DptHis_UpdChk01</t>
    <phoneticPr fontId="1"/>
  </si>
  <si>
    <t>OPE.MA.MABCL0280.DptHis_Upd01</t>
    <phoneticPr fontId="1"/>
  </si>
  <si>
    <t>OPE.MA.MABCL0280.Dpt_UpdChk01</t>
    <phoneticPr fontId="1"/>
  </si>
  <si>
    <t>OPE.MA.MABCL0280.Dpt_Upd01</t>
    <phoneticPr fontId="1"/>
  </si>
  <si>
    <t>CALL_OPE03.chk03</t>
    <phoneticPr fontId="1"/>
  </si>
  <si>
    <t>CALL_OPE03.upd03</t>
    <phoneticPr fontId="1"/>
  </si>
  <si>
    <t>OPE.MA.MABCL0280.DptMap_UpdChk01</t>
    <phoneticPr fontId="1"/>
  </si>
  <si>
    <t>OPE.MA.MABCL0280.DptMap_Upd01</t>
    <phoneticPr fontId="1"/>
  </si>
  <si>
    <t>Upd01_Dtl1</t>
    <phoneticPr fontId="1"/>
  </si>
  <si>
    <t>Upd01_Dtl2</t>
    <phoneticPr fontId="1"/>
  </si>
  <si>
    <t>Upd01_Dtl3</t>
    <phoneticPr fontId="1"/>
  </si>
  <si>
    <t>old_dpt_cd</t>
    <phoneticPr fontId="1"/>
  </si>
  <si>
    <t>st_dt</t>
    <phoneticPr fontId="1"/>
  </si>
  <si>
    <t>end_dt</t>
    <phoneticPr fontId="1"/>
  </si>
  <si>
    <t>new_dpt_cd</t>
    <phoneticPr fontId="1"/>
  </si>
  <si>
    <t>SELECT2.c2</t>
    <phoneticPr fontId="1"/>
  </si>
  <si>
    <t>DBC.MA.MAM_DPT_MAP</t>
    <phoneticPr fontId="1"/>
  </si>
  <si>
    <t>Srch01_Rslt1</t>
    <phoneticPr fontId="1"/>
  </si>
  <si>
    <t>Srch01_Rslt2</t>
    <phoneticPr fontId="1"/>
  </si>
  <si>
    <t>Srch01_Rslt3</t>
    <phoneticPr fontId="1"/>
  </si>
  <si>
    <t>old_dpt_cd</t>
    <phoneticPr fontId="1"/>
  </si>
  <si>
    <t>st_dt</t>
    <phoneticPr fontId="1"/>
  </si>
  <si>
    <t>end_dt</t>
    <phoneticPr fontId="1"/>
  </si>
  <si>
    <t>new_dpt_cd</t>
    <phoneticPr fontId="1"/>
  </si>
  <si>
    <t>Del01_Dtl1</t>
    <phoneticPr fontId="1"/>
  </si>
  <si>
    <t>*</t>
    <phoneticPr fontId="1"/>
  </si>
  <si>
    <t xml:space="preserve">Ope.Body : </t>
    <phoneticPr fontId="1"/>
  </si>
  <si>
    <t>@</t>
  </si>
  <si>
    <t>ReportID :</t>
    <phoneticPr fontId="1"/>
  </si>
  <si>
    <t>Gene.Type :</t>
    <phoneticPr fontId="1"/>
  </si>
  <si>
    <t xml:space="preserve">Ope.Name : </t>
    <phoneticPr fontId="1"/>
  </si>
  <si>
    <t>#</t>
    <phoneticPr fontId="1"/>
  </si>
  <si>
    <t>U</t>
    <phoneticPr fontId="1"/>
  </si>
  <si>
    <t>K</t>
    <phoneticPr fontId="20"/>
  </si>
  <si>
    <t>K</t>
    <phoneticPr fontId="20"/>
  </si>
  <si>
    <t>#</t>
    <phoneticPr fontId="1"/>
  </si>
  <si>
    <t>REQUIRED</t>
    <phoneticPr fontId="20"/>
  </si>
  <si>
    <t>REQUIRED</t>
    <phoneticPr fontId="20"/>
  </si>
  <si>
    <t>L</t>
  </si>
  <si>
    <t>DptHis_UpdChk01</t>
  </si>
  <si>
    <t>DptHis_UpdChk01_Dtl</t>
  </si>
  <si>
    <t>@</t>
    <phoneticPr fontId="1"/>
  </si>
  <si>
    <t>UPDATE.updMaster</t>
    <phoneticPr fontId="1"/>
  </si>
  <si>
    <t>MAIN.chkMaster</t>
    <phoneticPr fontId="20"/>
  </si>
  <si>
    <t>#</t>
    <phoneticPr fontId="1"/>
  </si>
  <si>
    <t>$share$</t>
  </si>
  <si>
    <t>DptHis_Upd01</t>
  </si>
  <si>
    <t>DptHis_Upd01_Dtl</t>
  </si>
  <si>
    <t>Dpt_UpdChk01</t>
  </si>
  <si>
    <t>Dpt_Upd01</t>
  </si>
  <si>
    <t>Ope.ID :</t>
    <phoneticPr fontId="1"/>
  </si>
  <si>
    <t>#</t>
    <phoneticPr fontId="1"/>
  </si>
  <si>
    <t>K</t>
    <phoneticPr fontId="20"/>
  </si>
  <si>
    <t>DptMap_UpdChk01</t>
  </si>
  <si>
    <t>DptMap_UpdChk01_Dtl</t>
  </si>
  <si>
    <t>@</t>
    <phoneticPr fontId="1"/>
  </si>
  <si>
    <t>ReportID :</t>
    <phoneticPr fontId="1"/>
  </si>
  <si>
    <t>ALL</t>
    <phoneticPr fontId="1"/>
  </si>
  <si>
    <t>TargetName</t>
    <phoneticPr fontId="1"/>
  </si>
  <si>
    <t>L</t>
    <phoneticPr fontId="1"/>
  </si>
  <si>
    <t>DptMap_Upd01</t>
  </si>
  <si>
    <t>DptMap_Upd01_Dtl</t>
  </si>
  <si>
    <t>UPDATE.updMaster1</t>
  </si>
  <si>
    <t>DBC.MA.MAM_DPT_HIS</t>
    <phoneticPr fontId="20"/>
  </si>
  <si>
    <t>K</t>
  </si>
  <si>
    <t>BEFORE_AFTER</t>
  </si>
  <si>
    <t>LIST_LOGIC</t>
  </si>
  <si>
    <t>#MA.FLG</t>
    <phoneticPr fontId="1"/>
  </si>
  <si>
    <t>end_dt</t>
    <phoneticPr fontId="1"/>
  </si>
  <si>
    <t>#MA.DT</t>
    <phoneticPr fontId="1"/>
  </si>
  <si>
    <t>DBC.MA.MAM_DPT_MAP</t>
    <phoneticPr fontId="20"/>
  </si>
  <si>
    <t>ope</t>
    <phoneticPr fontId="1"/>
  </si>
  <si>
    <t>C</t>
    <phoneticPr fontId="1"/>
  </si>
  <si>
    <t>st_dt_key</t>
    <phoneticPr fontId="1"/>
  </si>
  <si>
    <t>st_dt_key</t>
    <phoneticPr fontId="1"/>
  </si>
  <si>
    <t>st_dt_key</t>
    <phoneticPr fontId="1"/>
  </si>
  <si>
    <t>dpt_cd_key</t>
    <phoneticPr fontId="1"/>
  </si>
  <si>
    <t>st_dt_key</t>
    <phoneticPr fontId="1"/>
  </si>
  <si>
    <t>old_dpt_cd_key</t>
    <phoneticPr fontId="1"/>
  </si>
  <si>
    <t>dpt_cd_key</t>
    <phoneticPr fontId="20"/>
  </si>
  <si>
    <t>dpt_cd_key</t>
    <phoneticPr fontId="20"/>
  </si>
  <si>
    <t>old_dpt_cd_key</t>
    <phoneticPr fontId="1"/>
  </si>
  <si>
    <t>old_dpt_cd_key</t>
    <phoneticPr fontId="1"/>
  </si>
  <si>
    <t>new_flg</t>
    <phoneticPr fontId="1"/>
  </si>
  <si>
    <t>$super$</t>
    <phoneticPr fontId="20"/>
  </si>
  <si>
    <t>#MA.FCM_USR_ID</t>
  </si>
  <si>
    <t>#MA.FCM_USR_NM</t>
  </si>
  <si>
    <t>sd_dpt_flg</t>
    <phoneticPr fontId="1"/>
  </si>
  <si>
    <t>sd_dpt_flg</t>
    <phoneticPr fontId="1"/>
  </si>
  <si>
    <t>sd_dpt_flg</t>
    <phoneticPr fontId="20"/>
  </si>
  <si>
    <t>製造部門</t>
    <phoneticPr fontId="20"/>
  </si>
  <si>
    <t>購買部門</t>
    <phoneticPr fontId="1"/>
  </si>
  <si>
    <t>CHK_PTN</t>
  </si>
  <si>
    <t>cost_dpt_cd</t>
  </si>
  <si>
    <t>cost_dpt_nm</t>
  </si>
  <si>
    <t>ac_dpt_cd</t>
  </si>
  <si>
    <t>ac_dpt_nm</t>
  </si>
  <si>
    <t>#MA.COST_DPT_CD</t>
  </si>
  <si>
    <t>#MA.COST_DPT_NM</t>
  </si>
  <si>
    <t>#MA.AC_DPT_CD</t>
  </si>
  <si>
    <t>#MA.AC_DPT_NM</t>
  </si>
  <si>
    <t>LIST_IN</t>
    <phoneticPr fontId="20"/>
  </si>
  <si>
    <t>LIST_IN_BASE</t>
    <phoneticPr fontId="20"/>
  </si>
  <si>
    <t>sls_flg</t>
  </si>
  <si>
    <t>lg_flg</t>
  </si>
  <si>
    <t>mfg_flg</t>
  </si>
  <si>
    <t>purc_flg</t>
  </si>
  <si>
    <t>ar_flg</t>
  </si>
  <si>
    <t>ap_flg</t>
  </si>
  <si>
    <t>sd_flg</t>
  </si>
  <si>
    <t>LIST_OUT</t>
    <phoneticPr fontId="20"/>
  </si>
  <si>
    <t>LIST_OUT_BASE</t>
    <phoneticPr fontId="20"/>
  </si>
  <si>
    <t>DUPLICATE</t>
    <phoneticPr fontId="20"/>
  </si>
  <si>
    <t>K</t>
    <phoneticPr fontId="20"/>
  </si>
  <si>
    <t>ac_ym</t>
    <phoneticPr fontId="20"/>
  </si>
  <si>
    <t>#MA.YM</t>
    <phoneticPr fontId="20"/>
  </si>
  <si>
    <t>部門変更履歴マスタを登録する前のチェックを行う</t>
    <phoneticPr fontId="20"/>
  </si>
  <si>
    <t>登録前チェック(変更履歴)</t>
    <phoneticPr fontId="20"/>
  </si>
  <si>
    <t>部門変更履歴マスタを登録する</t>
    <phoneticPr fontId="20"/>
  </si>
  <si>
    <t>登録処理</t>
    <rPh sb="0" eb="4">
      <t>トウロクショリ</t>
    </rPh>
    <phoneticPr fontId="1"/>
  </si>
  <si>
    <t>部門マスタを登録する前のチェックを行う</t>
    <phoneticPr fontId="20"/>
  </si>
  <si>
    <t>登録前チェック</t>
    <rPh sb="0" eb="2">
      <t>トウロク</t>
    </rPh>
    <rPh sb="2" eb="3">
      <t>マエ</t>
    </rPh>
    <phoneticPr fontId="20"/>
  </si>
  <si>
    <t>部門マスタを登録する</t>
  </si>
  <si>
    <t>登録処理</t>
    <rPh sb="0" eb="2">
      <t>トウロク</t>
    </rPh>
    <rPh sb="2" eb="4">
      <t>ショリ</t>
    </rPh>
    <phoneticPr fontId="1"/>
  </si>
  <si>
    <t>部門変更対応マスタを登録する前のチェックを行う</t>
  </si>
  <si>
    <t>登録前チェック(変更対応)</t>
  </si>
  <si>
    <t>部門変更対応マスタを登録する</t>
  </si>
  <si>
    <t>登録処理(変更対応)</t>
  </si>
  <si>
    <t>登録処理を行う</t>
    <rPh sb="0" eb="2">
      <t>トウロク</t>
    </rPh>
    <rPh sb="2" eb="4">
      <t>ショリ</t>
    </rPh>
    <rPh sb="5" eb="6">
      <t>オコナ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</si>
  <si>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1"/>
  </si>
  <si>
    <t>削除処理を行う</t>
    <rPh sb="0" eb="2">
      <t>サクジョ</t>
    </rPh>
    <rPh sb="2" eb="4">
      <t>ショリ</t>
    </rPh>
    <rPh sb="5" eb="6">
      <t>オコナ</t>
    </rPh>
    <phoneticPr fontId="20"/>
  </si>
  <si>
    <t>MABC</t>
    <phoneticPr fontId="1"/>
  </si>
  <si>
    <t>ID</t>
    <phoneticPr fontId="1"/>
  </si>
  <si>
    <t>DBC:MA.MAM_DPT_HIS</t>
    <phoneticPr fontId="20"/>
  </si>
  <si>
    <t>適用開始日</t>
    <phoneticPr fontId="1"/>
  </si>
  <si>
    <t>E</t>
    <phoneticPr fontId="1"/>
  </si>
  <si>
    <t>E</t>
    <phoneticPr fontId="20"/>
  </si>
  <si>
    <t>E:BF</t>
    <phoneticPr fontId="20"/>
  </si>
  <si>
    <t>適用開始日_[変更前]</t>
    <phoneticPr fontId="1"/>
  </si>
  <si>
    <t>適用終了日</t>
    <phoneticPr fontId="1"/>
  </si>
  <si>
    <t>E:AF</t>
    <phoneticPr fontId="20"/>
  </si>
  <si>
    <t>組織変更備考</t>
    <phoneticPr fontId="1"/>
  </si>
  <si>
    <t>メモ１</t>
    <phoneticPr fontId="1"/>
  </si>
  <si>
    <t>メモ２</t>
    <phoneticPr fontId="1"/>
  </si>
  <si>
    <t>メモ３</t>
    <phoneticPr fontId="1"/>
  </si>
  <si>
    <t>更新カウンタ</t>
    <phoneticPr fontId="1"/>
  </si>
  <si>
    <t>super/share</t>
    <phoneticPr fontId="1"/>
  </si>
  <si>
    <t>$super$</t>
    <phoneticPr fontId="20"/>
  </si>
  <si>
    <t>MA.MABCL0280.DptHis_UpdChk01.DptHis_UpdChk01_Dtl</t>
    <phoneticPr fontId="1"/>
  </si>
  <si>
    <t>L</t>
    <phoneticPr fontId="20"/>
  </si>
  <si>
    <t>部門ＣＤ</t>
    <phoneticPr fontId="1"/>
  </si>
  <si>
    <t>部門ＣＤ_[変更前]</t>
    <phoneticPr fontId="20"/>
  </si>
  <si>
    <t>標準部門名</t>
    <phoneticPr fontId="1"/>
  </si>
  <si>
    <t>部門階層ＣＤ</t>
    <phoneticPr fontId="1"/>
  </si>
  <si>
    <t>上位部門ＣＤ</t>
    <phoneticPr fontId="1"/>
  </si>
  <si>
    <t>新部門ＣＤ</t>
    <phoneticPr fontId="1"/>
  </si>
  <si>
    <t>郵便番号</t>
    <phoneticPr fontId="1"/>
  </si>
  <si>
    <t>住所１</t>
    <phoneticPr fontId="1"/>
  </si>
  <si>
    <t>住所２</t>
    <phoneticPr fontId="1"/>
  </si>
  <si>
    <t>住所３</t>
    <phoneticPr fontId="1"/>
  </si>
  <si>
    <t>住所４</t>
    <phoneticPr fontId="1"/>
  </si>
  <si>
    <t>ＴＥＬ</t>
    <phoneticPr fontId="1"/>
  </si>
  <si>
    <t>ＦＡＸ</t>
    <phoneticPr fontId="1"/>
  </si>
  <si>
    <t>ワーキンググループＣＤ</t>
    <phoneticPr fontId="20"/>
  </si>
  <si>
    <t>入金口座ＣＤ</t>
    <phoneticPr fontId="1"/>
  </si>
  <si>
    <t>支払口座ＣＤ</t>
    <phoneticPr fontId="1"/>
  </si>
  <si>
    <t>資産管理部門</t>
    <phoneticPr fontId="20"/>
  </si>
  <si>
    <t>債権部門</t>
    <phoneticPr fontId="20"/>
  </si>
  <si>
    <t>債務部門</t>
    <phoneticPr fontId="20"/>
  </si>
  <si>
    <t>営業部門</t>
    <phoneticPr fontId="20"/>
  </si>
  <si>
    <t>購買部門</t>
    <phoneticPr fontId="20"/>
  </si>
  <si>
    <t>出荷部門</t>
    <phoneticPr fontId="20"/>
  </si>
  <si>
    <t>入荷部門</t>
    <phoneticPr fontId="20"/>
  </si>
  <si>
    <t>需給部門</t>
    <phoneticPr fontId="20"/>
  </si>
  <si>
    <t>検査部門</t>
    <phoneticPr fontId="20"/>
  </si>
  <si>
    <t>負担部門</t>
    <phoneticPr fontId="20"/>
  </si>
  <si>
    <t>原価部門ＣＤ</t>
    <phoneticPr fontId="1"/>
  </si>
  <si>
    <t>会計部門ＣＤ</t>
    <phoneticPr fontId="1"/>
  </si>
  <si>
    <t>論理削除</t>
    <phoneticPr fontId="1"/>
  </si>
  <si>
    <t>販売ＦＬＧ</t>
    <phoneticPr fontId="1"/>
  </si>
  <si>
    <t>物流ＦＬＧ</t>
    <phoneticPr fontId="1"/>
  </si>
  <si>
    <t>製造ＦＬＧ</t>
    <phoneticPr fontId="1"/>
  </si>
  <si>
    <t>購買ＦＬＧ</t>
    <phoneticPr fontId="1"/>
  </si>
  <si>
    <t>債権ＦＬＧ</t>
    <phoneticPr fontId="1"/>
  </si>
  <si>
    <t>債務ＦＬＧ</t>
    <phoneticPr fontId="1"/>
  </si>
  <si>
    <t>需給ＦＬＧ</t>
    <phoneticPr fontId="1"/>
  </si>
  <si>
    <t>計上月度</t>
    <phoneticPr fontId="20"/>
  </si>
  <si>
    <t>$super$</t>
    <phoneticPr fontId="20"/>
  </si>
  <si>
    <t>upd_cntr</t>
    <phoneticPr fontId="1"/>
  </si>
  <si>
    <t>#MA.UPD_CNT</t>
    <phoneticPr fontId="1"/>
  </si>
  <si>
    <t>MA.MABCL0280.Dpt_UpdChk01.Dpt_UpdChk01_Dtl</t>
    <phoneticPr fontId="1"/>
  </si>
  <si>
    <t>upd_cntr</t>
    <phoneticPr fontId="1"/>
  </si>
  <si>
    <t>#MA.UPD_CNT</t>
    <phoneticPr fontId="1"/>
  </si>
  <si>
    <t>DBC:MA.MAM_DPT_MAP</t>
    <phoneticPr fontId="20"/>
  </si>
  <si>
    <t>旧部門ＣＤ</t>
    <phoneticPr fontId="1"/>
  </si>
  <si>
    <t>旧部門ＣＤ_[変更前]</t>
    <phoneticPr fontId="1"/>
  </si>
  <si>
    <t>MA.MABCL0280.DptMap_UpdChk01.DptMap_UpdChk01_Dtl</t>
    <phoneticPr fontId="1"/>
  </si>
  <si>
    <t>論理削除を含む</t>
    <phoneticPr fontId="1"/>
  </si>
  <si>
    <t>操作種別</t>
    <phoneticPr fontId="1"/>
  </si>
  <si>
    <t>更新日時</t>
    <phoneticPr fontId="1"/>
  </si>
  <si>
    <t>部門名</t>
    <phoneticPr fontId="1"/>
  </si>
  <si>
    <t>部門階層名</t>
    <phoneticPr fontId="1"/>
  </si>
  <si>
    <t>上位部門名</t>
    <phoneticPr fontId="1"/>
  </si>
  <si>
    <t>ワーキンググループＣＤ</t>
    <phoneticPr fontId="1"/>
  </si>
  <si>
    <t>ワーキンググループ名</t>
    <phoneticPr fontId="1"/>
  </si>
  <si>
    <t>入金口座名</t>
    <phoneticPr fontId="1"/>
  </si>
  <si>
    <t>支払口座名</t>
    <phoneticPr fontId="1"/>
  </si>
  <si>
    <t>資産管理部門</t>
    <phoneticPr fontId="1"/>
  </si>
  <si>
    <t>債権部門</t>
    <phoneticPr fontId="1"/>
  </si>
  <si>
    <t>債務部門</t>
    <phoneticPr fontId="1"/>
  </si>
  <si>
    <t>営業部門</t>
    <phoneticPr fontId="1"/>
  </si>
  <si>
    <t>出荷部門</t>
    <phoneticPr fontId="1"/>
  </si>
  <si>
    <t>入荷部門</t>
    <phoneticPr fontId="1"/>
  </si>
  <si>
    <t>製造部門</t>
    <phoneticPr fontId="1"/>
  </si>
  <si>
    <t>需給部門</t>
    <phoneticPr fontId="1"/>
  </si>
  <si>
    <t>検査部門</t>
    <phoneticPr fontId="1"/>
  </si>
  <si>
    <t>負担部門</t>
    <phoneticPr fontId="1"/>
  </si>
  <si>
    <t>原価部門名</t>
    <phoneticPr fontId="1"/>
  </si>
  <si>
    <t>会計部門名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</si>
  <si>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</si>
  <si>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</si>
  <si>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</si>
  <si>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</si>
  <si>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</si>
  <si>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</si>
  <si>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</si>
  <si>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</si>
  <si>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</si>
  <si>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</si>
  <si>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</si>
  <si>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</si>
  <si>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</si>
  <si>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#MA.SYS_TS</t>
    <phoneticPr fontId="1"/>
  </si>
  <si>
    <t>ins_usr_id</t>
    <phoneticPr fontId="1"/>
  </si>
  <si>
    <t>upd_usr_id</t>
    <phoneticPr fontId="1"/>
  </si>
  <si>
    <t>MA.MABCL0280.DptHis_Upd01.DptHis_Upd01_Dtl</t>
    <phoneticPr fontId="20"/>
  </si>
  <si>
    <t>DptHis_UpdChk01_Dtl</t>
    <phoneticPr fontId="1"/>
  </si>
  <si>
    <t>DptHis_Upd01_Dtl</t>
    <phoneticPr fontId="1"/>
  </si>
  <si>
    <t>MA.MABCL0280.Dpt_Upd01.Dpt_Upd01_Dtl</t>
    <phoneticPr fontId="20"/>
  </si>
  <si>
    <t>Dpt_UpdChk01_Dtl</t>
    <phoneticPr fontId="1"/>
  </si>
  <si>
    <t>Dpt_Upd01_Dtl</t>
    <phoneticPr fontId="1"/>
  </si>
  <si>
    <t>部門ＣＤ_[変更前]</t>
    <phoneticPr fontId="1"/>
  </si>
  <si>
    <t>新組織ＦＬＧ</t>
    <phoneticPr fontId="1"/>
  </si>
  <si>
    <t>MA.MABCL0280.DptMap_Upd01.DptMap_Upd01_Dtl</t>
    <phoneticPr fontId="20"/>
  </si>
  <si>
    <t>DptMap_UpdChk01_Dtl</t>
    <phoneticPr fontId="1"/>
  </si>
  <si>
    <t>DptMap_Upd01_Dtl</t>
    <phoneticPr fontId="1"/>
  </si>
  <si>
    <t>000000</t>
    <phoneticPr fontId="1"/>
  </si>
  <si>
    <t>#MA.CAL_CD</t>
  </si>
  <si>
    <t>MA.MAUAL0010.CalBase</t>
    <phoneticPr fontId="1"/>
  </si>
  <si>
    <t>cal_cd</t>
    <phoneticPr fontId="1"/>
  </si>
  <si>
    <t>カレンダＣＤ</t>
    <phoneticPr fontId="1"/>
  </si>
  <si>
    <t>cal_cd</t>
    <phoneticPr fontId="1"/>
  </si>
  <si>
    <t>#MA.CAL_NM</t>
  </si>
  <si>
    <t>カレンダ名</t>
    <phoneticPr fontId="1"/>
  </si>
  <si>
    <t>cal_nm</t>
    <phoneticPr fontId="1"/>
  </si>
  <si>
    <t>pay_bank_ac_cd</t>
    <phoneticPr fontId="1"/>
  </si>
  <si>
    <t>Dpt_Upd01_Dtl</t>
    <phoneticPr fontId="1"/>
  </si>
  <si>
    <t>Dpt_DelChk01</t>
    <phoneticPr fontId="20"/>
  </si>
  <si>
    <t>Dpt_DelChk01_Dtl</t>
    <phoneticPr fontId="20"/>
  </si>
  <si>
    <t>部門マスタ、組織変更履歴マスタ、部門変更対応マスタ、部門マスタ（ロケール別情報）を削除する前のチェックを行う</t>
    <phoneticPr fontId="20"/>
  </si>
  <si>
    <t>部門マスタ、組織変更履歴マスタ、部門変更対応マスタ、部門マスタ（ロケール別情報）を削除する</t>
    <phoneticPr fontId="20"/>
  </si>
  <si>
    <t>Dpt_Del01</t>
    <phoneticPr fontId="20"/>
  </si>
  <si>
    <t>Dpt_Del01_Dtl</t>
    <phoneticPr fontId="20"/>
  </si>
  <si>
    <t>OPE.MA.MABCL0280.Dpt_DelChk01</t>
    <phoneticPr fontId="1"/>
  </si>
  <si>
    <t>MA.MABCL0280.Dpt_Del01.Dpt_Del01_Dtl</t>
    <phoneticPr fontId="20"/>
  </si>
  <si>
    <t>OPE.MA.MABCL0280.Dpt_Del01</t>
    <phoneticPr fontId="1"/>
  </si>
  <si>
    <t>MA.MABCL0280.Dpt_DelChk01.Dpt_DelChk01_Dtl</t>
    <phoneticPr fontId="1"/>
  </si>
  <si>
    <t>削除処理</t>
    <rPh sb="0" eb="2">
      <t>サクジョ</t>
    </rPh>
    <rPh sb="2" eb="4">
      <t>ショリ</t>
    </rPh>
    <phoneticPr fontId="1"/>
  </si>
  <si>
    <t>削除前チェック</t>
    <phoneticPr fontId="20"/>
  </si>
  <si>
    <t>MA.MAUDL5010</t>
    <phoneticPr fontId="1"/>
  </si>
  <si>
    <t>"mcframe.serverMAUD.MAUDL6010.MAUDL_RLUpdater"</t>
    <phoneticPr fontId="1"/>
  </si>
  <si>
    <t>"mcframe.serverMAUD.MAUDL6010.MAUDL_RLDeleter"</t>
    <phoneticPr fontId="1"/>
  </si>
  <si>
    <t>"mcframe.serverMAUD.MAUDL6010.MAUDL_RLSearcher"</t>
    <phoneticPr fontId="1"/>
  </si>
  <si>
    <t>DBC.MA.MAM_DPT</t>
    <phoneticPr fontId="1"/>
  </si>
  <si>
    <t>DBC:MA.MAM_DPT</t>
    <phoneticPr fontId="20"/>
  </si>
  <si>
    <t>DBC.MA.MAM_DPT</t>
    <phoneticPr fontId="1"/>
  </si>
  <si>
    <t>DBC.MA.MAM_DPT</t>
    <phoneticPr fontId="20"/>
  </si>
  <si>
    <t>dpt_nm_lcl</t>
    <phoneticPr fontId="1"/>
  </si>
  <si>
    <t>zip_cd</t>
    <phoneticPr fontId="1"/>
  </si>
  <si>
    <t>tel</t>
    <phoneticPr fontId="1"/>
  </si>
  <si>
    <t>base_end_dt</t>
    <phoneticPr fontId="1"/>
  </si>
  <si>
    <t>base_dpt_nm</t>
    <phoneticPr fontId="1"/>
  </si>
  <si>
    <t>base_zip_cd</t>
    <phoneticPr fontId="1"/>
  </si>
  <si>
    <t>base_addr1</t>
    <phoneticPr fontId="1"/>
  </si>
  <si>
    <t>base_addr2</t>
    <phoneticPr fontId="1"/>
  </si>
  <si>
    <t>base_addr3</t>
    <phoneticPr fontId="1"/>
  </si>
  <si>
    <t>base_addr4</t>
    <phoneticPr fontId="1"/>
  </si>
  <si>
    <t>base_tel</t>
    <phoneticPr fontId="1"/>
  </si>
  <si>
    <t>base_fax</t>
    <phoneticPr fontId="1"/>
  </si>
  <si>
    <t>dpt_nm</t>
    <phoneticPr fontId="1"/>
  </si>
  <si>
    <t>ID</t>
    <phoneticPr fontId="1"/>
  </si>
  <si>
    <t>key</t>
    <phoneticPr fontId="1"/>
  </si>
  <si>
    <t>E:BF</t>
    <phoneticPr fontId="1"/>
  </si>
  <si>
    <t>E:AF</t>
    <phoneticPr fontId="1"/>
  </si>
  <si>
    <t>MA.MAUAL0010.DptLvl</t>
    <phoneticPr fontId="1"/>
  </si>
  <si>
    <t>MA.MAUAL0010.DptBase</t>
    <phoneticPr fontId="1"/>
  </si>
  <si>
    <t>ZIP</t>
    <phoneticPr fontId="1"/>
  </si>
  <si>
    <t>TEL</t>
    <phoneticPr fontId="1"/>
  </si>
  <si>
    <t>MA.MAUAL0010.Wg</t>
    <phoneticPr fontId="1"/>
  </si>
  <si>
    <t>sls_flg;lg_flg;mfg_flg;purc_flg;ar_flg;ap_flg;sd_flg</t>
    <phoneticPr fontId="1"/>
  </si>
  <si>
    <t>MA.MAUAL0010.BankAc</t>
    <phoneticPr fontId="1"/>
  </si>
  <si>
    <t>MA.MAUAL0010.CostDpt</t>
    <phoneticPr fontId="1"/>
  </si>
  <si>
    <t>ac_ym</t>
    <phoneticPr fontId="1"/>
  </si>
  <si>
    <t>ym</t>
    <phoneticPr fontId="1"/>
  </si>
  <si>
    <t>MA.MAUAL0010.AcDpt</t>
    <phoneticPr fontId="1"/>
  </si>
  <si>
    <t>dt</t>
    <phoneticPr fontId="1"/>
  </si>
  <si>
    <t>E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</si>
  <si>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</si>
  <si>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</si>
  <si>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</si>
  <si>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</si>
  <si>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</si>
  <si>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</si>
  <si>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</si>
  <si>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</si>
  <si>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</si>
  <si>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</si>
  <si>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</si>
  <si>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</si>
  <si>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</si>
  <si>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</si>
  <si>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Application start date</t>
  </si>
  <si>
    <t>Application start date_[Before change]</t>
  </si>
  <si>
    <t>Application end date</t>
  </si>
  <si>
    <t>Organizational changes remarks</t>
  </si>
  <si>
    <t>Memo 1</t>
  </si>
  <si>
    <t>Memo 2</t>
  </si>
  <si>
    <t>Memo 3</t>
  </si>
  <si>
    <t>Update counter</t>
  </si>
  <si>
    <t>Dept. cd.</t>
  </si>
  <si>
    <t>Dept. cd_[Before change]</t>
  </si>
  <si>
    <t>Standard dept. name</t>
  </si>
  <si>
    <t>Dept. hierarchy cd.</t>
  </si>
  <si>
    <t>Upper dept. cd.</t>
  </si>
  <si>
    <t>New dept. cd.</t>
  </si>
  <si>
    <t>Zip code</t>
  </si>
  <si>
    <t>Address 1</t>
  </si>
  <si>
    <t>Address 2</t>
  </si>
  <si>
    <t>Address 3</t>
  </si>
  <si>
    <t>Address 4</t>
  </si>
  <si>
    <t>TEL</t>
  </si>
  <si>
    <t>FAX</t>
  </si>
  <si>
    <t>WG cd.</t>
  </si>
  <si>
    <t>Payment received bank account cd.</t>
  </si>
  <si>
    <t>Payment account cd.</t>
  </si>
  <si>
    <t>Calendar cd.</t>
  </si>
  <si>
    <t>Asset management dept.</t>
  </si>
  <si>
    <t>AR dept.</t>
  </si>
  <si>
    <t>AP dept.</t>
  </si>
  <si>
    <t>Sales dept.</t>
  </si>
  <si>
    <t>Purchasing dept.</t>
  </si>
  <si>
    <t>Shipping dept.</t>
  </si>
  <si>
    <t>Receipt dept.</t>
  </si>
  <si>
    <t>Mfg. dept.</t>
  </si>
  <si>
    <t>Demand and supply dept.</t>
  </si>
  <si>
    <t>Inspection dept.</t>
  </si>
  <si>
    <t>Charged dept.</t>
  </si>
  <si>
    <t>Cost dept. cd.</t>
  </si>
  <si>
    <t>Accounting dept. cd.</t>
  </si>
  <si>
    <t>Logical delete</t>
  </si>
  <si>
    <t>Sales flg.</t>
  </si>
  <si>
    <t>Distribution flg.</t>
  </si>
  <si>
    <t>Mfg. flg.</t>
  </si>
  <si>
    <t>Purchasing flg.</t>
  </si>
  <si>
    <t>AR flg.</t>
  </si>
  <si>
    <t>AP flg.</t>
  </si>
  <si>
    <t>Demand and supply flg.</t>
  </si>
  <si>
    <t>Recording month</t>
  </si>
  <si>
    <t>Old dept. cd.</t>
  </si>
  <si>
    <t>Old dept. cd._[Before change]</t>
  </si>
  <si>
    <t>Including logical delete</t>
  </si>
  <si>
    <t>Operation type</t>
  </si>
  <si>
    <t>Update date and time</t>
  </si>
  <si>
    <t>Dept. name</t>
  </si>
  <si>
    <t>Dept. hierarchy name</t>
  </si>
  <si>
    <t>Upper dept. name</t>
  </si>
  <si>
    <t>WG name</t>
  </si>
  <si>
    <t>Payment received account name</t>
  </si>
  <si>
    <t>Payment account name</t>
  </si>
  <si>
    <t>Calendar name</t>
  </si>
  <si>
    <t>Cost dept. name</t>
  </si>
  <si>
    <t>Accounting dept.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</si>
  <si>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</si>
  <si>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</si>
  <si>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</si>
  <si>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</si>
  <si>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</si>
  <si>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</si>
  <si>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</si>
  <si>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</si>
  <si>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</si>
  <si>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</si>
  <si>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</si>
  <si>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</si>
  <si>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</si>
  <si>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New organization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</si>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</sst>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/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0" borderId="22" xfId="0" applyFont="1" applyBorder="1" applyAlignment="1" applyProtection="1">
      <alignment vertical="top"/>
      <protection locked="0"/>
    </xf>
    <xf numFmtId="0" fontId="22" fillId="0" borderId="17" xfId="0" applyFont="1" applyBorder="1" applyAlignment="1"/>
    <xf numFmtId="0" fontId="22" fillId="0" borderId="23" xfId="0" applyFont="1" applyBorder="1" applyAlignment="1"/>
    <xf numFmtId="0" fontId="22" fillId="0" borderId="13" xfId="0" applyFont="1" applyBorder="1" applyAlignment="1"/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2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7" xfId="0" applyFont="1" applyBorder="1" applyAlignment="1">
      <alignment horizontal="left" vertical="center" wrapText="1"/>
    </xf>
    <xf numFmtId="0" fontId="24" fillId="0" borderId="26" xfId="0" applyFont="1" applyBorder="1" applyAlignment="1">
      <alignment vertical="center" wrapText="1"/>
    </xf>
    <xf numFmtId="0" fontId="24" fillId="0" borderId="27" xfId="0" applyFont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24" fillId="0" borderId="28" xfId="0" applyFont="1" applyBorder="1" applyAlignment="1">
      <alignment vertical="center" wrapText="1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177" fontId="24" fillId="0" borderId="31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177" fontId="24" fillId="0" borderId="27" xfId="0" applyNumberFormat="1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4" xfId="0" applyNumberFormat="1" applyFont="1" applyBorder="1" applyAlignment="1">
      <alignment horizontal="center" vertical="center"/>
    </xf>
    <xf numFmtId="177" fontId="24" fillId="0" borderId="35" xfId="0" applyNumberFormat="1" applyFont="1" applyBorder="1" applyAlignment="1">
      <alignment horizontal="center" vertical="center"/>
    </xf>
    <xf numFmtId="0" fontId="23" fillId="25" borderId="38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5" fillId="25" borderId="40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4" fillId="0" borderId="33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46</v>
      </c>
      <c r="D2" s="7" t="s">
        <v>9</v>
      </c>
      <c r="E2" s="9" t="s">
        <v>136</v>
      </c>
      <c r="F2" s="7" t="s">
        <v>44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271</v>
      </c>
      <c r="D3" s="7" t="s">
        <v>10</v>
      </c>
      <c r="E3" s="9" t="s">
        <v>137</v>
      </c>
      <c r="F3" s="7" t="s">
        <v>45</v>
      </c>
      <c r="G3" s="9"/>
      <c r="H3" s="7"/>
      <c r="I3" s="9"/>
    </row>
    <row r="4" spans="1:12" x14ac:dyDescent="0.2">
      <c r="A4" s="3"/>
      <c r="B4" s="7"/>
      <c r="C4" s="66"/>
      <c r="D4" s="7" t="s">
        <v>11</v>
      </c>
      <c r="E4" s="13" t="s">
        <v>138</v>
      </c>
      <c r="F4" s="7" t="s">
        <v>5</v>
      </c>
      <c r="G4" s="9" t="s">
        <v>409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R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70" t="s">
        <v>165</v>
      </c>
      <c r="B1" s="70" t="s">
        <v>165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1" t="s">
        <v>165</v>
      </c>
      <c r="B2" s="72"/>
      <c r="C2" s="72"/>
      <c r="D2" s="82" t="s">
        <v>447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MABCL0280</v>
      </c>
      <c r="I2" s="7" t="s">
        <v>190</v>
      </c>
      <c r="J2" s="9" t="s">
        <v>179</v>
      </c>
      <c r="K2" s="7" t="s">
        <v>30</v>
      </c>
      <c r="L2" s="73" t="str">
        <f>IF(LogicCommon!G2="","",LogicCommon!G2)</f>
        <v>MC</v>
      </c>
      <c r="M2" s="5" t="s">
        <v>166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74" t="s">
        <v>165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MABCL_DptReg</v>
      </c>
      <c r="I3" s="7" t="s">
        <v>31</v>
      </c>
      <c r="J3" s="9" t="s">
        <v>167</v>
      </c>
      <c r="K3" s="7" t="s">
        <v>45</v>
      </c>
      <c r="L3" s="73" t="str">
        <f>IF(LogicCommon!G3="","",LogicCommon!G3)</f>
        <v/>
      </c>
      <c r="M3" s="77" t="s">
        <v>168</v>
      </c>
      <c r="N3" s="7"/>
      <c r="O3" s="7" t="s">
        <v>169</v>
      </c>
      <c r="P3" s="9" t="s">
        <v>197</v>
      </c>
      <c r="Q3" s="4"/>
      <c r="R3" s="4"/>
    </row>
    <row r="4" spans="1:18" s="11" customFormat="1" x14ac:dyDescent="0.2">
      <c r="A4" s="74" t="s">
        <v>165</v>
      </c>
      <c r="B4" s="75"/>
      <c r="C4" s="75"/>
      <c r="D4" s="4"/>
      <c r="E4" s="7" t="s">
        <v>8</v>
      </c>
      <c r="F4" s="10" t="s">
        <v>386</v>
      </c>
      <c r="G4" s="7" t="s">
        <v>11</v>
      </c>
      <c r="H4" s="73" t="str">
        <f>IF(LogicCommon!E4="","",LogicCommon!E4)</f>
        <v>部門マスタ登録</v>
      </c>
      <c r="I4" s="7" t="s">
        <v>170</v>
      </c>
      <c r="J4" s="9" t="s">
        <v>257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4"/>
    </row>
    <row r="5" spans="1:18" s="11" customFormat="1" x14ac:dyDescent="0.2">
      <c r="A5" s="79" t="s">
        <v>165</v>
      </c>
      <c r="B5" s="70"/>
      <c r="C5" s="70"/>
      <c r="D5" s="26"/>
      <c r="E5" s="7" t="s">
        <v>22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</row>
    <row r="6" spans="1:18" s="11" customFormat="1" x14ac:dyDescent="0.2">
      <c r="A6" s="74" t="s">
        <v>165</v>
      </c>
      <c r="B6" s="75"/>
      <c r="C6" s="75"/>
      <c r="D6" s="4" t="s">
        <v>6</v>
      </c>
      <c r="E6" s="16" t="s">
        <v>256</v>
      </c>
      <c r="F6" s="16"/>
      <c r="G6" s="16"/>
      <c r="H6" s="16"/>
      <c r="I6" s="16"/>
      <c r="J6" s="16"/>
      <c r="K6" s="16"/>
      <c r="L6" s="81"/>
      <c r="M6" s="19"/>
      <c r="N6" s="19" t="s">
        <v>272</v>
      </c>
      <c r="O6" s="19"/>
      <c r="P6" s="19"/>
      <c r="Q6" s="19"/>
      <c r="R6" s="27"/>
    </row>
    <row r="7" spans="1:18" s="11" customFormat="1" x14ac:dyDescent="0.2">
      <c r="A7" s="30" t="s">
        <v>171</v>
      </c>
      <c r="B7" s="30"/>
      <c r="C7" s="30"/>
      <c r="D7" s="31"/>
      <c r="E7" s="31"/>
      <c r="F7" s="31"/>
      <c r="G7" s="31"/>
      <c r="H7" s="31"/>
      <c r="I7" s="31" t="s">
        <v>172</v>
      </c>
      <c r="J7" s="31"/>
      <c r="K7" s="32" t="s">
        <v>174</v>
      </c>
      <c r="L7" s="32" t="s">
        <v>204</v>
      </c>
      <c r="M7" s="33" t="s">
        <v>68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5"/>
      <c r="C8" s="86"/>
      <c r="D8" s="83" t="s">
        <v>448</v>
      </c>
      <c r="E8" s="83" t="s">
        <v>449</v>
      </c>
      <c r="F8" s="81"/>
      <c r="G8" s="83" t="s">
        <v>286</v>
      </c>
      <c r="H8" s="83" t="s">
        <v>450</v>
      </c>
      <c r="I8" s="81"/>
      <c r="J8" s="3"/>
      <c r="K8" s="9" t="s">
        <v>177</v>
      </c>
      <c r="L8" s="9" t="s">
        <v>205</v>
      </c>
      <c r="M8" s="33" t="s">
        <v>69</v>
      </c>
      <c r="N8" s="9"/>
      <c r="O8" s="87"/>
      <c r="P8" s="88"/>
      <c r="Q8" s="89" t="s">
        <v>451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3" t="s">
        <v>452</v>
      </c>
      <c r="E9" s="90" t="s">
        <v>453</v>
      </c>
      <c r="F9" s="83" t="s">
        <v>454</v>
      </c>
      <c r="G9" s="83" t="s">
        <v>455</v>
      </c>
      <c r="H9" s="83" t="s">
        <v>456</v>
      </c>
      <c r="I9" s="91" t="s">
        <v>457</v>
      </c>
      <c r="J9" s="83" t="s">
        <v>458</v>
      </c>
      <c r="K9" s="33"/>
      <c r="L9" s="33"/>
      <c r="M9" s="33"/>
      <c r="N9" s="33"/>
      <c r="O9" s="89" t="s">
        <v>459</v>
      </c>
      <c r="P9" s="51"/>
      <c r="Q9" s="89" t="s">
        <v>460</v>
      </c>
      <c r="R9" s="51"/>
    </row>
    <row r="10" spans="1:18" s="11" customFormat="1" ht="52" x14ac:dyDescent="0.2">
      <c r="A10" s="39" t="s">
        <v>175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84" t="s">
        <v>457</v>
      </c>
      <c r="N10" s="84" t="s">
        <v>458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180</v>
      </c>
      <c r="E11" s="34" t="s">
        <v>178</v>
      </c>
      <c r="F11" s="44"/>
      <c r="G11" s="28" t="s">
        <v>287</v>
      </c>
      <c r="H11" s="45" t="s">
        <v>273</v>
      </c>
      <c r="I11" s="46"/>
      <c r="J11" s="47"/>
      <c r="K11" s="48"/>
      <c r="L11" s="48"/>
      <c r="M11" s="48"/>
      <c r="N11" s="48"/>
      <c r="O11" s="35"/>
      <c r="P11" s="36"/>
      <c r="Q11" s="67"/>
      <c r="R11" s="69"/>
    </row>
    <row r="12" spans="1:18" s="11" customFormat="1" x14ac:dyDescent="0.2">
      <c r="A12" s="9">
        <v>10</v>
      </c>
      <c r="B12" s="9"/>
      <c r="C12" s="9"/>
      <c r="D12" s="9" t="s">
        <v>131</v>
      </c>
      <c r="E12" s="49" t="s">
        <v>133</v>
      </c>
      <c r="F12" s="49"/>
      <c r="G12" s="50" t="s">
        <v>461</v>
      </c>
      <c r="H12" s="50" t="s">
        <v>274</v>
      </c>
      <c r="I12" s="9" t="s">
        <v>275</v>
      </c>
      <c r="J12" s="9"/>
      <c r="K12" s="9" t="s">
        <v>276</v>
      </c>
      <c r="L12" s="9" t="s">
        <v>277</v>
      </c>
      <c r="M12" s="9"/>
      <c r="N12" s="9"/>
      <c r="O12" s="41"/>
      <c r="P12" s="51"/>
      <c r="Q12" s="142"/>
      <c r="R12" s="143"/>
    </row>
    <row r="13" spans="1:18" s="11" customFormat="1" ht="26" x14ac:dyDescent="0.2">
      <c r="A13" s="9">
        <v>10</v>
      </c>
      <c r="B13" s="9"/>
      <c r="C13" s="9"/>
      <c r="D13" s="9" t="s">
        <v>214</v>
      </c>
      <c r="E13" s="49" t="s">
        <v>133</v>
      </c>
      <c r="F13" s="49"/>
      <c r="G13" s="50" t="s">
        <v>462</v>
      </c>
      <c r="H13" s="50" t="s">
        <v>278</v>
      </c>
      <c r="I13" s="9" t="s">
        <v>275</v>
      </c>
      <c r="J13" s="9"/>
      <c r="K13" s="9"/>
      <c r="L13" s="9"/>
      <c r="M13" s="9"/>
      <c r="N13" s="9"/>
      <c r="O13" s="41"/>
      <c r="P13" s="51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153</v>
      </c>
      <c r="E14" s="49" t="s">
        <v>133</v>
      </c>
      <c r="F14" s="49"/>
      <c r="G14" s="50" t="s">
        <v>463</v>
      </c>
      <c r="H14" s="50" t="s">
        <v>279</v>
      </c>
      <c r="I14" s="9" t="s">
        <v>275</v>
      </c>
      <c r="J14" s="9"/>
      <c r="K14" s="9" t="s">
        <v>276</v>
      </c>
      <c r="L14" s="9" t="s">
        <v>280</v>
      </c>
      <c r="M14" s="9"/>
      <c r="N14" s="9"/>
      <c r="O14" s="41"/>
      <c r="P14" s="51"/>
      <c r="Q14" s="142"/>
      <c r="R14" s="143"/>
    </row>
    <row r="15" spans="1:18" s="11" customFormat="1" x14ac:dyDescent="0.2">
      <c r="A15" s="9">
        <v>10</v>
      </c>
      <c r="B15" s="9"/>
      <c r="C15" s="9"/>
      <c r="D15" s="9" t="s">
        <v>132</v>
      </c>
      <c r="E15" s="49" t="s">
        <v>134</v>
      </c>
      <c r="F15" s="49"/>
      <c r="G15" s="50" t="s">
        <v>464</v>
      </c>
      <c r="H15" s="50" t="s">
        <v>281</v>
      </c>
      <c r="I15" s="9" t="s">
        <v>275</v>
      </c>
      <c r="J15" s="9"/>
      <c r="K15" s="9" t="s">
        <v>276</v>
      </c>
      <c r="L15" s="9"/>
      <c r="M15" s="9"/>
      <c r="N15" s="9"/>
      <c r="O15" s="41"/>
      <c r="P15" s="51"/>
      <c r="Q15" s="142"/>
      <c r="R15" s="143"/>
    </row>
    <row r="16" spans="1:18" s="11" customFormat="1" x14ac:dyDescent="0.2">
      <c r="A16" s="9">
        <v>10</v>
      </c>
      <c r="B16" s="9"/>
      <c r="C16" s="9"/>
      <c r="D16" s="9" t="s">
        <v>47</v>
      </c>
      <c r="E16" s="49" t="s">
        <v>48</v>
      </c>
      <c r="F16" s="49"/>
      <c r="G16" s="50" t="s">
        <v>465</v>
      </c>
      <c r="H16" s="50" t="s">
        <v>282</v>
      </c>
      <c r="I16" s="9" t="s">
        <v>275</v>
      </c>
      <c r="J16" s="9"/>
      <c r="K16" s="9"/>
      <c r="L16" s="9"/>
      <c r="M16" s="9"/>
      <c r="N16" s="9"/>
      <c r="O16" s="41"/>
      <c r="P16" s="51"/>
      <c r="Q16" s="142"/>
      <c r="R16" s="143"/>
    </row>
    <row r="17" spans="1:18" s="11" customFormat="1" x14ac:dyDescent="0.2">
      <c r="A17" s="9">
        <v>10</v>
      </c>
      <c r="B17" s="9"/>
      <c r="C17" s="9"/>
      <c r="D17" s="9" t="s">
        <v>51</v>
      </c>
      <c r="E17" s="49" t="s">
        <v>52</v>
      </c>
      <c r="F17" s="49"/>
      <c r="G17" s="50" t="s">
        <v>466</v>
      </c>
      <c r="H17" s="50" t="s">
        <v>283</v>
      </c>
      <c r="I17" s="9" t="s">
        <v>275</v>
      </c>
      <c r="J17" s="9"/>
      <c r="K17" s="9"/>
      <c r="L17" s="9"/>
      <c r="M17" s="9"/>
      <c r="N17" s="9"/>
      <c r="O17" s="41"/>
      <c r="P17" s="51"/>
      <c r="Q17" s="142"/>
      <c r="R17" s="143"/>
    </row>
    <row r="18" spans="1:18" s="11" customFormat="1" x14ac:dyDescent="0.2">
      <c r="A18" s="9">
        <v>10</v>
      </c>
      <c r="B18" s="9"/>
      <c r="C18" s="9"/>
      <c r="D18" s="9" t="s">
        <v>49</v>
      </c>
      <c r="E18" s="49" t="s">
        <v>50</v>
      </c>
      <c r="F18" s="49"/>
      <c r="G18" s="50" t="s">
        <v>467</v>
      </c>
      <c r="H18" s="50" t="s">
        <v>284</v>
      </c>
      <c r="I18" s="9" t="s">
        <v>275</v>
      </c>
      <c r="J18" s="9"/>
      <c r="K18" s="9"/>
      <c r="L18" s="9"/>
      <c r="M18" s="9"/>
      <c r="N18" s="9"/>
      <c r="O18" s="41"/>
      <c r="P18" s="51"/>
      <c r="Q18" s="142"/>
      <c r="R18" s="143"/>
    </row>
    <row r="19" spans="1:18" s="11" customFormat="1" x14ac:dyDescent="0.2">
      <c r="A19" s="9">
        <v>10</v>
      </c>
      <c r="B19" s="9"/>
      <c r="C19" s="9"/>
      <c r="D19" s="9" t="s">
        <v>74</v>
      </c>
      <c r="E19" s="49" t="s">
        <v>135</v>
      </c>
      <c r="F19" s="49"/>
      <c r="G19" s="50" t="s">
        <v>468</v>
      </c>
      <c r="H19" s="50" t="s">
        <v>285</v>
      </c>
      <c r="I19" s="9" t="s">
        <v>275</v>
      </c>
      <c r="J19" s="9"/>
      <c r="K19" s="9"/>
      <c r="L19" s="9"/>
      <c r="M19" s="9"/>
      <c r="N19" s="9"/>
      <c r="O19" s="41"/>
      <c r="P19" s="51"/>
      <c r="Q19" s="142"/>
      <c r="R19" s="143"/>
    </row>
    <row r="20" spans="1:18" s="11" customFormat="1" x14ac:dyDescent="0.2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"/>
      <c r="P20" s="4"/>
      <c r="Q20" s="6"/>
      <c r="R20" s="23"/>
    </row>
    <row r="21" spans="1:18" s="11" customFormat="1" x14ac:dyDescent="0.2">
      <c r="A21" s="74"/>
      <c r="R21" s="54"/>
    </row>
    <row r="22" spans="1:18" s="11" customFormat="1" x14ac:dyDescent="0.2">
      <c r="A22" s="74"/>
      <c r="R22" s="54"/>
    </row>
    <row r="23" spans="1:18" s="11" customFormat="1" x14ac:dyDescent="0.2">
      <c r="A23" s="74"/>
      <c r="R23" s="54"/>
    </row>
    <row r="24" spans="1:18" s="11" customFormat="1" x14ac:dyDescent="0.2">
      <c r="A24" s="74"/>
      <c r="R24" s="54"/>
    </row>
    <row r="25" spans="1:18" s="11" customFormat="1" x14ac:dyDescent="0.2">
      <c r="A25" s="74"/>
      <c r="R25" s="54"/>
    </row>
    <row r="26" spans="1:18" s="11" customFormat="1" x14ac:dyDescent="0.2">
      <c r="A26" s="74"/>
      <c r="R26" s="54"/>
    </row>
    <row r="27" spans="1:18" s="11" customFormat="1" x14ac:dyDescent="0.2">
      <c r="A27" s="7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8">
    <mergeCell ref="Q18:R18"/>
    <mergeCell ref="Q19:R19"/>
    <mergeCell ref="Q12:R12"/>
    <mergeCell ref="Q14:R14"/>
    <mergeCell ref="Q15:R15"/>
    <mergeCell ref="Q16:R16"/>
    <mergeCell ref="Q17:R17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0" t="s">
        <v>165</v>
      </c>
      <c r="B1" s="70" t="s">
        <v>165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1" t="s">
        <v>165</v>
      </c>
      <c r="B2" s="72"/>
      <c r="C2" s="72"/>
      <c r="D2" s="82" t="s">
        <v>447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MABCL0280</v>
      </c>
      <c r="I2" s="7" t="s">
        <v>190</v>
      </c>
      <c r="J2" s="9" t="s">
        <v>186</v>
      </c>
      <c r="K2" s="7" t="s">
        <v>30</v>
      </c>
      <c r="L2" s="73" t="str">
        <f>IF(LogicCommon!G2="","",LogicCommon!G2)</f>
        <v>MC</v>
      </c>
      <c r="M2" s="5" t="s">
        <v>166</v>
      </c>
      <c r="N2" s="28" t="s">
        <v>410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4" t="s">
        <v>165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MABCL_DptReg</v>
      </c>
      <c r="I3" s="7" t="s">
        <v>31</v>
      </c>
      <c r="J3" s="9" t="s">
        <v>181</v>
      </c>
      <c r="K3" s="7" t="s">
        <v>45</v>
      </c>
      <c r="L3" s="73" t="str">
        <f>IF(LogicCommon!G3="","",LogicCommon!G3)</f>
        <v/>
      </c>
      <c r="M3" s="77" t="s">
        <v>33</v>
      </c>
      <c r="N3" s="7"/>
      <c r="O3" s="7" t="s">
        <v>169</v>
      </c>
      <c r="P3" s="9" t="s">
        <v>197</v>
      </c>
      <c r="Q3" s="4"/>
      <c r="R3" s="27"/>
      <c r="S3" s="4"/>
      <c r="T3" s="27"/>
      <c r="U3" s="27"/>
      <c r="V3" s="27"/>
    </row>
    <row r="4" spans="1:22" s="11" customFormat="1" x14ac:dyDescent="0.2">
      <c r="A4" s="74" t="s">
        <v>165</v>
      </c>
      <c r="B4" s="75"/>
      <c r="C4" s="75"/>
      <c r="D4" s="4"/>
      <c r="E4" s="7" t="s">
        <v>8</v>
      </c>
      <c r="F4" s="10" t="s">
        <v>386</v>
      </c>
      <c r="G4" s="7" t="s">
        <v>11</v>
      </c>
      <c r="H4" s="73" t="str">
        <f>IF(LogicCommon!E4="","",LogicCommon!E4)</f>
        <v>部門マスタ登録</v>
      </c>
      <c r="I4" s="7" t="s">
        <v>170</v>
      </c>
      <c r="J4" s="9" t="s">
        <v>259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9" t="s">
        <v>165</v>
      </c>
      <c r="B5" s="70"/>
      <c r="C5" s="70"/>
      <c r="D5" s="26"/>
      <c r="E5" s="7" t="s">
        <v>22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4" t="s">
        <v>165</v>
      </c>
      <c r="B6" s="75"/>
      <c r="C6" s="75"/>
      <c r="D6" s="4" t="s">
        <v>6</v>
      </c>
      <c r="E6" s="16" t="s">
        <v>258</v>
      </c>
      <c r="F6" s="16"/>
      <c r="G6" s="16"/>
      <c r="H6" s="16"/>
      <c r="I6" s="16"/>
      <c r="J6" s="16"/>
      <c r="K6" s="16"/>
      <c r="L6" s="81" t="s">
        <v>272</v>
      </c>
      <c r="M6" s="19"/>
      <c r="N6" s="19" t="s">
        <v>272</v>
      </c>
      <c r="O6" s="19"/>
      <c r="P6" s="19" t="s">
        <v>272</v>
      </c>
      <c r="Q6" s="19"/>
      <c r="R6" s="3" t="s">
        <v>272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43</v>
      </c>
      <c r="L7" s="32" t="s">
        <v>182</v>
      </c>
      <c r="M7" s="33" t="s">
        <v>68</v>
      </c>
      <c r="N7" s="32" t="s">
        <v>183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5"/>
      <c r="C8" s="86"/>
      <c r="D8" s="83" t="s">
        <v>448</v>
      </c>
      <c r="E8" s="83" t="s">
        <v>449</v>
      </c>
      <c r="F8" s="81"/>
      <c r="G8" s="83" t="s">
        <v>286</v>
      </c>
      <c r="H8" s="83" t="s">
        <v>450</v>
      </c>
      <c r="I8" s="81"/>
      <c r="J8" s="3"/>
      <c r="K8" s="33" t="s">
        <v>16</v>
      </c>
      <c r="L8" s="9" t="s">
        <v>203</v>
      </c>
      <c r="M8" s="33" t="s">
        <v>69</v>
      </c>
      <c r="N8" s="9" t="s">
        <v>203</v>
      </c>
      <c r="O8" s="33" t="s">
        <v>69</v>
      </c>
      <c r="P8" s="9"/>
      <c r="Q8" s="33" t="s">
        <v>69</v>
      </c>
      <c r="R8" s="9"/>
      <c r="S8" s="87"/>
      <c r="T8" s="88"/>
      <c r="U8" s="89" t="s">
        <v>451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3" t="s">
        <v>452</v>
      </c>
      <c r="E9" s="90" t="s">
        <v>453</v>
      </c>
      <c r="F9" s="83" t="s">
        <v>454</v>
      </c>
      <c r="G9" s="83" t="s">
        <v>455</v>
      </c>
      <c r="H9" s="83" t="s">
        <v>456</v>
      </c>
      <c r="I9" s="91" t="s">
        <v>457</v>
      </c>
      <c r="J9" s="83" t="s">
        <v>458</v>
      </c>
      <c r="K9" s="33"/>
      <c r="L9" s="33"/>
      <c r="M9" s="33"/>
      <c r="N9" s="33"/>
      <c r="O9" s="33"/>
      <c r="P9" s="33"/>
      <c r="Q9" s="33"/>
      <c r="R9" s="33"/>
      <c r="S9" s="89" t="s">
        <v>459</v>
      </c>
      <c r="T9" s="51"/>
      <c r="U9" s="89" t="s">
        <v>460</v>
      </c>
      <c r="V9" s="51"/>
    </row>
    <row r="10" spans="1:22" s="11" customFormat="1" ht="52" x14ac:dyDescent="0.2">
      <c r="A10" s="39" t="s">
        <v>184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457</v>
      </c>
      <c r="L10" s="84" t="s">
        <v>458</v>
      </c>
      <c r="M10" s="84" t="s">
        <v>457</v>
      </c>
      <c r="N10" s="84" t="s">
        <v>458</v>
      </c>
      <c r="O10" s="84" t="s">
        <v>457</v>
      </c>
      <c r="P10" s="84" t="s">
        <v>458</v>
      </c>
      <c r="Q10" s="84" t="s">
        <v>457</v>
      </c>
      <c r="R10" s="84" t="s">
        <v>458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187</v>
      </c>
      <c r="E11" s="34" t="s">
        <v>21</v>
      </c>
      <c r="F11" s="44"/>
      <c r="G11" s="28" t="s">
        <v>185</v>
      </c>
      <c r="H11" s="45" t="s">
        <v>288</v>
      </c>
      <c r="I11" s="46"/>
      <c r="J11" s="47"/>
      <c r="K11" s="48" t="s">
        <v>21</v>
      </c>
      <c r="L11" s="48"/>
      <c r="M11" s="48" t="s">
        <v>289</v>
      </c>
      <c r="N11" s="48"/>
      <c r="O11" s="48"/>
      <c r="P11" s="48"/>
      <c r="Q11" s="48"/>
      <c r="R11" s="48"/>
      <c r="S11" s="35"/>
      <c r="T11" s="36"/>
      <c r="U11" s="67"/>
      <c r="V11" s="69"/>
    </row>
    <row r="12" spans="1:22" s="11" customFormat="1" x14ac:dyDescent="0.2">
      <c r="A12" s="9">
        <v>10</v>
      </c>
      <c r="B12" s="9"/>
      <c r="C12" s="9"/>
      <c r="D12" s="9" t="s">
        <v>131</v>
      </c>
      <c r="E12" s="49" t="s">
        <v>133</v>
      </c>
      <c r="F12" s="49"/>
      <c r="G12" s="50" t="s">
        <v>461</v>
      </c>
      <c r="H12" s="50" t="s">
        <v>274</v>
      </c>
      <c r="I12" s="9" t="s">
        <v>275</v>
      </c>
      <c r="J12" s="9"/>
      <c r="K12" s="9" t="s">
        <v>276</v>
      </c>
      <c r="L12" s="9"/>
      <c r="M12" s="9" t="s">
        <v>276</v>
      </c>
      <c r="N12" s="9"/>
      <c r="O12" s="9"/>
      <c r="P12" s="9"/>
      <c r="Q12" s="9"/>
      <c r="R12" s="9"/>
      <c r="S12" s="41"/>
      <c r="T12" s="51"/>
      <c r="U12" s="142"/>
      <c r="V12" s="143"/>
    </row>
    <row r="13" spans="1:22" s="11" customFormat="1" ht="26" x14ac:dyDescent="0.2">
      <c r="A13" s="9">
        <v>10</v>
      </c>
      <c r="B13" s="9"/>
      <c r="C13" s="9"/>
      <c r="D13" s="9" t="s">
        <v>215</v>
      </c>
      <c r="E13" s="49" t="s">
        <v>133</v>
      </c>
      <c r="F13" s="49"/>
      <c r="G13" s="50" t="s">
        <v>462</v>
      </c>
      <c r="H13" s="50" t="s">
        <v>278</v>
      </c>
      <c r="I13" s="9" t="s">
        <v>275</v>
      </c>
      <c r="J13" s="9"/>
      <c r="K13" s="9"/>
      <c r="L13" s="9"/>
      <c r="M13" s="9"/>
      <c r="N13" s="9"/>
      <c r="O13" s="9"/>
      <c r="P13" s="9"/>
      <c r="Q13" s="9"/>
      <c r="R13" s="9"/>
      <c r="S13" s="41"/>
      <c r="T13" s="51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153</v>
      </c>
      <c r="E14" s="49" t="s">
        <v>133</v>
      </c>
      <c r="F14" s="49"/>
      <c r="G14" s="50" t="s">
        <v>463</v>
      </c>
      <c r="H14" s="50" t="s">
        <v>279</v>
      </c>
      <c r="I14" s="9" t="s">
        <v>275</v>
      </c>
      <c r="J14" s="9"/>
      <c r="K14" s="9" t="s">
        <v>276</v>
      </c>
      <c r="L14" s="9"/>
      <c r="M14" s="9" t="s">
        <v>276</v>
      </c>
      <c r="N14" s="9"/>
      <c r="O14" s="9"/>
      <c r="P14" s="9"/>
      <c r="Q14" s="9"/>
      <c r="R14" s="9"/>
      <c r="S14" s="41"/>
      <c r="T14" s="51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132</v>
      </c>
      <c r="E15" s="49" t="s">
        <v>134</v>
      </c>
      <c r="F15" s="49"/>
      <c r="G15" s="50" t="s">
        <v>464</v>
      </c>
      <c r="H15" s="50" t="s">
        <v>281</v>
      </c>
      <c r="I15" s="9" t="s">
        <v>275</v>
      </c>
      <c r="J15" s="9"/>
      <c r="K15" s="9" t="s">
        <v>276</v>
      </c>
      <c r="L15" s="9"/>
      <c r="M15" s="9" t="s">
        <v>276</v>
      </c>
      <c r="N15" s="9"/>
      <c r="O15" s="9"/>
      <c r="P15" s="9"/>
      <c r="Q15" s="9"/>
      <c r="R15" s="9"/>
      <c r="S15" s="41"/>
      <c r="T15" s="51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47</v>
      </c>
      <c r="E16" s="49" t="s">
        <v>48</v>
      </c>
      <c r="F16" s="49"/>
      <c r="G16" s="50" t="s">
        <v>465</v>
      </c>
      <c r="H16" s="50" t="s">
        <v>282</v>
      </c>
      <c r="I16" s="9" t="s">
        <v>275</v>
      </c>
      <c r="J16" s="9"/>
      <c r="K16" s="9" t="s">
        <v>276</v>
      </c>
      <c r="L16" s="9"/>
      <c r="M16" s="9" t="s">
        <v>276</v>
      </c>
      <c r="N16" s="9"/>
      <c r="O16" s="9"/>
      <c r="P16" s="9"/>
      <c r="Q16" s="9"/>
      <c r="R16" s="9"/>
      <c r="S16" s="41"/>
      <c r="T16" s="51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51</v>
      </c>
      <c r="E17" s="49" t="s">
        <v>52</v>
      </c>
      <c r="F17" s="49"/>
      <c r="G17" s="50" t="s">
        <v>466</v>
      </c>
      <c r="H17" s="50" t="s">
        <v>283</v>
      </c>
      <c r="I17" s="9" t="s">
        <v>275</v>
      </c>
      <c r="J17" s="9"/>
      <c r="K17" s="9" t="s">
        <v>276</v>
      </c>
      <c r="L17" s="9"/>
      <c r="M17" s="9" t="s">
        <v>276</v>
      </c>
      <c r="N17" s="9"/>
      <c r="O17" s="9"/>
      <c r="P17" s="9"/>
      <c r="Q17" s="9"/>
      <c r="R17" s="9"/>
      <c r="S17" s="41"/>
      <c r="T17" s="51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49</v>
      </c>
      <c r="E18" s="49" t="s">
        <v>50</v>
      </c>
      <c r="F18" s="49"/>
      <c r="G18" s="50" t="s">
        <v>467</v>
      </c>
      <c r="H18" s="50" t="s">
        <v>284</v>
      </c>
      <c r="I18" s="9" t="s">
        <v>275</v>
      </c>
      <c r="J18" s="9"/>
      <c r="K18" s="9" t="s">
        <v>276</v>
      </c>
      <c r="L18" s="9"/>
      <c r="M18" s="9" t="s">
        <v>276</v>
      </c>
      <c r="N18" s="9"/>
      <c r="O18" s="9"/>
      <c r="P18" s="9"/>
      <c r="Q18" s="9"/>
      <c r="R18" s="9"/>
      <c r="S18" s="41"/>
      <c r="T18" s="51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74</v>
      </c>
      <c r="E19" s="49" t="s">
        <v>135</v>
      </c>
      <c r="F19" s="49"/>
      <c r="G19" s="50" t="s">
        <v>468</v>
      </c>
      <c r="H19" s="50" t="s">
        <v>285</v>
      </c>
      <c r="I19" s="9" t="s">
        <v>275</v>
      </c>
      <c r="J19" s="9"/>
      <c r="K19" s="9" t="s">
        <v>276</v>
      </c>
      <c r="L19" s="9"/>
      <c r="M19" s="9" t="s">
        <v>276</v>
      </c>
      <c r="N19" s="9"/>
      <c r="O19" s="9"/>
      <c r="P19" s="9"/>
      <c r="Q19" s="9"/>
      <c r="R19" s="9"/>
      <c r="S19" s="41"/>
      <c r="T19" s="51"/>
      <c r="U19" s="142"/>
      <c r="V19" s="143"/>
    </row>
    <row r="20" spans="1:22" s="11" customFormat="1" x14ac:dyDescent="0.2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74"/>
      <c r="V21" s="54"/>
    </row>
    <row r="22" spans="1:22" s="11" customFormat="1" x14ac:dyDescent="0.2">
      <c r="A22" s="74"/>
      <c r="V22" s="54"/>
    </row>
    <row r="23" spans="1:22" s="11" customFormat="1" x14ac:dyDescent="0.2">
      <c r="A23" s="74"/>
      <c r="V23" s="54"/>
    </row>
    <row r="24" spans="1:22" s="11" customFormat="1" x14ac:dyDescent="0.2">
      <c r="A24" s="7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8:V18"/>
    <mergeCell ref="U19:V19"/>
    <mergeCell ref="U12:V12"/>
    <mergeCell ref="U14:V14"/>
    <mergeCell ref="U15:V15"/>
    <mergeCell ref="U16:V16"/>
    <mergeCell ref="U17:V17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Y6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8.81640625" style="29" customWidth="1"/>
    <col min="12" max="12" width="12.90625" style="29" customWidth="1"/>
    <col min="13" max="13" width="21.90625" style="29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30.81640625" style="27" customWidth="1"/>
    <col min="23" max="23" width="9" style="27"/>
    <col min="24" max="24" width="15.81640625" style="27" customWidth="1"/>
    <col min="25" max="16384" width="9" style="27"/>
  </cols>
  <sheetData>
    <row r="1" spans="1:25" s="11" customFormat="1" x14ac:dyDescent="0.2">
      <c r="A1" s="70" t="s">
        <v>165</v>
      </c>
      <c r="B1" s="70" t="s">
        <v>165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  <c r="Y1" s="27"/>
    </row>
    <row r="2" spans="1:25" s="11" customFormat="1" ht="40" customHeight="1" x14ac:dyDescent="0.2">
      <c r="A2" s="71" t="s">
        <v>165</v>
      </c>
      <c r="B2" s="72"/>
      <c r="C2" s="72"/>
      <c r="D2" s="82" t="s">
        <v>447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MABCL0280</v>
      </c>
      <c r="I2" s="7" t="s">
        <v>190</v>
      </c>
      <c r="J2" s="9" t="s">
        <v>188</v>
      </c>
      <c r="K2" s="7" t="s">
        <v>30</v>
      </c>
      <c r="L2" s="73" t="str">
        <f>IF(LogicCommon!G2="","",LogicCommon!G2)</f>
        <v>MC</v>
      </c>
      <c r="M2" s="5" t="s">
        <v>166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  <c r="Y2" s="27"/>
    </row>
    <row r="3" spans="1:25" s="11" customFormat="1" x14ac:dyDescent="0.2">
      <c r="A3" s="74" t="s">
        <v>165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MABCL_DptReg</v>
      </c>
      <c r="I3" s="7" t="s">
        <v>31</v>
      </c>
      <c r="J3" s="9" t="s">
        <v>167</v>
      </c>
      <c r="K3" s="7" t="s">
        <v>45</v>
      </c>
      <c r="L3" s="73" t="str">
        <f>IF(LogicCommon!G3="","",LogicCommon!G3)</f>
        <v/>
      </c>
      <c r="M3" s="77" t="s">
        <v>33</v>
      </c>
      <c r="N3" s="7"/>
      <c r="O3" s="7" t="s">
        <v>169</v>
      </c>
      <c r="P3" s="9" t="s">
        <v>197</v>
      </c>
      <c r="Q3" s="4"/>
      <c r="R3" s="4"/>
      <c r="S3" s="27"/>
      <c r="T3" s="27"/>
      <c r="U3" s="27"/>
      <c r="V3" s="27"/>
      <c r="W3" s="27"/>
      <c r="X3" s="27"/>
      <c r="Y3" s="27"/>
    </row>
    <row r="4" spans="1:25" s="11" customFormat="1" x14ac:dyDescent="0.2">
      <c r="A4" s="74" t="s">
        <v>165</v>
      </c>
      <c r="B4" s="75"/>
      <c r="C4" s="75"/>
      <c r="D4" s="4"/>
      <c r="E4" s="7" t="s">
        <v>8</v>
      </c>
      <c r="F4" s="10" t="s">
        <v>386</v>
      </c>
      <c r="G4" s="7" t="s">
        <v>11</v>
      </c>
      <c r="H4" s="73" t="str">
        <f>IF(LogicCommon!E4="","",LogicCommon!E4)</f>
        <v>部門マスタ登録</v>
      </c>
      <c r="I4" s="7" t="s">
        <v>170</v>
      </c>
      <c r="J4" s="9" t="s">
        <v>261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  <c r="Y4" s="27"/>
    </row>
    <row r="5" spans="1:25" s="11" customFormat="1" x14ac:dyDescent="0.2">
      <c r="A5" s="79" t="s">
        <v>165</v>
      </c>
      <c r="B5" s="70"/>
      <c r="C5" s="70"/>
      <c r="D5" s="26"/>
      <c r="E5" s="7" t="s">
        <v>22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  <c r="Y5" s="27"/>
    </row>
    <row r="6" spans="1:25" s="11" customFormat="1" x14ac:dyDescent="0.2">
      <c r="A6" s="74" t="s">
        <v>165</v>
      </c>
      <c r="B6" s="75"/>
      <c r="C6" s="75"/>
      <c r="D6" s="4" t="s">
        <v>6</v>
      </c>
      <c r="E6" s="16" t="s">
        <v>260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/>
      <c r="R6" s="3"/>
      <c r="S6" s="3"/>
      <c r="T6" s="3"/>
      <c r="U6" s="4" t="s">
        <v>430</v>
      </c>
      <c r="V6" s="27"/>
      <c r="W6" s="27"/>
      <c r="X6" s="27"/>
      <c r="Y6" s="27"/>
    </row>
    <row r="7" spans="1:25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173</v>
      </c>
      <c r="L7" s="32" t="s">
        <v>204</v>
      </c>
      <c r="M7" s="32" t="s">
        <v>253</v>
      </c>
      <c r="N7" s="32" t="s">
        <v>204</v>
      </c>
      <c r="O7" s="32" t="s">
        <v>204</v>
      </c>
      <c r="P7" s="32" t="s">
        <v>204</v>
      </c>
      <c r="Q7" s="32" t="s">
        <v>204</v>
      </c>
      <c r="R7" s="32" t="s">
        <v>204</v>
      </c>
      <c r="S7" s="32" t="s">
        <v>204</v>
      </c>
      <c r="T7" s="33" t="s">
        <v>68</v>
      </c>
      <c r="U7" s="32"/>
      <c r="V7" s="29"/>
      <c r="W7" s="29"/>
      <c r="X7" s="29"/>
      <c r="Y7" s="29"/>
    </row>
    <row r="8" spans="1:25" s="11" customFormat="1" ht="60" customHeight="1" x14ac:dyDescent="0.2">
      <c r="A8" s="49" t="s">
        <v>17</v>
      </c>
      <c r="B8" s="85"/>
      <c r="C8" s="86"/>
      <c r="D8" s="83" t="s">
        <v>448</v>
      </c>
      <c r="E8" s="83" t="s">
        <v>449</v>
      </c>
      <c r="F8" s="81"/>
      <c r="G8" s="83" t="s">
        <v>286</v>
      </c>
      <c r="H8" s="83" t="s">
        <v>450</v>
      </c>
      <c r="I8" s="81"/>
      <c r="J8" s="3"/>
      <c r="K8" s="9" t="s">
        <v>176</v>
      </c>
      <c r="L8" s="9" t="s">
        <v>205</v>
      </c>
      <c r="M8" s="9" t="s">
        <v>252</v>
      </c>
      <c r="N8" s="9" t="s">
        <v>206</v>
      </c>
      <c r="O8" s="9" t="s">
        <v>241</v>
      </c>
      <c r="P8" s="9" t="s">
        <v>242</v>
      </c>
      <c r="Q8" s="9" t="s">
        <v>250</v>
      </c>
      <c r="R8" s="9" t="s">
        <v>251</v>
      </c>
      <c r="S8" s="9" t="s">
        <v>232</v>
      </c>
      <c r="T8" s="33" t="s">
        <v>69</v>
      </c>
      <c r="U8" s="9"/>
      <c r="V8" s="87"/>
      <c r="W8" s="88"/>
      <c r="X8" s="89" t="s">
        <v>451</v>
      </c>
      <c r="Y8" s="51"/>
    </row>
    <row r="9" spans="1:25" s="11" customFormat="1" ht="60" customHeight="1" x14ac:dyDescent="0.2">
      <c r="A9" s="9" t="s">
        <v>17</v>
      </c>
      <c r="B9" s="37"/>
      <c r="C9" s="38"/>
      <c r="D9" s="83" t="s">
        <v>452</v>
      </c>
      <c r="E9" s="90" t="s">
        <v>453</v>
      </c>
      <c r="F9" s="83" t="s">
        <v>454</v>
      </c>
      <c r="G9" s="83" t="s">
        <v>455</v>
      </c>
      <c r="H9" s="83" t="s">
        <v>456</v>
      </c>
      <c r="I9" s="91" t="s">
        <v>457</v>
      </c>
      <c r="J9" s="83" t="s">
        <v>458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89" t="s">
        <v>459</v>
      </c>
      <c r="W9" s="51"/>
      <c r="X9" s="89" t="s">
        <v>460</v>
      </c>
      <c r="Y9" s="51"/>
    </row>
    <row r="10" spans="1:25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33"/>
      <c r="S10" s="33"/>
      <c r="T10" s="84" t="s">
        <v>457</v>
      </c>
      <c r="U10" s="84" t="s">
        <v>458</v>
      </c>
      <c r="V10" s="42"/>
      <c r="W10" s="42"/>
      <c r="X10" s="43"/>
      <c r="Y10" s="36"/>
    </row>
    <row r="11" spans="1:25" s="11" customFormat="1" x14ac:dyDescent="0.2">
      <c r="A11" s="9">
        <v>10</v>
      </c>
      <c r="B11" s="37" t="s">
        <v>0</v>
      </c>
      <c r="C11" s="38"/>
      <c r="D11" s="28" t="s">
        <v>379</v>
      </c>
      <c r="E11" s="34" t="s">
        <v>178</v>
      </c>
      <c r="F11" s="44"/>
      <c r="G11" s="28" t="s">
        <v>327</v>
      </c>
      <c r="H11" s="45" t="s">
        <v>414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35"/>
      <c r="W11" s="36"/>
      <c r="X11" s="67"/>
      <c r="Y11" s="69"/>
    </row>
    <row r="12" spans="1:25" s="11" customFormat="1" x14ac:dyDescent="0.2">
      <c r="A12" s="9">
        <v>10</v>
      </c>
      <c r="B12" s="9"/>
      <c r="C12" s="9"/>
      <c r="D12" s="9" t="s">
        <v>85</v>
      </c>
      <c r="E12" s="49" t="s">
        <v>115</v>
      </c>
      <c r="F12" s="49"/>
      <c r="G12" s="50" t="s">
        <v>469</v>
      </c>
      <c r="H12" s="50" t="s">
        <v>290</v>
      </c>
      <c r="I12" s="9" t="s">
        <v>275</v>
      </c>
      <c r="J12" s="9"/>
      <c r="K12" s="9" t="s">
        <v>275</v>
      </c>
      <c r="L12" s="9"/>
      <c r="M12" s="9" t="s">
        <v>431</v>
      </c>
      <c r="N12" s="9"/>
      <c r="O12" s="9"/>
      <c r="P12" s="9"/>
      <c r="Q12" s="9"/>
      <c r="R12" s="9"/>
      <c r="S12" s="9"/>
      <c r="T12" s="9"/>
      <c r="U12" s="9"/>
      <c r="V12" s="41"/>
      <c r="W12" s="51"/>
      <c r="X12" s="142"/>
      <c r="Y12" s="143"/>
    </row>
    <row r="13" spans="1:25" s="11" customFormat="1" x14ac:dyDescent="0.2">
      <c r="A13" s="9">
        <v>10</v>
      </c>
      <c r="B13" s="9"/>
      <c r="C13" s="9"/>
      <c r="D13" s="9" t="s">
        <v>219</v>
      </c>
      <c r="E13" s="49" t="s">
        <v>115</v>
      </c>
      <c r="F13" s="49"/>
      <c r="G13" s="50" t="s">
        <v>470</v>
      </c>
      <c r="H13" s="50" t="s">
        <v>291</v>
      </c>
      <c r="I13" s="9" t="s">
        <v>275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41"/>
      <c r="W13" s="51"/>
      <c r="X13" s="142"/>
      <c r="Y13" s="143"/>
    </row>
    <row r="14" spans="1:25" s="11" customFormat="1" x14ac:dyDescent="0.2">
      <c r="A14" s="9">
        <v>10</v>
      </c>
      <c r="B14" s="9"/>
      <c r="C14" s="9"/>
      <c r="D14" s="9" t="s">
        <v>152</v>
      </c>
      <c r="E14" s="49" t="s">
        <v>133</v>
      </c>
      <c r="F14" s="49"/>
      <c r="G14" s="50" t="s">
        <v>461</v>
      </c>
      <c r="H14" s="50" t="s">
        <v>274</v>
      </c>
      <c r="I14" s="9" t="s">
        <v>275</v>
      </c>
      <c r="J14" s="9"/>
      <c r="K14" s="9" t="s">
        <v>275</v>
      </c>
      <c r="L14" s="9" t="s">
        <v>432</v>
      </c>
      <c r="M14" s="9"/>
      <c r="N14" s="9"/>
      <c r="O14" s="9"/>
      <c r="P14" s="9"/>
      <c r="Q14" s="9"/>
      <c r="R14" s="9"/>
      <c r="S14" s="9"/>
      <c r="T14" s="9"/>
      <c r="U14" s="9"/>
      <c r="V14" s="41"/>
      <c r="W14" s="51"/>
      <c r="X14" s="142"/>
      <c r="Y14" s="143"/>
    </row>
    <row r="15" spans="1:25" s="11" customFormat="1" ht="26" x14ac:dyDescent="0.2">
      <c r="A15" s="9">
        <v>10</v>
      </c>
      <c r="B15" s="9"/>
      <c r="C15" s="9"/>
      <c r="D15" s="9" t="s">
        <v>213</v>
      </c>
      <c r="E15" s="49" t="s">
        <v>133</v>
      </c>
      <c r="F15" s="49"/>
      <c r="G15" s="50" t="s">
        <v>462</v>
      </c>
      <c r="H15" s="50" t="s">
        <v>278</v>
      </c>
      <c r="I15" s="9" t="s">
        <v>275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41"/>
      <c r="W15" s="51"/>
      <c r="X15" s="142"/>
      <c r="Y15" s="143"/>
    </row>
    <row r="16" spans="1:25" s="11" customFormat="1" x14ac:dyDescent="0.2">
      <c r="A16" s="9">
        <v>10</v>
      </c>
      <c r="B16" s="9"/>
      <c r="C16" s="9"/>
      <c r="D16" s="9" t="s">
        <v>153</v>
      </c>
      <c r="E16" s="49" t="s">
        <v>133</v>
      </c>
      <c r="F16" s="49"/>
      <c r="G16" s="50" t="s">
        <v>463</v>
      </c>
      <c r="H16" s="50" t="s">
        <v>279</v>
      </c>
      <c r="I16" s="9" t="s">
        <v>275</v>
      </c>
      <c r="J16" s="9"/>
      <c r="K16" s="9" t="s">
        <v>275</v>
      </c>
      <c r="L16" s="9" t="s">
        <v>433</v>
      </c>
      <c r="M16" s="9"/>
      <c r="N16" s="9"/>
      <c r="O16" s="9"/>
      <c r="P16" s="9"/>
      <c r="Q16" s="9"/>
      <c r="R16" s="9"/>
      <c r="S16" s="9"/>
      <c r="T16" s="9"/>
      <c r="U16" s="9"/>
      <c r="V16" s="41"/>
      <c r="W16" s="51"/>
      <c r="X16" s="142"/>
      <c r="Y16" s="143"/>
    </row>
    <row r="17" spans="1:25" s="11" customFormat="1" x14ac:dyDescent="0.2">
      <c r="A17" s="9">
        <v>10</v>
      </c>
      <c r="B17" s="9"/>
      <c r="C17" s="9"/>
      <c r="D17" s="9" t="s">
        <v>86</v>
      </c>
      <c r="E17" s="49" t="s">
        <v>116</v>
      </c>
      <c r="F17" s="49"/>
      <c r="G17" s="50" t="s">
        <v>471</v>
      </c>
      <c r="H17" s="50" t="s">
        <v>292</v>
      </c>
      <c r="I17" s="9" t="s">
        <v>275</v>
      </c>
      <c r="J17" s="9"/>
      <c r="K17" s="9" t="s">
        <v>275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41"/>
      <c r="W17" s="51"/>
      <c r="X17" s="142"/>
      <c r="Y17" s="143"/>
    </row>
    <row r="18" spans="1:25" s="11" customFormat="1" x14ac:dyDescent="0.2">
      <c r="A18" s="9">
        <v>10</v>
      </c>
      <c r="B18" s="9"/>
      <c r="C18" s="9"/>
      <c r="D18" s="9" t="s">
        <v>90</v>
      </c>
      <c r="E18" s="49" t="s">
        <v>117</v>
      </c>
      <c r="F18" s="49"/>
      <c r="G18" s="50" t="s">
        <v>472</v>
      </c>
      <c r="H18" s="50" t="s">
        <v>293</v>
      </c>
      <c r="I18" s="9" t="s">
        <v>275</v>
      </c>
      <c r="J18" s="9"/>
      <c r="K18" s="9" t="s">
        <v>275</v>
      </c>
      <c r="L18" s="9"/>
      <c r="M18" s="9"/>
      <c r="N18" s="9" t="s">
        <v>434</v>
      </c>
      <c r="O18" s="9"/>
      <c r="P18" s="9"/>
      <c r="Q18" s="9"/>
      <c r="R18" s="9"/>
      <c r="S18" s="9"/>
      <c r="T18" s="9"/>
      <c r="U18" s="9"/>
      <c r="V18" s="41"/>
      <c r="W18" s="51"/>
      <c r="X18" s="142"/>
      <c r="Y18" s="143"/>
    </row>
    <row r="19" spans="1:25" s="11" customFormat="1" x14ac:dyDescent="0.2">
      <c r="A19" s="9">
        <v>10</v>
      </c>
      <c r="B19" s="9"/>
      <c r="C19" s="9"/>
      <c r="D19" s="9" t="s">
        <v>88</v>
      </c>
      <c r="E19" s="49" t="s">
        <v>115</v>
      </c>
      <c r="F19" s="49"/>
      <c r="G19" s="50" t="s">
        <v>473</v>
      </c>
      <c r="H19" s="50" t="s">
        <v>294</v>
      </c>
      <c r="I19" s="9" t="s">
        <v>275</v>
      </c>
      <c r="J19" s="9"/>
      <c r="K19" s="9"/>
      <c r="L19" s="9"/>
      <c r="M19" s="9"/>
      <c r="N19" s="9" t="s">
        <v>435</v>
      </c>
      <c r="O19" s="9"/>
      <c r="P19" s="9"/>
      <c r="Q19" s="9"/>
      <c r="R19" s="9"/>
      <c r="S19" s="9"/>
      <c r="T19" s="9"/>
      <c r="U19" s="9"/>
      <c r="V19" s="41"/>
      <c r="W19" s="51"/>
      <c r="X19" s="142"/>
      <c r="Y19" s="143"/>
    </row>
    <row r="20" spans="1:25" s="11" customFormat="1" x14ac:dyDescent="0.2">
      <c r="A20" s="9">
        <v>10</v>
      </c>
      <c r="B20" s="9"/>
      <c r="C20" s="9"/>
      <c r="D20" s="9" t="s">
        <v>87</v>
      </c>
      <c r="E20" s="49" t="s">
        <v>115</v>
      </c>
      <c r="F20" s="49"/>
      <c r="G20" s="50" t="s">
        <v>474</v>
      </c>
      <c r="H20" s="50" t="s">
        <v>295</v>
      </c>
      <c r="I20" s="9" t="s">
        <v>275</v>
      </c>
      <c r="J20" s="9"/>
      <c r="K20" s="9"/>
      <c r="L20" s="9"/>
      <c r="M20" s="9"/>
      <c r="N20" s="9" t="s">
        <v>435</v>
      </c>
      <c r="O20" s="9"/>
      <c r="P20" s="9"/>
      <c r="Q20" s="9"/>
      <c r="R20" s="9"/>
      <c r="S20" s="9"/>
      <c r="T20" s="9"/>
      <c r="U20" s="9"/>
      <c r="V20" s="41"/>
      <c r="W20" s="51"/>
      <c r="X20" s="142"/>
      <c r="Y20" s="143"/>
    </row>
    <row r="21" spans="1:25" s="11" customFormat="1" x14ac:dyDescent="0.2">
      <c r="A21" s="9">
        <v>10</v>
      </c>
      <c r="B21" s="9"/>
      <c r="C21" s="9"/>
      <c r="D21" s="9" t="s">
        <v>92</v>
      </c>
      <c r="E21" s="49" t="s">
        <v>119</v>
      </c>
      <c r="F21" s="49"/>
      <c r="G21" s="50" t="s">
        <v>475</v>
      </c>
      <c r="H21" s="50" t="s">
        <v>296</v>
      </c>
      <c r="I21" s="9" t="s">
        <v>275</v>
      </c>
      <c r="J21" s="9"/>
      <c r="K21" s="9"/>
      <c r="L21" s="9"/>
      <c r="M21" s="9"/>
      <c r="N21" s="9"/>
      <c r="O21" s="9"/>
      <c r="P21" s="9"/>
      <c r="Q21" s="9"/>
      <c r="R21" s="9"/>
      <c r="S21" s="9" t="s">
        <v>436</v>
      </c>
      <c r="T21" s="9"/>
      <c r="U21" s="9"/>
      <c r="V21" s="41"/>
      <c r="W21" s="51"/>
      <c r="X21" s="142"/>
      <c r="Y21" s="143"/>
    </row>
    <row r="22" spans="1:25" s="11" customFormat="1" x14ac:dyDescent="0.2">
      <c r="A22" s="9">
        <v>10</v>
      </c>
      <c r="B22" s="9"/>
      <c r="C22" s="9"/>
      <c r="D22" s="9" t="s">
        <v>93</v>
      </c>
      <c r="E22" s="49" t="s">
        <v>120</v>
      </c>
      <c r="F22" s="49"/>
      <c r="G22" s="50" t="s">
        <v>476</v>
      </c>
      <c r="H22" s="50" t="s">
        <v>297</v>
      </c>
      <c r="I22" s="9" t="s">
        <v>275</v>
      </c>
      <c r="J22" s="9"/>
      <c r="K22" s="9" t="s">
        <v>446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41"/>
      <c r="W22" s="51"/>
      <c r="X22" s="142"/>
      <c r="Y22" s="143"/>
    </row>
    <row r="23" spans="1:25" s="11" customFormat="1" x14ac:dyDescent="0.2">
      <c r="A23" s="9">
        <v>10</v>
      </c>
      <c r="B23" s="9"/>
      <c r="C23" s="9"/>
      <c r="D23" s="9" t="s">
        <v>94</v>
      </c>
      <c r="E23" s="49" t="s">
        <v>121</v>
      </c>
      <c r="F23" s="49"/>
      <c r="G23" s="50" t="s">
        <v>477</v>
      </c>
      <c r="H23" s="50" t="s">
        <v>298</v>
      </c>
      <c r="I23" s="9" t="s">
        <v>275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41"/>
      <c r="W23" s="51"/>
      <c r="X23" s="142"/>
      <c r="Y23" s="143"/>
    </row>
    <row r="24" spans="1:25" s="11" customFormat="1" x14ac:dyDescent="0.2">
      <c r="A24" s="9">
        <v>10</v>
      </c>
      <c r="B24" s="9"/>
      <c r="C24" s="9"/>
      <c r="D24" s="9" t="s">
        <v>95</v>
      </c>
      <c r="E24" s="49" t="s">
        <v>122</v>
      </c>
      <c r="F24" s="49"/>
      <c r="G24" s="50" t="s">
        <v>478</v>
      </c>
      <c r="H24" s="50" t="s">
        <v>299</v>
      </c>
      <c r="I24" s="9" t="s">
        <v>275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41"/>
      <c r="W24" s="51"/>
      <c r="X24" s="142"/>
      <c r="Y24" s="143"/>
    </row>
    <row r="25" spans="1:25" s="11" customFormat="1" x14ac:dyDescent="0.2">
      <c r="A25" s="9">
        <v>10</v>
      </c>
      <c r="B25" s="9"/>
      <c r="C25" s="9"/>
      <c r="D25" s="9" t="s">
        <v>96</v>
      </c>
      <c r="E25" s="49" t="s">
        <v>123</v>
      </c>
      <c r="F25" s="49"/>
      <c r="G25" s="50" t="s">
        <v>479</v>
      </c>
      <c r="H25" s="50" t="s">
        <v>300</v>
      </c>
      <c r="I25" s="9" t="s">
        <v>275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41"/>
      <c r="W25" s="51"/>
      <c r="X25" s="142"/>
      <c r="Y25" s="143"/>
    </row>
    <row r="26" spans="1:25" s="11" customFormat="1" x14ac:dyDescent="0.2">
      <c r="A26" s="9">
        <v>10</v>
      </c>
      <c r="B26" s="9"/>
      <c r="C26" s="9"/>
      <c r="D26" s="9" t="s">
        <v>97</v>
      </c>
      <c r="E26" s="49" t="s">
        <v>124</v>
      </c>
      <c r="F26" s="49"/>
      <c r="G26" s="50" t="s">
        <v>480</v>
      </c>
      <c r="H26" s="50" t="s">
        <v>301</v>
      </c>
      <c r="I26" s="9" t="s">
        <v>275</v>
      </c>
      <c r="J26" s="9"/>
      <c r="K26" s="9"/>
      <c r="L26" s="9"/>
      <c r="M26" s="9"/>
      <c r="N26" s="9"/>
      <c r="O26" s="9"/>
      <c r="P26" s="9"/>
      <c r="Q26" s="9"/>
      <c r="R26" s="9"/>
      <c r="S26" s="9" t="s">
        <v>437</v>
      </c>
      <c r="T26" s="9"/>
      <c r="U26" s="9"/>
      <c r="V26" s="41"/>
      <c r="W26" s="51"/>
      <c r="X26" s="142"/>
      <c r="Y26" s="143"/>
    </row>
    <row r="27" spans="1:25" s="11" customFormat="1" x14ac:dyDescent="0.2">
      <c r="A27" s="9">
        <v>10</v>
      </c>
      <c r="B27" s="9"/>
      <c r="C27" s="9"/>
      <c r="D27" s="9" t="s">
        <v>98</v>
      </c>
      <c r="E27" s="49" t="s">
        <v>124</v>
      </c>
      <c r="F27" s="49"/>
      <c r="G27" s="50" t="s">
        <v>481</v>
      </c>
      <c r="H27" s="50" t="s">
        <v>302</v>
      </c>
      <c r="I27" s="9" t="s">
        <v>275</v>
      </c>
      <c r="J27" s="9"/>
      <c r="K27" s="9"/>
      <c r="L27" s="9"/>
      <c r="M27" s="9"/>
      <c r="N27" s="9"/>
      <c r="O27" s="9"/>
      <c r="P27" s="9"/>
      <c r="Q27" s="9"/>
      <c r="R27" s="9"/>
      <c r="S27" s="9" t="s">
        <v>437</v>
      </c>
      <c r="T27" s="9"/>
      <c r="U27" s="9"/>
      <c r="V27" s="41"/>
      <c r="W27" s="51"/>
      <c r="X27" s="142"/>
      <c r="Y27" s="143"/>
    </row>
    <row r="28" spans="1:25" s="11" customFormat="1" ht="26" x14ac:dyDescent="0.2">
      <c r="A28" s="9">
        <v>10</v>
      </c>
      <c r="B28" s="9"/>
      <c r="C28" s="9"/>
      <c r="D28" s="9" t="s">
        <v>99</v>
      </c>
      <c r="E28" s="49" t="s">
        <v>125</v>
      </c>
      <c r="F28" s="49"/>
      <c r="G28" s="50" t="s">
        <v>482</v>
      </c>
      <c r="H28" s="50" t="s">
        <v>303</v>
      </c>
      <c r="I28" s="9" t="s">
        <v>275</v>
      </c>
      <c r="J28" s="9"/>
      <c r="K28" s="9"/>
      <c r="L28" s="9"/>
      <c r="M28" s="9"/>
      <c r="N28" s="9" t="s">
        <v>438</v>
      </c>
      <c r="O28" s="9"/>
      <c r="P28" s="9"/>
      <c r="Q28" s="9" t="s">
        <v>439</v>
      </c>
      <c r="R28" s="9" t="s">
        <v>439</v>
      </c>
      <c r="S28" s="9"/>
      <c r="T28" s="9"/>
      <c r="U28" s="9"/>
      <c r="V28" s="41"/>
      <c r="W28" s="51"/>
      <c r="X28" s="142"/>
      <c r="Y28" s="143"/>
    </row>
    <row r="29" spans="1:25" s="11" customFormat="1" ht="26" x14ac:dyDescent="0.2">
      <c r="A29" s="9">
        <v>10</v>
      </c>
      <c r="B29" s="9"/>
      <c r="C29" s="9"/>
      <c r="D29" s="9" t="s">
        <v>101</v>
      </c>
      <c r="E29" s="49" t="s">
        <v>127</v>
      </c>
      <c r="F29" s="49"/>
      <c r="G29" s="50" t="s">
        <v>483</v>
      </c>
      <c r="H29" s="50" t="s">
        <v>304</v>
      </c>
      <c r="I29" s="9" t="s">
        <v>275</v>
      </c>
      <c r="J29" s="9"/>
      <c r="K29" s="9"/>
      <c r="L29" s="9"/>
      <c r="M29" s="9"/>
      <c r="N29" s="9" t="s">
        <v>440</v>
      </c>
      <c r="O29" s="9"/>
      <c r="P29" s="9"/>
      <c r="Q29" s="9"/>
      <c r="R29" s="9"/>
      <c r="S29" s="9"/>
      <c r="T29" s="9"/>
      <c r="U29" s="9"/>
      <c r="V29" s="41"/>
      <c r="W29" s="51"/>
      <c r="X29" s="142"/>
      <c r="Y29" s="143"/>
    </row>
    <row r="30" spans="1:25" s="11" customFormat="1" x14ac:dyDescent="0.2">
      <c r="A30" s="9">
        <v>10</v>
      </c>
      <c r="B30" s="9"/>
      <c r="C30" s="9"/>
      <c r="D30" s="9" t="s">
        <v>103</v>
      </c>
      <c r="E30" s="49" t="s">
        <v>127</v>
      </c>
      <c r="F30" s="49"/>
      <c r="G30" s="50" t="s">
        <v>484</v>
      </c>
      <c r="H30" s="50" t="s">
        <v>305</v>
      </c>
      <c r="I30" s="9" t="s">
        <v>275</v>
      </c>
      <c r="J30" s="9"/>
      <c r="K30" s="9"/>
      <c r="L30" s="9"/>
      <c r="M30" s="9"/>
      <c r="N30" s="9" t="s">
        <v>440</v>
      </c>
      <c r="O30" s="9"/>
      <c r="P30" s="9"/>
      <c r="Q30" s="9"/>
      <c r="R30" s="9"/>
      <c r="S30" s="9"/>
      <c r="T30" s="9"/>
      <c r="U30" s="9"/>
      <c r="V30" s="41"/>
      <c r="W30" s="51"/>
      <c r="X30" s="142"/>
      <c r="Y30" s="143"/>
    </row>
    <row r="31" spans="1:25" s="11" customFormat="1" x14ac:dyDescent="0.2">
      <c r="A31" s="9">
        <v>10</v>
      </c>
      <c r="B31" s="9"/>
      <c r="C31" s="9"/>
      <c r="D31" s="9" t="s">
        <v>389</v>
      </c>
      <c r="E31" s="49" t="s">
        <v>387</v>
      </c>
      <c r="F31" s="49"/>
      <c r="G31" s="50" t="s">
        <v>485</v>
      </c>
      <c r="H31" s="50" t="s">
        <v>390</v>
      </c>
      <c r="I31" s="9" t="s">
        <v>275</v>
      </c>
      <c r="J31" s="9"/>
      <c r="K31" s="9"/>
      <c r="L31" s="9"/>
      <c r="M31" s="9"/>
      <c r="N31" s="9" t="s">
        <v>388</v>
      </c>
      <c r="O31" s="9"/>
      <c r="P31" s="9"/>
      <c r="Q31" s="9"/>
      <c r="R31" s="9"/>
      <c r="S31" s="9"/>
      <c r="T31" s="9"/>
      <c r="U31" s="9"/>
      <c r="V31" s="41"/>
      <c r="W31" s="51"/>
      <c r="X31" s="142"/>
      <c r="Y31" s="143"/>
    </row>
    <row r="32" spans="1:25" s="11" customFormat="1" x14ac:dyDescent="0.2">
      <c r="A32" s="9">
        <v>10</v>
      </c>
      <c r="B32" s="9"/>
      <c r="C32" s="9"/>
      <c r="D32" s="9" t="s">
        <v>105</v>
      </c>
      <c r="E32" s="49" t="s">
        <v>54</v>
      </c>
      <c r="F32" s="49"/>
      <c r="G32" s="50" t="s">
        <v>486</v>
      </c>
      <c r="H32" s="50" t="s">
        <v>306</v>
      </c>
      <c r="I32" s="9" t="s">
        <v>275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41"/>
      <c r="W32" s="51"/>
      <c r="X32" s="142"/>
      <c r="Y32" s="143"/>
    </row>
    <row r="33" spans="1:25" s="11" customFormat="1" x14ac:dyDescent="0.2">
      <c r="A33" s="9">
        <v>10</v>
      </c>
      <c r="B33" s="9"/>
      <c r="C33" s="9"/>
      <c r="D33" s="9" t="s">
        <v>106</v>
      </c>
      <c r="E33" s="49" t="s">
        <v>54</v>
      </c>
      <c r="F33" s="49"/>
      <c r="G33" s="50" t="s">
        <v>487</v>
      </c>
      <c r="H33" s="50" t="s">
        <v>307</v>
      </c>
      <c r="I33" s="9" t="s">
        <v>275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41"/>
      <c r="W33" s="51"/>
      <c r="X33" s="142"/>
      <c r="Y33" s="143"/>
    </row>
    <row r="34" spans="1:25" s="11" customFormat="1" x14ac:dyDescent="0.2">
      <c r="A34" s="9">
        <v>10</v>
      </c>
      <c r="B34" s="9"/>
      <c r="C34" s="9"/>
      <c r="D34" s="9" t="s">
        <v>107</v>
      </c>
      <c r="E34" s="49" t="s">
        <v>54</v>
      </c>
      <c r="F34" s="49"/>
      <c r="G34" s="50" t="s">
        <v>488</v>
      </c>
      <c r="H34" s="50" t="s">
        <v>308</v>
      </c>
      <c r="I34" s="9" t="s">
        <v>275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41"/>
      <c r="W34" s="51"/>
      <c r="X34" s="142"/>
      <c r="Y34" s="143"/>
    </row>
    <row r="35" spans="1:25" s="11" customFormat="1" x14ac:dyDescent="0.2">
      <c r="A35" s="9">
        <v>10</v>
      </c>
      <c r="B35" s="9"/>
      <c r="C35" s="9"/>
      <c r="D35" s="9" t="s">
        <v>108</v>
      </c>
      <c r="E35" s="49" t="s">
        <v>54</v>
      </c>
      <c r="F35" s="49"/>
      <c r="G35" s="50" t="s">
        <v>489</v>
      </c>
      <c r="H35" s="50" t="s">
        <v>309</v>
      </c>
      <c r="I35" s="9" t="s">
        <v>275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41"/>
      <c r="W35" s="51"/>
      <c r="X35" s="142"/>
      <c r="Y35" s="143"/>
    </row>
    <row r="36" spans="1:25" s="11" customFormat="1" x14ac:dyDescent="0.2">
      <c r="A36" s="9">
        <v>10</v>
      </c>
      <c r="B36" s="9"/>
      <c r="C36" s="9"/>
      <c r="D36" s="9" t="s">
        <v>109</v>
      </c>
      <c r="E36" s="49" t="s">
        <v>54</v>
      </c>
      <c r="F36" s="49"/>
      <c r="G36" s="50" t="s">
        <v>490</v>
      </c>
      <c r="H36" s="50" t="s">
        <v>310</v>
      </c>
      <c r="I36" s="9" t="s">
        <v>275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41"/>
      <c r="W36" s="51"/>
      <c r="X36" s="142"/>
      <c r="Y36" s="143"/>
    </row>
    <row r="37" spans="1:25" s="11" customFormat="1" x14ac:dyDescent="0.2">
      <c r="A37" s="9">
        <v>10</v>
      </c>
      <c r="B37" s="9"/>
      <c r="C37" s="9"/>
      <c r="D37" s="9" t="s">
        <v>110</v>
      </c>
      <c r="E37" s="49" t="s">
        <v>54</v>
      </c>
      <c r="F37" s="49"/>
      <c r="G37" s="50" t="s">
        <v>491</v>
      </c>
      <c r="H37" s="50" t="s">
        <v>311</v>
      </c>
      <c r="I37" s="9" t="s">
        <v>275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41"/>
      <c r="W37" s="51"/>
      <c r="X37" s="142"/>
      <c r="Y37" s="143"/>
    </row>
    <row r="38" spans="1:25" s="11" customFormat="1" x14ac:dyDescent="0.2">
      <c r="A38" s="9">
        <v>10</v>
      </c>
      <c r="B38" s="9"/>
      <c r="C38" s="9"/>
      <c r="D38" s="9" t="s">
        <v>111</v>
      </c>
      <c r="E38" s="49" t="s">
        <v>54</v>
      </c>
      <c r="F38" s="49"/>
      <c r="G38" s="50" t="s">
        <v>492</v>
      </c>
      <c r="H38" s="50" t="s">
        <v>312</v>
      </c>
      <c r="I38" s="9" t="s">
        <v>275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41"/>
      <c r="W38" s="51"/>
      <c r="X38" s="142"/>
      <c r="Y38" s="143"/>
    </row>
    <row r="39" spans="1:25" s="11" customFormat="1" x14ac:dyDescent="0.2">
      <c r="A39" s="9">
        <v>10</v>
      </c>
      <c r="B39" s="9"/>
      <c r="C39" s="9"/>
      <c r="D39" s="9" t="s">
        <v>112</v>
      </c>
      <c r="E39" s="49" t="s">
        <v>54</v>
      </c>
      <c r="F39" s="49"/>
      <c r="G39" s="50" t="s">
        <v>493</v>
      </c>
      <c r="H39" s="50" t="s">
        <v>230</v>
      </c>
      <c r="I39" s="9" t="s">
        <v>275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41"/>
      <c r="W39" s="51"/>
      <c r="X39" s="142"/>
      <c r="Y39" s="143"/>
    </row>
    <row r="40" spans="1:25" s="11" customFormat="1" x14ac:dyDescent="0.2">
      <c r="A40" s="9">
        <v>10</v>
      </c>
      <c r="B40" s="9"/>
      <c r="C40" s="9"/>
      <c r="D40" s="9" t="s">
        <v>229</v>
      </c>
      <c r="E40" s="49" t="s">
        <v>54</v>
      </c>
      <c r="F40" s="49"/>
      <c r="G40" s="50" t="s">
        <v>494</v>
      </c>
      <c r="H40" s="50" t="s">
        <v>313</v>
      </c>
      <c r="I40" s="9" t="s">
        <v>275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41"/>
      <c r="W40" s="51"/>
      <c r="X40" s="142"/>
      <c r="Y40" s="143"/>
    </row>
    <row r="41" spans="1:25" s="11" customFormat="1" x14ac:dyDescent="0.2">
      <c r="A41" s="9">
        <v>10</v>
      </c>
      <c r="B41" s="9"/>
      <c r="C41" s="9"/>
      <c r="D41" s="9" t="s">
        <v>113</v>
      </c>
      <c r="E41" s="49" t="s">
        <v>54</v>
      </c>
      <c r="F41" s="49"/>
      <c r="G41" s="50" t="s">
        <v>495</v>
      </c>
      <c r="H41" s="50" t="s">
        <v>314</v>
      </c>
      <c r="I41" s="9" t="s">
        <v>275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41"/>
      <c r="W41" s="51"/>
      <c r="X41" s="142"/>
      <c r="Y41" s="143"/>
    </row>
    <row r="42" spans="1:25" s="11" customFormat="1" x14ac:dyDescent="0.2">
      <c r="A42" s="9">
        <v>10</v>
      </c>
      <c r="B42" s="9"/>
      <c r="C42" s="9"/>
      <c r="D42" s="9" t="s">
        <v>114</v>
      </c>
      <c r="E42" s="49" t="s">
        <v>54</v>
      </c>
      <c r="F42" s="49"/>
      <c r="G42" s="50" t="s">
        <v>496</v>
      </c>
      <c r="H42" s="50" t="s">
        <v>315</v>
      </c>
      <c r="I42" s="9" t="s">
        <v>275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41"/>
      <c r="W42" s="51"/>
      <c r="X42" s="142"/>
      <c r="Y42" s="143"/>
    </row>
    <row r="43" spans="1:25" s="11" customFormat="1" x14ac:dyDescent="0.2">
      <c r="A43" s="9">
        <v>10</v>
      </c>
      <c r="B43" s="9"/>
      <c r="C43" s="9"/>
      <c r="D43" s="9" t="s">
        <v>233</v>
      </c>
      <c r="E43" s="49" t="s">
        <v>237</v>
      </c>
      <c r="F43" s="49"/>
      <c r="G43" s="50" t="s">
        <v>497</v>
      </c>
      <c r="H43" s="50" t="s">
        <v>316</v>
      </c>
      <c r="I43" s="9" t="s">
        <v>275</v>
      </c>
      <c r="J43" s="9"/>
      <c r="K43" s="9"/>
      <c r="L43" s="9"/>
      <c r="M43" s="9"/>
      <c r="N43" s="9" t="s">
        <v>441</v>
      </c>
      <c r="O43" s="9" t="s">
        <v>442</v>
      </c>
      <c r="P43" s="9" t="s">
        <v>443</v>
      </c>
      <c r="Q43" s="9"/>
      <c r="R43" s="9"/>
      <c r="S43" s="9"/>
      <c r="T43" s="9"/>
      <c r="U43" s="9"/>
      <c r="V43" s="41"/>
      <c r="W43" s="51"/>
      <c r="X43" s="67"/>
      <c r="Y43" s="68"/>
    </row>
    <row r="44" spans="1:25" s="11" customFormat="1" x14ac:dyDescent="0.2">
      <c r="A44" s="9">
        <v>10</v>
      </c>
      <c r="B44" s="9"/>
      <c r="C44" s="9"/>
      <c r="D44" s="9" t="s">
        <v>235</v>
      </c>
      <c r="E44" s="49" t="s">
        <v>239</v>
      </c>
      <c r="F44" s="49"/>
      <c r="G44" s="50" t="s">
        <v>498</v>
      </c>
      <c r="H44" s="50" t="s">
        <v>317</v>
      </c>
      <c r="I44" s="9" t="s">
        <v>275</v>
      </c>
      <c r="J44" s="9"/>
      <c r="K44" s="9"/>
      <c r="L44" s="9"/>
      <c r="M44" s="9"/>
      <c r="N44" s="9" t="s">
        <v>444</v>
      </c>
      <c r="O44" s="9" t="s">
        <v>83</v>
      </c>
      <c r="P44" s="9" t="s">
        <v>445</v>
      </c>
      <c r="Q44" s="9"/>
      <c r="R44" s="9"/>
      <c r="S44" s="9"/>
      <c r="T44" s="9"/>
      <c r="U44" s="9"/>
      <c r="V44" s="41"/>
      <c r="W44" s="51"/>
      <c r="X44" s="67"/>
      <c r="Y44" s="68"/>
    </row>
    <row r="45" spans="1:25" s="11" customFormat="1" x14ac:dyDescent="0.2">
      <c r="A45" s="9">
        <v>10</v>
      </c>
      <c r="B45" s="9"/>
      <c r="C45" s="9"/>
      <c r="D45" s="9" t="s">
        <v>47</v>
      </c>
      <c r="E45" s="49" t="s">
        <v>48</v>
      </c>
      <c r="F45" s="49"/>
      <c r="G45" s="50" t="s">
        <v>465</v>
      </c>
      <c r="H45" s="50" t="s">
        <v>282</v>
      </c>
      <c r="I45" s="9" t="s">
        <v>275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41"/>
      <c r="W45" s="51"/>
      <c r="X45" s="142"/>
      <c r="Y45" s="143"/>
    </row>
    <row r="46" spans="1:25" s="11" customFormat="1" x14ac:dyDescent="0.2">
      <c r="A46" s="9">
        <v>10</v>
      </c>
      <c r="B46" s="9"/>
      <c r="C46" s="9"/>
      <c r="D46" s="9" t="s">
        <v>51</v>
      </c>
      <c r="E46" s="49" t="s">
        <v>52</v>
      </c>
      <c r="F46" s="49"/>
      <c r="G46" s="50" t="s">
        <v>466</v>
      </c>
      <c r="H46" s="50" t="s">
        <v>283</v>
      </c>
      <c r="I46" s="9" t="s">
        <v>275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41"/>
      <c r="W46" s="51"/>
      <c r="X46" s="142"/>
      <c r="Y46" s="143"/>
    </row>
    <row r="47" spans="1:25" s="11" customFormat="1" x14ac:dyDescent="0.2">
      <c r="A47" s="9">
        <v>10</v>
      </c>
      <c r="B47" s="9"/>
      <c r="C47" s="9"/>
      <c r="D47" s="9" t="s">
        <v>49</v>
      </c>
      <c r="E47" s="49" t="s">
        <v>50</v>
      </c>
      <c r="F47" s="49"/>
      <c r="G47" s="50" t="s">
        <v>467</v>
      </c>
      <c r="H47" s="50" t="s">
        <v>284</v>
      </c>
      <c r="I47" s="9" t="s">
        <v>275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41"/>
      <c r="W47" s="51"/>
      <c r="X47" s="142"/>
      <c r="Y47" s="143"/>
    </row>
    <row r="48" spans="1:25" s="11" customFormat="1" x14ac:dyDescent="0.2">
      <c r="A48" s="9">
        <v>10</v>
      </c>
      <c r="B48" s="9"/>
      <c r="C48" s="9"/>
      <c r="D48" s="9" t="s">
        <v>70</v>
      </c>
      <c r="E48" s="49" t="s">
        <v>55</v>
      </c>
      <c r="F48" s="49"/>
      <c r="G48" s="50" t="s">
        <v>499</v>
      </c>
      <c r="H48" s="50" t="s">
        <v>318</v>
      </c>
      <c r="I48" s="9" t="s">
        <v>275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41"/>
      <c r="W48" s="51"/>
      <c r="X48" s="142"/>
      <c r="Y48" s="143"/>
    </row>
    <row r="49" spans="1:25" s="11" customFormat="1" x14ac:dyDescent="0.2">
      <c r="A49" s="9">
        <v>10</v>
      </c>
      <c r="B49" s="9"/>
      <c r="C49" s="9"/>
      <c r="D49" s="9" t="s">
        <v>328</v>
      </c>
      <c r="E49" s="49" t="s">
        <v>329</v>
      </c>
      <c r="F49" s="49"/>
      <c r="G49" s="50" t="s">
        <v>468</v>
      </c>
      <c r="H49" s="50" t="s">
        <v>285</v>
      </c>
      <c r="I49" s="9" t="s">
        <v>275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41"/>
      <c r="W49" s="51"/>
      <c r="X49" s="142"/>
      <c r="Y49" s="143"/>
    </row>
    <row r="50" spans="1:25" s="11" customFormat="1" x14ac:dyDescent="0.2">
      <c r="A50" s="9">
        <v>10</v>
      </c>
      <c r="B50" s="9"/>
      <c r="C50" s="9"/>
      <c r="D50" s="9" t="s">
        <v>243</v>
      </c>
      <c r="E50" s="49" t="s">
        <v>54</v>
      </c>
      <c r="F50" s="49"/>
      <c r="G50" s="50" t="s">
        <v>500</v>
      </c>
      <c r="H50" s="50" t="s">
        <v>319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41"/>
      <c r="W50" s="51"/>
      <c r="X50" s="142"/>
      <c r="Y50" s="143"/>
    </row>
    <row r="51" spans="1:25" s="11" customFormat="1" x14ac:dyDescent="0.2">
      <c r="A51" s="9">
        <v>10</v>
      </c>
      <c r="B51" s="9"/>
      <c r="C51" s="9"/>
      <c r="D51" s="9" t="s">
        <v>244</v>
      </c>
      <c r="E51" s="49" t="s">
        <v>54</v>
      </c>
      <c r="F51" s="49"/>
      <c r="G51" s="50" t="s">
        <v>501</v>
      </c>
      <c r="H51" s="50" t="s">
        <v>320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41"/>
      <c r="W51" s="51"/>
      <c r="X51" s="142"/>
      <c r="Y51" s="143"/>
    </row>
    <row r="52" spans="1:25" s="11" customFormat="1" x14ac:dyDescent="0.2">
      <c r="A52" s="9">
        <v>10</v>
      </c>
      <c r="B52" s="9"/>
      <c r="C52" s="9"/>
      <c r="D52" s="9" t="s">
        <v>245</v>
      </c>
      <c r="E52" s="49" t="s">
        <v>54</v>
      </c>
      <c r="F52" s="49"/>
      <c r="G52" s="50" t="s">
        <v>502</v>
      </c>
      <c r="H52" s="50" t="s">
        <v>321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41"/>
      <c r="W52" s="51"/>
      <c r="X52" s="142"/>
      <c r="Y52" s="143"/>
    </row>
    <row r="53" spans="1:25" s="11" customFormat="1" x14ac:dyDescent="0.2">
      <c r="A53" s="9">
        <v>10</v>
      </c>
      <c r="B53" s="9"/>
      <c r="C53" s="9"/>
      <c r="D53" s="9" t="s">
        <v>246</v>
      </c>
      <c r="E53" s="49" t="s">
        <v>54</v>
      </c>
      <c r="F53" s="49"/>
      <c r="G53" s="50" t="s">
        <v>503</v>
      </c>
      <c r="H53" s="50" t="s">
        <v>322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41"/>
      <c r="W53" s="51"/>
      <c r="X53" s="142"/>
      <c r="Y53" s="143"/>
    </row>
    <row r="54" spans="1:25" s="11" customFormat="1" x14ac:dyDescent="0.2">
      <c r="A54" s="9">
        <v>10</v>
      </c>
      <c r="B54" s="9"/>
      <c r="C54" s="9"/>
      <c r="D54" s="9" t="s">
        <v>247</v>
      </c>
      <c r="E54" s="49" t="s">
        <v>54</v>
      </c>
      <c r="F54" s="49"/>
      <c r="G54" s="50" t="s">
        <v>504</v>
      </c>
      <c r="H54" s="50" t="s">
        <v>323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41"/>
      <c r="W54" s="51"/>
      <c r="X54" s="142"/>
      <c r="Y54" s="143"/>
    </row>
    <row r="55" spans="1:25" s="11" customFormat="1" x14ac:dyDescent="0.2">
      <c r="A55" s="9">
        <v>10</v>
      </c>
      <c r="B55" s="9"/>
      <c r="C55" s="9"/>
      <c r="D55" s="9" t="s">
        <v>248</v>
      </c>
      <c r="E55" s="49" t="s">
        <v>54</v>
      </c>
      <c r="F55" s="49"/>
      <c r="G55" s="50" t="s">
        <v>505</v>
      </c>
      <c r="H55" s="50" t="s">
        <v>324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41"/>
      <c r="W55" s="51"/>
      <c r="X55" s="142"/>
      <c r="Y55" s="143"/>
    </row>
    <row r="56" spans="1:25" s="11" customFormat="1" x14ac:dyDescent="0.2">
      <c r="A56" s="9">
        <v>10</v>
      </c>
      <c r="B56" s="9"/>
      <c r="C56" s="9"/>
      <c r="D56" s="9" t="s">
        <v>249</v>
      </c>
      <c r="E56" s="49" t="s">
        <v>54</v>
      </c>
      <c r="F56" s="49"/>
      <c r="G56" s="50" t="s">
        <v>506</v>
      </c>
      <c r="H56" s="50" t="s">
        <v>325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41"/>
      <c r="W56" s="51"/>
      <c r="X56" s="142"/>
      <c r="Y56" s="143"/>
    </row>
    <row r="57" spans="1:25" s="11" customFormat="1" x14ac:dyDescent="0.2">
      <c r="A57" s="9">
        <v>10</v>
      </c>
      <c r="B57" s="9"/>
      <c r="C57" s="9"/>
      <c r="D57" s="9" t="s">
        <v>254</v>
      </c>
      <c r="E57" s="49" t="s">
        <v>255</v>
      </c>
      <c r="F57" s="49"/>
      <c r="G57" s="50" t="s">
        <v>507</v>
      </c>
      <c r="H57" s="50" t="s">
        <v>326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41"/>
      <c r="W57" s="51"/>
      <c r="X57" s="142"/>
      <c r="Y57" s="143"/>
    </row>
    <row r="58" spans="1:25" s="11" customFormat="1" x14ac:dyDescent="0.2">
      <c r="A58" s="52"/>
      <c r="B58" s="53"/>
      <c r="C58" s="53"/>
      <c r="D58" s="27" t="s">
        <v>1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4"/>
      <c r="W58" s="4"/>
      <c r="X58" s="6"/>
      <c r="Y58" s="23"/>
    </row>
    <row r="59" spans="1:25" s="11" customFormat="1" x14ac:dyDescent="0.2">
      <c r="A59" s="74"/>
      <c r="Y59" s="54"/>
    </row>
    <row r="60" spans="1:25" s="11" customFormat="1" x14ac:dyDescent="0.2">
      <c r="A60" s="74"/>
      <c r="Y60" s="54"/>
    </row>
    <row r="61" spans="1:25" s="11" customFormat="1" x14ac:dyDescent="0.2">
      <c r="A61" s="74"/>
      <c r="Y61" s="54"/>
    </row>
    <row r="62" spans="1:25" s="11" customFormat="1" x14ac:dyDescent="0.2">
      <c r="A62" s="7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20"/>
    </row>
  </sheetData>
  <dataConsolidate/>
  <mergeCells count="44">
    <mergeCell ref="X47:Y47"/>
    <mergeCell ref="X48:Y48"/>
    <mergeCell ref="X49:Y49"/>
    <mergeCell ref="X38:Y38"/>
    <mergeCell ref="X39:Y39"/>
    <mergeCell ref="X41:Y41"/>
    <mergeCell ref="X42:Y42"/>
    <mergeCell ref="X45:Y45"/>
    <mergeCell ref="X46:Y46"/>
    <mergeCell ref="X40:Y40"/>
    <mergeCell ref="X37:Y37"/>
    <mergeCell ref="X25:Y25"/>
    <mergeCell ref="X26:Y26"/>
    <mergeCell ref="X27:Y27"/>
    <mergeCell ref="X28:Y28"/>
    <mergeCell ref="X29:Y29"/>
    <mergeCell ref="X31:Y31"/>
    <mergeCell ref="X32:Y32"/>
    <mergeCell ref="X33:Y33"/>
    <mergeCell ref="X34:Y34"/>
    <mergeCell ref="X35:Y35"/>
    <mergeCell ref="X36:Y36"/>
    <mergeCell ref="X30:Y30"/>
    <mergeCell ref="X24:Y24"/>
    <mergeCell ref="X12:Y12"/>
    <mergeCell ref="X14:Y14"/>
    <mergeCell ref="X16:Y16"/>
    <mergeCell ref="X17:Y17"/>
    <mergeCell ref="X18:Y18"/>
    <mergeCell ref="X19:Y19"/>
    <mergeCell ref="X20:Y20"/>
    <mergeCell ref="X21:Y21"/>
    <mergeCell ref="X22:Y22"/>
    <mergeCell ref="X23:Y23"/>
    <mergeCell ref="X13:Y13"/>
    <mergeCell ref="X15:Y15"/>
    <mergeCell ref="X57:Y57"/>
    <mergeCell ref="X55:Y55"/>
    <mergeCell ref="X56:Y56"/>
    <mergeCell ref="X50:Y50"/>
    <mergeCell ref="X51:Y51"/>
    <mergeCell ref="X52:Y52"/>
    <mergeCell ref="X53:Y53"/>
    <mergeCell ref="X54:Y5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pageSetUpPr fitToPage="1"/>
  </sheetPr>
  <dimension ref="A1:V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0" t="s">
        <v>165</v>
      </c>
      <c r="B1" s="70" t="s">
        <v>165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1" t="s">
        <v>165</v>
      </c>
      <c r="B2" s="72"/>
      <c r="C2" s="72"/>
      <c r="D2" s="82" t="s">
        <v>447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MABCL0280</v>
      </c>
      <c r="I2" s="7" t="s">
        <v>190</v>
      </c>
      <c r="J2" s="9" t="s">
        <v>189</v>
      </c>
      <c r="K2" s="7" t="s">
        <v>30</v>
      </c>
      <c r="L2" s="73" t="str">
        <f>IF(LogicCommon!G2="","",LogicCommon!G2)</f>
        <v>MC</v>
      </c>
      <c r="M2" s="5" t="s">
        <v>166</v>
      </c>
      <c r="N2" s="28" t="s">
        <v>410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4" t="s">
        <v>165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MABCL_DptReg</v>
      </c>
      <c r="I3" s="7" t="s">
        <v>31</v>
      </c>
      <c r="J3" s="9" t="s">
        <v>181</v>
      </c>
      <c r="K3" s="7" t="s">
        <v>45</v>
      </c>
      <c r="L3" s="73" t="str">
        <f>IF(LogicCommon!G3="","",LogicCommon!G3)</f>
        <v/>
      </c>
      <c r="M3" s="77" t="s">
        <v>33</v>
      </c>
      <c r="N3" s="7"/>
      <c r="O3" s="7" t="s">
        <v>169</v>
      </c>
      <c r="P3" s="9" t="s">
        <v>197</v>
      </c>
      <c r="Q3" s="4"/>
      <c r="R3" s="27"/>
      <c r="S3" s="27"/>
      <c r="T3" s="27"/>
      <c r="U3" s="27"/>
      <c r="V3" s="27"/>
    </row>
    <row r="4" spans="1:22" s="11" customFormat="1" x14ac:dyDescent="0.2">
      <c r="A4" s="74" t="s">
        <v>165</v>
      </c>
      <c r="B4" s="75"/>
      <c r="C4" s="75"/>
      <c r="D4" s="4"/>
      <c r="E4" s="7" t="s">
        <v>8</v>
      </c>
      <c r="F4" s="10" t="s">
        <v>386</v>
      </c>
      <c r="G4" s="7" t="s">
        <v>11</v>
      </c>
      <c r="H4" s="73" t="str">
        <f>IF(LogicCommon!E4="","",LogicCommon!E4)</f>
        <v>部門マスタ登録</v>
      </c>
      <c r="I4" s="7" t="s">
        <v>170</v>
      </c>
      <c r="J4" s="9" t="s">
        <v>263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9" t="s">
        <v>165</v>
      </c>
      <c r="B5" s="70"/>
      <c r="C5" s="70"/>
      <c r="D5" s="26"/>
      <c r="E5" s="7" t="s">
        <v>22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4" t="s">
        <v>165</v>
      </c>
      <c r="B6" s="75"/>
      <c r="C6" s="75"/>
      <c r="D6" s="4" t="s">
        <v>6</v>
      </c>
      <c r="E6" s="16" t="s">
        <v>262</v>
      </c>
      <c r="F6" s="16"/>
      <c r="G6" s="16"/>
      <c r="H6" s="16"/>
      <c r="I6" s="16"/>
      <c r="J6" s="16"/>
      <c r="K6" s="16"/>
      <c r="L6" s="81" t="s">
        <v>272</v>
      </c>
      <c r="M6" s="19"/>
      <c r="N6" s="19" t="s">
        <v>272</v>
      </c>
      <c r="O6" s="19"/>
      <c r="P6" s="19" t="s">
        <v>272</v>
      </c>
      <c r="Q6" s="19"/>
      <c r="R6" s="3" t="s">
        <v>272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43</v>
      </c>
      <c r="L7" s="32" t="s">
        <v>182</v>
      </c>
      <c r="M7" s="33" t="s">
        <v>68</v>
      </c>
      <c r="N7" s="32" t="s">
        <v>183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5"/>
      <c r="C8" s="86"/>
      <c r="D8" s="83" t="s">
        <v>448</v>
      </c>
      <c r="E8" s="83" t="s">
        <v>449</v>
      </c>
      <c r="F8" s="81"/>
      <c r="G8" s="83" t="s">
        <v>286</v>
      </c>
      <c r="H8" s="83" t="s">
        <v>450</v>
      </c>
      <c r="I8" s="81"/>
      <c r="J8" s="3"/>
      <c r="K8" s="33" t="s">
        <v>16</v>
      </c>
      <c r="L8" s="9" t="s">
        <v>415</v>
      </c>
      <c r="M8" s="33" t="s">
        <v>69</v>
      </c>
      <c r="N8" s="9" t="s">
        <v>415</v>
      </c>
      <c r="O8" s="33" t="s">
        <v>69</v>
      </c>
      <c r="P8" s="9"/>
      <c r="Q8" s="33" t="s">
        <v>69</v>
      </c>
      <c r="R8" s="9"/>
      <c r="S8" s="87"/>
      <c r="T8" s="88"/>
      <c r="U8" s="89" t="s">
        <v>451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3" t="s">
        <v>452</v>
      </c>
      <c r="E9" s="90" t="s">
        <v>453</v>
      </c>
      <c r="F9" s="83" t="s">
        <v>454</v>
      </c>
      <c r="G9" s="83" t="s">
        <v>455</v>
      </c>
      <c r="H9" s="83" t="s">
        <v>456</v>
      </c>
      <c r="I9" s="91" t="s">
        <v>457</v>
      </c>
      <c r="J9" s="83" t="s">
        <v>458</v>
      </c>
      <c r="K9" s="33"/>
      <c r="L9" s="33"/>
      <c r="M9" s="33"/>
      <c r="N9" s="33"/>
      <c r="O9" s="33"/>
      <c r="P9" s="33"/>
      <c r="Q9" s="33"/>
      <c r="R9" s="33"/>
      <c r="S9" s="89" t="s">
        <v>459</v>
      </c>
      <c r="T9" s="51"/>
      <c r="U9" s="89" t="s">
        <v>460</v>
      </c>
      <c r="V9" s="51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457</v>
      </c>
      <c r="L10" s="84" t="s">
        <v>458</v>
      </c>
      <c r="M10" s="84" t="s">
        <v>457</v>
      </c>
      <c r="N10" s="84" t="s">
        <v>458</v>
      </c>
      <c r="O10" s="84" t="s">
        <v>457</v>
      </c>
      <c r="P10" s="84" t="s">
        <v>458</v>
      </c>
      <c r="Q10" s="84" t="s">
        <v>457</v>
      </c>
      <c r="R10" s="84" t="s">
        <v>458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396</v>
      </c>
      <c r="E11" s="34" t="s">
        <v>21</v>
      </c>
      <c r="F11" s="44"/>
      <c r="G11" s="28" t="s">
        <v>185</v>
      </c>
      <c r="H11" s="45" t="s">
        <v>330</v>
      </c>
      <c r="I11" s="46"/>
      <c r="J11" s="47"/>
      <c r="K11" s="48" t="s">
        <v>21</v>
      </c>
      <c r="L11" s="48"/>
      <c r="M11" s="48" t="s">
        <v>289</v>
      </c>
      <c r="N11" s="48"/>
      <c r="O11" s="48"/>
      <c r="P11" s="48"/>
      <c r="Q11" s="48"/>
      <c r="R11" s="48"/>
      <c r="S11" s="35"/>
      <c r="T11" s="36"/>
      <c r="U11" s="67"/>
      <c r="V11" s="69"/>
    </row>
    <row r="12" spans="1:22" s="11" customFormat="1" x14ac:dyDescent="0.2">
      <c r="A12" s="9">
        <v>10</v>
      </c>
      <c r="B12" s="9"/>
      <c r="C12" s="9"/>
      <c r="D12" s="9" t="s">
        <v>85</v>
      </c>
      <c r="E12" s="49" t="s">
        <v>115</v>
      </c>
      <c r="F12" s="49"/>
      <c r="G12" s="50" t="s">
        <v>469</v>
      </c>
      <c r="H12" s="50" t="s">
        <v>290</v>
      </c>
      <c r="I12" s="9" t="s">
        <v>275</v>
      </c>
      <c r="J12" s="9"/>
      <c r="K12" s="9" t="s">
        <v>276</v>
      </c>
      <c r="L12" s="9"/>
      <c r="M12" s="9" t="s">
        <v>276</v>
      </c>
      <c r="N12" s="9"/>
      <c r="O12" s="9"/>
      <c r="P12" s="9"/>
      <c r="Q12" s="9"/>
      <c r="R12" s="9"/>
      <c r="S12" s="41"/>
      <c r="T12" s="51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220</v>
      </c>
      <c r="E13" s="49" t="s">
        <v>115</v>
      </c>
      <c r="F13" s="49"/>
      <c r="G13" s="50" t="s">
        <v>470</v>
      </c>
      <c r="H13" s="50" t="s">
        <v>291</v>
      </c>
      <c r="I13" s="9" t="s">
        <v>275</v>
      </c>
      <c r="J13" s="9"/>
      <c r="K13" s="9"/>
      <c r="L13" s="9"/>
      <c r="M13" s="9"/>
      <c r="N13" s="9"/>
      <c r="O13" s="9"/>
      <c r="P13" s="9"/>
      <c r="Q13" s="9"/>
      <c r="R13" s="9"/>
      <c r="S13" s="41"/>
      <c r="T13" s="51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152</v>
      </c>
      <c r="E14" s="49" t="s">
        <v>133</v>
      </c>
      <c r="F14" s="49"/>
      <c r="G14" s="50" t="s">
        <v>461</v>
      </c>
      <c r="H14" s="50" t="s">
        <v>274</v>
      </c>
      <c r="I14" s="9" t="s">
        <v>275</v>
      </c>
      <c r="J14" s="9"/>
      <c r="K14" s="9" t="s">
        <v>276</v>
      </c>
      <c r="L14" s="9"/>
      <c r="M14" s="9" t="s">
        <v>276</v>
      </c>
      <c r="N14" s="9"/>
      <c r="O14" s="9"/>
      <c r="P14" s="9"/>
      <c r="Q14" s="9"/>
      <c r="R14" s="9"/>
      <c r="S14" s="41"/>
      <c r="T14" s="51"/>
      <c r="U14" s="142"/>
      <c r="V14" s="143"/>
    </row>
    <row r="15" spans="1:22" s="11" customFormat="1" ht="26" x14ac:dyDescent="0.2">
      <c r="A15" s="9">
        <v>10</v>
      </c>
      <c r="B15" s="9"/>
      <c r="C15" s="9"/>
      <c r="D15" s="9" t="s">
        <v>213</v>
      </c>
      <c r="E15" s="49" t="s">
        <v>133</v>
      </c>
      <c r="F15" s="49"/>
      <c r="G15" s="50" t="s">
        <v>462</v>
      </c>
      <c r="H15" s="50" t="s">
        <v>278</v>
      </c>
      <c r="I15" s="9" t="s">
        <v>275</v>
      </c>
      <c r="J15" s="9"/>
      <c r="K15" s="9"/>
      <c r="L15" s="9"/>
      <c r="M15" s="9"/>
      <c r="N15" s="9"/>
      <c r="O15" s="9"/>
      <c r="P15" s="9"/>
      <c r="Q15" s="9"/>
      <c r="R15" s="9"/>
      <c r="S15" s="41"/>
      <c r="T15" s="51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153</v>
      </c>
      <c r="E16" s="49" t="s">
        <v>133</v>
      </c>
      <c r="F16" s="49"/>
      <c r="G16" s="50" t="s">
        <v>463</v>
      </c>
      <c r="H16" s="50" t="s">
        <v>279</v>
      </c>
      <c r="I16" s="9" t="s">
        <v>275</v>
      </c>
      <c r="J16" s="9"/>
      <c r="K16" s="9" t="s">
        <v>276</v>
      </c>
      <c r="L16" s="9"/>
      <c r="M16" s="9" t="s">
        <v>276</v>
      </c>
      <c r="N16" s="9"/>
      <c r="O16" s="9"/>
      <c r="P16" s="9"/>
      <c r="Q16" s="9"/>
      <c r="R16" s="9"/>
      <c r="S16" s="41"/>
      <c r="T16" s="51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86</v>
      </c>
      <c r="E17" s="49" t="s">
        <v>116</v>
      </c>
      <c r="F17" s="49"/>
      <c r="G17" s="50" t="s">
        <v>471</v>
      </c>
      <c r="H17" s="50" t="s">
        <v>292</v>
      </c>
      <c r="I17" s="9" t="s">
        <v>275</v>
      </c>
      <c r="J17" s="9"/>
      <c r="K17" s="9" t="s">
        <v>276</v>
      </c>
      <c r="L17" s="9"/>
      <c r="M17" s="9" t="s">
        <v>276</v>
      </c>
      <c r="N17" s="9"/>
      <c r="O17" s="9"/>
      <c r="P17" s="9"/>
      <c r="Q17" s="9"/>
      <c r="R17" s="9"/>
      <c r="S17" s="41"/>
      <c r="T17" s="51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90</v>
      </c>
      <c r="E18" s="49" t="s">
        <v>117</v>
      </c>
      <c r="F18" s="49"/>
      <c r="G18" s="50" t="s">
        <v>472</v>
      </c>
      <c r="H18" s="50" t="s">
        <v>293</v>
      </c>
      <c r="I18" s="9" t="s">
        <v>275</v>
      </c>
      <c r="J18" s="9"/>
      <c r="K18" s="9" t="s">
        <v>276</v>
      </c>
      <c r="L18" s="9"/>
      <c r="M18" s="9" t="s">
        <v>276</v>
      </c>
      <c r="N18" s="9"/>
      <c r="O18" s="9"/>
      <c r="P18" s="9"/>
      <c r="Q18" s="9"/>
      <c r="R18" s="9"/>
      <c r="S18" s="41"/>
      <c r="T18" s="51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88</v>
      </c>
      <c r="E19" s="49" t="s">
        <v>115</v>
      </c>
      <c r="F19" s="49"/>
      <c r="G19" s="50" t="s">
        <v>473</v>
      </c>
      <c r="H19" s="50" t="s">
        <v>294</v>
      </c>
      <c r="I19" s="9" t="s">
        <v>275</v>
      </c>
      <c r="J19" s="9"/>
      <c r="K19" s="9" t="s">
        <v>276</v>
      </c>
      <c r="L19" s="9"/>
      <c r="M19" s="9" t="s">
        <v>276</v>
      </c>
      <c r="N19" s="9"/>
      <c r="O19" s="9"/>
      <c r="P19" s="9"/>
      <c r="Q19" s="9"/>
      <c r="R19" s="9"/>
      <c r="S19" s="41"/>
      <c r="T19" s="51"/>
      <c r="U19" s="142"/>
      <c r="V19" s="143"/>
    </row>
    <row r="20" spans="1:22" s="11" customFormat="1" x14ac:dyDescent="0.2">
      <c r="A20" s="9">
        <v>10</v>
      </c>
      <c r="B20" s="9"/>
      <c r="C20" s="9"/>
      <c r="D20" s="9" t="s">
        <v>87</v>
      </c>
      <c r="E20" s="49" t="s">
        <v>115</v>
      </c>
      <c r="F20" s="49"/>
      <c r="G20" s="50" t="s">
        <v>474</v>
      </c>
      <c r="H20" s="50" t="s">
        <v>295</v>
      </c>
      <c r="I20" s="9" t="s">
        <v>275</v>
      </c>
      <c r="J20" s="9"/>
      <c r="K20" s="9" t="s">
        <v>276</v>
      </c>
      <c r="L20" s="9"/>
      <c r="M20" s="9" t="s">
        <v>276</v>
      </c>
      <c r="N20" s="9"/>
      <c r="O20" s="9"/>
      <c r="P20" s="9"/>
      <c r="Q20" s="9"/>
      <c r="R20" s="9"/>
      <c r="S20" s="41"/>
      <c r="T20" s="51"/>
      <c r="U20" s="142"/>
      <c r="V20" s="143"/>
    </row>
    <row r="21" spans="1:22" s="11" customFormat="1" x14ac:dyDescent="0.2">
      <c r="A21" s="9">
        <v>10</v>
      </c>
      <c r="B21" s="9"/>
      <c r="C21" s="9"/>
      <c r="D21" s="9" t="s">
        <v>92</v>
      </c>
      <c r="E21" s="49" t="s">
        <v>119</v>
      </c>
      <c r="F21" s="49"/>
      <c r="G21" s="50" t="s">
        <v>475</v>
      </c>
      <c r="H21" s="50" t="s">
        <v>296</v>
      </c>
      <c r="I21" s="9" t="s">
        <v>275</v>
      </c>
      <c r="J21" s="9"/>
      <c r="K21" s="9" t="s">
        <v>276</v>
      </c>
      <c r="L21" s="9"/>
      <c r="M21" s="9" t="s">
        <v>276</v>
      </c>
      <c r="N21" s="9"/>
      <c r="O21" s="9"/>
      <c r="P21" s="9"/>
      <c r="Q21" s="9"/>
      <c r="R21" s="9"/>
      <c r="S21" s="41"/>
      <c r="T21" s="51"/>
      <c r="U21" s="142"/>
      <c r="V21" s="143"/>
    </row>
    <row r="22" spans="1:22" s="11" customFormat="1" x14ac:dyDescent="0.2">
      <c r="A22" s="9">
        <v>10</v>
      </c>
      <c r="B22" s="9"/>
      <c r="C22" s="9"/>
      <c r="D22" s="9" t="s">
        <v>93</v>
      </c>
      <c r="E22" s="49" t="s">
        <v>120</v>
      </c>
      <c r="F22" s="49"/>
      <c r="G22" s="50" t="s">
        <v>476</v>
      </c>
      <c r="H22" s="50" t="s">
        <v>297</v>
      </c>
      <c r="I22" s="9" t="s">
        <v>275</v>
      </c>
      <c r="J22" s="9"/>
      <c r="K22" s="9" t="s">
        <v>276</v>
      </c>
      <c r="L22" s="9"/>
      <c r="M22" s="9" t="s">
        <v>276</v>
      </c>
      <c r="N22" s="9"/>
      <c r="O22" s="9"/>
      <c r="P22" s="9"/>
      <c r="Q22" s="9"/>
      <c r="R22" s="9"/>
      <c r="S22" s="41"/>
      <c r="T22" s="51"/>
      <c r="U22" s="142"/>
      <c r="V22" s="143"/>
    </row>
    <row r="23" spans="1:22" s="11" customFormat="1" x14ac:dyDescent="0.2">
      <c r="A23" s="9">
        <v>10</v>
      </c>
      <c r="B23" s="9"/>
      <c r="C23" s="9"/>
      <c r="D23" s="9" t="s">
        <v>94</v>
      </c>
      <c r="E23" s="49" t="s">
        <v>121</v>
      </c>
      <c r="F23" s="49"/>
      <c r="G23" s="50" t="s">
        <v>477</v>
      </c>
      <c r="H23" s="50" t="s">
        <v>298</v>
      </c>
      <c r="I23" s="9" t="s">
        <v>275</v>
      </c>
      <c r="J23" s="9"/>
      <c r="K23" s="9" t="s">
        <v>276</v>
      </c>
      <c r="L23" s="9"/>
      <c r="M23" s="9" t="s">
        <v>276</v>
      </c>
      <c r="N23" s="9"/>
      <c r="O23" s="9"/>
      <c r="P23" s="9"/>
      <c r="Q23" s="9"/>
      <c r="R23" s="9"/>
      <c r="S23" s="41"/>
      <c r="T23" s="51"/>
      <c r="U23" s="142"/>
      <c r="V23" s="143"/>
    </row>
    <row r="24" spans="1:22" s="11" customFormat="1" x14ac:dyDescent="0.2">
      <c r="A24" s="9">
        <v>10</v>
      </c>
      <c r="B24" s="9"/>
      <c r="C24" s="9"/>
      <c r="D24" s="9" t="s">
        <v>95</v>
      </c>
      <c r="E24" s="49" t="s">
        <v>122</v>
      </c>
      <c r="F24" s="49"/>
      <c r="G24" s="50" t="s">
        <v>478</v>
      </c>
      <c r="H24" s="50" t="s">
        <v>299</v>
      </c>
      <c r="I24" s="9" t="s">
        <v>275</v>
      </c>
      <c r="J24" s="9"/>
      <c r="K24" s="9" t="s">
        <v>276</v>
      </c>
      <c r="L24" s="9"/>
      <c r="M24" s="9" t="s">
        <v>276</v>
      </c>
      <c r="N24" s="9"/>
      <c r="O24" s="9"/>
      <c r="P24" s="9"/>
      <c r="Q24" s="9"/>
      <c r="R24" s="9"/>
      <c r="S24" s="41"/>
      <c r="T24" s="51"/>
      <c r="U24" s="142"/>
      <c r="V24" s="143"/>
    </row>
    <row r="25" spans="1:22" s="11" customFormat="1" x14ac:dyDescent="0.2">
      <c r="A25" s="9">
        <v>10</v>
      </c>
      <c r="B25" s="9"/>
      <c r="C25" s="9"/>
      <c r="D25" s="9" t="s">
        <v>96</v>
      </c>
      <c r="E25" s="49" t="s">
        <v>123</v>
      </c>
      <c r="F25" s="49"/>
      <c r="G25" s="50" t="s">
        <v>479</v>
      </c>
      <c r="H25" s="50" t="s">
        <v>300</v>
      </c>
      <c r="I25" s="9" t="s">
        <v>275</v>
      </c>
      <c r="J25" s="9"/>
      <c r="K25" s="9" t="s">
        <v>276</v>
      </c>
      <c r="L25" s="9"/>
      <c r="M25" s="9" t="s">
        <v>276</v>
      </c>
      <c r="N25" s="9"/>
      <c r="O25" s="9"/>
      <c r="P25" s="9"/>
      <c r="Q25" s="9"/>
      <c r="R25" s="9"/>
      <c r="S25" s="41"/>
      <c r="T25" s="51"/>
      <c r="U25" s="142"/>
      <c r="V25" s="143"/>
    </row>
    <row r="26" spans="1:22" s="11" customFormat="1" x14ac:dyDescent="0.2">
      <c r="A26" s="9">
        <v>10</v>
      </c>
      <c r="B26" s="9"/>
      <c r="C26" s="9"/>
      <c r="D26" s="9" t="s">
        <v>97</v>
      </c>
      <c r="E26" s="49" t="s">
        <v>124</v>
      </c>
      <c r="F26" s="49"/>
      <c r="G26" s="50" t="s">
        <v>480</v>
      </c>
      <c r="H26" s="50" t="s">
        <v>301</v>
      </c>
      <c r="I26" s="9" t="s">
        <v>275</v>
      </c>
      <c r="J26" s="9"/>
      <c r="K26" s="9" t="s">
        <v>276</v>
      </c>
      <c r="L26" s="9"/>
      <c r="M26" s="9" t="s">
        <v>276</v>
      </c>
      <c r="N26" s="9"/>
      <c r="O26" s="9"/>
      <c r="P26" s="9"/>
      <c r="Q26" s="9"/>
      <c r="R26" s="9"/>
      <c r="S26" s="41"/>
      <c r="T26" s="51"/>
      <c r="U26" s="142"/>
      <c r="V26" s="143"/>
    </row>
    <row r="27" spans="1:22" s="11" customFormat="1" x14ac:dyDescent="0.2">
      <c r="A27" s="9">
        <v>10</v>
      </c>
      <c r="B27" s="9"/>
      <c r="C27" s="9"/>
      <c r="D27" s="9" t="s">
        <v>98</v>
      </c>
      <c r="E27" s="49" t="s">
        <v>124</v>
      </c>
      <c r="F27" s="49"/>
      <c r="G27" s="50" t="s">
        <v>481</v>
      </c>
      <c r="H27" s="50" t="s">
        <v>302</v>
      </c>
      <c r="I27" s="9" t="s">
        <v>275</v>
      </c>
      <c r="J27" s="9"/>
      <c r="K27" s="9" t="s">
        <v>276</v>
      </c>
      <c r="L27" s="9"/>
      <c r="M27" s="9" t="s">
        <v>276</v>
      </c>
      <c r="N27" s="9"/>
      <c r="O27" s="9"/>
      <c r="P27" s="9"/>
      <c r="Q27" s="9"/>
      <c r="R27" s="9"/>
      <c r="S27" s="41"/>
      <c r="T27" s="51"/>
      <c r="U27" s="142"/>
      <c r="V27" s="143"/>
    </row>
    <row r="28" spans="1:22" s="11" customFormat="1" x14ac:dyDescent="0.2">
      <c r="A28" s="9">
        <v>10</v>
      </c>
      <c r="B28" s="9"/>
      <c r="C28" s="9"/>
      <c r="D28" s="9" t="s">
        <v>99</v>
      </c>
      <c r="E28" s="49" t="s">
        <v>125</v>
      </c>
      <c r="F28" s="49"/>
      <c r="G28" s="50" t="s">
        <v>482</v>
      </c>
      <c r="H28" s="50" t="s">
        <v>303</v>
      </c>
      <c r="I28" s="9" t="s">
        <v>275</v>
      </c>
      <c r="J28" s="9"/>
      <c r="K28" s="9" t="s">
        <v>276</v>
      </c>
      <c r="L28" s="9"/>
      <c r="M28" s="9" t="s">
        <v>276</v>
      </c>
      <c r="N28" s="9"/>
      <c r="O28" s="9"/>
      <c r="P28" s="9"/>
      <c r="Q28" s="9"/>
      <c r="R28" s="9"/>
      <c r="S28" s="41"/>
      <c r="T28" s="51"/>
      <c r="U28" s="142"/>
      <c r="V28" s="143"/>
    </row>
    <row r="29" spans="1:22" s="11" customFormat="1" ht="26" x14ac:dyDescent="0.2">
      <c r="A29" s="9">
        <v>10</v>
      </c>
      <c r="B29" s="9"/>
      <c r="C29" s="9"/>
      <c r="D29" s="9" t="s">
        <v>101</v>
      </c>
      <c r="E29" s="49" t="s">
        <v>127</v>
      </c>
      <c r="F29" s="49"/>
      <c r="G29" s="50" t="s">
        <v>483</v>
      </c>
      <c r="H29" s="50" t="s">
        <v>304</v>
      </c>
      <c r="I29" s="9" t="s">
        <v>275</v>
      </c>
      <c r="J29" s="9"/>
      <c r="K29" s="9" t="s">
        <v>276</v>
      </c>
      <c r="L29" s="9"/>
      <c r="M29" s="9" t="s">
        <v>276</v>
      </c>
      <c r="N29" s="9"/>
      <c r="O29" s="9"/>
      <c r="P29" s="9"/>
      <c r="Q29" s="9"/>
      <c r="R29" s="9"/>
      <c r="S29" s="41"/>
      <c r="T29" s="51"/>
      <c r="U29" s="142"/>
      <c r="V29" s="143"/>
    </row>
    <row r="30" spans="1:22" s="11" customFormat="1" x14ac:dyDescent="0.2">
      <c r="A30" s="9">
        <v>10</v>
      </c>
      <c r="B30" s="9"/>
      <c r="C30" s="9"/>
      <c r="D30" s="9" t="s">
        <v>103</v>
      </c>
      <c r="E30" s="49" t="s">
        <v>127</v>
      </c>
      <c r="F30" s="49"/>
      <c r="G30" s="50" t="s">
        <v>484</v>
      </c>
      <c r="H30" s="50" t="s">
        <v>305</v>
      </c>
      <c r="I30" s="9" t="s">
        <v>275</v>
      </c>
      <c r="J30" s="9"/>
      <c r="K30" s="9" t="s">
        <v>276</v>
      </c>
      <c r="L30" s="9"/>
      <c r="M30" s="9" t="s">
        <v>276</v>
      </c>
      <c r="N30" s="9"/>
      <c r="O30" s="9"/>
      <c r="P30" s="9"/>
      <c r="Q30" s="9"/>
      <c r="R30" s="9"/>
      <c r="S30" s="41"/>
      <c r="T30" s="51"/>
      <c r="U30" s="142"/>
      <c r="V30" s="143"/>
    </row>
    <row r="31" spans="1:22" s="11" customFormat="1" x14ac:dyDescent="0.2">
      <c r="A31" s="9">
        <v>10</v>
      </c>
      <c r="B31" s="9"/>
      <c r="C31" s="9"/>
      <c r="D31" s="9" t="s">
        <v>391</v>
      </c>
      <c r="E31" s="49" t="s">
        <v>387</v>
      </c>
      <c r="F31" s="49"/>
      <c r="G31" s="50" t="s">
        <v>485</v>
      </c>
      <c r="H31" s="50" t="s">
        <v>390</v>
      </c>
      <c r="I31" s="9" t="s">
        <v>275</v>
      </c>
      <c r="J31" s="9"/>
      <c r="K31" s="9" t="s">
        <v>276</v>
      </c>
      <c r="L31" s="9"/>
      <c r="M31" s="9" t="s">
        <v>276</v>
      </c>
      <c r="N31" s="9"/>
      <c r="O31" s="9"/>
      <c r="P31" s="9"/>
      <c r="Q31" s="9"/>
      <c r="R31" s="9"/>
      <c r="S31" s="41"/>
      <c r="T31" s="51"/>
      <c r="U31" s="142"/>
      <c r="V31" s="143"/>
    </row>
    <row r="32" spans="1:22" s="11" customFormat="1" x14ac:dyDescent="0.2">
      <c r="A32" s="9">
        <v>10</v>
      </c>
      <c r="B32" s="9"/>
      <c r="C32" s="9"/>
      <c r="D32" s="9" t="s">
        <v>105</v>
      </c>
      <c r="E32" s="49" t="s">
        <v>54</v>
      </c>
      <c r="F32" s="49"/>
      <c r="G32" s="50" t="s">
        <v>486</v>
      </c>
      <c r="H32" s="50" t="s">
        <v>306</v>
      </c>
      <c r="I32" s="9" t="s">
        <v>275</v>
      </c>
      <c r="J32" s="9"/>
      <c r="K32" s="9" t="s">
        <v>276</v>
      </c>
      <c r="L32" s="9"/>
      <c r="M32" s="9" t="s">
        <v>276</v>
      </c>
      <c r="N32" s="9"/>
      <c r="O32" s="9"/>
      <c r="P32" s="9"/>
      <c r="Q32" s="9"/>
      <c r="R32" s="9"/>
      <c r="S32" s="41"/>
      <c r="T32" s="51"/>
      <c r="U32" s="142"/>
      <c r="V32" s="143"/>
    </row>
    <row r="33" spans="1:22" s="11" customFormat="1" x14ac:dyDescent="0.2">
      <c r="A33" s="9">
        <v>10</v>
      </c>
      <c r="B33" s="9"/>
      <c r="C33" s="9"/>
      <c r="D33" s="9" t="s">
        <v>106</v>
      </c>
      <c r="E33" s="49" t="s">
        <v>54</v>
      </c>
      <c r="F33" s="49"/>
      <c r="G33" s="50" t="s">
        <v>487</v>
      </c>
      <c r="H33" s="50" t="s">
        <v>307</v>
      </c>
      <c r="I33" s="9" t="s">
        <v>275</v>
      </c>
      <c r="J33" s="9"/>
      <c r="K33" s="9" t="s">
        <v>276</v>
      </c>
      <c r="L33" s="9"/>
      <c r="M33" s="9" t="s">
        <v>276</v>
      </c>
      <c r="N33" s="9"/>
      <c r="O33" s="9"/>
      <c r="P33" s="9"/>
      <c r="Q33" s="9"/>
      <c r="R33" s="9"/>
      <c r="S33" s="41"/>
      <c r="T33" s="51"/>
      <c r="U33" s="142"/>
      <c r="V33" s="143"/>
    </row>
    <row r="34" spans="1:22" s="11" customFormat="1" x14ac:dyDescent="0.2">
      <c r="A34" s="9">
        <v>10</v>
      </c>
      <c r="B34" s="9"/>
      <c r="C34" s="9"/>
      <c r="D34" s="9" t="s">
        <v>107</v>
      </c>
      <c r="E34" s="49" t="s">
        <v>54</v>
      </c>
      <c r="F34" s="49"/>
      <c r="G34" s="50" t="s">
        <v>488</v>
      </c>
      <c r="H34" s="50" t="s">
        <v>308</v>
      </c>
      <c r="I34" s="9" t="s">
        <v>275</v>
      </c>
      <c r="J34" s="9"/>
      <c r="K34" s="9" t="s">
        <v>276</v>
      </c>
      <c r="L34" s="9"/>
      <c r="M34" s="9" t="s">
        <v>276</v>
      </c>
      <c r="N34" s="9"/>
      <c r="O34" s="9"/>
      <c r="P34" s="9"/>
      <c r="Q34" s="9"/>
      <c r="R34" s="9"/>
      <c r="S34" s="41"/>
      <c r="T34" s="51"/>
      <c r="U34" s="142"/>
      <c r="V34" s="143"/>
    </row>
    <row r="35" spans="1:22" s="11" customFormat="1" x14ac:dyDescent="0.2">
      <c r="A35" s="9">
        <v>10</v>
      </c>
      <c r="B35" s="9"/>
      <c r="C35" s="9"/>
      <c r="D35" s="9" t="s">
        <v>108</v>
      </c>
      <c r="E35" s="49" t="s">
        <v>54</v>
      </c>
      <c r="F35" s="49"/>
      <c r="G35" s="50" t="s">
        <v>489</v>
      </c>
      <c r="H35" s="50" t="s">
        <v>309</v>
      </c>
      <c r="I35" s="9" t="s">
        <v>275</v>
      </c>
      <c r="J35" s="9"/>
      <c r="K35" s="9" t="s">
        <v>276</v>
      </c>
      <c r="L35" s="9"/>
      <c r="M35" s="9" t="s">
        <v>276</v>
      </c>
      <c r="N35" s="9"/>
      <c r="O35" s="9"/>
      <c r="P35" s="9"/>
      <c r="Q35" s="9"/>
      <c r="R35" s="9"/>
      <c r="S35" s="41"/>
      <c r="T35" s="51"/>
      <c r="U35" s="142"/>
      <c r="V35" s="143"/>
    </row>
    <row r="36" spans="1:22" s="11" customFormat="1" x14ac:dyDescent="0.2">
      <c r="A36" s="9">
        <v>10</v>
      </c>
      <c r="B36" s="9"/>
      <c r="C36" s="9"/>
      <c r="D36" s="9" t="s">
        <v>109</v>
      </c>
      <c r="E36" s="49" t="s">
        <v>54</v>
      </c>
      <c r="F36" s="49"/>
      <c r="G36" s="50" t="s">
        <v>490</v>
      </c>
      <c r="H36" s="50" t="s">
        <v>310</v>
      </c>
      <c r="I36" s="9" t="s">
        <v>275</v>
      </c>
      <c r="J36" s="9"/>
      <c r="K36" s="9" t="s">
        <v>276</v>
      </c>
      <c r="L36" s="9"/>
      <c r="M36" s="9" t="s">
        <v>276</v>
      </c>
      <c r="N36" s="9"/>
      <c r="O36" s="9"/>
      <c r="P36" s="9"/>
      <c r="Q36" s="9"/>
      <c r="R36" s="9"/>
      <c r="S36" s="41"/>
      <c r="T36" s="51"/>
      <c r="U36" s="142"/>
      <c r="V36" s="143"/>
    </row>
    <row r="37" spans="1:22" s="11" customFormat="1" x14ac:dyDescent="0.2">
      <c r="A37" s="9">
        <v>10</v>
      </c>
      <c r="B37" s="9"/>
      <c r="C37" s="9"/>
      <c r="D37" s="9" t="s">
        <v>110</v>
      </c>
      <c r="E37" s="49" t="s">
        <v>54</v>
      </c>
      <c r="F37" s="49"/>
      <c r="G37" s="50" t="s">
        <v>491</v>
      </c>
      <c r="H37" s="50" t="s">
        <v>311</v>
      </c>
      <c r="I37" s="9" t="s">
        <v>275</v>
      </c>
      <c r="J37" s="9"/>
      <c r="K37" s="9" t="s">
        <v>276</v>
      </c>
      <c r="L37" s="9"/>
      <c r="M37" s="9" t="s">
        <v>276</v>
      </c>
      <c r="N37" s="9"/>
      <c r="O37" s="9"/>
      <c r="P37" s="9"/>
      <c r="Q37" s="9"/>
      <c r="R37" s="9"/>
      <c r="S37" s="41"/>
      <c r="T37" s="51"/>
      <c r="U37" s="142"/>
      <c r="V37" s="143"/>
    </row>
    <row r="38" spans="1:22" s="11" customFormat="1" x14ac:dyDescent="0.2">
      <c r="A38" s="9">
        <v>10</v>
      </c>
      <c r="B38" s="9"/>
      <c r="C38" s="9"/>
      <c r="D38" s="9" t="s">
        <v>111</v>
      </c>
      <c r="E38" s="49" t="s">
        <v>54</v>
      </c>
      <c r="F38" s="49"/>
      <c r="G38" s="50" t="s">
        <v>492</v>
      </c>
      <c r="H38" s="50" t="s">
        <v>312</v>
      </c>
      <c r="I38" s="9" t="s">
        <v>275</v>
      </c>
      <c r="J38" s="9"/>
      <c r="K38" s="9" t="s">
        <v>276</v>
      </c>
      <c r="L38" s="9"/>
      <c r="M38" s="9" t="s">
        <v>276</v>
      </c>
      <c r="N38" s="9"/>
      <c r="O38" s="9"/>
      <c r="P38" s="9"/>
      <c r="Q38" s="9"/>
      <c r="R38" s="9"/>
      <c r="S38" s="41"/>
      <c r="T38" s="51"/>
      <c r="U38" s="142"/>
      <c r="V38" s="143"/>
    </row>
    <row r="39" spans="1:22" s="11" customFormat="1" x14ac:dyDescent="0.2">
      <c r="A39" s="9">
        <v>10</v>
      </c>
      <c r="B39" s="9"/>
      <c r="C39" s="9"/>
      <c r="D39" s="9" t="s">
        <v>112</v>
      </c>
      <c r="E39" s="49" t="s">
        <v>54</v>
      </c>
      <c r="F39" s="49"/>
      <c r="G39" s="50" t="s">
        <v>493</v>
      </c>
      <c r="H39" s="50" t="s">
        <v>230</v>
      </c>
      <c r="I39" s="9" t="s">
        <v>275</v>
      </c>
      <c r="J39" s="9"/>
      <c r="K39" s="9" t="s">
        <v>276</v>
      </c>
      <c r="L39" s="9"/>
      <c r="M39" s="9" t="s">
        <v>276</v>
      </c>
      <c r="N39" s="9"/>
      <c r="O39" s="9"/>
      <c r="P39" s="9"/>
      <c r="Q39" s="9"/>
      <c r="R39" s="9"/>
      <c r="S39" s="41"/>
      <c r="T39" s="51"/>
      <c r="U39" s="142"/>
      <c r="V39" s="143"/>
    </row>
    <row r="40" spans="1:22" s="11" customFormat="1" x14ac:dyDescent="0.2">
      <c r="A40" s="9">
        <v>10</v>
      </c>
      <c r="B40" s="9"/>
      <c r="C40" s="9"/>
      <c r="D40" s="9" t="s">
        <v>229</v>
      </c>
      <c r="E40" s="49" t="s">
        <v>54</v>
      </c>
      <c r="F40" s="49"/>
      <c r="G40" s="50" t="s">
        <v>494</v>
      </c>
      <c r="H40" s="50" t="s">
        <v>313</v>
      </c>
      <c r="I40" s="9" t="s">
        <v>275</v>
      </c>
      <c r="J40" s="9"/>
      <c r="K40" s="9" t="s">
        <v>276</v>
      </c>
      <c r="L40" s="9"/>
      <c r="M40" s="9" t="s">
        <v>276</v>
      </c>
      <c r="N40" s="9"/>
      <c r="O40" s="9"/>
      <c r="P40" s="9"/>
      <c r="Q40" s="9"/>
      <c r="R40" s="9"/>
      <c r="S40" s="41"/>
      <c r="T40" s="51"/>
      <c r="U40" s="142"/>
      <c r="V40" s="143"/>
    </row>
    <row r="41" spans="1:22" s="11" customFormat="1" x14ac:dyDescent="0.2">
      <c r="A41" s="9">
        <v>10</v>
      </c>
      <c r="B41" s="9"/>
      <c r="C41" s="9"/>
      <c r="D41" s="9" t="s">
        <v>113</v>
      </c>
      <c r="E41" s="49" t="s">
        <v>54</v>
      </c>
      <c r="F41" s="49"/>
      <c r="G41" s="50" t="s">
        <v>495</v>
      </c>
      <c r="H41" s="50" t="s">
        <v>314</v>
      </c>
      <c r="I41" s="9" t="s">
        <v>275</v>
      </c>
      <c r="J41" s="9"/>
      <c r="K41" s="9" t="s">
        <v>276</v>
      </c>
      <c r="L41" s="9"/>
      <c r="M41" s="9" t="s">
        <v>276</v>
      </c>
      <c r="N41" s="9"/>
      <c r="O41" s="9"/>
      <c r="P41" s="9"/>
      <c r="Q41" s="9"/>
      <c r="R41" s="9"/>
      <c r="S41" s="41"/>
      <c r="T41" s="51"/>
      <c r="U41" s="142"/>
      <c r="V41" s="143"/>
    </row>
    <row r="42" spans="1:22" s="11" customFormat="1" x14ac:dyDescent="0.2">
      <c r="A42" s="9">
        <v>10</v>
      </c>
      <c r="B42" s="9"/>
      <c r="C42" s="9"/>
      <c r="D42" s="9" t="s">
        <v>114</v>
      </c>
      <c r="E42" s="49" t="s">
        <v>54</v>
      </c>
      <c r="F42" s="49"/>
      <c r="G42" s="50" t="s">
        <v>496</v>
      </c>
      <c r="H42" s="50" t="s">
        <v>315</v>
      </c>
      <c r="I42" s="9" t="s">
        <v>275</v>
      </c>
      <c r="J42" s="9"/>
      <c r="K42" s="9" t="s">
        <v>276</v>
      </c>
      <c r="L42" s="9"/>
      <c r="M42" s="9" t="s">
        <v>276</v>
      </c>
      <c r="N42" s="9"/>
      <c r="O42" s="9"/>
      <c r="P42" s="9"/>
      <c r="Q42" s="9"/>
      <c r="R42" s="9"/>
      <c r="S42" s="41"/>
      <c r="T42" s="51"/>
      <c r="U42" s="142"/>
      <c r="V42" s="143"/>
    </row>
    <row r="43" spans="1:22" s="11" customFormat="1" x14ac:dyDescent="0.2">
      <c r="A43" s="9">
        <v>10</v>
      </c>
      <c r="B43" s="9"/>
      <c r="C43" s="9"/>
      <c r="D43" s="9" t="s">
        <v>233</v>
      </c>
      <c r="E43" s="49" t="s">
        <v>237</v>
      </c>
      <c r="F43" s="49"/>
      <c r="G43" s="50" t="s">
        <v>497</v>
      </c>
      <c r="H43" s="50" t="s">
        <v>316</v>
      </c>
      <c r="I43" s="9" t="s">
        <v>275</v>
      </c>
      <c r="J43" s="9"/>
      <c r="K43" s="9" t="s">
        <v>276</v>
      </c>
      <c r="L43" s="9"/>
      <c r="M43" s="9" t="s">
        <v>276</v>
      </c>
      <c r="N43" s="9"/>
      <c r="O43" s="9"/>
      <c r="P43" s="9"/>
      <c r="Q43" s="9"/>
      <c r="R43" s="9"/>
      <c r="S43" s="41"/>
      <c r="T43" s="51"/>
      <c r="U43" s="67"/>
      <c r="V43" s="68"/>
    </row>
    <row r="44" spans="1:22" s="11" customFormat="1" x14ac:dyDescent="0.2">
      <c r="A44" s="9">
        <v>10</v>
      </c>
      <c r="B44" s="9"/>
      <c r="C44" s="9"/>
      <c r="D44" s="9" t="s">
        <v>235</v>
      </c>
      <c r="E44" s="49" t="s">
        <v>239</v>
      </c>
      <c r="F44" s="49"/>
      <c r="G44" s="50" t="s">
        <v>498</v>
      </c>
      <c r="H44" s="50" t="s">
        <v>317</v>
      </c>
      <c r="I44" s="9" t="s">
        <v>275</v>
      </c>
      <c r="J44" s="9"/>
      <c r="K44" s="9" t="s">
        <v>276</v>
      </c>
      <c r="L44" s="9"/>
      <c r="M44" s="9" t="s">
        <v>276</v>
      </c>
      <c r="N44" s="9"/>
      <c r="O44" s="9"/>
      <c r="P44" s="9"/>
      <c r="Q44" s="9"/>
      <c r="R44" s="9"/>
      <c r="S44" s="41"/>
      <c r="T44" s="51"/>
      <c r="U44" s="67"/>
      <c r="V44" s="68"/>
    </row>
    <row r="45" spans="1:22" s="11" customFormat="1" x14ac:dyDescent="0.2">
      <c r="A45" s="9">
        <v>10</v>
      </c>
      <c r="B45" s="9"/>
      <c r="C45" s="9"/>
      <c r="D45" s="9" t="s">
        <v>47</v>
      </c>
      <c r="E45" s="49" t="s">
        <v>48</v>
      </c>
      <c r="F45" s="49"/>
      <c r="G45" s="50" t="s">
        <v>465</v>
      </c>
      <c r="H45" s="50" t="s">
        <v>282</v>
      </c>
      <c r="I45" s="9" t="s">
        <v>275</v>
      </c>
      <c r="J45" s="9"/>
      <c r="K45" s="9" t="s">
        <v>276</v>
      </c>
      <c r="L45" s="9"/>
      <c r="M45" s="9" t="s">
        <v>276</v>
      </c>
      <c r="N45" s="9"/>
      <c r="O45" s="9"/>
      <c r="P45" s="9"/>
      <c r="Q45" s="9"/>
      <c r="R45" s="9"/>
      <c r="S45" s="41"/>
      <c r="T45" s="51"/>
      <c r="U45" s="142"/>
      <c r="V45" s="143"/>
    </row>
    <row r="46" spans="1:22" s="11" customFormat="1" x14ac:dyDescent="0.2">
      <c r="A46" s="9">
        <v>10</v>
      </c>
      <c r="B46" s="9"/>
      <c r="C46" s="9"/>
      <c r="D46" s="9" t="s">
        <v>51</v>
      </c>
      <c r="E46" s="49" t="s">
        <v>52</v>
      </c>
      <c r="F46" s="49"/>
      <c r="G46" s="50" t="s">
        <v>466</v>
      </c>
      <c r="H46" s="50" t="s">
        <v>283</v>
      </c>
      <c r="I46" s="9" t="s">
        <v>275</v>
      </c>
      <c r="J46" s="9"/>
      <c r="K46" s="9" t="s">
        <v>276</v>
      </c>
      <c r="L46" s="9"/>
      <c r="M46" s="9" t="s">
        <v>276</v>
      </c>
      <c r="N46" s="9"/>
      <c r="O46" s="9"/>
      <c r="P46" s="9"/>
      <c r="Q46" s="9"/>
      <c r="R46" s="9"/>
      <c r="S46" s="41"/>
      <c r="T46" s="51"/>
      <c r="U46" s="142"/>
      <c r="V46" s="143"/>
    </row>
    <row r="47" spans="1:22" s="11" customFormat="1" x14ac:dyDescent="0.2">
      <c r="A47" s="9">
        <v>10</v>
      </c>
      <c r="B47" s="9"/>
      <c r="C47" s="9"/>
      <c r="D47" s="9" t="s">
        <v>49</v>
      </c>
      <c r="E47" s="49" t="s">
        <v>50</v>
      </c>
      <c r="F47" s="49"/>
      <c r="G47" s="50" t="s">
        <v>467</v>
      </c>
      <c r="H47" s="50" t="s">
        <v>284</v>
      </c>
      <c r="I47" s="9" t="s">
        <v>275</v>
      </c>
      <c r="J47" s="9"/>
      <c r="K47" s="9" t="s">
        <v>276</v>
      </c>
      <c r="L47" s="9"/>
      <c r="M47" s="9" t="s">
        <v>276</v>
      </c>
      <c r="N47" s="9"/>
      <c r="O47" s="9"/>
      <c r="P47" s="9"/>
      <c r="Q47" s="9"/>
      <c r="R47" s="9"/>
      <c r="S47" s="41"/>
      <c r="T47" s="51"/>
      <c r="U47" s="142"/>
      <c r="V47" s="143"/>
    </row>
    <row r="48" spans="1:22" s="11" customFormat="1" x14ac:dyDescent="0.2">
      <c r="A48" s="9">
        <v>10</v>
      </c>
      <c r="B48" s="9"/>
      <c r="C48" s="9"/>
      <c r="D48" s="9" t="s">
        <v>70</v>
      </c>
      <c r="E48" s="49" t="s">
        <v>55</v>
      </c>
      <c r="F48" s="49"/>
      <c r="G48" s="50" t="s">
        <v>499</v>
      </c>
      <c r="H48" s="50" t="s">
        <v>318</v>
      </c>
      <c r="I48" s="9" t="s">
        <v>275</v>
      </c>
      <c r="J48" s="9"/>
      <c r="K48" s="9" t="s">
        <v>276</v>
      </c>
      <c r="L48" s="9"/>
      <c r="M48" s="9" t="s">
        <v>276</v>
      </c>
      <c r="N48" s="9"/>
      <c r="O48" s="9"/>
      <c r="P48" s="9"/>
      <c r="Q48" s="9"/>
      <c r="R48" s="9"/>
      <c r="S48" s="41"/>
      <c r="T48" s="51"/>
      <c r="U48" s="142"/>
      <c r="V48" s="143"/>
    </row>
    <row r="49" spans="1:22" s="11" customFormat="1" x14ac:dyDescent="0.2">
      <c r="A49" s="9">
        <v>10</v>
      </c>
      <c r="B49" s="9"/>
      <c r="C49" s="9"/>
      <c r="D49" s="9" t="s">
        <v>331</v>
      </c>
      <c r="E49" s="49" t="s">
        <v>332</v>
      </c>
      <c r="F49" s="49"/>
      <c r="G49" s="50" t="s">
        <v>468</v>
      </c>
      <c r="H49" s="50" t="s">
        <v>285</v>
      </c>
      <c r="I49" s="9" t="s">
        <v>275</v>
      </c>
      <c r="J49" s="9"/>
      <c r="K49" s="9" t="s">
        <v>276</v>
      </c>
      <c r="L49" s="9"/>
      <c r="M49" s="9" t="s">
        <v>276</v>
      </c>
      <c r="N49" s="9"/>
      <c r="O49" s="9"/>
      <c r="P49" s="9"/>
      <c r="Q49" s="9"/>
      <c r="R49" s="9"/>
      <c r="S49" s="41"/>
      <c r="T49" s="51"/>
      <c r="U49" s="142"/>
      <c r="V49" s="143"/>
    </row>
    <row r="50" spans="1:22" s="11" customFormat="1" x14ac:dyDescent="0.2">
      <c r="A50" s="52"/>
      <c r="B50" s="53"/>
      <c r="C50" s="53"/>
      <c r="D50" s="27" t="s">
        <v>1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4"/>
      <c r="T50" s="4"/>
      <c r="U50" s="6"/>
      <c r="V50" s="23"/>
    </row>
    <row r="51" spans="1:22" s="11" customFormat="1" x14ac:dyDescent="0.2">
      <c r="A51" s="74"/>
      <c r="V51" s="54"/>
    </row>
    <row r="52" spans="1:22" s="11" customFormat="1" x14ac:dyDescent="0.2">
      <c r="A52" s="74"/>
      <c r="V52" s="54"/>
    </row>
    <row r="53" spans="1:22" s="11" customFormat="1" x14ac:dyDescent="0.2">
      <c r="A53" s="74"/>
      <c r="V53" s="54"/>
    </row>
    <row r="54" spans="1:22" s="11" customFormat="1" x14ac:dyDescent="0.2">
      <c r="A54" s="7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20"/>
    </row>
  </sheetData>
  <dataConsolidate/>
  <mergeCells count="36">
    <mergeCell ref="U47:V47"/>
    <mergeCell ref="U48:V48"/>
    <mergeCell ref="U49:V49"/>
    <mergeCell ref="U38:V38"/>
    <mergeCell ref="U39:V39"/>
    <mergeCell ref="U41:V41"/>
    <mergeCell ref="U42:V42"/>
    <mergeCell ref="U45:V45"/>
    <mergeCell ref="U46:V46"/>
    <mergeCell ref="U40:V40"/>
    <mergeCell ref="U37:V37"/>
    <mergeCell ref="U25:V25"/>
    <mergeCell ref="U26:V26"/>
    <mergeCell ref="U27:V27"/>
    <mergeCell ref="U28:V28"/>
    <mergeCell ref="U29:V29"/>
    <mergeCell ref="U31:V31"/>
    <mergeCell ref="U32:V32"/>
    <mergeCell ref="U33:V33"/>
    <mergeCell ref="U34:V34"/>
    <mergeCell ref="U35:V35"/>
    <mergeCell ref="U36:V36"/>
    <mergeCell ref="U30:V30"/>
    <mergeCell ref="U24:V24"/>
    <mergeCell ref="U12:V12"/>
    <mergeCell ref="U14:V14"/>
    <mergeCell ref="U16:V16"/>
    <mergeCell ref="U17:V17"/>
    <mergeCell ref="U18:V18"/>
    <mergeCell ref="U19:V19"/>
    <mergeCell ref="U20:V20"/>
    <mergeCell ref="U21:V21"/>
    <mergeCell ref="U22:V22"/>
    <mergeCell ref="U23:V23"/>
    <mergeCell ref="U13:V13"/>
    <mergeCell ref="U15:V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pageSetUpPr fitToPage="1"/>
  </sheetPr>
  <dimension ref="A1:R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70" t="s">
        <v>165</v>
      </c>
      <c r="B1" s="70" t="s">
        <v>165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1" t="s">
        <v>165</v>
      </c>
      <c r="B2" s="72"/>
      <c r="C2" s="72"/>
      <c r="D2" s="82" t="s">
        <v>447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MABCL0280</v>
      </c>
      <c r="I2" s="7" t="s">
        <v>190</v>
      </c>
      <c r="J2" s="9" t="s">
        <v>193</v>
      </c>
      <c r="K2" s="7" t="s">
        <v>30</v>
      </c>
      <c r="L2" s="73" t="str">
        <f>IF(LogicCommon!G2="","",LogicCommon!G2)</f>
        <v>MC</v>
      </c>
      <c r="M2" s="5" t="s">
        <v>166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74" t="s">
        <v>165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MABCL_DptReg</v>
      </c>
      <c r="I3" s="7" t="s">
        <v>31</v>
      </c>
      <c r="J3" s="9" t="s">
        <v>167</v>
      </c>
      <c r="K3" s="7" t="s">
        <v>45</v>
      </c>
      <c r="L3" s="73" t="str">
        <f>IF(LogicCommon!G3="","",LogicCommon!G3)</f>
        <v/>
      </c>
      <c r="M3" s="77" t="s">
        <v>33</v>
      </c>
      <c r="N3" s="7"/>
      <c r="O3" s="7" t="s">
        <v>169</v>
      </c>
      <c r="P3" s="9" t="s">
        <v>197</v>
      </c>
      <c r="Q3" s="4"/>
      <c r="R3" s="4"/>
    </row>
    <row r="4" spans="1:18" s="11" customFormat="1" x14ac:dyDescent="0.2">
      <c r="A4" s="74" t="s">
        <v>165</v>
      </c>
      <c r="B4" s="75"/>
      <c r="C4" s="75"/>
      <c r="D4" s="4"/>
      <c r="E4" s="7" t="s">
        <v>8</v>
      </c>
      <c r="F4" s="10" t="s">
        <v>386</v>
      </c>
      <c r="G4" s="7" t="s">
        <v>11</v>
      </c>
      <c r="H4" s="73" t="str">
        <f>IF(LogicCommon!E4="","",LogicCommon!E4)</f>
        <v>部門マスタ登録</v>
      </c>
      <c r="I4" s="7" t="s">
        <v>170</v>
      </c>
      <c r="J4" s="9" t="s">
        <v>265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4"/>
    </row>
    <row r="5" spans="1:18" s="11" customFormat="1" x14ac:dyDescent="0.2">
      <c r="A5" s="79" t="s">
        <v>165</v>
      </c>
      <c r="B5" s="70"/>
      <c r="C5" s="70"/>
      <c r="D5" s="26"/>
      <c r="E5" s="7" t="s">
        <v>22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</row>
    <row r="6" spans="1:18" s="11" customFormat="1" x14ac:dyDescent="0.2">
      <c r="A6" s="74" t="s">
        <v>165</v>
      </c>
      <c r="B6" s="75"/>
      <c r="C6" s="75"/>
      <c r="D6" s="4" t="s">
        <v>6</v>
      </c>
      <c r="E6" s="16" t="s">
        <v>264</v>
      </c>
      <c r="F6" s="16"/>
      <c r="G6" s="16"/>
      <c r="H6" s="16"/>
      <c r="I6" s="16"/>
      <c r="J6" s="16"/>
      <c r="K6" s="16"/>
      <c r="L6" s="81"/>
      <c r="M6" s="19"/>
      <c r="N6" s="19" t="s">
        <v>272</v>
      </c>
      <c r="O6" s="19"/>
      <c r="P6" s="19"/>
      <c r="Q6" s="19"/>
      <c r="R6" s="27"/>
    </row>
    <row r="7" spans="1:18" s="11" customFormat="1" x14ac:dyDescent="0.2">
      <c r="A7" s="30" t="s">
        <v>191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192</v>
      </c>
      <c r="L7" s="32" t="s">
        <v>204</v>
      </c>
      <c r="M7" s="33" t="s">
        <v>68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5"/>
      <c r="C8" s="86"/>
      <c r="D8" s="83" t="s">
        <v>448</v>
      </c>
      <c r="E8" s="83" t="s">
        <v>449</v>
      </c>
      <c r="F8" s="81"/>
      <c r="G8" s="83" t="s">
        <v>286</v>
      </c>
      <c r="H8" s="83" t="s">
        <v>450</v>
      </c>
      <c r="I8" s="81"/>
      <c r="J8" s="3"/>
      <c r="K8" s="9" t="s">
        <v>176</v>
      </c>
      <c r="L8" s="9" t="s">
        <v>205</v>
      </c>
      <c r="M8" s="33" t="s">
        <v>69</v>
      </c>
      <c r="N8" s="9"/>
      <c r="O8" s="87"/>
      <c r="P8" s="88"/>
      <c r="Q8" s="89" t="s">
        <v>451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3" t="s">
        <v>452</v>
      </c>
      <c r="E9" s="90" t="s">
        <v>453</v>
      </c>
      <c r="F9" s="83" t="s">
        <v>454</v>
      </c>
      <c r="G9" s="83" t="s">
        <v>455</v>
      </c>
      <c r="H9" s="83" t="s">
        <v>456</v>
      </c>
      <c r="I9" s="91" t="s">
        <v>457</v>
      </c>
      <c r="J9" s="83" t="s">
        <v>458</v>
      </c>
      <c r="K9" s="33"/>
      <c r="L9" s="33"/>
      <c r="M9" s="33"/>
      <c r="N9" s="33"/>
      <c r="O9" s="89" t="s">
        <v>459</v>
      </c>
      <c r="P9" s="51"/>
      <c r="Q9" s="89" t="s">
        <v>460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84" t="s">
        <v>457</v>
      </c>
      <c r="N10" s="84" t="s">
        <v>458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194</v>
      </c>
      <c r="E11" s="34" t="s">
        <v>178</v>
      </c>
      <c r="F11" s="44"/>
      <c r="G11" s="28" t="s">
        <v>287</v>
      </c>
      <c r="H11" s="45" t="s">
        <v>333</v>
      </c>
      <c r="I11" s="46"/>
      <c r="J11" s="47"/>
      <c r="K11" s="48"/>
      <c r="L11" s="48"/>
      <c r="M11" s="48"/>
      <c r="N11" s="48"/>
      <c r="O11" s="35"/>
      <c r="P11" s="36"/>
      <c r="Q11" s="67"/>
      <c r="R11" s="69"/>
    </row>
    <row r="12" spans="1:18" s="11" customFormat="1" x14ac:dyDescent="0.2">
      <c r="A12" s="9">
        <v>10</v>
      </c>
      <c r="B12" s="9"/>
      <c r="C12" s="9"/>
      <c r="D12" s="9" t="s">
        <v>151</v>
      </c>
      <c r="E12" s="49" t="s">
        <v>115</v>
      </c>
      <c r="F12" s="49"/>
      <c r="G12" s="50" t="s">
        <v>508</v>
      </c>
      <c r="H12" s="50" t="s">
        <v>334</v>
      </c>
      <c r="I12" s="9" t="s">
        <v>275</v>
      </c>
      <c r="J12" s="9"/>
      <c r="K12" s="9" t="s">
        <v>275</v>
      </c>
      <c r="L12" s="9"/>
      <c r="M12" s="9"/>
      <c r="N12" s="9"/>
      <c r="O12" s="41"/>
      <c r="P12" s="51"/>
      <c r="Q12" s="142"/>
      <c r="R12" s="143"/>
    </row>
    <row r="13" spans="1:18" s="11" customFormat="1" x14ac:dyDescent="0.2">
      <c r="A13" s="9">
        <v>10</v>
      </c>
      <c r="B13" s="9"/>
      <c r="C13" s="9"/>
      <c r="D13" s="9" t="s">
        <v>222</v>
      </c>
      <c r="E13" s="49" t="s">
        <v>115</v>
      </c>
      <c r="F13" s="49"/>
      <c r="G13" s="50" t="s">
        <v>509</v>
      </c>
      <c r="H13" s="50" t="s">
        <v>335</v>
      </c>
      <c r="I13" s="9" t="s">
        <v>275</v>
      </c>
      <c r="J13" s="9"/>
      <c r="K13" s="9"/>
      <c r="L13" s="9"/>
      <c r="M13" s="9"/>
      <c r="N13" s="9"/>
      <c r="O13" s="41"/>
      <c r="P13" s="51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152</v>
      </c>
      <c r="E14" s="49" t="s">
        <v>133</v>
      </c>
      <c r="F14" s="49"/>
      <c r="G14" s="50" t="s">
        <v>461</v>
      </c>
      <c r="H14" s="50" t="s">
        <v>274</v>
      </c>
      <c r="I14" s="9" t="s">
        <v>275</v>
      </c>
      <c r="J14" s="9"/>
      <c r="K14" s="9" t="s">
        <v>275</v>
      </c>
      <c r="L14" s="9" t="s">
        <v>277</v>
      </c>
      <c r="M14" s="9"/>
      <c r="N14" s="9"/>
      <c r="O14" s="41"/>
      <c r="P14" s="51"/>
      <c r="Q14" s="142"/>
      <c r="R14" s="143"/>
    </row>
    <row r="15" spans="1:18" s="11" customFormat="1" ht="26" x14ac:dyDescent="0.2">
      <c r="A15" s="9">
        <v>10</v>
      </c>
      <c r="B15" s="9"/>
      <c r="C15" s="9"/>
      <c r="D15" s="9" t="s">
        <v>213</v>
      </c>
      <c r="E15" s="49" t="s">
        <v>133</v>
      </c>
      <c r="F15" s="49"/>
      <c r="G15" s="50" t="s">
        <v>462</v>
      </c>
      <c r="H15" s="50" t="s">
        <v>278</v>
      </c>
      <c r="I15" s="9" t="s">
        <v>275</v>
      </c>
      <c r="J15" s="9"/>
      <c r="K15" s="9"/>
      <c r="L15" s="9"/>
      <c r="M15" s="9"/>
      <c r="N15" s="9"/>
      <c r="O15" s="41"/>
      <c r="P15" s="51"/>
      <c r="Q15" s="142"/>
      <c r="R15" s="143"/>
    </row>
    <row r="16" spans="1:18" s="11" customFormat="1" x14ac:dyDescent="0.2">
      <c r="A16" s="9">
        <v>10</v>
      </c>
      <c r="B16" s="9"/>
      <c r="C16" s="9"/>
      <c r="D16" s="9" t="s">
        <v>153</v>
      </c>
      <c r="E16" s="49" t="s">
        <v>133</v>
      </c>
      <c r="F16" s="49"/>
      <c r="G16" s="50" t="s">
        <v>463</v>
      </c>
      <c r="H16" s="50" t="s">
        <v>279</v>
      </c>
      <c r="I16" s="9" t="s">
        <v>275</v>
      </c>
      <c r="J16" s="9"/>
      <c r="K16" s="9" t="s">
        <v>275</v>
      </c>
      <c r="L16" s="9" t="s">
        <v>280</v>
      </c>
      <c r="M16" s="9"/>
      <c r="N16" s="9"/>
      <c r="O16" s="41"/>
      <c r="P16" s="51"/>
      <c r="Q16" s="142"/>
      <c r="R16" s="143"/>
    </row>
    <row r="17" spans="1:18" s="11" customFormat="1" x14ac:dyDescent="0.2">
      <c r="A17" s="9">
        <v>10</v>
      </c>
      <c r="B17" s="9"/>
      <c r="C17" s="9"/>
      <c r="D17" s="9" t="s">
        <v>154</v>
      </c>
      <c r="E17" s="49" t="s">
        <v>115</v>
      </c>
      <c r="F17" s="49"/>
      <c r="G17" s="50" t="s">
        <v>474</v>
      </c>
      <c r="H17" s="50" t="s">
        <v>295</v>
      </c>
      <c r="I17" s="9" t="s">
        <v>275</v>
      </c>
      <c r="J17" s="9"/>
      <c r="K17" s="9" t="s">
        <v>275</v>
      </c>
      <c r="L17" s="9"/>
      <c r="M17" s="9"/>
      <c r="N17" s="9"/>
      <c r="O17" s="41"/>
      <c r="P17" s="51"/>
      <c r="Q17" s="142"/>
      <c r="R17" s="143"/>
    </row>
    <row r="18" spans="1:18" s="11" customFormat="1" x14ac:dyDescent="0.2">
      <c r="A18" s="9">
        <v>10</v>
      </c>
      <c r="B18" s="9"/>
      <c r="C18" s="9"/>
      <c r="D18" s="9" t="s">
        <v>331</v>
      </c>
      <c r="E18" s="49" t="s">
        <v>332</v>
      </c>
      <c r="F18" s="49"/>
      <c r="G18" s="50" t="s">
        <v>468</v>
      </c>
      <c r="H18" s="50" t="s">
        <v>285</v>
      </c>
      <c r="I18" s="9" t="s">
        <v>275</v>
      </c>
      <c r="J18" s="9"/>
      <c r="K18" s="9"/>
      <c r="L18" s="9"/>
      <c r="M18" s="9"/>
      <c r="N18" s="9"/>
      <c r="O18" s="41"/>
      <c r="P18" s="51"/>
      <c r="Q18" s="142"/>
      <c r="R18" s="143"/>
    </row>
    <row r="19" spans="1:18" s="11" customFormat="1" x14ac:dyDescent="0.2">
      <c r="A19" s="52"/>
      <c r="B19" s="53"/>
      <c r="C19" s="53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4"/>
      <c r="P19" s="4"/>
      <c r="Q19" s="6"/>
      <c r="R19" s="23"/>
    </row>
    <row r="20" spans="1:18" s="11" customFormat="1" x14ac:dyDescent="0.2">
      <c r="A20" s="74"/>
      <c r="R20" s="54"/>
    </row>
    <row r="21" spans="1:18" s="11" customFormat="1" x14ac:dyDescent="0.2">
      <c r="A21" s="74"/>
      <c r="R21" s="54"/>
    </row>
    <row r="22" spans="1:18" s="11" customFormat="1" x14ac:dyDescent="0.2">
      <c r="A22" s="74"/>
      <c r="R22" s="54"/>
    </row>
    <row r="23" spans="1:18" s="11" customFormat="1" x14ac:dyDescent="0.2">
      <c r="A23" s="74"/>
      <c r="R23" s="54"/>
    </row>
    <row r="24" spans="1:18" s="11" customFormat="1" x14ac:dyDescent="0.2">
      <c r="A24" s="74"/>
      <c r="R24" s="54"/>
    </row>
    <row r="25" spans="1:18" s="11" customFormat="1" x14ac:dyDescent="0.2">
      <c r="A25" s="74"/>
      <c r="R25" s="54"/>
    </row>
    <row r="26" spans="1:18" s="11" customFormat="1" x14ac:dyDescent="0.2">
      <c r="A26" s="74"/>
      <c r="R26" s="54"/>
    </row>
    <row r="27" spans="1:18" s="11" customFormat="1" x14ac:dyDescent="0.2">
      <c r="A27" s="7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7">
    <mergeCell ref="Q12:R12"/>
    <mergeCell ref="Q14:R14"/>
    <mergeCell ref="Q16:R16"/>
    <mergeCell ref="Q17:R17"/>
    <mergeCell ref="Q18:R18"/>
    <mergeCell ref="Q13:R13"/>
    <mergeCell ref="Q15:R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0" t="s">
        <v>165</v>
      </c>
      <c r="B1" s="70" t="s">
        <v>165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1" t="s">
        <v>165</v>
      </c>
      <c r="B2" s="72"/>
      <c r="C2" s="72"/>
      <c r="D2" s="82" t="s">
        <v>447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MABCL0280</v>
      </c>
      <c r="I2" s="7" t="s">
        <v>190</v>
      </c>
      <c r="J2" s="9" t="s">
        <v>200</v>
      </c>
      <c r="K2" s="7" t="s">
        <v>30</v>
      </c>
      <c r="L2" s="73" t="str">
        <f>IF(LogicCommon!G2="","",LogicCommon!G2)</f>
        <v>MC</v>
      </c>
      <c r="M2" s="5" t="s">
        <v>166</v>
      </c>
      <c r="N2" s="28" t="s">
        <v>410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4" t="s">
        <v>165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MABCL_DptReg</v>
      </c>
      <c r="I3" s="7" t="s">
        <v>31</v>
      </c>
      <c r="J3" s="9" t="s">
        <v>195</v>
      </c>
      <c r="K3" s="7" t="s">
        <v>45</v>
      </c>
      <c r="L3" s="73" t="str">
        <f>IF(LogicCommon!G3="","",LogicCommon!G3)</f>
        <v/>
      </c>
      <c r="M3" s="77" t="s">
        <v>196</v>
      </c>
      <c r="N3" s="7"/>
      <c r="O3" s="7" t="s">
        <v>169</v>
      </c>
      <c r="P3" s="9" t="s">
        <v>197</v>
      </c>
      <c r="Q3" s="4"/>
      <c r="R3" s="27"/>
      <c r="S3" s="4"/>
      <c r="T3" s="27"/>
      <c r="U3" s="27"/>
      <c r="V3" s="27"/>
    </row>
    <row r="4" spans="1:22" s="11" customFormat="1" x14ac:dyDescent="0.2">
      <c r="A4" s="74" t="s">
        <v>165</v>
      </c>
      <c r="B4" s="75"/>
      <c r="C4" s="75"/>
      <c r="D4" s="4"/>
      <c r="E4" s="7" t="s">
        <v>8</v>
      </c>
      <c r="F4" s="10" t="s">
        <v>386</v>
      </c>
      <c r="G4" s="7" t="s">
        <v>11</v>
      </c>
      <c r="H4" s="73" t="str">
        <f>IF(LogicCommon!E4="","",LogicCommon!E4)</f>
        <v>部門マスタ登録</v>
      </c>
      <c r="I4" s="7" t="s">
        <v>170</v>
      </c>
      <c r="J4" s="9" t="s">
        <v>267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9" t="s">
        <v>165</v>
      </c>
      <c r="B5" s="70"/>
      <c r="C5" s="70"/>
      <c r="D5" s="26"/>
      <c r="E5" s="7" t="s">
        <v>22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4" t="s">
        <v>165</v>
      </c>
      <c r="B6" s="75"/>
      <c r="C6" s="75"/>
      <c r="D6" s="4" t="s">
        <v>6</v>
      </c>
      <c r="E6" s="16" t="s">
        <v>266</v>
      </c>
      <c r="F6" s="16"/>
      <c r="G6" s="16"/>
      <c r="H6" s="16"/>
      <c r="I6" s="16"/>
      <c r="J6" s="16"/>
      <c r="K6" s="16"/>
      <c r="L6" s="81" t="s">
        <v>272</v>
      </c>
      <c r="M6" s="19"/>
      <c r="N6" s="19" t="s">
        <v>272</v>
      </c>
      <c r="O6" s="19"/>
      <c r="P6" s="19" t="s">
        <v>272</v>
      </c>
      <c r="Q6" s="19"/>
      <c r="R6" s="3" t="s">
        <v>272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43</v>
      </c>
      <c r="L7" s="32" t="s">
        <v>182</v>
      </c>
      <c r="M7" s="33" t="s">
        <v>68</v>
      </c>
      <c r="N7" s="32" t="s">
        <v>183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5"/>
      <c r="C8" s="86"/>
      <c r="D8" s="83" t="s">
        <v>448</v>
      </c>
      <c r="E8" s="83" t="s">
        <v>449</v>
      </c>
      <c r="F8" s="81"/>
      <c r="G8" s="83" t="s">
        <v>286</v>
      </c>
      <c r="H8" s="83" t="s">
        <v>450</v>
      </c>
      <c r="I8" s="81"/>
      <c r="J8" s="3"/>
      <c r="K8" s="33" t="s">
        <v>198</v>
      </c>
      <c r="L8" s="9" t="s">
        <v>210</v>
      </c>
      <c r="M8" s="33" t="s">
        <v>69</v>
      </c>
      <c r="N8" s="9" t="s">
        <v>210</v>
      </c>
      <c r="O8" s="33" t="s">
        <v>69</v>
      </c>
      <c r="P8" s="9"/>
      <c r="Q8" s="33" t="s">
        <v>69</v>
      </c>
      <c r="R8" s="9"/>
      <c r="S8" s="87"/>
      <c r="T8" s="88"/>
      <c r="U8" s="89" t="s">
        <v>451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3" t="s">
        <v>452</v>
      </c>
      <c r="E9" s="90" t="s">
        <v>453</v>
      </c>
      <c r="F9" s="83" t="s">
        <v>454</v>
      </c>
      <c r="G9" s="83" t="s">
        <v>455</v>
      </c>
      <c r="H9" s="83" t="s">
        <v>456</v>
      </c>
      <c r="I9" s="91" t="s">
        <v>457</v>
      </c>
      <c r="J9" s="83" t="s">
        <v>458</v>
      </c>
      <c r="K9" s="33"/>
      <c r="L9" s="33"/>
      <c r="M9" s="33"/>
      <c r="N9" s="33"/>
      <c r="O9" s="33"/>
      <c r="P9" s="33"/>
      <c r="Q9" s="33"/>
      <c r="R9" s="33"/>
      <c r="S9" s="89" t="s">
        <v>459</v>
      </c>
      <c r="T9" s="51"/>
      <c r="U9" s="89" t="s">
        <v>460</v>
      </c>
      <c r="V9" s="51"/>
    </row>
    <row r="10" spans="1:22" s="11" customFormat="1" ht="52" x14ac:dyDescent="0.2">
      <c r="A10" s="39" t="s">
        <v>184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457</v>
      </c>
      <c r="L10" s="84" t="s">
        <v>458</v>
      </c>
      <c r="M10" s="84" t="s">
        <v>457</v>
      </c>
      <c r="N10" s="84" t="s">
        <v>458</v>
      </c>
      <c r="O10" s="84" t="s">
        <v>457</v>
      </c>
      <c r="P10" s="84" t="s">
        <v>458</v>
      </c>
      <c r="Q10" s="84" t="s">
        <v>457</v>
      </c>
      <c r="R10" s="84" t="s">
        <v>458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201</v>
      </c>
      <c r="E11" s="34" t="s">
        <v>199</v>
      </c>
      <c r="F11" s="44"/>
      <c r="G11" s="28" t="s">
        <v>185</v>
      </c>
      <c r="H11" s="45" t="s">
        <v>336</v>
      </c>
      <c r="I11" s="46"/>
      <c r="J11" s="47"/>
      <c r="K11" s="48" t="s">
        <v>21</v>
      </c>
      <c r="L11" s="48"/>
      <c r="M11" s="48" t="s">
        <v>289</v>
      </c>
      <c r="N11" s="48"/>
      <c r="O11" s="48"/>
      <c r="P11" s="48"/>
      <c r="Q11" s="48"/>
      <c r="R11" s="48"/>
      <c r="S11" s="35"/>
      <c r="T11" s="36"/>
      <c r="U11" s="67"/>
      <c r="V11" s="69"/>
    </row>
    <row r="12" spans="1:22" s="11" customFormat="1" x14ac:dyDescent="0.2">
      <c r="A12" s="9">
        <v>10</v>
      </c>
      <c r="B12" s="9"/>
      <c r="C12" s="9"/>
      <c r="D12" s="9" t="s">
        <v>151</v>
      </c>
      <c r="E12" s="49" t="s">
        <v>115</v>
      </c>
      <c r="F12" s="49"/>
      <c r="G12" s="50" t="s">
        <v>508</v>
      </c>
      <c r="H12" s="50" t="s">
        <v>334</v>
      </c>
      <c r="I12" s="9" t="s">
        <v>275</v>
      </c>
      <c r="J12" s="9"/>
      <c r="K12" s="9" t="s">
        <v>276</v>
      </c>
      <c r="L12" s="9"/>
      <c r="M12" s="9" t="s">
        <v>276</v>
      </c>
      <c r="N12" s="9"/>
      <c r="O12" s="9"/>
      <c r="P12" s="9"/>
      <c r="Q12" s="9"/>
      <c r="R12" s="9"/>
      <c r="S12" s="41"/>
      <c r="T12" s="51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221</v>
      </c>
      <c r="E13" s="49" t="s">
        <v>115</v>
      </c>
      <c r="F13" s="49"/>
      <c r="G13" s="50" t="s">
        <v>509</v>
      </c>
      <c r="H13" s="50" t="s">
        <v>335</v>
      </c>
      <c r="I13" s="9" t="s">
        <v>275</v>
      </c>
      <c r="J13" s="9"/>
      <c r="K13" s="9"/>
      <c r="L13" s="9"/>
      <c r="M13" s="9"/>
      <c r="N13" s="9"/>
      <c r="O13" s="9"/>
      <c r="P13" s="9"/>
      <c r="Q13" s="9"/>
      <c r="R13" s="9"/>
      <c r="S13" s="41"/>
      <c r="T13" s="51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152</v>
      </c>
      <c r="E14" s="49" t="s">
        <v>133</v>
      </c>
      <c r="F14" s="49"/>
      <c r="G14" s="50" t="s">
        <v>461</v>
      </c>
      <c r="H14" s="50" t="s">
        <v>274</v>
      </c>
      <c r="I14" s="9" t="s">
        <v>275</v>
      </c>
      <c r="J14" s="9"/>
      <c r="K14" s="9" t="s">
        <v>276</v>
      </c>
      <c r="L14" s="9"/>
      <c r="M14" s="9" t="s">
        <v>276</v>
      </c>
      <c r="N14" s="9"/>
      <c r="O14" s="9"/>
      <c r="P14" s="9"/>
      <c r="Q14" s="9"/>
      <c r="R14" s="9"/>
      <c r="S14" s="41"/>
      <c r="T14" s="51"/>
      <c r="U14" s="142"/>
      <c r="V14" s="143"/>
    </row>
    <row r="15" spans="1:22" s="11" customFormat="1" ht="26" x14ac:dyDescent="0.2">
      <c r="A15" s="9">
        <v>10</v>
      </c>
      <c r="B15" s="9"/>
      <c r="C15" s="9"/>
      <c r="D15" s="9" t="s">
        <v>213</v>
      </c>
      <c r="E15" s="49" t="s">
        <v>133</v>
      </c>
      <c r="F15" s="49"/>
      <c r="G15" s="50" t="s">
        <v>462</v>
      </c>
      <c r="H15" s="50" t="s">
        <v>278</v>
      </c>
      <c r="I15" s="9" t="s">
        <v>275</v>
      </c>
      <c r="J15" s="9"/>
      <c r="K15" s="9"/>
      <c r="L15" s="9"/>
      <c r="M15" s="9"/>
      <c r="N15" s="9"/>
      <c r="O15" s="9"/>
      <c r="P15" s="9"/>
      <c r="Q15" s="9"/>
      <c r="R15" s="9"/>
      <c r="S15" s="41"/>
      <c r="T15" s="51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153</v>
      </c>
      <c r="E16" s="49" t="s">
        <v>133</v>
      </c>
      <c r="F16" s="49"/>
      <c r="G16" s="50" t="s">
        <v>463</v>
      </c>
      <c r="H16" s="50" t="s">
        <v>279</v>
      </c>
      <c r="I16" s="9" t="s">
        <v>275</v>
      </c>
      <c r="J16" s="9"/>
      <c r="K16" s="9" t="s">
        <v>276</v>
      </c>
      <c r="L16" s="9"/>
      <c r="M16" s="9" t="s">
        <v>276</v>
      </c>
      <c r="N16" s="9"/>
      <c r="O16" s="9"/>
      <c r="P16" s="9"/>
      <c r="Q16" s="9"/>
      <c r="R16" s="9"/>
      <c r="S16" s="41"/>
      <c r="T16" s="51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154</v>
      </c>
      <c r="E17" s="49" t="s">
        <v>115</v>
      </c>
      <c r="F17" s="49"/>
      <c r="G17" s="50" t="s">
        <v>474</v>
      </c>
      <c r="H17" s="50" t="s">
        <v>295</v>
      </c>
      <c r="I17" s="9" t="s">
        <v>275</v>
      </c>
      <c r="J17" s="9"/>
      <c r="K17" s="9" t="s">
        <v>276</v>
      </c>
      <c r="L17" s="9"/>
      <c r="M17" s="9" t="s">
        <v>276</v>
      </c>
      <c r="N17" s="9"/>
      <c r="O17" s="9"/>
      <c r="P17" s="9"/>
      <c r="Q17" s="9"/>
      <c r="R17" s="9"/>
      <c r="S17" s="41"/>
      <c r="T17" s="51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331</v>
      </c>
      <c r="E18" s="49" t="s">
        <v>332</v>
      </c>
      <c r="F18" s="49"/>
      <c r="G18" s="50" t="s">
        <v>468</v>
      </c>
      <c r="H18" s="50" t="s">
        <v>285</v>
      </c>
      <c r="I18" s="9" t="s">
        <v>275</v>
      </c>
      <c r="J18" s="9"/>
      <c r="K18" s="9" t="s">
        <v>276</v>
      </c>
      <c r="L18" s="9"/>
      <c r="M18" s="9" t="s">
        <v>276</v>
      </c>
      <c r="N18" s="9"/>
      <c r="O18" s="9"/>
      <c r="P18" s="9"/>
      <c r="Q18" s="9"/>
      <c r="R18" s="9"/>
      <c r="S18" s="41"/>
      <c r="T18" s="51"/>
      <c r="U18" s="142"/>
      <c r="V18" s="143"/>
    </row>
    <row r="19" spans="1:22" s="11" customFormat="1" x14ac:dyDescent="0.2">
      <c r="A19" s="52"/>
      <c r="B19" s="53"/>
      <c r="C19" s="53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74"/>
      <c r="V20" s="54"/>
    </row>
    <row r="21" spans="1:22" s="11" customFormat="1" x14ac:dyDescent="0.2">
      <c r="A21" s="74"/>
      <c r="V21" s="54"/>
    </row>
    <row r="22" spans="1:22" s="11" customFormat="1" x14ac:dyDescent="0.2">
      <c r="A22" s="74"/>
      <c r="V22" s="54"/>
    </row>
    <row r="23" spans="1:22" s="11" customFormat="1" x14ac:dyDescent="0.2">
      <c r="A23" s="7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2:V12"/>
    <mergeCell ref="U14:V14"/>
    <mergeCell ref="U16:V16"/>
    <mergeCell ref="U17:V17"/>
    <mergeCell ref="U18:V18"/>
    <mergeCell ref="U13:V13"/>
    <mergeCell ref="U15:V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B096-7E23-44F5-9989-7E3F1045AE1E}">
  <sheetPr>
    <pageSetUpPr fitToPage="1"/>
  </sheetPr>
  <dimension ref="A1:Q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0" t="s">
        <v>165</v>
      </c>
      <c r="B1" s="70" t="s">
        <v>165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1" t="s">
        <v>165</v>
      </c>
      <c r="B2" s="72"/>
      <c r="C2" s="72"/>
      <c r="D2" s="82" t="s">
        <v>447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MABCL0280</v>
      </c>
      <c r="I2" s="7" t="s">
        <v>190</v>
      </c>
      <c r="J2" s="9" t="s">
        <v>397</v>
      </c>
      <c r="K2" s="7" t="s">
        <v>30</v>
      </c>
      <c r="L2" s="73" t="str">
        <f>IF(LogicCommon!G2="","",LogicCommon!G2)</f>
        <v>MC</v>
      </c>
      <c r="M2" s="5" t="s">
        <v>166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4" t="s">
        <v>165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MABCL_DptReg</v>
      </c>
      <c r="I3" s="7" t="s">
        <v>31</v>
      </c>
      <c r="J3" s="9" t="s">
        <v>167</v>
      </c>
      <c r="K3" s="7" t="s">
        <v>45</v>
      </c>
      <c r="L3" s="73" t="str">
        <f>IF(LogicCommon!G3="","",LogicCommon!G3)</f>
        <v/>
      </c>
      <c r="M3" s="77" t="s">
        <v>33</v>
      </c>
      <c r="N3" s="7"/>
      <c r="O3" s="7" t="s">
        <v>169</v>
      </c>
      <c r="P3" s="9" t="s">
        <v>197</v>
      </c>
      <c r="Q3" s="4"/>
    </row>
    <row r="4" spans="1:17" s="11" customFormat="1" x14ac:dyDescent="0.2">
      <c r="A4" s="74" t="s">
        <v>165</v>
      </c>
      <c r="B4" s="75"/>
      <c r="C4" s="75"/>
      <c r="D4" s="4"/>
      <c r="E4" s="7" t="s">
        <v>8</v>
      </c>
      <c r="F4" s="10" t="s">
        <v>386</v>
      </c>
      <c r="G4" s="7" t="s">
        <v>11</v>
      </c>
      <c r="H4" s="73" t="str">
        <f>IF(LogicCommon!E4="","",LogicCommon!E4)</f>
        <v>部門マスタ登録</v>
      </c>
      <c r="I4" s="7" t="s">
        <v>170</v>
      </c>
      <c r="J4" s="9" t="s">
        <v>408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</row>
    <row r="5" spans="1:17" s="11" customFormat="1" x14ac:dyDescent="0.2">
      <c r="A5" s="79" t="s">
        <v>165</v>
      </c>
      <c r="B5" s="70"/>
      <c r="C5" s="70"/>
      <c r="D5" s="26"/>
      <c r="E5" s="7" t="s">
        <v>22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</row>
    <row r="6" spans="1:17" s="11" customFormat="1" x14ac:dyDescent="0.2">
      <c r="A6" s="74" t="s">
        <v>165</v>
      </c>
      <c r="B6" s="75"/>
      <c r="C6" s="75"/>
      <c r="D6" s="4" t="s">
        <v>6</v>
      </c>
      <c r="E6" s="16" t="s">
        <v>399</v>
      </c>
      <c r="F6" s="16"/>
      <c r="G6" s="16"/>
      <c r="H6" s="16"/>
      <c r="I6" s="16"/>
      <c r="J6" s="16"/>
      <c r="K6" s="16"/>
      <c r="L6" s="81"/>
      <c r="M6" s="19" t="s">
        <v>272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173</v>
      </c>
      <c r="L7" s="33" t="s">
        <v>68</v>
      </c>
      <c r="M7" s="32"/>
      <c r="N7" s="29"/>
      <c r="O7" s="29"/>
      <c r="P7" s="29"/>
      <c r="Q7" s="29"/>
    </row>
    <row r="8" spans="1:17" s="11" customFormat="1" ht="60" customHeight="1" x14ac:dyDescent="0.2">
      <c r="A8" s="49" t="s">
        <v>17</v>
      </c>
      <c r="B8" s="85"/>
      <c r="C8" s="86"/>
      <c r="D8" s="83" t="s">
        <v>448</v>
      </c>
      <c r="E8" s="83" t="s">
        <v>449</v>
      </c>
      <c r="F8" s="81"/>
      <c r="G8" s="83" t="s">
        <v>286</v>
      </c>
      <c r="H8" s="83" t="s">
        <v>450</v>
      </c>
      <c r="I8" s="81"/>
      <c r="J8" s="3"/>
      <c r="K8" s="9" t="s">
        <v>176</v>
      </c>
      <c r="L8" s="33" t="s">
        <v>69</v>
      </c>
      <c r="M8" s="9"/>
      <c r="N8" s="87"/>
      <c r="O8" s="88"/>
      <c r="P8" s="89" t="s">
        <v>451</v>
      </c>
      <c r="Q8" s="51"/>
    </row>
    <row r="9" spans="1:17" s="11" customFormat="1" ht="60" customHeight="1" x14ac:dyDescent="0.2">
      <c r="A9" s="9" t="s">
        <v>17</v>
      </c>
      <c r="B9" s="37"/>
      <c r="C9" s="38"/>
      <c r="D9" s="83" t="s">
        <v>452</v>
      </c>
      <c r="E9" s="90" t="s">
        <v>453</v>
      </c>
      <c r="F9" s="83" t="s">
        <v>454</v>
      </c>
      <c r="G9" s="83" t="s">
        <v>455</v>
      </c>
      <c r="H9" s="83" t="s">
        <v>456</v>
      </c>
      <c r="I9" s="91" t="s">
        <v>457</v>
      </c>
      <c r="J9" s="83" t="s">
        <v>458</v>
      </c>
      <c r="K9" s="33"/>
      <c r="L9" s="33"/>
      <c r="M9" s="33"/>
      <c r="N9" s="89" t="s">
        <v>459</v>
      </c>
      <c r="O9" s="51"/>
      <c r="P9" s="89" t="s">
        <v>460</v>
      </c>
      <c r="Q9" s="51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4" t="s">
        <v>457</v>
      </c>
      <c r="M10" s="84" t="s">
        <v>458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398</v>
      </c>
      <c r="E11" s="34" t="s">
        <v>178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67"/>
      <c r="Q11" s="69"/>
    </row>
    <row r="12" spans="1:17" s="11" customFormat="1" x14ac:dyDescent="0.2">
      <c r="A12" s="9">
        <v>10</v>
      </c>
      <c r="B12" s="9"/>
      <c r="C12" s="9"/>
      <c r="D12" s="9" t="s">
        <v>85</v>
      </c>
      <c r="E12" s="49" t="s">
        <v>115</v>
      </c>
      <c r="F12" s="49"/>
      <c r="G12" s="50" t="s">
        <v>469</v>
      </c>
      <c r="H12" s="50" t="s">
        <v>290</v>
      </c>
      <c r="I12" s="9" t="s">
        <v>275</v>
      </c>
      <c r="J12" s="9"/>
      <c r="K12" s="9" t="s">
        <v>276</v>
      </c>
      <c r="L12" s="9"/>
      <c r="M12" s="9"/>
      <c r="N12" s="43"/>
      <c r="O12" s="36"/>
      <c r="P12" s="67"/>
      <c r="Q12" s="69"/>
    </row>
    <row r="13" spans="1:17" s="11" customFormat="1" x14ac:dyDescent="0.2">
      <c r="A13" s="9">
        <v>10</v>
      </c>
      <c r="B13" s="9"/>
      <c r="C13" s="9"/>
      <c r="D13" s="9" t="s">
        <v>83</v>
      </c>
      <c r="E13" s="49" t="s">
        <v>139</v>
      </c>
      <c r="F13" s="49"/>
      <c r="G13" s="50" t="s">
        <v>461</v>
      </c>
      <c r="H13" s="50" t="s">
        <v>274</v>
      </c>
      <c r="I13" s="9" t="s">
        <v>275</v>
      </c>
      <c r="J13" s="9"/>
      <c r="K13" s="9" t="s">
        <v>276</v>
      </c>
      <c r="L13" s="9"/>
      <c r="M13" s="9"/>
      <c r="N13" s="41"/>
      <c r="O13" s="51"/>
      <c r="P13" s="142"/>
      <c r="Q13" s="143"/>
    </row>
    <row r="14" spans="1:17" s="11" customFormat="1" x14ac:dyDescent="0.2">
      <c r="A14" s="9">
        <v>10</v>
      </c>
      <c r="B14" s="9"/>
      <c r="C14" s="9"/>
      <c r="D14" s="9" t="s">
        <v>74</v>
      </c>
      <c r="E14" s="49" t="s">
        <v>75</v>
      </c>
      <c r="F14" s="49"/>
      <c r="G14" s="50" t="s">
        <v>468</v>
      </c>
      <c r="H14" s="50" t="s">
        <v>285</v>
      </c>
      <c r="I14" s="9" t="s">
        <v>275</v>
      </c>
      <c r="J14" s="9"/>
      <c r="K14" s="9"/>
      <c r="L14" s="9"/>
      <c r="M14" s="9"/>
      <c r="N14" s="41"/>
      <c r="O14" s="51"/>
      <c r="P14" s="142"/>
      <c r="Q14" s="143"/>
    </row>
    <row r="15" spans="1:17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4"/>
      <c r="O15" s="4"/>
      <c r="P15" s="6"/>
      <c r="Q15" s="23"/>
    </row>
    <row r="16" spans="1:17" s="11" customFormat="1" x14ac:dyDescent="0.2">
      <c r="A16" s="74"/>
      <c r="Q16" s="54"/>
    </row>
    <row r="17" spans="1:17" s="11" customFormat="1" x14ac:dyDescent="0.2">
      <c r="A17" s="74"/>
      <c r="Q17" s="54"/>
    </row>
    <row r="18" spans="1:17" s="11" customFormat="1" x14ac:dyDescent="0.2">
      <c r="A18" s="74"/>
      <c r="Q18" s="54"/>
    </row>
    <row r="19" spans="1:17" s="11" customFormat="1" x14ac:dyDescent="0.2">
      <c r="A19" s="74"/>
      <c r="Q19" s="54"/>
    </row>
    <row r="20" spans="1:17" s="11" customFormat="1" x14ac:dyDescent="0.2">
      <c r="A20" s="74"/>
      <c r="Q20" s="54"/>
    </row>
    <row r="21" spans="1:17" s="11" customFormat="1" x14ac:dyDescent="0.2">
      <c r="A21" s="74"/>
      <c r="Q21" s="54"/>
    </row>
    <row r="22" spans="1:17" s="11" customFormat="1" x14ac:dyDescent="0.2">
      <c r="A22" s="74"/>
      <c r="Q22" s="54"/>
    </row>
    <row r="23" spans="1:17" s="11" customFormat="1" x14ac:dyDescent="0.2">
      <c r="A23" s="74"/>
      <c r="Q23" s="54"/>
    </row>
    <row r="24" spans="1:17" s="11" customFormat="1" x14ac:dyDescent="0.2">
      <c r="A24" s="74"/>
      <c r="Q24" s="54"/>
    </row>
    <row r="25" spans="1:17" s="11" customFormat="1" x14ac:dyDescent="0.2">
      <c r="A25" s="74"/>
      <c r="Q25" s="54"/>
    </row>
    <row r="26" spans="1:17" s="11" customFormat="1" x14ac:dyDescent="0.2">
      <c r="A26" s="74"/>
      <c r="Q26" s="54"/>
    </row>
    <row r="27" spans="1:17" s="11" customFormat="1" x14ac:dyDescent="0.2">
      <c r="A27" s="74"/>
      <c r="Q27" s="54"/>
    </row>
    <row r="28" spans="1:17" s="11" customFormat="1" x14ac:dyDescent="0.2">
      <c r="A28" s="74"/>
      <c r="Q28" s="54"/>
    </row>
    <row r="29" spans="1:17" s="11" customFormat="1" x14ac:dyDescent="0.2">
      <c r="A29" s="74"/>
      <c r="Q29" s="54"/>
    </row>
    <row r="30" spans="1:17" s="11" customFormat="1" x14ac:dyDescent="0.2">
      <c r="A30" s="74"/>
      <c r="Q30" s="54"/>
    </row>
    <row r="31" spans="1:17" s="11" customFormat="1" x14ac:dyDescent="0.2">
      <c r="A31" s="74"/>
      <c r="Q31" s="54"/>
    </row>
    <row r="32" spans="1:17" s="11" customFormat="1" x14ac:dyDescent="0.2">
      <c r="A32" s="74"/>
      <c r="Q32" s="54"/>
    </row>
    <row r="33" spans="1:17" s="11" customFormat="1" x14ac:dyDescent="0.2">
      <c r="A33" s="7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0"/>
    </row>
  </sheetData>
  <dataConsolidate/>
  <mergeCells count="2">
    <mergeCell ref="P14:Q14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7157-0024-4142-80EA-5DA34A97602B}">
  <sheetPr>
    <pageSetUpPr fitToPage="1"/>
  </sheetPr>
  <dimension ref="A1:X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27.1796875" style="27" bestFit="1" customWidth="1"/>
    <col min="21" max="21" width="30.81640625" style="27" customWidth="1"/>
    <col min="22" max="22" width="31.6328125" style="27" bestFit="1" customWidth="1"/>
    <col min="23" max="23" width="20.453125" style="27" bestFit="1" customWidth="1"/>
    <col min="24" max="24" width="9" style="27"/>
    <col min="25" max="25" width="13.90625" style="27" bestFit="1" customWidth="1"/>
    <col min="26" max="16384" width="9" style="27"/>
  </cols>
  <sheetData>
    <row r="1" spans="1:24" s="11" customFormat="1" x14ac:dyDescent="0.2">
      <c r="A1" s="70" t="s">
        <v>165</v>
      </c>
      <c r="B1" s="70" t="s">
        <v>165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4"/>
      <c r="V1" s="27"/>
      <c r="W1" s="27"/>
      <c r="X1" s="27"/>
    </row>
    <row r="2" spans="1:24" s="11" customFormat="1" ht="40" customHeight="1" x14ac:dyDescent="0.2">
      <c r="A2" s="71" t="s">
        <v>165</v>
      </c>
      <c r="B2" s="72"/>
      <c r="C2" s="72"/>
      <c r="D2" s="82" t="s">
        <v>447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MABCL0280</v>
      </c>
      <c r="I2" s="7" t="s">
        <v>190</v>
      </c>
      <c r="J2" s="9" t="s">
        <v>401</v>
      </c>
      <c r="K2" s="7" t="s">
        <v>30</v>
      </c>
      <c r="L2" s="73" t="str">
        <f>IF(LogicCommon!G2="","",LogicCommon!G2)</f>
        <v>MC</v>
      </c>
      <c r="M2" s="5" t="s">
        <v>166</v>
      </c>
      <c r="N2" s="28" t="s">
        <v>411</v>
      </c>
      <c r="O2" s="7"/>
      <c r="P2" s="7"/>
      <c r="Q2" s="4"/>
      <c r="R2" s="27"/>
      <c r="S2" s="4"/>
      <c r="T2" s="27"/>
      <c r="U2" s="4"/>
      <c r="V2" s="27"/>
      <c r="W2" s="27"/>
      <c r="X2" s="27"/>
    </row>
    <row r="3" spans="1:24" s="11" customFormat="1" x14ac:dyDescent="0.2">
      <c r="A3" s="74" t="s">
        <v>165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MABCL_DptReg</v>
      </c>
      <c r="I3" s="7" t="s">
        <v>31</v>
      </c>
      <c r="J3" s="9" t="s">
        <v>32</v>
      </c>
      <c r="K3" s="7" t="s">
        <v>45</v>
      </c>
      <c r="L3" s="73" t="str">
        <f>IF(LogicCommon!G3="","",LogicCommon!G3)</f>
        <v/>
      </c>
      <c r="M3" s="77" t="s">
        <v>33</v>
      </c>
      <c r="N3" s="7"/>
      <c r="O3" s="7" t="s">
        <v>169</v>
      </c>
      <c r="P3" s="9" t="s">
        <v>197</v>
      </c>
      <c r="Q3" s="4"/>
      <c r="R3" s="27"/>
      <c r="S3" s="4"/>
      <c r="T3" s="27"/>
      <c r="U3" s="4"/>
      <c r="V3" s="27"/>
      <c r="W3" s="27"/>
      <c r="X3" s="27"/>
    </row>
    <row r="4" spans="1:24" s="11" customFormat="1" x14ac:dyDescent="0.2">
      <c r="A4" s="74" t="s">
        <v>165</v>
      </c>
      <c r="B4" s="75"/>
      <c r="C4" s="75"/>
      <c r="D4" s="4"/>
      <c r="E4" s="7" t="s">
        <v>8</v>
      </c>
      <c r="F4" s="10" t="s">
        <v>386</v>
      </c>
      <c r="G4" s="7" t="s">
        <v>11</v>
      </c>
      <c r="H4" s="73" t="str">
        <f>IF(LogicCommon!E4="","",LogicCommon!E4)</f>
        <v>部門マスタ登録</v>
      </c>
      <c r="I4" s="7" t="s">
        <v>170</v>
      </c>
      <c r="J4" s="9" t="s">
        <v>407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4"/>
      <c r="T4" s="27"/>
      <c r="U4" s="4"/>
      <c r="V4" s="27"/>
      <c r="W4" s="27"/>
      <c r="X4" s="27"/>
    </row>
    <row r="5" spans="1:24" s="11" customFormat="1" x14ac:dyDescent="0.2">
      <c r="A5" s="79" t="s">
        <v>165</v>
      </c>
      <c r="B5" s="70"/>
      <c r="C5" s="70"/>
      <c r="D5" s="26"/>
      <c r="E5" s="7" t="s">
        <v>22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4"/>
      <c r="T5" s="27"/>
      <c r="U5" s="4"/>
      <c r="V5" s="27"/>
      <c r="W5" s="27"/>
      <c r="X5" s="27"/>
    </row>
    <row r="6" spans="1:24" s="11" customFormat="1" x14ac:dyDescent="0.2">
      <c r="A6" s="74" t="s">
        <v>165</v>
      </c>
      <c r="B6" s="75"/>
      <c r="C6" s="75"/>
      <c r="D6" s="4" t="s">
        <v>6</v>
      </c>
      <c r="E6" s="16" t="s">
        <v>400</v>
      </c>
      <c r="F6" s="16"/>
      <c r="G6" s="16"/>
      <c r="H6" s="16"/>
      <c r="I6" s="16"/>
      <c r="J6" s="16"/>
      <c r="K6" s="16"/>
      <c r="L6" s="81" t="s">
        <v>272</v>
      </c>
      <c r="M6" s="19"/>
      <c r="N6" s="19" t="s">
        <v>272</v>
      </c>
      <c r="O6" s="19"/>
      <c r="P6" s="19" t="s">
        <v>272</v>
      </c>
      <c r="Q6" s="19"/>
      <c r="R6" s="3" t="s">
        <v>272</v>
      </c>
      <c r="S6" s="19"/>
      <c r="T6" s="3" t="s">
        <v>272</v>
      </c>
      <c r="U6" s="4"/>
      <c r="V6" s="29"/>
      <c r="W6" s="29"/>
      <c r="X6" s="27"/>
    </row>
    <row r="7" spans="1:24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202</v>
      </c>
      <c r="M7" s="33" t="s">
        <v>68</v>
      </c>
      <c r="N7" s="32"/>
      <c r="O7" s="33" t="s">
        <v>68</v>
      </c>
      <c r="P7" s="32"/>
      <c r="Q7" s="33" t="s">
        <v>68</v>
      </c>
      <c r="R7" s="32"/>
      <c r="S7" s="33" t="s">
        <v>68</v>
      </c>
      <c r="T7" s="32"/>
      <c r="U7" s="29"/>
      <c r="V7" s="29"/>
      <c r="W7" s="29"/>
      <c r="X7" s="29"/>
    </row>
    <row r="8" spans="1:24" s="11" customFormat="1" ht="60" customHeight="1" x14ac:dyDescent="0.2">
      <c r="A8" s="49" t="s">
        <v>17</v>
      </c>
      <c r="B8" s="85"/>
      <c r="C8" s="86"/>
      <c r="D8" s="83" t="s">
        <v>448</v>
      </c>
      <c r="E8" s="83" t="s">
        <v>449</v>
      </c>
      <c r="F8" s="81"/>
      <c r="G8" s="83" t="s">
        <v>286</v>
      </c>
      <c r="H8" s="83" t="s">
        <v>450</v>
      </c>
      <c r="I8" s="81"/>
      <c r="J8" s="3"/>
      <c r="K8" s="33" t="s">
        <v>16</v>
      </c>
      <c r="L8" s="9" t="s">
        <v>416</v>
      </c>
      <c r="M8" s="33" t="s">
        <v>69</v>
      </c>
      <c r="N8" s="9"/>
      <c r="O8" s="33" t="s">
        <v>69</v>
      </c>
      <c r="P8" s="9"/>
      <c r="Q8" s="33" t="s">
        <v>69</v>
      </c>
      <c r="R8" s="9"/>
      <c r="S8" s="33" t="s">
        <v>69</v>
      </c>
      <c r="T8" s="9"/>
      <c r="U8" s="87"/>
      <c r="V8" s="88"/>
      <c r="W8" s="89" t="s">
        <v>451</v>
      </c>
      <c r="X8" s="51"/>
    </row>
    <row r="9" spans="1:24" s="11" customFormat="1" ht="60" customHeight="1" x14ac:dyDescent="0.2">
      <c r="A9" s="9" t="s">
        <v>17</v>
      </c>
      <c r="B9" s="37"/>
      <c r="C9" s="38"/>
      <c r="D9" s="83" t="s">
        <v>452</v>
      </c>
      <c r="E9" s="90" t="s">
        <v>453</v>
      </c>
      <c r="F9" s="83" t="s">
        <v>454</v>
      </c>
      <c r="G9" s="83" t="s">
        <v>455</v>
      </c>
      <c r="H9" s="83" t="s">
        <v>456</v>
      </c>
      <c r="I9" s="91" t="s">
        <v>457</v>
      </c>
      <c r="J9" s="83" t="s">
        <v>458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89" t="s">
        <v>459</v>
      </c>
      <c r="V9" s="51"/>
      <c r="W9" s="89" t="s">
        <v>460</v>
      </c>
      <c r="X9" s="51"/>
    </row>
    <row r="10" spans="1:24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457</v>
      </c>
      <c r="L10" s="84" t="s">
        <v>458</v>
      </c>
      <c r="M10" s="84" t="s">
        <v>457</v>
      </c>
      <c r="N10" s="84" t="s">
        <v>458</v>
      </c>
      <c r="O10" s="84" t="s">
        <v>457</v>
      </c>
      <c r="P10" s="84" t="s">
        <v>458</v>
      </c>
      <c r="Q10" s="84" t="s">
        <v>457</v>
      </c>
      <c r="R10" s="84" t="s">
        <v>458</v>
      </c>
      <c r="S10" s="84" t="s">
        <v>457</v>
      </c>
      <c r="T10" s="84" t="s">
        <v>458</v>
      </c>
      <c r="U10" s="42"/>
      <c r="V10" s="42"/>
      <c r="W10" s="43"/>
      <c r="X10" s="36"/>
    </row>
    <row r="11" spans="1:24" s="11" customFormat="1" x14ac:dyDescent="0.2">
      <c r="A11" s="9">
        <v>10</v>
      </c>
      <c r="B11" s="37" t="s">
        <v>0</v>
      </c>
      <c r="C11" s="38"/>
      <c r="D11" s="28" t="s">
        <v>402</v>
      </c>
      <c r="E11" s="34" t="s">
        <v>21</v>
      </c>
      <c r="F11" s="44"/>
      <c r="G11" s="28" t="s">
        <v>185</v>
      </c>
      <c r="H11" s="45" t="s">
        <v>406</v>
      </c>
      <c r="I11" s="46"/>
      <c r="J11" s="47"/>
      <c r="K11" s="48" t="s">
        <v>21</v>
      </c>
      <c r="L11" s="48"/>
      <c r="M11" s="48"/>
      <c r="N11" s="48"/>
      <c r="O11" s="48"/>
      <c r="P11" s="48"/>
      <c r="Q11" s="48"/>
      <c r="R11" s="48"/>
      <c r="S11" s="48"/>
      <c r="T11" s="48"/>
      <c r="U11" s="35"/>
      <c r="V11" s="36"/>
      <c r="W11" s="67"/>
      <c r="X11" s="69"/>
    </row>
    <row r="12" spans="1:24" s="11" customFormat="1" x14ac:dyDescent="0.2">
      <c r="A12" s="9">
        <v>10</v>
      </c>
      <c r="B12" s="9"/>
      <c r="C12" s="9"/>
      <c r="D12" s="9" t="s">
        <v>85</v>
      </c>
      <c r="E12" s="49" t="s">
        <v>115</v>
      </c>
      <c r="F12" s="49"/>
      <c r="G12" s="50" t="s">
        <v>469</v>
      </c>
      <c r="H12" s="50" t="s">
        <v>290</v>
      </c>
      <c r="I12" s="9" t="s">
        <v>275</v>
      </c>
      <c r="J12" s="9"/>
      <c r="K12" s="9" t="s">
        <v>276</v>
      </c>
      <c r="L12" s="9"/>
      <c r="M12" s="9"/>
      <c r="N12" s="9"/>
      <c r="O12" s="9"/>
      <c r="P12" s="9"/>
      <c r="Q12" s="9"/>
      <c r="R12" s="9"/>
      <c r="S12" s="9"/>
      <c r="T12" s="9"/>
      <c r="U12" s="41"/>
      <c r="V12" s="51"/>
      <c r="W12" s="142"/>
      <c r="X12" s="143"/>
    </row>
    <row r="13" spans="1:24" s="11" customFormat="1" x14ac:dyDescent="0.2">
      <c r="A13" s="9">
        <v>10</v>
      </c>
      <c r="B13" s="9"/>
      <c r="C13" s="9"/>
      <c r="D13" s="9" t="s">
        <v>83</v>
      </c>
      <c r="E13" s="49" t="s">
        <v>139</v>
      </c>
      <c r="F13" s="49"/>
      <c r="G13" s="50" t="s">
        <v>461</v>
      </c>
      <c r="H13" s="50" t="s">
        <v>274</v>
      </c>
      <c r="I13" s="9" t="s">
        <v>275</v>
      </c>
      <c r="J13" s="9"/>
      <c r="K13" s="9" t="s">
        <v>276</v>
      </c>
      <c r="L13" s="9"/>
      <c r="M13" s="9"/>
      <c r="N13" s="9"/>
      <c r="O13" s="9"/>
      <c r="P13" s="9"/>
      <c r="Q13" s="9"/>
      <c r="R13" s="9"/>
      <c r="S13" s="9"/>
      <c r="T13" s="9"/>
      <c r="U13" s="41"/>
      <c r="V13" s="51"/>
      <c r="W13" s="142"/>
      <c r="X13" s="143"/>
    </row>
    <row r="14" spans="1:24" s="11" customFormat="1" x14ac:dyDescent="0.2">
      <c r="A14" s="9">
        <v>10</v>
      </c>
      <c r="B14" s="9"/>
      <c r="C14" s="9"/>
      <c r="D14" s="9" t="s">
        <v>74</v>
      </c>
      <c r="E14" s="49" t="s">
        <v>75</v>
      </c>
      <c r="F14" s="49"/>
      <c r="G14" s="50" t="s">
        <v>468</v>
      </c>
      <c r="H14" s="50" t="s">
        <v>285</v>
      </c>
      <c r="I14" s="9" t="s">
        <v>275</v>
      </c>
      <c r="J14" s="9"/>
      <c r="K14" s="9" t="s">
        <v>276</v>
      </c>
      <c r="L14" s="9"/>
      <c r="M14" s="9"/>
      <c r="N14" s="9"/>
      <c r="O14" s="9"/>
      <c r="P14" s="9"/>
      <c r="Q14" s="9"/>
      <c r="R14" s="9"/>
      <c r="S14" s="9"/>
      <c r="T14" s="9"/>
      <c r="U14" s="41"/>
      <c r="V14" s="51"/>
      <c r="W14" s="142"/>
      <c r="X14" s="143"/>
    </row>
    <row r="15" spans="1:24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4"/>
      <c r="V15" s="4"/>
      <c r="W15" s="6"/>
      <c r="X15" s="23"/>
    </row>
    <row r="16" spans="1:24" s="11" customFormat="1" x14ac:dyDescent="0.2">
      <c r="A16" s="74"/>
      <c r="X16" s="54"/>
    </row>
    <row r="17" spans="1:24" s="11" customFormat="1" x14ac:dyDescent="0.2">
      <c r="A17" s="74"/>
      <c r="X17" s="54"/>
    </row>
    <row r="18" spans="1:24" s="11" customFormat="1" x14ac:dyDescent="0.2">
      <c r="A18" s="74"/>
      <c r="X18" s="54"/>
    </row>
    <row r="19" spans="1:24" s="11" customFormat="1" x14ac:dyDescent="0.2">
      <c r="A19" s="7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20"/>
    </row>
  </sheetData>
  <dataConsolidate/>
  <mergeCells count="3">
    <mergeCell ref="W14:X14"/>
    <mergeCell ref="W13:X13"/>
    <mergeCell ref="W12:X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pageSetUpPr fitToPage="1"/>
  </sheetPr>
  <dimension ref="A1:T10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30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20" s="11" customFormat="1" x14ac:dyDescent="0.2">
      <c r="A1" s="70" t="s">
        <v>165</v>
      </c>
      <c r="B1" s="70" t="s">
        <v>165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9"/>
    </row>
    <row r="2" spans="1:20" s="11" customFormat="1" ht="40" customHeight="1" x14ac:dyDescent="0.2">
      <c r="A2" s="71" t="s">
        <v>165</v>
      </c>
      <c r="B2" s="72"/>
      <c r="C2" s="72"/>
      <c r="D2" s="82" t="s">
        <v>447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MABCL0280</v>
      </c>
      <c r="I2" s="7" t="s">
        <v>190</v>
      </c>
      <c r="J2" s="9" t="s">
        <v>29</v>
      </c>
      <c r="K2" s="7" t="s">
        <v>30</v>
      </c>
      <c r="L2" s="73" t="str">
        <f>IF(LogicCommon!G2="","",LogicCommon!G2)</f>
        <v>MC</v>
      </c>
      <c r="M2" s="5" t="s">
        <v>166</v>
      </c>
      <c r="N2" s="28" t="s">
        <v>412</v>
      </c>
      <c r="O2" s="7"/>
      <c r="P2" s="7"/>
      <c r="Q2" s="4"/>
      <c r="R2" s="4"/>
      <c r="S2" s="4"/>
      <c r="T2" s="27"/>
    </row>
    <row r="3" spans="1:20" s="11" customFormat="1" x14ac:dyDescent="0.2">
      <c r="A3" s="74" t="s">
        <v>165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MABCL_DptReg</v>
      </c>
      <c r="I3" s="7" t="s">
        <v>31</v>
      </c>
      <c r="J3" s="9" t="s">
        <v>32</v>
      </c>
      <c r="K3" s="7" t="s">
        <v>45</v>
      </c>
      <c r="L3" s="73" t="str">
        <f>IF(LogicCommon!G3="","",LogicCommon!G3)</f>
        <v/>
      </c>
      <c r="M3" s="77" t="s">
        <v>33</v>
      </c>
      <c r="N3" s="7"/>
      <c r="O3" s="7" t="s">
        <v>169</v>
      </c>
      <c r="P3" s="9" t="s">
        <v>197</v>
      </c>
      <c r="Q3" s="4"/>
      <c r="R3" s="4"/>
      <c r="S3" s="4"/>
      <c r="T3" s="27"/>
    </row>
    <row r="4" spans="1:20" s="11" customFormat="1" x14ac:dyDescent="0.2">
      <c r="A4" s="74" t="s">
        <v>165</v>
      </c>
      <c r="B4" s="75"/>
      <c r="C4" s="75"/>
      <c r="D4" s="4"/>
      <c r="E4" s="7" t="s">
        <v>8</v>
      </c>
      <c r="F4" s="10" t="s">
        <v>386</v>
      </c>
      <c r="G4" s="7" t="s">
        <v>11</v>
      </c>
      <c r="H4" s="73" t="str">
        <f>IF(LogicCommon!E4="","",LogicCommon!E4)</f>
        <v>部門マスタ登録</v>
      </c>
      <c r="I4" s="7" t="s">
        <v>170</v>
      </c>
      <c r="J4" s="9" t="s">
        <v>2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4"/>
      <c r="S4" s="4"/>
      <c r="T4" s="27"/>
    </row>
    <row r="5" spans="1:20" s="11" customFormat="1" x14ac:dyDescent="0.2">
      <c r="A5" s="79" t="s">
        <v>165</v>
      </c>
      <c r="B5" s="70"/>
      <c r="C5" s="70"/>
      <c r="D5" s="26"/>
      <c r="E5" s="7" t="s">
        <v>22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4"/>
      <c r="T5" s="27"/>
    </row>
    <row r="6" spans="1:20" s="11" customFormat="1" x14ac:dyDescent="0.2">
      <c r="A6" s="74" t="s">
        <v>165</v>
      </c>
      <c r="B6" s="75"/>
      <c r="C6" s="75"/>
      <c r="D6" s="4" t="s">
        <v>6</v>
      </c>
      <c r="E6" s="16" t="s">
        <v>269</v>
      </c>
      <c r="F6" s="16"/>
      <c r="G6" s="16"/>
      <c r="H6" s="16"/>
      <c r="I6" s="16"/>
      <c r="J6" s="16"/>
      <c r="K6" s="16"/>
      <c r="L6" s="81" t="s">
        <v>272</v>
      </c>
      <c r="M6" s="19"/>
      <c r="N6" s="19" t="s">
        <v>272</v>
      </c>
      <c r="O6" s="19"/>
      <c r="P6" s="19" t="s">
        <v>272</v>
      </c>
      <c r="Q6" s="19"/>
      <c r="R6" s="4"/>
      <c r="S6" s="4"/>
      <c r="T6" s="4"/>
    </row>
    <row r="7" spans="1:20" s="11" customFormat="1" x14ac:dyDescent="0.2">
      <c r="A7" s="30" t="s">
        <v>36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39</v>
      </c>
      <c r="M7" s="33" t="s">
        <v>38</v>
      </c>
      <c r="N7" s="32" t="s">
        <v>129</v>
      </c>
      <c r="O7" s="33" t="s">
        <v>38</v>
      </c>
      <c r="P7" s="32" t="s">
        <v>155</v>
      </c>
      <c r="Q7" s="29"/>
      <c r="R7" s="29"/>
      <c r="S7" s="29"/>
      <c r="T7" s="29"/>
    </row>
    <row r="8" spans="1:20" s="11" customFormat="1" ht="60" customHeight="1" x14ac:dyDescent="0.2">
      <c r="A8" s="49" t="s">
        <v>17</v>
      </c>
      <c r="B8" s="85"/>
      <c r="C8" s="86"/>
      <c r="D8" s="83" t="s">
        <v>448</v>
      </c>
      <c r="E8" s="83" t="s">
        <v>449</v>
      </c>
      <c r="F8" s="81"/>
      <c r="G8" s="83" t="s">
        <v>286</v>
      </c>
      <c r="H8" s="83" t="s">
        <v>450</v>
      </c>
      <c r="I8" s="81"/>
      <c r="J8" s="3"/>
      <c r="K8" s="33" t="s">
        <v>16</v>
      </c>
      <c r="L8" s="9" t="s">
        <v>130</v>
      </c>
      <c r="M8" s="33" t="s">
        <v>16</v>
      </c>
      <c r="N8" s="9" t="s">
        <v>413</v>
      </c>
      <c r="O8" s="33" t="s">
        <v>16</v>
      </c>
      <c r="P8" s="9" t="s">
        <v>156</v>
      </c>
      <c r="Q8" s="87"/>
      <c r="R8" s="88"/>
      <c r="S8" s="89" t="s">
        <v>451</v>
      </c>
      <c r="T8" s="51"/>
    </row>
    <row r="9" spans="1:20" s="11" customFormat="1" ht="60" customHeight="1" x14ac:dyDescent="0.2">
      <c r="A9" s="9" t="s">
        <v>17</v>
      </c>
      <c r="B9" s="37"/>
      <c r="C9" s="38"/>
      <c r="D9" s="83" t="s">
        <v>452</v>
      </c>
      <c r="E9" s="90" t="s">
        <v>453</v>
      </c>
      <c r="F9" s="83" t="s">
        <v>454</v>
      </c>
      <c r="G9" s="83" t="s">
        <v>455</v>
      </c>
      <c r="H9" s="83" t="s">
        <v>456</v>
      </c>
      <c r="I9" s="91" t="s">
        <v>457</v>
      </c>
      <c r="J9" s="83" t="s">
        <v>458</v>
      </c>
      <c r="K9" s="33"/>
      <c r="L9" s="33"/>
      <c r="M9" s="33"/>
      <c r="N9" s="33"/>
      <c r="O9" s="33"/>
      <c r="P9" s="33"/>
      <c r="Q9" s="89" t="s">
        <v>459</v>
      </c>
      <c r="R9" s="51"/>
      <c r="S9" s="89" t="s">
        <v>460</v>
      </c>
      <c r="T9" s="51"/>
    </row>
    <row r="10" spans="1:20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457</v>
      </c>
      <c r="L10" s="84" t="s">
        <v>458</v>
      </c>
      <c r="M10" s="84" t="s">
        <v>457</v>
      </c>
      <c r="N10" s="84" t="s">
        <v>458</v>
      </c>
      <c r="O10" s="84" t="s">
        <v>457</v>
      </c>
      <c r="P10" s="84" t="s">
        <v>458</v>
      </c>
      <c r="Q10" s="42"/>
      <c r="R10" s="42"/>
      <c r="S10" s="43"/>
      <c r="T10" s="36"/>
    </row>
    <row r="11" spans="1:20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8"/>
      <c r="L11" s="48"/>
      <c r="M11" s="48"/>
      <c r="N11" s="48"/>
      <c r="O11" s="48"/>
      <c r="P11" s="48"/>
      <c r="Q11" s="35"/>
      <c r="R11" s="36"/>
      <c r="S11" s="67"/>
      <c r="T11" s="69"/>
    </row>
    <row r="12" spans="1:20" s="11" customFormat="1" x14ac:dyDescent="0.2">
      <c r="A12" s="9">
        <v>10</v>
      </c>
      <c r="B12" s="9"/>
      <c r="C12" s="9"/>
      <c r="D12" s="9" t="s">
        <v>83</v>
      </c>
      <c r="E12" s="49" t="s">
        <v>133</v>
      </c>
      <c r="F12" s="49"/>
      <c r="G12" s="50" t="s">
        <v>461</v>
      </c>
      <c r="H12" s="50" t="s">
        <v>274</v>
      </c>
      <c r="I12" s="9" t="s">
        <v>275</v>
      </c>
      <c r="J12" s="9"/>
      <c r="K12" s="9"/>
      <c r="L12" s="9"/>
      <c r="M12" s="9"/>
      <c r="N12" s="9"/>
      <c r="O12" s="9"/>
      <c r="P12" s="9"/>
      <c r="Q12" s="55"/>
      <c r="R12" s="51"/>
      <c r="S12" s="142"/>
      <c r="T12" s="143"/>
    </row>
    <row r="13" spans="1:20" s="11" customFormat="1" x14ac:dyDescent="0.2">
      <c r="A13" s="9">
        <v>10</v>
      </c>
      <c r="B13" s="9"/>
      <c r="C13" s="9"/>
      <c r="D13" s="9" t="s">
        <v>84</v>
      </c>
      <c r="E13" s="49" t="s">
        <v>207</v>
      </c>
      <c r="F13" s="49"/>
      <c r="G13" s="50" t="s">
        <v>510</v>
      </c>
      <c r="H13" s="50" t="s">
        <v>337</v>
      </c>
      <c r="I13" s="9" t="s">
        <v>275</v>
      </c>
      <c r="J13" s="9"/>
      <c r="K13" s="9"/>
      <c r="L13" s="9"/>
      <c r="M13" s="9"/>
      <c r="N13" s="9"/>
      <c r="O13" s="9"/>
      <c r="P13" s="9"/>
      <c r="Q13" s="55"/>
      <c r="R13" s="51"/>
      <c r="S13" s="67"/>
      <c r="T13" s="68"/>
    </row>
    <row r="14" spans="1:20" s="11" customFormat="1" x14ac:dyDescent="0.2">
      <c r="A14" s="9">
        <v>10</v>
      </c>
      <c r="B14" s="9"/>
      <c r="C14" s="9"/>
      <c r="D14" s="9" t="s">
        <v>211</v>
      </c>
      <c r="E14" s="49" t="s">
        <v>212</v>
      </c>
      <c r="F14" s="49"/>
      <c r="G14" s="50" t="s">
        <v>511</v>
      </c>
      <c r="H14" s="50" t="s">
        <v>338</v>
      </c>
      <c r="I14" s="9" t="s">
        <v>275</v>
      </c>
      <c r="J14" s="9"/>
      <c r="K14" s="9"/>
      <c r="L14" s="9"/>
      <c r="M14" s="9"/>
      <c r="N14" s="9"/>
      <c r="O14" s="9"/>
      <c r="P14" s="9"/>
      <c r="Q14" s="55"/>
      <c r="R14" s="51"/>
      <c r="S14" s="67"/>
      <c r="T14" s="68"/>
    </row>
    <row r="15" spans="1:20" s="11" customFormat="1" x14ac:dyDescent="0.2">
      <c r="A15" s="74"/>
      <c r="T15" s="54"/>
    </row>
    <row r="16" spans="1:20" s="11" customFormat="1" x14ac:dyDescent="0.2">
      <c r="A16" s="9">
        <v>20</v>
      </c>
      <c r="B16" s="37" t="s">
        <v>0</v>
      </c>
      <c r="C16" s="38"/>
      <c r="D16" s="28" t="s">
        <v>157</v>
      </c>
      <c r="E16" s="34" t="s">
        <v>35</v>
      </c>
      <c r="F16" s="56"/>
      <c r="G16" s="28"/>
      <c r="H16" s="45"/>
      <c r="I16" s="57"/>
      <c r="J16" s="58"/>
      <c r="K16" s="48"/>
      <c r="L16" s="48" t="s">
        <v>21</v>
      </c>
      <c r="M16" s="48"/>
      <c r="N16" s="48"/>
      <c r="O16" s="48"/>
      <c r="P16" s="48"/>
      <c r="Q16" s="35"/>
      <c r="R16" s="36"/>
      <c r="S16" s="67"/>
      <c r="T16" s="69"/>
    </row>
    <row r="17" spans="1:20" s="11" customFormat="1" x14ac:dyDescent="0.2">
      <c r="A17" s="9">
        <v>20</v>
      </c>
      <c r="B17" s="9"/>
      <c r="C17" s="9"/>
      <c r="D17" s="9" t="s">
        <v>131</v>
      </c>
      <c r="E17" s="49" t="s">
        <v>133</v>
      </c>
      <c r="F17" s="49"/>
      <c r="G17" s="50" t="s">
        <v>461</v>
      </c>
      <c r="H17" s="50" t="s">
        <v>274</v>
      </c>
      <c r="I17" s="9"/>
      <c r="J17" s="9" t="s">
        <v>275</v>
      </c>
      <c r="K17" s="9"/>
      <c r="L17" s="9" t="s">
        <v>275</v>
      </c>
      <c r="M17" s="9"/>
      <c r="N17" s="9"/>
      <c r="O17" s="9"/>
      <c r="P17" s="9"/>
      <c r="Q17" s="55"/>
      <c r="R17" s="51"/>
      <c r="S17" s="142"/>
      <c r="T17" s="143"/>
    </row>
    <row r="18" spans="1:20" s="11" customFormat="1" x14ac:dyDescent="0.2">
      <c r="A18" s="9">
        <v>20</v>
      </c>
      <c r="B18" s="9"/>
      <c r="C18" s="9"/>
      <c r="D18" s="9" t="s">
        <v>153</v>
      </c>
      <c r="E18" s="49" t="s">
        <v>133</v>
      </c>
      <c r="F18" s="49"/>
      <c r="G18" s="50" t="s">
        <v>463</v>
      </c>
      <c r="H18" s="50" t="s">
        <v>279</v>
      </c>
      <c r="I18" s="9"/>
      <c r="J18" s="9" t="s">
        <v>275</v>
      </c>
      <c r="K18" s="9"/>
      <c r="L18" s="9" t="s">
        <v>275</v>
      </c>
      <c r="M18" s="9"/>
      <c r="N18" s="9"/>
      <c r="O18" s="9"/>
      <c r="P18" s="9"/>
      <c r="Q18" s="55"/>
      <c r="R18" s="51"/>
      <c r="S18" s="142"/>
      <c r="T18" s="143"/>
    </row>
    <row r="19" spans="1:20" s="11" customFormat="1" x14ac:dyDescent="0.2">
      <c r="A19" s="9">
        <v>20</v>
      </c>
      <c r="B19" s="9"/>
      <c r="C19" s="9"/>
      <c r="D19" s="9" t="s">
        <v>132</v>
      </c>
      <c r="E19" s="49" t="s">
        <v>134</v>
      </c>
      <c r="F19" s="49"/>
      <c r="G19" s="50" t="s">
        <v>464</v>
      </c>
      <c r="H19" s="50" t="s">
        <v>281</v>
      </c>
      <c r="I19" s="9"/>
      <c r="J19" s="9" t="s">
        <v>275</v>
      </c>
      <c r="K19" s="9"/>
      <c r="L19" s="9" t="s">
        <v>275</v>
      </c>
      <c r="M19" s="9"/>
      <c r="N19" s="9"/>
      <c r="O19" s="9"/>
      <c r="P19" s="9"/>
      <c r="Q19" s="55"/>
      <c r="R19" s="51"/>
      <c r="S19" s="67"/>
      <c r="T19" s="68"/>
    </row>
    <row r="20" spans="1:20" s="11" customFormat="1" x14ac:dyDescent="0.2">
      <c r="A20" s="9">
        <v>20</v>
      </c>
      <c r="B20" s="9"/>
      <c r="C20" s="9"/>
      <c r="D20" s="9" t="s">
        <v>47</v>
      </c>
      <c r="E20" s="49" t="s">
        <v>48</v>
      </c>
      <c r="F20" s="49"/>
      <c r="G20" s="50" t="s">
        <v>465</v>
      </c>
      <c r="H20" s="50" t="s">
        <v>282</v>
      </c>
      <c r="I20" s="9"/>
      <c r="J20" s="9" t="s">
        <v>275</v>
      </c>
      <c r="K20" s="9"/>
      <c r="L20" s="9" t="s">
        <v>275</v>
      </c>
      <c r="M20" s="9"/>
      <c r="N20" s="9"/>
      <c r="O20" s="9"/>
      <c r="P20" s="9"/>
      <c r="Q20" s="55"/>
      <c r="R20" s="51"/>
      <c r="S20" s="67"/>
      <c r="T20" s="68"/>
    </row>
    <row r="21" spans="1:20" s="11" customFormat="1" x14ac:dyDescent="0.2">
      <c r="A21" s="9">
        <v>20</v>
      </c>
      <c r="B21" s="9"/>
      <c r="C21" s="9"/>
      <c r="D21" s="9" t="s">
        <v>51</v>
      </c>
      <c r="E21" s="49" t="s">
        <v>52</v>
      </c>
      <c r="F21" s="49"/>
      <c r="G21" s="50" t="s">
        <v>466</v>
      </c>
      <c r="H21" s="50" t="s">
        <v>283</v>
      </c>
      <c r="I21" s="9"/>
      <c r="J21" s="9" t="s">
        <v>275</v>
      </c>
      <c r="K21" s="9"/>
      <c r="L21" s="9" t="s">
        <v>275</v>
      </c>
      <c r="M21" s="9"/>
      <c r="N21" s="9"/>
      <c r="O21" s="9"/>
      <c r="P21" s="9"/>
      <c r="Q21" s="55"/>
      <c r="R21" s="51"/>
      <c r="S21" s="67"/>
      <c r="T21" s="68"/>
    </row>
    <row r="22" spans="1:20" s="11" customFormat="1" x14ac:dyDescent="0.2">
      <c r="A22" s="9">
        <v>20</v>
      </c>
      <c r="B22" s="9"/>
      <c r="C22" s="9"/>
      <c r="D22" s="9" t="s">
        <v>49</v>
      </c>
      <c r="E22" s="49" t="s">
        <v>50</v>
      </c>
      <c r="F22" s="49"/>
      <c r="G22" s="50" t="s">
        <v>467</v>
      </c>
      <c r="H22" s="50" t="s">
        <v>284</v>
      </c>
      <c r="I22" s="9"/>
      <c r="J22" s="9" t="s">
        <v>275</v>
      </c>
      <c r="K22" s="9"/>
      <c r="L22" s="9" t="s">
        <v>275</v>
      </c>
      <c r="M22" s="9"/>
      <c r="N22" s="9"/>
      <c r="O22" s="9"/>
      <c r="P22" s="9"/>
      <c r="Q22" s="55"/>
      <c r="R22" s="51"/>
      <c r="S22" s="67"/>
      <c r="T22" s="68"/>
    </row>
    <row r="23" spans="1:20" s="11" customFormat="1" x14ac:dyDescent="0.2">
      <c r="A23" s="9">
        <v>20</v>
      </c>
      <c r="B23" s="9"/>
      <c r="C23" s="9"/>
      <c r="D23" s="9" t="s">
        <v>74</v>
      </c>
      <c r="E23" s="49" t="s">
        <v>135</v>
      </c>
      <c r="F23" s="49"/>
      <c r="G23" s="50" t="s">
        <v>468</v>
      </c>
      <c r="H23" s="50" t="s">
        <v>285</v>
      </c>
      <c r="I23" s="9"/>
      <c r="J23" s="9" t="s">
        <v>275</v>
      </c>
      <c r="K23" s="9"/>
      <c r="L23" s="9" t="s">
        <v>275</v>
      </c>
      <c r="M23" s="9"/>
      <c r="N23" s="9"/>
      <c r="O23" s="9"/>
      <c r="P23" s="9"/>
      <c r="Q23" s="55"/>
      <c r="R23" s="51"/>
      <c r="S23" s="67"/>
      <c r="T23" s="68"/>
    </row>
    <row r="24" spans="1:20" s="11" customFormat="1" x14ac:dyDescent="0.2">
      <c r="A24" s="9">
        <v>20</v>
      </c>
      <c r="B24" s="9"/>
      <c r="C24" s="9"/>
      <c r="D24" s="9" t="s">
        <v>15</v>
      </c>
      <c r="E24" s="49" t="s">
        <v>372</v>
      </c>
      <c r="F24" s="49"/>
      <c r="G24" s="50" t="s">
        <v>512</v>
      </c>
      <c r="H24" s="50" t="s">
        <v>339</v>
      </c>
      <c r="I24" s="9"/>
      <c r="J24" s="9"/>
      <c r="K24" s="9"/>
      <c r="L24" s="9"/>
      <c r="M24" s="9"/>
      <c r="N24" s="9"/>
      <c r="O24" s="9"/>
      <c r="P24" s="9"/>
      <c r="Q24" s="55"/>
      <c r="R24" s="51"/>
      <c r="S24" s="142"/>
      <c r="T24" s="143"/>
    </row>
    <row r="25" spans="1:20" s="11" customFormat="1" x14ac:dyDescent="0.2">
      <c r="A25" s="74"/>
      <c r="T25" s="54"/>
    </row>
    <row r="26" spans="1:20" s="11" customFormat="1" x14ac:dyDescent="0.2">
      <c r="A26" s="9">
        <v>30</v>
      </c>
      <c r="B26" s="37" t="s">
        <v>0</v>
      </c>
      <c r="C26" s="38"/>
      <c r="D26" s="28" t="s">
        <v>158</v>
      </c>
      <c r="E26" s="34" t="s">
        <v>35</v>
      </c>
      <c r="F26" s="56"/>
      <c r="G26" s="28"/>
      <c r="H26" s="45"/>
      <c r="I26" s="57"/>
      <c r="J26" s="58"/>
      <c r="K26" s="48"/>
      <c r="L26" s="48"/>
      <c r="M26" s="48"/>
      <c r="N26" s="48" t="s">
        <v>21</v>
      </c>
      <c r="O26" s="48"/>
      <c r="P26" s="48"/>
      <c r="Q26" s="35"/>
      <c r="R26" s="36"/>
      <c r="S26" s="67"/>
      <c r="T26" s="69"/>
    </row>
    <row r="27" spans="1:20" s="11" customFormat="1" x14ac:dyDescent="0.2">
      <c r="A27" s="9">
        <v>30</v>
      </c>
      <c r="B27" s="9"/>
      <c r="C27" s="9"/>
      <c r="D27" s="9" t="s">
        <v>85</v>
      </c>
      <c r="E27" s="49" t="s">
        <v>115</v>
      </c>
      <c r="F27" s="49"/>
      <c r="G27" s="50" t="s">
        <v>469</v>
      </c>
      <c r="H27" s="50" t="s">
        <v>290</v>
      </c>
      <c r="I27" s="9"/>
      <c r="J27" s="9" t="s">
        <v>275</v>
      </c>
      <c r="K27" s="9"/>
      <c r="L27" s="9"/>
      <c r="M27" s="9"/>
      <c r="N27" s="9" t="s">
        <v>275</v>
      </c>
      <c r="O27" s="9"/>
      <c r="P27" s="9"/>
      <c r="Q27" s="55"/>
      <c r="R27" s="51"/>
      <c r="S27" s="142"/>
      <c r="T27" s="143"/>
    </row>
    <row r="28" spans="1:20" s="11" customFormat="1" x14ac:dyDescent="0.2">
      <c r="A28" s="9">
        <v>30</v>
      </c>
      <c r="B28" s="9"/>
      <c r="C28" s="9"/>
      <c r="D28" s="9" t="s">
        <v>83</v>
      </c>
      <c r="E28" s="49" t="s">
        <v>133</v>
      </c>
      <c r="F28" s="49"/>
      <c r="G28" s="50" t="s">
        <v>461</v>
      </c>
      <c r="H28" s="50" t="s">
        <v>274</v>
      </c>
      <c r="I28" s="9"/>
      <c r="J28" s="9" t="s">
        <v>275</v>
      </c>
      <c r="K28" s="9"/>
      <c r="L28" s="9"/>
      <c r="M28" s="9"/>
      <c r="N28" s="9" t="s">
        <v>275</v>
      </c>
      <c r="O28" s="9"/>
      <c r="P28" s="9"/>
      <c r="Q28" s="55"/>
      <c r="R28" s="51"/>
      <c r="S28" s="142"/>
      <c r="T28" s="143"/>
    </row>
    <row r="29" spans="1:20" s="11" customFormat="1" x14ac:dyDescent="0.2">
      <c r="A29" s="9">
        <v>30</v>
      </c>
      <c r="B29" s="9"/>
      <c r="C29" s="9"/>
      <c r="D29" s="9" t="s">
        <v>153</v>
      </c>
      <c r="E29" s="49" t="s">
        <v>133</v>
      </c>
      <c r="F29" s="49"/>
      <c r="G29" s="50" t="s">
        <v>463</v>
      </c>
      <c r="H29" s="50" t="s">
        <v>279</v>
      </c>
      <c r="I29" s="9"/>
      <c r="J29" s="9" t="s">
        <v>275</v>
      </c>
      <c r="K29" s="9"/>
      <c r="L29" s="9"/>
      <c r="M29" s="9"/>
      <c r="N29" s="9" t="s">
        <v>420</v>
      </c>
      <c r="O29" s="9"/>
      <c r="P29" s="9"/>
      <c r="Q29" s="55"/>
      <c r="R29" s="51"/>
      <c r="S29" s="142"/>
      <c r="T29" s="143"/>
    </row>
    <row r="30" spans="1:20" s="11" customFormat="1" x14ac:dyDescent="0.2">
      <c r="A30" s="9">
        <v>30</v>
      </c>
      <c r="B30" s="9"/>
      <c r="C30" s="9"/>
      <c r="D30" s="9" t="s">
        <v>417</v>
      </c>
      <c r="E30" s="49" t="s">
        <v>116</v>
      </c>
      <c r="F30" s="49"/>
      <c r="G30" s="50" t="s">
        <v>513</v>
      </c>
      <c r="H30" s="50" t="s">
        <v>340</v>
      </c>
      <c r="I30" s="9"/>
      <c r="J30" s="9" t="s">
        <v>275</v>
      </c>
      <c r="K30" s="9"/>
      <c r="L30" s="9"/>
      <c r="M30" s="9"/>
      <c r="N30" s="9" t="s">
        <v>429</v>
      </c>
      <c r="O30" s="9"/>
      <c r="P30" s="9"/>
      <c r="Q30" s="55"/>
      <c r="R30" s="51"/>
      <c r="S30" s="142"/>
      <c r="T30" s="143"/>
    </row>
    <row r="31" spans="1:20" s="11" customFormat="1" x14ac:dyDescent="0.2">
      <c r="A31" s="9">
        <v>30</v>
      </c>
      <c r="B31" s="9"/>
      <c r="C31" s="9"/>
      <c r="D31" s="9" t="s">
        <v>86</v>
      </c>
      <c r="E31" s="49" t="s">
        <v>116</v>
      </c>
      <c r="F31" s="49"/>
      <c r="G31" s="50" t="s">
        <v>471</v>
      </c>
      <c r="H31" s="50" t="s">
        <v>292</v>
      </c>
      <c r="I31" s="9"/>
      <c r="J31" s="9" t="s">
        <v>275</v>
      </c>
      <c r="K31" s="9"/>
      <c r="L31" s="9"/>
      <c r="M31" s="9"/>
      <c r="N31" s="9" t="s">
        <v>421</v>
      </c>
      <c r="O31" s="9"/>
      <c r="P31" s="9"/>
      <c r="Q31" s="55"/>
      <c r="R31" s="51"/>
      <c r="S31" s="67"/>
      <c r="T31" s="68"/>
    </row>
    <row r="32" spans="1:20" s="11" customFormat="1" x14ac:dyDescent="0.2">
      <c r="A32" s="9">
        <v>30</v>
      </c>
      <c r="B32" s="9"/>
      <c r="C32" s="9"/>
      <c r="D32" s="9" t="s">
        <v>90</v>
      </c>
      <c r="E32" s="49" t="s">
        <v>117</v>
      </c>
      <c r="F32" s="49"/>
      <c r="G32" s="50" t="s">
        <v>472</v>
      </c>
      <c r="H32" s="50" t="s">
        <v>293</v>
      </c>
      <c r="I32" s="9"/>
      <c r="J32" s="9" t="s">
        <v>275</v>
      </c>
      <c r="K32" s="9"/>
      <c r="L32" s="9"/>
      <c r="M32" s="9"/>
      <c r="N32" s="9" t="s">
        <v>275</v>
      </c>
      <c r="O32" s="9"/>
      <c r="P32" s="9"/>
      <c r="Q32" s="55"/>
      <c r="R32" s="51"/>
      <c r="S32" s="67"/>
      <c r="T32" s="68"/>
    </row>
    <row r="33" spans="1:20" s="11" customFormat="1" x14ac:dyDescent="0.2">
      <c r="A33" s="9">
        <v>30</v>
      </c>
      <c r="B33" s="9"/>
      <c r="C33" s="9"/>
      <c r="D33" s="9" t="s">
        <v>91</v>
      </c>
      <c r="E33" s="49" t="s">
        <v>118</v>
      </c>
      <c r="F33" s="49"/>
      <c r="G33" s="50" t="s">
        <v>514</v>
      </c>
      <c r="H33" s="50" t="s">
        <v>341</v>
      </c>
      <c r="I33" s="9"/>
      <c r="J33" s="9" t="s">
        <v>275</v>
      </c>
      <c r="K33" s="9"/>
      <c r="L33" s="9"/>
      <c r="M33" s="9"/>
      <c r="N33" s="9" t="s">
        <v>275</v>
      </c>
      <c r="O33" s="9"/>
      <c r="P33" s="9"/>
      <c r="Q33" s="55"/>
      <c r="R33" s="51"/>
      <c r="S33" s="67"/>
      <c r="T33" s="68"/>
    </row>
    <row r="34" spans="1:20" s="11" customFormat="1" x14ac:dyDescent="0.2">
      <c r="A34" s="9">
        <v>30</v>
      </c>
      <c r="B34" s="9"/>
      <c r="C34" s="9"/>
      <c r="D34" s="9" t="s">
        <v>88</v>
      </c>
      <c r="E34" s="49" t="s">
        <v>115</v>
      </c>
      <c r="F34" s="49"/>
      <c r="G34" s="50" t="s">
        <v>473</v>
      </c>
      <c r="H34" s="50" t="s">
        <v>294</v>
      </c>
      <c r="I34" s="9"/>
      <c r="J34" s="9" t="s">
        <v>275</v>
      </c>
      <c r="K34" s="9"/>
      <c r="L34" s="9"/>
      <c r="M34" s="9"/>
      <c r="N34" s="9" t="s">
        <v>275</v>
      </c>
      <c r="O34" s="9"/>
      <c r="P34" s="9"/>
      <c r="Q34" s="55"/>
      <c r="R34" s="51"/>
      <c r="S34" s="67"/>
      <c r="T34" s="68"/>
    </row>
    <row r="35" spans="1:20" s="11" customFormat="1" x14ac:dyDescent="0.2">
      <c r="A35" s="9">
        <v>30</v>
      </c>
      <c r="B35" s="9"/>
      <c r="C35" s="9"/>
      <c r="D35" s="9" t="s">
        <v>89</v>
      </c>
      <c r="E35" s="49" t="s">
        <v>116</v>
      </c>
      <c r="F35" s="49"/>
      <c r="G35" s="50" t="s">
        <v>515</v>
      </c>
      <c r="H35" s="50" t="s">
        <v>342</v>
      </c>
      <c r="I35" s="9"/>
      <c r="J35" s="9" t="s">
        <v>275</v>
      </c>
      <c r="K35" s="9"/>
      <c r="L35" s="9"/>
      <c r="M35" s="9"/>
      <c r="N35" s="9" t="s">
        <v>275</v>
      </c>
      <c r="O35" s="9"/>
      <c r="P35" s="9"/>
      <c r="Q35" s="55"/>
      <c r="R35" s="51"/>
      <c r="S35" s="67"/>
      <c r="T35" s="68"/>
    </row>
    <row r="36" spans="1:20" s="11" customFormat="1" x14ac:dyDescent="0.2">
      <c r="A36" s="9">
        <v>30</v>
      </c>
      <c r="B36" s="9"/>
      <c r="C36" s="9"/>
      <c r="D36" s="9" t="s">
        <v>87</v>
      </c>
      <c r="E36" s="49" t="s">
        <v>115</v>
      </c>
      <c r="F36" s="49"/>
      <c r="G36" s="50" t="s">
        <v>474</v>
      </c>
      <c r="H36" s="50" t="s">
        <v>295</v>
      </c>
      <c r="I36" s="9"/>
      <c r="J36" s="9" t="s">
        <v>275</v>
      </c>
      <c r="K36" s="9"/>
      <c r="L36" s="9"/>
      <c r="M36" s="9"/>
      <c r="N36" s="9" t="s">
        <v>275</v>
      </c>
      <c r="O36" s="9"/>
      <c r="P36" s="9"/>
      <c r="Q36" s="55"/>
      <c r="R36" s="51"/>
      <c r="S36" s="67"/>
      <c r="T36" s="68"/>
    </row>
    <row r="37" spans="1:20" s="11" customFormat="1" x14ac:dyDescent="0.2">
      <c r="A37" s="9">
        <v>30</v>
      </c>
      <c r="B37" s="9"/>
      <c r="C37" s="9"/>
      <c r="D37" s="9" t="s">
        <v>418</v>
      </c>
      <c r="E37" s="49" t="s">
        <v>119</v>
      </c>
      <c r="F37" s="49"/>
      <c r="G37" s="50" t="s">
        <v>475</v>
      </c>
      <c r="H37" s="50" t="s">
        <v>296</v>
      </c>
      <c r="I37" s="9"/>
      <c r="J37" s="9" t="s">
        <v>275</v>
      </c>
      <c r="K37" s="9"/>
      <c r="L37" s="9"/>
      <c r="M37" s="9"/>
      <c r="N37" s="9" t="s">
        <v>422</v>
      </c>
      <c r="O37" s="9"/>
      <c r="P37" s="9"/>
      <c r="Q37" s="55"/>
      <c r="R37" s="51"/>
      <c r="S37" s="67"/>
      <c r="T37" s="68"/>
    </row>
    <row r="38" spans="1:20" s="11" customFormat="1" x14ac:dyDescent="0.2">
      <c r="A38" s="9">
        <v>30</v>
      </c>
      <c r="B38" s="9"/>
      <c r="C38" s="9"/>
      <c r="D38" s="9" t="s">
        <v>93</v>
      </c>
      <c r="E38" s="49" t="s">
        <v>120</v>
      </c>
      <c r="F38" s="49"/>
      <c r="G38" s="50" t="s">
        <v>476</v>
      </c>
      <c r="H38" s="50" t="s">
        <v>297</v>
      </c>
      <c r="I38" s="9"/>
      <c r="J38" s="9" t="s">
        <v>275</v>
      </c>
      <c r="K38" s="9"/>
      <c r="L38" s="9"/>
      <c r="M38" s="9"/>
      <c r="N38" s="9" t="s">
        <v>423</v>
      </c>
      <c r="O38" s="9"/>
      <c r="P38" s="9"/>
      <c r="Q38" s="55"/>
      <c r="R38" s="51"/>
      <c r="S38" s="67"/>
      <c r="T38" s="68"/>
    </row>
    <row r="39" spans="1:20" s="11" customFormat="1" x14ac:dyDescent="0.2">
      <c r="A39" s="9">
        <v>30</v>
      </c>
      <c r="B39" s="9"/>
      <c r="C39" s="9"/>
      <c r="D39" s="9" t="s">
        <v>94</v>
      </c>
      <c r="E39" s="49" t="s">
        <v>121</v>
      </c>
      <c r="F39" s="49"/>
      <c r="G39" s="50" t="s">
        <v>477</v>
      </c>
      <c r="H39" s="50" t="s">
        <v>298</v>
      </c>
      <c r="I39" s="9"/>
      <c r="J39" s="9" t="s">
        <v>275</v>
      </c>
      <c r="K39" s="9"/>
      <c r="L39" s="9"/>
      <c r="M39" s="9"/>
      <c r="N39" s="9" t="s">
        <v>424</v>
      </c>
      <c r="O39" s="9"/>
      <c r="P39" s="9"/>
      <c r="Q39" s="55"/>
      <c r="R39" s="51"/>
      <c r="S39" s="67"/>
      <c r="T39" s="68"/>
    </row>
    <row r="40" spans="1:20" s="11" customFormat="1" x14ac:dyDescent="0.2">
      <c r="A40" s="9">
        <v>30</v>
      </c>
      <c r="B40" s="9"/>
      <c r="C40" s="9"/>
      <c r="D40" s="9" t="s">
        <v>95</v>
      </c>
      <c r="E40" s="49" t="s">
        <v>122</v>
      </c>
      <c r="F40" s="49"/>
      <c r="G40" s="50" t="s">
        <v>478</v>
      </c>
      <c r="H40" s="50" t="s">
        <v>299</v>
      </c>
      <c r="I40" s="9"/>
      <c r="J40" s="9" t="s">
        <v>275</v>
      </c>
      <c r="K40" s="9"/>
      <c r="L40" s="9"/>
      <c r="M40" s="9"/>
      <c r="N40" s="9" t="s">
        <v>425</v>
      </c>
      <c r="O40" s="9"/>
      <c r="P40" s="9"/>
      <c r="Q40" s="55"/>
      <c r="R40" s="51"/>
      <c r="S40" s="67"/>
      <c r="T40" s="68"/>
    </row>
    <row r="41" spans="1:20" s="11" customFormat="1" x14ac:dyDescent="0.2">
      <c r="A41" s="9">
        <v>30</v>
      </c>
      <c r="B41" s="9"/>
      <c r="C41" s="9"/>
      <c r="D41" s="9" t="s">
        <v>96</v>
      </c>
      <c r="E41" s="49" t="s">
        <v>123</v>
      </c>
      <c r="F41" s="49"/>
      <c r="G41" s="50" t="s">
        <v>479</v>
      </c>
      <c r="H41" s="50" t="s">
        <v>300</v>
      </c>
      <c r="I41" s="9"/>
      <c r="J41" s="9" t="s">
        <v>275</v>
      </c>
      <c r="K41" s="9"/>
      <c r="L41" s="9"/>
      <c r="M41" s="9"/>
      <c r="N41" s="9" t="s">
        <v>426</v>
      </c>
      <c r="O41" s="9"/>
      <c r="P41" s="9"/>
      <c r="Q41" s="55"/>
      <c r="R41" s="51"/>
      <c r="S41" s="67"/>
      <c r="T41" s="68"/>
    </row>
    <row r="42" spans="1:20" s="11" customFormat="1" x14ac:dyDescent="0.2">
      <c r="A42" s="9">
        <v>30</v>
      </c>
      <c r="B42" s="9"/>
      <c r="C42" s="9"/>
      <c r="D42" s="9" t="s">
        <v>419</v>
      </c>
      <c r="E42" s="49" t="s">
        <v>124</v>
      </c>
      <c r="F42" s="49"/>
      <c r="G42" s="50" t="s">
        <v>480</v>
      </c>
      <c r="H42" s="50" t="s">
        <v>301</v>
      </c>
      <c r="I42" s="9"/>
      <c r="J42" s="9" t="s">
        <v>275</v>
      </c>
      <c r="K42" s="9"/>
      <c r="L42" s="9"/>
      <c r="M42" s="9"/>
      <c r="N42" s="9" t="s">
        <v>427</v>
      </c>
      <c r="O42" s="9"/>
      <c r="P42" s="9"/>
      <c r="Q42" s="55"/>
      <c r="R42" s="51"/>
      <c r="S42" s="67"/>
      <c r="T42" s="68"/>
    </row>
    <row r="43" spans="1:20" s="11" customFormat="1" x14ac:dyDescent="0.2">
      <c r="A43" s="9">
        <v>30</v>
      </c>
      <c r="B43" s="9"/>
      <c r="C43" s="9"/>
      <c r="D43" s="9" t="s">
        <v>98</v>
      </c>
      <c r="E43" s="49" t="s">
        <v>124</v>
      </c>
      <c r="F43" s="49"/>
      <c r="G43" s="50" t="s">
        <v>481</v>
      </c>
      <c r="H43" s="50" t="s">
        <v>302</v>
      </c>
      <c r="I43" s="9"/>
      <c r="J43" s="9" t="s">
        <v>275</v>
      </c>
      <c r="K43" s="9"/>
      <c r="L43" s="9"/>
      <c r="M43" s="9"/>
      <c r="N43" s="9" t="s">
        <v>428</v>
      </c>
      <c r="O43" s="9"/>
      <c r="P43" s="9"/>
      <c r="Q43" s="55"/>
      <c r="R43" s="51"/>
      <c r="S43" s="67"/>
      <c r="T43" s="68"/>
    </row>
    <row r="44" spans="1:20" s="11" customFormat="1" ht="26" x14ac:dyDescent="0.2">
      <c r="A44" s="9">
        <v>30</v>
      </c>
      <c r="B44" s="9"/>
      <c r="C44" s="9"/>
      <c r="D44" s="9" t="s">
        <v>99</v>
      </c>
      <c r="E44" s="49" t="s">
        <v>125</v>
      </c>
      <c r="F44" s="49"/>
      <c r="G44" s="50" t="s">
        <v>482</v>
      </c>
      <c r="H44" s="50" t="s">
        <v>343</v>
      </c>
      <c r="I44" s="9"/>
      <c r="J44" s="9" t="s">
        <v>275</v>
      </c>
      <c r="K44" s="9"/>
      <c r="L44" s="9"/>
      <c r="M44" s="9"/>
      <c r="N44" s="9" t="s">
        <v>275</v>
      </c>
      <c r="O44" s="9"/>
      <c r="P44" s="9"/>
      <c r="Q44" s="55"/>
      <c r="R44" s="51"/>
      <c r="S44" s="67"/>
      <c r="T44" s="68"/>
    </row>
    <row r="45" spans="1:20" s="11" customFormat="1" ht="26" x14ac:dyDescent="0.2">
      <c r="A45" s="9">
        <v>30</v>
      </c>
      <c r="B45" s="9"/>
      <c r="C45" s="9"/>
      <c r="D45" s="9" t="s">
        <v>100</v>
      </c>
      <c r="E45" s="49" t="s">
        <v>126</v>
      </c>
      <c r="F45" s="49"/>
      <c r="G45" s="50" t="s">
        <v>516</v>
      </c>
      <c r="H45" s="50" t="s">
        <v>344</v>
      </c>
      <c r="I45" s="9"/>
      <c r="J45" s="9" t="s">
        <v>275</v>
      </c>
      <c r="K45" s="9"/>
      <c r="L45" s="9"/>
      <c r="M45" s="9"/>
      <c r="N45" s="9" t="s">
        <v>275</v>
      </c>
      <c r="O45" s="9"/>
      <c r="P45" s="9"/>
      <c r="Q45" s="55"/>
      <c r="R45" s="51"/>
      <c r="S45" s="67"/>
      <c r="T45" s="68"/>
    </row>
    <row r="46" spans="1:20" s="11" customFormat="1" x14ac:dyDescent="0.2">
      <c r="A46" s="9">
        <v>30</v>
      </c>
      <c r="B46" s="9"/>
      <c r="C46" s="9"/>
      <c r="D46" s="9" t="s">
        <v>243</v>
      </c>
      <c r="E46" s="49" t="s">
        <v>54</v>
      </c>
      <c r="F46" s="49"/>
      <c r="G46" s="50" t="s">
        <v>500</v>
      </c>
      <c r="H46" s="50" t="s">
        <v>319</v>
      </c>
      <c r="I46" s="9"/>
      <c r="J46" s="9" t="s">
        <v>275</v>
      </c>
      <c r="K46" s="9"/>
      <c r="L46" s="9"/>
      <c r="M46" s="9"/>
      <c r="N46" s="9" t="s">
        <v>275</v>
      </c>
      <c r="O46" s="9"/>
      <c r="P46" s="9"/>
      <c r="Q46" s="55"/>
      <c r="R46" s="51"/>
      <c r="S46" s="67"/>
      <c r="T46" s="68"/>
    </row>
    <row r="47" spans="1:20" s="11" customFormat="1" x14ac:dyDescent="0.2">
      <c r="A47" s="9">
        <v>30</v>
      </c>
      <c r="B47" s="9"/>
      <c r="C47" s="9"/>
      <c r="D47" s="9" t="s">
        <v>244</v>
      </c>
      <c r="E47" s="49" t="s">
        <v>54</v>
      </c>
      <c r="F47" s="49"/>
      <c r="G47" s="50" t="s">
        <v>501</v>
      </c>
      <c r="H47" s="50" t="s">
        <v>320</v>
      </c>
      <c r="I47" s="9"/>
      <c r="J47" s="9" t="s">
        <v>275</v>
      </c>
      <c r="K47" s="9"/>
      <c r="L47" s="9"/>
      <c r="M47" s="9"/>
      <c r="N47" s="9" t="s">
        <v>275</v>
      </c>
      <c r="O47" s="9"/>
      <c r="P47" s="9"/>
      <c r="Q47" s="55"/>
      <c r="R47" s="51"/>
      <c r="S47" s="67"/>
      <c r="T47" s="68"/>
    </row>
    <row r="48" spans="1:20" s="11" customFormat="1" x14ac:dyDescent="0.2">
      <c r="A48" s="9">
        <v>30</v>
      </c>
      <c r="B48" s="9"/>
      <c r="C48" s="9"/>
      <c r="D48" s="9" t="s">
        <v>245</v>
      </c>
      <c r="E48" s="49" t="s">
        <v>54</v>
      </c>
      <c r="F48" s="49"/>
      <c r="G48" s="50" t="s">
        <v>502</v>
      </c>
      <c r="H48" s="50" t="s">
        <v>321</v>
      </c>
      <c r="I48" s="9"/>
      <c r="J48" s="9" t="s">
        <v>275</v>
      </c>
      <c r="K48" s="9"/>
      <c r="L48" s="9"/>
      <c r="M48" s="9"/>
      <c r="N48" s="9" t="s">
        <v>275</v>
      </c>
      <c r="O48" s="9"/>
      <c r="P48" s="9"/>
      <c r="Q48" s="55"/>
      <c r="R48" s="51"/>
      <c r="S48" s="67"/>
      <c r="T48" s="68"/>
    </row>
    <row r="49" spans="1:20" s="11" customFormat="1" x14ac:dyDescent="0.2">
      <c r="A49" s="9">
        <v>30</v>
      </c>
      <c r="B49" s="9"/>
      <c r="C49" s="9"/>
      <c r="D49" s="9" t="s">
        <v>246</v>
      </c>
      <c r="E49" s="49" t="s">
        <v>54</v>
      </c>
      <c r="F49" s="49"/>
      <c r="G49" s="50" t="s">
        <v>503</v>
      </c>
      <c r="H49" s="50" t="s">
        <v>322</v>
      </c>
      <c r="I49" s="9"/>
      <c r="J49" s="9" t="s">
        <v>275</v>
      </c>
      <c r="K49" s="9"/>
      <c r="L49" s="9"/>
      <c r="M49" s="9"/>
      <c r="N49" s="9" t="s">
        <v>275</v>
      </c>
      <c r="O49" s="9"/>
      <c r="P49" s="9"/>
      <c r="Q49" s="55"/>
      <c r="R49" s="51"/>
      <c r="S49" s="67"/>
      <c r="T49" s="68"/>
    </row>
    <row r="50" spans="1:20" s="11" customFormat="1" x14ac:dyDescent="0.2">
      <c r="A50" s="9">
        <v>30</v>
      </c>
      <c r="B50" s="9"/>
      <c r="C50" s="9"/>
      <c r="D50" s="9" t="s">
        <v>247</v>
      </c>
      <c r="E50" s="49" t="s">
        <v>54</v>
      </c>
      <c r="F50" s="49"/>
      <c r="G50" s="50" t="s">
        <v>504</v>
      </c>
      <c r="H50" s="50" t="s">
        <v>323</v>
      </c>
      <c r="I50" s="9"/>
      <c r="J50" s="9" t="s">
        <v>275</v>
      </c>
      <c r="K50" s="9"/>
      <c r="L50" s="9"/>
      <c r="M50" s="9"/>
      <c r="N50" s="9" t="s">
        <v>275</v>
      </c>
      <c r="O50" s="9"/>
      <c r="P50" s="9"/>
      <c r="Q50" s="55"/>
      <c r="R50" s="51"/>
      <c r="S50" s="67"/>
      <c r="T50" s="68"/>
    </row>
    <row r="51" spans="1:20" s="11" customFormat="1" x14ac:dyDescent="0.2">
      <c r="A51" s="9">
        <v>30</v>
      </c>
      <c r="B51" s="9"/>
      <c r="C51" s="9"/>
      <c r="D51" s="9" t="s">
        <v>248</v>
      </c>
      <c r="E51" s="49" t="s">
        <v>54</v>
      </c>
      <c r="F51" s="49"/>
      <c r="G51" s="50" t="s">
        <v>505</v>
      </c>
      <c r="H51" s="50" t="s">
        <v>324</v>
      </c>
      <c r="I51" s="9"/>
      <c r="J51" s="9" t="s">
        <v>275</v>
      </c>
      <c r="K51" s="9"/>
      <c r="L51" s="9"/>
      <c r="M51" s="9"/>
      <c r="N51" s="9" t="s">
        <v>275</v>
      </c>
      <c r="O51" s="9"/>
      <c r="P51" s="9"/>
      <c r="Q51" s="55"/>
      <c r="R51" s="51"/>
      <c r="S51" s="67"/>
      <c r="T51" s="68"/>
    </row>
    <row r="52" spans="1:20" s="11" customFormat="1" x14ac:dyDescent="0.2">
      <c r="A52" s="9">
        <v>30</v>
      </c>
      <c r="B52" s="9"/>
      <c r="C52" s="9"/>
      <c r="D52" s="9" t="s">
        <v>249</v>
      </c>
      <c r="E52" s="49" t="s">
        <v>54</v>
      </c>
      <c r="F52" s="49"/>
      <c r="G52" s="50" t="s">
        <v>506</v>
      </c>
      <c r="H52" s="50" t="s">
        <v>325</v>
      </c>
      <c r="I52" s="9"/>
      <c r="J52" s="9" t="s">
        <v>275</v>
      </c>
      <c r="K52" s="9"/>
      <c r="L52" s="9"/>
      <c r="M52" s="9"/>
      <c r="N52" s="9" t="s">
        <v>275</v>
      </c>
      <c r="O52" s="9"/>
      <c r="P52" s="9"/>
      <c r="Q52" s="55"/>
      <c r="R52" s="51"/>
      <c r="S52" s="67"/>
      <c r="T52" s="68"/>
    </row>
    <row r="53" spans="1:20" s="11" customFormat="1" ht="26" x14ac:dyDescent="0.2">
      <c r="A53" s="9">
        <v>30</v>
      </c>
      <c r="B53" s="9"/>
      <c r="C53" s="9"/>
      <c r="D53" s="9" t="s">
        <v>101</v>
      </c>
      <c r="E53" s="49" t="s">
        <v>127</v>
      </c>
      <c r="F53" s="49"/>
      <c r="G53" s="50" t="s">
        <v>483</v>
      </c>
      <c r="H53" s="50" t="s">
        <v>304</v>
      </c>
      <c r="I53" s="9"/>
      <c r="J53" s="9" t="s">
        <v>275</v>
      </c>
      <c r="K53" s="9"/>
      <c r="L53" s="9"/>
      <c r="M53" s="9"/>
      <c r="N53" s="9" t="s">
        <v>275</v>
      </c>
      <c r="O53" s="9"/>
      <c r="P53" s="9"/>
      <c r="Q53" s="55"/>
      <c r="R53" s="51"/>
      <c r="S53" s="67"/>
      <c r="T53" s="68"/>
    </row>
    <row r="54" spans="1:20" s="11" customFormat="1" x14ac:dyDescent="0.2">
      <c r="A54" s="9">
        <v>30</v>
      </c>
      <c r="B54" s="9"/>
      <c r="C54" s="9"/>
      <c r="D54" s="9" t="s">
        <v>102</v>
      </c>
      <c r="E54" s="49" t="s">
        <v>128</v>
      </c>
      <c r="F54" s="49"/>
      <c r="G54" s="50" t="s">
        <v>517</v>
      </c>
      <c r="H54" s="50" t="s">
        <v>345</v>
      </c>
      <c r="I54" s="9"/>
      <c r="J54" s="9" t="s">
        <v>275</v>
      </c>
      <c r="K54" s="9"/>
      <c r="L54" s="9"/>
      <c r="M54" s="9"/>
      <c r="N54" s="9" t="s">
        <v>275</v>
      </c>
      <c r="O54" s="9"/>
      <c r="P54" s="9"/>
      <c r="Q54" s="55"/>
      <c r="R54" s="51"/>
      <c r="S54" s="67"/>
      <c r="T54" s="68"/>
    </row>
    <row r="55" spans="1:20" s="11" customFormat="1" x14ac:dyDescent="0.2">
      <c r="A55" s="9">
        <v>30</v>
      </c>
      <c r="B55" s="9"/>
      <c r="C55" s="9"/>
      <c r="D55" s="9" t="s">
        <v>103</v>
      </c>
      <c r="E55" s="49" t="s">
        <v>127</v>
      </c>
      <c r="F55" s="49"/>
      <c r="G55" s="50" t="s">
        <v>484</v>
      </c>
      <c r="H55" s="50" t="s">
        <v>305</v>
      </c>
      <c r="I55" s="9"/>
      <c r="J55" s="9" t="s">
        <v>275</v>
      </c>
      <c r="K55" s="9"/>
      <c r="L55" s="9"/>
      <c r="M55" s="9"/>
      <c r="N55" s="9" t="s">
        <v>275</v>
      </c>
      <c r="O55" s="9"/>
      <c r="P55" s="9"/>
      <c r="Q55" s="55"/>
      <c r="R55" s="51"/>
      <c r="S55" s="67"/>
      <c r="T55" s="68"/>
    </row>
    <row r="56" spans="1:20" s="11" customFormat="1" x14ac:dyDescent="0.2">
      <c r="A56" s="9">
        <v>30</v>
      </c>
      <c r="B56" s="9"/>
      <c r="C56" s="9"/>
      <c r="D56" s="9" t="s">
        <v>104</v>
      </c>
      <c r="E56" s="49" t="s">
        <v>128</v>
      </c>
      <c r="F56" s="49"/>
      <c r="G56" s="50" t="s">
        <v>518</v>
      </c>
      <c r="H56" s="50" t="s">
        <v>346</v>
      </c>
      <c r="I56" s="9"/>
      <c r="J56" s="9" t="s">
        <v>275</v>
      </c>
      <c r="K56" s="9"/>
      <c r="L56" s="9"/>
      <c r="M56" s="9"/>
      <c r="N56" s="9" t="s">
        <v>275</v>
      </c>
      <c r="O56" s="9"/>
      <c r="P56" s="9"/>
      <c r="Q56" s="55"/>
      <c r="R56" s="51"/>
      <c r="S56" s="67"/>
      <c r="T56" s="68"/>
    </row>
    <row r="57" spans="1:20" s="11" customFormat="1" x14ac:dyDescent="0.2">
      <c r="A57" s="9">
        <v>30</v>
      </c>
      <c r="B57" s="9"/>
      <c r="C57" s="9"/>
      <c r="D57" s="9" t="s">
        <v>391</v>
      </c>
      <c r="E57" s="49" t="s">
        <v>387</v>
      </c>
      <c r="F57" s="49"/>
      <c r="G57" s="50" t="s">
        <v>485</v>
      </c>
      <c r="H57" s="50" t="s">
        <v>390</v>
      </c>
      <c r="I57" s="9"/>
      <c r="J57" s="9" t="s">
        <v>275</v>
      </c>
      <c r="K57" s="9"/>
      <c r="L57" s="9"/>
      <c r="M57" s="9"/>
      <c r="N57" s="9" t="s">
        <v>275</v>
      </c>
      <c r="O57" s="9"/>
      <c r="P57" s="9"/>
      <c r="Q57" s="55"/>
      <c r="R57" s="51"/>
      <c r="S57" s="67"/>
      <c r="T57" s="68"/>
    </row>
    <row r="58" spans="1:20" s="11" customFormat="1" x14ac:dyDescent="0.2">
      <c r="A58" s="9">
        <v>30</v>
      </c>
      <c r="B58" s="9"/>
      <c r="C58" s="9"/>
      <c r="D58" s="9" t="s">
        <v>394</v>
      </c>
      <c r="E58" s="49" t="s">
        <v>392</v>
      </c>
      <c r="F58" s="49"/>
      <c r="G58" s="50" t="s">
        <v>519</v>
      </c>
      <c r="H58" s="50" t="s">
        <v>393</v>
      </c>
      <c r="I58" s="9"/>
      <c r="J58" s="9" t="s">
        <v>275</v>
      </c>
      <c r="K58" s="9"/>
      <c r="L58" s="9"/>
      <c r="M58" s="9"/>
      <c r="N58" s="9" t="s">
        <v>275</v>
      </c>
      <c r="O58" s="9"/>
      <c r="P58" s="9"/>
      <c r="Q58" s="55"/>
      <c r="R58" s="51"/>
      <c r="S58" s="67"/>
      <c r="T58" s="68"/>
    </row>
    <row r="59" spans="1:20" s="11" customFormat="1" x14ac:dyDescent="0.2">
      <c r="A59" s="9">
        <v>30</v>
      </c>
      <c r="B59" s="9"/>
      <c r="C59" s="9"/>
      <c r="D59" s="9" t="s">
        <v>105</v>
      </c>
      <c r="E59" s="49" t="s">
        <v>54</v>
      </c>
      <c r="F59" s="49"/>
      <c r="G59" s="50" t="s">
        <v>486</v>
      </c>
      <c r="H59" s="50" t="s">
        <v>347</v>
      </c>
      <c r="I59" s="9"/>
      <c r="J59" s="9" t="s">
        <v>275</v>
      </c>
      <c r="K59" s="9"/>
      <c r="L59" s="9"/>
      <c r="M59" s="9"/>
      <c r="N59" s="9" t="s">
        <v>275</v>
      </c>
      <c r="O59" s="9"/>
      <c r="P59" s="9"/>
      <c r="Q59" s="55"/>
      <c r="R59" s="51"/>
      <c r="S59" s="67"/>
      <c r="T59" s="68"/>
    </row>
    <row r="60" spans="1:20" s="11" customFormat="1" x14ac:dyDescent="0.2">
      <c r="A60" s="9">
        <v>30</v>
      </c>
      <c r="B60" s="9"/>
      <c r="C60" s="9"/>
      <c r="D60" s="9" t="s">
        <v>106</v>
      </c>
      <c r="E60" s="49" t="s">
        <v>54</v>
      </c>
      <c r="F60" s="49"/>
      <c r="G60" s="50" t="s">
        <v>487</v>
      </c>
      <c r="H60" s="50" t="s">
        <v>348</v>
      </c>
      <c r="I60" s="9"/>
      <c r="J60" s="9" t="s">
        <v>275</v>
      </c>
      <c r="K60" s="9"/>
      <c r="L60" s="9"/>
      <c r="M60" s="9"/>
      <c r="N60" s="9" t="s">
        <v>275</v>
      </c>
      <c r="O60" s="9"/>
      <c r="P60" s="9"/>
      <c r="Q60" s="55"/>
      <c r="R60" s="51"/>
      <c r="S60" s="67"/>
      <c r="T60" s="68"/>
    </row>
    <row r="61" spans="1:20" s="11" customFormat="1" x14ac:dyDescent="0.2">
      <c r="A61" s="9">
        <v>30</v>
      </c>
      <c r="B61" s="9"/>
      <c r="C61" s="9"/>
      <c r="D61" s="9" t="s">
        <v>107</v>
      </c>
      <c r="E61" s="49" t="s">
        <v>54</v>
      </c>
      <c r="F61" s="49"/>
      <c r="G61" s="50" t="s">
        <v>488</v>
      </c>
      <c r="H61" s="50" t="s">
        <v>349</v>
      </c>
      <c r="I61" s="9"/>
      <c r="J61" s="9" t="s">
        <v>275</v>
      </c>
      <c r="K61" s="9"/>
      <c r="L61" s="9"/>
      <c r="M61" s="9"/>
      <c r="N61" s="9" t="s">
        <v>275</v>
      </c>
      <c r="O61" s="9"/>
      <c r="P61" s="9"/>
      <c r="Q61" s="55"/>
      <c r="R61" s="51"/>
      <c r="S61" s="67"/>
      <c r="T61" s="68"/>
    </row>
    <row r="62" spans="1:20" s="11" customFormat="1" x14ac:dyDescent="0.2">
      <c r="A62" s="9">
        <v>30</v>
      </c>
      <c r="B62" s="9"/>
      <c r="C62" s="9"/>
      <c r="D62" s="9" t="s">
        <v>108</v>
      </c>
      <c r="E62" s="49" t="s">
        <v>54</v>
      </c>
      <c r="F62" s="49"/>
      <c r="G62" s="50" t="s">
        <v>489</v>
      </c>
      <c r="H62" s="50" t="s">
        <v>350</v>
      </c>
      <c r="I62" s="9"/>
      <c r="J62" s="9" t="s">
        <v>275</v>
      </c>
      <c r="K62" s="9"/>
      <c r="L62" s="9"/>
      <c r="M62" s="9"/>
      <c r="N62" s="9" t="s">
        <v>275</v>
      </c>
      <c r="O62" s="9"/>
      <c r="P62" s="9"/>
      <c r="Q62" s="55"/>
      <c r="R62" s="51"/>
      <c r="S62" s="67"/>
      <c r="T62" s="68"/>
    </row>
    <row r="63" spans="1:20" s="11" customFormat="1" x14ac:dyDescent="0.2">
      <c r="A63" s="9">
        <v>30</v>
      </c>
      <c r="B63" s="9"/>
      <c r="C63" s="9"/>
      <c r="D63" s="9" t="s">
        <v>109</v>
      </c>
      <c r="E63" s="49" t="s">
        <v>54</v>
      </c>
      <c r="F63" s="49"/>
      <c r="G63" s="50" t="s">
        <v>490</v>
      </c>
      <c r="H63" s="50" t="s">
        <v>231</v>
      </c>
      <c r="I63" s="9"/>
      <c r="J63" s="9" t="s">
        <v>275</v>
      </c>
      <c r="K63" s="9"/>
      <c r="L63" s="9"/>
      <c r="M63" s="9"/>
      <c r="N63" s="9" t="s">
        <v>275</v>
      </c>
      <c r="O63" s="9"/>
      <c r="P63" s="9"/>
      <c r="Q63" s="55"/>
      <c r="R63" s="51"/>
      <c r="S63" s="67"/>
      <c r="T63" s="68"/>
    </row>
    <row r="64" spans="1:20" s="11" customFormat="1" x14ac:dyDescent="0.2">
      <c r="A64" s="9">
        <v>30</v>
      </c>
      <c r="B64" s="9"/>
      <c r="C64" s="9"/>
      <c r="D64" s="9" t="s">
        <v>110</v>
      </c>
      <c r="E64" s="49" t="s">
        <v>54</v>
      </c>
      <c r="F64" s="49"/>
      <c r="G64" s="50" t="s">
        <v>491</v>
      </c>
      <c r="H64" s="50" t="s">
        <v>351</v>
      </c>
      <c r="I64" s="9"/>
      <c r="J64" s="9" t="s">
        <v>275</v>
      </c>
      <c r="K64" s="9"/>
      <c r="L64" s="9"/>
      <c r="M64" s="9"/>
      <c r="N64" s="9" t="s">
        <v>275</v>
      </c>
      <c r="O64" s="9"/>
      <c r="P64" s="9"/>
      <c r="Q64" s="55"/>
      <c r="R64" s="51"/>
      <c r="S64" s="67"/>
      <c r="T64" s="68"/>
    </row>
    <row r="65" spans="1:20" s="11" customFormat="1" x14ac:dyDescent="0.2">
      <c r="A65" s="9">
        <v>30</v>
      </c>
      <c r="B65" s="9"/>
      <c r="C65" s="9"/>
      <c r="D65" s="9" t="s">
        <v>111</v>
      </c>
      <c r="E65" s="49" t="s">
        <v>54</v>
      </c>
      <c r="F65" s="49"/>
      <c r="G65" s="50" t="s">
        <v>492</v>
      </c>
      <c r="H65" s="50" t="s">
        <v>352</v>
      </c>
      <c r="I65" s="9"/>
      <c r="J65" s="9" t="s">
        <v>275</v>
      </c>
      <c r="K65" s="9"/>
      <c r="L65" s="9"/>
      <c r="M65" s="9"/>
      <c r="N65" s="9" t="s">
        <v>275</v>
      </c>
      <c r="O65" s="9"/>
      <c r="P65" s="9"/>
      <c r="Q65" s="55"/>
      <c r="R65" s="51"/>
      <c r="S65" s="67"/>
      <c r="T65" s="68"/>
    </row>
    <row r="66" spans="1:20" s="11" customFormat="1" x14ac:dyDescent="0.2">
      <c r="A66" s="9">
        <v>30</v>
      </c>
      <c r="B66" s="9"/>
      <c r="C66" s="9"/>
      <c r="D66" s="9" t="s">
        <v>112</v>
      </c>
      <c r="E66" s="49" t="s">
        <v>54</v>
      </c>
      <c r="F66" s="49"/>
      <c r="G66" s="50" t="s">
        <v>493</v>
      </c>
      <c r="H66" s="50" t="s">
        <v>353</v>
      </c>
      <c r="I66" s="9"/>
      <c r="J66" s="9" t="s">
        <v>275</v>
      </c>
      <c r="K66" s="9"/>
      <c r="L66" s="9"/>
      <c r="M66" s="9"/>
      <c r="N66" s="9" t="s">
        <v>275</v>
      </c>
      <c r="O66" s="9"/>
      <c r="P66" s="9"/>
      <c r="Q66" s="55"/>
      <c r="R66" s="51"/>
      <c r="S66" s="67"/>
      <c r="T66" s="68"/>
    </row>
    <row r="67" spans="1:20" s="11" customFormat="1" x14ac:dyDescent="0.2">
      <c r="A67" s="9">
        <v>30</v>
      </c>
      <c r="B67" s="9"/>
      <c r="C67" s="9"/>
      <c r="D67" s="9" t="s">
        <v>227</v>
      </c>
      <c r="E67" s="49" t="s">
        <v>54</v>
      </c>
      <c r="F67" s="49"/>
      <c r="G67" s="50" t="s">
        <v>494</v>
      </c>
      <c r="H67" s="50" t="s">
        <v>354</v>
      </c>
      <c r="I67" s="9"/>
      <c r="J67" s="9" t="s">
        <v>275</v>
      </c>
      <c r="K67" s="9"/>
      <c r="L67" s="9"/>
      <c r="M67" s="9"/>
      <c r="N67" s="9" t="s">
        <v>275</v>
      </c>
      <c r="O67" s="9"/>
      <c r="P67" s="9"/>
      <c r="Q67" s="55"/>
      <c r="R67" s="51"/>
      <c r="S67" s="67"/>
      <c r="T67" s="68"/>
    </row>
    <row r="68" spans="1:20" s="11" customFormat="1" x14ac:dyDescent="0.2">
      <c r="A68" s="9">
        <v>30</v>
      </c>
      <c r="B68" s="9"/>
      <c r="C68" s="9"/>
      <c r="D68" s="9" t="s">
        <v>113</v>
      </c>
      <c r="E68" s="49" t="s">
        <v>54</v>
      </c>
      <c r="F68" s="49"/>
      <c r="G68" s="50" t="s">
        <v>495</v>
      </c>
      <c r="H68" s="50" t="s">
        <v>355</v>
      </c>
      <c r="I68" s="9"/>
      <c r="J68" s="9" t="s">
        <v>275</v>
      </c>
      <c r="K68" s="9"/>
      <c r="L68" s="9"/>
      <c r="M68" s="9"/>
      <c r="N68" s="9" t="s">
        <v>275</v>
      </c>
      <c r="O68" s="9"/>
      <c r="P68" s="9"/>
      <c r="Q68" s="55"/>
      <c r="R68" s="51"/>
      <c r="S68" s="67"/>
      <c r="T68" s="68"/>
    </row>
    <row r="69" spans="1:20" s="11" customFormat="1" x14ac:dyDescent="0.2">
      <c r="A69" s="9">
        <v>30</v>
      </c>
      <c r="B69" s="9"/>
      <c r="C69" s="9"/>
      <c r="D69" s="9" t="s">
        <v>114</v>
      </c>
      <c r="E69" s="49" t="s">
        <v>54</v>
      </c>
      <c r="F69" s="49"/>
      <c r="G69" s="50" t="s">
        <v>496</v>
      </c>
      <c r="H69" s="50" t="s">
        <v>356</v>
      </c>
      <c r="I69" s="9"/>
      <c r="J69" s="9" t="s">
        <v>275</v>
      </c>
      <c r="K69" s="9"/>
      <c r="L69" s="9"/>
      <c r="M69" s="9"/>
      <c r="N69" s="9" t="s">
        <v>275</v>
      </c>
      <c r="O69" s="9"/>
      <c r="P69" s="9"/>
      <c r="Q69" s="55"/>
      <c r="R69" s="51"/>
      <c r="S69" s="67"/>
      <c r="T69" s="68"/>
    </row>
    <row r="70" spans="1:20" s="11" customFormat="1" x14ac:dyDescent="0.2">
      <c r="A70" s="9">
        <v>30</v>
      </c>
      <c r="B70" s="9"/>
      <c r="C70" s="9"/>
      <c r="D70" s="9" t="s">
        <v>233</v>
      </c>
      <c r="E70" s="49" t="s">
        <v>237</v>
      </c>
      <c r="F70" s="49"/>
      <c r="G70" s="50" t="s">
        <v>497</v>
      </c>
      <c r="H70" s="50" t="s">
        <v>316</v>
      </c>
      <c r="I70" s="9"/>
      <c r="J70" s="9" t="s">
        <v>275</v>
      </c>
      <c r="K70" s="9"/>
      <c r="L70" s="9"/>
      <c r="M70" s="9"/>
      <c r="N70" s="9" t="s">
        <v>275</v>
      </c>
      <c r="O70" s="9"/>
      <c r="P70" s="9"/>
      <c r="Q70" s="55"/>
      <c r="R70" s="51"/>
      <c r="S70" s="67"/>
      <c r="T70" s="68"/>
    </row>
    <row r="71" spans="1:20" s="11" customFormat="1" x14ac:dyDescent="0.2">
      <c r="A71" s="9">
        <v>30</v>
      </c>
      <c r="B71" s="9"/>
      <c r="C71" s="9"/>
      <c r="D71" s="9" t="s">
        <v>234</v>
      </c>
      <c r="E71" s="49" t="s">
        <v>238</v>
      </c>
      <c r="F71" s="49"/>
      <c r="G71" s="50" t="s">
        <v>520</v>
      </c>
      <c r="H71" s="50" t="s">
        <v>357</v>
      </c>
      <c r="I71" s="9"/>
      <c r="J71" s="9" t="s">
        <v>275</v>
      </c>
      <c r="K71" s="9"/>
      <c r="L71" s="9"/>
      <c r="M71" s="9"/>
      <c r="N71" s="9" t="s">
        <v>275</v>
      </c>
      <c r="O71" s="9"/>
      <c r="P71" s="9"/>
      <c r="Q71" s="55"/>
      <c r="R71" s="51"/>
      <c r="S71" s="67"/>
      <c r="T71" s="68"/>
    </row>
    <row r="72" spans="1:20" s="11" customFormat="1" x14ac:dyDescent="0.2">
      <c r="A72" s="9">
        <v>30</v>
      </c>
      <c r="B72" s="9"/>
      <c r="C72" s="9"/>
      <c r="D72" s="9" t="s">
        <v>235</v>
      </c>
      <c r="E72" s="49" t="s">
        <v>239</v>
      </c>
      <c r="F72" s="49"/>
      <c r="G72" s="50" t="s">
        <v>498</v>
      </c>
      <c r="H72" s="50" t="s">
        <v>317</v>
      </c>
      <c r="I72" s="9"/>
      <c r="J72" s="9" t="s">
        <v>275</v>
      </c>
      <c r="K72" s="9"/>
      <c r="L72" s="9"/>
      <c r="M72" s="9"/>
      <c r="N72" s="9" t="s">
        <v>275</v>
      </c>
      <c r="O72" s="9"/>
      <c r="P72" s="9"/>
      <c r="Q72" s="55"/>
      <c r="R72" s="51"/>
      <c r="S72" s="67"/>
      <c r="T72" s="68"/>
    </row>
    <row r="73" spans="1:20" s="11" customFormat="1" x14ac:dyDescent="0.2">
      <c r="A73" s="9">
        <v>30</v>
      </c>
      <c r="B73" s="9"/>
      <c r="C73" s="9"/>
      <c r="D73" s="9" t="s">
        <v>236</v>
      </c>
      <c r="E73" s="49" t="s">
        <v>240</v>
      </c>
      <c r="F73" s="49"/>
      <c r="G73" s="50" t="s">
        <v>521</v>
      </c>
      <c r="H73" s="50" t="s">
        <v>358</v>
      </c>
      <c r="I73" s="9"/>
      <c r="J73" s="9" t="s">
        <v>275</v>
      </c>
      <c r="K73" s="9"/>
      <c r="L73" s="9"/>
      <c r="M73" s="9"/>
      <c r="N73" s="9" t="s">
        <v>275</v>
      </c>
      <c r="O73" s="9"/>
      <c r="P73" s="9"/>
      <c r="Q73" s="55"/>
      <c r="R73" s="51"/>
      <c r="S73" s="67"/>
      <c r="T73" s="68"/>
    </row>
    <row r="74" spans="1:20" s="11" customFormat="1" x14ac:dyDescent="0.2">
      <c r="A74" s="9">
        <v>30</v>
      </c>
      <c r="B74" s="9"/>
      <c r="C74" s="9"/>
      <c r="D74" s="9" t="s">
        <v>47</v>
      </c>
      <c r="E74" s="49" t="s">
        <v>48</v>
      </c>
      <c r="F74" s="49"/>
      <c r="G74" s="50" t="s">
        <v>465</v>
      </c>
      <c r="H74" s="50" t="s">
        <v>282</v>
      </c>
      <c r="I74" s="9"/>
      <c r="J74" s="9" t="s">
        <v>275</v>
      </c>
      <c r="K74" s="9"/>
      <c r="L74" s="9"/>
      <c r="M74" s="9"/>
      <c r="N74" s="9" t="s">
        <v>275</v>
      </c>
      <c r="O74" s="9"/>
      <c r="P74" s="9"/>
      <c r="Q74" s="55"/>
      <c r="R74" s="51"/>
      <c r="S74" s="67"/>
      <c r="T74" s="68"/>
    </row>
    <row r="75" spans="1:20" s="11" customFormat="1" x14ac:dyDescent="0.2">
      <c r="A75" s="9">
        <v>30</v>
      </c>
      <c r="B75" s="9"/>
      <c r="C75" s="9"/>
      <c r="D75" s="9" t="s">
        <v>51</v>
      </c>
      <c r="E75" s="49" t="s">
        <v>52</v>
      </c>
      <c r="F75" s="49"/>
      <c r="G75" s="50" t="s">
        <v>466</v>
      </c>
      <c r="H75" s="50" t="s">
        <v>283</v>
      </c>
      <c r="I75" s="9"/>
      <c r="J75" s="9" t="s">
        <v>275</v>
      </c>
      <c r="K75" s="9"/>
      <c r="L75" s="9"/>
      <c r="M75" s="9"/>
      <c r="N75" s="9" t="s">
        <v>275</v>
      </c>
      <c r="O75" s="9"/>
      <c r="P75" s="9"/>
      <c r="Q75" s="55"/>
      <c r="R75" s="51"/>
      <c r="S75" s="67"/>
      <c r="T75" s="68"/>
    </row>
    <row r="76" spans="1:20" s="11" customFormat="1" x14ac:dyDescent="0.2">
      <c r="A76" s="9">
        <v>30</v>
      </c>
      <c r="B76" s="9"/>
      <c r="C76" s="9"/>
      <c r="D76" s="9" t="s">
        <v>49</v>
      </c>
      <c r="E76" s="49" t="s">
        <v>50</v>
      </c>
      <c r="F76" s="49"/>
      <c r="G76" s="50" t="s">
        <v>467</v>
      </c>
      <c r="H76" s="50" t="s">
        <v>284</v>
      </c>
      <c r="I76" s="9"/>
      <c r="J76" s="9" t="s">
        <v>275</v>
      </c>
      <c r="K76" s="9"/>
      <c r="L76" s="9"/>
      <c r="M76" s="9"/>
      <c r="N76" s="9" t="s">
        <v>275</v>
      </c>
      <c r="O76" s="9"/>
      <c r="P76" s="9"/>
      <c r="Q76" s="55"/>
      <c r="R76" s="51"/>
      <c r="S76" s="67"/>
      <c r="T76" s="68"/>
    </row>
    <row r="77" spans="1:20" s="11" customFormat="1" x14ac:dyDescent="0.2">
      <c r="A77" s="9">
        <v>30</v>
      </c>
      <c r="B77" s="9"/>
      <c r="C77" s="9"/>
      <c r="D77" s="9" t="s">
        <v>70</v>
      </c>
      <c r="E77" s="49" t="s">
        <v>55</v>
      </c>
      <c r="F77" s="49"/>
      <c r="G77" s="50" t="s">
        <v>499</v>
      </c>
      <c r="H77" s="50" t="s">
        <v>318</v>
      </c>
      <c r="I77" s="9"/>
      <c r="J77" s="9" t="s">
        <v>275</v>
      </c>
      <c r="K77" s="9"/>
      <c r="L77" s="9"/>
      <c r="M77" s="9"/>
      <c r="N77" s="9" t="s">
        <v>275</v>
      </c>
      <c r="O77" s="9"/>
      <c r="P77" s="9"/>
      <c r="Q77" s="55"/>
      <c r="R77" s="51"/>
      <c r="S77" s="142"/>
      <c r="T77" s="143"/>
    </row>
    <row r="78" spans="1:20" s="11" customFormat="1" x14ac:dyDescent="0.2">
      <c r="A78" s="9">
        <v>30</v>
      </c>
      <c r="B78" s="9"/>
      <c r="C78" s="9"/>
      <c r="D78" s="9" t="s">
        <v>373</v>
      </c>
      <c r="E78" s="49" t="s">
        <v>225</v>
      </c>
      <c r="F78" s="49"/>
      <c r="G78" s="50" t="s">
        <v>522</v>
      </c>
      <c r="H78" s="50" t="s">
        <v>359</v>
      </c>
      <c r="I78" s="9"/>
      <c r="J78" s="9" t="s">
        <v>275</v>
      </c>
      <c r="K78" s="9"/>
      <c r="L78" s="9"/>
      <c r="M78" s="9"/>
      <c r="N78" s="9" t="s">
        <v>275</v>
      </c>
      <c r="O78" s="9"/>
      <c r="P78" s="9"/>
      <c r="Q78" s="55"/>
      <c r="R78" s="51"/>
      <c r="S78" s="142"/>
      <c r="T78" s="143"/>
    </row>
    <row r="79" spans="1:20" s="11" customFormat="1" x14ac:dyDescent="0.2">
      <c r="A79" s="9">
        <v>30</v>
      </c>
      <c r="B79" s="9"/>
      <c r="C79" s="9"/>
      <c r="D79" s="9" t="s">
        <v>40</v>
      </c>
      <c r="E79" s="49" t="s">
        <v>226</v>
      </c>
      <c r="F79" s="49"/>
      <c r="G79" s="50" t="s">
        <v>523</v>
      </c>
      <c r="H79" s="50" t="s">
        <v>360</v>
      </c>
      <c r="I79" s="9"/>
      <c r="J79" s="9" t="s">
        <v>275</v>
      </c>
      <c r="K79" s="9"/>
      <c r="L79" s="9"/>
      <c r="M79" s="9"/>
      <c r="N79" s="9" t="s">
        <v>275</v>
      </c>
      <c r="O79" s="9"/>
      <c r="P79" s="9"/>
      <c r="Q79" s="55"/>
      <c r="R79" s="51"/>
      <c r="S79" s="142"/>
      <c r="T79" s="143"/>
    </row>
    <row r="80" spans="1:20" s="11" customFormat="1" x14ac:dyDescent="0.2">
      <c r="A80" s="9">
        <v>30</v>
      </c>
      <c r="B80" s="9"/>
      <c r="C80" s="9"/>
      <c r="D80" s="9" t="s">
        <v>14</v>
      </c>
      <c r="E80" s="49" t="s">
        <v>53</v>
      </c>
      <c r="F80" s="49"/>
      <c r="G80" s="50" t="s">
        <v>524</v>
      </c>
      <c r="H80" s="50" t="s">
        <v>361</v>
      </c>
      <c r="I80" s="9"/>
      <c r="J80" s="9" t="s">
        <v>275</v>
      </c>
      <c r="K80" s="9"/>
      <c r="L80" s="9"/>
      <c r="M80" s="9"/>
      <c r="N80" s="9" t="s">
        <v>275</v>
      </c>
      <c r="O80" s="9"/>
      <c r="P80" s="9"/>
      <c r="Q80" s="55"/>
      <c r="R80" s="51"/>
      <c r="S80" s="142"/>
      <c r="T80" s="143"/>
    </row>
    <row r="81" spans="1:20" s="11" customFormat="1" x14ac:dyDescent="0.2">
      <c r="A81" s="9">
        <v>30</v>
      </c>
      <c r="B81" s="9"/>
      <c r="C81" s="9"/>
      <c r="D81" s="9" t="s">
        <v>56</v>
      </c>
      <c r="E81" s="49" t="s">
        <v>60</v>
      </c>
      <c r="F81" s="49"/>
      <c r="G81" s="50" t="s">
        <v>525</v>
      </c>
      <c r="H81" s="50" t="s">
        <v>362</v>
      </c>
      <c r="I81" s="9"/>
      <c r="J81" s="9" t="s">
        <v>275</v>
      </c>
      <c r="K81" s="9"/>
      <c r="L81" s="9"/>
      <c r="M81" s="9"/>
      <c r="N81" s="9" t="s">
        <v>275</v>
      </c>
      <c r="O81" s="9"/>
      <c r="P81" s="9"/>
      <c r="Q81" s="55"/>
      <c r="R81" s="51"/>
      <c r="S81" s="142"/>
      <c r="T81" s="143"/>
    </row>
    <row r="82" spans="1:20" s="11" customFormat="1" x14ac:dyDescent="0.2">
      <c r="A82" s="9">
        <v>30</v>
      </c>
      <c r="B82" s="9"/>
      <c r="C82" s="9"/>
      <c r="D82" s="9" t="s">
        <v>61</v>
      </c>
      <c r="E82" s="49" t="s">
        <v>62</v>
      </c>
      <c r="F82" s="49"/>
      <c r="G82" s="50" t="s">
        <v>526</v>
      </c>
      <c r="H82" s="50" t="s">
        <v>363</v>
      </c>
      <c r="I82" s="9"/>
      <c r="J82" s="9" t="s">
        <v>275</v>
      </c>
      <c r="K82" s="9"/>
      <c r="L82" s="9"/>
      <c r="M82" s="9"/>
      <c r="N82" s="9"/>
      <c r="O82" s="9"/>
      <c r="P82" s="9"/>
      <c r="Q82" s="55"/>
      <c r="R82" s="51"/>
      <c r="S82" s="142"/>
      <c r="T82" s="143"/>
    </row>
    <row r="83" spans="1:20" s="11" customFormat="1" x14ac:dyDescent="0.2">
      <c r="A83" s="9">
        <v>30</v>
      </c>
      <c r="B83" s="9"/>
      <c r="C83" s="9"/>
      <c r="D83" s="9" t="s">
        <v>74</v>
      </c>
      <c r="E83" s="49" t="s">
        <v>75</v>
      </c>
      <c r="F83" s="49"/>
      <c r="G83" s="50" t="s">
        <v>468</v>
      </c>
      <c r="H83" s="50" t="s">
        <v>285</v>
      </c>
      <c r="I83" s="9"/>
      <c r="J83" s="9" t="s">
        <v>275</v>
      </c>
      <c r="K83" s="9"/>
      <c r="L83" s="9"/>
      <c r="M83" s="9"/>
      <c r="N83" s="9" t="s">
        <v>275</v>
      </c>
      <c r="O83" s="9"/>
      <c r="P83" s="9"/>
      <c r="Q83" s="55"/>
      <c r="R83" s="51"/>
      <c r="S83" s="67"/>
      <c r="T83" s="68"/>
    </row>
    <row r="84" spans="1:20" s="11" customFormat="1" x14ac:dyDescent="0.2">
      <c r="A84" s="9">
        <v>30</v>
      </c>
      <c r="B84" s="9"/>
      <c r="C84" s="9"/>
      <c r="D84" s="9" t="s">
        <v>374</v>
      </c>
      <c r="E84" s="49" t="s">
        <v>225</v>
      </c>
      <c r="F84" s="49"/>
      <c r="G84" s="50" t="s">
        <v>527</v>
      </c>
      <c r="H84" s="50" t="s">
        <v>364</v>
      </c>
      <c r="I84" s="9"/>
      <c r="J84" s="9" t="s">
        <v>275</v>
      </c>
      <c r="K84" s="9"/>
      <c r="L84" s="9"/>
      <c r="M84" s="9"/>
      <c r="N84" s="9" t="s">
        <v>275</v>
      </c>
      <c r="O84" s="9"/>
      <c r="P84" s="9"/>
      <c r="Q84" s="55"/>
      <c r="R84" s="51"/>
      <c r="S84" s="142"/>
      <c r="T84" s="143"/>
    </row>
    <row r="85" spans="1:20" s="11" customFormat="1" x14ac:dyDescent="0.2">
      <c r="A85" s="9">
        <v>30</v>
      </c>
      <c r="B85" s="9"/>
      <c r="C85" s="9"/>
      <c r="D85" s="9" t="s">
        <v>41</v>
      </c>
      <c r="E85" s="49" t="s">
        <v>226</v>
      </c>
      <c r="F85" s="49"/>
      <c r="G85" s="50" t="s">
        <v>528</v>
      </c>
      <c r="H85" s="50" t="s">
        <v>365</v>
      </c>
      <c r="I85" s="9"/>
      <c r="J85" s="9" t="s">
        <v>275</v>
      </c>
      <c r="K85" s="9"/>
      <c r="L85" s="9"/>
      <c r="M85" s="9"/>
      <c r="N85" s="9" t="s">
        <v>275</v>
      </c>
      <c r="O85" s="9"/>
      <c r="P85" s="9"/>
      <c r="Q85" s="55"/>
      <c r="R85" s="51"/>
      <c r="S85" s="142"/>
      <c r="T85" s="143"/>
    </row>
    <row r="86" spans="1:20" s="11" customFormat="1" x14ac:dyDescent="0.2">
      <c r="A86" s="9">
        <v>30</v>
      </c>
      <c r="B86" s="9"/>
      <c r="C86" s="9"/>
      <c r="D86" s="9" t="s">
        <v>15</v>
      </c>
      <c r="E86" s="49" t="s">
        <v>372</v>
      </c>
      <c r="F86" s="49"/>
      <c r="G86" s="50" t="s">
        <v>512</v>
      </c>
      <c r="H86" s="50" t="s">
        <v>339</v>
      </c>
      <c r="I86" s="9"/>
      <c r="J86" s="9" t="s">
        <v>275</v>
      </c>
      <c r="K86" s="9"/>
      <c r="L86" s="9"/>
      <c r="M86" s="9"/>
      <c r="N86" s="9" t="s">
        <v>275</v>
      </c>
      <c r="O86" s="9"/>
      <c r="P86" s="9"/>
      <c r="Q86" s="55"/>
      <c r="R86" s="51"/>
      <c r="S86" s="142"/>
      <c r="T86" s="143"/>
    </row>
    <row r="87" spans="1:20" s="11" customFormat="1" x14ac:dyDescent="0.2">
      <c r="A87" s="9">
        <v>30</v>
      </c>
      <c r="B87" s="9"/>
      <c r="C87" s="9"/>
      <c r="D87" s="9" t="s">
        <v>57</v>
      </c>
      <c r="E87" s="49" t="s">
        <v>60</v>
      </c>
      <c r="F87" s="49"/>
      <c r="G87" s="50" t="s">
        <v>529</v>
      </c>
      <c r="H87" s="50" t="s">
        <v>366</v>
      </c>
      <c r="I87" s="9"/>
      <c r="J87" s="9" t="s">
        <v>275</v>
      </c>
      <c r="K87" s="9"/>
      <c r="L87" s="9"/>
      <c r="M87" s="9"/>
      <c r="N87" s="9" t="s">
        <v>275</v>
      </c>
      <c r="O87" s="9"/>
      <c r="P87" s="9"/>
      <c r="Q87" s="55"/>
      <c r="R87" s="51"/>
      <c r="S87" s="142"/>
      <c r="T87" s="143"/>
    </row>
    <row r="88" spans="1:20" s="11" customFormat="1" x14ac:dyDescent="0.2">
      <c r="A88" s="9">
        <v>30</v>
      </c>
      <c r="B88" s="9"/>
      <c r="C88" s="9"/>
      <c r="D88" s="9" t="s">
        <v>63</v>
      </c>
      <c r="E88" s="49" t="s">
        <v>62</v>
      </c>
      <c r="F88" s="49"/>
      <c r="G88" s="50" t="s">
        <v>530</v>
      </c>
      <c r="H88" s="50" t="s">
        <v>367</v>
      </c>
      <c r="I88" s="9"/>
      <c r="J88" s="9" t="s">
        <v>275</v>
      </c>
      <c r="K88" s="9"/>
      <c r="L88" s="9"/>
      <c r="M88" s="9"/>
      <c r="N88" s="9"/>
      <c r="O88" s="9"/>
      <c r="P88" s="9"/>
      <c r="Q88" s="55"/>
      <c r="R88" s="51"/>
      <c r="S88" s="142"/>
      <c r="T88" s="143"/>
    </row>
    <row r="89" spans="1:20" s="11" customFormat="1" x14ac:dyDescent="0.2">
      <c r="A89" s="9">
        <v>30</v>
      </c>
      <c r="B89" s="9"/>
      <c r="C89" s="9"/>
      <c r="D89" s="9" t="s">
        <v>64</v>
      </c>
      <c r="E89" s="49" t="s">
        <v>58</v>
      </c>
      <c r="F89" s="49"/>
      <c r="G89" s="50" t="s">
        <v>531</v>
      </c>
      <c r="H89" s="50" t="s">
        <v>368</v>
      </c>
      <c r="I89" s="9"/>
      <c r="J89" s="9" t="s">
        <v>275</v>
      </c>
      <c r="K89" s="9"/>
      <c r="L89" s="9"/>
      <c r="M89" s="9"/>
      <c r="N89" s="9" t="s">
        <v>275</v>
      </c>
      <c r="O89" s="9"/>
      <c r="P89" s="9"/>
      <c r="Q89" s="55"/>
      <c r="R89" s="51"/>
      <c r="S89" s="142"/>
      <c r="T89" s="143"/>
    </row>
    <row r="90" spans="1:20" s="11" customFormat="1" x14ac:dyDescent="0.2">
      <c r="A90" s="9">
        <v>30</v>
      </c>
      <c r="B90" s="9"/>
      <c r="C90" s="9"/>
      <c r="D90" s="9" t="s">
        <v>71</v>
      </c>
      <c r="E90" s="49" t="s">
        <v>225</v>
      </c>
      <c r="F90" s="49"/>
      <c r="G90" s="50" t="s">
        <v>532</v>
      </c>
      <c r="H90" s="50" t="s">
        <v>369</v>
      </c>
      <c r="I90" s="9"/>
      <c r="J90" s="9" t="s">
        <v>275</v>
      </c>
      <c r="K90" s="9"/>
      <c r="L90" s="9"/>
      <c r="M90" s="9"/>
      <c r="N90" s="9" t="s">
        <v>275</v>
      </c>
      <c r="O90" s="9"/>
      <c r="P90" s="9"/>
      <c r="Q90" s="55"/>
      <c r="R90" s="51"/>
      <c r="S90" s="142"/>
      <c r="T90" s="143"/>
    </row>
    <row r="91" spans="1:20" s="11" customFormat="1" x14ac:dyDescent="0.2">
      <c r="A91" s="9">
        <v>30</v>
      </c>
      <c r="B91" s="9"/>
      <c r="C91" s="9"/>
      <c r="D91" s="9" t="s">
        <v>72</v>
      </c>
      <c r="E91" s="49" t="s">
        <v>226</v>
      </c>
      <c r="F91" s="49"/>
      <c r="G91" s="50" t="s">
        <v>533</v>
      </c>
      <c r="H91" s="50" t="s">
        <v>370</v>
      </c>
      <c r="I91" s="9"/>
      <c r="J91" s="9" t="s">
        <v>275</v>
      </c>
      <c r="K91" s="9"/>
      <c r="L91" s="9"/>
      <c r="M91" s="9"/>
      <c r="N91" s="9" t="s">
        <v>275</v>
      </c>
      <c r="O91" s="9"/>
      <c r="P91" s="9"/>
      <c r="Q91" s="55"/>
      <c r="R91" s="51"/>
      <c r="S91" s="142"/>
      <c r="T91" s="143"/>
    </row>
    <row r="92" spans="1:20" s="11" customFormat="1" x14ac:dyDescent="0.2">
      <c r="A92" s="9">
        <v>30</v>
      </c>
      <c r="B92" s="9"/>
      <c r="C92" s="9"/>
      <c r="D92" s="9" t="s">
        <v>73</v>
      </c>
      <c r="E92" s="49" t="s">
        <v>59</v>
      </c>
      <c r="F92" s="49"/>
      <c r="G92" s="50" t="s">
        <v>534</v>
      </c>
      <c r="H92" s="50" t="s">
        <v>371</v>
      </c>
      <c r="I92" s="9"/>
      <c r="J92" s="9" t="s">
        <v>275</v>
      </c>
      <c r="K92" s="9"/>
      <c r="L92" s="9"/>
      <c r="M92" s="9"/>
      <c r="N92" s="9" t="s">
        <v>275</v>
      </c>
      <c r="O92" s="9"/>
      <c r="P92" s="9"/>
      <c r="Q92" s="55"/>
      <c r="R92" s="51"/>
      <c r="S92" s="142"/>
      <c r="T92" s="143"/>
    </row>
    <row r="93" spans="1:20" s="11" customFormat="1" x14ac:dyDescent="0.2">
      <c r="A93" s="74"/>
      <c r="T93" s="54"/>
    </row>
    <row r="94" spans="1:20" s="11" customFormat="1" x14ac:dyDescent="0.2">
      <c r="A94" s="9">
        <v>40</v>
      </c>
      <c r="B94" s="37" t="s">
        <v>0</v>
      </c>
      <c r="C94" s="38"/>
      <c r="D94" s="28" t="s">
        <v>159</v>
      </c>
      <c r="E94" s="34" t="s">
        <v>21</v>
      </c>
      <c r="F94" s="56"/>
      <c r="G94" s="28"/>
      <c r="H94" s="45"/>
      <c r="I94" s="57"/>
      <c r="J94" s="58"/>
      <c r="K94" s="48"/>
      <c r="L94" s="48"/>
      <c r="M94" s="48"/>
      <c r="N94" s="48"/>
      <c r="O94" s="48"/>
      <c r="P94" s="48" t="s">
        <v>21</v>
      </c>
      <c r="Q94" s="35"/>
      <c r="R94" s="36"/>
      <c r="S94" s="67"/>
      <c r="T94" s="69"/>
    </row>
    <row r="95" spans="1:20" s="11" customFormat="1" x14ac:dyDescent="0.2">
      <c r="A95" s="9">
        <v>40</v>
      </c>
      <c r="B95" s="9"/>
      <c r="C95" s="9"/>
      <c r="D95" s="9" t="s">
        <v>160</v>
      </c>
      <c r="E95" s="49" t="s">
        <v>115</v>
      </c>
      <c r="F95" s="49"/>
      <c r="G95" s="50" t="s">
        <v>469</v>
      </c>
      <c r="H95" s="50" t="s">
        <v>290</v>
      </c>
      <c r="I95" s="9"/>
      <c r="J95" s="9" t="s">
        <v>275</v>
      </c>
      <c r="K95" s="9"/>
      <c r="L95" s="9"/>
      <c r="M95" s="9"/>
      <c r="N95" s="9"/>
      <c r="O95" s="9"/>
      <c r="P95" s="9" t="s">
        <v>275</v>
      </c>
      <c r="Q95" s="55"/>
      <c r="R95" s="51"/>
      <c r="S95" s="142"/>
      <c r="T95" s="143"/>
    </row>
    <row r="96" spans="1:20" s="11" customFormat="1" x14ac:dyDescent="0.2">
      <c r="A96" s="9">
        <v>40</v>
      </c>
      <c r="B96" s="9"/>
      <c r="C96" s="9"/>
      <c r="D96" s="9" t="s">
        <v>161</v>
      </c>
      <c r="E96" s="49" t="s">
        <v>209</v>
      </c>
      <c r="F96" s="49"/>
      <c r="G96" s="50" t="s">
        <v>513</v>
      </c>
      <c r="H96" s="50" t="s">
        <v>340</v>
      </c>
      <c r="I96" s="9"/>
      <c r="J96" s="9" t="s">
        <v>275</v>
      </c>
      <c r="K96" s="9"/>
      <c r="L96" s="9"/>
      <c r="M96" s="9"/>
      <c r="N96" s="9"/>
      <c r="O96" s="9"/>
      <c r="P96" s="9" t="s">
        <v>275</v>
      </c>
      <c r="Q96" s="55"/>
      <c r="R96" s="51"/>
      <c r="S96" s="142"/>
      <c r="T96" s="143"/>
    </row>
    <row r="97" spans="1:20" s="11" customFormat="1" x14ac:dyDescent="0.2">
      <c r="A97" s="9">
        <v>40</v>
      </c>
      <c r="B97" s="9"/>
      <c r="C97" s="9"/>
      <c r="D97" s="9" t="s">
        <v>162</v>
      </c>
      <c r="E97" s="49" t="s">
        <v>209</v>
      </c>
      <c r="F97" s="49"/>
      <c r="G97" s="50" t="s">
        <v>471</v>
      </c>
      <c r="H97" s="50" t="s">
        <v>292</v>
      </c>
      <c r="I97" s="9"/>
      <c r="J97" s="9" t="s">
        <v>275</v>
      </c>
      <c r="K97" s="9"/>
      <c r="L97" s="9"/>
      <c r="M97" s="9"/>
      <c r="N97" s="9"/>
      <c r="O97" s="9"/>
      <c r="P97" s="9" t="s">
        <v>275</v>
      </c>
      <c r="Q97" s="55"/>
      <c r="R97" s="51"/>
      <c r="S97" s="67"/>
      <c r="T97" s="68"/>
    </row>
    <row r="98" spans="1:20" s="11" customFormat="1" x14ac:dyDescent="0.2">
      <c r="A98" s="9">
        <v>40</v>
      </c>
      <c r="B98" s="9"/>
      <c r="C98" s="9"/>
      <c r="D98" s="9" t="s">
        <v>163</v>
      </c>
      <c r="E98" s="49" t="s">
        <v>115</v>
      </c>
      <c r="F98" s="49"/>
      <c r="G98" s="50" t="s">
        <v>474</v>
      </c>
      <c r="H98" s="50" t="s">
        <v>295</v>
      </c>
      <c r="I98" s="9"/>
      <c r="J98" s="9" t="s">
        <v>275</v>
      </c>
      <c r="K98" s="9"/>
      <c r="L98" s="9"/>
      <c r="M98" s="9"/>
      <c r="N98" s="9"/>
      <c r="O98" s="9"/>
      <c r="P98" s="9" t="s">
        <v>275</v>
      </c>
      <c r="Q98" s="55"/>
      <c r="R98" s="51"/>
      <c r="S98" s="67"/>
      <c r="T98" s="68"/>
    </row>
    <row r="99" spans="1:20" s="11" customFormat="1" x14ac:dyDescent="0.2">
      <c r="A99" s="9">
        <v>40</v>
      </c>
      <c r="B99" s="9"/>
      <c r="C99" s="9"/>
      <c r="D99" s="9" t="s">
        <v>74</v>
      </c>
      <c r="E99" s="49" t="s">
        <v>75</v>
      </c>
      <c r="F99" s="49"/>
      <c r="G99" s="50" t="s">
        <v>468</v>
      </c>
      <c r="H99" s="50" t="s">
        <v>285</v>
      </c>
      <c r="I99" s="9"/>
      <c r="J99" s="9" t="s">
        <v>275</v>
      </c>
      <c r="K99" s="9"/>
      <c r="L99" s="9"/>
      <c r="M99" s="9"/>
      <c r="N99" s="9"/>
      <c r="O99" s="9"/>
      <c r="P99" s="9" t="s">
        <v>275</v>
      </c>
      <c r="Q99" s="55"/>
      <c r="R99" s="51"/>
      <c r="S99" s="67"/>
      <c r="T99" s="68"/>
    </row>
    <row r="100" spans="1:20" s="11" customFormat="1" x14ac:dyDescent="0.2">
      <c r="A100" s="9">
        <v>40</v>
      </c>
      <c r="B100" s="9"/>
      <c r="C100" s="9"/>
      <c r="D100" s="9" t="s">
        <v>15</v>
      </c>
      <c r="E100" s="49" t="s">
        <v>372</v>
      </c>
      <c r="F100" s="49"/>
      <c r="G100" s="50" t="s">
        <v>512</v>
      </c>
      <c r="H100" s="50" t="s">
        <v>339</v>
      </c>
      <c r="I100" s="9"/>
      <c r="J100" s="9"/>
      <c r="K100" s="9"/>
      <c r="L100" s="9"/>
      <c r="M100" s="9"/>
      <c r="N100" s="9"/>
      <c r="O100" s="9"/>
      <c r="P100" s="9"/>
      <c r="Q100" s="55"/>
      <c r="R100" s="51"/>
      <c r="S100" s="142"/>
      <c r="T100" s="143"/>
    </row>
    <row r="101" spans="1:20" s="11" customFormat="1" x14ac:dyDescent="0.2">
      <c r="A101" s="59"/>
      <c r="B101" s="30"/>
      <c r="C101" s="30"/>
      <c r="D101" s="60" t="s">
        <v>4</v>
      </c>
      <c r="E101" s="31"/>
      <c r="F101" s="6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62"/>
    </row>
    <row r="102" spans="1:20" s="11" customFormat="1" x14ac:dyDescent="0.2">
      <c r="A102" s="74"/>
      <c r="T102" s="54"/>
    </row>
    <row r="103" spans="1:20" s="11" customFormat="1" x14ac:dyDescent="0.2">
      <c r="A103" s="74"/>
      <c r="T103" s="54"/>
    </row>
    <row r="104" spans="1:20" s="11" customFormat="1" x14ac:dyDescent="0.2">
      <c r="A104" s="74"/>
      <c r="T104" s="54"/>
    </row>
    <row r="105" spans="1:20" s="11" customFormat="1" x14ac:dyDescent="0.2">
      <c r="A105" s="7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20"/>
    </row>
  </sheetData>
  <mergeCells count="26">
    <mergeCell ref="S12:T12"/>
    <mergeCell ref="S27:T27"/>
    <mergeCell ref="S30:T30"/>
    <mergeCell ref="S82:T82"/>
    <mergeCell ref="S17:T17"/>
    <mergeCell ref="S18:T18"/>
    <mergeCell ref="S81:T81"/>
    <mergeCell ref="S77:T77"/>
    <mergeCell ref="S28:T28"/>
    <mergeCell ref="S29:T29"/>
    <mergeCell ref="S24:T24"/>
    <mergeCell ref="S100:T100"/>
    <mergeCell ref="S84:T84"/>
    <mergeCell ref="S78:T78"/>
    <mergeCell ref="S80:T80"/>
    <mergeCell ref="S79:T79"/>
    <mergeCell ref="S85:T85"/>
    <mergeCell ref="S95:T95"/>
    <mergeCell ref="S96:T96"/>
    <mergeCell ref="S86:T86"/>
    <mergeCell ref="S90:T90"/>
    <mergeCell ref="S91:T91"/>
    <mergeCell ref="S92:T92"/>
    <mergeCell ref="S88:T88"/>
    <mergeCell ref="S89:T89"/>
    <mergeCell ref="S87:T87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>
    <pageSetUpPr fitToPage="1"/>
  </sheetPr>
  <dimension ref="A1:Z7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customWidth="1"/>
    <col min="9" max="10" width="15.81640625" style="29" customWidth="1"/>
    <col min="11" max="11" width="10.36328125" style="29" customWidth="1"/>
    <col min="12" max="12" width="36.08984375" style="29" bestFit="1" customWidth="1"/>
    <col min="13" max="13" width="10.08984375" style="29" customWidth="1"/>
    <col min="14" max="14" width="50.6328125" style="29" customWidth="1"/>
    <col min="15" max="15" width="10.08984375" style="29" customWidth="1"/>
    <col min="16" max="16" width="29.1796875" style="29" customWidth="1"/>
    <col min="17" max="17" width="10.08984375" style="27" customWidth="1"/>
    <col min="18" max="18" width="27.08984375" style="27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29.36328125" style="27" bestFit="1" customWidth="1"/>
    <col min="23" max="23" width="30.81640625" style="27" customWidth="1"/>
    <col min="24" max="24" width="9" style="27"/>
    <col min="25" max="25" width="15.81640625" style="27" customWidth="1"/>
    <col min="26" max="16384" width="9" style="27"/>
  </cols>
  <sheetData>
    <row r="1" spans="1:26" s="11" customFormat="1" x14ac:dyDescent="0.2">
      <c r="A1" s="70" t="s">
        <v>165</v>
      </c>
      <c r="B1" s="70" t="s">
        <v>165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  <c r="X1" s="27"/>
      <c r="Y1" s="27"/>
      <c r="Z1" s="27"/>
    </row>
    <row r="2" spans="1:26" s="11" customFormat="1" ht="40" customHeight="1" x14ac:dyDescent="0.2">
      <c r="A2" s="71" t="s">
        <v>165</v>
      </c>
      <c r="B2" s="72"/>
      <c r="C2" s="72"/>
      <c r="D2" s="82" t="s">
        <v>447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MABCL0280</v>
      </c>
      <c r="I2" s="7" t="s">
        <v>190</v>
      </c>
      <c r="J2" s="9" t="s">
        <v>34</v>
      </c>
      <c r="K2" s="7" t="s">
        <v>30</v>
      </c>
      <c r="L2" s="73" t="str">
        <f>IF(LogicCommon!G2="","",LogicCommon!G2)</f>
        <v>MC</v>
      </c>
      <c r="M2" s="5" t="s">
        <v>166</v>
      </c>
      <c r="N2" s="28" t="s">
        <v>410</v>
      </c>
      <c r="O2" s="7"/>
      <c r="P2" s="7"/>
      <c r="Q2" s="4"/>
      <c r="R2" s="27"/>
      <c r="S2" s="4"/>
      <c r="T2" s="27"/>
      <c r="U2" s="27"/>
      <c r="V2" s="27"/>
      <c r="W2" s="27"/>
      <c r="X2" s="27"/>
      <c r="Y2" s="27"/>
      <c r="Z2" s="27"/>
    </row>
    <row r="3" spans="1:26" s="11" customFormat="1" x14ac:dyDescent="0.2">
      <c r="A3" s="74" t="s">
        <v>165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MABCL_DptReg</v>
      </c>
      <c r="I3" s="7" t="s">
        <v>31</v>
      </c>
      <c r="J3" s="9" t="s">
        <v>32</v>
      </c>
      <c r="K3" s="7" t="s">
        <v>45</v>
      </c>
      <c r="L3" s="73" t="str">
        <f>IF(LogicCommon!G3="","",LogicCommon!G3)</f>
        <v/>
      </c>
      <c r="M3" s="77" t="s">
        <v>33</v>
      </c>
      <c r="N3" s="7"/>
      <c r="O3" s="7" t="s">
        <v>169</v>
      </c>
      <c r="P3" s="9" t="s">
        <v>197</v>
      </c>
      <c r="Q3" s="4"/>
      <c r="R3" s="27"/>
      <c r="S3" s="4"/>
      <c r="T3" s="27"/>
      <c r="U3" s="27"/>
      <c r="V3" s="27"/>
      <c r="W3" s="27"/>
      <c r="X3" s="27"/>
      <c r="Y3" s="27"/>
      <c r="Z3" s="27"/>
    </row>
    <row r="4" spans="1:26" s="11" customFormat="1" x14ac:dyDescent="0.2">
      <c r="A4" s="74" t="s">
        <v>165</v>
      </c>
      <c r="B4" s="75"/>
      <c r="C4" s="75"/>
      <c r="D4" s="4"/>
      <c r="E4" s="7" t="s">
        <v>8</v>
      </c>
      <c r="F4" s="10" t="s">
        <v>386</v>
      </c>
      <c r="G4" s="7" t="s">
        <v>11</v>
      </c>
      <c r="H4" s="73" t="str">
        <f>IF(LogicCommon!E4="","",LogicCommon!E4)</f>
        <v>部門マスタ登録</v>
      </c>
      <c r="I4" s="7" t="s">
        <v>170</v>
      </c>
      <c r="J4" s="9" t="s">
        <v>67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4"/>
      <c r="T4" s="27"/>
      <c r="U4" s="27"/>
      <c r="V4" s="27"/>
      <c r="W4" s="27"/>
      <c r="X4" s="27"/>
      <c r="Y4" s="27"/>
      <c r="Z4" s="27"/>
    </row>
    <row r="5" spans="1:26" s="11" customFormat="1" x14ac:dyDescent="0.2">
      <c r="A5" s="79" t="s">
        <v>165</v>
      </c>
      <c r="B5" s="70"/>
      <c r="C5" s="70"/>
      <c r="D5" s="26"/>
      <c r="E5" s="7" t="s">
        <v>22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  <c r="X5" s="27"/>
      <c r="Y5" s="27"/>
      <c r="Z5" s="27"/>
    </row>
    <row r="6" spans="1:26" s="11" customFormat="1" x14ac:dyDescent="0.2">
      <c r="A6" s="74" t="s">
        <v>165</v>
      </c>
      <c r="B6" s="75"/>
      <c r="C6" s="75"/>
      <c r="D6" s="4" t="s">
        <v>6</v>
      </c>
      <c r="E6" s="16" t="s">
        <v>268</v>
      </c>
      <c r="F6" s="16"/>
      <c r="G6" s="16"/>
      <c r="H6" s="16"/>
      <c r="I6" s="16"/>
      <c r="J6" s="16"/>
      <c r="K6" s="16"/>
      <c r="L6" s="81" t="s">
        <v>272</v>
      </c>
      <c r="M6" s="19"/>
      <c r="N6" s="19" t="s">
        <v>272</v>
      </c>
      <c r="O6" s="19"/>
      <c r="P6" s="19" t="s">
        <v>272</v>
      </c>
      <c r="Q6" s="19"/>
      <c r="R6" s="3" t="s">
        <v>272</v>
      </c>
      <c r="S6" s="3"/>
      <c r="T6" s="3" t="s">
        <v>272</v>
      </c>
      <c r="U6" s="3"/>
      <c r="V6" s="3" t="s">
        <v>272</v>
      </c>
      <c r="W6" s="4"/>
      <c r="X6" s="29"/>
      <c r="Y6" s="29"/>
      <c r="Z6" s="27"/>
    </row>
    <row r="7" spans="1:26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80</v>
      </c>
      <c r="M7" s="33" t="s">
        <v>68</v>
      </c>
      <c r="N7" s="32" t="s">
        <v>77</v>
      </c>
      <c r="O7" s="33" t="s">
        <v>68</v>
      </c>
      <c r="P7" s="32" t="s">
        <v>78</v>
      </c>
      <c r="Q7" s="33" t="s">
        <v>68</v>
      </c>
      <c r="R7" s="32" t="s">
        <v>79</v>
      </c>
      <c r="S7" s="33" t="s">
        <v>68</v>
      </c>
      <c r="T7" s="32" t="s">
        <v>144</v>
      </c>
      <c r="U7" s="33" t="s">
        <v>68</v>
      </c>
      <c r="V7" s="32" t="s">
        <v>145</v>
      </c>
      <c r="W7" s="29"/>
      <c r="X7" s="29"/>
      <c r="Y7" s="29"/>
      <c r="Z7" s="29"/>
    </row>
    <row r="8" spans="1:26" s="11" customFormat="1" ht="60" customHeight="1" x14ac:dyDescent="0.2">
      <c r="A8" s="49" t="s">
        <v>17</v>
      </c>
      <c r="B8" s="85"/>
      <c r="C8" s="86"/>
      <c r="D8" s="83" t="s">
        <v>448</v>
      </c>
      <c r="E8" s="83" t="s">
        <v>449</v>
      </c>
      <c r="F8" s="81"/>
      <c r="G8" s="83" t="s">
        <v>286</v>
      </c>
      <c r="H8" s="83" t="s">
        <v>450</v>
      </c>
      <c r="I8" s="81"/>
      <c r="J8" s="3"/>
      <c r="K8" s="33" t="s">
        <v>16</v>
      </c>
      <c r="L8" s="9" t="s">
        <v>140</v>
      </c>
      <c r="M8" s="33" t="s">
        <v>69</v>
      </c>
      <c r="N8" s="9" t="s">
        <v>141</v>
      </c>
      <c r="O8" s="33" t="s">
        <v>69</v>
      </c>
      <c r="P8" s="9" t="s">
        <v>142</v>
      </c>
      <c r="Q8" s="33" t="s">
        <v>69</v>
      </c>
      <c r="R8" s="9" t="s">
        <v>143</v>
      </c>
      <c r="S8" s="33" t="s">
        <v>69</v>
      </c>
      <c r="T8" s="9" t="s">
        <v>146</v>
      </c>
      <c r="U8" s="33" t="s">
        <v>69</v>
      </c>
      <c r="V8" s="9" t="s">
        <v>147</v>
      </c>
      <c r="W8" s="87"/>
      <c r="X8" s="88"/>
      <c r="Y8" s="89" t="s">
        <v>451</v>
      </c>
      <c r="Z8" s="51"/>
    </row>
    <row r="9" spans="1:26" s="11" customFormat="1" ht="60" customHeight="1" x14ac:dyDescent="0.2">
      <c r="A9" s="9" t="s">
        <v>17</v>
      </c>
      <c r="B9" s="37"/>
      <c r="C9" s="38"/>
      <c r="D9" s="83" t="s">
        <v>452</v>
      </c>
      <c r="E9" s="90" t="s">
        <v>453</v>
      </c>
      <c r="F9" s="83" t="s">
        <v>454</v>
      </c>
      <c r="G9" s="83" t="s">
        <v>455</v>
      </c>
      <c r="H9" s="83" t="s">
        <v>456</v>
      </c>
      <c r="I9" s="91" t="s">
        <v>457</v>
      </c>
      <c r="J9" s="83" t="s">
        <v>458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89" t="s">
        <v>459</v>
      </c>
      <c r="X9" s="51"/>
      <c r="Y9" s="89" t="s">
        <v>460</v>
      </c>
      <c r="Z9" s="51"/>
    </row>
    <row r="10" spans="1:26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457</v>
      </c>
      <c r="L10" s="84" t="s">
        <v>458</v>
      </c>
      <c r="M10" s="84" t="s">
        <v>457</v>
      </c>
      <c r="N10" s="84" t="s">
        <v>458</v>
      </c>
      <c r="O10" s="84" t="s">
        <v>457</v>
      </c>
      <c r="P10" s="84" t="s">
        <v>458</v>
      </c>
      <c r="Q10" s="84" t="s">
        <v>457</v>
      </c>
      <c r="R10" s="84" t="s">
        <v>458</v>
      </c>
      <c r="S10" s="84" t="s">
        <v>457</v>
      </c>
      <c r="T10" s="84" t="s">
        <v>458</v>
      </c>
      <c r="U10" s="84" t="s">
        <v>457</v>
      </c>
      <c r="V10" s="84" t="s">
        <v>458</v>
      </c>
      <c r="W10" s="42"/>
      <c r="X10" s="42"/>
      <c r="Y10" s="43"/>
      <c r="Z10" s="36"/>
    </row>
    <row r="11" spans="1:26" s="11" customFormat="1" x14ac:dyDescent="0.2">
      <c r="A11" s="9">
        <v>10</v>
      </c>
      <c r="B11" s="37" t="s">
        <v>0</v>
      </c>
      <c r="C11" s="38"/>
      <c r="D11" s="28" t="s">
        <v>148</v>
      </c>
      <c r="E11" s="34" t="s">
        <v>21</v>
      </c>
      <c r="F11" s="44"/>
      <c r="G11" s="28" t="s">
        <v>76</v>
      </c>
      <c r="H11" s="45" t="s">
        <v>375</v>
      </c>
      <c r="I11" s="46"/>
      <c r="J11" s="47"/>
      <c r="K11" s="48" t="s">
        <v>376</v>
      </c>
      <c r="L11" s="48"/>
      <c r="M11" s="48" t="s">
        <v>377</v>
      </c>
      <c r="N11" s="48"/>
      <c r="O11" s="48"/>
      <c r="P11" s="48"/>
      <c r="Q11" s="48"/>
      <c r="R11" s="48"/>
      <c r="S11" s="48"/>
      <c r="T11" s="48"/>
      <c r="U11" s="48"/>
      <c r="V11" s="48"/>
      <c r="W11" s="35"/>
      <c r="X11" s="36"/>
      <c r="Y11" s="67"/>
      <c r="Z11" s="69"/>
    </row>
    <row r="12" spans="1:26" s="11" customFormat="1" x14ac:dyDescent="0.2">
      <c r="A12" s="9">
        <v>10</v>
      </c>
      <c r="B12" s="9"/>
      <c r="C12" s="9"/>
      <c r="D12" s="9" t="s">
        <v>131</v>
      </c>
      <c r="E12" s="49" t="s">
        <v>133</v>
      </c>
      <c r="F12" s="49"/>
      <c r="G12" s="50" t="s">
        <v>461</v>
      </c>
      <c r="H12" s="50" t="s">
        <v>274</v>
      </c>
      <c r="I12" s="9" t="s">
        <v>275</v>
      </c>
      <c r="J12" s="9"/>
      <c r="K12" s="9" t="s">
        <v>275</v>
      </c>
      <c r="L12" s="9"/>
      <c r="M12" s="9" t="s">
        <v>275</v>
      </c>
      <c r="N12" s="9"/>
      <c r="O12" s="9"/>
      <c r="P12" s="9"/>
      <c r="Q12" s="9"/>
      <c r="R12" s="9"/>
      <c r="S12" s="9"/>
      <c r="T12" s="9"/>
      <c r="U12" s="9"/>
      <c r="V12" s="9"/>
      <c r="W12" s="55"/>
      <c r="X12" s="51"/>
      <c r="Y12" s="142"/>
      <c r="Z12" s="143"/>
    </row>
    <row r="13" spans="1:26" s="11" customFormat="1" ht="26" x14ac:dyDescent="0.2">
      <c r="A13" s="9">
        <v>10</v>
      </c>
      <c r="B13" s="9"/>
      <c r="C13" s="9"/>
      <c r="D13" s="9" t="s">
        <v>213</v>
      </c>
      <c r="E13" s="49" t="s">
        <v>133</v>
      </c>
      <c r="F13" s="49"/>
      <c r="G13" s="50" t="s">
        <v>462</v>
      </c>
      <c r="H13" s="50" t="s">
        <v>278</v>
      </c>
      <c r="I13" s="9" t="s">
        <v>275</v>
      </c>
      <c r="J13" s="9"/>
      <c r="K13" s="9" t="s">
        <v>275</v>
      </c>
      <c r="L13" s="9"/>
      <c r="M13" s="9" t="s">
        <v>275</v>
      </c>
      <c r="N13" s="9"/>
      <c r="O13" s="9"/>
      <c r="P13" s="9"/>
      <c r="Q13" s="9"/>
      <c r="R13" s="9"/>
      <c r="S13" s="9"/>
      <c r="T13" s="9"/>
      <c r="U13" s="9"/>
      <c r="V13" s="9"/>
      <c r="W13" s="55"/>
      <c r="X13" s="51"/>
      <c r="Y13" s="142"/>
      <c r="Z13" s="143"/>
    </row>
    <row r="14" spans="1:26" s="11" customFormat="1" x14ac:dyDescent="0.2">
      <c r="A14" s="9">
        <v>10</v>
      </c>
      <c r="B14" s="9"/>
      <c r="C14" s="9"/>
      <c r="D14" s="9" t="s">
        <v>208</v>
      </c>
      <c r="E14" s="49" t="s">
        <v>133</v>
      </c>
      <c r="F14" s="49"/>
      <c r="G14" s="50" t="s">
        <v>463</v>
      </c>
      <c r="H14" s="50" t="s">
        <v>279</v>
      </c>
      <c r="I14" s="9" t="s">
        <v>275</v>
      </c>
      <c r="J14" s="9"/>
      <c r="K14" s="9" t="s">
        <v>275</v>
      </c>
      <c r="L14" s="9"/>
      <c r="M14" s="9" t="s">
        <v>275</v>
      </c>
      <c r="N14" s="9"/>
      <c r="O14" s="9"/>
      <c r="P14" s="9"/>
      <c r="Q14" s="9"/>
      <c r="R14" s="9"/>
      <c r="S14" s="9"/>
      <c r="T14" s="9"/>
      <c r="U14" s="9"/>
      <c r="V14" s="9"/>
      <c r="W14" s="55"/>
      <c r="X14" s="51"/>
      <c r="Y14" s="67"/>
      <c r="Z14" s="68"/>
    </row>
    <row r="15" spans="1:26" s="11" customFormat="1" x14ac:dyDescent="0.2">
      <c r="A15" s="9">
        <v>10</v>
      </c>
      <c r="B15" s="9"/>
      <c r="C15" s="9"/>
      <c r="D15" s="9" t="s">
        <v>132</v>
      </c>
      <c r="E15" s="49" t="s">
        <v>134</v>
      </c>
      <c r="F15" s="49"/>
      <c r="G15" s="50" t="s">
        <v>464</v>
      </c>
      <c r="H15" s="50" t="s">
        <v>281</v>
      </c>
      <c r="I15" s="9" t="s">
        <v>275</v>
      </c>
      <c r="J15" s="9"/>
      <c r="K15" s="9" t="s">
        <v>275</v>
      </c>
      <c r="L15" s="9"/>
      <c r="M15" s="9" t="s">
        <v>275</v>
      </c>
      <c r="N15" s="9"/>
      <c r="O15" s="9"/>
      <c r="P15" s="9"/>
      <c r="Q15" s="9"/>
      <c r="R15" s="9"/>
      <c r="S15" s="9"/>
      <c r="T15" s="9"/>
      <c r="U15" s="9"/>
      <c r="V15" s="9"/>
      <c r="W15" s="55"/>
      <c r="X15" s="51"/>
      <c r="Y15" s="67"/>
      <c r="Z15" s="68"/>
    </row>
    <row r="16" spans="1:26" s="11" customFormat="1" x14ac:dyDescent="0.2">
      <c r="A16" s="9">
        <v>10</v>
      </c>
      <c r="B16" s="9"/>
      <c r="C16" s="9"/>
      <c r="D16" s="9" t="s">
        <v>47</v>
      </c>
      <c r="E16" s="49" t="s">
        <v>48</v>
      </c>
      <c r="F16" s="49"/>
      <c r="G16" s="50" t="s">
        <v>465</v>
      </c>
      <c r="H16" s="50" t="s">
        <v>282</v>
      </c>
      <c r="I16" s="9" t="s">
        <v>275</v>
      </c>
      <c r="J16" s="9"/>
      <c r="K16" s="9" t="s">
        <v>275</v>
      </c>
      <c r="L16" s="9"/>
      <c r="M16" s="9" t="s">
        <v>275</v>
      </c>
      <c r="N16" s="9"/>
      <c r="O16" s="9"/>
      <c r="P16" s="9"/>
      <c r="Q16" s="9"/>
      <c r="R16" s="9"/>
      <c r="S16" s="9"/>
      <c r="T16" s="9"/>
      <c r="U16" s="9"/>
      <c r="V16" s="9"/>
      <c r="W16" s="55"/>
      <c r="X16" s="51"/>
      <c r="Y16" s="67"/>
      <c r="Z16" s="69"/>
    </row>
    <row r="17" spans="1:26" s="11" customFormat="1" x14ac:dyDescent="0.2">
      <c r="A17" s="9">
        <v>10</v>
      </c>
      <c r="B17" s="9"/>
      <c r="C17" s="9"/>
      <c r="D17" s="9" t="s">
        <v>51</v>
      </c>
      <c r="E17" s="49" t="s">
        <v>52</v>
      </c>
      <c r="F17" s="49"/>
      <c r="G17" s="50" t="s">
        <v>466</v>
      </c>
      <c r="H17" s="50" t="s">
        <v>283</v>
      </c>
      <c r="I17" s="9" t="s">
        <v>275</v>
      </c>
      <c r="J17" s="9"/>
      <c r="K17" s="9" t="s">
        <v>275</v>
      </c>
      <c r="L17" s="9"/>
      <c r="M17" s="9" t="s">
        <v>275</v>
      </c>
      <c r="N17" s="9"/>
      <c r="O17" s="9"/>
      <c r="P17" s="9"/>
      <c r="Q17" s="9"/>
      <c r="R17" s="9"/>
      <c r="S17" s="9"/>
      <c r="T17" s="9"/>
      <c r="U17" s="9"/>
      <c r="V17" s="9"/>
      <c r="W17" s="55"/>
      <c r="X17" s="51"/>
      <c r="Y17" s="67"/>
      <c r="Z17" s="69"/>
    </row>
    <row r="18" spans="1:26" s="11" customFormat="1" x14ac:dyDescent="0.2">
      <c r="A18" s="9">
        <v>10</v>
      </c>
      <c r="B18" s="9"/>
      <c r="C18" s="9"/>
      <c r="D18" s="9" t="s">
        <v>49</v>
      </c>
      <c r="E18" s="49" t="s">
        <v>50</v>
      </c>
      <c r="F18" s="49"/>
      <c r="G18" s="50" t="s">
        <v>467</v>
      </c>
      <c r="H18" s="50" t="s">
        <v>284</v>
      </c>
      <c r="I18" s="9" t="s">
        <v>275</v>
      </c>
      <c r="J18" s="9"/>
      <c r="K18" s="9" t="s">
        <v>275</v>
      </c>
      <c r="L18" s="9"/>
      <c r="M18" s="9" t="s">
        <v>275</v>
      </c>
      <c r="N18" s="9"/>
      <c r="O18" s="9"/>
      <c r="P18" s="9"/>
      <c r="Q18" s="9"/>
      <c r="R18" s="9"/>
      <c r="S18" s="9"/>
      <c r="T18" s="9"/>
      <c r="U18" s="9"/>
      <c r="V18" s="9"/>
      <c r="W18" s="55"/>
      <c r="X18" s="51"/>
      <c r="Y18" s="67"/>
      <c r="Z18" s="69"/>
    </row>
    <row r="19" spans="1:26" s="11" customFormat="1" x14ac:dyDescent="0.2">
      <c r="A19" s="9">
        <v>10</v>
      </c>
      <c r="B19" s="9"/>
      <c r="C19" s="9"/>
      <c r="D19" s="9" t="s">
        <v>74</v>
      </c>
      <c r="E19" s="49" t="s">
        <v>135</v>
      </c>
      <c r="F19" s="49"/>
      <c r="G19" s="50" t="s">
        <v>468</v>
      </c>
      <c r="H19" s="50" t="s">
        <v>285</v>
      </c>
      <c r="I19" s="9" t="s">
        <v>275</v>
      </c>
      <c r="J19" s="9"/>
      <c r="K19" s="9" t="s">
        <v>275</v>
      </c>
      <c r="L19" s="9"/>
      <c r="M19" s="9" t="s">
        <v>275</v>
      </c>
      <c r="N19" s="9"/>
      <c r="O19" s="9"/>
      <c r="P19" s="9"/>
      <c r="Q19" s="9"/>
      <c r="R19" s="9"/>
      <c r="S19" s="9"/>
      <c r="T19" s="9"/>
      <c r="U19" s="9"/>
      <c r="V19" s="9"/>
      <c r="W19" s="55"/>
      <c r="X19" s="51"/>
      <c r="Y19" s="67"/>
      <c r="Z19" s="68"/>
    </row>
    <row r="20" spans="1:26" s="11" customFormat="1" x14ac:dyDescent="0.2">
      <c r="A20" s="74"/>
      <c r="Z20" s="54"/>
    </row>
    <row r="21" spans="1:26" s="11" customFormat="1" x14ac:dyDescent="0.2">
      <c r="A21" s="9">
        <v>20</v>
      </c>
      <c r="B21" s="37" t="s">
        <v>0</v>
      </c>
      <c r="C21" s="38"/>
      <c r="D21" s="28" t="s">
        <v>149</v>
      </c>
      <c r="E21" s="34" t="s">
        <v>21</v>
      </c>
      <c r="F21" s="56"/>
      <c r="G21" s="28" t="s">
        <v>224</v>
      </c>
      <c r="H21" s="45" t="s">
        <v>378</v>
      </c>
      <c r="I21" s="57"/>
      <c r="J21" s="58"/>
      <c r="K21" s="48"/>
      <c r="L21" s="48"/>
      <c r="M21" s="48"/>
      <c r="N21" s="48"/>
      <c r="O21" s="48" t="s">
        <v>379</v>
      </c>
      <c r="P21" s="48"/>
      <c r="Q21" s="48" t="s">
        <v>380</v>
      </c>
      <c r="R21" s="48"/>
      <c r="S21" s="48"/>
      <c r="T21" s="48"/>
      <c r="U21" s="48"/>
      <c r="V21" s="48"/>
      <c r="W21" s="35"/>
      <c r="X21" s="36"/>
      <c r="Y21" s="67"/>
      <c r="Z21" s="69"/>
    </row>
    <row r="22" spans="1:26" s="11" customFormat="1" x14ac:dyDescent="0.2">
      <c r="A22" s="9">
        <v>20</v>
      </c>
      <c r="B22" s="9"/>
      <c r="C22" s="9"/>
      <c r="D22" s="9" t="s">
        <v>85</v>
      </c>
      <c r="E22" s="49" t="s">
        <v>115</v>
      </c>
      <c r="F22" s="49"/>
      <c r="G22" s="50" t="s">
        <v>469</v>
      </c>
      <c r="H22" s="50" t="s">
        <v>290</v>
      </c>
      <c r="I22" s="9" t="s">
        <v>275</v>
      </c>
      <c r="J22" s="9"/>
      <c r="K22" s="9"/>
      <c r="L22" s="9"/>
      <c r="M22" s="9"/>
      <c r="N22" s="9"/>
      <c r="O22" s="9" t="s">
        <v>275</v>
      </c>
      <c r="P22" s="9"/>
      <c r="Q22" s="9" t="s">
        <v>275</v>
      </c>
      <c r="R22" s="9"/>
      <c r="S22" s="9"/>
      <c r="T22" s="9"/>
      <c r="U22" s="9"/>
      <c r="V22" s="9"/>
      <c r="W22" s="55"/>
      <c r="X22" s="51"/>
      <c r="Y22" s="142"/>
      <c r="Z22" s="144"/>
    </row>
    <row r="23" spans="1:26" s="11" customFormat="1" x14ac:dyDescent="0.2">
      <c r="A23" s="9">
        <v>20</v>
      </c>
      <c r="B23" s="9"/>
      <c r="C23" s="9"/>
      <c r="D23" s="9" t="s">
        <v>216</v>
      </c>
      <c r="E23" s="49" t="s">
        <v>115</v>
      </c>
      <c r="F23" s="49"/>
      <c r="G23" s="50" t="s">
        <v>470</v>
      </c>
      <c r="H23" s="50" t="s">
        <v>381</v>
      </c>
      <c r="I23" s="9" t="s">
        <v>275</v>
      </c>
      <c r="J23" s="9"/>
      <c r="K23" s="9"/>
      <c r="L23" s="9"/>
      <c r="M23" s="9"/>
      <c r="N23" s="9"/>
      <c r="O23" s="9" t="s">
        <v>275</v>
      </c>
      <c r="P23" s="9"/>
      <c r="Q23" s="9" t="s">
        <v>275</v>
      </c>
      <c r="R23" s="9"/>
      <c r="S23" s="9"/>
      <c r="T23" s="9"/>
      <c r="U23" s="9"/>
      <c r="V23" s="9"/>
      <c r="W23" s="55"/>
      <c r="X23" s="51"/>
      <c r="Y23" s="142"/>
      <c r="Z23" s="144"/>
    </row>
    <row r="24" spans="1:26" s="11" customFormat="1" x14ac:dyDescent="0.2">
      <c r="A24" s="9">
        <v>20</v>
      </c>
      <c r="B24" s="9"/>
      <c r="C24" s="9"/>
      <c r="D24" s="9" t="s">
        <v>152</v>
      </c>
      <c r="E24" s="49" t="s">
        <v>133</v>
      </c>
      <c r="F24" s="49"/>
      <c r="G24" s="50" t="s">
        <v>461</v>
      </c>
      <c r="H24" s="50" t="s">
        <v>274</v>
      </c>
      <c r="I24" s="9" t="s">
        <v>275</v>
      </c>
      <c r="J24" s="9"/>
      <c r="K24" s="9"/>
      <c r="L24" s="9"/>
      <c r="M24" s="9"/>
      <c r="N24" s="9"/>
      <c r="O24" s="9" t="s">
        <v>275</v>
      </c>
      <c r="P24" s="9"/>
      <c r="Q24" s="9" t="s">
        <v>275</v>
      </c>
      <c r="R24" s="9"/>
      <c r="S24" s="9"/>
      <c r="T24" s="9"/>
      <c r="U24" s="9"/>
      <c r="V24" s="9"/>
      <c r="W24" s="55"/>
      <c r="X24" s="51"/>
      <c r="Y24" s="67"/>
      <c r="Z24" s="68"/>
    </row>
    <row r="25" spans="1:26" s="11" customFormat="1" ht="26" x14ac:dyDescent="0.2">
      <c r="A25" s="9">
        <v>20</v>
      </c>
      <c r="B25" s="9"/>
      <c r="C25" s="9"/>
      <c r="D25" s="9" t="s">
        <v>217</v>
      </c>
      <c r="E25" s="49" t="s">
        <v>133</v>
      </c>
      <c r="F25" s="49"/>
      <c r="G25" s="50" t="s">
        <v>462</v>
      </c>
      <c r="H25" s="50" t="s">
        <v>278</v>
      </c>
      <c r="I25" s="9" t="s">
        <v>275</v>
      </c>
      <c r="J25" s="9"/>
      <c r="K25" s="9"/>
      <c r="L25" s="9"/>
      <c r="M25" s="9"/>
      <c r="N25" s="9"/>
      <c r="O25" s="9" t="s">
        <v>275</v>
      </c>
      <c r="P25" s="9"/>
      <c r="Q25" s="9" t="s">
        <v>275</v>
      </c>
      <c r="R25" s="9"/>
      <c r="S25" s="9"/>
      <c r="T25" s="9"/>
      <c r="U25" s="9"/>
      <c r="V25" s="9"/>
      <c r="W25" s="55"/>
      <c r="X25" s="51"/>
      <c r="Y25" s="67"/>
      <c r="Z25" s="68"/>
    </row>
    <row r="26" spans="1:26" s="11" customFormat="1" x14ac:dyDescent="0.2">
      <c r="A26" s="9">
        <v>20</v>
      </c>
      <c r="B26" s="9"/>
      <c r="C26" s="9"/>
      <c r="D26" s="9" t="s">
        <v>153</v>
      </c>
      <c r="E26" s="49" t="s">
        <v>133</v>
      </c>
      <c r="F26" s="49"/>
      <c r="G26" s="50" t="s">
        <v>463</v>
      </c>
      <c r="H26" s="50" t="s">
        <v>279</v>
      </c>
      <c r="I26" s="9" t="s">
        <v>275</v>
      </c>
      <c r="J26" s="9"/>
      <c r="K26" s="9"/>
      <c r="L26" s="9"/>
      <c r="M26" s="9"/>
      <c r="N26" s="9"/>
      <c r="O26" s="9" t="s">
        <v>275</v>
      </c>
      <c r="P26" s="9"/>
      <c r="Q26" s="9" t="s">
        <v>275</v>
      </c>
      <c r="R26" s="9"/>
      <c r="S26" s="9"/>
      <c r="T26" s="9"/>
      <c r="U26" s="9"/>
      <c r="V26" s="9"/>
      <c r="W26" s="55"/>
      <c r="X26" s="51"/>
      <c r="Y26" s="67"/>
      <c r="Z26" s="68"/>
    </row>
    <row r="27" spans="1:26" s="11" customFormat="1" x14ac:dyDescent="0.2">
      <c r="A27" s="9">
        <v>20</v>
      </c>
      <c r="B27" s="9"/>
      <c r="C27" s="9"/>
      <c r="D27" s="9" t="s">
        <v>86</v>
      </c>
      <c r="E27" s="49" t="s">
        <v>116</v>
      </c>
      <c r="F27" s="49"/>
      <c r="G27" s="50" t="s">
        <v>471</v>
      </c>
      <c r="H27" s="50" t="s">
        <v>292</v>
      </c>
      <c r="I27" s="9" t="s">
        <v>275</v>
      </c>
      <c r="J27" s="9"/>
      <c r="K27" s="9"/>
      <c r="L27" s="9"/>
      <c r="M27" s="9"/>
      <c r="N27" s="9"/>
      <c r="O27" s="9" t="s">
        <v>275</v>
      </c>
      <c r="P27" s="9"/>
      <c r="Q27" s="9" t="s">
        <v>275</v>
      </c>
      <c r="R27" s="9"/>
      <c r="S27" s="9"/>
      <c r="T27" s="9"/>
      <c r="U27" s="9"/>
      <c r="V27" s="9"/>
      <c r="W27" s="55"/>
      <c r="X27" s="51"/>
      <c r="Y27" s="67"/>
      <c r="Z27" s="68"/>
    </row>
    <row r="28" spans="1:26" s="11" customFormat="1" x14ac:dyDescent="0.2">
      <c r="A28" s="9">
        <v>20</v>
      </c>
      <c r="B28" s="9"/>
      <c r="C28" s="9"/>
      <c r="D28" s="9" t="s">
        <v>90</v>
      </c>
      <c r="E28" s="49" t="s">
        <v>117</v>
      </c>
      <c r="F28" s="49"/>
      <c r="G28" s="50" t="s">
        <v>472</v>
      </c>
      <c r="H28" s="50" t="s">
        <v>293</v>
      </c>
      <c r="I28" s="9" t="s">
        <v>275</v>
      </c>
      <c r="J28" s="9"/>
      <c r="K28" s="9"/>
      <c r="L28" s="9"/>
      <c r="M28" s="9"/>
      <c r="N28" s="9"/>
      <c r="O28" s="9" t="s">
        <v>275</v>
      </c>
      <c r="P28" s="9"/>
      <c r="Q28" s="9" t="s">
        <v>275</v>
      </c>
      <c r="R28" s="9"/>
      <c r="S28" s="9"/>
      <c r="T28" s="9"/>
      <c r="U28" s="9"/>
      <c r="V28" s="9"/>
      <c r="W28" s="55"/>
      <c r="X28" s="51"/>
      <c r="Y28" s="67"/>
      <c r="Z28" s="68"/>
    </row>
    <row r="29" spans="1:26" s="11" customFormat="1" x14ac:dyDescent="0.2">
      <c r="A29" s="9">
        <v>20</v>
      </c>
      <c r="B29" s="9"/>
      <c r="C29" s="9"/>
      <c r="D29" s="9" t="s">
        <v>88</v>
      </c>
      <c r="E29" s="49" t="s">
        <v>115</v>
      </c>
      <c r="F29" s="49"/>
      <c r="G29" s="50" t="s">
        <v>473</v>
      </c>
      <c r="H29" s="50" t="s">
        <v>294</v>
      </c>
      <c r="I29" s="9" t="s">
        <v>275</v>
      </c>
      <c r="J29" s="9"/>
      <c r="K29" s="9"/>
      <c r="L29" s="9"/>
      <c r="M29" s="9"/>
      <c r="N29" s="9"/>
      <c r="O29" s="9" t="s">
        <v>275</v>
      </c>
      <c r="P29" s="9"/>
      <c r="Q29" s="9" t="s">
        <v>275</v>
      </c>
      <c r="R29" s="9"/>
      <c r="S29" s="9"/>
      <c r="T29" s="9"/>
      <c r="U29" s="9"/>
      <c r="V29" s="9"/>
      <c r="W29" s="55"/>
      <c r="X29" s="51"/>
      <c r="Y29" s="67"/>
      <c r="Z29" s="68"/>
    </row>
    <row r="30" spans="1:26" s="11" customFormat="1" x14ac:dyDescent="0.2">
      <c r="A30" s="9">
        <v>20</v>
      </c>
      <c r="B30" s="9"/>
      <c r="C30" s="9"/>
      <c r="D30" s="9" t="s">
        <v>87</v>
      </c>
      <c r="E30" s="49" t="s">
        <v>115</v>
      </c>
      <c r="F30" s="49"/>
      <c r="G30" s="50" t="s">
        <v>474</v>
      </c>
      <c r="H30" s="50" t="s">
        <v>295</v>
      </c>
      <c r="I30" s="9" t="s">
        <v>275</v>
      </c>
      <c r="J30" s="9"/>
      <c r="K30" s="9"/>
      <c r="L30" s="9"/>
      <c r="M30" s="9"/>
      <c r="N30" s="9"/>
      <c r="O30" s="9" t="s">
        <v>275</v>
      </c>
      <c r="P30" s="9"/>
      <c r="Q30" s="9" t="s">
        <v>275</v>
      </c>
      <c r="R30" s="9"/>
      <c r="S30" s="9"/>
      <c r="T30" s="9"/>
      <c r="U30" s="9"/>
      <c r="V30" s="9"/>
      <c r="W30" s="55"/>
      <c r="X30" s="51"/>
      <c r="Y30" s="67"/>
      <c r="Z30" s="68"/>
    </row>
    <row r="31" spans="1:26" s="11" customFormat="1" x14ac:dyDescent="0.2">
      <c r="A31" s="9">
        <v>20</v>
      </c>
      <c r="B31" s="9"/>
      <c r="C31" s="9"/>
      <c r="D31" s="9" t="s">
        <v>92</v>
      </c>
      <c r="E31" s="49" t="s">
        <v>119</v>
      </c>
      <c r="F31" s="49"/>
      <c r="G31" s="50" t="s">
        <v>475</v>
      </c>
      <c r="H31" s="50" t="s">
        <v>296</v>
      </c>
      <c r="I31" s="9" t="s">
        <v>275</v>
      </c>
      <c r="J31" s="9"/>
      <c r="K31" s="9"/>
      <c r="L31" s="9"/>
      <c r="M31" s="9"/>
      <c r="N31" s="9"/>
      <c r="O31" s="9" t="s">
        <v>275</v>
      </c>
      <c r="P31" s="9"/>
      <c r="Q31" s="9" t="s">
        <v>275</v>
      </c>
      <c r="R31" s="9"/>
      <c r="S31" s="9"/>
      <c r="T31" s="9"/>
      <c r="U31" s="9"/>
      <c r="V31" s="9"/>
      <c r="W31" s="55"/>
      <c r="X31" s="51"/>
      <c r="Y31" s="67"/>
      <c r="Z31" s="68"/>
    </row>
    <row r="32" spans="1:26" s="11" customFormat="1" x14ac:dyDescent="0.2">
      <c r="A32" s="9">
        <v>20</v>
      </c>
      <c r="B32" s="9"/>
      <c r="C32" s="9"/>
      <c r="D32" s="9" t="s">
        <v>93</v>
      </c>
      <c r="E32" s="49" t="s">
        <v>120</v>
      </c>
      <c r="F32" s="49"/>
      <c r="G32" s="50" t="s">
        <v>476</v>
      </c>
      <c r="H32" s="50" t="s">
        <v>297</v>
      </c>
      <c r="I32" s="9" t="s">
        <v>275</v>
      </c>
      <c r="J32" s="9"/>
      <c r="K32" s="9"/>
      <c r="L32" s="9"/>
      <c r="M32" s="9"/>
      <c r="N32" s="9"/>
      <c r="O32" s="9" t="s">
        <v>275</v>
      </c>
      <c r="P32" s="9"/>
      <c r="Q32" s="9" t="s">
        <v>275</v>
      </c>
      <c r="R32" s="9"/>
      <c r="S32" s="9"/>
      <c r="T32" s="9"/>
      <c r="U32" s="9"/>
      <c r="V32" s="9"/>
      <c r="W32" s="55"/>
      <c r="X32" s="51"/>
      <c r="Y32" s="67"/>
      <c r="Z32" s="68"/>
    </row>
    <row r="33" spans="1:26" s="11" customFormat="1" x14ac:dyDescent="0.2">
      <c r="A33" s="9">
        <v>20</v>
      </c>
      <c r="B33" s="9"/>
      <c r="C33" s="9"/>
      <c r="D33" s="9" t="s">
        <v>94</v>
      </c>
      <c r="E33" s="49" t="s">
        <v>121</v>
      </c>
      <c r="F33" s="49"/>
      <c r="G33" s="50" t="s">
        <v>477</v>
      </c>
      <c r="H33" s="50" t="s">
        <v>298</v>
      </c>
      <c r="I33" s="9" t="s">
        <v>275</v>
      </c>
      <c r="J33" s="9"/>
      <c r="K33" s="9"/>
      <c r="L33" s="9"/>
      <c r="M33" s="9"/>
      <c r="N33" s="9"/>
      <c r="O33" s="9" t="s">
        <v>275</v>
      </c>
      <c r="P33" s="9"/>
      <c r="Q33" s="9" t="s">
        <v>275</v>
      </c>
      <c r="R33" s="9"/>
      <c r="S33" s="9"/>
      <c r="T33" s="9"/>
      <c r="U33" s="9"/>
      <c r="V33" s="9"/>
      <c r="W33" s="55"/>
      <c r="X33" s="51"/>
      <c r="Y33" s="67"/>
      <c r="Z33" s="68"/>
    </row>
    <row r="34" spans="1:26" s="11" customFormat="1" x14ac:dyDescent="0.2">
      <c r="A34" s="9">
        <v>20</v>
      </c>
      <c r="B34" s="9"/>
      <c r="C34" s="9"/>
      <c r="D34" s="9" t="s">
        <v>95</v>
      </c>
      <c r="E34" s="49" t="s">
        <v>122</v>
      </c>
      <c r="F34" s="49"/>
      <c r="G34" s="50" t="s">
        <v>478</v>
      </c>
      <c r="H34" s="50" t="s">
        <v>299</v>
      </c>
      <c r="I34" s="9" t="s">
        <v>275</v>
      </c>
      <c r="J34" s="9"/>
      <c r="K34" s="9"/>
      <c r="L34" s="9"/>
      <c r="M34" s="9"/>
      <c r="N34" s="9"/>
      <c r="O34" s="9" t="s">
        <v>275</v>
      </c>
      <c r="P34" s="9"/>
      <c r="Q34" s="9" t="s">
        <v>275</v>
      </c>
      <c r="R34" s="9"/>
      <c r="S34" s="9"/>
      <c r="T34" s="9"/>
      <c r="U34" s="9"/>
      <c r="V34" s="9"/>
      <c r="W34" s="55"/>
      <c r="X34" s="51"/>
      <c r="Y34" s="142"/>
      <c r="Z34" s="144"/>
    </row>
    <row r="35" spans="1:26" s="11" customFormat="1" x14ac:dyDescent="0.2">
      <c r="A35" s="9">
        <v>20</v>
      </c>
      <c r="B35" s="9"/>
      <c r="C35" s="9"/>
      <c r="D35" s="9" t="s">
        <v>96</v>
      </c>
      <c r="E35" s="49" t="s">
        <v>123</v>
      </c>
      <c r="F35" s="49"/>
      <c r="G35" s="50" t="s">
        <v>479</v>
      </c>
      <c r="H35" s="50" t="s">
        <v>300</v>
      </c>
      <c r="I35" s="9" t="s">
        <v>275</v>
      </c>
      <c r="J35" s="9"/>
      <c r="K35" s="9"/>
      <c r="L35" s="9"/>
      <c r="M35" s="9"/>
      <c r="N35" s="9"/>
      <c r="O35" s="9" t="s">
        <v>275</v>
      </c>
      <c r="P35" s="9"/>
      <c r="Q35" s="9" t="s">
        <v>275</v>
      </c>
      <c r="R35" s="9"/>
      <c r="S35" s="9"/>
      <c r="T35" s="9"/>
      <c r="U35" s="9"/>
      <c r="V35" s="9"/>
      <c r="W35" s="55"/>
      <c r="X35" s="51"/>
      <c r="Y35" s="142"/>
      <c r="Z35" s="144"/>
    </row>
    <row r="36" spans="1:26" s="11" customFormat="1" x14ac:dyDescent="0.2">
      <c r="A36" s="9">
        <v>20</v>
      </c>
      <c r="B36" s="9"/>
      <c r="C36" s="9"/>
      <c r="D36" s="9" t="s">
        <v>97</v>
      </c>
      <c r="E36" s="49" t="s">
        <v>124</v>
      </c>
      <c r="F36" s="49"/>
      <c r="G36" s="50" t="s">
        <v>480</v>
      </c>
      <c r="H36" s="50" t="s">
        <v>301</v>
      </c>
      <c r="I36" s="9" t="s">
        <v>275</v>
      </c>
      <c r="J36" s="9"/>
      <c r="K36" s="9"/>
      <c r="L36" s="9"/>
      <c r="M36" s="9"/>
      <c r="N36" s="9"/>
      <c r="O36" s="9" t="s">
        <v>275</v>
      </c>
      <c r="P36" s="9"/>
      <c r="Q36" s="9" t="s">
        <v>275</v>
      </c>
      <c r="R36" s="9"/>
      <c r="S36" s="9"/>
      <c r="T36" s="9"/>
      <c r="U36" s="9"/>
      <c r="V36" s="9"/>
      <c r="W36" s="55"/>
      <c r="X36" s="51"/>
      <c r="Y36" s="67"/>
      <c r="Z36" s="68"/>
    </row>
    <row r="37" spans="1:26" s="11" customFormat="1" x14ac:dyDescent="0.2">
      <c r="A37" s="9">
        <v>20</v>
      </c>
      <c r="B37" s="9"/>
      <c r="C37" s="9"/>
      <c r="D37" s="9" t="s">
        <v>98</v>
      </c>
      <c r="E37" s="49" t="s">
        <v>124</v>
      </c>
      <c r="F37" s="49"/>
      <c r="G37" s="50" t="s">
        <v>481</v>
      </c>
      <c r="H37" s="50" t="s">
        <v>302</v>
      </c>
      <c r="I37" s="9" t="s">
        <v>275</v>
      </c>
      <c r="J37" s="9"/>
      <c r="K37" s="9"/>
      <c r="L37" s="9"/>
      <c r="M37" s="9"/>
      <c r="N37" s="9"/>
      <c r="O37" s="9" t="s">
        <v>275</v>
      </c>
      <c r="P37" s="9"/>
      <c r="Q37" s="9" t="s">
        <v>275</v>
      </c>
      <c r="R37" s="9"/>
      <c r="S37" s="9"/>
      <c r="T37" s="9"/>
      <c r="U37" s="9"/>
      <c r="V37" s="9"/>
      <c r="W37" s="55"/>
      <c r="X37" s="51"/>
      <c r="Y37" s="67"/>
      <c r="Z37" s="68"/>
    </row>
    <row r="38" spans="1:26" s="11" customFormat="1" x14ac:dyDescent="0.2">
      <c r="A38" s="9">
        <v>20</v>
      </c>
      <c r="B38" s="9"/>
      <c r="C38" s="9"/>
      <c r="D38" s="9" t="s">
        <v>99</v>
      </c>
      <c r="E38" s="49" t="s">
        <v>125</v>
      </c>
      <c r="F38" s="49"/>
      <c r="G38" s="50" t="s">
        <v>482</v>
      </c>
      <c r="H38" s="50" t="s">
        <v>343</v>
      </c>
      <c r="I38" s="9" t="s">
        <v>275</v>
      </c>
      <c r="J38" s="9"/>
      <c r="K38" s="9"/>
      <c r="L38" s="9"/>
      <c r="M38" s="9"/>
      <c r="N38" s="9"/>
      <c r="O38" s="9" t="s">
        <v>275</v>
      </c>
      <c r="P38" s="9"/>
      <c r="Q38" s="9" t="s">
        <v>275</v>
      </c>
      <c r="R38" s="9"/>
      <c r="S38" s="9"/>
      <c r="T38" s="9"/>
      <c r="U38" s="9"/>
      <c r="V38" s="9"/>
      <c r="W38" s="55"/>
      <c r="X38" s="51"/>
      <c r="Y38" s="67"/>
      <c r="Z38" s="68"/>
    </row>
    <row r="39" spans="1:26" s="11" customFormat="1" ht="26" x14ac:dyDescent="0.2">
      <c r="A39" s="9">
        <v>20</v>
      </c>
      <c r="B39" s="9"/>
      <c r="C39" s="9"/>
      <c r="D39" s="9" t="s">
        <v>101</v>
      </c>
      <c r="E39" s="49" t="s">
        <v>127</v>
      </c>
      <c r="F39" s="49"/>
      <c r="G39" s="50" t="s">
        <v>483</v>
      </c>
      <c r="H39" s="50" t="s">
        <v>304</v>
      </c>
      <c r="I39" s="9" t="s">
        <v>275</v>
      </c>
      <c r="J39" s="9"/>
      <c r="K39" s="9"/>
      <c r="L39" s="9"/>
      <c r="M39" s="9"/>
      <c r="N39" s="9"/>
      <c r="O39" s="9" t="s">
        <v>275</v>
      </c>
      <c r="P39" s="9"/>
      <c r="Q39" s="9" t="s">
        <v>275</v>
      </c>
      <c r="R39" s="9"/>
      <c r="S39" s="9"/>
      <c r="T39" s="9"/>
      <c r="U39" s="9"/>
      <c r="V39" s="9"/>
      <c r="W39" s="55"/>
      <c r="X39" s="51"/>
      <c r="Y39" s="67"/>
      <c r="Z39" s="68"/>
    </row>
    <row r="40" spans="1:26" s="11" customFormat="1" x14ac:dyDescent="0.2">
      <c r="A40" s="9">
        <v>20</v>
      </c>
      <c r="B40" s="9"/>
      <c r="C40" s="9"/>
      <c r="D40" s="9" t="s">
        <v>395</v>
      </c>
      <c r="E40" s="49" t="s">
        <v>127</v>
      </c>
      <c r="F40" s="49"/>
      <c r="G40" s="50" t="s">
        <v>484</v>
      </c>
      <c r="H40" s="50" t="s">
        <v>305</v>
      </c>
      <c r="I40" s="9" t="s">
        <v>275</v>
      </c>
      <c r="J40" s="9"/>
      <c r="K40" s="9"/>
      <c r="L40" s="9"/>
      <c r="M40" s="9"/>
      <c r="N40" s="9"/>
      <c r="O40" s="9" t="s">
        <v>275</v>
      </c>
      <c r="P40" s="9"/>
      <c r="Q40" s="9" t="s">
        <v>275</v>
      </c>
      <c r="R40" s="9"/>
      <c r="S40" s="9"/>
      <c r="T40" s="9"/>
      <c r="U40" s="9"/>
      <c r="V40" s="9"/>
      <c r="W40" s="55"/>
      <c r="X40" s="51"/>
      <c r="Y40" s="67"/>
      <c r="Z40" s="68"/>
    </row>
    <row r="41" spans="1:26" s="11" customFormat="1" x14ac:dyDescent="0.2">
      <c r="A41" s="9">
        <v>20</v>
      </c>
      <c r="B41" s="9"/>
      <c r="C41" s="9"/>
      <c r="D41" s="9" t="s">
        <v>389</v>
      </c>
      <c r="E41" s="49" t="s">
        <v>387</v>
      </c>
      <c r="F41" s="49"/>
      <c r="G41" s="50" t="s">
        <v>485</v>
      </c>
      <c r="H41" s="50" t="s">
        <v>390</v>
      </c>
      <c r="I41" s="9" t="s">
        <v>275</v>
      </c>
      <c r="J41" s="9"/>
      <c r="K41" s="9"/>
      <c r="L41" s="9"/>
      <c r="M41" s="9"/>
      <c r="N41" s="9"/>
      <c r="O41" s="9" t="s">
        <v>275</v>
      </c>
      <c r="P41" s="9"/>
      <c r="Q41" s="9" t="s">
        <v>275</v>
      </c>
      <c r="R41" s="9"/>
      <c r="S41" s="9"/>
      <c r="T41" s="9"/>
      <c r="U41" s="9"/>
      <c r="V41" s="9"/>
      <c r="W41" s="55"/>
      <c r="X41" s="51"/>
      <c r="Y41" s="67"/>
      <c r="Z41" s="68"/>
    </row>
    <row r="42" spans="1:26" s="11" customFormat="1" x14ac:dyDescent="0.2">
      <c r="A42" s="9">
        <v>20</v>
      </c>
      <c r="B42" s="9"/>
      <c r="C42" s="9"/>
      <c r="D42" s="9" t="s">
        <v>105</v>
      </c>
      <c r="E42" s="49" t="s">
        <v>54</v>
      </c>
      <c r="F42" s="49"/>
      <c r="G42" s="50" t="s">
        <v>486</v>
      </c>
      <c r="H42" s="50" t="s">
        <v>347</v>
      </c>
      <c r="I42" s="9" t="s">
        <v>275</v>
      </c>
      <c r="J42" s="9"/>
      <c r="K42" s="9"/>
      <c r="L42" s="9"/>
      <c r="M42" s="9"/>
      <c r="N42" s="9"/>
      <c r="O42" s="9" t="s">
        <v>275</v>
      </c>
      <c r="P42" s="9"/>
      <c r="Q42" s="9" t="s">
        <v>275</v>
      </c>
      <c r="R42" s="9"/>
      <c r="S42" s="9"/>
      <c r="T42" s="9"/>
      <c r="U42" s="9"/>
      <c r="V42" s="9"/>
      <c r="W42" s="55"/>
      <c r="X42" s="51"/>
      <c r="Y42" s="67"/>
      <c r="Z42" s="68"/>
    </row>
    <row r="43" spans="1:26" s="11" customFormat="1" x14ac:dyDescent="0.2">
      <c r="A43" s="9">
        <v>20</v>
      </c>
      <c r="B43" s="9"/>
      <c r="C43" s="9"/>
      <c r="D43" s="9" t="s">
        <v>106</v>
      </c>
      <c r="E43" s="49" t="s">
        <v>54</v>
      </c>
      <c r="F43" s="49"/>
      <c r="G43" s="50" t="s">
        <v>487</v>
      </c>
      <c r="H43" s="50" t="s">
        <v>348</v>
      </c>
      <c r="I43" s="9" t="s">
        <v>275</v>
      </c>
      <c r="J43" s="9"/>
      <c r="K43" s="9"/>
      <c r="L43" s="9"/>
      <c r="M43" s="9"/>
      <c r="N43" s="9"/>
      <c r="O43" s="9" t="s">
        <v>275</v>
      </c>
      <c r="P43" s="9"/>
      <c r="Q43" s="9" t="s">
        <v>275</v>
      </c>
      <c r="R43" s="9"/>
      <c r="S43" s="9"/>
      <c r="T43" s="9"/>
      <c r="U43" s="9"/>
      <c r="V43" s="9"/>
      <c r="W43" s="55"/>
      <c r="X43" s="51"/>
      <c r="Y43" s="142"/>
      <c r="Z43" s="144"/>
    </row>
    <row r="44" spans="1:26" s="11" customFormat="1" x14ac:dyDescent="0.2">
      <c r="A44" s="9">
        <v>20</v>
      </c>
      <c r="B44" s="9"/>
      <c r="C44" s="9"/>
      <c r="D44" s="9" t="s">
        <v>107</v>
      </c>
      <c r="E44" s="49" t="s">
        <v>54</v>
      </c>
      <c r="F44" s="49"/>
      <c r="G44" s="50" t="s">
        <v>488</v>
      </c>
      <c r="H44" s="50" t="s">
        <v>349</v>
      </c>
      <c r="I44" s="9" t="s">
        <v>275</v>
      </c>
      <c r="J44" s="9"/>
      <c r="K44" s="9"/>
      <c r="L44" s="9"/>
      <c r="M44" s="9"/>
      <c r="N44" s="9"/>
      <c r="O44" s="9" t="s">
        <v>275</v>
      </c>
      <c r="P44" s="9"/>
      <c r="Q44" s="9" t="s">
        <v>275</v>
      </c>
      <c r="R44" s="9"/>
      <c r="S44" s="9"/>
      <c r="T44" s="9"/>
      <c r="U44" s="9"/>
      <c r="V44" s="9"/>
      <c r="W44" s="55"/>
      <c r="X44" s="51"/>
      <c r="Y44" s="142"/>
      <c r="Z44" s="144"/>
    </row>
    <row r="45" spans="1:26" s="11" customFormat="1" x14ac:dyDescent="0.2">
      <c r="A45" s="9">
        <v>20</v>
      </c>
      <c r="B45" s="9"/>
      <c r="C45" s="9"/>
      <c r="D45" s="9" t="s">
        <v>108</v>
      </c>
      <c r="E45" s="49" t="s">
        <v>54</v>
      </c>
      <c r="F45" s="49"/>
      <c r="G45" s="50" t="s">
        <v>489</v>
      </c>
      <c r="H45" s="50" t="s">
        <v>350</v>
      </c>
      <c r="I45" s="9" t="s">
        <v>275</v>
      </c>
      <c r="J45" s="9"/>
      <c r="K45" s="9"/>
      <c r="L45" s="9"/>
      <c r="M45" s="9"/>
      <c r="N45" s="9"/>
      <c r="O45" s="9" t="s">
        <v>275</v>
      </c>
      <c r="P45" s="9"/>
      <c r="Q45" s="9" t="s">
        <v>275</v>
      </c>
      <c r="R45" s="9"/>
      <c r="S45" s="9"/>
      <c r="T45" s="9"/>
      <c r="U45" s="9"/>
      <c r="V45" s="9"/>
      <c r="W45" s="55"/>
      <c r="X45" s="51"/>
      <c r="Y45" s="142"/>
      <c r="Z45" s="144"/>
    </row>
    <row r="46" spans="1:26" s="11" customFormat="1" x14ac:dyDescent="0.2">
      <c r="A46" s="9">
        <v>20</v>
      </c>
      <c r="B46" s="9"/>
      <c r="C46" s="9"/>
      <c r="D46" s="9" t="s">
        <v>109</v>
      </c>
      <c r="E46" s="49" t="s">
        <v>54</v>
      </c>
      <c r="F46" s="49"/>
      <c r="G46" s="50" t="s">
        <v>490</v>
      </c>
      <c r="H46" s="50" t="s">
        <v>231</v>
      </c>
      <c r="I46" s="9" t="s">
        <v>275</v>
      </c>
      <c r="J46" s="9"/>
      <c r="K46" s="9"/>
      <c r="L46" s="9"/>
      <c r="M46" s="9"/>
      <c r="N46" s="9"/>
      <c r="O46" s="9" t="s">
        <v>275</v>
      </c>
      <c r="P46" s="9"/>
      <c r="Q46" s="9" t="s">
        <v>275</v>
      </c>
      <c r="R46" s="9"/>
      <c r="S46" s="9"/>
      <c r="T46" s="9"/>
      <c r="U46" s="9"/>
      <c r="V46" s="9"/>
      <c r="W46" s="55"/>
      <c r="X46" s="51"/>
      <c r="Y46" s="67"/>
      <c r="Z46" s="69"/>
    </row>
    <row r="47" spans="1:26" s="11" customFormat="1" x14ac:dyDescent="0.2">
      <c r="A47" s="9">
        <v>20</v>
      </c>
      <c r="B47" s="9"/>
      <c r="C47" s="9"/>
      <c r="D47" s="9" t="s">
        <v>110</v>
      </c>
      <c r="E47" s="49" t="s">
        <v>54</v>
      </c>
      <c r="F47" s="49"/>
      <c r="G47" s="50" t="s">
        <v>491</v>
      </c>
      <c r="H47" s="50" t="s">
        <v>351</v>
      </c>
      <c r="I47" s="9" t="s">
        <v>275</v>
      </c>
      <c r="J47" s="9"/>
      <c r="K47" s="9"/>
      <c r="L47" s="9"/>
      <c r="M47" s="9"/>
      <c r="N47" s="9"/>
      <c r="O47" s="9" t="s">
        <v>275</v>
      </c>
      <c r="P47" s="9"/>
      <c r="Q47" s="9" t="s">
        <v>275</v>
      </c>
      <c r="R47" s="9"/>
      <c r="S47" s="9"/>
      <c r="T47" s="9"/>
      <c r="U47" s="9"/>
      <c r="V47" s="9"/>
      <c r="W47" s="55"/>
      <c r="X47" s="51"/>
      <c r="Y47" s="67"/>
      <c r="Z47" s="69"/>
    </row>
    <row r="48" spans="1:26" s="11" customFormat="1" x14ac:dyDescent="0.2">
      <c r="A48" s="9">
        <v>20</v>
      </c>
      <c r="B48" s="9"/>
      <c r="C48" s="9"/>
      <c r="D48" s="9" t="s">
        <v>111</v>
      </c>
      <c r="E48" s="49" t="s">
        <v>54</v>
      </c>
      <c r="F48" s="49"/>
      <c r="G48" s="50" t="s">
        <v>492</v>
      </c>
      <c r="H48" s="50" t="s">
        <v>352</v>
      </c>
      <c r="I48" s="9" t="s">
        <v>275</v>
      </c>
      <c r="J48" s="9"/>
      <c r="K48" s="9"/>
      <c r="L48" s="9"/>
      <c r="M48" s="9"/>
      <c r="N48" s="9"/>
      <c r="O48" s="9" t="s">
        <v>275</v>
      </c>
      <c r="P48" s="9"/>
      <c r="Q48" s="9" t="s">
        <v>275</v>
      </c>
      <c r="R48" s="9"/>
      <c r="S48" s="9"/>
      <c r="T48" s="9"/>
      <c r="U48" s="9"/>
      <c r="V48" s="9"/>
      <c r="W48" s="55"/>
      <c r="X48" s="51"/>
      <c r="Y48" s="67"/>
      <c r="Z48" s="69"/>
    </row>
    <row r="49" spans="1:26" s="11" customFormat="1" x14ac:dyDescent="0.2">
      <c r="A49" s="9">
        <v>20</v>
      </c>
      <c r="B49" s="9"/>
      <c r="C49" s="9"/>
      <c r="D49" s="9" t="s">
        <v>112</v>
      </c>
      <c r="E49" s="49" t="s">
        <v>54</v>
      </c>
      <c r="F49" s="49"/>
      <c r="G49" s="50" t="s">
        <v>493</v>
      </c>
      <c r="H49" s="50" t="s">
        <v>353</v>
      </c>
      <c r="I49" s="9" t="s">
        <v>275</v>
      </c>
      <c r="J49" s="9"/>
      <c r="K49" s="9"/>
      <c r="L49" s="9"/>
      <c r="M49" s="9"/>
      <c r="N49" s="9"/>
      <c r="O49" s="9" t="s">
        <v>275</v>
      </c>
      <c r="P49" s="9"/>
      <c r="Q49" s="9" t="s">
        <v>275</v>
      </c>
      <c r="R49" s="9"/>
      <c r="S49" s="9"/>
      <c r="T49" s="9"/>
      <c r="U49" s="9"/>
      <c r="V49" s="9"/>
      <c r="W49" s="55"/>
      <c r="X49" s="51"/>
      <c r="Y49" s="67"/>
      <c r="Z49" s="69"/>
    </row>
    <row r="50" spans="1:26" s="11" customFormat="1" x14ac:dyDescent="0.2">
      <c r="A50" s="9">
        <v>20</v>
      </c>
      <c r="B50" s="9"/>
      <c r="C50" s="9"/>
      <c r="D50" s="9" t="s">
        <v>228</v>
      </c>
      <c r="E50" s="49" t="s">
        <v>54</v>
      </c>
      <c r="F50" s="49"/>
      <c r="G50" s="50" t="s">
        <v>494</v>
      </c>
      <c r="H50" s="50" t="s">
        <v>354</v>
      </c>
      <c r="I50" s="9" t="s">
        <v>275</v>
      </c>
      <c r="J50" s="9"/>
      <c r="K50" s="9"/>
      <c r="L50" s="9"/>
      <c r="M50" s="9"/>
      <c r="N50" s="9"/>
      <c r="O50" s="9" t="s">
        <v>275</v>
      </c>
      <c r="P50" s="9"/>
      <c r="Q50" s="9" t="s">
        <v>275</v>
      </c>
      <c r="R50" s="9"/>
      <c r="S50" s="9"/>
      <c r="T50" s="9"/>
      <c r="U50" s="9"/>
      <c r="V50" s="9"/>
      <c r="W50" s="55"/>
      <c r="X50" s="51"/>
      <c r="Y50" s="67"/>
      <c r="Z50" s="69"/>
    </row>
    <row r="51" spans="1:26" s="11" customFormat="1" x14ac:dyDescent="0.2">
      <c r="A51" s="9">
        <v>20</v>
      </c>
      <c r="B51" s="9"/>
      <c r="C51" s="9"/>
      <c r="D51" s="9" t="s">
        <v>113</v>
      </c>
      <c r="E51" s="49" t="s">
        <v>54</v>
      </c>
      <c r="F51" s="49"/>
      <c r="G51" s="50" t="s">
        <v>495</v>
      </c>
      <c r="H51" s="50" t="s">
        <v>355</v>
      </c>
      <c r="I51" s="9" t="s">
        <v>275</v>
      </c>
      <c r="J51" s="9"/>
      <c r="K51" s="9"/>
      <c r="L51" s="9"/>
      <c r="M51" s="9"/>
      <c r="N51" s="9"/>
      <c r="O51" s="9" t="s">
        <v>275</v>
      </c>
      <c r="P51" s="9"/>
      <c r="Q51" s="9" t="s">
        <v>275</v>
      </c>
      <c r="R51" s="9"/>
      <c r="S51" s="9"/>
      <c r="T51" s="9"/>
      <c r="U51" s="9"/>
      <c r="V51" s="9"/>
      <c r="W51" s="55"/>
      <c r="X51" s="51"/>
      <c r="Y51" s="67"/>
      <c r="Z51" s="69"/>
    </row>
    <row r="52" spans="1:26" s="11" customFormat="1" x14ac:dyDescent="0.2">
      <c r="A52" s="9">
        <v>20</v>
      </c>
      <c r="B52" s="9"/>
      <c r="C52" s="9"/>
      <c r="D52" s="9" t="s">
        <v>114</v>
      </c>
      <c r="E52" s="49" t="s">
        <v>54</v>
      </c>
      <c r="F52" s="49"/>
      <c r="G52" s="50" t="s">
        <v>496</v>
      </c>
      <c r="H52" s="50" t="s">
        <v>356</v>
      </c>
      <c r="I52" s="9" t="s">
        <v>275</v>
      </c>
      <c r="J52" s="9"/>
      <c r="K52" s="9"/>
      <c r="L52" s="9"/>
      <c r="M52" s="9"/>
      <c r="N52" s="9"/>
      <c r="O52" s="9" t="s">
        <v>275</v>
      </c>
      <c r="P52" s="9"/>
      <c r="Q52" s="9" t="s">
        <v>275</v>
      </c>
      <c r="R52" s="9"/>
      <c r="S52" s="9"/>
      <c r="T52" s="9"/>
      <c r="U52" s="9"/>
      <c r="V52" s="9"/>
      <c r="W52" s="55"/>
      <c r="X52" s="51"/>
      <c r="Y52" s="67"/>
      <c r="Z52" s="69"/>
    </row>
    <row r="53" spans="1:26" s="11" customFormat="1" x14ac:dyDescent="0.2">
      <c r="A53" s="9">
        <v>20</v>
      </c>
      <c r="B53" s="9"/>
      <c r="C53" s="9"/>
      <c r="D53" s="9" t="s">
        <v>233</v>
      </c>
      <c r="E53" s="49" t="s">
        <v>237</v>
      </c>
      <c r="F53" s="49"/>
      <c r="G53" s="50" t="s">
        <v>497</v>
      </c>
      <c r="H53" s="50" t="s">
        <v>316</v>
      </c>
      <c r="I53" s="9" t="s">
        <v>275</v>
      </c>
      <c r="J53" s="9"/>
      <c r="K53" s="9"/>
      <c r="L53" s="9"/>
      <c r="M53" s="9"/>
      <c r="N53" s="9"/>
      <c r="O53" s="9" t="s">
        <v>275</v>
      </c>
      <c r="P53" s="9"/>
      <c r="Q53" s="9" t="s">
        <v>275</v>
      </c>
      <c r="R53" s="9"/>
      <c r="S53" s="9"/>
      <c r="T53" s="9"/>
      <c r="U53" s="9"/>
      <c r="V53" s="9"/>
      <c r="W53" s="55"/>
      <c r="X53" s="51"/>
      <c r="Y53" s="67"/>
      <c r="Z53" s="69"/>
    </row>
    <row r="54" spans="1:26" s="11" customFormat="1" x14ac:dyDescent="0.2">
      <c r="A54" s="9">
        <v>20</v>
      </c>
      <c r="B54" s="9"/>
      <c r="C54" s="9"/>
      <c r="D54" s="9" t="s">
        <v>235</v>
      </c>
      <c r="E54" s="49" t="s">
        <v>239</v>
      </c>
      <c r="F54" s="49"/>
      <c r="G54" s="50" t="s">
        <v>498</v>
      </c>
      <c r="H54" s="50" t="s">
        <v>317</v>
      </c>
      <c r="I54" s="9" t="s">
        <v>275</v>
      </c>
      <c r="J54" s="9"/>
      <c r="K54" s="9"/>
      <c r="L54" s="9"/>
      <c r="M54" s="9"/>
      <c r="N54" s="9"/>
      <c r="O54" s="9" t="s">
        <v>275</v>
      </c>
      <c r="P54" s="9"/>
      <c r="Q54" s="9" t="s">
        <v>275</v>
      </c>
      <c r="R54" s="9"/>
      <c r="S54" s="9"/>
      <c r="T54" s="9"/>
      <c r="U54" s="9"/>
      <c r="V54" s="9"/>
      <c r="W54" s="55"/>
      <c r="X54" s="51"/>
      <c r="Y54" s="67"/>
      <c r="Z54" s="69"/>
    </row>
    <row r="55" spans="1:26" s="11" customFormat="1" x14ac:dyDescent="0.2">
      <c r="A55" s="9">
        <v>20</v>
      </c>
      <c r="B55" s="9"/>
      <c r="C55" s="9"/>
      <c r="D55" s="9" t="s">
        <v>47</v>
      </c>
      <c r="E55" s="49" t="s">
        <v>48</v>
      </c>
      <c r="F55" s="49"/>
      <c r="G55" s="50" t="s">
        <v>465</v>
      </c>
      <c r="H55" s="50" t="s">
        <v>282</v>
      </c>
      <c r="I55" s="9" t="s">
        <v>275</v>
      </c>
      <c r="J55" s="9"/>
      <c r="K55" s="9"/>
      <c r="L55" s="9"/>
      <c r="M55" s="9"/>
      <c r="N55" s="9"/>
      <c r="O55" s="9" t="s">
        <v>275</v>
      </c>
      <c r="P55" s="9"/>
      <c r="Q55" s="9" t="s">
        <v>275</v>
      </c>
      <c r="R55" s="9"/>
      <c r="S55" s="9"/>
      <c r="T55" s="9"/>
      <c r="U55" s="9"/>
      <c r="V55" s="9"/>
      <c r="W55" s="55"/>
      <c r="X55" s="51"/>
      <c r="Y55" s="67"/>
      <c r="Z55" s="69"/>
    </row>
    <row r="56" spans="1:26" s="11" customFormat="1" x14ac:dyDescent="0.2">
      <c r="A56" s="9">
        <v>20</v>
      </c>
      <c r="B56" s="9"/>
      <c r="C56" s="9"/>
      <c r="D56" s="9" t="s">
        <v>51</v>
      </c>
      <c r="E56" s="49" t="s">
        <v>52</v>
      </c>
      <c r="F56" s="49"/>
      <c r="G56" s="50" t="s">
        <v>466</v>
      </c>
      <c r="H56" s="50" t="s">
        <v>283</v>
      </c>
      <c r="I56" s="9" t="s">
        <v>275</v>
      </c>
      <c r="J56" s="9"/>
      <c r="K56" s="9"/>
      <c r="L56" s="9"/>
      <c r="M56" s="9"/>
      <c r="N56" s="9"/>
      <c r="O56" s="9" t="s">
        <v>275</v>
      </c>
      <c r="P56" s="9"/>
      <c r="Q56" s="9" t="s">
        <v>275</v>
      </c>
      <c r="R56" s="9"/>
      <c r="S56" s="9"/>
      <c r="T56" s="9"/>
      <c r="U56" s="9"/>
      <c r="V56" s="9"/>
      <c r="W56" s="55"/>
      <c r="X56" s="51"/>
      <c r="Y56" s="67"/>
      <c r="Z56" s="69"/>
    </row>
    <row r="57" spans="1:26" s="11" customFormat="1" x14ac:dyDescent="0.2">
      <c r="A57" s="9">
        <v>20</v>
      </c>
      <c r="B57" s="9"/>
      <c r="C57" s="9"/>
      <c r="D57" s="9" t="s">
        <v>49</v>
      </c>
      <c r="E57" s="49" t="s">
        <v>50</v>
      </c>
      <c r="F57" s="49"/>
      <c r="G57" s="50" t="s">
        <v>467</v>
      </c>
      <c r="H57" s="50" t="s">
        <v>284</v>
      </c>
      <c r="I57" s="9" t="s">
        <v>275</v>
      </c>
      <c r="J57" s="9"/>
      <c r="K57" s="9"/>
      <c r="L57" s="9"/>
      <c r="M57" s="9"/>
      <c r="N57" s="9"/>
      <c r="O57" s="9" t="s">
        <v>275</v>
      </c>
      <c r="P57" s="9"/>
      <c r="Q57" s="9" t="s">
        <v>275</v>
      </c>
      <c r="R57" s="9"/>
      <c r="S57" s="9"/>
      <c r="T57" s="9"/>
      <c r="U57" s="9"/>
      <c r="V57" s="9"/>
      <c r="W57" s="55"/>
      <c r="X57" s="51"/>
      <c r="Y57" s="67"/>
      <c r="Z57" s="69"/>
    </row>
    <row r="58" spans="1:26" s="11" customFormat="1" x14ac:dyDescent="0.2">
      <c r="A58" s="9">
        <v>20</v>
      </c>
      <c r="B58" s="9"/>
      <c r="C58" s="9"/>
      <c r="D58" s="9" t="s">
        <v>70</v>
      </c>
      <c r="E58" s="49" t="s">
        <v>55</v>
      </c>
      <c r="F58" s="49"/>
      <c r="G58" s="50" t="s">
        <v>499</v>
      </c>
      <c r="H58" s="50" t="s">
        <v>318</v>
      </c>
      <c r="I58" s="9" t="s">
        <v>275</v>
      </c>
      <c r="J58" s="9"/>
      <c r="K58" s="9"/>
      <c r="L58" s="9"/>
      <c r="M58" s="9"/>
      <c r="N58" s="9"/>
      <c r="O58" s="9" t="s">
        <v>275</v>
      </c>
      <c r="P58" s="9"/>
      <c r="Q58" s="9" t="s">
        <v>275</v>
      </c>
      <c r="R58" s="9"/>
      <c r="S58" s="9"/>
      <c r="T58" s="9"/>
      <c r="U58" s="9"/>
      <c r="V58" s="9"/>
      <c r="W58" s="55"/>
      <c r="X58" s="51"/>
      <c r="Y58" s="67"/>
      <c r="Z58" s="69"/>
    </row>
    <row r="59" spans="1:26" s="11" customFormat="1" x14ac:dyDescent="0.2">
      <c r="A59" s="9">
        <v>20</v>
      </c>
      <c r="B59" s="9"/>
      <c r="C59" s="9"/>
      <c r="D59" s="9" t="s">
        <v>331</v>
      </c>
      <c r="E59" s="49" t="s">
        <v>332</v>
      </c>
      <c r="F59" s="49"/>
      <c r="G59" s="50" t="s">
        <v>468</v>
      </c>
      <c r="H59" s="50" t="s">
        <v>285</v>
      </c>
      <c r="I59" s="9" t="s">
        <v>275</v>
      </c>
      <c r="J59" s="9"/>
      <c r="K59" s="9"/>
      <c r="L59" s="9"/>
      <c r="M59" s="9"/>
      <c r="N59" s="9"/>
      <c r="O59" s="9" t="s">
        <v>275</v>
      </c>
      <c r="P59" s="9"/>
      <c r="Q59" s="9" t="s">
        <v>275</v>
      </c>
      <c r="R59" s="9"/>
      <c r="S59" s="9"/>
      <c r="T59" s="9"/>
      <c r="U59" s="9"/>
      <c r="V59" s="9"/>
      <c r="W59" s="55"/>
      <c r="X59" s="51"/>
      <c r="Y59" s="142"/>
      <c r="Z59" s="144"/>
    </row>
    <row r="60" spans="1:26" s="11" customFormat="1" x14ac:dyDescent="0.2">
      <c r="A60" s="9">
        <v>20</v>
      </c>
      <c r="B60" s="9"/>
      <c r="C60" s="9"/>
      <c r="D60" s="9" t="s">
        <v>223</v>
      </c>
      <c r="E60" s="49" t="s">
        <v>55</v>
      </c>
      <c r="F60" s="49"/>
      <c r="G60" s="50" t="s">
        <v>535</v>
      </c>
      <c r="H60" s="50" t="s">
        <v>382</v>
      </c>
      <c r="I60" s="9" t="s">
        <v>275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55"/>
      <c r="X60" s="51"/>
      <c r="Y60" s="142"/>
      <c r="Z60" s="144"/>
    </row>
    <row r="61" spans="1:26" s="11" customFormat="1" x14ac:dyDescent="0.2">
      <c r="A61" s="74"/>
      <c r="Z61" s="54"/>
    </row>
    <row r="62" spans="1:26" s="11" customFormat="1" x14ac:dyDescent="0.2">
      <c r="A62" s="9">
        <v>30</v>
      </c>
      <c r="B62" s="37" t="s">
        <v>0</v>
      </c>
      <c r="C62" s="38"/>
      <c r="D62" s="28" t="s">
        <v>150</v>
      </c>
      <c r="E62" s="34" t="s">
        <v>21</v>
      </c>
      <c r="F62" s="56"/>
      <c r="G62" s="28" t="s">
        <v>76</v>
      </c>
      <c r="H62" s="45" t="s">
        <v>383</v>
      </c>
      <c r="I62" s="57"/>
      <c r="J62" s="58"/>
      <c r="K62" s="48"/>
      <c r="L62" s="48"/>
      <c r="M62" s="48"/>
      <c r="N62" s="48"/>
      <c r="O62" s="48"/>
      <c r="P62" s="48"/>
      <c r="Q62" s="48"/>
      <c r="R62" s="48"/>
      <c r="S62" s="48" t="s">
        <v>384</v>
      </c>
      <c r="T62" s="48"/>
      <c r="U62" s="48" t="s">
        <v>385</v>
      </c>
      <c r="V62" s="48"/>
      <c r="W62" s="35"/>
      <c r="X62" s="36"/>
      <c r="Y62" s="67"/>
      <c r="Z62" s="69"/>
    </row>
    <row r="63" spans="1:26" s="11" customFormat="1" x14ac:dyDescent="0.2">
      <c r="A63" s="9">
        <v>30</v>
      </c>
      <c r="B63" s="9"/>
      <c r="C63" s="9"/>
      <c r="D63" s="9" t="s">
        <v>151</v>
      </c>
      <c r="E63" s="49" t="s">
        <v>115</v>
      </c>
      <c r="F63" s="49"/>
      <c r="G63" s="50" t="s">
        <v>508</v>
      </c>
      <c r="H63" s="50" t="s">
        <v>334</v>
      </c>
      <c r="I63" s="9" t="s">
        <v>275</v>
      </c>
      <c r="J63" s="9"/>
      <c r="K63" s="9"/>
      <c r="L63" s="9"/>
      <c r="M63" s="9"/>
      <c r="N63" s="9"/>
      <c r="O63" s="9"/>
      <c r="P63" s="9"/>
      <c r="Q63" s="9"/>
      <c r="R63" s="9"/>
      <c r="S63" s="9" t="s">
        <v>275</v>
      </c>
      <c r="T63" s="9"/>
      <c r="U63" s="9" t="s">
        <v>275</v>
      </c>
      <c r="V63" s="9"/>
      <c r="W63" s="55"/>
      <c r="X63" s="51"/>
      <c r="Y63" s="142"/>
      <c r="Z63" s="144"/>
    </row>
    <row r="64" spans="1:26" s="11" customFormat="1" x14ac:dyDescent="0.2">
      <c r="A64" s="9">
        <v>30</v>
      </c>
      <c r="B64" s="9"/>
      <c r="C64" s="9"/>
      <c r="D64" s="9" t="s">
        <v>218</v>
      </c>
      <c r="E64" s="49" t="s">
        <v>115</v>
      </c>
      <c r="F64" s="49"/>
      <c r="G64" s="50" t="s">
        <v>509</v>
      </c>
      <c r="H64" s="50" t="s">
        <v>335</v>
      </c>
      <c r="I64" s="9" t="s">
        <v>275</v>
      </c>
      <c r="J64" s="9"/>
      <c r="K64" s="9"/>
      <c r="L64" s="9"/>
      <c r="M64" s="9"/>
      <c r="N64" s="9"/>
      <c r="O64" s="9"/>
      <c r="P64" s="9"/>
      <c r="Q64" s="9"/>
      <c r="R64" s="9"/>
      <c r="S64" s="9" t="s">
        <v>275</v>
      </c>
      <c r="T64" s="9"/>
      <c r="U64" s="9" t="s">
        <v>275</v>
      </c>
      <c r="V64" s="9"/>
      <c r="W64" s="55"/>
      <c r="X64" s="51"/>
      <c r="Y64" s="142"/>
      <c r="Z64" s="144"/>
    </row>
    <row r="65" spans="1:26" s="11" customFormat="1" x14ac:dyDescent="0.2">
      <c r="A65" s="9">
        <v>30</v>
      </c>
      <c r="B65" s="9"/>
      <c r="C65" s="9"/>
      <c r="D65" s="9" t="s">
        <v>152</v>
      </c>
      <c r="E65" s="49" t="s">
        <v>133</v>
      </c>
      <c r="F65" s="49"/>
      <c r="G65" s="50" t="s">
        <v>461</v>
      </c>
      <c r="H65" s="50" t="s">
        <v>274</v>
      </c>
      <c r="I65" s="9" t="s">
        <v>275</v>
      </c>
      <c r="J65" s="9"/>
      <c r="K65" s="9"/>
      <c r="L65" s="9"/>
      <c r="M65" s="9"/>
      <c r="N65" s="9"/>
      <c r="O65" s="9"/>
      <c r="P65" s="9"/>
      <c r="Q65" s="9"/>
      <c r="R65" s="9"/>
      <c r="S65" s="9" t="s">
        <v>275</v>
      </c>
      <c r="T65" s="9"/>
      <c r="U65" s="9" t="s">
        <v>275</v>
      </c>
      <c r="V65" s="9"/>
      <c r="W65" s="55"/>
      <c r="X65" s="51"/>
      <c r="Y65" s="67"/>
      <c r="Z65" s="68"/>
    </row>
    <row r="66" spans="1:26" s="11" customFormat="1" ht="26" x14ac:dyDescent="0.2">
      <c r="A66" s="9">
        <v>30</v>
      </c>
      <c r="B66" s="9"/>
      <c r="C66" s="9"/>
      <c r="D66" s="9" t="s">
        <v>213</v>
      </c>
      <c r="E66" s="49" t="s">
        <v>133</v>
      </c>
      <c r="F66" s="49"/>
      <c r="G66" s="50" t="s">
        <v>462</v>
      </c>
      <c r="H66" s="50" t="s">
        <v>278</v>
      </c>
      <c r="I66" s="9" t="s">
        <v>275</v>
      </c>
      <c r="J66" s="9"/>
      <c r="K66" s="9"/>
      <c r="L66" s="9"/>
      <c r="M66" s="9"/>
      <c r="N66" s="9"/>
      <c r="O66" s="9"/>
      <c r="P66" s="9"/>
      <c r="Q66" s="9"/>
      <c r="R66" s="9"/>
      <c r="S66" s="9" t="s">
        <v>275</v>
      </c>
      <c r="T66" s="9"/>
      <c r="U66" s="9" t="s">
        <v>275</v>
      </c>
      <c r="V66" s="9"/>
      <c r="W66" s="55"/>
      <c r="X66" s="51"/>
      <c r="Y66" s="67"/>
      <c r="Z66" s="68"/>
    </row>
    <row r="67" spans="1:26" s="11" customFormat="1" x14ac:dyDescent="0.2">
      <c r="A67" s="9">
        <v>30</v>
      </c>
      <c r="B67" s="9"/>
      <c r="C67" s="9"/>
      <c r="D67" s="9" t="s">
        <v>153</v>
      </c>
      <c r="E67" s="49" t="s">
        <v>133</v>
      </c>
      <c r="F67" s="49"/>
      <c r="G67" s="50" t="s">
        <v>463</v>
      </c>
      <c r="H67" s="50" t="s">
        <v>279</v>
      </c>
      <c r="I67" s="9" t="s">
        <v>275</v>
      </c>
      <c r="J67" s="9"/>
      <c r="K67" s="9"/>
      <c r="L67" s="9"/>
      <c r="M67" s="9"/>
      <c r="N67" s="9"/>
      <c r="O67" s="9"/>
      <c r="P67" s="9"/>
      <c r="Q67" s="9"/>
      <c r="R67" s="9"/>
      <c r="S67" s="9" t="s">
        <v>275</v>
      </c>
      <c r="T67" s="9"/>
      <c r="U67" s="9" t="s">
        <v>275</v>
      </c>
      <c r="V67" s="9"/>
      <c r="W67" s="55"/>
      <c r="X67" s="51"/>
      <c r="Y67" s="67"/>
      <c r="Z67" s="68"/>
    </row>
    <row r="68" spans="1:26" s="11" customFormat="1" x14ac:dyDescent="0.2">
      <c r="A68" s="9">
        <v>30</v>
      </c>
      <c r="B68" s="9"/>
      <c r="C68" s="9"/>
      <c r="D68" s="9" t="s">
        <v>154</v>
      </c>
      <c r="E68" s="49" t="s">
        <v>115</v>
      </c>
      <c r="F68" s="49"/>
      <c r="G68" s="50" t="s">
        <v>474</v>
      </c>
      <c r="H68" s="50" t="s">
        <v>295</v>
      </c>
      <c r="I68" s="9" t="s">
        <v>275</v>
      </c>
      <c r="J68" s="9"/>
      <c r="K68" s="9"/>
      <c r="L68" s="9"/>
      <c r="M68" s="9"/>
      <c r="N68" s="9"/>
      <c r="O68" s="9"/>
      <c r="P68" s="9"/>
      <c r="Q68" s="9"/>
      <c r="R68" s="9"/>
      <c r="S68" s="9" t="s">
        <v>275</v>
      </c>
      <c r="T68" s="9"/>
      <c r="U68" s="9" t="s">
        <v>275</v>
      </c>
      <c r="V68" s="9"/>
      <c r="W68" s="55"/>
      <c r="X68" s="51"/>
      <c r="Y68" s="67"/>
      <c r="Z68" s="68"/>
    </row>
    <row r="69" spans="1:26" s="11" customFormat="1" x14ac:dyDescent="0.2">
      <c r="A69" s="9">
        <v>30</v>
      </c>
      <c r="B69" s="9"/>
      <c r="C69" s="9"/>
      <c r="D69" s="9" t="s">
        <v>331</v>
      </c>
      <c r="E69" s="49" t="s">
        <v>332</v>
      </c>
      <c r="F69" s="49"/>
      <c r="G69" s="50" t="s">
        <v>468</v>
      </c>
      <c r="H69" s="50" t="s">
        <v>285</v>
      </c>
      <c r="I69" s="9" t="s">
        <v>275</v>
      </c>
      <c r="J69" s="9"/>
      <c r="K69" s="9"/>
      <c r="L69" s="9"/>
      <c r="M69" s="9"/>
      <c r="N69" s="9"/>
      <c r="O69" s="9"/>
      <c r="P69" s="9"/>
      <c r="Q69" s="9"/>
      <c r="R69" s="9"/>
      <c r="S69" s="9" t="s">
        <v>275</v>
      </c>
      <c r="T69" s="9"/>
      <c r="U69" s="9" t="s">
        <v>275</v>
      </c>
      <c r="V69" s="9"/>
      <c r="W69" s="55"/>
      <c r="X69" s="51"/>
      <c r="Y69" s="142"/>
      <c r="Z69" s="144"/>
    </row>
    <row r="70" spans="1:26" s="11" customFormat="1" x14ac:dyDescent="0.2">
      <c r="A70" s="52"/>
      <c r="B70" s="53"/>
      <c r="C70" s="53"/>
      <c r="D70" s="27" t="s">
        <v>1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4"/>
      <c r="X70" s="4"/>
      <c r="Y70" s="6"/>
      <c r="Z70" s="23"/>
    </row>
    <row r="71" spans="1:26" s="11" customFormat="1" x14ac:dyDescent="0.2">
      <c r="A71" s="74"/>
      <c r="Z71" s="54"/>
    </row>
    <row r="72" spans="1:26" s="11" customFormat="1" x14ac:dyDescent="0.2">
      <c r="A72" s="74"/>
      <c r="Z72" s="54"/>
    </row>
    <row r="73" spans="1:26" s="11" customFormat="1" x14ac:dyDescent="0.2">
      <c r="A73" s="74"/>
      <c r="Z73" s="54"/>
    </row>
    <row r="74" spans="1:26" s="11" customFormat="1" x14ac:dyDescent="0.2">
      <c r="A74" s="7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20"/>
    </row>
  </sheetData>
  <dataConsolidate/>
  <mergeCells count="14">
    <mergeCell ref="Y69:Z69"/>
    <mergeCell ref="Y63:Z63"/>
    <mergeCell ref="Y59:Z59"/>
    <mergeCell ref="Y12:Z12"/>
    <mergeCell ref="Y35:Z35"/>
    <mergeCell ref="Y43:Z43"/>
    <mergeCell ref="Y44:Z44"/>
    <mergeCell ref="Y45:Z45"/>
    <mergeCell ref="Y34:Z34"/>
    <mergeCell ref="Y22:Z22"/>
    <mergeCell ref="Y13:Z13"/>
    <mergeCell ref="Y23:Z23"/>
    <mergeCell ref="Y64:Z64"/>
    <mergeCell ref="Y60:Z6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>
    <pageSetUpPr fitToPage="1"/>
  </sheetPr>
  <dimension ref="A1:R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0.36328125" style="29" customWidth="1"/>
    <col min="12" max="12" width="36.08984375" style="29" bestFit="1" customWidth="1"/>
    <col min="13" max="13" width="10.36328125" style="29" customWidth="1"/>
    <col min="14" max="14" width="50.6328125" style="29" customWidth="1"/>
    <col min="15" max="15" width="30.81640625" style="29" customWidth="1"/>
    <col min="16" max="16" width="19.6328125" style="29" customWidth="1"/>
    <col min="17" max="17" width="15.81640625" style="27" customWidth="1"/>
    <col min="18" max="18" width="19.6328125" style="27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0" t="s">
        <v>165</v>
      </c>
      <c r="B1" s="70" t="s">
        <v>165</v>
      </c>
      <c r="C1" s="7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1" t="s">
        <v>165</v>
      </c>
      <c r="B2" s="72"/>
      <c r="C2" s="72"/>
      <c r="D2" s="82" t="s">
        <v>447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MABCL0280</v>
      </c>
      <c r="I2" s="7" t="s">
        <v>190</v>
      </c>
      <c r="J2" s="9" t="s">
        <v>65</v>
      </c>
      <c r="K2" s="7" t="s">
        <v>30</v>
      </c>
      <c r="L2" s="73" t="str">
        <f>IF(LogicCommon!G2="","",LogicCommon!G2)</f>
        <v>MC</v>
      </c>
      <c r="M2" s="5" t="s">
        <v>166</v>
      </c>
      <c r="N2" s="28" t="s">
        <v>411</v>
      </c>
      <c r="O2" s="7"/>
      <c r="P2" s="7"/>
      <c r="Q2" s="4"/>
      <c r="R2" s="27"/>
    </row>
    <row r="3" spans="1:18" s="11" customFormat="1" x14ac:dyDescent="0.2">
      <c r="A3" s="74" t="s">
        <v>165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MABCL_DptReg</v>
      </c>
      <c r="I3" s="7" t="s">
        <v>31</v>
      </c>
      <c r="J3" s="9" t="s">
        <v>32</v>
      </c>
      <c r="K3" s="7" t="s">
        <v>45</v>
      </c>
      <c r="L3" s="73" t="str">
        <f>IF(LogicCommon!G3="","",LogicCommon!G3)</f>
        <v/>
      </c>
      <c r="M3" s="77" t="s">
        <v>33</v>
      </c>
      <c r="N3" s="7"/>
      <c r="O3" s="7" t="s">
        <v>169</v>
      </c>
      <c r="P3" s="9" t="s">
        <v>197</v>
      </c>
      <c r="Q3" s="4"/>
      <c r="R3" s="27"/>
    </row>
    <row r="4" spans="1:18" s="11" customFormat="1" x14ac:dyDescent="0.2">
      <c r="A4" s="74" t="s">
        <v>165</v>
      </c>
      <c r="B4" s="75"/>
      <c r="C4" s="75"/>
      <c r="D4" s="4"/>
      <c r="E4" s="7" t="s">
        <v>8</v>
      </c>
      <c r="F4" s="10" t="s">
        <v>386</v>
      </c>
      <c r="G4" s="7" t="s">
        <v>11</v>
      </c>
      <c r="H4" s="73" t="str">
        <f>IF(LogicCommon!E4="","",LogicCommon!E4)</f>
        <v>部門マスタ登録</v>
      </c>
      <c r="I4" s="7" t="s">
        <v>170</v>
      </c>
      <c r="J4" s="9" t="s">
        <v>66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165</v>
      </c>
      <c r="B5" s="70"/>
      <c r="C5" s="70"/>
      <c r="D5" s="26"/>
      <c r="E5" s="7" t="s">
        <v>22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4" t="s">
        <v>165</v>
      </c>
      <c r="B6" s="75"/>
      <c r="C6" s="75"/>
      <c r="D6" s="4" t="s">
        <v>6</v>
      </c>
      <c r="E6" s="16" t="s">
        <v>270</v>
      </c>
      <c r="F6" s="16"/>
      <c r="G6" s="16"/>
      <c r="H6" s="16"/>
      <c r="I6" s="16"/>
      <c r="J6" s="16"/>
      <c r="K6" s="16"/>
      <c r="L6" s="81" t="s">
        <v>272</v>
      </c>
      <c r="M6" s="19"/>
      <c r="N6" s="19" t="s">
        <v>272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81</v>
      </c>
      <c r="M7" s="33" t="s">
        <v>38</v>
      </c>
      <c r="N7" s="32" t="s">
        <v>82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5"/>
      <c r="C8" s="86"/>
      <c r="D8" s="83" t="s">
        <v>448</v>
      </c>
      <c r="E8" s="83" t="s">
        <v>449</v>
      </c>
      <c r="F8" s="81"/>
      <c r="G8" s="83" t="s">
        <v>286</v>
      </c>
      <c r="H8" s="83" t="s">
        <v>450</v>
      </c>
      <c r="I8" s="81"/>
      <c r="J8" s="3"/>
      <c r="K8" s="33" t="s">
        <v>16</v>
      </c>
      <c r="L8" s="9" t="s">
        <v>403</v>
      </c>
      <c r="M8" s="33" t="s">
        <v>16</v>
      </c>
      <c r="N8" s="9" t="s">
        <v>405</v>
      </c>
      <c r="O8" s="87"/>
      <c r="P8" s="88"/>
      <c r="Q8" s="89" t="s">
        <v>451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3" t="s">
        <v>452</v>
      </c>
      <c r="E9" s="90" t="s">
        <v>453</v>
      </c>
      <c r="F9" s="83" t="s">
        <v>454</v>
      </c>
      <c r="G9" s="83" t="s">
        <v>455</v>
      </c>
      <c r="H9" s="83" t="s">
        <v>456</v>
      </c>
      <c r="I9" s="91" t="s">
        <v>457</v>
      </c>
      <c r="J9" s="83" t="s">
        <v>458</v>
      </c>
      <c r="K9" s="33"/>
      <c r="L9" s="33"/>
      <c r="M9" s="33"/>
      <c r="N9" s="33"/>
      <c r="O9" s="89" t="s">
        <v>459</v>
      </c>
      <c r="P9" s="51"/>
      <c r="Q9" s="89" t="s">
        <v>460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457</v>
      </c>
      <c r="L10" s="84" t="s">
        <v>458</v>
      </c>
      <c r="M10" s="84" t="s">
        <v>457</v>
      </c>
      <c r="N10" s="84" t="s">
        <v>458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164</v>
      </c>
      <c r="E11" s="34" t="s">
        <v>21</v>
      </c>
      <c r="F11" s="44"/>
      <c r="G11" s="28" t="s">
        <v>76</v>
      </c>
      <c r="H11" s="45" t="s">
        <v>404</v>
      </c>
      <c r="I11" s="46"/>
      <c r="J11" s="47"/>
      <c r="K11" s="48" t="s">
        <v>398</v>
      </c>
      <c r="L11" s="48"/>
      <c r="M11" s="48" t="s">
        <v>402</v>
      </c>
      <c r="N11" s="48"/>
      <c r="O11" s="35"/>
      <c r="P11" s="36"/>
      <c r="Q11" s="67"/>
      <c r="R11" s="69"/>
    </row>
    <row r="12" spans="1:18" s="11" customFormat="1" x14ac:dyDescent="0.2">
      <c r="A12" s="9">
        <v>10</v>
      </c>
      <c r="B12" s="9"/>
      <c r="C12" s="9"/>
      <c r="D12" s="9" t="s">
        <v>85</v>
      </c>
      <c r="E12" s="49" t="s">
        <v>115</v>
      </c>
      <c r="F12" s="49"/>
      <c r="G12" s="50" t="s">
        <v>469</v>
      </c>
      <c r="H12" s="50" t="s">
        <v>290</v>
      </c>
      <c r="I12" s="9" t="s">
        <v>275</v>
      </c>
      <c r="J12" s="9"/>
      <c r="K12" s="9" t="s">
        <v>276</v>
      </c>
      <c r="L12" s="9"/>
      <c r="M12" s="9" t="s">
        <v>275</v>
      </c>
      <c r="N12" s="9"/>
      <c r="O12" s="43"/>
      <c r="P12" s="36"/>
      <c r="Q12" s="67"/>
      <c r="R12" s="69"/>
    </row>
    <row r="13" spans="1:18" s="11" customFormat="1" x14ac:dyDescent="0.2">
      <c r="A13" s="9">
        <v>10</v>
      </c>
      <c r="B13" s="9"/>
      <c r="C13" s="9"/>
      <c r="D13" s="9" t="s">
        <v>83</v>
      </c>
      <c r="E13" s="49" t="s">
        <v>139</v>
      </c>
      <c r="F13" s="49"/>
      <c r="G13" s="50" t="s">
        <v>461</v>
      </c>
      <c r="H13" s="50" t="s">
        <v>274</v>
      </c>
      <c r="I13" s="9" t="s">
        <v>275</v>
      </c>
      <c r="J13" s="9"/>
      <c r="K13" s="9" t="s">
        <v>275</v>
      </c>
      <c r="L13" s="9"/>
      <c r="M13" s="9" t="s">
        <v>275</v>
      </c>
      <c r="N13" s="9"/>
      <c r="O13" s="41"/>
      <c r="P13" s="51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331</v>
      </c>
      <c r="E14" s="49" t="s">
        <v>332</v>
      </c>
      <c r="F14" s="49"/>
      <c r="G14" s="50" t="s">
        <v>468</v>
      </c>
      <c r="H14" s="50" t="s">
        <v>285</v>
      </c>
      <c r="I14" s="9" t="s">
        <v>275</v>
      </c>
      <c r="J14" s="9"/>
      <c r="K14" s="9" t="s">
        <v>275</v>
      </c>
      <c r="L14" s="9"/>
      <c r="M14" s="9" t="s">
        <v>275</v>
      </c>
      <c r="N14" s="9"/>
      <c r="O14" s="41"/>
      <c r="P14" s="51"/>
      <c r="Q14" s="142"/>
      <c r="R14" s="143"/>
    </row>
    <row r="15" spans="1:18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4"/>
      <c r="R16" s="54"/>
    </row>
    <row r="17" spans="1:18" s="11" customFormat="1" x14ac:dyDescent="0.2">
      <c r="A17" s="74"/>
      <c r="R17" s="54"/>
    </row>
    <row r="18" spans="1:18" s="11" customFormat="1" x14ac:dyDescent="0.2">
      <c r="A18" s="74"/>
      <c r="R18" s="54"/>
    </row>
    <row r="19" spans="1:18" s="11" customFormat="1" x14ac:dyDescent="0.2">
      <c r="A19" s="74"/>
      <c r="R19" s="54"/>
    </row>
    <row r="20" spans="1:18" s="11" customFormat="1" x14ac:dyDescent="0.2">
      <c r="A20" s="74"/>
      <c r="R20" s="54"/>
    </row>
    <row r="21" spans="1:18" s="11" customFormat="1" x14ac:dyDescent="0.2">
      <c r="A21" s="74"/>
      <c r="R21" s="54"/>
    </row>
    <row r="22" spans="1:18" s="11" customFormat="1" x14ac:dyDescent="0.2">
      <c r="A22" s="74"/>
      <c r="R22" s="54"/>
    </row>
    <row r="23" spans="1:18" s="11" customFormat="1" x14ac:dyDescent="0.2">
      <c r="A23" s="74"/>
      <c r="R23" s="54"/>
    </row>
    <row r="24" spans="1:18" s="11" customFormat="1" x14ac:dyDescent="0.2">
      <c r="A24" s="74"/>
      <c r="R24" s="54"/>
    </row>
    <row r="25" spans="1:18" s="11" customFormat="1" x14ac:dyDescent="0.2">
      <c r="A25" s="74"/>
      <c r="R25" s="54"/>
    </row>
    <row r="26" spans="1:18" s="11" customFormat="1" x14ac:dyDescent="0.2">
      <c r="A26" s="7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</sheetData>
  <dataConsolidate/>
  <mergeCells count="2">
    <mergeCell ref="Q14:R14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3" customWidth="1"/>
    <col min="43" max="44" width="2.08984375" style="65" customWidth="1"/>
    <col min="45" max="71" width="2.08984375" style="63" customWidth="1"/>
    <col min="72" max="16384" width="9" style="63"/>
  </cols>
  <sheetData>
    <row r="1" spans="1:57" ht="38.25" customHeight="1" thickBot="1" x14ac:dyDescent="0.25">
      <c r="A1" s="127" t="s">
        <v>23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9"/>
    </row>
    <row r="2" spans="1:57" ht="12" customHeight="1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 x14ac:dyDescent="0.25">
      <c r="A3" s="115" t="s">
        <v>24</v>
      </c>
      <c r="B3" s="116"/>
      <c r="C3" s="116"/>
      <c r="D3" s="116"/>
      <c r="E3" s="116"/>
      <c r="F3" s="116"/>
      <c r="G3" s="117"/>
      <c r="H3" s="130" t="s">
        <v>25</v>
      </c>
      <c r="I3" s="116"/>
      <c r="J3" s="116"/>
      <c r="K3" s="116"/>
      <c r="L3" s="116"/>
      <c r="M3" s="116"/>
      <c r="N3" s="117"/>
      <c r="O3" s="130" t="s">
        <v>26</v>
      </c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2"/>
      <c r="AQ3" s="130" t="s">
        <v>27</v>
      </c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4"/>
    </row>
    <row r="4" spans="1:57" ht="15" customHeight="1" x14ac:dyDescent="0.2">
      <c r="A4" s="118">
        <v>1</v>
      </c>
      <c r="B4" s="119"/>
      <c r="C4" s="119"/>
      <c r="D4" s="119"/>
      <c r="E4" s="119"/>
      <c r="F4" s="119"/>
      <c r="G4" s="120"/>
      <c r="H4" s="108"/>
      <c r="I4" s="109"/>
      <c r="J4" s="109"/>
      <c r="K4" s="109"/>
      <c r="L4" s="109"/>
      <c r="M4" s="109"/>
      <c r="N4" s="110"/>
      <c r="O4" s="108" t="s">
        <v>28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121">
        <v>1.1000000000000001</v>
      </c>
      <c r="B5" s="122"/>
      <c r="C5" s="122"/>
      <c r="D5" s="122"/>
      <c r="E5" s="122"/>
      <c r="F5" s="122"/>
      <c r="G5" s="123"/>
      <c r="H5" s="99"/>
      <c r="I5" s="100"/>
      <c r="J5" s="100"/>
      <c r="K5" s="100"/>
      <c r="L5" s="100"/>
      <c r="M5" s="100"/>
      <c r="N5" s="101"/>
      <c r="O5" s="102" t="s">
        <v>536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537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121"/>
      <c r="B6" s="122"/>
      <c r="C6" s="122"/>
      <c r="D6" s="122"/>
      <c r="E6" s="122"/>
      <c r="F6" s="122"/>
      <c r="G6" s="123"/>
      <c r="H6" s="99"/>
      <c r="I6" s="100"/>
      <c r="J6" s="100"/>
      <c r="K6" s="100"/>
      <c r="L6" s="100"/>
      <c r="M6" s="100"/>
      <c r="N6" s="101"/>
      <c r="O6" s="92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 x14ac:dyDescent="0.2">
      <c r="A7" s="121"/>
      <c r="B7" s="122"/>
      <c r="C7" s="122"/>
      <c r="D7" s="122"/>
      <c r="E7" s="122"/>
      <c r="F7" s="122"/>
      <c r="G7" s="123"/>
      <c r="H7" s="99"/>
      <c r="I7" s="100"/>
      <c r="J7" s="100"/>
      <c r="K7" s="100"/>
      <c r="L7" s="100"/>
      <c r="M7" s="100"/>
      <c r="N7" s="101"/>
      <c r="O7" s="92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 x14ac:dyDescent="0.2">
      <c r="A8" s="121"/>
      <c r="B8" s="122"/>
      <c r="C8" s="122"/>
      <c r="D8" s="122"/>
      <c r="E8" s="122"/>
      <c r="F8" s="122"/>
      <c r="G8" s="123"/>
      <c r="H8" s="99"/>
      <c r="I8" s="100"/>
      <c r="J8" s="100"/>
      <c r="K8" s="100"/>
      <c r="L8" s="100"/>
      <c r="M8" s="100"/>
      <c r="N8" s="101"/>
      <c r="O8" s="92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 x14ac:dyDescent="0.2">
      <c r="A9" s="121"/>
      <c r="B9" s="122"/>
      <c r="C9" s="122"/>
      <c r="D9" s="122"/>
      <c r="E9" s="122"/>
      <c r="F9" s="122"/>
      <c r="G9" s="123"/>
      <c r="H9" s="92"/>
      <c r="I9" s="93"/>
      <c r="J9" s="93"/>
      <c r="K9" s="93"/>
      <c r="L9" s="93"/>
      <c r="M9" s="93"/>
      <c r="N9" s="94"/>
      <c r="O9" s="92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 x14ac:dyDescent="0.2">
      <c r="A10" s="121"/>
      <c r="B10" s="122"/>
      <c r="C10" s="122"/>
      <c r="D10" s="122"/>
      <c r="E10" s="122"/>
      <c r="F10" s="122"/>
      <c r="G10" s="123"/>
      <c r="H10" s="92"/>
      <c r="I10" s="93"/>
      <c r="J10" s="93"/>
      <c r="K10" s="93"/>
      <c r="L10" s="93"/>
      <c r="M10" s="93"/>
      <c r="N10" s="94"/>
      <c r="O10" s="92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 x14ac:dyDescent="0.2">
      <c r="A11" s="121"/>
      <c r="B11" s="122"/>
      <c r="C11" s="122"/>
      <c r="D11" s="122"/>
      <c r="E11" s="122"/>
      <c r="F11" s="122"/>
      <c r="G11" s="123"/>
      <c r="H11" s="92"/>
      <c r="I11" s="93"/>
      <c r="J11" s="93"/>
      <c r="K11" s="93"/>
      <c r="L11" s="93"/>
      <c r="M11" s="93"/>
      <c r="N11" s="94"/>
      <c r="O11" s="92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 x14ac:dyDescent="0.2">
      <c r="A12" s="121"/>
      <c r="B12" s="122"/>
      <c r="C12" s="122"/>
      <c r="D12" s="122"/>
      <c r="E12" s="122"/>
      <c r="F12" s="122"/>
      <c r="G12" s="123"/>
      <c r="H12" s="92"/>
      <c r="I12" s="93"/>
      <c r="J12" s="93"/>
      <c r="K12" s="93"/>
      <c r="L12" s="93"/>
      <c r="M12" s="93"/>
      <c r="N12" s="94"/>
      <c r="O12" s="92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 x14ac:dyDescent="0.2">
      <c r="A13" s="121"/>
      <c r="B13" s="122"/>
      <c r="C13" s="122"/>
      <c r="D13" s="122"/>
      <c r="E13" s="122"/>
      <c r="F13" s="122"/>
      <c r="G13" s="123"/>
      <c r="H13" s="92"/>
      <c r="I13" s="93"/>
      <c r="J13" s="93"/>
      <c r="K13" s="93"/>
      <c r="L13" s="93"/>
      <c r="M13" s="93"/>
      <c r="N13" s="94"/>
      <c r="O13" s="92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 x14ac:dyDescent="0.2">
      <c r="A14" s="121"/>
      <c r="B14" s="122"/>
      <c r="C14" s="122"/>
      <c r="D14" s="122"/>
      <c r="E14" s="122"/>
      <c r="F14" s="122"/>
      <c r="G14" s="123"/>
      <c r="H14" s="92"/>
      <c r="I14" s="93"/>
      <c r="J14" s="93"/>
      <c r="K14" s="93"/>
      <c r="L14" s="93"/>
      <c r="M14" s="93"/>
      <c r="N14" s="94"/>
      <c r="O14" s="92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 x14ac:dyDescent="0.2">
      <c r="A15" s="121"/>
      <c r="B15" s="122"/>
      <c r="C15" s="122"/>
      <c r="D15" s="122"/>
      <c r="E15" s="122"/>
      <c r="F15" s="122"/>
      <c r="G15" s="123"/>
      <c r="H15" s="92"/>
      <c r="I15" s="93"/>
      <c r="J15" s="93"/>
      <c r="K15" s="93"/>
      <c r="L15" s="93"/>
      <c r="M15" s="93"/>
      <c r="N15" s="94"/>
      <c r="O15" s="92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 x14ac:dyDescent="0.2">
      <c r="A16" s="121"/>
      <c r="B16" s="122"/>
      <c r="C16" s="122"/>
      <c r="D16" s="122"/>
      <c r="E16" s="122"/>
      <c r="F16" s="122"/>
      <c r="G16" s="123"/>
      <c r="H16" s="92"/>
      <c r="I16" s="93"/>
      <c r="J16" s="93"/>
      <c r="K16" s="93"/>
      <c r="L16" s="93"/>
      <c r="M16" s="93"/>
      <c r="N16" s="94"/>
      <c r="O16" s="92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 x14ac:dyDescent="0.2">
      <c r="A17" s="121"/>
      <c r="B17" s="122"/>
      <c r="C17" s="122"/>
      <c r="D17" s="122"/>
      <c r="E17" s="122"/>
      <c r="F17" s="122"/>
      <c r="G17" s="123"/>
      <c r="H17" s="92"/>
      <c r="I17" s="93"/>
      <c r="J17" s="93"/>
      <c r="K17" s="93"/>
      <c r="L17" s="93"/>
      <c r="M17" s="93"/>
      <c r="N17" s="94"/>
      <c r="O17" s="92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 x14ac:dyDescent="0.2">
      <c r="A18" s="121"/>
      <c r="B18" s="122"/>
      <c r="C18" s="122"/>
      <c r="D18" s="122"/>
      <c r="E18" s="122"/>
      <c r="F18" s="122"/>
      <c r="G18" s="123"/>
      <c r="H18" s="92"/>
      <c r="I18" s="93"/>
      <c r="J18" s="93"/>
      <c r="K18" s="93"/>
      <c r="L18" s="93"/>
      <c r="M18" s="93"/>
      <c r="N18" s="94"/>
      <c r="O18" s="92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 x14ac:dyDescent="0.2">
      <c r="A19" s="121"/>
      <c r="B19" s="122"/>
      <c r="C19" s="122"/>
      <c r="D19" s="122"/>
      <c r="E19" s="122"/>
      <c r="F19" s="122"/>
      <c r="G19" s="123"/>
      <c r="H19" s="92"/>
      <c r="I19" s="93"/>
      <c r="J19" s="93"/>
      <c r="K19" s="93"/>
      <c r="L19" s="93"/>
      <c r="M19" s="93"/>
      <c r="N19" s="94"/>
      <c r="O19" s="92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 x14ac:dyDescent="0.2">
      <c r="A20" s="121"/>
      <c r="B20" s="122"/>
      <c r="C20" s="122"/>
      <c r="D20" s="122"/>
      <c r="E20" s="122"/>
      <c r="F20" s="122"/>
      <c r="G20" s="123"/>
      <c r="H20" s="92"/>
      <c r="I20" s="93"/>
      <c r="J20" s="93"/>
      <c r="K20" s="93"/>
      <c r="L20" s="93"/>
      <c r="M20" s="93"/>
      <c r="N20" s="94"/>
      <c r="O20" s="92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 x14ac:dyDescent="0.2">
      <c r="A21" s="121"/>
      <c r="B21" s="122"/>
      <c r="C21" s="122"/>
      <c r="D21" s="122"/>
      <c r="E21" s="122"/>
      <c r="F21" s="122"/>
      <c r="G21" s="123"/>
      <c r="H21" s="92"/>
      <c r="I21" s="93"/>
      <c r="J21" s="93"/>
      <c r="K21" s="93"/>
      <c r="L21" s="93"/>
      <c r="M21" s="93"/>
      <c r="N21" s="94"/>
      <c r="O21" s="92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 x14ac:dyDescent="0.2">
      <c r="A22" s="121"/>
      <c r="B22" s="122"/>
      <c r="C22" s="122"/>
      <c r="D22" s="122"/>
      <c r="E22" s="122"/>
      <c r="F22" s="122"/>
      <c r="G22" s="123"/>
      <c r="H22" s="92"/>
      <c r="I22" s="93"/>
      <c r="J22" s="93"/>
      <c r="K22" s="93"/>
      <c r="L22" s="93"/>
      <c r="M22" s="93"/>
      <c r="N22" s="94"/>
      <c r="O22" s="92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 x14ac:dyDescent="0.2">
      <c r="A23" s="121"/>
      <c r="B23" s="122"/>
      <c r="C23" s="122"/>
      <c r="D23" s="122"/>
      <c r="E23" s="122"/>
      <c r="F23" s="122"/>
      <c r="G23" s="123"/>
      <c r="H23" s="92"/>
      <c r="I23" s="93"/>
      <c r="J23" s="93"/>
      <c r="K23" s="93"/>
      <c r="L23" s="93"/>
      <c r="M23" s="93"/>
      <c r="N23" s="94"/>
      <c r="O23" s="92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 x14ac:dyDescent="0.2">
      <c r="A24" s="121"/>
      <c r="B24" s="122"/>
      <c r="C24" s="122"/>
      <c r="D24" s="122"/>
      <c r="E24" s="122"/>
      <c r="F24" s="122"/>
      <c r="G24" s="123"/>
      <c r="H24" s="92"/>
      <c r="I24" s="93"/>
      <c r="J24" s="93"/>
      <c r="K24" s="93"/>
      <c r="L24" s="93"/>
      <c r="M24" s="93"/>
      <c r="N24" s="94"/>
      <c r="O24" s="92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 x14ac:dyDescent="0.2">
      <c r="A25" s="121"/>
      <c r="B25" s="122"/>
      <c r="C25" s="122"/>
      <c r="D25" s="122"/>
      <c r="E25" s="122"/>
      <c r="F25" s="122"/>
      <c r="G25" s="123"/>
      <c r="H25" s="92"/>
      <c r="I25" s="93"/>
      <c r="J25" s="93"/>
      <c r="K25" s="93"/>
      <c r="L25" s="93"/>
      <c r="M25" s="93"/>
      <c r="N25" s="94"/>
      <c r="O25" s="92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 x14ac:dyDescent="0.2">
      <c r="A26" s="121"/>
      <c r="B26" s="122"/>
      <c r="C26" s="122"/>
      <c r="D26" s="122"/>
      <c r="E26" s="122"/>
      <c r="F26" s="122"/>
      <c r="G26" s="123"/>
      <c r="H26" s="92"/>
      <c r="I26" s="93"/>
      <c r="J26" s="93"/>
      <c r="K26" s="93"/>
      <c r="L26" s="93"/>
      <c r="M26" s="93"/>
      <c r="N26" s="94"/>
      <c r="O26" s="92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 x14ac:dyDescent="0.2">
      <c r="A27" s="121"/>
      <c r="B27" s="122"/>
      <c r="C27" s="122"/>
      <c r="D27" s="122"/>
      <c r="E27" s="122"/>
      <c r="F27" s="122"/>
      <c r="G27" s="123"/>
      <c r="H27" s="92"/>
      <c r="I27" s="93"/>
      <c r="J27" s="93"/>
      <c r="K27" s="93"/>
      <c r="L27" s="93"/>
      <c r="M27" s="93"/>
      <c r="N27" s="94"/>
      <c r="O27" s="92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 x14ac:dyDescent="0.2">
      <c r="A28" s="121"/>
      <c r="B28" s="122"/>
      <c r="C28" s="122"/>
      <c r="D28" s="122"/>
      <c r="E28" s="122"/>
      <c r="F28" s="122"/>
      <c r="G28" s="123"/>
      <c r="H28" s="92"/>
      <c r="I28" s="93"/>
      <c r="J28" s="93"/>
      <c r="K28" s="93"/>
      <c r="L28" s="93"/>
      <c r="M28" s="93"/>
      <c r="N28" s="94"/>
      <c r="O28" s="92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 x14ac:dyDescent="0.2">
      <c r="A29" s="121"/>
      <c r="B29" s="122"/>
      <c r="C29" s="122"/>
      <c r="D29" s="122"/>
      <c r="E29" s="122"/>
      <c r="F29" s="122"/>
      <c r="G29" s="123"/>
      <c r="H29" s="92"/>
      <c r="I29" s="93"/>
      <c r="J29" s="93"/>
      <c r="K29" s="93"/>
      <c r="L29" s="93"/>
      <c r="M29" s="93"/>
      <c r="N29" s="94"/>
      <c r="O29" s="92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 x14ac:dyDescent="0.2">
      <c r="A30" s="121"/>
      <c r="B30" s="122"/>
      <c r="C30" s="122"/>
      <c r="D30" s="122"/>
      <c r="E30" s="122"/>
      <c r="F30" s="122"/>
      <c r="G30" s="123"/>
      <c r="H30" s="92"/>
      <c r="I30" s="93"/>
      <c r="J30" s="93"/>
      <c r="K30" s="93"/>
      <c r="L30" s="93"/>
      <c r="M30" s="93"/>
      <c r="N30" s="94"/>
      <c r="O30" s="92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 x14ac:dyDescent="0.2">
      <c r="A31" s="121"/>
      <c r="B31" s="122"/>
      <c r="C31" s="122"/>
      <c r="D31" s="122"/>
      <c r="E31" s="122"/>
      <c r="F31" s="122"/>
      <c r="G31" s="123"/>
      <c r="H31" s="92"/>
      <c r="I31" s="93"/>
      <c r="J31" s="93"/>
      <c r="K31" s="93"/>
      <c r="L31" s="93"/>
      <c r="M31" s="93"/>
      <c r="N31" s="94"/>
      <c r="O31" s="92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 x14ac:dyDescent="0.2">
      <c r="A32" s="121"/>
      <c r="B32" s="122"/>
      <c r="C32" s="122"/>
      <c r="D32" s="122"/>
      <c r="E32" s="122"/>
      <c r="F32" s="122"/>
      <c r="G32" s="123"/>
      <c r="H32" s="92"/>
      <c r="I32" s="93"/>
      <c r="J32" s="93"/>
      <c r="K32" s="93"/>
      <c r="L32" s="93"/>
      <c r="M32" s="93"/>
      <c r="N32" s="94"/>
      <c r="O32" s="92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 x14ac:dyDescent="0.2">
      <c r="A33" s="121"/>
      <c r="B33" s="122"/>
      <c r="C33" s="122"/>
      <c r="D33" s="122"/>
      <c r="E33" s="122"/>
      <c r="F33" s="122"/>
      <c r="G33" s="123"/>
      <c r="H33" s="92"/>
      <c r="I33" s="93"/>
      <c r="J33" s="93"/>
      <c r="K33" s="93"/>
      <c r="L33" s="93"/>
      <c r="M33" s="93"/>
      <c r="N33" s="94"/>
      <c r="O33" s="92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 x14ac:dyDescent="0.2">
      <c r="A34" s="121"/>
      <c r="B34" s="122"/>
      <c r="C34" s="122"/>
      <c r="D34" s="122"/>
      <c r="E34" s="122"/>
      <c r="F34" s="122"/>
      <c r="G34" s="123"/>
      <c r="H34" s="92"/>
      <c r="I34" s="93"/>
      <c r="J34" s="93"/>
      <c r="K34" s="93"/>
      <c r="L34" s="93"/>
      <c r="M34" s="93"/>
      <c r="N34" s="94"/>
      <c r="O34" s="92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 x14ac:dyDescent="0.25">
      <c r="A35" s="124"/>
      <c r="B35" s="125"/>
      <c r="C35" s="125"/>
      <c r="D35" s="125"/>
      <c r="E35" s="125"/>
      <c r="F35" s="125"/>
      <c r="G35" s="126"/>
      <c r="H35" s="135"/>
      <c r="I35" s="136"/>
      <c r="J35" s="136"/>
      <c r="K35" s="136"/>
      <c r="L35" s="136"/>
      <c r="M35" s="136"/>
      <c r="N35" s="137"/>
      <c r="O35" s="135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9"/>
      <c r="AQ35" s="140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4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LogicCommon</vt:lpstr>
      <vt:lpstr>DptHis_UpdChk01</vt:lpstr>
      <vt:lpstr>DptHis_Upd01</vt:lpstr>
      <vt:lpstr>Dpt_UpdChk01</vt:lpstr>
      <vt:lpstr>Dpt_Upd01</vt:lpstr>
      <vt:lpstr>DptMap_UpdChk01</vt:lpstr>
      <vt:lpstr>DptMap_Upd01</vt:lpstr>
      <vt:lpstr>Dpt_DelChk01</vt:lpstr>
      <vt:lpstr>Dpt_Del01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2016-02-05T02:01:05Z</cp:lastPrinted>
  <dcterms:created xsi:type="dcterms:W3CDTF">2000-04-01T00:00:00Z</dcterms:created>
  <dcterms:modified xsi:type="dcterms:W3CDTF">2026-03-27T05:42:29Z</dcterms:modified>
  <cp:category/>
</cp:coreProperties>
</file>