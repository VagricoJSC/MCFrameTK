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31F701F-A76C-4212-83E1-6D8476222782}" xr6:coauthVersionLast="47" xr6:coauthVersionMax="47" xr10:uidLastSave="{00000000-0000-0000-0000-000000000000}"/>
  <bookViews>
    <workbookView xWindow="1710" yWindow="1710" windowWidth="21600" windowHeight="11265" tabRatio="807" activeTab="5" xr2:uid="{00000000-000D-0000-FFFF-FFFF00000000}"/>
  </bookViews>
  <sheets>
    <sheet name="LogicCommon" sheetId="10" r:id="rId1"/>
    <sheet name="Bp_UpdChk01" sheetId="18" r:id="rId2"/>
    <sheet name="Bp_Upd01" sheetId="15" r:id="rId3"/>
    <sheet name="Srch01" sheetId="1" r:id="rId4"/>
    <sheet name="Upd01" sheetId="11" r:id="rId5"/>
    <sheet name="来歴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2" i="1" l="1"/>
  <c r="D142" i="1"/>
  <c r="E75" i="1" l="1"/>
  <c r="D75" i="1"/>
  <c r="D67" i="1" l="1"/>
  <c r="E67" i="1"/>
  <c r="E217" i="1"/>
  <c r="D217" i="1"/>
  <c r="E285" i="1" l="1"/>
  <c r="D285" i="1"/>
  <c r="E219" i="1"/>
  <c r="D219" i="1"/>
  <c r="E215" i="1"/>
  <c r="D215" i="1"/>
  <c r="E210" i="1"/>
  <c r="D210" i="1"/>
  <c r="E146" i="1"/>
  <c r="D146" i="1"/>
  <c r="E137" i="1"/>
  <c r="D137" i="1"/>
  <c r="E87" i="1"/>
  <c r="D87" i="1"/>
  <c r="E85" i="1"/>
  <c r="D85" i="1"/>
  <c r="E83" i="1"/>
  <c r="D83" i="1"/>
  <c r="E77" i="1"/>
  <c r="D77" i="1"/>
  <c r="E69" i="1"/>
  <c r="D69" i="1"/>
  <c r="E41" i="1"/>
  <c r="D41" i="1"/>
  <c r="E39" i="1"/>
  <c r="D39" i="1"/>
  <c r="E37" i="1"/>
  <c r="D37" i="1"/>
  <c r="E34" i="1"/>
  <c r="D34" i="1"/>
  <c r="H3" i="1" l="1"/>
  <c r="L4" i="18" l="1"/>
  <c r="N2" i="18" s="1"/>
  <c r="H4" i="18"/>
  <c r="L3" i="18"/>
  <c r="H3" i="18"/>
  <c r="F3" i="18"/>
  <c r="D3" i="18"/>
  <c r="L2" i="18"/>
  <c r="H2" i="18"/>
  <c r="F2" i="18"/>
  <c r="L4" i="15"/>
  <c r="H4" i="15"/>
  <c r="L3" i="15"/>
  <c r="H3" i="15"/>
  <c r="F3" i="15"/>
  <c r="D3" i="15"/>
  <c r="L2" i="15"/>
  <c r="H2" i="15"/>
  <c r="F2" i="15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<sst xmlns="http://schemas.openxmlformats.org/spreadsheetml/2006/main" count="4452" uniqueCount="1005">
  <si>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</si>
  <si>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</si>
  <si>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</si>
  <si>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</si>
  <si>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</si>
  <si>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</si>
  <si>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</si>
  <si>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</si>
  <si>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</si>
  <si>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</si>
  <si>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</si>
  <si>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</si>
  <si>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</si>
  <si>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</si>
  <si>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</si>
  <si>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</si>
  <si>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</si>
  <si>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</si>
  <si>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</si>
  <si>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</si>
  <si>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</si>
  <si>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</si>
  <si>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</si>
  <si>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</si>
  <si>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</si>
  <si>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</si>
  <si>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</si>
  <si>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</si>
  <si>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</si>
  <si>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</si>
  <si>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</si>
  <si>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</si>
  <si>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</si>
  <si>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</si>
  <si>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</si>
  <si>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</si>
  <si>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</si>
  <si>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</si>
  <si>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</si>
  <si>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</si>
  <si>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</si>
  <si>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</si>
  <si>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</si>
  <si>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</si>
  <si>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</si>
  <si>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3"/>
  </si>
  <si>
    <t>#MA.SRV_REQ_NO</t>
  </si>
  <si>
    <t>#MA.SYS_TS</t>
  </si>
  <si>
    <t>#MA.FLG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</si>
  <si>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</si>
  <si>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</si>
  <si>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</si>
  <si>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</si>
  <si>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</si>
  <si>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off_del_flg</t>
  </si>
  <si>
    <t>on_del_flg</t>
  </si>
  <si>
    <t>del_flg</t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</si>
  <si>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</si>
  <si>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</si>
  <si>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</si>
  <si>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</si>
  <si>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</si>
  <si>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</si>
  <si>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</si>
  <si>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</si>
  <si>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</si>
  <si>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</si>
  <si>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K</t>
    <phoneticPr fontId="3"/>
  </si>
  <si>
    <t>REQUIRED</t>
    <phoneticPr fontId="3"/>
  </si>
  <si>
    <t>Upd01</t>
  </si>
  <si>
    <t>Srch01</t>
  </si>
  <si>
    <t>MA</t>
  </si>
  <si>
    <t>K</t>
    <phoneticPr fontId="22"/>
  </si>
  <si>
    <t>LIST_LOGIC</t>
    <phoneticPr fontId="22"/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</si>
  <si>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</si>
  <si>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</si>
  <si>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</si>
  <si>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</si>
  <si>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</si>
  <si>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</si>
  <si>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</si>
  <si>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</si>
  <si>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MABC</t>
  </si>
  <si>
    <t>#MA.TAX_CD</t>
  </si>
  <si>
    <t>Bp_UpdChk01</t>
  </si>
  <si>
    <t>Bp_Upd01</t>
  </si>
  <si>
    <t>#MA.BP_CD</t>
  </si>
  <si>
    <t>#MA.BP_NM</t>
  </si>
  <si>
    <t>bp_cd</t>
  </si>
  <si>
    <t>bp_cd</t>
    <phoneticPr fontId="3"/>
  </si>
  <si>
    <t>bp_nm</t>
    <phoneticPr fontId="3"/>
  </si>
  <si>
    <t>#MA.BP_PSN_TITLE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</si>
  <si>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</si>
  <si>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</si>
  <si>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</si>
  <si>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</si>
  <si>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</si>
  <si>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</si>
  <si>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</si>
  <si>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</si>
  <si>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</si>
  <si>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3"/>
  </si>
  <si>
    <t>Upd01_Dtl3</t>
  </si>
  <si>
    <t>CALL_OPE02.chk02</t>
    <phoneticPr fontId="3"/>
  </si>
  <si>
    <t>CALL_OPE02.upd02</t>
    <phoneticPr fontId="3"/>
  </si>
  <si>
    <t>K</t>
    <phoneticPr fontId="22"/>
  </si>
  <si>
    <t>#MA.CNTCT_DPT</t>
  </si>
  <si>
    <t>#MA.CNTCT_PSN</t>
  </si>
  <si>
    <t>#MA.CRRYOVR_TIMES</t>
  </si>
  <si>
    <t>#MA.SLIP_FORM_CD</t>
  </si>
  <si>
    <t>#MA.SLIP_FORM_NM</t>
  </si>
  <si>
    <t>#MA.TAX_NM</t>
  </si>
  <si>
    <t>#MA.TTERM_CD</t>
  </si>
  <si>
    <t>#MA.TTERM_NM</t>
  </si>
  <si>
    <t>Srch01_Rslt4</t>
    <phoneticPr fontId="3"/>
  </si>
  <si>
    <t>Srch01_Rslt5</t>
    <phoneticPr fontId="3"/>
  </si>
  <si>
    <t>Srch01_Rslt6</t>
    <phoneticPr fontId="3"/>
  </si>
  <si>
    <t>bp_itm_cd</t>
  </si>
  <si>
    <t>bp_itm_nm</t>
  </si>
  <si>
    <t>pf_grp_cd</t>
  </si>
  <si>
    <t>pf_grp_nm</t>
  </si>
  <si>
    <t>#MA.BP_ITM_CD</t>
  </si>
  <si>
    <t>#MA.BP_ITM_NM</t>
  </si>
  <si>
    <t>#MA.PF_GRP_CD</t>
  </si>
  <si>
    <t>#MA.PF_GRP_NM</t>
  </si>
  <si>
    <t>itm_cd</t>
  </si>
  <si>
    <t>itm_sub1</t>
  </si>
  <si>
    <t>itm_sub2</t>
  </si>
  <si>
    <t>itm_sub3</t>
  </si>
  <si>
    <t>itm_nm</t>
  </si>
  <si>
    <t>#MA.ITM_NM</t>
  </si>
  <si>
    <t>Upd01_Dtl4</t>
    <phoneticPr fontId="3"/>
  </si>
  <si>
    <t>Upd01_Dtl5</t>
    <phoneticPr fontId="3"/>
  </si>
  <si>
    <t>Upd01_Dtl6</t>
    <phoneticPr fontId="3"/>
  </si>
  <si>
    <t>K</t>
    <phoneticPr fontId="22"/>
  </si>
  <si>
    <t>CONST</t>
    <phoneticPr fontId="22"/>
  </si>
  <si>
    <t>CONST</t>
    <phoneticPr fontId="3"/>
  </si>
  <si>
    <t>if_proc_typ</t>
  </si>
  <si>
    <t>Bp_UpdChk01_Dtl</t>
    <phoneticPr fontId="22"/>
  </si>
  <si>
    <t>st_dt_fr</t>
  </si>
  <si>
    <t>st_dt_to</t>
  </si>
  <si>
    <t>end_dt_fr</t>
  </si>
  <si>
    <t>end_dt_to</t>
  </si>
  <si>
    <t>del_usr_id</t>
  </si>
  <si>
    <t>del_usr_nm</t>
  </si>
  <si>
    <t>del_ts</t>
  </si>
  <si>
    <t>MABCL0570</t>
    <phoneticPr fontId="3"/>
  </si>
  <si>
    <t>発注先登録</t>
    <rPh sb="0" eb="2">
      <t>ハッチュウ</t>
    </rPh>
    <phoneticPr fontId="3"/>
  </si>
  <si>
    <t>MABCL_SpplReg</t>
    <phoneticPr fontId="3"/>
  </si>
  <si>
    <t>asppl_cd</t>
  </si>
  <si>
    <t>asppl_nm</t>
  </si>
  <si>
    <t>sppl_cntct_dpt</t>
  </si>
  <si>
    <t>sppl_cntct_psn</t>
  </si>
  <si>
    <t>sppl_cntct_psn_title</t>
  </si>
  <si>
    <t>subcon_flg</t>
  </si>
  <si>
    <t>purc_upri_req_typ</t>
  </si>
  <si>
    <t>purc_upri_cng_flg</t>
  </si>
  <si>
    <t>purc_amt_rnd_typ</t>
  </si>
  <si>
    <t>purc_tax_calc_typ</t>
  </si>
  <si>
    <t>purc_tax_rnd_typ</t>
  </si>
  <si>
    <t>pay_crryovr_times</t>
  </si>
  <si>
    <t>sppl_cal_cd</t>
  </si>
  <si>
    <t>sppl_cal_nm</t>
  </si>
  <si>
    <t>po_print_cd</t>
  </si>
  <si>
    <t>po_print_nm</t>
  </si>
  <si>
    <t>sppl_ship_form_cd</t>
  </si>
  <si>
    <t>sppl_ship_form_nm</t>
  </si>
  <si>
    <t>prms_recv_flg</t>
  </si>
  <si>
    <t>purc_tax_cd</t>
  </si>
  <si>
    <t>purc_tax_nm</t>
  </si>
  <si>
    <t>purc_tax_cd_prio_flg</t>
  </si>
  <si>
    <t>sppl_iv_flg</t>
  </si>
  <si>
    <t>sppl_tterm_cd1</t>
  </si>
  <si>
    <t>sppl_tterm_nm1</t>
  </si>
  <si>
    <t>sppl_tterm_cd2</t>
  </si>
  <si>
    <t>sppl_tterm_nm2</t>
  </si>
  <si>
    <t>sppl_tterm_cd3</t>
  </si>
  <si>
    <t>sppl_tterm_nm3</t>
  </si>
  <si>
    <t>prov_rcv_typ</t>
  </si>
  <si>
    <t>prov_basis_typ</t>
  </si>
  <si>
    <t>prov_upri_cng_flg</t>
  </si>
  <si>
    <t>prov_tax_cd</t>
  </si>
  <si>
    <t>prov_tax_nm</t>
  </si>
  <si>
    <t>prov_tax_cd_prio_flg</t>
  </si>
  <si>
    <t>prov_amt_rnd_typ</t>
  </si>
  <si>
    <t>prov_tax_calc_typ</t>
  </si>
  <si>
    <t>prov_tax_rnd_typ</t>
  </si>
  <si>
    <t>#MA.CAL_CD</t>
  </si>
  <si>
    <t>#MA.CAL_NM</t>
  </si>
  <si>
    <t>#MA.PO_PRINT_CD</t>
  </si>
  <si>
    <t>#MA.PO_PRINT_NM</t>
  </si>
  <si>
    <t>#MA.PURC_UPRI_REQ_TYP</t>
    <phoneticPr fontId="3"/>
  </si>
  <si>
    <t>#MA.RND_TYP</t>
    <phoneticPr fontId="3"/>
  </si>
  <si>
    <t>#MA.TAX_CALC_TYP</t>
    <phoneticPr fontId="3"/>
  </si>
  <si>
    <t>#MA.PROV_RCV_TYP</t>
    <phoneticPr fontId="3"/>
  </si>
  <si>
    <t>#MA.PROV_BASIS_TYP</t>
    <phoneticPr fontId="3"/>
  </si>
  <si>
    <t>#MA.RND_TYP</t>
    <phoneticPr fontId="3"/>
  </si>
  <si>
    <t>sppl_cd</t>
  </si>
  <si>
    <t>sppl_cd</t>
    <phoneticPr fontId="3"/>
  </si>
  <si>
    <t>wg_cd</t>
  </si>
  <si>
    <t>wg_nm</t>
  </si>
  <si>
    <t>maker_cd</t>
  </si>
  <si>
    <t>maker_nm</t>
  </si>
  <si>
    <t>#MA.WG_CD</t>
  </si>
  <si>
    <t>#MA.WG_NM</t>
  </si>
  <si>
    <t>#MA.LT</t>
  </si>
  <si>
    <t>#MA.QTY</t>
  </si>
  <si>
    <t>#MA.ORD_FIX_PD</t>
  </si>
  <si>
    <t>#MA.SZ_WEEK</t>
  </si>
  <si>
    <t>#MA.LOT_SZ_PD</t>
  </si>
  <si>
    <t>#MA.INT</t>
  </si>
  <si>
    <t>#MA.ORDER_RATIO</t>
  </si>
  <si>
    <t>#MA.SNO1</t>
  </si>
  <si>
    <t>#MA.SNO2</t>
  </si>
  <si>
    <t>#MA.SNO3</t>
  </si>
  <si>
    <t>#MA.SNO4</t>
  </si>
  <si>
    <t>#MA.COST_RATIO</t>
  </si>
  <si>
    <t>purc_id_typ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</si>
  <si>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</si>
  <si>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</si>
  <si>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</si>
  <si>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</si>
  <si>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</si>
  <si>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</si>
  <si>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</si>
  <si>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</si>
  <si>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</si>
  <si>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</si>
  <si>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</si>
  <si>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</si>
  <si>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</si>
  <si>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</si>
  <si>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pre_po_tgt_flg</t>
  </si>
  <si>
    <t>sno1</t>
  </si>
  <si>
    <t>sno2</t>
  </si>
  <si>
    <t>sno3</t>
  </si>
  <si>
    <t>sno4</t>
  </si>
  <si>
    <t>not_mrp_flg</t>
  </si>
  <si>
    <t>cost_ratio</t>
  </si>
  <si>
    <t>#MA.PURC_ID_TYP</t>
    <phoneticPr fontId="3"/>
  </si>
  <si>
    <t>#MA.DAY_WEEK_TYP</t>
    <phoneticPr fontId="3"/>
  </si>
  <si>
    <t>to_site_cd</t>
  </si>
  <si>
    <t>to_site_nm</t>
  </si>
  <si>
    <t>#MA.SITE_CD</t>
  </si>
  <si>
    <t>#MA.SITE_NM</t>
  </si>
  <si>
    <t>no_insp_flg</t>
  </si>
  <si>
    <t>insp_ptn_cd</t>
  </si>
  <si>
    <t>insp_ptn_nm</t>
  </si>
  <si>
    <t>no_insp_aprv_flg</t>
  </si>
  <si>
    <t>lmt_dt_frm_typ</t>
  </si>
  <si>
    <t>vld_pd</t>
  </si>
  <si>
    <t>lmt_pd</t>
  </si>
  <si>
    <t>lot_insp_vld_pd</t>
  </si>
  <si>
    <t>calc_pd_typ</t>
  </si>
  <si>
    <t>lot_insp_lmt_dt_frm_typ</t>
  </si>
  <si>
    <t>insp_offst</t>
  </si>
  <si>
    <t>pre_insp_valid_flg</t>
  </si>
  <si>
    <t>#MA.INSP_PTN_CD</t>
  </si>
  <si>
    <t>#MA.INSP_PTN_NM</t>
  </si>
  <si>
    <t>#MA.VLD_PD</t>
  </si>
  <si>
    <t>#MA.LMT_PD</t>
  </si>
  <si>
    <t>#MA.OFFST</t>
  </si>
  <si>
    <t>#MA.LMT_DT_FRM_TYP</t>
    <phoneticPr fontId="3"/>
  </si>
  <si>
    <t>#MA.CALC_PD_TYP</t>
    <phoneticPr fontId="3"/>
  </si>
  <si>
    <t>#MA.LMT_DT_FRM_TYP</t>
    <phoneticPr fontId="3"/>
  </si>
  <si>
    <t>lg_grp_cd</t>
  </si>
  <si>
    <t>lg_grp_nm</t>
  </si>
  <si>
    <t>#MA.LG_GRP_CD</t>
  </si>
  <si>
    <t>#MA.LG_GRP_NM</t>
  </si>
  <si>
    <t>bp_cd</t>
    <phoneticPr fontId="3"/>
  </si>
  <si>
    <t>#MA.IF_PROC_TYP</t>
    <phoneticPr fontId="3"/>
  </si>
  <si>
    <t>memo1</t>
    <phoneticPr fontId="3"/>
  </si>
  <si>
    <t>ins_usr_nm</t>
    <phoneticPr fontId="3"/>
  </si>
  <si>
    <t>OPE.MA.MABCL0570.Bp_UpdChk01</t>
  </si>
  <si>
    <t>OPE.MA.MABCL0570.Bp_Upd01</t>
  </si>
  <si>
    <t>OPE.MA.MABSL0010.ItmDtl_UpdChk01</t>
    <phoneticPr fontId="3"/>
  </si>
  <si>
    <t>OPE.MA.MABSL0010.ItmDtl_Upd01</t>
    <phoneticPr fontId="3"/>
  </si>
  <si>
    <t>OPE.MA.MABSL0190.ItmInsp_UpdChk01</t>
    <phoneticPr fontId="3"/>
  </si>
  <si>
    <t>OPE.MA.MABSL0190.ItmInsp_Upd01</t>
    <phoneticPr fontId="3"/>
  </si>
  <si>
    <t>OPE.MA.MABSL0640.BpItm_Upd01</t>
    <phoneticPr fontId="3"/>
  </si>
  <si>
    <t>OPE.MA.MABSL0640.BpItm_UpdChk01</t>
    <phoneticPr fontId="3"/>
  </si>
  <si>
    <t>#MA.PURC_UPRI_REQ_TYP</t>
    <phoneticPr fontId="3"/>
  </si>
  <si>
    <t>#MA.RND_TYP</t>
    <phoneticPr fontId="3"/>
  </si>
  <si>
    <t>#MA.TAX_CALC_TYP</t>
    <phoneticPr fontId="3"/>
  </si>
  <si>
    <t>#MA.RND_TYP</t>
    <phoneticPr fontId="3"/>
  </si>
  <si>
    <t>#MA.PROV_RCV_TYP</t>
    <phoneticPr fontId="3"/>
  </si>
  <si>
    <t>#MA.TAX_CALC_TYP</t>
    <phoneticPr fontId="3"/>
  </si>
  <si>
    <t>SELECT_SUB1.c1</t>
    <phoneticPr fontId="3"/>
  </si>
  <si>
    <t>SELECT_SUB2.c2</t>
    <phoneticPr fontId="3"/>
  </si>
  <si>
    <t>SELECT_SUB3.c3</t>
    <phoneticPr fontId="3"/>
  </si>
  <si>
    <t>SELECT_SUB4.c4</t>
    <phoneticPr fontId="3"/>
  </si>
  <si>
    <t>SELECT_SUB5.c5</t>
    <phoneticPr fontId="3"/>
  </si>
  <si>
    <t>no_mrkt_judg_flg</t>
  </si>
  <si>
    <t>no_plnt_aprv_flg</t>
  </si>
  <si>
    <t>bp_itm_nm</t>
    <phoneticPr fontId="3"/>
  </si>
  <si>
    <t>#MA.BP_ITM_NM</t>
    <phoneticPr fontId="3"/>
  </si>
  <si>
    <t>L</t>
    <phoneticPr fontId="22"/>
  </si>
  <si>
    <t>cntry_cd</t>
    <phoneticPr fontId="3"/>
  </si>
  <si>
    <t>#MA.CNTRY_CD</t>
  </si>
  <si>
    <t>LIST_OUT</t>
  </si>
  <si>
    <t>LIST_OUT_BASE</t>
  </si>
  <si>
    <t>#MA.PROV_BASIS_TYP</t>
    <phoneticPr fontId="3"/>
  </si>
  <si>
    <t>ext_sys_cd</t>
  </si>
  <si>
    <t>ext_sys_nm</t>
  </si>
  <si>
    <t>#MA.EXT_SYS_CD</t>
  </si>
  <si>
    <t>#MA.EXT_SYS_NM</t>
  </si>
  <si>
    <t>rqst_wg_cd</t>
  </si>
  <si>
    <t>#MA.FCM_USR_ID</t>
  </si>
  <si>
    <t>#MA.FCM_USR_NM</t>
  </si>
  <si>
    <t>LIST_IN</t>
  </si>
  <si>
    <t>LIST_IN_BASE</t>
  </si>
  <si>
    <t>rqst_wg_cd</t>
    <phoneticPr fontId="3"/>
  </si>
  <si>
    <t>rqst_wg_nm</t>
    <phoneticPr fontId="3"/>
  </si>
  <si>
    <t>sppl_cd</t>
    <phoneticPr fontId="3"/>
  </si>
  <si>
    <t>sppl_cd</t>
    <phoneticPr fontId="3"/>
  </si>
  <si>
    <t>prov_tax_cd</t>
    <phoneticPr fontId="22"/>
  </si>
  <si>
    <t>pf_fix_flg</t>
  </si>
  <si>
    <t>purc_commit_flg</t>
  </si>
  <si>
    <t>insp_inst_issue_typ</t>
    <phoneticPr fontId="3"/>
  </si>
  <si>
    <t>#MA.INSP_INST_ISSUE_TYP</t>
    <phoneticPr fontId="3"/>
  </si>
  <si>
    <t>vmi_purc_dpt_cd</t>
    <phoneticPr fontId="3"/>
  </si>
  <si>
    <t>vmi_purc_dpt_nm</t>
    <phoneticPr fontId="3"/>
  </si>
  <si>
    <t>OPE.MA.MABSL1230.EdiIfCtl_Upd01</t>
  </si>
  <si>
    <t>wrk_po_flg</t>
  </si>
  <si>
    <t>wrk_ap_flg</t>
  </si>
  <si>
    <t>purc_slip_each_lot_typ</t>
  </si>
  <si>
    <t>#MA.SLIP_EACH_LOT_TYP</t>
    <phoneticPr fontId="3"/>
  </si>
  <si>
    <t>prov_rcv_typ</t>
    <phoneticPr fontId="3"/>
  </si>
  <si>
    <t>cntry_cd</t>
    <phoneticPr fontId="22"/>
  </si>
  <si>
    <t>#MA.CNTRY_CD</t>
    <phoneticPr fontId="22"/>
  </si>
  <si>
    <t>#MA.DPT_CD</t>
  </si>
  <si>
    <t>onr_prsppl_flg</t>
  </si>
  <si>
    <t>OPE.MA.MABSL1230.EdiIfCtl_UpdChk01</t>
    <phoneticPr fontId="3"/>
  </si>
  <si>
    <t>OPE.MA.MABSL0530.PurcDdlvLt_UpdChk01</t>
    <phoneticPr fontId="3"/>
  </si>
  <si>
    <t>OPE.MA.MABSL0530.PurcDdlvLt_Upd01</t>
    <phoneticPr fontId="3"/>
  </si>
  <si>
    <t>Upd01_Dtl7</t>
    <phoneticPr fontId="3"/>
  </si>
  <si>
    <t>Srch01_Rslt7</t>
    <phoneticPr fontId="3"/>
  </si>
  <si>
    <t>purc_usr_cd</t>
  </si>
  <si>
    <t>purc_usr_nm</t>
  </si>
  <si>
    <t>purc_dpt_cd</t>
  </si>
  <si>
    <t>purc_dpt_nm</t>
  </si>
  <si>
    <t>outsrc_usr_cd</t>
  </si>
  <si>
    <t>outsrc_usr_nm</t>
  </si>
  <si>
    <t>outsrc_dpt_cd</t>
  </si>
  <si>
    <t>outsrc_dpt_nm</t>
  </si>
  <si>
    <t>ins_usr_id</t>
  </si>
  <si>
    <t>upd_usr_id</t>
  </si>
  <si>
    <t>SELECT_SUB6.c6</t>
    <phoneticPr fontId="3"/>
  </si>
  <si>
    <t>OPE.MA.MABSL0670.SpplUsr_Upd01</t>
    <phoneticPr fontId="3"/>
  </si>
  <si>
    <t>OPE.MA.MABSL0670.SpplUsr_UpdChk01</t>
    <phoneticPr fontId="3"/>
  </si>
  <si>
    <t>#MA.USR_CD</t>
  </si>
  <si>
    <t>#MA.USR_NM</t>
  </si>
  <si>
    <t>#MA.DPT_NM</t>
  </si>
  <si>
    <t>L</t>
    <phoneticPr fontId="3"/>
  </si>
  <si>
    <t>onr_prsppl_flg</t>
    <phoneticPr fontId="3"/>
  </si>
  <si>
    <t>prov_tax_cd_prio_flg</t>
    <phoneticPr fontId="3"/>
  </si>
  <si>
    <t>prov_upri_cng_flg</t>
    <phoneticPr fontId="3"/>
  </si>
  <si>
    <t>SMALL_LARGE</t>
    <phoneticPr fontId="22"/>
  </si>
  <si>
    <t>rqst_loc_cd</t>
    <phoneticPr fontId="3"/>
  </si>
  <si>
    <t>bom_ptn</t>
    <phoneticPr fontId="3"/>
  </si>
  <si>
    <t>#MA.BOM_PTN</t>
    <phoneticPr fontId="3"/>
  </si>
  <si>
    <t>from_site_cd</t>
  </si>
  <si>
    <t>itm_typ</t>
  </si>
  <si>
    <t>itm_typ_nm</t>
  </si>
  <si>
    <t>itm_typ_d_cd</t>
  </si>
  <si>
    <t>itm_typ_d_nm</t>
  </si>
  <si>
    <t>#MA.ITM_TYP</t>
  </si>
  <si>
    <t>#MA.ITM_TYP_NM</t>
  </si>
  <si>
    <t>#MA.ITM_TYP_D_CD</t>
  </si>
  <si>
    <t>#MA.ITM_TYP_D_NM</t>
  </si>
  <si>
    <t>lmt_ctl_flg</t>
  </si>
  <si>
    <t>sundry_itm_flg</t>
  </si>
  <si>
    <t>purc_amt_rnd_typ</t>
    <phoneticPr fontId="22"/>
  </si>
  <si>
    <t>prov_rcv_typ</t>
    <phoneticPr fontId="22"/>
  </si>
  <si>
    <t>prov_basis_typ</t>
    <phoneticPr fontId="22"/>
  </si>
  <si>
    <t>prov_amt_rnd_typ</t>
    <phoneticPr fontId="22"/>
  </si>
  <si>
    <t>prov_tax_calc_typ</t>
    <phoneticPr fontId="22"/>
  </si>
  <si>
    <t>prov_tax_rnd_typ</t>
    <phoneticPr fontId="22"/>
  </si>
  <si>
    <t>stk_mng_typ</t>
  </si>
  <si>
    <t>sno1_mng_typ</t>
  </si>
  <si>
    <t>sno2_mng_typ</t>
  </si>
  <si>
    <t>sno3_mng_typ</t>
  </si>
  <si>
    <t>sno4_mng_typ</t>
  </si>
  <si>
    <t>#MA.STK_MNG_TYP</t>
  </si>
  <si>
    <t>#MA.SNO_MNG_TYP</t>
  </si>
  <si>
    <t>unit_cd</t>
    <phoneticPr fontId="3"/>
  </si>
  <si>
    <t>dec_place</t>
    <phoneticPr fontId="3"/>
  </si>
  <si>
    <t>#MA.UNIT_CD</t>
    <phoneticPr fontId="3"/>
  </si>
  <si>
    <t>#MA.DEC_PLACE</t>
    <phoneticPr fontId="3"/>
  </si>
  <si>
    <t>inst_rslt_issue_flg</t>
    <phoneticPr fontId="3"/>
  </si>
  <si>
    <t>check_vmi_purc_dpt_cd</t>
    <phoneticPr fontId="3"/>
  </si>
  <si>
    <t>purc_slip_each_lot_typ</t>
    <phoneticPr fontId="22"/>
  </si>
  <si>
    <t>登録前チェック</t>
    <rPh sb="0" eb="2">
      <t>トウロク</t>
    </rPh>
    <rPh sb="2" eb="3">
      <t>マエ</t>
    </rPh>
    <phoneticPr fontId="1"/>
  </si>
  <si>
    <t>登録処理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</si>
  <si>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</si>
  <si>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</si>
  <si>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取引先マスタを登録する</t>
    <phoneticPr fontId="22"/>
  </si>
  <si>
    <t>取引先マスタを登録する前のチェックを行う</t>
    <rPh sb="18" eb="19">
      <t>オコナ</t>
    </rPh>
    <phoneticPr fontId="22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</si>
  <si>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</si>
  <si>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</si>
  <si>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</si>
  <si>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</si>
  <si>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</si>
  <si>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</si>
  <si>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</si>
  <si>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</si>
  <si>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取引先ＣＤ</t>
    <phoneticPr fontId="3"/>
  </si>
  <si>
    <t>E</t>
    <phoneticPr fontId="3"/>
  </si>
  <si>
    <t>買掛先ＣＤ</t>
    <phoneticPr fontId="3"/>
  </si>
  <si>
    <t>国ＣＤ</t>
    <phoneticPr fontId="22"/>
  </si>
  <si>
    <t>-</t>
    <phoneticPr fontId="22"/>
  </si>
  <si>
    <t>発注先部署</t>
    <phoneticPr fontId="3"/>
  </si>
  <si>
    <t>発注先担当者</t>
    <phoneticPr fontId="22"/>
  </si>
  <si>
    <t>発注先担当者敬称</t>
    <phoneticPr fontId="3"/>
  </si>
  <si>
    <t>下請対象</t>
    <phoneticPr fontId="3"/>
  </si>
  <si>
    <t>有償支給先</t>
    <phoneticPr fontId="3"/>
  </si>
  <si>
    <t>ＶＭＩ購買部門ＣＤ</t>
    <phoneticPr fontId="3"/>
  </si>
  <si>
    <t>E</t>
    <phoneticPr fontId="22"/>
  </si>
  <si>
    <t>購買単価取得区分</t>
    <phoneticPr fontId="3"/>
  </si>
  <si>
    <t>購買単価変更許可</t>
    <phoneticPr fontId="3"/>
  </si>
  <si>
    <t>納期回答確認</t>
    <phoneticPr fontId="3"/>
  </si>
  <si>
    <t>仕入金額端数処理区分</t>
    <phoneticPr fontId="22"/>
  </si>
  <si>
    <t>仕入税計算区分</t>
    <phoneticPr fontId="22"/>
  </si>
  <si>
    <t>仕入税額端数処理区分</t>
    <phoneticPr fontId="22"/>
  </si>
  <si>
    <t>仕入税ＣＤ</t>
    <phoneticPr fontId="22"/>
  </si>
  <si>
    <t>仕入税優先</t>
    <phoneticPr fontId="3"/>
  </si>
  <si>
    <t>発注先カレンダＣＤ</t>
    <phoneticPr fontId="22"/>
  </si>
  <si>
    <t>注文書表示ＣＤ</t>
    <phoneticPr fontId="22"/>
  </si>
  <si>
    <t>発注先納品書ＣＤ</t>
    <phoneticPr fontId="22"/>
  </si>
  <si>
    <t>支給積送管理区分</t>
    <phoneticPr fontId="22"/>
  </si>
  <si>
    <t>仕入ロット明細分割区分</t>
    <phoneticPr fontId="3"/>
  </si>
  <si>
    <t>発注先取引条件ＣＤ１</t>
    <phoneticPr fontId="3"/>
  </si>
  <si>
    <t>発注先取引条件ＣＤ２</t>
    <phoneticPr fontId="3"/>
  </si>
  <si>
    <t>発注先取引条件ＣＤ３</t>
    <phoneticPr fontId="3"/>
  </si>
  <si>
    <t>支払繰越回数</t>
    <phoneticPr fontId="22"/>
  </si>
  <si>
    <t>案件別注文書</t>
    <phoneticPr fontId="3"/>
  </si>
  <si>
    <t>案件別債務管理</t>
    <phoneticPr fontId="3"/>
  </si>
  <si>
    <t>発注先インボイス取引</t>
    <phoneticPr fontId="3"/>
  </si>
  <si>
    <t>支給計上区分</t>
    <phoneticPr fontId="3"/>
  </si>
  <si>
    <t>支給単価変更許可</t>
    <phoneticPr fontId="3"/>
  </si>
  <si>
    <t>支給税ＣＤ</t>
    <phoneticPr fontId="3"/>
  </si>
  <si>
    <t>支給税優先</t>
    <phoneticPr fontId="3"/>
  </si>
  <si>
    <t>支給金額端数処理区分</t>
    <phoneticPr fontId="22"/>
  </si>
  <si>
    <t>支給税計算区分</t>
    <phoneticPr fontId="3"/>
  </si>
  <si>
    <t>支給税額端数処理区分</t>
    <phoneticPr fontId="22"/>
  </si>
  <si>
    <t>更新カウンタ</t>
    <phoneticPr fontId="22"/>
  </si>
  <si>
    <t>super/share</t>
    <phoneticPr fontId="3"/>
  </si>
  <si>
    <t>ID</t>
    <phoneticPr fontId="3"/>
  </si>
  <si>
    <t>MA.MABCL0570.Bp_UpdChk01.Bp_UpdChk01_Dtl</t>
    <phoneticPr fontId="3"/>
  </si>
  <si>
    <t>発注先担当者</t>
    <phoneticPr fontId="3"/>
  </si>
  <si>
    <t>更新カウンタ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</si>
  <si>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</si>
  <si>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</si>
  <si>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</si>
  <si>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</si>
  <si>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取引先名</t>
    <phoneticPr fontId="3"/>
  </si>
  <si>
    <t>論理削除.オフ</t>
    <phoneticPr fontId="3"/>
  </si>
  <si>
    <t>論理削除.オン</t>
    <phoneticPr fontId="3"/>
  </si>
  <si>
    <t>国ＣＤ</t>
    <phoneticPr fontId="3"/>
  </si>
  <si>
    <t>買掛先名</t>
    <phoneticPr fontId="3"/>
  </si>
  <si>
    <t>ＶＭＩ購買部門名</t>
    <phoneticPr fontId="3"/>
  </si>
  <si>
    <t>MAC_PURC_UPRI_REQ_TYP</t>
    <phoneticPr fontId="3"/>
  </si>
  <si>
    <t>購買単価取得区分名</t>
    <phoneticPr fontId="3"/>
  </si>
  <si>
    <t>仕入金額端数処理区分</t>
    <phoneticPr fontId="3"/>
  </si>
  <si>
    <t>MAC_RND_TYP</t>
    <phoneticPr fontId="3"/>
  </si>
  <si>
    <t>仕入金額端数処理区分名</t>
    <phoneticPr fontId="3"/>
  </si>
  <si>
    <t>仕入税計算区分</t>
    <phoneticPr fontId="3"/>
  </si>
  <si>
    <t>MAC_TAX_CALC_TYP</t>
    <phoneticPr fontId="3"/>
  </si>
  <si>
    <t>仕入税計算区分名</t>
    <phoneticPr fontId="3"/>
  </si>
  <si>
    <t>仕入税額端数処理区分</t>
    <phoneticPr fontId="3"/>
  </si>
  <si>
    <t>仕入税額端数処理区分名</t>
    <phoneticPr fontId="3"/>
  </si>
  <si>
    <t>支払繰越回数</t>
    <phoneticPr fontId="3"/>
  </si>
  <si>
    <t>発注先カレンダＣＤ</t>
    <phoneticPr fontId="3"/>
  </si>
  <si>
    <t>発注先カレンダ名</t>
    <phoneticPr fontId="3"/>
  </si>
  <si>
    <t>注文書表示ＣＤ</t>
    <phoneticPr fontId="3"/>
  </si>
  <si>
    <t>注文書表示名</t>
    <phoneticPr fontId="3"/>
  </si>
  <si>
    <t>発注先納品書ＣＤ</t>
    <phoneticPr fontId="3"/>
  </si>
  <si>
    <t>発注先納品書名</t>
    <phoneticPr fontId="3"/>
  </si>
  <si>
    <t>仕入税ＣＤ</t>
    <phoneticPr fontId="3"/>
  </si>
  <si>
    <t>仕入税名</t>
    <phoneticPr fontId="3"/>
  </si>
  <si>
    <t>発注先取引条件名１</t>
    <phoneticPr fontId="3"/>
  </si>
  <si>
    <t>発注先取引条件名２</t>
    <phoneticPr fontId="3"/>
  </si>
  <si>
    <t>発注先取引条件名３</t>
    <phoneticPr fontId="3"/>
  </si>
  <si>
    <t>MAC_SLIP_EACH_LOT_TYP</t>
    <phoneticPr fontId="3"/>
  </si>
  <si>
    <t>仕入ロット明細分割区分名</t>
    <phoneticPr fontId="3"/>
  </si>
  <si>
    <t>支給積送管理区分</t>
    <phoneticPr fontId="3"/>
  </si>
  <si>
    <t>MAC_PROV_RCV_TYP</t>
    <phoneticPr fontId="3"/>
  </si>
  <si>
    <t>支給積送管理区分名</t>
    <phoneticPr fontId="3"/>
  </si>
  <si>
    <t>MAC_PROV_BASIS_TYP</t>
    <phoneticPr fontId="3"/>
  </si>
  <si>
    <t>支給計上区分名</t>
    <phoneticPr fontId="3"/>
  </si>
  <si>
    <t>支給税名</t>
    <phoneticPr fontId="3"/>
  </si>
  <si>
    <t>支給金額端数処理区分</t>
    <phoneticPr fontId="3"/>
  </si>
  <si>
    <t>支給金額端数処理区分名</t>
    <phoneticPr fontId="3"/>
  </si>
  <si>
    <t>支給税計算区分名</t>
    <phoneticPr fontId="3"/>
  </si>
  <si>
    <t>支給税額端数処理区分</t>
    <phoneticPr fontId="3"/>
  </si>
  <si>
    <t>支給税額端数処理区分名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</si>
  <si>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</si>
  <si>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</si>
  <si>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</si>
  <si>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</si>
  <si>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</si>
  <si>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</si>
  <si>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</si>
  <si>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</si>
  <si>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</si>
  <si>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</si>
  <si>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</si>
  <si>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</si>
  <si>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</si>
  <si>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</si>
  <si>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論理削除</t>
    <phoneticPr fontId="3"/>
  </si>
  <si>
    <t>発注先ＣＤ</t>
    <phoneticPr fontId="3"/>
  </si>
  <si>
    <t>ワーキンググループＣＤ</t>
    <phoneticPr fontId="3"/>
  </si>
  <si>
    <t>ワーキンググループ名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</si>
  <si>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</si>
  <si>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</si>
  <si>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</si>
  <si>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</si>
  <si>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</si>
  <si>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品目区分</t>
    <phoneticPr fontId="3"/>
  </si>
  <si>
    <t>MAC_ITM_TYP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</si>
  <si>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</si>
  <si>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</si>
  <si>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</si>
  <si>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在庫管理区分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</si>
  <si>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</si>
  <si>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</si>
  <si>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</si>
  <si>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</si>
  <si>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単位ＣＤ</t>
    <phoneticPr fontId="3"/>
  </si>
  <si>
    <t>小数部有効桁数</t>
    <phoneticPr fontId="3"/>
  </si>
  <si>
    <t>メーカＣＤ</t>
    <phoneticPr fontId="3"/>
  </si>
  <si>
    <t>メーカ名</t>
    <phoneticPr fontId="3"/>
  </si>
  <si>
    <t>適用開始日</t>
    <phoneticPr fontId="3"/>
  </si>
  <si>
    <t>適用終了日</t>
    <phoneticPr fontId="3"/>
  </si>
  <si>
    <t>購買識別区分</t>
    <phoneticPr fontId="3"/>
  </si>
  <si>
    <t>MAC_PURC_ID_TYP</t>
    <phoneticPr fontId="3"/>
  </si>
  <si>
    <t>購買識別区分名</t>
    <phoneticPr fontId="3"/>
  </si>
  <si>
    <t>購入ＬＴ</t>
    <phoneticPr fontId="3"/>
  </si>
  <si>
    <t>検収ＬＴ</t>
    <phoneticPr fontId="3"/>
  </si>
  <si>
    <t>安全ＬＴ</t>
    <phoneticPr fontId="3"/>
  </si>
  <si>
    <t>オーダ自動確定期間（日）</t>
    <phoneticPr fontId="3"/>
  </si>
  <si>
    <t>曜日まとめ区分</t>
    <phoneticPr fontId="3"/>
  </si>
  <si>
    <t>MAC_DAY_WEEK_TYP</t>
    <phoneticPr fontId="3"/>
  </si>
  <si>
    <t>曜日まとめ区分名</t>
    <phoneticPr fontId="3"/>
  </si>
  <si>
    <t>曜日まとめ期間（週）</t>
    <phoneticPr fontId="3"/>
  </si>
  <si>
    <t>ロットまとめ期間（日）</t>
    <phoneticPr fontId="3"/>
  </si>
  <si>
    <t>最小ロット数</t>
    <phoneticPr fontId="3"/>
  </si>
  <si>
    <t>刻みロット数</t>
    <phoneticPr fontId="3"/>
  </si>
  <si>
    <t>最大ロット数</t>
    <phoneticPr fontId="3"/>
  </si>
  <si>
    <t>最大オーダ数</t>
    <phoneticPr fontId="3"/>
  </si>
  <si>
    <t>優先順</t>
    <phoneticPr fontId="3"/>
  </si>
  <si>
    <t>オーダ比率</t>
    <phoneticPr fontId="3"/>
  </si>
  <si>
    <t>先行手配対象</t>
    <phoneticPr fontId="3"/>
  </si>
  <si>
    <t>購買依頼先ワーキンググループＣＤ</t>
    <phoneticPr fontId="3"/>
  </si>
  <si>
    <t>購買依頼先ワーキンググループ名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</si>
  <si>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</si>
  <si>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</si>
  <si>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</si>
  <si>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</si>
  <si>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ＭＲＰ対象外</t>
    <phoneticPr fontId="3"/>
  </si>
  <si>
    <t>原価比率</t>
    <phoneticPr fontId="3"/>
  </si>
  <si>
    <t>メモ１</t>
    <phoneticPr fontId="3"/>
  </si>
  <si>
    <t>メモ２</t>
    <phoneticPr fontId="3"/>
  </si>
  <si>
    <t>メモ３</t>
    <phoneticPr fontId="3"/>
  </si>
  <si>
    <t>期限管理対象</t>
    <phoneticPr fontId="3"/>
  </si>
  <si>
    <t>工場・物流倉庫ＣＤ</t>
    <phoneticPr fontId="3"/>
  </si>
  <si>
    <t>工場・物流倉庫名</t>
    <phoneticPr fontId="3"/>
  </si>
  <si>
    <t>検査対象外</t>
    <phoneticPr fontId="3"/>
  </si>
  <si>
    <t>検査パタンＣＤ</t>
    <phoneticPr fontId="3"/>
  </si>
  <si>
    <t>検査パタン名</t>
    <phoneticPr fontId="3"/>
  </si>
  <si>
    <t>市場出荷判定対象外</t>
    <phoneticPr fontId="3"/>
  </si>
  <si>
    <t>工場出荷承認対象外</t>
    <phoneticPr fontId="3"/>
  </si>
  <si>
    <t>検査承認対象外</t>
    <phoneticPr fontId="3"/>
  </si>
  <si>
    <t>期限起算日区分</t>
    <phoneticPr fontId="3"/>
  </si>
  <si>
    <t>MAC_LMT_DT_FRM_TYP</t>
    <phoneticPr fontId="3"/>
  </si>
  <si>
    <t>期限起算日区分名</t>
    <phoneticPr fontId="3"/>
  </si>
  <si>
    <t>有効期間</t>
    <phoneticPr fontId="3"/>
  </si>
  <si>
    <t>使用期間</t>
    <phoneticPr fontId="3"/>
  </si>
  <si>
    <t>有効期間（延長時）</t>
    <phoneticPr fontId="3"/>
  </si>
  <si>
    <t>期間計算区分</t>
    <phoneticPr fontId="3"/>
  </si>
  <si>
    <t>MAC_CALC_PD_TYP</t>
    <phoneticPr fontId="3"/>
  </si>
  <si>
    <t>期間計算区分名</t>
    <phoneticPr fontId="3"/>
  </si>
  <si>
    <t>期限起算日区分（延長時）</t>
    <phoneticPr fontId="3"/>
  </si>
  <si>
    <t>期限起算日区分（延長時）名</t>
    <phoneticPr fontId="3"/>
  </si>
  <si>
    <t>検査指図タイミング区分</t>
    <phoneticPr fontId="3"/>
  </si>
  <si>
    <t>MAC_INSP_INST_ISSUE_TYP</t>
    <phoneticPr fontId="3"/>
  </si>
  <si>
    <t>検査指図タイミング区分名</t>
    <phoneticPr fontId="3"/>
  </si>
  <si>
    <t>検査オフセット</t>
    <phoneticPr fontId="3"/>
  </si>
  <si>
    <t>検査指図時成績書発行</t>
    <phoneticPr fontId="3"/>
  </si>
  <si>
    <t>先行検査有効</t>
    <phoneticPr fontId="3"/>
  </si>
  <si>
    <t>物流グループＣＤ</t>
    <phoneticPr fontId="3"/>
  </si>
  <si>
    <t>物流グループ名</t>
    <phoneticPr fontId="3"/>
  </si>
  <si>
    <t>ＩＦ処理区分</t>
    <phoneticPr fontId="3"/>
  </si>
  <si>
    <t>MAC_IF_PROC_TYP</t>
    <phoneticPr fontId="3"/>
  </si>
  <si>
    <t>ＩＦ処理区分名</t>
    <phoneticPr fontId="3"/>
  </si>
  <si>
    <t>外部システムＣＤ</t>
    <phoneticPr fontId="3"/>
  </si>
  <si>
    <t>外部システム名</t>
    <phoneticPr fontId="3"/>
  </si>
  <si>
    <t>諸口品</t>
    <phoneticPr fontId="3"/>
  </si>
  <si>
    <t>取引先品目ＣＤ</t>
    <phoneticPr fontId="3"/>
  </si>
  <si>
    <t>取引先品名</t>
    <phoneticPr fontId="3"/>
  </si>
  <si>
    <t>購買内示グループＣＤ</t>
    <phoneticPr fontId="3"/>
  </si>
  <si>
    <t>購買内示グループ名</t>
    <phoneticPr fontId="3"/>
  </si>
  <si>
    <t>購買内示確定</t>
    <phoneticPr fontId="3"/>
  </si>
  <si>
    <t>引取責任</t>
    <phoneticPr fontId="3"/>
  </si>
  <si>
    <t>購買担当者ＣＤ</t>
    <phoneticPr fontId="18"/>
  </si>
  <si>
    <t>購買担当者名</t>
    <phoneticPr fontId="18"/>
  </si>
  <si>
    <t>購買部門ＣＤ</t>
    <phoneticPr fontId="18"/>
  </si>
  <si>
    <t>購買部門名</t>
    <phoneticPr fontId="18"/>
  </si>
  <si>
    <t>外注担当者ＣＤ</t>
    <phoneticPr fontId="18"/>
  </si>
  <si>
    <t>外注担当者名</t>
    <phoneticPr fontId="18"/>
  </si>
  <si>
    <t>外注部門ＣＤ</t>
    <phoneticPr fontId="18"/>
  </si>
  <si>
    <t>外注部門名</t>
    <phoneticPr fontId="18"/>
  </si>
  <si>
    <t>Srch01_Rslt1</t>
    <phoneticPr fontId="3"/>
  </si>
  <si>
    <t>#MA.DPT_NM</t>
    <phoneticPr fontId="3"/>
  </si>
  <si>
    <t>MA.MABCL0570.Bp_Upd01.Bp_Upd01_Dtl</t>
    <phoneticPr fontId="3"/>
  </si>
  <si>
    <t>Bp_UpdChk01_Dtl</t>
    <phoneticPr fontId="3"/>
  </si>
  <si>
    <t>Bp_Upd01_Dtl</t>
    <phoneticPr fontId="3"/>
  </si>
  <si>
    <t>MA.MABSL0010.ItmDtl_Upd01.ItmDtl_Upd01_Dtl</t>
    <phoneticPr fontId="3"/>
  </si>
  <si>
    <t>ItmDtl_UpdChk01_Dtl</t>
    <phoneticPr fontId="3"/>
  </si>
  <si>
    <t>ItmDtl_Upd01_Dtl</t>
    <phoneticPr fontId="3"/>
  </si>
  <si>
    <t>適用開始日_[変更前]</t>
    <phoneticPr fontId="3"/>
  </si>
  <si>
    <t>製造場所ＣＤ</t>
    <phoneticPr fontId="3"/>
  </si>
  <si>
    <t>依頼先場所ＣＤ</t>
    <phoneticPr fontId="3"/>
  </si>
  <si>
    <t>構成パタン</t>
    <phoneticPr fontId="3"/>
  </si>
  <si>
    <t>MA.MABSL0190.ItmInsp_Upd01.ItmInsp_Upd01_Dtl</t>
    <phoneticPr fontId="3"/>
  </si>
  <si>
    <t>ItmInsp_UpdChk01_Dtl</t>
    <phoneticPr fontId="3"/>
  </si>
  <si>
    <t>ItmInsp_Upd01_Dtl</t>
    <phoneticPr fontId="3"/>
  </si>
  <si>
    <t>出荷元工場・物流倉庫ＣＤ</t>
    <phoneticPr fontId="3"/>
  </si>
  <si>
    <t>MA.MABSL0530.PurcDdlvLt_Upd01.PurcDdlvLt_Upd01_Dtl</t>
    <phoneticPr fontId="3"/>
  </si>
  <si>
    <t>PurcDdlvLt_UpdChk01_Dtl</t>
    <phoneticPr fontId="3"/>
  </si>
  <si>
    <t>PurcDdlvLt_Upd01_Dtl</t>
    <phoneticPr fontId="3"/>
  </si>
  <si>
    <t>MA.MABSL1230.EdiIfCtl_Upd01.EdiIfCtl_Upd01_Dtl</t>
    <phoneticPr fontId="3"/>
  </si>
  <si>
    <t>EdiIfCtl_UpdChk01_Dtl</t>
    <phoneticPr fontId="3"/>
  </si>
  <si>
    <t>EdiIfCtl_Upd01_Dtl</t>
    <phoneticPr fontId="3"/>
  </si>
  <si>
    <t>MA.MABSL0640.BpItm_Upd01.BpItm_Upd01_Dtl</t>
    <phoneticPr fontId="3"/>
  </si>
  <si>
    <t>BpItm_UpdChk01_Dtl</t>
    <phoneticPr fontId="3"/>
  </si>
  <si>
    <t>BpItm_Upd01_Dtl</t>
    <phoneticPr fontId="3"/>
  </si>
  <si>
    <t>取引先品目名</t>
    <phoneticPr fontId="3"/>
  </si>
  <si>
    <t>MA.MABSL0670.SpplUsr_Upd01.SpplUsr_Upd01_Dtl</t>
    <phoneticPr fontId="3"/>
  </si>
  <si>
    <t>SpplUsr_UpdChk01_Dtl</t>
    <phoneticPr fontId="3"/>
  </si>
  <si>
    <t>SpplUsr_Upd01_Dtl</t>
    <phoneticPr fontId="3"/>
  </si>
  <si>
    <t>適用開始日</t>
    <phoneticPr fontId="7"/>
  </si>
  <si>
    <t>適用終了日</t>
    <phoneticPr fontId="7"/>
  </si>
  <si>
    <t>mfg_loc_cd</t>
    <phoneticPr fontId="3"/>
  </si>
  <si>
    <t>#MA.LOC_CD</t>
    <phoneticPr fontId="3"/>
  </si>
  <si>
    <t>000000</t>
    <phoneticPr fontId="3"/>
  </si>
  <si>
    <t>MA.MAUAL0010.Bp</t>
    <phoneticPr fontId="22"/>
  </si>
  <si>
    <t>MAC_BP_IS_SRCH_TYP.SPPL</t>
    <phoneticPr fontId="22"/>
  </si>
  <si>
    <t>MA.MAUAL0010.Dpt</t>
    <phoneticPr fontId="22"/>
  </si>
  <si>
    <t>MAC_PURC_UPRI_REQ_TYP</t>
    <phoneticPr fontId="22"/>
  </si>
  <si>
    <t>MAC_RND_TYP</t>
    <phoneticPr fontId="22"/>
  </si>
  <si>
    <t>MAC_TAX_CALC_TYP</t>
    <phoneticPr fontId="22"/>
  </si>
  <si>
    <t>MA.MAUAL0010.PurcTax</t>
    <phoneticPr fontId="22"/>
  </si>
  <si>
    <t>MA.MAUAL0010.CalBase</t>
    <phoneticPr fontId="22"/>
  </si>
  <si>
    <t>MA.MAUAL0010.PoPrint</t>
    <phoneticPr fontId="22"/>
  </si>
  <si>
    <t>MA.MAUAL0010.SlipForm</t>
    <phoneticPr fontId="22"/>
  </si>
  <si>
    <t>MAC_PROV_RCV_TYP</t>
    <phoneticPr fontId="22"/>
  </si>
  <si>
    <t>MAC_SLIP_EACH_LOT_TYP</t>
    <phoneticPr fontId="22"/>
  </si>
  <si>
    <t>MA.MAUAL0010.Tterm1</t>
    <phoneticPr fontId="22"/>
  </si>
  <si>
    <t>MAC_PROV_BASIS_TYP</t>
    <phoneticPr fontId="22"/>
  </si>
  <si>
    <t>MA.MAUAL0010.ProvTax</t>
    <phoneticPr fontId="22"/>
  </si>
  <si>
    <t>asppl_flg</t>
    <phoneticPr fontId="3"/>
  </si>
  <si>
    <t>bsppl_cd</t>
  </si>
  <si>
    <t>bsppl_nm</t>
  </si>
  <si>
    <t>ap_dpt_cd</t>
  </si>
  <si>
    <t>ap_dpt_nm</t>
  </si>
  <si>
    <t>#MA.BP_CD</t>
    <phoneticPr fontId="3"/>
  </si>
  <si>
    <t>#MA.BP_NM</t>
    <phoneticPr fontId="3"/>
  </si>
  <si>
    <t>#MA.DPT_CD</t>
    <phoneticPr fontId="3"/>
  </si>
  <si>
    <t>債務部門ＣＤ</t>
    <phoneticPr fontId="3"/>
  </si>
  <si>
    <t>bsppl_flg</t>
    <phoneticPr fontId="3"/>
  </si>
  <si>
    <t>支払予定管理先</t>
    <phoneticPr fontId="3"/>
  </si>
  <si>
    <t>prov_tax_calc_typ</t>
    <phoneticPr fontId="3"/>
  </si>
  <si>
    <t>check_ap_dpt_cd</t>
    <phoneticPr fontId="3"/>
  </si>
  <si>
    <t>Srch01_Rslt2</t>
    <phoneticPr fontId="3"/>
  </si>
  <si>
    <t>purc_lt_add_qty</t>
    <phoneticPr fontId="3"/>
  </si>
  <si>
    <t>Upd01_Dtl2</t>
    <phoneticPr fontId="3"/>
  </si>
  <si>
    <t>0:99</t>
    <phoneticPr fontId="3"/>
  </si>
  <si>
    <t>bsppl_flg</t>
    <phoneticPr fontId="22"/>
  </si>
  <si>
    <t>支払予定管理先</t>
    <phoneticPr fontId="22"/>
  </si>
  <si>
    <t>bsppl_cd</t>
    <phoneticPr fontId="22"/>
  </si>
  <si>
    <t>支払予定管理先ＣＤ</t>
    <phoneticPr fontId="22"/>
  </si>
  <si>
    <t>ap_dpt_cd</t>
    <phoneticPr fontId="22"/>
  </si>
  <si>
    <t>債務部門ＣＤ</t>
    <phoneticPr fontId="22"/>
  </si>
  <si>
    <t>check_ap_dpt_cd</t>
    <phoneticPr fontId="22"/>
  </si>
  <si>
    <t>買掛先</t>
    <phoneticPr fontId="3"/>
  </si>
  <si>
    <t>支払予定管理先ＣＤ</t>
    <phoneticPr fontId="3"/>
  </si>
  <si>
    <t>支払予定管理先名</t>
    <phoneticPr fontId="3"/>
  </si>
  <si>
    <t>債務部門名</t>
    <phoneticPr fontId="3"/>
  </si>
  <si>
    <t>購入ＬＴ加算基準数量</t>
    <phoneticPr fontId="3"/>
  </si>
  <si>
    <t>outsrc_upri_typ</t>
    <phoneticPr fontId="3"/>
  </si>
  <si>
    <t>#MA.OUTSRC_UPRI_TYP</t>
  </si>
  <si>
    <t>outsrc_upri_typ</t>
  </si>
  <si>
    <t>outsrc_upri_typ_nm</t>
    <phoneticPr fontId="3"/>
  </si>
  <si>
    <t>#MA.OUTSRC_UPRI_TYP_NM</t>
    <phoneticPr fontId="3"/>
  </si>
  <si>
    <t>po_batch_flg</t>
  </si>
  <si>
    <t>MA.MAUDL5010</t>
    <phoneticPr fontId="3"/>
  </si>
  <si>
    <t>"mcframe.serverMAUD.MAUDL6010.MAUDL_RLUpdater"</t>
    <phoneticPr fontId="3"/>
  </si>
  <si>
    <t>"mcframe.serverMAUD.MAUDL6010.MAUDL_RLSearcher"</t>
    <phoneticPr fontId="3"/>
  </si>
  <si>
    <t>DBC.MA.MAM_BP</t>
    <phoneticPr fontId="3"/>
  </si>
  <si>
    <t>DBC.MA.MAM_ITM_INSP</t>
    <phoneticPr fontId="3"/>
  </si>
  <si>
    <t>DBC.MA.MAM_PURC_DDLV_LT</t>
    <phoneticPr fontId="3"/>
  </si>
  <si>
    <t>DBC.MA.MAM_EDI_IF_CTL</t>
    <phoneticPr fontId="3"/>
  </si>
  <si>
    <t>DBC.MA.MAM_BP_ITM</t>
    <phoneticPr fontId="3"/>
  </si>
  <si>
    <t>DBC.MA.MAM_SPPL_USR</t>
    <phoneticPr fontId="3"/>
  </si>
  <si>
    <t>DBC.MA.MAM_ITM_DTL_</t>
    <phoneticPr fontId="3"/>
  </si>
  <si>
    <t>ID</t>
    <phoneticPr fontId="22"/>
  </si>
  <si>
    <t>bp_is_srch_typ</t>
    <phoneticPr fontId="3"/>
  </si>
  <si>
    <t>MAC_BP_IS_SRCH_TYP.ASPPL</t>
    <phoneticPr fontId="3"/>
  </si>
  <si>
    <t>MAC_DPT_IS_SRCH_TYP.PURC;true</t>
    <phoneticPr fontId="3"/>
  </si>
  <si>
    <t>dpt_is_srch_typ;mode_today_flg</t>
    <phoneticPr fontId="3"/>
  </si>
  <si>
    <t>MA.MAUAL0010.Tterm2</t>
    <phoneticPr fontId="3"/>
  </si>
  <si>
    <t>MA.MAUAL0010.Tterm3</t>
    <phoneticPr fontId="3"/>
  </si>
  <si>
    <t>外注単価区分</t>
    <phoneticPr fontId="3"/>
  </si>
  <si>
    <t>MAC_OUTSRC_UPRI_TYP</t>
    <phoneticPr fontId="3"/>
  </si>
  <si>
    <t>MA.MAUAL0010.Bp</t>
    <phoneticPr fontId="3"/>
  </si>
  <si>
    <t>MAC_BP_IS_SRCH_TYP.BSPPL;bsppl_flg;bp_cd</t>
    <phoneticPr fontId="3"/>
  </si>
  <si>
    <t>bp_is_srch_typ;check_rem_flg;ref_bp_cd</t>
    <phoneticPr fontId="3"/>
  </si>
  <si>
    <t>MA.MAUAL0010.Dpt</t>
    <phoneticPr fontId="3"/>
  </si>
  <si>
    <t>MAC_DPT_IS_SRCH_TYP.AP;true</t>
    <phoneticPr fontId="3"/>
  </si>
  <si>
    <t>ID</t>
    <phoneticPr fontId="3"/>
  </si>
  <si>
    <t>外注単価区分名</t>
    <phoneticPr fontId="3"/>
  </si>
  <si>
    <t>発注バッチ</t>
    <phoneticPr fontId="3"/>
  </si>
  <si>
    <t>purc_basis_typ</t>
    <phoneticPr fontId="3"/>
  </si>
  <si>
    <t>#MA.PURC_BASIS_TYP</t>
    <phoneticPr fontId="3"/>
  </si>
  <si>
    <t>仕入計上区分</t>
    <rPh sb="0" eb="6">
      <t>シイレケイジョウクブン</t>
    </rPh>
    <phoneticPr fontId="3"/>
  </si>
  <si>
    <t>MAC_PURC_BASIS_TYP</t>
    <phoneticPr fontId="3"/>
  </si>
  <si>
    <t>purc_basis_typ</t>
    <phoneticPr fontId="3"/>
  </si>
  <si>
    <t>#MA.PURC_BASIS_TYP</t>
    <phoneticPr fontId="3"/>
  </si>
  <si>
    <t>仕入計上区分名</t>
    <rPh sb="0" eb="6">
      <t>シイレケイジョウクブン</t>
    </rPh>
    <rPh sb="6" eb="7">
      <t>メイ</t>
    </rPh>
    <phoneticPr fontId="3"/>
  </si>
  <si>
    <t>CALL_OPE03.chk03</t>
    <phoneticPr fontId="3"/>
  </si>
  <si>
    <t>CALL_OPE03.upd03</t>
    <phoneticPr fontId="3"/>
  </si>
  <si>
    <t>CALL_OPE04.chk04</t>
    <phoneticPr fontId="3"/>
  </si>
  <si>
    <t>CALL_OPE04.upd04</t>
    <phoneticPr fontId="3"/>
  </si>
  <si>
    <t>CALL_OPE05.chk05</t>
    <phoneticPr fontId="3"/>
  </si>
  <si>
    <t>CALL_OPE05.upd05</t>
    <phoneticPr fontId="3"/>
  </si>
  <si>
    <t>CALL_OPE06.chk06</t>
    <phoneticPr fontId="3"/>
  </si>
  <si>
    <t>CALL_OPE06.upd06</t>
    <phoneticPr fontId="3"/>
  </si>
  <si>
    <t>CALL_OPE07.chk07</t>
    <phoneticPr fontId="3"/>
  </si>
  <si>
    <t>CALL_OPE07.upd07</t>
    <phoneticPr fontId="3"/>
  </si>
  <si>
    <t>買戻義務</t>
    <rPh sb="0" eb="2">
      <t>カイモド</t>
    </rPh>
    <rPh sb="2" eb="4">
      <t>ギム</t>
    </rPh>
    <phoneticPr fontId="3"/>
  </si>
  <si>
    <t>repurc_obli_flg</t>
    <phoneticPr fontId="3"/>
  </si>
  <si>
    <t>MAC_PRNT_TYP</t>
    <phoneticPr fontId="3"/>
  </si>
  <si>
    <t>#MA.PRNT_TYP_NM</t>
  </si>
  <si>
    <t>sppl_prnt_typ</t>
    <phoneticPr fontId="3"/>
  </si>
  <si>
    <t>#MA.PRNT_TYP</t>
    <phoneticPr fontId="3"/>
  </si>
  <si>
    <t>sppl_prnt_typ_nm</t>
    <phoneticPr fontId="3"/>
  </si>
  <si>
    <t>po_dlv_slip_flg</t>
  </si>
  <si>
    <t>dlv_inst_dlv_slip_flg</t>
  </si>
  <si>
    <t>prms_rcpt_dlv_slip_flg</t>
  </si>
  <si>
    <t>def_flg</t>
    <phoneticPr fontId="3"/>
  </si>
  <si>
    <t>デフォルト</t>
    <phoneticPr fontId="3"/>
  </si>
  <si>
    <t>not_onr_prov_flg</t>
    <phoneticPr fontId="3"/>
  </si>
  <si>
    <t>有償支給対象外</t>
    <phoneticPr fontId="3"/>
  </si>
  <si>
    <t>rcpt_iv_dup_flg</t>
    <phoneticPr fontId="3"/>
  </si>
  <si>
    <t>受領インボイス重複許可</t>
    <rPh sb="0" eb="2">
      <t>ジュリョウ</t>
    </rPh>
    <rPh sb="7" eb="11">
      <t>チョウフクキョカ</t>
    </rPh>
    <phoneticPr fontId="3"/>
  </si>
  <si>
    <t>発注時納品書</t>
    <rPh sb="0" eb="2">
      <t>ハッチュウ</t>
    </rPh>
    <rPh sb="2" eb="3">
      <t>ジ</t>
    </rPh>
    <rPh sb="3" eb="6">
      <t>ノウヒンショ</t>
    </rPh>
    <phoneticPr fontId="22"/>
  </si>
  <si>
    <t>納入指示時納品書</t>
    <rPh sb="0" eb="5">
      <t>ノウニュウシジジ</t>
    </rPh>
    <rPh sb="5" eb="8">
      <t>ノウヒンショ</t>
    </rPh>
    <phoneticPr fontId="22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</si>
  <si>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22"/>
  </si>
  <si>
    <t>受領インボイス重複許可</t>
    <rPh sb="0" eb="2">
      <t>ジュリョウ</t>
    </rPh>
    <rPh sb="7" eb="11">
      <t>チョウフクキョカ</t>
    </rPh>
    <phoneticPr fontId="22"/>
  </si>
  <si>
    <t>帳票発行区分（発注先）</t>
    <phoneticPr fontId="22"/>
  </si>
  <si>
    <t>納期回答確認</t>
    <phoneticPr fontId="22"/>
  </si>
  <si>
    <t>#MA.TAX_CD</t>
    <phoneticPr fontId="3"/>
  </si>
  <si>
    <t>仕入税優先</t>
    <phoneticPr fontId="22"/>
  </si>
  <si>
    <t>発注先インボイス取引</t>
    <phoneticPr fontId="22"/>
  </si>
  <si>
    <t>#MA.TTERM_CD</t>
    <phoneticPr fontId="3"/>
  </si>
  <si>
    <t>発注先取引条件ＣＤ１</t>
    <phoneticPr fontId="22"/>
  </si>
  <si>
    <t>発注先取引条件ＣＤ２</t>
    <phoneticPr fontId="22"/>
  </si>
  <si>
    <t>発注先取引条件ＣＤ３</t>
    <phoneticPr fontId="22"/>
  </si>
  <si>
    <t>案件別注文書</t>
    <phoneticPr fontId="22"/>
  </si>
  <si>
    <t>案件別債務管理</t>
    <phoneticPr fontId="22"/>
  </si>
  <si>
    <t>仕入ロット明細分割区分</t>
    <phoneticPr fontId="22"/>
  </si>
  <si>
    <t>有償支給先</t>
    <phoneticPr fontId="22"/>
  </si>
  <si>
    <t>買戻義務</t>
    <rPh sb="0" eb="2">
      <t>カイモド</t>
    </rPh>
    <rPh sb="2" eb="4">
      <t>ギム</t>
    </rPh>
    <phoneticPr fontId="22"/>
  </si>
  <si>
    <t>#MA.OUTSRC_UPRI_TYP</t>
    <phoneticPr fontId="3"/>
  </si>
  <si>
    <t>外注単価区分</t>
    <phoneticPr fontId="22"/>
  </si>
  <si>
    <t>仕入計上区分</t>
    <rPh sb="0" eb="6">
      <t>シイレケイジョウクブン</t>
    </rPh>
    <phoneticPr fontId="22"/>
  </si>
  <si>
    <t>支給計上区分</t>
    <phoneticPr fontId="22"/>
  </si>
  <si>
    <t>支給単価変更許可</t>
    <phoneticPr fontId="22"/>
  </si>
  <si>
    <t>支給税ＣＤ</t>
    <phoneticPr fontId="22"/>
  </si>
  <si>
    <t>支給税優先</t>
    <phoneticPr fontId="22"/>
  </si>
  <si>
    <t>支給税計算区分</t>
    <phoneticPr fontId="22"/>
  </si>
  <si>
    <t>発注時納品書</t>
    <rPh sb="0" eb="2">
      <t>ハッチュウ</t>
    </rPh>
    <rPh sb="2" eb="3">
      <t>ジ</t>
    </rPh>
    <rPh sb="3" eb="6">
      <t>ノウヒンショ</t>
    </rPh>
    <phoneticPr fontId="3"/>
  </si>
  <si>
    <t>納入指示時納品書</t>
    <rPh sb="0" eb="5">
      <t>ノウニュウシジジ</t>
    </rPh>
    <rPh sb="5" eb="8">
      <t>ノウヒンショ</t>
    </rPh>
    <phoneticPr fontId="3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</si>
  <si>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3"/>
  </si>
  <si>
    <t>帳票発行区分（発注先）</t>
    <phoneticPr fontId="3"/>
  </si>
  <si>
    <t>帳票発行区分名（発注先）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</si>
  <si>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</si>
  <si>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</si>
  <si>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</si>
  <si>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</si>
  <si>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22"/>
  </si>
  <si>
    <t>型
Type</t>
    <phoneticPr fontId="2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</si>
  <si>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</si>
  <si>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</si>
  <si>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</si>
  <si>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</si>
  <si>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</si>
  <si>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</si>
  <si>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</si>
  <si>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</si>
  <si>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BP cd.</t>
  </si>
  <si>
    <t>AP supplier cd.</t>
  </si>
  <si>
    <t>Country cd.</t>
  </si>
  <si>
    <t>Supplier dept.</t>
  </si>
  <si>
    <t>Supplier PIC</t>
  </si>
  <si>
    <t>Supplier PIC form of address</t>
  </si>
  <si>
    <t>For subcontract</t>
  </si>
  <si>
    <t>Chargeable supplier</t>
  </si>
  <si>
    <t>Repurchase obligation</t>
  </si>
  <si>
    <t>VMI purchasing dept. cd.</t>
  </si>
  <si>
    <t>Purchase unit price acquisition type</t>
  </si>
  <si>
    <t>Allow purchasing unit price change</t>
  </si>
  <si>
    <t>Check order promising</t>
  </si>
  <si>
    <t>Rounding type (Purchase amount)</t>
  </si>
  <si>
    <t>Purchase tax calculation type</t>
  </si>
  <si>
    <t>Rounding type (Purchase tax)</t>
  </si>
  <si>
    <t>Purchase tax cd.</t>
  </si>
  <si>
    <t>Purchase tax priority</t>
  </si>
  <si>
    <t>Supplier calendar cd.</t>
  </si>
  <si>
    <t>Display PO sheet cd.</t>
  </si>
  <si>
    <t>Supplier delivery note cd.</t>
  </si>
  <si>
    <t>Delivery note at PO</t>
  </si>
  <si>
    <t>Delivery note at delivery order</t>
  </si>
  <si>
    <t>Delivery note at order promising result receipt</t>
  </si>
  <si>
    <t>In-transit supply management type</t>
  </si>
  <si>
    <t>Purchase lot details split type</t>
  </si>
  <si>
    <t>Supplier transaction terms cd. 1</t>
  </si>
  <si>
    <t>Supplier transaction terms cd. 2</t>
  </si>
  <si>
    <t>Supplier transaction terms cd. 3</t>
  </si>
  <si>
    <t>Payment carry-over count</t>
  </si>
  <si>
    <t>PO sheet by sales project</t>
  </si>
  <si>
    <t>AP management by sales project</t>
  </si>
  <si>
    <t>Supplier invoice transaction</t>
  </si>
  <si>
    <t>Allow purchase invoice duplication</t>
  </si>
  <si>
    <t>Subcontracting unit price type</t>
  </si>
  <si>
    <t>Purchase recording type</t>
  </si>
  <si>
    <t>Supply recording type</t>
  </si>
  <si>
    <t>Allow supply unit price change</t>
  </si>
  <si>
    <t>Supply tax cd.</t>
  </si>
  <si>
    <t>Supply tax first</t>
  </si>
  <si>
    <t>Supply amount rounding type</t>
  </si>
  <si>
    <t>Supply tax calculation type</t>
  </si>
  <si>
    <t>Supply tax rounding type</t>
  </si>
  <si>
    <t>Scheduled payee</t>
  </si>
  <si>
    <t>Scheduled payee cd.</t>
  </si>
  <si>
    <t>AP dept. cd.</t>
  </si>
  <si>
    <t>Report issue type (Supplier)</t>
  </si>
  <si>
    <t>Update counter</t>
  </si>
  <si>
    <t>項目名
Field Name</t>
    <phoneticPr fontId="3"/>
  </si>
  <si>
    <t>型
Type</t>
    <phoneticPr fontId="3"/>
  </si>
  <si>
    <t>Application start date FROM</t>
  </si>
  <si>
    <t>Application start date TO</t>
  </si>
  <si>
    <t>Application end date FROM</t>
  </si>
  <si>
    <t>Application end date TO</t>
  </si>
  <si>
    <t>BP name</t>
  </si>
  <si>
    <t>Logical delete. Off</t>
  </si>
  <si>
    <t>Logical delete. On</t>
  </si>
  <si>
    <t>AP supplier</t>
  </si>
  <si>
    <t>AP supplier name</t>
  </si>
  <si>
    <t>VMI purchasing dept. name</t>
  </si>
  <si>
    <t>Purchase unit price acquisition type name</t>
  </si>
  <si>
    <t>Rounding type name (Purchase amount)</t>
  </si>
  <si>
    <t>Purchase tax calculation type name</t>
  </si>
  <si>
    <t>Purchase tax amount rounding type</t>
  </si>
  <si>
    <t>Supplier calendar name</t>
  </si>
  <si>
    <t>Display PO sheet name</t>
  </si>
  <si>
    <t>Supplier delivery note name</t>
  </si>
  <si>
    <t>Purchase tax type name</t>
  </si>
  <si>
    <t>Supplier transaction terms name 1</t>
  </si>
  <si>
    <t>Supplier transaction terms name 2</t>
  </si>
  <si>
    <t>Supplier transaction terms name 3</t>
  </si>
  <si>
    <t>Purchase lot details split type name</t>
  </si>
  <si>
    <t>Supply in-transit management type</t>
  </si>
  <si>
    <t>Subcontracting unit price type name</t>
  </si>
  <si>
    <t>Purchase recording type name</t>
  </si>
  <si>
    <t>Supply recording type name</t>
  </si>
  <si>
    <t>Supply tax name</t>
  </si>
  <si>
    <t>Supply tax calculation type name</t>
  </si>
  <si>
    <t>Supply tax amount rounding type</t>
  </si>
  <si>
    <t>Scheduled payee name</t>
  </si>
  <si>
    <t>AP dept. name</t>
  </si>
  <si>
    <t>Report issue type name (Supplier)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</si>
  <si>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</si>
  <si>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</si>
  <si>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</si>
  <si>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</si>
  <si>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</si>
  <si>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</si>
  <si>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</si>
  <si>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</si>
  <si>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</si>
  <si>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</si>
  <si>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</si>
  <si>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</si>
  <si>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</si>
  <si>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</si>
  <si>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Logical delete</t>
  </si>
  <si>
    <t>Supplier cd.</t>
  </si>
  <si>
    <t>WG cd.</t>
  </si>
  <si>
    <t>WG name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</si>
  <si>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</si>
  <si>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</si>
  <si>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</si>
  <si>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</si>
  <si>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</si>
  <si>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</si>
  <si>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</si>
  <si>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</si>
  <si>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</si>
  <si>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</si>
  <si>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</si>
  <si>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</si>
  <si>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</si>
  <si>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</si>
  <si>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Unit cd.</t>
  </si>
  <si>
    <t>Number of decimal places</t>
  </si>
  <si>
    <t>Maker cd.</t>
  </si>
  <si>
    <t>Maker name</t>
  </si>
  <si>
    <t>Application start date</t>
  </si>
  <si>
    <t>Application end date</t>
  </si>
  <si>
    <t>Purchase identification type</t>
  </si>
  <si>
    <t>Purchase identification type name</t>
  </si>
  <si>
    <t>Purchase LT</t>
  </si>
  <si>
    <t>Purchase LT adds standard qty.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</si>
  <si>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</si>
  <si>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</si>
  <si>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</si>
  <si>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</si>
  <si>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</si>
  <si>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</si>
  <si>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</si>
  <si>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Minimum lot size</t>
  </si>
  <si>
    <t>Increments of lot size</t>
  </si>
  <si>
    <t>Maximum lot size</t>
  </si>
  <si>
    <t>Max. order qty.</t>
  </si>
  <si>
    <t>Priority</t>
  </si>
  <si>
    <t>Order ratio</t>
  </si>
  <si>
    <t>For long LT</t>
  </si>
  <si>
    <t>Purchase request destination WG cd.</t>
  </si>
  <si>
    <t>Purchase requested WG name</t>
  </si>
  <si>
    <t>PO batch</t>
  </si>
  <si>
    <t>SEIBAN No. 1</t>
  </si>
  <si>
    <t>SEIBAN No. 2</t>
  </si>
  <si>
    <t>SEIBAN No. 3</t>
  </si>
  <si>
    <t>SEIBAN No. 4</t>
  </si>
  <si>
    <t>Not for MRP</t>
  </si>
  <si>
    <t>Cost ratio</t>
  </si>
  <si>
    <t>Memo 1</t>
  </si>
  <si>
    <t>Memo 2</t>
  </si>
  <si>
    <t>Memo 3</t>
  </si>
  <si>
    <t>For expiration management</t>
  </si>
  <si>
    <t>Factory/Distribution warehouse cd.</t>
  </si>
  <si>
    <t>Factory/Distribution warehouse name</t>
  </si>
  <si>
    <t>Not for inspection</t>
  </si>
  <si>
    <t>Inspection pattern cd.</t>
  </si>
  <si>
    <t>Inspection pattern name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</si>
  <si>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</si>
  <si>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</si>
  <si>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</si>
  <si>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</si>
  <si>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</si>
  <si>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</si>
  <si>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</si>
  <si>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</si>
  <si>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</si>
  <si>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</si>
  <si>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</si>
  <si>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(Extended) name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</si>
  <si>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</si>
  <si>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</si>
  <si>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</si>
  <si>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</si>
  <si>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</si>
  <si>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Distribution group cd.</t>
  </si>
  <si>
    <t>Distribution group name</t>
  </si>
  <si>
    <t>IF process type</t>
  </si>
  <si>
    <t>IF process type name</t>
  </si>
  <si>
    <t>Not for chargeable supply</t>
  </si>
  <si>
    <t>External system cd.</t>
  </si>
  <si>
    <t>External system name</t>
  </si>
  <si>
    <t>Miscellaneous item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</si>
  <si>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</si>
  <si>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</si>
  <si>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</si>
  <si>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</si>
  <si>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</si>
  <si>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</si>
  <si>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</si>
  <si>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Purchasing PIC cd.</t>
  </si>
  <si>
    <t>Purchasing PIC name</t>
  </si>
  <si>
    <t>Purchasing dept. cd.</t>
  </si>
  <si>
    <t>Purchasing dept. name</t>
  </si>
  <si>
    <t>Subcontracting PIC cd.</t>
  </si>
  <si>
    <t>Subcontracting PIC name</t>
  </si>
  <si>
    <t>Subcontracting dept. cd.</t>
  </si>
  <si>
    <t>Subcontract dept. name</t>
  </si>
  <si>
    <t>Application start date_[Before change]</t>
  </si>
  <si>
    <t>Mfg. location cd.</t>
  </si>
  <si>
    <t>Requested location cd.</t>
  </si>
  <si>
    <t>BOM pattern</t>
  </si>
  <si>
    <t>Shipping point factory/distribution warehouse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</si>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</sst>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27" borderId="15" xfId="0" applyFont="1" applyFill="1" applyBorder="1" applyAlignment="1">
      <alignment vertical="top"/>
    </xf>
    <xf numFmtId="0" fontId="24" fillId="27" borderId="19" xfId="0" applyFont="1" applyFill="1" applyBorder="1" applyAlignment="1"/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0" borderId="21" xfId="0" applyFont="1" applyBorder="1" applyAlignment="1" applyProtection="1">
      <alignment vertical="top"/>
      <protection locked="0"/>
    </xf>
    <xf numFmtId="0" fontId="24" fillId="0" borderId="42" xfId="0" applyFont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49" fontId="24" fillId="24" borderId="15" xfId="0" applyNumberFormat="1" applyFont="1" applyFill="1" applyBorder="1" applyAlignment="1">
      <alignment vertical="top"/>
    </xf>
    <xf numFmtId="0" fontId="24" fillId="27" borderId="15" xfId="0" applyFont="1" applyFill="1" applyBorder="1">
      <alignment vertical="top" wrapText="1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71</v>
      </c>
      <c r="D2" s="7" t="s">
        <v>9</v>
      </c>
      <c r="E2" s="9" t="s">
        <v>146</v>
      </c>
      <c r="F2" s="7" t="s">
        <v>36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82</v>
      </c>
      <c r="D3" s="7" t="s">
        <v>10</v>
      </c>
      <c r="E3" s="9" t="s">
        <v>148</v>
      </c>
      <c r="F3" s="7" t="s">
        <v>37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147</v>
      </c>
      <c r="F4" s="7" t="s">
        <v>5</v>
      </c>
      <c r="G4" s="9" t="s">
        <v>697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" style="29" bestFit="1" customWidth="1"/>
    <col min="9" max="10" width="15.81640625" style="29" customWidth="1"/>
    <col min="11" max="11" width="16.90625" style="29" customWidth="1"/>
    <col min="12" max="12" width="16" style="29" customWidth="1"/>
    <col min="13" max="13" width="25" style="29" bestFit="1" customWidth="1"/>
    <col min="14" max="14" width="50.6328125" style="29" customWidth="1"/>
    <col min="15" max="15" width="15.6328125" style="29" bestFit="1" customWidth="1"/>
    <col min="16" max="16" width="27.1796875" style="29" bestFit="1" customWidth="1"/>
    <col min="17" max="17" width="35.453125" style="27" bestFit="1" customWidth="1"/>
    <col min="18" max="18" width="16.906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6" t="s">
        <v>398</v>
      </c>
      <c r="B1" s="76" t="s">
        <v>398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7" t="s">
        <v>398</v>
      </c>
      <c r="B2" s="78"/>
      <c r="C2" s="78"/>
      <c r="D2" s="89" t="s">
        <v>788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MABCL0570</v>
      </c>
      <c r="I2" s="7" t="s">
        <v>399</v>
      </c>
      <c r="J2" s="9" t="s">
        <v>84</v>
      </c>
      <c r="K2" s="7" t="s">
        <v>36</v>
      </c>
      <c r="L2" s="79" t="str">
        <f>IF(LogicCommon!G2="","",LogicCommon!G2)</f>
        <v>MC</v>
      </c>
      <c r="M2" s="5" t="s">
        <v>400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80" t="s">
        <v>398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MABCL_SpplReg</v>
      </c>
      <c r="I3" s="7" t="s">
        <v>401</v>
      </c>
      <c r="J3" s="9" t="s">
        <v>62</v>
      </c>
      <c r="K3" s="7" t="s">
        <v>37</v>
      </c>
      <c r="L3" s="79" t="str">
        <f>IF(LogicCommon!G3="","",LogicCommon!G3)</f>
        <v/>
      </c>
      <c r="M3" s="56" t="s">
        <v>29</v>
      </c>
      <c r="N3" s="7"/>
      <c r="O3" s="7" t="s">
        <v>402</v>
      </c>
      <c r="P3" s="9" t="s">
        <v>403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80" t="s">
        <v>398</v>
      </c>
      <c r="B4" s="81"/>
      <c r="C4" s="81"/>
      <c r="D4" s="4"/>
      <c r="E4" s="7" t="s">
        <v>8</v>
      </c>
      <c r="F4" s="10" t="s">
        <v>646</v>
      </c>
      <c r="G4" s="7" t="s">
        <v>11</v>
      </c>
      <c r="H4" s="79" t="str">
        <f>IF(LogicCommon!E4="","",LogicCommon!E4)</f>
        <v>発注先登録</v>
      </c>
      <c r="I4" s="7" t="s">
        <v>404</v>
      </c>
      <c r="J4" s="9" t="s">
        <v>392</v>
      </c>
      <c r="K4" s="7" t="s">
        <v>5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4"/>
      <c r="U4" s="27"/>
      <c r="V4" s="27"/>
      <c r="W4" s="27"/>
      <c r="X4" s="27"/>
    </row>
    <row r="5" spans="1:24" s="11" customFormat="1" x14ac:dyDescent="0.2">
      <c r="A5" s="84" t="s">
        <v>398</v>
      </c>
      <c r="B5" s="76"/>
      <c r="C5" s="76"/>
      <c r="D5" s="26"/>
      <c r="E5" s="7" t="s">
        <v>405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4"/>
      <c r="U5" s="27"/>
      <c r="V5" s="27"/>
      <c r="W5" s="27"/>
      <c r="X5" s="27"/>
    </row>
    <row r="6" spans="1:24" s="11" customFormat="1" x14ac:dyDescent="0.2">
      <c r="A6" s="80" t="s">
        <v>398</v>
      </c>
      <c r="B6" s="81"/>
      <c r="C6" s="81"/>
      <c r="D6" s="4" t="s">
        <v>6</v>
      </c>
      <c r="E6" s="16" t="s">
        <v>397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/>
      <c r="S6" s="3"/>
      <c r="T6" s="3" t="s">
        <v>707</v>
      </c>
      <c r="U6" s="29"/>
      <c r="V6" s="29"/>
      <c r="W6" s="27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67</v>
      </c>
      <c r="L7" s="32" t="s">
        <v>134</v>
      </c>
      <c r="M7" s="32" t="s">
        <v>72</v>
      </c>
      <c r="N7" s="32" t="s">
        <v>105</v>
      </c>
      <c r="O7" s="32" t="s">
        <v>134</v>
      </c>
      <c r="P7" s="32" t="s">
        <v>72</v>
      </c>
      <c r="Q7" s="32" t="s">
        <v>72</v>
      </c>
      <c r="R7" s="32" t="s">
        <v>72</v>
      </c>
      <c r="S7" s="33" t="s">
        <v>52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17</v>
      </c>
      <c r="B8" s="92"/>
      <c r="C8" s="93"/>
      <c r="D8" s="90" t="s">
        <v>789</v>
      </c>
      <c r="E8" s="90" t="s">
        <v>790</v>
      </c>
      <c r="F8" s="86"/>
      <c r="G8" s="90" t="s">
        <v>446</v>
      </c>
      <c r="H8" s="90" t="s">
        <v>791</v>
      </c>
      <c r="I8" s="86"/>
      <c r="J8" s="3"/>
      <c r="K8" s="9" t="s">
        <v>68</v>
      </c>
      <c r="L8" s="9" t="s">
        <v>135</v>
      </c>
      <c r="M8" s="9" t="s">
        <v>73</v>
      </c>
      <c r="N8" s="9" t="s">
        <v>299</v>
      </c>
      <c r="O8" s="9" t="s">
        <v>300</v>
      </c>
      <c r="P8" s="9" t="s">
        <v>309</v>
      </c>
      <c r="Q8" s="9" t="s">
        <v>310</v>
      </c>
      <c r="R8" s="9" t="s">
        <v>357</v>
      </c>
      <c r="S8" s="33" t="s">
        <v>53</v>
      </c>
      <c r="T8" s="9"/>
      <c r="U8" s="94"/>
      <c r="V8" s="95"/>
      <c r="W8" s="96" t="s">
        <v>800</v>
      </c>
      <c r="X8" s="51"/>
    </row>
    <row r="9" spans="1:24" s="11" customFormat="1" ht="60" customHeight="1" x14ac:dyDescent="0.2">
      <c r="A9" s="9" t="s">
        <v>17</v>
      </c>
      <c r="B9" s="37"/>
      <c r="C9" s="38"/>
      <c r="D9" s="90" t="s">
        <v>792</v>
      </c>
      <c r="E9" s="97" t="s">
        <v>793</v>
      </c>
      <c r="F9" s="90" t="s">
        <v>794</v>
      </c>
      <c r="G9" s="90" t="s">
        <v>795</v>
      </c>
      <c r="H9" s="90" t="s">
        <v>796</v>
      </c>
      <c r="I9" s="98" t="s">
        <v>797</v>
      </c>
      <c r="J9" s="90" t="s">
        <v>798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6" t="s">
        <v>799</v>
      </c>
      <c r="V9" s="51"/>
      <c r="W9" s="96" t="s">
        <v>801</v>
      </c>
      <c r="X9" s="51"/>
    </row>
    <row r="10" spans="1:24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91" t="s">
        <v>797</v>
      </c>
      <c r="T10" s="91" t="s">
        <v>798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138</v>
      </c>
      <c r="E11" s="34" t="s">
        <v>296</v>
      </c>
      <c r="F11" s="44"/>
      <c r="G11" s="28"/>
      <c r="H11" s="45"/>
      <c r="I11" s="46"/>
      <c r="J11" s="47"/>
      <c r="K11" s="48"/>
      <c r="L11" s="48"/>
      <c r="M11" s="9"/>
      <c r="N11" s="9"/>
      <c r="O11" s="9"/>
      <c r="P11" s="9"/>
      <c r="Q11" s="9"/>
      <c r="R11" s="87"/>
      <c r="S11" s="48"/>
      <c r="T11" s="48"/>
      <c r="U11" s="35"/>
      <c r="V11" s="36"/>
      <c r="W11" s="73"/>
      <c r="X11" s="75"/>
    </row>
    <row r="12" spans="1:24" s="11" customFormat="1" x14ac:dyDescent="0.2">
      <c r="A12" s="9">
        <v>10</v>
      </c>
      <c r="B12" s="9"/>
      <c r="C12" s="9"/>
      <c r="D12" s="9" t="s">
        <v>88</v>
      </c>
      <c r="E12" s="49" t="s">
        <v>86</v>
      </c>
      <c r="F12" s="49"/>
      <c r="G12" s="50" t="s">
        <v>802</v>
      </c>
      <c r="H12" s="50" t="s">
        <v>406</v>
      </c>
      <c r="I12" s="9" t="s">
        <v>407</v>
      </c>
      <c r="J12" s="9"/>
      <c r="K12" s="9" t="s">
        <v>417</v>
      </c>
      <c r="L12" s="9"/>
      <c r="M12" s="9" t="s">
        <v>647</v>
      </c>
      <c r="N12" s="9" t="s">
        <v>328</v>
      </c>
      <c r="O12" s="9" t="s">
        <v>328</v>
      </c>
      <c r="P12" s="9" t="s">
        <v>648</v>
      </c>
      <c r="Q12" s="9" t="s">
        <v>708</v>
      </c>
      <c r="R12" s="87"/>
      <c r="S12" s="9"/>
      <c r="T12" s="9"/>
      <c r="U12" s="41"/>
      <c r="V12" s="51"/>
      <c r="W12" s="149"/>
      <c r="X12" s="150"/>
    </row>
    <row r="13" spans="1:24" s="11" customFormat="1" x14ac:dyDescent="0.2">
      <c r="A13" s="9">
        <v>10</v>
      </c>
      <c r="B13" s="9"/>
      <c r="C13" s="9"/>
      <c r="D13" s="9" t="s">
        <v>149</v>
      </c>
      <c r="E13" s="49" t="s">
        <v>86</v>
      </c>
      <c r="F13" s="49"/>
      <c r="G13" s="50" t="s">
        <v>803</v>
      </c>
      <c r="H13" s="50" t="s">
        <v>408</v>
      </c>
      <c r="I13" s="9" t="s">
        <v>407</v>
      </c>
      <c r="J13" s="9"/>
      <c r="K13" s="9" t="s">
        <v>417</v>
      </c>
      <c r="L13" s="9"/>
      <c r="M13" s="9" t="s">
        <v>647</v>
      </c>
      <c r="N13" s="88"/>
      <c r="O13" s="9"/>
      <c r="P13" s="9" t="s">
        <v>709</v>
      </c>
      <c r="Q13" s="9" t="s">
        <v>708</v>
      </c>
      <c r="R13" s="87"/>
      <c r="S13" s="9"/>
      <c r="T13" s="9"/>
      <c r="U13" s="41"/>
      <c r="V13" s="51"/>
      <c r="W13" s="149"/>
      <c r="X13" s="150"/>
    </row>
    <row r="14" spans="1:24" s="11" customFormat="1" x14ac:dyDescent="0.2">
      <c r="A14" s="9">
        <v>10</v>
      </c>
      <c r="B14" s="9"/>
      <c r="C14" s="9"/>
      <c r="D14" s="9" t="s">
        <v>328</v>
      </c>
      <c r="E14" s="49" t="s">
        <v>329</v>
      </c>
      <c r="F14" s="49"/>
      <c r="G14" s="50" t="s">
        <v>804</v>
      </c>
      <c r="H14" s="50" t="s">
        <v>409</v>
      </c>
      <c r="I14" s="9" t="s">
        <v>410</v>
      </c>
      <c r="J14" s="9"/>
      <c r="K14" s="9"/>
      <c r="L14" s="9"/>
      <c r="M14" s="9"/>
      <c r="N14" s="88"/>
      <c r="O14" s="9"/>
      <c r="P14" s="9"/>
      <c r="Q14" s="9"/>
      <c r="R14" s="87"/>
      <c r="S14" s="9"/>
      <c r="T14" s="9"/>
      <c r="U14" s="41"/>
      <c r="V14" s="51"/>
      <c r="W14" s="149"/>
      <c r="X14" s="150"/>
    </row>
    <row r="15" spans="1:24" s="11" customFormat="1" x14ac:dyDescent="0.2">
      <c r="A15" s="9">
        <v>10</v>
      </c>
      <c r="B15" s="9"/>
      <c r="C15" s="9"/>
      <c r="D15" s="9" t="s">
        <v>151</v>
      </c>
      <c r="E15" s="49" t="s">
        <v>106</v>
      </c>
      <c r="F15" s="49"/>
      <c r="G15" s="50" t="s">
        <v>805</v>
      </c>
      <c r="H15" s="50" t="s">
        <v>411</v>
      </c>
      <c r="I15" s="9" t="s">
        <v>407</v>
      </c>
      <c r="J15" s="9"/>
      <c r="K15" s="9"/>
      <c r="L15" s="9"/>
      <c r="M15" s="9"/>
      <c r="N15" s="9"/>
      <c r="O15" s="9"/>
      <c r="P15" s="9"/>
      <c r="Q15" s="9"/>
      <c r="R15" s="87"/>
      <c r="S15" s="9"/>
      <c r="T15" s="9"/>
      <c r="U15" s="41"/>
      <c r="V15" s="51"/>
      <c r="W15" s="149"/>
      <c r="X15" s="150"/>
    </row>
    <row r="16" spans="1:24" s="11" customFormat="1" x14ac:dyDescent="0.2">
      <c r="A16" s="9">
        <v>10</v>
      </c>
      <c r="B16" s="9"/>
      <c r="C16" s="9"/>
      <c r="D16" s="9" t="s">
        <v>152</v>
      </c>
      <c r="E16" s="49" t="s">
        <v>107</v>
      </c>
      <c r="F16" s="49"/>
      <c r="G16" s="50" t="s">
        <v>806</v>
      </c>
      <c r="H16" s="50" t="s">
        <v>412</v>
      </c>
      <c r="I16" s="9" t="s">
        <v>407</v>
      </c>
      <c r="J16" s="9"/>
      <c r="K16" s="9"/>
      <c r="L16" s="9"/>
      <c r="M16" s="9"/>
      <c r="N16" s="9"/>
      <c r="O16" s="9"/>
      <c r="P16" s="9"/>
      <c r="Q16" s="9"/>
      <c r="R16" s="87"/>
      <c r="S16" s="9"/>
      <c r="T16" s="9"/>
      <c r="U16" s="41"/>
      <c r="V16" s="51"/>
      <c r="W16" s="149"/>
      <c r="X16" s="150"/>
    </row>
    <row r="17" spans="1:24" s="11" customFormat="1" x14ac:dyDescent="0.2">
      <c r="A17" s="9">
        <v>10</v>
      </c>
      <c r="B17" s="9"/>
      <c r="C17" s="9"/>
      <c r="D17" s="9" t="s">
        <v>153</v>
      </c>
      <c r="E17" s="49" t="s">
        <v>91</v>
      </c>
      <c r="F17" s="49"/>
      <c r="G17" s="50" t="s">
        <v>807</v>
      </c>
      <c r="H17" s="50" t="s">
        <v>413</v>
      </c>
      <c r="I17" s="9" t="s">
        <v>407</v>
      </c>
      <c r="J17" s="9"/>
      <c r="K17" s="9"/>
      <c r="L17" s="9"/>
      <c r="M17" s="9"/>
      <c r="N17" s="9"/>
      <c r="O17" s="9"/>
      <c r="P17" s="9"/>
      <c r="Q17" s="9"/>
      <c r="R17" s="87"/>
      <c r="S17" s="9"/>
      <c r="T17" s="9"/>
      <c r="U17" s="41"/>
      <c r="V17" s="51"/>
      <c r="W17" s="73"/>
      <c r="X17" s="74"/>
    </row>
    <row r="18" spans="1:24" s="11" customFormat="1" x14ac:dyDescent="0.2">
      <c r="A18" s="9">
        <v>10</v>
      </c>
      <c r="B18" s="9"/>
      <c r="C18" s="9"/>
      <c r="D18" s="9" t="s">
        <v>154</v>
      </c>
      <c r="E18" s="49" t="s">
        <v>44</v>
      </c>
      <c r="F18" s="49"/>
      <c r="G18" s="50" t="s">
        <v>808</v>
      </c>
      <c r="H18" s="50" t="s">
        <v>414</v>
      </c>
      <c r="I18" s="9" t="s">
        <v>407</v>
      </c>
      <c r="J18" s="9"/>
      <c r="K18" s="9"/>
      <c r="L18" s="9"/>
      <c r="M18" s="9"/>
      <c r="N18" s="9"/>
      <c r="O18" s="9"/>
      <c r="P18" s="9"/>
      <c r="Q18" s="9"/>
      <c r="R18" s="87"/>
      <c r="S18" s="9"/>
      <c r="T18" s="9"/>
      <c r="U18" s="41"/>
      <c r="V18" s="51"/>
      <c r="W18" s="73"/>
      <c r="X18" s="74"/>
    </row>
    <row r="19" spans="1:24" s="11" customFormat="1" x14ac:dyDescent="0.2">
      <c r="A19" s="9">
        <v>10</v>
      </c>
      <c r="B19" s="9"/>
      <c r="C19" s="9"/>
      <c r="D19" s="9" t="s">
        <v>331</v>
      </c>
      <c r="E19" s="49" t="s">
        <v>44</v>
      </c>
      <c r="F19" s="49"/>
      <c r="G19" s="50" t="s">
        <v>809</v>
      </c>
      <c r="H19" s="50" t="s">
        <v>415</v>
      </c>
      <c r="I19" s="9" t="s">
        <v>407</v>
      </c>
      <c r="J19" s="9"/>
      <c r="K19" s="9"/>
      <c r="L19" s="9"/>
      <c r="M19" s="9"/>
      <c r="N19" s="88"/>
      <c r="O19" s="9"/>
      <c r="P19" s="9"/>
      <c r="Q19" s="9"/>
      <c r="R19" s="87"/>
      <c r="S19" s="9"/>
      <c r="T19" s="9"/>
      <c r="U19" s="41"/>
      <c r="V19" s="51"/>
      <c r="W19" s="149"/>
      <c r="X19" s="151"/>
    </row>
    <row r="20" spans="1:24" s="11" customFormat="1" x14ac:dyDescent="0.2">
      <c r="A20" s="9">
        <v>10</v>
      </c>
      <c r="B20" s="9"/>
      <c r="C20" s="9"/>
      <c r="D20" s="9" t="s">
        <v>742</v>
      </c>
      <c r="E20" s="49" t="s">
        <v>44</v>
      </c>
      <c r="F20" s="49"/>
      <c r="G20" s="50" t="s">
        <v>810</v>
      </c>
      <c r="H20" s="50" t="s">
        <v>741</v>
      </c>
      <c r="I20" s="9" t="s">
        <v>407</v>
      </c>
      <c r="J20" s="9"/>
      <c r="K20" s="9"/>
      <c r="L20" s="9"/>
      <c r="M20" s="9"/>
      <c r="N20" s="88"/>
      <c r="O20" s="9"/>
      <c r="P20" s="9"/>
      <c r="Q20" s="9"/>
      <c r="R20" s="87"/>
      <c r="S20" s="9"/>
      <c r="T20" s="9"/>
      <c r="U20" s="41"/>
      <c r="V20" s="51"/>
      <c r="W20" s="149"/>
      <c r="X20" s="151"/>
    </row>
    <row r="21" spans="1:24" s="11" customFormat="1" x14ac:dyDescent="0.2">
      <c r="A21" s="9">
        <v>10</v>
      </c>
      <c r="B21" s="9"/>
      <c r="C21" s="9"/>
      <c r="D21" s="9" t="s">
        <v>320</v>
      </c>
      <c r="E21" s="49" t="s">
        <v>330</v>
      </c>
      <c r="F21" s="49"/>
      <c r="G21" s="50" t="s">
        <v>811</v>
      </c>
      <c r="H21" s="50" t="s">
        <v>416</v>
      </c>
      <c r="I21" s="9" t="s">
        <v>407</v>
      </c>
      <c r="J21" s="9"/>
      <c r="K21" s="9"/>
      <c r="L21" s="9"/>
      <c r="M21" s="9"/>
      <c r="N21" s="9"/>
      <c r="O21" s="9"/>
      <c r="P21" s="9"/>
      <c r="Q21" s="9"/>
      <c r="R21" s="87"/>
      <c r="S21" s="9"/>
      <c r="T21" s="9"/>
      <c r="U21" s="41"/>
      <c r="V21" s="51"/>
      <c r="W21" s="149"/>
      <c r="X21" s="150"/>
    </row>
    <row r="22" spans="1:24" s="11" customFormat="1" x14ac:dyDescent="0.2">
      <c r="A22" s="9">
        <v>10</v>
      </c>
      <c r="B22" s="9"/>
      <c r="C22" s="9"/>
      <c r="D22" s="9" t="s">
        <v>390</v>
      </c>
      <c r="E22" s="49" t="s">
        <v>330</v>
      </c>
      <c r="F22" s="49"/>
      <c r="G22" s="50" t="s">
        <v>811</v>
      </c>
      <c r="H22" s="50" t="s">
        <v>416</v>
      </c>
      <c r="I22" s="9" t="s">
        <v>417</v>
      </c>
      <c r="J22" s="9"/>
      <c r="K22" s="9"/>
      <c r="L22" s="9"/>
      <c r="M22" s="9" t="s">
        <v>649</v>
      </c>
      <c r="N22" s="9"/>
      <c r="O22" s="9"/>
      <c r="P22" s="9" t="s">
        <v>710</v>
      </c>
      <c r="Q22" s="9" t="s">
        <v>711</v>
      </c>
      <c r="R22" s="87"/>
      <c r="S22" s="9"/>
      <c r="T22" s="9"/>
      <c r="U22" s="41"/>
      <c r="V22" s="51"/>
      <c r="W22" s="149"/>
      <c r="X22" s="150"/>
    </row>
    <row r="23" spans="1:24" s="11" customFormat="1" ht="26" x14ac:dyDescent="0.2">
      <c r="A23" s="9">
        <v>10</v>
      </c>
      <c r="B23" s="9"/>
      <c r="C23" s="9"/>
      <c r="D23" s="9" t="s">
        <v>155</v>
      </c>
      <c r="E23" s="49" t="s">
        <v>281</v>
      </c>
      <c r="F23" s="49"/>
      <c r="G23" s="50" t="s">
        <v>812</v>
      </c>
      <c r="H23" s="50" t="s">
        <v>418</v>
      </c>
      <c r="I23" s="9" t="s">
        <v>407</v>
      </c>
      <c r="J23" s="9"/>
      <c r="K23" s="9"/>
      <c r="L23" s="9" t="s">
        <v>650</v>
      </c>
      <c r="M23" s="9"/>
      <c r="N23" s="9"/>
      <c r="O23" s="9"/>
      <c r="P23" s="9"/>
      <c r="Q23" s="9"/>
      <c r="R23" s="87"/>
      <c r="S23" s="9"/>
      <c r="T23" s="9"/>
      <c r="U23" s="41"/>
      <c r="V23" s="51"/>
      <c r="W23" s="73"/>
      <c r="X23" s="74"/>
    </row>
    <row r="24" spans="1:24" s="11" customFormat="1" ht="26" x14ac:dyDescent="0.2">
      <c r="A24" s="9">
        <v>10</v>
      </c>
      <c r="B24" s="9"/>
      <c r="C24" s="9"/>
      <c r="D24" s="9" t="s">
        <v>156</v>
      </c>
      <c r="E24" s="49" t="s">
        <v>44</v>
      </c>
      <c r="F24" s="49"/>
      <c r="G24" s="50" t="s">
        <v>813</v>
      </c>
      <c r="H24" s="50" t="s">
        <v>419</v>
      </c>
      <c r="I24" s="9" t="s">
        <v>407</v>
      </c>
      <c r="J24" s="9"/>
      <c r="K24" s="9"/>
      <c r="L24" s="9"/>
      <c r="M24" s="9"/>
      <c r="N24" s="9"/>
      <c r="O24" s="9"/>
      <c r="P24" s="9"/>
      <c r="Q24" s="9"/>
      <c r="R24" s="87"/>
      <c r="S24" s="9"/>
      <c r="T24" s="9"/>
      <c r="U24" s="41"/>
      <c r="V24" s="51"/>
      <c r="W24" s="73"/>
      <c r="X24" s="74"/>
    </row>
    <row r="25" spans="1:24" s="11" customFormat="1" x14ac:dyDescent="0.2">
      <c r="A25" s="9">
        <v>10</v>
      </c>
      <c r="B25" s="9"/>
      <c r="C25" s="9"/>
      <c r="D25" s="9" t="s">
        <v>167</v>
      </c>
      <c r="E25" s="49" t="s">
        <v>44</v>
      </c>
      <c r="F25" s="49"/>
      <c r="G25" s="50" t="s">
        <v>814</v>
      </c>
      <c r="H25" s="50" t="s">
        <v>420</v>
      </c>
      <c r="I25" s="9" t="s">
        <v>407</v>
      </c>
      <c r="J25" s="9"/>
      <c r="K25" s="9"/>
      <c r="L25" s="9"/>
      <c r="M25" s="9"/>
      <c r="N25" s="9"/>
      <c r="O25" s="9"/>
      <c r="P25" s="9"/>
      <c r="Q25" s="9"/>
      <c r="R25" s="87"/>
      <c r="S25" s="9"/>
      <c r="T25" s="9"/>
      <c r="U25" s="41"/>
      <c r="V25" s="51"/>
      <c r="W25" s="73"/>
      <c r="X25" s="74"/>
    </row>
    <row r="26" spans="1:24" s="11" customFormat="1" ht="26" x14ac:dyDescent="0.2">
      <c r="A26" s="9">
        <v>10</v>
      </c>
      <c r="B26" s="9"/>
      <c r="C26" s="9"/>
      <c r="D26" s="9" t="s">
        <v>372</v>
      </c>
      <c r="E26" s="49" t="s">
        <v>282</v>
      </c>
      <c r="F26" s="49"/>
      <c r="G26" s="50" t="s">
        <v>815</v>
      </c>
      <c r="H26" s="50" t="s">
        <v>421</v>
      </c>
      <c r="I26" s="9" t="s">
        <v>407</v>
      </c>
      <c r="J26" s="9"/>
      <c r="K26" s="9" t="s">
        <v>417</v>
      </c>
      <c r="L26" s="9" t="s">
        <v>651</v>
      </c>
      <c r="M26" s="9"/>
      <c r="N26" s="9"/>
      <c r="O26" s="9"/>
      <c r="P26" s="9"/>
      <c r="Q26" s="9"/>
      <c r="R26" s="87"/>
      <c r="S26" s="9"/>
      <c r="T26" s="9"/>
      <c r="U26" s="41"/>
      <c r="V26" s="51"/>
      <c r="W26" s="73"/>
      <c r="X26" s="74"/>
    </row>
    <row r="27" spans="1:24" s="11" customFormat="1" x14ac:dyDescent="0.2">
      <c r="A27" s="9">
        <v>10</v>
      </c>
      <c r="B27" s="9"/>
      <c r="C27" s="9"/>
      <c r="D27" s="9" t="s">
        <v>158</v>
      </c>
      <c r="E27" s="49" t="s">
        <v>283</v>
      </c>
      <c r="F27" s="49"/>
      <c r="G27" s="50" t="s">
        <v>816</v>
      </c>
      <c r="H27" s="50" t="s">
        <v>422</v>
      </c>
      <c r="I27" s="9" t="s">
        <v>407</v>
      </c>
      <c r="J27" s="9"/>
      <c r="K27" s="9" t="s">
        <v>417</v>
      </c>
      <c r="L27" s="9" t="s">
        <v>652</v>
      </c>
      <c r="M27" s="9"/>
      <c r="N27" s="9"/>
      <c r="O27" s="9"/>
      <c r="P27" s="9"/>
      <c r="Q27" s="9"/>
      <c r="R27" s="87"/>
      <c r="S27" s="9"/>
      <c r="T27" s="9"/>
      <c r="U27" s="41"/>
      <c r="V27" s="51"/>
      <c r="W27" s="73"/>
      <c r="X27" s="74"/>
    </row>
    <row r="28" spans="1:24" s="11" customFormat="1" x14ac:dyDescent="0.2">
      <c r="A28" s="9">
        <v>10</v>
      </c>
      <c r="B28" s="9"/>
      <c r="C28" s="9"/>
      <c r="D28" s="9" t="s">
        <v>159</v>
      </c>
      <c r="E28" s="49" t="s">
        <v>284</v>
      </c>
      <c r="F28" s="49"/>
      <c r="G28" s="50" t="s">
        <v>817</v>
      </c>
      <c r="H28" s="50" t="s">
        <v>423</v>
      </c>
      <c r="I28" s="9" t="s">
        <v>407</v>
      </c>
      <c r="J28" s="9"/>
      <c r="K28" s="9" t="s">
        <v>417</v>
      </c>
      <c r="L28" s="9" t="s">
        <v>651</v>
      </c>
      <c r="M28" s="9"/>
      <c r="N28" s="9"/>
      <c r="O28" s="9"/>
      <c r="P28" s="9"/>
      <c r="Q28" s="9"/>
      <c r="R28" s="87"/>
      <c r="S28" s="9"/>
      <c r="T28" s="9"/>
      <c r="U28" s="41"/>
      <c r="V28" s="51"/>
      <c r="W28" s="73"/>
      <c r="X28" s="74"/>
    </row>
    <row r="29" spans="1:24" s="11" customFormat="1" x14ac:dyDescent="0.2">
      <c r="A29" s="9">
        <v>10</v>
      </c>
      <c r="B29" s="9"/>
      <c r="C29" s="9"/>
      <c r="D29" s="9" t="s">
        <v>168</v>
      </c>
      <c r="E29" s="49" t="s">
        <v>83</v>
      </c>
      <c r="F29" s="49"/>
      <c r="G29" s="50" t="s">
        <v>818</v>
      </c>
      <c r="H29" s="50" t="s">
        <v>424</v>
      </c>
      <c r="I29" s="9" t="s">
        <v>407</v>
      </c>
      <c r="J29" s="9"/>
      <c r="K29" s="9"/>
      <c r="L29" s="9"/>
      <c r="M29" s="9" t="s">
        <v>653</v>
      </c>
      <c r="N29" s="88"/>
      <c r="O29" s="9"/>
      <c r="P29" s="9"/>
      <c r="Q29" s="9"/>
      <c r="R29" s="87"/>
      <c r="S29" s="9"/>
      <c r="T29" s="9"/>
      <c r="U29" s="41"/>
      <c r="V29" s="51"/>
      <c r="W29" s="73"/>
      <c r="X29" s="74"/>
    </row>
    <row r="30" spans="1:24" s="11" customFormat="1" x14ac:dyDescent="0.2">
      <c r="A30" s="9">
        <v>10</v>
      </c>
      <c r="B30" s="9"/>
      <c r="C30" s="9"/>
      <c r="D30" s="9" t="s">
        <v>170</v>
      </c>
      <c r="E30" s="49" t="s">
        <v>44</v>
      </c>
      <c r="F30" s="49"/>
      <c r="G30" s="50" t="s">
        <v>819</v>
      </c>
      <c r="H30" s="50" t="s">
        <v>425</v>
      </c>
      <c r="I30" s="9" t="s">
        <v>407</v>
      </c>
      <c r="J30" s="9"/>
      <c r="K30" s="9"/>
      <c r="L30" s="9"/>
      <c r="M30" s="9"/>
      <c r="N30" s="9"/>
      <c r="O30" s="9"/>
      <c r="P30" s="9"/>
      <c r="Q30" s="9"/>
      <c r="R30" s="87"/>
      <c r="S30" s="9"/>
      <c r="T30" s="9"/>
      <c r="U30" s="41"/>
      <c r="V30" s="51"/>
      <c r="W30" s="73"/>
      <c r="X30" s="74"/>
    </row>
    <row r="31" spans="1:24" s="11" customFormat="1" x14ac:dyDescent="0.2">
      <c r="A31" s="9">
        <v>10</v>
      </c>
      <c r="B31" s="9"/>
      <c r="C31" s="9"/>
      <c r="D31" s="9" t="s">
        <v>161</v>
      </c>
      <c r="E31" s="49" t="s">
        <v>187</v>
      </c>
      <c r="F31" s="49"/>
      <c r="G31" s="50" t="s">
        <v>820</v>
      </c>
      <c r="H31" s="50" t="s">
        <v>426</v>
      </c>
      <c r="I31" s="9" t="s">
        <v>407</v>
      </c>
      <c r="J31" s="9"/>
      <c r="K31" s="9"/>
      <c r="L31" s="9"/>
      <c r="M31" s="9" t="s">
        <v>654</v>
      </c>
      <c r="N31" s="88"/>
      <c r="O31" s="9"/>
      <c r="P31" s="9"/>
      <c r="Q31" s="9"/>
      <c r="R31" s="87"/>
      <c r="S31" s="9"/>
      <c r="T31" s="9"/>
      <c r="U31" s="41"/>
      <c r="V31" s="51"/>
      <c r="W31" s="73"/>
      <c r="X31" s="74"/>
    </row>
    <row r="32" spans="1:24" s="11" customFormat="1" x14ac:dyDescent="0.2">
      <c r="A32" s="9">
        <v>10</v>
      </c>
      <c r="B32" s="9"/>
      <c r="C32" s="9"/>
      <c r="D32" s="9" t="s">
        <v>163</v>
      </c>
      <c r="E32" s="49" t="s">
        <v>189</v>
      </c>
      <c r="F32" s="49"/>
      <c r="G32" s="50" t="s">
        <v>821</v>
      </c>
      <c r="H32" s="50" t="s">
        <v>427</v>
      </c>
      <c r="I32" s="9" t="s">
        <v>407</v>
      </c>
      <c r="J32" s="9"/>
      <c r="K32" s="9"/>
      <c r="L32" s="9"/>
      <c r="M32" s="9" t="s">
        <v>655</v>
      </c>
      <c r="N32" s="9"/>
      <c r="O32" s="9"/>
      <c r="P32" s="9"/>
      <c r="Q32" s="9"/>
      <c r="R32" s="87"/>
      <c r="S32" s="9"/>
      <c r="T32" s="9"/>
      <c r="U32" s="41"/>
      <c r="V32" s="51"/>
      <c r="W32" s="73"/>
      <c r="X32" s="74"/>
    </row>
    <row r="33" spans="1:24" s="11" customFormat="1" x14ac:dyDescent="0.2">
      <c r="A33" s="9">
        <v>10</v>
      </c>
      <c r="B33" s="9"/>
      <c r="C33" s="9"/>
      <c r="D33" s="9" t="s">
        <v>165</v>
      </c>
      <c r="E33" s="49" t="s">
        <v>109</v>
      </c>
      <c r="F33" s="49"/>
      <c r="G33" s="50" t="s">
        <v>822</v>
      </c>
      <c r="H33" s="50" t="s">
        <v>428</v>
      </c>
      <c r="I33" s="9" t="s">
        <v>407</v>
      </c>
      <c r="J33" s="9"/>
      <c r="K33" s="9"/>
      <c r="L33" s="9"/>
      <c r="M33" s="9" t="s">
        <v>656</v>
      </c>
      <c r="N33" s="88"/>
      <c r="O33" s="9"/>
      <c r="P33" s="9"/>
      <c r="Q33" s="9"/>
      <c r="R33" s="87"/>
      <c r="S33" s="9"/>
      <c r="T33" s="9"/>
      <c r="U33" s="41"/>
      <c r="V33" s="51"/>
      <c r="W33" s="73"/>
      <c r="X33" s="74"/>
    </row>
    <row r="34" spans="1:24" s="11" customFormat="1" x14ac:dyDescent="0.2">
      <c r="A34" s="9">
        <v>10</v>
      </c>
      <c r="B34" s="9"/>
      <c r="C34" s="9"/>
      <c r="D34" s="9" t="s">
        <v>748</v>
      </c>
      <c r="E34" s="49" t="s">
        <v>44</v>
      </c>
      <c r="F34" s="49"/>
      <c r="G34" s="50" t="s">
        <v>823</v>
      </c>
      <c r="H34" s="50" t="s">
        <v>757</v>
      </c>
      <c r="I34" s="9" t="s">
        <v>407</v>
      </c>
      <c r="J34" s="9"/>
      <c r="K34" s="9"/>
      <c r="L34" s="9"/>
      <c r="M34" s="9"/>
      <c r="N34" s="88"/>
      <c r="O34" s="9"/>
      <c r="P34" s="9"/>
      <c r="Q34" s="9"/>
      <c r="R34" s="87"/>
      <c r="S34" s="9"/>
      <c r="T34" s="9"/>
      <c r="U34" s="41"/>
      <c r="V34" s="51"/>
      <c r="W34" s="73"/>
      <c r="X34" s="74"/>
    </row>
    <row r="35" spans="1:24" s="11" customFormat="1" ht="26" x14ac:dyDescent="0.2">
      <c r="A35" s="9">
        <v>10</v>
      </c>
      <c r="B35" s="9"/>
      <c r="C35" s="9"/>
      <c r="D35" s="9" t="s">
        <v>749</v>
      </c>
      <c r="E35" s="49" t="s">
        <v>44</v>
      </c>
      <c r="F35" s="49"/>
      <c r="G35" s="50" t="s">
        <v>824</v>
      </c>
      <c r="H35" s="50" t="s">
        <v>758</v>
      </c>
      <c r="I35" s="9" t="s">
        <v>407</v>
      </c>
      <c r="J35" s="9"/>
      <c r="K35" s="9"/>
      <c r="L35" s="9"/>
      <c r="M35" s="9"/>
      <c r="N35" s="88"/>
      <c r="O35" s="9"/>
      <c r="P35" s="9"/>
      <c r="Q35" s="9"/>
      <c r="R35" s="87"/>
      <c r="S35" s="9"/>
      <c r="T35" s="9"/>
      <c r="U35" s="41"/>
      <c r="V35" s="51"/>
      <c r="W35" s="73"/>
      <c r="X35" s="74"/>
    </row>
    <row r="36" spans="1:24" s="11" customFormat="1" ht="26" x14ac:dyDescent="0.2">
      <c r="A36" s="9">
        <v>10</v>
      </c>
      <c r="B36" s="9"/>
      <c r="C36" s="9"/>
      <c r="D36" s="9" t="s">
        <v>750</v>
      </c>
      <c r="E36" s="49" t="s">
        <v>44</v>
      </c>
      <c r="F36" s="49"/>
      <c r="G36" s="50" t="s">
        <v>825</v>
      </c>
      <c r="H36" s="50" t="s">
        <v>759</v>
      </c>
      <c r="I36" s="9" t="s">
        <v>407</v>
      </c>
      <c r="J36" s="9"/>
      <c r="K36" s="9"/>
      <c r="L36" s="9"/>
      <c r="M36" s="9"/>
      <c r="N36" s="88"/>
      <c r="O36" s="9"/>
      <c r="P36" s="9"/>
      <c r="Q36" s="9"/>
      <c r="R36" s="87"/>
      <c r="S36" s="9"/>
      <c r="T36" s="9"/>
      <c r="U36" s="41"/>
      <c r="V36" s="51"/>
      <c r="W36" s="73"/>
      <c r="X36" s="74"/>
    </row>
    <row r="37" spans="1:24" s="11" customFormat="1" ht="26" x14ac:dyDescent="0.2">
      <c r="A37" s="9">
        <v>10</v>
      </c>
      <c r="B37" s="9"/>
      <c r="C37" s="9"/>
      <c r="D37" s="9" t="s">
        <v>373</v>
      </c>
      <c r="E37" s="49" t="s">
        <v>285</v>
      </c>
      <c r="F37" s="49"/>
      <c r="G37" s="50" t="s">
        <v>826</v>
      </c>
      <c r="H37" s="50" t="s">
        <v>429</v>
      </c>
      <c r="I37" s="9" t="s">
        <v>407</v>
      </c>
      <c r="J37" s="9"/>
      <c r="K37" s="9" t="s">
        <v>417</v>
      </c>
      <c r="L37" s="9" t="s">
        <v>657</v>
      </c>
      <c r="M37" s="9"/>
      <c r="N37" s="9"/>
      <c r="O37" s="9"/>
      <c r="P37" s="9"/>
      <c r="Q37" s="9"/>
      <c r="R37" s="87"/>
      <c r="S37" s="9"/>
      <c r="T37" s="9"/>
      <c r="U37" s="41"/>
      <c r="V37" s="51"/>
      <c r="W37" s="73"/>
      <c r="X37" s="74"/>
    </row>
    <row r="38" spans="1:24" s="11" customFormat="1" ht="26" x14ac:dyDescent="0.2">
      <c r="A38" s="9">
        <v>10</v>
      </c>
      <c r="B38" s="9"/>
      <c r="C38" s="9"/>
      <c r="D38" s="9" t="s">
        <v>391</v>
      </c>
      <c r="E38" s="49" t="s">
        <v>326</v>
      </c>
      <c r="F38" s="49"/>
      <c r="G38" s="50" t="s">
        <v>827</v>
      </c>
      <c r="H38" s="50" t="s">
        <v>430</v>
      </c>
      <c r="I38" s="9" t="s">
        <v>407</v>
      </c>
      <c r="J38" s="9"/>
      <c r="K38" s="9" t="s">
        <v>417</v>
      </c>
      <c r="L38" s="9" t="s">
        <v>658</v>
      </c>
      <c r="M38" s="9"/>
      <c r="N38" s="9"/>
      <c r="O38" s="9"/>
      <c r="P38" s="9"/>
      <c r="Q38" s="9"/>
      <c r="R38" s="87"/>
      <c r="S38" s="9"/>
      <c r="T38" s="9"/>
      <c r="U38" s="41"/>
      <c r="V38" s="51"/>
      <c r="W38" s="149"/>
      <c r="X38" s="150"/>
    </row>
    <row r="39" spans="1:24" s="11" customFormat="1" ht="26" x14ac:dyDescent="0.2">
      <c r="A39" s="9">
        <v>10</v>
      </c>
      <c r="B39" s="9"/>
      <c r="C39" s="9"/>
      <c r="D39" s="9" t="s">
        <v>172</v>
      </c>
      <c r="E39" s="49" t="s">
        <v>112</v>
      </c>
      <c r="F39" s="49"/>
      <c r="G39" s="50" t="s">
        <v>828</v>
      </c>
      <c r="H39" s="50" t="s">
        <v>431</v>
      </c>
      <c r="I39" s="9" t="s">
        <v>407</v>
      </c>
      <c r="J39" s="9"/>
      <c r="K39" s="9"/>
      <c r="L39" s="9"/>
      <c r="M39" s="9" t="s">
        <v>659</v>
      </c>
      <c r="N39" s="88"/>
      <c r="O39" s="9"/>
      <c r="P39" s="9"/>
      <c r="Q39" s="9"/>
      <c r="R39" s="87"/>
      <c r="S39" s="9"/>
      <c r="T39" s="9"/>
      <c r="U39" s="41"/>
      <c r="V39" s="51"/>
      <c r="W39" s="73"/>
      <c r="X39" s="74"/>
    </row>
    <row r="40" spans="1:24" s="11" customFormat="1" ht="26" x14ac:dyDescent="0.2">
      <c r="A40" s="9">
        <v>10</v>
      </c>
      <c r="B40" s="9"/>
      <c r="C40" s="9"/>
      <c r="D40" s="9" t="s">
        <v>174</v>
      </c>
      <c r="E40" s="49" t="s">
        <v>112</v>
      </c>
      <c r="F40" s="49"/>
      <c r="G40" s="50" t="s">
        <v>829</v>
      </c>
      <c r="H40" s="50" t="s">
        <v>432</v>
      </c>
      <c r="I40" s="9" t="s">
        <v>407</v>
      </c>
      <c r="J40" s="9"/>
      <c r="K40" s="9"/>
      <c r="L40" s="9"/>
      <c r="M40" s="9" t="s">
        <v>712</v>
      </c>
      <c r="N40" s="88"/>
      <c r="O40" s="9"/>
      <c r="P40" s="9"/>
      <c r="Q40" s="9"/>
      <c r="R40" s="87"/>
      <c r="S40" s="9"/>
      <c r="T40" s="9"/>
      <c r="U40" s="41"/>
      <c r="V40" s="51"/>
      <c r="W40" s="73"/>
      <c r="X40" s="74"/>
    </row>
    <row r="41" spans="1:24" s="11" customFormat="1" ht="26" x14ac:dyDescent="0.2">
      <c r="A41" s="9">
        <v>10</v>
      </c>
      <c r="B41" s="9"/>
      <c r="C41" s="9"/>
      <c r="D41" s="9" t="s">
        <v>176</v>
      </c>
      <c r="E41" s="49" t="s">
        <v>112</v>
      </c>
      <c r="F41" s="49"/>
      <c r="G41" s="50" t="s">
        <v>830</v>
      </c>
      <c r="H41" s="50" t="s">
        <v>433</v>
      </c>
      <c r="I41" s="9" t="s">
        <v>407</v>
      </c>
      <c r="J41" s="9"/>
      <c r="K41" s="9"/>
      <c r="L41" s="9"/>
      <c r="M41" s="9" t="s">
        <v>713</v>
      </c>
      <c r="N41" s="88"/>
      <c r="O41" s="9"/>
      <c r="P41" s="9"/>
      <c r="Q41" s="9"/>
      <c r="R41" s="87"/>
      <c r="S41" s="9"/>
      <c r="T41" s="9"/>
      <c r="U41" s="41"/>
      <c r="V41" s="51"/>
      <c r="W41" s="73"/>
      <c r="X41" s="74"/>
    </row>
    <row r="42" spans="1:24" s="11" customFormat="1" x14ac:dyDescent="0.2">
      <c r="A42" s="9">
        <v>10</v>
      </c>
      <c r="B42" s="9"/>
      <c r="C42" s="9"/>
      <c r="D42" s="9" t="s">
        <v>160</v>
      </c>
      <c r="E42" s="49" t="s">
        <v>108</v>
      </c>
      <c r="F42" s="49"/>
      <c r="G42" s="50" t="s">
        <v>831</v>
      </c>
      <c r="H42" s="50" t="s">
        <v>434</v>
      </c>
      <c r="I42" s="9" t="s">
        <v>407</v>
      </c>
      <c r="J42" s="9"/>
      <c r="K42" s="9" t="s">
        <v>417</v>
      </c>
      <c r="L42" s="9"/>
      <c r="M42" s="9"/>
      <c r="N42" s="9"/>
      <c r="O42" s="9"/>
      <c r="P42" s="9"/>
      <c r="Q42" s="9"/>
      <c r="R42" s="87" t="s">
        <v>678</v>
      </c>
      <c r="S42" s="9"/>
      <c r="T42" s="9"/>
      <c r="U42" s="41"/>
      <c r="V42" s="51"/>
      <c r="W42" s="73"/>
      <c r="X42" s="74"/>
    </row>
    <row r="43" spans="1:24" s="11" customFormat="1" x14ac:dyDescent="0.2">
      <c r="A43" s="9">
        <v>10</v>
      </c>
      <c r="B43" s="9"/>
      <c r="C43" s="9"/>
      <c r="D43" s="9" t="s">
        <v>323</v>
      </c>
      <c r="E43" s="49" t="s">
        <v>44</v>
      </c>
      <c r="F43" s="49"/>
      <c r="G43" s="50" t="s">
        <v>832</v>
      </c>
      <c r="H43" s="50" t="s">
        <v>435</v>
      </c>
      <c r="I43" s="9" t="s">
        <v>407</v>
      </c>
      <c r="J43" s="9"/>
      <c r="K43" s="9"/>
      <c r="L43" s="9"/>
      <c r="M43" s="9"/>
      <c r="N43" s="88"/>
      <c r="O43" s="9"/>
      <c r="P43" s="9"/>
      <c r="Q43" s="9"/>
      <c r="R43" s="87"/>
      <c r="S43" s="9"/>
      <c r="T43" s="9"/>
      <c r="U43" s="41"/>
      <c r="V43" s="51"/>
      <c r="W43" s="149"/>
      <c r="X43" s="150"/>
    </row>
    <row r="44" spans="1:24" s="11" customFormat="1" x14ac:dyDescent="0.2">
      <c r="A44" s="9">
        <v>10</v>
      </c>
      <c r="B44" s="9"/>
      <c r="C44" s="9"/>
      <c r="D44" s="9" t="s">
        <v>324</v>
      </c>
      <c r="E44" s="49" t="s">
        <v>44</v>
      </c>
      <c r="F44" s="49"/>
      <c r="G44" s="50" t="s">
        <v>833</v>
      </c>
      <c r="H44" s="50" t="s">
        <v>436</v>
      </c>
      <c r="I44" s="9" t="s">
        <v>407</v>
      </c>
      <c r="J44" s="9"/>
      <c r="K44" s="9"/>
      <c r="L44" s="9"/>
      <c r="M44" s="9"/>
      <c r="N44" s="9"/>
      <c r="O44" s="9"/>
      <c r="P44" s="9"/>
      <c r="Q44" s="9"/>
      <c r="R44" s="87"/>
      <c r="S44" s="9"/>
      <c r="T44" s="9"/>
      <c r="U44" s="41"/>
      <c r="V44" s="51"/>
      <c r="W44" s="149"/>
      <c r="X44" s="150"/>
    </row>
    <row r="45" spans="1:24" s="11" customFormat="1" x14ac:dyDescent="0.2">
      <c r="A45" s="9">
        <v>10</v>
      </c>
      <c r="B45" s="9"/>
      <c r="C45" s="9"/>
      <c r="D45" s="9" t="s">
        <v>171</v>
      </c>
      <c r="E45" s="49" t="s">
        <v>44</v>
      </c>
      <c r="F45" s="49"/>
      <c r="G45" s="50" t="s">
        <v>834</v>
      </c>
      <c r="H45" s="50" t="s">
        <v>437</v>
      </c>
      <c r="I45" s="9" t="s">
        <v>407</v>
      </c>
      <c r="J45" s="9"/>
      <c r="K45" s="9"/>
      <c r="L45" s="9"/>
      <c r="M45" s="9"/>
      <c r="N45" s="9"/>
      <c r="O45" s="9"/>
      <c r="P45" s="9"/>
      <c r="Q45" s="9"/>
      <c r="R45" s="87"/>
      <c r="S45" s="9"/>
      <c r="T45" s="9"/>
      <c r="U45" s="41"/>
      <c r="V45" s="51"/>
      <c r="W45" s="73"/>
      <c r="X45" s="74"/>
    </row>
    <row r="46" spans="1:24" s="11" customFormat="1" ht="26" x14ac:dyDescent="0.2">
      <c r="A46" s="9">
        <v>10</v>
      </c>
      <c r="B46" s="9"/>
      <c r="C46" s="9"/>
      <c r="D46" s="9" t="s">
        <v>755</v>
      </c>
      <c r="E46" s="49" t="s">
        <v>44</v>
      </c>
      <c r="F46" s="49"/>
      <c r="G46" s="50" t="s">
        <v>835</v>
      </c>
      <c r="H46" s="50" t="s">
        <v>760</v>
      </c>
      <c r="I46" s="9" t="s">
        <v>407</v>
      </c>
      <c r="J46" s="9"/>
      <c r="K46" s="9"/>
      <c r="L46" s="9"/>
      <c r="M46" s="9"/>
      <c r="N46" s="88"/>
      <c r="O46" s="9"/>
      <c r="P46" s="9"/>
      <c r="Q46" s="9"/>
      <c r="R46" s="87"/>
      <c r="S46" s="9"/>
      <c r="T46" s="9"/>
      <c r="U46" s="41"/>
      <c r="V46" s="51"/>
      <c r="W46" s="73"/>
      <c r="X46" s="74"/>
    </row>
    <row r="47" spans="1:24" s="11" customFormat="1" x14ac:dyDescent="0.2">
      <c r="A47" s="9">
        <v>10</v>
      </c>
      <c r="B47" s="9"/>
      <c r="C47" s="9"/>
      <c r="D47" s="9" t="s">
        <v>691</v>
      </c>
      <c r="E47" s="49" t="s">
        <v>692</v>
      </c>
      <c r="F47" s="49"/>
      <c r="G47" s="50" t="s">
        <v>836</v>
      </c>
      <c r="H47" s="50" t="s">
        <v>714</v>
      </c>
      <c r="I47" s="9" t="s">
        <v>407</v>
      </c>
      <c r="J47" s="9"/>
      <c r="K47" s="9"/>
      <c r="L47" s="9" t="s">
        <v>715</v>
      </c>
      <c r="M47" s="9"/>
      <c r="N47" s="9"/>
      <c r="O47" s="9"/>
      <c r="P47" s="9"/>
      <c r="Q47" s="9"/>
      <c r="R47" s="87"/>
      <c r="S47" s="9"/>
      <c r="T47" s="9"/>
      <c r="U47" s="41"/>
      <c r="V47" s="51"/>
      <c r="W47" s="73"/>
      <c r="X47" s="74"/>
    </row>
    <row r="48" spans="1:24" s="11" customFormat="1" x14ac:dyDescent="0.2">
      <c r="A48" s="9">
        <v>10</v>
      </c>
      <c r="B48" s="9"/>
      <c r="C48" s="9"/>
      <c r="D48" s="9" t="s">
        <v>724</v>
      </c>
      <c r="E48" s="49" t="s">
        <v>725</v>
      </c>
      <c r="F48" s="49"/>
      <c r="G48" s="50" t="s">
        <v>837</v>
      </c>
      <c r="H48" s="50" t="s">
        <v>726</v>
      </c>
      <c r="I48" s="9" t="s">
        <v>407</v>
      </c>
      <c r="J48" s="9"/>
      <c r="K48" s="9"/>
      <c r="L48" s="9" t="s">
        <v>727</v>
      </c>
      <c r="M48" s="9"/>
      <c r="N48" s="9"/>
      <c r="O48" s="9"/>
      <c r="P48" s="9"/>
      <c r="Q48" s="9"/>
      <c r="R48" s="87"/>
      <c r="S48" s="9"/>
      <c r="T48" s="9"/>
      <c r="U48" s="41"/>
      <c r="V48" s="51"/>
      <c r="W48" s="73"/>
      <c r="X48" s="74"/>
    </row>
    <row r="49" spans="1:24" s="11" customFormat="1" x14ac:dyDescent="0.2">
      <c r="A49" s="9">
        <v>10</v>
      </c>
      <c r="B49" s="9"/>
      <c r="C49" s="9"/>
      <c r="D49" s="9" t="s">
        <v>374</v>
      </c>
      <c r="E49" s="49" t="s">
        <v>301</v>
      </c>
      <c r="F49" s="49"/>
      <c r="G49" s="50" t="s">
        <v>838</v>
      </c>
      <c r="H49" s="50" t="s">
        <v>438</v>
      </c>
      <c r="I49" s="9" t="s">
        <v>407</v>
      </c>
      <c r="J49" s="9"/>
      <c r="K49" s="9"/>
      <c r="L49" s="9" t="s">
        <v>660</v>
      </c>
      <c r="M49" s="9"/>
      <c r="N49" s="9"/>
      <c r="O49" s="9"/>
      <c r="P49" s="9"/>
      <c r="Q49" s="9"/>
      <c r="R49" s="87"/>
      <c r="S49" s="9"/>
      <c r="T49" s="9"/>
      <c r="U49" s="41"/>
      <c r="V49" s="51"/>
      <c r="W49" s="73"/>
      <c r="X49" s="74"/>
    </row>
    <row r="50" spans="1:24" s="11" customFormat="1" x14ac:dyDescent="0.2">
      <c r="A50" s="9">
        <v>10</v>
      </c>
      <c r="B50" s="9"/>
      <c r="C50" s="9"/>
      <c r="D50" s="9" t="s">
        <v>180</v>
      </c>
      <c r="E50" s="49" t="s">
        <v>44</v>
      </c>
      <c r="F50" s="49"/>
      <c r="G50" s="50" t="s">
        <v>839</v>
      </c>
      <c r="H50" s="50" t="s">
        <v>439</v>
      </c>
      <c r="I50" s="9" t="s">
        <v>407</v>
      </c>
      <c r="J50" s="9"/>
      <c r="K50" s="9"/>
      <c r="L50" s="9"/>
      <c r="M50" s="9"/>
      <c r="N50" s="9"/>
      <c r="O50" s="9"/>
      <c r="P50" s="9"/>
      <c r="Q50" s="9"/>
      <c r="R50" s="87"/>
      <c r="S50" s="9"/>
      <c r="T50" s="9"/>
      <c r="U50" s="41"/>
      <c r="V50" s="51"/>
      <c r="W50" s="73"/>
      <c r="X50" s="74"/>
    </row>
    <row r="51" spans="1:24" s="11" customFormat="1" x14ac:dyDescent="0.2">
      <c r="A51" s="9">
        <v>10</v>
      </c>
      <c r="B51" s="9"/>
      <c r="C51" s="9"/>
      <c r="D51" s="9" t="s">
        <v>315</v>
      </c>
      <c r="E51" s="49" t="s">
        <v>83</v>
      </c>
      <c r="F51" s="49"/>
      <c r="G51" s="50" t="s">
        <v>840</v>
      </c>
      <c r="H51" s="50" t="s">
        <v>440</v>
      </c>
      <c r="I51" s="9" t="s">
        <v>407</v>
      </c>
      <c r="J51" s="9"/>
      <c r="K51" s="9"/>
      <c r="L51" s="9"/>
      <c r="M51" s="9" t="s">
        <v>661</v>
      </c>
      <c r="N51" s="88"/>
      <c r="O51" s="9"/>
      <c r="P51" s="9"/>
      <c r="Q51" s="9"/>
      <c r="R51" s="87"/>
      <c r="S51" s="9"/>
      <c r="T51" s="9"/>
      <c r="U51" s="41"/>
      <c r="V51" s="51"/>
      <c r="W51" s="73"/>
      <c r="X51" s="74"/>
    </row>
    <row r="52" spans="1:24" s="11" customFormat="1" x14ac:dyDescent="0.2">
      <c r="A52" s="9">
        <v>10</v>
      </c>
      <c r="B52" s="9"/>
      <c r="C52" s="9"/>
      <c r="D52" s="9" t="s">
        <v>183</v>
      </c>
      <c r="E52" s="49" t="s">
        <v>44</v>
      </c>
      <c r="F52" s="49"/>
      <c r="G52" s="50" t="s">
        <v>841</v>
      </c>
      <c r="H52" s="50" t="s">
        <v>441</v>
      </c>
      <c r="I52" s="9" t="s">
        <v>407</v>
      </c>
      <c r="J52" s="9"/>
      <c r="K52" s="9"/>
      <c r="L52" s="9"/>
      <c r="M52" s="9"/>
      <c r="N52" s="9"/>
      <c r="O52" s="9"/>
      <c r="P52" s="9"/>
      <c r="Q52" s="9"/>
      <c r="R52" s="87"/>
      <c r="S52" s="9"/>
      <c r="T52" s="9"/>
      <c r="U52" s="41"/>
      <c r="V52" s="51"/>
      <c r="W52" s="149"/>
      <c r="X52" s="150"/>
    </row>
    <row r="53" spans="1:24" s="11" customFormat="1" x14ac:dyDescent="0.2">
      <c r="A53" s="9">
        <v>10</v>
      </c>
      <c r="B53" s="9"/>
      <c r="C53" s="9"/>
      <c r="D53" s="9" t="s">
        <v>375</v>
      </c>
      <c r="E53" s="49" t="s">
        <v>196</v>
      </c>
      <c r="F53" s="49"/>
      <c r="G53" s="50" t="s">
        <v>842</v>
      </c>
      <c r="H53" s="50" t="s">
        <v>442</v>
      </c>
      <c r="I53" s="9" t="s">
        <v>407</v>
      </c>
      <c r="J53" s="9"/>
      <c r="K53" s="9"/>
      <c r="L53" s="9" t="s">
        <v>651</v>
      </c>
      <c r="M53" s="9"/>
      <c r="N53" s="9"/>
      <c r="O53" s="9"/>
      <c r="P53" s="9"/>
      <c r="Q53" s="9"/>
      <c r="R53" s="87"/>
      <c r="S53" s="9"/>
      <c r="T53" s="9"/>
      <c r="U53" s="41"/>
      <c r="V53" s="51"/>
      <c r="W53" s="149"/>
      <c r="X53" s="150"/>
    </row>
    <row r="54" spans="1:24" s="11" customFormat="1" x14ac:dyDescent="0.2">
      <c r="A54" s="9">
        <v>10</v>
      </c>
      <c r="B54" s="9"/>
      <c r="C54" s="9"/>
      <c r="D54" s="9" t="s">
        <v>376</v>
      </c>
      <c r="E54" s="49" t="s">
        <v>286</v>
      </c>
      <c r="F54" s="49"/>
      <c r="G54" s="50" t="s">
        <v>843</v>
      </c>
      <c r="H54" s="50" t="s">
        <v>443</v>
      </c>
      <c r="I54" s="9" t="s">
        <v>407</v>
      </c>
      <c r="J54" s="9"/>
      <c r="K54" s="9"/>
      <c r="L54" s="9" t="s">
        <v>652</v>
      </c>
      <c r="M54" s="9"/>
      <c r="N54" s="9"/>
      <c r="O54" s="9"/>
      <c r="P54" s="9"/>
      <c r="Q54" s="9"/>
      <c r="R54" s="87"/>
      <c r="S54" s="9"/>
      <c r="T54" s="9"/>
      <c r="U54" s="41"/>
      <c r="V54" s="51"/>
      <c r="W54" s="149"/>
      <c r="X54" s="150"/>
    </row>
    <row r="55" spans="1:24" s="11" customFormat="1" x14ac:dyDescent="0.2">
      <c r="A55" s="9">
        <v>10</v>
      </c>
      <c r="B55" s="9"/>
      <c r="C55" s="9"/>
      <c r="D55" s="9" t="s">
        <v>377</v>
      </c>
      <c r="E55" s="49" t="s">
        <v>192</v>
      </c>
      <c r="F55" s="49"/>
      <c r="G55" s="50" t="s">
        <v>844</v>
      </c>
      <c r="H55" s="50" t="s">
        <v>444</v>
      </c>
      <c r="I55" s="9" t="s">
        <v>407</v>
      </c>
      <c r="J55" s="9"/>
      <c r="K55" s="9"/>
      <c r="L55" s="9" t="s">
        <v>651</v>
      </c>
      <c r="M55" s="9"/>
      <c r="N55" s="9"/>
      <c r="O55" s="9"/>
      <c r="P55" s="9"/>
      <c r="Q55" s="9"/>
      <c r="R55" s="87"/>
      <c r="S55" s="9"/>
      <c r="T55" s="9"/>
      <c r="U55" s="41"/>
      <c r="V55" s="51"/>
      <c r="W55" s="149"/>
      <c r="X55" s="150"/>
    </row>
    <row r="56" spans="1:24" s="11" customFormat="1" x14ac:dyDescent="0.2">
      <c r="A56" s="9">
        <v>10</v>
      </c>
      <c r="B56" s="9"/>
      <c r="C56" s="9"/>
      <c r="D56" s="9" t="s">
        <v>679</v>
      </c>
      <c r="E56" s="49" t="s">
        <v>45</v>
      </c>
      <c r="F56" s="49"/>
      <c r="G56" s="50" t="s">
        <v>845</v>
      </c>
      <c r="H56" s="50" t="s">
        <v>680</v>
      </c>
      <c r="I56" s="9" t="s">
        <v>407</v>
      </c>
      <c r="J56" s="9"/>
      <c r="K56" s="9"/>
      <c r="L56" s="9"/>
      <c r="M56" s="9"/>
      <c r="N56" s="9"/>
      <c r="O56" s="9"/>
      <c r="P56" s="9"/>
      <c r="Q56" s="9"/>
      <c r="R56" s="87"/>
      <c r="S56" s="9"/>
      <c r="T56" s="9"/>
      <c r="U56" s="41"/>
      <c r="V56" s="51"/>
      <c r="W56" s="149"/>
      <c r="X56" s="150"/>
    </row>
    <row r="57" spans="1:24" s="11" customFormat="1" x14ac:dyDescent="0.2">
      <c r="A57" s="9">
        <v>10</v>
      </c>
      <c r="B57" s="9"/>
      <c r="C57" s="9"/>
      <c r="D57" s="9" t="s">
        <v>681</v>
      </c>
      <c r="E57" s="49" t="s">
        <v>667</v>
      </c>
      <c r="F57" s="49"/>
      <c r="G57" s="50" t="s">
        <v>846</v>
      </c>
      <c r="H57" s="50" t="s">
        <v>682</v>
      </c>
      <c r="I57" s="9" t="s">
        <v>407</v>
      </c>
      <c r="J57" s="9"/>
      <c r="K57" s="9"/>
      <c r="L57" s="9"/>
      <c r="M57" s="9" t="s">
        <v>716</v>
      </c>
      <c r="N57" s="9"/>
      <c r="O57" s="9"/>
      <c r="P57" s="9" t="s">
        <v>717</v>
      </c>
      <c r="Q57" s="9" t="s">
        <v>718</v>
      </c>
      <c r="R57" s="87"/>
      <c r="S57" s="9"/>
      <c r="T57" s="9"/>
      <c r="U57" s="41"/>
      <c r="V57" s="51"/>
      <c r="W57" s="149"/>
      <c r="X57" s="150"/>
    </row>
    <row r="58" spans="1:24" s="11" customFormat="1" x14ac:dyDescent="0.2">
      <c r="A58" s="9">
        <v>10</v>
      </c>
      <c r="B58" s="9"/>
      <c r="C58" s="9"/>
      <c r="D58" s="9" t="s">
        <v>683</v>
      </c>
      <c r="E58" s="49" t="s">
        <v>669</v>
      </c>
      <c r="F58" s="49"/>
      <c r="G58" s="50" t="s">
        <v>847</v>
      </c>
      <c r="H58" s="50" t="s">
        <v>684</v>
      </c>
      <c r="I58" s="9" t="s">
        <v>407</v>
      </c>
      <c r="J58" s="9"/>
      <c r="K58" s="9"/>
      <c r="L58" s="9"/>
      <c r="M58" s="9"/>
      <c r="N58" s="9"/>
      <c r="O58" s="9"/>
      <c r="P58" s="9"/>
      <c r="Q58" s="9"/>
      <c r="R58" s="87"/>
      <c r="S58" s="9"/>
      <c r="T58" s="9"/>
      <c r="U58" s="41"/>
      <c r="V58" s="51"/>
      <c r="W58" s="149"/>
      <c r="X58" s="150"/>
    </row>
    <row r="59" spans="1:24" s="11" customFormat="1" x14ac:dyDescent="0.2">
      <c r="A59" s="9">
        <v>10</v>
      </c>
      <c r="B59" s="9"/>
      <c r="C59" s="9"/>
      <c r="D59" s="9" t="s">
        <v>685</v>
      </c>
      <c r="E59" s="49" t="s">
        <v>669</v>
      </c>
      <c r="F59" s="49"/>
      <c r="G59" s="50" t="s">
        <v>847</v>
      </c>
      <c r="H59" s="50" t="s">
        <v>684</v>
      </c>
      <c r="I59" s="9" t="s">
        <v>407</v>
      </c>
      <c r="J59" s="9"/>
      <c r="K59" s="9"/>
      <c r="L59" s="9"/>
      <c r="M59" s="9" t="s">
        <v>719</v>
      </c>
      <c r="N59" s="9"/>
      <c r="O59" s="9"/>
      <c r="P59" s="9" t="s">
        <v>720</v>
      </c>
      <c r="Q59" s="9" t="s">
        <v>711</v>
      </c>
      <c r="R59" s="87"/>
      <c r="S59" s="9"/>
      <c r="T59" s="9"/>
      <c r="U59" s="41"/>
      <c r="V59" s="51"/>
      <c r="W59" s="149"/>
      <c r="X59" s="150"/>
    </row>
    <row r="60" spans="1:24" s="11" customFormat="1" x14ac:dyDescent="0.2">
      <c r="A60" s="9">
        <v>10</v>
      </c>
      <c r="B60" s="9"/>
      <c r="C60" s="9"/>
      <c r="D60" s="9" t="s">
        <v>745</v>
      </c>
      <c r="E60" s="49" t="s">
        <v>746</v>
      </c>
      <c r="F60" s="49"/>
      <c r="G60" s="50" t="s">
        <v>848</v>
      </c>
      <c r="H60" s="50" t="s">
        <v>761</v>
      </c>
      <c r="I60" s="9" t="s">
        <v>407</v>
      </c>
      <c r="J60" s="9"/>
      <c r="K60" s="9"/>
      <c r="L60" s="9" t="s">
        <v>743</v>
      </c>
      <c r="M60" s="9"/>
      <c r="N60" s="88"/>
      <c r="O60" s="9"/>
      <c r="P60" s="9"/>
      <c r="Q60" s="9"/>
      <c r="R60" s="87"/>
      <c r="S60" s="9"/>
      <c r="T60" s="9"/>
      <c r="U60" s="41"/>
      <c r="V60" s="51"/>
      <c r="W60" s="73"/>
      <c r="X60" s="74"/>
    </row>
    <row r="61" spans="1:24" s="11" customFormat="1" x14ac:dyDescent="0.2">
      <c r="A61" s="9">
        <v>10</v>
      </c>
      <c r="B61" s="9"/>
      <c r="C61" s="9"/>
      <c r="D61" s="9" t="s">
        <v>63</v>
      </c>
      <c r="E61" s="49" t="s">
        <v>64</v>
      </c>
      <c r="F61" s="49"/>
      <c r="G61" s="50" t="s">
        <v>849</v>
      </c>
      <c r="H61" s="50" t="s">
        <v>445</v>
      </c>
      <c r="I61" s="9" t="s">
        <v>407</v>
      </c>
      <c r="J61" s="9"/>
      <c r="K61" s="9"/>
      <c r="L61" s="9"/>
      <c r="M61" s="9"/>
      <c r="N61" s="9"/>
      <c r="O61" s="9"/>
      <c r="P61" s="9"/>
      <c r="Q61" s="9"/>
      <c r="R61" s="87"/>
      <c r="S61" s="9"/>
      <c r="T61" s="9"/>
      <c r="U61" s="41"/>
      <c r="V61" s="51"/>
      <c r="W61" s="149"/>
      <c r="X61" s="150"/>
    </row>
    <row r="62" spans="1:24" s="11" customFormat="1" x14ac:dyDescent="0.2">
      <c r="A62" s="52"/>
      <c r="B62" s="53"/>
      <c r="C62" s="53"/>
      <c r="D62" s="27" t="s">
        <v>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4"/>
      <c r="V62" s="4"/>
      <c r="W62" s="6"/>
      <c r="X62" s="23"/>
    </row>
    <row r="63" spans="1:24" s="11" customFormat="1" x14ac:dyDescent="0.2">
      <c r="A63" s="80"/>
      <c r="X63" s="54"/>
    </row>
    <row r="64" spans="1:24" s="11" customFormat="1" x14ac:dyDescent="0.2">
      <c r="A64" s="80"/>
      <c r="X64" s="54"/>
    </row>
    <row r="65" spans="1:24" s="11" customFormat="1" x14ac:dyDescent="0.2">
      <c r="A65" s="80"/>
      <c r="X65" s="54"/>
    </row>
    <row r="66" spans="1:24" s="11" customFormat="1" x14ac:dyDescent="0.2">
      <c r="A66" s="84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20"/>
    </row>
  </sheetData>
  <dataConsolidate/>
  <mergeCells count="21">
    <mergeCell ref="W12:X12"/>
    <mergeCell ref="W14:X14"/>
    <mergeCell ref="W15:X15"/>
    <mergeCell ref="W16:X16"/>
    <mergeCell ref="W52:X52"/>
    <mergeCell ref="W61:X61"/>
    <mergeCell ref="W53:X53"/>
    <mergeCell ref="W54:X54"/>
    <mergeCell ref="W55:X55"/>
    <mergeCell ref="W13:X13"/>
    <mergeCell ref="W21:X21"/>
    <mergeCell ref="W43:X43"/>
    <mergeCell ref="W44:X44"/>
    <mergeCell ref="W38:X38"/>
    <mergeCell ref="W19:X19"/>
    <mergeCell ref="W22:X22"/>
    <mergeCell ref="W20:X20"/>
    <mergeCell ref="W57:X57"/>
    <mergeCell ref="W58:X58"/>
    <mergeCell ref="W59:X59"/>
    <mergeCell ref="W56:X56"/>
  </mergeCells>
  <phoneticPr fontId="22"/>
  <pageMargins left="0.47244094488188981" right="0.43307086614173229" top="0.55118110236220474" bottom="0.59055118110236227" header="0.55118110236220474" footer="0.11811023622047245"/>
  <pageSetup paperSize="9" scale="32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6" t="s">
        <v>398</v>
      </c>
      <c r="B1" s="76" t="s">
        <v>398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7" t="s">
        <v>398</v>
      </c>
      <c r="B2" s="78"/>
      <c r="C2" s="78"/>
      <c r="D2" s="89" t="s">
        <v>788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MABCL0570</v>
      </c>
      <c r="I2" s="7" t="s">
        <v>399</v>
      </c>
      <c r="J2" s="9" t="s">
        <v>85</v>
      </c>
      <c r="K2" s="7" t="s">
        <v>36</v>
      </c>
      <c r="L2" s="79" t="str">
        <f>IF(LogicCommon!G2="","",LogicCommon!G2)</f>
        <v>MC</v>
      </c>
      <c r="M2" s="5" t="s">
        <v>400</v>
      </c>
      <c r="N2" s="28" t="s">
        <v>698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0" t="s">
        <v>398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MABCL_SpplReg</v>
      </c>
      <c r="I3" s="7" t="s">
        <v>401</v>
      </c>
      <c r="J3" s="9" t="s">
        <v>28</v>
      </c>
      <c r="K3" s="7" t="s">
        <v>37</v>
      </c>
      <c r="L3" s="79" t="str">
        <f>IF(LogicCommon!G3="","",LogicCommon!G3)</f>
        <v/>
      </c>
      <c r="M3" s="56" t="s">
        <v>29</v>
      </c>
      <c r="N3" s="7"/>
      <c r="O3" s="7" t="s">
        <v>402</v>
      </c>
      <c r="P3" s="9" t="s">
        <v>403</v>
      </c>
      <c r="Q3" s="4"/>
      <c r="R3" s="27"/>
      <c r="S3" s="27"/>
      <c r="T3" s="27"/>
      <c r="U3" s="27"/>
      <c r="V3" s="27"/>
    </row>
    <row r="4" spans="1:22" s="11" customFormat="1" x14ac:dyDescent="0.2">
      <c r="A4" s="80" t="s">
        <v>398</v>
      </c>
      <c r="B4" s="81"/>
      <c r="C4" s="81"/>
      <c r="D4" s="4"/>
      <c r="E4" s="7" t="s">
        <v>8</v>
      </c>
      <c r="F4" s="10" t="s">
        <v>646</v>
      </c>
      <c r="G4" s="7" t="s">
        <v>11</v>
      </c>
      <c r="H4" s="79" t="str">
        <f>IF(LogicCommon!E4="","",LogicCommon!E4)</f>
        <v>発注先登録</v>
      </c>
      <c r="I4" s="7" t="s">
        <v>404</v>
      </c>
      <c r="J4" s="9" t="s">
        <v>393</v>
      </c>
      <c r="K4" s="7" t="s">
        <v>5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4" t="s">
        <v>398</v>
      </c>
      <c r="B5" s="76"/>
      <c r="C5" s="76"/>
      <c r="D5" s="26"/>
      <c r="E5" s="7" t="s">
        <v>405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0" t="s">
        <v>398</v>
      </c>
      <c r="B6" s="81"/>
      <c r="C6" s="81"/>
      <c r="D6" s="4" t="s">
        <v>6</v>
      </c>
      <c r="E6" s="16" t="s">
        <v>396</v>
      </c>
      <c r="F6" s="16"/>
      <c r="G6" s="16"/>
      <c r="H6" s="16"/>
      <c r="I6" s="16"/>
      <c r="J6" s="16"/>
      <c r="K6" s="16"/>
      <c r="L6" s="86" t="s">
        <v>447</v>
      </c>
      <c r="M6" s="19"/>
      <c r="N6" s="19" t="s">
        <v>447</v>
      </c>
      <c r="O6" s="19"/>
      <c r="P6" s="19" t="s">
        <v>447</v>
      </c>
      <c r="Q6" s="19"/>
      <c r="R6" s="3" t="s">
        <v>447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59</v>
      </c>
      <c r="M7" s="33" t="s">
        <v>52</v>
      </c>
      <c r="N7" s="32" t="s">
        <v>60</v>
      </c>
      <c r="O7" s="33" t="s">
        <v>52</v>
      </c>
      <c r="P7" s="32"/>
      <c r="Q7" s="33" t="s">
        <v>52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92"/>
      <c r="C8" s="93"/>
      <c r="D8" s="90" t="s">
        <v>789</v>
      </c>
      <c r="E8" s="90" t="s">
        <v>790</v>
      </c>
      <c r="F8" s="86"/>
      <c r="G8" s="90" t="s">
        <v>446</v>
      </c>
      <c r="H8" s="90" t="s">
        <v>791</v>
      </c>
      <c r="I8" s="86"/>
      <c r="J8" s="3"/>
      <c r="K8" s="33" t="s">
        <v>16</v>
      </c>
      <c r="L8" s="9" t="s">
        <v>700</v>
      </c>
      <c r="M8" s="33" t="s">
        <v>53</v>
      </c>
      <c r="N8" s="9" t="s">
        <v>700</v>
      </c>
      <c r="O8" s="33" t="s">
        <v>53</v>
      </c>
      <c r="P8" s="9"/>
      <c r="Q8" s="33" t="s">
        <v>53</v>
      </c>
      <c r="R8" s="9"/>
      <c r="S8" s="94"/>
      <c r="T8" s="95"/>
      <c r="U8" s="96" t="s">
        <v>800</v>
      </c>
      <c r="V8" s="51"/>
    </row>
    <row r="9" spans="1:22" s="11" customFormat="1" ht="60" customHeight="1" x14ac:dyDescent="0.2">
      <c r="A9" s="9" t="s">
        <v>17</v>
      </c>
      <c r="B9" s="37"/>
      <c r="C9" s="38"/>
      <c r="D9" s="90" t="s">
        <v>850</v>
      </c>
      <c r="E9" s="97" t="s">
        <v>851</v>
      </c>
      <c r="F9" s="90" t="s">
        <v>794</v>
      </c>
      <c r="G9" s="90" t="s">
        <v>795</v>
      </c>
      <c r="H9" s="90" t="s">
        <v>796</v>
      </c>
      <c r="I9" s="98" t="s">
        <v>797</v>
      </c>
      <c r="J9" s="90" t="s">
        <v>798</v>
      </c>
      <c r="K9" s="33"/>
      <c r="L9" s="33"/>
      <c r="M9" s="33"/>
      <c r="N9" s="33"/>
      <c r="O9" s="33"/>
      <c r="P9" s="33"/>
      <c r="Q9" s="33"/>
      <c r="R9" s="33"/>
      <c r="S9" s="96" t="s">
        <v>799</v>
      </c>
      <c r="T9" s="51"/>
      <c r="U9" s="96" t="s">
        <v>801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797</v>
      </c>
      <c r="L10" s="91" t="s">
        <v>798</v>
      </c>
      <c r="M10" s="91" t="s">
        <v>797</v>
      </c>
      <c r="N10" s="91" t="s">
        <v>798</v>
      </c>
      <c r="O10" s="91" t="s">
        <v>797</v>
      </c>
      <c r="P10" s="91" t="s">
        <v>798</v>
      </c>
      <c r="Q10" s="91" t="s">
        <v>797</v>
      </c>
      <c r="R10" s="91" t="s">
        <v>798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617</v>
      </c>
      <c r="E11" s="34" t="s">
        <v>21</v>
      </c>
      <c r="F11" s="44"/>
      <c r="G11" s="28" t="s">
        <v>61</v>
      </c>
      <c r="H11" s="45" t="s">
        <v>448</v>
      </c>
      <c r="I11" s="46"/>
      <c r="J11" s="47"/>
      <c r="K11" s="48" t="s">
        <v>21</v>
      </c>
      <c r="L11" s="48"/>
      <c r="M11" s="48" t="s">
        <v>21</v>
      </c>
      <c r="N11" s="48"/>
      <c r="O11" s="48"/>
      <c r="P11" s="48"/>
      <c r="Q11" s="48"/>
      <c r="R11" s="48"/>
      <c r="S11" s="35"/>
      <c r="T11" s="36"/>
      <c r="U11" s="73"/>
      <c r="V11" s="75"/>
    </row>
    <row r="12" spans="1:22" s="11" customFormat="1" x14ac:dyDescent="0.2">
      <c r="A12" s="9">
        <v>10</v>
      </c>
      <c r="B12" s="9"/>
      <c r="C12" s="9"/>
      <c r="D12" s="9" t="s">
        <v>88</v>
      </c>
      <c r="E12" s="49" t="s">
        <v>86</v>
      </c>
      <c r="F12" s="49"/>
      <c r="G12" s="50" t="s">
        <v>802</v>
      </c>
      <c r="H12" s="50" t="s">
        <v>406</v>
      </c>
      <c r="I12" s="9" t="s">
        <v>407</v>
      </c>
      <c r="J12" s="9"/>
      <c r="K12" s="9" t="s">
        <v>407</v>
      </c>
      <c r="L12" s="9"/>
      <c r="M12" s="9" t="s">
        <v>417</v>
      </c>
      <c r="N12" s="9"/>
      <c r="O12" s="9"/>
      <c r="P12" s="9"/>
      <c r="Q12" s="9"/>
      <c r="R12" s="9"/>
      <c r="S12" s="41"/>
      <c r="T12" s="51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149</v>
      </c>
      <c r="E13" s="49" t="s">
        <v>86</v>
      </c>
      <c r="F13" s="49"/>
      <c r="G13" s="50" t="s">
        <v>803</v>
      </c>
      <c r="H13" s="50" t="s">
        <v>408</v>
      </c>
      <c r="I13" s="9" t="s">
        <v>407</v>
      </c>
      <c r="J13" s="9"/>
      <c r="K13" s="9" t="s">
        <v>407</v>
      </c>
      <c r="L13" s="9"/>
      <c r="M13" s="9"/>
      <c r="N13" s="9"/>
      <c r="O13" s="9"/>
      <c r="P13" s="9"/>
      <c r="Q13" s="9"/>
      <c r="R13" s="9"/>
      <c r="S13" s="41"/>
      <c r="T13" s="51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320</v>
      </c>
      <c r="E14" s="49" t="s">
        <v>330</v>
      </c>
      <c r="F14" s="49"/>
      <c r="G14" s="50" t="s">
        <v>811</v>
      </c>
      <c r="H14" s="50" t="s">
        <v>416</v>
      </c>
      <c r="I14" s="9" t="s">
        <v>407</v>
      </c>
      <c r="J14" s="9"/>
      <c r="K14" s="9" t="s">
        <v>407</v>
      </c>
      <c r="L14" s="9"/>
      <c r="M14" s="9"/>
      <c r="N14" s="9"/>
      <c r="O14" s="9"/>
      <c r="P14" s="9"/>
      <c r="Q14" s="9"/>
      <c r="R14" s="9"/>
      <c r="S14" s="41"/>
      <c r="T14" s="51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151</v>
      </c>
      <c r="E15" s="49" t="s">
        <v>106</v>
      </c>
      <c r="F15" s="49"/>
      <c r="G15" s="50" t="s">
        <v>805</v>
      </c>
      <c r="H15" s="50" t="s">
        <v>411</v>
      </c>
      <c r="I15" s="9" t="s">
        <v>407</v>
      </c>
      <c r="J15" s="9"/>
      <c r="K15" s="9" t="s">
        <v>407</v>
      </c>
      <c r="L15" s="9"/>
      <c r="M15" s="9"/>
      <c r="N15" s="9"/>
      <c r="O15" s="9"/>
      <c r="P15" s="9"/>
      <c r="Q15" s="9"/>
      <c r="R15" s="9"/>
      <c r="S15" s="41"/>
      <c r="T15" s="51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152</v>
      </c>
      <c r="E16" s="49" t="s">
        <v>107</v>
      </c>
      <c r="F16" s="49"/>
      <c r="G16" s="50" t="s">
        <v>806</v>
      </c>
      <c r="H16" s="50" t="s">
        <v>449</v>
      </c>
      <c r="I16" s="9" t="s">
        <v>407</v>
      </c>
      <c r="J16" s="9"/>
      <c r="K16" s="9" t="s">
        <v>407</v>
      </c>
      <c r="L16" s="9"/>
      <c r="M16" s="9"/>
      <c r="N16" s="9"/>
      <c r="O16" s="9"/>
      <c r="P16" s="9"/>
      <c r="Q16" s="9"/>
      <c r="R16" s="9"/>
      <c r="S16" s="41"/>
      <c r="T16" s="51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153</v>
      </c>
      <c r="E17" s="49" t="s">
        <v>91</v>
      </c>
      <c r="F17" s="49"/>
      <c r="G17" s="50" t="s">
        <v>807</v>
      </c>
      <c r="H17" s="50" t="s">
        <v>413</v>
      </c>
      <c r="I17" s="9" t="s">
        <v>407</v>
      </c>
      <c r="J17" s="9"/>
      <c r="K17" s="9" t="s">
        <v>407</v>
      </c>
      <c r="L17" s="9"/>
      <c r="M17" s="9"/>
      <c r="N17" s="9"/>
      <c r="O17" s="9"/>
      <c r="P17" s="9"/>
      <c r="Q17" s="9"/>
      <c r="R17" s="9"/>
      <c r="S17" s="41"/>
      <c r="T17" s="51"/>
      <c r="U17" s="73"/>
      <c r="V17" s="74"/>
    </row>
    <row r="18" spans="1:22" s="11" customFormat="1" x14ac:dyDescent="0.2">
      <c r="A18" s="9">
        <v>10</v>
      </c>
      <c r="B18" s="9"/>
      <c r="C18" s="9"/>
      <c r="D18" s="9" t="s">
        <v>154</v>
      </c>
      <c r="E18" s="49" t="s">
        <v>44</v>
      </c>
      <c r="F18" s="49"/>
      <c r="G18" s="50" t="s">
        <v>808</v>
      </c>
      <c r="H18" s="50" t="s">
        <v>414</v>
      </c>
      <c r="I18" s="9" t="s">
        <v>407</v>
      </c>
      <c r="J18" s="9"/>
      <c r="K18" s="9" t="s">
        <v>407</v>
      </c>
      <c r="L18" s="9"/>
      <c r="M18" s="9"/>
      <c r="N18" s="9"/>
      <c r="O18" s="9"/>
      <c r="P18" s="9"/>
      <c r="Q18" s="9"/>
      <c r="R18" s="9"/>
      <c r="S18" s="41"/>
      <c r="T18" s="51"/>
      <c r="U18" s="73"/>
      <c r="V18" s="74"/>
    </row>
    <row r="19" spans="1:22" s="11" customFormat="1" ht="26" x14ac:dyDescent="0.2">
      <c r="A19" s="9">
        <v>10</v>
      </c>
      <c r="B19" s="9"/>
      <c r="C19" s="9"/>
      <c r="D19" s="9" t="s">
        <v>155</v>
      </c>
      <c r="E19" s="49" t="s">
        <v>281</v>
      </c>
      <c r="F19" s="49"/>
      <c r="G19" s="50" t="s">
        <v>812</v>
      </c>
      <c r="H19" s="50" t="s">
        <v>418</v>
      </c>
      <c r="I19" s="9" t="s">
        <v>407</v>
      </c>
      <c r="J19" s="9"/>
      <c r="K19" s="9" t="s">
        <v>407</v>
      </c>
      <c r="L19" s="9"/>
      <c r="M19" s="9"/>
      <c r="N19" s="9"/>
      <c r="O19" s="9"/>
      <c r="P19" s="9"/>
      <c r="Q19" s="9"/>
      <c r="R19" s="9"/>
      <c r="S19" s="41"/>
      <c r="T19" s="51"/>
      <c r="U19" s="73"/>
      <c r="V19" s="74"/>
    </row>
    <row r="20" spans="1:22" s="11" customFormat="1" ht="26" x14ac:dyDescent="0.2">
      <c r="A20" s="9">
        <v>10</v>
      </c>
      <c r="B20" s="9"/>
      <c r="C20" s="9"/>
      <c r="D20" s="9" t="s">
        <v>156</v>
      </c>
      <c r="E20" s="49" t="s">
        <v>44</v>
      </c>
      <c r="F20" s="49"/>
      <c r="G20" s="50" t="s">
        <v>813</v>
      </c>
      <c r="H20" s="50" t="s">
        <v>419</v>
      </c>
      <c r="I20" s="9" t="s">
        <v>407</v>
      </c>
      <c r="J20" s="9"/>
      <c r="K20" s="9" t="s">
        <v>407</v>
      </c>
      <c r="L20" s="9"/>
      <c r="M20" s="9"/>
      <c r="N20" s="9"/>
      <c r="O20" s="9"/>
      <c r="P20" s="9"/>
      <c r="Q20" s="9"/>
      <c r="R20" s="9"/>
      <c r="S20" s="41"/>
      <c r="T20" s="51"/>
      <c r="U20" s="73"/>
      <c r="V20" s="74"/>
    </row>
    <row r="21" spans="1:22" s="11" customFormat="1" ht="26" x14ac:dyDescent="0.2">
      <c r="A21" s="9">
        <v>10</v>
      </c>
      <c r="B21" s="9"/>
      <c r="C21" s="9"/>
      <c r="D21" s="9" t="s">
        <v>157</v>
      </c>
      <c r="E21" s="49" t="s">
        <v>282</v>
      </c>
      <c r="F21" s="49"/>
      <c r="G21" s="50" t="s">
        <v>815</v>
      </c>
      <c r="H21" s="50" t="s">
        <v>421</v>
      </c>
      <c r="I21" s="9" t="s">
        <v>407</v>
      </c>
      <c r="J21" s="9"/>
      <c r="K21" s="9" t="s">
        <v>407</v>
      </c>
      <c r="L21" s="9"/>
      <c r="M21" s="9"/>
      <c r="N21" s="9"/>
      <c r="O21" s="9"/>
      <c r="P21" s="9"/>
      <c r="Q21" s="9"/>
      <c r="R21" s="9"/>
      <c r="S21" s="41"/>
      <c r="T21" s="51"/>
      <c r="U21" s="73"/>
      <c r="V21" s="74"/>
    </row>
    <row r="22" spans="1:22" s="11" customFormat="1" x14ac:dyDescent="0.2">
      <c r="A22" s="9">
        <v>10</v>
      </c>
      <c r="B22" s="9"/>
      <c r="C22" s="9"/>
      <c r="D22" s="9" t="s">
        <v>158</v>
      </c>
      <c r="E22" s="49" t="s">
        <v>283</v>
      </c>
      <c r="F22" s="49"/>
      <c r="G22" s="50" t="s">
        <v>816</v>
      </c>
      <c r="H22" s="50" t="s">
        <v>422</v>
      </c>
      <c r="I22" s="9" t="s">
        <v>407</v>
      </c>
      <c r="J22" s="9"/>
      <c r="K22" s="9" t="s">
        <v>407</v>
      </c>
      <c r="L22" s="9"/>
      <c r="M22" s="9"/>
      <c r="N22" s="9"/>
      <c r="O22" s="9"/>
      <c r="P22" s="9"/>
      <c r="Q22" s="9"/>
      <c r="R22" s="9"/>
      <c r="S22" s="41"/>
      <c r="T22" s="51"/>
      <c r="U22" s="73"/>
      <c r="V22" s="74"/>
    </row>
    <row r="23" spans="1:22" s="11" customFormat="1" x14ac:dyDescent="0.2">
      <c r="A23" s="9">
        <v>10</v>
      </c>
      <c r="B23" s="9"/>
      <c r="C23" s="9"/>
      <c r="D23" s="9" t="s">
        <v>159</v>
      </c>
      <c r="E23" s="49" t="s">
        <v>284</v>
      </c>
      <c r="F23" s="49"/>
      <c r="G23" s="50" t="s">
        <v>817</v>
      </c>
      <c r="H23" s="50" t="s">
        <v>423</v>
      </c>
      <c r="I23" s="9" t="s">
        <v>407</v>
      </c>
      <c r="J23" s="9"/>
      <c r="K23" s="9" t="s">
        <v>407</v>
      </c>
      <c r="L23" s="9"/>
      <c r="M23" s="9"/>
      <c r="N23" s="9"/>
      <c r="O23" s="9"/>
      <c r="P23" s="9"/>
      <c r="Q23" s="9"/>
      <c r="R23" s="9"/>
      <c r="S23" s="41"/>
      <c r="T23" s="51"/>
      <c r="U23" s="73"/>
      <c r="V23" s="74"/>
    </row>
    <row r="24" spans="1:22" s="11" customFormat="1" x14ac:dyDescent="0.2">
      <c r="A24" s="9">
        <v>10</v>
      </c>
      <c r="B24" s="9"/>
      <c r="C24" s="9"/>
      <c r="D24" s="9" t="s">
        <v>160</v>
      </c>
      <c r="E24" s="49" t="s">
        <v>108</v>
      </c>
      <c r="F24" s="49"/>
      <c r="G24" s="50" t="s">
        <v>831</v>
      </c>
      <c r="H24" s="50" t="s">
        <v>434</v>
      </c>
      <c r="I24" s="9" t="s">
        <v>407</v>
      </c>
      <c r="J24" s="9"/>
      <c r="K24" s="9" t="s">
        <v>407</v>
      </c>
      <c r="L24" s="9"/>
      <c r="M24" s="9"/>
      <c r="N24" s="9"/>
      <c r="O24" s="9"/>
      <c r="P24" s="9"/>
      <c r="Q24" s="9"/>
      <c r="R24" s="9"/>
      <c r="S24" s="41"/>
      <c r="T24" s="51"/>
      <c r="U24" s="73"/>
      <c r="V24" s="74"/>
    </row>
    <row r="25" spans="1:22" s="11" customFormat="1" x14ac:dyDescent="0.2">
      <c r="A25" s="9">
        <v>10</v>
      </c>
      <c r="B25" s="9"/>
      <c r="C25" s="9"/>
      <c r="D25" s="9" t="s">
        <v>161</v>
      </c>
      <c r="E25" s="49" t="s">
        <v>187</v>
      </c>
      <c r="F25" s="49"/>
      <c r="G25" s="50" t="s">
        <v>820</v>
      </c>
      <c r="H25" s="50" t="s">
        <v>426</v>
      </c>
      <c r="I25" s="9" t="s">
        <v>407</v>
      </c>
      <c r="J25" s="9"/>
      <c r="K25" s="9" t="s">
        <v>407</v>
      </c>
      <c r="L25" s="9"/>
      <c r="M25" s="9"/>
      <c r="N25" s="9"/>
      <c r="O25" s="9"/>
      <c r="P25" s="9"/>
      <c r="Q25" s="9"/>
      <c r="R25" s="9"/>
      <c r="S25" s="41"/>
      <c r="T25" s="51"/>
      <c r="U25" s="73"/>
      <c r="V25" s="74"/>
    </row>
    <row r="26" spans="1:22" s="11" customFormat="1" x14ac:dyDescent="0.2">
      <c r="A26" s="9">
        <v>10</v>
      </c>
      <c r="B26" s="9"/>
      <c r="C26" s="9"/>
      <c r="D26" s="9" t="s">
        <v>163</v>
      </c>
      <c r="E26" s="49" t="s">
        <v>189</v>
      </c>
      <c r="F26" s="49"/>
      <c r="G26" s="50" t="s">
        <v>821</v>
      </c>
      <c r="H26" s="50" t="s">
        <v>427</v>
      </c>
      <c r="I26" s="9" t="s">
        <v>407</v>
      </c>
      <c r="J26" s="9"/>
      <c r="K26" s="9" t="s">
        <v>407</v>
      </c>
      <c r="L26" s="9"/>
      <c r="M26" s="9"/>
      <c r="N26" s="9"/>
      <c r="O26" s="9"/>
      <c r="P26" s="9"/>
      <c r="Q26" s="9"/>
      <c r="R26" s="9"/>
      <c r="S26" s="41"/>
      <c r="T26" s="51"/>
      <c r="U26" s="73"/>
      <c r="V26" s="74"/>
    </row>
    <row r="27" spans="1:22" s="11" customFormat="1" x14ac:dyDescent="0.2">
      <c r="A27" s="9">
        <v>10</v>
      </c>
      <c r="B27" s="9"/>
      <c r="C27" s="9"/>
      <c r="D27" s="9" t="s">
        <v>165</v>
      </c>
      <c r="E27" s="49" t="s">
        <v>109</v>
      </c>
      <c r="F27" s="49"/>
      <c r="G27" s="50" t="s">
        <v>822</v>
      </c>
      <c r="H27" s="50" t="s">
        <v>428</v>
      </c>
      <c r="I27" s="9" t="s">
        <v>407</v>
      </c>
      <c r="J27" s="9"/>
      <c r="K27" s="9" t="s">
        <v>407</v>
      </c>
      <c r="L27" s="9"/>
      <c r="M27" s="9"/>
      <c r="N27" s="9"/>
      <c r="O27" s="9"/>
      <c r="P27" s="9"/>
      <c r="Q27" s="9"/>
      <c r="R27" s="9"/>
      <c r="S27" s="41"/>
      <c r="T27" s="51"/>
      <c r="U27" s="73"/>
      <c r="V27" s="74"/>
    </row>
    <row r="28" spans="1:22" s="11" customFormat="1" x14ac:dyDescent="0.2">
      <c r="A28" s="9">
        <v>10</v>
      </c>
      <c r="B28" s="9"/>
      <c r="C28" s="9"/>
      <c r="D28" s="9" t="s">
        <v>748</v>
      </c>
      <c r="E28" s="49" t="s">
        <v>45</v>
      </c>
      <c r="F28" s="49"/>
      <c r="G28" s="50" t="s">
        <v>823</v>
      </c>
      <c r="H28" s="50" t="s">
        <v>757</v>
      </c>
      <c r="I28" s="9" t="s">
        <v>407</v>
      </c>
      <c r="J28" s="9"/>
      <c r="K28" s="9" t="s">
        <v>407</v>
      </c>
      <c r="L28" s="9"/>
      <c r="M28" s="9"/>
      <c r="N28" s="9"/>
      <c r="O28" s="9"/>
      <c r="P28" s="9"/>
      <c r="Q28" s="9"/>
      <c r="R28" s="9"/>
      <c r="S28" s="41"/>
      <c r="T28" s="51"/>
      <c r="U28" s="73"/>
      <c r="V28" s="74"/>
    </row>
    <row r="29" spans="1:22" s="11" customFormat="1" ht="26" x14ac:dyDescent="0.2">
      <c r="A29" s="9">
        <v>10</v>
      </c>
      <c r="B29" s="9"/>
      <c r="C29" s="9"/>
      <c r="D29" s="9" t="s">
        <v>749</v>
      </c>
      <c r="E29" s="49" t="s">
        <v>45</v>
      </c>
      <c r="F29" s="49"/>
      <c r="G29" s="50" t="s">
        <v>824</v>
      </c>
      <c r="H29" s="50" t="s">
        <v>758</v>
      </c>
      <c r="I29" s="9" t="s">
        <v>407</v>
      </c>
      <c r="J29" s="9"/>
      <c r="K29" s="9" t="s">
        <v>407</v>
      </c>
      <c r="L29" s="9"/>
      <c r="M29" s="9"/>
      <c r="N29" s="9"/>
      <c r="O29" s="9"/>
      <c r="P29" s="9"/>
      <c r="Q29" s="9"/>
      <c r="R29" s="9"/>
      <c r="S29" s="41"/>
      <c r="T29" s="51"/>
      <c r="U29" s="73"/>
      <c r="V29" s="74"/>
    </row>
    <row r="30" spans="1:22" s="11" customFormat="1" ht="26" x14ac:dyDescent="0.2">
      <c r="A30" s="9">
        <v>10</v>
      </c>
      <c r="B30" s="9"/>
      <c r="C30" s="9"/>
      <c r="D30" s="9" t="s">
        <v>750</v>
      </c>
      <c r="E30" s="49" t="s">
        <v>45</v>
      </c>
      <c r="F30" s="49"/>
      <c r="G30" s="50" t="s">
        <v>825</v>
      </c>
      <c r="H30" s="50" t="s">
        <v>759</v>
      </c>
      <c r="I30" s="9" t="s">
        <v>407</v>
      </c>
      <c r="J30" s="9"/>
      <c r="K30" s="9" t="s">
        <v>407</v>
      </c>
      <c r="L30" s="9"/>
      <c r="M30" s="9"/>
      <c r="N30" s="9"/>
      <c r="O30" s="9"/>
      <c r="P30" s="9"/>
      <c r="Q30" s="9"/>
      <c r="R30" s="9"/>
      <c r="S30" s="41"/>
      <c r="T30" s="51"/>
      <c r="U30" s="73"/>
      <c r="V30" s="74"/>
    </row>
    <row r="31" spans="1:22" s="11" customFormat="1" x14ac:dyDescent="0.2">
      <c r="A31" s="9">
        <v>10</v>
      </c>
      <c r="B31" s="9"/>
      <c r="C31" s="9"/>
      <c r="D31" s="9" t="s">
        <v>167</v>
      </c>
      <c r="E31" s="49" t="s">
        <v>45</v>
      </c>
      <c r="F31" s="49"/>
      <c r="G31" s="50" t="s">
        <v>814</v>
      </c>
      <c r="H31" s="50" t="s">
        <v>762</v>
      </c>
      <c r="I31" s="9" t="s">
        <v>407</v>
      </c>
      <c r="J31" s="9"/>
      <c r="K31" s="9" t="s">
        <v>407</v>
      </c>
      <c r="L31" s="9"/>
      <c r="M31" s="9"/>
      <c r="N31" s="9"/>
      <c r="O31" s="9"/>
      <c r="P31" s="9"/>
      <c r="Q31" s="9"/>
      <c r="R31" s="9"/>
      <c r="S31" s="41"/>
      <c r="T31" s="51"/>
      <c r="U31" s="73"/>
      <c r="V31" s="74"/>
    </row>
    <row r="32" spans="1:22" s="11" customFormat="1" x14ac:dyDescent="0.2">
      <c r="A32" s="9">
        <v>10</v>
      </c>
      <c r="B32" s="9"/>
      <c r="C32" s="9"/>
      <c r="D32" s="9" t="s">
        <v>168</v>
      </c>
      <c r="E32" s="49" t="s">
        <v>763</v>
      </c>
      <c r="F32" s="49"/>
      <c r="G32" s="50" t="s">
        <v>818</v>
      </c>
      <c r="H32" s="50" t="s">
        <v>424</v>
      </c>
      <c r="I32" s="9" t="s">
        <v>407</v>
      </c>
      <c r="J32" s="9"/>
      <c r="K32" s="9" t="s">
        <v>407</v>
      </c>
      <c r="L32" s="9"/>
      <c r="M32" s="9"/>
      <c r="N32" s="9"/>
      <c r="O32" s="9"/>
      <c r="P32" s="9"/>
      <c r="Q32" s="9"/>
      <c r="R32" s="9"/>
      <c r="S32" s="41"/>
      <c r="T32" s="51"/>
      <c r="U32" s="73"/>
      <c r="V32" s="74"/>
    </row>
    <row r="33" spans="1:22" s="11" customFormat="1" x14ac:dyDescent="0.2">
      <c r="A33" s="9">
        <v>10</v>
      </c>
      <c r="B33" s="9"/>
      <c r="C33" s="9"/>
      <c r="D33" s="9" t="s">
        <v>170</v>
      </c>
      <c r="E33" s="49" t="s">
        <v>45</v>
      </c>
      <c r="F33" s="49"/>
      <c r="G33" s="50" t="s">
        <v>819</v>
      </c>
      <c r="H33" s="50" t="s">
        <v>764</v>
      </c>
      <c r="I33" s="9" t="s">
        <v>407</v>
      </c>
      <c r="J33" s="9"/>
      <c r="K33" s="9" t="s">
        <v>407</v>
      </c>
      <c r="L33" s="9"/>
      <c r="M33" s="9"/>
      <c r="N33" s="9"/>
      <c r="O33" s="9"/>
      <c r="P33" s="9"/>
      <c r="Q33" s="9"/>
      <c r="R33" s="9"/>
      <c r="S33" s="41"/>
      <c r="T33" s="51"/>
      <c r="U33" s="73"/>
      <c r="V33" s="74"/>
    </row>
    <row r="34" spans="1:22" s="11" customFormat="1" x14ac:dyDescent="0.2">
      <c r="A34" s="9">
        <v>10</v>
      </c>
      <c r="B34" s="9"/>
      <c r="C34" s="9"/>
      <c r="D34" s="9" t="s">
        <v>171</v>
      </c>
      <c r="E34" s="49" t="s">
        <v>45</v>
      </c>
      <c r="F34" s="49"/>
      <c r="G34" s="50" t="s">
        <v>834</v>
      </c>
      <c r="H34" s="50" t="s">
        <v>765</v>
      </c>
      <c r="I34" s="9" t="s">
        <v>407</v>
      </c>
      <c r="J34" s="9"/>
      <c r="K34" s="9" t="s">
        <v>407</v>
      </c>
      <c r="L34" s="9"/>
      <c r="M34" s="9"/>
      <c r="N34" s="9"/>
      <c r="O34" s="9"/>
      <c r="P34" s="9"/>
      <c r="Q34" s="9"/>
      <c r="R34" s="9"/>
      <c r="S34" s="41"/>
      <c r="T34" s="51"/>
      <c r="U34" s="73"/>
      <c r="V34" s="74"/>
    </row>
    <row r="35" spans="1:22" s="11" customFormat="1" ht="26" x14ac:dyDescent="0.2">
      <c r="A35" s="9">
        <v>10</v>
      </c>
      <c r="B35" s="9"/>
      <c r="C35" s="9"/>
      <c r="D35" s="9" t="s">
        <v>755</v>
      </c>
      <c r="E35" s="49" t="s">
        <v>45</v>
      </c>
      <c r="F35" s="49"/>
      <c r="G35" s="50" t="s">
        <v>835</v>
      </c>
      <c r="H35" s="50" t="s">
        <v>760</v>
      </c>
      <c r="I35" s="9" t="s">
        <v>407</v>
      </c>
      <c r="J35" s="9"/>
      <c r="K35" s="9" t="s">
        <v>407</v>
      </c>
      <c r="L35" s="9"/>
      <c r="M35" s="9"/>
      <c r="N35" s="9"/>
      <c r="O35" s="9"/>
      <c r="P35" s="9"/>
      <c r="Q35" s="9"/>
      <c r="R35" s="9"/>
      <c r="S35" s="41"/>
      <c r="T35" s="51"/>
      <c r="U35" s="73"/>
      <c r="V35" s="74"/>
    </row>
    <row r="36" spans="1:22" s="11" customFormat="1" ht="26" x14ac:dyDescent="0.2">
      <c r="A36" s="9">
        <v>10</v>
      </c>
      <c r="B36" s="9"/>
      <c r="C36" s="9"/>
      <c r="D36" s="9" t="s">
        <v>172</v>
      </c>
      <c r="E36" s="49" t="s">
        <v>766</v>
      </c>
      <c r="F36" s="49"/>
      <c r="G36" s="50" t="s">
        <v>828</v>
      </c>
      <c r="H36" s="50" t="s">
        <v>767</v>
      </c>
      <c r="I36" s="9" t="s">
        <v>407</v>
      </c>
      <c r="J36" s="9"/>
      <c r="K36" s="9" t="s">
        <v>407</v>
      </c>
      <c r="L36" s="9"/>
      <c r="M36" s="9"/>
      <c r="N36" s="9"/>
      <c r="O36" s="9"/>
      <c r="P36" s="9"/>
      <c r="Q36" s="9"/>
      <c r="R36" s="9"/>
      <c r="S36" s="41"/>
      <c r="T36" s="51"/>
      <c r="U36" s="73"/>
      <c r="V36" s="74"/>
    </row>
    <row r="37" spans="1:22" s="11" customFormat="1" ht="26" x14ac:dyDescent="0.2">
      <c r="A37" s="9">
        <v>10</v>
      </c>
      <c r="B37" s="9"/>
      <c r="C37" s="9"/>
      <c r="D37" s="9" t="s">
        <v>174</v>
      </c>
      <c r="E37" s="49" t="s">
        <v>766</v>
      </c>
      <c r="F37" s="49"/>
      <c r="G37" s="50" t="s">
        <v>829</v>
      </c>
      <c r="H37" s="50" t="s">
        <v>768</v>
      </c>
      <c r="I37" s="9" t="s">
        <v>407</v>
      </c>
      <c r="J37" s="9"/>
      <c r="K37" s="9" t="s">
        <v>407</v>
      </c>
      <c r="L37" s="9"/>
      <c r="M37" s="9"/>
      <c r="N37" s="9"/>
      <c r="O37" s="9"/>
      <c r="P37" s="9"/>
      <c r="Q37" s="9"/>
      <c r="R37" s="9"/>
      <c r="S37" s="41"/>
      <c r="T37" s="51"/>
      <c r="U37" s="73"/>
      <c r="V37" s="74"/>
    </row>
    <row r="38" spans="1:22" s="11" customFormat="1" ht="26" x14ac:dyDescent="0.2">
      <c r="A38" s="9">
        <v>10</v>
      </c>
      <c r="B38" s="9"/>
      <c r="C38" s="9"/>
      <c r="D38" s="9" t="s">
        <v>176</v>
      </c>
      <c r="E38" s="49" t="s">
        <v>766</v>
      </c>
      <c r="F38" s="49"/>
      <c r="G38" s="50" t="s">
        <v>830</v>
      </c>
      <c r="H38" s="50" t="s">
        <v>769</v>
      </c>
      <c r="I38" s="9" t="s">
        <v>407</v>
      </c>
      <c r="J38" s="9"/>
      <c r="K38" s="9" t="s">
        <v>407</v>
      </c>
      <c r="L38" s="9"/>
      <c r="M38" s="9"/>
      <c r="N38" s="9"/>
      <c r="O38" s="9"/>
      <c r="P38" s="9"/>
      <c r="Q38" s="9"/>
      <c r="R38" s="9"/>
      <c r="S38" s="41"/>
      <c r="T38" s="51"/>
      <c r="U38" s="73"/>
      <c r="V38" s="74"/>
    </row>
    <row r="39" spans="1:22" s="11" customFormat="1" x14ac:dyDescent="0.2">
      <c r="A39" s="9">
        <v>10</v>
      </c>
      <c r="B39" s="9"/>
      <c r="C39" s="9"/>
      <c r="D39" s="9" t="s">
        <v>323</v>
      </c>
      <c r="E39" s="49" t="s">
        <v>45</v>
      </c>
      <c r="F39" s="49"/>
      <c r="G39" s="50" t="s">
        <v>832</v>
      </c>
      <c r="H39" s="50" t="s">
        <v>770</v>
      </c>
      <c r="I39" s="9" t="s">
        <v>407</v>
      </c>
      <c r="J39" s="9"/>
      <c r="K39" s="9" t="s">
        <v>407</v>
      </c>
      <c r="L39" s="9"/>
      <c r="M39" s="9"/>
      <c r="N39" s="9"/>
      <c r="O39" s="9"/>
      <c r="P39" s="9"/>
      <c r="Q39" s="9"/>
      <c r="R39" s="9"/>
      <c r="S39" s="41"/>
      <c r="T39" s="51"/>
      <c r="U39" s="73"/>
      <c r="V39" s="74"/>
    </row>
    <row r="40" spans="1:22" s="11" customFormat="1" x14ac:dyDescent="0.2">
      <c r="A40" s="9">
        <v>10</v>
      </c>
      <c r="B40" s="9"/>
      <c r="C40" s="9"/>
      <c r="D40" s="9" t="s">
        <v>324</v>
      </c>
      <c r="E40" s="49" t="s">
        <v>45</v>
      </c>
      <c r="F40" s="49"/>
      <c r="G40" s="50" t="s">
        <v>833</v>
      </c>
      <c r="H40" s="50" t="s">
        <v>771</v>
      </c>
      <c r="I40" s="9" t="s">
        <v>407</v>
      </c>
      <c r="J40" s="9"/>
      <c r="K40" s="9" t="s">
        <v>407</v>
      </c>
      <c r="L40" s="9"/>
      <c r="M40" s="9"/>
      <c r="N40" s="9"/>
      <c r="O40" s="9"/>
      <c r="P40" s="9"/>
      <c r="Q40" s="9"/>
      <c r="R40" s="9"/>
      <c r="S40" s="41"/>
      <c r="T40" s="51"/>
      <c r="U40" s="73"/>
      <c r="V40" s="74"/>
    </row>
    <row r="41" spans="1:22" s="11" customFormat="1" ht="26" x14ac:dyDescent="0.2">
      <c r="A41" s="9">
        <v>10</v>
      </c>
      <c r="B41" s="9"/>
      <c r="C41" s="9"/>
      <c r="D41" s="9" t="s">
        <v>325</v>
      </c>
      <c r="E41" s="49" t="s">
        <v>326</v>
      </c>
      <c r="F41" s="49"/>
      <c r="G41" s="50" t="s">
        <v>827</v>
      </c>
      <c r="H41" s="50" t="s">
        <v>772</v>
      </c>
      <c r="I41" s="9" t="s">
        <v>407</v>
      </c>
      <c r="J41" s="9"/>
      <c r="K41" s="9" t="s">
        <v>407</v>
      </c>
      <c r="L41" s="9"/>
      <c r="M41" s="9"/>
      <c r="N41" s="9"/>
      <c r="O41" s="9"/>
      <c r="P41" s="9"/>
      <c r="Q41" s="9"/>
      <c r="R41" s="9"/>
      <c r="S41" s="41"/>
      <c r="T41" s="51"/>
      <c r="U41" s="73"/>
      <c r="V41" s="74"/>
    </row>
    <row r="42" spans="1:22" s="11" customFormat="1" ht="26" x14ac:dyDescent="0.2">
      <c r="A42" s="9">
        <v>10</v>
      </c>
      <c r="B42" s="9"/>
      <c r="C42" s="9"/>
      <c r="D42" s="9" t="s">
        <v>178</v>
      </c>
      <c r="E42" s="49" t="s">
        <v>194</v>
      </c>
      <c r="F42" s="49"/>
      <c r="G42" s="50" t="s">
        <v>826</v>
      </c>
      <c r="H42" s="50" t="s">
        <v>429</v>
      </c>
      <c r="I42" s="9" t="s">
        <v>407</v>
      </c>
      <c r="J42" s="9"/>
      <c r="K42" s="9" t="s">
        <v>407</v>
      </c>
      <c r="L42" s="9"/>
      <c r="M42" s="9"/>
      <c r="N42" s="9"/>
      <c r="O42" s="9"/>
      <c r="P42" s="9"/>
      <c r="Q42" s="9"/>
      <c r="R42" s="9"/>
      <c r="S42" s="41"/>
      <c r="T42" s="51"/>
      <c r="U42" s="73"/>
      <c r="V42" s="74"/>
    </row>
    <row r="43" spans="1:22" s="11" customFormat="1" x14ac:dyDescent="0.2">
      <c r="A43" s="9">
        <v>10</v>
      </c>
      <c r="B43" s="9"/>
      <c r="C43" s="9"/>
      <c r="D43" s="9" t="s">
        <v>331</v>
      </c>
      <c r="E43" s="49" t="s">
        <v>45</v>
      </c>
      <c r="F43" s="49"/>
      <c r="G43" s="50" t="s">
        <v>809</v>
      </c>
      <c r="H43" s="50" t="s">
        <v>773</v>
      </c>
      <c r="I43" s="9" t="s">
        <v>407</v>
      </c>
      <c r="J43" s="9"/>
      <c r="K43" s="9" t="s">
        <v>407</v>
      </c>
      <c r="L43" s="9"/>
      <c r="M43" s="9"/>
      <c r="N43" s="9"/>
      <c r="O43" s="9"/>
      <c r="P43" s="9"/>
      <c r="Q43" s="9"/>
      <c r="R43" s="9"/>
      <c r="S43" s="41"/>
      <c r="T43" s="51"/>
      <c r="U43" s="73"/>
      <c r="V43" s="74"/>
    </row>
    <row r="44" spans="1:22" s="11" customFormat="1" x14ac:dyDescent="0.2">
      <c r="A44" s="9">
        <v>10</v>
      </c>
      <c r="B44" s="9"/>
      <c r="C44" s="9"/>
      <c r="D44" s="9" t="s">
        <v>742</v>
      </c>
      <c r="E44" s="49" t="s">
        <v>45</v>
      </c>
      <c r="F44" s="49"/>
      <c r="G44" s="50" t="s">
        <v>810</v>
      </c>
      <c r="H44" s="50" t="s">
        <v>774</v>
      </c>
      <c r="I44" s="9" t="s">
        <v>407</v>
      </c>
      <c r="J44" s="9"/>
      <c r="K44" s="9" t="s">
        <v>407</v>
      </c>
      <c r="L44" s="9"/>
      <c r="M44" s="9"/>
      <c r="N44" s="9"/>
      <c r="O44" s="9"/>
      <c r="P44" s="9"/>
      <c r="Q44" s="9"/>
      <c r="R44" s="9"/>
      <c r="S44" s="41"/>
      <c r="T44" s="51"/>
      <c r="U44" s="73"/>
      <c r="V44" s="74"/>
    </row>
    <row r="45" spans="1:22" s="11" customFormat="1" x14ac:dyDescent="0.2">
      <c r="A45" s="9">
        <v>10</v>
      </c>
      <c r="B45" s="9"/>
      <c r="C45" s="9"/>
      <c r="D45" s="9" t="s">
        <v>691</v>
      </c>
      <c r="E45" s="49" t="s">
        <v>775</v>
      </c>
      <c r="F45" s="49"/>
      <c r="G45" s="50" t="s">
        <v>836</v>
      </c>
      <c r="H45" s="50" t="s">
        <v>776</v>
      </c>
      <c r="I45" s="9" t="s">
        <v>407</v>
      </c>
      <c r="J45" s="9"/>
      <c r="K45" s="9" t="s">
        <v>407</v>
      </c>
      <c r="L45" s="9"/>
      <c r="M45" s="9"/>
      <c r="N45" s="9"/>
      <c r="O45" s="9"/>
      <c r="P45" s="9"/>
      <c r="Q45" s="9"/>
      <c r="R45" s="9"/>
      <c r="S45" s="41"/>
      <c r="T45" s="51"/>
      <c r="U45" s="73"/>
      <c r="V45" s="74"/>
    </row>
    <row r="46" spans="1:22" s="11" customFormat="1" x14ac:dyDescent="0.2">
      <c r="A46" s="9">
        <v>10</v>
      </c>
      <c r="B46" s="9"/>
      <c r="C46" s="9"/>
      <c r="D46" s="9" t="s">
        <v>728</v>
      </c>
      <c r="E46" s="49" t="s">
        <v>725</v>
      </c>
      <c r="F46" s="49"/>
      <c r="G46" s="50" t="s">
        <v>837</v>
      </c>
      <c r="H46" s="50" t="s">
        <v>777</v>
      </c>
      <c r="I46" s="9" t="s">
        <v>407</v>
      </c>
      <c r="J46" s="9"/>
      <c r="K46" s="9" t="s">
        <v>407</v>
      </c>
      <c r="L46" s="9"/>
      <c r="M46" s="9"/>
      <c r="N46" s="9"/>
      <c r="O46" s="9"/>
      <c r="P46" s="9"/>
      <c r="Q46" s="9"/>
      <c r="R46" s="9"/>
      <c r="S46" s="41"/>
      <c r="T46" s="51"/>
      <c r="U46" s="73"/>
      <c r="V46" s="74"/>
    </row>
    <row r="47" spans="1:22" s="11" customFormat="1" x14ac:dyDescent="0.2">
      <c r="A47" s="9">
        <v>10</v>
      </c>
      <c r="B47" s="9"/>
      <c r="C47" s="9"/>
      <c r="D47" s="9" t="s">
        <v>179</v>
      </c>
      <c r="E47" s="49" t="s">
        <v>195</v>
      </c>
      <c r="F47" s="49"/>
      <c r="G47" s="50" t="s">
        <v>838</v>
      </c>
      <c r="H47" s="50" t="s">
        <v>778</v>
      </c>
      <c r="I47" s="9" t="s">
        <v>407</v>
      </c>
      <c r="J47" s="9"/>
      <c r="K47" s="9" t="s">
        <v>407</v>
      </c>
      <c r="L47" s="9"/>
      <c r="M47" s="9"/>
      <c r="N47" s="9"/>
      <c r="O47" s="9"/>
      <c r="P47" s="9"/>
      <c r="Q47" s="9"/>
      <c r="R47" s="9"/>
      <c r="S47" s="41"/>
      <c r="T47" s="51"/>
      <c r="U47" s="73"/>
      <c r="V47" s="74"/>
    </row>
    <row r="48" spans="1:22" s="11" customFormat="1" x14ac:dyDescent="0.2">
      <c r="A48" s="9">
        <v>10</v>
      </c>
      <c r="B48" s="9"/>
      <c r="C48" s="9"/>
      <c r="D48" s="9" t="s">
        <v>180</v>
      </c>
      <c r="E48" s="49" t="s">
        <v>45</v>
      </c>
      <c r="F48" s="49"/>
      <c r="G48" s="50" t="s">
        <v>839</v>
      </c>
      <c r="H48" s="50" t="s">
        <v>779</v>
      </c>
      <c r="I48" s="9" t="s">
        <v>407</v>
      </c>
      <c r="J48" s="9"/>
      <c r="K48" s="9" t="s">
        <v>407</v>
      </c>
      <c r="L48" s="9"/>
      <c r="M48" s="9"/>
      <c r="N48" s="9"/>
      <c r="O48" s="9"/>
      <c r="P48" s="9"/>
      <c r="Q48" s="9"/>
      <c r="R48" s="9"/>
      <c r="S48" s="41"/>
      <c r="T48" s="51"/>
      <c r="U48" s="73"/>
      <c r="V48" s="74"/>
    </row>
    <row r="49" spans="1:22" s="11" customFormat="1" x14ac:dyDescent="0.2">
      <c r="A49" s="9">
        <v>10</v>
      </c>
      <c r="B49" s="9"/>
      <c r="C49" s="9"/>
      <c r="D49" s="9" t="s">
        <v>181</v>
      </c>
      <c r="E49" s="49" t="s">
        <v>763</v>
      </c>
      <c r="F49" s="49"/>
      <c r="G49" s="50" t="s">
        <v>840</v>
      </c>
      <c r="H49" s="50" t="s">
        <v>780</v>
      </c>
      <c r="I49" s="9" t="s">
        <v>407</v>
      </c>
      <c r="J49" s="9"/>
      <c r="K49" s="9" t="s">
        <v>407</v>
      </c>
      <c r="L49" s="9"/>
      <c r="M49" s="9"/>
      <c r="N49" s="9"/>
      <c r="O49" s="9"/>
      <c r="P49" s="9"/>
      <c r="Q49" s="9"/>
      <c r="R49" s="9"/>
      <c r="S49" s="41"/>
      <c r="T49" s="51"/>
      <c r="U49" s="73"/>
      <c r="V49" s="74"/>
    </row>
    <row r="50" spans="1:22" s="11" customFormat="1" x14ac:dyDescent="0.2">
      <c r="A50" s="9">
        <v>10</v>
      </c>
      <c r="B50" s="9"/>
      <c r="C50" s="9"/>
      <c r="D50" s="9" t="s">
        <v>183</v>
      </c>
      <c r="E50" s="49" t="s">
        <v>45</v>
      </c>
      <c r="F50" s="49"/>
      <c r="G50" s="50" t="s">
        <v>841</v>
      </c>
      <c r="H50" s="50" t="s">
        <v>781</v>
      </c>
      <c r="I50" s="9" t="s">
        <v>407</v>
      </c>
      <c r="J50" s="9"/>
      <c r="K50" s="9" t="s">
        <v>407</v>
      </c>
      <c r="L50" s="9"/>
      <c r="M50" s="9"/>
      <c r="N50" s="9"/>
      <c r="O50" s="9"/>
      <c r="P50" s="9"/>
      <c r="Q50" s="9"/>
      <c r="R50" s="9"/>
      <c r="S50" s="41"/>
      <c r="T50" s="51"/>
      <c r="U50" s="73"/>
      <c r="V50" s="74"/>
    </row>
    <row r="51" spans="1:22" s="11" customFormat="1" x14ac:dyDescent="0.2">
      <c r="A51" s="9">
        <v>10</v>
      </c>
      <c r="B51" s="9"/>
      <c r="C51" s="9"/>
      <c r="D51" s="9" t="s">
        <v>184</v>
      </c>
      <c r="E51" s="49" t="s">
        <v>192</v>
      </c>
      <c r="F51" s="49"/>
      <c r="G51" s="50" t="s">
        <v>842</v>
      </c>
      <c r="H51" s="50" t="s">
        <v>442</v>
      </c>
      <c r="I51" s="9" t="s">
        <v>407</v>
      </c>
      <c r="J51" s="9"/>
      <c r="K51" s="9" t="s">
        <v>407</v>
      </c>
      <c r="L51" s="9"/>
      <c r="M51" s="9"/>
      <c r="N51" s="9"/>
      <c r="O51" s="9"/>
      <c r="P51" s="9"/>
      <c r="Q51" s="9"/>
      <c r="R51" s="9"/>
      <c r="S51" s="41"/>
      <c r="T51" s="51"/>
      <c r="U51" s="73"/>
      <c r="V51" s="74"/>
    </row>
    <row r="52" spans="1:22" s="11" customFormat="1" x14ac:dyDescent="0.2">
      <c r="A52" s="9">
        <v>10</v>
      </c>
      <c r="B52" s="9"/>
      <c r="C52" s="9"/>
      <c r="D52" s="9" t="s">
        <v>185</v>
      </c>
      <c r="E52" s="49" t="s">
        <v>193</v>
      </c>
      <c r="F52" s="49"/>
      <c r="G52" s="50" t="s">
        <v>843</v>
      </c>
      <c r="H52" s="50" t="s">
        <v>782</v>
      </c>
      <c r="I52" s="9" t="s">
        <v>407</v>
      </c>
      <c r="J52" s="9"/>
      <c r="K52" s="9" t="s">
        <v>407</v>
      </c>
      <c r="L52" s="9"/>
      <c r="M52" s="9"/>
      <c r="N52" s="9"/>
      <c r="O52" s="9"/>
      <c r="P52" s="9"/>
      <c r="Q52" s="9"/>
      <c r="R52" s="9"/>
      <c r="S52" s="41"/>
      <c r="T52" s="51"/>
      <c r="U52" s="73"/>
      <c r="V52" s="74"/>
    </row>
    <row r="53" spans="1:22" s="11" customFormat="1" x14ac:dyDescent="0.2">
      <c r="A53" s="9">
        <v>10</v>
      </c>
      <c r="B53" s="9"/>
      <c r="C53" s="9"/>
      <c r="D53" s="9" t="s">
        <v>186</v>
      </c>
      <c r="E53" s="49" t="s">
        <v>192</v>
      </c>
      <c r="F53" s="49"/>
      <c r="G53" s="50" t="s">
        <v>844</v>
      </c>
      <c r="H53" s="50" t="s">
        <v>444</v>
      </c>
      <c r="I53" s="9" t="s">
        <v>407</v>
      </c>
      <c r="J53" s="9"/>
      <c r="K53" s="9" t="s">
        <v>407</v>
      </c>
      <c r="L53" s="9"/>
      <c r="M53" s="9"/>
      <c r="N53" s="9"/>
      <c r="O53" s="9"/>
      <c r="P53" s="9"/>
      <c r="Q53" s="9"/>
      <c r="R53" s="9"/>
      <c r="S53" s="41"/>
      <c r="T53" s="51"/>
      <c r="U53" s="73"/>
      <c r="V53" s="74"/>
    </row>
    <row r="54" spans="1:22" s="11" customFormat="1" x14ac:dyDescent="0.2">
      <c r="A54" s="9">
        <v>10</v>
      </c>
      <c r="B54" s="9"/>
      <c r="C54" s="9"/>
      <c r="D54" s="9" t="s">
        <v>663</v>
      </c>
      <c r="E54" s="49" t="s">
        <v>667</v>
      </c>
      <c r="F54" s="49"/>
      <c r="G54" s="50" t="s">
        <v>846</v>
      </c>
      <c r="H54" s="50" t="s">
        <v>682</v>
      </c>
      <c r="I54" s="9" t="s">
        <v>407</v>
      </c>
      <c r="J54" s="9"/>
      <c r="K54" s="9" t="s">
        <v>407</v>
      </c>
      <c r="L54" s="9"/>
      <c r="M54" s="9"/>
      <c r="N54" s="9"/>
      <c r="O54" s="9"/>
      <c r="P54" s="9"/>
      <c r="Q54" s="9"/>
      <c r="R54" s="9"/>
      <c r="S54" s="41"/>
      <c r="T54" s="51"/>
      <c r="U54" s="73"/>
      <c r="V54" s="74"/>
    </row>
    <row r="55" spans="1:22" s="11" customFormat="1" x14ac:dyDescent="0.2">
      <c r="A55" s="9">
        <v>10</v>
      </c>
      <c r="B55" s="9"/>
      <c r="C55" s="9"/>
      <c r="D55" s="9" t="s">
        <v>665</v>
      </c>
      <c r="E55" s="49" t="s">
        <v>669</v>
      </c>
      <c r="F55" s="49"/>
      <c r="G55" s="50" t="s">
        <v>847</v>
      </c>
      <c r="H55" s="50" t="s">
        <v>684</v>
      </c>
      <c r="I55" s="9" t="s">
        <v>407</v>
      </c>
      <c r="J55" s="9"/>
      <c r="K55" s="9" t="s">
        <v>407</v>
      </c>
      <c r="L55" s="9"/>
      <c r="M55" s="9"/>
      <c r="N55" s="9"/>
      <c r="O55" s="9"/>
      <c r="P55" s="9"/>
      <c r="Q55" s="9"/>
      <c r="R55" s="9"/>
      <c r="S55" s="41"/>
      <c r="T55" s="51"/>
      <c r="U55" s="73"/>
      <c r="V55" s="74"/>
    </row>
    <row r="56" spans="1:22" s="11" customFormat="1" x14ac:dyDescent="0.2">
      <c r="A56" s="9">
        <v>10</v>
      </c>
      <c r="B56" s="9"/>
      <c r="C56" s="9"/>
      <c r="D56" s="9" t="s">
        <v>745</v>
      </c>
      <c r="E56" s="49" t="s">
        <v>746</v>
      </c>
      <c r="F56" s="49"/>
      <c r="G56" s="50" t="s">
        <v>848</v>
      </c>
      <c r="H56" s="50" t="s">
        <v>761</v>
      </c>
      <c r="I56" s="9" t="s">
        <v>407</v>
      </c>
      <c r="J56" s="9"/>
      <c r="K56" s="9" t="s">
        <v>407</v>
      </c>
      <c r="L56" s="9"/>
      <c r="M56" s="9"/>
      <c r="N56" s="9"/>
      <c r="O56" s="9"/>
      <c r="P56" s="9"/>
      <c r="Q56" s="9"/>
      <c r="R56" s="9"/>
      <c r="S56" s="41"/>
      <c r="T56" s="51"/>
      <c r="U56" s="73"/>
      <c r="V56" s="74"/>
    </row>
    <row r="57" spans="1:22" s="11" customFormat="1" x14ac:dyDescent="0.2">
      <c r="A57" s="9">
        <v>10</v>
      </c>
      <c r="B57" s="9"/>
      <c r="C57" s="9"/>
      <c r="D57" s="9" t="s">
        <v>57</v>
      </c>
      <c r="E57" s="49" t="s">
        <v>58</v>
      </c>
      <c r="F57" s="49"/>
      <c r="G57" s="50" t="s">
        <v>849</v>
      </c>
      <c r="H57" s="50" t="s">
        <v>450</v>
      </c>
      <c r="I57" s="9" t="s">
        <v>407</v>
      </c>
      <c r="J57" s="9"/>
      <c r="K57" s="9" t="s">
        <v>407</v>
      </c>
      <c r="L57" s="9"/>
      <c r="M57" s="9"/>
      <c r="N57" s="9"/>
      <c r="O57" s="9"/>
      <c r="P57" s="9"/>
      <c r="Q57" s="9"/>
      <c r="R57" s="9"/>
      <c r="S57" s="41"/>
      <c r="T57" s="51"/>
      <c r="U57" s="149"/>
      <c r="V57" s="150"/>
    </row>
    <row r="58" spans="1:22" s="11" customFormat="1" x14ac:dyDescent="0.2">
      <c r="A58" s="52"/>
      <c r="B58" s="53"/>
      <c r="C58" s="53"/>
      <c r="D58" s="27" t="s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4"/>
      <c r="T58" s="4"/>
      <c r="U58" s="6"/>
      <c r="V58" s="23"/>
    </row>
    <row r="59" spans="1:22" s="11" customFormat="1" x14ac:dyDescent="0.2">
      <c r="A59" s="80"/>
      <c r="V59" s="54"/>
    </row>
    <row r="60" spans="1:22" s="11" customFormat="1" x14ac:dyDescent="0.2">
      <c r="A60" s="80"/>
      <c r="V60" s="54"/>
    </row>
    <row r="61" spans="1:22" s="11" customFormat="1" x14ac:dyDescent="0.2">
      <c r="A61" s="80"/>
      <c r="V61" s="54"/>
    </row>
    <row r="62" spans="1:22" s="11" customFormat="1" x14ac:dyDescent="0.2">
      <c r="A62" s="84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20"/>
    </row>
  </sheetData>
  <dataConsolidate/>
  <mergeCells count="6">
    <mergeCell ref="U57:V57"/>
    <mergeCell ref="U12:V12"/>
    <mergeCell ref="U15:V15"/>
    <mergeCell ref="U16:V16"/>
    <mergeCell ref="U13:V13"/>
    <mergeCell ref="U14:V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AC3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19.179687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7" style="29" customWidth="1"/>
    <col min="18" max="18" width="24.36328125" style="29" customWidth="1"/>
    <col min="19" max="19" width="16.453125" style="29" customWidth="1"/>
    <col min="20" max="20" width="19.90625" style="29" customWidth="1"/>
    <col min="21" max="22" width="17.1796875" style="27" customWidth="1"/>
    <col min="23" max="23" width="18.90625" style="27" customWidth="1"/>
    <col min="24" max="24" width="17.1796875" style="27" customWidth="1"/>
    <col min="25" max="25" width="18.90625" style="27" customWidth="1"/>
    <col min="26" max="26" width="30.81640625" style="27" customWidth="1"/>
    <col min="27" max="27" width="9" style="27"/>
    <col min="28" max="28" width="15.81640625" style="27" customWidth="1"/>
    <col min="29" max="16384" width="9" style="27"/>
  </cols>
  <sheetData>
    <row r="1" spans="1:29" s="11" customFormat="1" x14ac:dyDescent="0.2">
      <c r="A1" s="76" t="s">
        <v>398</v>
      </c>
      <c r="B1" s="76" t="s">
        <v>398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9"/>
      <c r="U1" s="27"/>
      <c r="V1" s="27"/>
      <c r="W1" s="27"/>
      <c r="X1" s="27"/>
      <c r="Y1" s="27"/>
      <c r="Z1" s="27"/>
      <c r="AA1" s="27"/>
      <c r="AB1" s="27"/>
      <c r="AC1" s="27"/>
    </row>
    <row r="2" spans="1:29" s="11" customFormat="1" ht="40" customHeight="1" x14ac:dyDescent="0.2">
      <c r="A2" s="77" t="s">
        <v>398</v>
      </c>
      <c r="B2" s="78"/>
      <c r="C2" s="78"/>
      <c r="D2" s="89" t="s">
        <v>788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MABCL0570</v>
      </c>
      <c r="I2" s="7" t="s">
        <v>399</v>
      </c>
      <c r="J2" s="9" t="s">
        <v>70</v>
      </c>
      <c r="K2" s="7" t="s">
        <v>36</v>
      </c>
      <c r="L2" s="79" t="str">
        <f>IF(LogicCommon!G2="","",LogicCommon!G2)</f>
        <v>MC</v>
      </c>
      <c r="M2" s="5" t="s">
        <v>400</v>
      </c>
      <c r="N2" s="28" t="s">
        <v>699</v>
      </c>
      <c r="O2" s="7"/>
      <c r="P2" s="7"/>
      <c r="Q2" s="4"/>
      <c r="R2" s="4"/>
      <c r="S2" s="4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s="11" customFormat="1" x14ac:dyDescent="0.2">
      <c r="A3" s="80" t="s">
        <v>398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MABCL_SpplReg</v>
      </c>
      <c r="I3" s="7" t="s">
        <v>401</v>
      </c>
      <c r="J3" s="9" t="s">
        <v>28</v>
      </c>
      <c r="K3" s="7" t="s">
        <v>37</v>
      </c>
      <c r="L3" s="79" t="str">
        <f>IF(LogicCommon!G3="","",LogicCommon!G3)</f>
        <v/>
      </c>
      <c r="M3" s="56" t="s">
        <v>29</v>
      </c>
      <c r="N3" s="7"/>
      <c r="O3" s="7" t="s">
        <v>402</v>
      </c>
      <c r="P3" s="9" t="s">
        <v>403</v>
      </c>
      <c r="Q3" s="4"/>
      <c r="R3" s="4"/>
      <c r="S3" s="4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s="11" customFormat="1" x14ac:dyDescent="0.2">
      <c r="A4" s="80" t="s">
        <v>398</v>
      </c>
      <c r="B4" s="81"/>
      <c r="C4" s="81"/>
      <c r="D4" s="4"/>
      <c r="E4" s="7" t="s">
        <v>8</v>
      </c>
      <c r="F4" s="10" t="s">
        <v>646</v>
      </c>
      <c r="G4" s="7" t="s">
        <v>11</v>
      </c>
      <c r="H4" s="79" t="str">
        <f>IF(LogicCommon!E4="","",LogicCommon!E4)</f>
        <v>発注先登録</v>
      </c>
      <c r="I4" s="7" t="s">
        <v>404</v>
      </c>
      <c r="J4" s="9" t="s">
        <v>2</v>
      </c>
      <c r="K4" s="7" t="s">
        <v>5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s="11" customFormat="1" x14ac:dyDescent="0.2">
      <c r="A5" s="84" t="s">
        <v>398</v>
      </c>
      <c r="B5" s="76"/>
      <c r="C5" s="76"/>
      <c r="D5" s="26"/>
      <c r="E5" s="7" t="s">
        <v>405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s="11" customFormat="1" x14ac:dyDescent="0.2">
      <c r="A6" s="80" t="s">
        <v>398</v>
      </c>
      <c r="B6" s="81"/>
      <c r="C6" s="81"/>
      <c r="D6" s="4" t="s">
        <v>6</v>
      </c>
      <c r="E6" s="16" t="s">
        <v>394</v>
      </c>
      <c r="F6" s="16"/>
      <c r="G6" s="16"/>
      <c r="H6" s="16"/>
      <c r="I6" s="16"/>
      <c r="J6" s="16"/>
      <c r="K6" s="16"/>
      <c r="L6" s="86"/>
      <c r="M6" s="19" t="s">
        <v>447</v>
      </c>
      <c r="N6" s="19"/>
      <c r="O6" s="19" t="s">
        <v>447</v>
      </c>
      <c r="P6" s="19"/>
      <c r="Q6" s="19" t="s">
        <v>447</v>
      </c>
      <c r="R6" s="3"/>
      <c r="S6" s="3" t="s">
        <v>721</v>
      </c>
      <c r="T6" s="3"/>
      <c r="U6" s="3" t="s">
        <v>721</v>
      </c>
      <c r="V6" s="3"/>
      <c r="W6" s="3" t="s">
        <v>721</v>
      </c>
      <c r="X6" s="3"/>
      <c r="Y6" s="3" t="s">
        <v>721</v>
      </c>
      <c r="Z6" s="4"/>
      <c r="AA6" s="4"/>
      <c r="AB6" s="4"/>
      <c r="AC6" s="4"/>
    </row>
    <row r="7" spans="1:29" s="11" customFormat="1" x14ac:dyDescent="0.2">
      <c r="A7" s="30" t="s">
        <v>30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67</v>
      </c>
      <c r="L7" s="33" t="s">
        <v>32</v>
      </c>
      <c r="M7" s="32" t="s">
        <v>33</v>
      </c>
      <c r="N7" s="33" t="s">
        <v>32</v>
      </c>
      <c r="O7" s="32" t="s">
        <v>287</v>
      </c>
      <c r="P7" s="33" t="s">
        <v>32</v>
      </c>
      <c r="Q7" s="32" t="s">
        <v>288</v>
      </c>
      <c r="R7" s="33" t="s">
        <v>32</v>
      </c>
      <c r="S7" s="32" t="s">
        <v>289</v>
      </c>
      <c r="T7" s="33" t="s">
        <v>32</v>
      </c>
      <c r="U7" s="32" t="s">
        <v>290</v>
      </c>
      <c r="V7" s="33" t="s">
        <v>32</v>
      </c>
      <c r="W7" s="32" t="s">
        <v>291</v>
      </c>
      <c r="X7" s="33" t="s">
        <v>32</v>
      </c>
      <c r="Y7" s="32" t="s">
        <v>347</v>
      </c>
      <c r="Z7" s="71"/>
      <c r="AA7" s="29"/>
      <c r="AB7" s="29"/>
      <c r="AC7" s="29"/>
    </row>
    <row r="8" spans="1:29" s="11" customFormat="1" ht="60" customHeight="1" x14ac:dyDescent="0.2">
      <c r="A8" s="49" t="s">
        <v>17</v>
      </c>
      <c r="B8" s="92"/>
      <c r="C8" s="93"/>
      <c r="D8" s="90" t="s">
        <v>789</v>
      </c>
      <c r="E8" s="90" t="s">
        <v>790</v>
      </c>
      <c r="F8" s="86"/>
      <c r="G8" s="90" t="s">
        <v>446</v>
      </c>
      <c r="H8" s="90" t="s">
        <v>791</v>
      </c>
      <c r="I8" s="86"/>
      <c r="J8" s="3"/>
      <c r="K8" s="9" t="s">
        <v>136</v>
      </c>
      <c r="L8" s="33" t="s">
        <v>16</v>
      </c>
      <c r="M8" s="9" t="s">
        <v>700</v>
      </c>
      <c r="N8" s="33" t="s">
        <v>16</v>
      </c>
      <c r="O8" s="9" t="s">
        <v>706</v>
      </c>
      <c r="P8" s="33" t="s">
        <v>16</v>
      </c>
      <c r="Q8" s="9" t="s">
        <v>701</v>
      </c>
      <c r="R8" s="33" t="s">
        <v>16</v>
      </c>
      <c r="S8" s="9" t="s">
        <v>702</v>
      </c>
      <c r="T8" s="33" t="s">
        <v>16</v>
      </c>
      <c r="U8" s="9" t="s">
        <v>703</v>
      </c>
      <c r="V8" s="33" t="s">
        <v>16</v>
      </c>
      <c r="W8" s="9" t="s">
        <v>704</v>
      </c>
      <c r="X8" s="33" t="s">
        <v>16</v>
      </c>
      <c r="Y8" s="9" t="s">
        <v>705</v>
      </c>
      <c r="Z8" s="94"/>
      <c r="AA8" s="95"/>
      <c r="AB8" s="96" t="s">
        <v>800</v>
      </c>
      <c r="AC8" s="51"/>
    </row>
    <row r="9" spans="1:29" s="11" customFormat="1" ht="60" customHeight="1" x14ac:dyDescent="0.2">
      <c r="A9" s="9" t="s">
        <v>17</v>
      </c>
      <c r="B9" s="37"/>
      <c r="C9" s="38"/>
      <c r="D9" s="90" t="s">
        <v>850</v>
      </c>
      <c r="E9" s="97" t="s">
        <v>851</v>
      </c>
      <c r="F9" s="90" t="s">
        <v>794</v>
      </c>
      <c r="G9" s="90" t="s">
        <v>795</v>
      </c>
      <c r="H9" s="90" t="s">
        <v>796</v>
      </c>
      <c r="I9" s="98" t="s">
        <v>797</v>
      </c>
      <c r="J9" s="90" t="s">
        <v>798</v>
      </c>
      <c r="K9" s="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96" t="s">
        <v>799</v>
      </c>
      <c r="AA9" s="51"/>
      <c r="AB9" s="96" t="s">
        <v>801</v>
      </c>
      <c r="AC9" s="51"/>
    </row>
    <row r="10" spans="1:2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91" t="s">
        <v>797</v>
      </c>
      <c r="M10" s="91" t="s">
        <v>798</v>
      </c>
      <c r="N10" s="91" t="s">
        <v>797</v>
      </c>
      <c r="O10" s="91" t="s">
        <v>798</v>
      </c>
      <c r="P10" s="91" t="s">
        <v>797</v>
      </c>
      <c r="Q10" s="91" t="s">
        <v>798</v>
      </c>
      <c r="R10" s="91" t="s">
        <v>797</v>
      </c>
      <c r="S10" s="91" t="s">
        <v>798</v>
      </c>
      <c r="T10" s="91" t="s">
        <v>797</v>
      </c>
      <c r="U10" s="91" t="s">
        <v>798</v>
      </c>
      <c r="V10" s="91" t="s">
        <v>797</v>
      </c>
      <c r="W10" s="91" t="s">
        <v>798</v>
      </c>
      <c r="X10" s="91" t="s">
        <v>797</v>
      </c>
      <c r="Y10" s="91" t="s">
        <v>798</v>
      </c>
      <c r="Z10" s="42"/>
      <c r="AA10" s="42"/>
      <c r="AB10" s="43"/>
      <c r="AC10" s="36"/>
    </row>
    <row r="11" spans="1:2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35"/>
      <c r="AA11" s="36"/>
      <c r="AB11" s="73"/>
      <c r="AC11" s="75"/>
    </row>
    <row r="12" spans="1:29" s="11" customFormat="1" x14ac:dyDescent="0.2">
      <c r="A12" s="9">
        <v>10</v>
      </c>
      <c r="B12" s="9"/>
      <c r="C12" s="9"/>
      <c r="D12" s="9" t="s">
        <v>139</v>
      </c>
      <c r="E12" s="49" t="s">
        <v>74</v>
      </c>
      <c r="F12" s="49"/>
      <c r="G12" s="50" t="s">
        <v>852</v>
      </c>
      <c r="H12" s="50" t="s">
        <v>451</v>
      </c>
      <c r="I12" s="9" t="s">
        <v>407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35"/>
      <c r="AA12" s="36"/>
      <c r="AB12" s="73"/>
      <c r="AC12" s="75"/>
    </row>
    <row r="13" spans="1:29" s="11" customFormat="1" x14ac:dyDescent="0.2">
      <c r="A13" s="9">
        <v>10</v>
      </c>
      <c r="B13" s="9"/>
      <c r="C13" s="9"/>
      <c r="D13" s="9" t="s">
        <v>140</v>
      </c>
      <c r="E13" s="49" t="s">
        <v>74</v>
      </c>
      <c r="F13" s="49"/>
      <c r="G13" s="50" t="s">
        <v>853</v>
      </c>
      <c r="H13" s="50" t="s">
        <v>452</v>
      </c>
      <c r="I13" s="9" t="s">
        <v>407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35"/>
      <c r="AA13" s="36"/>
      <c r="AB13" s="73"/>
      <c r="AC13" s="75"/>
    </row>
    <row r="14" spans="1:29" s="11" customFormat="1" x14ac:dyDescent="0.2">
      <c r="A14" s="9">
        <v>10</v>
      </c>
      <c r="B14" s="9"/>
      <c r="C14" s="9"/>
      <c r="D14" s="9" t="s">
        <v>141</v>
      </c>
      <c r="E14" s="49" t="s">
        <v>74</v>
      </c>
      <c r="F14" s="49"/>
      <c r="G14" s="50" t="s">
        <v>854</v>
      </c>
      <c r="H14" s="50" t="s">
        <v>453</v>
      </c>
      <c r="I14" s="9" t="s">
        <v>407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35"/>
      <c r="AA14" s="36"/>
      <c r="AB14" s="73"/>
      <c r="AC14" s="75"/>
    </row>
    <row r="15" spans="1:29" s="11" customFormat="1" x14ac:dyDescent="0.2">
      <c r="A15" s="9">
        <v>10</v>
      </c>
      <c r="B15" s="9"/>
      <c r="C15" s="9"/>
      <c r="D15" s="9" t="s">
        <v>142</v>
      </c>
      <c r="E15" s="49" t="s">
        <v>74</v>
      </c>
      <c r="F15" s="49"/>
      <c r="G15" s="50" t="s">
        <v>855</v>
      </c>
      <c r="H15" s="50" t="s">
        <v>454</v>
      </c>
      <c r="I15" s="9" t="s">
        <v>407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35"/>
      <c r="AA15" s="36"/>
      <c r="AB15" s="73"/>
      <c r="AC15" s="75"/>
    </row>
    <row r="16" spans="1:29" s="11" customFormat="1" x14ac:dyDescent="0.2">
      <c r="A16" s="9">
        <v>10</v>
      </c>
      <c r="B16" s="9"/>
      <c r="C16" s="9"/>
      <c r="D16" s="9" t="s">
        <v>89</v>
      </c>
      <c r="E16" s="49" t="s">
        <v>86</v>
      </c>
      <c r="F16" s="49"/>
      <c r="G16" s="50" t="s">
        <v>802</v>
      </c>
      <c r="H16" s="50" t="s">
        <v>406</v>
      </c>
      <c r="I16" s="9" t="s">
        <v>407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55"/>
      <c r="AA16" s="51"/>
      <c r="AB16" s="149"/>
      <c r="AC16" s="150"/>
    </row>
    <row r="17" spans="1:29" s="11" customFormat="1" x14ac:dyDescent="0.2">
      <c r="A17" s="9">
        <v>10</v>
      </c>
      <c r="B17" s="9"/>
      <c r="C17" s="9"/>
      <c r="D17" s="9" t="s">
        <v>90</v>
      </c>
      <c r="E17" s="49" t="s">
        <v>87</v>
      </c>
      <c r="F17" s="49"/>
      <c r="G17" s="50" t="s">
        <v>856</v>
      </c>
      <c r="H17" s="50" t="s">
        <v>455</v>
      </c>
      <c r="I17" s="9" t="s">
        <v>407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55"/>
      <c r="AA17" s="51"/>
      <c r="AB17" s="149"/>
      <c r="AC17" s="150"/>
    </row>
    <row r="18" spans="1:29" s="11" customFormat="1" x14ac:dyDescent="0.2">
      <c r="A18" s="9">
        <v>10</v>
      </c>
      <c r="B18" s="9"/>
      <c r="C18" s="9"/>
      <c r="D18" s="9" t="s">
        <v>54</v>
      </c>
      <c r="E18" s="49" t="s">
        <v>48</v>
      </c>
      <c r="F18" s="49"/>
      <c r="G18" s="50" t="s">
        <v>857</v>
      </c>
      <c r="H18" s="50" t="s">
        <v>456</v>
      </c>
      <c r="I18" s="9" t="s">
        <v>407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55"/>
      <c r="AA18" s="51"/>
      <c r="AB18" s="149"/>
      <c r="AC18" s="151"/>
    </row>
    <row r="19" spans="1:29" s="11" customFormat="1" x14ac:dyDescent="0.2">
      <c r="A19" s="9">
        <v>10</v>
      </c>
      <c r="B19" s="9"/>
      <c r="C19" s="9"/>
      <c r="D19" s="9" t="s">
        <v>55</v>
      </c>
      <c r="E19" s="49" t="s">
        <v>45</v>
      </c>
      <c r="F19" s="49"/>
      <c r="G19" s="50" t="s">
        <v>858</v>
      </c>
      <c r="H19" s="50" t="s">
        <v>457</v>
      </c>
      <c r="I19" s="9" t="s">
        <v>407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56"/>
      <c r="AA19" s="57"/>
      <c r="AB19" s="152"/>
      <c r="AC19" s="150"/>
    </row>
    <row r="20" spans="1:29" s="11" customFormat="1" x14ac:dyDescent="0.2">
      <c r="A20" s="80"/>
      <c r="AC20" s="54"/>
    </row>
    <row r="21" spans="1:29" s="11" customFormat="1" x14ac:dyDescent="0.2">
      <c r="A21" s="9">
        <v>20</v>
      </c>
      <c r="B21" s="37" t="s">
        <v>0</v>
      </c>
      <c r="C21" s="38"/>
      <c r="D21" s="28" t="s">
        <v>613</v>
      </c>
      <c r="E21" s="34" t="s">
        <v>21</v>
      </c>
      <c r="F21" s="58"/>
      <c r="G21" s="28"/>
      <c r="H21" s="45"/>
      <c r="I21" s="59"/>
      <c r="J21" s="60"/>
      <c r="K21" s="60"/>
      <c r="L21" s="48"/>
      <c r="M21" s="48" t="s">
        <v>21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35"/>
      <c r="AA21" s="36"/>
      <c r="AB21" s="73"/>
      <c r="AC21" s="75"/>
    </row>
    <row r="22" spans="1:29" s="11" customFormat="1" x14ac:dyDescent="0.2">
      <c r="A22" s="9">
        <v>20</v>
      </c>
      <c r="B22" s="9"/>
      <c r="C22" s="9"/>
      <c r="D22" s="9" t="s">
        <v>88</v>
      </c>
      <c r="E22" s="49" t="s">
        <v>86</v>
      </c>
      <c r="F22" s="49"/>
      <c r="G22" s="50" t="s">
        <v>802</v>
      </c>
      <c r="H22" s="50" t="s">
        <v>406</v>
      </c>
      <c r="I22" s="9"/>
      <c r="J22" s="9" t="s">
        <v>407</v>
      </c>
      <c r="K22" s="9"/>
      <c r="L22" s="9"/>
      <c r="M22" s="9" t="s">
        <v>407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5"/>
      <c r="AA22" s="51"/>
      <c r="AB22" s="149"/>
      <c r="AC22" s="150"/>
    </row>
    <row r="23" spans="1:29" s="11" customFormat="1" x14ac:dyDescent="0.2">
      <c r="A23" s="9">
        <v>20</v>
      </c>
      <c r="B23" s="9"/>
      <c r="C23" s="9"/>
      <c r="D23" s="9" t="s">
        <v>662</v>
      </c>
      <c r="E23" s="49" t="s">
        <v>44</v>
      </c>
      <c r="F23" s="49"/>
      <c r="G23" s="50" t="s">
        <v>859</v>
      </c>
      <c r="H23" s="50" t="s">
        <v>686</v>
      </c>
      <c r="I23" s="9"/>
      <c r="J23" s="9" t="s">
        <v>407</v>
      </c>
      <c r="K23" s="9"/>
      <c r="L23" s="9"/>
      <c r="M23" s="9" t="s">
        <v>407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55"/>
      <c r="AA23" s="51"/>
      <c r="AB23" s="73"/>
      <c r="AC23" s="74"/>
    </row>
    <row r="24" spans="1:29" s="11" customFormat="1" x14ac:dyDescent="0.2">
      <c r="A24" s="9">
        <v>20</v>
      </c>
      <c r="B24" s="9"/>
      <c r="C24" s="9"/>
      <c r="D24" s="9" t="s">
        <v>297</v>
      </c>
      <c r="E24" s="49" t="s">
        <v>298</v>
      </c>
      <c r="F24" s="49"/>
      <c r="G24" s="50" t="s">
        <v>804</v>
      </c>
      <c r="H24" s="50" t="s">
        <v>458</v>
      </c>
      <c r="I24" s="9"/>
      <c r="J24" s="9" t="s">
        <v>407</v>
      </c>
      <c r="K24" s="9"/>
      <c r="L24" s="9"/>
      <c r="M24" s="9" t="s">
        <v>407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55"/>
      <c r="AA24" s="51"/>
      <c r="AB24" s="73"/>
      <c r="AC24" s="74"/>
    </row>
    <row r="25" spans="1:29" s="11" customFormat="1" x14ac:dyDescent="0.2">
      <c r="A25" s="9">
        <v>20</v>
      </c>
      <c r="B25" s="9"/>
      <c r="C25" s="9"/>
      <c r="D25" s="9" t="s">
        <v>149</v>
      </c>
      <c r="E25" s="49" t="s">
        <v>86</v>
      </c>
      <c r="F25" s="49"/>
      <c r="G25" s="50" t="s">
        <v>803</v>
      </c>
      <c r="H25" s="50" t="s">
        <v>408</v>
      </c>
      <c r="I25" s="9"/>
      <c r="J25" s="9" t="s">
        <v>407</v>
      </c>
      <c r="K25" s="9"/>
      <c r="L25" s="9"/>
      <c r="M25" s="9" t="s">
        <v>407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55"/>
      <c r="AA25" s="51"/>
      <c r="AB25" s="73"/>
      <c r="AC25" s="74"/>
    </row>
    <row r="26" spans="1:29" s="11" customFormat="1" x14ac:dyDescent="0.2">
      <c r="A26" s="9">
        <v>20</v>
      </c>
      <c r="B26" s="9"/>
      <c r="C26" s="9"/>
      <c r="D26" s="9" t="s">
        <v>150</v>
      </c>
      <c r="E26" s="49" t="s">
        <v>87</v>
      </c>
      <c r="F26" s="49"/>
      <c r="G26" s="50" t="s">
        <v>860</v>
      </c>
      <c r="H26" s="50" t="s">
        <v>459</v>
      </c>
      <c r="I26" s="9"/>
      <c r="J26" s="9" t="s">
        <v>407</v>
      </c>
      <c r="K26" s="9"/>
      <c r="L26" s="9"/>
      <c r="M26" s="9" t="s">
        <v>407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55"/>
      <c r="AA26" s="51"/>
      <c r="AB26" s="73"/>
      <c r="AC26" s="74"/>
    </row>
    <row r="27" spans="1:29" s="11" customFormat="1" x14ac:dyDescent="0.2">
      <c r="A27" s="9">
        <v>20</v>
      </c>
      <c r="B27" s="9"/>
      <c r="C27" s="9"/>
      <c r="D27" s="9" t="s">
        <v>320</v>
      </c>
      <c r="E27" s="49" t="s">
        <v>330</v>
      </c>
      <c r="F27" s="49"/>
      <c r="G27" s="50" t="s">
        <v>811</v>
      </c>
      <c r="H27" s="50" t="s">
        <v>416</v>
      </c>
      <c r="I27" s="9"/>
      <c r="J27" s="9" t="s">
        <v>407</v>
      </c>
      <c r="K27" s="9"/>
      <c r="L27" s="9"/>
      <c r="M27" s="9" t="s">
        <v>407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55"/>
      <c r="AA27" s="51"/>
      <c r="AB27" s="149"/>
      <c r="AC27" s="150"/>
    </row>
    <row r="28" spans="1:29" s="11" customFormat="1" x14ac:dyDescent="0.2">
      <c r="A28" s="9">
        <v>20</v>
      </c>
      <c r="B28" s="9"/>
      <c r="C28" s="9"/>
      <c r="D28" s="9" t="s">
        <v>321</v>
      </c>
      <c r="E28" s="49" t="s">
        <v>614</v>
      </c>
      <c r="F28" s="49"/>
      <c r="G28" s="50" t="s">
        <v>861</v>
      </c>
      <c r="H28" s="50" t="s">
        <v>460</v>
      </c>
      <c r="I28" s="9"/>
      <c r="J28" s="9" t="s">
        <v>407</v>
      </c>
      <c r="K28" s="9"/>
      <c r="L28" s="9"/>
      <c r="M28" s="9" t="s">
        <v>407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55"/>
      <c r="AA28" s="51"/>
      <c r="AB28" s="149"/>
      <c r="AC28" s="150"/>
    </row>
    <row r="29" spans="1:29" s="11" customFormat="1" x14ac:dyDescent="0.2">
      <c r="A29" s="9">
        <v>20</v>
      </c>
      <c r="B29" s="9"/>
      <c r="C29" s="9"/>
      <c r="D29" s="9" t="s">
        <v>151</v>
      </c>
      <c r="E29" s="49" t="s">
        <v>106</v>
      </c>
      <c r="F29" s="49"/>
      <c r="G29" s="50" t="s">
        <v>805</v>
      </c>
      <c r="H29" s="50" t="s">
        <v>411</v>
      </c>
      <c r="I29" s="9"/>
      <c r="J29" s="9" t="s">
        <v>407</v>
      </c>
      <c r="K29" s="9"/>
      <c r="L29" s="9"/>
      <c r="M29" s="9" t="s">
        <v>407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55"/>
      <c r="AA29" s="51"/>
      <c r="AB29" s="149"/>
      <c r="AC29" s="150"/>
    </row>
    <row r="30" spans="1:29" s="11" customFormat="1" x14ac:dyDescent="0.2">
      <c r="A30" s="9">
        <v>20</v>
      </c>
      <c r="B30" s="9"/>
      <c r="C30" s="9"/>
      <c r="D30" s="9" t="s">
        <v>152</v>
      </c>
      <c r="E30" s="49" t="s">
        <v>107</v>
      </c>
      <c r="F30" s="49"/>
      <c r="G30" s="50" t="s">
        <v>806</v>
      </c>
      <c r="H30" s="50" t="s">
        <v>449</v>
      </c>
      <c r="I30" s="9"/>
      <c r="J30" s="9" t="s">
        <v>407</v>
      </c>
      <c r="K30" s="9"/>
      <c r="L30" s="9"/>
      <c r="M30" s="9" t="s">
        <v>407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55"/>
      <c r="AA30" s="51"/>
      <c r="AB30" s="149"/>
      <c r="AC30" s="150"/>
    </row>
    <row r="31" spans="1:29" s="11" customFormat="1" x14ac:dyDescent="0.2">
      <c r="A31" s="9">
        <v>20</v>
      </c>
      <c r="B31" s="9"/>
      <c r="C31" s="9"/>
      <c r="D31" s="9" t="s">
        <v>153</v>
      </c>
      <c r="E31" s="49" t="s">
        <v>91</v>
      </c>
      <c r="F31" s="49"/>
      <c r="G31" s="50" t="s">
        <v>807</v>
      </c>
      <c r="H31" s="50" t="s">
        <v>413</v>
      </c>
      <c r="I31" s="9"/>
      <c r="J31" s="9" t="s">
        <v>407</v>
      </c>
      <c r="K31" s="9"/>
      <c r="L31" s="9"/>
      <c r="M31" s="9" t="s">
        <v>407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55"/>
      <c r="AA31" s="51"/>
      <c r="AB31" s="149"/>
      <c r="AC31" s="150"/>
    </row>
    <row r="32" spans="1:29" s="11" customFormat="1" x14ac:dyDescent="0.2">
      <c r="A32" s="9">
        <v>20</v>
      </c>
      <c r="B32" s="9"/>
      <c r="C32" s="9"/>
      <c r="D32" s="9" t="s">
        <v>154</v>
      </c>
      <c r="E32" s="49" t="s">
        <v>44</v>
      </c>
      <c r="F32" s="49"/>
      <c r="G32" s="50" t="s">
        <v>808</v>
      </c>
      <c r="H32" s="50" t="s">
        <v>414</v>
      </c>
      <c r="I32" s="9"/>
      <c r="J32" s="9" t="s">
        <v>407</v>
      </c>
      <c r="K32" s="9"/>
      <c r="L32" s="9"/>
      <c r="M32" s="9" t="s">
        <v>407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55"/>
      <c r="AA32" s="51"/>
      <c r="AB32" s="149"/>
      <c r="AC32" s="150"/>
    </row>
    <row r="33" spans="1:29" s="11" customFormat="1" ht="26" x14ac:dyDescent="0.2">
      <c r="A33" s="9">
        <v>20</v>
      </c>
      <c r="B33" s="9"/>
      <c r="C33" s="9"/>
      <c r="D33" s="9" t="s">
        <v>155</v>
      </c>
      <c r="E33" s="49" t="s">
        <v>191</v>
      </c>
      <c r="F33" s="49"/>
      <c r="G33" s="50" t="s">
        <v>812</v>
      </c>
      <c r="H33" s="50" t="s">
        <v>418</v>
      </c>
      <c r="I33" s="9"/>
      <c r="J33" s="9" t="s">
        <v>407</v>
      </c>
      <c r="K33" s="9" t="s">
        <v>461</v>
      </c>
      <c r="L33" s="9"/>
      <c r="M33" s="9" t="s">
        <v>407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5"/>
      <c r="AA33" s="51"/>
      <c r="AB33" s="149"/>
      <c r="AC33" s="150"/>
    </row>
    <row r="34" spans="1:29" s="11" customFormat="1" ht="26" x14ac:dyDescent="0.2">
      <c r="A34" s="9">
        <v>20</v>
      </c>
      <c r="B34" s="9"/>
      <c r="C34" s="9"/>
      <c r="D34" s="9" t="str">
        <f>D33&amp;"_nm"</f>
        <v>purc_upri_req_typ_nm</v>
      </c>
      <c r="E34" s="49" t="str">
        <f>E33&amp;"_NM"</f>
        <v>#MA.PURC_UPRI_REQ_TYP_NM</v>
      </c>
      <c r="F34" s="49"/>
      <c r="G34" s="50" t="s">
        <v>862</v>
      </c>
      <c r="H34" s="50" t="s">
        <v>462</v>
      </c>
      <c r="I34" s="9"/>
      <c r="J34" s="9" t="s">
        <v>407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55"/>
      <c r="AA34" s="51"/>
      <c r="AB34" s="73"/>
      <c r="AC34" s="74"/>
    </row>
    <row r="35" spans="1:29" s="11" customFormat="1" ht="26" x14ac:dyDescent="0.2">
      <c r="A35" s="9">
        <v>20</v>
      </c>
      <c r="B35" s="9"/>
      <c r="C35" s="9"/>
      <c r="D35" s="9" t="s">
        <v>156</v>
      </c>
      <c r="E35" s="49" t="s">
        <v>44</v>
      </c>
      <c r="F35" s="49"/>
      <c r="G35" s="50" t="s">
        <v>813</v>
      </c>
      <c r="H35" s="50" t="s">
        <v>419</v>
      </c>
      <c r="I35" s="9"/>
      <c r="J35" s="9" t="s">
        <v>407</v>
      </c>
      <c r="K35" s="9"/>
      <c r="L35" s="9"/>
      <c r="M35" s="9" t="s">
        <v>407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55"/>
      <c r="AA35" s="51"/>
      <c r="AB35" s="149"/>
      <c r="AC35" s="150"/>
    </row>
    <row r="36" spans="1:29" s="11" customFormat="1" ht="26" x14ac:dyDescent="0.2">
      <c r="A36" s="9">
        <v>20</v>
      </c>
      <c r="B36" s="9"/>
      <c r="C36" s="9"/>
      <c r="D36" s="9" t="s">
        <v>157</v>
      </c>
      <c r="E36" s="49" t="s">
        <v>192</v>
      </c>
      <c r="F36" s="49"/>
      <c r="G36" s="50" t="s">
        <v>815</v>
      </c>
      <c r="H36" s="50" t="s">
        <v>463</v>
      </c>
      <c r="I36" s="9"/>
      <c r="J36" s="9" t="s">
        <v>407</v>
      </c>
      <c r="K36" s="9" t="s">
        <v>464</v>
      </c>
      <c r="L36" s="9"/>
      <c r="M36" s="9" t="s">
        <v>407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55"/>
      <c r="AA36" s="51"/>
      <c r="AB36" s="73"/>
      <c r="AC36" s="74"/>
    </row>
    <row r="37" spans="1:29" s="11" customFormat="1" ht="26" x14ac:dyDescent="0.2">
      <c r="A37" s="9">
        <v>20</v>
      </c>
      <c r="B37" s="9"/>
      <c r="C37" s="9"/>
      <c r="D37" s="9" t="str">
        <f>D36&amp;"_nm"</f>
        <v>purc_amt_rnd_typ_nm</v>
      </c>
      <c r="E37" s="49" t="str">
        <f>E36&amp;"_NM"</f>
        <v>#MA.RND_TYP_NM</v>
      </c>
      <c r="F37" s="49"/>
      <c r="G37" s="50" t="s">
        <v>863</v>
      </c>
      <c r="H37" s="50" t="s">
        <v>465</v>
      </c>
      <c r="I37" s="9"/>
      <c r="J37" s="9" t="s">
        <v>407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55"/>
      <c r="AA37" s="51"/>
      <c r="AB37" s="73"/>
      <c r="AC37" s="74"/>
    </row>
    <row r="38" spans="1:29" s="11" customFormat="1" x14ac:dyDescent="0.2">
      <c r="A38" s="9">
        <v>20</v>
      </c>
      <c r="B38" s="9"/>
      <c r="C38" s="9"/>
      <c r="D38" s="9" t="s">
        <v>158</v>
      </c>
      <c r="E38" s="49" t="s">
        <v>193</v>
      </c>
      <c r="F38" s="49"/>
      <c r="G38" s="50" t="s">
        <v>816</v>
      </c>
      <c r="H38" s="50" t="s">
        <v>466</v>
      </c>
      <c r="I38" s="9"/>
      <c r="J38" s="9" t="s">
        <v>407</v>
      </c>
      <c r="K38" s="9" t="s">
        <v>467</v>
      </c>
      <c r="L38" s="9"/>
      <c r="M38" s="9" t="s">
        <v>407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55"/>
      <c r="AA38" s="51"/>
      <c r="AB38" s="149"/>
      <c r="AC38" s="150"/>
    </row>
    <row r="39" spans="1:29" s="11" customFormat="1" ht="26" x14ac:dyDescent="0.2">
      <c r="A39" s="9">
        <v>20</v>
      </c>
      <c r="B39" s="9"/>
      <c r="C39" s="9"/>
      <c r="D39" s="9" t="str">
        <f>D38&amp;"_nm"</f>
        <v>purc_tax_calc_typ_nm</v>
      </c>
      <c r="E39" s="49" t="str">
        <f>E38&amp;"_NM"</f>
        <v>#MA.TAX_CALC_TYP_NM</v>
      </c>
      <c r="F39" s="49"/>
      <c r="G39" s="50" t="s">
        <v>864</v>
      </c>
      <c r="H39" s="50" t="s">
        <v>468</v>
      </c>
      <c r="I39" s="9"/>
      <c r="J39" s="9" t="s">
        <v>407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55"/>
      <c r="AA39" s="51"/>
      <c r="AB39" s="73"/>
      <c r="AC39" s="74"/>
    </row>
    <row r="40" spans="1:29" s="11" customFormat="1" ht="26" x14ac:dyDescent="0.2">
      <c r="A40" s="9">
        <v>20</v>
      </c>
      <c r="B40" s="9"/>
      <c r="C40" s="9"/>
      <c r="D40" s="9" t="s">
        <v>159</v>
      </c>
      <c r="E40" s="49" t="s">
        <v>192</v>
      </c>
      <c r="F40" s="49"/>
      <c r="G40" s="50" t="s">
        <v>817</v>
      </c>
      <c r="H40" s="50" t="s">
        <v>469</v>
      </c>
      <c r="I40" s="9"/>
      <c r="J40" s="9" t="s">
        <v>407</v>
      </c>
      <c r="K40" s="9" t="s">
        <v>464</v>
      </c>
      <c r="L40" s="9"/>
      <c r="M40" s="9" t="s">
        <v>407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55"/>
      <c r="AA40" s="51"/>
      <c r="AB40" s="73"/>
      <c r="AC40" s="74"/>
    </row>
    <row r="41" spans="1:29" s="11" customFormat="1" ht="26" x14ac:dyDescent="0.2">
      <c r="A41" s="9">
        <v>20</v>
      </c>
      <c r="B41" s="9"/>
      <c r="C41" s="9"/>
      <c r="D41" s="9" t="str">
        <f>D40&amp;"_nm"</f>
        <v>purc_tax_rnd_typ_nm</v>
      </c>
      <c r="E41" s="49" t="str">
        <f>E40&amp;"_NM"</f>
        <v>#MA.RND_TYP_NM</v>
      </c>
      <c r="F41" s="49"/>
      <c r="G41" s="50" t="s">
        <v>865</v>
      </c>
      <c r="H41" s="50" t="s">
        <v>470</v>
      </c>
      <c r="I41" s="9"/>
      <c r="J41" s="9" t="s">
        <v>407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55"/>
      <c r="AA41" s="51"/>
      <c r="AB41" s="73"/>
      <c r="AC41" s="74"/>
    </row>
    <row r="42" spans="1:29" s="11" customFormat="1" x14ac:dyDescent="0.2">
      <c r="A42" s="9">
        <v>20</v>
      </c>
      <c r="B42" s="9"/>
      <c r="C42" s="9"/>
      <c r="D42" s="9" t="s">
        <v>160</v>
      </c>
      <c r="E42" s="49" t="s">
        <v>108</v>
      </c>
      <c r="F42" s="49"/>
      <c r="G42" s="50" t="s">
        <v>831</v>
      </c>
      <c r="H42" s="50" t="s">
        <v>471</v>
      </c>
      <c r="I42" s="9"/>
      <c r="J42" s="9" t="s">
        <v>407</v>
      </c>
      <c r="K42" s="9"/>
      <c r="L42" s="9"/>
      <c r="M42" s="9" t="s">
        <v>407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55"/>
      <c r="AA42" s="51"/>
      <c r="AB42" s="73"/>
      <c r="AC42" s="74"/>
    </row>
    <row r="43" spans="1:29" s="11" customFormat="1" x14ac:dyDescent="0.2">
      <c r="A43" s="9">
        <v>20</v>
      </c>
      <c r="B43" s="9"/>
      <c r="C43" s="9"/>
      <c r="D43" s="9" t="s">
        <v>161</v>
      </c>
      <c r="E43" s="49" t="s">
        <v>187</v>
      </c>
      <c r="F43" s="49"/>
      <c r="G43" s="50" t="s">
        <v>820</v>
      </c>
      <c r="H43" s="50" t="s">
        <v>472</v>
      </c>
      <c r="I43" s="9"/>
      <c r="J43" s="9" t="s">
        <v>407</v>
      </c>
      <c r="K43" s="9"/>
      <c r="L43" s="9"/>
      <c r="M43" s="9" t="s">
        <v>407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55"/>
      <c r="AA43" s="51"/>
      <c r="AB43" s="73"/>
      <c r="AC43" s="74"/>
    </row>
    <row r="44" spans="1:29" s="11" customFormat="1" x14ac:dyDescent="0.2">
      <c r="A44" s="9">
        <v>20</v>
      </c>
      <c r="B44" s="9"/>
      <c r="C44" s="9"/>
      <c r="D44" s="9" t="s">
        <v>162</v>
      </c>
      <c r="E44" s="49" t="s">
        <v>188</v>
      </c>
      <c r="F44" s="49"/>
      <c r="G44" s="50" t="s">
        <v>866</v>
      </c>
      <c r="H44" s="50" t="s">
        <v>473</v>
      </c>
      <c r="I44" s="9"/>
      <c r="J44" s="9" t="s">
        <v>407</v>
      </c>
      <c r="K44" s="9"/>
      <c r="L44" s="9"/>
      <c r="M44" s="9" t="s">
        <v>407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55"/>
      <c r="AA44" s="51"/>
      <c r="AB44" s="73"/>
      <c r="AC44" s="74"/>
    </row>
    <row r="45" spans="1:29" s="11" customFormat="1" x14ac:dyDescent="0.2">
      <c r="A45" s="9">
        <v>20</v>
      </c>
      <c r="B45" s="9"/>
      <c r="C45" s="9"/>
      <c r="D45" s="9" t="s">
        <v>163</v>
      </c>
      <c r="E45" s="49" t="s">
        <v>189</v>
      </c>
      <c r="F45" s="49"/>
      <c r="G45" s="50" t="s">
        <v>821</v>
      </c>
      <c r="H45" s="50" t="s">
        <v>474</v>
      </c>
      <c r="I45" s="9"/>
      <c r="J45" s="9" t="s">
        <v>407</v>
      </c>
      <c r="K45" s="9"/>
      <c r="L45" s="9"/>
      <c r="M45" s="9" t="s">
        <v>407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55"/>
      <c r="AA45" s="51"/>
      <c r="AB45" s="73"/>
      <c r="AC45" s="74"/>
    </row>
    <row r="46" spans="1:29" s="11" customFormat="1" x14ac:dyDescent="0.2">
      <c r="A46" s="9">
        <v>20</v>
      </c>
      <c r="B46" s="9"/>
      <c r="C46" s="9"/>
      <c r="D46" s="9" t="s">
        <v>164</v>
      </c>
      <c r="E46" s="49" t="s">
        <v>190</v>
      </c>
      <c r="F46" s="49"/>
      <c r="G46" s="50" t="s">
        <v>867</v>
      </c>
      <c r="H46" s="50" t="s">
        <v>475</v>
      </c>
      <c r="I46" s="9"/>
      <c r="J46" s="9" t="s">
        <v>407</v>
      </c>
      <c r="K46" s="9"/>
      <c r="L46" s="9"/>
      <c r="M46" s="9" t="s">
        <v>407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55"/>
      <c r="AA46" s="51"/>
      <c r="AB46" s="73"/>
      <c r="AC46" s="74"/>
    </row>
    <row r="47" spans="1:29" s="11" customFormat="1" x14ac:dyDescent="0.2">
      <c r="A47" s="9">
        <v>20</v>
      </c>
      <c r="B47" s="9"/>
      <c r="C47" s="9"/>
      <c r="D47" s="9" t="s">
        <v>165</v>
      </c>
      <c r="E47" s="49" t="s">
        <v>109</v>
      </c>
      <c r="F47" s="49"/>
      <c r="G47" s="50" t="s">
        <v>822</v>
      </c>
      <c r="H47" s="50" t="s">
        <v>476</v>
      </c>
      <c r="I47" s="9"/>
      <c r="J47" s="9" t="s">
        <v>407</v>
      </c>
      <c r="K47" s="9"/>
      <c r="L47" s="9"/>
      <c r="M47" s="9" t="s">
        <v>407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55"/>
      <c r="AA47" s="51"/>
      <c r="AB47" s="73"/>
      <c r="AC47" s="74"/>
    </row>
    <row r="48" spans="1:29" s="11" customFormat="1" x14ac:dyDescent="0.2">
      <c r="A48" s="9">
        <v>20</v>
      </c>
      <c r="B48" s="9"/>
      <c r="C48" s="9"/>
      <c r="D48" s="9" t="s">
        <v>748</v>
      </c>
      <c r="E48" s="49" t="s">
        <v>44</v>
      </c>
      <c r="F48" s="49"/>
      <c r="G48" s="50" t="s">
        <v>823</v>
      </c>
      <c r="H48" s="50" t="s">
        <v>783</v>
      </c>
      <c r="I48" s="9"/>
      <c r="J48" s="9" t="s">
        <v>407</v>
      </c>
      <c r="K48" s="9"/>
      <c r="L48" s="9"/>
      <c r="M48" s="9" t="s">
        <v>407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55"/>
      <c r="AA48" s="51"/>
      <c r="AB48" s="73"/>
      <c r="AC48" s="74"/>
    </row>
    <row r="49" spans="1:29" s="11" customFormat="1" ht="26" x14ac:dyDescent="0.2">
      <c r="A49" s="9">
        <v>20</v>
      </c>
      <c r="B49" s="9"/>
      <c r="C49" s="9"/>
      <c r="D49" s="9" t="s">
        <v>749</v>
      </c>
      <c r="E49" s="49" t="s">
        <v>44</v>
      </c>
      <c r="F49" s="49"/>
      <c r="G49" s="50" t="s">
        <v>824</v>
      </c>
      <c r="H49" s="50" t="s">
        <v>784</v>
      </c>
      <c r="I49" s="9"/>
      <c r="J49" s="9" t="s">
        <v>407</v>
      </c>
      <c r="K49" s="9"/>
      <c r="L49" s="9"/>
      <c r="M49" s="9" t="s">
        <v>407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55"/>
      <c r="AA49" s="51"/>
      <c r="AB49" s="73"/>
      <c r="AC49" s="74"/>
    </row>
    <row r="50" spans="1:29" s="11" customFormat="1" ht="26" x14ac:dyDescent="0.2">
      <c r="A50" s="9">
        <v>20</v>
      </c>
      <c r="B50" s="9"/>
      <c r="C50" s="9"/>
      <c r="D50" s="9" t="s">
        <v>750</v>
      </c>
      <c r="E50" s="49" t="s">
        <v>44</v>
      </c>
      <c r="F50" s="49"/>
      <c r="G50" s="50" t="s">
        <v>825</v>
      </c>
      <c r="H50" s="50" t="s">
        <v>785</v>
      </c>
      <c r="I50" s="9"/>
      <c r="J50" s="9" t="s">
        <v>407</v>
      </c>
      <c r="K50" s="9"/>
      <c r="L50" s="9"/>
      <c r="M50" s="9" t="s">
        <v>407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55"/>
      <c r="AA50" s="51"/>
      <c r="AB50" s="73"/>
      <c r="AC50" s="74"/>
    </row>
    <row r="51" spans="1:29" s="11" customFormat="1" x14ac:dyDescent="0.2">
      <c r="A51" s="9">
        <v>20</v>
      </c>
      <c r="B51" s="9"/>
      <c r="C51" s="9"/>
      <c r="D51" s="9" t="s">
        <v>166</v>
      </c>
      <c r="E51" s="49" t="s">
        <v>110</v>
      </c>
      <c r="F51" s="49"/>
      <c r="G51" s="50" t="s">
        <v>868</v>
      </c>
      <c r="H51" s="50" t="s">
        <v>477</v>
      </c>
      <c r="I51" s="9"/>
      <c r="J51" s="9" t="s">
        <v>407</v>
      </c>
      <c r="K51" s="9"/>
      <c r="L51" s="9"/>
      <c r="M51" s="9" t="s">
        <v>407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55"/>
      <c r="AA51" s="51"/>
      <c r="AB51" s="73"/>
      <c r="AC51" s="74"/>
    </row>
    <row r="52" spans="1:29" s="11" customFormat="1" x14ac:dyDescent="0.2">
      <c r="A52" s="9">
        <v>20</v>
      </c>
      <c r="B52" s="9"/>
      <c r="C52" s="9"/>
      <c r="D52" s="9" t="s">
        <v>167</v>
      </c>
      <c r="E52" s="49" t="s">
        <v>44</v>
      </c>
      <c r="F52" s="49"/>
      <c r="G52" s="50" t="s">
        <v>814</v>
      </c>
      <c r="H52" s="50" t="s">
        <v>420</v>
      </c>
      <c r="I52" s="9"/>
      <c r="J52" s="9" t="s">
        <v>407</v>
      </c>
      <c r="K52" s="9"/>
      <c r="L52" s="9"/>
      <c r="M52" s="9" t="s">
        <v>407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55"/>
      <c r="AA52" s="51"/>
      <c r="AB52" s="73"/>
      <c r="AC52" s="74"/>
    </row>
    <row r="53" spans="1:29" s="11" customFormat="1" x14ac:dyDescent="0.2">
      <c r="A53" s="9">
        <v>20</v>
      </c>
      <c r="B53" s="9"/>
      <c r="C53" s="9"/>
      <c r="D53" s="9" t="s">
        <v>168</v>
      </c>
      <c r="E53" s="49" t="s">
        <v>83</v>
      </c>
      <c r="F53" s="49"/>
      <c r="G53" s="50" t="s">
        <v>818</v>
      </c>
      <c r="H53" s="50" t="s">
        <v>478</v>
      </c>
      <c r="I53" s="9"/>
      <c r="J53" s="9" t="s">
        <v>407</v>
      </c>
      <c r="K53" s="9"/>
      <c r="L53" s="9"/>
      <c r="M53" s="9" t="s">
        <v>407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55"/>
      <c r="AA53" s="51"/>
      <c r="AB53" s="73"/>
      <c r="AC53" s="74"/>
    </row>
    <row r="54" spans="1:29" s="11" customFormat="1" x14ac:dyDescent="0.2">
      <c r="A54" s="9">
        <v>20</v>
      </c>
      <c r="B54" s="9"/>
      <c r="C54" s="9"/>
      <c r="D54" s="9" t="s">
        <v>169</v>
      </c>
      <c r="E54" s="49" t="s">
        <v>111</v>
      </c>
      <c r="F54" s="49"/>
      <c r="G54" s="50" t="s">
        <v>869</v>
      </c>
      <c r="H54" s="50" t="s">
        <v>479</v>
      </c>
      <c r="I54" s="9"/>
      <c r="J54" s="9" t="s">
        <v>407</v>
      </c>
      <c r="K54" s="9"/>
      <c r="L54" s="9"/>
      <c r="M54" s="9" t="s">
        <v>407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55"/>
      <c r="AA54" s="51"/>
      <c r="AB54" s="73"/>
      <c r="AC54" s="74"/>
    </row>
    <row r="55" spans="1:29" s="11" customFormat="1" x14ac:dyDescent="0.2">
      <c r="A55" s="9">
        <v>20</v>
      </c>
      <c r="B55" s="9"/>
      <c r="C55" s="9"/>
      <c r="D55" s="9" t="s">
        <v>170</v>
      </c>
      <c r="E55" s="49" t="s">
        <v>44</v>
      </c>
      <c r="F55" s="49"/>
      <c r="G55" s="50" t="s">
        <v>819</v>
      </c>
      <c r="H55" s="50" t="s">
        <v>425</v>
      </c>
      <c r="I55" s="9"/>
      <c r="J55" s="9" t="s">
        <v>407</v>
      </c>
      <c r="K55" s="9"/>
      <c r="L55" s="9"/>
      <c r="M55" s="9" t="s">
        <v>407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55"/>
      <c r="AA55" s="51"/>
      <c r="AB55" s="73"/>
      <c r="AC55" s="74"/>
    </row>
    <row r="56" spans="1:29" s="11" customFormat="1" ht="26" x14ac:dyDescent="0.2">
      <c r="A56" s="9">
        <v>20</v>
      </c>
      <c r="B56" s="9"/>
      <c r="C56" s="9"/>
      <c r="D56" s="9" t="s">
        <v>171</v>
      </c>
      <c r="E56" s="49" t="s">
        <v>44</v>
      </c>
      <c r="F56" s="49"/>
      <c r="G56" s="50" t="s">
        <v>834</v>
      </c>
      <c r="H56" s="50" t="s">
        <v>437</v>
      </c>
      <c r="I56" s="9"/>
      <c r="J56" s="9" t="s">
        <v>407</v>
      </c>
      <c r="K56" s="9"/>
      <c r="L56" s="9"/>
      <c r="M56" s="9" t="s">
        <v>407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55"/>
      <c r="AA56" s="51"/>
      <c r="AB56" s="73"/>
      <c r="AC56" s="74"/>
    </row>
    <row r="57" spans="1:29" s="11" customFormat="1" ht="26" x14ac:dyDescent="0.2">
      <c r="A57" s="9">
        <v>20</v>
      </c>
      <c r="B57" s="9"/>
      <c r="C57" s="9"/>
      <c r="D57" s="9" t="s">
        <v>755</v>
      </c>
      <c r="E57" s="49" t="s">
        <v>44</v>
      </c>
      <c r="F57" s="49"/>
      <c r="G57" s="50" t="s">
        <v>835</v>
      </c>
      <c r="H57" s="50" t="s">
        <v>756</v>
      </c>
      <c r="I57" s="9"/>
      <c r="J57" s="9" t="s">
        <v>407</v>
      </c>
      <c r="K57" s="9"/>
      <c r="L57" s="9"/>
      <c r="M57" s="9" t="s">
        <v>407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55"/>
      <c r="AA57" s="51"/>
      <c r="AB57" s="73"/>
      <c r="AC57" s="74"/>
    </row>
    <row r="58" spans="1:29" s="11" customFormat="1" ht="26" x14ac:dyDescent="0.2">
      <c r="A58" s="9">
        <v>20</v>
      </c>
      <c r="B58" s="9"/>
      <c r="C58" s="9"/>
      <c r="D58" s="9" t="s">
        <v>172</v>
      </c>
      <c r="E58" s="49" t="s">
        <v>112</v>
      </c>
      <c r="F58" s="49"/>
      <c r="G58" s="50" t="s">
        <v>828</v>
      </c>
      <c r="H58" s="50" t="s">
        <v>431</v>
      </c>
      <c r="I58" s="9"/>
      <c r="J58" s="9" t="s">
        <v>407</v>
      </c>
      <c r="K58" s="9"/>
      <c r="L58" s="9"/>
      <c r="M58" s="9" t="s">
        <v>407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55"/>
      <c r="AA58" s="51"/>
      <c r="AB58" s="73"/>
      <c r="AC58" s="74"/>
    </row>
    <row r="59" spans="1:29" s="11" customFormat="1" ht="26" x14ac:dyDescent="0.2">
      <c r="A59" s="9">
        <v>20</v>
      </c>
      <c r="B59" s="9"/>
      <c r="C59" s="9"/>
      <c r="D59" s="9" t="s">
        <v>173</v>
      </c>
      <c r="E59" s="49" t="s">
        <v>113</v>
      </c>
      <c r="F59" s="49"/>
      <c r="G59" s="50" t="s">
        <v>870</v>
      </c>
      <c r="H59" s="50" t="s">
        <v>480</v>
      </c>
      <c r="I59" s="9"/>
      <c r="J59" s="9" t="s">
        <v>407</v>
      </c>
      <c r="K59" s="9"/>
      <c r="L59" s="9"/>
      <c r="M59" s="9" t="s">
        <v>407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55"/>
      <c r="AA59" s="51"/>
      <c r="AB59" s="73"/>
      <c r="AC59" s="74"/>
    </row>
    <row r="60" spans="1:29" s="11" customFormat="1" ht="26" x14ac:dyDescent="0.2">
      <c r="A60" s="9">
        <v>20</v>
      </c>
      <c r="B60" s="9"/>
      <c r="C60" s="9"/>
      <c r="D60" s="9" t="s">
        <v>174</v>
      </c>
      <c r="E60" s="49" t="s">
        <v>112</v>
      </c>
      <c r="F60" s="49"/>
      <c r="G60" s="50" t="s">
        <v>829</v>
      </c>
      <c r="H60" s="50" t="s">
        <v>432</v>
      </c>
      <c r="I60" s="9"/>
      <c r="J60" s="9" t="s">
        <v>407</v>
      </c>
      <c r="K60" s="9"/>
      <c r="L60" s="9"/>
      <c r="M60" s="9" t="s">
        <v>407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55"/>
      <c r="AA60" s="51"/>
      <c r="AB60" s="73"/>
      <c r="AC60" s="74"/>
    </row>
    <row r="61" spans="1:29" s="11" customFormat="1" ht="26" x14ac:dyDescent="0.2">
      <c r="A61" s="9">
        <v>20</v>
      </c>
      <c r="B61" s="9"/>
      <c r="C61" s="9"/>
      <c r="D61" s="9" t="s">
        <v>175</v>
      </c>
      <c r="E61" s="49" t="s">
        <v>113</v>
      </c>
      <c r="F61" s="49"/>
      <c r="G61" s="50" t="s">
        <v>871</v>
      </c>
      <c r="H61" s="50" t="s">
        <v>481</v>
      </c>
      <c r="I61" s="9"/>
      <c r="J61" s="9" t="s">
        <v>407</v>
      </c>
      <c r="K61" s="9"/>
      <c r="L61" s="9"/>
      <c r="M61" s="9" t="s">
        <v>407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55"/>
      <c r="AA61" s="51"/>
      <c r="AB61" s="73"/>
      <c r="AC61" s="74"/>
    </row>
    <row r="62" spans="1:29" s="11" customFormat="1" ht="26" x14ac:dyDescent="0.2">
      <c r="A62" s="9">
        <v>20</v>
      </c>
      <c r="B62" s="9"/>
      <c r="C62" s="9"/>
      <c r="D62" s="9" t="s">
        <v>176</v>
      </c>
      <c r="E62" s="49" t="s">
        <v>112</v>
      </c>
      <c r="F62" s="49"/>
      <c r="G62" s="50" t="s">
        <v>830</v>
      </c>
      <c r="H62" s="50" t="s">
        <v>433</v>
      </c>
      <c r="I62" s="9"/>
      <c r="J62" s="9" t="s">
        <v>407</v>
      </c>
      <c r="K62" s="9"/>
      <c r="L62" s="9"/>
      <c r="M62" s="9" t="s">
        <v>407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55"/>
      <c r="AA62" s="51"/>
      <c r="AB62" s="73"/>
      <c r="AC62" s="74"/>
    </row>
    <row r="63" spans="1:29" s="11" customFormat="1" ht="26" x14ac:dyDescent="0.2">
      <c r="A63" s="9">
        <v>20</v>
      </c>
      <c r="B63" s="9"/>
      <c r="C63" s="9"/>
      <c r="D63" s="9" t="s">
        <v>177</v>
      </c>
      <c r="E63" s="49" t="s">
        <v>113</v>
      </c>
      <c r="F63" s="49"/>
      <c r="G63" s="50" t="s">
        <v>872</v>
      </c>
      <c r="H63" s="50" t="s">
        <v>482</v>
      </c>
      <c r="I63" s="9"/>
      <c r="J63" s="9" t="s">
        <v>407</v>
      </c>
      <c r="K63" s="9"/>
      <c r="L63" s="9"/>
      <c r="M63" s="9" t="s">
        <v>407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55"/>
      <c r="AA63" s="51"/>
      <c r="AB63" s="73"/>
      <c r="AC63" s="74"/>
    </row>
    <row r="64" spans="1:29" s="11" customFormat="1" x14ac:dyDescent="0.2">
      <c r="A64" s="9">
        <v>20</v>
      </c>
      <c r="B64" s="9"/>
      <c r="C64" s="9"/>
      <c r="D64" s="9" t="s">
        <v>323</v>
      </c>
      <c r="E64" s="49" t="s">
        <v>44</v>
      </c>
      <c r="F64" s="49"/>
      <c r="G64" s="50" t="s">
        <v>832</v>
      </c>
      <c r="H64" s="50" t="s">
        <v>435</v>
      </c>
      <c r="I64" s="9"/>
      <c r="J64" s="9" t="s">
        <v>407</v>
      </c>
      <c r="K64" s="9"/>
      <c r="L64" s="9"/>
      <c r="M64" s="9" t="s">
        <v>407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55"/>
      <c r="AA64" s="51"/>
      <c r="AB64" s="73"/>
      <c r="AC64" s="74"/>
    </row>
    <row r="65" spans="1:29" s="11" customFormat="1" x14ac:dyDescent="0.2">
      <c r="A65" s="9">
        <v>20</v>
      </c>
      <c r="B65" s="9"/>
      <c r="C65" s="9"/>
      <c r="D65" s="9" t="s">
        <v>324</v>
      </c>
      <c r="E65" s="49" t="s">
        <v>44</v>
      </c>
      <c r="F65" s="49"/>
      <c r="G65" s="50" t="s">
        <v>833</v>
      </c>
      <c r="H65" s="50" t="s">
        <v>436</v>
      </c>
      <c r="I65" s="9"/>
      <c r="J65" s="9" t="s">
        <v>407</v>
      </c>
      <c r="K65" s="9"/>
      <c r="L65" s="9"/>
      <c r="M65" s="9" t="s">
        <v>407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55"/>
      <c r="AA65" s="51"/>
      <c r="AB65" s="73"/>
      <c r="AC65" s="74"/>
    </row>
    <row r="66" spans="1:29" s="11" customFormat="1" ht="26" x14ac:dyDescent="0.2">
      <c r="A66" s="9">
        <v>20</v>
      </c>
      <c r="B66" s="9"/>
      <c r="C66" s="9"/>
      <c r="D66" s="9" t="s">
        <v>325</v>
      </c>
      <c r="E66" s="49" t="s">
        <v>326</v>
      </c>
      <c r="F66" s="49"/>
      <c r="G66" s="50" t="s">
        <v>827</v>
      </c>
      <c r="H66" s="50" t="s">
        <v>430</v>
      </c>
      <c r="I66" s="9"/>
      <c r="J66" s="9" t="s">
        <v>407</v>
      </c>
      <c r="K66" s="9" t="s">
        <v>483</v>
      </c>
      <c r="L66" s="9"/>
      <c r="M66" s="9" t="s">
        <v>407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55"/>
      <c r="AA66" s="51"/>
      <c r="AB66" s="73"/>
      <c r="AC66" s="74"/>
    </row>
    <row r="67" spans="1:29" s="11" customFormat="1" ht="26" x14ac:dyDescent="0.2">
      <c r="A67" s="9">
        <v>20</v>
      </c>
      <c r="B67" s="9"/>
      <c r="C67" s="9"/>
      <c r="D67" s="9" t="str">
        <f>D66&amp;"_nm"</f>
        <v>purc_slip_each_lot_typ_nm</v>
      </c>
      <c r="E67" s="49" t="str">
        <f>E66&amp;"_NM"</f>
        <v>#MA.SLIP_EACH_LOT_TYP_NM</v>
      </c>
      <c r="F67" s="49"/>
      <c r="G67" s="50" t="s">
        <v>873</v>
      </c>
      <c r="H67" s="50" t="s">
        <v>484</v>
      </c>
      <c r="I67" s="9"/>
      <c r="J67" s="9" t="s">
        <v>407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55"/>
      <c r="AA67" s="51"/>
      <c r="AB67" s="73"/>
      <c r="AC67" s="74"/>
    </row>
    <row r="68" spans="1:29" s="11" customFormat="1" ht="26" x14ac:dyDescent="0.2">
      <c r="A68" s="9">
        <v>20</v>
      </c>
      <c r="B68" s="9"/>
      <c r="C68" s="9"/>
      <c r="D68" s="9" t="s">
        <v>178</v>
      </c>
      <c r="E68" s="49" t="s">
        <v>194</v>
      </c>
      <c r="F68" s="49"/>
      <c r="G68" s="50" t="s">
        <v>826</v>
      </c>
      <c r="H68" s="50" t="s">
        <v>485</v>
      </c>
      <c r="I68" s="9"/>
      <c r="J68" s="9" t="s">
        <v>407</v>
      </c>
      <c r="K68" s="9" t="s">
        <v>486</v>
      </c>
      <c r="L68" s="9"/>
      <c r="M68" s="9" t="s">
        <v>407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55"/>
      <c r="AA68" s="51"/>
      <c r="AB68" s="73"/>
      <c r="AC68" s="74"/>
    </row>
    <row r="69" spans="1:29" s="11" customFormat="1" ht="26" x14ac:dyDescent="0.2">
      <c r="A69" s="9">
        <v>20</v>
      </c>
      <c r="B69" s="9"/>
      <c r="C69" s="9"/>
      <c r="D69" s="9" t="str">
        <f>D68&amp;"_nm"</f>
        <v>prov_rcv_typ_nm</v>
      </c>
      <c r="E69" s="49" t="str">
        <f>E68&amp;"_NM"</f>
        <v>#MA.PROV_RCV_TYP_NM</v>
      </c>
      <c r="F69" s="49"/>
      <c r="G69" s="50" t="s">
        <v>874</v>
      </c>
      <c r="H69" s="50" t="s">
        <v>487</v>
      </c>
      <c r="I69" s="9"/>
      <c r="J69" s="9" t="s">
        <v>407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55"/>
      <c r="AA69" s="51"/>
      <c r="AB69" s="73"/>
      <c r="AC69" s="74"/>
    </row>
    <row r="70" spans="1:29" s="11" customFormat="1" x14ac:dyDescent="0.2">
      <c r="A70" s="9">
        <v>20</v>
      </c>
      <c r="B70" s="9"/>
      <c r="C70" s="9"/>
      <c r="D70" s="9" t="s">
        <v>354</v>
      </c>
      <c r="E70" s="49" t="s">
        <v>44</v>
      </c>
      <c r="F70" s="49"/>
      <c r="G70" s="50" t="s">
        <v>809</v>
      </c>
      <c r="H70" s="50" t="s">
        <v>415</v>
      </c>
      <c r="I70" s="9"/>
      <c r="J70" s="9" t="s">
        <v>407</v>
      </c>
      <c r="K70" s="9"/>
      <c r="L70" s="9"/>
      <c r="M70" s="9" t="s">
        <v>407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55"/>
      <c r="AA70" s="51"/>
      <c r="AB70" s="73"/>
      <c r="AC70" s="74"/>
    </row>
    <row r="71" spans="1:29" s="11" customFormat="1" x14ac:dyDescent="0.2">
      <c r="A71" s="9">
        <v>20</v>
      </c>
      <c r="B71" s="9"/>
      <c r="C71" s="9"/>
      <c r="D71" s="9" t="s">
        <v>742</v>
      </c>
      <c r="E71" s="49" t="s">
        <v>44</v>
      </c>
      <c r="F71" s="49"/>
      <c r="G71" s="50" t="s">
        <v>810</v>
      </c>
      <c r="H71" s="50" t="s">
        <v>741</v>
      </c>
      <c r="I71" s="9"/>
      <c r="J71" s="9" t="s">
        <v>407</v>
      </c>
      <c r="K71" s="9"/>
      <c r="L71" s="9"/>
      <c r="M71" s="9" t="s">
        <v>407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55"/>
      <c r="AA71" s="51"/>
      <c r="AB71" s="73"/>
      <c r="AC71" s="74"/>
    </row>
    <row r="72" spans="1:29" s="11" customFormat="1" x14ac:dyDescent="0.2">
      <c r="A72" s="9">
        <v>20</v>
      </c>
      <c r="B72" s="9"/>
      <c r="C72" s="9"/>
      <c r="D72" s="9" t="s">
        <v>693</v>
      </c>
      <c r="E72" s="49" t="s">
        <v>692</v>
      </c>
      <c r="F72" s="49"/>
      <c r="G72" s="50" t="s">
        <v>836</v>
      </c>
      <c r="H72" s="50" t="s">
        <v>714</v>
      </c>
      <c r="I72" s="9"/>
      <c r="J72" s="9" t="s">
        <v>407</v>
      </c>
      <c r="K72" s="9" t="s">
        <v>715</v>
      </c>
      <c r="L72" s="9"/>
      <c r="M72" s="9" t="s">
        <v>407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55"/>
      <c r="AA72" s="51"/>
      <c r="AB72" s="73"/>
      <c r="AC72" s="74"/>
    </row>
    <row r="73" spans="1:29" s="11" customFormat="1" ht="26" x14ac:dyDescent="0.2">
      <c r="A73" s="9">
        <v>20</v>
      </c>
      <c r="B73" s="9"/>
      <c r="C73" s="9"/>
      <c r="D73" s="9" t="s">
        <v>694</v>
      </c>
      <c r="E73" s="49" t="s">
        <v>695</v>
      </c>
      <c r="F73" s="49"/>
      <c r="G73" s="50" t="s">
        <v>875</v>
      </c>
      <c r="H73" s="50" t="s">
        <v>722</v>
      </c>
      <c r="I73" s="9"/>
      <c r="J73" s="9" t="s">
        <v>407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55"/>
      <c r="AA73" s="51"/>
      <c r="AB73" s="73"/>
      <c r="AC73" s="74"/>
    </row>
    <row r="74" spans="1:29" s="11" customFormat="1" x14ac:dyDescent="0.2">
      <c r="A74" s="9">
        <v>20</v>
      </c>
      <c r="B74" s="9"/>
      <c r="C74" s="9"/>
      <c r="D74" s="9" t="s">
        <v>728</v>
      </c>
      <c r="E74" s="49" t="s">
        <v>729</v>
      </c>
      <c r="F74" s="49"/>
      <c r="G74" s="50" t="s">
        <v>837</v>
      </c>
      <c r="H74" s="50" t="s">
        <v>726</v>
      </c>
      <c r="I74" s="9"/>
      <c r="J74" s="9" t="s">
        <v>407</v>
      </c>
      <c r="K74" s="9" t="s">
        <v>727</v>
      </c>
      <c r="L74" s="9"/>
      <c r="M74" s="9" t="s">
        <v>407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55"/>
      <c r="AA74" s="51"/>
      <c r="AB74" s="73"/>
      <c r="AC74" s="74"/>
    </row>
    <row r="75" spans="1:29" s="11" customFormat="1" x14ac:dyDescent="0.2">
      <c r="A75" s="9">
        <v>20</v>
      </c>
      <c r="B75" s="9"/>
      <c r="C75" s="9"/>
      <c r="D75" s="9" t="str">
        <f>D74&amp;"_nm"</f>
        <v>purc_basis_typ_nm</v>
      </c>
      <c r="E75" s="49" t="str">
        <f>E74&amp;"_NM"</f>
        <v>#MA.PURC_BASIS_TYP_NM</v>
      </c>
      <c r="F75" s="49"/>
      <c r="G75" s="50" t="s">
        <v>876</v>
      </c>
      <c r="H75" s="50" t="s">
        <v>730</v>
      </c>
      <c r="I75" s="9"/>
      <c r="J75" s="9" t="s">
        <v>407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55"/>
      <c r="AA75" s="51"/>
      <c r="AB75" s="73"/>
      <c r="AC75" s="74"/>
    </row>
    <row r="76" spans="1:29" s="11" customFormat="1" x14ac:dyDescent="0.2">
      <c r="A76" s="9">
        <v>20</v>
      </c>
      <c r="B76" s="9"/>
      <c r="C76" s="9"/>
      <c r="D76" s="9" t="s">
        <v>179</v>
      </c>
      <c r="E76" s="49" t="s">
        <v>195</v>
      </c>
      <c r="F76" s="49"/>
      <c r="G76" s="50" t="s">
        <v>838</v>
      </c>
      <c r="H76" s="50" t="s">
        <v>438</v>
      </c>
      <c r="I76" s="9"/>
      <c r="J76" s="9" t="s">
        <v>407</v>
      </c>
      <c r="K76" s="9" t="s">
        <v>488</v>
      </c>
      <c r="L76" s="9"/>
      <c r="M76" s="9" t="s">
        <v>407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55"/>
      <c r="AA76" s="51"/>
      <c r="AB76" s="73"/>
      <c r="AC76" s="74"/>
    </row>
    <row r="77" spans="1:29" s="11" customFormat="1" x14ac:dyDescent="0.2">
      <c r="A77" s="9">
        <v>20</v>
      </c>
      <c r="B77" s="9"/>
      <c r="C77" s="9"/>
      <c r="D77" s="9" t="str">
        <f>D76&amp;"_nm"</f>
        <v>prov_basis_typ_nm</v>
      </c>
      <c r="E77" s="49" t="str">
        <f>E76&amp;"_NM"</f>
        <v>#MA.PROV_BASIS_TYP_NM</v>
      </c>
      <c r="F77" s="49"/>
      <c r="G77" s="50" t="s">
        <v>877</v>
      </c>
      <c r="H77" s="50" t="s">
        <v>489</v>
      </c>
      <c r="I77" s="9"/>
      <c r="J77" s="9" t="s">
        <v>407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55"/>
      <c r="AA77" s="51"/>
      <c r="AB77" s="73"/>
      <c r="AC77" s="74"/>
    </row>
    <row r="78" spans="1:29" s="11" customFormat="1" x14ac:dyDescent="0.2">
      <c r="A78" s="9">
        <v>20</v>
      </c>
      <c r="B78" s="9"/>
      <c r="C78" s="9"/>
      <c r="D78" s="9" t="s">
        <v>356</v>
      </c>
      <c r="E78" s="49" t="s">
        <v>44</v>
      </c>
      <c r="F78" s="49"/>
      <c r="G78" s="50" t="s">
        <v>839</v>
      </c>
      <c r="H78" s="50" t="s">
        <v>439</v>
      </c>
      <c r="I78" s="9"/>
      <c r="J78" s="9" t="s">
        <v>407</v>
      </c>
      <c r="K78" s="9"/>
      <c r="L78" s="9"/>
      <c r="M78" s="9" t="s">
        <v>407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55"/>
      <c r="AA78" s="51"/>
      <c r="AB78" s="73"/>
      <c r="AC78" s="74"/>
    </row>
    <row r="79" spans="1:29" s="11" customFormat="1" x14ac:dyDescent="0.2">
      <c r="A79" s="9">
        <v>20</v>
      </c>
      <c r="B79" s="9"/>
      <c r="C79" s="9"/>
      <c r="D79" s="9" t="s">
        <v>181</v>
      </c>
      <c r="E79" s="49" t="s">
        <v>83</v>
      </c>
      <c r="F79" s="49"/>
      <c r="G79" s="50" t="s">
        <v>840</v>
      </c>
      <c r="H79" s="50" t="s">
        <v>440</v>
      </c>
      <c r="I79" s="9"/>
      <c r="J79" s="9" t="s">
        <v>407</v>
      </c>
      <c r="K79" s="9"/>
      <c r="L79" s="9"/>
      <c r="M79" s="9" t="s">
        <v>407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55"/>
      <c r="AA79" s="51"/>
      <c r="AB79" s="73"/>
      <c r="AC79" s="74"/>
    </row>
    <row r="80" spans="1:29" s="11" customFormat="1" x14ac:dyDescent="0.2">
      <c r="A80" s="9">
        <v>20</v>
      </c>
      <c r="B80" s="9"/>
      <c r="C80" s="9"/>
      <c r="D80" s="9" t="s">
        <v>182</v>
      </c>
      <c r="E80" s="49" t="s">
        <v>111</v>
      </c>
      <c r="F80" s="49"/>
      <c r="G80" s="50" t="s">
        <v>878</v>
      </c>
      <c r="H80" s="50" t="s">
        <v>490</v>
      </c>
      <c r="I80" s="9"/>
      <c r="J80" s="9" t="s">
        <v>407</v>
      </c>
      <c r="K80" s="9"/>
      <c r="L80" s="9"/>
      <c r="M80" s="9" t="s">
        <v>407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55"/>
      <c r="AA80" s="51"/>
      <c r="AB80" s="73"/>
      <c r="AC80" s="74"/>
    </row>
    <row r="81" spans="1:29" s="11" customFormat="1" x14ac:dyDescent="0.2">
      <c r="A81" s="9">
        <v>20</v>
      </c>
      <c r="B81" s="9"/>
      <c r="C81" s="9"/>
      <c r="D81" s="9" t="s">
        <v>355</v>
      </c>
      <c r="E81" s="49" t="s">
        <v>44</v>
      </c>
      <c r="F81" s="49"/>
      <c r="G81" s="50" t="s">
        <v>841</v>
      </c>
      <c r="H81" s="50" t="s">
        <v>441</v>
      </c>
      <c r="I81" s="9"/>
      <c r="J81" s="9" t="s">
        <v>407</v>
      </c>
      <c r="K81" s="9"/>
      <c r="L81" s="9"/>
      <c r="M81" s="9" t="s">
        <v>407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55"/>
      <c r="AA81" s="51"/>
      <c r="AB81" s="73"/>
      <c r="AC81" s="74"/>
    </row>
    <row r="82" spans="1:29" s="11" customFormat="1" ht="26" x14ac:dyDescent="0.2">
      <c r="A82" s="9">
        <v>20</v>
      </c>
      <c r="B82" s="9"/>
      <c r="C82" s="9"/>
      <c r="D82" s="9" t="s">
        <v>184</v>
      </c>
      <c r="E82" s="49" t="s">
        <v>196</v>
      </c>
      <c r="F82" s="49"/>
      <c r="G82" s="50" t="s">
        <v>842</v>
      </c>
      <c r="H82" s="50" t="s">
        <v>491</v>
      </c>
      <c r="I82" s="9"/>
      <c r="J82" s="9" t="s">
        <v>407</v>
      </c>
      <c r="K82" s="9" t="s">
        <v>464</v>
      </c>
      <c r="L82" s="9"/>
      <c r="M82" s="9" t="s">
        <v>407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55"/>
      <c r="AA82" s="51"/>
      <c r="AB82" s="73"/>
      <c r="AC82" s="74"/>
    </row>
    <row r="83" spans="1:29" s="11" customFormat="1" ht="26" x14ac:dyDescent="0.2">
      <c r="A83" s="9">
        <v>20</v>
      </c>
      <c r="B83" s="9"/>
      <c r="C83" s="9"/>
      <c r="D83" s="9" t="str">
        <f>D82&amp;"_nm"</f>
        <v>prov_amt_rnd_typ_nm</v>
      </c>
      <c r="E83" s="49" t="str">
        <f>E82&amp;"_NM"</f>
        <v>#MA.RND_TYP_NM</v>
      </c>
      <c r="F83" s="49"/>
      <c r="G83" s="50" t="s">
        <v>842</v>
      </c>
      <c r="H83" s="50" t="s">
        <v>492</v>
      </c>
      <c r="I83" s="9"/>
      <c r="J83" s="9" t="s">
        <v>407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55"/>
      <c r="AA83" s="51"/>
      <c r="AB83" s="73"/>
      <c r="AC83" s="74"/>
    </row>
    <row r="84" spans="1:29" s="11" customFormat="1" x14ac:dyDescent="0.2">
      <c r="A84" s="9">
        <v>20</v>
      </c>
      <c r="B84" s="9"/>
      <c r="C84" s="9"/>
      <c r="D84" s="9" t="s">
        <v>673</v>
      </c>
      <c r="E84" s="49" t="s">
        <v>193</v>
      </c>
      <c r="F84" s="49"/>
      <c r="G84" s="50" t="s">
        <v>843</v>
      </c>
      <c r="H84" s="50" t="s">
        <v>443</v>
      </c>
      <c r="I84" s="9"/>
      <c r="J84" s="9" t="s">
        <v>407</v>
      </c>
      <c r="K84" s="9" t="s">
        <v>467</v>
      </c>
      <c r="L84" s="9"/>
      <c r="M84" s="9" t="s">
        <v>407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55"/>
      <c r="AA84" s="51"/>
      <c r="AB84" s="73"/>
      <c r="AC84" s="74"/>
    </row>
    <row r="85" spans="1:29" s="11" customFormat="1" ht="26" x14ac:dyDescent="0.2">
      <c r="A85" s="9">
        <v>20</v>
      </c>
      <c r="B85" s="9"/>
      <c r="C85" s="9"/>
      <c r="D85" s="9" t="str">
        <f>D84&amp;"_nm"</f>
        <v>prov_tax_calc_typ_nm</v>
      </c>
      <c r="E85" s="49" t="str">
        <f>E84&amp;"_NM"</f>
        <v>#MA.TAX_CALC_TYP_NM</v>
      </c>
      <c r="F85" s="49"/>
      <c r="G85" s="50" t="s">
        <v>879</v>
      </c>
      <c r="H85" s="50" t="s">
        <v>493</v>
      </c>
      <c r="I85" s="9"/>
      <c r="J85" s="9" t="s">
        <v>407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55"/>
      <c r="AA85" s="51"/>
      <c r="AB85" s="73"/>
      <c r="AC85" s="74"/>
    </row>
    <row r="86" spans="1:29" s="11" customFormat="1" ht="26" x14ac:dyDescent="0.2">
      <c r="A86" s="9">
        <v>20</v>
      </c>
      <c r="B86" s="9"/>
      <c r="C86" s="9"/>
      <c r="D86" s="9" t="s">
        <v>186</v>
      </c>
      <c r="E86" s="49" t="s">
        <v>192</v>
      </c>
      <c r="F86" s="49"/>
      <c r="G86" s="50" t="s">
        <v>844</v>
      </c>
      <c r="H86" s="50" t="s">
        <v>494</v>
      </c>
      <c r="I86" s="9"/>
      <c r="J86" s="9" t="s">
        <v>407</v>
      </c>
      <c r="K86" s="9" t="s">
        <v>464</v>
      </c>
      <c r="L86" s="9"/>
      <c r="M86" s="9" t="s">
        <v>407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55"/>
      <c r="AA86" s="51"/>
      <c r="AB86" s="73"/>
      <c r="AC86" s="74"/>
    </row>
    <row r="87" spans="1:29" s="11" customFormat="1" ht="26" x14ac:dyDescent="0.2">
      <c r="A87" s="9">
        <v>20</v>
      </c>
      <c r="B87" s="9"/>
      <c r="C87" s="9"/>
      <c r="D87" s="9" t="str">
        <f>D86&amp;"_nm"</f>
        <v>prov_tax_rnd_typ_nm</v>
      </c>
      <c r="E87" s="49" t="str">
        <f>E86&amp;"_NM"</f>
        <v>#MA.RND_TYP_NM</v>
      </c>
      <c r="F87" s="49"/>
      <c r="G87" s="50" t="s">
        <v>880</v>
      </c>
      <c r="H87" s="50" t="s">
        <v>495</v>
      </c>
      <c r="I87" s="9"/>
      <c r="J87" s="9" t="s">
        <v>407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55"/>
      <c r="AA87" s="51"/>
      <c r="AB87" s="73"/>
      <c r="AC87" s="74"/>
    </row>
    <row r="88" spans="1:29" s="11" customFormat="1" x14ac:dyDescent="0.2">
      <c r="A88" s="9">
        <v>20</v>
      </c>
      <c r="B88" s="9"/>
      <c r="C88" s="9"/>
      <c r="D88" s="9" t="s">
        <v>671</v>
      </c>
      <c r="E88" s="49" t="s">
        <v>44</v>
      </c>
      <c r="F88" s="49"/>
      <c r="G88" s="50" t="s">
        <v>845</v>
      </c>
      <c r="H88" s="50" t="s">
        <v>672</v>
      </c>
      <c r="I88" s="9"/>
      <c r="J88" s="9" t="s">
        <v>407</v>
      </c>
      <c r="K88" s="9"/>
      <c r="L88" s="9"/>
      <c r="M88" s="9" t="s">
        <v>407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55"/>
      <c r="AA88" s="51"/>
      <c r="AB88" s="149"/>
      <c r="AC88" s="150"/>
    </row>
    <row r="89" spans="1:29" s="11" customFormat="1" x14ac:dyDescent="0.2">
      <c r="A89" s="9">
        <v>20</v>
      </c>
      <c r="B89" s="9"/>
      <c r="C89" s="9"/>
      <c r="D89" s="9" t="s">
        <v>663</v>
      </c>
      <c r="E89" s="49" t="s">
        <v>667</v>
      </c>
      <c r="F89" s="49"/>
      <c r="G89" s="50" t="s">
        <v>846</v>
      </c>
      <c r="H89" s="50" t="s">
        <v>687</v>
      </c>
      <c r="I89" s="9"/>
      <c r="J89" s="9" t="s">
        <v>407</v>
      </c>
      <c r="K89" s="9"/>
      <c r="L89" s="9"/>
      <c r="M89" s="9" t="s">
        <v>407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55"/>
      <c r="AA89" s="51"/>
      <c r="AB89" s="149"/>
      <c r="AC89" s="150"/>
    </row>
    <row r="90" spans="1:29" s="11" customFormat="1" x14ac:dyDescent="0.2">
      <c r="A90" s="9">
        <v>20</v>
      </c>
      <c r="B90" s="9"/>
      <c r="C90" s="9"/>
      <c r="D90" s="9" t="s">
        <v>664</v>
      </c>
      <c r="E90" s="49" t="s">
        <v>668</v>
      </c>
      <c r="F90" s="49"/>
      <c r="G90" s="50" t="s">
        <v>881</v>
      </c>
      <c r="H90" s="50" t="s">
        <v>688</v>
      </c>
      <c r="I90" s="9"/>
      <c r="J90" s="9" t="s">
        <v>407</v>
      </c>
      <c r="K90" s="9"/>
      <c r="L90" s="9"/>
      <c r="M90" s="9" t="s">
        <v>407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55"/>
      <c r="AA90" s="51"/>
      <c r="AB90" s="149"/>
      <c r="AC90" s="150"/>
    </row>
    <row r="91" spans="1:29" s="11" customFormat="1" x14ac:dyDescent="0.2">
      <c r="A91" s="9">
        <v>20</v>
      </c>
      <c r="B91" s="9"/>
      <c r="C91" s="9"/>
      <c r="D91" s="9" t="s">
        <v>665</v>
      </c>
      <c r="E91" s="49" t="s">
        <v>669</v>
      </c>
      <c r="F91" s="49"/>
      <c r="G91" s="50" t="s">
        <v>847</v>
      </c>
      <c r="H91" s="50" t="s">
        <v>670</v>
      </c>
      <c r="I91" s="9"/>
      <c r="J91" s="9" t="s">
        <v>407</v>
      </c>
      <c r="K91" s="9"/>
      <c r="L91" s="9"/>
      <c r="M91" s="9" t="s">
        <v>407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55"/>
      <c r="AA91" s="51"/>
      <c r="AB91" s="149"/>
      <c r="AC91" s="150"/>
    </row>
    <row r="92" spans="1:29" s="11" customFormat="1" x14ac:dyDescent="0.2">
      <c r="A92" s="9">
        <v>20</v>
      </c>
      <c r="B92" s="9"/>
      <c r="C92" s="9"/>
      <c r="D92" s="9" t="s">
        <v>666</v>
      </c>
      <c r="E92" s="49" t="s">
        <v>614</v>
      </c>
      <c r="F92" s="49"/>
      <c r="G92" s="50" t="s">
        <v>882</v>
      </c>
      <c r="H92" s="50" t="s">
        <v>689</v>
      </c>
      <c r="I92" s="9"/>
      <c r="J92" s="9" t="s">
        <v>407</v>
      </c>
      <c r="K92" s="9"/>
      <c r="L92" s="9"/>
      <c r="M92" s="9" t="s">
        <v>407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55"/>
      <c r="AA92" s="51"/>
      <c r="AB92" s="149"/>
      <c r="AC92" s="150"/>
    </row>
    <row r="93" spans="1:29" s="11" customFormat="1" ht="26.15" customHeight="1" x14ac:dyDescent="0.2">
      <c r="A93" s="9">
        <v>20</v>
      </c>
      <c r="B93" s="9"/>
      <c r="C93" s="9"/>
      <c r="D93" s="9" t="s">
        <v>745</v>
      </c>
      <c r="E93" s="49" t="s">
        <v>746</v>
      </c>
      <c r="F93" s="49"/>
      <c r="G93" s="50" t="s">
        <v>848</v>
      </c>
      <c r="H93" s="50" t="s">
        <v>786</v>
      </c>
      <c r="I93" s="9"/>
      <c r="J93" s="9" t="s">
        <v>407</v>
      </c>
      <c r="K93" s="9" t="s">
        <v>743</v>
      </c>
      <c r="L93" s="9"/>
      <c r="M93" s="9" t="s">
        <v>407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55"/>
      <c r="AA93" s="51"/>
      <c r="AB93" s="73"/>
      <c r="AC93" s="74"/>
    </row>
    <row r="94" spans="1:29" s="11" customFormat="1" ht="26.15" customHeight="1" x14ac:dyDescent="0.2">
      <c r="A94" s="9">
        <v>20</v>
      </c>
      <c r="B94" s="9"/>
      <c r="C94" s="9"/>
      <c r="D94" s="9" t="s">
        <v>747</v>
      </c>
      <c r="E94" s="49" t="s">
        <v>744</v>
      </c>
      <c r="F94" s="49"/>
      <c r="G94" s="50" t="s">
        <v>883</v>
      </c>
      <c r="H94" s="50" t="s">
        <v>787</v>
      </c>
      <c r="I94" s="9"/>
      <c r="J94" s="9" t="s">
        <v>407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55"/>
      <c r="AA94" s="51"/>
      <c r="AB94" s="73"/>
      <c r="AC94" s="74"/>
    </row>
    <row r="95" spans="1:29" s="11" customFormat="1" x14ac:dyDescent="0.2">
      <c r="A95" s="9">
        <v>20</v>
      </c>
      <c r="B95" s="9"/>
      <c r="C95" s="9"/>
      <c r="D95" s="9" t="s">
        <v>345</v>
      </c>
      <c r="E95" s="49" t="s">
        <v>307</v>
      </c>
      <c r="F95" s="49"/>
      <c r="G95" s="50" t="s">
        <v>884</v>
      </c>
      <c r="H95" s="50" t="s">
        <v>496</v>
      </c>
      <c r="I95" s="9"/>
      <c r="J95" s="9" t="s">
        <v>407</v>
      </c>
      <c r="K95" s="9"/>
      <c r="L95" s="9"/>
      <c r="M95" s="9" t="s">
        <v>407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55"/>
      <c r="AA95" s="51"/>
      <c r="AB95" s="149"/>
      <c r="AC95" s="150"/>
    </row>
    <row r="96" spans="1:29" s="11" customFormat="1" x14ac:dyDescent="0.2">
      <c r="A96" s="9">
        <v>20</v>
      </c>
      <c r="B96" s="9"/>
      <c r="C96" s="9"/>
      <c r="D96" s="9" t="s">
        <v>92</v>
      </c>
      <c r="E96" s="49" t="s">
        <v>308</v>
      </c>
      <c r="F96" s="49"/>
      <c r="G96" s="50" t="s">
        <v>885</v>
      </c>
      <c r="H96" s="50" t="s">
        <v>497</v>
      </c>
      <c r="I96" s="9"/>
      <c r="J96" s="9" t="s">
        <v>407</v>
      </c>
      <c r="K96" s="9"/>
      <c r="L96" s="9"/>
      <c r="M96" s="9" t="s">
        <v>407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55"/>
      <c r="AA96" s="51"/>
      <c r="AB96" s="149"/>
      <c r="AC96" s="150"/>
    </row>
    <row r="97" spans="1:29" s="11" customFormat="1" x14ac:dyDescent="0.2">
      <c r="A97" s="9">
        <v>20</v>
      </c>
      <c r="B97" s="9"/>
      <c r="C97" s="9"/>
      <c r="D97" s="9" t="s">
        <v>14</v>
      </c>
      <c r="E97" s="49" t="s">
        <v>47</v>
      </c>
      <c r="F97" s="49"/>
      <c r="G97" s="50" t="s">
        <v>886</v>
      </c>
      <c r="H97" s="50" t="s">
        <v>498</v>
      </c>
      <c r="I97" s="9"/>
      <c r="J97" s="9" t="s">
        <v>407</v>
      </c>
      <c r="K97" s="9"/>
      <c r="L97" s="9"/>
      <c r="M97" s="9" t="s">
        <v>407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55"/>
      <c r="AA97" s="51"/>
      <c r="AB97" s="149"/>
      <c r="AC97" s="150"/>
    </row>
    <row r="98" spans="1:29" s="11" customFormat="1" x14ac:dyDescent="0.2">
      <c r="A98" s="9">
        <v>20</v>
      </c>
      <c r="B98" s="9"/>
      <c r="C98" s="9"/>
      <c r="D98" s="9" t="s">
        <v>93</v>
      </c>
      <c r="E98" s="49" t="s">
        <v>94</v>
      </c>
      <c r="F98" s="49"/>
      <c r="G98" s="50" t="s">
        <v>887</v>
      </c>
      <c r="H98" s="50" t="s">
        <v>499</v>
      </c>
      <c r="I98" s="9"/>
      <c r="J98" s="9" t="s">
        <v>407</v>
      </c>
      <c r="K98" s="9"/>
      <c r="L98" s="9"/>
      <c r="M98" s="9" t="s">
        <v>407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55"/>
      <c r="AA98" s="51"/>
      <c r="AB98" s="149"/>
      <c r="AC98" s="150"/>
    </row>
    <row r="99" spans="1:29" s="11" customFormat="1" x14ac:dyDescent="0.2">
      <c r="A99" s="9">
        <v>20</v>
      </c>
      <c r="B99" s="9"/>
      <c r="C99" s="9"/>
      <c r="D99" s="9" t="s">
        <v>95</v>
      </c>
      <c r="E99" s="49" t="s">
        <v>96</v>
      </c>
      <c r="F99" s="49"/>
      <c r="G99" s="50" t="s">
        <v>888</v>
      </c>
      <c r="H99" s="50" t="s">
        <v>500</v>
      </c>
      <c r="I99" s="9"/>
      <c r="J99" s="9" t="s">
        <v>407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55"/>
      <c r="AA99" s="51"/>
      <c r="AB99" s="149"/>
      <c r="AC99" s="150"/>
    </row>
    <row r="100" spans="1:29" s="11" customFormat="1" x14ac:dyDescent="0.2">
      <c r="A100" s="9">
        <v>20</v>
      </c>
      <c r="B100" s="9"/>
      <c r="C100" s="9"/>
      <c r="D100" s="9" t="s">
        <v>57</v>
      </c>
      <c r="E100" s="49" t="s">
        <v>58</v>
      </c>
      <c r="F100" s="49"/>
      <c r="G100" s="50" t="s">
        <v>849</v>
      </c>
      <c r="H100" s="50" t="s">
        <v>450</v>
      </c>
      <c r="I100" s="9"/>
      <c r="J100" s="9" t="s">
        <v>407</v>
      </c>
      <c r="K100" s="9"/>
      <c r="L100" s="9"/>
      <c r="M100" s="9" t="s">
        <v>407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55"/>
      <c r="AA100" s="51"/>
      <c r="AB100" s="149"/>
      <c r="AC100" s="150"/>
    </row>
    <row r="101" spans="1:29" s="11" customFormat="1" x14ac:dyDescent="0.2">
      <c r="A101" s="9">
        <v>20</v>
      </c>
      <c r="B101" s="9"/>
      <c r="C101" s="9"/>
      <c r="D101" s="9" t="s">
        <v>346</v>
      </c>
      <c r="E101" s="49" t="s">
        <v>307</v>
      </c>
      <c r="F101" s="49"/>
      <c r="G101" s="50" t="s">
        <v>889</v>
      </c>
      <c r="H101" s="50" t="s">
        <v>501</v>
      </c>
      <c r="I101" s="9"/>
      <c r="J101" s="9" t="s">
        <v>407</v>
      </c>
      <c r="K101" s="9"/>
      <c r="L101" s="9"/>
      <c r="M101" s="9" t="s">
        <v>407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55"/>
      <c r="AA101" s="51"/>
      <c r="AB101" s="149"/>
      <c r="AC101" s="150"/>
    </row>
    <row r="102" spans="1:29" s="11" customFormat="1" x14ac:dyDescent="0.2">
      <c r="A102" s="9">
        <v>20</v>
      </c>
      <c r="B102" s="9"/>
      <c r="C102" s="9"/>
      <c r="D102" s="9" t="s">
        <v>97</v>
      </c>
      <c r="E102" s="49" t="s">
        <v>308</v>
      </c>
      <c r="F102" s="49"/>
      <c r="G102" s="50" t="s">
        <v>890</v>
      </c>
      <c r="H102" s="50" t="s">
        <v>502</v>
      </c>
      <c r="I102" s="9"/>
      <c r="J102" s="9" t="s">
        <v>407</v>
      </c>
      <c r="K102" s="9"/>
      <c r="L102" s="9"/>
      <c r="M102" s="9" t="s">
        <v>407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55"/>
      <c r="AA102" s="51"/>
      <c r="AB102" s="149"/>
      <c r="AC102" s="150"/>
    </row>
    <row r="103" spans="1:29" s="11" customFormat="1" x14ac:dyDescent="0.2">
      <c r="A103" s="9">
        <v>20</v>
      </c>
      <c r="B103" s="9"/>
      <c r="C103" s="9"/>
      <c r="D103" s="9" t="s">
        <v>15</v>
      </c>
      <c r="E103" s="49" t="s">
        <v>47</v>
      </c>
      <c r="F103" s="49"/>
      <c r="G103" s="50" t="s">
        <v>891</v>
      </c>
      <c r="H103" s="50" t="s">
        <v>503</v>
      </c>
      <c r="I103" s="9"/>
      <c r="J103" s="9" t="s">
        <v>407</v>
      </c>
      <c r="K103" s="9"/>
      <c r="L103" s="9"/>
      <c r="M103" s="9" t="s">
        <v>407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55"/>
      <c r="AA103" s="51"/>
      <c r="AB103" s="149"/>
      <c r="AC103" s="150"/>
    </row>
    <row r="104" spans="1:29" s="11" customFormat="1" x14ac:dyDescent="0.2">
      <c r="A104" s="9">
        <v>20</v>
      </c>
      <c r="B104" s="9"/>
      <c r="C104" s="9"/>
      <c r="D104" s="9" t="s">
        <v>98</v>
      </c>
      <c r="E104" s="49" t="s">
        <v>94</v>
      </c>
      <c r="F104" s="49"/>
      <c r="G104" s="50" t="s">
        <v>892</v>
      </c>
      <c r="H104" s="50" t="s">
        <v>504</v>
      </c>
      <c r="I104" s="9"/>
      <c r="J104" s="9" t="s">
        <v>407</v>
      </c>
      <c r="K104" s="9"/>
      <c r="L104" s="9"/>
      <c r="M104" s="9" t="s">
        <v>407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55"/>
      <c r="AA104" s="51"/>
      <c r="AB104" s="149"/>
      <c r="AC104" s="150"/>
    </row>
    <row r="105" spans="1:29" s="11" customFormat="1" x14ac:dyDescent="0.2">
      <c r="A105" s="9">
        <v>20</v>
      </c>
      <c r="B105" s="9"/>
      <c r="C105" s="9"/>
      <c r="D105" s="9" t="s">
        <v>99</v>
      </c>
      <c r="E105" s="49" t="s">
        <v>96</v>
      </c>
      <c r="F105" s="49"/>
      <c r="G105" s="50" t="s">
        <v>893</v>
      </c>
      <c r="H105" s="50" t="s">
        <v>505</v>
      </c>
      <c r="I105" s="9"/>
      <c r="J105" s="9" t="s">
        <v>407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55"/>
      <c r="AA105" s="51"/>
      <c r="AB105" s="149"/>
      <c r="AC105" s="150"/>
    </row>
    <row r="106" spans="1:29" s="11" customFormat="1" x14ac:dyDescent="0.2">
      <c r="A106" s="9">
        <v>20</v>
      </c>
      <c r="B106" s="9"/>
      <c r="C106" s="9"/>
      <c r="D106" s="9" t="s">
        <v>100</v>
      </c>
      <c r="E106" s="49" t="s">
        <v>46</v>
      </c>
      <c r="F106" s="49"/>
      <c r="G106" s="50" t="s">
        <v>894</v>
      </c>
      <c r="H106" s="50" t="s">
        <v>506</v>
      </c>
      <c r="I106" s="9"/>
      <c r="J106" s="9" t="s">
        <v>407</v>
      </c>
      <c r="K106" s="9"/>
      <c r="L106" s="9"/>
      <c r="M106" s="9" t="s">
        <v>407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55"/>
      <c r="AA106" s="51"/>
      <c r="AB106" s="149"/>
      <c r="AC106" s="150"/>
    </row>
    <row r="107" spans="1:29" s="11" customFormat="1" x14ac:dyDescent="0.2">
      <c r="A107" s="9">
        <v>20</v>
      </c>
      <c r="B107" s="9"/>
      <c r="C107" s="9"/>
      <c r="D107" s="9" t="s">
        <v>143</v>
      </c>
      <c r="E107" s="49" t="s">
        <v>307</v>
      </c>
      <c r="F107" s="49"/>
      <c r="G107" s="50" t="s">
        <v>895</v>
      </c>
      <c r="H107" s="50" t="s">
        <v>507</v>
      </c>
      <c r="I107" s="9"/>
      <c r="J107" s="9" t="s">
        <v>407</v>
      </c>
      <c r="K107" s="9"/>
      <c r="L107" s="9"/>
      <c r="M107" s="9" t="s">
        <v>407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35"/>
      <c r="AA107" s="36"/>
      <c r="AB107" s="149"/>
      <c r="AC107" s="150"/>
    </row>
    <row r="108" spans="1:29" s="11" customFormat="1" x14ac:dyDescent="0.2">
      <c r="A108" s="9">
        <v>20</v>
      </c>
      <c r="B108" s="9"/>
      <c r="C108" s="9"/>
      <c r="D108" s="9" t="s">
        <v>144</v>
      </c>
      <c r="E108" s="49" t="s">
        <v>308</v>
      </c>
      <c r="F108" s="49"/>
      <c r="G108" s="50" t="s">
        <v>896</v>
      </c>
      <c r="H108" s="50" t="s">
        <v>508</v>
      </c>
      <c r="I108" s="9"/>
      <c r="J108" s="9" t="s">
        <v>407</v>
      </c>
      <c r="K108" s="9"/>
      <c r="L108" s="9"/>
      <c r="M108" s="9" t="s">
        <v>407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35"/>
      <c r="AA108" s="36"/>
      <c r="AB108" s="149"/>
      <c r="AC108" s="150"/>
    </row>
    <row r="109" spans="1:29" s="11" customFormat="1" x14ac:dyDescent="0.2">
      <c r="A109" s="9">
        <v>20</v>
      </c>
      <c r="B109" s="9"/>
      <c r="C109" s="9"/>
      <c r="D109" s="9" t="s">
        <v>145</v>
      </c>
      <c r="E109" s="49" t="s">
        <v>47</v>
      </c>
      <c r="F109" s="49"/>
      <c r="G109" s="50" t="s">
        <v>897</v>
      </c>
      <c r="H109" s="50" t="s">
        <v>509</v>
      </c>
      <c r="I109" s="9"/>
      <c r="J109" s="9" t="s">
        <v>407</v>
      </c>
      <c r="K109" s="9"/>
      <c r="L109" s="9"/>
      <c r="M109" s="9" t="s">
        <v>407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55"/>
      <c r="AA109" s="51"/>
      <c r="AB109" s="149"/>
      <c r="AC109" s="150"/>
    </row>
    <row r="110" spans="1:29" s="11" customFormat="1" x14ac:dyDescent="0.2">
      <c r="A110" s="80"/>
      <c r="AC110" s="54"/>
    </row>
    <row r="111" spans="1:29" s="11" customFormat="1" x14ac:dyDescent="0.2">
      <c r="A111" s="9">
        <v>30</v>
      </c>
      <c r="B111" s="37" t="s">
        <v>0</v>
      </c>
      <c r="C111" s="38"/>
      <c r="D111" s="28" t="s">
        <v>675</v>
      </c>
      <c r="E111" s="34" t="s">
        <v>50</v>
      </c>
      <c r="F111" s="58"/>
      <c r="G111" s="28"/>
      <c r="H111" s="45"/>
      <c r="I111" s="59"/>
      <c r="J111" s="60"/>
      <c r="K111" s="60"/>
      <c r="L111" s="48"/>
      <c r="M111" s="48"/>
      <c r="N111" s="48"/>
      <c r="O111" s="48" t="s">
        <v>21</v>
      </c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35"/>
      <c r="AA111" s="36"/>
      <c r="AB111" s="73"/>
      <c r="AC111" s="75"/>
    </row>
    <row r="112" spans="1:29" s="11" customFormat="1" x14ac:dyDescent="0.2">
      <c r="A112" s="9">
        <v>30</v>
      </c>
      <c r="B112" s="9"/>
      <c r="C112" s="9"/>
      <c r="D112" s="9" t="s">
        <v>56</v>
      </c>
      <c r="E112" s="49" t="s">
        <v>45</v>
      </c>
      <c r="F112" s="49"/>
      <c r="G112" s="50" t="s">
        <v>898</v>
      </c>
      <c r="H112" s="50" t="s">
        <v>510</v>
      </c>
      <c r="I112" s="9"/>
      <c r="J112" s="9" t="s">
        <v>407</v>
      </c>
      <c r="K112" s="9"/>
      <c r="L112" s="9"/>
      <c r="M112" s="9"/>
      <c r="N112" s="9"/>
      <c r="O112" s="9" t="s">
        <v>407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55"/>
      <c r="AA112" s="51"/>
      <c r="AB112" s="149"/>
      <c r="AC112" s="150"/>
    </row>
    <row r="113" spans="1:29" s="11" customFormat="1" x14ac:dyDescent="0.2">
      <c r="A113" s="9">
        <v>30</v>
      </c>
      <c r="B113" s="9"/>
      <c r="C113" s="9"/>
      <c r="D113" s="9" t="s">
        <v>313</v>
      </c>
      <c r="E113" s="49" t="s">
        <v>86</v>
      </c>
      <c r="F113" s="49"/>
      <c r="G113" s="50" t="s">
        <v>899</v>
      </c>
      <c r="H113" s="50" t="s">
        <v>511</v>
      </c>
      <c r="I113" s="9"/>
      <c r="J113" s="9" t="s">
        <v>407</v>
      </c>
      <c r="K113" s="9"/>
      <c r="L113" s="9"/>
      <c r="M113" s="9"/>
      <c r="N113" s="9"/>
      <c r="O113" s="9" t="s">
        <v>407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55"/>
      <c r="AA113" s="51"/>
      <c r="AB113" s="73"/>
      <c r="AC113" s="74"/>
    </row>
    <row r="114" spans="1:29" s="11" customFormat="1" ht="26" x14ac:dyDescent="0.2">
      <c r="A114" s="9">
        <v>30</v>
      </c>
      <c r="B114" s="9"/>
      <c r="C114" s="9"/>
      <c r="D114" s="9" t="s">
        <v>199</v>
      </c>
      <c r="E114" s="49" t="s">
        <v>203</v>
      </c>
      <c r="F114" s="49"/>
      <c r="G114" s="50" t="s">
        <v>900</v>
      </c>
      <c r="H114" s="50" t="s">
        <v>512</v>
      </c>
      <c r="I114" s="9"/>
      <c r="J114" s="9" t="s">
        <v>407</v>
      </c>
      <c r="K114" s="9"/>
      <c r="L114" s="9"/>
      <c r="M114" s="9"/>
      <c r="N114" s="9"/>
      <c r="O114" s="9" t="s">
        <v>407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55"/>
      <c r="AA114" s="51"/>
      <c r="AB114" s="149"/>
      <c r="AC114" s="150"/>
    </row>
    <row r="115" spans="1:29" s="11" customFormat="1" ht="26" x14ac:dyDescent="0.2">
      <c r="A115" s="9">
        <v>30</v>
      </c>
      <c r="B115" s="9"/>
      <c r="C115" s="9"/>
      <c r="D115" s="9" t="s">
        <v>200</v>
      </c>
      <c r="E115" s="49" t="s">
        <v>204</v>
      </c>
      <c r="F115" s="49"/>
      <c r="G115" s="50" t="s">
        <v>901</v>
      </c>
      <c r="H115" s="50" t="s">
        <v>513</v>
      </c>
      <c r="I115" s="9"/>
      <c r="J115" s="9" t="s">
        <v>407</v>
      </c>
      <c r="K115" s="9"/>
      <c r="L115" s="9"/>
      <c r="M115" s="9"/>
      <c r="N115" s="9"/>
      <c r="O115" s="9" t="s">
        <v>407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55"/>
      <c r="AA115" s="51"/>
      <c r="AB115" s="149"/>
      <c r="AC115" s="150"/>
    </row>
    <row r="116" spans="1:29" s="11" customFormat="1" x14ac:dyDescent="0.2">
      <c r="A116" s="9">
        <v>30</v>
      </c>
      <c r="B116" s="9"/>
      <c r="C116" s="9"/>
      <c r="D116" s="9" t="s">
        <v>125</v>
      </c>
      <c r="E116" s="49" t="s">
        <v>75</v>
      </c>
      <c r="F116" s="49"/>
      <c r="G116" s="50" t="s">
        <v>902</v>
      </c>
      <c r="H116" s="50" t="s">
        <v>514</v>
      </c>
      <c r="I116" s="9"/>
      <c r="J116" s="9" t="s">
        <v>407</v>
      </c>
      <c r="K116" s="9"/>
      <c r="L116" s="9"/>
      <c r="M116" s="9"/>
      <c r="N116" s="9"/>
      <c r="O116" s="9" t="s">
        <v>407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55"/>
      <c r="AA116" s="51"/>
      <c r="AB116" s="149"/>
      <c r="AC116" s="150"/>
    </row>
    <row r="117" spans="1:29" s="11" customFormat="1" x14ac:dyDescent="0.2">
      <c r="A117" s="9">
        <v>30</v>
      </c>
      <c r="B117" s="9"/>
      <c r="C117" s="9"/>
      <c r="D117" s="9" t="s">
        <v>126</v>
      </c>
      <c r="E117" s="49" t="s">
        <v>76</v>
      </c>
      <c r="F117" s="49"/>
      <c r="G117" s="50" t="s">
        <v>903</v>
      </c>
      <c r="H117" s="50" t="s">
        <v>515</v>
      </c>
      <c r="I117" s="9"/>
      <c r="J117" s="9" t="s">
        <v>407</v>
      </c>
      <c r="K117" s="9"/>
      <c r="L117" s="9"/>
      <c r="M117" s="9"/>
      <c r="N117" s="9"/>
      <c r="O117" s="9" t="s">
        <v>407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55"/>
      <c r="AA117" s="51"/>
      <c r="AB117" s="149"/>
      <c r="AC117" s="150"/>
    </row>
    <row r="118" spans="1:29" s="11" customFormat="1" x14ac:dyDescent="0.2">
      <c r="A118" s="9">
        <v>30</v>
      </c>
      <c r="B118" s="9"/>
      <c r="C118" s="9"/>
      <c r="D118" s="9" t="s">
        <v>127</v>
      </c>
      <c r="E118" s="49" t="s">
        <v>77</v>
      </c>
      <c r="F118" s="49"/>
      <c r="G118" s="50" t="s">
        <v>904</v>
      </c>
      <c r="H118" s="50" t="s">
        <v>516</v>
      </c>
      <c r="I118" s="9"/>
      <c r="J118" s="9" t="s">
        <v>407</v>
      </c>
      <c r="K118" s="9"/>
      <c r="L118" s="9"/>
      <c r="M118" s="9"/>
      <c r="N118" s="9"/>
      <c r="O118" s="9" t="s">
        <v>407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55"/>
      <c r="AA118" s="51"/>
      <c r="AB118" s="149"/>
      <c r="AC118" s="150"/>
    </row>
    <row r="119" spans="1:29" s="11" customFormat="1" x14ac:dyDescent="0.2">
      <c r="A119" s="9">
        <v>30</v>
      </c>
      <c r="B119" s="9"/>
      <c r="C119" s="9"/>
      <c r="D119" s="9" t="s">
        <v>128</v>
      </c>
      <c r="E119" s="49" t="s">
        <v>78</v>
      </c>
      <c r="F119" s="49"/>
      <c r="G119" s="50" t="s">
        <v>905</v>
      </c>
      <c r="H119" s="50" t="s">
        <v>517</v>
      </c>
      <c r="I119" s="9"/>
      <c r="J119" s="9" t="s">
        <v>407</v>
      </c>
      <c r="K119" s="9"/>
      <c r="L119" s="9"/>
      <c r="M119" s="9"/>
      <c r="N119" s="9"/>
      <c r="O119" s="9" t="s">
        <v>407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55"/>
      <c r="AA119" s="51"/>
      <c r="AB119" s="149"/>
      <c r="AC119" s="150"/>
    </row>
    <row r="120" spans="1:29" s="11" customFormat="1" x14ac:dyDescent="0.2">
      <c r="A120" s="9">
        <v>30</v>
      </c>
      <c r="B120" s="9"/>
      <c r="C120" s="9"/>
      <c r="D120" s="9" t="s">
        <v>129</v>
      </c>
      <c r="E120" s="49" t="s">
        <v>130</v>
      </c>
      <c r="F120" s="49"/>
      <c r="G120" s="50" t="s">
        <v>906</v>
      </c>
      <c r="H120" s="50" t="s">
        <v>518</v>
      </c>
      <c r="I120" s="9"/>
      <c r="J120" s="9" t="s">
        <v>407</v>
      </c>
      <c r="K120" s="9"/>
      <c r="L120" s="9"/>
      <c r="M120" s="9"/>
      <c r="N120" s="9"/>
      <c r="O120" s="9" t="s">
        <v>407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55"/>
      <c r="AA120" s="51"/>
      <c r="AB120" s="149"/>
      <c r="AC120" s="151"/>
    </row>
    <row r="121" spans="1:29" s="11" customFormat="1" x14ac:dyDescent="0.2">
      <c r="A121" s="9">
        <v>30</v>
      </c>
      <c r="B121" s="9"/>
      <c r="C121" s="9"/>
      <c r="D121" s="9" t="s">
        <v>362</v>
      </c>
      <c r="E121" s="49" t="s">
        <v>366</v>
      </c>
      <c r="F121" s="49"/>
      <c r="G121" s="50" t="s">
        <v>907</v>
      </c>
      <c r="H121" s="50" t="s">
        <v>519</v>
      </c>
      <c r="I121" s="9"/>
      <c r="J121" s="9" t="s">
        <v>407</v>
      </c>
      <c r="K121" s="9" t="s">
        <v>520</v>
      </c>
      <c r="L121" s="9"/>
      <c r="M121" s="9"/>
      <c r="N121" s="9"/>
      <c r="O121" s="9" t="s">
        <v>407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55"/>
      <c r="AA121" s="51"/>
      <c r="AB121" s="73"/>
      <c r="AC121" s="75"/>
    </row>
    <row r="122" spans="1:29" s="11" customFormat="1" x14ac:dyDescent="0.2">
      <c r="A122" s="9">
        <v>30</v>
      </c>
      <c r="B122" s="9"/>
      <c r="C122" s="9"/>
      <c r="D122" s="9" t="s">
        <v>363</v>
      </c>
      <c r="E122" s="49" t="s">
        <v>367</v>
      </c>
      <c r="F122" s="49"/>
      <c r="G122" s="50" t="s">
        <v>908</v>
      </c>
      <c r="H122" s="50" t="s">
        <v>521</v>
      </c>
      <c r="I122" s="9"/>
      <c r="J122" s="9" t="s">
        <v>407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55"/>
      <c r="AA122" s="51"/>
      <c r="AB122" s="73"/>
      <c r="AC122" s="75"/>
    </row>
    <row r="123" spans="1:29" s="11" customFormat="1" x14ac:dyDescent="0.2">
      <c r="A123" s="9">
        <v>30</v>
      </c>
      <c r="B123" s="9"/>
      <c r="C123" s="9"/>
      <c r="D123" s="9" t="s">
        <v>364</v>
      </c>
      <c r="E123" s="49" t="s">
        <v>368</v>
      </c>
      <c r="F123" s="49"/>
      <c r="G123" s="50" t="s">
        <v>909</v>
      </c>
      <c r="H123" s="50" t="s">
        <v>522</v>
      </c>
      <c r="I123" s="9"/>
      <c r="J123" s="9" t="s">
        <v>407</v>
      </c>
      <c r="K123" s="9"/>
      <c r="L123" s="9"/>
      <c r="M123" s="9"/>
      <c r="N123" s="9"/>
      <c r="O123" s="9" t="s">
        <v>407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55"/>
      <c r="AA123" s="51"/>
      <c r="AB123" s="73"/>
      <c r="AC123" s="75"/>
    </row>
    <row r="124" spans="1:29" s="11" customFormat="1" x14ac:dyDescent="0.2">
      <c r="A124" s="9">
        <v>30</v>
      </c>
      <c r="B124" s="9"/>
      <c r="C124" s="9"/>
      <c r="D124" s="9" t="s">
        <v>365</v>
      </c>
      <c r="E124" s="49" t="s">
        <v>369</v>
      </c>
      <c r="F124" s="49"/>
      <c r="G124" s="50" t="s">
        <v>910</v>
      </c>
      <c r="H124" s="50" t="s">
        <v>523</v>
      </c>
      <c r="I124" s="9"/>
      <c r="J124" s="9" t="s">
        <v>407</v>
      </c>
      <c r="K124" s="9"/>
      <c r="L124" s="9"/>
      <c r="M124" s="9"/>
      <c r="N124" s="9"/>
      <c r="O124" s="9" t="s">
        <v>407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55"/>
      <c r="AA124" s="51"/>
      <c r="AB124" s="73"/>
      <c r="AC124" s="75"/>
    </row>
    <row r="125" spans="1:29" s="11" customFormat="1" x14ac:dyDescent="0.2">
      <c r="A125" s="9">
        <v>30</v>
      </c>
      <c r="B125" s="9"/>
      <c r="C125" s="9"/>
      <c r="D125" s="9" t="s">
        <v>378</v>
      </c>
      <c r="E125" s="49" t="s">
        <v>383</v>
      </c>
      <c r="F125" s="49"/>
      <c r="G125" s="50" t="s">
        <v>911</v>
      </c>
      <c r="H125" s="50" t="s">
        <v>524</v>
      </c>
      <c r="I125" s="9"/>
      <c r="J125" s="9" t="s">
        <v>407</v>
      </c>
      <c r="K125" s="9"/>
      <c r="L125" s="9"/>
      <c r="M125" s="9"/>
      <c r="N125" s="9"/>
      <c r="O125" s="9" t="s">
        <v>407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55"/>
      <c r="AA125" s="51"/>
      <c r="AB125" s="73"/>
      <c r="AC125" s="75"/>
    </row>
    <row r="126" spans="1:29" s="11" customFormat="1" x14ac:dyDescent="0.2">
      <c r="A126" s="9">
        <v>30</v>
      </c>
      <c r="B126" s="9"/>
      <c r="C126" s="9"/>
      <c r="D126" s="9" t="s">
        <v>379</v>
      </c>
      <c r="E126" s="49" t="s">
        <v>384</v>
      </c>
      <c r="F126" s="49"/>
      <c r="G126" s="50" t="s">
        <v>912</v>
      </c>
      <c r="H126" s="50" t="s">
        <v>525</v>
      </c>
      <c r="I126" s="9"/>
      <c r="J126" s="9" t="s">
        <v>407</v>
      </c>
      <c r="K126" s="9"/>
      <c r="L126" s="9"/>
      <c r="M126" s="9"/>
      <c r="N126" s="9"/>
      <c r="O126" s="9" t="s">
        <v>407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55"/>
      <c r="AA126" s="51"/>
      <c r="AB126" s="73"/>
      <c r="AC126" s="75"/>
    </row>
    <row r="127" spans="1:29" s="11" customFormat="1" x14ac:dyDescent="0.2">
      <c r="A127" s="9">
        <v>30</v>
      </c>
      <c r="B127" s="9"/>
      <c r="C127" s="9"/>
      <c r="D127" s="9" t="s">
        <v>380</v>
      </c>
      <c r="E127" s="49" t="s">
        <v>384</v>
      </c>
      <c r="F127" s="49"/>
      <c r="G127" s="50" t="s">
        <v>913</v>
      </c>
      <c r="H127" s="50" t="s">
        <v>526</v>
      </c>
      <c r="I127" s="9"/>
      <c r="J127" s="9" t="s">
        <v>407</v>
      </c>
      <c r="K127" s="9"/>
      <c r="L127" s="9"/>
      <c r="M127" s="9"/>
      <c r="N127" s="9"/>
      <c r="O127" s="9" t="s">
        <v>407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55"/>
      <c r="AA127" s="51"/>
      <c r="AB127" s="73"/>
      <c r="AC127" s="75"/>
    </row>
    <row r="128" spans="1:29" s="11" customFormat="1" x14ac:dyDescent="0.2">
      <c r="A128" s="9">
        <v>30</v>
      </c>
      <c r="B128" s="9"/>
      <c r="C128" s="9"/>
      <c r="D128" s="9" t="s">
        <v>381</v>
      </c>
      <c r="E128" s="49" t="s">
        <v>384</v>
      </c>
      <c r="F128" s="49"/>
      <c r="G128" s="50" t="s">
        <v>914</v>
      </c>
      <c r="H128" s="50" t="s">
        <v>527</v>
      </c>
      <c r="I128" s="9"/>
      <c r="J128" s="9" t="s">
        <v>407</v>
      </c>
      <c r="K128" s="9"/>
      <c r="L128" s="9"/>
      <c r="M128" s="9"/>
      <c r="N128" s="9"/>
      <c r="O128" s="9" t="s">
        <v>407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55"/>
      <c r="AA128" s="51"/>
      <c r="AB128" s="73"/>
      <c r="AC128" s="75"/>
    </row>
    <row r="129" spans="1:29" s="11" customFormat="1" x14ac:dyDescent="0.2">
      <c r="A129" s="9">
        <v>30</v>
      </c>
      <c r="B129" s="9"/>
      <c r="C129" s="9"/>
      <c r="D129" s="9" t="s">
        <v>382</v>
      </c>
      <c r="E129" s="49" t="s">
        <v>384</v>
      </c>
      <c r="F129" s="49"/>
      <c r="G129" s="50" t="s">
        <v>915</v>
      </c>
      <c r="H129" s="50" t="s">
        <v>528</v>
      </c>
      <c r="I129" s="9"/>
      <c r="J129" s="9" t="s">
        <v>407</v>
      </c>
      <c r="K129" s="9"/>
      <c r="L129" s="9"/>
      <c r="M129" s="9"/>
      <c r="N129" s="9"/>
      <c r="O129" s="9" t="s">
        <v>407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55"/>
      <c r="AA129" s="51"/>
      <c r="AB129" s="73"/>
      <c r="AC129" s="75"/>
    </row>
    <row r="130" spans="1:29" s="11" customFormat="1" x14ac:dyDescent="0.2">
      <c r="A130" s="9">
        <v>30</v>
      </c>
      <c r="B130" s="9"/>
      <c r="C130" s="9"/>
      <c r="D130" s="9" t="s">
        <v>385</v>
      </c>
      <c r="E130" s="49" t="s">
        <v>387</v>
      </c>
      <c r="F130" s="49"/>
      <c r="G130" s="50" t="s">
        <v>916</v>
      </c>
      <c r="H130" s="50" t="s">
        <v>529</v>
      </c>
      <c r="I130" s="9"/>
      <c r="J130" s="9" t="s">
        <v>407</v>
      </c>
      <c r="K130" s="9"/>
      <c r="L130" s="9"/>
      <c r="M130" s="9"/>
      <c r="N130" s="9"/>
      <c r="O130" s="9" t="s">
        <v>407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55"/>
      <c r="AA130" s="51"/>
      <c r="AB130" s="73"/>
      <c r="AC130" s="75"/>
    </row>
    <row r="131" spans="1:29" s="11" customFormat="1" x14ac:dyDescent="0.2">
      <c r="A131" s="9">
        <v>30</v>
      </c>
      <c r="B131" s="9"/>
      <c r="C131" s="9"/>
      <c r="D131" s="9" t="s">
        <v>386</v>
      </c>
      <c r="E131" s="49" t="s">
        <v>388</v>
      </c>
      <c r="F131" s="49"/>
      <c r="G131" s="50" t="s">
        <v>917</v>
      </c>
      <c r="H131" s="50" t="s">
        <v>530</v>
      </c>
      <c r="I131" s="9"/>
      <c r="J131" s="9" t="s">
        <v>407</v>
      </c>
      <c r="K131" s="9"/>
      <c r="L131" s="9"/>
      <c r="M131" s="9"/>
      <c r="N131" s="9"/>
      <c r="O131" s="9" t="s">
        <v>407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55"/>
      <c r="AA131" s="51"/>
      <c r="AB131" s="73"/>
      <c r="AC131" s="75"/>
    </row>
    <row r="132" spans="1:29" s="11" customFormat="1" x14ac:dyDescent="0.2">
      <c r="A132" s="9">
        <v>30</v>
      </c>
      <c r="B132" s="9"/>
      <c r="C132" s="9"/>
      <c r="D132" s="9" t="s">
        <v>201</v>
      </c>
      <c r="E132" s="49" t="s">
        <v>86</v>
      </c>
      <c r="F132" s="49"/>
      <c r="G132" s="50" t="s">
        <v>918</v>
      </c>
      <c r="H132" s="50" t="s">
        <v>531</v>
      </c>
      <c r="I132" s="9"/>
      <c r="J132" s="9" t="s">
        <v>407</v>
      </c>
      <c r="K132" s="9"/>
      <c r="L132" s="9"/>
      <c r="M132" s="9"/>
      <c r="N132" s="9"/>
      <c r="O132" s="9" t="s">
        <v>407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55"/>
      <c r="AA132" s="51"/>
      <c r="AB132" s="149"/>
      <c r="AC132" s="150"/>
    </row>
    <row r="133" spans="1:29" s="11" customFormat="1" x14ac:dyDescent="0.2">
      <c r="A133" s="9">
        <v>30</v>
      </c>
      <c r="B133" s="9"/>
      <c r="C133" s="9"/>
      <c r="D133" s="9" t="s">
        <v>202</v>
      </c>
      <c r="E133" s="49" t="s">
        <v>87</v>
      </c>
      <c r="F133" s="49"/>
      <c r="G133" s="50" t="s">
        <v>919</v>
      </c>
      <c r="H133" s="50" t="s">
        <v>532</v>
      </c>
      <c r="I133" s="9"/>
      <c r="J133" s="9" t="s">
        <v>407</v>
      </c>
      <c r="K133" s="9"/>
      <c r="L133" s="9"/>
      <c r="M133" s="9"/>
      <c r="N133" s="9"/>
      <c r="O133" s="9" t="s">
        <v>407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55"/>
      <c r="AA133" s="51"/>
      <c r="AB133" s="149"/>
      <c r="AC133" s="151"/>
    </row>
    <row r="134" spans="1:29" s="11" customFormat="1" x14ac:dyDescent="0.2">
      <c r="A134" s="9">
        <v>30</v>
      </c>
      <c r="B134" s="9"/>
      <c r="C134" s="9"/>
      <c r="D134" s="9" t="s">
        <v>79</v>
      </c>
      <c r="E134" s="49" t="s">
        <v>74</v>
      </c>
      <c r="F134" s="49"/>
      <c r="G134" s="50" t="s">
        <v>920</v>
      </c>
      <c r="H134" s="50" t="s">
        <v>533</v>
      </c>
      <c r="I134" s="9"/>
      <c r="J134" s="9" t="s">
        <v>407</v>
      </c>
      <c r="K134" s="9"/>
      <c r="L134" s="9"/>
      <c r="M134" s="9"/>
      <c r="N134" s="9"/>
      <c r="O134" s="9" t="s">
        <v>407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55"/>
      <c r="AA134" s="51"/>
      <c r="AB134" s="73"/>
      <c r="AC134" s="74"/>
    </row>
    <row r="135" spans="1:29" s="11" customFormat="1" x14ac:dyDescent="0.2">
      <c r="A135" s="9">
        <v>30</v>
      </c>
      <c r="B135" s="9"/>
      <c r="C135" s="9"/>
      <c r="D135" s="9" t="s">
        <v>80</v>
      </c>
      <c r="E135" s="49" t="s">
        <v>74</v>
      </c>
      <c r="F135" s="49"/>
      <c r="G135" s="50" t="s">
        <v>921</v>
      </c>
      <c r="H135" s="50" t="s">
        <v>534</v>
      </c>
      <c r="I135" s="9"/>
      <c r="J135" s="9" t="s">
        <v>407</v>
      </c>
      <c r="K135" s="9"/>
      <c r="L135" s="9"/>
      <c r="M135" s="9"/>
      <c r="N135" s="9"/>
      <c r="O135" s="9" t="s">
        <v>407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55"/>
      <c r="AA135" s="51"/>
      <c r="AB135" s="73"/>
      <c r="AC135" s="74"/>
    </row>
    <row r="136" spans="1:29" s="11" customFormat="1" x14ac:dyDescent="0.2">
      <c r="A136" s="9">
        <v>30</v>
      </c>
      <c r="B136" s="9"/>
      <c r="C136" s="9"/>
      <c r="D136" s="9" t="s">
        <v>217</v>
      </c>
      <c r="E136" s="49" t="s">
        <v>239</v>
      </c>
      <c r="F136" s="49"/>
      <c r="G136" s="50" t="s">
        <v>922</v>
      </c>
      <c r="H136" s="50" t="s">
        <v>535</v>
      </c>
      <c r="I136" s="9"/>
      <c r="J136" s="9" t="s">
        <v>407</v>
      </c>
      <c r="K136" s="9" t="s">
        <v>536</v>
      </c>
      <c r="L136" s="9"/>
      <c r="M136" s="9"/>
      <c r="N136" s="9"/>
      <c r="O136" s="9" t="s">
        <v>407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55"/>
      <c r="AA136" s="51"/>
      <c r="AB136" s="73"/>
      <c r="AC136" s="74"/>
    </row>
    <row r="137" spans="1:29" s="11" customFormat="1" ht="26" x14ac:dyDescent="0.2">
      <c r="A137" s="9">
        <v>30</v>
      </c>
      <c r="B137" s="9"/>
      <c r="C137" s="9"/>
      <c r="D137" s="9" t="str">
        <f>D136&amp;"_nm"</f>
        <v>purc_id_typ_nm</v>
      </c>
      <c r="E137" s="49" t="str">
        <f>E136&amp;"_NM"</f>
        <v>#MA.PURC_ID_TYP_NM</v>
      </c>
      <c r="F137" s="49"/>
      <c r="G137" s="50" t="s">
        <v>923</v>
      </c>
      <c r="H137" s="50" t="s">
        <v>537</v>
      </c>
      <c r="I137" s="9"/>
      <c r="J137" s="9" t="s">
        <v>407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55"/>
      <c r="AA137" s="51"/>
      <c r="AB137" s="73"/>
      <c r="AC137" s="74"/>
    </row>
    <row r="138" spans="1:29" s="11" customFormat="1" x14ac:dyDescent="0.2">
      <c r="A138" s="9">
        <v>30</v>
      </c>
      <c r="B138" s="9"/>
      <c r="C138" s="9"/>
      <c r="D138" s="9" t="s">
        <v>218</v>
      </c>
      <c r="E138" s="49" t="s">
        <v>205</v>
      </c>
      <c r="F138" s="49"/>
      <c r="G138" s="50" t="s">
        <v>924</v>
      </c>
      <c r="H138" s="50" t="s">
        <v>538</v>
      </c>
      <c r="I138" s="9"/>
      <c r="J138" s="9" t="s">
        <v>407</v>
      </c>
      <c r="K138" s="9"/>
      <c r="L138" s="9"/>
      <c r="M138" s="9"/>
      <c r="N138" s="9"/>
      <c r="O138" s="9" t="s">
        <v>407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55"/>
      <c r="AA138" s="51"/>
      <c r="AB138" s="149"/>
      <c r="AC138" s="150"/>
    </row>
    <row r="139" spans="1:29" s="11" customFormat="1" ht="26" x14ac:dyDescent="0.2">
      <c r="A139" s="9">
        <v>30</v>
      </c>
      <c r="B139" s="9"/>
      <c r="C139" s="9"/>
      <c r="D139" s="9" t="s">
        <v>219</v>
      </c>
      <c r="E139" s="49" t="s">
        <v>206</v>
      </c>
      <c r="F139" s="49"/>
      <c r="G139" s="50" t="s">
        <v>925</v>
      </c>
      <c r="H139" s="50" t="s">
        <v>690</v>
      </c>
      <c r="I139" s="9"/>
      <c r="J139" s="9" t="s">
        <v>407</v>
      </c>
      <c r="K139" s="9"/>
      <c r="L139" s="9"/>
      <c r="M139" s="9"/>
      <c r="N139" s="9"/>
      <c r="O139" s="9" t="s">
        <v>407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55"/>
      <c r="AA139" s="51"/>
      <c r="AB139" s="149"/>
      <c r="AC139" s="150"/>
    </row>
    <row r="140" spans="1:29" s="11" customFormat="1" x14ac:dyDescent="0.2">
      <c r="A140" s="9">
        <v>30</v>
      </c>
      <c r="B140" s="9"/>
      <c r="C140" s="9"/>
      <c r="D140" s="9" t="s">
        <v>220</v>
      </c>
      <c r="E140" s="49" t="s">
        <v>205</v>
      </c>
      <c r="F140" s="49"/>
      <c r="G140" s="50" t="s">
        <v>926</v>
      </c>
      <c r="H140" s="50" t="s">
        <v>539</v>
      </c>
      <c r="I140" s="9"/>
      <c r="J140" s="9" t="s">
        <v>407</v>
      </c>
      <c r="K140" s="9"/>
      <c r="L140" s="9"/>
      <c r="M140" s="9"/>
      <c r="N140" s="9"/>
      <c r="O140" s="9" t="s">
        <v>407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55"/>
      <c r="AA140" s="51"/>
      <c r="AB140" s="73"/>
      <c r="AC140" s="74"/>
    </row>
    <row r="141" spans="1:29" s="11" customFormat="1" x14ac:dyDescent="0.2">
      <c r="A141" s="9">
        <v>30</v>
      </c>
      <c r="B141" s="9"/>
      <c r="C141" s="9"/>
      <c r="D141" s="9" t="s">
        <v>724</v>
      </c>
      <c r="E141" s="49" t="s">
        <v>725</v>
      </c>
      <c r="F141" s="49"/>
      <c r="G141" s="50" t="s">
        <v>837</v>
      </c>
      <c r="H141" s="50" t="s">
        <v>726</v>
      </c>
      <c r="I141" s="9"/>
      <c r="J141" s="9" t="s">
        <v>407</v>
      </c>
      <c r="K141" s="9" t="s">
        <v>727</v>
      </c>
      <c r="L141" s="9"/>
      <c r="M141" s="9"/>
      <c r="N141" s="9"/>
      <c r="O141" s="9" t="s">
        <v>407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55"/>
      <c r="AA141" s="51"/>
      <c r="AB141" s="149"/>
      <c r="AC141" s="150"/>
    </row>
    <row r="142" spans="1:29" s="11" customFormat="1" x14ac:dyDescent="0.2">
      <c r="A142" s="9">
        <v>30</v>
      </c>
      <c r="B142" s="9"/>
      <c r="C142" s="9"/>
      <c r="D142" s="9" t="str">
        <f>D141&amp;"_nm"</f>
        <v>purc_basis_typ_nm</v>
      </c>
      <c r="E142" s="49" t="str">
        <f>E141&amp;"_NM"</f>
        <v>#MA.PURC_BASIS_TYP_NM</v>
      </c>
      <c r="F142" s="49"/>
      <c r="G142" s="50" t="s">
        <v>876</v>
      </c>
      <c r="H142" s="50" t="s">
        <v>730</v>
      </c>
      <c r="I142" s="9"/>
      <c r="J142" s="9" t="s">
        <v>407</v>
      </c>
      <c r="K142" s="9"/>
      <c r="L142" s="9"/>
      <c r="M142" s="9"/>
      <c r="N142" s="9"/>
      <c r="O142" s="9" t="s">
        <v>407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55"/>
      <c r="AA142" s="51"/>
      <c r="AB142" s="73"/>
      <c r="AC142" s="74"/>
    </row>
    <row r="143" spans="1:29" s="11" customFormat="1" x14ac:dyDescent="0.2">
      <c r="A143" s="9">
        <v>30</v>
      </c>
      <c r="B143" s="9"/>
      <c r="C143" s="9"/>
      <c r="D143" s="9" t="s">
        <v>221</v>
      </c>
      <c r="E143" s="49" t="s">
        <v>205</v>
      </c>
      <c r="F143" s="49"/>
      <c r="G143" s="50" t="s">
        <v>927</v>
      </c>
      <c r="H143" s="50" t="s">
        <v>540</v>
      </c>
      <c r="I143" s="9"/>
      <c r="J143" s="9" t="s">
        <v>407</v>
      </c>
      <c r="K143" s="9"/>
      <c r="L143" s="9"/>
      <c r="M143" s="9"/>
      <c r="N143" s="9"/>
      <c r="O143" s="9" t="s">
        <v>407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55"/>
      <c r="AA143" s="51"/>
      <c r="AB143" s="73"/>
      <c r="AC143" s="74"/>
    </row>
    <row r="144" spans="1:29" s="11" customFormat="1" ht="26" x14ac:dyDescent="0.2">
      <c r="A144" s="9">
        <v>30</v>
      </c>
      <c r="B144" s="9"/>
      <c r="C144" s="9"/>
      <c r="D144" s="9" t="s">
        <v>222</v>
      </c>
      <c r="E144" s="49" t="s">
        <v>207</v>
      </c>
      <c r="F144" s="49"/>
      <c r="G144" s="50" t="s">
        <v>928</v>
      </c>
      <c r="H144" s="50" t="s">
        <v>541</v>
      </c>
      <c r="I144" s="9"/>
      <c r="J144" s="9" t="s">
        <v>407</v>
      </c>
      <c r="K144" s="9"/>
      <c r="L144" s="9"/>
      <c r="M144" s="9"/>
      <c r="N144" s="9"/>
      <c r="O144" s="9" t="s">
        <v>407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55"/>
      <c r="AA144" s="51"/>
      <c r="AB144" s="73"/>
      <c r="AC144" s="74"/>
    </row>
    <row r="145" spans="1:29" s="11" customFormat="1" ht="26" x14ac:dyDescent="0.2">
      <c r="A145" s="9">
        <v>30</v>
      </c>
      <c r="B145" s="9"/>
      <c r="C145" s="9"/>
      <c r="D145" s="9" t="s">
        <v>223</v>
      </c>
      <c r="E145" s="49" t="s">
        <v>240</v>
      </c>
      <c r="F145" s="49"/>
      <c r="G145" s="50" t="s">
        <v>929</v>
      </c>
      <c r="H145" s="50" t="s">
        <v>542</v>
      </c>
      <c r="I145" s="9"/>
      <c r="J145" s="9" t="s">
        <v>407</v>
      </c>
      <c r="K145" s="9" t="s">
        <v>543</v>
      </c>
      <c r="L145" s="9"/>
      <c r="M145" s="9"/>
      <c r="N145" s="9"/>
      <c r="O145" s="9" t="s">
        <v>407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55"/>
      <c r="AA145" s="51"/>
      <c r="AB145" s="73"/>
      <c r="AC145" s="74"/>
    </row>
    <row r="146" spans="1:29" s="11" customFormat="1" ht="26" x14ac:dyDescent="0.2">
      <c r="A146" s="9">
        <v>30</v>
      </c>
      <c r="B146" s="9"/>
      <c r="C146" s="9"/>
      <c r="D146" s="9" t="str">
        <f>D145&amp;"_nm"</f>
        <v>sz_day_week_typ_nm</v>
      </c>
      <c r="E146" s="49" t="str">
        <f>E145&amp;"_NM"</f>
        <v>#MA.DAY_WEEK_TYP_NM</v>
      </c>
      <c r="F146" s="49"/>
      <c r="G146" s="50" t="s">
        <v>930</v>
      </c>
      <c r="H146" s="50" t="s">
        <v>544</v>
      </c>
      <c r="I146" s="9"/>
      <c r="J146" s="9" t="s">
        <v>407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55"/>
      <c r="AA146" s="51"/>
      <c r="AB146" s="73"/>
      <c r="AC146" s="74"/>
    </row>
    <row r="147" spans="1:29" s="11" customFormat="1" ht="26" x14ac:dyDescent="0.2">
      <c r="A147" s="9">
        <v>30</v>
      </c>
      <c r="B147" s="9"/>
      <c r="C147" s="9"/>
      <c r="D147" s="9" t="s">
        <v>224</v>
      </c>
      <c r="E147" s="49" t="s">
        <v>208</v>
      </c>
      <c r="F147" s="49"/>
      <c r="G147" s="50" t="s">
        <v>931</v>
      </c>
      <c r="H147" s="50" t="s">
        <v>545</v>
      </c>
      <c r="I147" s="9"/>
      <c r="J147" s="9" t="s">
        <v>407</v>
      </c>
      <c r="K147" s="9"/>
      <c r="L147" s="9"/>
      <c r="M147" s="9"/>
      <c r="N147" s="9"/>
      <c r="O147" s="9" t="s">
        <v>407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55"/>
      <c r="AA147" s="51"/>
      <c r="AB147" s="73"/>
      <c r="AC147" s="74"/>
    </row>
    <row r="148" spans="1:29" s="11" customFormat="1" ht="26" x14ac:dyDescent="0.2">
      <c r="A148" s="9">
        <v>30</v>
      </c>
      <c r="B148" s="9"/>
      <c r="C148" s="9"/>
      <c r="D148" s="9" t="s">
        <v>225</v>
      </c>
      <c r="E148" s="49" t="s">
        <v>209</v>
      </c>
      <c r="F148" s="49"/>
      <c r="G148" s="50" t="s">
        <v>932</v>
      </c>
      <c r="H148" s="50" t="s">
        <v>546</v>
      </c>
      <c r="I148" s="9"/>
      <c r="J148" s="9" t="s">
        <v>407</v>
      </c>
      <c r="K148" s="9"/>
      <c r="L148" s="9"/>
      <c r="M148" s="9"/>
      <c r="N148" s="9"/>
      <c r="O148" s="9" t="s">
        <v>407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55"/>
      <c r="AA148" s="51"/>
      <c r="AB148" s="73"/>
      <c r="AC148" s="74"/>
    </row>
    <row r="149" spans="1:29" s="11" customFormat="1" x14ac:dyDescent="0.2">
      <c r="A149" s="9">
        <v>30</v>
      </c>
      <c r="B149" s="9"/>
      <c r="C149" s="9"/>
      <c r="D149" s="9" t="s">
        <v>226</v>
      </c>
      <c r="E149" s="49" t="s">
        <v>206</v>
      </c>
      <c r="F149" s="49"/>
      <c r="G149" s="50" t="s">
        <v>933</v>
      </c>
      <c r="H149" s="50" t="s">
        <v>547</v>
      </c>
      <c r="I149" s="9"/>
      <c r="J149" s="9" t="s">
        <v>407</v>
      </c>
      <c r="K149" s="9"/>
      <c r="L149" s="9"/>
      <c r="M149" s="9"/>
      <c r="N149" s="9"/>
      <c r="O149" s="9" t="s">
        <v>407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55"/>
      <c r="AA149" s="51"/>
      <c r="AB149" s="73"/>
      <c r="AC149" s="74"/>
    </row>
    <row r="150" spans="1:29" s="11" customFormat="1" x14ac:dyDescent="0.2">
      <c r="A150" s="9">
        <v>30</v>
      </c>
      <c r="B150" s="9"/>
      <c r="C150" s="9"/>
      <c r="D150" s="9" t="s">
        <v>227</v>
      </c>
      <c r="E150" s="49" t="s">
        <v>206</v>
      </c>
      <c r="F150" s="49"/>
      <c r="G150" s="50" t="s">
        <v>934</v>
      </c>
      <c r="H150" s="50" t="s">
        <v>548</v>
      </c>
      <c r="I150" s="9"/>
      <c r="J150" s="9" t="s">
        <v>407</v>
      </c>
      <c r="K150" s="9"/>
      <c r="L150" s="9"/>
      <c r="M150" s="9"/>
      <c r="N150" s="9"/>
      <c r="O150" s="9" t="s">
        <v>407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55"/>
      <c r="AA150" s="51"/>
      <c r="AB150" s="73"/>
      <c r="AC150" s="74"/>
    </row>
    <row r="151" spans="1:29" s="11" customFormat="1" x14ac:dyDescent="0.2">
      <c r="A151" s="9">
        <v>30</v>
      </c>
      <c r="B151" s="9"/>
      <c r="C151" s="9"/>
      <c r="D151" s="9" t="s">
        <v>228</v>
      </c>
      <c r="E151" s="49" t="s">
        <v>206</v>
      </c>
      <c r="F151" s="49"/>
      <c r="G151" s="50" t="s">
        <v>935</v>
      </c>
      <c r="H151" s="50" t="s">
        <v>549</v>
      </c>
      <c r="I151" s="9"/>
      <c r="J151" s="9" t="s">
        <v>407</v>
      </c>
      <c r="K151" s="9"/>
      <c r="L151" s="9"/>
      <c r="M151" s="9"/>
      <c r="N151" s="9"/>
      <c r="O151" s="9" t="s">
        <v>407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55"/>
      <c r="AA151" s="51"/>
      <c r="AB151" s="73"/>
      <c r="AC151" s="74"/>
    </row>
    <row r="152" spans="1:29" s="11" customFormat="1" x14ac:dyDescent="0.2">
      <c r="A152" s="9">
        <v>30</v>
      </c>
      <c r="B152" s="9"/>
      <c r="C152" s="9"/>
      <c r="D152" s="9" t="s">
        <v>229</v>
      </c>
      <c r="E152" s="49" t="s">
        <v>210</v>
      </c>
      <c r="F152" s="49"/>
      <c r="G152" s="50" t="s">
        <v>936</v>
      </c>
      <c r="H152" s="50" t="s">
        <v>550</v>
      </c>
      <c r="I152" s="9"/>
      <c r="J152" s="9" t="s">
        <v>407</v>
      </c>
      <c r="K152" s="9"/>
      <c r="L152" s="9"/>
      <c r="M152" s="9"/>
      <c r="N152" s="9"/>
      <c r="O152" s="9" t="s">
        <v>407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55"/>
      <c r="AA152" s="51"/>
      <c r="AB152" s="73"/>
      <c r="AC152" s="74"/>
    </row>
    <row r="153" spans="1:29" s="11" customFormat="1" x14ac:dyDescent="0.2">
      <c r="A153" s="9">
        <v>30</v>
      </c>
      <c r="B153" s="9"/>
      <c r="C153" s="9"/>
      <c r="D153" s="9" t="s">
        <v>230</v>
      </c>
      <c r="E153" s="49" t="s">
        <v>210</v>
      </c>
      <c r="F153" s="49"/>
      <c r="G153" s="50" t="s">
        <v>937</v>
      </c>
      <c r="H153" s="50" t="s">
        <v>551</v>
      </c>
      <c r="I153" s="9"/>
      <c r="J153" s="9" t="s">
        <v>407</v>
      </c>
      <c r="K153" s="9"/>
      <c r="L153" s="9"/>
      <c r="M153" s="9"/>
      <c r="N153" s="9"/>
      <c r="O153" s="9" t="s">
        <v>407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55"/>
      <c r="AA153" s="51"/>
      <c r="AB153" s="73"/>
      <c r="AC153" s="74"/>
    </row>
    <row r="154" spans="1:29" s="11" customFormat="1" x14ac:dyDescent="0.2">
      <c r="A154" s="9">
        <v>30</v>
      </c>
      <c r="B154" s="9"/>
      <c r="C154" s="9"/>
      <c r="D154" s="9" t="s">
        <v>231</v>
      </c>
      <c r="E154" s="49" t="s">
        <v>211</v>
      </c>
      <c r="F154" s="49"/>
      <c r="G154" s="50" t="s">
        <v>938</v>
      </c>
      <c r="H154" s="50" t="s">
        <v>552</v>
      </c>
      <c r="I154" s="9"/>
      <c r="J154" s="9" t="s">
        <v>407</v>
      </c>
      <c r="K154" s="9"/>
      <c r="L154" s="9"/>
      <c r="M154" s="9"/>
      <c r="N154" s="9"/>
      <c r="O154" s="9" t="s">
        <v>407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55"/>
      <c r="AA154" s="51"/>
      <c r="AB154" s="73"/>
      <c r="AC154" s="74"/>
    </row>
    <row r="155" spans="1:29" s="11" customFormat="1" x14ac:dyDescent="0.2">
      <c r="A155" s="9">
        <v>30</v>
      </c>
      <c r="B155" s="9"/>
      <c r="C155" s="9"/>
      <c r="D155" s="9" t="s">
        <v>232</v>
      </c>
      <c r="E155" s="49" t="s">
        <v>44</v>
      </c>
      <c r="F155" s="49"/>
      <c r="G155" s="50" t="s">
        <v>939</v>
      </c>
      <c r="H155" s="50" t="s">
        <v>553</v>
      </c>
      <c r="I155" s="9"/>
      <c r="J155" s="9" t="s">
        <v>407</v>
      </c>
      <c r="K155" s="9"/>
      <c r="L155" s="9"/>
      <c r="M155" s="9"/>
      <c r="N155" s="9"/>
      <c r="O155" s="9" t="s">
        <v>407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55"/>
      <c r="AA155" s="51"/>
      <c r="AB155" s="73"/>
      <c r="AC155" s="74"/>
    </row>
    <row r="156" spans="1:29" s="11" customFormat="1" ht="26" x14ac:dyDescent="0.2">
      <c r="A156" s="9">
        <v>30</v>
      </c>
      <c r="B156" s="9"/>
      <c r="C156" s="9"/>
      <c r="D156" s="9" t="s">
        <v>311</v>
      </c>
      <c r="E156" s="49" t="s">
        <v>203</v>
      </c>
      <c r="F156" s="49"/>
      <c r="G156" s="50" t="s">
        <v>940</v>
      </c>
      <c r="H156" s="50" t="s">
        <v>554</v>
      </c>
      <c r="I156" s="9"/>
      <c r="J156" s="9" t="s">
        <v>407</v>
      </c>
      <c r="K156" s="9"/>
      <c r="L156" s="9"/>
      <c r="M156" s="9"/>
      <c r="N156" s="9"/>
      <c r="O156" s="9" t="s">
        <v>407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55"/>
      <c r="AA156" s="51"/>
      <c r="AB156" s="73"/>
      <c r="AC156" s="74"/>
    </row>
    <row r="157" spans="1:29" s="11" customFormat="1" ht="26" x14ac:dyDescent="0.2">
      <c r="A157" s="9">
        <v>30</v>
      </c>
      <c r="B157" s="9"/>
      <c r="C157" s="9"/>
      <c r="D157" s="9" t="s">
        <v>312</v>
      </c>
      <c r="E157" s="49" t="s">
        <v>204</v>
      </c>
      <c r="F157" s="49"/>
      <c r="G157" s="50" t="s">
        <v>941</v>
      </c>
      <c r="H157" s="50" t="s">
        <v>555</v>
      </c>
      <c r="I157" s="9"/>
      <c r="J157" s="9" t="s">
        <v>407</v>
      </c>
      <c r="K157" s="9"/>
      <c r="L157" s="9"/>
      <c r="M157" s="9"/>
      <c r="N157" s="9"/>
      <c r="O157" s="9" t="s">
        <v>407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55"/>
      <c r="AA157" s="51"/>
      <c r="AB157" s="73"/>
      <c r="AC157" s="74"/>
    </row>
    <row r="158" spans="1:29" s="11" customFormat="1" x14ac:dyDescent="0.2">
      <c r="A158" s="9">
        <v>30</v>
      </c>
      <c r="B158" s="9"/>
      <c r="C158" s="9"/>
      <c r="D158" s="9" t="s">
        <v>696</v>
      </c>
      <c r="E158" s="49" t="s">
        <v>44</v>
      </c>
      <c r="F158" s="49"/>
      <c r="G158" s="50" t="s">
        <v>942</v>
      </c>
      <c r="H158" s="50" t="s">
        <v>723</v>
      </c>
      <c r="I158" s="9"/>
      <c r="J158" s="9" t="s">
        <v>407</v>
      </c>
      <c r="K158" s="9"/>
      <c r="L158" s="9"/>
      <c r="M158" s="9"/>
      <c r="N158" s="9"/>
      <c r="O158" s="9" t="s">
        <v>407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55"/>
      <c r="AA158" s="51"/>
      <c r="AB158" s="73"/>
      <c r="AC158" s="74"/>
    </row>
    <row r="159" spans="1:29" s="11" customFormat="1" x14ac:dyDescent="0.2">
      <c r="A159" s="9">
        <v>30</v>
      </c>
      <c r="B159" s="9"/>
      <c r="C159" s="9"/>
      <c r="D159" s="9" t="s">
        <v>233</v>
      </c>
      <c r="E159" s="49" t="s">
        <v>212</v>
      </c>
      <c r="F159" s="49"/>
      <c r="G159" s="50" t="s">
        <v>943</v>
      </c>
      <c r="H159" s="50" t="s">
        <v>556</v>
      </c>
      <c r="I159" s="9"/>
      <c r="J159" s="9" t="s">
        <v>407</v>
      </c>
      <c r="K159" s="9"/>
      <c r="L159" s="9"/>
      <c r="M159" s="9"/>
      <c r="N159" s="9"/>
      <c r="O159" s="9" t="s">
        <v>407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55"/>
      <c r="AA159" s="51"/>
      <c r="AB159" s="73"/>
      <c r="AC159" s="74"/>
    </row>
    <row r="160" spans="1:29" s="11" customFormat="1" x14ac:dyDescent="0.2">
      <c r="A160" s="9">
        <v>30</v>
      </c>
      <c r="B160" s="9"/>
      <c r="C160" s="9"/>
      <c r="D160" s="9" t="s">
        <v>234</v>
      </c>
      <c r="E160" s="49" t="s">
        <v>213</v>
      </c>
      <c r="F160" s="49"/>
      <c r="G160" s="50" t="s">
        <v>944</v>
      </c>
      <c r="H160" s="50" t="s">
        <v>557</v>
      </c>
      <c r="I160" s="9"/>
      <c r="J160" s="9" t="s">
        <v>407</v>
      </c>
      <c r="K160" s="9"/>
      <c r="L160" s="9"/>
      <c r="M160" s="9"/>
      <c r="N160" s="9"/>
      <c r="O160" s="9" t="s">
        <v>407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55"/>
      <c r="AA160" s="51"/>
      <c r="AB160" s="73"/>
      <c r="AC160" s="74"/>
    </row>
    <row r="161" spans="1:29" s="11" customFormat="1" x14ac:dyDescent="0.2">
      <c r="A161" s="9">
        <v>30</v>
      </c>
      <c r="B161" s="9"/>
      <c r="C161" s="9"/>
      <c r="D161" s="9" t="s">
        <v>235</v>
      </c>
      <c r="E161" s="49" t="s">
        <v>214</v>
      </c>
      <c r="F161" s="49"/>
      <c r="G161" s="50" t="s">
        <v>945</v>
      </c>
      <c r="H161" s="50" t="s">
        <v>558</v>
      </c>
      <c r="I161" s="9"/>
      <c r="J161" s="9" t="s">
        <v>407</v>
      </c>
      <c r="K161" s="9"/>
      <c r="L161" s="9"/>
      <c r="M161" s="9"/>
      <c r="N161" s="9"/>
      <c r="O161" s="9" t="s">
        <v>407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55"/>
      <c r="AA161" s="51"/>
      <c r="AB161" s="73"/>
      <c r="AC161" s="74"/>
    </row>
    <row r="162" spans="1:29" s="11" customFormat="1" x14ac:dyDescent="0.2">
      <c r="A162" s="9">
        <v>30</v>
      </c>
      <c r="B162" s="9"/>
      <c r="C162" s="9"/>
      <c r="D162" s="9" t="s">
        <v>236</v>
      </c>
      <c r="E162" s="49" t="s">
        <v>215</v>
      </c>
      <c r="F162" s="49"/>
      <c r="G162" s="50" t="s">
        <v>946</v>
      </c>
      <c r="H162" s="50" t="s">
        <v>559</v>
      </c>
      <c r="I162" s="9"/>
      <c r="J162" s="9" t="s">
        <v>407</v>
      </c>
      <c r="K162" s="9"/>
      <c r="L162" s="9"/>
      <c r="M162" s="9"/>
      <c r="N162" s="9"/>
      <c r="O162" s="9" t="s">
        <v>407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55"/>
      <c r="AA162" s="51"/>
      <c r="AB162" s="73"/>
      <c r="AC162" s="74"/>
    </row>
    <row r="163" spans="1:29" s="11" customFormat="1" x14ac:dyDescent="0.2">
      <c r="A163" s="9">
        <v>30</v>
      </c>
      <c r="B163" s="9"/>
      <c r="C163" s="9"/>
      <c r="D163" s="9" t="s">
        <v>237</v>
      </c>
      <c r="E163" s="49" t="s">
        <v>44</v>
      </c>
      <c r="F163" s="49"/>
      <c r="G163" s="50" t="s">
        <v>947</v>
      </c>
      <c r="H163" s="50" t="s">
        <v>560</v>
      </c>
      <c r="I163" s="9"/>
      <c r="J163" s="9" t="s">
        <v>407</v>
      </c>
      <c r="K163" s="9"/>
      <c r="L163" s="9"/>
      <c r="M163" s="9"/>
      <c r="N163" s="9"/>
      <c r="O163" s="9" t="s">
        <v>407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55"/>
      <c r="AA163" s="51"/>
      <c r="AB163" s="73"/>
      <c r="AC163" s="74"/>
    </row>
    <row r="164" spans="1:29" s="11" customFormat="1" x14ac:dyDescent="0.2">
      <c r="A164" s="9">
        <v>30</v>
      </c>
      <c r="B164" s="9"/>
      <c r="C164" s="9"/>
      <c r="D164" s="9" t="s">
        <v>238</v>
      </c>
      <c r="E164" s="49" t="s">
        <v>216</v>
      </c>
      <c r="F164" s="49"/>
      <c r="G164" s="50" t="s">
        <v>948</v>
      </c>
      <c r="H164" s="50" t="s">
        <v>561</v>
      </c>
      <c r="I164" s="9"/>
      <c r="J164" s="9" t="s">
        <v>407</v>
      </c>
      <c r="K164" s="9"/>
      <c r="L164" s="9"/>
      <c r="M164" s="9"/>
      <c r="N164" s="9"/>
      <c r="O164" s="9" t="s">
        <v>407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55"/>
      <c r="AA164" s="51"/>
      <c r="AB164" s="73"/>
      <c r="AC164" s="74"/>
    </row>
    <row r="165" spans="1:29" s="11" customFormat="1" x14ac:dyDescent="0.2">
      <c r="A165" s="9">
        <v>30</v>
      </c>
      <c r="B165" s="9"/>
      <c r="C165" s="9"/>
      <c r="D165" s="9" t="s">
        <v>38</v>
      </c>
      <c r="E165" s="49" t="s">
        <v>39</v>
      </c>
      <c r="F165" s="49"/>
      <c r="G165" s="50" t="s">
        <v>949</v>
      </c>
      <c r="H165" s="50" t="s">
        <v>562</v>
      </c>
      <c r="I165" s="9"/>
      <c r="J165" s="9" t="s">
        <v>407</v>
      </c>
      <c r="K165" s="9"/>
      <c r="L165" s="9"/>
      <c r="M165" s="9"/>
      <c r="N165" s="9"/>
      <c r="O165" s="9" t="s">
        <v>407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55"/>
      <c r="AA165" s="51"/>
      <c r="AB165" s="149"/>
      <c r="AC165" s="150"/>
    </row>
    <row r="166" spans="1:29" s="11" customFormat="1" x14ac:dyDescent="0.2">
      <c r="A166" s="9">
        <v>30</v>
      </c>
      <c r="B166" s="9"/>
      <c r="C166" s="9"/>
      <c r="D166" s="9" t="s">
        <v>42</v>
      </c>
      <c r="E166" s="49" t="s">
        <v>43</v>
      </c>
      <c r="F166" s="49"/>
      <c r="G166" s="50" t="s">
        <v>950</v>
      </c>
      <c r="H166" s="50" t="s">
        <v>563</v>
      </c>
      <c r="I166" s="9"/>
      <c r="J166" s="9" t="s">
        <v>407</v>
      </c>
      <c r="K166" s="9"/>
      <c r="L166" s="9"/>
      <c r="M166" s="9"/>
      <c r="N166" s="9"/>
      <c r="O166" s="9" t="s">
        <v>407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55"/>
      <c r="AA166" s="51"/>
      <c r="AB166" s="149"/>
      <c r="AC166" s="150"/>
    </row>
    <row r="167" spans="1:29" s="11" customFormat="1" x14ac:dyDescent="0.2">
      <c r="A167" s="9">
        <v>30</v>
      </c>
      <c r="B167" s="9"/>
      <c r="C167" s="9"/>
      <c r="D167" s="9" t="s">
        <v>40</v>
      </c>
      <c r="E167" s="49" t="s">
        <v>41</v>
      </c>
      <c r="F167" s="49"/>
      <c r="G167" s="50" t="s">
        <v>951</v>
      </c>
      <c r="H167" s="50" t="s">
        <v>564</v>
      </c>
      <c r="I167" s="9"/>
      <c r="J167" s="9" t="s">
        <v>407</v>
      </c>
      <c r="K167" s="9"/>
      <c r="L167" s="9"/>
      <c r="M167" s="9"/>
      <c r="N167" s="9"/>
      <c r="O167" s="9" t="s">
        <v>407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55"/>
      <c r="AA167" s="51"/>
      <c r="AB167" s="149"/>
      <c r="AC167" s="150"/>
    </row>
    <row r="168" spans="1:29" s="11" customFormat="1" x14ac:dyDescent="0.2">
      <c r="A168" s="9">
        <v>30</v>
      </c>
      <c r="B168" s="9"/>
      <c r="C168" s="9"/>
      <c r="D168" s="9" t="s">
        <v>345</v>
      </c>
      <c r="E168" s="49" t="s">
        <v>307</v>
      </c>
      <c r="F168" s="49"/>
      <c r="G168" s="50" t="s">
        <v>884</v>
      </c>
      <c r="H168" s="50" t="s">
        <v>496</v>
      </c>
      <c r="I168" s="9"/>
      <c r="J168" s="9" t="s">
        <v>407</v>
      </c>
      <c r="K168" s="9"/>
      <c r="L168" s="9"/>
      <c r="M168" s="9"/>
      <c r="N168" s="9"/>
      <c r="O168" s="9" t="s">
        <v>407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55"/>
      <c r="AA168" s="51"/>
      <c r="AB168" s="149"/>
      <c r="AC168" s="150"/>
    </row>
    <row r="169" spans="1:29" s="11" customFormat="1" x14ac:dyDescent="0.2">
      <c r="A169" s="9">
        <v>30</v>
      </c>
      <c r="B169" s="9"/>
      <c r="C169" s="9"/>
      <c r="D169" s="9" t="s">
        <v>92</v>
      </c>
      <c r="E169" s="49" t="s">
        <v>308</v>
      </c>
      <c r="F169" s="49"/>
      <c r="G169" s="50" t="s">
        <v>885</v>
      </c>
      <c r="H169" s="50" t="s">
        <v>497</v>
      </c>
      <c r="I169" s="9"/>
      <c r="J169" s="9" t="s">
        <v>407</v>
      </c>
      <c r="K169" s="9"/>
      <c r="L169" s="9"/>
      <c r="M169" s="9"/>
      <c r="N169" s="9"/>
      <c r="O169" s="9" t="s">
        <v>407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55"/>
      <c r="AA169" s="51"/>
      <c r="AB169" s="149"/>
      <c r="AC169" s="150"/>
    </row>
    <row r="170" spans="1:29" s="11" customFormat="1" x14ac:dyDescent="0.2">
      <c r="A170" s="9">
        <v>30</v>
      </c>
      <c r="B170" s="9"/>
      <c r="C170" s="9"/>
      <c r="D170" s="9" t="s">
        <v>14</v>
      </c>
      <c r="E170" s="49" t="s">
        <v>47</v>
      </c>
      <c r="F170" s="49"/>
      <c r="G170" s="50" t="s">
        <v>886</v>
      </c>
      <c r="H170" s="50" t="s">
        <v>498</v>
      </c>
      <c r="I170" s="9"/>
      <c r="J170" s="9" t="s">
        <v>407</v>
      </c>
      <c r="K170" s="9"/>
      <c r="L170" s="9"/>
      <c r="M170" s="9"/>
      <c r="N170" s="9"/>
      <c r="O170" s="9" t="s">
        <v>407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55"/>
      <c r="AA170" s="51"/>
      <c r="AB170" s="149"/>
      <c r="AC170" s="150"/>
    </row>
    <row r="171" spans="1:29" s="11" customFormat="1" x14ac:dyDescent="0.2">
      <c r="A171" s="9">
        <v>30</v>
      </c>
      <c r="B171" s="9"/>
      <c r="C171" s="9"/>
      <c r="D171" s="9" t="s">
        <v>93</v>
      </c>
      <c r="E171" s="49" t="s">
        <v>94</v>
      </c>
      <c r="F171" s="49"/>
      <c r="G171" s="50" t="s">
        <v>887</v>
      </c>
      <c r="H171" s="50" t="s">
        <v>499</v>
      </c>
      <c r="I171" s="9"/>
      <c r="J171" s="9" t="s">
        <v>407</v>
      </c>
      <c r="K171" s="9"/>
      <c r="L171" s="9"/>
      <c r="M171" s="9"/>
      <c r="N171" s="9"/>
      <c r="O171" s="9" t="s">
        <v>407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55"/>
      <c r="AA171" s="51"/>
      <c r="AB171" s="149"/>
      <c r="AC171" s="150"/>
    </row>
    <row r="172" spans="1:29" s="11" customFormat="1" x14ac:dyDescent="0.2">
      <c r="A172" s="9">
        <v>30</v>
      </c>
      <c r="B172" s="9"/>
      <c r="C172" s="9"/>
      <c r="D172" s="9" t="s">
        <v>95</v>
      </c>
      <c r="E172" s="49" t="s">
        <v>96</v>
      </c>
      <c r="F172" s="49"/>
      <c r="G172" s="50" t="s">
        <v>888</v>
      </c>
      <c r="H172" s="50" t="s">
        <v>500</v>
      </c>
      <c r="I172" s="9"/>
      <c r="J172" s="9" t="s">
        <v>407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55"/>
      <c r="AA172" s="51"/>
      <c r="AB172" s="149"/>
      <c r="AC172" s="150"/>
    </row>
    <row r="173" spans="1:29" s="11" customFormat="1" x14ac:dyDescent="0.2">
      <c r="A173" s="9">
        <v>30</v>
      </c>
      <c r="B173" s="9"/>
      <c r="C173" s="9"/>
      <c r="D173" s="9" t="s">
        <v>57</v>
      </c>
      <c r="E173" s="49" t="s">
        <v>58</v>
      </c>
      <c r="F173" s="49"/>
      <c r="G173" s="50" t="s">
        <v>849</v>
      </c>
      <c r="H173" s="50" t="s">
        <v>450</v>
      </c>
      <c r="I173" s="9"/>
      <c r="J173" s="9" t="s">
        <v>407</v>
      </c>
      <c r="K173" s="9"/>
      <c r="L173" s="9"/>
      <c r="M173" s="9"/>
      <c r="N173" s="9"/>
      <c r="O173" s="9" t="s">
        <v>407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55"/>
      <c r="AA173" s="51"/>
      <c r="AB173" s="149"/>
      <c r="AC173" s="150"/>
    </row>
    <row r="174" spans="1:29" s="11" customFormat="1" x14ac:dyDescent="0.2">
      <c r="A174" s="9">
        <v>30</v>
      </c>
      <c r="B174" s="9"/>
      <c r="C174" s="9"/>
      <c r="D174" s="9" t="s">
        <v>346</v>
      </c>
      <c r="E174" s="49" t="s">
        <v>307</v>
      </c>
      <c r="F174" s="49"/>
      <c r="G174" s="50" t="s">
        <v>889</v>
      </c>
      <c r="H174" s="50" t="s">
        <v>501</v>
      </c>
      <c r="I174" s="9"/>
      <c r="J174" s="9" t="s">
        <v>407</v>
      </c>
      <c r="K174" s="9"/>
      <c r="L174" s="9"/>
      <c r="M174" s="9"/>
      <c r="N174" s="9"/>
      <c r="O174" s="9" t="s">
        <v>407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55"/>
      <c r="AA174" s="51"/>
      <c r="AB174" s="149"/>
      <c r="AC174" s="150"/>
    </row>
    <row r="175" spans="1:29" s="11" customFormat="1" x14ac:dyDescent="0.2">
      <c r="A175" s="9">
        <v>30</v>
      </c>
      <c r="B175" s="9"/>
      <c r="C175" s="9"/>
      <c r="D175" s="9" t="s">
        <v>97</v>
      </c>
      <c r="E175" s="49" t="s">
        <v>308</v>
      </c>
      <c r="F175" s="49"/>
      <c r="G175" s="50" t="s">
        <v>890</v>
      </c>
      <c r="H175" s="50" t="s">
        <v>502</v>
      </c>
      <c r="I175" s="9"/>
      <c r="J175" s="9" t="s">
        <v>407</v>
      </c>
      <c r="K175" s="9"/>
      <c r="L175" s="9"/>
      <c r="M175" s="9"/>
      <c r="N175" s="9"/>
      <c r="O175" s="9" t="s">
        <v>407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55"/>
      <c r="AA175" s="51"/>
      <c r="AB175" s="149"/>
      <c r="AC175" s="150"/>
    </row>
    <row r="176" spans="1:29" s="11" customFormat="1" x14ac:dyDescent="0.2">
      <c r="A176" s="9">
        <v>30</v>
      </c>
      <c r="B176" s="9"/>
      <c r="C176" s="9"/>
      <c r="D176" s="9" t="s">
        <v>15</v>
      </c>
      <c r="E176" s="49" t="s">
        <v>47</v>
      </c>
      <c r="F176" s="49"/>
      <c r="G176" s="50" t="s">
        <v>891</v>
      </c>
      <c r="H176" s="50" t="s">
        <v>503</v>
      </c>
      <c r="I176" s="9"/>
      <c r="J176" s="9" t="s">
        <v>407</v>
      </c>
      <c r="K176" s="9"/>
      <c r="L176" s="9"/>
      <c r="M176" s="9"/>
      <c r="N176" s="9"/>
      <c r="O176" s="9" t="s">
        <v>407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55"/>
      <c r="AA176" s="51"/>
      <c r="AB176" s="149"/>
      <c r="AC176" s="150"/>
    </row>
    <row r="177" spans="1:29" s="11" customFormat="1" x14ac:dyDescent="0.2">
      <c r="A177" s="9">
        <v>30</v>
      </c>
      <c r="B177" s="9"/>
      <c r="C177" s="9"/>
      <c r="D177" s="9" t="s">
        <v>98</v>
      </c>
      <c r="E177" s="49" t="s">
        <v>94</v>
      </c>
      <c r="F177" s="49"/>
      <c r="G177" s="50" t="s">
        <v>892</v>
      </c>
      <c r="H177" s="50" t="s">
        <v>504</v>
      </c>
      <c r="I177" s="9"/>
      <c r="J177" s="9" t="s">
        <v>407</v>
      </c>
      <c r="K177" s="9"/>
      <c r="L177" s="9"/>
      <c r="M177" s="9"/>
      <c r="N177" s="9"/>
      <c r="O177" s="9" t="s">
        <v>407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55"/>
      <c r="AA177" s="51"/>
      <c r="AB177" s="149"/>
      <c r="AC177" s="150"/>
    </row>
    <row r="178" spans="1:29" s="11" customFormat="1" x14ac:dyDescent="0.2">
      <c r="A178" s="9">
        <v>30</v>
      </c>
      <c r="B178" s="9"/>
      <c r="C178" s="9"/>
      <c r="D178" s="9" t="s">
        <v>99</v>
      </c>
      <c r="E178" s="49" t="s">
        <v>96</v>
      </c>
      <c r="F178" s="49"/>
      <c r="G178" s="50" t="s">
        <v>893</v>
      </c>
      <c r="H178" s="50" t="s">
        <v>505</v>
      </c>
      <c r="I178" s="9"/>
      <c r="J178" s="9" t="s">
        <v>407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55"/>
      <c r="AA178" s="51"/>
      <c r="AB178" s="149"/>
      <c r="AC178" s="150"/>
    </row>
    <row r="179" spans="1:29" s="11" customFormat="1" x14ac:dyDescent="0.2">
      <c r="A179" s="9">
        <v>30</v>
      </c>
      <c r="B179" s="9"/>
      <c r="C179" s="9"/>
      <c r="D179" s="9" t="s">
        <v>100</v>
      </c>
      <c r="E179" s="49" t="s">
        <v>46</v>
      </c>
      <c r="F179" s="49"/>
      <c r="G179" s="50" t="s">
        <v>894</v>
      </c>
      <c r="H179" s="50" t="s">
        <v>506</v>
      </c>
      <c r="I179" s="9"/>
      <c r="J179" s="9" t="s">
        <v>407</v>
      </c>
      <c r="K179" s="9"/>
      <c r="L179" s="9"/>
      <c r="M179" s="9"/>
      <c r="N179" s="9"/>
      <c r="O179" s="9" t="s">
        <v>407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55"/>
      <c r="AA179" s="51"/>
      <c r="AB179" s="149"/>
      <c r="AC179" s="150"/>
    </row>
    <row r="180" spans="1:29" s="11" customFormat="1" x14ac:dyDescent="0.2">
      <c r="A180" s="9">
        <v>30</v>
      </c>
      <c r="B180" s="9"/>
      <c r="C180" s="9"/>
      <c r="D180" s="9" t="s">
        <v>143</v>
      </c>
      <c r="E180" s="49" t="s">
        <v>307</v>
      </c>
      <c r="F180" s="49"/>
      <c r="G180" s="50" t="s">
        <v>895</v>
      </c>
      <c r="H180" s="50" t="s">
        <v>507</v>
      </c>
      <c r="I180" s="9"/>
      <c r="J180" s="9" t="s">
        <v>407</v>
      </c>
      <c r="K180" s="9"/>
      <c r="L180" s="9"/>
      <c r="M180" s="9"/>
      <c r="N180" s="9"/>
      <c r="O180" s="9" t="s">
        <v>407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35"/>
      <c r="AA180" s="36"/>
      <c r="AB180" s="149"/>
      <c r="AC180" s="150"/>
    </row>
    <row r="181" spans="1:29" s="11" customFormat="1" x14ac:dyDescent="0.2">
      <c r="A181" s="9">
        <v>30</v>
      </c>
      <c r="B181" s="9"/>
      <c r="C181" s="9"/>
      <c r="D181" s="9" t="s">
        <v>144</v>
      </c>
      <c r="E181" s="49" t="s">
        <v>308</v>
      </c>
      <c r="F181" s="49"/>
      <c r="G181" s="50" t="s">
        <v>896</v>
      </c>
      <c r="H181" s="50" t="s">
        <v>508</v>
      </c>
      <c r="I181" s="9"/>
      <c r="J181" s="9" t="s">
        <v>407</v>
      </c>
      <c r="K181" s="9"/>
      <c r="L181" s="9"/>
      <c r="M181" s="9"/>
      <c r="N181" s="9"/>
      <c r="O181" s="9" t="s">
        <v>407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35"/>
      <c r="AA181" s="36"/>
      <c r="AB181" s="149"/>
      <c r="AC181" s="150"/>
    </row>
    <row r="182" spans="1:29" s="11" customFormat="1" x14ac:dyDescent="0.2">
      <c r="A182" s="9">
        <v>30</v>
      </c>
      <c r="B182" s="9"/>
      <c r="C182" s="9"/>
      <c r="D182" s="9" t="s">
        <v>145</v>
      </c>
      <c r="E182" s="49" t="s">
        <v>47</v>
      </c>
      <c r="F182" s="49"/>
      <c r="G182" s="50" t="s">
        <v>897</v>
      </c>
      <c r="H182" s="50" t="s">
        <v>509</v>
      </c>
      <c r="I182" s="9"/>
      <c r="J182" s="9" t="s">
        <v>407</v>
      </c>
      <c r="K182" s="9"/>
      <c r="L182" s="9"/>
      <c r="M182" s="9"/>
      <c r="N182" s="9"/>
      <c r="O182" s="9" t="s">
        <v>407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55"/>
      <c r="AA182" s="51"/>
      <c r="AB182" s="149"/>
      <c r="AC182" s="150"/>
    </row>
    <row r="183" spans="1:29" s="11" customFormat="1" x14ac:dyDescent="0.2">
      <c r="A183" s="80"/>
      <c r="AC183" s="54"/>
    </row>
    <row r="184" spans="1:29" s="11" customFormat="1" x14ac:dyDescent="0.2">
      <c r="A184" s="9">
        <v>40</v>
      </c>
      <c r="B184" s="37" t="s">
        <v>0</v>
      </c>
      <c r="C184" s="38"/>
      <c r="D184" s="28" t="s">
        <v>101</v>
      </c>
      <c r="E184" s="34" t="s">
        <v>50</v>
      </c>
      <c r="F184" s="58"/>
      <c r="G184" s="28"/>
      <c r="H184" s="45"/>
      <c r="I184" s="59"/>
      <c r="J184" s="60"/>
      <c r="K184" s="60"/>
      <c r="L184" s="48"/>
      <c r="M184" s="48"/>
      <c r="N184" s="48"/>
      <c r="O184" s="48"/>
      <c r="P184" s="48"/>
      <c r="Q184" s="48" t="s">
        <v>21</v>
      </c>
      <c r="R184" s="48"/>
      <c r="S184" s="48"/>
      <c r="T184" s="48"/>
      <c r="U184" s="48"/>
      <c r="V184" s="48"/>
      <c r="W184" s="48"/>
      <c r="X184" s="48"/>
      <c r="Y184" s="48"/>
      <c r="Z184" s="35"/>
      <c r="AA184" s="36"/>
      <c r="AB184" s="73"/>
      <c r="AC184" s="75"/>
    </row>
    <row r="185" spans="1:29" s="11" customFormat="1" x14ac:dyDescent="0.2">
      <c r="A185" s="9">
        <v>40</v>
      </c>
      <c r="B185" s="9"/>
      <c r="C185" s="9"/>
      <c r="D185" s="9" t="s">
        <v>56</v>
      </c>
      <c r="E185" s="49" t="s">
        <v>45</v>
      </c>
      <c r="F185" s="49"/>
      <c r="G185" s="50" t="s">
        <v>898</v>
      </c>
      <c r="H185" s="50" t="s">
        <v>510</v>
      </c>
      <c r="I185" s="9"/>
      <c r="J185" s="9" t="s">
        <v>407</v>
      </c>
      <c r="K185" s="9"/>
      <c r="L185" s="9"/>
      <c r="M185" s="9"/>
      <c r="N185" s="9"/>
      <c r="O185" s="9"/>
      <c r="P185" s="9"/>
      <c r="Q185" s="9" t="s">
        <v>407</v>
      </c>
      <c r="R185" s="9"/>
      <c r="S185" s="9"/>
      <c r="T185" s="9"/>
      <c r="U185" s="9"/>
      <c r="V185" s="9"/>
      <c r="W185" s="9"/>
      <c r="X185" s="9"/>
      <c r="Y185" s="9"/>
      <c r="Z185" s="55"/>
      <c r="AA185" s="51"/>
      <c r="AB185" s="149"/>
      <c r="AC185" s="150"/>
    </row>
    <row r="186" spans="1:29" s="11" customFormat="1" x14ac:dyDescent="0.2">
      <c r="A186" s="9">
        <v>40</v>
      </c>
      <c r="B186" s="9"/>
      <c r="C186" s="9"/>
      <c r="D186" s="9" t="s">
        <v>314</v>
      </c>
      <c r="E186" s="49" t="s">
        <v>86</v>
      </c>
      <c r="F186" s="49"/>
      <c r="G186" s="50" t="s">
        <v>899</v>
      </c>
      <c r="H186" s="50" t="s">
        <v>511</v>
      </c>
      <c r="I186" s="9"/>
      <c r="J186" s="9" t="s">
        <v>407</v>
      </c>
      <c r="K186" s="9"/>
      <c r="L186" s="9"/>
      <c r="M186" s="9"/>
      <c r="N186" s="9"/>
      <c r="O186" s="9"/>
      <c r="P186" s="9"/>
      <c r="Q186" s="9" t="s">
        <v>407</v>
      </c>
      <c r="R186" s="9"/>
      <c r="S186" s="9"/>
      <c r="T186" s="9"/>
      <c r="U186" s="9"/>
      <c r="V186" s="9"/>
      <c r="W186" s="9"/>
      <c r="X186" s="9"/>
      <c r="Y186" s="9"/>
      <c r="Z186" s="55"/>
      <c r="AA186" s="51"/>
      <c r="AB186" s="73"/>
      <c r="AC186" s="74"/>
    </row>
    <row r="187" spans="1:29" s="11" customFormat="1" x14ac:dyDescent="0.2">
      <c r="A187" s="9">
        <v>40</v>
      </c>
      <c r="B187" s="9"/>
      <c r="C187" s="9"/>
      <c r="D187" s="9" t="s">
        <v>125</v>
      </c>
      <c r="E187" s="49" t="s">
        <v>75</v>
      </c>
      <c r="F187" s="49"/>
      <c r="G187" s="50" t="s">
        <v>902</v>
      </c>
      <c r="H187" s="50" t="s">
        <v>514</v>
      </c>
      <c r="I187" s="9"/>
      <c r="J187" s="9" t="s">
        <v>407</v>
      </c>
      <c r="K187" s="9"/>
      <c r="L187" s="9"/>
      <c r="M187" s="9"/>
      <c r="N187" s="9"/>
      <c r="O187" s="9"/>
      <c r="P187" s="9"/>
      <c r="Q187" s="9" t="s">
        <v>407</v>
      </c>
      <c r="R187" s="9"/>
      <c r="S187" s="9"/>
      <c r="T187" s="9"/>
      <c r="U187" s="9"/>
      <c r="V187" s="9"/>
      <c r="W187" s="9"/>
      <c r="X187" s="9"/>
      <c r="Y187" s="9"/>
      <c r="Z187" s="55"/>
      <c r="AA187" s="51"/>
      <c r="AB187" s="149"/>
      <c r="AC187" s="150"/>
    </row>
    <row r="188" spans="1:29" s="11" customFormat="1" x14ac:dyDescent="0.2">
      <c r="A188" s="9">
        <v>40</v>
      </c>
      <c r="B188" s="9"/>
      <c r="C188" s="9"/>
      <c r="D188" s="9" t="s">
        <v>126</v>
      </c>
      <c r="E188" s="49" t="s">
        <v>76</v>
      </c>
      <c r="F188" s="49"/>
      <c r="G188" s="50" t="s">
        <v>903</v>
      </c>
      <c r="H188" s="50" t="s">
        <v>515</v>
      </c>
      <c r="I188" s="9"/>
      <c r="J188" s="9" t="s">
        <v>407</v>
      </c>
      <c r="K188" s="9"/>
      <c r="L188" s="9"/>
      <c r="M188" s="9"/>
      <c r="N188" s="9"/>
      <c r="O188" s="9"/>
      <c r="P188" s="9"/>
      <c r="Q188" s="9" t="s">
        <v>407</v>
      </c>
      <c r="R188" s="9"/>
      <c r="S188" s="9"/>
      <c r="T188" s="9"/>
      <c r="U188" s="9"/>
      <c r="V188" s="9"/>
      <c r="W188" s="9"/>
      <c r="X188" s="9"/>
      <c r="Y188" s="9"/>
      <c r="Z188" s="55"/>
      <c r="AA188" s="51"/>
      <c r="AB188" s="149"/>
      <c r="AC188" s="150"/>
    </row>
    <row r="189" spans="1:29" s="11" customFormat="1" x14ac:dyDescent="0.2">
      <c r="A189" s="9">
        <v>40</v>
      </c>
      <c r="B189" s="9"/>
      <c r="C189" s="9"/>
      <c r="D189" s="9" t="s">
        <v>127</v>
      </c>
      <c r="E189" s="49" t="s">
        <v>77</v>
      </c>
      <c r="F189" s="49"/>
      <c r="G189" s="50" t="s">
        <v>904</v>
      </c>
      <c r="H189" s="50" t="s">
        <v>516</v>
      </c>
      <c r="I189" s="9"/>
      <c r="J189" s="9" t="s">
        <v>407</v>
      </c>
      <c r="K189" s="9"/>
      <c r="L189" s="9"/>
      <c r="M189" s="9"/>
      <c r="N189" s="9"/>
      <c r="O189" s="9"/>
      <c r="P189" s="9"/>
      <c r="Q189" s="9" t="s">
        <v>407</v>
      </c>
      <c r="R189" s="9"/>
      <c r="S189" s="9"/>
      <c r="T189" s="9"/>
      <c r="U189" s="9"/>
      <c r="V189" s="9"/>
      <c r="W189" s="9"/>
      <c r="X189" s="9"/>
      <c r="Y189" s="9"/>
      <c r="Z189" s="55"/>
      <c r="AA189" s="51"/>
      <c r="AB189" s="149"/>
      <c r="AC189" s="150"/>
    </row>
    <row r="190" spans="1:29" s="11" customFormat="1" x14ac:dyDescent="0.2">
      <c r="A190" s="9">
        <v>40</v>
      </c>
      <c r="B190" s="9"/>
      <c r="C190" s="9"/>
      <c r="D190" s="9" t="s">
        <v>128</v>
      </c>
      <c r="E190" s="49" t="s">
        <v>78</v>
      </c>
      <c r="F190" s="49"/>
      <c r="G190" s="50" t="s">
        <v>905</v>
      </c>
      <c r="H190" s="50" t="s">
        <v>517</v>
      </c>
      <c r="I190" s="9"/>
      <c r="J190" s="9" t="s">
        <v>407</v>
      </c>
      <c r="K190" s="9"/>
      <c r="L190" s="9"/>
      <c r="M190" s="9"/>
      <c r="N190" s="9"/>
      <c r="O190" s="9"/>
      <c r="P190" s="9"/>
      <c r="Q190" s="9" t="s">
        <v>407</v>
      </c>
      <c r="R190" s="9"/>
      <c r="S190" s="9"/>
      <c r="T190" s="9"/>
      <c r="U190" s="9"/>
      <c r="V190" s="9"/>
      <c r="W190" s="9"/>
      <c r="X190" s="9"/>
      <c r="Y190" s="9"/>
      <c r="Z190" s="55"/>
      <c r="AA190" s="51"/>
      <c r="AB190" s="149"/>
      <c r="AC190" s="150"/>
    </row>
    <row r="191" spans="1:29" s="11" customFormat="1" x14ac:dyDescent="0.2">
      <c r="A191" s="9">
        <v>40</v>
      </c>
      <c r="B191" s="9"/>
      <c r="C191" s="9"/>
      <c r="D191" s="9" t="s">
        <v>129</v>
      </c>
      <c r="E191" s="49" t="s">
        <v>130</v>
      </c>
      <c r="F191" s="49"/>
      <c r="G191" s="50" t="s">
        <v>906</v>
      </c>
      <c r="H191" s="50" t="s">
        <v>518</v>
      </c>
      <c r="I191" s="9"/>
      <c r="J191" s="9" t="s">
        <v>407</v>
      </c>
      <c r="K191" s="9"/>
      <c r="L191" s="9"/>
      <c r="M191" s="9"/>
      <c r="N191" s="9"/>
      <c r="O191" s="9"/>
      <c r="P191" s="9"/>
      <c r="Q191" s="9" t="s">
        <v>407</v>
      </c>
      <c r="R191" s="9"/>
      <c r="S191" s="9"/>
      <c r="T191" s="9"/>
      <c r="U191" s="9"/>
      <c r="V191" s="9"/>
      <c r="W191" s="9"/>
      <c r="X191" s="9"/>
      <c r="Y191" s="9"/>
      <c r="Z191" s="55"/>
      <c r="AA191" s="51"/>
      <c r="AB191" s="149"/>
      <c r="AC191" s="151"/>
    </row>
    <row r="192" spans="1:29" s="11" customFormat="1" x14ac:dyDescent="0.2">
      <c r="A192" s="9">
        <v>40</v>
      </c>
      <c r="B192" s="9"/>
      <c r="C192" s="9"/>
      <c r="D192" s="9" t="s">
        <v>362</v>
      </c>
      <c r="E192" s="49" t="s">
        <v>366</v>
      </c>
      <c r="F192" s="49"/>
      <c r="G192" s="50" t="s">
        <v>907</v>
      </c>
      <c r="H192" s="50" t="s">
        <v>519</v>
      </c>
      <c r="I192" s="9"/>
      <c r="J192" s="9" t="s">
        <v>407</v>
      </c>
      <c r="K192" s="9" t="s">
        <v>520</v>
      </c>
      <c r="L192" s="9"/>
      <c r="M192" s="9"/>
      <c r="N192" s="9"/>
      <c r="O192" s="9"/>
      <c r="P192" s="9"/>
      <c r="Q192" s="9" t="s">
        <v>407</v>
      </c>
      <c r="R192" s="9"/>
      <c r="S192" s="9"/>
      <c r="T192" s="9"/>
      <c r="U192" s="9"/>
      <c r="V192" s="9"/>
      <c r="W192" s="9"/>
      <c r="X192" s="9"/>
      <c r="Y192" s="9"/>
      <c r="Z192" s="55"/>
      <c r="AA192" s="51"/>
      <c r="AB192" s="73"/>
      <c r="AC192" s="75"/>
    </row>
    <row r="193" spans="1:29" s="11" customFormat="1" x14ac:dyDescent="0.2">
      <c r="A193" s="9">
        <v>40</v>
      </c>
      <c r="B193" s="9"/>
      <c r="C193" s="9"/>
      <c r="D193" s="9" t="s">
        <v>363</v>
      </c>
      <c r="E193" s="49" t="s">
        <v>367</v>
      </c>
      <c r="F193" s="49"/>
      <c r="G193" s="50" t="s">
        <v>908</v>
      </c>
      <c r="H193" s="50" t="s">
        <v>521</v>
      </c>
      <c r="I193" s="9"/>
      <c r="J193" s="9" t="s">
        <v>407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55"/>
      <c r="AA193" s="51"/>
      <c r="AB193" s="73"/>
      <c r="AC193" s="75"/>
    </row>
    <row r="194" spans="1:29" s="11" customFormat="1" x14ac:dyDescent="0.2">
      <c r="A194" s="9">
        <v>40</v>
      </c>
      <c r="B194" s="9"/>
      <c r="C194" s="9"/>
      <c r="D194" s="9" t="s">
        <v>364</v>
      </c>
      <c r="E194" s="49" t="s">
        <v>368</v>
      </c>
      <c r="F194" s="49"/>
      <c r="G194" s="50" t="s">
        <v>909</v>
      </c>
      <c r="H194" s="50" t="s">
        <v>522</v>
      </c>
      <c r="I194" s="9"/>
      <c r="J194" s="9" t="s">
        <v>407</v>
      </c>
      <c r="K194" s="9"/>
      <c r="L194" s="9"/>
      <c r="M194" s="9"/>
      <c r="N194" s="9"/>
      <c r="O194" s="9"/>
      <c r="P194" s="9"/>
      <c r="Q194" s="9" t="s">
        <v>407</v>
      </c>
      <c r="R194" s="9"/>
      <c r="S194" s="9"/>
      <c r="T194" s="9"/>
      <c r="U194" s="9"/>
      <c r="V194" s="9"/>
      <c r="W194" s="9"/>
      <c r="X194" s="9"/>
      <c r="Y194" s="9"/>
      <c r="Z194" s="55"/>
      <c r="AA194" s="51"/>
      <c r="AB194" s="73"/>
      <c r="AC194" s="75"/>
    </row>
    <row r="195" spans="1:29" s="11" customFormat="1" x14ac:dyDescent="0.2">
      <c r="A195" s="9">
        <v>40</v>
      </c>
      <c r="B195" s="9"/>
      <c r="C195" s="9"/>
      <c r="D195" s="9" t="s">
        <v>365</v>
      </c>
      <c r="E195" s="49" t="s">
        <v>369</v>
      </c>
      <c r="F195" s="49"/>
      <c r="G195" s="50" t="s">
        <v>910</v>
      </c>
      <c r="H195" s="50" t="s">
        <v>523</v>
      </c>
      <c r="I195" s="9"/>
      <c r="J195" s="9" t="s">
        <v>407</v>
      </c>
      <c r="K195" s="9"/>
      <c r="L195" s="9"/>
      <c r="M195" s="9"/>
      <c r="N195" s="9"/>
      <c r="O195" s="9"/>
      <c r="P195" s="9"/>
      <c r="Q195" s="9" t="s">
        <v>407</v>
      </c>
      <c r="R195" s="9"/>
      <c r="S195" s="9"/>
      <c r="T195" s="9"/>
      <c r="U195" s="9"/>
      <c r="V195" s="9"/>
      <c r="W195" s="9"/>
      <c r="X195" s="9"/>
      <c r="Y195" s="9"/>
      <c r="Z195" s="55"/>
      <c r="AA195" s="51"/>
      <c r="AB195" s="73"/>
      <c r="AC195" s="75"/>
    </row>
    <row r="196" spans="1:29" s="11" customFormat="1" x14ac:dyDescent="0.2">
      <c r="A196" s="9">
        <v>40</v>
      </c>
      <c r="B196" s="9"/>
      <c r="C196" s="9"/>
      <c r="D196" s="9" t="s">
        <v>370</v>
      </c>
      <c r="E196" s="49" t="s">
        <v>44</v>
      </c>
      <c r="F196" s="49"/>
      <c r="G196" s="50" t="s">
        <v>952</v>
      </c>
      <c r="H196" s="50" t="s">
        <v>565</v>
      </c>
      <c r="I196" s="9"/>
      <c r="J196" s="9" t="s">
        <v>407</v>
      </c>
      <c r="K196" s="9"/>
      <c r="L196" s="9"/>
      <c r="M196" s="9"/>
      <c r="N196" s="9"/>
      <c r="O196" s="9"/>
      <c r="P196" s="9"/>
      <c r="Q196" s="9" t="s">
        <v>407</v>
      </c>
      <c r="R196" s="9"/>
      <c r="S196" s="9"/>
      <c r="T196" s="9"/>
      <c r="U196" s="9"/>
      <c r="V196" s="9"/>
      <c r="W196" s="9"/>
      <c r="X196" s="9"/>
      <c r="Y196" s="9"/>
      <c r="Z196" s="55"/>
      <c r="AA196" s="51"/>
      <c r="AB196" s="73"/>
      <c r="AC196" s="75"/>
    </row>
    <row r="197" spans="1:29" s="11" customFormat="1" x14ac:dyDescent="0.2">
      <c r="A197" s="9">
        <v>40</v>
      </c>
      <c r="B197" s="9"/>
      <c r="C197" s="9"/>
      <c r="D197" s="9" t="s">
        <v>201</v>
      </c>
      <c r="E197" s="49" t="s">
        <v>86</v>
      </c>
      <c r="F197" s="49"/>
      <c r="G197" s="50" t="s">
        <v>918</v>
      </c>
      <c r="H197" s="50" t="s">
        <v>531</v>
      </c>
      <c r="I197" s="9"/>
      <c r="J197" s="9" t="s">
        <v>407</v>
      </c>
      <c r="K197" s="9"/>
      <c r="L197" s="9"/>
      <c r="M197" s="9"/>
      <c r="N197" s="9"/>
      <c r="O197" s="9"/>
      <c r="P197" s="9"/>
      <c r="Q197" s="9" t="s">
        <v>407</v>
      </c>
      <c r="R197" s="9"/>
      <c r="S197" s="9"/>
      <c r="T197" s="9"/>
      <c r="U197" s="9"/>
      <c r="V197" s="9"/>
      <c r="W197" s="9"/>
      <c r="X197" s="9"/>
      <c r="Y197" s="9"/>
      <c r="Z197" s="55"/>
      <c r="AA197" s="51"/>
      <c r="AB197" s="149"/>
      <c r="AC197" s="150"/>
    </row>
    <row r="198" spans="1:29" s="11" customFormat="1" x14ac:dyDescent="0.2">
      <c r="A198" s="9">
        <v>40</v>
      </c>
      <c r="B198" s="9"/>
      <c r="C198" s="9"/>
      <c r="D198" s="9" t="s">
        <v>202</v>
      </c>
      <c r="E198" s="49" t="s">
        <v>87</v>
      </c>
      <c r="F198" s="49"/>
      <c r="G198" s="50" t="s">
        <v>919</v>
      </c>
      <c r="H198" s="50" t="s">
        <v>532</v>
      </c>
      <c r="I198" s="9"/>
      <c r="J198" s="9" t="s">
        <v>407</v>
      </c>
      <c r="K198" s="9"/>
      <c r="L198" s="9"/>
      <c r="M198" s="9"/>
      <c r="N198" s="9"/>
      <c r="O198" s="9"/>
      <c r="P198" s="9"/>
      <c r="Q198" s="9" t="s">
        <v>407</v>
      </c>
      <c r="R198" s="9"/>
      <c r="S198" s="9"/>
      <c r="T198" s="9"/>
      <c r="U198" s="9"/>
      <c r="V198" s="9"/>
      <c r="W198" s="9"/>
      <c r="X198" s="9"/>
      <c r="Y198" s="9"/>
      <c r="Z198" s="55"/>
      <c r="AA198" s="51"/>
      <c r="AB198" s="149"/>
      <c r="AC198" s="150"/>
    </row>
    <row r="199" spans="1:29" s="11" customFormat="1" ht="26" x14ac:dyDescent="0.2">
      <c r="A199" s="9">
        <v>40</v>
      </c>
      <c r="B199" s="9"/>
      <c r="C199" s="9"/>
      <c r="D199" s="9" t="s">
        <v>241</v>
      </c>
      <c r="E199" s="49" t="s">
        <v>243</v>
      </c>
      <c r="F199" s="49"/>
      <c r="G199" s="50" t="s">
        <v>953</v>
      </c>
      <c r="H199" s="50" t="s">
        <v>566</v>
      </c>
      <c r="I199" s="9"/>
      <c r="J199" s="9" t="s">
        <v>407</v>
      </c>
      <c r="K199" s="9"/>
      <c r="L199" s="9"/>
      <c r="M199" s="9"/>
      <c r="N199" s="9"/>
      <c r="O199" s="9"/>
      <c r="P199" s="9"/>
      <c r="Q199" s="9" t="s">
        <v>407</v>
      </c>
      <c r="R199" s="9"/>
      <c r="S199" s="9"/>
      <c r="T199" s="9"/>
      <c r="U199" s="9"/>
      <c r="V199" s="9"/>
      <c r="W199" s="9"/>
      <c r="X199" s="9"/>
      <c r="Y199" s="9"/>
      <c r="Z199" s="55"/>
      <c r="AA199" s="51"/>
      <c r="AB199" s="73"/>
      <c r="AC199" s="74"/>
    </row>
    <row r="200" spans="1:29" s="11" customFormat="1" ht="26" x14ac:dyDescent="0.2">
      <c r="A200" s="9">
        <v>40</v>
      </c>
      <c r="B200" s="9"/>
      <c r="C200" s="9"/>
      <c r="D200" s="9" t="s">
        <v>242</v>
      </c>
      <c r="E200" s="49" t="s">
        <v>244</v>
      </c>
      <c r="F200" s="49"/>
      <c r="G200" s="50" t="s">
        <v>954</v>
      </c>
      <c r="H200" s="50" t="s">
        <v>567</v>
      </c>
      <c r="I200" s="9"/>
      <c r="J200" s="9" t="s">
        <v>407</v>
      </c>
      <c r="K200" s="9"/>
      <c r="L200" s="9"/>
      <c r="M200" s="9"/>
      <c r="N200" s="9"/>
      <c r="O200" s="9"/>
      <c r="P200" s="9"/>
      <c r="Q200" s="9" t="s">
        <v>407</v>
      </c>
      <c r="R200" s="9"/>
      <c r="S200" s="9"/>
      <c r="T200" s="9"/>
      <c r="U200" s="9"/>
      <c r="V200" s="9"/>
      <c r="W200" s="9"/>
      <c r="X200" s="9"/>
      <c r="Y200" s="9"/>
      <c r="Z200" s="55"/>
      <c r="AA200" s="51"/>
      <c r="AB200" s="73"/>
      <c r="AC200" s="74"/>
    </row>
    <row r="201" spans="1:29" s="11" customFormat="1" x14ac:dyDescent="0.2">
      <c r="A201" s="9">
        <v>40</v>
      </c>
      <c r="B201" s="9"/>
      <c r="C201" s="9"/>
      <c r="D201" s="9" t="s">
        <v>79</v>
      </c>
      <c r="E201" s="49" t="s">
        <v>74</v>
      </c>
      <c r="F201" s="49"/>
      <c r="G201" s="50" t="s">
        <v>920</v>
      </c>
      <c r="H201" s="50" t="s">
        <v>533</v>
      </c>
      <c r="I201" s="9"/>
      <c r="J201" s="9" t="s">
        <v>407</v>
      </c>
      <c r="K201" s="9"/>
      <c r="L201" s="9"/>
      <c r="M201" s="9"/>
      <c r="N201" s="9"/>
      <c r="O201" s="9"/>
      <c r="P201" s="9"/>
      <c r="Q201" s="9" t="s">
        <v>407</v>
      </c>
      <c r="R201" s="9"/>
      <c r="S201" s="9"/>
      <c r="T201" s="9"/>
      <c r="U201" s="9"/>
      <c r="V201" s="9"/>
      <c r="W201" s="9"/>
      <c r="X201" s="9"/>
      <c r="Y201" s="9"/>
      <c r="Z201" s="55"/>
      <c r="AA201" s="51"/>
      <c r="AB201" s="73"/>
      <c r="AC201" s="74"/>
    </row>
    <row r="202" spans="1:29" s="11" customFormat="1" x14ac:dyDescent="0.2">
      <c r="A202" s="9">
        <v>40</v>
      </c>
      <c r="B202" s="9"/>
      <c r="C202" s="9"/>
      <c r="D202" s="9" t="s">
        <v>80</v>
      </c>
      <c r="E202" s="49" t="s">
        <v>74</v>
      </c>
      <c r="F202" s="49"/>
      <c r="G202" s="50" t="s">
        <v>921</v>
      </c>
      <c r="H202" s="50" t="s">
        <v>534</v>
      </c>
      <c r="I202" s="9"/>
      <c r="J202" s="9" t="s">
        <v>407</v>
      </c>
      <c r="K202" s="9"/>
      <c r="L202" s="9"/>
      <c r="M202" s="9"/>
      <c r="N202" s="9"/>
      <c r="O202" s="9"/>
      <c r="P202" s="9"/>
      <c r="Q202" s="9" t="s">
        <v>407</v>
      </c>
      <c r="R202" s="9"/>
      <c r="S202" s="9"/>
      <c r="T202" s="9"/>
      <c r="U202" s="9"/>
      <c r="V202" s="9"/>
      <c r="W202" s="9"/>
      <c r="X202" s="9"/>
      <c r="Y202" s="9"/>
      <c r="Z202" s="55"/>
      <c r="AA202" s="51"/>
      <c r="AB202" s="73"/>
      <c r="AC202" s="74"/>
    </row>
    <row r="203" spans="1:29" s="11" customFormat="1" x14ac:dyDescent="0.2">
      <c r="A203" s="9">
        <v>40</v>
      </c>
      <c r="B203" s="9"/>
      <c r="C203" s="9"/>
      <c r="D203" s="9" t="s">
        <v>245</v>
      </c>
      <c r="E203" s="49" t="s">
        <v>44</v>
      </c>
      <c r="F203" s="49"/>
      <c r="G203" s="50" t="s">
        <v>955</v>
      </c>
      <c r="H203" s="50" t="s">
        <v>568</v>
      </c>
      <c r="I203" s="9"/>
      <c r="J203" s="9" t="s">
        <v>407</v>
      </c>
      <c r="K203" s="9"/>
      <c r="L203" s="9"/>
      <c r="M203" s="9"/>
      <c r="N203" s="9"/>
      <c r="O203" s="9"/>
      <c r="P203" s="9"/>
      <c r="Q203" s="9" t="s">
        <v>407</v>
      </c>
      <c r="R203" s="9"/>
      <c r="S203" s="9"/>
      <c r="T203" s="9"/>
      <c r="U203" s="9"/>
      <c r="V203" s="9"/>
      <c r="W203" s="9"/>
      <c r="X203" s="9"/>
      <c r="Y203" s="9"/>
      <c r="Z203" s="55"/>
      <c r="AA203" s="51"/>
      <c r="AB203" s="73"/>
      <c r="AC203" s="74"/>
    </row>
    <row r="204" spans="1:29" s="11" customFormat="1" x14ac:dyDescent="0.2">
      <c r="A204" s="9">
        <v>40</v>
      </c>
      <c r="B204" s="9"/>
      <c r="C204" s="9"/>
      <c r="D204" s="9" t="s">
        <v>246</v>
      </c>
      <c r="E204" s="49" t="s">
        <v>257</v>
      </c>
      <c r="F204" s="49"/>
      <c r="G204" s="50" t="s">
        <v>956</v>
      </c>
      <c r="H204" s="50" t="s">
        <v>569</v>
      </c>
      <c r="I204" s="9"/>
      <c r="J204" s="9" t="s">
        <v>407</v>
      </c>
      <c r="K204" s="9"/>
      <c r="L204" s="9"/>
      <c r="M204" s="9"/>
      <c r="N204" s="9"/>
      <c r="O204" s="9"/>
      <c r="P204" s="9"/>
      <c r="Q204" s="9" t="s">
        <v>407</v>
      </c>
      <c r="R204" s="9"/>
      <c r="S204" s="9"/>
      <c r="T204" s="9"/>
      <c r="U204" s="9"/>
      <c r="V204" s="9"/>
      <c r="W204" s="9"/>
      <c r="X204" s="9"/>
      <c r="Y204" s="9"/>
      <c r="Z204" s="55"/>
      <c r="AA204" s="51"/>
      <c r="AB204" s="73"/>
      <c r="AC204" s="74"/>
    </row>
    <row r="205" spans="1:29" s="11" customFormat="1" x14ac:dyDescent="0.2">
      <c r="A205" s="9">
        <v>40</v>
      </c>
      <c r="B205" s="9"/>
      <c r="C205" s="9"/>
      <c r="D205" s="9" t="s">
        <v>247</v>
      </c>
      <c r="E205" s="49" t="s">
        <v>258</v>
      </c>
      <c r="F205" s="49"/>
      <c r="G205" s="50" t="s">
        <v>957</v>
      </c>
      <c r="H205" s="50" t="s">
        <v>570</v>
      </c>
      <c r="I205" s="9"/>
      <c r="J205" s="9" t="s">
        <v>407</v>
      </c>
      <c r="K205" s="9"/>
      <c r="L205" s="9"/>
      <c r="M205" s="9"/>
      <c r="N205" s="9"/>
      <c r="O205" s="9"/>
      <c r="P205" s="9"/>
      <c r="Q205" s="9" t="s">
        <v>407</v>
      </c>
      <c r="R205" s="9"/>
      <c r="S205" s="9"/>
      <c r="T205" s="9"/>
      <c r="U205" s="9"/>
      <c r="V205" s="9"/>
      <c r="W205" s="9"/>
      <c r="X205" s="9"/>
      <c r="Y205" s="9"/>
      <c r="Z205" s="55"/>
      <c r="AA205" s="51"/>
      <c r="AB205" s="73"/>
      <c r="AC205" s="74"/>
    </row>
    <row r="206" spans="1:29" s="11" customFormat="1" ht="26" x14ac:dyDescent="0.2">
      <c r="A206" s="9">
        <v>40</v>
      </c>
      <c r="B206" s="9"/>
      <c r="C206" s="9"/>
      <c r="D206" s="9" t="s">
        <v>292</v>
      </c>
      <c r="E206" s="49" t="s">
        <v>44</v>
      </c>
      <c r="F206" s="49"/>
      <c r="G206" s="50" t="s">
        <v>958</v>
      </c>
      <c r="H206" s="50" t="s">
        <v>571</v>
      </c>
      <c r="I206" s="9"/>
      <c r="J206" s="9" t="s">
        <v>407</v>
      </c>
      <c r="K206" s="9"/>
      <c r="L206" s="9"/>
      <c r="M206" s="9"/>
      <c r="N206" s="9"/>
      <c r="O206" s="9"/>
      <c r="P206" s="9"/>
      <c r="Q206" s="9" t="s">
        <v>407</v>
      </c>
      <c r="R206" s="9"/>
      <c r="S206" s="9"/>
      <c r="T206" s="9"/>
      <c r="U206" s="9"/>
      <c r="V206" s="9"/>
      <c r="W206" s="9"/>
      <c r="X206" s="9"/>
      <c r="Y206" s="9"/>
      <c r="Z206" s="55"/>
      <c r="AA206" s="51"/>
      <c r="AB206" s="73"/>
      <c r="AC206" s="74"/>
    </row>
    <row r="207" spans="1:29" s="11" customFormat="1" ht="26" x14ac:dyDescent="0.2">
      <c r="A207" s="9">
        <v>40</v>
      </c>
      <c r="B207" s="9"/>
      <c r="C207" s="9"/>
      <c r="D207" s="9" t="s">
        <v>293</v>
      </c>
      <c r="E207" s="49" t="s">
        <v>44</v>
      </c>
      <c r="F207" s="49"/>
      <c r="G207" s="50" t="s">
        <v>959</v>
      </c>
      <c r="H207" s="50" t="s">
        <v>572</v>
      </c>
      <c r="I207" s="9"/>
      <c r="J207" s="9" t="s">
        <v>407</v>
      </c>
      <c r="K207" s="9"/>
      <c r="L207" s="9"/>
      <c r="M207" s="9"/>
      <c r="N207" s="9"/>
      <c r="O207" s="9"/>
      <c r="P207" s="9"/>
      <c r="Q207" s="9" t="s">
        <v>407</v>
      </c>
      <c r="R207" s="9"/>
      <c r="S207" s="9"/>
      <c r="T207" s="9"/>
      <c r="U207" s="9"/>
      <c r="V207" s="9"/>
      <c r="W207" s="9"/>
      <c r="X207" s="9"/>
      <c r="Y207" s="9"/>
      <c r="Z207" s="55"/>
      <c r="AA207" s="51"/>
      <c r="AB207" s="73"/>
      <c r="AC207" s="74"/>
    </row>
    <row r="208" spans="1:29" s="11" customFormat="1" x14ac:dyDescent="0.2">
      <c r="A208" s="9">
        <v>40</v>
      </c>
      <c r="B208" s="9"/>
      <c r="C208" s="9"/>
      <c r="D208" s="9" t="s">
        <v>248</v>
      </c>
      <c r="E208" s="49" t="s">
        <v>44</v>
      </c>
      <c r="F208" s="49"/>
      <c r="G208" s="50" t="s">
        <v>960</v>
      </c>
      <c r="H208" s="50" t="s">
        <v>573</v>
      </c>
      <c r="I208" s="9"/>
      <c r="J208" s="9" t="s">
        <v>407</v>
      </c>
      <c r="K208" s="9"/>
      <c r="L208" s="9"/>
      <c r="M208" s="9"/>
      <c r="N208" s="9"/>
      <c r="O208" s="9"/>
      <c r="P208" s="9"/>
      <c r="Q208" s="9" t="s">
        <v>407</v>
      </c>
      <c r="R208" s="9"/>
      <c r="S208" s="9"/>
      <c r="T208" s="9"/>
      <c r="U208" s="9"/>
      <c r="V208" s="9"/>
      <c r="W208" s="9"/>
      <c r="X208" s="9"/>
      <c r="Y208" s="9"/>
      <c r="Z208" s="55"/>
      <c r="AA208" s="51"/>
      <c r="AB208" s="73"/>
      <c r="AC208" s="74"/>
    </row>
    <row r="209" spans="1:29" s="11" customFormat="1" x14ac:dyDescent="0.2">
      <c r="A209" s="9">
        <v>40</v>
      </c>
      <c r="B209" s="9"/>
      <c r="C209" s="9"/>
      <c r="D209" s="9" t="s">
        <v>249</v>
      </c>
      <c r="E209" s="49" t="s">
        <v>262</v>
      </c>
      <c r="F209" s="49"/>
      <c r="G209" s="50" t="s">
        <v>961</v>
      </c>
      <c r="H209" s="50" t="s">
        <v>574</v>
      </c>
      <c r="I209" s="9"/>
      <c r="J209" s="9" t="s">
        <v>407</v>
      </c>
      <c r="K209" s="9" t="s">
        <v>575</v>
      </c>
      <c r="L209" s="9"/>
      <c r="M209" s="9"/>
      <c r="N209" s="9"/>
      <c r="O209" s="9"/>
      <c r="P209" s="9"/>
      <c r="Q209" s="9" t="s">
        <v>407</v>
      </c>
      <c r="R209" s="9"/>
      <c r="S209" s="9"/>
      <c r="T209" s="9"/>
      <c r="U209" s="9"/>
      <c r="V209" s="9"/>
      <c r="W209" s="9"/>
      <c r="X209" s="9"/>
      <c r="Y209" s="9"/>
      <c r="Z209" s="55"/>
      <c r="AA209" s="51"/>
      <c r="AB209" s="73"/>
      <c r="AC209" s="74"/>
    </row>
    <row r="210" spans="1:29" s="11" customFormat="1" x14ac:dyDescent="0.2">
      <c r="A210" s="9">
        <v>40</v>
      </c>
      <c r="B210" s="9"/>
      <c r="C210" s="9"/>
      <c r="D210" s="9" t="str">
        <f>D209&amp;"_nm"</f>
        <v>lmt_dt_frm_typ_nm</v>
      </c>
      <c r="E210" s="49" t="str">
        <f>E209&amp;"_NM"</f>
        <v>#MA.LMT_DT_FRM_TYP_NM</v>
      </c>
      <c r="F210" s="49"/>
      <c r="G210" s="50" t="s">
        <v>962</v>
      </c>
      <c r="H210" s="50" t="s">
        <v>576</v>
      </c>
      <c r="I210" s="9"/>
      <c r="J210" s="9" t="s">
        <v>407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55"/>
      <c r="AA210" s="51"/>
      <c r="AB210" s="73"/>
      <c r="AC210" s="74"/>
    </row>
    <row r="211" spans="1:29" s="11" customFormat="1" x14ac:dyDescent="0.2">
      <c r="A211" s="9">
        <v>40</v>
      </c>
      <c r="B211" s="9"/>
      <c r="C211" s="9"/>
      <c r="D211" s="9" t="s">
        <v>250</v>
      </c>
      <c r="E211" s="49" t="s">
        <v>259</v>
      </c>
      <c r="F211" s="49"/>
      <c r="G211" s="50" t="s">
        <v>963</v>
      </c>
      <c r="H211" s="50" t="s">
        <v>577</v>
      </c>
      <c r="I211" s="9"/>
      <c r="J211" s="9" t="s">
        <v>407</v>
      </c>
      <c r="K211" s="9"/>
      <c r="L211" s="9"/>
      <c r="M211" s="9"/>
      <c r="N211" s="9"/>
      <c r="O211" s="9"/>
      <c r="P211" s="9"/>
      <c r="Q211" s="9" t="s">
        <v>407</v>
      </c>
      <c r="R211" s="9"/>
      <c r="S211" s="9"/>
      <c r="T211" s="9"/>
      <c r="U211" s="9"/>
      <c r="V211" s="9"/>
      <c r="W211" s="9"/>
      <c r="X211" s="9"/>
      <c r="Y211" s="9"/>
      <c r="Z211" s="55"/>
      <c r="AA211" s="51"/>
      <c r="AB211" s="73"/>
      <c r="AC211" s="74"/>
    </row>
    <row r="212" spans="1:29" s="11" customFormat="1" x14ac:dyDescent="0.2">
      <c r="A212" s="9">
        <v>40</v>
      </c>
      <c r="B212" s="9"/>
      <c r="C212" s="9"/>
      <c r="D212" s="9" t="s">
        <v>251</v>
      </c>
      <c r="E212" s="49" t="s">
        <v>260</v>
      </c>
      <c r="F212" s="49"/>
      <c r="G212" s="50" t="s">
        <v>964</v>
      </c>
      <c r="H212" s="50" t="s">
        <v>578</v>
      </c>
      <c r="I212" s="9"/>
      <c r="J212" s="9" t="s">
        <v>407</v>
      </c>
      <c r="K212" s="9"/>
      <c r="L212" s="9"/>
      <c r="M212" s="9"/>
      <c r="N212" s="9"/>
      <c r="O212" s="9"/>
      <c r="P212" s="9"/>
      <c r="Q212" s="9" t="s">
        <v>407</v>
      </c>
      <c r="R212" s="9"/>
      <c r="S212" s="9"/>
      <c r="T212" s="9"/>
      <c r="U212" s="9"/>
      <c r="V212" s="9"/>
      <c r="W212" s="9"/>
      <c r="X212" s="9"/>
      <c r="Y212" s="9"/>
      <c r="Z212" s="55"/>
      <c r="AA212" s="51"/>
      <c r="AB212" s="73"/>
      <c r="AC212" s="74"/>
    </row>
    <row r="213" spans="1:29" s="11" customFormat="1" ht="26" x14ac:dyDescent="0.2">
      <c r="A213" s="9">
        <v>40</v>
      </c>
      <c r="B213" s="9"/>
      <c r="C213" s="9"/>
      <c r="D213" s="9" t="s">
        <v>252</v>
      </c>
      <c r="E213" s="49" t="s">
        <v>259</v>
      </c>
      <c r="F213" s="49"/>
      <c r="G213" s="50" t="s">
        <v>965</v>
      </c>
      <c r="H213" s="50" t="s">
        <v>579</v>
      </c>
      <c r="I213" s="9"/>
      <c r="J213" s="9" t="s">
        <v>407</v>
      </c>
      <c r="K213" s="9"/>
      <c r="L213" s="9"/>
      <c r="M213" s="9"/>
      <c r="N213" s="9"/>
      <c r="O213" s="9"/>
      <c r="P213" s="9"/>
      <c r="Q213" s="9" t="s">
        <v>407</v>
      </c>
      <c r="R213" s="9"/>
      <c r="S213" s="9"/>
      <c r="T213" s="9"/>
      <c r="U213" s="9"/>
      <c r="V213" s="9"/>
      <c r="W213" s="9"/>
      <c r="X213" s="9"/>
      <c r="Y213" s="9"/>
      <c r="Z213" s="55"/>
      <c r="AA213" s="51"/>
      <c r="AB213" s="73"/>
      <c r="AC213" s="74"/>
    </row>
    <row r="214" spans="1:29" s="11" customFormat="1" x14ac:dyDescent="0.2">
      <c r="A214" s="9">
        <v>40</v>
      </c>
      <c r="B214" s="9"/>
      <c r="C214" s="9"/>
      <c r="D214" s="9" t="s">
        <v>253</v>
      </c>
      <c r="E214" s="49" t="s">
        <v>263</v>
      </c>
      <c r="F214" s="49"/>
      <c r="G214" s="50" t="s">
        <v>966</v>
      </c>
      <c r="H214" s="50" t="s">
        <v>580</v>
      </c>
      <c r="I214" s="9"/>
      <c r="J214" s="9" t="s">
        <v>407</v>
      </c>
      <c r="K214" s="9" t="s">
        <v>581</v>
      </c>
      <c r="L214" s="9"/>
      <c r="M214" s="9"/>
      <c r="N214" s="9"/>
      <c r="O214" s="9"/>
      <c r="P214" s="9"/>
      <c r="Q214" s="9" t="s">
        <v>407</v>
      </c>
      <c r="R214" s="9"/>
      <c r="S214" s="9"/>
      <c r="T214" s="9"/>
      <c r="U214" s="9"/>
      <c r="V214" s="9"/>
      <c r="W214" s="9"/>
      <c r="X214" s="9"/>
      <c r="Y214" s="9"/>
      <c r="Z214" s="55"/>
      <c r="AA214" s="51"/>
      <c r="AB214" s="73"/>
      <c r="AC214" s="74"/>
    </row>
    <row r="215" spans="1:29" s="11" customFormat="1" x14ac:dyDescent="0.2">
      <c r="A215" s="9">
        <v>40</v>
      </c>
      <c r="B215" s="9"/>
      <c r="C215" s="9"/>
      <c r="D215" s="9" t="str">
        <f>D214&amp;"_nm"</f>
        <v>calc_pd_typ_nm</v>
      </c>
      <c r="E215" s="49" t="str">
        <f>E214&amp;"_NM"</f>
        <v>#MA.CALC_PD_TYP_NM</v>
      </c>
      <c r="F215" s="49"/>
      <c r="G215" s="50" t="s">
        <v>967</v>
      </c>
      <c r="H215" s="50" t="s">
        <v>582</v>
      </c>
      <c r="I215" s="9"/>
      <c r="J215" s="9" t="s">
        <v>407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55"/>
      <c r="AA215" s="51"/>
      <c r="AB215" s="73"/>
      <c r="AC215" s="74"/>
    </row>
    <row r="216" spans="1:29" s="11" customFormat="1" ht="26" x14ac:dyDescent="0.2">
      <c r="A216" s="9">
        <v>40</v>
      </c>
      <c r="B216" s="9"/>
      <c r="C216" s="9"/>
      <c r="D216" s="9" t="s">
        <v>254</v>
      </c>
      <c r="E216" s="49" t="s">
        <v>262</v>
      </c>
      <c r="F216" s="49"/>
      <c r="G216" s="50" t="s">
        <v>968</v>
      </c>
      <c r="H216" s="50" t="s">
        <v>583</v>
      </c>
      <c r="I216" s="9"/>
      <c r="J216" s="9" t="s">
        <v>407</v>
      </c>
      <c r="K216" s="9" t="s">
        <v>575</v>
      </c>
      <c r="L216" s="9"/>
      <c r="M216" s="9"/>
      <c r="N216" s="9"/>
      <c r="O216" s="9"/>
      <c r="P216" s="9"/>
      <c r="Q216" s="9" t="s">
        <v>407</v>
      </c>
      <c r="R216" s="9"/>
      <c r="S216" s="9"/>
      <c r="T216" s="9"/>
      <c r="U216" s="9"/>
      <c r="V216" s="9"/>
      <c r="W216" s="9"/>
      <c r="X216" s="9"/>
      <c r="Y216" s="9"/>
      <c r="Z216" s="55"/>
      <c r="AA216" s="51"/>
      <c r="AB216" s="73"/>
      <c r="AC216" s="74"/>
    </row>
    <row r="217" spans="1:29" s="11" customFormat="1" ht="26" x14ac:dyDescent="0.2">
      <c r="A217" s="9">
        <v>40</v>
      </c>
      <c r="B217" s="9"/>
      <c r="C217" s="9"/>
      <c r="D217" s="9" t="str">
        <f>D216&amp;"_nm"</f>
        <v>lot_insp_lmt_dt_frm_typ_nm</v>
      </c>
      <c r="E217" s="49" t="str">
        <f>E216&amp;"_NM"</f>
        <v>#MA.LMT_DT_FRM_TYP_NM</v>
      </c>
      <c r="F217" s="49"/>
      <c r="G217" s="50" t="s">
        <v>969</v>
      </c>
      <c r="H217" s="50" t="s">
        <v>584</v>
      </c>
      <c r="I217" s="9"/>
      <c r="J217" s="9" t="s">
        <v>407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55"/>
      <c r="AA217" s="51"/>
      <c r="AB217" s="73"/>
      <c r="AC217" s="74"/>
    </row>
    <row r="218" spans="1:29" s="11" customFormat="1" ht="26" x14ac:dyDescent="0.2">
      <c r="A218" s="9">
        <v>40</v>
      </c>
      <c r="B218" s="9"/>
      <c r="C218" s="9"/>
      <c r="D218" s="9" t="s">
        <v>318</v>
      </c>
      <c r="E218" s="49" t="s">
        <v>319</v>
      </c>
      <c r="F218" s="49"/>
      <c r="G218" s="50" t="s">
        <v>970</v>
      </c>
      <c r="H218" s="50" t="s">
        <v>585</v>
      </c>
      <c r="I218" s="9"/>
      <c r="J218" s="9" t="s">
        <v>407</v>
      </c>
      <c r="K218" s="9" t="s">
        <v>586</v>
      </c>
      <c r="L218" s="9"/>
      <c r="M218" s="9"/>
      <c r="N218" s="9"/>
      <c r="O218" s="9"/>
      <c r="P218" s="9"/>
      <c r="Q218" s="9" t="s">
        <v>407</v>
      </c>
      <c r="R218" s="9"/>
      <c r="S218" s="9"/>
      <c r="T218" s="9"/>
      <c r="U218" s="9"/>
      <c r="V218" s="9"/>
      <c r="W218" s="9"/>
      <c r="X218" s="9"/>
      <c r="Y218" s="9"/>
      <c r="Z218" s="55"/>
      <c r="AA218" s="51"/>
      <c r="AB218" s="73"/>
      <c r="AC218" s="74"/>
    </row>
    <row r="219" spans="1:29" s="11" customFormat="1" ht="26" x14ac:dyDescent="0.2">
      <c r="A219" s="9">
        <v>40</v>
      </c>
      <c r="B219" s="9"/>
      <c r="C219" s="9"/>
      <c r="D219" s="9" t="str">
        <f>D218&amp;"_nm"</f>
        <v>insp_inst_issue_typ_nm</v>
      </c>
      <c r="E219" s="49" t="str">
        <f>E218&amp;"_NM"</f>
        <v>#MA.INSP_INST_ISSUE_TYP_NM</v>
      </c>
      <c r="F219" s="49"/>
      <c r="G219" s="50" t="s">
        <v>971</v>
      </c>
      <c r="H219" s="50" t="s">
        <v>587</v>
      </c>
      <c r="I219" s="9"/>
      <c r="J219" s="9" t="s">
        <v>407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55"/>
      <c r="AA219" s="51"/>
      <c r="AB219" s="73"/>
      <c r="AC219" s="74"/>
    </row>
    <row r="220" spans="1:29" s="11" customFormat="1" x14ac:dyDescent="0.2">
      <c r="A220" s="9">
        <v>40</v>
      </c>
      <c r="B220" s="9"/>
      <c r="C220" s="9"/>
      <c r="D220" s="9" t="s">
        <v>255</v>
      </c>
      <c r="E220" s="49" t="s">
        <v>261</v>
      </c>
      <c r="F220" s="49"/>
      <c r="G220" s="50" t="s">
        <v>972</v>
      </c>
      <c r="H220" s="50" t="s">
        <v>588</v>
      </c>
      <c r="I220" s="9"/>
      <c r="J220" s="9" t="s">
        <v>407</v>
      </c>
      <c r="K220" s="9"/>
      <c r="L220" s="9"/>
      <c r="M220" s="9"/>
      <c r="N220" s="9"/>
      <c r="O220" s="9"/>
      <c r="P220" s="9"/>
      <c r="Q220" s="9" t="s">
        <v>407</v>
      </c>
      <c r="R220" s="9"/>
      <c r="S220" s="9"/>
      <c r="T220" s="9"/>
      <c r="U220" s="9"/>
      <c r="V220" s="9"/>
      <c r="W220" s="9"/>
      <c r="X220" s="9"/>
      <c r="Y220" s="9"/>
      <c r="Z220" s="55"/>
      <c r="AA220" s="51"/>
      <c r="AB220" s="73"/>
      <c r="AC220" s="74"/>
    </row>
    <row r="221" spans="1:29" s="11" customFormat="1" ht="26" x14ac:dyDescent="0.2">
      <c r="A221" s="9">
        <v>40</v>
      </c>
      <c r="B221" s="9"/>
      <c r="C221" s="9"/>
      <c r="D221" s="9" t="s">
        <v>389</v>
      </c>
      <c r="E221" s="49" t="s">
        <v>44</v>
      </c>
      <c r="F221" s="49"/>
      <c r="G221" s="50" t="s">
        <v>973</v>
      </c>
      <c r="H221" s="50" t="s">
        <v>589</v>
      </c>
      <c r="I221" s="9"/>
      <c r="J221" s="9" t="s">
        <v>407</v>
      </c>
      <c r="K221" s="9"/>
      <c r="L221" s="9"/>
      <c r="M221" s="9"/>
      <c r="N221" s="9"/>
      <c r="O221" s="9"/>
      <c r="P221" s="9"/>
      <c r="Q221" s="9" t="s">
        <v>407</v>
      </c>
      <c r="R221" s="9"/>
      <c r="S221" s="9"/>
      <c r="T221" s="9"/>
      <c r="U221" s="9"/>
      <c r="V221" s="9"/>
      <c r="W221" s="9"/>
      <c r="X221" s="9"/>
      <c r="Y221" s="9"/>
      <c r="Z221" s="55"/>
      <c r="AA221" s="51"/>
      <c r="AB221" s="73"/>
      <c r="AC221" s="74"/>
    </row>
    <row r="222" spans="1:29" s="11" customFormat="1" x14ac:dyDescent="0.2">
      <c r="A222" s="9">
        <v>40</v>
      </c>
      <c r="B222" s="9"/>
      <c r="C222" s="9"/>
      <c r="D222" s="9" t="s">
        <v>256</v>
      </c>
      <c r="E222" s="49" t="s">
        <v>44</v>
      </c>
      <c r="F222" s="49"/>
      <c r="G222" s="50" t="s">
        <v>974</v>
      </c>
      <c r="H222" s="50" t="s">
        <v>590</v>
      </c>
      <c r="I222" s="9"/>
      <c r="J222" s="9" t="s">
        <v>407</v>
      </c>
      <c r="K222" s="9"/>
      <c r="L222" s="9"/>
      <c r="M222" s="9"/>
      <c r="N222" s="9"/>
      <c r="O222" s="9"/>
      <c r="P222" s="9"/>
      <c r="Q222" s="9" t="s">
        <v>407</v>
      </c>
      <c r="R222" s="9"/>
      <c r="S222" s="9"/>
      <c r="T222" s="9"/>
      <c r="U222" s="9"/>
      <c r="V222" s="9"/>
      <c r="W222" s="9"/>
      <c r="X222" s="9"/>
      <c r="Y222" s="9"/>
      <c r="Z222" s="55"/>
      <c r="AA222" s="51"/>
      <c r="AB222" s="73"/>
      <c r="AC222" s="74"/>
    </row>
    <row r="223" spans="1:29" s="11" customFormat="1" x14ac:dyDescent="0.2">
      <c r="A223" s="9">
        <v>40</v>
      </c>
      <c r="B223" s="9"/>
      <c r="C223" s="9"/>
      <c r="D223" s="9" t="s">
        <v>38</v>
      </c>
      <c r="E223" s="49" t="s">
        <v>39</v>
      </c>
      <c r="F223" s="49"/>
      <c r="G223" s="50" t="s">
        <v>949</v>
      </c>
      <c r="H223" s="50" t="s">
        <v>562</v>
      </c>
      <c r="I223" s="9"/>
      <c r="J223" s="9" t="s">
        <v>407</v>
      </c>
      <c r="K223" s="9"/>
      <c r="L223" s="9"/>
      <c r="M223" s="9"/>
      <c r="N223" s="9"/>
      <c r="O223" s="9"/>
      <c r="P223" s="9"/>
      <c r="Q223" s="9" t="s">
        <v>407</v>
      </c>
      <c r="R223" s="9"/>
      <c r="S223" s="9"/>
      <c r="T223" s="9"/>
      <c r="U223" s="9"/>
      <c r="V223" s="9"/>
      <c r="W223" s="9"/>
      <c r="X223" s="9"/>
      <c r="Y223" s="9"/>
      <c r="Z223" s="55"/>
      <c r="AA223" s="51"/>
      <c r="AB223" s="149"/>
      <c r="AC223" s="150"/>
    </row>
    <row r="224" spans="1:29" s="11" customFormat="1" x14ac:dyDescent="0.2">
      <c r="A224" s="9">
        <v>40</v>
      </c>
      <c r="B224" s="9"/>
      <c r="C224" s="9"/>
      <c r="D224" s="9" t="s">
        <v>42</v>
      </c>
      <c r="E224" s="49" t="s">
        <v>43</v>
      </c>
      <c r="F224" s="49"/>
      <c r="G224" s="50" t="s">
        <v>950</v>
      </c>
      <c r="H224" s="50" t="s">
        <v>563</v>
      </c>
      <c r="I224" s="9"/>
      <c r="J224" s="9" t="s">
        <v>407</v>
      </c>
      <c r="K224" s="9"/>
      <c r="L224" s="9"/>
      <c r="M224" s="9"/>
      <c r="N224" s="9"/>
      <c r="O224" s="9"/>
      <c r="P224" s="9"/>
      <c r="Q224" s="9" t="s">
        <v>407</v>
      </c>
      <c r="R224" s="9"/>
      <c r="S224" s="9"/>
      <c r="T224" s="9"/>
      <c r="U224" s="9"/>
      <c r="V224" s="9"/>
      <c r="W224" s="9"/>
      <c r="X224" s="9"/>
      <c r="Y224" s="9"/>
      <c r="Z224" s="55"/>
      <c r="AA224" s="51"/>
      <c r="AB224" s="149"/>
      <c r="AC224" s="150"/>
    </row>
    <row r="225" spans="1:29" s="11" customFormat="1" x14ac:dyDescent="0.2">
      <c r="A225" s="9">
        <v>40</v>
      </c>
      <c r="B225" s="9"/>
      <c r="C225" s="9"/>
      <c r="D225" s="9" t="s">
        <v>40</v>
      </c>
      <c r="E225" s="49" t="s">
        <v>41</v>
      </c>
      <c r="F225" s="49"/>
      <c r="G225" s="50" t="s">
        <v>951</v>
      </c>
      <c r="H225" s="50" t="s">
        <v>564</v>
      </c>
      <c r="I225" s="9"/>
      <c r="J225" s="9" t="s">
        <v>407</v>
      </c>
      <c r="K225" s="9"/>
      <c r="L225" s="9"/>
      <c r="M225" s="9"/>
      <c r="N225" s="9"/>
      <c r="O225" s="9"/>
      <c r="P225" s="9"/>
      <c r="Q225" s="9" t="s">
        <v>407</v>
      </c>
      <c r="R225" s="9"/>
      <c r="S225" s="9"/>
      <c r="T225" s="9"/>
      <c r="U225" s="9"/>
      <c r="V225" s="9"/>
      <c r="W225" s="9"/>
      <c r="X225" s="9"/>
      <c r="Y225" s="9"/>
      <c r="Z225" s="55"/>
      <c r="AA225" s="51"/>
      <c r="AB225" s="149"/>
      <c r="AC225" s="150"/>
    </row>
    <row r="226" spans="1:29" s="11" customFormat="1" x14ac:dyDescent="0.2">
      <c r="A226" s="9">
        <v>40</v>
      </c>
      <c r="B226" s="9"/>
      <c r="C226" s="9"/>
      <c r="D226" s="9" t="s">
        <v>345</v>
      </c>
      <c r="E226" s="49" t="s">
        <v>307</v>
      </c>
      <c r="F226" s="49"/>
      <c r="G226" s="50" t="s">
        <v>884</v>
      </c>
      <c r="H226" s="50" t="s">
        <v>496</v>
      </c>
      <c r="I226" s="9"/>
      <c r="J226" s="9" t="s">
        <v>407</v>
      </c>
      <c r="K226" s="9"/>
      <c r="L226" s="9"/>
      <c r="M226" s="9"/>
      <c r="N226" s="9"/>
      <c r="O226" s="9"/>
      <c r="P226" s="9"/>
      <c r="Q226" s="9" t="s">
        <v>407</v>
      </c>
      <c r="R226" s="9"/>
      <c r="S226" s="9"/>
      <c r="T226" s="9"/>
      <c r="U226" s="9"/>
      <c r="V226" s="9"/>
      <c r="W226" s="9"/>
      <c r="X226" s="9"/>
      <c r="Y226" s="9"/>
      <c r="Z226" s="55"/>
      <c r="AA226" s="51"/>
      <c r="AB226" s="149"/>
      <c r="AC226" s="150"/>
    </row>
    <row r="227" spans="1:29" s="11" customFormat="1" x14ac:dyDescent="0.2">
      <c r="A227" s="9">
        <v>40</v>
      </c>
      <c r="B227" s="9"/>
      <c r="C227" s="9"/>
      <c r="D227" s="9" t="s">
        <v>92</v>
      </c>
      <c r="E227" s="49" t="s">
        <v>308</v>
      </c>
      <c r="F227" s="49"/>
      <c r="G227" s="50" t="s">
        <v>885</v>
      </c>
      <c r="H227" s="50" t="s">
        <v>497</v>
      </c>
      <c r="I227" s="9"/>
      <c r="J227" s="9" t="s">
        <v>407</v>
      </c>
      <c r="K227" s="9"/>
      <c r="L227" s="9"/>
      <c r="M227" s="9"/>
      <c r="N227" s="9"/>
      <c r="O227" s="9"/>
      <c r="P227" s="9"/>
      <c r="Q227" s="9" t="s">
        <v>407</v>
      </c>
      <c r="R227" s="9"/>
      <c r="S227" s="9"/>
      <c r="T227" s="9"/>
      <c r="U227" s="9"/>
      <c r="V227" s="9"/>
      <c r="W227" s="9"/>
      <c r="X227" s="9"/>
      <c r="Y227" s="9"/>
      <c r="Z227" s="55"/>
      <c r="AA227" s="51"/>
      <c r="AB227" s="149"/>
      <c r="AC227" s="150"/>
    </row>
    <row r="228" spans="1:29" s="11" customFormat="1" x14ac:dyDescent="0.2">
      <c r="A228" s="9">
        <v>40</v>
      </c>
      <c r="B228" s="9"/>
      <c r="C228" s="9"/>
      <c r="D228" s="9" t="s">
        <v>14</v>
      </c>
      <c r="E228" s="49" t="s">
        <v>47</v>
      </c>
      <c r="F228" s="49"/>
      <c r="G228" s="50" t="s">
        <v>886</v>
      </c>
      <c r="H228" s="50" t="s">
        <v>498</v>
      </c>
      <c r="I228" s="9"/>
      <c r="J228" s="9" t="s">
        <v>407</v>
      </c>
      <c r="K228" s="9"/>
      <c r="L228" s="9"/>
      <c r="M228" s="9"/>
      <c r="N228" s="9"/>
      <c r="O228" s="9"/>
      <c r="P228" s="9"/>
      <c r="Q228" s="9" t="s">
        <v>407</v>
      </c>
      <c r="R228" s="9"/>
      <c r="S228" s="9"/>
      <c r="T228" s="9"/>
      <c r="U228" s="9"/>
      <c r="V228" s="9"/>
      <c r="W228" s="9"/>
      <c r="X228" s="9"/>
      <c r="Y228" s="9"/>
      <c r="Z228" s="55"/>
      <c r="AA228" s="51"/>
      <c r="AB228" s="149"/>
      <c r="AC228" s="150"/>
    </row>
    <row r="229" spans="1:29" s="11" customFormat="1" x14ac:dyDescent="0.2">
      <c r="A229" s="9">
        <v>40</v>
      </c>
      <c r="B229" s="9"/>
      <c r="C229" s="9"/>
      <c r="D229" s="9" t="s">
        <v>93</v>
      </c>
      <c r="E229" s="49" t="s">
        <v>94</v>
      </c>
      <c r="F229" s="49"/>
      <c r="G229" s="50" t="s">
        <v>887</v>
      </c>
      <c r="H229" s="50" t="s">
        <v>499</v>
      </c>
      <c r="I229" s="9"/>
      <c r="J229" s="9" t="s">
        <v>407</v>
      </c>
      <c r="K229" s="9"/>
      <c r="L229" s="9"/>
      <c r="M229" s="9"/>
      <c r="N229" s="9"/>
      <c r="O229" s="9"/>
      <c r="P229" s="9"/>
      <c r="Q229" s="9" t="s">
        <v>407</v>
      </c>
      <c r="R229" s="9"/>
      <c r="S229" s="9"/>
      <c r="T229" s="9"/>
      <c r="U229" s="9"/>
      <c r="V229" s="9"/>
      <c r="W229" s="9"/>
      <c r="X229" s="9"/>
      <c r="Y229" s="9"/>
      <c r="Z229" s="55"/>
      <c r="AA229" s="51"/>
      <c r="AB229" s="149"/>
      <c r="AC229" s="150"/>
    </row>
    <row r="230" spans="1:29" s="11" customFormat="1" x14ac:dyDescent="0.2">
      <c r="A230" s="9">
        <v>40</v>
      </c>
      <c r="B230" s="9"/>
      <c r="C230" s="9"/>
      <c r="D230" s="9" t="s">
        <v>95</v>
      </c>
      <c r="E230" s="49" t="s">
        <v>96</v>
      </c>
      <c r="F230" s="49"/>
      <c r="G230" s="50" t="s">
        <v>888</v>
      </c>
      <c r="H230" s="50" t="s">
        <v>500</v>
      </c>
      <c r="I230" s="9"/>
      <c r="J230" s="9" t="s">
        <v>407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55"/>
      <c r="AA230" s="51"/>
      <c r="AB230" s="149"/>
      <c r="AC230" s="150"/>
    </row>
    <row r="231" spans="1:29" s="11" customFormat="1" x14ac:dyDescent="0.2">
      <c r="A231" s="9">
        <v>40</v>
      </c>
      <c r="B231" s="9"/>
      <c r="C231" s="9"/>
      <c r="D231" s="9" t="s">
        <v>57</v>
      </c>
      <c r="E231" s="49" t="s">
        <v>58</v>
      </c>
      <c r="F231" s="49"/>
      <c r="G231" s="50" t="s">
        <v>849</v>
      </c>
      <c r="H231" s="50" t="s">
        <v>450</v>
      </c>
      <c r="I231" s="9"/>
      <c r="J231" s="9" t="s">
        <v>407</v>
      </c>
      <c r="K231" s="9"/>
      <c r="L231" s="9"/>
      <c r="M231" s="9"/>
      <c r="N231" s="9"/>
      <c r="O231" s="9"/>
      <c r="P231" s="9"/>
      <c r="Q231" s="9" t="s">
        <v>407</v>
      </c>
      <c r="R231" s="9"/>
      <c r="S231" s="9"/>
      <c r="T231" s="9"/>
      <c r="U231" s="9"/>
      <c r="V231" s="9"/>
      <c r="W231" s="9"/>
      <c r="X231" s="9"/>
      <c r="Y231" s="9"/>
      <c r="Z231" s="55"/>
      <c r="AA231" s="51"/>
      <c r="AB231" s="149"/>
      <c r="AC231" s="150"/>
    </row>
    <row r="232" spans="1:29" s="11" customFormat="1" x14ac:dyDescent="0.2">
      <c r="A232" s="9">
        <v>40</v>
      </c>
      <c r="B232" s="9"/>
      <c r="C232" s="9"/>
      <c r="D232" s="9" t="s">
        <v>346</v>
      </c>
      <c r="E232" s="49" t="s">
        <v>307</v>
      </c>
      <c r="F232" s="49"/>
      <c r="G232" s="50" t="s">
        <v>889</v>
      </c>
      <c r="H232" s="50" t="s">
        <v>501</v>
      </c>
      <c r="I232" s="9"/>
      <c r="J232" s="9" t="s">
        <v>407</v>
      </c>
      <c r="K232" s="9"/>
      <c r="L232" s="9"/>
      <c r="M232" s="9"/>
      <c r="N232" s="9"/>
      <c r="O232" s="9"/>
      <c r="P232" s="9"/>
      <c r="Q232" s="9" t="s">
        <v>407</v>
      </c>
      <c r="R232" s="9"/>
      <c r="S232" s="9"/>
      <c r="T232" s="9"/>
      <c r="U232" s="9"/>
      <c r="V232" s="9"/>
      <c r="W232" s="9"/>
      <c r="X232" s="9"/>
      <c r="Y232" s="9"/>
      <c r="Z232" s="55"/>
      <c r="AA232" s="51"/>
      <c r="AB232" s="149"/>
      <c r="AC232" s="150"/>
    </row>
    <row r="233" spans="1:29" s="11" customFormat="1" x14ac:dyDescent="0.2">
      <c r="A233" s="9">
        <v>40</v>
      </c>
      <c r="B233" s="9"/>
      <c r="C233" s="9"/>
      <c r="D233" s="9" t="s">
        <v>97</v>
      </c>
      <c r="E233" s="49" t="s">
        <v>308</v>
      </c>
      <c r="F233" s="49"/>
      <c r="G233" s="50" t="s">
        <v>890</v>
      </c>
      <c r="H233" s="50" t="s">
        <v>502</v>
      </c>
      <c r="I233" s="9"/>
      <c r="J233" s="9" t="s">
        <v>407</v>
      </c>
      <c r="K233" s="9"/>
      <c r="L233" s="9"/>
      <c r="M233" s="9"/>
      <c r="N233" s="9"/>
      <c r="O233" s="9"/>
      <c r="P233" s="9"/>
      <c r="Q233" s="9" t="s">
        <v>407</v>
      </c>
      <c r="R233" s="9"/>
      <c r="S233" s="9"/>
      <c r="T233" s="9"/>
      <c r="U233" s="9"/>
      <c r="V233" s="9"/>
      <c r="W233" s="9"/>
      <c r="X233" s="9"/>
      <c r="Y233" s="9"/>
      <c r="Z233" s="55"/>
      <c r="AA233" s="51"/>
      <c r="AB233" s="149"/>
      <c r="AC233" s="150"/>
    </row>
    <row r="234" spans="1:29" s="11" customFormat="1" x14ac:dyDescent="0.2">
      <c r="A234" s="9">
        <v>40</v>
      </c>
      <c r="B234" s="9"/>
      <c r="C234" s="9"/>
      <c r="D234" s="9" t="s">
        <v>15</v>
      </c>
      <c r="E234" s="49" t="s">
        <v>47</v>
      </c>
      <c r="F234" s="49"/>
      <c r="G234" s="50" t="s">
        <v>891</v>
      </c>
      <c r="H234" s="50" t="s">
        <v>503</v>
      </c>
      <c r="I234" s="9"/>
      <c r="J234" s="9" t="s">
        <v>407</v>
      </c>
      <c r="K234" s="9"/>
      <c r="L234" s="9"/>
      <c r="M234" s="9"/>
      <c r="N234" s="9"/>
      <c r="O234" s="9"/>
      <c r="P234" s="9"/>
      <c r="Q234" s="9" t="s">
        <v>407</v>
      </c>
      <c r="R234" s="9"/>
      <c r="S234" s="9"/>
      <c r="T234" s="9"/>
      <c r="U234" s="9"/>
      <c r="V234" s="9"/>
      <c r="W234" s="9"/>
      <c r="X234" s="9"/>
      <c r="Y234" s="9"/>
      <c r="Z234" s="55"/>
      <c r="AA234" s="51"/>
      <c r="AB234" s="149"/>
      <c r="AC234" s="150"/>
    </row>
    <row r="235" spans="1:29" s="11" customFormat="1" x14ac:dyDescent="0.2">
      <c r="A235" s="9">
        <v>40</v>
      </c>
      <c r="B235" s="9"/>
      <c r="C235" s="9"/>
      <c r="D235" s="9" t="s">
        <v>98</v>
      </c>
      <c r="E235" s="49" t="s">
        <v>94</v>
      </c>
      <c r="F235" s="49"/>
      <c r="G235" s="50" t="s">
        <v>892</v>
      </c>
      <c r="H235" s="50" t="s">
        <v>504</v>
      </c>
      <c r="I235" s="9"/>
      <c r="J235" s="9" t="s">
        <v>407</v>
      </c>
      <c r="K235" s="9"/>
      <c r="L235" s="9"/>
      <c r="M235" s="9"/>
      <c r="N235" s="9"/>
      <c r="O235" s="9"/>
      <c r="P235" s="9"/>
      <c r="Q235" s="9" t="s">
        <v>407</v>
      </c>
      <c r="R235" s="9"/>
      <c r="S235" s="9"/>
      <c r="T235" s="9"/>
      <c r="U235" s="9"/>
      <c r="V235" s="9"/>
      <c r="W235" s="9"/>
      <c r="X235" s="9"/>
      <c r="Y235" s="9"/>
      <c r="Z235" s="55"/>
      <c r="AA235" s="51"/>
      <c r="AB235" s="149"/>
      <c r="AC235" s="150"/>
    </row>
    <row r="236" spans="1:29" s="11" customFormat="1" x14ac:dyDescent="0.2">
      <c r="A236" s="9">
        <v>40</v>
      </c>
      <c r="B236" s="9"/>
      <c r="C236" s="9"/>
      <c r="D236" s="9" t="s">
        <v>99</v>
      </c>
      <c r="E236" s="49" t="s">
        <v>96</v>
      </c>
      <c r="F236" s="49"/>
      <c r="G236" s="50" t="s">
        <v>893</v>
      </c>
      <c r="H236" s="50" t="s">
        <v>505</v>
      </c>
      <c r="I236" s="9"/>
      <c r="J236" s="9" t="s">
        <v>407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55"/>
      <c r="AA236" s="51"/>
      <c r="AB236" s="149"/>
      <c r="AC236" s="150"/>
    </row>
    <row r="237" spans="1:29" s="11" customFormat="1" x14ac:dyDescent="0.2">
      <c r="A237" s="9">
        <v>40</v>
      </c>
      <c r="B237" s="9"/>
      <c r="C237" s="9"/>
      <c r="D237" s="9" t="s">
        <v>100</v>
      </c>
      <c r="E237" s="49" t="s">
        <v>46</v>
      </c>
      <c r="F237" s="49"/>
      <c r="G237" s="50" t="s">
        <v>894</v>
      </c>
      <c r="H237" s="50" t="s">
        <v>506</v>
      </c>
      <c r="I237" s="9"/>
      <c r="J237" s="9" t="s">
        <v>407</v>
      </c>
      <c r="K237" s="9"/>
      <c r="L237" s="9"/>
      <c r="M237" s="9"/>
      <c r="N237" s="9"/>
      <c r="O237" s="9"/>
      <c r="P237" s="9"/>
      <c r="Q237" s="9" t="s">
        <v>407</v>
      </c>
      <c r="R237" s="9"/>
      <c r="S237" s="9"/>
      <c r="T237" s="9"/>
      <c r="U237" s="9"/>
      <c r="V237" s="9"/>
      <c r="W237" s="9"/>
      <c r="X237" s="9"/>
      <c r="Y237" s="9"/>
      <c r="Z237" s="55"/>
      <c r="AA237" s="51"/>
      <c r="AB237" s="149"/>
      <c r="AC237" s="150"/>
    </row>
    <row r="238" spans="1:29" s="11" customFormat="1" x14ac:dyDescent="0.2">
      <c r="A238" s="9">
        <v>40</v>
      </c>
      <c r="B238" s="9"/>
      <c r="C238" s="9"/>
      <c r="D238" s="9" t="s">
        <v>143</v>
      </c>
      <c r="E238" s="49" t="s">
        <v>307</v>
      </c>
      <c r="F238" s="49"/>
      <c r="G238" s="50" t="s">
        <v>895</v>
      </c>
      <c r="H238" s="50" t="s">
        <v>507</v>
      </c>
      <c r="I238" s="9"/>
      <c r="J238" s="9" t="s">
        <v>407</v>
      </c>
      <c r="K238" s="9"/>
      <c r="L238" s="9"/>
      <c r="M238" s="9"/>
      <c r="N238" s="9"/>
      <c r="O238" s="9"/>
      <c r="P238" s="9"/>
      <c r="Q238" s="9" t="s">
        <v>407</v>
      </c>
      <c r="R238" s="9"/>
      <c r="S238" s="9"/>
      <c r="T238" s="9"/>
      <c r="U238" s="9"/>
      <c r="V238" s="9"/>
      <c r="W238" s="9"/>
      <c r="X238" s="9"/>
      <c r="Y238" s="9"/>
      <c r="Z238" s="35"/>
      <c r="AA238" s="36"/>
      <c r="AB238" s="149"/>
      <c r="AC238" s="150"/>
    </row>
    <row r="239" spans="1:29" s="11" customFormat="1" x14ac:dyDescent="0.2">
      <c r="A239" s="9">
        <v>40</v>
      </c>
      <c r="B239" s="9"/>
      <c r="C239" s="9"/>
      <c r="D239" s="9" t="s">
        <v>144</v>
      </c>
      <c r="E239" s="49" t="s">
        <v>308</v>
      </c>
      <c r="F239" s="49"/>
      <c r="G239" s="50" t="s">
        <v>896</v>
      </c>
      <c r="H239" s="50" t="s">
        <v>508</v>
      </c>
      <c r="I239" s="9"/>
      <c r="J239" s="9" t="s">
        <v>407</v>
      </c>
      <c r="K239" s="9"/>
      <c r="L239" s="9"/>
      <c r="M239" s="9"/>
      <c r="N239" s="9"/>
      <c r="O239" s="9"/>
      <c r="P239" s="9"/>
      <c r="Q239" s="9" t="s">
        <v>407</v>
      </c>
      <c r="R239" s="9"/>
      <c r="S239" s="9"/>
      <c r="T239" s="9"/>
      <c r="U239" s="9"/>
      <c r="V239" s="9"/>
      <c r="W239" s="9"/>
      <c r="X239" s="9"/>
      <c r="Y239" s="9"/>
      <c r="Z239" s="35"/>
      <c r="AA239" s="36"/>
      <c r="AB239" s="149"/>
      <c r="AC239" s="150"/>
    </row>
    <row r="240" spans="1:29" s="11" customFormat="1" x14ac:dyDescent="0.2">
      <c r="A240" s="9">
        <v>40</v>
      </c>
      <c r="B240" s="9"/>
      <c r="C240" s="9"/>
      <c r="D240" s="9" t="s">
        <v>145</v>
      </c>
      <c r="E240" s="49" t="s">
        <v>47</v>
      </c>
      <c r="F240" s="49"/>
      <c r="G240" s="50" t="s">
        <v>897</v>
      </c>
      <c r="H240" s="50" t="s">
        <v>509</v>
      </c>
      <c r="I240" s="9"/>
      <c r="J240" s="9" t="s">
        <v>407</v>
      </c>
      <c r="K240" s="9"/>
      <c r="L240" s="9"/>
      <c r="M240" s="9"/>
      <c r="N240" s="9"/>
      <c r="O240" s="9"/>
      <c r="P240" s="9"/>
      <c r="Q240" s="9" t="s">
        <v>407</v>
      </c>
      <c r="R240" s="9"/>
      <c r="S240" s="9"/>
      <c r="T240" s="9"/>
      <c r="U240" s="9"/>
      <c r="V240" s="9"/>
      <c r="W240" s="9"/>
      <c r="X240" s="9"/>
      <c r="Y240" s="9"/>
      <c r="Z240" s="55"/>
      <c r="AA240" s="51"/>
      <c r="AB240" s="149"/>
      <c r="AC240" s="150"/>
    </row>
    <row r="241" spans="1:29" s="11" customFormat="1" x14ac:dyDescent="0.2">
      <c r="A241" s="80"/>
      <c r="AC241" s="54"/>
    </row>
    <row r="242" spans="1:29" s="11" customFormat="1" x14ac:dyDescent="0.2">
      <c r="A242" s="9">
        <v>50</v>
      </c>
      <c r="B242" s="37" t="s">
        <v>0</v>
      </c>
      <c r="C242" s="38"/>
      <c r="D242" s="28" t="s">
        <v>114</v>
      </c>
      <c r="E242" s="34" t="s">
        <v>50</v>
      </c>
      <c r="F242" s="58"/>
      <c r="G242" s="28"/>
      <c r="H242" s="45"/>
      <c r="I242" s="59"/>
      <c r="J242" s="60"/>
      <c r="K242" s="60"/>
      <c r="L242" s="48"/>
      <c r="M242" s="48"/>
      <c r="N242" s="48"/>
      <c r="O242" s="48"/>
      <c r="P242" s="48"/>
      <c r="Q242" s="48"/>
      <c r="R242" s="48"/>
      <c r="S242" s="48" t="s">
        <v>21</v>
      </c>
      <c r="T242" s="48"/>
      <c r="U242" s="48"/>
      <c r="V242" s="48"/>
      <c r="W242" s="48"/>
      <c r="X242" s="48"/>
      <c r="Y242" s="48"/>
      <c r="Z242" s="35"/>
      <c r="AA242" s="36"/>
      <c r="AB242" s="73"/>
      <c r="AC242" s="75"/>
    </row>
    <row r="243" spans="1:29" s="11" customFormat="1" x14ac:dyDescent="0.2">
      <c r="A243" s="9">
        <v>50</v>
      </c>
      <c r="B243" s="9"/>
      <c r="C243" s="9"/>
      <c r="D243" s="9" t="s">
        <v>56</v>
      </c>
      <c r="E243" s="49" t="s">
        <v>45</v>
      </c>
      <c r="F243" s="49"/>
      <c r="G243" s="50" t="s">
        <v>898</v>
      </c>
      <c r="H243" s="50" t="s">
        <v>510</v>
      </c>
      <c r="I243" s="9"/>
      <c r="J243" s="9" t="s">
        <v>407</v>
      </c>
      <c r="K243" s="9"/>
      <c r="L243" s="9"/>
      <c r="M243" s="9"/>
      <c r="N243" s="9"/>
      <c r="O243" s="9"/>
      <c r="P243" s="9"/>
      <c r="Q243" s="9"/>
      <c r="R243" s="9"/>
      <c r="S243" s="9" t="s">
        <v>407</v>
      </c>
      <c r="T243" s="9"/>
      <c r="U243" s="9"/>
      <c r="V243" s="9"/>
      <c r="W243" s="9"/>
      <c r="X243" s="9"/>
      <c r="Y243" s="9"/>
      <c r="Z243" s="55"/>
      <c r="AA243" s="51"/>
      <c r="AB243" s="149"/>
      <c r="AC243" s="150"/>
    </row>
    <row r="244" spans="1:29" s="11" customFormat="1" x14ac:dyDescent="0.2">
      <c r="A244" s="9">
        <v>50</v>
      </c>
      <c r="B244" s="9"/>
      <c r="C244" s="9"/>
      <c r="D244" s="9" t="s">
        <v>198</v>
      </c>
      <c r="E244" s="49" t="s">
        <v>86</v>
      </c>
      <c r="F244" s="49"/>
      <c r="G244" s="50" t="s">
        <v>899</v>
      </c>
      <c r="H244" s="50" t="s">
        <v>511</v>
      </c>
      <c r="I244" s="9"/>
      <c r="J244" s="9" t="s">
        <v>407</v>
      </c>
      <c r="K244" s="9"/>
      <c r="L244" s="9"/>
      <c r="M244" s="9"/>
      <c r="N244" s="9"/>
      <c r="O244" s="9"/>
      <c r="P244" s="9"/>
      <c r="Q244" s="9"/>
      <c r="R244" s="9"/>
      <c r="S244" s="9" t="s">
        <v>407</v>
      </c>
      <c r="T244" s="9"/>
      <c r="U244" s="9"/>
      <c r="V244" s="9"/>
      <c r="W244" s="9"/>
      <c r="X244" s="9"/>
      <c r="Y244" s="9"/>
      <c r="Z244" s="55"/>
      <c r="AA244" s="51"/>
      <c r="AB244" s="73"/>
      <c r="AC244" s="74"/>
    </row>
    <row r="245" spans="1:29" s="11" customFormat="1" x14ac:dyDescent="0.2">
      <c r="A245" s="9">
        <v>50</v>
      </c>
      <c r="B245" s="9"/>
      <c r="C245" s="9"/>
      <c r="D245" s="9" t="s">
        <v>125</v>
      </c>
      <c r="E245" s="49" t="s">
        <v>75</v>
      </c>
      <c r="F245" s="49"/>
      <c r="G245" s="50" t="s">
        <v>902</v>
      </c>
      <c r="H245" s="50" t="s">
        <v>514</v>
      </c>
      <c r="I245" s="9"/>
      <c r="J245" s="9" t="s">
        <v>407</v>
      </c>
      <c r="K245" s="9"/>
      <c r="L245" s="9"/>
      <c r="M245" s="9"/>
      <c r="N245" s="9"/>
      <c r="O245" s="9"/>
      <c r="P245" s="9"/>
      <c r="Q245" s="9"/>
      <c r="R245" s="9"/>
      <c r="S245" s="9" t="s">
        <v>407</v>
      </c>
      <c r="T245" s="9"/>
      <c r="U245" s="9"/>
      <c r="V245" s="9"/>
      <c r="W245" s="9"/>
      <c r="X245" s="9"/>
      <c r="Y245" s="9"/>
      <c r="Z245" s="55"/>
      <c r="AA245" s="51"/>
      <c r="AB245" s="149"/>
      <c r="AC245" s="150"/>
    </row>
    <row r="246" spans="1:29" s="11" customFormat="1" x14ac:dyDescent="0.2">
      <c r="A246" s="9">
        <v>50</v>
      </c>
      <c r="B246" s="9"/>
      <c r="C246" s="9"/>
      <c r="D246" s="9" t="s">
        <v>126</v>
      </c>
      <c r="E246" s="49" t="s">
        <v>76</v>
      </c>
      <c r="F246" s="49"/>
      <c r="G246" s="50" t="s">
        <v>903</v>
      </c>
      <c r="H246" s="50" t="s">
        <v>515</v>
      </c>
      <c r="I246" s="9"/>
      <c r="J246" s="9" t="s">
        <v>407</v>
      </c>
      <c r="K246" s="9"/>
      <c r="L246" s="9"/>
      <c r="M246" s="9"/>
      <c r="N246" s="9"/>
      <c r="O246" s="9"/>
      <c r="P246" s="9"/>
      <c r="Q246" s="9"/>
      <c r="R246" s="9"/>
      <c r="S246" s="9" t="s">
        <v>407</v>
      </c>
      <c r="T246" s="9"/>
      <c r="U246" s="9"/>
      <c r="V246" s="9"/>
      <c r="W246" s="9"/>
      <c r="X246" s="9"/>
      <c r="Y246" s="9"/>
      <c r="Z246" s="55"/>
      <c r="AA246" s="51"/>
      <c r="AB246" s="149"/>
      <c r="AC246" s="150"/>
    </row>
    <row r="247" spans="1:29" s="11" customFormat="1" x14ac:dyDescent="0.2">
      <c r="A247" s="9">
        <v>50</v>
      </c>
      <c r="B247" s="9"/>
      <c r="C247" s="9"/>
      <c r="D247" s="9" t="s">
        <v>127</v>
      </c>
      <c r="E247" s="49" t="s">
        <v>77</v>
      </c>
      <c r="F247" s="49"/>
      <c r="G247" s="50" t="s">
        <v>904</v>
      </c>
      <c r="H247" s="50" t="s">
        <v>516</v>
      </c>
      <c r="I247" s="9"/>
      <c r="J247" s="9" t="s">
        <v>407</v>
      </c>
      <c r="K247" s="9"/>
      <c r="L247" s="9"/>
      <c r="M247" s="9"/>
      <c r="N247" s="9"/>
      <c r="O247" s="9"/>
      <c r="P247" s="9"/>
      <c r="Q247" s="9"/>
      <c r="R247" s="9"/>
      <c r="S247" s="9" t="s">
        <v>407</v>
      </c>
      <c r="T247" s="9"/>
      <c r="U247" s="9"/>
      <c r="V247" s="9"/>
      <c r="W247" s="9"/>
      <c r="X247" s="9"/>
      <c r="Y247" s="9"/>
      <c r="Z247" s="55"/>
      <c r="AA247" s="51"/>
      <c r="AB247" s="149"/>
      <c r="AC247" s="150"/>
    </row>
    <row r="248" spans="1:29" s="11" customFormat="1" x14ac:dyDescent="0.2">
      <c r="A248" s="9">
        <v>50</v>
      </c>
      <c r="B248" s="9"/>
      <c r="C248" s="9"/>
      <c r="D248" s="9" t="s">
        <v>128</v>
      </c>
      <c r="E248" s="49" t="s">
        <v>78</v>
      </c>
      <c r="F248" s="49"/>
      <c r="G248" s="50" t="s">
        <v>905</v>
      </c>
      <c r="H248" s="50" t="s">
        <v>517</v>
      </c>
      <c r="I248" s="9"/>
      <c r="J248" s="9" t="s">
        <v>407</v>
      </c>
      <c r="K248" s="9"/>
      <c r="L248" s="9"/>
      <c r="M248" s="9"/>
      <c r="N248" s="9"/>
      <c r="O248" s="9"/>
      <c r="P248" s="9"/>
      <c r="Q248" s="9"/>
      <c r="R248" s="9"/>
      <c r="S248" s="9" t="s">
        <v>407</v>
      </c>
      <c r="T248" s="9"/>
      <c r="U248" s="9"/>
      <c r="V248" s="9"/>
      <c r="W248" s="9"/>
      <c r="X248" s="9"/>
      <c r="Y248" s="9"/>
      <c r="Z248" s="55"/>
      <c r="AA248" s="51"/>
      <c r="AB248" s="73"/>
      <c r="AC248" s="74"/>
    </row>
    <row r="249" spans="1:29" s="11" customFormat="1" x14ac:dyDescent="0.2">
      <c r="A249" s="9">
        <v>50</v>
      </c>
      <c r="B249" s="9"/>
      <c r="C249" s="9"/>
      <c r="D249" s="9" t="s">
        <v>129</v>
      </c>
      <c r="E249" s="49" t="s">
        <v>130</v>
      </c>
      <c r="F249" s="49"/>
      <c r="G249" s="50" t="s">
        <v>906</v>
      </c>
      <c r="H249" s="50" t="s">
        <v>518</v>
      </c>
      <c r="I249" s="9"/>
      <c r="J249" s="9" t="s">
        <v>407</v>
      </c>
      <c r="K249" s="9"/>
      <c r="L249" s="9"/>
      <c r="M249" s="9"/>
      <c r="N249" s="9"/>
      <c r="O249" s="9"/>
      <c r="P249" s="9"/>
      <c r="Q249" s="9"/>
      <c r="R249" s="9"/>
      <c r="S249" s="9" t="s">
        <v>407</v>
      </c>
      <c r="T249" s="9"/>
      <c r="U249" s="9"/>
      <c r="V249" s="9"/>
      <c r="W249" s="9"/>
      <c r="X249" s="9"/>
      <c r="Y249" s="9"/>
      <c r="Z249" s="55"/>
      <c r="AA249" s="51"/>
      <c r="AB249" s="73"/>
      <c r="AC249" s="74"/>
    </row>
    <row r="250" spans="1:29" s="11" customFormat="1" x14ac:dyDescent="0.2">
      <c r="A250" s="9">
        <v>50</v>
      </c>
      <c r="B250" s="9"/>
      <c r="C250" s="9"/>
      <c r="D250" s="9" t="s">
        <v>362</v>
      </c>
      <c r="E250" s="49" t="s">
        <v>366</v>
      </c>
      <c r="F250" s="49"/>
      <c r="G250" s="50" t="s">
        <v>907</v>
      </c>
      <c r="H250" s="50" t="s">
        <v>519</v>
      </c>
      <c r="I250" s="9"/>
      <c r="J250" s="9" t="s">
        <v>407</v>
      </c>
      <c r="K250" s="9" t="s">
        <v>520</v>
      </c>
      <c r="L250" s="9"/>
      <c r="M250" s="9"/>
      <c r="N250" s="9"/>
      <c r="O250" s="9"/>
      <c r="P250" s="9"/>
      <c r="Q250" s="9"/>
      <c r="R250" s="9"/>
      <c r="S250" s="9" t="s">
        <v>407</v>
      </c>
      <c r="T250" s="9"/>
      <c r="U250" s="9"/>
      <c r="V250" s="9"/>
      <c r="W250" s="9"/>
      <c r="X250" s="9"/>
      <c r="Y250" s="9"/>
      <c r="Z250" s="55"/>
      <c r="AA250" s="51"/>
      <c r="AB250" s="73"/>
      <c r="AC250" s="74"/>
    </row>
    <row r="251" spans="1:29" s="11" customFormat="1" x14ac:dyDescent="0.2">
      <c r="A251" s="9">
        <v>50</v>
      </c>
      <c r="B251" s="9"/>
      <c r="C251" s="9"/>
      <c r="D251" s="9" t="s">
        <v>363</v>
      </c>
      <c r="E251" s="49" t="s">
        <v>367</v>
      </c>
      <c r="F251" s="49"/>
      <c r="G251" s="50" t="s">
        <v>908</v>
      </c>
      <c r="H251" s="50" t="s">
        <v>521</v>
      </c>
      <c r="I251" s="9"/>
      <c r="J251" s="9" t="s">
        <v>407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55"/>
      <c r="AA251" s="51"/>
      <c r="AB251" s="73"/>
      <c r="AC251" s="74"/>
    </row>
    <row r="252" spans="1:29" s="11" customFormat="1" x14ac:dyDescent="0.2">
      <c r="A252" s="9">
        <v>50</v>
      </c>
      <c r="B252" s="9"/>
      <c r="C252" s="9"/>
      <c r="D252" s="9" t="s">
        <v>364</v>
      </c>
      <c r="E252" s="49" t="s">
        <v>368</v>
      </c>
      <c r="F252" s="49"/>
      <c r="G252" s="50" t="s">
        <v>909</v>
      </c>
      <c r="H252" s="50" t="s">
        <v>522</v>
      </c>
      <c r="I252" s="9"/>
      <c r="J252" s="9" t="s">
        <v>407</v>
      </c>
      <c r="K252" s="9"/>
      <c r="L252" s="9"/>
      <c r="M252" s="9"/>
      <c r="N252" s="9"/>
      <c r="O252" s="9"/>
      <c r="P252" s="9"/>
      <c r="Q252" s="9"/>
      <c r="R252" s="9"/>
      <c r="S252" s="9" t="s">
        <v>407</v>
      </c>
      <c r="T252" s="9"/>
      <c r="U252" s="9"/>
      <c r="V252" s="9"/>
      <c r="W252" s="9"/>
      <c r="X252" s="9"/>
      <c r="Y252" s="9"/>
      <c r="Z252" s="55"/>
      <c r="AA252" s="51"/>
      <c r="AB252" s="73"/>
      <c r="AC252" s="74"/>
    </row>
    <row r="253" spans="1:29" s="11" customFormat="1" x14ac:dyDescent="0.2">
      <c r="A253" s="9">
        <v>50</v>
      </c>
      <c r="B253" s="9"/>
      <c r="C253" s="9"/>
      <c r="D253" s="9" t="s">
        <v>365</v>
      </c>
      <c r="E253" s="49" t="s">
        <v>369</v>
      </c>
      <c r="F253" s="49"/>
      <c r="G253" s="50" t="s">
        <v>910</v>
      </c>
      <c r="H253" s="50" t="s">
        <v>523</v>
      </c>
      <c r="I253" s="9"/>
      <c r="J253" s="9" t="s">
        <v>407</v>
      </c>
      <c r="K253" s="9"/>
      <c r="L253" s="9"/>
      <c r="M253" s="9"/>
      <c r="N253" s="9"/>
      <c r="O253" s="9"/>
      <c r="P253" s="9"/>
      <c r="Q253" s="9"/>
      <c r="R253" s="9"/>
      <c r="S253" s="9" t="s">
        <v>407</v>
      </c>
      <c r="T253" s="9"/>
      <c r="U253" s="9"/>
      <c r="V253" s="9"/>
      <c r="W253" s="9"/>
      <c r="X253" s="9"/>
      <c r="Y253" s="9"/>
      <c r="Z253" s="55"/>
      <c r="AA253" s="51"/>
      <c r="AB253" s="73"/>
      <c r="AC253" s="74"/>
    </row>
    <row r="254" spans="1:29" s="11" customFormat="1" x14ac:dyDescent="0.2">
      <c r="A254" s="9">
        <v>50</v>
      </c>
      <c r="B254" s="9"/>
      <c r="C254" s="9"/>
      <c r="D254" s="9" t="s">
        <v>385</v>
      </c>
      <c r="E254" s="49" t="s">
        <v>387</v>
      </c>
      <c r="F254" s="49"/>
      <c r="G254" s="50" t="s">
        <v>916</v>
      </c>
      <c r="H254" s="50" t="s">
        <v>529</v>
      </c>
      <c r="I254" s="9"/>
      <c r="J254" s="9" t="s">
        <v>407</v>
      </c>
      <c r="K254" s="9"/>
      <c r="L254" s="9"/>
      <c r="M254" s="9"/>
      <c r="N254" s="9"/>
      <c r="O254" s="9"/>
      <c r="P254" s="9"/>
      <c r="Q254" s="9"/>
      <c r="R254" s="9"/>
      <c r="S254" s="9" t="s">
        <v>407</v>
      </c>
      <c r="T254" s="9"/>
      <c r="U254" s="9"/>
      <c r="V254" s="9"/>
      <c r="W254" s="9"/>
      <c r="X254" s="9"/>
      <c r="Y254" s="9"/>
      <c r="Z254" s="55"/>
      <c r="AA254" s="51"/>
      <c r="AB254" s="73"/>
      <c r="AC254" s="75"/>
    </row>
    <row r="255" spans="1:29" s="11" customFormat="1" x14ac:dyDescent="0.2">
      <c r="A255" s="9">
        <v>50</v>
      </c>
      <c r="B255" s="9"/>
      <c r="C255" s="9"/>
      <c r="D255" s="9" t="s">
        <v>386</v>
      </c>
      <c r="E255" s="49" t="s">
        <v>388</v>
      </c>
      <c r="F255" s="49"/>
      <c r="G255" s="50" t="s">
        <v>917</v>
      </c>
      <c r="H255" s="50" t="s">
        <v>530</v>
      </c>
      <c r="I255" s="9"/>
      <c r="J255" s="9" t="s">
        <v>407</v>
      </c>
      <c r="K255" s="9"/>
      <c r="L255" s="9"/>
      <c r="M255" s="9"/>
      <c r="N255" s="9"/>
      <c r="O255" s="9"/>
      <c r="P255" s="9"/>
      <c r="Q255" s="9"/>
      <c r="R255" s="9"/>
      <c r="S255" s="9" t="s">
        <v>407</v>
      </c>
      <c r="T255" s="9"/>
      <c r="U255" s="9"/>
      <c r="V255" s="9"/>
      <c r="W255" s="9"/>
      <c r="X255" s="9"/>
      <c r="Y255" s="9"/>
      <c r="Z255" s="55"/>
      <c r="AA255" s="51"/>
      <c r="AB255" s="73"/>
      <c r="AC255" s="75"/>
    </row>
    <row r="256" spans="1:29" s="11" customFormat="1" x14ac:dyDescent="0.2">
      <c r="A256" s="9">
        <v>50</v>
      </c>
      <c r="B256" s="9"/>
      <c r="C256" s="9"/>
      <c r="D256" s="9" t="s">
        <v>265</v>
      </c>
      <c r="E256" s="49" t="s">
        <v>267</v>
      </c>
      <c r="F256" s="49"/>
      <c r="G256" s="50" t="s">
        <v>975</v>
      </c>
      <c r="H256" s="50" t="s">
        <v>591</v>
      </c>
      <c r="I256" s="9"/>
      <c r="J256" s="9" t="s">
        <v>407</v>
      </c>
      <c r="K256" s="9"/>
      <c r="L256" s="9"/>
      <c r="M256" s="9"/>
      <c r="N256" s="9"/>
      <c r="O256" s="9"/>
      <c r="P256" s="9"/>
      <c r="Q256" s="9"/>
      <c r="R256" s="9"/>
      <c r="S256" s="9" t="s">
        <v>407</v>
      </c>
      <c r="T256" s="9"/>
      <c r="U256" s="9"/>
      <c r="V256" s="9"/>
      <c r="W256" s="9"/>
      <c r="X256" s="9"/>
      <c r="Y256" s="9"/>
      <c r="Z256" s="55"/>
      <c r="AA256" s="51"/>
      <c r="AB256" s="73"/>
      <c r="AC256" s="74"/>
    </row>
    <row r="257" spans="1:29" s="11" customFormat="1" x14ac:dyDescent="0.2">
      <c r="A257" s="9">
        <v>50</v>
      </c>
      <c r="B257" s="9"/>
      <c r="C257" s="9"/>
      <c r="D257" s="9" t="s">
        <v>266</v>
      </c>
      <c r="E257" s="49" t="s">
        <v>268</v>
      </c>
      <c r="F257" s="49"/>
      <c r="G257" s="50" t="s">
        <v>976</v>
      </c>
      <c r="H257" s="50" t="s">
        <v>592</v>
      </c>
      <c r="I257" s="9"/>
      <c r="J257" s="9" t="s">
        <v>407</v>
      </c>
      <c r="K257" s="9"/>
      <c r="L257" s="9"/>
      <c r="M257" s="9"/>
      <c r="N257" s="9"/>
      <c r="O257" s="9"/>
      <c r="P257" s="9"/>
      <c r="Q257" s="9"/>
      <c r="R257" s="9"/>
      <c r="S257" s="9" t="s">
        <v>407</v>
      </c>
      <c r="T257" s="9"/>
      <c r="U257" s="9"/>
      <c r="V257" s="9"/>
      <c r="W257" s="9"/>
      <c r="X257" s="9"/>
      <c r="Y257" s="9"/>
      <c r="Z257" s="55"/>
      <c r="AA257" s="51"/>
      <c r="AB257" s="73"/>
      <c r="AC257" s="74"/>
    </row>
    <row r="258" spans="1:29" s="11" customFormat="1" x14ac:dyDescent="0.2">
      <c r="A258" s="9">
        <v>50</v>
      </c>
      <c r="B258" s="9"/>
      <c r="C258" s="9"/>
      <c r="D258" s="9" t="s">
        <v>79</v>
      </c>
      <c r="E258" s="49" t="s">
        <v>74</v>
      </c>
      <c r="F258" s="49"/>
      <c r="G258" s="50" t="s">
        <v>920</v>
      </c>
      <c r="H258" s="50" t="s">
        <v>533</v>
      </c>
      <c r="I258" s="9"/>
      <c r="J258" s="9" t="s">
        <v>407</v>
      </c>
      <c r="K258" s="9"/>
      <c r="L258" s="9"/>
      <c r="M258" s="9"/>
      <c r="N258" s="9"/>
      <c r="O258" s="9"/>
      <c r="P258" s="9"/>
      <c r="Q258" s="9"/>
      <c r="R258" s="9"/>
      <c r="S258" s="9" t="s">
        <v>407</v>
      </c>
      <c r="T258" s="9"/>
      <c r="U258" s="9"/>
      <c r="V258" s="9"/>
      <c r="W258" s="9"/>
      <c r="X258" s="9"/>
      <c r="Y258" s="9"/>
      <c r="Z258" s="55"/>
      <c r="AA258" s="51"/>
      <c r="AB258" s="73"/>
      <c r="AC258" s="74"/>
    </row>
    <row r="259" spans="1:29" s="11" customFormat="1" x14ac:dyDescent="0.2">
      <c r="A259" s="9">
        <v>50</v>
      </c>
      <c r="B259" s="9"/>
      <c r="C259" s="9"/>
      <c r="D259" s="9" t="s">
        <v>80</v>
      </c>
      <c r="E259" s="49" t="s">
        <v>74</v>
      </c>
      <c r="F259" s="49"/>
      <c r="G259" s="50" t="s">
        <v>921</v>
      </c>
      <c r="H259" s="50" t="s">
        <v>534</v>
      </c>
      <c r="I259" s="9"/>
      <c r="J259" s="9" t="s">
        <v>407</v>
      </c>
      <c r="K259" s="9"/>
      <c r="L259" s="9"/>
      <c r="M259" s="9"/>
      <c r="N259" s="9"/>
      <c r="O259" s="9"/>
      <c r="P259" s="9"/>
      <c r="Q259" s="9"/>
      <c r="R259" s="9"/>
      <c r="S259" s="9" t="s">
        <v>407</v>
      </c>
      <c r="T259" s="9"/>
      <c r="U259" s="9"/>
      <c r="V259" s="9"/>
      <c r="W259" s="9"/>
      <c r="X259" s="9"/>
      <c r="Y259" s="9"/>
      <c r="Z259" s="55"/>
      <c r="AA259" s="51"/>
      <c r="AB259" s="73"/>
      <c r="AC259" s="74"/>
    </row>
    <row r="260" spans="1:29" s="11" customFormat="1" x14ac:dyDescent="0.2">
      <c r="A260" s="9">
        <v>50</v>
      </c>
      <c r="B260" s="9"/>
      <c r="C260" s="9"/>
      <c r="D260" s="9" t="s">
        <v>218</v>
      </c>
      <c r="E260" s="49" t="s">
        <v>205</v>
      </c>
      <c r="F260" s="49"/>
      <c r="G260" s="50" t="s">
        <v>924</v>
      </c>
      <c r="H260" s="50" t="s">
        <v>538</v>
      </c>
      <c r="I260" s="9"/>
      <c r="J260" s="9" t="s">
        <v>407</v>
      </c>
      <c r="K260" s="9"/>
      <c r="L260" s="9"/>
      <c r="M260" s="9"/>
      <c r="N260" s="9"/>
      <c r="O260" s="9"/>
      <c r="P260" s="9"/>
      <c r="Q260" s="9"/>
      <c r="R260" s="9"/>
      <c r="S260" s="9" t="s">
        <v>407</v>
      </c>
      <c r="T260" s="9"/>
      <c r="U260" s="9"/>
      <c r="V260" s="9"/>
      <c r="W260" s="9"/>
      <c r="X260" s="9"/>
      <c r="Y260" s="9"/>
      <c r="Z260" s="55"/>
      <c r="AA260" s="51"/>
      <c r="AB260" s="73"/>
      <c r="AC260" s="74"/>
    </row>
    <row r="261" spans="1:29" s="11" customFormat="1" ht="26" x14ac:dyDescent="0.2">
      <c r="A261" s="9">
        <v>50</v>
      </c>
      <c r="B261" s="9"/>
      <c r="C261" s="9"/>
      <c r="D261" s="9" t="s">
        <v>676</v>
      </c>
      <c r="E261" s="49" t="s">
        <v>206</v>
      </c>
      <c r="F261" s="49"/>
      <c r="G261" s="50" t="s">
        <v>925</v>
      </c>
      <c r="H261" s="50" t="s">
        <v>690</v>
      </c>
      <c r="I261" s="9"/>
      <c r="J261" s="9" t="s">
        <v>407</v>
      </c>
      <c r="K261" s="9"/>
      <c r="L261" s="9"/>
      <c r="M261" s="9"/>
      <c r="N261" s="9"/>
      <c r="O261" s="9"/>
      <c r="P261" s="9"/>
      <c r="Q261" s="9"/>
      <c r="R261" s="9"/>
      <c r="S261" s="9" t="s">
        <v>407</v>
      </c>
      <c r="T261" s="9"/>
      <c r="U261" s="9"/>
      <c r="V261" s="9"/>
      <c r="W261" s="9"/>
      <c r="X261" s="9"/>
      <c r="Y261" s="9"/>
      <c r="Z261" s="55"/>
      <c r="AA261" s="51"/>
      <c r="AB261" s="73"/>
      <c r="AC261" s="74"/>
    </row>
    <row r="262" spans="1:29" s="11" customFormat="1" x14ac:dyDescent="0.2">
      <c r="A262" s="9">
        <v>50</v>
      </c>
      <c r="B262" s="9"/>
      <c r="C262" s="9"/>
      <c r="D262" s="9" t="s">
        <v>38</v>
      </c>
      <c r="E262" s="49" t="s">
        <v>39</v>
      </c>
      <c r="F262" s="49"/>
      <c r="G262" s="50" t="s">
        <v>949</v>
      </c>
      <c r="H262" s="50" t="s">
        <v>562</v>
      </c>
      <c r="I262" s="9"/>
      <c r="J262" s="9" t="s">
        <v>407</v>
      </c>
      <c r="K262" s="9"/>
      <c r="L262" s="9"/>
      <c r="M262" s="9"/>
      <c r="N262" s="9"/>
      <c r="O262" s="9"/>
      <c r="P262" s="9"/>
      <c r="Q262" s="9"/>
      <c r="R262" s="9"/>
      <c r="S262" s="9" t="s">
        <v>407</v>
      </c>
      <c r="T262" s="9"/>
      <c r="U262" s="9"/>
      <c r="V262" s="9"/>
      <c r="W262" s="9"/>
      <c r="X262" s="9"/>
      <c r="Y262" s="9"/>
      <c r="Z262" s="55"/>
      <c r="AA262" s="51"/>
      <c r="AB262" s="149"/>
      <c r="AC262" s="150"/>
    </row>
    <row r="263" spans="1:29" s="11" customFormat="1" x14ac:dyDescent="0.2">
      <c r="A263" s="9">
        <v>50</v>
      </c>
      <c r="B263" s="9"/>
      <c r="C263" s="9"/>
      <c r="D263" s="9" t="s">
        <v>42</v>
      </c>
      <c r="E263" s="49" t="s">
        <v>43</v>
      </c>
      <c r="F263" s="49"/>
      <c r="G263" s="50" t="s">
        <v>950</v>
      </c>
      <c r="H263" s="50" t="s">
        <v>563</v>
      </c>
      <c r="I263" s="9"/>
      <c r="J263" s="9" t="s">
        <v>407</v>
      </c>
      <c r="K263" s="9"/>
      <c r="L263" s="9"/>
      <c r="M263" s="9"/>
      <c r="N263" s="9"/>
      <c r="O263" s="9"/>
      <c r="P263" s="9"/>
      <c r="Q263" s="9"/>
      <c r="R263" s="9"/>
      <c r="S263" s="9" t="s">
        <v>407</v>
      </c>
      <c r="T263" s="9"/>
      <c r="U263" s="9"/>
      <c r="V263" s="9"/>
      <c r="W263" s="9"/>
      <c r="X263" s="9"/>
      <c r="Y263" s="9"/>
      <c r="Z263" s="55"/>
      <c r="AA263" s="51"/>
      <c r="AB263" s="149"/>
      <c r="AC263" s="150"/>
    </row>
    <row r="264" spans="1:29" s="11" customFormat="1" x14ac:dyDescent="0.2">
      <c r="A264" s="9">
        <v>50</v>
      </c>
      <c r="B264" s="9"/>
      <c r="C264" s="9"/>
      <c r="D264" s="9" t="s">
        <v>40</v>
      </c>
      <c r="E264" s="49" t="s">
        <v>41</v>
      </c>
      <c r="F264" s="49"/>
      <c r="G264" s="50" t="s">
        <v>951</v>
      </c>
      <c r="H264" s="50" t="s">
        <v>564</v>
      </c>
      <c r="I264" s="9"/>
      <c r="J264" s="9" t="s">
        <v>407</v>
      </c>
      <c r="K264" s="9"/>
      <c r="L264" s="9"/>
      <c r="M264" s="9"/>
      <c r="N264" s="9"/>
      <c r="O264" s="9"/>
      <c r="P264" s="9"/>
      <c r="Q264" s="9"/>
      <c r="R264" s="9"/>
      <c r="S264" s="9" t="s">
        <v>407</v>
      </c>
      <c r="T264" s="9"/>
      <c r="U264" s="9"/>
      <c r="V264" s="9"/>
      <c r="W264" s="9"/>
      <c r="X264" s="9"/>
      <c r="Y264" s="9"/>
      <c r="Z264" s="55"/>
      <c r="AA264" s="51"/>
      <c r="AB264" s="149"/>
      <c r="AC264" s="150"/>
    </row>
    <row r="265" spans="1:29" s="11" customFormat="1" x14ac:dyDescent="0.2">
      <c r="A265" s="9">
        <v>50</v>
      </c>
      <c r="B265" s="9"/>
      <c r="C265" s="9"/>
      <c r="D265" s="9" t="s">
        <v>345</v>
      </c>
      <c r="E265" s="49" t="s">
        <v>307</v>
      </c>
      <c r="F265" s="49"/>
      <c r="G265" s="50" t="s">
        <v>884</v>
      </c>
      <c r="H265" s="50" t="s">
        <v>496</v>
      </c>
      <c r="I265" s="9"/>
      <c r="J265" s="9" t="s">
        <v>407</v>
      </c>
      <c r="K265" s="9"/>
      <c r="L265" s="9"/>
      <c r="M265" s="9"/>
      <c r="N265" s="9"/>
      <c r="O265" s="9"/>
      <c r="P265" s="9"/>
      <c r="Q265" s="9"/>
      <c r="R265" s="9"/>
      <c r="S265" s="9" t="s">
        <v>407</v>
      </c>
      <c r="T265" s="9"/>
      <c r="U265" s="9"/>
      <c r="V265" s="9"/>
      <c r="W265" s="9"/>
      <c r="X265" s="9"/>
      <c r="Y265" s="9"/>
      <c r="Z265" s="55"/>
      <c r="AA265" s="51"/>
      <c r="AB265" s="149"/>
      <c r="AC265" s="150"/>
    </row>
    <row r="266" spans="1:29" s="11" customFormat="1" x14ac:dyDescent="0.2">
      <c r="A266" s="9">
        <v>50</v>
      </c>
      <c r="B266" s="9"/>
      <c r="C266" s="9"/>
      <c r="D266" s="9" t="s">
        <v>92</v>
      </c>
      <c r="E266" s="49" t="s">
        <v>308</v>
      </c>
      <c r="F266" s="49"/>
      <c r="G266" s="50" t="s">
        <v>885</v>
      </c>
      <c r="H266" s="50" t="s">
        <v>497</v>
      </c>
      <c r="I266" s="9"/>
      <c r="J266" s="9" t="s">
        <v>407</v>
      </c>
      <c r="K266" s="9"/>
      <c r="L266" s="9"/>
      <c r="M266" s="9"/>
      <c r="N266" s="9"/>
      <c r="O266" s="9"/>
      <c r="P266" s="9"/>
      <c r="Q266" s="9"/>
      <c r="R266" s="9"/>
      <c r="S266" s="9" t="s">
        <v>407</v>
      </c>
      <c r="T266" s="9"/>
      <c r="U266" s="9"/>
      <c r="V266" s="9"/>
      <c r="W266" s="9"/>
      <c r="X266" s="9"/>
      <c r="Y266" s="9"/>
      <c r="Z266" s="55"/>
      <c r="AA266" s="51"/>
      <c r="AB266" s="149"/>
      <c r="AC266" s="150"/>
    </row>
    <row r="267" spans="1:29" s="11" customFormat="1" x14ac:dyDescent="0.2">
      <c r="A267" s="9">
        <v>50</v>
      </c>
      <c r="B267" s="9"/>
      <c r="C267" s="9"/>
      <c r="D267" s="9" t="s">
        <v>14</v>
      </c>
      <c r="E267" s="49" t="s">
        <v>47</v>
      </c>
      <c r="F267" s="49"/>
      <c r="G267" s="50" t="s">
        <v>886</v>
      </c>
      <c r="H267" s="50" t="s">
        <v>498</v>
      </c>
      <c r="I267" s="9"/>
      <c r="J267" s="9" t="s">
        <v>407</v>
      </c>
      <c r="K267" s="9"/>
      <c r="L267" s="9"/>
      <c r="M267" s="9"/>
      <c r="N267" s="9"/>
      <c r="O267" s="9"/>
      <c r="P267" s="9"/>
      <c r="Q267" s="9"/>
      <c r="R267" s="9"/>
      <c r="S267" s="9" t="s">
        <v>407</v>
      </c>
      <c r="T267" s="9"/>
      <c r="U267" s="9"/>
      <c r="V267" s="9"/>
      <c r="W267" s="9"/>
      <c r="X267" s="9"/>
      <c r="Y267" s="9"/>
      <c r="Z267" s="55"/>
      <c r="AA267" s="51"/>
      <c r="AB267" s="149"/>
      <c r="AC267" s="150"/>
    </row>
    <row r="268" spans="1:29" s="11" customFormat="1" x14ac:dyDescent="0.2">
      <c r="A268" s="9">
        <v>50</v>
      </c>
      <c r="B268" s="9"/>
      <c r="C268" s="9"/>
      <c r="D268" s="9" t="s">
        <v>93</v>
      </c>
      <c r="E268" s="49" t="s">
        <v>94</v>
      </c>
      <c r="F268" s="49"/>
      <c r="G268" s="50" t="s">
        <v>887</v>
      </c>
      <c r="H268" s="50" t="s">
        <v>499</v>
      </c>
      <c r="I268" s="9"/>
      <c r="J268" s="9" t="s">
        <v>407</v>
      </c>
      <c r="K268" s="9"/>
      <c r="L268" s="9"/>
      <c r="M268" s="9"/>
      <c r="N268" s="9"/>
      <c r="O268" s="9"/>
      <c r="P268" s="9"/>
      <c r="Q268" s="9"/>
      <c r="R268" s="9"/>
      <c r="S268" s="9" t="s">
        <v>407</v>
      </c>
      <c r="T268" s="9"/>
      <c r="U268" s="9"/>
      <c r="V268" s="9"/>
      <c r="W268" s="9"/>
      <c r="X268" s="9"/>
      <c r="Y268" s="9"/>
      <c r="Z268" s="55"/>
      <c r="AA268" s="51"/>
      <c r="AB268" s="149"/>
      <c r="AC268" s="150"/>
    </row>
    <row r="269" spans="1:29" s="11" customFormat="1" x14ac:dyDescent="0.2">
      <c r="A269" s="9">
        <v>50</v>
      </c>
      <c r="B269" s="9"/>
      <c r="C269" s="9"/>
      <c r="D269" s="9" t="s">
        <v>95</v>
      </c>
      <c r="E269" s="49" t="s">
        <v>96</v>
      </c>
      <c r="F269" s="49"/>
      <c r="G269" s="50" t="s">
        <v>888</v>
      </c>
      <c r="H269" s="50" t="s">
        <v>500</v>
      </c>
      <c r="I269" s="9"/>
      <c r="J269" s="9" t="s">
        <v>407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55"/>
      <c r="AA269" s="51"/>
      <c r="AB269" s="149"/>
      <c r="AC269" s="150"/>
    </row>
    <row r="270" spans="1:29" s="11" customFormat="1" x14ac:dyDescent="0.2">
      <c r="A270" s="9">
        <v>50</v>
      </c>
      <c r="B270" s="9"/>
      <c r="C270" s="9"/>
      <c r="D270" s="9" t="s">
        <v>57</v>
      </c>
      <c r="E270" s="49" t="s">
        <v>58</v>
      </c>
      <c r="F270" s="49"/>
      <c r="G270" s="50" t="s">
        <v>849</v>
      </c>
      <c r="H270" s="50" t="s">
        <v>450</v>
      </c>
      <c r="I270" s="9"/>
      <c r="J270" s="9" t="s">
        <v>407</v>
      </c>
      <c r="K270" s="9"/>
      <c r="L270" s="9"/>
      <c r="M270" s="9"/>
      <c r="N270" s="9"/>
      <c r="O270" s="9"/>
      <c r="P270" s="9"/>
      <c r="Q270" s="9"/>
      <c r="R270" s="9"/>
      <c r="S270" s="9" t="s">
        <v>407</v>
      </c>
      <c r="T270" s="9"/>
      <c r="U270" s="9"/>
      <c r="V270" s="9"/>
      <c r="W270" s="9"/>
      <c r="X270" s="9"/>
      <c r="Y270" s="9"/>
      <c r="Z270" s="55"/>
      <c r="AA270" s="51"/>
      <c r="AB270" s="149"/>
      <c r="AC270" s="150"/>
    </row>
    <row r="271" spans="1:29" s="11" customFormat="1" x14ac:dyDescent="0.2">
      <c r="A271" s="9">
        <v>50</v>
      </c>
      <c r="B271" s="9"/>
      <c r="C271" s="9"/>
      <c r="D271" s="9" t="s">
        <v>346</v>
      </c>
      <c r="E271" s="49" t="s">
        <v>307</v>
      </c>
      <c r="F271" s="49"/>
      <c r="G271" s="50" t="s">
        <v>889</v>
      </c>
      <c r="H271" s="50" t="s">
        <v>501</v>
      </c>
      <c r="I271" s="9"/>
      <c r="J271" s="9" t="s">
        <v>407</v>
      </c>
      <c r="K271" s="9"/>
      <c r="L271" s="9"/>
      <c r="M271" s="9"/>
      <c r="N271" s="9"/>
      <c r="O271" s="9"/>
      <c r="P271" s="9"/>
      <c r="Q271" s="9"/>
      <c r="R271" s="9"/>
      <c r="S271" s="9" t="s">
        <v>407</v>
      </c>
      <c r="T271" s="9"/>
      <c r="U271" s="9"/>
      <c r="V271" s="9"/>
      <c r="W271" s="9"/>
      <c r="X271" s="9"/>
      <c r="Y271" s="9"/>
      <c r="Z271" s="55"/>
      <c r="AA271" s="51"/>
      <c r="AB271" s="149"/>
      <c r="AC271" s="150"/>
    </row>
    <row r="272" spans="1:29" s="11" customFormat="1" x14ac:dyDescent="0.2">
      <c r="A272" s="9">
        <v>50</v>
      </c>
      <c r="B272" s="9"/>
      <c r="C272" s="9"/>
      <c r="D272" s="9" t="s">
        <v>97</v>
      </c>
      <c r="E272" s="49" t="s">
        <v>308</v>
      </c>
      <c r="F272" s="49"/>
      <c r="G272" s="50" t="s">
        <v>890</v>
      </c>
      <c r="H272" s="50" t="s">
        <v>502</v>
      </c>
      <c r="I272" s="9"/>
      <c r="J272" s="9" t="s">
        <v>407</v>
      </c>
      <c r="K272" s="9"/>
      <c r="L272" s="9"/>
      <c r="M272" s="9"/>
      <c r="N272" s="9"/>
      <c r="O272" s="9"/>
      <c r="P272" s="9"/>
      <c r="Q272" s="9"/>
      <c r="R272" s="9"/>
      <c r="S272" s="9" t="s">
        <v>407</v>
      </c>
      <c r="T272" s="9"/>
      <c r="U272" s="9"/>
      <c r="V272" s="9"/>
      <c r="W272" s="9"/>
      <c r="X272" s="9"/>
      <c r="Y272" s="9"/>
      <c r="Z272" s="55"/>
      <c r="AA272" s="51"/>
      <c r="AB272" s="149"/>
      <c r="AC272" s="150"/>
    </row>
    <row r="273" spans="1:29" s="11" customFormat="1" x14ac:dyDescent="0.2">
      <c r="A273" s="9">
        <v>50</v>
      </c>
      <c r="B273" s="9"/>
      <c r="C273" s="9"/>
      <c r="D273" s="9" t="s">
        <v>15</v>
      </c>
      <c r="E273" s="49" t="s">
        <v>47</v>
      </c>
      <c r="F273" s="49"/>
      <c r="G273" s="50" t="s">
        <v>891</v>
      </c>
      <c r="H273" s="50" t="s">
        <v>503</v>
      </c>
      <c r="I273" s="9"/>
      <c r="J273" s="9" t="s">
        <v>407</v>
      </c>
      <c r="K273" s="9"/>
      <c r="L273" s="9"/>
      <c r="M273" s="9"/>
      <c r="N273" s="9"/>
      <c r="O273" s="9"/>
      <c r="P273" s="9"/>
      <c r="Q273" s="9"/>
      <c r="R273" s="9"/>
      <c r="S273" s="9" t="s">
        <v>407</v>
      </c>
      <c r="T273" s="9"/>
      <c r="U273" s="9"/>
      <c r="V273" s="9"/>
      <c r="W273" s="9"/>
      <c r="X273" s="9"/>
      <c r="Y273" s="9"/>
      <c r="Z273" s="55"/>
      <c r="AA273" s="51"/>
      <c r="AB273" s="149"/>
      <c r="AC273" s="150"/>
    </row>
    <row r="274" spans="1:29" s="11" customFormat="1" x14ac:dyDescent="0.2">
      <c r="A274" s="9">
        <v>50</v>
      </c>
      <c r="B274" s="9"/>
      <c r="C274" s="9"/>
      <c r="D274" s="9" t="s">
        <v>98</v>
      </c>
      <c r="E274" s="49" t="s">
        <v>94</v>
      </c>
      <c r="F274" s="49"/>
      <c r="G274" s="50" t="s">
        <v>892</v>
      </c>
      <c r="H274" s="50" t="s">
        <v>504</v>
      </c>
      <c r="I274" s="9"/>
      <c r="J274" s="9" t="s">
        <v>407</v>
      </c>
      <c r="K274" s="9"/>
      <c r="L274" s="9"/>
      <c r="M274" s="9"/>
      <c r="N274" s="9"/>
      <c r="O274" s="9"/>
      <c r="P274" s="9"/>
      <c r="Q274" s="9"/>
      <c r="R274" s="9"/>
      <c r="S274" s="9" t="s">
        <v>407</v>
      </c>
      <c r="T274" s="9"/>
      <c r="U274" s="9"/>
      <c r="V274" s="9"/>
      <c r="W274" s="9"/>
      <c r="X274" s="9"/>
      <c r="Y274" s="9"/>
      <c r="Z274" s="55"/>
      <c r="AA274" s="51"/>
      <c r="AB274" s="149"/>
      <c r="AC274" s="150"/>
    </row>
    <row r="275" spans="1:29" s="11" customFormat="1" x14ac:dyDescent="0.2">
      <c r="A275" s="9">
        <v>50</v>
      </c>
      <c r="B275" s="9"/>
      <c r="C275" s="9"/>
      <c r="D275" s="9" t="s">
        <v>99</v>
      </c>
      <c r="E275" s="49" t="s">
        <v>96</v>
      </c>
      <c r="F275" s="49"/>
      <c r="G275" s="50" t="s">
        <v>893</v>
      </c>
      <c r="H275" s="50" t="s">
        <v>505</v>
      </c>
      <c r="I275" s="9"/>
      <c r="J275" s="9" t="s">
        <v>407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55"/>
      <c r="AA275" s="51"/>
      <c r="AB275" s="149"/>
      <c r="AC275" s="150"/>
    </row>
    <row r="276" spans="1:29" s="11" customFormat="1" x14ac:dyDescent="0.2">
      <c r="A276" s="9">
        <v>50</v>
      </c>
      <c r="B276" s="9"/>
      <c r="C276" s="9"/>
      <c r="D276" s="9" t="s">
        <v>100</v>
      </c>
      <c r="E276" s="49" t="s">
        <v>46</v>
      </c>
      <c r="F276" s="49"/>
      <c r="G276" s="50" t="s">
        <v>894</v>
      </c>
      <c r="H276" s="50" t="s">
        <v>506</v>
      </c>
      <c r="I276" s="9"/>
      <c r="J276" s="9" t="s">
        <v>407</v>
      </c>
      <c r="K276" s="9"/>
      <c r="L276" s="9"/>
      <c r="M276" s="9"/>
      <c r="N276" s="9"/>
      <c r="O276" s="9"/>
      <c r="P276" s="9"/>
      <c r="Q276" s="9"/>
      <c r="R276" s="9"/>
      <c r="S276" s="9" t="s">
        <v>407</v>
      </c>
      <c r="T276" s="9"/>
      <c r="U276" s="9"/>
      <c r="V276" s="9"/>
      <c r="W276" s="9"/>
      <c r="X276" s="9"/>
      <c r="Y276" s="9"/>
      <c r="Z276" s="55"/>
      <c r="AA276" s="51"/>
      <c r="AB276" s="149"/>
      <c r="AC276" s="150"/>
    </row>
    <row r="277" spans="1:29" s="11" customFormat="1" x14ac:dyDescent="0.2">
      <c r="A277" s="9">
        <v>50</v>
      </c>
      <c r="B277" s="9"/>
      <c r="C277" s="9"/>
      <c r="D277" s="9" t="s">
        <v>143</v>
      </c>
      <c r="E277" s="49" t="s">
        <v>307</v>
      </c>
      <c r="F277" s="49"/>
      <c r="G277" s="50" t="s">
        <v>895</v>
      </c>
      <c r="H277" s="50" t="s">
        <v>507</v>
      </c>
      <c r="I277" s="9"/>
      <c r="J277" s="9" t="s">
        <v>407</v>
      </c>
      <c r="K277" s="9"/>
      <c r="L277" s="9"/>
      <c r="M277" s="9"/>
      <c r="N277" s="9"/>
      <c r="O277" s="9"/>
      <c r="P277" s="9"/>
      <c r="Q277" s="9"/>
      <c r="R277" s="9"/>
      <c r="S277" s="9" t="s">
        <v>407</v>
      </c>
      <c r="T277" s="9"/>
      <c r="U277" s="9"/>
      <c r="V277" s="9"/>
      <c r="W277" s="9"/>
      <c r="X277" s="9"/>
      <c r="Y277" s="9"/>
      <c r="Z277" s="35"/>
      <c r="AA277" s="36"/>
      <c r="AB277" s="149"/>
      <c r="AC277" s="150"/>
    </row>
    <row r="278" spans="1:29" s="11" customFormat="1" x14ac:dyDescent="0.2">
      <c r="A278" s="9">
        <v>50</v>
      </c>
      <c r="B278" s="9"/>
      <c r="C278" s="9"/>
      <c r="D278" s="9" t="s">
        <v>144</v>
      </c>
      <c r="E278" s="49" t="s">
        <v>308</v>
      </c>
      <c r="F278" s="49"/>
      <c r="G278" s="50" t="s">
        <v>896</v>
      </c>
      <c r="H278" s="50" t="s">
        <v>508</v>
      </c>
      <c r="I278" s="9"/>
      <c r="J278" s="9" t="s">
        <v>407</v>
      </c>
      <c r="K278" s="9"/>
      <c r="L278" s="9"/>
      <c r="M278" s="9"/>
      <c r="N278" s="9"/>
      <c r="O278" s="9"/>
      <c r="P278" s="9"/>
      <c r="Q278" s="9"/>
      <c r="R278" s="9"/>
      <c r="S278" s="9" t="s">
        <v>407</v>
      </c>
      <c r="T278" s="9"/>
      <c r="U278" s="9"/>
      <c r="V278" s="9"/>
      <c r="W278" s="9"/>
      <c r="X278" s="9"/>
      <c r="Y278" s="9"/>
      <c r="Z278" s="35"/>
      <c r="AA278" s="36"/>
      <c r="AB278" s="149"/>
      <c r="AC278" s="150"/>
    </row>
    <row r="279" spans="1:29" s="11" customFormat="1" x14ac:dyDescent="0.2">
      <c r="A279" s="9">
        <v>50</v>
      </c>
      <c r="B279" s="9"/>
      <c r="C279" s="9"/>
      <c r="D279" s="9" t="s">
        <v>145</v>
      </c>
      <c r="E279" s="49" t="s">
        <v>47</v>
      </c>
      <c r="F279" s="49"/>
      <c r="G279" s="50" t="s">
        <v>897</v>
      </c>
      <c r="H279" s="50" t="s">
        <v>509</v>
      </c>
      <c r="I279" s="9"/>
      <c r="J279" s="9" t="s">
        <v>407</v>
      </c>
      <c r="K279" s="9"/>
      <c r="L279" s="9"/>
      <c r="M279" s="9"/>
      <c r="N279" s="9"/>
      <c r="O279" s="9"/>
      <c r="P279" s="9"/>
      <c r="Q279" s="9"/>
      <c r="R279" s="9"/>
      <c r="S279" s="9" t="s">
        <v>407</v>
      </c>
      <c r="T279" s="9"/>
      <c r="U279" s="9"/>
      <c r="V279" s="9"/>
      <c r="W279" s="9"/>
      <c r="X279" s="9"/>
      <c r="Y279" s="9"/>
      <c r="Z279" s="55"/>
      <c r="AA279" s="51"/>
      <c r="AB279" s="149"/>
      <c r="AC279" s="150"/>
    </row>
    <row r="280" spans="1:29" s="11" customFormat="1" x14ac:dyDescent="0.2">
      <c r="A280" s="80"/>
      <c r="AC280" s="54"/>
    </row>
    <row r="281" spans="1:29" s="11" customFormat="1" x14ac:dyDescent="0.2">
      <c r="A281" s="9">
        <v>60</v>
      </c>
      <c r="B281" s="37" t="s">
        <v>0</v>
      </c>
      <c r="C281" s="38"/>
      <c r="D281" s="28" t="s">
        <v>115</v>
      </c>
      <c r="E281" s="34" t="s">
        <v>50</v>
      </c>
      <c r="F281" s="58"/>
      <c r="G281" s="28"/>
      <c r="H281" s="45"/>
      <c r="I281" s="59"/>
      <c r="J281" s="60"/>
      <c r="K281" s="60"/>
      <c r="L281" s="48"/>
      <c r="M281" s="48"/>
      <c r="N281" s="48"/>
      <c r="O281" s="48"/>
      <c r="P281" s="48"/>
      <c r="Q281" s="48"/>
      <c r="R281" s="48"/>
      <c r="S281" s="48"/>
      <c r="T281" s="48"/>
      <c r="U281" s="48" t="s">
        <v>21</v>
      </c>
      <c r="V281" s="48"/>
      <c r="W281" s="48"/>
      <c r="X281" s="48"/>
      <c r="Y281" s="48"/>
      <c r="Z281" s="35"/>
      <c r="AA281" s="36"/>
      <c r="AB281" s="73"/>
      <c r="AC281" s="75"/>
    </row>
    <row r="282" spans="1:29" s="11" customFormat="1" x14ac:dyDescent="0.2">
      <c r="A282" s="9">
        <v>60</v>
      </c>
      <c r="B282" s="9"/>
      <c r="C282" s="9"/>
      <c r="D282" s="9" t="s">
        <v>56</v>
      </c>
      <c r="E282" s="49" t="s">
        <v>45</v>
      </c>
      <c r="F282" s="49"/>
      <c r="G282" s="50" t="s">
        <v>898</v>
      </c>
      <c r="H282" s="50" t="s">
        <v>510</v>
      </c>
      <c r="I282" s="9"/>
      <c r="J282" s="9" t="s">
        <v>407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 t="s">
        <v>407</v>
      </c>
      <c r="V282" s="9"/>
      <c r="W282" s="9"/>
      <c r="X282" s="9"/>
      <c r="Y282" s="9"/>
      <c r="Z282" s="55"/>
      <c r="AA282" s="51"/>
      <c r="AB282" s="149"/>
      <c r="AC282" s="150"/>
    </row>
    <row r="283" spans="1:29" s="11" customFormat="1" x14ac:dyDescent="0.2">
      <c r="A283" s="9">
        <v>60</v>
      </c>
      <c r="B283" s="9"/>
      <c r="C283" s="9"/>
      <c r="D283" s="9" t="s">
        <v>269</v>
      </c>
      <c r="E283" s="49" t="s">
        <v>86</v>
      </c>
      <c r="F283" s="49"/>
      <c r="G283" s="50" t="s">
        <v>802</v>
      </c>
      <c r="H283" s="50" t="s">
        <v>406</v>
      </c>
      <c r="I283" s="9"/>
      <c r="J283" s="9" t="s">
        <v>407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 t="s">
        <v>407</v>
      </c>
      <c r="V283" s="9"/>
      <c r="W283" s="9"/>
      <c r="X283" s="9"/>
      <c r="Y283" s="9"/>
      <c r="Z283" s="55"/>
      <c r="AA283" s="51"/>
      <c r="AB283" s="149"/>
      <c r="AC283" s="150"/>
    </row>
    <row r="284" spans="1:29" s="11" customFormat="1" x14ac:dyDescent="0.2">
      <c r="A284" s="9">
        <v>60</v>
      </c>
      <c r="B284" s="9"/>
      <c r="C284" s="9"/>
      <c r="D284" s="9" t="s">
        <v>137</v>
      </c>
      <c r="E284" s="49" t="s">
        <v>270</v>
      </c>
      <c r="F284" s="49"/>
      <c r="G284" s="50" t="s">
        <v>977</v>
      </c>
      <c r="H284" s="50" t="s">
        <v>593</v>
      </c>
      <c r="I284" s="9"/>
      <c r="J284" s="9" t="s">
        <v>407</v>
      </c>
      <c r="K284" s="9" t="s">
        <v>594</v>
      </c>
      <c r="L284" s="9"/>
      <c r="M284" s="9"/>
      <c r="N284" s="9"/>
      <c r="O284" s="9"/>
      <c r="P284" s="9"/>
      <c r="Q284" s="9"/>
      <c r="R284" s="9"/>
      <c r="S284" s="9"/>
      <c r="T284" s="9"/>
      <c r="U284" s="9" t="s">
        <v>407</v>
      </c>
      <c r="V284" s="9"/>
      <c r="W284" s="9"/>
      <c r="X284" s="9"/>
      <c r="Y284" s="9"/>
      <c r="Z284" s="55"/>
      <c r="AA284" s="51"/>
      <c r="AB284" s="149"/>
      <c r="AC284" s="150"/>
    </row>
    <row r="285" spans="1:29" s="11" customFormat="1" x14ac:dyDescent="0.2">
      <c r="A285" s="9">
        <v>60</v>
      </c>
      <c r="B285" s="9"/>
      <c r="C285" s="9"/>
      <c r="D285" s="9" t="str">
        <f>D284&amp;"_nm"</f>
        <v>if_proc_typ_nm</v>
      </c>
      <c r="E285" s="49" t="str">
        <f>E284&amp;"_NM"</f>
        <v>#MA.IF_PROC_TYP_NM</v>
      </c>
      <c r="F285" s="49"/>
      <c r="G285" s="50" t="s">
        <v>978</v>
      </c>
      <c r="H285" s="50" t="s">
        <v>595</v>
      </c>
      <c r="I285" s="9"/>
      <c r="J285" s="9" t="s">
        <v>407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55"/>
      <c r="AA285" s="51"/>
      <c r="AB285" s="73"/>
      <c r="AC285" s="74"/>
    </row>
    <row r="286" spans="1:29" s="11" customFormat="1" x14ac:dyDescent="0.2">
      <c r="A286" s="9">
        <v>60</v>
      </c>
      <c r="B286" s="9"/>
      <c r="C286" s="9"/>
      <c r="D286" s="9" t="s">
        <v>753</v>
      </c>
      <c r="E286" s="49" t="s">
        <v>45</v>
      </c>
      <c r="F286" s="49"/>
      <c r="G286" s="50" t="s">
        <v>979</v>
      </c>
      <c r="H286" s="50" t="s">
        <v>754</v>
      </c>
      <c r="I286" s="9"/>
      <c r="J286" s="9" t="s">
        <v>407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 t="s">
        <v>407</v>
      </c>
      <c r="V286" s="9"/>
      <c r="W286" s="9"/>
      <c r="X286" s="9"/>
      <c r="Y286" s="9"/>
      <c r="Z286" s="55"/>
      <c r="AA286" s="51"/>
      <c r="AB286" s="73"/>
      <c r="AC286" s="74"/>
    </row>
    <row r="287" spans="1:29" s="11" customFormat="1" x14ac:dyDescent="0.2">
      <c r="A287" s="9">
        <v>60</v>
      </c>
      <c r="B287" s="9"/>
      <c r="C287" s="9"/>
      <c r="D287" s="9" t="s">
        <v>79</v>
      </c>
      <c r="E287" s="49" t="s">
        <v>74</v>
      </c>
      <c r="F287" s="49"/>
      <c r="G287" s="50" t="s">
        <v>920</v>
      </c>
      <c r="H287" s="50" t="s">
        <v>533</v>
      </c>
      <c r="I287" s="9"/>
      <c r="J287" s="9" t="s">
        <v>407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 t="s">
        <v>407</v>
      </c>
      <c r="V287" s="9"/>
      <c r="W287" s="9"/>
      <c r="X287" s="9"/>
      <c r="Y287" s="9"/>
      <c r="Z287" s="55"/>
      <c r="AA287" s="51"/>
      <c r="AB287" s="149"/>
      <c r="AC287" s="150"/>
    </row>
    <row r="288" spans="1:29" s="11" customFormat="1" x14ac:dyDescent="0.2">
      <c r="A288" s="9">
        <v>60</v>
      </c>
      <c r="B288" s="9"/>
      <c r="C288" s="9"/>
      <c r="D288" s="9" t="s">
        <v>80</v>
      </c>
      <c r="E288" s="49" t="s">
        <v>74</v>
      </c>
      <c r="F288" s="49"/>
      <c r="G288" s="50" t="s">
        <v>921</v>
      </c>
      <c r="H288" s="50" t="s">
        <v>534</v>
      </c>
      <c r="I288" s="9"/>
      <c r="J288" s="9" t="s">
        <v>407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 t="s">
        <v>407</v>
      </c>
      <c r="V288" s="9"/>
      <c r="W288" s="9"/>
      <c r="X288" s="9"/>
      <c r="Y288" s="9"/>
      <c r="Z288" s="55"/>
      <c r="AA288" s="51"/>
      <c r="AB288" s="73"/>
      <c r="AC288" s="74"/>
    </row>
    <row r="289" spans="1:29" s="11" customFormat="1" x14ac:dyDescent="0.2">
      <c r="A289" s="9">
        <v>60</v>
      </c>
      <c r="B289" s="9"/>
      <c r="C289" s="9"/>
      <c r="D289" s="9" t="s">
        <v>302</v>
      </c>
      <c r="E289" s="49" t="s">
        <v>304</v>
      </c>
      <c r="F289" s="49"/>
      <c r="G289" s="50" t="s">
        <v>980</v>
      </c>
      <c r="H289" s="50" t="s">
        <v>596</v>
      </c>
      <c r="I289" s="9"/>
      <c r="J289" s="9" t="s">
        <v>407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 t="s">
        <v>407</v>
      </c>
      <c r="V289" s="9"/>
      <c r="W289" s="9"/>
      <c r="X289" s="9"/>
      <c r="Y289" s="9"/>
      <c r="Z289" s="55"/>
      <c r="AA289" s="51"/>
      <c r="AB289" s="73"/>
      <c r="AC289" s="74"/>
    </row>
    <row r="290" spans="1:29" s="11" customFormat="1" x14ac:dyDescent="0.2">
      <c r="A290" s="9">
        <v>60</v>
      </c>
      <c r="B290" s="9"/>
      <c r="C290" s="9"/>
      <c r="D290" s="9" t="s">
        <v>303</v>
      </c>
      <c r="E290" s="49" t="s">
        <v>305</v>
      </c>
      <c r="F290" s="49"/>
      <c r="G290" s="50" t="s">
        <v>981</v>
      </c>
      <c r="H290" s="50" t="s">
        <v>597</v>
      </c>
      <c r="I290" s="9"/>
      <c r="J290" s="9" t="s">
        <v>407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 t="s">
        <v>407</v>
      </c>
      <c r="V290" s="9"/>
      <c r="W290" s="9"/>
      <c r="X290" s="9"/>
      <c r="Y290" s="9"/>
      <c r="Z290" s="55"/>
      <c r="AA290" s="51"/>
      <c r="AB290" s="73"/>
      <c r="AC290" s="74"/>
    </row>
    <row r="291" spans="1:29" s="11" customFormat="1" x14ac:dyDescent="0.2">
      <c r="A291" s="9">
        <v>60</v>
      </c>
      <c r="B291" s="9"/>
      <c r="C291" s="9"/>
      <c r="D291" s="9" t="s">
        <v>38</v>
      </c>
      <c r="E291" s="49" t="s">
        <v>39</v>
      </c>
      <c r="F291" s="49"/>
      <c r="G291" s="50" t="s">
        <v>949</v>
      </c>
      <c r="H291" s="50" t="s">
        <v>562</v>
      </c>
      <c r="I291" s="9"/>
      <c r="J291" s="9" t="s">
        <v>407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 t="s">
        <v>407</v>
      </c>
      <c r="V291" s="9"/>
      <c r="W291" s="9"/>
      <c r="X291" s="9"/>
      <c r="Y291" s="9"/>
      <c r="Z291" s="55"/>
      <c r="AA291" s="51"/>
      <c r="AB291" s="149"/>
      <c r="AC291" s="150"/>
    </row>
    <row r="292" spans="1:29" s="11" customFormat="1" x14ac:dyDescent="0.2">
      <c r="A292" s="9">
        <v>60</v>
      </c>
      <c r="B292" s="9"/>
      <c r="C292" s="9"/>
      <c r="D292" s="9" t="s">
        <v>42</v>
      </c>
      <c r="E292" s="49" t="s">
        <v>43</v>
      </c>
      <c r="F292" s="49"/>
      <c r="G292" s="50" t="s">
        <v>950</v>
      </c>
      <c r="H292" s="50" t="s">
        <v>563</v>
      </c>
      <c r="I292" s="9"/>
      <c r="J292" s="9" t="s">
        <v>407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 t="s">
        <v>407</v>
      </c>
      <c r="V292" s="9"/>
      <c r="W292" s="9"/>
      <c r="X292" s="9"/>
      <c r="Y292" s="9"/>
      <c r="Z292" s="55"/>
      <c r="AA292" s="51"/>
      <c r="AB292" s="149"/>
      <c r="AC292" s="150"/>
    </row>
    <row r="293" spans="1:29" s="11" customFormat="1" x14ac:dyDescent="0.2">
      <c r="A293" s="9">
        <v>60</v>
      </c>
      <c r="B293" s="9"/>
      <c r="C293" s="9"/>
      <c r="D293" s="9" t="s">
        <v>40</v>
      </c>
      <c r="E293" s="49" t="s">
        <v>41</v>
      </c>
      <c r="F293" s="49"/>
      <c r="G293" s="50" t="s">
        <v>951</v>
      </c>
      <c r="H293" s="50" t="s">
        <v>564</v>
      </c>
      <c r="I293" s="9"/>
      <c r="J293" s="9" t="s">
        <v>407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 t="s">
        <v>407</v>
      </c>
      <c r="V293" s="9"/>
      <c r="W293" s="9"/>
      <c r="X293" s="9"/>
      <c r="Y293" s="9"/>
      <c r="Z293" s="55"/>
      <c r="AA293" s="51"/>
      <c r="AB293" s="149"/>
      <c r="AC293" s="150"/>
    </row>
    <row r="294" spans="1:29" s="11" customFormat="1" x14ac:dyDescent="0.2">
      <c r="A294" s="9">
        <v>60</v>
      </c>
      <c r="B294" s="9"/>
      <c r="C294" s="9"/>
      <c r="D294" s="9" t="s">
        <v>345</v>
      </c>
      <c r="E294" s="49" t="s">
        <v>307</v>
      </c>
      <c r="F294" s="49"/>
      <c r="G294" s="50" t="s">
        <v>884</v>
      </c>
      <c r="H294" s="50" t="s">
        <v>496</v>
      </c>
      <c r="I294" s="9"/>
      <c r="J294" s="9" t="s">
        <v>407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 t="s">
        <v>407</v>
      </c>
      <c r="V294" s="9"/>
      <c r="W294" s="9"/>
      <c r="X294" s="9"/>
      <c r="Y294" s="9"/>
      <c r="Z294" s="55"/>
      <c r="AA294" s="51"/>
      <c r="AB294" s="149"/>
      <c r="AC294" s="150"/>
    </row>
    <row r="295" spans="1:29" s="11" customFormat="1" x14ac:dyDescent="0.2">
      <c r="A295" s="9">
        <v>60</v>
      </c>
      <c r="B295" s="9"/>
      <c r="C295" s="9"/>
      <c r="D295" s="9" t="s">
        <v>92</v>
      </c>
      <c r="E295" s="49" t="s">
        <v>308</v>
      </c>
      <c r="F295" s="49"/>
      <c r="G295" s="50" t="s">
        <v>885</v>
      </c>
      <c r="H295" s="50" t="s">
        <v>497</v>
      </c>
      <c r="I295" s="9"/>
      <c r="J295" s="9" t="s">
        <v>407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 t="s">
        <v>407</v>
      </c>
      <c r="V295" s="9"/>
      <c r="W295" s="9"/>
      <c r="X295" s="9"/>
      <c r="Y295" s="9"/>
      <c r="Z295" s="55"/>
      <c r="AA295" s="51"/>
      <c r="AB295" s="149"/>
      <c r="AC295" s="150"/>
    </row>
    <row r="296" spans="1:29" s="11" customFormat="1" x14ac:dyDescent="0.2">
      <c r="A296" s="9">
        <v>60</v>
      </c>
      <c r="B296" s="9"/>
      <c r="C296" s="9"/>
      <c r="D296" s="9" t="s">
        <v>14</v>
      </c>
      <c r="E296" s="49" t="s">
        <v>47</v>
      </c>
      <c r="F296" s="49"/>
      <c r="G296" s="50" t="s">
        <v>886</v>
      </c>
      <c r="H296" s="50" t="s">
        <v>498</v>
      </c>
      <c r="I296" s="9"/>
      <c r="J296" s="9" t="s">
        <v>407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 t="s">
        <v>407</v>
      </c>
      <c r="V296" s="9"/>
      <c r="W296" s="9"/>
      <c r="X296" s="9"/>
      <c r="Y296" s="9"/>
      <c r="Z296" s="55"/>
      <c r="AA296" s="51"/>
      <c r="AB296" s="149"/>
      <c r="AC296" s="150"/>
    </row>
    <row r="297" spans="1:29" s="11" customFormat="1" x14ac:dyDescent="0.2">
      <c r="A297" s="9">
        <v>60</v>
      </c>
      <c r="B297" s="9"/>
      <c r="C297" s="9"/>
      <c r="D297" s="9" t="s">
        <v>93</v>
      </c>
      <c r="E297" s="49" t="s">
        <v>94</v>
      </c>
      <c r="F297" s="49"/>
      <c r="G297" s="50" t="s">
        <v>887</v>
      </c>
      <c r="H297" s="50" t="s">
        <v>499</v>
      </c>
      <c r="I297" s="9"/>
      <c r="J297" s="9" t="s">
        <v>407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 t="s">
        <v>407</v>
      </c>
      <c r="V297" s="9"/>
      <c r="W297" s="9"/>
      <c r="X297" s="9"/>
      <c r="Y297" s="9"/>
      <c r="Z297" s="55"/>
      <c r="AA297" s="51"/>
      <c r="AB297" s="149"/>
      <c r="AC297" s="150"/>
    </row>
    <row r="298" spans="1:29" s="11" customFormat="1" x14ac:dyDescent="0.2">
      <c r="A298" s="9">
        <v>60</v>
      </c>
      <c r="B298" s="9"/>
      <c r="C298" s="9"/>
      <c r="D298" s="9" t="s">
        <v>95</v>
      </c>
      <c r="E298" s="49" t="s">
        <v>96</v>
      </c>
      <c r="F298" s="49"/>
      <c r="G298" s="50" t="s">
        <v>888</v>
      </c>
      <c r="H298" s="50" t="s">
        <v>500</v>
      </c>
      <c r="I298" s="9"/>
      <c r="J298" s="9" t="s">
        <v>407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55"/>
      <c r="AA298" s="51"/>
      <c r="AB298" s="149"/>
      <c r="AC298" s="150"/>
    </row>
    <row r="299" spans="1:29" s="11" customFormat="1" x14ac:dyDescent="0.2">
      <c r="A299" s="9">
        <v>60</v>
      </c>
      <c r="B299" s="9"/>
      <c r="C299" s="9"/>
      <c r="D299" s="9" t="s">
        <v>57</v>
      </c>
      <c r="E299" s="49" t="s">
        <v>58</v>
      </c>
      <c r="F299" s="49"/>
      <c r="G299" s="50" t="s">
        <v>849</v>
      </c>
      <c r="H299" s="50" t="s">
        <v>450</v>
      </c>
      <c r="I299" s="9"/>
      <c r="J299" s="9" t="s">
        <v>407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 t="s">
        <v>407</v>
      </c>
      <c r="V299" s="9"/>
      <c r="W299" s="9"/>
      <c r="X299" s="9"/>
      <c r="Y299" s="9"/>
      <c r="Z299" s="55"/>
      <c r="AA299" s="51"/>
      <c r="AB299" s="149"/>
      <c r="AC299" s="150"/>
    </row>
    <row r="300" spans="1:29" s="11" customFormat="1" x14ac:dyDescent="0.2">
      <c r="A300" s="9">
        <v>60</v>
      </c>
      <c r="B300" s="9"/>
      <c r="C300" s="9"/>
      <c r="D300" s="9" t="s">
        <v>346</v>
      </c>
      <c r="E300" s="49" t="s">
        <v>307</v>
      </c>
      <c r="F300" s="49"/>
      <c r="G300" s="50" t="s">
        <v>889</v>
      </c>
      <c r="H300" s="50" t="s">
        <v>501</v>
      </c>
      <c r="I300" s="9"/>
      <c r="J300" s="9" t="s">
        <v>407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 t="s">
        <v>407</v>
      </c>
      <c r="V300" s="9"/>
      <c r="W300" s="9"/>
      <c r="X300" s="9"/>
      <c r="Y300" s="9"/>
      <c r="Z300" s="55"/>
      <c r="AA300" s="51"/>
      <c r="AB300" s="149"/>
      <c r="AC300" s="150"/>
    </row>
    <row r="301" spans="1:29" s="11" customFormat="1" x14ac:dyDescent="0.2">
      <c r="A301" s="9">
        <v>60</v>
      </c>
      <c r="B301" s="9"/>
      <c r="C301" s="9"/>
      <c r="D301" s="9" t="s">
        <v>97</v>
      </c>
      <c r="E301" s="49" t="s">
        <v>308</v>
      </c>
      <c r="F301" s="49"/>
      <c r="G301" s="50" t="s">
        <v>890</v>
      </c>
      <c r="H301" s="50" t="s">
        <v>502</v>
      </c>
      <c r="I301" s="9"/>
      <c r="J301" s="9" t="s">
        <v>407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 t="s">
        <v>407</v>
      </c>
      <c r="V301" s="9"/>
      <c r="W301" s="9"/>
      <c r="X301" s="9"/>
      <c r="Y301" s="9"/>
      <c r="Z301" s="55"/>
      <c r="AA301" s="51"/>
      <c r="AB301" s="149"/>
      <c r="AC301" s="150"/>
    </row>
    <row r="302" spans="1:29" s="11" customFormat="1" x14ac:dyDescent="0.2">
      <c r="A302" s="9">
        <v>60</v>
      </c>
      <c r="B302" s="9"/>
      <c r="C302" s="9"/>
      <c r="D302" s="9" t="s">
        <v>15</v>
      </c>
      <c r="E302" s="49" t="s">
        <v>47</v>
      </c>
      <c r="F302" s="49"/>
      <c r="G302" s="50" t="s">
        <v>891</v>
      </c>
      <c r="H302" s="50" t="s">
        <v>503</v>
      </c>
      <c r="I302" s="9"/>
      <c r="J302" s="9" t="s">
        <v>407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 t="s">
        <v>407</v>
      </c>
      <c r="V302" s="9"/>
      <c r="W302" s="9"/>
      <c r="X302" s="9"/>
      <c r="Y302" s="9"/>
      <c r="Z302" s="55"/>
      <c r="AA302" s="51"/>
      <c r="AB302" s="149"/>
      <c r="AC302" s="150"/>
    </row>
    <row r="303" spans="1:29" s="11" customFormat="1" x14ac:dyDescent="0.2">
      <c r="A303" s="9">
        <v>60</v>
      </c>
      <c r="B303" s="9"/>
      <c r="C303" s="9"/>
      <c r="D303" s="9" t="s">
        <v>98</v>
      </c>
      <c r="E303" s="49" t="s">
        <v>94</v>
      </c>
      <c r="F303" s="49"/>
      <c r="G303" s="50" t="s">
        <v>892</v>
      </c>
      <c r="H303" s="50" t="s">
        <v>504</v>
      </c>
      <c r="I303" s="9"/>
      <c r="J303" s="9" t="s">
        <v>407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 t="s">
        <v>407</v>
      </c>
      <c r="V303" s="9"/>
      <c r="W303" s="9"/>
      <c r="X303" s="9"/>
      <c r="Y303" s="9"/>
      <c r="Z303" s="55"/>
      <c r="AA303" s="51"/>
      <c r="AB303" s="149"/>
      <c r="AC303" s="150"/>
    </row>
    <row r="304" spans="1:29" s="11" customFormat="1" x14ac:dyDescent="0.2">
      <c r="A304" s="9">
        <v>60</v>
      </c>
      <c r="B304" s="9"/>
      <c r="C304" s="9"/>
      <c r="D304" s="9" t="s">
        <v>99</v>
      </c>
      <c r="E304" s="49" t="s">
        <v>96</v>
      </c>
      <c r="F304" s="49"/>
      <c r="G304" s="50" t="s">
        <v>893</v>
      </c>
      <c r="H304" s="50" t="s">
        <v>505</v>
      </c>
      <c r="I304" s="9"/>
      <c r="J304" s="9" t="s">
        <v>407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55"/>
      <c r="AA304" s="51"/>
      <c r="AB304" s="149"/>
      <c r="AC304" s="150"/>
    </row>
    <row r="305" spans="1:29" s="11" customFormat="1" x14ac:dyDescent="0.2">
      <c r="A305" s="9">
        <v>60</v>
      </c>
      <c r="B305" s="9"/>
      <c r="C305" s="9"/>
      <c r="D305" s="9" t="s">
        <v>100</v>
      </c>
      <c r="E305" s="49" t="s">
        <v>46</v>
      </c>
      <c r="F305" s="49"/>
      <c r="G305" s="50" t="s">
        <v>894</v>
      </c>
      <c r="H305" s="50" t="s">
        <v>506</v>
      </c>
      <c r="I305" s="9"/>
      <c r="J305" s="9" t="s">
        <v>407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 t="s">
        <v>407</v>
      </c>
      <c r="V305" s="9"/>
      <c r="W305" s="9"/>
      <c r="X305" s="9"/>
      <c r="Y305" s="9"/>
      <c r="Z305" s="55"/>
      <c r="AA305" s="51"/>
      <c r="AB305" s="149"/>
      <c r="AC305" s="150"/>
    </row>
    <row r="306" spans="1:29" s="11" customFormat="1" x14ac:dyDescent="0.2">
      <c r="A306" s="9">
        <v>60</v>
      </c>
      <c r="B306" s="9"/>
      <c r="C306" s="9"/>
      <c r="D306" s="9" t="s">
        <v>143</v>
      </c>
      <c r="E306" s="49" t="s">
        <v>307</v>
      </c>
      <c r="F306" s="49"/>
      <c r="G306" s="50" t="s">
        <v>895</v>
      </c>
      <c r="H306" s="50" t="s">
        <v>507</v>
      </c>
      <c r="I306" s="9"/>
      <c r="J306" s="9" t="s">
        <v>407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 t="s">
        <v>407</v>
      </c>
      <c r="V306" s="9"/>
      <c r="W306" s="9"/>
      <c r="X306" s="9"/>
      <c r="Y306" s="9"/>
      <c r="Z306" s="35"/>
      <c r="AA306" s="36"/>
      <c r="AB306" s="149"/>
      <c r="AC306" s="150"/>
    </row>
    <row r="307" spans="1:29" s="11" customFormat="1" x14ac:dyDescent="0.2">
      <c r="A307" s="9">
        <v>60</v>
      </c>
      <c r="B307" s="9"/>
      <c r="C307" s="9"/>
      <c r="D307" s="9" t="s">
        <v>144</v>
      </c>
      <c r="E307" s="49" t="s">
        <v>308</v>
      </c>
      <c r="F307" s="49"/>
      <c r="G307" s="50" t="s">
        <v>896</v>
      </c>
      <c r="H307" s="50" t="s">
        <v>508</v>
      </c>
      <c r="I307" s="9"/>
      <c r="J307" s="9" t="s">
        <v>407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 t="s">
        <v>407</v>
      </c>
      <c r="V307" s="9"/>
      <c r="W307" s="9"/>
      <c r="X307" s="9"/>
      <c r="Y307" s="9"/>
      <c r="Z307" s="35"/>
      <c r="AA307" s="36"/>
      <c r="AB307" s="149"/>
      <c r="AC307" s="150"/>
    </row>
    <row r="308" spans="1:29" s="11" customFormat="1" x14ac:dyDescent="0.2">
      <c r="A308" s="9">
        <v>60</v>
      </c>
      <c r="B308" s="9"/>
      <c r="C308" s="9"/>
      <c r="D308" s="9" t="s">
        <v>145</v>
      </c>
      <c r="E308" s="49" t="s">
        <v>47</v>
      </c>
      <c r="F308" s="49"/>
      <c r="G308" s="50" t="s">
        <v>897</v>
      </c>
      <c r="H308" s="50" t="s">
        <v>509</v>
      </c>
      <c r="I308" s="9"/>
      <c r="J308" s="9" t="s">
        <v>407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 t="s">
        <v>407</v>
      </c>
      <c r="V308" s="9"/>
      <c r="W308" s="9"/>
      <c r="X308" s="9"/>
      <c r="Y308" s="9"/>
      <c r="Z308" s="55"/>
      <c r="AA308" s="51"/>
      <c r="AB308" s="149"/>
      <c r="AC308" s="150"/>
    </row>
    <row r="309" spans="1:29" s="11" customFormat="1" x14ac:dyDescent="0.2">
      <c r="A309" s="80"/>
      <c r="AC309" s="54"/>
    </row>
    <row r="310" spans="1:29" s="11" customFormat="1" x14ac:dyDescent="0.2">
      <c r="A310" s="9">
        <v>70</v>
      </c>
      <c r="B310" s="37" t="s">
        <v>0</v>
      </c>
      <c r="C310" s="38"/>
      <c r="D310" s="28" t="s">
        <v>116</v>
      </c>
      <c r="E310" s="34" t="s">
        <v>50</v>
      </c>
      <c r="F310" s="58"/>
      <c r="G310" s="28"/>
      <c r="H310" s="45"/>
      <c r="I310" s="59"/>
      <c r="J310" s="60"/>
      <c r="K310" s="60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 t="s">
        <v>21</v>
      </c>
      <c r="X310" s="48"/>
      <c r="Y310" s="48"/>
      <c r="Z310" s="35"/>
      <c r="AA310" s="36"/>
      <c r="AB310" s="73"/>
      <c r="AC310" s="75"/>
    </row>
    <row r="311" spans="1:29" s="11" customFormat="1" x14ac:dyDescent="0.2">
      <c r="A311" s="9">
        <v>70</v>
      </c>
      <c r="B311" s="9"/>
      <c r="C311" s="9"/>
      <c r="D311" s="9" t="s">
        <v>56</v>
      </c>
      <c r="E311" s="49" t="s">
        <v>45</v>
      </c>
      <c r="F311" s="49"/>
      <c r="G311" s="50" t="s">
        <v>898</v>
      </c>
      <c r="H311" s="50" t="s">
        <v>510</v>
      </c>
      <c r="I311" s="9"/>
      <c r="J311" s="9" t="s">
        <v>407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 t="s">
        <v>407</v>
      </c>
      <c r="X311" s="9"/>
      <c r="Y311" s="9"/>
      <c r="Z311" s="55"/>
      <c r="AA311" s="51"/>
      <c r="AB311" s="149"/>
      <c r="AC311" s="150"/>
    </row>
    <row r="312" spans="1:29" s="11" customFormat="1" x14ac:dyDescent="0.2">
      <c r="A312" s="9">
        <v>70</v>
      </c>
      <c r="B312" s="9"/>
      <c r="C312" s="9"/>
      <c r="D312" s="9" t="s">
        <v>88</v>
      </c>
      <c r="E312" s="49" t="s">
        <v>86</v>
      </c>
      <c r="F312" s="49"/>
      <c r="G312" s="50" t="s">
        <v>802</v>
      </c>
      <c r="H312" s="50" t="s">
        <v>406</v>
      </c>
      <c r="I312" s="9"/>
      <c r="J312" s="9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 t="s">
        <v>407</v>
      </c>
      <c r="X312" s="9"/>
      <c r="Y312" s="9"/>
      <c r="Z312" s="55"/>
      <c r="AA312" s="51"/>
      <c r="AB312" s="149"/>
      <c r="AC312" s="150"/>
    </row>
    <row r="313" spans="1:29" s="11" customFormat="1" x14ac:dyDescent="0.2">
      <c r="A313" s="9">
        <v>70</v>
      </c>
      <c r="B313" s="9"/>
      <c r="C313" s="9"/>
      <c r="D313" s="9" t="s">
        <v>125</v>
      </c>
      <c r="E313" s="49" t="s">
        <v>75</v>
      </c>
      <c r="F313" s="49"/>
      <c r="G313" s="50" t="s">
        <v>902</v>
      </c>
      <c r="H313" s="50" t="s">
        <v>514</v>
      </c>
      <c r="I313" s="9"/>
      <c r="J313" s="9" t="s">
        <v>407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 t="s">
        <v>407</v>
      </c>
      <c r="X313" s="9"/>
      <c r="Y313" s="9"/>
      <c r="Z313" s="55"/>
      <c r="AA313" s="51"/>
      <c r="AB313" s="149"/>
      <c r="AC313" s="150"/>
    </row>
    <row r="314" spans="1:29" s="11" customFormat="1" x14ac:dyDescent="0.2">
      <c r="A314" s="9">
        <v>70</v>
      </c>
      <c r="B314" s="9"/>
      <c r="C314" s="9"/>
      <c r="D314" s="9" t="s">
        <v>126</v>
      </c>
      <c r="E314" s="49" t="s">
        <v>76</v>
      </c>
      <c r="F314" s="49"/>
      <c r="G314" s="50" t="s">
        <v>903</v>
      </c>
      <c r="H314" s="50" t="s">
        <v>515</v>
      </c>
      <c r="I314" s="9"/>
      <c r="J314" s="9" t="s">
        <v>407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 t="s">
        <v>407</v>
      </c>
      <c r="X314" s="9"/>
      <c r="Y314" s="9"/>
      <c r="Z314" s="55"/>
      <c r="AA314" s="51"/>
      <c r="AB314" s="149"/>
      <c r="AC314" s="150"/>
    </row>
    <row r="315" spans="1:29" s="11" customFormat="1" x14ac:dyDescent="0.2">
      <c r="A315" s="9">
        <v>70</v>
      </c>
      <c r="B315" s="9"/>
      <c r="C315" s="9"/>
      <c r="D315" s="9" t="s">
        <v>127</v>
      </c>
      <c r="E315" s="49" t="s">
        <v>77</v>
      </c>
      <c r="F315" s="49"/>
      <c r="G315" s="50" t="s">
        <v>904</v>
      </c>
      <c r="H315" s="50" t="s">
        <v>516</v>
      </c>
      <c r="I315" s="9"/>
      <c r="J315" s="9" t="s">
        <v>407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 t="s">
        <v>407</v>
      </c>
      <c r="X315" s="9"/>
      <c r="Y315" s="9"/>
      <c r="Z315" s="55"/>
      <c r="AA315" s="51"/>
      <c r="AB315" s="73"/>
      <c r="AC315" s="74"/>
    </row>
    <row r="316" spans="1:29" s="11" customFormat="1" x14ac:dyDescent="0.2">
      <c r="A316" s="9">
        <v>70</v>
      </c>
      <c r="B316" s="9"/>
      <c r="C316" s="9"/>
      <c r="D316" s="9" t="s">
        <v>128</v>
      </c>
      <c r="E316" s="49" t="s">
        <v>78</v>
      </c>
      <c r="F316" s="49"/>
      <c r="G316" s="50" t="s">
        <v>905</v>
      </c>
      <c r="H316" s="50" t="s">
        <v>517</v>
      </c>
      <c r="I316" s="9"/>
      <c r="J316" s="9" t="s">
        <v>407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 t="s">
        <v>407</v>
      </c>
      <c r="X316" s="9"/>
      <c r="Y316" s="9"/>
      <c r="Z316" s="55"/>
      <c r="AA316" s="51"/>
      <c r="AB316" s="73"/>
      <c r="AC316" s="74"/>
    </row>
    <row r="317" spans="1:29" s="11" customFormat="1" x14ac:dyDescent="0.2">
      <c r="A317" s="9">
        <v>70</v>
      </c>
      <c r="B317" s="9"/>
      <c r="C317" s="9"/>
      <c r="D317" s="9" t="s">
        <v>129</v>
      </c>
      <c r="E317" s="49" t="s">
        <v>130</v>
      </c>
      <c r="F317" s="49"/>
      <c r="G317" s="50" t="s">
        <v>906</v>
      </c>
      <c r="H317" s="50" t="s">
        <v>518</v>
      </c>
      <c r="I317" s="9"/>
      <c r="J317" s="9" t="s">
        <v>407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 t="s">
        <v>407</v>
      </c>
      <c r="X317" s="9"/>
      <c r="Y317" s="9"/>
      <c r="Z317" s="55"/>
      <c r="AA317" s="51"/>
      <c r="AB317" s="73"/>
      <c r="AC317" s="74"/>
    </row>
    <row r="318" spans="1:29" s="11" customFormat="1" x14ac:dyDescent="0.2">
      <c r="A318" s="9">
        <v>70</v>
      </c>
      <c r="B318" s="9"/>
      <c r="C318" s="9"/>
      <c r="D318" s="9" t="s">
        <v>362</v>
      </c>
      <c r="E318" s="49" t="s">
        <v>366</v>
      </c>
      <c r="F318" s="49"/>
      <c r="G318" s="50" t="s">
        <v>907</v>
      </c>
      <c r="H318" s="50" t="s">
        <v>519</v>
      </c>
      <c r="I318" s="9"/>
      <c r="J318" s="9" t="s">
        <v>407</v>
      </c>
      <c r="K318" s="9" t="s">
        <v>520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 t="s">
        <v>407</v>
      </c>
      <c r="X318" s="9"/>
      <c r="Y318" s="9"/>
      <c r="Z318" s="55"/>
      <c r="AA318" s="51"/>
      <c r="AB318" s="73"/>
      <c r="AC318" s="74"/>
    </row>
    <row r="319" spans="1:29" s="11" customFormat="1" x14ac:dyDescent="0.2">
      <c r="A319" s="9">
        <v>70</v>
      </c>
      <c r="B319" s="9"/>
      <c r="C319" s="9"/>
      <c r="D319" s="9" t="s">
        <v>363</v>
      </c>
      <c r="E319" s="49" t="s">
        <v>367</v>
      </c>
      <c r="F319" s="49"/>
      <c r="G319" s="50" t="s">
        <v>908</v>
      </c>
      <c r="H319" s="50" t="s">
        <v>521</v>
      </c>
      <c r="I319" s="9"/>
      <c r="J319" s="9" t="s">
        <v>407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55"/>
      <c r="AA319" s="51"/>
      <c r="AB319" s="73"/>
      <c r="AC319" s="74"/>
    </row>
    <row r="320" spans="1:29" s="11" customFormat="1" x14ac:dyDescent="0.2">
      <c r="A320" s="9">
        <v>70</v>
      </c>
      <c r="B320" s="9"/>
      <c r="C320" s="9"/>
      <c r="D320" s="9" t="s">
        <v>364</v>
      </c>
      <c r="E320" s="49" t="s">
        <v>368</v>
      </c>
      <c r="F320" s="49"/>
      <c r="G320" s="50" t="s">
        <v>909</v>
      </c>
      <c r="H320" s="50" t="s">
        <v>522</v>
      </c>
      <c r="I320" s="9"/>
      <c r="J320" s="9" t="s">
        <v>407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 t="s">
        <v>407</v>
      </c>
      <c r="X320" s="9"/>
      <c r="Y320" s="9"/>
      <c r="Z320" s="55"/>
      <c r="AA320" s="51"/>
      <c r="AB320" s="73"/>
      <c r="AC320" s="74"/>
    </row>
    <row r="321" spans="1:29" s="11" customFormat="1" x14ac:dyDescent="0.2">
      <c r="A321" s="9">
        <v>70</v>
      </c>
      <c r="B321" s="9"/>
      <c r="C321" s="9"/>
      <c r="D321" s="9" t="s">
        <v>365</v>
      </c>
      <c r="E321" s="49" t="s">
        <v>369</v>
      </c>
      <c r="F321" s="49"/>
      <c r="G321" s="50" t="s">
        <v>910</v>
      </c>
      <c r="H321" s="50" t="s">
        <v>523</v>
      </c>
      <c r="I321" s="9"/>
      <c r="J321" s="9" t="s">
        <v>407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 t="s">
        <v>407</v>
      </c>
      <c r="X321" s="9"/>
      <c r="Y321" s="9"/>
      <c r="Z321" s="55"/>
      <c r="AA321" s="51"/>
      <c r="AB321" s="73"/>
      <c r="AC321" s="74"/>
    </row>
    <row r="322" spans="1:29" s="11" customFormat="1" x14ac:dyDescent="0.2">
      <c r="A322" s="9">
        <v>70</v>
      </c>
      <c r="B322" s="9"/>
      <c r="C322" s="9"/>
      <c r="D322" s="9" t="s">
        <v>371</v>
      </c>
      <c r="E322" s="49" t="s">
        <v>45</v>
      </c>
      <c r="F322" s="49"/>
      <c r="G322" s="50" t="s">
        <v>982</v>
      </c>
      <c r="H322" s="50" t="s">
        <v>598</v>
      </c>
      <c r="I322" s="9"/>
      <c r="J322" s="9" t="s">
        <v>407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 t="s">
        <v>407</v>
      </c>
      <c r="X322" s="9"/>
      <c r="Y322" s="9"/>
      <c r="Z322" s="55"/>
      <c r="AA322" s="51"/>
      <c r="AB322" s="73"/>
      <c r="AC322" s="74"/>
    </row>
    <row r="323" spans="1:29" s="11" customFormat="1" x14ac:dyDescent="0.2">
      <c r="A323" s="9">
        <v>70</v>
      </c>
      <c r="B323" s="9"/>
      <c r="C323" s="9"/>
      <c r="D323" s="9" t="s">
        <v>79</v>
      </c>
      <c r="E323" s="49" t="s">
        <v>74</v>
      </c>
      <c r="F323" s="49"/>
      <c r="G323" s="50" t="s">
        <v>920</v>
      </c>
      <c r="H323" s="50" t="s">
        <v>533</v>
      </c>
      <c r="I323" s="9"/>
      <c r="J323" s="9" t="s">
        <v>407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 t="s">
        <v>407</v>
      </c>
      <c r="X323" s="9"/>
      <c r="Y323" s="9"/>
      <c r="Z323" s="55"/>
      <c r="AA323" s="51"/>
      <c r="AB323" s="73"/>
      <c r="AC323" s="74"/>
    </row>
    <row r="324" spans="1:29" s="11" customFormat="1" x14ac:dyDescent="0.2">
      <c r="A324" s="9">
        <v>70</v>
      </c>
      <c r="B324" s="9"/>
      <c r="C324" s="9"/>
      <c r="D324" s="9" t="s">
        <v>80</v>
      </c>
      <c r="E324" s="49" t="s">
        <v>74</v>
      </c>
      <c r="F324" s="49"/>
      <c r="G324" s="50" t="s">
        <v>921</v>
      </c>
      <c r="H324" s="50" t="s">
        <v>534</v>
      </c>
      <c r="I324" s="9"/>
      <c r="J324" s="9" t="s">
        <v>407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 t="s">
        <v>407</v>
      </c>
      <c r="X324" s="9"/>
      <c r="Y324" s="9"/>
      <c r="Z324" s="55"/>
      <c r="AA324" s="51"/>
      <c r="AB324" s="73"/>
      <c r="AC324" s="74"/>
    </row>
    <row r="325" spans="1:29" s="11" customFormat="1" x14ac:dyDescent="0.2">
      <c r="A325" s="9">
        <v>70</v>
      </c>
      <c r="B325" s="9"/>
      <c r="C325" s="9"/>
      <c r="D325" s="9" t="s">
        <v>117</v>
      </c>
      <c r="E325" s="49" t="s">
        <v>121</v>
      </c>
      <c r="F325" s="49"/>
      <c r="G325" s="50" t="s">
        <v>983</v>
      </c>
      <c r="H325" s="50" t="s">
        <v>599</v>
      </c>
      <c r="I325" s="9"/>
      <c r="J325" s="9" t="s">
        <v>407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 t="s">
        <v>407</v>
      </c>
      <c r="X325" s="9"/>
      <c r="Y325" s="9"/>
      <c r="Z325" s="55"/>
      <c r="AA325" s="51"/>
      <c r="AB325" s="73"/>
      <c r="AC325" s="74"/>
    </row>
    <row r="326" spans="1:29" s="11" customFormat="1" x14ac:dyDescent="0.2">
      <c r="A326" s="9">
        <v>70</v>
      </c>
      <c r="B326" s="9"/>
      <c r="C326" s="9"/>
      <c r="D326" s="9" t="s">
        <v>118</v>
      </c>
      <c r="E326" s="49" t="s">
        <v>122</v>
      </c>
      <c r="F326" s="49"/>
      <c r="G326" s="50" t="s">
        <v>984</v>
      </c>
      <c r="H326" s="50" t="s">
        <v>600</v>
      </c>
      <c r="I326" s="9"/>
      <c r="J326" s="9" t="s">
        <v>407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 t="s">
        <v>407</v>
      </c>
      <c r="X326" s="9"/>
      <c r="Y326" s="9"/>
      <c r="Z326" s="55"/>
      <c r="AA326" s="51"/>
      <c r="AB326" s="73"/>
      <c r="AC326" s="74"/>
    </row>
    <row r="327" spans="1:29" s="11" customFormat="1" x14ac:dyDescent="0.2">
      <c r="A327" s="9">
        <v>70</v>
      </c>
      <c r="B327" s="9"/>
      <c r="C327" s="9"/>
      <c r="D327" s="9" t="s">
        <v>751</v>
      </c>
      <c r="E327" s="49" t="s">
        <v>45</v>
      </c>
      <c r="F327" s="49"/>
      <c r="G327" s="50" t="s">
        <v>985</v>
      </c>
      <c r="H327" s="50" t="s">
        <v>752</v>
      </c>
      <c r="I327" s="9"/>
      <c r="J327" s="9" t="s">
        <v>407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 t="s">
        <v>407</v>
      </c>
      <c r="X327" s="9"/>
      <c r="Y327" s="9"/>
      <c r="Z327" s="55"/>
      <c r="AA327" s="51"/>
      <c r="AB327" s="73"/>
      <c r="AC327" s="74"/>
    </row>
    <row r="328" spans="1:29" s="11" customFormat="1" ht="26" x14ac:dyDescent="0.2">
      <c r="A328" s="9">
        <v>70</v>
      </c>
      <c r="B328" s="9"/>
      <c r="C328" s="9"/>
      <c r="D328" s="9" t="s">
        <v>119</v>
      </c>
      <c r="E328" s="49" t="s">
        <v>123</v>
      </c>
      <c r="F328" s="49"/>
      <c r="G328" s="50" t="s">
        <v>986</v>
      </c>
      <c r="H328" s="50" t="s">
        <v>601</v>
      </c>
      <c r="I328" s="9"/>
      <c r="J328" s="9" t="s">
        <v>407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 t="s">
        <v>407</v>
      </c>
      <c r="X328" s="9"/>
      <c r="Y328" s="9"/>
      <c r="Z328" s="55"/>
      <c r="AA328" s="51"/>
      <c r="AB328" s="73"/>
      <c r="AC328" s="74"/>
    </row>
    <row r="329" spans="1:29" s="11" customFormat="1" x14ac:dyDescent="0.2">
      <c r="A329" s="9">
        <v>70</v>
      </c>
      <c r="B329" s="9"/>
      <c r="C329" s="9"/>
      <c r="D329" s="9" t="s">
        <v>120</v>
      </c>
      <c r="E329" s="49" t="s">
        <v>124</v>
      </c>
      <c r="F329" s="49"/>
      <c r="G329" s="50" t="s">
        <v>987</v>
      </c>
      <c r="H329" s="50" t="s">
        <v>602</v>
      </c>
      <c r="I329" s="9"/>
      <c r="J329" s="9" t="s">
        <v>407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 t="s">
        <v>407</v>
      </c>
      <c r="X329" s="9"/>
      <c r="Y329" s="9"/>
      <c r="Z329" s="55"/>
      <c r="AA329" s="51"/>
      <c r="AB329" s="73"/>
      <c r="AC329" s="74"/>
    </row>
    <row r="330" spans="1:29" s="11" customFormat="1" x14ac:dyDescent="0.2">
      <c r="A330" s="9">
        <v>70</v>
      </c>
      <c r="B330" s="9"/>
      <c r="C330" s="9"/>
      <c r="D330" s="9" t="s">
        <v>316</v>
      </c>
      <c r="E330" s="49" t="s">
        <v>45</v>
      </c>
      <c r="F330" s="49"/>
      <c r="G330" s="50" t="s">
        <v>988</v>
      </c>
      <c r="H330" s="50" t="s">
        <v>603</v>
      </c>
      <c r="I330" s="9"/>
      <c r="J330" s="9" t="s">
        <v>407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 t="s">
        <v>407</v>
      </c>
      <c r="X330" s="9"/>
      <c r="Y330" s="9"/>
      <c r="Z330" s="55"/>
      <c r="AA330" s="51"/>
      <c r="AB330" s="73"/>
      <c r="AC330" s="74"/>
    </row>
    <row r="331" spans="1:29" s="11" customFormat="1" x14ac:dyDescent="0.2">
      <c r="A331" s="9">
        <v>70</v>
      </c>
      <c r="B331" s="9"/>
      <c r="C331" s="9"/>
      <c r="D331" s="9" t="s">
        <v>317</v>
      </c>
      <c r="E331" s="49" t="s">
        <v>45</v>
      </c>
      <c r="F331" s="49"/>
      <c r="G331" s="50" t="s">
        <v>989</v>
      </c>
      <c r="H331" s="50" t="s">
        <v>604</v>
      </c>
      <c r="I331" s="9"/>
      <c r="J331" s="9" t="s">
        <v>407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 t="s">
        <v>407</v>
      </c>
      <c r="X331" s="9"/>
      <c r="Y331" s="9"/>
      <c r="Z331" s="55"/>
      <c r="AA331" s="51"/>
      <c r="AB331" s="73"/>
      <c r="AC331" s="74"/>
    </row>
    <row r="332" spans="1:29" s="11" customFormat="1" x14ac:dyDescent="0.2">
      <c r="A332" s="9">
        <v>70</v>
      </c>
      <c r="B332" s="9"/>
      <c r="C332" s="9"/>
      <c r="D332" s="9" t="s">
        <v>271</v>
      </c>
      <c r="E332" s="49" t="s">
        <v>39</v>
      </c>
      <c r="F332" s="49"/>
      <c r="G332" s="50" t="s">
        <v>949</v>
      </c>
      <c r="H332" s="50" t="s">
        <v>562</v>
      </c>
      <c r="I332" s="9"/>
      <c r="J332" s="9" t="s">
        <v>407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 t="s">
        <v>407</v>
      </c>
      <c r="X332" s="9"/>
      <c r="Y332" s="9"/>
      <c r="Z332" s="55"/>
      <c r="AA332" s="51"/>
      <c r="AB332" s="149"/>
      <c r="AC332" s="150"/>
    </row>
    <row r="333" spans="1:29" s="11" customFormat="1" x14ac:dyDescent="0.2">
      <c r="A333" s="9">
        <v>70</v>
      </c>
      <c r="B333" s="9"/>
      <c r="C333" s="9"/>
      <c r="D333" s="9" t="s">
        <v>42</v>
      </c>
      <c r="E333" s="49" t="s">
        <v>43</v>
      </c>
      <c r="F333" s="49"/>
      <c r="G333" s="50" t="s">
        <v>950</v>
      </c>
      <c r="H333" s="50" t="s">
        <v>563</v>
      </c>
      <c r="I333" s="9"/>
      <c r="J333" s="9" t="s">
        <v>407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 t="s">
        <v>407</v>
      </c>
      <c r="X333" s="9"/>
      <c r="Y333" s="9"/>
      <c r="Z333" s="55"/>
      <c r="AA333" s="51"/>
      <c r="AB333" s="149"/>
      <c r="AC333" s="150"/>
    </row>
    <row r="334" spans="1:29" s="11" customFormat="1" x14ac:dyDescent="0.2">
      <c r="A334" s="9">
        <v>70</v>
      </c>
      <c r="B334" s="9"/>
      <c r="C334" s="9"/>
      <c r="D334" s="9" t="s">
        <v>40</v>
      </c>
      <c r="E334" s="49" t="s">
        <v>41</v>
      </c>
      <c r="F334" s="49"/>
      <c r="G334" s="50" t="s">
        <v>951</v>
      </c>
      <c r="H334" s="50" t="s">
        <v>564</v>
      </c>
      <c r="I334" s="9"/>
      <c r="J334" s="9" t="s">
        <v>407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 t="s">
        <v>407</v>
      </c>
      <c r="X334" s="9"/>
      <c r="Y334" s="9"/>
      <c r="Z334" s="55"/>
      <c r="AA334" s="51"/>
      <c r="AB334" s="149"/>
      <c r="AC334" s="150"/>
    </row>
    <row r="335" spans="1:29" s="11" customFormat="1" x14ac:dyDescent="0.2">
      <c r="A335" s="9">
        <v>70</v>
      </c>
      <c r="B335" s="9"/>
      <c r="C335" s="9"/>
      <c r="D335" s="9" t="s">
        <v>345</v>
      </c>
      <c r="E335" s="49" t="s">
        <v>307</v>
      </c>
      <c r="F335" s="49"/>
      <c r="G335" s="50" t="s">
        <v>884</v>
      </c>
      <c r="H335" s="50" t="s">
        <v>496</v>
      </c>
      <c r="I335" s="9"/>
      <c r="J335" s="9" t="s">
        <v>407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 t="s">
        <v>407</v>
      </c>
      <c r="X335" s="9"/>
      <c r="Y335" s="9"/>
      <c r="Z335" s="55"/>
      <c r="AA335" s="51"/>
      <c r="AB335" s="149"/>
      <c r="AC335" s="150"/>
    </row>
    <row r="336" spans="1:29" s="11" customFormat="1" x14ac:dyDescent="0.2">
      <c r="A336" s="9">
        <v>70</v>
      </c>
      <c r="B336" s="9"/>
      <c r="C336" s="9"/>
      <c r="D336" s="9" t="s">
        <v>272</v>
      </c>
      <c r="E336" s="49" t="s">
        <v>308</v>
      </c>
      <c r="F336" s="49"/>
      <c r="G336" s="50" t="s">
        <v>885</v>
      </c>
      <c r="H336" s="50" t="s">
        <v>497</v>
      </c>
      <c r="I336" s="9"/>
      <c r="J336" s="9" t="s">
        <v>407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 t="s">
        <v>407</v>
      </c>
      <c r="X336" s="9"/>
      <c r="Y336" s="9"/>
      <c r="Z336" s="55"/>
      <c r="AA336" s="51"/>
      <c r="AB336" s="149"/>
      <c r="AC336" s="150"/>
    </row>
    <row r="337" spans="1:29" s="11" customFormat="1" x14ac:dyDescent="0.2">
      <c r="A337" s="9">
        <v>70</v>
      </c>
      <c r="B337" s="9"/>
      <c r="C337" s="9"/>
      <c r="D337" s="9" t="s">
        <v>14</v>
      </c>
      <c r="E337" s="49" t="s">
        <v>47</v>
      </c>
      <c r="F337" s="49"/>
      <c r="G337" s="50" t="s">
        <v>886</v>
      </c>
      <c r="H337" s="50" t="s">
        <v>498</v>
      </c>
      <c r="I337" s="9"/>
      <c r="J337" s="9" t="s">
        <v>407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 t="s">
        <v>407</v>
      </c>
      <c r="X337" s="9"/>
      <c r="Y337" s="9"/>
      <c r="Z337" s="55"/>
      <c r="AA337" s="51"/>
      <c r="AB337" s="149"/>
      <c r="AC337" s="150"/>
    </row>
    <row r="338" spans="1:29" s="11" customFormat="1" x14ac:dyDescent="0.2">
      <c r="A338" s="9">
        <v>70</v>
      </c>
      <c r="B338" s="9"/>
      <c r="C338" s="9"/>
      <c r="D338" s="9" t="s">
        <v>93</v>
      </c>
      <c r="E338" s="49" t="s">
        <v>94</v>
      </c>
      <c r="F338" s="49"/>
      <c r="G338" s="50" t="s">
        <v>887</v>
      </c>
      <c r="H338" s="50" t="s">
        <v>499</v>
      </c>
      <c r="I338" s="9"/>
      <c r="J338" s="9" t="s">
        <v>407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 t="s">
        <v>407</v>
      </c>
      <c r="X338" s="9"/>
      <c r="Y338" s="9"/>
      <c r="Z338" s="55"/>
      <c r="AA338" s="51"/>
      <c r="AB338" s="149"/>
      <c r="AC338" s="150"/>
    </row>
    <row r="339" spans="1:29" s="11" customFormat="1" x14ac:dyDescent="0.2">
      <c r="A339" s="9">
        <v>70</v>
      </c>
      <c r="B339" s="9"/>
      <c r="C339" s="9"/>
      <c r="D339" s="9" t="s">
        <v>95</v>
      </c>
      <c r="E339" s="49" t="s">
        <v>96</v>
      </c>
      <c r="F339" s="49"/>
      <c r="G339" s="50" t="s">
        <v>888</v>
      </c>
      <c r="H339" s="50" t="s">
        <v>500</v>
      </c>
      <c r="I339" s="9"/>
      <c r="J339" s="9" t="s">
        <v>407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55"/>
      <c r="AA339" s="51"/>
      <c r="AB339" s="149"/>
      <c r="AC339" s="150"/>
    </row>
    <row r="340" spans="1:29" s="11" customFormat="1" x14ac:dyDescent="0.2">
      <c r="A340" s="9">
        <v>70</v>
      </c>
      <c r="B340" s="9"/>
      <c r="C340" s="9"/>
      <c r="D340" s="9" t="s">
        <v>57</v>
      </c>
      <c r="E340" s="49" t="s">
        <v>58</v>
      </c>
      <c r="F340" s="49"/>
      <c r="G340" s="50" t="s">
        <v>849</v>
      </c>
      <c r="H340" s="50" t="s">
        <v>450</v>
      </c>
      <c r="I340" s="9"/>
      <c r="J340" s="9" t="s">
        <v>407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 t="s">
        <v>407</v>
      </c>
      <c r="X340" s="9"/>
      <c r="Y340" s="9"/>
      <c r="Z340" s="55"/>
      <c r="AA340" s="51"/>
      <c r="AB340" s="149"/>
      <c r="AC340" s="150"/>
    </row>
    <row r="341" spans="1:29" s="11" customFormat="1" x14ac:dyDescent="0.2">
      <c r="A341" s="9">
        <v>70</v>
      </c>
      <c r="B341" s="9"/>
      <c r="C341" s="9"/>
      <c r="D341" s="9" t="s">
        <v>346</v>
      </c>
      <c r="E341" s="49" t="s">
        <v>307</v>
      </c>
      <c r="F341" s="49"/>
      <c r="G341" s="50" t="s">
        <v>889</v>
      </c>
      <c r="H341" s="50" t="s">
        <v>501</v>
      </c>
      <c r="I341" s="9"/>
      <c r="J341" s="9" t="s">
        <v>407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 t="s">
        <v>407</v>
      </c>
      <c r="X341" s="9"/>
      <c r="Y341" s="9"/>
      <c r="Z341" s="55"/>
      <c r="AA341" s="51"/>
      <c r="AB341" s="149"/>
      <c r="AC341" s="150"/>
    </row>
    <row r="342" spans="1:29" s="11" customFormat="1" x14ac:dyDescent="0.2">
      <c r="A342" s="9">
        <v>70</v>
      </c>
      <c r="B342" s="9"/>
      <c r="C342" s="9"/>
      <c r="D342" s="9" t="s">
        <v>97</v>
      </c>
      <c r="E342" s="49" t="s">
        <v>308</v>
      </c>
      <c r="F342" s="49"/>
      <c r="G342" s="50" t="s">
        <v>890</v>
      </c>
      <c r="H342" s="50" t="s">
        <v>502</v>
      </c>
      <c r="I342" s="9"/>
      <c r="J342" s="9" t="s">
        <v>407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 t="s">
        <v>407</v>
      </c>
      <c r="X342" s="9"/>
      <c r="Y342" s="9"/>
      <c r="Z342" s="55"/>
      <c r="AA342" s="51"/>
      <c r="AB342" s="149"/>
      <c r="AC342" s="150"/>
    </row>
    <row r="343" spans="1:29" s="11" customFormat="1" x14ac:dyDescent="0.2">
      <c r="A343" s="9">
        <v>70</v>
      </c>
      <c r="B343" s="9"/>
      <c r="C343" s="9"/>
      <c r="D343" s="9" t="s">
        <v>15</v>
      </c>
      <c r="E343" s="49" t="s">
        <v>47</v>
      </c>
      <c r="F343" s="49"/>
      <c r="G343" s="50" t="s">
        <v>891</v>
      </c>
      <c r="H343" s="50" t="s">
        <v>503</v>
      </c>
      <c r="I343" s="9"/>
      <c r="J343" s="9" t="s">
        <v>407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 t="s">
        <v>407</v>
      </c>
      <c r="X343" s="9"/>
      <c r="Y343" s="9"/>
      <c r="Z343" s="55"/>
      <c r="AA343" s="51"/>
      <c r="AB343" s="149"/>
      <c r="AC343" s="150"/>
    </row>
    <row r="344" spans="1:29" s="11" customFormat="1" x14ac:dyDescent="0.2">
      <c r="A344" s="9">
        <v>70</v>
      </c>
      <c r="B344" s="9"/>
      <c r="C344" s="9"/>
      <c r="D344" s="9" t="s">
        <v>98</v>
      </c>
      <c r="E344" s="49" t="s">
        <v>94</v>
      </c>
      <c r="F344" s="49"/>
      <c r="G344" s="50" t="s">
        <v>892</v>
      </c>
      <c r="H344" s="50" t="s">
        <v>504</v>
      </c>
      <c r="I344" s="9"/>
      <c r="J344" s="9" t="s">
        <v>407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 t="s">
        <v>407</v>
      </c>
      <c r="X344" s="9"/>
      <c r="Y344" s="9"/>
      <c r="Z344" s="55"/>
      <c r="AA344" s="51"/>
      <c r="AB344" s="149"/>
      <c r="AC344" s="150"/>
    </row>
    <row r="345" spans="1:29" s="11" customFormat="1" x14ac:dyDescent="0.2">
      <c r="A345" s="9">
        <v>70</v>
      </c>
      <c r="B345" s="9"/>
      <c r="C345" s="9"/>
      <c r="D345" s="9" t="s">
        <v>99</v>
      </c>
      <c r="E345" s="49" t="s">
        <v>96</v>
      </c>
      <c r="F345" s="49"/>
      <c r="G345" s="50" t="s">
        <v>893</v>
      </c>
      <c r="H345" s="50" t="s">
        <v>505</v>
      </c>
      <c r="I345" s="9"/>
      <c r="J345" s="9" t="s">
        <v>407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55"/>
      <c r="AA345" s="51"/>
      <c r="AB345" s="149"/>
      <c r="AC345" s="150"/>
    </row>
    <row r="346" spans="1:29" s="11" customFormat="1" x14ac:dyDescent="0.2">
      <c r="A346" s="9">
        <v>70</v>
      </c>
      <c r="B346" s="9"/>
      <c r="C346" s="9"/>
      <c r="D346" s="9" t="s">
        <v>100</v>
      </c>
      <c r="E346" s="49" t="s">
        <v>46</v>
      </c>
      <c r="F346" s="49"/>
      <c r="G346" s="50" t="s">
        <v>894</v>
      </c>
      <c r="H346" s="50" t="s">
        <v>506</v>
      </c>
      <c r="I346" s="9"/>
      <c r="J346" s="9" t="s">
        <v>407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 t="s">
        <v>407</v>
      </c>
      <c r="X346" s="9"/>
      <c r="Y346" s="9"/>
      <c r="Z346" s="55"/>
      <c r="AA346" s="51"/>
      <c r="AB346" s="149"/>
      <c r="AC346" s="150"/>
    </row>
    <row r="347" spans="1:29" s="11" customFormat="1" x14ac:dyDescent="0.2">
      <c r="A347" s="9">
        <v>70</v>
      </c>
      <c r="B347" s="9"/>
      <c r="C347" s="9"/>
      <c r="D347" s="9" t="s">
        <v>143</v>
      </c>
      <c r="E347" s="49" t="s">
        <v>307</v>
      </c>
      <c r="F347" s="49"/>
      <c r="G347" s="50" t="s">
        <v>895</v>
      </c>
      <c r="H347" s="50" t="s">
        <v>507</v>
      </c>
      <c r="I347" s="9"/>
      <c r="J347" s="9" t="s">
        <v>407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 t="s">
        <v>407</v>
      </c>
      <c r="X347" s="9"/>
      <c r="Y347" s="9"/>
      <c r="Z347" s="35"/>
      <c r="AA347" s="36"/>
      <c r="AB347" s="149"/>
      <c r="AC347" s="150"/>
    </row>
    <row r="348" spans="1:29" s="11" customFormat="1" x14ac:dyDescent="0.2">
      <c r="A348" s="9">
        <v>70</v>
      </c>
      <c r="B348" s="9"/>
      <c r="C348" s="9"/>
      <c r="D348" s="9" t="s">
        <v>144</v>
      </c>
      <c r="E348" s="49" t="s">
        <v>308</v>
      </c>
      <c r="F348" s="49"/>
      <c r="G348" s="50" t="s">
        <v>896</v>
      </c>
      <c r="H348" s="50" t="s">
        <v>508</v>
      </c>
      <c r="I348" s="9"/>
      <c r="J348" s="9" t="s">
        <v>407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 t="s">
        <v>407</v>
      </c>
      <c r="X348" s="9"/>
      <c r="Y348" s="9"/>
      <c r="Z348" s="35"/>
      <c r="AA348" s="36"/>
      <c r="AB348" s="149"/>
      <c r="AC348" s="150"/>
    </row>
    <row r="349" spans="1:29" s="11" customFormat="1" x14ac:dyDescent="0.2">
      <c r="A349" s="9">
        <v>70</v>
      </c>
      <c r="B349" s="9"/>
      <c r="C349" s="9"/>
      <c r="D349" s="9" t="s">
        <v>145</v>
      </c>
      <c r="E349" s="49" t="s">
        <v>47</v>
      </c>
      <c r="F349" s="49"/>
      <c r="G349" s="50" t="s">
        <v>897</v>
      </c>
      <c r="H349" s="50" t="s">
        <v>509</v>
      </c>
      <c r="I349" s="9"/>
      <c r="J349" s="9" t="s">
        <v>407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 t="s">
        <v>407</v>
      </c>
      <c r="X349" s="9"/>
      <c r="Y349" s="9"/>
      <c r="Z349" s="55"/>
      <c r="AA349" s="51"/>
      <c r="AB349" s="149"/>
      <c r="AC349" s="150"/>
    </row>
    <row r="350" spans="1:29" s="11" customFormat="1" x14ac:dyDescent="0.2">
      <c r="A350" s="80"/>
      <c r="AC350" s="54"/>
    </row>
    <row r="351" spans="1:29" s="11" customFormat="1" x14ac:dyDescent="0.2">
      <c r="A351" s="9">
        <v>80</v>
      </c>
      <c r="B351" s="37" t="s">
        <v>0</v>
      </c>
      <c r="C351" s="38"/>
      <c r="D351" s="28" t="s">
        <v>336</v>
      </c>
      <c r="E351" s="34" t="s">
        <v>353</v>
      </c>
      <c r="F351" s="58"/>
      <c r="G351" s="28"/>
      <c r="H351" s="45"/>
      <c r="I351" s="59"/>
      <c r="J351" s="60"/>
      <c r="K351" s="60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 t="s">
        <v>21</v>
      </c>
      <c r="Z351" s="35"/>
      <c r="AA351" s="36"/>
      <c r="AB351" s="73"/>
      <c r="AC351" s="75"/>
    </row>
    <row r="352" spans="1:29" s="11" customFormat="1" x14ac:dyDescent="0.2">
      <c r="A352" s="9">
        <v>80</v>
      </c>
      <c r="B352" s="9"/>
      <c r="C352" s="9"/>
      <c r="D352" s="9" t="s">
        <v>56</v>
      </c>
      <c r="E352" s="49" t="s">
        <v>44</v>
      </c>
      <c r="F352" s="49"/>
      <c r="G352" s="50" t="s">
        <v>898</v>
      </c>
      <c r="H352" s="50" t="s">
        <v>510</v>
      </c>
      <c r="I352" s="9"/>
      <c r="J352" s="9" t="s">
        <v>407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 t="s">
        <v>407</v>
      </c>
      <c r="Z352" s="55"/>
      <c r="AA352" s="51"/>
      <c r="AB352" s="149"/>
      <c r="AC352" s="150"/>
    </row>
    <row r="353" spans="1:29" s="11" customFormat="1" x14ac:dyDescent="0.2">
      <c r="A353" s="9">
        <v>80</v>
      </c>
      <c r="B353" s="9"/>
      <c r="C353" s="9"/>
      <c r="D353" s="9" t="s">
        <v>197</v>
      </c>
      <c r="E353" s="49" t="s">
        <v>86</v>
      </c>
      <c r="F353" s="49"/>
      <c r="G353" s="50" t="s">
        <v>899</v>
      </c>
      <c r="H353" s="50" t="s">
        <v>511</v>
      </c>
      <c r="I353" s="9"/>
      <c r="J353" s="9" t="s">
        <v>407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 t="s">
        <v>407</v>
      </c>
      <c r="Z353" s="55"/>
      <c r="AA353" s="51"/>
      <c r="AB353" s="73"/>
      <c r="AC353" s="74"/>
    </row>
    <row r="354" spans="1:29" s="11" customFormat="1" x14ac:dyDescent="0.2">
      <c r="A354" s="9">
        <v>80</v>
      </c>
      <c r="B354" s="9"/>
      <c r="C354" s="9"/>
      <c r="D354" s="9" t="s">
        <v>79</v>
      </c>
      <c r="E354" s="49" t="s">
        <v>74</v>
      </c>
      <c r="F354" s="49"/>
      <c r="G354" s="50" t="s">
        <v>920</v>
      </c>
      <c r="H354" s="50" t="s">
        <v>533</v>
      </c>
      <c r="I354" s="9"/>
      <c r="J354" s="9" t="s">
        <v>407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 t="s">
        <v>407</v>
      </c>
      <c r="Z354" s="55"/>
      <c r="AA354" s="51"/>
      <c r="AB354" s="149"/>
      <c r="AC354" s="150"/>
    </row>
    <row r="355" spans="1:29" s="11" customFormat="1" x14ac:dyDescent="0.2">
      <c r="A355" s="9">
        <v>80</v>
      </c>
      <c r="B355" s="9"/>
      <c r="C355" s="9"/>
      <c r="D355" s="9" t="s">
        <v>80</v>
      </c>
      <c r="E355" s="49" t="s">
        <v>74</v>
      </c>
      <c r="F355" s="49"/>
      <c r="G355" s="50" t="s">
        <v>921</v>
      </c>
      <c r="H355" s="50" t="s">
        <v>534</v>
      </c>
      <c r="I355" s="9"/>
      <c r="J355" s="9" t="s">
        <v>407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 t="s">
        <v>407</v>
      </c>
      <c r="Z355" s="55"/>
      <c r="AA355" s="51"/>
      <c r="AB355" s="149"/>
      <c r="AC355" s="150"/>
    </row>
    <row r="356" spans="1:29" s="11" customFormat="1" x14ac:dyDescent="0.2">
      <c r="A356" s="9">
        <v>80</v>
      </c>
      <c r="B356" s="9"/>
      <c r="C356" s="9"/>
      <c r="D356" s="9" t="s">
        <v>337</v>
      </c>
      <c r="E356" s="49" t="s">
        <v>350</v>
      </c>
      <c r="F356" s="49"/>
      <c r="G356" s="50" t="s">
        <v>990</v>
      </c>
      <c r="H356" s="50" t="s">
        <v>605</v>
      </c>
      <c r="I356" s="9"/>
      <c r="J356" s="9" t="s">
        <v>407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 t="s">
        <v>407</v>
      </c>
      <c r="Z356" s="55"/>
      <c r="AA356" s="51"/>
      <c r="AB356" s="149"/>
      <c r="AC356" s="150"/>
    </row>
    <row r="357" spans="1:29" s="11" customFormat="1" x14ac:dyDescent="0.2">
      <c r="A357" s="9">
        <v>80</v>
      </c>
      <c r="B357" s="9"/>
      <c r="C357" s="9"/>
      <c r="D357" s="9" t="s">
        <v>338</v>
      </c>
      <c r="E357" s="49" t="s">
        <v>351</v>
      </c>
      <c r="F357" s="49"/>
      <c r="G357" s="50" t="s">
        <v>991</v>
      </c>
      <c r="H357" s="50" t="s">
        <v>606</v>
      </c>
      <c r="I357" s="9"/>
      <c r="J357" s="9" t="s">
        <v>407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 t="s">
        <v>407</v>
      </c>
      <c r="Z357" s="55"/>
      <c r="AA357" s="51"/>
      <c r="AB357" s="73"/>
      <c r="AC357" s="74"/>
    </row>
    <row r="358" spans="1:29" s="11" customFormat="1" x14ac:dyDescent="0.2">
      <c r="A358" s="9">
        <v>80</v>
      </c>
      <c r="B358" s="9"/>
      <c r="C358" s="9"/>
      <c r="D358" s="9" t="s">
        <v>339</v>
      </c>
      <c r="E358" s="49" t="s">
        <v>330</v>
      </c>
      <c r="F358" s="49"/>
      <c r="G358" s="50" t="s">
        <v>992</v>
      </c>
      <c r="H358" s="50" t="s">
        <v>607</v>
      </c>
      <c r="I358" s="9"/>
      <c r="J358" s="9" t="s">
        <v>407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 t="s">
        <v>407</v>
      </c>
      <c r="Z358" s="55"/>
      <c r="AA358" s="51"/>
      <c r="AB358" s="73"/>
      <c r="AC358" s="74"/>
    </row>
    <row r="359" spans="1:29" s="11" customFormat="1" x14ac:dyDescent="0.2">
      <c r="A359" s="9">
        <v>80</v>
      </c>
      <c r="B359" s="9"/>
      <c r="C359" s="9"/>
      <c r="D359" s="9" t="s">
        <v>340</v>
      </c>
      <c r="E359" s="49" t="s">
        <v>352</v>
      </c>
      <c r="F359" s="49"/>
      <c r="G359" s="50" t="s">
        <v>993</v>
      </c>
      <c r="H359" s="50" t="s">
        <v>608</v>
      </c>
      <c r="I359" s="9"/>
      <c r="J359" s="9" t="s">
        <v>407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 t="s">
        <v>407</v>
      </c>
      <c r="Z359" s="55"/>
      <c r="AA359" s="51"/>
      <c r="AB359" s="73"/>
      <c r="AC359" s="74"/>
    </row>
    <row r="360" spans="1:29" s="11" customFormat="1" x14ac:dyDescent="0.2">
      <c r="A360" s="9">
        <v>80</v>
      </c>
      <c r="B360" s="9"/>
      <c r="C360" s="9"/>
      <c r="D360" s="9" t="s">
        <v>341</v>
      </c>
      <c r="E360" s="49" t="s">
        <v>350</v>
      </c>
      <c r="F360" s="49"/>
      <c r="G360" s="50" t="s">
        <v>994</v>
      </c>
      <c r="H360" s="50" t="s">
        <v>609</v>
      </c>
      <c r="I360" s="9"/>
      <c r="J360" s="9" t="s">
        <v>407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 t="s">
        <v>407</v>
      </c>
      <c r="Z360" s="55"/>
      <c r="AA360" s="51"/>
      <c r="AB360" s="73"/>
      <c r="AC360" s="74"/>
    </row>
    <row r="361" spans="1:29" s="11" customFormat="1" x14ac:dyDescent="0.2">
      <c r="A361" s="9">
        <v>80</v>
      </c>
      <c r="B361" s="9"/>
      <c r="C361" s="9"/>
      <c r="D361" s="9" t="s">
        <v>342</v>
      </c>
      <c r="E361" s="49" t="s">
        <v>351</v>
      </c>
      <c r="F361" s="49"/>
      <c r="G361" s="50" t="s">
        <v>995</v>
      </c>
      <c r="H361" s="50" t="s">
        <v>610</v>
      </c>
      <c r="I361" s="9"/>
      <c r="J361" s="9" t="s">
        <v>407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 t="s">
        <v>407</v>
      </c>
      <c r="Z361" s="55"/>
      <c r="AA361" s="51"/>
      <c r="AB361" s="73"/>
      <c r="AC361" s="74"/>
    </row>
    <row r="362" spans="1:29" s="11" customFormat="1" x14ac:dyDescent="0.2">
      <c r="A362" s="9">
        <v>80</v>
      </c>
      <c r="B362" s="9"/>
      <c r="C362" s="9"/>
      <c r="D362" s="9" t="s">
        <v>343</v>
      </c>
      <c r="E362" s="49" t="s">
        <v>330</v>
      </c>
      <c r="F362" s="49"/>
      <c r="G362" s="50" t="s">
        <v>996</v>
      </c>
      <c r="H362" s="50" t="s">
        <v>611</v>
      </c>
      <c r="I362" s="9"/>
      <c r="J362" s="9" t="s">
        <v>407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 t="s">
        <v>407</v>
      </c>
      <c r="Z362" s="55"/>
      <c r="AA362" s="51"/>
      <c r="AB362" s="73"/>
      <c r="AC362" s="74"/>
    </row>
    <row r="363" spans="1:29" s="11" customFormat="1" x14ac:dyDescent="0.2">
      <c r="A363" s="9">
        <v>80</v>
      </c>
      <c r="B363" s="9"/>
      <c r="C363" s="9"/>
      <c r="D363" s="9" t="s">
        <v>344</v>
      </c>
      <c r="E363" s="49" t="s">
        <v>352</v>
      </c>
      <c r="F363" s="49"/>
      <c r="G363" s="50" t="s">
        <v>997</v>
      </c>
      <c r="H363" s="50" t="s">
        <v>612</v>
      </c>
      <c r="I363" s="9"/>
      <c r="J363" s="9" t="s">
        <v>407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 t="s">
        <v>407</v>
      </c>
      <c r="Z363" s="55"/>
      <c r="AA363" s="51"/>
      <c r="AB363" s="73"/>
      <c r="AC363" s="74"/>
    </row>
    <row r="364" spans="1:29" s="11" customFormat="1" x14ac:dyDescent="0.2">
      <c r="A364" s="9">
        <v>80</v>
      </c>
      <c r="B364" s="9"/>
      <c r="C364" s="9"/>
      <c r="D364" s="9" t="s">
        <v>38</v>
      </c>
      <c r="E364" s="49" t="s">
        <v>39</v>
      </c>
      <c r="F364" s="49"/>
      <c r="G364" s="50" t="s">
        <v>949</v>
      </c>
      <c r="H364" s="50" t="s">
        <v>562</v>
      </c>
      <c r="I364" s="9"/>
      <c r="J364" s="9" t="s">
        <v>407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 t="s">
        <v>407</v>
      </c>
      <c r="Z364" s="55"/>
      <c r="AA364" s="51"/>
      <c r="AB364" s="73"/>
      <c r="AC364" s="74"/>
    </row>
    <row r="365" spans="1:29" s="11" customFormat="1" x14ac:dyDescent="0.2">
      <c r="A365" s="9">
        <v>80</v>
      </c>
      <c r="B365" s="9"/>
      <c r="C365" s="9"/>
      <c r="D365" s="9" t="s">
        <v>42</v>
      </c>
      <c r="E365" s="49" t="s">
        <v>43</v>
      </c>
      <c r="F365" s="49"/>
      <c r="G365" s="50" t="s">
        <v>950</v>
      </c>
      <c r="H365" s="50" t="s">
        <v>563</v>
      </c>
      <c r="I365" s="9"/>
      <c r="J365" s="9" t="s">
        <v>407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 t="s">
        <v>407</v>
      </c>
      <c r="Z365" s="55"/>
      <c r="AA365" s="51"/>
      <c r="AB365" s="73"/>
      <c r="AC365" s="74"/>
    </row>
    <row r="366" spans="1:29" s="11" customFormat="1" x14ac:dyDescent="0.2">
      <c r="A366" s="9">
        <v>80</v>
      </c>
      <c r="B366" s="9"/>
      <c r="C366" s="9"/>
      <c r="D366" s="9" t="s">
        <v>40</v>
      </c>
      <c r="E366" s="49" t="s">
        <v>41</v>
      </c>
      <c r="F366" s="49"/>
      <c r="G366" s="50" t="s">
        <v>951</v>
      </c>
      <c r="H366" s="50" t="s">
        <v>564</v>
      </c>
      <c r="I366" s="9"/>
      <c r="J366" s="9" t="s">
        <v>407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 t="s">
        <v>407</v>
      </c>
      <c r="Z366" s="55"/>
      <c r="AA366" s="51"/>
      <c r="AB366" s="73"/>
      <c r="AC366" s="74"/>
    </row>
    <row r="367" spans="1:29" s="11" customFormat="1" x14ac:dyDescent="0.2">
      <c r="A367" s="9">
        <v>80</v>
      </c>
      <c r="B367" s="9"/>
      <c r="C367" s="9"/>
      <c r="D367" s="9" t="s">
        <v>345</v>
      </c>
      <c r="E367" s="49" t="s">
        <v>307</v>
      </c>
      <c r="F367" s="49"/>
      <c r="G367" s="50" t="s">
        <v>884</v>
      </c>
      <c r="H367" s="50" t="s">
        <v>496</v>
      </c>
      <c r="I367" s="9"/>
      <c r="J367" s="9" t="s">
        <v>407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 t="s">
        <v>407</v>
      </c>
      <c r="Z367" s="55"/>
      <c r="AA367" s="51"/>
      <c r="AB367" s="149"/>
      <c r="AC367" s="150"/>
    </row>
    <row r="368" spans="1:29" s="11" customFormat="1" x14ac:dyDescent="0.2">
      <c r="A368" s="9">
        <v>80</v>
      </c>
      <c r="B368" s="9"/>
      <c r="C368" s="9"/>
      <c r="D368" s="9" t="s">
        <v>92</v>
      </c>
      <c r="E368" s="49" t="s">
        <v>308</v>
      </c>
      <c r="F368" s="49"/>
      <c r="G368" s="50" t="s">
        <v>885</v>
      </c>
      <c r="H368" s="50" t="s">
        <v>497</v>
      </c>
      <c r="I368" s="9"/>
      <c r="J368" s="9" t="s">
        <v>407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 t="s">
        <v>407</v>
      </c>
      <c r="Z368" s="55"/>
      <c r="AA368" s="51"/>
      <c r="AB368" s="149"/>
      <c r="AC368" s="150"/>
    </row>
    <row r="369" spans="1:29" s="11" customFormat="1" x14ac:dyDescent="0.2">
      <c r="A369" s="9">
        <v>80</v>
      </c>
      <c r="B369" s="9"/>
      <c r="C369" s="9"/>
      <c r="D369" s="9" t="s">
        <v>14</v>
      </c>
      <c r="E369" s="49" t="s">
        <v>47</v>
      </c>
      <c r="F369" s="49"/>
      <c r="G369" s="50" t="s">
        <v>886</v>
      </c>
      <c r="H369" s="50" t="s">
        <v>498</v>
      </c>
      <c r="I369" s="9"/>
      <c r="J369" s="9" t="s">
        <v>407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 t="s">
        <v>407</v>
      </c>
      <c r="Z369" s="55"/>
      <c r="AA369" s="51"/>
      <c r="AB369" s="149"/>
      <c r="AC369" s="150"/>
    </row>
    <row r="370" spans="1:29" s="11" customFormat="1" x14ac:dyDescent="0.2">
      <c r="A370" s="9">
        <v>80</v>
      </c>
      <c r="B370" s="9"/>
      <c r="C370" s="9"/>
      <c r="D370" s="9" t="s">
        <v>93</v>
      </c>
      <c r="E370" s="49" t="s">
        <v>94</v>
      </c>
      <c r="F370" s="49"/>
      <c r="G370" s="50" t="s">
        <v>887</v>
      </c>
      <c r="H370" s="50" t="s">
        <v>499</v>
      </c>
      <c r="I370" s="9"/>
      <c r="J370" s="9" t="s">
        <v>407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 t="s">
        <v>407</v>
      </c>
      <c r="Z370" s="55"/>
      <c r="AA370" s="51"/>
      <c r="AB370" s="149"/>
      <c r="AC370" s="150"/>
    </row>
    <row r="371" spans="1:29" s="11" customFormat="1" x14ac:dyDescent="0.2">
      <c r="A371" s="9">
        <v>80</v>
      </c>
      <c r="B371" s="9"/>
      <c r="C371" s="9"/>
      <c r="D371" s="9" t="s">
        <v>95</v>
      </c>
      <c r="E371" s="49" t="s">
        <v>96</v>
      </c>
      <c r="F371" s="49"/>
      <c r="G371" s="50" t="s">
        <v>888</v>
      </c>
      <c r="H371" s="50" t="s">
        <v>500</v>
      </c>
      <c r="I371" s="9"/>
      <c r="J371" s="9" t="s">
        <v>407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55"/>
      <c r="AA371" s="51"/>
      <c r="AB371" s="149"/>
      <c r="AC371" s="150"/>
    </row>
    <row r="372" spans="1:29" s="11" customFormat="1" x14ac:dyDescent="0.2">
      <c r="A372" s="9">
        <v>80</v>
      </c>
      <c r="B372" s="9"/>
      <c r="C372" s="9"/>
      <c r="D372" s="9" t="s">
        <v>57</v>
      </c>
      <c r="E372" s="49" t="s">
        <v>58</v>
      </c>
      <c r="F372" s="49"/>
      <c r="G372" s="50" t="s">
        <v>849</v>
      </c>
      <c r="H372" s="50" t="s">
        <v>450</v>
      </c>
      <c r="I372" s="9"/>
      <c r="J372" s="9" t="s">
        <v>407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 t="s">
        <v>407</v>
      </c>
      <c r="Z372" s="55"/>
      <c r="AA372" s="51"/>
      <c r="AB372" s="149"/>
      <c r="AC372" s="150"/>
    </row>
    <row r="373" spans="1:29" s="11" customFormat="1" x14ac:dyDescent="0.2">
      <c r="A373" s="9">
        <v>80</v>
      </c>
      <c r="B373" s="9"/>
      <c r="C373" s="9"/>
      <c r="D373" s="9" t="s">
        <v>346</v>
      </c>
      <c r="E373" s="49" t="s">
        <v>307</v>
      </c>
      <c r="F373" s="49"/>
      <c r="G373" s="50" t="s">
        <v>889</v>
      </c>
      <c r="H373" s="50" t="s">
        <v>501</v>
      </c>
      <c r="I373" s="9"/>
      <c r="J373" s="9" t="s">
        <v>407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 t="s">
        <v>407</v>
      </c>
      <c r="Z373" s="55"/>
      <c r="AA373" s="51"/>
      <c r="AB373" s="149"/>
      <c r="AC373" s="150"/>
    </row>
    <row r="374" spans="1:29" s="11" customFormat="1" x14ac:dyDescent="0.2">
      <c r="A374" s="9">
        <v>80</v>
      </c>
      <c r="B374" s="9"/>
      <c r="C374" s="9"/>
      <c r="D374" s="9" t="s">
        <v>97</v>
      </c>
      <c r="E374" s="49" t="s">
        <v>308</v>
      </c>
      <c r="F374" s="49"/>
      <c r="G374" s="50" t="s">
        <v>890</v>
      </c>
      <c r="H374" s="50" t="s">
        <v>502</v>
      </c>
      <c r="I374" s="9"/>
      <c r="J374" s="9" t="s">
        <v>407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 t="s">
        <v>407</v>
      </c>
      <c r="Z374" s="55"/>
      <c r="AA374" s="51"/>
      <c r="AB374" s="149"/>
      <c r="AC374" s="150"/>
    </row>
    <row r="375" spans="1:29" s="11" customFormat="1" x14ac:dyDescent="0.2">
      <c r="A375" s="9">
        <v>80</v>
      </c>
      <c r="B375" s="9"/>
      <c r="C375" s="9"/>
      <c r="D375" s="9" t="s">
        <v>15</v>
      </c>
      <c r="E375" s="49" t="s">
        <v>47</v>
      </c>
      <c r="F375" s="49"/>
      <c r="G375" s="50" t="s">
        <v>891</v>
      </c>
      <c r="H375" s="50" t="s">
        <v>503</v>
      </c>
      <c r="I375" s="9"/>
      <c r="J375" s="9" t="s">
        <v>407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 t="s">
        <v>407</v>
      </c>
      <c r="Z375" s="55"/>
      <c r="AA375" s="51"/>
      <c r="AB375" s="149"/>
      <c r="AC375" s="150"/>
    </row>
    <row r="376" spans="1:29" s="11" customFormat="1" x14ac:dyDescent="0.2">
      <c r="A376" s="9">
        <v>80</v>
      </c>
      <c r="B376" s="9"/>
      <c r="C376" s="9"/>
      <c r="D376" s="9" t="s">
        <v>98</v>
      </c>
      <c r="E376" s="49" t="s">
        <v>94</v>
      </c>
      <c r="F376" s="49"/>
      <c r="G376" s="50" t="s">
        <v>892</v>
      </c>
      <c r="H376" s="50" t="s">
        <v>504</v>
      </c>
      <c r="I376" s="9"/>
      <c r="J376" s="9" t="s">
        <v>407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 t="s">
        <v>407</v>
      </c>
      <c r="Z376" s="55"/>
      <c r="AA376" s="51"/>
      <c r="AB376" s="149"/>
      <c r="AC376" s="150"/>
    </row>
    <row r="377" spans="1:29" s="11" customFormat="1" x14ac:dyDescent="0.2">
      <c r="A377" s="9">
        <v>80</v>
      </c>
      <c r="B377" s="9"/>
      <c r="C377" s="9"/>
      <c r="D377" s="9" t="s">
        <v>99</v>
      </c>
      <c r="E377" s="49" t="s">
        <v>96</v>
      </c>
      <c r="F377" s="49"/>
      <c r="G377" s="50" t="s">
        <v>893</v>
      </c>
      <c r="H377" s="50" t="s">
        <v>505</v>
      </c>
      <c r="I377" s="9"/>
      <c r="J377" s="9" t="s">
        <v>407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55"/>
      <c r="AA377" s="51"/>
      <c r="AB377" s="149"/>
      <c r="AC377" s="150"/>
    </row>
    <row r="378" spans="1:29" s="11" customFormat="1" x14ac:dyDescent="0.2">
      <c r="A378" s="9">
        <v>80</v>
      </c>
      <c r="B378" s="9"/>
      <c r="C378" s="9"/>
      <c r="D378" s="9" t="s">
        <v>100</v>
      </c>
      <c r="E378" s="49" t="s">
        <v>46</v>
      </c>
      <c r="F378" s="49"/>
      <c r="G378" s="50" t="s">
        <v>894</v>
      </c>
      <c r="H378" s="50" t="s">
        <v>506</v>
      </c>
      <c r="I378" s="9"/>
      <c r="J378" s="9" t="s">
        <v>407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 t="s">
        <v>407</v>
      </c>
      <c r="Z378" s="55"/>
      <c r="AA378" s="51"/>
      <c r="AB378" s="149"/>
      <c r="AC378" s="150"/>
    </row>
    <row r="379" spans="1:29" s="11" customFormat="1" x14ac:dyDescent="0.2">
      <c r="A379" s="9">
        <v>80</v>
      </c>
      <c r="B379" s="9"/>
      <c r="C379" s="9"/>
      <c r="D379" s="9" t="s">
        <v>143</v>
      </c>
      <c r="E379" s="49" t="s">
        <v>307</v>
      </c>
      <c r="F379" s="49"/>
      <c r="G379" s="50" t="s">
        <v>895</v>
      </c>
      <c r="H379" s="50" t="s">
        <v>507</v>
      </c>
      <c r="I379" s="9"/>
      <c r="J379" s="9" t="s">
        <v>407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 t="s">
        <v>407</v>
      </c>
      <c r="Z379" s="55"/>
      <c r="AA379" s="51"/>
      <c r="AB379" s="149"/>
      <c r="AC379" s="150"/>
    </row>
    <row r="380" spans="1:29" s="11" customFormat="1" x14ac:dyDescent="0.2">
      <c r="A380" s="9">
        <v>80</v>
      </c>
      <c r="B380" s="9"/>
      <c r="C380" s="9"/>
      <c r="D380" s="9" t="s">
        <v>144</v>
      </c>
      <c r="E380" s="49" t="s">
        <v>308</v>
      </c>
      <c r="F380" s="49"/>
      <c r="G380" s="50" t="s">
        <v>896</v>
      </c>
      <c r="H380" s="50" t="s">
        <v>508</v>
      </c>
      <c r="I380" s="9"/>
      <c r="J380" s="9" t="s">
        <v>407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 t="s">
        <v>407</v>
      </c>
      <c r="Z380" s="55"/>
      <c r="AA380" s="51"/>
      <c r="AB380" s="149"/>
      <c r="AC380" s="150"/>
    </row>
    <row r="381" spans="1:29" s="11" customFormat="1" x14ac:dyDescent="0.2">
      <c r="A381" s="9">
        <v>80</v>
      </c>
      <c r="B381" s="9"/>
      <c r="C381" s="9"/>
      <c r="D381" s="9" t="s">
        <v>145</v>
      </c>
      <c r="E381" s="49" t="s">
        <v>47</v>
      </c>
      <c r="F381" s="49"/>
      <c r="G381" s="50" t="s">
        <v>897</v>
      </c>
      <c r="H381" s="50" t="s">
        <v>509</v>
      </c>
      <c r="I381" s="9"/>
      <c r="J381" s="9" t="s">
        <v>407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 t="s">
        <v>407</v>
      </c>
      <c r="Z381" s="55"/>
      <c r="AA381" s="51"/>
      <c r="AB381" s="149"/>
      <c r="AC381" s="150"/>
    </row>
    <row r="382" spans="1:29" s="11" customFormat="1" x14ac:dyDescent="0.2">
      <c r="A382" s="61"/>
      <c r="B382" s="30"/>
      <c r="C382" s="30"/>
      <c r="D382" s="62" t="s">
        <v>4</v>
      </c>
      <c r="E382" s="31"/>
      <c r="F382" s="63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64"/>
    </row>
    <row r="383" spans="1:29" s="11" customFormat="1" x14ac:dyDescent="0.2">
      <c r="A383" s="80"/>
      <c r="AC383" s="54"/>
    </row>
    <row r="384" spans="1:29" s="11" customFormat="1" x14ac:dyDescent="0.2">
      <c r="A384" s="80"/>
      <c r="AC384" s="54"/>
    </row>
    <row r="385" spans="1:29" s="11" customFormat="1" x14ac:dyDescent="0.2">
      <c r="A385" s="80"/>
      <c r="AC385" s="54"/>
    </row>
    <row r="386" spans="1:29" s="11" customFormat="1" x14ac:dyDescent="0.2">
      <c r="A386" s="80"/>
      <c r="AC386" s="54"/>
    </row>
    <row r="387" spans="1:29" s="11" customFormat="1" x14ac:dyDescent="0.2">
      <c r="A387" s="84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20"/>
    </row>
  </sheetData>
  <mergeCells count="176">
    <mergeCell ref="AB314:AC314"/>
    <mergeCell ref="AB332:AC332"/>
    <mergeCell ref="AB279:AC279"/>
    <mergeCell ref="AB300:AC300"/>
    <mergeCell ref="AB293:AC293"/>
    <mergeCell ref="AB303:AC303"/>
    <mergeCell ref="AB302:AC302"/>
    <mergeCell ref="AB301:AC301"/>
    <mergeCell ref="AB296:AC296"/>
    <mergeCell ref="AB284:AC284"/>
    <mergeCell ref="AB283:AC283"/>
    <mergeCell ref="AB294:AC294"/>
    <mergeCell ref="AB298:AC298"/>
    <mergeCell ref="AB297:AC297"/>
    <mergeCell ref="AB295:AC295"/>
    <mergeCell ref="AB22:AC22"/>
    <mergeCell ref="AB114:AC114"/>
    <mergeCell ref="AB141:AC141"/>
    <mergeCell ref="AB238:AC238"/>
    <mergeCell ref="AB239:AC239"/>
    <mergeCell ref="AB240:AC240"/>
    <mergeCell ref="AB277:AC277"/>
    <mergeCell ref="AB278:AC278"/>
    <mergeCell ref="AB243:AC243"/>
    <mergeCell ref="AB233:AC233"/>
    <mergeCell ref="AB234:AC234"/>
    <mergeCell ref="AB230:AC230"/>
    <mergeCell ref="AB232:AC232"/>
    <mergeCell ref="AB225:AC225"/>
    <mergeCell ref="AB116:AC116"/>
    <mergeCell ref="AB112:AC112"/>
    <mergeCell ref="AB180:AC180"/>
    <mergeCell ref="AB132:AC132"/>
    <mergeCell ref="AB133:AC133"/>
    <mergeCell ref="AB138:AC138"/>
    <mergeCell ref="AB139:AC139"/>
    <mergeCell ref="AB119:AC119"/>
    <mergeCell ref="AB120:AC120"/>
    <mergeCell ref="AB115:AC115"/>
    <mergeCell ref="AB16:AC16"/>
    <mergeCell ref="AB17:AC17"/>
    <mergeCell ref="AB30:AC30"/>
    <mergeCell ref="AB31:AC31"/>
    <mergeCell ref="AB35:AC35"/>
    <mergeCell ref="AB19:AC19"/>
    <mergeCell ref="AB18:AC18"/>
    <mergeCell ref="AB179:AC179"/>
    <mergeCell ref="AB168:AC168"/>
    <mergeCell ref="AB169:AC169"/>
    <mergeCell ref="AB170:AC170"/>
    <mergeCell ref="AB171:AC171"/>
    <mergeCell ref="AB175:AC175"/>
    <mergeCell ref="AB176:AC176"/>
    <mergeCell ref="AB172:AC172"/>
    <mergeCell ref="AB174:AC174"/>
    <mergeCell ref="AB167:AC167"/>
    <mergeCell ref="AB178:AC178"/>
    <mergeCell ref="AB173:AC173"/>
    <mergeCell ref="AB29:AC29"/>
    <mergeCell ref="AB38:AC38"/>
    <mergeCell ref="AB32:AC32"/>
    <mergeCell ref="AB33:AC33"/>
    <mergeCell ref="AB166:AC166"/>
    <mergeCell ref="AB165:AC165"/>
    <mergeCell ref="AB88:AC88"/>
    <mergeCell ref="AB89:AC89"/>
    <mergeCell ref="AB90:AC90"/>
    <mergeCell ref="AB91:AC91"/>
    <mergeCell ref="AB92:AC92"/>
    <mergeCell ref="AB177:AC177"/>
    <mergeCell ref="AB313:AC313"/>
    <mergeCell ref="AB107:AC107"/>
    <mergeCell ref="AB108:AC108"/>
    <mergeCell ref="AB109:AC109"/>
    <mergeCell ref="AB117:AC117"/>
    <mergeCell ref="AB118:AC118"/>
    <mergeCell ref="AB226:AC226"/>
    <mergeCell ref="AB272:AC272"/>
    <mergeCell ref="AB271:AC271"/>
    <mergeCell ref="AB270:AC270"/>
    <mergeCell ref="AB305:AC305"/>
    <mergeCell ref="AB304:AC304"/>
    <mergeCell ref="AB246:AC246"/>
    <mergeCell ref="AB245:AC245"/>
    <mergeCell ref="AB292:AC292"/>
    <mergeCell ref="AB247:AC247"/>
    <mergeCell ref="AB227:AC227"/>
    <mergeCell ref="AB181:AC181"/>
    <mergeCell ref="AB182:AC182"/>
    <mergeCell ref="AB185:AC185"/>
    <mergeCell ref="AB236:AC236"/>
    <mergeCell ref="AB231:AC231"/>
    <mergeCell ref="AB235:AC235"/>
    <mergeCell ref="AB188:AC188"/>
    <mergeCell ref="AB223:AC223"/>
    <mergeCell ref="AB224:AC224"/>
    <mergeCell ref="AB189:AC189"/>
    <mergeCell ref="AB187:AC187"/>
    <mergeCell ref="AB197:AC197"/>
    <mergeCell ref="AB198:AC198"/>
    <mergeCell ref="AB190:AC190"/>
    <mergeCell ref="AB191:AC191"/>
    <mergeCell ref="AB228:AC228"/>
    <mergeCell ref="AB229:AC229"/>
    <mergeCell ref="AB264:AC264"/>
    <mergeCell ref="AB263:AC263"/>
    <mergeCell ref="AB262:AC262"/>
    <mergeCell ref="AB282:AC282"/>
    <mergeCell ref="AB372:AC372"/>
    <mergeCell ref="AB371:AC371"/>
    <mergeCell ref="AB370:AC370"/>
    <mergeCell ref="AB354:AC354"/>
    <mergeCell ref="AB356:AC356"/>
    <mergeCell ref="AB342:AC342"/>
    <mergeCell ref="AB333:AC333"/>
    <mergeCell ref="AB334:AC334"/>
    <mergeCell ref="AB299:AC299"/>
    <mergeCell ref="AB306:AC306"/>
    <mergeCell ref="AB307:AC307"/>
    <mergeCell ref="AB308:AC308"/>
    <mergeCell ref="AB311:AC311"/>
    <mergeCell ref="AB347:AC347"/>
    <mergeCell ref="AB348:AC348"/>
    <mergeCell ref="AB349:AC349"/>
    <mergeCell ref="AB355:AC355"/>
    <mergeCell ref="AB335:AC335"/>
    <mergeCell ref="AB336:AC336"/>
    <mergeCell ref="AB337:AC337"/>
    <mergeCell ref="AB266:AC266"/>
    <mergeCell ref="AB265:AC265"/>
    <mergeCell ref="AB338:AC338"/>
    <mergeCell ref="AB339:AC339"/>
    <mergeCell ref="AB340:AC340"/>
    <mergeCell ref="AB341:AC341"/>
    <mergeCell ref="AB381:AC381"/>
    <mergeCell ref="AB380:AC380"/>
    <mergeCell ref="AB379:AC379"/>
    <mergeCell ref="AB378:AC378"/>
    <mergeCell ref="AB377:AC377"/>
    <mergeCell ref="AB376:AC376"/>
    <mergeCell ref="AB375:AC375"/>
    <mergeCell ref="AB374:AC374"/>
    <mergeCell ref="AB373:AC373"/>
    <mergeCell ref="AB369:AC369"/>
    <mergeCell ref="AB368:AC368"/>
    <mergeCell ref="AB367:AC367"/>
    <mergeCell ref="AB352:AC352"/>
    <mergeCell ref="AB343:AC343"/>
    <mergeCell ref="AB344:AC344"/>
    <mergeCell ref="AB345:AC345"/>
    <mergeCell ref="AB346:AC346"/>
    <mergeCell ref="AB312:AC312"/>
    <mergeCell ref="AB27:AC27"/>
    <mergeCell ref="AB28:AC28"/>
    <mergeCell ref="AB291:AC291"/>
    <mergeCell ref="AB287:AC287"/>
    <mergeCell ref="AB95:AC95"/>
    <mergeCell ref="AB96:AC96"/>
    <mergeCell ref="AB97:AC97"/>
    <mergeCell ref="AB98:AC98"/>
    <mergeCell ref="AB99:AC99"/>
    <mergeCell ref="AB100:AC100"/>
    <mergeCell ref="AB101:AC101"/>
    <mergeCell ref="AB102:AC102"/>
    <mergeCell ref="AB103:AC103"/>
    <mergeCell ref="AB104:AC104"/>
    <mergeCell ref="AB105:AC105"/>
    <mergeCell ref="AB106:AC106"/>
    <mergeCell ref="AB269:AC269"/>
    <mergeCell ref="AB268:AC268"/>
    <mergeCell ref="AB267:AC267"/>
    <mergeCell ref="AB276:AC276"/>
    <mergeCell ref="AB275:AC275"/>
    <mergeCell ref="AB274:AC274"/>
    <mergeCell ref="AB273:AC273"/>
    <mergeCell ref="AB237:AC23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P2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11.6328125" style="27" bestFit="1" customWidth="1"/>
    <col min="22" max="22" width="31.6328125" style="27" bestFit="1" customWidth="1"/>
    <col min="23" max="23" width="20.453125" style="27" bestFit="1" customWidth="1"/>
    <col min="24" max="24" width="35.81640625" style="27" customWidth="1"/>
    <col min="25" max="25" width="13.90625" style="27" bestFit="1" customWidth="1"/>
    <col min="26" max="26" width="18.453125" style="27" customWidth="1"/>
    <col min="27" max="27" width="15.81640625" style="27" customWidth="1"/>
    <col min="28" max="28" width="20.453125" style="27" customWidth="1"/>
    <col min="29" max="29" width="15.08984375" style="27" customWidth="1"/>
    <col min="30" max="30" width="18.08984375" style="27" customWidth="1"/>
    <col min="31" max="31" width="16.453125" style="27" customWidth="1"/>
    <col min="32" max="32" width="18.08984375" style="27" customWidth="1"/>
    <col min="33" max="33" width="16.81640625" style="27" customWidth="1"/>
    <col min="34" max="34" width="20.08984375" style="27" customWidth="1"/>
    <col min="35" max="35" width="16.453125" style="27" customWidth="1"/>
    <col min="36" max="36" width="18.08984375" style="27" customWidth="1"/>
    <col min="37" max="37" width="16.81640625" style="27" customWidth="1"/>
    <col min="38" max="38" width="20.08984375" style="27" customWidth="1"/>
    <col min="39" max="39" width="30.81640625" style="27" customWidth="1"/>
    <col min="40" max="46" width="20.08984375" style="27" customWidth="1"/>
    <col min="47" max="16384" width="9" style="27"/>
  </cols>
  <sheetData>
    <row r="1" spans="1:42" s="11" customFormat="1" x14ac:dyDescent="0.2">
      <c r="A1" s="76" t="s">
        <v>398</v>
      </c>
      <c r="B1" s="76" t="s">
        <v>398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</row>
    <row r="2" spans="1:42" s="11" customFormat="1" ht="40" customHeight="1" x14ac:dyDescent="0.2">
      <c r="A2" s="77" t="s">
        <v>398</v>
      </c>
      <c r="B2" s="78"/>
      <c r="C2" s="78"/>
      <c r="D2" s="89" t="s">
        <v>788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MABCL0570</v>
      </c>
      <c r="I2" s="7" t="s">
        <v>399</v>
      </c>
      <c r="J2" s="9" t="s">
        <v>69</v>
      </c>
      <c r="K2" s="7" t="s">
        <v>36</v>
      </c>
      <c r="L2" s="79" t="str">
        <f>IF(LogicCommon!G2="","",LogicCommon!G2)</f>
        <v>MC</v>
      </c>
      <c r="M2" s="5" t="s">
        <v>400</v>
      </c>
      <c r="N2" s="28" t="s">
        <v>698</v>
      </c>
      <c r="O2" s="7"/>
      <c r="P2" s="7"/>
      <c r="Q2" s="4"/>
      <c r="R2" s="27"/>
      <c r="S2" s="4"/>
      <c r="T2" s="27"/>
      <c r="U2" s="4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42" s="11" customFormat="1" x14ac:dyDescent="0.2">
      <c r="A3" s="80" t="s">
        <v>398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MABCL_SpplReg</v>
      </c>
      <c r="I3" s="7" t="s">
        <v>401</v>
      </c>
      <c r="J3" s="9" t="s">
        <v>28</v>
      </c>
      <c r="K3" s="7" t="s">
        <v>37</v>
      </c>
      <c r="L3" s="79" t="str">
        <f>IF(LogicCommon!G3="","",LogicCommon!G3)</f>
        <v/>
      </c>
      <c r="M3" s="56" t="s">
        <v>29</v>
      </c>
      <c r="N3" s="7"/>
      <c r="O3" s="7" t="s">
        <v>402</v>
      </c>
      <c r="P3" s="9" t="s">
        <v>403</v>
      </c>
      <c r="Q3" s="4"/>
      <c r="R3" s="27"/>
      <c r="S3" s="4"/>
      <c r="T3" s="27"/>
      <c r="U3" s="4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spans="1:42" s="11" customFormat="1" x14ac:dyDescent="0.2">
      <c r="A4" s="80" t="s">
        <v>398</v>
      </c>
      <c r="B4" s="81"/>
      <c r="C4" s="81"/>
      <c r="D4" s="4"/>
      <c r="E4" s="7" t="s">
        <v>8</v>
      </c>
      <c r="F4" s="10" t="s">
        <v>646</v>
      </c>
      <c r="G4" s="7" t="s">
        <v>11</v>
      </c>
      <c r="H4" s="79" t="str">
        <f>IF(LogicCommon!E4="","",LogicCommon!E4)</f>
        <v>発注先登録</v>
      </c>
      <c r="I4" s="7" t="s">
        <v>404</v>
      </c>
      <c r="J4" s="9" t="s">
        <v>49</v>
      </c>
      <c r="K4" s="7" t="s">
        <v>5</v>
      </c>
      <c r="L4" s="79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27"/>
      <c r="U4" s="4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 spans="1:42" s="11" customFormat="1" x14ac:dyDescent="0.2">
      <c r="A5" s="84" t="s">
        <v>398</v>
      </c>
      <c r="B5" s="76"/>
      <c r="C5" s="76"/>
      <c r="D5" s="26"/>
      <c r="E5" s="7" t="s">
        <v>405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pans="1:42" s="11" customFormat="1" x14ac:dyDescent="0.2">
      <c r="A6" s="80" t="s">
        <v>398</v>
      </c>
      <c r="B6" s="81"/>
      <c r="C6" s="81"/>
      <c r="D6" s="4" t="s">
        <v>6</v>
      </c>
      <c r="E6" s="16" t="s">
        <v>395</v>
      </c>
      <c r="F6" s="16"/>
      <c r="G6" s="16"/>
      <c r="H6" s="16"/>
      <c r="I6" s="16"/>
      <c r="J6" s="16"/>
      <c r="K6" s="16"/>
      <c r="L6" s="86" t="s">
        <v>447</v>
      </c>
      <c r="M6" s="19"/>
      <c r="N6" s="19" t="s">
        <v>447</v>
      </c>
      <c r="O6" s="19"/>
      <c r="P6" s="19" t="s">
        <v>447</v>
      </c>
      <c r="Q6" s="19"/>
      <c r="R6" s="3" t="s">
        <v>447</v>
      </c>
      <c r="S6" s="3"/>
      <c r="T6" s="3" t="s">
        <v>447</v>
      </c>
      <c r="U6" s="3"/>
      <c r="V6" s="3" t="s">
        <v>447</v>
      </c>
      <c r="W6" s="3"/>
      <c r="X6" s="3" t="s">
        <v>447</v>
      </c>
      <c r="Y6" s="3"/>
      <c r="Z6" s="3" t="s">
        <v>447</v>
      </c>
      <c r="AA6" s="3"/>
      <c r="AB6" s="3" t="s">
        <v>447</v>
      </c>
      <c r="AC6" s="3"/>
      <c r="AD6" s="3" t="s">
        <v>447</v>
      </c>
      <c r="AE6" s="3"/>
      <c r="AF6" s="3" t="s">
        <v>447</v>
      </c>
      <c r="AG6" s="3"/>
      <c r="AH6" s="3" t="s">
        <v>447</v>
      </c>
      <c r="AI6" s="3"/>
      <c r="AJ6" s="3" t="s">
        <v>447</v>
      </c>
      <c r="AK6" s="3"/>
      <c r="AL6" s="3" t="s">
        <v>447</v>
      </c>
      <c r="AM6" s="4"/>
      <c r="AN6" s="29"/>
      <c r="AO6" s="29"/>
      <c r="AP6" s="27"/>
    </row>
    <row r="7" spans="1:4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65</v>
      </c>
      <c r="M7" s="33" t="s">
        <v>52</v>
      </c>
      <c r="N7" s="32" t="s">
        <v>66</v>
      </c>
      <c r="O7" s="33" t="s">
        <v>32</v>
      </c>
      <c r="P7" s="65" t="s">
        <v>103</v>
      </c>
      <c r="Q7" s="33" t="s">
        <v>32</v>
      </c>
      <c r="R7" s="65" t="s">
        <v>104</v>
      </c>
      <c r="S7" s="33" t="s">
        <v>32</v>
      </c>
      <c r="T7" s="65" t="s">
        <v>731</v>
      </c>
      <c r="U7" s="33" t="s">
        <v>32</v>
      </c>
      <c r="V7" s="65" t="s">
        <v>732</v>
      </c>
      <c r="W7" s="33" t="s">
        <v>32</v>
      </c>
      <c r="X7" s="65" t="s">
        <v>733</v>
      </c>
      <c r="Y7" s="33" t="s">
        <v>32</v>
      </c>
      <c r="Z7" s="65" t="s">
        <v>734</v>
      </c>
      <c r="AA7" s="33" t="s">
        <v>32</v>
      </c>
      <c r="AB7" s="65" t="s">
        <v>735</v>
      </c>
      <c r="AC7" s="33" t="s">
        <v>32</v>
      </c>
      <c r="AD7" s="65" t="s">
        <v>736</v>
      </c>
      <c r="AE7" s="33" t="s">
        <v>32</v>
      </c>
      <c r="AF7" s="65" t="s">
        <v>737</v>
      </c>
      <c r="AG7" s="33" t="s">
        <v>32</v>
      </c>
      <c r="AH7" s="65" t="s">
        <v>738</v>
      </c>
      <c r="AI7" s="33" t="s">
        <v>32</v>
      </c>
      <c r="AJ7" s="65" t="s">
        <v>739</v>
      </c>
      <c r="AK7" s="33" t="s">
        <v>32</v>
      </c>
      <c r="AL7" s="65" t="s">
        <v>740</v>
      </c>
      <c r="AM7" s="29"/>
      <c r="AN7" s="29"/>
      <c r="AO7" s="29"/>
      <c r="AP7" s="29"/>
    </row>
    <row r="8" spans="1:42" s="11" customFormat="1" ht="60" customHeight="1" x14ac:dyDescent="0.2">
      <c r="A8" s="49" t="s">
        <v>17</v>
      </c>
      <c r="B8" s="92"/>
      <c r="C8" s="93"/>
      <c r="D8" s="90" t="s">
        <v>789</v>
      </c>
      <c r="E8" s="90" t="s">
        <v>790</v>
      </c>
      <c r="F8" s="86"/>
      <c r="G8" s="90" t="s">
        <v>446</v>
      </c>
      <c r="H8" s="90" t="s">
        <v>791</v>
      </c>
      <c r="I8" s="86"/>
      <c r="J8" s="3"/>
      <c r="K8" s="33" t="s">
        <v>16</v>
      </c>
      <c r="L8" s="9" t="s">
        <v>273</v>
      </c>
      <c r="M8" s="33" t="s">
        <v>53</v>
      </c>
      <c r="N8" s="9" t="s">
        <v>274</v>
      </c>
      <c r="O8" s="33" t="s">
        <v>16</v>
      </c>
      <c r="P8" s="65" t="s">
        <v>275</v>
      </c>
      <c r="Q8" s="33" t="s">
        <v>53</v>
      </c>
      <c r="R8" s="65" t="s">
        <v>276</v>
      </c>
      <c r="S8" s="33" t="s">
        <v>16</v>
      </c>
      <c r="T8" s="65" t="s">
        <v>277</v>
      </c>
      <c r="U8" s="33" t="s">
        <v>53</v>
      </c>
      <c r="V8" s="65" t="s">
        <v>278</v>
      </c>
      <c r="W8" s="33" t="s">
        <v>16</v>
      </c>
      <c r="X8" s="65" t="s">
        <v>333</v>
      </c>
      <c r="Y8" s="33" t="s">
        <v>53</v>
      </c>
      <c r="Z8" s="65" t="s">
        <v>334</v>
      </c>
      <c r="AA8" s="33" t="s">
        <v>16</v>
      </c>
      <c r="AB8" s="9" t="s">
        <v>332</v>
      </c>
      <c r="AC8" s="33" t="s">
        <v>53</v>
      </c>
      <c r="AD8" s="9" t="s">
        <v>322</v>
      </c>
      <c r="AE8" s="33" t="s">
        <v>16</v>
      </c>
      <c r="AF8" s="9" t="s">
        <v>280</v>
      </c>
      <c r="AG8" s="33" t="s">
        <v>53</v>
      </c>
      <c r="AH8" s="9" t="s">
        <v>279</v>
      </c>
      <c r="AI8" s="33" t="s">
        <v>16</v>
      </c>
      <c r="AJ8" s="9" t="s">
        <v>349</v>
      </c>
      <c r="AK8" s="33" t="s">
        <v>53</v>
      </c>
      <c r="AL8" s="9" t="s">
        <v>348</v>
      </c>
      <c r="AM8" s="94"/>
      <c r="AN8" s="95"/>
      <c r="AO8" s="96" t="s">
        <v>800</v>
      </c>
      <c r="AP8" s="51"/>
    </row>
    <row r="9" spans="1:42" s="11" customFormat="1" ht="60" customHeight="1" x14ac:dyDescent="0.2">
      <c r="A9" s="9" t="s">
        <v>17</v>
      </c>
      <c r="B9" s="37"/>
      <c r="C9" s="38"/>
      <c r="D9" s="90" t="s">
        <v>850</v>
      </c>
      <c r="E9" s="97" t="s">
        <v>851</v>
      </c>
      <c r="F9" s="90" t="s">
        <v>794</v>
      </c>
      <c r="G9" s="90" t="s">
        <v>795</v>
      </c>
      <c r="H9" s="90" t="s">
        <v>796</v>
      </c>
      <c r="I9" s="98" t="s">
        <v>797</v>
      </c>
      <c r="J9" s="90" t="s">
        <v>798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96" t="s">
        <v>799</v>
      </c>
      <c r="AN9" s="51"/>
      <c r="AO9" s="96" t="s">
        <v>801</v>
      </c>
      <c r="AP9" s="51"/>
    </row>
    <row r="10" spans="1:4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797</v>
      </c>
      <c r="L10" s="91" t="s">
        <v>798</v>
      </c>
      <c r="M10" s="91" t="s">
        <v>797</v>
      </c>
      <c r="N10" s="91" t="s">
        <v>798</v>
      </c>
      <c r="O10" s="91" t="s">
        <v>797</v>
      </c>
      <c r="P10" s="91" t="s">
        <v>798</v>
      </c>
      <c r="Q10" s="91" t="s">
        <v>797</v>
      </c>
      <c r="R10" s="91" t="s">
        <v>798</v>
      </c>
      <c r="S10" s="91" t="s">
        <v>797</v>
      </c>
      <c r="T10" s="91" t="s">
        <v>798</v>
      </c>
      <c r="U10" s="91" t="s">
        <v>797</v>
      </c>
      <c r="V10" s="91" t="s">
        <v>798</v>
      </c>
      <c r="W10" s="91" t="s">
        <v>797</v>
      </c>
      <c r="X10" s="91" t="s">
        <v>798</v>
      </c>
      <c r="Y10" s="91" t="s">
        <v>797</v>
      </c>
      <c r="Z10" s="91" t="s">
        <v>798</v>
      </c>
      <c r="AA10" s="91" t="s">
        <v>797</v>
      </c>
      <c r="AB10" s="91" t="s">
        <v>798</v>
      </c>
      <c r="AC10" s="91" t="s">
        <v>797</v>
      </c>
      <c r="AD10" s="91" t="s">
        <v>798</v>
      </c>
      <c r="AE10" s="91" t="s">
        <v>797</v>
      </c>
      <c r="AF10" s="91" t="s">
        <v>798</v>
      </c>
      <c r="AG10" s="91" t="s">
        <v>797</v>
      </c>
      <c r="AH10" s="91" t="s">
        <v>798</v>
      </c>
      <c r="AI10" s="91" t="s">
        <v>797</v>
      </c>
      <c r="AJ10" s="91" t="s">
        <v>798</v>
      </c>
      <c r="AK10" s="91" t="s">
        <v>797</v>
      </c>
      <c r="AL10" s="91" t="s">
        <v>798</v>
      </c>
      <c r="AM10" s="42"/>
      <c r="AN10" s="42"/>
      <c r="AO10" s="43"/>
      <c r="AP10" s="36"/>
    </row>
    <row r="11" spans="1:42" s="11" customFormat="1" x14ac:dyDescent="0.2">
      <c r="A11" s="9">
        <v>10</v>
      </c>
      <c r="B11" s="37" t="s">
        <v>0</v>
      </c>
      <c r="C11" s="38"/>
      <c r="D11" s="28" t="s">
        <v>51</v>
      </c>
      <c r="E11" s="34" t="s">
        <v>21</v>
      </c>
      <c r="F11" s="44"/>
      <c r="G11" s="28" t="s">
        <v>61</v>
      </c>
      <c r="H11" s="45" t="s">
        <v>615</v>
      </c>
      <c r="I11" s="46"/>
      <c r="J11" s="47"/>
      <c r="K11" s="48" t="s">
        <v>616</v>
      </c>
      <c r="L11" s="48"/>
      <c r="M11" s="48" t="s">
        <v>617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35"/>
      <c r="AN11" s="36"/>
      <c r="AO11" s="73"/>
      <c r="AP11" s="75"/>
    </row>
    <row r="12" spans="1:42" s="11" customFormat="1" x14ac:dyDescent="0.2">
      <c r="A12" s="9">
        <v>10</v>
      </c>
      <c r="B12" s="9"/>
      <c r="C12" s="9"/>
      <c r="D12" s="9" t="s">
        <v>88</v>
      </c>
      <c r="E12" s="49" t="s">
        <v>86</v>
      </c>
      <c r="F12" s="49"/>
      <c r="G12" s="50" t="s">
        <v>802</v>
      </c>
      <c r="H12" s="50" t="s">
        <v>406</v>
      </c>
      <c r="I12" s="9" t="s">
        <v>407</v>
      </c>
      <c r="J12" s="9"/>
      <c r="K12" s="9" t="s">
        <v>407</v>
      </c>
      <c r="L12" s="9"/>
      <c r="M12" s="9" t="s">
        <v>407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55"/>
      <c r="AN12" s="51"/>
      <c r="AO12" s="149"/>
      <c r="AP12" s="150"/>
    </row>
    <row r="13" spans="1:42" s="11" customFormat="1" x14ac:dyDescent="0.2">
      <c r="A13" s="9">
        <v>10</v>
      </c>
      <c r="B13" s="9"/>
      <c r="C13" s="9"/>
      <c r="D13" s="9" t="s">
        <v>149</v>
      </c>
      <c r="E13" s="49" t="s">
        <v>86</v>
      </c>
      <c r="F13" s="49"/>
      <c r="G13" s="50" t="s">
        <v>803</v>
      </c>
      <c r="H13" s="50" t="s">
        <v>408</v>
      </c>
      <c r="I13" s="9" t="s">
        <v>407</v>
      </c>
      <c r="J13" s="9"/>
      <c r="K13" s="9" t="s">
        <v>407</v>
      </c>
      <c r="L13" s="9"/>
      <c r="M13" s="9" t="s">
        <v>407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55"/>
      <c r="AN13" s="51"/>
      <c r="AO13" s="149"/>
      <c r="AP13" s="150"/>
    </row>
    <row r="14" spans="1:42" s="11" customFormat="1" x14ac:dyDescent="0.2">
      <c r="A14" s="9">
        <v>10</v>
      </c>
      <c r="B14" s="9"/>
      <c r="C14" s="9"/>
      <c r="D14" s="9" t="s">
        <v>320</v>
      </c>
      <c r="E14" s="49" t="s">
        <v>330</v>
      </c>
      <c r="F14" s="49"/>
      <c r="G14" s="50" t="s">
        <v>811</v>
      </c>
      <c r="H14" s="50" t="s">
        <v>416</v>
      </c>
      <c r="I14" s="9" t="s">
        <v>407</v>
      </c>
      <c r="J14" s="9"/>
      <c r="K14" s="9" t="s">
        <v>407</v>
      </c>
      <c r="L14" s="9"/>
      <c r="M14" s="9" t="s">
        <v>407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55"/>
      <c r="AN14" s="51"/>
      <c r="AO14" s="73"/>
      <c r="AP14" s="74"/>
    </row>
    <row r="15" spans="1:42" s="11" customFormat="1" x14ac:dyDescent="0.2">
      <c r="A15" s="9">
        <v>10</v>
      </c>
      <c r="B15" s="9"/>
      <c r="C15" s="9"/>
      <c r="D15" s="9" t="s">
        <v>390</v>
      </c>
      <c r="E15" s="49" t="s">
        <v>330</v>
      </c>
      <c r="F15" s="49"/>
      <c r="G15" s="50" t="s">
        <v>811</v>
      </c>
      <c r="H15" s="50" t="s">
        <v>416</v>
      </c>
      <c r="I15" s="9" t="s">
        <v>407</v>
      </c>
      <c r="J15" s="9"/>
      <c r="K15" s="9" t="s">
        <v>407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55"/>
      <c r="AN15" s="51"/>
      <c r="AO15" s="73"/>
      <c r="AP15" s="74"/>
    </row>
    <row r="16" spans="1:42" s="11" customFormat="1" x14ac:dyDescent="0.2">
      <c r="A16" s="9">
        <v>10</v>
      </c>
      <c r="B16" s="9"/>
      <c r="C16" s="9"/>
      <c r="D16" s="9" t="s">
        <v>151</v>
      </c>
      <c r="E16" s="49" t="s">
        <v>106</v>
      </c>
      <c r="F16" s="49"/>
      <c r="G16" s="50" t="s">
        <v>805</v>
      </c>
      <c r="H16" s="50" t="s">
        <v>411</v>
      </c>
      <c r="I16" s="9" t="s">
        <v>407</v>
      </c>
      <c r="J16" s="9"/>
      <c r="K16" s="9" t="s">
        <v>407</v>
      </c>
      <c r="L16" s="9"/>
      <c r="M16" s="9" t="s">
        <v>407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55"/>
      <c r="AN16" s="51"/>
      <c r="AO16" s="73"/>
      <c r="AP16" s="74"/>
    </row>
    <row r="17" spans="1:42" s="11" customFormat="1" x14ac:dyDescent="0.2">
      <c r="A17" s="9">
        <v>10</v>
      </c>
      <c r="B17" s="9"/>
      <c r="C17" s="9"/>
      <c r="D17" s="9" t="s">
        <v>152</v>
      </c>
      <c r="E17" s="49" t="s">
        <v>107</v>
      </c>
      <c r="F17" s="49"/>
      <c r="G17" s="50" t="s">
        <v>806</v>
      </c>
      <c r="H17" s="50" t="s">
        <v>449</v>
      </c>
      <c r="I17" s="9" t="s">
        <v>407</v>
      </c>
      <c r="J17" s="9"/>
      <c r="K17" s="9" t="s">
        <v>407</v>
      </c>
      <c r="L17" s="9"/>
      <c r="M17" s="9" t="s">
        <v>407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55"/>
      <c r="AN17" s="51"/>
      <c r="AO17" s="73"/>
      <c r="AP17" s="74"/>
    </row>
    <row r="18" spans="1:42" s="11" customFormat="1" x14ac:dyDescent="0.2">
      <c r="A18" s="9">
        <v>10</v>
      </c>
      <c r="B18" s="9"/>
      <c r="C18" s="9"/>
      <c r="D18" s="9" t="s">
        <v>153</v>
      </c>
      <c r="E18" s="49" t="s">
        <v>91</v>
      </c>
      <c r="F18" s="49"/>
      <c r="G18" s="50" t="s">
        <v>807</v>
      </c>
      <c r="H18" s="50" t="s">
        <v>413</v>
      </c>
      <c r="I18" s="9" t="s">
        <v>407</v>
      </c>
      <c r="J18" s="9"/>
      <c r="K18" s="9" t="s">
        <v>407</v>
      </c>
      <c r="L18" s="9"/>
      <c r="M18" s="9" t="s">
        <v>407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55"/>
      <c r="AN18" s="51"/>
      <c r="AO18" s="73"/>
      <c r="AP18" s="74"/>
    </row>
    <row r="19" spans="1:42" s="11" customFormat="1" x14ac:dyDescent="0.2">
      <c r="A19" s="9">
        <v>10</v>
      </c>
      <c r="B19" s="9"/>
      <c r="C19" s="9"/>
      <c r="D19" s="9" t="s">
        <v>154</v>
      </c>
      <c r="E19" s="49" t="s">
        <v>44</v>
      </c>
      <c r="F19" s="49"/>
      <c r="G19" s="50" t="s">
        <v>808</v>
      </c>
      <c r="H19" s="50" t="s">
        <v>414</v>
      </c>
      <c r="I19" s="9" t="s">
        <v>407</v>
      </c>
      <c r="J19" s="9"/>
      <c r="K19" s="9" t="s">
        <v>407</v>
      </c>
      <c r="L19" s="9"/>
      <c r="M19" s="9" t="s">
        <v>407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55"/>
      <c r="AN19" s="51"/>
      <c r="AO19" s="73"/>
      <c r="AP19" s="74"/>
    </row>
    <row r="20" spans="1:42" s="11" customFormat="1" ht="26" x14ac:dyDescent="0.2">
      <c r="A20" s="9">
        <v>10</v>
      </c>
      <c r="B20" s="9"/>
      <c r="C20" s="9"/>
      <c r="D20" s="9" t="s">
        <v>155</v>
      </c>
      <c r="E20" s="49" t="s">
        <v>191</v>
      </c>
      <c r="F20" s="49"/>
      <c r="G20" s="50" t="s">
        <v>812</v>
      </c>
      <c r="H20" s="50" t="s">
        <v>418</v>
      </c>
      <c r="I20" s="9" t="s">
        <v>407</v>
      </c>
      <c r="J20" s="9"/>
      <c r="K20" s="9" t="s">
        <v>407</v>
      </c>
      <c r="L20" s="9"/>
      <c r="M20" s="9" t="s">
        <v>407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55"/>
      <c r="AN20" s="51"/>
      <c r="AO20" s="73"/>
      <c r="AP20" s="74"/>
    </row>
    <row r="21" spans="1:42" s="11" customFormat="1" ht="26" x14ac:dyDescent="0.2">
      <c r="A21" s="9">
        <v>10</v>
      </c>
      <c r="B21" s="9"/>
      <c r="C21" s="9"/>
      <c r="D21" s="9" t="s">
        <v>156</v>
      </c>
      <c r="E21" s="49" t="s">
        <v>44</v>
      </c>
      <c r="F21" s="49"/>
      <c r="G21" s="50" t="s">
        <v>813</v>
      </c>
      <c r="H21" s="50" t="s">
        <v>419</v>
      </c>
      <c r="I21" s="9" t="s">
        <v>407</v>
      </c>
      <c r="J21" s="9"/>
      <c r="K21" s="9" t="s">
        <v>407</v>
      </c>
      <c r="L21" s="9"/>
      <c r="M21" s="9" t="s">
        <v>407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55"/>
      <c r="AN21" s="51"/>
      <c r="AO21" s="73"/>
      <c r="AP21" s="74"/>
    </row>
    <row r="22" spans="1:42" s="11" customFormat="1" ht="26" x14ac:dyDescent="0.2">
      <c r="A22" s="9">
        <v>10</v>
      </c>
      <c r="B22" s="9"/>
      <c r="C22" s="9"/>
      <c r="D22" s="9" t="s">
        <v>157</v>
      </c>
      <c r="E22" s="49" t="s">
        <v>192</v>
      </c>
      <c r="F22" s="49"/>
      <c r="G22" s="50" t="s">
        <v>815</v>
      </c>
      <c r="H22" s="50" t="s">
        <v>463</v>
      </c>
      <c r="I22" s="9" t="s">
        <v>407</v>
      </c>
      <c r="J22" s="9"/>
      <c r="K22" s="9" t="s">
        <v>407</v>
      </c>
      <c r="L22" s="9"/>
      <c r="M22" s="9" t="s">
        <v>407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55"/>
      <c r="AN22" s="51"/>
      <c r="AO22" s="73"/>
      <c r="AP22" s="74"/>
    </row>
    <row r="23" spans="1:42" s="11" customFormat="1" x14ac:dyDescent="0.2">
      <c r="A23" s="9">
        <v>10</v>
      </c>
      <c r="B23" s="9"/>
      <c r="C23" s="9"/>
      <c r="D23" s="9" t="s">
        <v>158</v>
      </c>
      <c r="E23" s="49" t="s">
        <v>193</v>
      </c>
      <c r="F23" s="49"/>
      <c r="G23" s="50" t="s">
        <v>816</v>
      </c>
      <c r="H23" s="50" t="s">
        <v>466</v>
      </c>
      <c r="I23" s="9" t="s">
        <v>407</v>
      </c>
      <c r="J23" s="9"/>
      <c r="K23" s="9" t="s">
        <v>407</v>
      </c>
      <c r="L23" s="9"/>
      <c r="M23" s="9" t="s">
        <v>407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55"/>
      <c r="AN23" s="51"/>
      <c r="AO23" s="73"/>
      <c r="AP23" s="74"/>
    </row>
    <row r="24" spans="1:42" s="11" customFormat="1" x14ac:dyDescent="0.2">
      <c r="A24" s="9">
        <v>10</v>
      </c>
      <c r="B24" s="9"/>
      <c r="C24" s="9"/>
      <c r="D24" s="9" t="s">
        <v>159</v>
      </c>
      <c r="E24" s="49" t="s">
        <v>192</v>
      </c>
      <c r="F24" s="49"/>
      <c r="G24" s="50" t="s">
        <v>817</v>
      </c>
      <c r="H24" s="50" t="s">
        <v>469</v>
      </c>
      <c r="I24" s="9" t="s">
        <v>407</v>
      </c>
      <c r="J24" s="9"/>
      <c r="K24" s="9" t="s">
        <v>407</v>
      </c>
      <c r="L24" s="9"/>
      <c r="M24" s="9" t="s">
        <v>407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55"/>
      <c r="AN24" s="51"/>
      <c r="AO24" s="73"/>
      <c r="AP24" s="74"/>
    </row>
    <row r="25" spans="1:42" s="11" customFormat="1" x14ac:dyDescent="0.2">
      <c r="A25" s="9">
        <v>10</v>
      </c>
      <c r="B25" s="9"/>
      <c r="C25" s="9"/>
      <c r="D25" s="9" t="s">
        <v>160</v>
      </c>
      <c r="E25" s="49" t="s">
        <v>108</v>
      </c>
      <c r="F25" s="49"/>
      <c r="G25" s="50" t="s">
        <v>831</v>
      </c>
      <c r="H25" s="50" t="s">
        <v>471</v>
      </c>
      <c r="I25" s="9" t="s">
        <v>407</v>
      </c>
      <c r="J25" s="9"/>
      <c r="K25" s="9" t="s">
        <v>407</v>
      </c>
      <c r="L25" s="9"/>
      <c r="M25" s="9" t="s">
        <v>407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55"/>
      <c r="AN25" s="51"/>
      <c r="AO25" s="73"/>
      <c r="AP25" s="74"/>
    </row>
    <row r="26" spans="1:42" s="11" customFormat="1" x14ac:dyDescent="0.2">
      <c r="A26" s="9">
        <v>10</v>
      </c>
      <c r="B26" s="9"/>
      <c r="C26" s="9"/>
      <c r="D26" s="9" t="s">
        <v>161</v>
      </c>
      <c r="E26" s="49" t="s">
        <v>187</v>
      </c>
      <c r="F26" s="49"/>
      <c r="G26" s="50" t="s">
        <v>820</v>
      </c>
      <c r="H26" s="50" t="s">
        <v>472</v>
      </c>
      <c r="I26" s="9" t="s">
        <v>407</v>
      </c>
      <c r="J26" s="9"/>
      <c r="K26" s="9" t="s">
        <v>407</v>
      </c>
      <c r="L26" s="9"/>
      <c r="M26" s="9" t="s">
        <v>407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55"/>
      <c r="AN26" s="51"/>
      <c r="AO26" s="73"/>
      <c r="AP26" s="74"/>
    </row>
    <row r="27" spans="1:42" s="11" customFormat="1" x14ac:dyDescent="0.2">
      <c r="A27" s="9">
        <v>10</v>
      </c>
      <c r="B27" s="9"/>
      <c r="C27" s="9"/>
      <c r="D27" s="9" t="s">
        <v>163</v>
      </c>
      <c r="E27" s="49" t="s">
        <v>189</v>
      </c>
      <c r="F27" s="49"/>
      <c r="G27" s="50" t="s">
        <v>821</v>
      </c>
      <c r="H27" s="50" t="s">
        <v>474</v>
      </c>
      <c r="I27" s="9" t="s">
        <v>407</v>
      </c>
      <c r="J27" s="9"/>
      <c r="K27" s="9" t="s">
        <v>407</v>
      </c>
      <c r="L27" s="9"/>
      <c r="M27" s="9" t="s">
        <v>407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55"/>
      <c r="AN27" s="51"/>
      <c r="AO27" s="73"/>
      <c r="AP27" s="74"/>
    </row>
    <row r="28" spans="1:42" s="11" customFormat="1" x14ac:dyDescent="0.2">
      <c r="A28" s="9">
        <v>10</v>
      </c>
      <c r="B28" s="9"/>
      <c r="C28" s="9"/>
      <c r="D28" s="9" t="s">
        <v>165</v>
      </c>
      <c r="E28" s="49" t="s">
        <v>109</v>
      </c>
      <c r="F28" s="49"/>
      <c r="G28" s="50" t="s">
        <v>822</v>
      </c>
      <c r="H28" s="50" t="s">
        <v>476</v>
      </c>
      <c r="I28" s="9" t="s">
        <v>407</v>
      </c>
      <c r="J28" s="9"/>
      <c r="K28" s="9" t="s">
        <v>407</v>
      </c>
      <c r="L28" s="9"/>
      <c r="M28" s="9" t="s">
        <v>407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55"/>
      <c r="AN28" s="51"/>
      <c r="AO28" s="73"/>
      <c r="AP28" s="74"/>
    </row>
    <row r="29" spans="1:42" s="11" customFormat="1" x14ac:dyDescent="0.2">
      <c r="A29" s="9">
        <v>10</v>
      </c>
      <c r="B29" s="9"/>
      <c r="C29" s="9"/>
      <c r="D29" s="9" t="s">
        <v>748</v>
      </c>
      <c r="E29" s="49" t="s">
        <v>44</v>
      </c>
      <c r="F29" s="49"/>
      <c r="G29" s="50" t="s">
        <v>823</v>
      </c>
      <c r="H29" s="50" t="s">
        <v>783</v>
      </c>
      <c r="I29" s="9" t="s">
        <v>407</v>
      </c>
      <c r="J29" s="9"/>
      <c r="K29" s="9" t="s">
        <v>407</v>
      </c>
      <c r="L29" s="9"/>
      <c r="M29" s="9" t="s">
        <v>407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55"/>
      <c r="AN29" s="51"/>
      <c r="AO29" s="73"/>
      <c r="AP29" s="74"/>
    </row>
    <row r="30" spans="1:42" s="11" customFormat="1" ht="26" x14ac:dyDescent="0.2">
      <c r="A30" s="9">
        <v>10</v>
      </c>
      <c r="B30" s="9"/>
      <c r="C30" s="9"/>
      <c r="D30" s="9" t="s">
        <v>749</v>
      </c>
      <c r="E30" s="49" t="s">
        <v>44</v>
      </c>
      <c r="F30" s="49"/>
      <c r="G30" s="50" t="s">
        <v>824</v>
      </c>
      <c r="H30" s="50" t="s">
        <v>784</v>
      </c>
      <c r="I30" s="9" t="s">
        <v>407</v>
      </c>
      <c r="J30" s="9"/>
      <c r="K30" s="9" t="s">
        <v>407</v>
      </c>
      <c r="L30" s="9"/>
      <c r="M30" s="9" t="s">
        <v>407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55"/>
      <c r="AN30" s="51"/>
      <c r="AO30" s="73"/>
      <c r="AP30" s="74"/>
    </row>
    <row r="31" spans="1:42" s="11" customFormat="1" ht="26" x14ac:dyDescent="0.2">
      <c r="A31" s="9">
        <v>10</v>
      </c>
      <c r="B31" s="9"/>
      <c r="C31" s="9"/>
      <c r="D31" s="9" t="s">
        <v>750</v>
      </c>
      <c r="E31" s="49" t="s">
        <v>44</v>
      </c>
      <c r="F31" s="49"/>
      <c r="G31" s="50" t="s">
        <v>825</v>
      </c>
      <c r="H31" s="50" t="s">
        <v>785</v>
      </c>
      <c r="I31" s="9" t="s">
        <v>407</v>
      </c>
      <c r="J31" s="9"/>
      <c r="K31" s="9" t="s">
        <v>407</v>
      </c>
      <c r="L31" s="9"/>
      <c r="M31" s="9" t="s">
        <v>407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55"/>
      <c r="AN31" s="51"/>
      <c r="AO31" s="73"/>
      <c r="AP31" s="74"/>
    </row>
    <row r="32" spans="1:42" s="11" customFormat="1" x14ac:dyDescent="0.2">
      <c r="A32" s="9">
        <v>10</v>
      </c>
      <c r="B32" s="9"/>
      <c r="C32" s="9"/>
      <c r="D32" s="9" t="s">
        <v>167</v>
      </c>
      <c r="E32" s="49" t="s">
        <v>44</v>
      </c>
      <c r="F32" s="49"/>
      <c r="G32" s="50" t="s">
        <v>814</v>
      </c>
      <c r="H32" s="50" t="s">
        <v>420</v>
      </c>
      <c r="I32" s="9" t="s">
        <v>407</v>
      </c>
      <c r="J32" s="9"/>
      <c r="K32" s="9" t="s">
        <v>407</v>
      </c>
      <c r="L32" s="9"/>
      <c r="M32" s="9" t="s">
        <v>407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55"/>
      <c r="AN32" s="51"/>
      <c r="AO32" s="73"/>
      <c r="AP32" s="74"/>
    </row>
    <row r="33" spans="1:42" s="11" customFormat="1" x14ac:dyDescent="0.2">
      <c r="A33" s="9">
        <v>10</v>
      </c>
      <c r="B33" s="9"/>
      <c r="C33" s="9"/>
      <c r="D33" s="9" t="s">
        <v>168</v>
      </c>
      <c r="E33" s="49" t="s">
        <v>83</v>
      </c>
      <c r="F33" s="49"/>
      <c r="G33" s="50" t="s">
        <v>818</v>
      </c>
      <c r="H33" s="50" t="s">
        <v>478</v>
      </c>
      <c r="I33" s="9" t="s">
        <v>407</v>
      </c>
      <c r="J33" s="9"/>
      <c r="K33" s="9" t="s">
        <v>407</v>
      </c>
      <c r="L33" s="9"/>
      <c r="M33" s="9" t="s">
        <v>407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55"/>
      <c r="AN33" s="51"/>
      <c r="AO33" s="73"/>
      <c r="AP33" s="74"/>
    </row>
    <row r="34" spans="1:42" s="11" customFormat="1" x14ac:dyDescent="0.2">
      <c r="A34" s="9">
        <v>10</v>
      </c>
      <c r="B34" s="9"/>
      <c r="C34" s="9"/>
      <c r="D34" s="9" t="s">
        <v>170</v>
      </c>
      <c r="E34" s="49" t="s">
        <v>44</v>
      </c>
      <c r="F34" s="49"/>
      <c r="G34" s="50" t="s">
        <v>819</v>
      </c>
      <c r="H34" s="50" t="s">
        <v>425</v>
      </c>
      <c r="I34" s="9" t="s">
        <v>407</v>
      </c>
      <c r="J34" s="9"/>
      <c r="K34" s="9" t="s">
        <v>407</v>
      </c>
      <c r="L34" s="9"/>
      <c r="M34" s="9" t="s">
        <v>407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55"/>
      <c r="AN34" s="51"/>
      <c r="AO34" s="73"/>
      <c r="AP34" s="74"/>
    </row>
    <row r="35" spans="1:42" s="11" customFormat="1" x14ac:dyDescent="0.2">
      <c r="A35" s="9">
        <v>10</v>
      </c>
      <c r="B35" s="9"/>
      <c r="C35" s="9"/>
      <c r="D35" s="9" t="s">
        <v>171</v>
      </c>
      <c r="E35" s="49" t="s">
        <v>44</v>
      </c>
      <c r="F35" s="49"/>
      <c r="G35" s="50" t="s">
        <v>834</v>
      </c>
      <c r="H35" s="50" t="s">
        <v>437</v>
      </c>
      <c r="I35" s="9" t="s">
        <v>407</v>
      </c>
      <c r="J35" s="9"/>
      <c r="K35" s="9" t="s">
        <v>407</v>
      </c>
      <c r="L35" s="9"/>
      <c r="M35" s="9" t="s">
        <v>407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55"/>
      <c r="AN35" s="51"/>
      <c r="AO35" s="73"/>
      <c r="AP35" s="74"/>
    </row>
    <row r="36" spans="1:42" s="11" customFormat="1" ht="26" x14ac:dyDescent="0.2">
      <c r="A36" s="9">
        <v>10</v>
      </c>
      <c r="B36" s="9"/>
      <c r="C36" s="9"/>
      <c r="D36" s="9" t="s">
        <v>755</v>
      </c>
      <c r="E36" s="49" t="s">
        <v>44</v>
      </c>
      <c r="F36" s="49"/>
      <c r="G36" s="50" t="s">
        <v>835</v>
      </c>
      <c r="H36" s="50" t="s">
        <v>756</v>
      </c>
      <c r="I36" s="9" t="s">
        <v>407</v>
      </c>
      <c r="J36" s="9"/>
      <c r="K36" s="9" t="s">
        <v>407</v>
      </c>
      <c r="L36" s="9"/>
      <c r="M36" s="9" t="s">
        <v>407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55"/>
      <c r="AN36" s="51"/>
      <c r="AO36" s="73"/>
      <c r="AP36" s="74"/>
    </row>
    <row r="37" spans="1:42" s="11" customFormat="1" ht="26" x14ac:dyDescent="0.2">
      <c r="A37" s="9">
        <v>10</v>
      </c>
      <c r="B37" s="9"/>
      <c r="C37" s="9"/>
      <c r="D37" s="9" t="s">
        <v>172</v>
      </c>
      <c r="E37" s="49" t="s">
        <v>112</v>
      </c>
      <c r="F37" s="49"/>
      <c r="G37" s="50" t="s">
        <v>828</v>
      </c>
      <c r="H37" s="50" t="s">
        <v>431</v>
      </c>
      <c r="I37" s="9" t="s">
        <v>407</v>
      </c>
      <c r="J37" s="9"/>
      <c r="K37" s="9" t="s">
        <v>407</v>
      </c>
      <c r="L37" s="9"/>
      <c r="M37" s="9" t="s">
        <v>407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55"/>
      <c r="AN37" s="51"/>
      <c r="AO37" s="73"/>
      <c r="AP37" s="74"/>
    </row>
    <row r="38" spans="1:42" s="11" customFormat="1" ht="26" x14ac:dyDescent="0.2">
      <c r="A38" s="9">
        <v>10</v>
      </c>
      <c r="B38" s="9"/>
      <c r="C38" s="9"/>
      <c r="D38" s="9" t="s">
        <v>174</v>
      </c>
      <c r="E38" s="49" t="s">
        <v>112</v>
      </c>
      <c r="F38" s="49"/>
      <c r="G38" s="50" t="s">
        <v>829</v>
      </c>
      <c r="H38" s="50" t="s">
        <v>432</v>
      </c>
      <c r="I38" s="9" t="s">
        <v>407</v>
      </c>
      <c r="J38" s="9"/>
      <c r="K38" s="9" t="s">
        <v>407</v>
      </c>
      <c r="L38" s="9"/>
      <c r="M38" s="9" t="s">
        <v>407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55"/>
      <c r="AN38" s="51"/>
      <c r="AO38" s="73"/>
      <c r="AP38" s="74"/>
    </row>
    <row r="39" spans="1:42" s="11" customFormat="1" ht="26" x14ac:dyDescent="0.2">
      <c r="A39" s="9">
        <v>10</v>
      </c>
      <c r="B39" s="9"/>
      <c r="C39" s="9"/>
      <c r="D39" s="9" t="s">
        <v>176</v>
      </c>
      <c r="E39" s="49" t="s">
        <v>112</v>
      </c>
      <c r="F39" s="49"/>
      <c r="G39" s="50" t="s">
        <v>830</v>
      </c>
      <c r="H39" s="50" t="s">
        <v>433</v>
      </c>
      <c r="I39" s="9" t="s">
        <v>407</v>
      </c>
      <c r="J39" s="9"/>
      <c r="K39" s="9" t="s">
        <v>407</v>
      </c>
      <c r="L39" s="9"/>
      <c r="M39" s="9" t="s">
        <v>407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55"/>
      <c r="AN39" s="51"/>
      <c r="AO39" s="73"/>
      <c r="AP39" s="74"/>
    </row>
    <row r="40" spans="1:42" s="11" customFormat="1" x14ac:dyDescent="0.2">
      <c r="A40" s="9">
        <v>10</v>
      </c>
      <c r="B40" s="9"/>
      <c r="C40" s="9"/>
      <c r="D40" s="9" t="s">
        <v>323</v>
      </c>
      <c r="E40" s="49" t="s">
        <v>44</v>
      </c>
      <c r="F40" s="49"/>
      <c r="G40" s="50" t="s">
        <v>832</v>
      </c>
      <c r="H40" s="50" t="s">
        <v>435</v>
      </c>
      <c r="I40" s="9" t="s">
        <v>407</v>
      </c>
      <c r="J40" s="9"/>
      <c r="K40" s="9" t="s">
        <v>407</v>
      </c>
      <c r="L40" s="9"/>
      <c r="M40" s="9" t="s">
        <v>407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55"/>
      <c r="AN40" s="51"/>
      <c r="AO40" s="73"/>
      <c r="AP40" s="74"/>
    </row>
    <row r="41" spans="1:42" s="11" customFormat="1" x14ac:dyDescent="0.2">
      <c r="A41" s="9">
        <v>10</v>
      </c>
      <c r="B41" s="9"/>
      <c r="C41" s="9"/>
      <c r="D41" s="9" t="s">
        <v>324</v>
      </c>
      <c r="E41" s="49" t="s">
        <v>44</v>
      </c>
      <c r="F41" s="49"/>
      <c r="G41" s="50" t="s">
        <v>833</v>
      </c>
      <c r="H41" s="50" t="s">
        <v>436</v>
      </c>
      <c r="I41" s="9" t="s">
        <v>407</v>
      </c>
      <c r="J41" s="9"/>
      <c r="K41" s="9" t="s">
        <v>407</v>
      </c>
      <c r="L41" s="9"/>
      <c r="M41" s="9" t="s">
        <v>407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55"/>
      <c r="AN41" s="51"/>
      <c r="AO41" s="73"/>
      <c r="AP41" s="74"/>
    </row>
    <row r="42" spans="1:42" s="11" customFormat="1" ht="26" x14ac:dyDescent="0.2">
      <c r="A42" s="9">
        <v>10</v>
      </c>
      <c r="B42" s="9"/>
      <c r="C42" s="9"/>
      <c r="D42" s="9" t="s">
        <v>325</v>
      </c>
      <c r="E42" s="49" t="s">
        <v>326</v>
      </c>
      <c r="F42" s="49"/>
      <c r="G42" s="50" t="s">
        <v>827</v>
      </c>
      <c r="H42" s="50" t="s">
        <v>430</v>
      </c>
      <c r="I42" s="9" t="s">
        <v>407</v>
      </c>
      <c r="J42" s="9"/>
      <c r="K42" s="9" t="s">
        <v>407</v>
      </c>
      <c r="L42" s="9"/>
      <c r="M42" s="9" t="s">
        <v>407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55"/>
      <c r="AN42" s="51"/>
      <c r="AO42" s="73"/>
      <c r="AP42" s="74"/>
    </row>
    <row r="43" spans="1:42" s="11" customFormat="1" ht="26" x14ac:dyDescent="0.2">
      <c r="A43" s="9">
        <v>10</v>
      </c>
      <c r="B43" s="9"/>
      <c r="C43" s="9"/>
      <c r="D43" s="9" t="s">
        <v>327</v>
      </c>
      <c r="E43" s="49" t="s">
        <v>194</v>
      </c>
      <c r="F43" s="49"/>
      <c r="G43" s="50" t="s">
        <v>826</v>
      </c>
      <c r="H43" s="50" t="s">
        <v>485</v>
      </c>
      <c r="I43" s="9" t="s">
        <v>407</v>
      </c>
      <c r="J43" s="9"/>
      <c r="K43" s="9" t="s">
        <v>407</v>
      </c>
      <c r="L43" s="9"/>
      <c r="M43" s="9" t="s">
        <v>407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55"/>
      <c r="AN43" s="51"/>
      <c r="AO43" s="73"/>
      <c r="AP43" s="74"/>
    </row>
    <row r="44" spans="1:42" s="11" customFormat="1" x14ac:dyDescent="0.2">
      <c r="A44" s="9">
        <v>10</v>
      </c>
      <c r="B44" s="9"/>
      <c r="C44" s="9"/>
      <c r="D44" s="9" t="s">
        <v>331</v>
      </c>
      <c r="E44" s="49" t="s">
        <v>44</v>
      </c>
      <c r="F44" s="49"/>
      <c r="G44" s="50" t="s">
        <v>809</v>
      </c>
      <c r="H44" s="50" t="s">
        <v>415</v>
      </c>
      <c r="I44" s="9" t="s">
        <v>407</v>
      </c>
      <c r="J44" s="9"/>
      <c r="K44" s="9" t="s">
        <v>407</v>
      </c>
      <c r="L44" s="9"/>
      <c r="M44" s="9" t="s">
        <v>407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55"/>
      <c r="AN44" s="51"/>
      <c r="AO44" s="73"/>
      <c r="AP44" s="74"/>
    </row>
    <row r="45" spans="1:42" s="11" customFormat="1" x14ac:dyDescent="0.2">
      <c r="A45" s="9">
        <v>10</v>
      </c>
      <c r="B45" s="9"/>
      <c r="C45" s="9"/>
      <c r="D45" s="9" t="s">
        <v>742</v>
      </c>
      <c r="E45" s="49" t="s">
        <v>44</v>
      </c>
      <c r="F45" s="49"/>
      <c r="G45" s="50" t="s">
        <v>810</v>
      </c>
      <c r="H45" s="50" t="s">
        <v>741</v>
      </c>
      <c r="I45" s="9" t="s">
        <v>407</v>
      </c>
      <c r="J45" s="9"/>
      <c r="K45" s="9" t="s">
        <v>407</v>
      </c>
      <c r="L45" s="9"/>
      <c r="M45" s="9" t="s">
        <v>407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55"/>
      <c r="AN45" s="51"/>
      <c r="AO45" s="73"/>
      <c r="AP45" s="74"/>
    </row>
    <row r="46" spans="1:42" s="11" customFormat="1" x14ac:dyDescent="0.2">
      <c r="A46" s="9">
        <v>10</v>
      </c>
      <c r="B46" s="9"/>
      <c r="C46" s="9"/>
      <c r="D46" s="9" t="s">
        <v>691</v>
      </c>
      <c r="E46" s="49" t="s">
        <v>692</v>
      </c>
      <c r="F46" s="49"/>
      <c r="G46" s="50" t="s">
        <v>836</v>
      </c>
      <c r="H46" s="50" t="s">
        <v>714</v>
      </c>
      <c r="I46" s="9" t="s">
        <v>407</v>
      </c>
      <c r="J46" s="9"/>
      <c r="K46" s="9" t="s">
        <v>407</v>
      </c>
      <c r="L46" s="9"/>
      <c r="M46" s="9" t="s">
        <v>407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55"/>
      <c r="AN46" s="51"/>
      <c r="AO46" s="73"/>
      <c r="AP46" s="74"/>
    </row>
    <row r="47" spans="1:42" s="11" customFormat="1" x14ac:dyDescent="0.2">
      <c r="A47" s="9">
        <v>10</v>
      </c>
      <c r="B47" s="9"/>
      <c r="C47" s="9"/>
      <c r="D47" s="9" t="s">
        <v>724</v>
      </c>
      <c r="E47" s="49" t="s">
        <v>725</v>
      </c>
      <c r="F47" s="49"/>
      <c r="G47" s="50" t="s">
        <v>837</v>
      </c>
      <c r="H47" s="50" t="s">
        <v>726</v>
      </c>
      <c r="I47" s="9" t="s">
        <v>407</v>
      </c>
      <c r="J47" s="9"/>
      <c r="K47" s="9" t="s">
        <v>407</v>
      </c>
      <c r="L47" s="9"/>
      <c r="M47" s="9" t="s">
        <v>407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55"/>
      <c r="AN47" s="51"/>
      <c r="AO47" s="73"/>
      <c r="AP47" s="74"/>
    </row>
    <row r="48" spans="1:42" s="11" customFormat="1" x14ac:dyDescent="0.2">
      <c r="A48" s="9">
        <v>10</v>
      </c>
      <c r="B48" s="9"/>
      <c r="C48" s="9"/>
      <c r="D48" s="9" t="s">
        <v>179</v>
      </c>
      <c r="E48" s="49" t="s">
        <v>195</v>
      </c>
      <c r="F48" s="49"/>
      <c r="G48" s="50" t="s">
        <v>838</v>
      </c>
      <c r="H48" s="50" t="s">
        <v>438</v>
      </c>
      <c r="I48" s="9" t="s">
        <v>407</v>
      </c>
      <c r="J48" s="9"/>
      <c r="K48" s="9" t="s">
        <v>407</v>
      </c>
      <c r="L48" s="9"/>
      <c r="M48" s="9" t="s">
        <v>407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55"/>
      <c r="AN48" s="51"/>
      <c r="AO48" s="73"/>
      <c r="AP48" s="74"/>
    </row>
    <row r="49" spans="1:42" s="11" customFormat="1" x14ac:dyDescent="0.2">
      <c r="A49" s="9">
        <v>10</v>
      </c>
      <c r="B49" s="9"/>
      <c r="C49" s="9"/>
      <c r="D49" s="9" t="s">
        <v>180</v>
      </c>
      <c r="E49" s="49" t="s">
        <v>44</v>
      </c>
      <c r="F49" s="49"/>
      <c r="G49" s="50" t="s">
        <v>839</v>
      </c>
      <c r="H49" s="50" t="s">
        <v>439</v>
      </c>
      <c r="I49" s="9" t="s">
        <v>407</v>
      </c>
      <c r="J49" s="9"/>
      <c r="K49" s="9" t="s">
        <v>407</v>
      </c>
      <c r="L49" s="9"/>
      <c r="M49" s="9" t="s">
        <v>407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55"/>
      <c r="AN49" s="51"/>
      <c r="AO49" s="73"/>
      <c r="AP49" s="74"/>
    </row>
    <row r="50" spans="1:42" s="11" customFormat="1" x14ac:dyDescent="0.2">
      <c r="A50" s="9">
        <v>10</v>
      </c>
      <c r="B50" s="9"/>
      <c r="C50" s="9"/>
      <c r="D50" s="9" t="s">
        <v>181</v>
      </c>
      <c r="E50" s="49" t="s">
        <v>83</v>
      </c>
      <c r="F50" s="49"/>
      <c r="G50" s="50" t="s">
        <v>840</v>
      </c>
      <c r="H50" s="50" t="s">
        <v>440</v>
      </c>
      <c r="I50" s="9" t="s">
        <v>407</v>
      </c>
      <c r="J50" s="9"/>
      <c r="K50" s="9" t="s">
        <v>407</v>
      </c>
      <c r="L50" s="9"/>
      <c r="M50" s="9" t="s">
        <v>407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55"/>
      <c r="AN50" s="51"/>
      <c r="AO50" s="73"/>
      <c r="AP50" s="74"/>
    </row>
    <row r="51" spans="1:42" s="11" customFormat="1" x14ac:dyDescent="0.2">
      <c r="A51" s="9">
        <v>10</v>
      </c>
      <c r="B51" s="9"/>
      <c r="C51" s="9"/>
      <c r="D51" s="9" t="s">
        <v>183</v>
      </c>
      <c r="E51" s="49" t="s">
        <v>44</v>
      </c>
      <c r="F51" s="49"/>
      <c r="G51" s="50" t="s">
        <v>841</v>
      </c>
      <c r="H51" s="50" t="s">
        <v>441</v>
      </c>
      <c r="I51" s="9" t="s">
        <v>407</v>
      </c>
      <c r="J51" s="9"/>
      <c r="K51" s="9" t="s">
        <v>407</v>
      </c>
      <c r="L51" s="9"/>
      <c r="M51" s="9" t="s">
        <v>407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55"/>
      <c r="AN51" s="51"/>
      <c r="AO51" s="73"/>
      <c r="AP51" s="74"/>
    </row>
    <row r="52" spans="1:42" s="11" customFormat="1" x14ac:dyDescent="0.2">
      <c r="A52" s="9">
        <v>10</v>
      </c>
      <c r="B52" s="9"/>
      <c r="C52" s="9"/>
      <c r="D52" s="9" t="s">
        <v>184</v>
      </c>
      <c r="E52" s="49" t="s">
        <v>196</v>
      </c>
      <c r="F52" s="49"/>
      <c r="G52" s="50" t="s">
        <v>842</v>
      </c>
      <c r="H52" s="50" t="s">
        <v>491</v>
      </c>
      <c r="I52" s="9" t="s">
        <v>407</v>
      </c>
      <c r="J52" s="9"/>
      <c r="K52" s="9" t="s">
        <v>407</v>
      </c>
      <c r="L52" s="9"/>
      <c r="M52" s="9" t="s">
        <v>407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55"/>
      <c r="AN52" s="51"/>
      <c r="AO52" s="73"/>
      <c r="AP52" s="74"/>
    </row>
    <row r="53" spans="1:42" s="11" customFormat="1" x14ac:dyDescent="0.2">
      <c r="A53" s="9">
        <v>10</v>
      </c>
      <c r="B53" s="9"/>
      <c r="C53" s="9"/>
      <c r="D53" s="9" t="s">
        <v>185</v>
      </c>
      <c r="E53" s="49" t="s">
        <v>193</v>
      </c>
      <c r="F53" s="49"/>
      <c r="G53" s="50" t="s">
        <v>843</v>
      </c>
      <c r="H53" s="50" t="s">
        <v>443</v>
      </c>
      <c r="I53" s="9" t="s">
        <v>407</v>
      </c>
      <c r="J53" s="9"/>
      <c r="K53" s="9" t="s">
        <v>407</v>
      </c>
      <c r="L53" s="9"/>
      <c r="M53" s="9" t="s">
        <v>407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55"/>
      <c r="AN53" s="51"/>
      <c r="AO53" s="73"/>
      <c r="AP53" s="74"/>
    </row>
    <row r="54" spans="1:42" s="11" customFormat="1" x14ac:dyDescent="0.2">
      <c r="A54" s="9">
        <v>10</v>
      </c>
      <c r="B54" s="9"/>
      <c r="C54" s="9"/>
      <c r="D54" s="9" t="s">
        <v>186</v>
      </c>
      <c r="E54" s="49" t="s">
        <v>192</v>
      </c>
      <c r="F54" s="49"/>
      <c r="G54" s="50" t="s">
        <v>844</v>
      </c>
      <c r="H54" s="50" t="s">
        <v>494</v>
      </c>
      <c r="I54" s="9" t="s">
        <v>407</v>
      </c>
      <c r="J54" s="9"/>
      <c r="K54" s="9" t="s">
        <v>407</v>
      </c>
      <c r="L54" s="9"/>
      <c r="M54" s="9" t="s">
        <v>407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55"/>
      <c r="AN54" s="51"/>
      <c r="AO54" s="73"/>
      <c r="AP54" s="74"/>
    </row>
    <row r="55" spans="1:42" s="11" customFormat="1" x14ac:dyDescent="0.2">
      <c r="A55" s="9">
        <v>10</v>
      </c>
      <c r="B55" s="9"/>
      <c r="C55" s="9"/>
      <c r="D55" s="9" t="s">
        <v>671</v>
      </c>
      <c r="E55" s="49" t="s">
        <v>45</v>
      </c>
      <c r="F55" s="49"/>
      <c r="G55" s="50" t="s">
        <v>845</v>
      </c>
      <c r="H55" s="50" t="s">
        <v>672</v>
      </c>
      <c r="I55" s="9" t="s">
        <v>407</v>
      </c>
      <c r="J55" s="9"/>
      <c r="K55" s="9" t="s">
        <v>407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55"/>
      <c r="AN55" s="51"/>
      <c r="AO55" s="73"/>
      <c r="AP55" s="74"/>
    </row>
    <row r="56" spans="1:42" s="11" customFormat="1" x14ac:dyDescent="0.2">
      <c r="A56" s="9">
        <v>10</v>
      </c>
      <c r="B56" s="9"/>
      <c r="C56" s="9"/>
      <c r="D56" s="9" t="s">
        <v>663</v>
      </c>
      <c r="E56" s="49" t="s">
        <v>667</v>
      </c>
      <c r="F56" s="49"/>
      <c r="G56" s="50" t="s">
        <v>846</v>
      </c>
      <c r="H56" s="50" t="s">
        <v>687</v>
      </c>
      <c r="I56" s="9" t="s">
        <v>407</v>
      </c>
      <c r="J56" s="9"/>
      <c r="K56" s="9" t="s">
        <v>407</v>
      </c>
      <c r="L56" s="9"/>
      <c r="M56" s="9" t="s">
        <v>407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55"/>
      <c r="AN56" s="51"/>
      <c r="AO56" s="73"/>
      <c r="AP56" s="74"/>
    </row>
    <row r="57" spans="1:42" s="11" customFormat="1" x14ac:dyDescent="0.2">
      <c r="A57" s="9">
        <v>10</v>
      </c>
      <c r="B57" s="9"/>
      <c r="C57" s="9"/>
      <c r="D57" s="9" t="s">
        <v>665</v>
      </c>
      <c r="E57" s="49" t="s">
        <v>669</v>
      </c>
      <c r="F57" s="49"/>
      <c r="G57" s="50" t="s">
        <v>847</v>
      </c>
      <c r="H57" s="50" t="s">
        <v>670</v>
      </c>
      <c r="I57" s="9" t="s">
        <v>407</v>
      </c>
      <c r="J57" s="9"/>
      <c r="K57" s="9" t="s">
        <v>407</v>
      </c>
      <c r="L57" s="9"/>
      <c r="M57" s="9" t="s">
        <v>407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55"/>
      <c r="AN57" s="51"/>
      <c r="AO57" s="73"/>
      <c r="AP57" s="74"/>
    </row>
    <row r="58" spans="1:42" s="11" customFormat="1" x14ac:dyDescent="0.2">
      <c r="A58" s="9">
        <v>10</v>
      </c>
      <c r="B58" s="9"/>
      <c r="C58" s="9"/>
      <c r="D58" s="9" t="s">
        <v>674</v>
      </c>
      <c r="E58" s="49" t="s">
        <v>669</v>
      </c>
      <c r="F58" s="49"/>
      <c r="G58" s="50" t="s">
        <v>847</v>
      </c>
      <c r="H58" s="50" t="s">
        <v>670</v>
      </c>
      <c r="I58" s="9" t="s">
        <v>407</v>
      </c>
      <c r="J58" s="9"/>
      <c r="K58" s="9" t="s">
        <v>407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55"/>
      <c r="AN58" s="51"/>
      <c r="AO58" s="73"/>
      <c r="AP58" s="74"/>
    </row>
    <row r="59" spans="1:42" s="11" customFormat="1" x14ac:dyDescent="0.2">
      <c r="A59" s="9">
        <v>10</v>
      </c>
      <c r="B59" s="9"/>
      <c r="C59" s="9"/>
      <c r="D59" s="9" t="s">
        <v>745</v>
      </c>
      <c r="E59" s="49" t="s">
        <v>746</v>
      </c>
      <c r="F59" s="49"/>
      <c r="G59" s="50" t="s">
        <v>848</v>
      </c>
      <c r="H59" s="50" t="s">
        <v>786</v>
      </c>
      <c r="I59" s="9" t="s">
        <v>407</v>
      </c>
      <c r="J59" s="9"/>
      <c r="K59" s="9" t="s">
        <v>407</v>
      </c>
      <c r="L59" s="9"/>
      <c r="M59" s="9" t="s">
        <v>407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55"/>
      <c r="AN59" s="51"/>
      <c r="AO59" s="73"/>
      <c r="AP59" s="74"/>
    </row>
    <row r="60" spans="1:42" s="11" customFormat="1" x14ac:dyDescent="0.2">
      <c r="A60" s="9">
        <v>10</v>
      </c>
      <c r="B60" s="9"/>
      <c r="C60" s="9"/>
      <c r="D60" s="9" t="s">
        <v>57</v>
      </c>
      <c r="E60" s="49" t="s">
        <v>58</v>
      </c>
      <c r="F60" s="49"/>
      <c r="G60" s="50" t="s">
        <v>849</v>
      </c>
      <c r="H60" s="50" t="s">
        <v>450</v>
      </c>
      <c r="I60" s="9" t="s">
        <v>407</v>
      </c>
      <c r="J60" s="9"/>
      <c r="K60" s="9" t="s">
        <v>407</v>
      </c>
      <c r="L60" s="9"/>
      <c r="M60" s="9" t="s">
        <v>407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55"/>
      <c r="AN60" s="51"/>
      <c r="AO60" s="149"/>
      <c r="AP60" s="150"/>
    </row>
    <row r="61" spans="1:42" s="11" customFormat="1" x14ac:dyDescent="0.2">
      <c r="A61" s="80"/>
      <c r="AP61" s="54"/>
    </row>
    <row r="62" spans="1:42" s="11" customFormat="1" x14ac:dyDescent="0.2">
      <c r="A62" s="9">
        <v>20</v>
      </c>
      <c r="B62" s="37" t="s">
        <v>0</v>
      </c>
      <c r="C62" s="38"/>
      <c r="D62" s="28" t="s">
        <v>677</v>
      </c>
      <c r="E62" s="34" t="s">
        <v>50</v>
      </c>
      <c r="F62" s="72"/>
      <c r="G62" s="28" t="s">
        <v>61</v>
      </c>
      <c r="H62" s="45" t="s">
        <v>618</v>
      </c>
      <c r="I62" s="59"/>
      <c r="J62" s="58"/>
      <c r="K62" s="48"/>
      <c r="L62" s="48"/>
      <c r="M62" s="48"/>
      <c r="N62" s="48"/>
      <c r="O62" s="48" t="s">
        <v>619</v>
      </c>
      <c r="P62" s="48"/>
      <c r="Q62" s="48" t="s">
        <v>620</v>
      </c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35"/>
      <c r="AN62" s="36"/>
      <c r="AO62" s="73"/>
      <c r="AP62" s="75"/>
    </row>
    <row r="63" spans="1:42" s="11" customFormat="1" x14ac:dyDescent="0.2">
      <c r="A63" s="9">
        <v>20</v>
      </c>
      <c r="B63" s="9"/>
      <c r="C63" s="9"/>
      <c r="D63" s="9" t="s">
        <v>197</v>
      </c>
      <c r="E63" s="49" t="s">
        <v>86</v>
      </c>
      <c r="F63" s="49"/>
      <c r="G63" s="50" t="s">
        <v>899</v>
      </c>
      <c r="H63" s="50" t="s">
        <v>511</v>
      </c>
      <c r="I63" s="9" t="s">
        <v>407</v>
      </c>
      <c r="J63" s="9"/>
      <c r="K63" s="9"/>
      <c r="L63" s="9"/>
      <c r="M63" s="9"/>
      <c r="N63" s="9"/>
      <c r="O63" s="9" t="s">
        <v>407</v>
      </c>
      <c r="P63" s="9"/>
      <c r="Q63" s="9" t="s">
        <v>407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55"/>
      <c r="AN63" s="51"/>
      <c r="AO63" s="149"/>
      <c r="AP63" s="150"/>
    </row>
    <row r="64" spans="1:42" s="11" customFormat="1" x14ac:dyDescent="0.2">
      <c r="A64" s="9">
        <v>20</v>
      </c>
      <c r="B64" s="9"/>
      <c r="C64" s="9"/>
      <c r="D64" s="9" t="s">
        <v>199</v>
      </c>
      <c r="E64" s="49" t="s">
        <v>203</v>
      </c>
      <c r="F64" s="49"/>
      <c r="G64" s="50" t="s">
        <v>900</v>
      </c>
      <c r="H64" s="50" t="s">
        <v>512</v>
      </c>
      <c r="I64" s="9" t="s">
        <v>407</v>
      </c>
      <c r="J64" s="9"/>
      <c r="K64" s="9"/>
      <c r="L64" s="9"/>
      <c r="M64" s="9"/>
      <c r="N64" s="9"/>
      <c r="O64" s="9" t="s">
        <v>407</v>
      </c>
      <c r="P64" s="9"/>
      <c r="Q64" s="9" t="s">
        <v>407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55"/>
      <c r="AN64" s="51"/>
      <c r="AO64" s="73"/>
      <c r="AP64" s="74"/>
    </row>
    <row r="65" spans="1:42" s="11" customFormat="1" x14ac:dyDescent="0.2">
      <c r="A65" s="9">
        <v>20</v>
      </c>
      <c r="B65" s="9"/>
      <c r="C65" s="9"/>
      <c r="D65" s="9" t="s">
        <v>125</v>
      </c>
      <c r="E65" s="49" t="s">
        <v>75</v>
      </c>
      <c r="F65" s="49"/>
      <c r="G65" s="50" t="s">
        <v>902</v>
      </c>
      <c r="H65" s="50" t="s">
        <v>514</v>
      </c>
      <c r="I65" s="9" t="s">
        <v>407</v>
      </c>
      <c r="J65" s="9"/>
      <c r="K65" s="9"/>
      <c r="L65" s="9"/>
      <c r="M65" s="9"/>
      <c r="N65" s="9"/>
      <c r="O65" s="9" t="s">
        <v>407</v>
      </c>
      <c r="P65" s="9"/>
      <c r="Q65" s="9" t="s">
        <v>407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55"/>
      <c r="AN65" s="51"/>
      <c r="AO65" s="73"/>
      <c r="AP65" s="74"/>
    </row>
    <row r="66" spans="1:42" s="11" customFormat="1" x14ac:dyDescent="0.2">
      <c r="A66" s="9">
        <v>20</v>
      </c>
      <c r="B66" s="9"/>
      <c r="C66" s="9"/>
      <c r="D66" s="9" t="s">
        <v>126</v>
      </c>
      <c r="E66" s="49" t="s">
        <v>76</v>
      </c>
      <c r="F66" s="49"/>
      <c r="G66" s="50" t="s">
        <v>903</v>
      </c>
      <c r="H66" s="50" t="s">
        <v>515</v>
      </c>
      <c r="I66" s="9" t="s">
        <v>407</v>
      </c>
      <c r="J66" s="9"/>
      <c r="K66" s="9"/>
      <c r="L66" s="9"/>
      <c r="M66" s="9"/>
      <c r="N66" s="9"/>
      <c r="O66" s="9" t="s">
        <v>407</v>
      </c>
      <c r="P66" s="9"/>
      <c r="Q66" s="9" t="s">
        <v>407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55"/>
      <c r="AN66" s="51"/>
      <c r="AO66" s="73"/>
      <c r="AP66" s="74"/>
    </row>
    <row r="67" spans="1:42" s="11" customFormat="1" x14ac:dyDescent="0.2">
      <c r="A67" s="9">
        <v>20</v>
      </c>
      <c r="B67" s="9"/>
      <c r="C67" s="9"/>
      <c r="D67" s="9" t="s">
        <v>127</v>
      </c>
      <c r="E67" s="49" t="s">
        <v>77</v>
      </c>
      <c r="F67" s="49"/>
      <c r="G67" s="50" t="s">
        <v>904</v>
      </c>
      <c r="H67" s="50" t="s">
        <v>516</v>
      </c>
      <c r="I67" s="9" t="s">
        <v>407</v>
      </c>
      <c r="J67" s="9"/>
      <c r="K67" s="9"/>
      <c r="L67" s="9"/>
      <c r="M67" s="9"/>
      <c r="N67" s="9"/>
      <c r="O67" s="9" t="s">
        <v>407</v>
      </c>
      <c r="P67" s="9"/>
      <c r="Q67" s="9" t="s">
        <v>407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55"/>
      <c r="AN67" s="51"/>
      <c r="AO67" s="73"/>
      <c r="AP67" s="74"/>
    </row>
    <row r="68" spans="1:42" s="11" customFormat="1" x14ac:dyDescent="0.2">
      <c r="A68" s="9">
        <v>20</v>
      </c>
      <c r="B68" s="9"/>
      <c r="C68" s="9"/>
      <c r="D68" s="9" t="s">
        <v>128</v>
      </c>
      <c r="E68" s="49" t="s">
        <v>78</v>
      </c>
      <c r="F68" s="49"/>
      <c r="G68" s="50" t="s">
        <v>905</v>
      </c>
      <c r="H68" s="50" t="s">
        <v>517</v>
      </c>
      <c r="I68" s="9" t="s">
        <v>407</v>
      </c>
      <c r="J68" s="9"/>
      <c r="K68" s="9"/>
      <c r="L68" s="9"/>
      <c r="M68" s="9"/>
      <c r="N68" s="9"/>
      <c r="O68" s="9" t="s">
        <v>407</v>
      </c>
      <c r="P68" s="9"/>
      <c r="Q68" s="9" t="s">
        <v>407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55"/>
      <c r="AN68" s="51"/>
      <c r="AO68" s="73"/>
      <c r="AP68" s="74"/>
    </row>
    <row r="69" spans="1:42" s="11" customFormat="1" x14ac:dyDescent="0.2">
      <c r="A69" s="9">
        <v>20</v>
      </c>
      <c r="B69" s="9"/>
      <c r="C69" s="9"/>
      <c r="D69" s="9" t="s">
        <v>201</v>
      </c>
      <c r="E69" s="49" t="s">
        <v>86</v>
      </c>
      <c r="F69" s="49"/>
      <c r="G69" s="50" t="s">
        <v>918</v>
      </c>
      <c r="H69" s="50" t="s">
        <v>531</v>
      </c>
      <c r="I69" s="9" t="s">
        <v>407</v>
      </c>
      <c r="J69" s="9"/>
      <c r="K69" s="9"/>
      <c r="L69" s="9"/>
      <c r="M69" s="9"/>
      <c r="N69" s="9"/>
      <c r="O69" s="9" t="s">
        <v>407</v>
      </c>
      <c r="P69" s="9"/>
      <c r="Q69" s="9" t="s">
        <v>407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55"/>
      <c r="AN69" s="51"/>
      <c r="AO69" s="73"/>
      <c r="AP69" s="74"/>
    </row>
    <row r="70" spans="1:42" s="11" customFormat="1" ht="26" x14ac:dyDescent="0.2">
      <c r="A70" s="9">
        <v>20</v>
      </c>
      <c r="B70" s="9"/>
      <c r="C70" s="9"/>
      <c r="D70" s="9" t="s">
        <v>81</v>
      </c>
      <c r="E70" s="49" t="s">
        <v>74</v>
      </c>
      <c r="F70" s="49"/>
      <c r="G70" s="50" t="s">
        <v>998</v>
      </c>
      <c r="H70" s="50" t="s">
        <v>621</v>
      </c>
      <c r="I70" s="9" t="s">
        <v>407</v>
      </c>
      <c r="J70" s="9"/>
      <c r="K70" s="9"/>
      <c r="L70" s="9"/>
      <c r="M70" s="9"/>
      <c r="N70" s="9"/>
      <c r="O70" s="9" t="s">
        <v>407</v>
      </c>
      <c r="P70" s="9"/>
      <c r="Q70" s="9" t="s">
        <v>407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55"/>
      <c r="AN70" s="51"/>
      <c r="AO70" s="73"/>
      <c r="AP70" s="74"/>
    </row>
    <row r="71" spans="1:42" s="11" customFormat="1" x14ac:dyDescent="0.2">
      <c r="A71" s="9">
        <v>20</v>
      </c>
      <c r="B71" s="9"/>
      <c r="C71" s="9"/>
      <c r="D71" s="9" t="s">
        <v>79</v>
      </c>
      <c r="E71" s="49" t="s">
        <v>74</v>
      </c>
      <c r="F71" s="49"/>
      <c r="G71" s="50" t="s">
        <v>920</v>
      </c>
      <c r="H71" s="50" t="s">
        <v>533</v>
      </c>
      <c r="I71" s="9" t="s">
        <v>407</v>
      </c>
      <c r="J71" s="9"/>
      <c r="K71" s="9"/>
      <c r="L71" s="9"/>
      <c r="M71" s="9"/>
      <c r="N71" s="9"/>
      <c r="O71" s="9" t="s">
        <v>407</v>
      </c>
      <c r="P71" s="9"/>
      <c r="Q71" s="9" t="s">
        <v>407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55"/>
      <c r="AN71" s="51"/>
      <c r="AO71" s="73"/>
      <c r="AP71" s="74"/>
    </row>
    <row r="72" spans="1:42" s="11" customFormat="1" x14ac:dyDescent="0.2">
      <c r="A72" s="9">
        <v>20</v>
      </c>
      <c r="B72" s="9"/>
      <c r="C72" s="9"/>
      <c r="D72" s="9" t="s">
        <v>80</v>
      </c>
      <c r="E72" s="49" t="s">
        <v>74</v>
      </c>
      <c r="F72" s="49"/>
      <c r="G72" s="50" t="s">
        <v>921</v>
      </c>
      <c r="H72" s="50" t="s">
        <v>534</v>
      </c>
      <c r="I72" s="9" t="s">
        <v>407</v>
      </c>
      <c r="J72" s="9"/>
      <c r="K72" s="9"/>
      <c r="L72" s="9"/>
      <c r="M72" s="9"/>
      <c r="N72" s="9"/>
      <c r="O72" s="9" t="s">
        <v>407</v>
      </c>
      <c r="P72" s="9"/>
      <c r="Q72" s="9" t="s">
        <v>407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55"/>
      <c r="AN72" s="51"/>
      <c r="AO72" s="73"/>
      <c r="AP72" s="74"/>
    </row>
    <row r="73" spans="1:42" s="11" customFormat="1" x14ac:dyDescent="0.2">
      <c r="A73" s="9">
        <v>20</v>
      </c>
      <c r="B73" s="9"/>
      <c r="C73" s="9"/>
      <c r="D73" s="9" t="s">
        <v>217</v>
      </c>
      <c r="E73" s="49" t="s">
        <v>239</v>
      </c>
      <c r="F73" s="49"/>
      <c r="G73" s="50" t="s">
        <v>922</v>
      </c>
      <c r="H73" s="50" t="s">
        <v>535</v>
      </c>
      <c r="I73" s="9" t="s">
        <v>407</v>
      </c>
      <c r="J73" s="9"/>
      <c r="K73" s="9"/>
      <c r="L73" s="9"/>
      <c r="M73" s="9"/>
      <c r="N73" s="9"/>
      <c r="O73" s="9" t="s">
        <v>407</v>
      </c>
      <c r="P73" s="9"/>
      <c r="Q73" s="9" t="s">
        <v>407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55"/>
      <c r="AN73" s="51"/>
      <c r="AO73" s="73"/>
      <c r="AP73" s="74"/>
    </row>
    <row r="74" spans="1:42" s="11" customFormat="1" x14ac:dyDescent="0.2">
      <c r="A74" s="9">
        <v>20</v>
      </c>
      <c r="B74" s="9"/>
      <c r="C74" s="9"/>
      <c r="D74" s="9" t="s">
        <v>218</v>
      </c>
      <c r="E74" s="49" t="s">
        <v>205</v>
      </c>
      <c r="F74" s="49"/>
      <c r="G74" s="50" t="s">
        <v>924</v>
      </c>
      <c r="H74" s="50" t="s">
        <v>538</v>
      </c>
      <c r="I74" s="9" t="s">
        <v>407</v>
      </c>
      <c r="J74" s="9"/>
      <c r="K74" s="9"/>
      <c r="L74" s="9"/>
      <c r="M74" s="9"/>
      <c r="N74" s="9"/>
      <c r="O74" s="9" t="s">
        <v>407</v>
      </c>
      <c r="P74" s="9"/>
      <c r="Q74" s="9" t="s">
        <v>407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55"/>
      <c r="AN74" s="51"/>
      <c r="AO74" s="73"/>
      <c r="AP74" s="74"/>
    </row>
    <row r="75" spans="1:42" s="11" customFormat="1" x14ac:dyDescent="0.2">
      <c r="A75" s="9">
        <v>20</v>
      </c>
      <c r="B75" s="9"/>
      <c r="C75" s="9"/>
      <c r="D75" s="9" t="s">
        <v>219</v>
      </c>
      <c r="E75" s="49" t="s">
        <v>206</v>
      </c>
      <c r="F75" s="49"/>
      <c r="G75" s="50" t="s">
        <v>925</v>
      </c>
      <c r="H75" s="50" t="s">
        <v>690</v>
      </c>
      <c r="I75" s="9" t="s">
        <v>407</v>
      </c>
      <c r="J75" s="9"/>
      <c r="K75" s="9"/>
      <c r="L75" s="9"/>
      <c r="M75" s="9"/>
      <c r="N75" s="9"/>
      <c r="O75" s="9" t="s">
        <v>407</v>
      </c>
      <c r="P75" s="9"/>
      <c r="Q75" s="9" t="s">
        <v>407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55"/>
      <c r="AN75" s="51"/>
      <c r="AO75" s="73"/>
      <c r="AP75" s="74"/>
    </row>
    <row r="76" spans="1:42" s="11" customFormat="1" x14ac:dyDescent="0.2">
      <c r="A76" s="9">
        <v>20</v>
      </c>
      <c r="B76" s="9"/>
      <c r="C76" s="9"/>
      <c r="D76" s="9" t="s">
        <v>724</v>
      </c>
      <c r="E76" s="49" t="s">
        <v>725</v>
      </c>
      <c r="F76" s="49"/>
      <c r="G76" s="50" t="s">
        <v>837</v>
      </c>
      <c r="H76" s="50" t="s">
        <v>726</v>
      </c>
      <c r="I76" s="9" t="s">
        <v>407</v>
      </c>
      <c r="J76" s="9"/>
      <c r="K76" s="9"/>
      <c r="L76" s="9"/>
      <c r="M76" s="9"/>
      <c r="N76" s="9"/>
      <c r="O76" s="9" t="s">
        <v>407</v>
      </c>
      <c r="P76" s="9"/>
      <c r="Q76" s="9" t="s">
        <v>407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55"/>
      <c r="AN76" s="51"/>
      <c r="AO76" s="73"/>
      <c r="AP76" s="74"/>
    </row>
    <row r="77" spans="1:42" s="11" customFormat="1" x14ac:dyDescent="0.2">
      <c r="A77" s="9">
        <v>20</v>
      </c>
      <c r="B77" s="9"/>
      <c r="C77" s="9"/>
      <c r="D77" s="9" t="s">
        <v>220</v>
      </c>
      <c r="E77" s="49" t="s">
        <v>205</v>
      </c>
      <c r="F77" s="49"/>
      <c r="G77" s="50" t="s">
        <v>926</v>
      </c>
      <c r="H77" s="50" t="s">
        <v>539</v>
      </c>
      <c r="I77" s="9" t="s">
        <v>407</v>
      </c>
      <c r="J77" s="9"/>
      <c r="K77" s="9"/>
      <c r="L77" s="9"/>
      <c r="M77" s="9"/>
      <c r="N77" s="9"/>
      <c r="O77" s="9" t="s">
        <v>407</v>
      </c>
      <c r="P77" s="9"/>
      <c r="Q77" s="9" t="s">
        <v>407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55"/>
      <c r="AN77" s="51"/>
      <c r="AO77" s="73"/>
      <c r="AP77" s="74"/>
    </row>
    <row r="78" spans="1:42" s="11" customFormat="1" x14ac:dyDescent="0.2">
      <c r="A78" s="9">
        <v>20</v>
      </c>
      <c r="B78" s="9"/>
      <c r="C78" s="9"/>
      <c r="D78" s="9" t="s">
        <v>221</v>
      </c>
      <c r="E78" s="49" t="s">
        <v>205</v>
      </c>
      <c r="F78" s="49"/>
      <c r="G78" s="50" t="s">
        <v>927</v>
      </c>
      <c r="H78" s="50" t="s">
        <v>540</v>
      </c>
      <c r="I78" s="9" t="s">
        <v>407</v>
      </c>
      <c r="J78" s="9"/>
      <c r="K78" s="9"/>
      <c r="L78" s="9"/>
      <c r="M78" s="9"/>
      <c r="N78" s="9"/>
      <c r="O78" s="9" t="s">
        <v>407</v>
      </c>
      <c r="P78" s="9"/>
      <c r="Q78" s="9" t="s">
        <v>407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55"/>
      <c r="AN78" s="51"/>
      <c r="AO78" s="73"/>
      <c r="AP78" s="74"/>
    </row>
    <row r="79" spans="1:42" s="11" customFormat="1" ht="26" x14ac:dyDescent="0.2">
      <c r="A79" s="9">
        <v>20</v>
      </c>
      <c r="B79" s="9"/>
      <c r="C79" s="9"/>
      <c r="D79" s="9" t="s">
        <v>222</v>
      </c>
      <c r="E79" s="49" t="s">
        <v>207</v>
      </c>
      <c r="F79" s="49"/>
      <c r="G79" s="50" t="s">
        <v>928</v>
      </c>
      <c r="H79" s="50" t="s">
        <v>541</v>
      </c>
      <c r="I79" s="9" t="s">
        <v>407</v>
      </c>
      <c r="J79" s="9"/>
      <c r="K79" s="9"/>
      <c r="L79" s="9"/>
      <c r="M79" s="9"/>
      <c r="N79" s="9"/>
      <c r="O79" s="9" t="s">
        <v>407</v>
      </c>
      <c r="P79" s="9"/>
      <c r="Q79" s="9" t="s">
        <v>407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55"/>
      <c r="AN79" s="51"/>
      <c r="AO79" s="73"/>
      <c r="AP79" s="74"/>
    </row>
    <row r="80" spans="1:42" s="11" customFormat="1" ht="26" x14ac:dyDescent="0.2">
      <c r="A80" s="9">
        <v>20</v>
      </c>
      <c r="B80" s="9"/>
      <c r="C80" s="9"/>
      <c r="D80" s="9" t="s">
        <v>223</v>
      </c>
      <c r="E80" s="49" t="s">
        <v>240</v>
      </c>
      <c r="F80" s="49"/>
      <c r="G80" s="50" t="s">
        <v>929</v>
      </c>
      <c r="H80" s="50" t="s">
        <v>542</v>
      </c>
      <c r="I80" s="9" t="s">
        <v>407</v>
      </c>
      <c r="J80" s="9"/>
      <c r="K80" s="9"/>
      <c r="L80" s="9"/>
      <c r="M80" s="9"/>
      <c r="N80" s="9"/>
      <c r="O80" s="9" t="s">
        <v>407</v>
      </c>
      <c r="P80" s="9"/>
      <c r="Q80" s="9" t="s">
        <v>407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55"/>
      <c r="AN80" s="51"/>
      <c r="AO80" s="73"/>
      <c r="AP80" s="74"/>
    </row>
    <row r="81" spans="1:42" s="11" customFormat="1" ht="26" x14ac:dyDescent="0.2">
      <c r="A81" s="9">
        <v>20</v>
      </c>
      <c r="B81" s="9"/>
      <c r="C81" s="9"/>
      <c r="D81" s="9" t="s">
        <v>224</v>
      </c>
      <c r="E81" s="49" t="s">
        <v>208</v>
      </c>
      <c r="F81" s="49"/>
      <c r="G81" s="50" t="s">
        <v>931</v>
      </c>
      <c r="H81" s="50" t="s">
        <v>545</v>
      </c>
      <c r="I81" s="9" t="s">
        <v>407</v>
      </c>
      <c r="J81" s="9"/>
      <c r="K81" s="9"/>
      <c r="L81" s="9"/>
      <c r="M81" s="9"/>
      <c r="N81" s="9"/>
      <c r="O81" s="9" t="s">
        <v>407</v>
      </c>
      <c r="P81" s="9"/>
      <c r="Q81" s="9" t="s">
        <v>407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55"/>
      <c r="AN81" s="51"/>
      <c r="AO81" s="73"/>
      <c r="AP81" s="74"/>
    </row>
    <row r="82" spans="1:42" s="11" customFormat="1" x14ac:dyDescent="0.2">
      <c r="A82" s="9">
        <v>20</v>
      </c>
      <c r="B82" s="9"/>
      <c r="C82" s="9"/>
      <c r="D82" s="9" t="s">
        <v>225</v>
      </c>
      <c r="E82" s="49" t="s">
        <v>209</v>
      </c>
      <c r="F82" s="49"/>
      <c r="G82" s="50" t="s">
        <v>932</v>
      </c>
      <c r="H82" s="50" t="s">
        <v>546</v>
      </c>
      <c r="I82" s="9" t="s">
        <v>407</v>
      </c>
      <c r="J82" s="9"/>
      <c r="K82" s="9"/>
      <c r="L82" s="9"/>
      <c r="M82" s="9"/>
      <c r="N82" s="9"/>
      <c r="O82" s="9" t="s">
        <v>407</v>
      </c>
      <c r="P82" s="9"/>
      <c r="Q82" s="9" t="s">
        <v>407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55"/>
      <c r="AN82" s="51"/>
      <c r="AO82" s="73"/>
      <c r="AP82" s="74"/>
    </row>
    <row r="83" spans="1:42" s="11" customFormat="1" x14ac:dyDescent="0.2">
      <c r="A83" s="9">
        <v>20</v>
      </c>
      <c r="B83" s="9"/>
      <c r="C83" s="9"/>
      <c r="D83" s="9" t="s">
        <v>226</v>
      </c>
      <c r="E83" s="49" t="s">
        <v>206</v>
      </c>
      <c r="F83" s="49"/>
      <c r="G83" s="50" t="s">
        <v>933</v>
      </c>
      <c r="H83" s="50" t="s">
        <v>547</v>
      </c>
      <c r="I83" s="9" t="s">
        <v>407</v>
      </c>
      <c r="J83" s="9"/>
      <c r="K83" s="9"/>
      <c r="L83" s="9"/>
      <c r="M83" s="9"/>
      <c r="N83" s="9"/>
      <c r="O83" s="9" t="s">
        <v>407</v>
      </c>
      <c r="P83" s="9"/>
      <c r="Q83" s="9" t="s">
        <v>407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55"/>
      <c r="AN83" s="51"/>
      <c r="AO83" s="73"/>
      <c r="AP83" s="74"/>
    </row>
    <row r="84" spans="1:42" s="11" customFormat="1" x14ac:dyDescent="0.2">
      <c r="A84" s="9">
        <v>20</v>
      </c>
      <c r="B84" s="9"/>
      <c r="C84" s="9"/>
      <c r="D84" s="9" t="s">
        <v>227</v>
      </c>
      <c r="E84" s="49" t="s">
        <v>206</v>
      </c>
      <c r="F84" s="49"/>
      <c r="G84" s="50" t="s">
        <v>934</v>
      </c>
      <c r="H84" s="50" t="s">
        <v>548</v>
      </c>
      <c r="I84" s="9" t="s">
        <v>407</v>
      </c>
      <c r="J84" s="9"/>
      <c r="K84" s="9"/>
      <c r="L84" s="9"/>
      <c r="M84" s="9"/>
      <c r="N84" s="9"/>
      <c r="O84" s="9" t="s">
        <v>407</v>
      </c>
      <c r="P84" s="9"/>
      <c r="Q84" s="9" t="s">
        <v>407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55"/>
      <c r="AN84" s="51"/>
      <c r="AO84" s="73"/>
      <c r="AP84" s="74"/>
    </row>
    <row r="85" spans="1:42" s="11" customFormat="1" x14ac:dyDescent="0.2">
      <c r="A85" s="9">
        <v>20</v>
      </c>
      <c r="B85" s="9"/>
      <c r="C85" s="9"/>
      <c r="D85" s="9" t="s">
        <v>228</v>
      </c>
      <c r="E85" s="49" t="s">
        <v>206</v>
      </c>
      <c r="F85" s="49"/>
      <c r="G85" s="50" t="s">
        <v>935</v>
      </c>
      <c r="H85" s="50" t="s">
        <v>549</v>
      </c>
      <c r="I85" s="9" t="s">
        <v>407</v>
      </c>
      <c r="J85" s="9"/>
      <c r="K85" s="9"/>
      <c r="L85" s="9"/>
      <c r="M85" s="9"/>
      <c r="N85" s="9"/>
      <c r="O85" s="9" t="s">
        <v>407</v>
      </c>
      <c r="P85" s="9"/>
      <c r="Q85" s="9" t="s">
        <v>407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55"/>
      <c r="AN85" s="51"/>
      <c r="AO85" s="73"/>
      <c r="AP85" s="74"/>
    </row>
    <row r="86" spans="1:42" s="11" customFormat="1" x14ac:dyDescent="0.2">
      <c r="A86" s="9">
        <v>20</v>
      </c>
      <c r="B86" s="9"/>
      <c r="C86" s="9"/>
      <c r="D86" s="9" t="s">
        <v>229</v>
      </c>
      <c r="E86" s="49" t="s">
        <v>210</v>
      </c>
      <c r="F86" s="49"/>
      <c r="G86" s="50" t="s">
        <v>936</v>
      </c>
      <c r="H86" s="50" t="s">
        <v>550</v>
      </c>
      <c r="I86" s="9" t="s">
        <v>407</v>
      </c>
      <c r="J86" s="9"/>
      <c r="K86" s="9"/>
      <c r="L86" s="9"/>
      <c r="M86" s="9"/>
      <c r="N86" s="9"/>
      <c r="O86" s="9" t="s">
        <v>407</v>
      </c>
      <c r="P86" s="9"/>
      <c r="Q86" s="9" t="s">
        <v>407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55"/>
      <c r="AN86" s="51"/>
      <c r="AO86" s="73"/>
      <c r="AP86" s="74"/>
    </row>
    <row r="87" spans="1:42" s="11" customFormat="1" x14ac:dyDescent="0.2">
      <c r="A87" s="9">
        <v>20</v>
      </c>
      <c r="B87" s="9"/>
      <c r="C87" s="9"/>
      <c r="D87" s="9" t="s">
        <v>230</v>
      </c>
      <c r="E87" s="49" t="s">
        <v>210</v>
      </c>
      <c r="F87" s="49"/>
      <c r="G87" s="50" t="s">
        <v>937</v>
      </c>
      <c r="H87" s="50" t="s">
        <v>551</v>
      </c>
      <c r="I87" s="9" t="s">
        <v>407</v>
      </c>
      <c r="J87" s="9"/>
      <c r="K87" s="9"/>
      <c r="L87" s="9"/>
      <c r="M87" s="9"/>
      <c r="N87" s="9"/>
      <c r="O87" s="9" t="s">
        <v>407</v>
      </c>
      <c r="P87" s="9"/>
      <c r="Q87" s="9" t="s">
        <v>407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55"/>
      <c r="AN87" s="51"/>
      <c r="AO87" s="73"/>
      <c r="AP87" s="74"/>
    </row>
    <row r="88" spans="1:42" s="11" customFormat="1" x14ac:dyDescent="0.2">
      <c r="A88" s="9">
        <v>20</v>
      </c>
      <c r="B88" s="9"/>
      <c r="C88" s="9"/>
      <c r="D88" s="9" t="s">
        <v>231</v>
      </c>
      <c r="E88" s="49" t="s">
        <v>211</v>
      </c>
      <c r="F88" s="49"/>
      <c r="G88" s="50" t="s">
        <v>938</v>
      </c>
      <c r="H88" s="50" t="s">
        <v>552</v>
      </c>
      <c r="I88" s="9" t="s">
        <v>407</v>
      </c>
      <c r="J88" s="9"/>
      <c r="K88" s="9"/>
      <c r="L88" s="9"/>
      <c r="M88" s="9"/>
      <c r="N88" s="9"/>
      <c r="O88" s="9" t="s">
        <v>407</v>
      </c>
      <c r="P88" s="9"/>
      <c r="Q88" s="9" t="s">
        <v>407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55"/>
      <c r="AN88" s="51"/>
      <c r="AO88" s="73"/>
      <c r="AP88" s="74"/>
    </row>
    <row r="89" spans="1:42" s="11" customFormat="1" x14ac:dyDescent="0.2">
      <c r="A89" s="9">
        <v>20</v>
      </c>
      <c r="B89" s="9"/>
      <c r="C89" s="9"/>
      <c r="D89" s="9" t="s">
        <v>232</v>
      </c>
      <c r="E89" s="49" t="s">
        <v>44</v>
      </c>
      <c r="F89" s="49"/>
      <c r="G89" s="50" t="s">
        <v>939</v>
      </c>
      <c r="H89" s="50" t="s">
        <v>553</v>
      </c>
      <c r="I89" s="9" t="s">
        <v>407</v>
      </c>
      <c r="J89" s="9"/>
      <c r="K89" s="9"/>
      <c r="L89" s="9"/>
      <c r="M89" s="9"/>
      <c r="N89" s="9"/>
      <c r="O89" s="9" t="s">
        <v>407</v>
      </c>
      <c r="P89" s="9"/>
      <c r="Q89" s="9" t="s">
        <v>407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55"/>
      <c r="AN89" s="51"/>
      <c r="AO89" s="73"/>
      <c r="AP89" s="74"/>
    </row>
    <row r="90" spans="1:42" s="11" customFormat="1" ht="26" x14ac:dyDescent="0.2">
      <c r="A90" s="9">
        <v>20</v>
      </c>
      <c r="B90" s="9"/>
      <c r="C90" s="9"/>
      <c r="D90" s="9" t="s">
        <v>306</v>
      </c>
      <c r="E90" s="49" t="s">
        <v>203</v>
      </c>
      <c r="F90" s="49"/>
      <c r="G90" s="50" t="s">
        <v>940</v>
      </c>
      <c r="H90" s="50" t="s">
        <v>554</v>
      </c>
      <c r="I90" s="9" t="s">
        <v>407</v>
      </c>
      <c r="J90" s="9"/>
      <c r="K90" s="9"/>
      <c r="L90" s="9"/>
      <c r="M90" s="9"/>
      <c r="N90" s="9"/>
      <c r="O90" s="9" t="s">
        <v>407</v>
      </c>
      <c r="P90" s="9"/>
      <c r="Q90" s="9" t="s">
        <v>407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55"/>
      <c r="AN90" s="51"/>
      <c r="AO90" s="73"/>
      <c r="AP90" s="74"/>
    </row>
    <row r="91" spans="1:42" s="11" customFormat="1" x14ac:dyDescent="0.2">
      <c r="A91" s="9">
        <v>20</v>
      </c>
      <c r="B91" s="9"/>
      <c r="C91" s="9"/>
      <c r="D91" s="9" t="s">
        <v>696</v>
      </c>
      <c r="E91" s="49" t="s">
        <v>44</v>
      </c>
      <c r="F91" s="49"/>
      <c r="G91" s="50" t="s">
        <v>942</v>
      </c>
      <c r="H91" s="50" t="s">
        <v>723</v>
      </c>
      <c r="I91" s="9" t="s">
        <v>407</v>
      </c>
      <c r="J91" s="9"/>
      <c r="K91" s="9"/>
      <c r="L91" s="9"/>
      <c r="M91" s="9"/>
      <c r="N91" s="9"/>
      <c r="O91" s="9" t="s">
        <v>407</v>
      </c>
      <c r="P91" s="9"/>
      <c r="Q91" s="9" t="s">
        <v>407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55"/>
      <c r="AN91" s="51"/>
      <c r="AO91" s="73"/>
      <c r="AP91" s="74"/>
    </row>
    <row r="92" spans="1:42" s="11" customFormat="1" x14ac:dyDescent="0.2">
      <c r="A92" s="9">
        <v>20</v>
      </c>
      <c r="B92" s="9"/>
      <c r="C92" s="9"/>
      <c r="D92" s="9" t="s">
        <v>233</v>
      </c>
      <c r="E92" s="49" t="s">
        <v>212</v>
      </c>
      <c r="F92" s="49"/>
      <c r="G92" s="50" t="s">
        <v>943</v>
      </c>
      <c r="H92" s="50" t="s">
        <v>556</v>
      </c>
      <c r="I92" s="9" t="s">
        <v>407</v>
      </c>
      <c r="J92" s="9"/>
      <c r="K92" s="9"/>
      <c r="L92" s="9"/>
      <c r="M92" s="9"/>
      <c r="N92" s="9"/>
      <c r="O92" s="9" t="s">
        <v>407</v>
      </c>
      <c r="P92" s="9"/>
      <c r="Q92" s="9" t="s">
        <v>407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55"/>
      <c r="AN92" s="51"/>
      <c r="AO92" s="73"/>
      <c r="AP92" s="74"/>
    </row>
    <row r="93" spans="1:42" s="11" customFormat="1" x14ac:dyDescent="0.2">
      <c r="A93" s="9">
        <v>20</v>
      </c>
      <c r="B93" s="9"/>
      <c r="C93" s="9"/>
      <c r="D93" s="9" t="s">
        <v>234</v>
      </c>
      <c r="E93" s="49" t="s">
        <v>213</v>
      </c>
      <c r="F93" s="49"/>
      <c r="G93" s="50" t="s">
        <v>944</v>
      </c>
      <c r="H93" s="50" t="s">
        <v>557</v>
      </c>
      <c r="I93" s="9" t="s">
        <v>407</v>
      </c>
      <c r="J93" s="9"/>
      <c r="K93" s="9"/>
      <c r="L93" s="9"/>
      <c r="M93" s="9"/>
      <c r="N93" s="9"/>
      <c r="O93" s="9" t="s">
        <v>407</v>
      </c>
      <c r="P93" s="9"/>
      <c r="Q93" s="9" t="s">
        <v>407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55"/>
      <c r="AN93" s="51"/>
      <c r="AO93" s="73"/>
      <c r="AP93" s="74"/>
    </row>
    <row r="94" spans="1:42" s="11" customFormat="1" x14ac:dyDescent="0.2">
      <c r="A94" s="9">
        <v>20</v>
      </c>
      <c r="B94" s="9"/>
      <c r="C94" s="9"/>
      <c r="D94" s="9" t="s">
        <v>235</v>
      </c>
      <c r="E94" s="49" t="s">
        <v>214</v>
      </c>
      <c r="F94" s="49"/>
      <c r="G94" s="50" t="s">
        <v>945</v>
      </c>
      <c r="H94" s="50" t="s">
        <v>558</v>
      </c>
      <c r="I94" s="9" t="s">
        <v>407</v>
      </c>
      <c r="J94" s="9"/>
      <c r="K94" s="9"/>
      <c r="L94" s="9"/>
      <c r="M94" s="9"/>
      <c r="N94" s="9"/>
      <c r="O94" s="9" t="s">
        <v>407</v>
      </c>
      <c r="P94" s="9"/>
      <c r="Q94" s="9" t="s">
        <v>407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55"/>
      <c r="AN94" s="51"/>
      <c r="AO94" s="73"/>
      <c r="AP94" s="74"/>
    </row>
    <row r="95" spans="1:42" s="11" customFormat="1" x14ac:dyDescent="0.2">
      <c r="A95" s="9">
        <v>20</v>
      </c>
      <c r="B95" s="9"/>
      <c r="C95" s="9"/>
      <c r="D95" s="9" t="s">
        <v>236</v>
      </c>
      <c r="E95" s="49" t="s">
        <v>215</v>
      </c>
      <c r="F95" s="49"/>
      <c r="G95" s="50" t="s">
        <v>946</v>
      </c>
      <c r="H95" s="50" t="s">
        <v>559</v>
      </c>
      <c r="I95" s="9" t="s">
        <v>407</v>
      </c>
      <c r="J95" s="9"/>
      <c r="K95" s="9"/>
      <c r="L95" s="9"/>
      <c r="M95" s="9"/>
      <c r="N95" s="9"/>
      <c r="O95" s="9" t="s">
        <v>407</v>
      </c>
      <c r="P95" s="9"/>
      <c r="Q95" s="9" t="s">
        <v>407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55"/>
      <c r="AN95" s="51"/>
      <c r="AO95" s="73"/>
      <c r="AP95" s="74"/>
    </row>
    <row r="96" spans="1:42" s="11" customFormat="1" x14ac:dyDescent="0.2">
      <c r="A96" s="9">
        <v>20</v>
      </c>
      <c r="B96" s="9"/>
      <c r="C96" s="9"/>
      <c r="D96" s="9" t="s">
        <v>237</v>
      </c>
      <c r="E96" s="49" t="s">
        <v>44</v>
      </c>
      <c r="F96" s="49"/>
      <c r="G96" s="50" t="s">
        <v>947</v>
      </c>
      <c r="H96" s="50" t="s">
        <v>560</v>
      </c>
      <c r="I96" s="9" t="s">
        <v>407</v>
      </c>
      <c r="J96" s="9"/>
      <c r="K96" s="9"/>
      <c r="L96" s="9"/>
      <c r="M96" s="9"/>
      <c r="N96" s="9"/>
      <c r="O96" s="9" t="s">
        <v>407</v>
      </c>
      <c r="P96" s="9"/>
      <c r="Q96" s="9" t="s">
        <v>407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55"/>
      <c r="AN96" s="51"/>
      <c r="AO96" s="73"/>
      <c r="AP96" s="74"/>
    </row>
    <row r="97" spans="1:42" s="11" customFormat="1" x14ac:dyDescent="0.2">
      <c r="A97" s="9">
        <v>20</v>
      </c>
      <c r="B97" s="9"/>
      <c r="C97" s="9"/>
      <c r="D97" s="9" t="s">
        <v>238</v>
      </c>
      <c r="E97" s="49" t="s">
        <v>216</v>
      </c>
      <c r="F97" s="49"/>
      <c r="G97" s="50" t="s">
        <v>948</v>
      </c>
      <c r="H97" s="50" t="s">
        <v>561</v>
      </c>
      <c r="I97" s="9" t="s">
        <v>407</v>
      </c>
      <c r="J97" s="9"/>
      <c r="K97" s="9"/>
      <c r="L97" s="9"/>
      <c r="M97" s="9"/>
      <c r="N97" s="9"/>
      <c r="O97" s="9" t="s">
        <v>407</v>
      </c>
      <c r="P97" s="9"/>
      <c r="Q97" s="9" t="s">
        <v>407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55"/>
      <c r="AN97" s="51"/>
      <c r="AO97" s="73"/>
      <c r="AP97" s="74"/>
    </row>
    <row r="98" spans="1:42" s="11" customFormat="1" x14ac:dyDescent="0.2">
      <c r="A98" s="9">
        <v>20</v>
      </c>
      <c r="B98" s="9"/>
      <c r="C98" s="9"/>
      <c r="D98" s="9" t="s">
        <v>38</v>
      </c>
      <c r="E98" s="49" t="s">
        <v>39</v>
      </c>
      <c r="F98" s="49"/>
      <c r="G98" s="50" t="s">
        <v>949</v>
      </c>
      <c r="H98" s="50" t="s">
        <v>562</v>
      </c>
      <c r="I98" s="9" t="s">
        <v>407</v>
      </c>
      <c r="J98" s="9"/>
      <c r="K98" s="9"/>
      <c r="L98" s="9"/>
      <c r="M98" s="9"/>
      <c r="N98" s="9"/>
      <c r="O98" s="9" t="s">
        <v>407</v>
      </c>
      <c r="P98" s="9"/>
      <c r="Q98" s="9" t="s">
        <v>407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55"/>
      <c r="AN98" s="51"/>
      <c r="AO98" s="149"/>
      <c r="AP98" s="150"/>
    </row>
    <row r="99" spans="1:42" s="11" customFormat="1" x14ac:dyDescent="0.2">
      <c r="A99" s="9">
        <v>20</v>
      </c>
      <c r="B99" s="9"/>
      <c r="C99" s="9"/>
      <c r="D99" s="9" t="s">
        <v>42</v>
      </c>
      <c r="E99" s="49" t="s">
        <v>43</v>
      </c>
      <c r="F99" s="49"/>
      <c r="G99" s="50" t="s">
        <v>950</v>
      </c>
      <c r="H99" s="50" t="s">
        <v>563</v>
      </c>
      <c r="I99" s="9" t="s">
        <v>407</v>
      </c>
      <c r="J99" s="9"/>
      <c r="K99" s="9"/>
      <c r="L99" s="9"/>
      <c r="M99" s="9"/>
      <c r="N99" s="9"/>
      <c r="O99" s="9" t="s">
        <v>407</v>
      </c>
      <c r="P99" s="9"/>
      <c r="Q99" s="9" t="s">
        <v>407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55"/>
      <c r="AN99" s="51"/>
      <c r="AO99" s="149"/>
      <c r="AP99" s="150"/>
    </row>
    <row r="100" spans="1:42" s="11" customFormat="1" x14ac:dyDescent="0.2">
      <c r="A100" s="9">
        <v>20</v>
      </c>
      <c r="B100" s="9"/>
      <c r="C100" s="9"/>
      <c r="D100" s="9" t="s">
        <v>40</v>
      </c>
      <c r="E100" s="49" t="s">
        <v>41</v>
      </c>
      <c r="F100" s="49"/>
      <c r="G100" s="50" t="s">
        <v>951</v>
      </c>
      <c r="H100" s="50" t="s">
        <v>564</v>
      </c>
      <c r="I100" s="9" t="s">
        <v>407</v>
      </c>
      <c r="J100" s="9"/>
      <c r="K100" s="9"/>
      <c r="L100" s="9"/>
      <c r="M100" s="9"/>
      <c r="N100" s="9"/>
      <c r="O100" s="9" t="s">
        <v>407</v>
      </c>
      <c r="P100" s="9"/>
      <c r="Q100" s="9" t="s">
        <v>407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55"/>
      <c r="AN100" s="51"/>
      <c r="AO100" s="149"/>
      <c r="AP100" s="150"/>
    </row>
    <row r="101" spans="1:42" s="11" customFormat="1" x14ac:dyDescent="0.2">
      <c r="A101" s="9">
        <v>20</v>
      </c>
      <c r="B101" s="9"/>
      <c r="C101" s="9"/>
      <c r="D101" s="9" t="s">
        <v>56</v>
      </c>
      <c r="E101" s="49" t="s">
        <v>44</v>
      </c>
      <c r="F101" s="49"/>
      <c r="G101" s="50" t="s">
        <v>898</v>
      </c>
      <c r="H101" s="50" t="s">
        <v>510</v>
      </c>
      <c r="I101" s="9" t="s">
        <v>407</v>
      </c>
      <c r="J101" s="9"/>
      <c r="K101" s="9"/>
      <c r="L101" s="9"/>
      <c r="M101" s="9"/>
      <c r="N101" s="9"/>
      <c r="O101" s="9" t="s">
        <v>407</v>
      </c>
      <c r="P101" s="9"/>
      <c r="Q101" s="9" t="s">
        <v>407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55"/>
      <c r="AN101" s="51"/>
      <c r="AO101" s="73"/>
      <c r="AP101" s="74"/>
    </row>
    <row r="102" spans="1:42" s="11" customFormat="1" x14ac:dyDescent="0.2">
      <c r="A102" s="9">
        <v>20</v>
      </c>
      <c r="B102" s="9"/>
      <c r="C102" s="9"/>
      <c r="D102" s="9" t="s">
        <v>57</v>
      </c>
      <c r="E102" s="49" t="s">
        <v>58</v>
      </c>
      <c r="F102" s="49"/>
      <c r="G102" s="50" t="s">
        <v>849</v>
      </c>
      <c r="H102" s="50" t="s">
        <v>450</v>
      </c>
      <c r="I102" s="9" t="s">
        <v>407</v>
      </c>
      <c r="J102" s="9"/>
      <c r="K102" s="9"/>
      <c r="L102" s="9"/>
      <c r="M102" s="9"/>
      <c r="N102" s="9"/>
      <c r="O102" s="9" t="s">
        <v>407</v>
      </c>
      <c r="P102" s="9"/>
      <c r="Q102" s="9" t="s">
        <v>407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55"/>
      <c r="AN102" s="51"/>
      <c r="AO102" s="149"/>
      <c r="AP102" s="150"/>
    </row>
    <row r="103" spans="1:42" s="11" customFormat="1" x14ac:dyDescent="0.2">
      <c r="A103" s="9">
        <v>20</v>
      </c>
      <c r="B103" s="9"/>
      <c r="C103" s="9"/>
      <c r="D103" s="9" t="s">
        <v>644</v>
      </c>
      <c r="E103" s="49" t="s">
        <v>645</v>
      </c>
      <c r="F103" s="49"/>
      <c r="G103" s="50" t="s">
        <v>999</v>
      </c>
      <c r="H103" s="50" t="s">
        <v>622</v>
      </c>
      <c r="I103" s="9"/>
      <c r="J103" s="9"/>
      <c r="K103" s="9"/>
      <c r="L103" s="9"/>
      <c r="M103" s="9"/>
      <c r="N103" s="9"/>
      <c r="O103" s="9" t="s">
        <v>407</v>
      </c>
      <c r="P103" s="9"/>
      <c r="Q103" s="9" t="s">
        <v>407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55"/>
      <c r="AN103" s="51"/>
      <c r="AO103" s="73"/>
      <c r="AP103" s="74"/>
    </row>
    <row r="104" spans="1:42" s="11" customFormat="1" x14ac:dyDescent="0.2">
      <c r="A104" s="9">
        <v>20</v>
      </c>
      <c r="B104" s="9"/>
      <c r="C104" s="9"/>
      <c r="D104" s="9" t="s">
        <v>358</v>
      </c>
      <c r="E104" s="49" t="s">
        <v>645</v>
      </c>
      <c r="F104" s="49"/>
      <c r="G104" s="50" t="s">
        <v>1000</v>
      </c>
      <c r="H104" s="50" t="s">
        <v>623</v>
      </c>
      <c r="I104" s="9"/>
      <c r="J104" s="9"/>
      <c r="K104" s="9"/>
      <c r="L104" s="9"/>
      <c r="M104" s="9"/>
      <c r="N104" s="9"/>
      <c r="O104" s="9" t="s">
        <v>407</v>
      </c>
      <c r="P104" s="9"/>
      <c r="Q104" s="9" t="s">
        <v>407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55"/>
      <c r="AN104" s="51"/>
      <c r="AO104" s="73"/>
      <c r="AP104" s="74"/>
    </row>
    <row r="105" spans="1:42" s="11" customFormat="1" x14ac:dyDescent="0.2">
      <c r="A105" s="9">
        <v>20</v>
      </c>
      <c r="B105" s="9"/>
      <c r="C105" s="9"/>
      <c r="D105" s="9" t="s">
        <v>359</v>
      </c>
      <c r="E105" s="49" t="s">
        <v>360</v>
      </c>
      <c r="F105" s="49"/>
      <c r="G105" s="50" t="s">
        <v>1001</v>
      </c>
      <c r="H105" s="50" t="s">
        <v>624</v>
      </c>
      <c r="I105" s="9"/>
      <c r="J105" s="9"/>
      <c r="K105" s="9"/>
      <c r="L105" s="9"/>
      <c r="M105" s="9"/>
      <c r="N105" s="9"/>
      <c r="O105" s="9" t="s">
        <v>407</v>
      </c>
      <c r="P105" s="9"/>
      <c r="Q105" s="9" t="s">
        <v>407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55"/>
      <c r="AN105" s="51"/>
      <c r="AO105" s="73"/>
      <c r="AP105" s="74"/>
    </row>
    <row r="106" spans="1:42" s="11" customFormat="1" x14ac:dyDescent="0.2">
      <c r="A106" s="80"/>
      <c r="AP106" s="54"/>
    </row>
    <row r="107" spans="1:42" s="11" customFormat="1" x14ac:dyDescent="0.2">
      <c r="A107" s="9">
        <v>30</v>
      </c>
      <c r="B107" s="37" t="s">
        <v>0</v>
      </c>
      <c r="C107" s="38"/>
      <c r="D107" s="28" t="s">
        <v>102</v>
      </c>
      <c r="E107" s="34" t="s">
        <v>50</v>
      </c>
      <c r="F107" s="72"/>
      <c r="G107" s="28" t="s">
        <v>61</v>
      </c>
      <c r="H107" s="45" t="s">
        <v>625</v>
      </c>
      <c r="I107" s="59"/>
      <c r="J107" s="58"/>
      <c r="K107" s="48"/>
      <c r="L107" s="48"/>
      <c r="M107" s="48"/>
      <c r="N107" s="48"/>
      <c r="O107" s="48"/>
      <c r="P107" s="48"/>
      <c r="Q107" s="48"/>
      <c r="R107" s="48"/>
      <c r="S107" s="48" t="s">
        <v>626</v>
      </c>
      <c r="T107" s="48"/>
      <c r="U107" s="48" t="s">
        <v>627</v>
      </c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35"/>
      <c r="AN107" s="36"/>
      <c r="AO107" s="73"/>
      <c r="AP107" s="75"/>
    </row>
    <row r="108" spans="1:42" s="11" customFormat="1" x14ac:dyDescent="0.2">
      <c r="A108" s="9">
        <v>30</v>
      </c>
      <c r="B108" s="9"/>
      <c r="C108" s="9"/>
      <c r="D108" s="9" t="s">
        <v>198</v>
      </c>
      <c r="E108" s="49" t="s">
        <v>86</v>
      </c>
      <c r="F108" s="49"/>
      <c r="G108" s="50" t="s">
        <v>899</v>
      </c>
      <c r="H108" s="50" t="s">
        <v>511</v>
      </c>
      <c r="I108" s="9" t="s">
        <v>407</v>
      </c>
      <c r="J108" s="9"/>
      <c r="K108" s="9"/>
      <c r="L108" s="9"/>
      <c r="M108" s="9"/>
      <c r="N108" s="9"/>
      <c r="O108" s="9"/>
      <c r="P108" s="9"/>
      <c r="Q108" s="9"/>
      <c r="R108" s="9"/>
      <c r="S108" s="9" t="s">
        <v>407</v>
      </c>
      <c r="T108" s="9"/>
      <c r="U108" s="9" t="s">
        <v>407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55"/>
      <c r="AN108" s="51"/>
      <c r="AO108" s="149"/>
      <c r="AP108" s="150"/>
    </row>
    <row r="109" spans="1:42" s="11" customFormat="1" x14ac:dyDescent="0.2">
      <c r="A109" s="9">
        <v>30</v>
      </c>
      <c r="B109" s="9"/>
      <c r="C109" s="9"/>
      <c r="D109" s="9" t="s">
        <v>125</v>
      </c>
      <c r="E109" s="49" t="s">
        <v>75</v>
      </c>
      <c r="F109" s="49"/>
      <c r="G109" s="50" t="s">
        <v>902</v>
      </c>
      <c r="H109" s="50" t="s">
        <v>514</v>
      </c>
      <c r="I109" s="9" t="s">
        <v>407</v>
      </c>
      <c r="J109" s="9"/>
      <c r="K109" s="9"/>
      <c r="L109" s="9"/>
      <c r="M109" s="9"/>
      <c r="N109" s="9"/>
      <c r="O109" s="9"/>
      <c r="P109" s="9"/>
      <c r="Q109" s="9"/>
      <c r="R109" s="9"/>
      <c r="S109" s="9" t="s">
        <v>407</v>
      </c>
      <c r="T109" s="9"/>
      <c r="U109" s="9" t="s">
        <v>407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55"/>
      <c r="AN109" s="51"/>
      <c r="AO109" s="149"/>
      <c r="AP109" s="150"/>
    </row>
    <row r="110" spans="1:42" s="11" customFormat="1" x14ac:dyDescent="0.2">
      <c r="A110" s="9">
        <v>30</v>
      </c>
      <c r="B110" s="9"/>
      <c r="C110" s="9"/>
      <c r="D110" s="9" t="s">
        <v>126</v>
      </c>
      <c r="E110" s="49" t="s">
        <v>76</v>
      </c>
      <c r="F110" s="49"/>
      <c r="G110" s="50" t="s">
        <v>903</v>
      </c>
      <c r="H110" s="50" t="s">
        <v>515</v>
      </c>
      <c r="I110" s="9" t="s">
        <v>407</v>
      </c>
      <c r="J110" s="9"/>
      <c r="K110" s="9"/>
      <c r="L110" s="9"/>
      <c r="M110" s="9"/>
      <c r="N110" s="9"/>
      <c r="O110" s="9"/>
      <c r="P110" s="9"/>
      <c r="Q110" s="9"/>
      <c r="R110" s="9"/>
      <c r="S110" s="9" t="s">
        <v>407</v>
      </c>
      <c r="T110" s="9"/>
      <c r="U110" s="9" t="s">
        <v>407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55"/>
      <c r="AN110" s="51"/>
      <c r="AO110" s="73"/>
      <c r="AP110" s="74"/>
    </row>
    <row r="111" spans="1:42" s="11" customFormat="1" x14ac:dyDescent="0.2">
      <c r="A111" s="9">
        <v>30</v>
      </c>
      <c r="B111" s="9"/>
      <c r="C111" s="9"/>
      <c r="D111" s="9" t="s">
        <v>127</v>
      </c>
      <c r="E111" s="49" t="s">
        <v>77</v>
      </c>
      <c r="F111" s="49"/>
      <c r="G111" s="50" t="s">
        <v>904</v>
      </c>
      <c r="H111" s="50" t="s">
        <v>516</v>
      </c>
      <c r="I111" s="9" t="s">
        <v>407</v>
      </c>
      <c r="J111" s="9"/>
      <c r="K111" s="9"/>
      <c r="L111" s="9"/>
      <c r="M111" s="9"/>
      <c r="N111" s="9"/>
      <c r="O111" s="9"/>
      <c r="P111" s="9"/>
      <c r="Q111" s="9"/>
      <c r="R111" s="9"/>
      <c r="S111" s="9" t="s">
        <v>407</v>
      </c>
      <c r="T111" s="9"/>
      <c r="U111" s="9" t="s">
        <v>407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55"/>
      <c r="AN111" s="51"/>
      <c r="AO111" s="73"/>
      <c r="AP111" s="74"/>
    </row>
    <row r="112" spans="1:42" s="11" customFormat="1" x14ac:dyDescent="0.2">
      <c r="A112" s="9">
        <v>30</v>
      </c>
      <c r="B112" s="9"/>
      <c r="C112" s="9"/>
      <c r="D112" s="9" t="s">
        <v>128</v>
      </c>
      <c r="E112" s="49" t="s">
        <v>78</v>
      </c>
      <c r="F112" s="49"/>
      <c r="G112" s="50" t="s">
        <v>905</v>
      </c>
      <c r="H112" s="50" t="s">
        <v>517</v>
      </c>
      <c r="I112" s="9" t="s">
        <v>407</v>
      </c>
      <c r="J112" s="9"/>
      <c r="K112" s="9"/>
      <c r="L112" s="9"/>
      <c r="M112" s="9"/>
      <c r="N112" s="9"/>
      <c r="O112" s="9"/>
      <c r="P112" s="9"/>
      <c r="Q112" s="9"/>
      <c r="R112" s="9"/>
      <c r="S112" s="9" t="s">
        <v>407</v>
      </c>
      <c r="T112" s="9"/>
      <c r="U112" s="9" t="s">
        <v>407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55"/>
      <c r="AN112" s="51"/>
      <c r="AO112" s="73"/>
      <c r="AP112" s="74"/>
    </row>
    <row r="113" spans="1:42" s="11" customFormat="1" x14ac:dyDescent="0.2">
      <c r="A113" s="9">
        <v>30</v>
      </c>
      <c r="B113" s="9"/>
      <c r="C113" s="9"/>
      <c r="D113" s="9" t="s">
        <v>201</v>
      </c>
      <c r="E113" s="49" t="s">
        <v>86</v>
      </c>
      <c r="F113" s="49"/>
      <c r="G113" s="50" t="s">
        <v>918</v>
      </c>
      <c r="H113" s="50" t="s">
        <v>531</v>
      </c>
      <c r="I113" s="9" t="s">
        <v>407</v>
      </c>
      <c r="J113" s="9"/>
      <c r="K113" s="9"/>
      <c r="L113" s="9"/>
      <c r="M113" s="9"/>
      <c r="N113" s="9"/>
      <c r="O113" s="9"/>
      <c r="P113" s="9"/>
      <c r="Q113" s="9"/>
      <c r="R113" s="9"/>
      <c r="S113" s="9" t="s">
        <v>407</v>
      </c>
      <c r="T113" s="9"/>
      <c r="U113" s="9" t="s">
        <v>407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55"/>
      <c r="AN113" s="51"/>
      <c r="AO113" s="73"/>
      <c r="AP113" s="74"/>
    </row>
    <row r="114" spans="1:42" s="11" customFormat="1" ht="26" x14ac:dyDescent="0.2">
      <c r="A114" s="9">
        <v>30</v>
      </c>
      <c r="B114" s="9"/>
      <c r="C114" s="9"/>
      <c r="D114" s="9" t="s">
        <v>241</v>
      </c>
      <c r="E114" s="49" t="s">
        <v>243</v>
      </c>
      <c r="F114" s="49"/>
      <c r="G114" s="50" t="s">
        <v>953</v>
      </c>
      <c r="H114" s="50" t="s">
        <v>566</v>
      </c>
      <c r="I114" s="9" t="s">
        <v>407</v>
      </c>
      <c r="J114" s="9"/>
      <c r="K114" s="9"/>
      <c r="L114" s="9"/>
      <c r="M114" s="9"/>
      <c r="N114" s="9"/>
      <c r="O114" s="9"/>
      <c r="P114" s="9"/>
      <c r="Q114" s="9"/>
      <c r="R114" s="9"/>
      <c r="S114" s="9" t="s">
        <v>407</v>
      </c>
      <c r="T114" s="9"/>
      <c r="U114" s="9" t="s">
        <v>407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55"/>
      <c r="AN114" s="51"/>
      <c r="AO114" s="73"/>
      <c r="AP114" s="74"/>
    </row>
    <row r="115" spans="1:42" s="11" customFormat="1" ht="26" x14ac:dyDescent="0.2">
      <c r="A115" s="9">
        <v>30</v>
      </c>
      <c r="B115" s="9"/>
      <c r="C115" s="9"/>
      <c r="D115" s="9" t="s">
        <v>81</v>
      </c>
      <c r="E115" s="49" t="s">
        <v>74</v>
      </c>
      <c r="F115" s="49"/>
      <c r="G115" s="50" t="s">
        <v>998</v>
      </c>
      <c r="H115" s="50" t="s">
        <v>621</v>
      </c>
      <c r="I115" s="9" t="s">
        <v>407</v>
      </c>
      <c r="J115" s="9"/>
      <c r="K115" s="9"/>
      <c r="L115" s="9"/>
      <c r="M115" s="9"/>
      <c r="N115" s="9"/>
      <c r="O115" s="9"/>
      <c r="P115" s="9"/>
      <c r="Q115" s="9"/>
      <c r="R115" s="9"/>
      <c r="S115" s="9" t="s">
        <v>407</v>
      </c>
      <c r="T115" s="9"/>
      <c r="U115" s="9" t="s">
        <v>407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55"/>
      <c r="AN115" s="51"/>
      <c r="AO115" s="73"/>
      <c r="AP115" s="74"/>
    </row>
    <row r="116" spans="1:42" s="11" customFormat="1" x14ac:dyDescent="0.2">
      <c r="A116" s="9">
        <v>30</v>
      </c>
      <c r="B116" s="9"/>
      <c r="C116" s="9"/>
      <c r="D116" s="9" t="s">
        <v>79</v>
      </c>
      <c r="E116" s="49" t="s">
        <v>74</v>
      </c>
      <c r="F116" s="49"/>
      <c r="G116" s="50" t="s">
        <v>920</v>
      </c>
      <c r="H116" s="50" t="s">
        <v>533</v>
      </c>
      <c r="I116" s="9" t="s">
        <v>407</v>
      </c>
      <c r="J116" s="9"/>
      <c r="K116" s="9"/>
      <c r="L116" s="9"/>
      <c r="M116" s="9"/>
      <c r="N116" s="9"/>
      <c r="O116" s="9"/>
      <c r="P116" s="9"/>
      <c r="Q116" s="9"/>
      <c r="R116" s="9"/>
      <c r="S116" s="9" t="s">
        <v>407</v>
      </c>
      <c r="T116" s="9"/>
      <c r="U116" s="9" t="s">
        <v>407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55"/>
      <c r="AN116" s="51"/>
      <c r="AO116" s="73"/>
      <c r="AP116" s="74"/>
    </row>
    <row r="117" spans="1:42" s="11" customFormat="1" x14ac:dyDescent="0.2">
      <c r="A117" s="9">
        <v>30</v>
      </c>
      <c r="B117" s="9"/>
      <c r="C117" s="9"/>
      <c r="D117" s="9" t="s">
        <v>80</v>
      </c>
      <c r="E117" s="49" t="s">
        <v>74</v>
      </c>
      <c r="F117" s="49"/>
      <c r="G117" s="50" t="s">
        <v>921</v>
      </c>
      <c r="H117" s="50" t="s">
        <v>534</v>
      </c>
      <c r="I117" s="9" t="s">
        <v>407</v>
      </c>
      <c r="J117" s="9"/>
      <c r="K117" s="9"/>
      <c r="L117" s="9"/>
      <c r="M117" s="9"/>
      <c r="N117" s="9"/>
      <c r="O117" s="9"/>
      <c r="P117" s="9"/>
      <c r="Q117" s="9"/>
      <c r="R117" s="9"/>
      <c r="S117" s="9" t="s">
        <v>407</v>
      </c>
      <c r="T117" s="9"/>
      <c r="U117" s="9" t="s">
        <v>407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55"/>
      <c r="AN117" s="51"/>
      <c r="AO117" s="73"/>
      <c r="AP117" s="74"/>
    </row>
    <row r="118" spans="1:42" s="11" customFormat="1" x14ac:dyDescent="0.2">
      <c r="A118" s="9">
        <v>30</v>
      </c>
      <c r="B118" s="9"/>
      <c r="C118" s="9"/>
      <c r="D118" s="9" t="s">
        <v>245</v>
      </c>
      <c r="E118" s="49" t="s">
        <v>44</v>
      </c>
      <c r="F118" s="49"/>
      <c r="G118" s="50" t="s">
        <v>955</v>
      </c>
      <c r="H118" s="50" t="s">
        <v>568</v>
      </c>
      <c r="I118" s="9" t="s">
        <v>407</v>
      </c>
      <c r="J118" s="9"/>
      <c r="K118" s="9"/>
      <c r="L118" s="9"/>
      <c r="M118" s="9"/>
      <c r="N118" s="9"/>
      <c r="O118" s="9"/>
      <c r="P118" s="9"/>
      <c r="Q118" s="9"/>
      <c r="R118" s="9"/>
      <c r="S118" s="9" t="s">
        <v>407</v>
      </c>
      <c r="T118" s="9"/>
      <c r="U118" s="9" t="s">
        <v>407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55"/>
      <c r="AN118" s="51"/>
      <c r="AO118" s="73"/>
      <c r="AP118" s="74"/>
    </row>
    <row r="119" spans="1:42" s="11" customFormat="1" x14ac:dyDescent="0.2">
      <c r="A119" s="9">
        <v>30</v>
      </c>
      <c r="B119" s="9"/>
      <c r="C119" s="9"/>
      <c r="D119" s="9" t="s">
        <v>246</v>
      </c>
      <c r="E119" s="49" t="s">
        <v>257</v>
      </c>
      <c r="F119" s="49"/>
      <c r="G119" s="50" t="s">
        <v>956</v>
      </c>
      <c r="H119" s="50" t="s">
        <v>569</v>
      </c>
      <c r="I119" s="9" t="s">
        <v>407</v>
      </c>
      <c r="J119" s="9"/>
      <c r="K119" s="9"/>
      <c r="L119" s="9"/>
      <c r="M119" s="9"/>
      <c r="N119" s="9"/>
      <c r="O119" s="9"/>
      <c r="P119" s="9"/>
      <c r="Q119" s="9"/>
      <c r="R119" s="9"/>
      <c r="S119" s="9" t="s">
        <v>407</v>
      </c>
      <c r="T119" s="9"/>
      <c r="U119" s="9" t="s">
        <v>407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55"/>
      <c r="AN119" s="51"/>
      <c r="AO119" s="73"/>
      <c r="AP119" s="74"/>
    </row>
    <row r="120" spans="1:42" s="11" customFormat="1" ht="26" x14ac:dyDescent="0.2">
      <c r="A120" s="9">
        <v>30</v>
      </c>
      <c r="B120" s="9"/>
      <c r="C120" s="9"/>
      <c r="D120" s="9" t="s">
        <v>292</v>
      </c>
      <c r="E120" s="49" t="s">
        <v>44</v>
      </c>
      <c r="F120" s="49"/>
      <c r="G120" s="50" t="s">
        <v>958</v>
      </c>
      <c r="H120" s="50" t="s">
        <v>571</v>
      </c>
      <c r="I120" s="9" t="s">
        <v>407</v>
      </c>
      <c r="J120" s="9"/>
      <c r="K120" s="9"/>
      <c r="L120" s="9"/>
      <c r="M120" s="9"/>
      <c r="N120" s="9"/>
      <c r="O120" s="9"/>
      <c r="P120" s="9"/>
      <c r="Q120" s="9"/>
      <c r="R120" s="9"/>
      <c r="S120" s="9" t="s">
        <v>407</v>
      </c>
      <c r="T120" s="9"/>
      <c r="U120" s="9" t="s">
        <v>407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55"/>
      <c r="AN120" s="51"/>
      <c r="AO120" s="73"/>
      <c r="AP120" s="74"/>
    </row>
    <row r="121" spans="1:42" s="11" customFormat="1" ht="26" x14ac:dyDescent="0.2">
      <c r="A121" s="9">
        <v>30</v>
      </c>
      <c r="B121" s="9"/>
      <c r="C121" s="9"/>
      <c r="D121" s="9" t="s">
        <v>293</v>
      </c>
      <c r="E121" s="49" t="s">
        <v>44</v>
      </c>
      <c r="F121" s="49"/>
      <c r="G121" s="50" t="s">
        <v>959</v>
      </c>
      <c r="H121" s="50" t="s">
        <v>572</v>
      </c>
      <c r="I121" s="9" t="s">
        <v>407</v>
      </c>
      <c r="J121" s="9"/>
      <c r="K121" s="9"/>
      <c r="L121" s="9"/>
      <c r="M121" s="9"/>
      <c r="N121" s="9"/>
      <c r="O121" s="9"/>
      <c r="P121" s="9"/>
      <c r="Q121" s="9"/>
      <c r="R121" s="9"/>
      <c r="S121" s="9" t="s">
        <v>407</v>
      </c>
      <c r="T121" s="9"/>
      <c r="U121" s="9" t="s">
        <v>407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55"/>
      <c r="AN121" s="51"/>
      <c r="AO121" s="73"/>
      <c r="AP121" s="74"/>
    </row>
    <row r="122" spans="1:42" s="11" customFormat="1" x14ac:dyDescent="0.2">
      <c r="A122" s="9">
        <v>30</v>
      </c>
      <c r="B122" s="9"/>
      <c r="C122" s="9"/>
      <c r="D122" s="9" t="s">
        <v>248</v>
      </c>
      <c r="E122" s="49" t="s">
        <v>44</v>
      </c>
      <c r="F122" s="49"/>
      <c r="G122" s="50" t="s">
        <v>960</v>
      </c>
      <c r="H122" s="50" t="s">
        <v>573</v>
      </c>
      <c r="I122" s="9" t="s">
        <v>407</v>
      </c>
      <c r="J122" s="9"/>
      <c r="K122" s="9"/>
      <c r="L122" s="9"/>
      <c r="M122" s="9"/>
      <c r="N122" s="9"/>
      <c r="O122" s="9"/>
      <c r="P122" s="9"/>
      <c r="Q122" s="9"/>
      <c r="R122" s="9"/>
      <c r="S122" s="9" t="s">
        <v>407</v>
      </c>
      <c r="T122" s="9"/>
      <c r="U122" s="9" t="s">
        <v>407</v>
      </c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55"/>
      <c r="AN122" s="51"/>
      <c r="AO122" s="73"/>
      <c r="AP122" s="74"/>
    </row>
    <row r="123" spans="1:42" s="11" customFormat="1" x14ac:dyDescent="0.2">
      <c r="A123" s="9">
        <v>30</v>
      </c>
      <c r="B123" s="9"/>
      <c r="C123" s="9"/>
      <c r="D123" s="9" t="s">
        <v>249</v>
      </c>
      <c r="E123" s="49" t="s">
        <v>262</v>
      </c>
      <c r="F123" s="49"/>
      <c r="G123" s="50" t="s">
        <v>961</v>
      </c>
      <c r="H123" s="50" t="s">
        <v>574</v>
      </c>
      <c r="I123" s="9" t="s">
        <v>407</v>
      </c>
      <c r="J123" s="9"/>
      <c r="K123" s="9"/>
      <c r="L123" s="9"/>
      <c r="M123" s="9"/>
      <c r="N123" s="9"/>
      <c r="O123" s="9"/>
      <c r="P123" s="9"/>
      <c r="Q123" s="9"/>
      <c r="R123" s="9"/>
      <c r="S123" s="9" t="s">
        <v>407</v>
      </c>
      <c r="T123" s="9"/>
      <c r="U123" s="9" t="s">
        <v>407</v>
      </c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55"/>
      <c r="AN123" s="51"/>
      <c r="AO123" s="73"/>
      <c r="AP123" s="74"/>
    </row>
    <row r="124" spans="1:42" s="11" customFormat="1" x14ac:dyDescent="0.2">
      <c r="A124" s="9">
        <v>30</v>
      </c>
      <c r="B124" s="9"/>
      <c r="C124" s="9"/>
      <c r="D124" s="9" t="s">
        <v>250</v>
      </c>
      <c r="E124" s="49" t="s">
        <v>259</v>
      </c>
      <c r="F124" s="49"/>
      <c r="G124" s="50" t="s">
        <v>963</v>
      </c>
      <c r="H124" s="50" t="s">
        <v>577</v>
      </c>
      <c r="I124" s="9" t="s">
        <v>407</v>
      </c>
      <c r="J124" s="9"/>
      <c r="K124" s="9"/>
      <c r="L124" s="9"/>
      <c r="M124" s="9"/>
      <c r="N124" s="9"/>
      <c r="O124" s="9"/>
      <c r="P124" s="9"/>
      <c r="Q124" s="9"/>
      <c r="R124" s="9"/>
      <c r="S124" s="9" t="s">
        <v>407</v>
      </c>
      <c r="T124" s="9"/>
      <c r="U124" s="9" t="s">
        <v>407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55"/>
      <c r="AN124" s="51"/>
      <c r="AO124" s="73"/>
      <c r="AP124" s="74"/>
    </row>
    <row r="125" spans="1:42" s="11" customFormat="1" x14ac:dyDescent="0.2">
      <c r="A125" s="9">
        <v>30</v>
      </c>
      <c r="B125" s="9"/>
      <c r="C125" s="9"/>
      <c r="D125" s="9" t="s">
        <v>251</v>
      </c>
      <c r="E125" s="49" t="s">
        <v>260</v>
      </c>
      <c r="F125" s="49"/>
      <c r="G125" s="50" t="s">
        <v>964</v>
      </c>
      <c r="H125" s="50" t="s">
        <v>578</v>
      </c>
      <c r="I125" s="9" t="s">
        <v>407</v>
      </c>
      <c r="J125" s="9"/>
      <c r="K125" s="9"/>
      <c r="L125" s="9"/>
      <c r="M125" s="9"/>
      <c r="N125" s="9"/>
      <c r="O125" s="9"/>
      <c r="P125" s="9"/>
      <c r="Q125" s="9"/>
      <c r="R125" s="9"/>
      <c r="S125" s="9" t="s">
        <v>407</v>
      </c>
      <c r="T125" s="9"/>
      <c r="U125" s="9" t="s">
        <v>407</v>
      </c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55"/>
      <c r="AN125" s="51"/>
      <c r="AO125" s="73"/>
      <c r="AP125" s="74"/>
    </row>
    <row r="126" spans="1:42" s="11" customFormat="1" ht="26" x14ac:dyDescent="0.2">
      <c r="A126" s="9">
        <v>30</v>
      </c>
      <c r="B126" s="9"/>
      <c r="C126" s="9"/>
      <c r="D126" s="9" t="s">
        <v>252</v>
      </c>
      <c r="E126" s="49" t="s">
        <v>259</v>
      </c>
      <c r="F126" s="49"/>
      <c r="G126" s="50" t="s">
        <v>965</v>
      </c>
      <c r="H126" s="50" t="s">
        <v>579</v>
      </c>
      <c r="I126" s="9" t="s">
        <v>407</v>
      </c>
      <c r="J126" s="9"/>
      <c r="K126" s="9"/>
      <c r="L126" s="9"/>
      <c r="M126" s="9"/>
      <c r="N126" s="9"/>
      <c r="O126" s="9"/>
      <c r="P126" s="9"/>
      <c r="Q126" s="9"/>
      <c r="R126" s="9"/>
      <c r="S126" s="9" t="s">
        <v>407</v>
      </c>
      <c r="T126" s="9"/>
      <c r="U126" s="9" t="s">
        <v>407</v>
      </c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55"/>
      <c r="AN126" s="51"/>
      <c r="AO126" s="73"/>
      <c r="AP126" s="74"/>
    </row>
    <row r="127" spans="1:42" s="11" customFormat="1" x14ac:dyDescent="0.2">
      <c r="A127" s="9">
        <v>30</v>
      </c>
      <c r="B127" s="9"/>
      <c r="C127" s="9"/>
      <c r="D127" s="9" t="s">
        <v>253</v>
      </c>
      <c r="E127" s="49" t="s">
        <v>263</v>
      </c>
      <c r="F127" s="49"/>
      <c r="G127" s="50" t="s">
        <v>966</v>
      </c>
      <c r="H127" s="50" t="s">
        <v>580</v>
      </c>
      <c r="I127" s="9" t="s">
        <v>407</v>
      </c>
      <c r="J127" s="9"/>
      <c r="K127" s="9"/>
      <c r="L127" s="9"/>
      <c r="M127" s="9"/>
      <c r="N127" s="9"/>
      <c r="O127" s="9"/>
      <c r="P127" s="9"/>
      <c r="Q127" s="9"/>
      <c r="R127" s="9"/>
      <c r="S127" s="9" t="s">
        <v>407</v>
      </c>
      <c r="T127" s="9"/>
      <c r="U127" s="9" t="s">
        <v>407</v>
      </c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55"/>
      <c r="AN127" s="51"/>
      <c r="AO127" s="73"/>
      <c r="AP127" s="74"/>
    </row>
    <row r="128" spans="1:42" s="11" customFormat="1" ht="26" x14ac:dyDescent="0.2">
      <c r="A128" s="9">
        <v>30</v>
      </c>
      <c r="B128" s="9"/>
      <c r="C128" s="9"/>
      <c r="D128" s="9" t="s">
        <v>254</v>
      </c>
      <c r="E128" s="49" t="s">
        <v>264</v>
      </c>
      <c r="F128" s="49"/>
      <c r="G128" s="50" t="s">
        <v>968</v>
      </c>
      <c r="H128" s="50" t="s">
        <v>583</v>
      </c>
      <c r="I128" s="9" t="s">
        <v>407</v>
      </c>
      <c r="J128" s="9"/>
      <c r="K128" s="9"/>
      <c r="L128" s="9"/>
      <c r="M128" s="9"/>
      <c r="N128" s="9"/>
      <c r="O128" s="9"/>
      <c r="P128" s="9"/>
      <c r="Q128" s="9"/>
      <c r="R128" s="9"/>
      <c r="S128" s="9" t="s">
        <v>407</v>
      </c>
      <c r="T128" s="9"/>
      <c r="U128" s="9" t="s">
        <v>407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55"/>
      <c r="AN128" s="51"/>
      <c r="AO128" s="73"/>
      <c r="AP128" s="74"/>
    </row>
    <row r="129" spans="1:42" s="11" customFormat="1" x14ac:dyDescent="0.2">
      <c r="A129" s="9">
        <v>30</v>
      </c>
      <c r="B129" s="9"/>
      <c r="C129" s="9"/>
      <c r="D129" s="9" t="s">
        <v>318</v>
      </c>
      <c r="E129" s="49" t="s">
        <v>319</v>
      </c>
      <c r="F129" s="49"/>
      <c r="G129" s="50" t="s">
        <v>970</v>
      </c>
      <c r="H129" s="50" t="s">
        <v>585</v>
      </c>
      <c r="I129" s="9" t="s">
        <v>407</v>
      </c>
      <c r="J129" s="9"/>
      <c r="K129" s="9"/>
      <c r="L129" s="9"/>
      <c r="M129" s="9"/>
      <c r="N129" s="9"/>
      <c r="O129" s="9"/>
      <c r="P129" s="9"/>
      <c r="Q129" s="9"/>
      <c r="R129" s="9"/>
      <c r="S129" s="9" t="s">
        <v>407</v>
      </c>
      <c r="T129" s="9"/>
      <c r="U129" s="9" t="s">
        <v>407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55"/>
      <c r="AN129" s="51"/>
      <c r="AO129" s="73"/>
      <c r="AP129" s="74"/>
    </row>
    <row r="130" spans="1:42" s="11" customFormat="1" x14ac:dyDescent="0.2">
      <c r="A130" s="9">
        <v>30</v>
      </c>
      <c r="B130" s="9"/>
      <c r="C130" s="9"/>
      <c r="D130" s="9" t="s">
        <v>255</v>
      </c>
      <c r="E130" s="49" t="s">
        <v>261</v>
      </c>
      <c r="F130" s="49"/>
      <c r="G130" s="50" t="s">
        <v>972</v>
      </c>
      <c r="H130" s="50" t="s">
        <v>588</v>
      </c>
      <c r="I130" s="9" t="s">
        <v>407</v>
      </c>
      <c r="J130" s="9"/>
      <c r="K130" s="9"/>
      <c r="L130" s="9"/>
      <c r="M130" s="9"/>
      <c r="N130" s="9"/>
      <c r="O130" s="9"/>
      <c r="P130" s="9"/>
      <c r="Q130" s="9"/>
      <c r="R130" s="9"/>
      <c r="S130" s="9" t="s">
        <v>407</v>
      </c>
      <c r="T130" s="9"/>
      <c r="U130" s="9" t="s">
        <v>407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55"/>
      <c r="AN130" s="51"/>
      <c r="AO130" s="73"/>
      <c r="AP130" s="74"/>
    </row>
    <row r="131" spans="1:42" s="11" customFormat="1" ht="26" x14ac:dyDescent="0.2">
      <c r="A131" s="9">
        <v>30</v>
      </c>
      <c r="B131" s="9"/>
      <c r="C131" s="9"/>
      <c r="D131" s="9" t="s">
        <v>389</v>
      </c>
      <c r="E131" s="49" t="s">
        <v>44</v>
      </c>
      <c r="F131" s="49"/>
      <c r="G131" s="50" t="s">
        <v>973</v>
      </c>
      <c r="H131" s="50" t="s">
        <v>589</v>
      </c>
      <c r="I131" s="9" t="s">
        <v>407</v>
      </c>
      <c r="J131" s="9"/>
      <c r="K131" s="9"/>
      <c r="L131" s="9"/>
      <c r="M131" s="9"/>
      <c r="N131" s="9"/>
      <c r="O131" s="9"/>
      <c r="P131" s="9"/>
      <c r="Q131" s="9"/>
      <c r="R131" s="9"/>
      <c r="S131" s="9" t="s">
        <v>407</v>
      </c>
      <c r="T131" s="9"/>
      <c r="U131" s="9" t="s">
        <v>407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55"/>
      <c r="AN131" s="51"/>
      <c r="AO131" s="73"/>
      <c r="AP131" s="74"/>
    </row>
    <row r="132" spans="1:42" s="11" customFormat="1" x14ac:dyDescent="0.2">
      <c r="A132" s="9">
        <v>30</v>
      </c>
      <c r="B132" s="9"/>
      <c r="C132" s="9"/>
      <c r="D132" s="9" t="s">
        <v>256</v>
      </c>
      <c r="E132" s="49" t="s">
        <v>44</v>
      </c>
      <c r="F132" s="49"/>
      <c r="G132" s="50" t="s">
        <v>974</v>
      </c>
      <c r="H132" s="50" t="s">
        <v>590</v>
      </c>
      <c r="I132" s="9" t="s">
        <v>407</v>
      </c>
      <c r="J132" s="9"/>
      <c r="K132" s="9"/>
      <c r="L132" s="9"/>
      <c r="M132" s="9"/>
      <c r="N132" s="9"/>
      <c r="O132" s="9"/>
      <c r="P132" s="9"/>
      <c r="Q132" s="9"/>
      <c r="R132" s="9"/>
      <c r="S132" s="9" t="s">
        <v>407</v>
      </c>
      <c r="T132" s="9"/>
      <c r="U132" s="9" t="s">
        <v>407</v>
      </c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55"/>
      <c r="AN132" s="51"/>
      <c r="AO132" s="73"/>
      <c r="AP132" s="74"/>
    </row>
    <row r="133" spans="1:42" s="11" customFormat="1" x14ac:dyDescent="0.2">
      <c r="A133" s="9">
        <v>30</v>
      </c>
      <c r="B133" s="9"/>
      <c r="C133" s="9"/>
      <c r="D133" s="9" t="s">
        <v>38</v>
      </c>
      <c r="E133" s="49" t="s">
        <v>39</v>
      </c>
      <c r="F133" s="49"/>
      <c r="G133" s="50" t="s">
        <v>949</v>
      </c>
      <c r="H133" s="50" t="s">
        <v>562</v>
      </c>
      <c r="I133" s="9" t="s">
        <v>407</v>
      </c>
      <c r="J133" s="9"/>
      <c r="K133" s="9"/>
      <c r="L133" s="9"/>
      <c r="M133" s="9"/>
      <c r="N133" s="9"/>
      <c r="O133" s="9"/>
      <c r="P133" s="9"/>
      <c r="Q133" s="9"/>
      <c r="R133" s="9"/>
      <c r="S133" s="9" t="s">
        <v>407</v>
      </c>
      <c r="T133" s="9"/>
      <c r="U133" s="9" t="s">
        <v>407</v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55"/>
      <c r="AN133" s="51"/>
      <c r="AO133" s="149"/>
      <c r="AP133" s="150"/>
    </row>
    <row r="134" spans="1:42" s="11" customFormat="1" x14ac:dyDescent="0.2">
      <c r="A134" s="9">
        <v>30</v>
      </c>
      <c r="B134" s="9"/>
      <c r="C134" s="9"/>
      <c r="D134" s="9" t="s">
        <v>42</v>
      </c>
      <c r="E134" s="49" t="s">
        <v>43</v>
      </c>
      <c r="F134" s="49"/>
      <c r="G134" s="50" t="s">
        <v>950</v>
      </c>
      <c r="H134" s="50" t="s">
        <v>563</v>
      </c>
      <c r="I134" s="9" t="s">
        <v>407</v>
      </c>
      <c r="J134" s="9"/>
      <c r="K134" s="9"/>
      <c r="L134" s="9"/>
      <c r="M134" s="9"/>
      <c r="N134" s="9"/>
      <c r="O134" s="9"/>
      <c r="P134" s="9"/>
      <c r="Q134" s="9"/>
      <c r="R134" s="9"/>
      <c r="S134" s="9" t="s">
        <v>407</v>
      </c>
      <c r="T134" s="9"/>
      <c r="U134" s="9" t="s">
        <v>407</v>
      </c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55"/>
      <c r="AN134" s="51"/>
      <c r="AO134" s="149"/>
      <c r="AP134" s="150"/>
    </row>
    <row r="135" spans="1:42" s="11" customFormat="1" x14ac:dyDescent="0.2">
      <c r="A135" s="9">
        <v>30</v>
      </c>
      <c r="B135" s="9"/>
      <c r="C135" s="9"/>
      <c r="D135" s="9" t="s">
        <v>40</v>
      </c>
      <c r="E135" s="49" t="s">
        <v>41</v>
      </c>
      <c r="F135" s="49"/>
      <c r="G135" s="50" t="s">
        <v>951</v>
      </c>
      <c r="H135" s="50" t="s">
        <v>564</v>
      </c>
      <c r="I135" s="9" t="s">
        <v>407</v>
      </c>
      <c r="J135" s="9"/>
      <c r="K135" s="9"/>
      <c r="L135" s="9"/>
      <c r="M135" s="9"/>
      <c r="N135" s="9"/>
      <c r="O135" s="9"/>
      <c r="P135" s="9"/>
      <c r="Q135" s="9"/>
      <c r="R135" s="9"/>
      <c r="S135" s="9" t="s">
        <v>407</v>
      </c>
      <c r="T135" s="9"/>
      <c r="U135" s="9" t="s">
        <v>407</v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55"/>
      <c r="AN135" s="51"/>
      <c r="AO135" s="149"/>
      <c r="AP135" s="150"/>
    </row>
    <row r="136" spans="1:42" s="11" customFormat="1" x14ac:dyDescent="0.2">
      <c r="A136" s="9">
        <v>30</v>
      </c>
      <c r="B136" s="9"/>
      <c r="C136" s="9"/>
      <c r="D136" s="9" t="s">
        <v>56</v>
      </c>
      <c r="E136" s="49" t="s">
        <v>44</v>
      </c>
      <c r="F136" s="49"/>
      <c r="G136" s="50" t="s">
        <v>898</v>
      </c>
      <c r="H136" s="50" t="s">
        <v>510</v>
      </c>
      <c r="I136" s="9" t="s">
        <v>407</v>
      </c>
      <c r="J136" s="9"/>
      <c r="K136" s="9"/>
      <c r="L136" s="9"/>
      <c r="M136" s="9"/>
      <c r="N136" s="9"/>
      <c r="O136" s="9"/>
      <c r="P136" s="9"/>
      <c r="Q136" s="9"/>
      <c r="R136" s="9"/>
      <c r="S136" s="9" t="s">
        <v>407</v>
      </c>
      <c r="T136" s="9"/>
      <c r="U136" s="9" t="s">
        <v>407</v>
      </c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55"/>
      <c r="AN136" s="51"/>
      <c r="AO136" s="73"/>
      <c r="AP136" s="74"/>
    </row>
    <row r="137" spans="1:42" s="11" customFormat="1" x14ac:dyDescent="0.2">
      <c r="A137" s="9">
        <v>30</v>
      </c>
      <c r="B137" s="9"/>
      <c r="C137" s="9"/>
      <c r="D137" s="9" t="s">
        <v>57</v>
      </c>
      <c r="E137" s="49" t="s">
        <v>58</v>
      </c>
      <c r="F137" s="49"/>
      <c r="G137" s="50" t="s">
        <v>849</v>
      </c>
      <c r="H137" s="50" t="s">
        <v>450</v>
      </c>
      <c r="I137" s="9" t="s">
        <v>407</v>
      </c>
      <c r="J137" s="9"/>
      <c r="K137" s="9"/>
      <c r="L137" s="9"/>
      <c r="M137" s="9"/>
      <c r="N137" s="9"/>
      <c r="O137" s="9"/>
      <c r="P137" s="9"/>
      <c r="Q137" s="9"/>
      <c r="R137" s="9"/>
      <c r="S137" s="9" t="s">
        <v>407</v>
      </c>
      <c r="T137" s="9"/>
      <c r="U137" s="9" t="s">
        <v>407</v>
      </c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55"/>
      <c r="AN137" s="51"/>
      <c r="AO137" s="149"/>
      <c r="AP137" s="150"/>
    </row>
    <row r="138" spans="1:42" s="11" customFormat="1" x14ac:dyDescent="0.2">
      <c r="A138" s="9">
        <v>30</v>
      </c>
      <c r="B138" s="9"/>
      <c r="C138" s="9"/>
      <c r="D138" s="9" t="s">
        <v>644</v>
      </c>
      <c r="E138" s="49" t="s">
        <v>645</v>
      </c>
      <c r="F138" s="49"/>
      <c r="G138" s="50" t="s">
        <v>999</v>
      </c>
      <c r="H138" s="50" t="s">
        <v>622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 t="s">
        <v>407</v>
      </c>
      <c r="T138" s="9"/>
      <c r="U138" s="9" t="s">
        <v>407</v>
      </c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55"/>
      <c r="AN138" s="51"/>
      <c r="AO138" s="73"/>
      <c r="AP138" s="74"/>
    </row>
    <row r="139" spans="1:42" s="11" customFormat="1" ht="39" x14ac:dyDescent="0.2">
      <c r="A139" s="9">
        <v>30</v>
      </c>
      <c r="B139" s="9"/>
      <c r="C139" s="9"/>
      <c r="D139" s="9" t="s">
        <v>361</v>
      </c>
      <c r="E139" s="49" t="s">
        <v>243</v>
      </c>
      <c r="F139" s="49"/>
      <c r="G139" s="50" t="s">
        <v>1002</v>
      </c>
      <c r="H139" s="50" t="s">
        <v>628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 t="s">
        <v>407</v>
      </c>
      <c r="T139" s="9"/>
      <c r="U139" s="9" t="s">
        <v>407</v>
      </c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55"/>
      <c r="AN139" s="51"/>
      <c r="AO139" s="73"/>
      <c r="AP139" s="74"/>
    </row>
    <row r="140" spans="1:42" s="11" customFormat="1" x14ac:dyDescent="0.2">
      <c r="A140" s="80"/>
      <c r="AP140" s="54"/>
    </row>
    <row r="141" spans="1:42" s="11" customFormat="1" x14ac:dyDescent="0.2">
      <c r="A141" s="9">
        <v>40</v>
      </c>
      <c r="B141" s="37" t="s">
        <v>0</v>
      </c>
      <c r="C141" s="38"/>
      <c r="D141" s="28" t="s">
        <v>131</v>
      </c>
      <c r="E141" s="34" t="s">
        <v>50</v>
      </c>
      <c r="F141" s="72"/>
      <c r="G141" s="28" t="s">
        <v>61</v>
      </c>
      <c r="H141" s="66" t="s">
        <v>629</v>
      </c>
      <c r="I141" s="59"/>
      <c r="J141" s="5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 t="s">
        <v>630</v>
      </c>
      <c r="X141" s="48"/>
      <c r="Y141" s="48" t="s">
        <v>631</v>
      </c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35"/>
      <c r="AN141" s="36"/>
      <c r="AO141" s="73"/>
      <c r="AP141" s="75"/>
    </row>
    <row r="142" spans="1:42" s="11" customFormat="1" x14ac:dyDescent="0.2">
      <c r="A142" s="9">
        <v>40</v>
      </c>
      <c r="B142" s="9"/>
      <c r="C142" s="9"/>
      <c r="D142" s="9" t="s">
        <v>198</v>
      </c>
      <c r="E142" s="49" t="s">
        <v>86</v>
      </c>
      <c r="F142" s="49"/>
      <c r="G142" s="50" t="s">
        <v>899</v>
      </c>
      <c r="H142" s="50" t="s">
        <v>511</v>
      </c>
      <c r="I142" s="9" t="s">
        <v>407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 t="s">
        <v>407</v>
      </c>
      <c r="X142" s="9"/>
      <c r="Y142" s="9" t="s">
        <v>407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55"/>
      <c r="AN142" s="51"/>
      <c r="AO142" s="149"/>
      <c r="AP142" s="150"/>
    </row>
    <row r="143" spans="1:42" s="11" customFormat="1" x14ac:dyDescent="0.2">
      <c r="A143" s="9">
        <v>40</v>
      </c>
      <c r="B143" s="9"/>
      <c r="C143" s="9"/>
      <c r="D143" s="9" t="s">
        <v>125</v>
      </c>
      <c r="E143" s="49" t="s">
        <v>75</v>
      </c>
      <c r="F143" s="49"/>
      <c r="G143" s="50" t="s">
        <v>902</v>
      </c>
      <c r="H143" s="50" t="s">
        <v>514</v>
      </c>
      <c r="I143" s="9" t="s">
        <v>407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 t="s">
        <v>407</v>
      </c>
      <c r="X143" s="9"/>
      <c r="Y143" s="9" t="s">
        <v>407</v>
      </c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55"/>
      <c r="AN143" s="51"/>
      <c r="AO143" s="149"/>
      <c r="AP143" s="150"/>
    </row>
    <row r="144" spans="1:42" s="11" customFormat="1" x14ac:dyDescent="0.2">
      <c r="A144" s="9">
        <v>40</v>
      </c>
      <c r="B144" s="9"/>
      <c r="C144" s="9"/>
      <c r="D144" s="9" t="s">
        <v>126</v>
      </c>
      <c r="E144" s="49" t="s">
        <v>76</v>
      </c>
      <c r="F144" s="49"/>
      <c r="G144" s="50" t="s">
        <v>903</v>
      </c>
      <c r="H144" s="50" t="s">
        <v>515</v>
      </c>
      <c r="I144" s="9" t="s">
        <v>407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 t="s">
        <v>407</v>
      </c>
      <c r="X144" s="9"/>
      <c r="Y144" s="9" t="s">
        <v>407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55"/>
      <c r="AN144" s="51"/>
      <c r="AO144" s="73"/>
      <c r="AP144" s="74"/>
    </row>
    <row r="145" spans="1:42" s="11" customFormat="1" x14ac:dyDescent="0.2">
      <c r="A145" s="9">
        <v>40</v>
      </c>
      <c r="B145" s="9"/>
      <c r="C145" s="9"/>
      <c r="D145" s="9" t="s">
        <v>127</v>
      </c>
      <c r="E145" s="49" t="s">
        <v>77</v>
      </c>
      <c r="F145" s="49"/>
      <c r="G145" s="50" t="s">
        <v>904</v>
      </c>
      <c r="H145" s="50" t="s">
        <v>516</v>
      </c>
      <c r="I145" s="9" t="s">
        <v>407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 t="s">
        <v>407</v>
      </c>
      <c r="X145" s="9"/>
      <c r="Y145" s="9" t="s">
        <v>407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55"/>
      <c r="AN145" s="51"/>
      <c r="AO145" s="73"/>
      <c r="AP145" s="74"/>
    </row>
    <row r="146" spans="1:42" s="11" customFormat="1" x14ac:dyDescent="0.2">
      <c r="A146" s="9">
        <v>40</v>
      </c>
      <c r="B146" s="9"/>
      <c r="C146" s="9"/>
      <c r="D146" s="9" t="s">
        <v>128</v>
      </c>
      <c r="E146" s="49" t="s">
        <v>78</v>
      </c>
      <c r="F146" s="49"/>
      <c r="G146" s="50" t="s">
        <v>905</v>
      </c>
      <c r="H146" s="50" t="s">
        <v>517</v>
      </c>
      <c r="I146" s="9" t="s">
        <v>407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 t="s">
        <v>407</v>
      </c>
      <c r="X146" s="9"/>
      <c r="Y146" s="9" t="s">
        <v>407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55"/>
      <c r="AN146" s="51"/>
      <c r="AO146" s="73"/>
      <c r="AP146" s="74"/>
    </row>
    <row r="147" spans="1:42" s="11" customFormat="1" x14ac:dyDescent="0.2">
      <c r="A147" s="9">
        <v>40</v>
      </c>
      <c r="B147" s="9"/>
      <c r="C147" s="9"/>
      <c r="D147" s="9" t="s">
        <v>265</v>
      </c>
      <c r="E147" s="49" t="s">
        <v>267</v>
      </c>
      <c r="F147" s="49"/>
      <c r="G147" s="50" t="s">
        <v>975</v>
      </c>
      <c r="H147" s="50" t="s">
        <v>591</v>
      </c>
      <c r="I147" s="9" t="s">
        <v>407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 t="s">
        <v>407</v>
      </c>
      <c r="X147" s="9"/>
      <c r="Y147" s="9" t="s">
        <v>407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55"/>
      <c r="AN147" s="51"/>
      <c r="AO147" s="73"/>
      <c r="AP147" s="74"/>
    </row>
    <row r="148" spans="1:42" s="11" customFormat="1" ht="26" x14ac:dyDescent="0.2">
      <c r="A148" s="9">
        <v>40</v>
      </c>
      <c r="B148" s="9"/>
      <c r="C148" s="9"/>
      <c r="D148" s="9" t="s">
        <v>81</v>
      </c>
      <c r="E148" s="49" t="s">
        <v>74</v>
      </c>
      <c r="F148" s="49"/>
      <c r="G148" s="50" t="s">
        <v>998</v>
      </c>
      <c r="H148" s="50" t="s">
        <v>621</v>
      </c>
      <c r="I148" s="9" t="s">
        <v>407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 t="s">
        <v>407</v>
      </c>
      <c r="X148" s="9"/>
      <c r="Y148" s="9" t="s">
        <v>407</v>
      </c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55"/>
      <c r="AN148" s="51"/>
      <c r="AO148" s="73"/>
      <c r="AP148" s="74"/>
    </row>
    <row r="149" spans="1:42" s="11" customFormat="1" x14ac:dyDescent="0.2">
      <c r="A149" s="9">
        <v>40</v>
      </c>
      <c r="B149" s="9"/>
      <c r="C149" s="9"/>
      <c r="D149" s="9" t="s">
        <v>79</v>
      </c>
      <c r="E149" s="49" t="s">
        <v>74</v>
      </c>
      <c r="F149" s="49"/>
      <c r="G149" s="50" t="s">
        <v>920</v>
      </c>
      <c r="H149" s="50" t="s">
        <v>533</v>
      </c>
      <c r="I149" s="9" t="s">
        <v>407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 t="s">
        <v>407</v>
      </c>
      <c r="X149" s="9"/>
      <c r="Y149" s="9" t="s">
        <v>407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55"/>
      <c r="AN149" s="51"/>
      <c r="AO149" s="73"/>
      <c r="AP149" s="74"/>
    </row>
    <row r="150" spans="1:42" s="11" customFormat="1" x14ac:dyDescent="0.2">
      <c r="A150" s="9">
        <v>40</v>
      </c>
      <c r="B150" s="9"/>
      <c r="C150" s="9"/>
      <c r="D150" s="9" t="s">
        <v>80</v>
      </c>
      <c r="E150" s="49" t="s">
        <v>74</v>
      </c>
      <c r="F150" s="49"/>
      <c r="G150" s="50" t="s">
        <v>921</v>
      </c>
      <c r="H150" s="50" t="s">
        <v>534</v>
      </c>
      <c r="I150" s="9" t="s">
        <v>407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 t="s">
        <v>407</v>
      </c>
      <c r="X150" s="9"/>
      <c r="Y150" s="9" t="s">
        <v>407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55"/>
      <c r="AN150" s="51"/>
      <c r="AO150" s="73"/>
      <c r="AP150" s="74"/>
    </row>
    <row r="151" spans="1:42" s="11" customFormat="1" x14ac:dyDescent="0.2">
      <c r="A151" s="9">
        <v>40</v>
      </c>
      <c r="B151" s="9"/>
      <c r="C151" s="9"/>
      <c r="D151" s="9" t="s">
        <v>218</v>
      </c>
      <c r="E151" s="49" t="s">
        <v>205</v>
      </c>
      <c r="F151" s="49"/>
      <c r="G151" s="50" t="s">
        <v>924</v>
      </c>
      <c r="H151" s="50" t="s">
        <v>538</v>
      </c>
      <c r="I151" s="9" t="s">
        <v>407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 t="s">
        <v>407</v>
      </c>
      <c r="X151" s="9"/>
      <c r="Y151" s="9" t="s">
        <v>407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55"/>
      <c r="AN151" s="51"/>
      <c r="AO151" s="73"/>
      <c r="AP151" s="74"/>
    </row>
    <row r="152" spans="1:42" s="11" customFormat="1" x14ac:dyDescent="0.2">
      <c r="A152" s="9">
        <v>40</v>
      </c>
      <c r="B152" s="9"/>
      <c r="C152" s="9"/>
      <c r="D152" s="9" t="s">
        <v>219</v>
      </c>
      <c r="E152" s="49" t="s">
        <v>206</v>
      </c>
      <c r="F152" s="49"/>
      <c r="G152" s="50" t="s">
        <v>925</v>
      </c>
      <c r="H152" s="50" t="s">
        <v>690</v>
      </c>
      <c r="I152" s="9" t="s">
        <v>407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 t="s">
        <v>407</v>
      </c>
      <c r="X152" s="9"/>
      <c r="Y152" s="9" t="s">
        <v>407</v>
      </c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55"/>
      <c r="AN152" s="51"/>
      <c r="AO152" s="73"/>
      <c r="AP152" s="74"/>
    </row>
    <row r="153" spans="1:42" s="11" customFormat="1" x14ac:dyDescent="0.2">
      <c r="A153" s="9">
        <v>40</v>
      </c>
      <c r="B153" s="9"/>
      <c r="C153" s="9"/>
      <c r="D153" s="9" t="s">
        <v>38</v>
      </c>
      <c r="E153" s="49" t="s">
        <v>39</v>
      </c>
      <c r="F153" s="49"/>
      <c r="G153" s="50" t="s">
        <v>949</v>
      </c>
      <c r="H153" s="50" t="s">
        <v>562</v>
      </c>
      <c r="I153" s="9" t="s">
        <v>407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 t="s">
        <v>407</v>
      </c>
      <c r="X153" s="9"/>
      <c r="Y153" s="9" t="s">
        <v>407</v>
      </c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55"/>
      <c r="AN153" s="51"/>
      <c r="AO153" s="149"/>
      <c r="AP153" s="150"/>
    </row>
    <row r="154" spans="1:42" s="11" customFormat="1" x14ac:dyDescent="0.2">
      <c r="A154" s="9">
        <v>40</v>
      </c>
      <c r="B154" s="9"/>
      <c r="C154" s="9"/>
      <c r="D154" s="9" t="s">
        <v>42</v>
      </c>
      <c r="E154" s="49" t="s">
        <v>43</v>
      </c>
      <c r="F154" s="49"/>
      <c r="G154" s="50" t="s">
        <v>950</v>
      </c>
      <c r="H154" s="50" t="s">
        <v>563</v>
      </c>
      <c r="I154" s="9" t="s">
        <v>407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 t="s">
        <v>407</v>
      </c>
      <c r="X154" s="9"/>
      <c r="Y154" s="9" t="s">
        <v>407</v>
      </c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55"/>
      <c r="AN154" s="51"/>
      <c r="AO154" s="149"/>
      <c r="AP154" s="150"/>
    </row>
    <row r="155" spans="1:42" s="11" customFormat="1" x14ac:dyDescent="0.2">
      <c r="A155" s="9">
        <v>40</v>
      </c>
      <c r="B155" s="9"/>
      <c r="C155" s="9"/>
      <c r="D155" s="9" t="s">
        <v>40</v>
      </c>
      <c r="E155" s="49" t="s">
        <v>41</v>
      </c>
      <c r="F155" s="49"/>
      <c r="G155" s="50" t="s">
        <v>951</v>
      </c>
      <c r="H155" s="50" t="s">
        <v>564</v>
      </c>
      <c r="I155" s="9" t="s">
        <v>407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 t="s">
        <v>407</v>
      </c>
      <c r="X155" s="9"/>
      <c r="Y155" s="9" t="s">
        <v>407</v>
      </c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55"/>
      <c r="AN155" s="51"/>
      <c r="AO155" s="149"/>
      <c r="AP155" s="150"/>
    </row>
    <row r="156" spans="1:42" s="11" customFormat="1" x14ac:dyDescent="0.2">
      <c r="A156" s="9">
        <v>40</v>
      </c>
      <c r="B156" s="9"/>
      <c r="C156" s="9"/>
      <c r="D156" s="9" t="s">
        <v>56</v>
      </c>
      <c r="E156" s="49" t="s">
        <v>44</v>
      </c>
      <c r="F156" s="49"/>
      <c r="G156" s="50" t="s">
        <v>898</v>
      </c>
      <c r="H156" s="50" t="s">
        <v>510</v>
      </c>
      <c r="I156" s="9" t="s">
        <v>407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 t="s">
        <v>407</v>
      </c>
      <c r="X156" s="9"/>
      <c r="Y156" s="9" t="s">
        <v>407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55"/>
      <c r="AN156" s="51"/>
      <c r="AO156" s="73"/>
      <c r="AP156" s="74"/>
    </row>
    <row r="157" spans="1:42" s="11" customFormat="1" x14ac:dyDescent="0.2">
      <c r="A157" s="9">
        <v>40</v>
      </c>
      <c r="B157" s="9"/>
      <c r="C157" s="9"/>
      <c r="D157" s="9" t="s">
        <v>57</v>
      </c>
      <c r="E157" s="49" t="s">
        <v>58</v>
      </c>
      <c r="F157" s="49"/>
      <c r="G157" s="50" t="s">
        <v>849</v>
      </c>
      <c r="H157" s="50" t="s">
        <v>450</v>
      </c>
      <c r="I157" s="9" t="s">
        <v>407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 t="s">
        <v>407</v>
      </c>
      <c r="X157" s="9"/>
      <c r="Y157" s="9" t="s">
        <v>407</v>
      </c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55"/>
      <c r="AN157" s="51"/>
      <c r="AO157" s="149"/>
      <c r="AP157" s="150"/>
    </row>
    <row r="158" spans="1:42" s="11" customFormat="1" x14ac:dyDescent="0.2">
      <c r="A158" s="80"/>
      <c r="AP158" s="54"/>
    </row>
    <row r="159" spans="1:42" s="11" customFormat="1" x14ac:dyDescent="0.2">
      <c r="A159" s="9">
        <v>50</v>
      </c>
      <c r="B159" s="37" t="s">
        <v>0</v>
      </c>
      <c r="C159" s="38"/>
      <c r="D159" s="28" t="s">
        <v>132</v>
      </c>
      <c r="E159" s="34" t="s">
        <v>50</v>
      </c>
      <c r="F159" s="72"/>
      <c r="G159" s="28" t="s">
        <v>61</v>
      </c>
      <c r="H159" s="9" t="s">
        <v>632</v>
      </c>
      <c r="I159" s="59"/>
      <c r="J159" s="5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 t="s">
        <v>633</v>
      </c>
      <c r="AB159" s="48"/>
      <c r="AC159" s="48" t="s">
        <v>634</v>
      </c>
      <c r="AD159" s="48"/>
      <c r="AE159" s="48"/>
      <c r="AF159" s="48"/>
      <c r="AG159" s="48"/>
      <c r="AH159" s="48"/>
      <c r="AI159" s="48"/>
      <c r="AJ159" s="48"/>
      <c r="AK159" s="48"/>
      <c r="AL159" s="48"/>
      <c r="AM159" s="35"/>
      <c r="AN159" s="36"/>
      <c r="AO159" s="73"/>
      <c r="AP159" s="75"/>
    </row>
    <row r="160" spans="1:42" s="11" customFormat="1" x14ac:dyDescent="0.2">
      <c r="A160" s="9">
        <v>50</v>
      </c>
      <c r="B160" s="9"/>
      <c r="C160" s="9"/>
      <c r="D160" s="9" t="s">
        <v>269</v>
      </c>
      <c r="E160" s="49" t="s">
        <v>86</v>
      </c>
      <c r="F160" s="49"/>
      <c r="G160" s="50" t="s">
        <v>802</v>
      </c>
      <c r="H160" s="50" t="s">
        <v>406</v>
      </c>
      <c r="I160" s="9" t="s">
        <v>407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 t="s">
        <v>407</v>
      </c>
      <c r="AB160" s="9"/>
      <c r="AC160" s="9" t="s">
        <v>407</v>
      </c>
      <c r="AD160" s="9"/>
      <c r="AE160" s="9"/>
      <c r="AF160" s="9"/>
      <c r="AG160" s="9"/>
      <c r="AH160" s="9"/>
      <c r="AI160" s="9"/>
      <c r="AJ160" s="9"/>
      <c r="AK160" s="9"/>
      <c r="AL160" s="9"/>
      <c r="AM160" s="55"/>
      <c r="AN160" s="51"/>
      <c r="AO160" s="149"/>
      <c r="AP160" s="150"/>
    </row>
    <row r="161" spans="1:42" s="11" customFormat="1" x14ac:dyDescent="0.2">
      <c r="A161" s="9">
        <v>50</v>
      </c>
      <c r="B161" s="9"/>
      <c r="C161" s="9"/>
      <c r="D161" s="9" t="s">
        <v>137</v>
      </c>
      <c r="E161" s="49" t="s">
        <v>270</v>
      </c>
      <c r="F161" s="49"/>
      <c r="G161" s="50" t="s">
        <v>977</v>
      </c>
      <c r="H161" s="50" t="s">
        <v>593</v>
      </c>
      <c r="I161" s="9" t="s">
        <v>407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 t="s">
        <v>407</v>
      </c>
      <c r="AB161" s="9"/>
      <c r="AC161" s="9" t="s">
        <v>407</v>
      </c>
      <c r="AD161" s="9"/>
      <c r="AE161" s="9"/>
      <c r="AF161" s="9"/>
      <c r="AG161" s="9"/>
      <c r="AH161" s="9"/>
      <c r="AI161" s="9"/>
      <c r="AJ161" s="9"/>
      <c r="AK161" s="9"/>
      <c r="AL161" s="9"/>
      <c r="AM161" s="55"/>
      <c r="AN161" s="51"/>
      <c r="AO161" s="149"/>
      <c r="AP161" s="150"/>
    </row>
    <row r="162" spans="1:42" s="11" customFormat="1" x14ac:dyDescent="0.2">
      <c r="A162" s="9">
        <v>50</v>
      </c>
      <c r="B162" s="9"/>
      <c r="C162" s="9"/>
      <c r="D162" s="9" t="s">
        <v>753</v>
      </c>
      <c r="E162" s="49" t="s">
        <v>45</v>
      </c>
      <c r="F162" s="49"/>
      <c r="G162" s="50" t="s">
        <v>979</v>
      </c>
      <c r="H162" s="50" t="s">
        <v>754</v>
      </c>
      <c r="I162" s="9" t="s">
        <v>407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 t="s">
        <v>407</v>
      </c>
      <c r="AB162" s="9"/>
      <c r="AC162" s="9" t="s">
        <v>407</v>
      </c>
      <c r="AD162" s="9"/>
      <c r="AE162" s="9"/>
      <c r="AF162" s="9"/>
      <c r="AG162" s="9"/>
      <c r="AH162" s="9"/>
      <c r="AI162" s="9"/>
      <c r="AJ162" s="9"/>
      <c r="AK162" s="9"/>
      <c r="AL162" s="9"/>
      <c r="AM162" s="55"/>
      <c r="AN162" s="51"/>
      <c r="AO162" s="73"/>
      <c r="AP162" s="74"/>
    </row>
    <row r="163" spans="1:42" s="11" customFormat="1" ht="26" x14ac:dyDescent="0.2">
      <c r="A163" s="9">
        <v>50</v>
      </c>
      <c r="B163" s="9"/>
      <c r="C163" s="9"/>
      <c r="D163" s="9" t="s">
        <v>81</v>
      </c>
      <c r="E163" s="49" t="s">
        <v>74</v>
      </c>
      <c r="F163" s="49"/>
      <c r="G163" s="50" t="s">
        <v>998</v>
      </c>
      <c r="H163" s="50" t="s">
        <v>621</v>
      </c>
      <c r="I163" s="9" t="s">
        <v>407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 t="s">
        <v>407</v>
      </c>
      <c r="AB163" s="9"/>
      <c r="AC163" s="9" t="s">
        <v>407</v>
      </c>
      <c r="AD163" s="9"/>
      <c r="AE163" s="9"/>
      <c r="AF163" s="9"/>
      <c r="AG163" s="9"/>
      <c r="AH163" s="9"/>
      <c r="AI163" s="9"/>
      <c r="AJ163" s="9"/>
      <c r="AK163" s="9"/>
      <c r="AL163" s="9"/>
      <c r="AM163" s="55"/>
      <c r="AN163" s="51"/>
      <c r="AO163" s="73"/>
      <c r="AP163" s="74"/>
    </row>
    <row r="164" spans="1:42" s="11" customFormat="1" x14ac:dyDescent="0.2">
      <c r="A164" s="9">
        <v>50</v>
      </c>
      <c r="B164" s="9"/>
      <c r="C164" s="9"/>
      <c r="D164" s="9" t="s">
        <v>79</v>
      </c>
      <c r="E164" s="49" t="s">
        <v>74</v>
      </c>
      <c r="F164" s="49"/>
      <c r="G164" s="50" t="s">
        <v>920</v>
      </c>
      <c r="H164" s="50" t="s">
        <v>533</v>
      </c>
      <c r="I164" s="9" t="s">
        <v>407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 t="s">
        <v>407</v>
      </c>
      <c r="AB164" s="9"/>
      <c r="AC164" s="9" t="s">
        <v>407</v>
      </c>
      <c r="AD164" s="9"/>
      <c r="AE164" s="9"/>
      <c r="AF164" s="9"/>
      <c r="AG164" s="9"/>
      <c r="AH164" s="9"/>
      <c r="AI164" s="9"/>
      <c r="AJ164" s="9"/>
      <c r="AK164" s="9"/>
      <c r="AL164" s="9"/>
      <c r="AM164" s="55"/>
      <c r="AN164" s="51"/>
      <c r="AO164" s="73"/>
      <c r="AP164" s="74"/>
    </row>
    <row r="165" spans="1:42" s="11" customFormat="1" x14ac:dyDescent="0.2">
      <c r="A165" s="9">
        <v>50</v>
      </c>
      <c r="B165" s="9"/>
      <c r="C165" s="9"/>
      <c r="D165" s="9" t="s">
        <v>80</v>
      </c>
      <c r="E165" s="49" t="s">
        <v>74</v>
      </c>
      <c r="F165" s="49"/>
      <c r="G165" s="50" t="s">
        <v>921</v>
      </c>
      <c r="H165" s="50" t="s">
        <v>534</v>
      </c>
      <c r="I165" s="9" t="s">
        <v>407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 t="s">
        <v>407</v>
      </c>
      <c r="AB165" s="9"/>
      <c r="AC165" s="9" t="s">
        <v>407</v>
      </c>
      <c r="AD165" s="9"/>
      <c r="AE165" s="9"/>
      <c r="AF165" s="9"/>
      <c r="AG165" s="9"/>
      <c r="AH165" s="9"/>
      <c r="AI165" s="9"/>
      <c r="AJ165" s="9"/>
      <c r="AK165" s="9"/>
      <c r="AL165" s="9"/>
      <c r="AM165" s="55"/>
      <c r="AN165" s="51"/>
      <c r="AO165" s="73"/>
      <c r="AP165" s="74"/>
    </row>
    <row r="166" spans="1:42" s="11" customFormat="1" x14ac:dyDescent="0.2">
      <c r="A166" s="9">
        <v>50</v>
      </c>
      <c r="B166" s="9"/>
      <c r="C166" s="9"/>
      <c r="D166" s="9" t="s">
        <v>302</v>
      </c>
      <c r="E166" s="49" t="s">
        <v>304</v>
      </c>
      <c r="F166" s="49"/>
      <c r="G166" s="50" t="s">
        <v>980</v>
      </c>
      <c r="H166" s="50" t="s">
        <v>596</v>
      </c>
      <c r="I166" s="9" t="s">
        <v>407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 t="s">
        <v>407</v>
      </c>
      <c r="AB166" s="9"/>
      <c r="AC166" s="9" t="s">
        <v>407</v>
      </c>
      <c r="AD166" s="9"/>
      <c r="AE166" s="9"/>
      <c r="AF166" s="9"/>
      <c r="AG166" s="9"/>
      <c r="AH166" s="9"/>
      <c r="AI166" s="9"/>
      <c r="AJ166" s="9"/>
      <c r="AK166" s="9"/>
      <c r="AL166" s="9"/>
      <c r="AM166" s="55"/>
      <c r="AN166" s="51"/>
      <c r="AO166" s="73"/>
      <c r="AP166" s="74"/>
    </row>
    <row r="167" spans="1:42" s="11" customFormat="1" x14ac:dyDescent="0.2">
      <c r="A167" s="9">
        <v>50</v>
      </c>
      <c r="B167" s="9"/>
      <c r="C167" s="9"/>
      <c r="D167" s="9" t="s">
        <v>38</v>
      </c>
      <c r="E167" s="49" t="s">
        <v>39</v>
      </c>
      <c r="F167" s="49"/>
      <c r="G167" s="50" t="s">
        <v>949</v>
      </c>
      <c r="H167" s="50" t="s">
        <v>562</v>
      </c>
      <c r="I167" s="9" t="s">
        <v>407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 t="s">
        <v>407</v>
      </c>
      <c r="AB167" s="9"/>
      <c r="AC167" s="9" t="s">
        <v>407</v>
      </c>
      <c r="AD167" s="9"/>
      <c r="AE167" s="9"/>
      <c r="AF167" s="9"/>
      <c r="AG167" s="9"/>
      <c r="AH167" s="9"/>
      <c r="AI167" s="9"/>
      <c r="AJ167" s="9"/>
      <c r="AK167" s="9"/>
      <c r="AL167" s="9"/>
      <c r="AM167" s="55"/>
      <c r="AN167" s="51"/>
      <c r="AO167" s="149"/>
      <c r="AP167" s="150"/>
    </row>
    <row r="168" spans="1:42" s="11" customFormat="1" x14ac:dyDescent="0.2">
      <c r="A168" s="9">
        <v>50</v>
      </c>
      <c r="B168" s="9"/>
      <c r="C168" s="9"/>
      <c r="D168" s="9" t="s">
        <v>42</v>
      </c>
      <c r="E168" s="49" t="s">
        <v>43</v>
      </c>
      <c r="F168" s="49"/>
      <c r="G168" s="50" t="s">
        <v>950</v>
      </c>
      <c r="H168" s="50" t="s">
        <v>563</v>
      </c>
      <c r="I168" s="9" t="s">
        <v>407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 t="s">
        <v>407</v>
      </c>
      <c r="AB168" s="9"/>
      <c r="AC168" s="9" t="s">
        <v>407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55"/>
      <c r="AN168" s="51"/>
      <c r="AO168" s="149"/>
      <c r="AP168" s="150"/>
    </row>
    <row r="169" spans="1:42" s="11" customFormat="1" x14ac:dyDescent="0.2">
      <c r="A169" s="9">
        <v>50</v>
      </c>
      <c r="B169" s="9"/>
      <c r="C169" s="9"/>
      <c r="D169" s="9" t="s">
        <v>40</v>
      </c>
      <c r="E169" s="49" t="s">
        <v>41</v>
      </c>
      <c r="F169" s="49"/>
      <c r="G169" s="50" t="s">
        <v>951</v>
      </c>
      <c r="H169" s="50" t="s">
        <v>564</v>
      </c>
      <c r="I169" s="9" t="s">
        <v>407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 t="s">
        <v>407</v>
      </c>
      <c r="AB169" s="9"/>
      <c r="AC169" s="9" t="s">
        <v>407</v>
      </c>
      <c r="AD169" s="9"/>
      <c r="AE169" s="9"/>
      <c r="AF169" s="9"/>
      <c r="AG169" s="9"/>
      <c r="AH169" s="9"/>
      <c r="AI169" s="9"/>
      <c r="AJ169" s="9"/>
      <c r="AK169" s="9"/>
      <c r="AL169" s="9"/>
      <c r="AM169" s="55"/>
      <c r="AN169" s="51"/>
      <c r="AO169" s="149"/>
      <c r="AP169" s="150"/>
    </row>
    <row r="170" spans="1:42" s="11" customFormat="1" x14ac:dyDescent="0.2">
      <c r="A170" s="9">
        <v>50</v>
      </c>
      <c r="B170" s="9"/>
      <c r="C170" s="9"/>
      <c r="D170" s="9" t="s">
        <v>56</v>
      </c>
      <c r="E170" s="49" t="s">
        <v>44</v>
      </c>
      <c r="F170" s="49"/>
      <c r="G170" s="50" t="s">
        <v>898</v>
      </c>
      <c r="H170" s="50" t="s">
        <v>510</v>
      </c>
      <c r="I170" s="9" t="s">
        <v>407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 t="s">
        <v>407</v>
      </c>
      <c r="AB170" s="9"/>
      <c r="AC170" s="9" t="s">
        <v>407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55"/>
      <c r="AN170" s="51"/>
      <c r="AO170" s="73"/>
      <c r="AP170" s="74"/>
    </row>
    <row r="171" spans="1:42" s="11" customFormat="1" x14ac:dyDescent="0.2">
      <c r="A171" s="9">
        <v>50</v>
      </c>
      <c r="B171" s="9"/>
      <c r="C171" s="9"/>
      <c r="D171" s="9" t="s">
        <v>57</v>
      </c>
      <c r="E171" s="49" t="s">
        <v>58</v>
      </c>
      <c r="F171" s="49"/>
      <c r="G171" s="50" t="s">
        <v>849</v>
      </c>
      <c r="H171" s="50" t="s">
        <v>450</v>
      </c>
      <c r="I171" s="9" t="s">
        <v>407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 t="s">
        <v>407</v>
      </c>
      <c r="AB171" s="9"/>
      <c r="AC171" s="9" t="s">
        <v>407</v>
      </c>
      <c r="AD171" s="9"/>
      <c r="AE171" s="9"/>
      <c r="AF171" s="9"/>
      <c r="AG171" s="9"/>
      <c r="AH171" s="9"/>
      <c r="AI171" s="9"/>
      <c r="AJ171" s="9"/>
      <c r="AK171" s="9"/>
      <c r="AL171" s="9"/>
      <c r="AM171" s="55"/>
      <c r="AN171" s="51"/>
      <c r="AO171" s="149"/>
      <c r="AP171" s="150"/>
    </row>
    <row r="172" spans="1:42" s="11" customFormat="1" x14ac:dyDescent="0.2">
      <c r="A172" s="80"/>
      <c r="AP172" s="54"/>
    </row>
    <row r="173" spans="1:42" s="11" customFormat="1" x14ac:dyDescent="0.2">
      <c r="A173" s="9">
        <v>60</v>
      </c>
      <c r="B173" s="37" t="s">
        <v>0</v>
      </c>
      <c r="C173" s="38"/>
      <c r="D173" s="28" t="s">
        <v>133</v>
      </c>
      <c r="E173" s="34" t="s">
        <v>50</v>
      </c>
      <c r="F173" s="72"/>
      <c r="G173" s="28" t="s">
        <v>61</v>
      </c>
      <c r="H173" s="45" t="s">
        <v>635</v>
      </c>
      <c r="I173" s="59"/>
      <c r="J173" s="5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 t="s">
        <v>636</v>
      </c>
      <c r="AF173" s="48"/>
      <c r="AG173" s="48" t="s">
        <v>637</v>
      </c>
      <c r="AH173" s="48"/>
      <c r="AI173" s="48"/>
      <c r="AJ173" s="48"/>
      <c r="AK173" s="48"/>
      <c r="AL173" s="48"/>
      <c r="AM173" s="35"/>
      <c r="AN173" s="36"/>
      <c r="AO173" s="73"/>
      <c r="AP173" s="75"/>
    </row>
    <row r="174" spans="1:42" s="11" customFormat="1" x14ac:dyDescent="0.2">
      <c r="A174" s="9">
        <v>60</v>
      </c>
      <c r="B174" s="9"/>
      <c r="C174" s="9"/>
      <c r="D174" s="9" t="s">
        <v>88</v>
      </c>
      <c r="E174" s="49" t="s">
        <v>86</v>
      </c>
      <c r="F174" s="49"/>
      <c r="G174" s="50" t="s">
        <v>802</v>
      </c>
      <c r="H174" s="50" t="s">
        <v>406</v>
      </c>
      <c r="I174" s="9" t="s">
        <v>407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 t="s">
        <v>407</v>
      </c>
      <c r="AF174" s="9"/>
      <c r="AG174" s="9" t="s">
        <v>407</v>
      </c>
      <c r="AH174" s="9"/>
      <c r="AI174" s="9"/>
      <c r="AJ174" s="9"/>
      <c r="AK174" s="9"/>
      <c r="AL174" s="9"/>
      <c r="AM174" s="55"/>
      <c r="AN174" s="51"/>
      <c r="AO174" s="149"/>
      <c r="AP174" s="150"/>
    </row>
    <row r="175" spans="1:42" s="11" customFormat="1" x14ac:dyDescent="0.2">
      <c r="A175" s="9">
        <v>60</v>
      </c>
      <c r="B175" s="9"/>
      <c r="C175" s="9"/>
      <c r="D175" s="9" t="s">
        <v>125</v>
      </c>
      <c r="E175" s="49" t="s">
        <v>75</v>
      </c>
      <c r="F175" s="49"/>
      <c r="G175" s="50" t="s">
        <v>902</v>
      </c>
      <c r="H175" s="50" t="s">
        <v>514</v>
      </c>
      <c r="I175" s="9" t="s">
        <v>407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 t="s">
        <v>407</v>
      </c>
      <c r="AF175" s="9"/>
      <c r="AG175" s="9" t="s">
        <v>407</v>
      </c>
      <c r="AH175" s="9"/>
      <c r="AI175" s="9"/>
      <c r="AJ175" s="9"/>
      <c r="AK175" s="9"/>
      <c r="AL175" s="9"/>
      <c r="AM175" s="55"/>
      <c r="AN175" s="51"/>
      <c r="AO175" s="149"/>
      <c r="AP175" s="150"/>
    </row>
    <row r="176" spans="1:42" s="11" customFormat="1" x14ac:dyDescent="0.2">
      <c r="A176" s="9">
        <v>60</v>
      </c>
      <c r="B176" s="9"/>
      <c r="C176" s="9"/>
      <c r="D176" s="9" t="s">
        <v>126</v>
      </c>
      <c r="E176" s="49" t="s">
        <v>76</v>
      </c>
      <c r="F176" s="49"/>
      <c r="G176" s="50" t="s">
        <v>903</v>
      </c>
      <c r="H176" s="50" t="s">
        <v>515</v>
      </c>
      <c r="I176" s="9" t="s">
        <v>407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 t="s">
        <v>407</v>
      </c>
      <c r="AF176" s="9"/>
      <c r="AG176" s="9" t="s">
        <v>407</v>
      </c>
      <c r="AH176" s="9"/>
      <c r="AI176" s="9"/>
      <c r="AJ176" s="9"/>
      <c r="AK176" s="9"/>
      <c r="AL176" s="9"/>
      <c r="AM176" s="55"/>
      <c r="AN176" s="51"/>
      <c r="AO176" s="73"/>
      <c r="AP176" s="74"/>
    </row>
    <row r="177" spans="1:42" s="11" customFormat="1" x14ac:dyDescent="0.2">
      <c r="A177" s="9">
        <v>60</v>
      </c>
      <c r="B177" s="9"/>
      <c r="C177" s="9"/>
      <c r="D177" s="9" t="s">
        <v>127</v>
      </c>
      <c r="E177" s="49" t="s">
        <v>77</v>
      </c>
      <c r="F177" s="49"/>
      <c r="G177" s="50" t="s">
        <v>904</v>
      </c>
      <c r="H177" s="50" t="s">
        <v>516</v>
      </c>
      <c r="I177" s="9" t="s">
        <v>407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 t="s">
        <v>407</v>
      </c>
      <c r="AF177" s="9"/>
      <c r="AG177" s="9" t="s">
        <v>407</v>
      </c>
      <c r="AH177" s="9"/>
      <c r="AI177" s="9"/>
      <c r="AJ177" s="9"/>
      <c r="AK177" s="9"/>
      <c r="AL177" s="9"/>
      <c r="AM177" s="55"/>
      <c r="AN177" s="51"/>
      <c r="AO177" s="149"/>
      <c r="AP177" s="150"/>
    </row>
    <row r="178" spans="1:42" s="11" customFormat="1" x14ac:dyDescent="0.2">
      <c r="A178" s="9">
        <v>60</v>
      </c>
      <c r="B178" s="9"/>
      <c r="C178" s="9"/>
      <c r="D178" s="9" t="s">
        <v>128</v>
      </c>
      <c r="E178" s="49" t="s">
        <v>78</v>
      </c>
      <c r="F178" s="49"/>
      <c r="G178" s="50" t="s">
        <v>905</v>
      </c>
      <c r="H178" s="50" t="s">
        <v>517</v>
      </c>
      <c r="I178" s="9" t="s">
        <v>407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 t="s">
        <v>407</v>
      </c>
      <c r="AF178" s="9"/>
      <c r="AG178" s="9" t="s">
        <v>407</v>
      </c>
      <c r="AH178" s="9"/>
      <c r="AI178" s="9"/>
      <c r="AJ178" s="9"/>
      <c r="AK178" s="9"/>
      <c r="AL178" s="9"/>
      <c r="AM178" s="55"/>
      <c r="AN178" s="51"/>
      <c r="AO178" s="149"/>
      <c r="AP178" s="150"/>
    </row>
    <row r="179" spans="1:42" s="11" customFormat="1" ht="26" x14ac:dyDescent="0.2">
      <c r="A179" s="9">
        <v>60</v>
      </c>
      <c r="B179" s="9"/>
      <c r="C179" s="9"/>
      <c r="D179" s="9" t="s">
        <v>81</v>
      </c>
      <c r="E179" s="49" t="s">
        <v>74</v>
      </c>
      <c r="F179" s="49"/>
      <c r="G179" s="50" t="s">
        <v>998</v>
      </c>
      <c r="H179" s="50" t="s">
        <v>621</v>
      </c>
      <c r="I179" s="9" t="s">
        <v>407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 t="s">
        <v>407</v>
      </c>
      <c r="AF179" s="9"/>
      <c r="AG179" s="9" t="s">
        <v>407</v>
      </c>
      <c r="AH179" s="9"/>
      <c r="AI179" s="9"/>
      <c r="AJ179" s="9"/>
      <c r="AK179" s="9"/>
      <c r="AL179" s="9"/>
      <c r="AM179" s="55"/>
      <c r="AN179" s="51"/>
      <c r="AO179" s="149"/>
      <c r="AP179" s="150"/>
    </row>
    <row r="180" spans="1:42" s="11" customFormat="1" x14ac:dyDescent="0.2">
      <c r="A180" s="9">
        <v>60</v>
      </c>
      <c r="B180" s="9"/>
      <c r="C180" s="9"/>
      <c r="D180" s="9" t="s">
        <v>79</v>
      </c>
      <c r="E180" s="49" t="s">
        <v>74</v>
      </c>
      <c r="F180" s="49"/>
      <c r="G180" s="50" t="s">
        <v>920</v>
      </c>
      <c r="H180" s="50" t="s">
        <v>533</v>
      </c>
      <c r="I180" s="9" t="s">
        <v>407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 t="s">
        <v>407</v>
      </c>
      <c r="AF180" s="9"/>
      <c r="AG180" s="9" t="s">
        <v>407</v>
      </c>
      <c r="AH180" s="9"/>
      <c r="AI180" s="9"/>
      <c r="AJ180" s="9"/>
      <c r="AK180" s="9"/>
      <c r="AL180" s="9"/>
      <c r="AM180" s="55"/>
      <c r="AN180" s="51"/>
      <c r="AO180" s="149"/>
      <c r="AP180" s="150"/>
    </row>
    <row r="181" spans="1:42" s="11" customFormat="1" x14ac:dyDescent="0.2">
      <c r="A181" s="9">
        <v>60</v>
      </c>
      <c r="B181" s="9"/>
      <c r="C181" s="9"/>
      <c r="D181" s="9" t="s">
        <v>80</v>
      </c>
      <c r="E181" s="49" t="s">
        <v>74</v>
      </c>
      <c r="F181" s="49"/>
      <c r="G181" s="50" t="s">
        <v>921</v>
      </c>
      <c r="H181" s="50" t="s">
        <v>534</v>
      </c>
      <c r="I181" s="9" t="s">
        <v>407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 t="s">
        <v>407</v>
      </c>
      <c r="AF181" s="9"/>
      <c r="AG181" s="9" t="s">
        <v>407</v>
      </c>
      <c r="AH181" s="9"/>
      <c r="AI181" s="9"/>
      <c r="AJ181" s="9"/>
      <c r="AK181" s="9"/>
      <c r="AL181" s="9"/>
      <c r="AM181" s="55"/>
      <c r="AN181" s="51"/>
      <c r="AO181" s="149"/>
      <c r="AP181" s="150"/>
    </row>
    <row r="182" spans="1:42" s="11" customFormat="1" x14ac:dyDescent="0.2">
      <c r="A182" s="9">
        <v>60</v>
      </c>
      <c r="B182" s="9"/>
      <c r="C182" s="9"/>
      <c r="D182" s="9" t="s">
        <v>117</v>
      </c>
      <c r="E182" s="49" t="s">
        <v>121</v>
      </c>
      <c r="F182" s="49"/>
      <c r="G182" s="50" t="s">
        <v>983</v>
      </c>
      <c r="H182" s="50" t="s">
        <v>599</v>
      </c>
      <c r="I182" s="9" t="s">
        <v>407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 t="s">
        <v>407</v>
      </c>
      <c r="AF182" s="9"/>
      <c r="AG182" s="9" t="s">
        <v>407</v>
      </c>
      <c r="AH182" s="9"/>
      <c r="AI182" s="9"/>
      <c r="AJ182" s="9"/>
      <c r="AK182" s="9"/>
      <c r="AL182" s="9"/>
      <c r="AM182" s="55"/>
      <c r="AN182" s="51"/>
      <c r="AO182" s="149"/>
      <c r="AP182" s="150"/>
    </row>
    <row r="183" spans="1:42" s="11" customFormat="1" x14ac:dyDescent="0.2">
      <c r="A183" s="9">
        <v>60</v>
      </c>
      <c r="B183" s="9"/>
      <c r="C183" s="9"/>
      <c r="D183" s="9" t="s">
        <v>294</v>
      </c>
      <c r="E183" s="49" t="s">
        <v>295</v>
      </c>
      <c r="F183" s="49"/>
      <c r="G183" s="50" t="s">
        <v>984</v>
      </c>
      <c r="H183" s="50" t="s">
        <v>638</v>
      </c>
      <c r="I183" s="9" t="s">
        <v>407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 t="s">
        <v>407</v>
      </c>
      <c r="AF183" s="9"/>
      <c r="AG183" s="9" t="s">
        <v>407</v>
      </c>
      <c r="AH183" s="9"/>
      <c r="AI183" s="9"/>
      <c r="AJ183" s="9"/>
      <c r="AK183" s="9"/>
      <c r="AL183" s="9"/>
      <c r="AM183" s="55"/>
      <c r="AN183" s="51"/>
      <c r="AO183" s="73"/>
      <c r="AP183" s="74"/>
    </row>
    <row r="184" spans="1:42" s="11" customFormat="1" x14ac:dyDescent="0.2">
      <c r="A184" s="9">
        <v>60</v>
      </c>
      <c r="B184" s="9"/>
      <c r="C184" s="9"/>
      <c r="D184" s="9" t="s">
        <v>751</v>
      </c>
      <c r="E184" s="49" t="s">
        <v>45</v>
      </c>
      <c r="F184" s="49"/>
      <c r="G184" s="50" t="s">
        <v>985</v>
      </c>
      <c r="H184" s="50" t="s">
        <v>752</v>
      </c>
      <c r="I184" s="9" t="s">
        <v>407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 t="s">
        <v>407</v>
      </c>
      <c r="AF184" s="9"/>
      <c r="AG184" s="9" t="s">
        <v>407</v>
      </c>
      <c r="AH184" s="9"/>
      <c r="AI184" s="9"/>
      <c r="AJ184" s="9"/>
      <c r="AK184" s="9"/>
      <c r="AL184" s="9"/>
      <c r="AM184" s="55"/>
      <c r="AN184" s="51"/>
      <c r="AO184" s="73"/>
      <c r="AP184" s="74"/>
    </row>
    <row r="185" spans="1:42" s="11" customFormat="1" x14ac:dyDescent="0.2">
      <c r="A185" s="9">
        <v>60</v>
      </c>
      <c r="B185" s="9"/>
      <c r="C185" s="9"/>
      <c r="D185" s="9" t="s">
        <v>119</v>
      </c>
      <c r="E185" s="49" t="s">
        <v>123</v>
      </c>
      <c r="F185" s="49"/>
      <c r="G185" s="50" t="s">
        <v>986</v>
      </c>
      <c r="H185" s="50" t="s">
        <v>601</v>
      </c>
      <c r="I185" s="9" t="s">
        <v>407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 t="s">
        <v>407</v>
      </c>
      <c r="AF185" s="9"/>
      <c r="AG185" s="9" t="s">
        <v>407</v>
      </c>
      <c r="AH185" s="9"/>
      <c r="AI185" s="9"/>
      <c r="AJ185" s="9"/>
      <c r="AK185" s="9"/>
      <c r="AL185" s="9"/>
      <c r="AM185" s="55"/>
      <c r="AN185" s="51"/>
      <c r="AO185" s="149"/>
      <c r="AP185" s="150"/>
    </row>
    <row r="186" spans="1:42" s="11" customFormat="1" x14ac:dyDescent="0.2">
      <c r="A186" s="9">
        <v>60</v>
      </c>
      <c r="B186" s="9"/>
      <c r="C186" s="9"/>
      <c r="D186" s="9" t="s">
        <v>316</v>
      </c>
      <c r="E186" s="49" t="s">
        <v>44</v>
      </c>
      <c r="F186" s="49"/>
      <c r="G186" s="50" t="s">
        <v>988</v>
      </c>
      <c r="H186" s="50" t="s">
        <v>603</v>
      </c>
      <c r="I186" s="9" t="s">
        <v>407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 t="s">
        <v>407</v>
      </c>
      <c r="AF186" s="9"/>
      <c r="AG186" s="9" t="s">
        <v>407</v>
      </c>
      <c r="AH186" s="9"/>
      <c r="AI186" s="9"/>
      <c r="AJ186" s="9"/>
      <c r="AK186" s="9"/>
      <c r="AL186" s="9"/>
      <c r="AM186" s="55"/>
      <c r="AN186" s="51"/>
      <c r="AO186" s="73"/>
      <c r="AP186" s="74"/>
    </row>
    <row r="187" spans="1:42" s="11" customFormat="1" x14ac:dyDescent="0.2">
      <c r="A187" s="9">
        <v>60</v>
      </c>
      <c r="B187" s="9"/>
      <c r="C187" s="9"/>
      <c r="D187" s="9" t="s">
        <v>317</v>
      </c>
      <c r="E187" s="49" t="s">
        <v>44</v>
      </c>
      <c r="F187" s="49"/>
      <c r="G187" s="50" t="s">
        <v>989</v>
      </c>
      <c r="H187" s="50" t="s">
        <v>604</v>
      </c>
      <c r="I187" s="9" t="s">
        <v>407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 t="s">
        <v>407</v>
      </c>
      <c r="AF187" s="9"/>
      <c r="AG187" s="9" t="s">
        <v>407</v>
      </c>
      <c r="AH187" s="9"/>
      <c r="AI187" s="9"/>
      <c r="AJ187" s="9"/>
      <c r="AK187" s="9"/>
      <c r="AL187" s="9"/>
      <c r="AM187" s="55"/>
      <c r="AN187" s="51"/>
      <c r="AO187" s="149"/>
      <c r="AP187" s="150"/>
    </row>
    <row r="188" spans="1:42" s="11" customFormat="1" x14ac:dyDescent="0.2">
      <c r="A188" s="9">
        <v>60</v>
      </c>
      <c r="B188" s="9"/>
      <c r="C188" s="9"/>
      <c r="D188" s="9" t="s">
        <v>38</v>
      </c>
      <c r="E188" s="49" t="s">
        <v>39</v>
      </c>
      <c r="F188" s="49"/>
      <c r="G188" s="50" t="s">
        <v>949</v>
      </c>
      <c r="H188" s="50" t="s">
        <v>562</v>
      </c>
      <c r="I188" s="9" t="s">
        <v>407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 t="s">
        <v>407</v>
      </c>
      <c r="AF188" s="9"/>
      <c r="AG188" s="9" t="s">
        <v>407</v>
      </c>
      <c r="AH188" s="9"/>
      <c r="AI188" s="9"/>
      <c r="AJ188" s="9"/>
      <c r="AK188" s="9"/>
      <c r="AL188" s="9"/>
      <c r="AM188" s="55"/>
      <c r="AN188" s="51"/>
      <c r="AO188" s="149"/>
      <c r="AP188" s="150"/>
    </row>
    <row r="189" spans="1:42" s="11" customFormat="1" x14ac:dyDescent="0.2">
      <c r="A189" s="9">
        <v>60</v>
      </c>
      <c r="B189" s="9"/>
      <c r="C189" s="9"/>
      <c r="D189" s="9" t="s">
        <v>42</v>
      </c>
      <c r="E189" s="49" t="s">
        <v>43</v>
      </c>
      <c r="F189" s="49"/>
      <c r="G189" s="50" t="s">
        <v>950</v>
      </c>
      <c r="H189" s="50" t="s">
        <v>563</v>
      </c>
      <c r="I189" s="9" t="s">
        <v>407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 t="s">
        <v>407</v>
      </c>
      <c r="AF189" s="9"/>
      <c r="AG189" s="9" t="s">
        <v>407</v>
      </c>
      <c r="AH189" s="9"/>
      <c r="AI189" s="9"/>
      <c r="AJ189" s="9"/>
      <c r="AK189" s="9"/>
      <c r="AL189" s="9"/>
      <c r="AM189" s="55"/>
      <c r="AN189" s="51"/>
      <c r="AO189" s="149"/>
      <c r="AP189" s="150"/>
    </row>
    <row r="190" spans="1:42" s="11" customFormat="1" x14ac:dyDescent="0.2">
      <c r="A190" s="9">
        <v>60</v>
      </c>
      <c r="B190" s="9"/>
      <c r="C190" s="9"/>
      <c r="D190" s="9" t="s">
        <v>40</v>
      </c>
      <c r="E190" s="49" t="s">
        <v>41</v>
      </c>
      <c r="F190" s="49"/>
      <c r="G190" s="50" t="s">
        <v>951</v>
      </c>
      <c r="H190" s="50" t="s">
        <v>564</v>
      </c>
      <c r="I190" s="9" t="s">
        <v>407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 t="s">
        <v>407</v>
      </c>
      <c r="AF190" s="9"/>
      <c r="AG190" s="9" t="s">
        <v>407</v>
      </c>
      <c r="AH190" s="9"/>
      <c r="AI190" s="9"/>
      <c r="AJ190" s="9"/>
      <c r="AK190" s="9"/>
      <c r="AL190" s="9"/>
      <c r="AM190" s="55"/>
      <c r="AN190" s="51"/>
      <c r="AO190" s="149"/>
      <c r="AP190" s="150"/>
    </row>
    <row r="191" spans="1:42" s="11" customFormat="1" x14ac:dyDescent="0.2">
      <c r="A191" s="9">
        <v>60</v>
      </c>
      <c r="B191" s="9"/>
      <c r="C191" s="9"/>
      <c r="D191" s="9" t="s">
        <v>56</v>
      </c>
      <c r="E191" s="49" t="s">
        <v>44</v>
      </c>
      <c r="F191" s="49"/>
      <c r="G191" s="50" t="s">
        <v>898</v>
      </c>
      <c r="H191" s="50" t="s">
        <v>510</v>
      </c>
      <c r="I191" s="9" t="s">
        <v>407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 t="s">
        <v>407</v>
      </c>
      <c r="AF191" s="9"/>
      <c r="AG191" s="9" t="s">
        <v>407</v>
      </c>
      <c r="AH191" s="9"/>
      <c r="AI191" s="9"/>
      <c r="AJ191" s="9"/>
      <c r="AK191" s="9"/>
      <c r="AL191" s="9"/>
      <c r="AM191" s="55"/>
      <c r="AN191" s="51"/>
      <c r="AO191" s="73"/>
      <c r="AP191" s="74"/>
    </row>
    <row r="192" spans="1:42" s="11" customFormat="1" x14ac:dyDescent="0.2">
      <c r="A192" s="9">
        <v>60</v>
      </c>
      <c r="B192" s="9"/>
      <c r="C192" s="9"/>
      <c r="D192" s="9" t="s">
        <v>57</v>
      </c>
      <c r="E192" s="49" t="s">
        <v>58</v>
      </c>
      <c r="F192" s="49"/>
      <c r="G192" s="50" t="s">
        <v>849</v>
      </c>
      <c r="H192" s="50" t="s">
        <v>450</v>
      </c>
      <c r="I192" s="9" t="s">
        <v>407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 t="s">
        <v>407</v>
      </c>
      <c r="AF192" s="9"/>
      <c r="AG192" s="9" t="s">
        <v>407</v>
      </c>
      <c r="AH192" s="9"/>
      <c r="AI192" s="9"/>
      <c r="AJ192" s="9"/>
      <c r="AK192" s="9"/>
      <c r="AL192" s="9"/>
      <c r="AM192" s="55"/>
      <c r="AN192" s="51"/>
      <c r="AO192" s="149"/>
      <c r="AP192" s="150"/>
    </row>
    <row r="193" spans="1:42" s="11" customFormat="1" x14ac:dyDescent="0.2">
      <c r="A193" s="80"/>
      <c r="AP193" s="54"/>
    </row>
    <row r="194" spans="1:42" s="11" customFormat="1" x14ac:dyDescent="0.2">
      <c r="A194" s="9">
        <v>70</v>
      </c>
      <c r="B194" s="37" t="s">
        <v>0</v>
      </c>
      <c r="C194" s="38"/>
      <c r="D194" s="28" t="s">
        <v>335</v>
      </c>
      <c r="E194" s="34" t="s">
        <v>50</v>
      </c>
      <c r="F194" s="72"/>
      <c r="G194" s="28" t="s">
        <v>61</v>
      </c>
      <c r="H194" s="45" t="s">
        <v>639</v>
      </c>
      <c r="I194" s="59"/>
      <c r="J194" s="5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 t="s">
        <v>640</v>
      </c>
      <c r="AJ194" s="48"/>
      <c r="AK194" s="48" t="s">
        <v>641</v>
      </c>
      <c r="AL194" s="48"/>
      <c r="AM194" s="35"/>
      <c r="AN194" s="36"/>
      <c r="AO194" s="73"/>
      <c r="AP194" s="75"/>
    </row>
    <row r="195" spans="1:42" s="11" customFormat="1" x14ac:dyDescent="0.2">
      <c r="A195" s="9">
        <v>70</v>
      </c>
      <c r="B195" s="9"/>
      <c r="C195" s="9"/>
      <c r="D195" s="9" t="s">
        <v>197</v>
      </c>
      <c r="E195" s="49" t="s">
        <v>86</v>
      </c>
      <c r="F195" s="49"/>
      <c r="G195" s="50" t="s">
        <v>899</v>
      </c>
      <c r="H195" s="50" t="s">
        <v>511</v>
      </c>
      <c r="I195" s="9" t="s">
        <v>407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 t="s">
        <v>407</v>
      </c>
      <c r="AJ195" s="9"/>
      <c r="AK195" s="9" t="s">
        <v>407</v>
      </c>
      <c r="AL195" s="9"/>
      <c r="AM195" s="55"/>
      <c r="AN195" s="51"/>
      <c r="AO195" s="149"/>
      <c r="AP195" s="150"/>
    </row>
    <row r="196" spans="1:42" s="11" customFormat="1" ht="26" x14ac:dyDescent="0.2">
      <c r="A196" s="9">
        <v>70</v>
      </c>
      <c r="B196" s="9"/>
      <c r="C196" s="9"/>
      <c r="D196" s="9" t="s">
        <v>81</v>
      </c>
      <c r="E196" s="49" t="s">
        <v>74</v>
      </c>
      <c r="F196" s="49"/>
      <c r="G196" s="50" t="s">
        <v>998</v>
      </c>
      <c r="H196" s="50" t="s">
        <v>621</v>
      </c>
      <c r="I196" s="9" t="s">
        <v>407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 t="s">
        <v>407</v>
      </c>
      <c r="AJ196" s="9"/>
      <c r="AK196" s="9" t="s">
        <v>407</v>
      </c>
      <c r="AL196" s="9"/>
      <c r="AM196" s="55"/>
      <c r="AN196" s="51"/>
      <c r="AO196" s="149"/>
      <c r="AP196" s="150"/>
    </row>
    <row r="197" spans="1:42" s="11" customFormat="1" x14ac:dyDescent="0.2">
      <c r="A197" s="9">
        <v>70</v>
      </c>
      <c r="B197" s="9"/>
      <c r="C197" s="9"/>
      <c r="D197" s="9" t="s">
        <v>79</v>
      </c>
      <c r="E197" s="49" t="s">
        <v>74</v>
      </c>
      <c r="F197" s="49"/>
      <c r="G197" s="50" t="s">
        <v>920</v>
      </c>
      <c r="H197" s="50" t="s">
        <v>642</v>
      </c>
      <c r="I197" s="9" t="s">
        <v>407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 t="s">
        <v>407</v>
      </c>
      <c r="AJ197" s="9"/>
      <c r="AK197" s="9" t="s">
        <v>407</v>
      </c>
      <c r="AL197" s="9"/>
      <c r="AM197" s="55"/>
      <c r="AN197" s="51"/>
      <c r="AO197" s="149"/>
      <c r="AP197" s="150"/>
    </row>
    <row r="198" spans="1:42" s="11" customFormat="1" x14ac:dyDescent="0.2">
      <c r="A198" s="9">
        <v>70</v>
      </c>
      <c r="B198" s="9"/>
      <c r="C198" s="9"/>
      <c r="D198" s="9" t="s">
        <v>80</v>
      </c>
      <c r="E198" s="49" t="s">
        <v>74</v>
      </c>
      <c r="F198" s="49"/>
      <c r="G198" s="50" t="s">
        <v>921</v>
      </c>
      <c r="H198" s="50" t="s">
        <v>643</v>
      </c>
      <c r="I198" s="9" t="s">
        <v>407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 t="s">
        <v>407</v>
      </c>
      <c r="AJ198" s="9"/>
      <c r="AK198" s="9" t="s">
        <v>407</v>
      </c>
      <c r="AL198" s="9"/>
      <c r="AM198" s="55"/>
      <c r="AN198" s="51"/>
      <c r="AO198" s="73"/>
      <c r="AP198" s="74"/>
    </row>
    <row r="199" spans="1:42" s="11" customFormat="1" x14ac:dyDescent="0.2">
      <c r="A199" s="9">
        <v>70</v>
      </c>
      <c r="B199" s="9"/>
      <c r="C199" s="9"/>
      <c r="D199" s="9" t="s">
        <v>337</v>
      </c>
      <c r="E199" s="49" t="s">
        <v>350</v>
      </c>
      <c r="F199" s="49"/>
      <c r="G199" s="50" t="s">
        <v>990</v>
      </c>
      <c r="H199" s="50" t="s">
        <v>605</v>
      </c>
      <c r="I199" s="9" t="s">
        <v>407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 t="s">
        <v>407</v>
      </c>
      <c r="AJ199" s="9"/>
      <c r="AK199" s="9" t="s">
        <v>407</v>
      </c>
      <c r="AL199" s="9"/>
      <c r="AM199" s="55"/>
      <c r="AN199" s="51"/>
      <c r="AO199" s="149"/>
      <c r="AP199" s="150"/>
    </row>
    <row r="200" spans="1:42" s="11" customFormat="1" x14ac:dyDescent="0.2">
      <c r="A200" s="9">
        <v>70</v>
      </c>
      <c r="B200" s="9"/>
      <c r="C200" s="9"/>
      <c r="D200" s="9" t="s">
        <v>339</v>
      </c>
      <c r="E200" s="49" t="s">
        <v>330</v>
      </c>
      <c r="F200" s="49"/>
      <c r="G200" s="50" t="s">
        <v>992</v>
      </c>
      <c r="H200" s="50" t="s">
        <v>607</v>
      </c>
      <c r="I200" s="9" t="s">
        <v>407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 t="s">
        <v>407</v>
      </c>
      <c r="AJ200" s="9"/>
      <c r="AK200" s="9" t="s">
        <v>407</v>
      </c>
      <c r="AL200" s="9"/>
      <c r="AM200" s="55"/>
      <c r="AN200" s="51"/>
      <c r="AO200" s="149"/>
      <c r="AP200" s="150"/>
    </row>
    <row r="201" spans="1:42" s="11" customFormat="1" x14ac:dyDescent="0.2">
      <c r="A201" s="9">
        <v>70</v>
      </c>
      <c r="B201" s="9"/>
      <c r="C201" s="9"/>
      <c r="D201" s="9" t="s">
        <v>341</v>
      </c>
      <c r="E201" s="49" t="s">
        <v>350</v>
      </c>
      <c r="F201" s="49"/>
      <c r="G201" s="50" t="s">
        <v>994</v>
      </c>
      <c r="H201" s="50" t="s">
        <v>609</v>
      </c>
      <c r="I201" s="9" t="s">
        <v>407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 t="s">
        <v>407</v>
      </c>
      <c r="AJ201" s="9"/>
      <c r="AK201" s="9" t="s">
        <v>407</v>
      </c>
      <c r="AL201" s="9"/>
      <c r="AM201" s="55"/>
      <c r="AN201" s="51"/>
      <c r="AO201" s="149"/>
      <c r="AP201" s="150"/>
    </row>
    <row r="202" spans="1:42" s="11" customFormat="1" x14ac:dyDescent="0.2">
      <c r="A202" s="9">
        <v>70</v>
      </c>
      <c r="B202" s="9"/>
      <c r="C202" s="9"/>
      <c r="D202" s="9" t="s">
        <v>343</v>
      </c>
      <c r="E202" s="49" t="s">
        <v>330</v>
      </c>
      <c r="F202" s="49"/>
      <c r="G202" s="50" t="s">
        <v>996</v>
      </c>
      <c r="H202" s="50" t="s">
        <v>611</v>
      </c>
      <c r="I202" s="9" t="s">
        <v>407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 t="s">
        <v>407</v>
      </c>
      <c r="AJ202" s="9"/>
      <c r="AK202" s="9" t="s">
        <v>407</v>
      </c>
      <c r="AL202" s="9"/>
      <c r="AM202" s="55"/>
      <c r="AN202" s="51"/>
      <c r="AO202" s="149"/>
      <c r="AP202" s="150"/>
    </row>
    <row r="203" spans="1:42" s="11" customFormat="1" x14ac:dyDescent="0.2">
      <c r="A203" s="9">
        <v>70</v>
      </c>
      <c r="B203" s="9"/>
      <c r="C203" s="9"/>
      <c r="D203" s="9" t="s">
        <v>38</v>
      </c>
      <c r="E203" s="49" t="s">
        <v>39</v>
      </c>
      <c r="F203" s="49"/>
      <c r="G203" s="50" t="s">
        <v>949</v>
      </c>
      <c r="H203" s="50" t="s">
        <v>562</v>
      </c>
      <c r="I203" s="9" t="s">
        <v>407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 t="s">
        <v>407</v>
      </c>
      <c r="AJ203" s="9"/>
      <c r="AK203" s="9" t="s">
        <v>407</v>
      </c>
      <c r="AL203" s="9"/>
      <c r="AM203" s="55"/>
      <c r="AN203" s="51"/>
      <c r="AO203" s="149"/>
      <c r="AP203" s="150"/>
    </row>
    <row r="204" spans="1:42" s="11" customFormat="1" x14ac:dyDescent="0.2">
      <c r="A204" s="9">
        <v>70</v>
      </c>
      <c r="B204" s="9"/>
      <c r="C204" s="9"/>
      <c r="D204" s="9" t="s">
        <v>42</v>
      </c>
      <c r="E204" s="49" t="s">
        <v>43</v>
      </c>
      <c r="F204" s="49"/>
      <c r="G204" s="50" t="s">
        <v>950</v>
      </c>
      <c r="H204" s="50" t="s">
        <v>563</v>
      </c>
      <c r="I204" s="9" t="s">
        <v>407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 t="s">
        <v>407</v>
      </c>
      <c r="AJ204" s="9"/>
      <c r="AK204" s="9" t="s">
        <v>407</v>
      </c>
      <c r="AL204" s="9"/>
      <c r="AM204" s="55"/>
      <c r="AN204" s="51"/>
      <c r="AO204" s="149"/>
      <c r="AP204" s="150"/>
    </row>
    <row r="205" spans="1:42" s="11" customFormat="1" x14ac:dyDescent="0.2">
      <c r="A205" s="9">
        <v>70</v>
      </c>
      <c r="B205" s="9"/>
      <c r="C205" s="9"/>
      <c r="D205" s="9" t="s">
        <v>40</v>
      </c>
      <c r="E205" s="49" t="s">
        <v>41</v>
      </c>
      <c r="F205" s="49"/>
      <c r="G205" s="50" t="s">
        <v>951</v>
      </c>
      <c r="H205" s="50" t="s">
        <v>564</v>
      </c>
      <c r="I205" s="9" t="s">
        <v>407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 t="s">
        <v>407</v>
      </c>
      <c r="AJ205" s="9"/>
      <c r="AK205" s="9" t="s">
        <v>407</v>
      </c>
      <c r="AL205" s="9"/>
      <c r="AM205" s="55"/>
      <c r="AN205" s="51"/>
      <c r="AO205" s="73"/>
      <c r="AP205" s="74"/>
    </row>
    <row r="206" spans="1:42" s="11" customFormat="1" x14ac:dyDescent="0.2">
      <c r="A206" s="9">
        <v>70</v>
      </c>
      <c r="B206" s="9"/>
      <c r="C206" s="9"/>
      <c r="D206" s="9" t="s">
        <v>56</v>
      </c>
      <c r="E206" s="49" t="s">
        <v>44</v>
      </c>
      <c r="F206" s="49"/>
      <c r="G206" s="50" t="s">
        <v>898</v>
      </c>
      <c r="H206" s="50" t="s">
        <v>510</v>
      </c>
      <c r="I206" s="9" t="s">
        <v>407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 t="s">
        <v>407</v>
      </c>
      <c r="AJ206" s="9"/>
      <c r="AK206" s="9" t="s">
        <v>407</v>
      </c>
      <c r="AL206" s="9"/>
      <c r="AM206" s="55"/>
      <c r="AN206" s="51"/>
      <c r="AO206" s="149"/>
      <c r="AP206" s="150"/>
    </row>
    <row r="207" spans="1:42" s="11" customFormat="1" x14ac:dyDescent="0.2">
      <c r="A207" s="9">
        <v>70</v>
      </c>
      <c r="B207" s="9"/>
      <c r="C207" s="9"/>
      <c r="D207" s="9" t="s">
        <v>57</v>
      </c>
      <c r="E207" s="49" t="s">
        <v>58</v>
      </c>
      <c r="F207" s="49"/>
      <c r="G207" s="50" t="s">
        <v>849</v>
      </c>
      <c r="H207" s="50" t="s">
        <v>450</v>
      </c>
      <c r="I207" s="9" t="s">
        <v>407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 t="s">
        <v>407</v>
      </c>
      <c r="AJ207" s="9"/>
      <c r="AK207" s="9" t="s">
        <v>407</v>
      </c>
      <c r="AL207" s="9"/>
      <c r="AM207" s="55"/>
      <c r="AN207" s="51"/>
      <c r="AO207" s="73"/>
      <c r="AP207" s="74"/>
    </row>
    <row r="208" spans="1:42" s="11" customFormat="1" x14ac:dyDescent="0.2">
      <c r="A208" s="52"/>
      <c r="B208" s="53"/>
      <c r="C208" s="53"/>
      <c r="D208" s="27" t="s">
        <v>1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4"/>
      <c r="AN208" s="4"/>
      <c r="AO208" s="6"/>
      <c r="AP208" s="23"/>
    </row>
    <row r="209" spans="1:42" s="11" customFormat="1" x14ac:dyDescent="0.2">
      <c r="A209" s="80"/>
      <c r="AP209" s="54"/>
    </row>
    <row r="210" spans="1:42" s="11" customFormat="1" x14ac:dyDescent="0.2">
      <c r="A210" s="80"/>
      <c r="AP210" s="54"/>
    </row>
    <row r="211" spans="1:42" s="11" customFormat="1" x14ac:dyDescent="0.2">
      <c r="A211" s="80"/>
      <c r="AP211" s="54"/>
    </row>
    <row r="212" spans="1:42" s="11" customFormat="1" x14ac:dyDescent="0.2">
      <c r="A212" s="84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20"/>
    </row>
    <row r="213" spans="1:42" x14ac:dyDescent="0.2">
      <c r="O213" s="27"/>
      <c r="P213" s="27"/>
    </row>
    <row r="214" spans="1:42" x14ac:dyDescent="0.2">
      <c r="O214" s="27"/>
      <c r="P214" s="27"/>
    </row>
    <row r="215" spans="1:42" x14ac:dyDescent="0.2">
      <c r="O215" s="27"/>
      <c r="P215" s="27"/>
    </row>
    <row r="216" spans="1:42" x14ac:dyDescent="0.2">
      <c r="O216" s="27"/>
      <c r="P216" s="27"/>
    </row>
    <row r="217" spans="1:42" x14ac:dyDescent="0.2">
      <c r="O217" s="27"/>
      <c r="P217" s="27"/>
    </row>
    <row r="218" spans="1:42" x14ac:dyDescent="0.2">
      <c r="O218" s="27"/>
      <c r="P218" s="27"/>
    </row>
  </sheetData>
  <dataConsolidate/>
  <mergeCells count="50">
    <mergeCell ref="AO188:AP188"/>
    <mergeCell ref="AO189:AP189"/>
    <mergeCell ref="AO190:AP190"/>
    <mergeCell ref="AO192:AP192"/>
    <mergeCell ref="AO196:AP196"/>
    <mergeCell ref="AO195:AP195"/>
    <mergeCell ref="AO180:AP180"/>
    <mergeCell ref="AO181:AP181"/>
    <mergeCell ref="AO182:AP182"/>
    <mergeCell ref="AO185:AP185"/>
    <mergeCell ref="AO187:AP187"/>
    <mergeCell ref="AO174:AP174"/>
    <mergeCell ref="AO175:AP175"/>
    <mergeCell ref="AO177:AP177"/>
    <mergeCell ref="AO178:AP178"/>
    <mergeCell ref="AO179:AP179"/>
    <mergeCell ref="AO102:AP102"/>
    <mergeCell ref="AO100:AP100"/>
    <mergeCell ref="AO99:AP99"/>
    <mergeCell ref="AO137:AP137"/>
    <mergeCell ref="AO133:AP133"/>
    <mergeCell ref="AO134:AP134"/>
    <mergeCell ref="AO135:AP135"/>
    <mergeCell ref="AO108:AP108"/>
    <mergeCell ref="AO109:AP109"/>
    <mergeCell ref="AO12:AP12"/>
    <mergeCell ref="AO13:AP13"/>
    <mergeCell ref="AO98:AP98"/>
    <mergeCell ref="AO63:AP63"/>
    <mergeCell ref="AO60:AP60"/>
    <mergeCell ref="AO142:AP142"/>
    <mergeCell ref="AO171:AP171"/>
    <mergeCell ref="AO169:AP169"/>
    <mergeCell ref="AO168:AP168"/>
    <mergeCell ref="AO167:AP167"/>
    <mergeCell ref="AO161:AP161"/>
    <mergeCell ref="AO160:AP160"/>
    <mergeCell ref="AO157:AP157"/>
    <mergeCell ref="AO155:AP155"/>
    <mergeCell ref="AO154:AP154"/>
    <mergeCell ref="AO153:AP153"/>
    <mergeCell ref="AO143:AP143"/>
    <mergeCell ref="AO203:AP203"/>
    <mergeCell ref="AO204:AP204"/>
    <mergeCell ref="AO206:AP206"/>
    <mergeCell ref="AO197:AP197"/>
    <mergeCell ref="AO199:AP199"/>
    <mergeCell ref="AO200:AP200"/>
    <mergeCell ref="AO202:AP202"/>
    <mergeCell ref="AO201:AP201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131" t="s">
        <v>22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3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19" t="s">
        <v>23</v>
      </c>
      <c r="B3" s="120"/>
      <c r="C3" s="120"/>
      <c r="D3" s="120"/>
      <c r="E3" s="120"/>
      <c r="F3" s="120"/>
      <c r="G3" s="121"/>
      <c r="H3" s="134" t="s">
        <v>24</v>
      </c>
      <c r="I3" s="120"/>
      <c r="J3" s="120"/>
      <c r="K3" s="120"/>
      <c r="L3" s="120"/>
      <c r="M3" s="120"/>
      <c r="N3" s="121"/>
      <c r="O3" s="134" t="s">
        <v>25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6"/>
      <c r="AQ3" s="134" t="s">
        <v>26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 x14ac:dyDescent="0.2">
      <c r="A4" s="122">
        <v>1</v>
      </c>
      <c r="B4" s="123"/>
      <c r="C4" s="123"/>
      <c r="D4" s="123"/>
      <c r="E4" s="123"/>
      <c r="F4" s="123"/>
      <c r="G4" s="124"/>
      <c r="H4" s="112"/>
      <c r="I4" s="113"/>
      <c r="J4" s="113"/>
      <c r="K4" s="113"/>
      <c r="L4" s="113"/>
      <c r="M4" s="113"/>
      <c r="N4" s="114"/>
      <c r="O4" s="112" t="s">
        <v>27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9"/>
      <c r="I5" s="110"/>
      <c r="J5" s="110"/>
      <c r="K5" s="110"/>
      <c r="L5" s="110"/>
      <c r="M5" s="110"/>
      <c r="N5" s="111"/>
      <c r="O5" s="125" t="s">
        <v>1003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1004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9"/>
      <c r="I6" s="110"/>
      <c r="J6" s="110"/>
      <c r="K6" s="110"/>
      <c r="L6" s="110"/>
      <c r="M6" s="110"/>
      <c r="N6" s="111"/>
      <c r="O6" s="102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9"/>
      <c r="I7" s="110"/>
      <c r="J7" s="110"/>
      <c r="K7" s="110"/>
      <c r="L7" s="110"/>
      <c r="M7" s="110"/>
      <c r="N7" s="111"/>
      <c r="O7" s="102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9"/>
      <c r="I8" s="110"/>
      <c r="J8" s="110"/>
      <c r="K8" s="110"/>
      <c r="L8" s="110"/>
      <c r="M8" s="110"/>
      <c r="N8" s="111"/>
      <c r="O8" s="102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9"/>
      <c r="I9" s="110"/>
      <c r="J9" s="110"/>
      <c r="K9" s="110"/>
      <c r="L9" s="110"/>
      <c r="M9" s="110"/>
      <c r="N9" s="111"/>
      <c r="O9" s="102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9"/>
      <c r="I10" s="110"/>
      <c r="J10" s="110"/>
      <c r="K10" s="110"/>
      <c r="L10" s="110"/>
      <c r="M10" s="110"/>
      <c r="N10" s="111"/>
      <c r="O10" s="102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9"/>
      <c r="I11" s="110"/>
      <c r="J11" s="110"/>
      <c r="K11" s="110"/>
      <c r="L11" s="110"/>
      <c r="M11" s="110"/>
      <c r="N11" s="111"/>
      <c r="O11" s="102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9"/>
      <c r="I12" s="110"/>
      <c r="J12" s="110"/>
      <c r="K12" s="110"/>
      <c r="L12" s="110"/>
      <c r="M12" s="110"/>
      <c r="N12" s="111"/>
      <c r="O12" s="102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9"/>
      <c r="I13" s="110"/>
      <c r="J13" s="110"/>
      <c r="K13" s="110"/>
      <c r="L13" s="110"/>
      <c r="M13" s="110"/>
      <c r="N13" s="111"/>
      <c r="O13" s="102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9"/>
      <c r="I14" s="110"/>
      <c r="J14" s="110"/>
      <c r="K14" s="110"/>
      <c r="L14" s="110"/>
      <c r="M14" s="110"/>
      <c r="N14" s="111"/>
      <c r="O14" s="102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9"/>
      <c r="I15" s="110"/>
      <c r="J15" s="110"/>
      <c r="K15" s="110"/>
      <c r="L15" s="110"/>
      <c r="M15" s="110"/>
      <c r="N15" s="111"/>
      <c r="O15" s="102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9"/>
      <c r="I16" s="110"/>
      <c r="J16" s="110"/>
      <c r="K16" s="110"/>
      <c r="L16" s="110"/>
      <c r="M16" s="110"/>
      <c r="N16" s="111"/>
      <c r="O16" s="102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9"/>
      <c r="I17" s="110"/>
      <c r="J17" s="110"/>
      <c r="K17" s="110"/>
      <c r="L17" s="110"/>
      <c r="M17" s="110"/>
      <c r="N17" s="111"/>
      <c r="O17" s="102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9"/>
      <c r="I18" s="110"/>
      <c r="J18" s="110"/>
      <c r="K18" s="110"/>
      <c r="L18" s="110"/>
      <c r="M18" s="110"/>
      <c r="N18" s="111"/>
      <c r="O18" s="102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9"/>
      <c r="I19" s="110"/>
      <c r="J19" s="110"/>
      <c r="K19" s="110"/>
      <c r="L19" s="110"/>
      <c r="M19" s="110"/>
      <c r="N19" s="111"/>
      <c r="O19" s="102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9"/>
      <c r="I20" s="110"/>
      <c r="J20" s="110"/>
      <c r="K20" s="110"/>
      <c r="L20" s="110"/>
      <c r="M20" s="110"/>
      <c r="N20" s="111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2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2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2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2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2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2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2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2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2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2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2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2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139"/>
      <c r="B35" s="140"/>
      <c r="C35" s="140"/>
      <c r="D35" s="140"/>
      <c r="E35" s="140"/>
      <c r="F35" s="140"/>
      <c r="G35" s="141"/>
      <c r="H35" s="142"/>
      <c r="I35" s="143"/>
      <c r="J35" s="143"/>
      <c r="K35" s="143"/>
      <c r="L35" s="143"/>
      <c r="M35" s="143"/>
      <c r="N35" s="144"/>
      <c r="O35" s="142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6"/>
      <c r="AQ35" s="147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8"/>
    </row>
  </sheetData>
  <mergeCells count="133">
    <mergeCell ref="A16:G16"/>
    <mergeCell ref="A17:G17"/>
    <mergeCell ref="A20:G20"/>
    <mergeCell ref="H20:N20"/>
    <mergeCell ref="A24:G24"/>
    <mergeCell ref="A25:G25"/>
    <mergeCell ref="O29:AP29"/>
    <mergeCell ref="AQ29:BE29"/>
    <mergeCell ref="A35:G35"/>
    <mergeCell ref="H35:N35"/>
    <mergeCell ref="O35:AP35"/>
    <mergeCell ref="AQ35:BE35"/>
    <mergeCell ref="O33:AP33"/>
    <mergeCell ref="AQ33:BE33"/>
    <mergeCell ref="O31:AP31"/>
    <mergeCell ref="AQ31:BE31"/>
    <mergeCell ref="H32:N32"/>
    <mergeCell ref="O32:AP32"/>
    <mergeCell ref="AQ32:BE32"/>
    <mergeCell ref="H31:N31"/>
    <mergeCell ref="A18:G18"/>
    <mergeCell ref="H18:N18"/>
    <mergeCell ref="O18:AP18"/>
    <mergeCell ref="AQ18:BE18"/>
    <mergeCell ref="A1:BE1"/>
    <mergeCell ref="H3:N3"/>
    <mergeCell ref="O3:AP3"/>
    <mergeCell ref="AQ3:BE3"/>
    <mergeCell ref="A30:G30"/>
    <mergeCell ref="A31:G31"/>
    <mergeCell ref="A32:G32"/>
    <mergeCell ref="A33:G33"/>
    <mergeCell ref="A34:G34"/>
    <mergeCell ref="A9:G9"/>
    <mergeCell ref="A11:G11"/>
    <mergeCell ref="A12:G12"/>
    <mergeCell ref="A13:G13"/>
    <mergeCell ref="A14:G14"/>
    <mergeCell ref="A15:G15"/>
    <mergeCell ref="A7:G7"/>
    <mergeCell ref="A8:G8"/>
    <mergeCell ref="A10:G10"/>
    <mergeCell ref="H33:N33"/>
    <mergeCell ref="A29:G29"/>
    <mergeCell ref="H29:N29"/>
    <mergeCell ref="H34:N34"/>
    <mergeCell ref="O34:AP34"/>
    <mergeCell ref="AQ34:BE34"/>
    <mergeCell ref="H13:N13"/>
    <mergeCell ref="O13:AP13"/>
    <mergeCell ref="AQ13:BE13"/>
    <mergeCell ref="H14:N14"/>
    <mergeCell ref="H30:N30"/>
    <mergeCell ref="O30:AP30"/>
    <mergeCell ref="AQ30:BE30"/>
    <mergeCell ref="H15:N15"/>
    <mergeCell ref="O14:AP14"/>
    <mergeCell ref="AQ14:BE14"/>
    <mergeCell ref="O15:AP15"/>
    <mergeCell ref="AQ15:BE15"/>
    <mergeCell ref="H16:N16"/>
    <mergeCell ref="O16:AP16"/>
    <mergeCell ref="AQ16:BE16"/>
    <mergeCell ref="H17:N17"/>
    <mergeCell ref="O17:AP17"/>
    <mergeCell ref="AQ17:BE17"/>
    <mergeCell ref="H24:N24"/>
    <mergeCell ref="O24:AP24"/>
    <mergeCell ref="AQ24:BE24"/>
    <mergeCell ref="H25:N25"/>
    <mergeCell ref="O25:AP25"/>
    <mergeCell ref="AQ25:BE25"/>
    <mergeCell ref="AQ8:BE8"/>
    <mergeCell ref="H7:N7"/>
    <mergeCell ref="O11:AP11"/>
    <mergeCell ref="AQ11:BE11"/>
    <mergeCell ref="H12:N12"/>
    <mergeCell ref="O12:AP12"/>
    <mergeCell ref="AQ12:BE12"/>
    <mergeCell ref="H11:N11"/>
    <mergeCell ref="H9:N9"/>
    <mergeCell ref="O9:AP9"/>
    <mergeCell ref="AQ9:BE9"/>
    <mergeCell ref="H8:N8"/>
    <mergeCell ref="O8:AP8"/>
    <mergeCell ref="H10:N10"/>
    <mergeCell ref="O10:AP10"/>
    <mergeCell ref="AQ10:BE10"/>
    <mergeCell ref="O7:AP7"/>
    <mergeCell ref="AQ7:BE7"/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H6:N6"/>
    <mergeCell ref="A19:G19"/>
    <mergeCell ref="H19:N19"/>
    <mergeCell ref="O19:AP19"/>
    <mergeCell ref="AQ19:BE19"/>
    <mergeCell ref="O20:AP20"/>
    <mergeCell ref="AQ20:BE20"/>
    <mergeCell ref="A21:G21"/>
    <mergeCell ref="H21:N21"/>
    <mergeCell ref="O21:AP21"/>
    <mergeCell ref="AQ21:BE21"/>
    <mergeCell ref="A22:G22"/>
    <mergeCell ref="H22:N22"/>
    <mergeCell ref="O22:AP22"/>
    <mergeCell ref="AQ22:BE22"/>
    <mergeCell ref="O23:AP23"/>
    <mergeCell ref="AQ23:BE23"/>
    <mergeCell ref="A23:G23"/>
    <mergeCell ref="H23:N23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6:G26"/>
    <mergeCell ref="H26:N26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Bp_UpdChk01</vt:lpstr>
      <vt:lpstr>Bp_Upd01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2019-05-14T06:09:55Z</cp:lastPrinted>
  <dcterms:created xsi:type="dcterms:W3CDTF">2000-04-01T00:00:00Z</dcterms:created>
  <dcterms:modified xsi:type="dcterms:W3CDTF">2026-03-27T05:42:41Z</dcterms:modified>
  <cp:category/>
</cp:coreProperties>
</file>