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C80FE8F0-5C3F-48A6-9E01-8E536C00174C}" xr6:coauthVersionLast="47" xr6:coauthVersionMax="47" xr10:uidLastSave="{00000000-0000-0000-0000-000000000000}"/>
  <bookViews>
    <workbookView xWindow="1710" yWindow="1710" windowWidth="21600" windowHeight="11265" tabRatio="807" activeTab="5" xr2:uid="{00000000-000D-0000-FFFF-FFFF00000000}"/>
  </bookViews>
  <sheets>
    <sheet name="LogicCommon" sheetId="10" r:id="rId1"/>
    <sheet name="UsrImage_UpdChk01" sheetId="15" r:id="rId2"/>
    <sheet name="UsrImage_Upd01" sheetId="16" r:id="rId3"/>
    <sheet name="Srch01" sheetId="1" r:id="rId4"/>
    <sheet name="Upd01" sheetId="14" r:id="rId5"/>
    <sheet name="来歴" sheetId="1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4" l="1"/>
  <c r="L4" i="16"/>
  <c r="L4" i="15"/>
  <c r="F3" i="15" l="1"/>
  <c r="F2" i="15"/>
  <c r="F3" i="16"/>
  <c r="F2" i="16"/>
  <c r="F3" i="14"/>
  <c r="F2" i="14"/>
  <c r="H4" i="14"/>
  <c r="H3" i="14"/>
  <c r="H2" i="14"/>
  <c r="H4" i="16"/>
  <c r="H3" i="16"/>
  <c r="H2" i="16"/>
  <c r="H4" i="15"/>
  <c r="H3" i="15"/>
  <c r="H2" i="15"/>
  <c r="N2" i="15"/>
  <c r="H2" i="1" l="1"/>
  <c r="H4" i="1" l="1"/>
  <c r="H3" i="1" l="1"/>
  <c r="D3" i="1"/>
  <c r="L4" i="1"/>
  <c r="L3" i="1"/>
  <c r="L2" i="1"/>
  <c r="F3" i="1"/>
  <c r="F2" i="1"/>
</calcChain>
</file>

<file path=xl/sharedStrings.xml><?xml version="1.0" encoding="utf-8"?>
<sst xmlns="http://schemas.openxmlformats.org/spreadsheetml/2006/main" count="415" uniqueCount="145">
  <si>
    <t>*</t>
  </si>
  <si>
    <t>検索</t>
    <rPh sb="0" eb="2">
      <t>ケンサク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</si>
  <si>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</si>
  <si>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</si>
  <si>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</si>
  <si>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</si>
  <si>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</si>
  <si>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</si>
  <si>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</si>
  <si>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</si>
  <si>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</si>
  <si>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</si>
  <si>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</si>
  <si>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TargetName</t>
    <phoneticPr fontId="3"/>
  </si>
  <si>
    <t>#</t>
    <phoneticPr fontId="3"/>
  </si>
  <si>
    <t>Srch01_Cnd</t>
    <phoneticPr fontId="3"/>
  </si>
  <si>
    <t>R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</si>
  <si>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</si>
  <si>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</si>
  <si>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</si>
  <si>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</si>
  <si>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</si>
  <si>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</si>
  <si>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3"/>
  </si>
  <si>
    <t>ReportID :</t>
    <phoneticPr fontId="3"/>
  </si>
  <si>
    <t>L</t>
    <phoneticPr fontId="3"/>
  </si>
  <si>
    <t>#</t>
    <phoneticPr fontId="3"/>
  </si>
  <si>
    <t>U</t>
    <phoneticPr fontId="3"/>
  </si>
  <si>
    <t>o</t>
    <phoneticPr fontId="3"/>
  </si>
  <si>
    <t>SELECT.c0</t>
    <phoneticPr fontId="3"/>
  </si>
  <si>
    <t>Pj.ID :</t>
    <phoneticPr fontId="3"/>
  </si>
  <si>
    <t>SuperClassPj.ID :</t>
    <phoneticPr fontId="3"/>
  </si>
  <si>
    <t>upd_cntr</t>
    <phoneticPr fontId="3"/>
  </si>
  <si>
    <t>#MA.UPD_CNT</t>
  </si>
  <si>
    <t>MA</t>
  </si>
  <si>
    <t>K</t>
  </si>
  <si>
    <t>CONST</t>
  </si>
  <si>
    <t>Srch01</t>
    <phoneticPr fontId="3"/>
  </si>
  <si>
    <t>MABC</t>
    <phoneticPr fontId="3"/>
  </si>
  <si>
    <t>#MA.BIN</t>
  </si>
  <si>
    <t>MABCL0260</t>
    <phoneticPr fontId="3"/>
  </si>
  <si>
    <t>担当者画像登録</t>
    <phoneticPr fontId="3"/>
  </si>
  <si>
    <t>usr_cd</t>
  </si>
  <si>
    <t>#MA.USR_CD</t>
  </si>
  <si>
    <t>#MA.USR_CD</t>
    <phoneticPr fontId="3"/>
  </si>
  <si>
    <t>#MA.USR_CD</t>
    <phoneticPr fontId="3"/>
  </si>
  <si>
    <t>usr_cd</t>
    <phoneticPr fontId="3"/>
  </si>
  <si>
    <t>usr_cd</t>
    <phoneticPr fontId="3"/>
  </si>
  <si>
    <t>th_image</t>
  </si>
  <si>
    <t>@</t>
  </si>
  <si>
    <t>th_image</t>
    <phoneticPr fontId="3"/>
  </si>
  <si>
    <t>#MA.BIN</t>
    <phoneticPr fontId="3"/>
  </si>
  <si>
    <t>Upd01</t>
    <phoneticPr fontId="3"/>
  </si>
  <si>
    <t>@</t>
    <phoneticPr fontId="3"/>
  </si>
  <si>
    <t>ReportID :</t>
    <phoneticPr fontId="3"/>
  </si>
  <si>
    <t>登録</t>
    <rPh sb="0" eb="2">
      <t>トウロク</t>
    </rPh>
    <phoneticPr fontId="3"/>
  </si>
  <si>
    <t>#</t>
    <phoneticPr fontId="3"/>
  </si>
  <si>
    <t>U</t>
    <phoneticPr fontId="3"/>
  </si>
  <si>
    <t>o</t>
    <phoneticPr fontId="3"/>
  </si>
  <si>
    <t>CALL_OPE01.chk01</t>
    <phoneticPr fontId="3"/>
  </si>
  <si>
    <t>o</t>
  </si>
  <si>
    <t>CALL_OPE01.upd01</t>
    <phoneticPr fontId="3"/>
  </si>
  <si>
    <t>TargetName</t>
    <phoneticPr fontId="3"/>
  </si>
  <si>
    <t>TargetName</t>
  </si>
  <si>
    <t>#</t>
    <phoneticPr fontId="3"/>
  </si>
  <si>
    <t>Upd01_Dtl1</t>
    <phoneticPr fontId="3"/>
  </si>
  <si>
    <t>L</t>
    <phoneticPr fontId="3"/>
  </si>
  <si>
    <t>$share$</t>
  </si>
  <si>
    <t>upd_cntr</t>
  </si>
  <si>
    <t>詳細 :</t>
  </si>
  <si>
    <t>ReportID :</t>
    <phoneticPr fontId="3"/>
  </si>
  <si>
    <t>U</t>
    <phoneticPr fontId="3"/>
  </si>
  <si>
    <t>REQUIRED</t>
  </si>
  <si>
    <t>#</t>
    <phoneticPr fontId="3"/>
  </si>
  <si>
    <t>L</t>
  </si>
  <si>
    <t>@</t>
    <phoneticPr fontId="3"/>
  </si>
  <si>
    <t>ReportID :</t>
    <phoneticPr fontId="3"/>
  </si>
  <si>
    <t>#</t>
    <phoneticPr fontId="3"/>
  </si>
  <si>
    <t>U</t>
    <phoneticPr fontId="3"/>
  </si>
  <si>
    <t>UPDATE.updMaster</t>
    <phoneticPr fontId="3"/>
  </si>
  <si>
    <t>MAIN.chkMaster</t>
    <phoneticPr fontId="44"/>
  </si>
  <si>
    <t>TargetName</t>
    <phoneticPr fontId="3"/>
  </si>
  <si>
    <t>L</t>
    <phoneticPr fontId="3"/>
  </si>
  <si>
    <t>#MA.USR_ID</t>
  </si>
  <si>
    <t/>
  </si>
  <si>
    <t>MABCL_UsrImageReg</t>
    <phoneticPr fontId="3"/>
  </si>
  <si>
    <t>UsrImage_UpdChk01_Dtl</t>
    <phoneticPr fontId="44"/>
  </si>
  <si>
    <t>UsrImage_UpdChk01</t>
    <phoneticPr fontId="44"/>
  </si>
  <si>
    <t>UsrImage_Upd01_Dtl</t>
    <phoneticPr fontId="3"/>
  </si>
  <si>
    <t>UsrImage_Upd01</t>
    <phoneticPr fontId="3"/>
  </si>
  <si>
    <t>OPE.MA.MABCL0260.UsrImage_UpdChk01</t>
    <phoneticPr fontId="44"/>
  </si>
  <si>
    <t>OPE.MA.MABCL0260.UsrImage_Upd01</t>
    <phoneticPr fontId="44"/>
  </si>
  <si>
    <t>担当者マスタを登録する前のチェックを行う</t>
  </si>
  <si>
    <t>登録処理</t>
    <rPh sb="0" eb="2">
      <t>トウロク</t>
    </rPh>
    <rPh sb="2" eb="4">
      <t>ショリ</t>
    </rPh>
    <phoneticPr fontId="3"/>
  </si>
  <si>
    <t>担当者マスタを登録する</t>
  </si>
  <si>
    <t>登録前チェック</t>
    <rPh sb="0" eb="2">
      <t>トウロク</t>
    </rPh>
    <rPh sb="2" eb="3">
      <t>マエ</t>
    </rPh>
    <phoneticPr fontId="44"/>
  </si>
  <si>
    <t>検索処理を行う</t>
    <rPh sb="0" eb="2">
      <t>ケンサク</t>
    </rPh>
    <rPh sb="2" eb="4">
      <t>ショリ</t>
    </rPh>
    <rPh sb="5" eb="6">
      <t>オコナ</t>
    </rPh>
    <phoneticPr fontId="3"/>
  </si>
  <si>
    <t>登録処理を行う</t>
    <rPh sb="0" eb="2">
      <t>トウロク</t>
    </rPh>
    <rPh sb="2" eb="4">
      <t>ショリ</t>
    </rPh>
    <rPh sb="5" eb="6">
      <t>オコナ</t>
    </rPh>
    <phoneticPr fontId="3"/>
  </si>
  <si>
    <t>ID</t>
    <phoneticPr fontId="3"/>
  </si>
  <si>
    <t>*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</si>
  <si>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</si>
  <si>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</si>
  <si>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</si>
  <si>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</si>
  <si>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</si>
  <si>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 xml:space="preserve">Ope.Name : </t>
    <phoneticPr fontId="3"/>
  </si>
  <si>
    <t>ACType :</t>
    <phoneticPr fontId="3"/>
  </si>
  <si>
    <t>担当者ＣＤ</t>
    <phoneticPr fontId="3"/>
  </si>
  <si>
    <t>E</t>
    <phoneticPr fontId="3"/>
  </si>
  <si>
    <t>E</t>
    <phoneticPr fontId="44"/>
  </si>
  <si>
    <t>画像</t>
    <phoneticPr fontId="44"/>
  </si>
  <si>
    <t>更新カウンタ</t>
    <phoneticPr fontId="3"/>
  </si>
  <si>
    <t>super/share</t>
    <phoneticPr fontId="3"/>
  </si>
  <si>
    <t>MA.MABCL0260.UsrImage_UpdChk01.UsrImage_UpdChk01_Dtl</t>
    <phoneticPr fontId="44"/>
  </si>
  <si>
    <t>L</t>
    <phoneticPr fontId="44"/>
  </si>
  <si>
    <t>サムネイル画像</t>
    <phoneticPr fontId="3"/>
  </si>
  <si>
    <t>Srch01_Rslt1</t>
    <phoneticPr fontId="3"/>
  </si>
  <si>
    <t>MA.MABCL0260.UsrImage_Upd01.UsrImage_Upd01_Dtl</t>
    <phoneticPr fontId="44"/>
  </si>
  <si>
    <t>UsrImage_Upd01_Dtl</t>
    <phoneticPr fontId="44"/>
  </si>
  <si>
    <t>000000</t>
    <phoneticPr fontId="3"/>
  </si>
  <si>
    <t>MA.MAUDL5010</t>
    <phoneticPr fontId="3"/>
  </si>
  <si>
    <t>"mcframe.serverMAUD.MAUDL6010.MAUDL_RLUpdater"</t>
    <phoneticPr fontId="3"/>
  </si>
  <si>
    <t>"mcframe.serverMAUD.MAUDL6010.MAUDL_RLSearcher"</t>
    <phoneticPr fontId="3"/>
  </si>
  <si>
    <t>DBC.MA.MAM_USR</t>
    <phoneticPr fontId="44"/>
  </si>
  <si>
    <t>DBC.MA.MAM_USR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</si>
  <si>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</si>
  <si>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</si>
  <si>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</si>
  <si>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</si>
  <si>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</si>
  <si>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</si>
  <si>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</si>
  <si>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</si>
  <si>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</si>
  <si>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</si>
  <si>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</si>
  <si>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</si>
  <si>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</si>
  <si>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</si>
  <si>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PIC cd.</t>
  </si>
  <si>
    <t>Image</t>
  </si>
  <si>
    <t>Update counter</t>
  </si>
  <si>
    <t>Thumbnail image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</si>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</sst>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49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50">
    <xf numFmtId="0" fontId="0" fillId="0" borderId="0">
      <alignment vertical="top" wrapText="1"/>
    </xf>
    <xf numFmtId="0" fontId="22" fillId="0" borderId="0"/>
    <xf numFmtId="0" fontId="22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6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3">
      <alignment horizontal="center"/>
    </xf>
    <xf numFmtId="0" fontId="28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8" fillId="0" borderId="0"/>
    <xf numFmtId="0" fontId="11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25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25" borderId="17" applyNumberFormat="0" applyAlignment="0" applyProtection="0">
      <alignment vertical="center"/>
    </xf>
    <xf numFmtId="0" fontId="18" fillId="26" borderId="17" applyNumberFormat="0" applyAlignment="0" applyProtection="0">
      <alignment vertical="center"/>
    </xf>
    <xf numFmtId="0" fontId="18" fillId="26" borderId="17" applyNumberFormat="0" applyAlignment="0" applyProtection="0">
      <alignment vertical="center"/>
    </xf>
    <xf numFmtId="0" fontId="18" fillId="26" borderId="1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5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2" fillId="0" borderId="0"/>
    <xf numFmtId="0" fontId="38" fillId="0" borderId="0"/>
    <xf numFmtId="0" fontId="28" fillId="0" borderId="0">
      <alignment vertical="center"/>
    </xf>
    <xf numFmtId="0" fontId="28" fillId="0" borderId="0">
      <alignment vertical="center"/>
    </xf>
    <xf numFmtId="0" fontId="31" fillId="0" borderId="0"/>
    <xf numFmtId="0" fontId="37" fillId="0" borderId="0"/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4" fillId="0" borderId="0">
      <alignment vertical="top"/>
    </xf>
    <xf numFmtId="38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179" fontId="40" fillId="0" borderId="0" applyFont="0" applyFill="0" applyBorder="0" applyAlignment="0" applyProtection="0"/>
    <xf numFmtId="38" fontId="41" fillId="30" borderId="0" applyNumberFormat="0" applyBorder="0" applyAlignment="0" applyProtection="0"/>
    <xf numFmtId="10" fontId="41" fillId="31" borderId="20" applyNumberFormat="0" applyBorder="0" applyAlignment="0" applyProtection="0"/>
    <xf numFmtId="178" fontId="42" fillId="0" borderId="0"/>
    <xf numFmtId="10" fontId="25" fillId="0" borderId="0" applyFont="0" applyFill="0" applyBorder="0" applyAlignment="0" applyProtection="0"/>
    <xf numFmtId="0" fontId="38" fillId="0" borderId="0"/>
    <xf numFmtId="0" fontId="38" fillId="0" borderId="0"/>
    <xf numFmtId="0" fontId="4" fillId="0" borderId="0"/>
    <xf numFmtId="0" fontId="4" fillId="0" borderId="0" applyNumberFormat="0"/>
    <xf numFmtId="0" fontId="39" fillId="0" borderId="0" applyBorder="0" applyAlignment="0"/>
    <xf numFmtId="0" fontId="31" fillId="0" borderId="0"/>
    <xf numFmtId="0" fontId="4" fillId="0" borderId="0">
      <alignment vertical="top"/>
    </xf>
    <xf numFmtId="0" fontId="4" fillId="0" borderId="0">
      <alignment vertical="top"/>
    </xf>
    <xf numFmtId="0" fontId="43" fillId="0" borderId="0">
      <alignment vertical="center"/>
    </xf>
    <xf numFmtId="0" fontId="4" fillId="0" borderId="0" applyNumberFormat="0"/>
    <xf numFmtId="0" fontId="39" fillId="0" borderId="0">
      <alignment vertical="center"/>
    </xf>
    <xf numFmtId="0" fontId="4" fillId="0" borderId="0" applyNumberFormat="0"/>
    <xf numFmtId="0" fontId="4" fillId="0" borderId="0">
      <alignment vertical="top"/>
    </xf>
    <xf numFmtId="0" fontId="4" fillId="0" borderId="0">
      <alignment vertical="top"/>
    </xf>
    <xf numFmtId="38" fontId="31" fillId="0" borderId="0" applyFont="0" applyFill="0" applyBorder="0" applyAlignment="0" applyProtection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21" fillId="6" borderId="0" applyNumberFormat="0" applyBorder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18" fillId="25" borderId="17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2" fillId="25" borderId="8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49">
    <xf numFmtId="0" fontId="0" fillId="0" borderId="0" xfId="0">
      <alignment vertical="top" wrapText="1"/>
    </xf>
    <xf numFmtId="0" fontId="45" fillId="0" borderId="18" xfId="0" applyFont="1" applyBorder="1" applyAlignment="1">
      <alignment vertical="center"/>
    </xf>
    <xf numFmtId="0" fontId="45" fillId="0" borderId="18" xfId="0" applyFont="1" applyBorder="1" applyAlignment="1">
      <alignment horizontal="left" vertical="top"/>
    </xf>
    <xf numFmtId="0" fontId="45" fillId="0" borderId="18" xfId="0" applyFont="1" applyBorder="1" applyAlignment="1">
      <alignment vertical="top"/>
    </xf>
    <xf numFmtId="0" fontId="45" fillId="0" borderId="0" xfId="0" applyFont="1" applyAlignment="1">
      <alignment vertical="top"/>
    </xf>
    <xf numFmtId="0" fontId="45" fillId="0" borderId="0" xfId="0" applyFont="1" applyAlignment="1">
      <alignment vertical="center"/>
    </xf>
    <xf numFmtId="0" fontId="45" fillId="0" borderId="19" xfId="0" applyFont="1" applyBorder="1" applyAlignment="1">
      <alignment vertical="top"/>
    </xf>
    <xf numFmtId="0" fontId="45" fillId="0" borderId="20" xfId="0" applyFont="1" applyBorder="1" applyAlignment="1">
      <alignment vertical="top"/>
    </xf>
    <xf numFmtId="20" fontId="45" fillId="27" borderId="20" xfId="0" applyNumberFormat="1" applyFont="1" applyFill="1" applyBorder="1" applyAlignment="1">
      <alignment horizontal="left" vertical="top"/>
    </xf>
    <xf numFmtId="0" fontId="45" fillId="27" borderId="20" xfId="0" applyFont="1" applyFill="1" applyBorder="1" applyAlignment="1">
      <alignment vertical="top"/>
    </xf>
    <xf numFmtId="0" fontId="45" fillId="27" borderId="20" xfId="0" quotePrefix="1" applyFont="1" applyFill="1" applyBorder="1" applyAlignment="1">
      <alignment vertical="top"/>
    </xf>
    <xf numFmtId="0" fontId="45" fillId="0" borderId="0" xfId="0" applyFont="1">
      <alignment vertical="top" wrapText="1"/>
    </xf>
    <xf numFmtId="0" fontId="45" fillId="27" borderId="20" xfId="0" applyFont="1" applyFill="1" applyBorder="1" applyAlignment="1">
      <alignment horizontal="left" vertical="top"/>
    </xf>
    <xf numFmtId="0" fontId="45" fillId="28" borderId="20" xfId="179" applyFont="1" applyFill="1" applyBorder="1" applyAlignment="1">
      <alignment vertical="top"/>
    </xf>
    <xf numFmtId="0" fontId="45" fillId="0" borderId="0" xfId="0" applyFont="1" applyAlignment="1"/>
    <xf numFmtId="0" fontId="45" fillId="0" borderId="23" xfId="0" applyFont="1" applyBorder="1" applyAlignment="1">
      <alignment vertical="top"/>
    </xf>
    <xf numFmtId="0" fontId="45" fillId="28" borderId="2" xfId="0" applyFont="1" applyFill="1" applyBorder="1" applyAlignment="1">
      <alignment vertical="top"/>
    </xf>
    <xf numFmtId="0" fontId="45" fillId="28" borderId="2" xfId="0" applyFont="1" applyFill="1" applyBorder="1" applyAlignment="1">
      <alignment horizontal="left" vertical="top"/>
    </xf>
    <xf numFmtId="0" fontId="45" fillId="28" borderId="24" xfId="0" applyFont="1" applyFill="1" applyBorder="1" applyAlignment="1">
      <alignment vertical="top"/>
    </xf>
    <xf numFmtId="0" fontId="45" fillId="0" borderId="18" xfId="0" applyFont="1" applyBorder="1">
      <alignment vertical="top" wrapText="1"/>
    </xf>
    <xf numFmtId="0" fontId="45" fillId="0" borderId="22" xfId="0" applyFont="1" applyBorder="1">
      <alignment vertical="top" wrapText="1"/>
    </xf>
    <xf numFmtId="0" fontId="45" fillId="0" borderId="19" xfId="0" applyFont="1" applyBorder="1" applyAlignment="1">
      <alignment vertical="center"/>
    </xf>
    <xf numFmtId="0" fontId="45" fillId="0" borderId="19" xfId="0" applyFont="1" applyBorder="1" applyAlignment="1">
      <alignment horizontal="left" vertical="top"/>
    </xf>
    <xf numFmtId="0" fontId="45" fillId="0" borderId="21" xfId="0" applyFont="1" applyBorder="1" applyAlignment="1">
      <alignment vertical="top"/>
    </xf>
    <xf numFmtId="0" fontId="45" fillId="0" borderId="0" xfId="0" applyFont="1" applyAlignment="1">
      <alignment vertical="center" wrapText="1"/>
    </xf>
    <xf numFmtId="0" fontId="45" fillId="0" borderId="0" xfId="0" applyFont="1" applyAlignment="1">
      <alignment horizontal="left" vertical="top"/>
    </xf>
    <xf numFmtId="0" fontId="45" fillId="0" borderId="22" xfId="0" applyFont="1" applyBorder="1" applyAlignment="1">
      <alignment vertical="top"/>
    </xf>
    <xf numFmtId="0" fontId="45" fillId="0" borderId="0" xfId="0" applyFont="1" applyAlignment="1" applyProtection="1">
      <alignment vertical="center"/>
      <protection locked="0"/>
    </xf>
    <xf numFmtId="0" fontId="45" fillId="27" borderId="20" xfId="0" applyFont="1" applyFill="1" applyBorder="1" applyAlignment="1">
      <alignment vertical="center"/>
    </xf>
    <xf numFmtId="0" fontId="45" fillId="0" borderId="0" xfId="0" applyFont="1" applyAlignment="1" applyProtection="1">
      <alignment vertical="top"/>
      <protection locked="0"/>
    </xf>
    <xf numFmtId="0" fontId="45" fillId="27" borderId="19" xfId="0" applyFont="1" applyFill="1" applyBorder="1" applyAlignment="1" applyProtection="1">
      <alignment vertical="top"/>
      <protection locked="0"/>
    </xf>
    <xf numFmtId="0" fontId="45" fillId="0" borderId="19" xfId="0" applyFont="1" applyBorder="1" applyAlignment="1" applyProtection="1">
      <alignment vertical="top"/>
      <protection locked="0"/>
    </xf>
    <xf numFmtId="0" fontId="45" fillId="27" borderId="20" xfId="0" applyFont="1" applyFill="1" applyBorder="1" applyAlignment="1" applyProtection="1">
      <alignment vertical="top"/>
      <protection locked="0"/>
    </xf>
    <xf numFmtId="0" fontId="45" fillId="0" borderId="20" xfId="0" applyFont="1" applyBorder="1" applyAlignment="1" applyProtection="1">
      <alignment vertical="top"/>
      <protection locked="0"/>
    </xf>
    <xf numFmtId="0" fontId="45" fillId="27" borderId="20" xfId="180" applyFont="1" applyFill="1" applyBorder="1" applyAlignment="1">
      <alignment vertical="top"/>
    </xf>
    <xf numFmtId="0" fontId="45" fillId="0" borderId="27" xfId="0" applyFont="1" applyBorder="1" applyAlignment="1" applyProtection="1">
      <protection locked="0"/>
    </xf>
    <xf numFmtId="0" fontId="45" fillId="0" borderId="24" xfId="0" applyFont="1" applyBorder="1" applyAlignment="1" applyProtection="1">
      <protection locked="0"/>
    </xf>
    <xf numFmtId="0" fontId="45" fillId="27" borderId="27" xfId="0" applyFont="1" applyFill="1" applyBorder="1" applyAlignment="1">
      <alignment vertical="top"/>
    </xf>
    <xf numFmtId="0" fontId="45" fillId="27" borderId="24" xfId="0" applyFont="1" applyFill="1" applyBorder="1" applyAlignment="1">
      <alignment vertical="top"/>
    </xf>
    <xf numFmtId="0" fontId="45" fillId="0" borderId="19" xfId="0" applyFont="1" applyBorder="1" applyAlignment="1" applyProtection="1">
      <protection locked="0"/>
    </xf>
    <xf numFmtId="0" fontId="45" fillId="0" borderId="21" xfId="0" applyFont="1" applyBorder="1" applyAlignment="1" applyProtection="1">
      <protection locked="0"/>
    </xf>
    <xf numFmtId="0" fontId="45" fillId="27" borderId="27" xfId="0" applyFont="1" applyFill="1" applyBorder="1" applyAlignment="1" applyProtection="1">
      <alignment vertical="top"/>
      <protection locked="0"/>
    </xf>
    <xf numFmtId="0" fontId="45" fillId="27" borderId="2" xfId="0" applyFont="1" applyFill="1" applyBorder="1" applyAlignment="1" applyProtection="1">
      <alignment vertical="top"/>
      <protection locked="0"/>
    </xf>
    <xf numFmtId="0" fontId="45" fillId="0" borderId="2" xfId="0" applyFont="1" applyBorder="1" applyAlignment="1" applyProtection="1">
      <alignment vertical="top"/>
      <protection locked="0"/>
    </xf>
    <xf numFmtId="0" fontId="45" fillId="0" borderId="23" xfId="0" applyFont="1" applyBorder="1" applyAlignment="1" applyProtection="1">
      <alignment vertical="top"/>
      <protection locked="0"/>
    </xf>
    <xf numFmtId="0" fontId="45" fillId="0" borderId="47" xfId="0" applyFont="1" applyBorder="1" applyAlignment="1" applyProtection="1">
      <alignment vertical="top"/>
      <protection locked="0"/>
    </xf>
    <xf numFmtId="0" fontId="45" fillId="0" borderId="2" xfId="0" applyFont="1" applyBorder="1" applyAlignment="1" applyProtection="1">
      <protection locked="0"/>
    </xf>
    <xf numFmtId="0" fontId="45" fillId="27" borderId="20" xfId="0" applyFont="1" applyFill="1" applyBorder="1" applyAlignment="1"/>
    <xf numFmtId="0" fontId="45" fillId="0" borderId="20" xfId="0" applyFont="1" applyBorder="1" applyAlignment="1"/>
    <xf numFmtId="0" fontId="45" fillId="27" borderId="24" xfId="0" applyFont="1" applyFill="1" applyBorder="1" applyAlignment="1"/>
    <xf numFmtId="0" fontId="45" fillId="0" borderId="27" xfId="0" applyFont="1" applyBorder="1" applyAlignment="1"/>
    <xf numFmtId="0" fontId="45" fillId="0" borderId="24" xfId="0" applyFont="1" applyBorder="1" applyAlignment="1"/>
    <xf numFmtId="0" fontId="45" fillId="0" borderId="2" xfId="0" applyFont="1" applyBorder="1" applyAlignment="1"/>
    <xf numFmtId="0" fontId="45" fillId="27" borderId="20" xfId="0" applyFont="1" applyFill="1" applyBorder="1" applyAlignment="1" applyProtection="1">
      <protection locked="0"/>
    </xf>
    <xf numFmtId="0" fontId="45" fillId="28" borderId="24" xfId="0" applyFont="1" applyFill="1" applyBorder="1" applyAlignment="1" applyProtection="1">
      <protection locked="0"/>
    </xf>
    <xf numFmtId="0" fontId="45" fillId="27" borderId="20" xfId="0" applyFont="1" applyFill="1" applyBorder="1">
      <alignment vertical="top" wrapText="1"/>
    </xf>
    <xf numFmtId="0" fontId="45" fillId="28" borderId="20" xfId="0" applyFont="1" applyFill="1" applyBorder="1">
      <alignment vertical="top" wrapText="1"/>
    </xf>
    <xf numFmtId="0" fontId="45" fillId="0" borderId="24" xfId="0" applyFont="1" applyBorder="1" applyAlignment="1" applyProtection="1">
      <alignment vertical="top"/>
      <protection locked="0"/>
    </xf>
    <xf numFmtId="0" fontId="45" fillId="27" borderId="26" xfId="0" applyFont="1" applyFill="1" applyBorder="1" applyAlignment="1" applyProtection="1">
      <alignment vertical="top"/>
      <protection locked="0"/>
    </xf>
    <xf numFmtId="0" fontId="45" fillId="27" borderId="0" xfId="0" applyFont="1" applyFill="1" applyAlignment="1" applyProtection="1">
      <alignment vertical="top"/>
      <protection locked="0"/>
    </xf>
    <xf numFmtId="0" fontId="45" fillId="0" borderId="23" xfId="0" applyFont="1" applyBorder="1">
      <alignment vertical="top" wrapText="1"/>
    </xf>
    <xf numFmtId="0" fontId="45" fillId="0" borderId="27" xfId="0" applyFont="1" applyBorder="1" applyAlignment="1" applyProtection="1">
      <alignment vertical="top"/>
      <protection locked="0"/>
    </xf>
    <xf numFmtId="0" fontId="45" fillId="0" borderId="22" xfId="0" applyFont="1" applyBorder="1" applyAlignment="1"/>
    <xf numFmtId="0" fontId="45" fillId="0" borderId="28" xfId="0" applyFont="1" applyBorder="1" applyAlignment="1"/>
    <xf numFmtId="0" fontId="45" fillId="0" borderId="18" xfId="0" applyFont="1" applyBorder="1" applyAlignment="1"/>
    <xf numFmtId="0" fontId="45" fillId="27" borderId="25" xfId="0" applyFont="1" applyFill="1" applyBorder="1" applyAlignment="1" applyProtection="1">
      <alignment vertical="top"/>
      <protection locked="0"/>
    </xf>
    <xf numFmtId="0" fontId="45" fillId="0" borderId="19" xfId="0" applyFont="1" applyBorder="1" applyAlignment="1" applyProtection="1">
      <alignment vertical="center"/>
      <protection locked="0"/>
    </xf>
    <xf numFmtId="0" fontId="45" fillId="0" borderId="19" xfId="0" applyFont="1" applyBorder="1" applyAlignment="1" applyProtection="1">
      <alignment horizontal="left" vertical="top"/>
      <protection locked="0"/>
    </xf>
    <xf numFmtId="0" fontId="45" fillId="0" borderId="21" xfId="0" applyFont="1" applyBorder="1" applyAlignment="1" applyProtection="1">
      <alignment vertical="top"/>
      <protection locked="0"/>
    </xf>
    <xf numFmtId="0" fontId="48" fillId="0" borderId="0" xfId="178" applyFont="1"/>
    <xf numFmtId="0" fontId="48" fillId="0" borderId="0" xfId="178" applyFont="1" applyAlignment="1">
      <alignment horizontal="center" vertical="center"/>
    </xf>
    <xf numFmtId="0" fontId="48" fillId="0" borderId="0" xfId="178" applyFont="1" applyAlignment="1">
      <alignment horizontal="center"/>
    </xf>
    <xf numFmtId="0" fontId="48" fillId="0" borderId="0" xfId="181" applyFont="1"/>
    <xf numFmtId="0" fontId="48" fillId="0" borderId="0" xfId="181" applyFont="1" applyAlignment="1">
      <alignment horizontal="center"/>
    </xf>
    <xf numFmtId="0" fontId="45" fillId="0" borderId="20" xfId="0" quotePrefix="1" applyFont="1" applyBorder="1" applyAlignment="1">
      <alignment vertical="top"/>
    </xf>
    <xf numFmtId="0" fontId="45" fillId="28" borderId="27" xfId="0" applyFont="1" applyFill="1" applyBorder="1" applyAlignment="1" applyProtection="1">
      <protection locked="0"/>
    </xf>
    <xf numFmtId="0" fontId="45" fillId="27" borderId="18" xfId="0" applyFont="1" applyFill="1" applyBorder="1" applyAlignment="1">
      <alignment vertical="top"/>
    </xf>
    <xf numFmtId="0" fontId="45" fillId="27" borderId="25" xfId="0" applyFont="1" applyFill="1" applyBorder="1" applyAlignment="1">
      <alignment vertical="top"/>
    </xf>
    <xf numFmtId="0" fontId="45" fillId="27" borderId="19" xfId="0" applyFont="1" applyFill="1" applyBorder="1" applyAlignment="1">
      <alignment vertical="top"/>
    </xf>
    <xf numFmtId="0" fontId="45" fillId="29" borderId="20" xfId="0" applyFont="1" applyFill="1" applyBorder="1" applyAlignment="1">
      <alignment vertical="top"/>
    </xf>
    <xf numFmtId="0" fontId="45" fillId="27" borderId="26" xfId="0" applyFont="1" applyFill="1" applyBorder="1" applyAlignment="1">
      <alignment vertical="top"/>
    </xf>
    <xf numFmtId="0" fontId="45" fillId="27" borderId="0" xfId="0" applyFont="1" applyFill="1" applyAlignment="1">
      <alignment vertical="top"/>
    </xf>
    <xf numFmtId="0" fontId="45" fillId="29" borderId="0" xfId="0" applyFont="1" applyFill="1">
      <alignment vertical="top" wrapText="1"/>
    </xf>
    <xf numFmtId="0" fontId="45" fillId="0" borderId="27" xfId="0" applyFont="1" applyBorder="1" applyAlignment="1">
      <alignment vertical="top"/>
    </xf>
    <xf numFmtId="0" fontId="45" fillId="0" borderId="20" xfId="0" applyFont="1" applyBorder="1" applyAlignment="1">
      <alignment vertical="center"/>
    </xf>
    <xf numFmtId="0" fontId="45" fillId="27" borderId="28" xfId="0" applyFont="1" applyFill="1" applyBorder="1" applyAlignment="1">
      <alignment vertical="top"/>
    </xf>
    <xf numFmtId="0" fontId="45" fillId="0" borderId="2" xfId="0" applyFont="1" applyBorder="1" applyAlignment="1">
      <alignment vertical="top"/>
    </xf>
    <xf numFmtId="0" fontId="45" fillId="0" borderId="28" xfId="0" applyFont="1" applyBorder="1" applyAlignment="1">
      <alignment vertical="top"/>
    </xf>
    <xf numFmtId="0" fontId="45" fillId="0" borderId="19" xfId="0" applyFont="1" applyBorder="1">
      <alignment vertical="top" wrapText="1"/>
    </xf>
    <xf numFmtId="0" fontId="45" fillId="0" borderId="20" xfId="0" applyFont="1" applyBorder="1">
      <alignment vertical="top" wrapText="1"/>
    </xf>
    <xf numFmtId="0" fontId="45" fillId="0" borderId="20" xfId="0" applyFont="1" applyBorder="1" applyProtection="1">
      <alignment vertical="top" wrapText="1"/>
      <protection locked="0"/>
    </xf>
    <xf numFmtId="0" fontId="45" fillId="27" borderId="27" xfId="0" applyFont="1" applyFill="1" applyBorder="1">
      <alignment vertical="top" wrapText="1"/>
    </xf>
    <xf numFmtId="0" fontId="45" fillId="27" borderId="24" xfId="0" applyFont="1" applyFill="1" applyBorder="1">
      <alignment vertical="top" wrapText="1"/>
    </xf>
    <xf numFmtId="0" fontId="45" fillId="0" borderId="18" xfId="0" applyFont="1" applyBorder="1" applyAlignment="1" applyProtection="1">
      <alignment vertical="top"/>
      <protection locked="0"/>
    </xf>
    <xf numFmtId="0" fontId="45" fillId="0" borderId="22" xfId="0" applyFont="1" applyBorder="1" applyAlignment="1" applyProtection="1">
      <alignment vertical="top"/>
      <protection locked="0"/>
    </xf>
    <xf numFmtId="0" fontId="45" fillId="0" borderId="27" xfId="0" applyFont="1" applyBorder="1" applyProtection="1">
      <alignment vertical="top" wrapText="1"/>
      <protection locked="0"/>
    </xf>
    <xf numFmtId="0" fontId="45" fillId="0" borderId="27" xfId="0" applyFont="1" applyBorder="1">
      <alignment vertical="top" wrapText="1"/>
    </xf>
    <xf numFmtId="0" fontId="45" fillId="0" borderId="24" xfId="0" applyFont="1" applyBorder="1">
      <alignment vertical="top" wrapText="1"/>
    </xf>
    <xf numFmtId="0" fontId="45" fillId="0" borderId="48" xfId="0" applyFont="1" applyBorder="1" applyAlignment="1" applyProtection="1">
      <alignment vertical="top"/>
      <protection locked="0"/>
    </xf>
    <xf numFmtId="0" fontId="47" fillId="0" borderId="41" xfId="181" applyFont="1" applyBorder="1" applyAlignment="1">
      <alignment horizontal="left" vertical="center" wrapText="1"/>
    </xf>
    <xf numFmtId="0" fontId="47" fillId="0" borderId="42" xfId="177" applyFont="1" applyBorder="1" applyAlignment="1">
      <alignment horizontal="left" vertical="center" wrapText="1"/>
    </xf>
    <xf numFmtId="0" fontId="47" fillId="0" borderId="43" xfId="177" applyFont="1" applyBorder="1" applyAlignment="1">
      <alignment horizontal="left" vertical="center" wrapText="1"/>
    </xf>
    <xf numFmtId="0" fontId="47" fillId="0" borderId="42" xfId="177" applyFont="1" applyBorder="1" applyAlignment="1">
      <alignment vertical="center" wrapText="1"/>
    </xf>
    <xf numFmtId="0" fontId="47" fillId="0" borderId="43" xfId="177" applyFont="1" applyBorder="1" applyAlignment="1">
      <alignment vertical="center" wrapText="1"/>
    </xf>
    <xf numFmtId="0" fontId="47" fillId="0" borderId="41" xfId="181" applyFont="1" applyBorder="1" applyAlignment="1">
      <alignment vertical="center" wrapText="1"/>
    </xf>
    <xf numFmtId="0" fontId="47" fillId="0" borderId="44" xfId="177" applyFont="1" applyBorder="1" applyAlignment="1">
      <alignment vertical="center" wrapText="1"/>
    </xf>
    <xf numFmtId="0" fontId="48" fillId="28" borderId="45" xfId="181" applyFont="1" applyFill="1" applyBorder="1" applyAlignment="1">
      <alignment horizontal="center" vertical="center"/>
    </xf>
    <xf numFmtId="0" fontId="47" fillId="0" borderId="1" xfId="177" applyFont="1" applyBorder="1" applyAlignment="1">
      <alignment horizontal="center" vertical="center"/>
    </xf>
    <xf numFmtId="0" fontId="47" fillId="0" borderId="35" xfId="177" applyFont="1" applyBorder="1" applyAlignment="1">
      <alignment horizontal="center" vertical="center"/>
    </xf>
    <xf numFmtId="0" fontId="47" fillId="0" borderId="27" xfId="181" applyFont="1" applyBorder="1" applyAlignment="1">
      <alignment horizontal="left" vertical="center" wrapText="1"/>
    </xf>
    <xf numFmtId="0" fontId="47" fillId="0" borderId="2" xfId="177" applyFont="1" applyBorder="1" applyAlignment="1">
      <alignment vertical="center" wrapText="1"/>
    </xf>
    <xf numFmtId="0" fontId="47" fillId="0" borderId="24" xfId="177" applyFont="1" applyBorder="1" applyAlignment="1">
      <alignment vertical="center" wrapText="1"/>
    </xf>
    <xf numFmtId="0" fontId="47" fillId="0" borderId="27" xfId="181" applyFont="1" applyBorder="1" applyAlignment="1">
      <alignment vertical="center" wrapText="1"/>
    </xf>
    <xf numFmtId="0" fontId="47" fillId="0" borderId="38" xfId="177" applyFont="1" applyBorder="1" applyAlignment="1">
      <alignment vertical="center" wrapText="1"/>
    </xf>
    <xf numFmtId="177" fontId="47" fillId="0" borderId="46" xfId="181" applyNumberFormat="1" applyFont="1" applyBorder="1" applyAlignment="1">
      <alignment horizontal="center" vertical="center"/>
    </xf>
    <xf numFmtId="177" fontId="47" fillId="0" borderId="42" xfId="177" applyNumberFormat="1" applyFont="1" applyBorder="1" applyAlignment="1">
      <alignment horizontal="center" vertical="center"/>
    </xf>
    <xf numFmtId="177" fontId="47" fillId="0" borderId="43" xfId="177" applyNumberFormat="1" applyFont="1" applyBorder="1" applyAlignment="1">
      <alignment horizontal="center" vertical="center"/>
    </xf>
    <xf numFmtId="177" fontId="47" fillId="0" borderId="37" xfId="181" applyNumberFormat="1" applyFont="1" applyBorder="1" applyAlignment="1">
      <alignment horizontal="center" vertical="center"/>
    </xf>
    <xf numFmtId="177" fontId="47" fillId="0" borderId="2" xfId="177" applyNumberFormat="1" applyFont="1" applyBorder="1" applyAlignment="1">
      <alignment horizontal="center" vertical="center"/>
    </xf>
    <xf numFmtId="177" fontId="47" fillId="0" borderId="24" xfId="177" applyNumberFormat="1" applyFont="1" applyBorder="1" applyAlignment="1">
      <alignment horizontal="center" vertical="center"/>
    </xf>
    <xf numFmtId="0" fontId="47" fillId="0" borderId="2" xfId="177" applyFont="1" applyBorder="1" applyAlignment="1">
      <alignment horizontal="left" vertical="center" wrapText="1"/>
    </xf>
    <xf numFmtId="0" fontId="47" fillId="0" borderId="24" xfId="177" applyFont="1" applyBorder="1" applyAlignment="1">
      <alignment horizontal="left" vertical="center" wrapText="1"/>
    </xf>
    <xf numFmtId="0" fontId="47" fillId="0" borderId="27" xfId="181" applyFont="1" applyBorder="1" applyAlignment="1">
      <alignment horizontal="left" vertical="center"/>
    </xf>
    <xf numFmtId="0" fontId="47" fillId="0" borderId="2" xfId="177" applyFont="1" applyBorder="1" applyAlignment="1">
      <alignment horizontal="left" vertical="center"/>
    </xf>
    <xf numFmtId="0" fontId="47" fillId="0" borderId="24" xfId="177" applyFont="1" applyBorder="1" applyAlignment="1">
      <alignment horizontal="left" vertical="center"/>
    </xf>
    <xf numFmtId="0" fontId="47" fillId="0" borderId="27" xfId="181" applyFont="1" applyBorder="1" applyAlignment="1">
      <alignment vertical="center"/>
    </xf>
    <xf numFmtId="0" fontId="47" fillId="0" borderId="2" xfId="177" applyFont="1" applyBorder="1" applyAlignment="1">
      <alignment vertical="center"/>
    </xf>
    <xf numFmtId="0" fontId="47" fillId="0" borderId="38" xfId="177" applyFont="1" applyBorder="1" applyAlignment="1">
      <alignment vertical="center"/>
    </xf>
    <xf numFmtId="0" fontId="47" fillId="0" borderId="39" xfId="181" applyFont="1" applyBorder="1" applyAlignment="1">
      <alignment horizontal="left" vertical="center" wrapText="1"/>
    </xf>
    <xf numFmtId="0" fontId="47" fillId="0" borderId="30" xfId="177" applyFont="1" applyBorder="1" applyAlignment="1">
      <alignment horizontal="left" vertical="center" wrapText="1"/>
    </xf>
    <xf numFmtId="0" fontId="47" fillId="0" borderId="31" xfId="177" applyFont="1" applyBorder="1" applyAlignment="1">
      <alignment horizontal="left" vertical="center" wrapText="1"/>
    </xf>
    <xf numFmtId="0" fontId="47" fillId="0" borderId="30" xfId="177" applyFont="1" applyBorder="1" applyAlignment="1">
      <alignment vertical="center" wrapText="1"/>
    </xf>
    <xf numFmtId="0" fontId="47" fillId="0" borderId="31" xfId="177" applyFont="1" applyBorder="1" applyAlignment="1">
      <alignment vertical="center" wrapText="1"/>
    </xf>
    <xf numFmtId="0" fontId="47" fillId="0" borderId="39" xfId="181" applyFont="1" applyBorder="1" applyAlignment="1">
      <alignment vertical="center" wrapText="1"/>
    </xf>
    <xf numFmtId="0" fontId="47" fillId="0" borderId="40" xfId="177" applyFont="1" applyBorder="1" applyAlignment="1">
      <alignment vertical="center" wrapText="1"/>
    </xf>
    <xf numFmtId="177" fontId="47" fillId="0" borderId="29" xfId="181" applyNumberFormat="1" applyFont="1" applyBorder="1" applyAlignment="1">
      <alignment horizontal="center" vertical="center"/>
    </xf>
    <xf numFmtId="177" fontId="47" fillId="0" borderId="30" xfId="177" applyNumberFormat="1" applyFont="1" applyBorder="1" applyAlignment="1">
      <alignment horizontal="center" vertical="center"/>
    </xf>
    <xf numFmtId="177" fontId="47" fillId="0" borderId="31" xfId="177" applyNumberFormat="1" applyFont="1" applyBorder="1" applyAlignment="1">
      <alignment horizontal="center" vertical="center"/>
    </xf>
    <xf numFmtId="0" fontId="46" fillId="28" borderId="32" xfId="178" applyFont="1" applyFill="1" applyBorder="1" applyAlignment="1">
      <alignment horizontal="center" vertical="center"/>
    </xf>
    <xf numFmtId="0" fontId="47" fillId="0" borderId="3" xfId="177" applyFont="1" applyBorder="1" applyAlignment="1">
      <alignment vertical="center"/>
    </xf>
    <xf numFmtId="0" fontId="47" fillId="0" borderId="33" xfId="177" applyFont="1" applyBorder="1" applyAlignment="1">
      <alignment vertical="center"/>
    </xf>
    <xf numFmtId="0" fontId="48" fillId="28" borderId="34" xfId="181" applyFont="1" applyFill="1" applyBorder="1" applyAlignment="1">
      <alignment horizontal="center" vertical="center"/>
    </xf>
    <xf numFmtId="0" fontId="48" fillId="28" borderId="1" xfId="181" applyFont="1" applyFill="1" applyBorder="1" applyAlignment="1">
      <alignment horizontal="center" vertical="center"/>
    </xf>
    <xf numFmtId="0" fontId="48" fillId="28" borderId="35" xfId="181" applyFont="1" applyFill="1" applyBorder="1" applyAlignment="1">
      <alignment horizontal="center" vertical="center"/>
    </xf>
    <xf numFmtId="0" fontId="48" fillId="28" borderId="34" xfId="177" applyFont="1" applyFill="1" applyBorder="1" applyAlignment="1">
      <alignment horizontal="center" vertical="center"/>
    </xf>
    <xf numFmtId="0" fontId="48" fillId="0" borderId="1" xfId="177" applyFont="1" applyBorder="1" applyAlignment="1">
      <alignment horizontal="center" vertical="center"/>
    </xf>
    <xf numFmtId="0" fontId="48" fillId="0" borderId="36" xfId="177" applyFont="1" applyBorder="1" applyAlignment="1">
      <alignment horizontal="center" vertical="center"/>
    </xf>
    <xf numFmtId="0" fontId="45" fillId="28" borderId="27" xfId="0" applyFont="1" applyFill="1" applyBorder="1" applyAlignment="1" applyProtection="1">
      <protection locked="0"/>
    </xf>
    <xf numFmtId="0" fontId="45" fillId="28" borderId="24" xfId="0" applyFont="1" applyFill="1" applyBorder="1" applyAlignment="1"/>
  </cellXfs>
  <cellStyles count="250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48" xr:uid="{00000000-0005-0000-0000-000006000000}"/>
    <cellStyle name="20% - アクセント 2" xfId="7" builtinId="34" customBuiltin="1"/>
    <cellStyle name="20% - アクセント 2 2" xfId="8" xr:uid="{00000000-0005-0000-0000-000008000000}"/>
    <cellStyle name="20% - アクセント 2 3" xfId="9" xr:uid="{00000000-0005-0000-0000-000009000000}"/>
    <cellStyle name="20% - アクセント 2 4" xfId="10" xr:uid="{00000000-0005-0000-0000-00000A000000}"/>
    <cellStyle name="20% - アクセント 2 5" xfId="247" xr:uid="{00000000-0005-0000-0000-00000B000000}"/>
    <cellStyle name="20% - アクセント 3" xfId="11" builtinId="38" customBuiltin="1"/>
    <cellStyle name="20% - アクセント 3 2" xfId="12" xr:uid="{00000000-0005-0000-0000-00000D000000}"/>
    <cellStyle name="20% - アクセント 3 3" xfId="13" xr:uid="{00000000-0005-0000-0000-00000E000000}"/>
    <cellStyle name="20% - アクセント 3 4" xfId="14" xr:uid="{00000000-0005-0000-0000-00000F000000}"/>
    <cellStyle name="20% - アクセント 3 5" xfId="246" xr:uid="{00000000-0005-0000-0000-000010000000}"/>
    <cellStyle name="20% - アクセント 4" xfId="15" builtinId="42" customBuiltin="1"/>
    <cellStyle name="20% - アクセント 4 2" xfId="16" xr:uid="{00000000-0005-0000-0000-000012000000}"/>
    <cellStyle name="20% - アクセント 4 3" xfId="17" xr:uid="{00000000-0005-0000-0000-000013000000}"/>
    <cellStyle name="20% - アクセント 4 4" xfId="18" xr:uid="{00000000-0005-0000-0000-000014000000}"/>
    <cellStyle name="20% - アクセント 4 5" xfId="245" xr:uid="{00000000-0005-0000-0000-000015000000}"/>
    <cellStyle name="20% - アクセント 5" xfId="19" builtinId="46" customBuiltin="1"/>
    <cellStyle name="20% - アクセント 5 2" xfId="20" xr:uid="{00000000-0005-0000-0000-000017000000}"/>
    <cellStyle name="20% - アクセント 5 3" xfId="21" xr:uid="{00000000-0005-0000-0000-000018000000}"/>
    <cellStyle name="20% - アクセント 5 4" xfId="22" xr:uid="{00000000-0005-0000-0000-000019000000}"/>
    <cellStyle name="20% - アクセント 6" xfId="23" builtinId="50" customBuiltin="1"/>
    <cellStyle name="20% - アクセント 6 2" xfId="24" xr:uid="{00000000-0005-0000-0000-00001B000000}"/>
    <cellStyle name="20% - アクセント 6 3" xfId="25" xr:uid="{00000000-0005-0000-0000-00001C000000}"/>
    <cellStyle name="20% - アクセント 6 4" xfId="26" xr:uid="{00000000-0005-0000-0000-00001D000000}"/>
    <cellStyle name="20% - アクセント 6 5" xfId="244" xr:uid="{00000000-0005-0000-0000-00001E000000}"/>
    <cellStyle name="40% - アクセント 1" xfId="27" builtinId="31" customBuiltin="1"/>
    <cellStyle name="40% - アクセント 1 2" xfId="28" xr:uid="{00000000-0005-0000-0000-000020000000}"/>
    <cellStyle name="40% - アクセント 1 3" xfId="29" xr:uid="{00000000-0005-0000-0000-000021000000}"/>
    <cellStyle name="40% - アクセント 1 4" xfId="30" xr:uid="{00000000-0005-0000-0000-000022000000}"/>
    <cellStyle name="40% - アクセント 1 5" xfId="243" xr:uid="{00000000-0005-0000-0000-000023000000}"/>
    <cellStyle name="40% - アクセント 2" xfId="31" builtinId="35" customBuiltin="1"/>
    <cellStyle name="40% - アクセント 2 2" xfId="32" xr:uid="{00000000-0005-0000-0000-000025000000}"/>
    <cellStyle name="40% - アクセント 2 3" xfId="33" xr:uid="{00000000-0005-0000-0000-000026000000}"/>
    <cellStyle name="40% - アクセント 2 4" xfId="34" xr:uid="{00000000-0005-0000-0000-000027000000}"/>
    <cellStyle name="40% - アクセント 3" xfId="35" builtinId="39" customBuiltin="1"/>
    <cellStyle name="40% - アクセント 3 2" xfId="36" xr:uid="{00000000-0005-0000-0000-000029000000}"/>
    <cellStyle name="40% - アクセント 3 3" xfId="37" xr:uid="{00000000-0005-0000-0000-00002A000000}"/>
    <cellStyle name="40% - アクセント 3 4" xfId="38" xr:uid="{00000000-0005-0000-0000-00002B000000}"/>
    <cellStyle name="40% - アクセント 3 5" xfId="242" xr:uid="{00000000-0005-0000-0000-00002C000000}"/>
    <cellStyle name="40% - アクセント 4" xfId="39" builtinId="43" customBuiltin="1"/>
    <cellStyle name="40% - アクセント 4 2" xfId="40" xr:uid="{00000000-0005-0000-0000-00002E000000}"/>
    <cellStyle name="40% - アクセント 4 3" xfId="41" xr:uid="{00000000-0005-0000-0000-00002F000000}"/>
    <cellStyle name="40% - アクセント 4 4" xfId="42" xr:uid="{00000000-0005-0000-0000-000030000000}"/>
    <cellStyle name="40% - アクセント 4 5" xfId="241" xr:uid="{00000000-0005-0000-0000-000031000000}"/>
    <cellStyle name="40% - アクセント 5" xfId="43" builtinId="47" customBuiltin="1"/>
    <cellStyle name="40% - アクセント 5 2" xfId="44" xr:uid="{00000000-0005-0000-0000-000033000000}"/>
    <cellStyle name="40% - アクセント 5 3" xfId="45" xr:uid="{00000000-0005-0000-0000-000034000000}"/>
    <cellStyle name="40% - アクセント 5 4" xfId="46" xr:uid="{00000000-0005-0000-0000-000035000000}"/>
    <cellStyle name="40% - アクセント 5 5" xfId="240" xr:uid="{00000000-0005-0000-0000-000036000000}"/>
    <cellStyle name="40% - アクセント 6" xfId="47" builtinId="51" customBuiltin="1"/>
    <cellStyle name="40% - アクセント 6 2" xfId="48" xr:uid="{00000000-0005-0000-0000-000038000000}"/>
    <cellStyle name="40% - アクセント 6 3" xfId="49" xr:uid="{00000000-0005-0000-0000-000039000000}"/>
    <cellStyle name="40% - アクセント 6 4" xfId="50" xr:uid="{00000000-0005-0000-0000-00003A000000}"/>
    <cellStyle name="40% - アクセント 6 5" xfId="239" xr:uid="{00000000-0005-0000-0000-00003B000000}"/>
    <cellStyle name="60% - アクセント 1" xfId="51" builtinId="32" customBuiltin="1"/>
    <cellStyle name="60% - アクセント 1 2" xfId="52" xr:uid="{00000000-0005-0000-0000-00003D000000}"/>
    <cellStyle name="60% - アクセント 1 3" xfId="53" xr:uid="{00000000-0005-0000-0000-00003E000000}"/>
    <cellStyle name="60% - アクセント 1 4" xfId="54" xr:uid="{00000000-0005-0000-0000-00003F000000}"/>
    <cellStyle name="60% - アクセント 1 5" xfId="238" xr:uid="{00000000-0005-0000-0000-000040000000}"/>
    <cellStyle name="60% - アクセント 2" xfId="55" builtinId="36" customBuiltin="1"/>
    <cellStyle name="60% - アクセント 2 2" xfId="56" xr:uid="{00000000-0005-0000-0000-000042000000}"/>
    <cellStyle name="60% - アクセント 2 3" xfId="57" xr:uid="{00000000-0005-0000-0000-000043000000}"/>
    <cellStyle name="60% - アクセント 2 4" xfId="58" xr:uid="{00000000-0005-0000-0000-000044000000}"/>
    <cellStyle name="60% - アクセント 2 5" xfId="237" xr:uid="{00000000-0005-0000-0000-000045000000}"/>
    <cellStyle name="60% - アクセント 3" xfId="59" builtinId="40" customBuiltin="1"/>
    <cellStyle name="60% - アクセント 3 2" xfId="60" xr:uid="{00000000-0005-0000-0000-000047000000}"/>
    <cellStyle name="60% - アクセント 3 3" xfId="61" xr:uid="{00000000-0005-0000-0000-000048000000}"/>
    <cellStyle name="60% - アクセント 3 4" xfId="62" xr:uid="{00000000-0005-0000-0000-000049000000}"/>
    <cellStyle name="60% - アクセント 3 5" xfId="236" xr:uid="{00000000-0005-0000-0000-00004A000000}"/>
    <cellStyle name="60% - アクセント 4" xfId="63" builtinId="44" customBuiltin="1"/>
    <cellStyle name="60% - アクセント 4 2" xfId="64" xr:uid="{00000000-0005-0000-0000-00004C000000}"/>
    <cellStyle name="60% - アクセント 4 3" xfId="65" xr:uid="{00000000-0005-0000-0000-00004D000000}"/>
    <cellStyle name="60% - アクセント 4 4" xfId="66" xr:uid="{00000000-0005-0000-0000-00004E000000}"/>
    <cellStyle name="60% - アクセント 4 5" xfId="235" xr:uid="{00000000-0005-0000-0000-00004F000000}"/>
    <cellStyle name="60% - アクセント 5" xfId="67" builtinId="48" customBuiltin="1"/>
    <cellStyle name="60% - アクセント 5 2" xfId="68" xr:uid="{00000000-0005-0000-0000-000051000000}"/>
    <cellStyle name="60% - アクセント 5 3" xfId="69" xr:uid="{00000000-0005-0000-0000-000052000000}"/>
    <cellStyle name="60% - アクセント 5 4" xfId="70" xr:uid="{00000000-0005-0000-0000-000053000000}"/>
    <cellStyle name="60% - アクセント 5 5" xfId="234" xr:uid="{00000000-0005-0000-0000-000054000000}"/>
    <cellStyle name="60% - アクセント 6" xfId="71" builtinId="52" customBuiltin="1"/>
    <cellStyle name="60% - アクセント 6 2" xfId="72" xr:uid="{00000000-0005-0000-0000-000056000000}"/>
    <cellStyle name="60% - アクセント 6 3" xfId="73" xr:uid="{00000000-0005-0000-0000-000057000000}"/>
    <cellStyle name="60% - アクセント 6 4" xfId="74" xr:uid="{00000000-0005-0000-0000-000058000000}"/>
    <cellStyle name="60% - アクセント 6 5" xfId="233" xr:uid="{00000000-0005-0000-0000-000059000000}"/>
    <cellStyle name="Calc Currency (0)" xfId="75" xr:uid="{00000000-0005-0000-0000-00005A000000}"/>
    <cellStyle name="Comma [0]" xfId="188" xr:uid="{00000000-0005-0000-0000-00005B000000}"/>
    <cellStyle name="Comma [0] 2" xfId="189" xr:uid="{00000000-0005-0000-0000-00005C000000}"/>
    <cellStyle name="Currency [0]" xfId="190" xr:uid="{00000000-0005-0000-0000-00005D000000}"/>
    <cellStyle name="Grey" xfId="191" xr:uid="{00000000-0005-0000-0000-00005E000000}"/>
    <cellStyle name="Header1" xfId="76" xr:uid="{00000000-0005-0000-0000-00005F000000}"/>
    <cellStyle name="Header2" xfId="77" xr:uid="{00000000-0005-0000-0000-000060000000}"/>
    <cellStyle name="Input [yellow]" xfId="192" xr:uid="{00000000-0005-0000-0000-000061000000}"/>
    <cellStyle name="Normal - Style1" xfId="193" xr:uid="{00000000-0005-0000-0000-000062000000}"/>
    <cellStyle name="Normal_#18-Internet" xfId="78" xr:uid="{00000000-0005-0000-0000-000063000000}"/>
    <cellStyle name="Percent [2]" xfId="194" xr:uid="{00000000-0005-0000-0000-000064000000}"/>
    <cellStyle name="PSChar" xfId="79" xr:uid="{00000000-0005-0000-0000-000065000000}"/>
    <cellStyle name="PSHeading" xfId="80" xr:uid="{00000000-0005-0000-0000-000066000000}"/>
    <cellStyle name="u" xfId="81" xr:uid="{00000000-0005-0000-0000-000067000000}"/>
    <cellStyle name="アクセント 1" xfId="82" builtinId="29" customBuiltin="1"/>
    <cellStyle name="アクセント 1 2" xfId="83" xr:uid="{00000000-0005-0000-0000-000069000000}"/>
    <cellStyle name="アクセント 1 3" xfId="84" xr:uid="{00000000-0005-0000-0000-00006A000000}"/>
    <cellStyle name="アクセント 1 4" xfId="85" xr:uid="{00000000-0005-0000-0000-00006B000000}"/>
    <cellStyle name="アクセント 1 5" xfId="232" xr:uid="{00000000-0005-0000-0000-00006C000000}"/>
    <cellStyle name="アクセント 2" xfId="86" builtinId="33" customBuiltin="1"/>
    <cellStyle name="アクセント 2 2" xfId="87" xr:uid="{00000000-0005-0000-0000-00006E000000}"/>
    <cellStyle name="アクセント 2 3" xfId="88" xr:uid="{00000000-0005-0000-0000-00006F000000}"/>
    <cellStyle name="アクセント 2 4" xfId="89" xr:uid="{00000000-0005-0000-0000-000070000000}"/>
    <cellStyle name="アクセント 2 5" xfId="231" xr:uid="{00000000-0005-0000-0000-000071000000}"/>
    <cellStyle name="アクセント 3" xfId="90" builtinId="37" customBuiltin="1"/>
    <cellStyle name="アクセント 3 2" xfId="91" xr:uid="{00000000-0005-0000-0000-000073000000}"/>
    <cellStyle name="アクセント 3 3" xfId="92" xr:uid="{00000000-0005-0000-0000-000074000000}"/>
    <cellStyle name="アクセント 3 4" xfId="93" xr:uid="{00000000-0005-0000-0000-000075000000}"/>
    <cellStyle name="アクセント 3 5" xfId="230" xr:uid="{00000000-0005-0000-0000-000076000000}"/>
    <cellStyle name="アクセント 4" xfId="94" builtinId="41" customBuiltin="1"/>
    <cellStyle name="アクセント 4 2" xfId="95" xr:uid="{00000000-0005-0000-0000-000078000000}"/>
    <cellStyle name="アクセント 4 3" xfId="96" xr:uid="{00000000-0005-0000-0000-000079000000}"/>
    <cellStyle name="アクセント 4 4" xfId="97" xr:uid="{00000000-0005-0000-0000-00007A000000}"/>
    <cellStyle name="アクセント 4 5" xfId="229" xr:uid="{00000000-0005-0000-0000-00007B000000}"/>
    <cellStyle name="アクセント 5" xfId="98" builtinId="45" customBuiltin="1"/>
    <cellStyle name="アクセント 5 2" xfId="99" xr:uid="{00000000-0005-0000-0000-00007D000000}"/>
    <cellStyle name="アクセント 5 3" xfId="100" xr:uid="{00000000-0005-0000-0000-00007E000000}"/>
    <cellStyle name="アクセント 5 4" xfId="101" xr:uid="{00000000-0005-0000-0000-00007F000000}"/>
    <cellStyle name="アクセント 6" xfId="102" builtinId="49" customBuiltin="1"/>
    <cellStyle name="アクセント 6 2" xfId="103" xr:uid="{00000000-0005-0000-0000-000081000000}"/>
    <cellStyle name="アクセント 6 3" xfId="104" xr:uid="{00000000-0005-0000-0000-000082000000}"/>
    <cellStyle name="アクセント 6 4" xfId="105" xr:uid="{00000000-0005-0000-0000-000083000000}"/>
    <cellStyle name="アクセント 6 5" xfId="228" xr:uid="{00000000-0005-0000-0000-000084000000}"/>
    <cellStyle name="タイトル" xfId="106" builtinId="15" customBuiltin="1"/>
    <cellStyle name="タイトル 2" xfId="107" xr:uid="{00000000-0005-0000-0000-000086000000}"/>
    <cellStyle name="タイトル 3" xfId="108" xr:uid="{00000000-0005-0000-0000-000087000000}"/>
    <cellStyle name="タイトル 4" xfId="109" xr:uid="{00000000-0005-0000-0000-000088000000}"/>
    <cellStyle name="タイトル 5" xfId="227" xr:uid="{00000000-0005-0000-0000-000089000000}"/>
    <cellStyle name="チェック セル" xfId="110" builtinId="23" customBuiltin="1"/>
    <cellStyle name="チェック セル 2" xfId="111" xr:uid="{00000000-0005-0000-0000-00008B000000}"/>
    <cellStyle name="チェック セル 3" xfId="112" xr:uid="{00000000-0005-0000-0000-00008C000000}"/>
    <cellStyle name="チェック セル 4" xfId="113" xr:uid="{00000000-0005-0000-0000-00008D000000}"/>
    <cellStyle name="どちらでもない" xfId="114" builtinId="28" customBuiltin="1"/>
    <cellStyle name="どちらでもない 2" xfId="115" xr:uid="{00000000-0005-0000-0000-00008F000000}"/>
    <cellStyle name="どちらでもない 3" xfId="116" xr:uid="{00000000-0005-0000-0000-000090000000}"/>
    <cellStyle name="どちらでもない 4" xfId="117" xr:uid="{00000000-0005-0000-0000-000091000000}"/>
    <cellStyle name="どちらでもない 5" xfId="226" xr:uid="{00000000-0005-0000-0000-000092000000}"/>
    <cellStyle name="メモ" xfId="118" builtinId="10" customBuiltin="1"/>
    <cellStyle name="メモ 2" xfId="119" xr:uid="{00000000-0005-0000-0000-000094000000}"/>
    <cellStyle name="メモ 3" xfId="120" xr:uid="{00000000-0005-0000-0000-000095000000}"/>
    <cellStyle name="メモ 4" xfId="121" xr:uid="{00000000-0005-0000-0000-000096000000}"/>
    <cellStyle name="メモ 5" xfId="225" xr:uid="{00000000-0005-0000-0000-000097000000}"/>
    <cellStyle name="リンク セル" xfId="122" builtinId="24" customBuiltin="1"/>
    <cellStyle name="リンク セル 2" xfId="123" xr:uid="{00000000-0005-0000-0000-000099000000}"/>
    <cellStyle name="リンク セル 3" xfId="124" xr:uid="{00000000-0005-0000-0000-00009A000000}"/>
    <cellStyle name="リンク セル 4" xfId="125" xr:uid="{00000000-0005-0000-0000-00009B000000}"/>
    <cellStyle name="リンク セル 5" xfId="224" xr:uid="{00000000-0005-0000-0000-00009C000000}"/>
    <cellStyle name="_x001d__x000c_K_x0014__x000d_&gt;V_x0001_&gt;_x0014_n_x001e__x0007__x0001__x0001_" xfId="126" xr:uid="{00000000-0005-0000-0000-00009D000000}"/>
    <cellStyle name="_x001d__x000c_K_x0014__x000d_&gt;V_x0001_&gt;_x0014_n_x001e__x0007__x0001__x0001_ 2" xfId="195" xr:uid="{00000000-0005-0000-0000-00009E000000}"/>
    <cellStyle name="_x001d__x000c_K_x0014__x000d_&gt;V_x0001_&gt;_x0014_n_x001e__x0007__x0001__x0001_ 3" xfId="196" xr:uid="{00000000-0005-0000-0000-00009F000000}"/>
    <cellStyle name="悪い" xfId="127" builtinId="27" customBuiltin="1"/>
    <cellStyle name="悪い 2" xfId="128" xr:uid="{00000000-0005-0000-0000-0000A1000000}"/>
    <cellStyle name="悪い 3" xfId="129" xr:uid="{00000000-0005-0000-0000-0000A2000000}"/>
    <cellStyle name="悪い 4" xfId="130" xr:uid="{00000000-0005-0000-0000-0000A3000000}"/>
    <cellStyle name="悪い 5" xfId="223" xr:uid="{00000000-0005-0000-0000-0000A4000000}"/>
    <cellStyle name="計算" xfId="131" builtinId="22" customBuiltin="1"/>
    <cellStyle name="計算 2" xfId="132" xr:uid="{00000000-0005-0000-0000-0000A6000000}"/>
    <cellStyle name="計算 3" xfId="133" xr:uid="{00000000-0005-0000-0000-0000A7000000}"/>
    <cellStyle name="計算 4" xfId="134" xr:uid="{00000000-0005-0000-0000-0000A8000000}"/>
    <cellStyle name="計算 5" xfId="222" xr:uid="{00000000-0005-0000-0000-0000A9000000}"/>
    <cellStyle name="警告文" xfId="135" builtinId="11" customBuiltin="1"/>
    <cellStyle name="警告文 2" xfId="136" xr:uid="{00000000-0005-0000-0000-0000AB000000}"/>
    <cellStyle name="警告文 3" xfId="137" xr:uid="{00000000-0005-0000-0000-0000AC000000}"/>
    <cellStyle name="警告文 4" xfId="138" xr:uid="{00000000-0005-0000-0000-0000AD000000}"/>
    <cellStyle name="桁区切り 2" xfId="209" xr:uid="{00000000-0005-0000-0000-0000AE000000}"/>
    <cellStyle name="見出し 1" xfId="139" builtinId="16" customBuiltin="1"/>
    <cellStyle name="見出し 1 2" xfId="140" xr:uid="{00000000-0005-0000-0000-0000B0000000}"/>
    <cellStyle name="見出し 1 3" xfId="141" xr:uid="{00000000-0005-0000-0000-0000B1000000}"/>
    <cellStyle name="見出し 1 4" xfId="142" xr:uid="{00000000-0005-0000-0000-0000B2000000}"/>
    <cellStyle name="見出し 1 5" xfId="221" xr:uid="{00000000-0005-0000-0000-0000B3000000}"/>
    <cellStyle name="見出し 2" xfId="143" builtinId="17" customBuiltin="1"/>
    <cellStyle name="見出し 2 2" xfId="144" xr:uid="{00000000-0005-0000-0000-0000B5000000}"/>
    <cellStyle name="見出し 2 3" xfId="145" xr:uid="{00000000-0005-0000-0000-0000B6000000}"/>
    <cellStyle name="見出し 2 4" xfId="146" xr:uid="{00000000-0005-0000-0000-0000B7000000}"/>
    <cellStyle name="見出し 2 5" xfId="220" xr:uid="{00000000-0005-0000-0000-0000B8000000}"/>
    <cellStyle name="見出し 3" xfId="147" builtinId="18" customBuiltin="1"/>
    <cellStyle name="見出し 3 2" xfId="148" xr:uid="{00000000-0005-0000-0000-0000BA000000}"/>
    <cellStyle name="見出し 3 3" xfId="149" xr:uid="{00000000-0005-0000-0000-0000BB000000}"/>
    <cellStyle name="見出し 3 4" xfId="150" xr:uid="{00000000-0005-0000-0000-0000BC000000}"/>
    <cellStyle name="見出し 3 5" xfId="219" xr:uid="{00000000-0005-0000-0000-0000BD000000}"/>
    <cellStyle name="見出し 4" xfId="151" builtinId="19" customBuiltin="1"/>
    <cellStyle name="見出し 4 2" xfId="152" xr:uid="{00000000-0005-0000-0000-0000BF000000}"/>
    <cellStyle name="見出し 4 3" xfId="153" xr:uid="{00000000-0005-0000-0000-0000C0000000}"/>
    <cellStyle name="見出し 4 4" xfId="154" xr:uid="{00000000-0005-0000-0000-0000C1000000}"/>
    <cellStyle name="見出し 4 5" xfId="218" xr:uid="{00000000-0005-0000-0000-0000C2000000}"/>
    <cellStyle name="作業ﾌﾛｰ" xfId="197" xr:uid="{00000000-0005-0000-0000-0000C3000000}"/>
    <cellStyle name="資料" xfId="198" xr:uid="{00000000-0005-0000-0000-0000C4000000}"/>
    <cellStyle name="資料２" xfId="199" xr:uid="{00000000-0005-0000-0000-0000C5000000}"/>
    <cellStyle name="集計" xfId="155" builtinId="25" customBuiltin="1"/>
    <cellStyle name="集計 2" xfId="156" xr:uid="{00000000-0005-0000-0000-0000C7000000}"/>
    <cellStyle name="集計 3" xfId="157" xr:uid="{00000000-0005-0000-0000-0000C8000000}"/>
    <cellStyle name="集計 4" xfId="158" xr:uid="{00000000-0005-0000-0000-0000C9000000}"/>
    <cellStyle name="集計 5" xfId="217" xr:uid="{00000000-0005-0000-0000-0000CA000000}"/>
    <cellStyle name="出力" xfId="159" builtinId="21" customBuiltin="1"/>
    <cellStyle name="出力 2" xfId="160" xr:uid="{00000000-0005-0000-0000-0000CC000000}"/>
    <cellStyle name="出力 3" xfId="161" xr:uid="{00000000-0005-0000-0000-0000CD000000}"/>
    <cellStyle name="出力 4" xfId="162" xr:uid="{00000000-0005-0000-0000-0000CE000000}"/>
    <cellStyle name="出力 5" xfId="216" xr:uid="{00000000-0005-0000-0000-0000CF000000}"/>
    <cellStyle name="説明文" xfId="163" builtinId="53" customBuiltin="1"/>
    <cellStyle name="説明文 2" xfId="164" xr:uid="{00000000-0005-0000-0000-0000D1000000}"/>
    <cellStyle name="説明文 3" xfId="165" xr:uid="{00000000-0005-0000-0000-0000D2000000}"/>
    <cellStyle name="説明文 4" xfId="166" xr:uid="{00000000-0005-0000-0000-0000D3000000}"/>
    <cellStyle name="入力" xfId="167" builtinId="20" customBuiltin="1"/>
    <cellStyle name="入力 2" xfId="168" xr:uid="{00000000-0005-0000-0000-0000D5000000}"/>
    <cellStyle name="入力 3" xfId="169" xr:uid="{00000000-0005-0000-0000-0000D6000000}"/>
    <cellStyle name="入力 4" xfId="170" xr:uid="{00000000-0005-0000-0000-0000D7000000}"/>
    <cellStyle name="入力 5" xfId="215" xr:uid="{00000000-0005-0000-0000-0000D8000000}"/>
    <cellStyle name="標準" xfId="0" builtinId="0"/>
    <cellStyle name="標準 10" xfId="208" xr:uid="{00000000-0005-0000-0000-0000DA000000}"/>
    <cellStyle name="標準 11" xfId="212" xr:uid="{00000000-0005-0000-0000-0000DB000000}"/>
    <cellStyle name="標準 12" xfId="210" xr:uid="{00000000-0005-0000-0000-0000DC000000}"/>
    <cellStyle name="標準 13" xfId="211" xr:uid="{00000000-0005-0000-0000-0000DD000000}"/>
    <cellStyle name="標準 14" xfId="202" xr:uid="{00000000-0005-0000-0000-0000DE000000}"/>
    <cellStyle name="標準 15" xfId="213" xr:uid="{00000000-0005-0000-0000-0000DF000000}"/>
    <cellStyle name="標準 16" xfId="207" xr:uid="{00000000-0005-0000-0000-0000E0000000}"/>
    <cellStyle name="標準 2" xfId="171" xr:uid="{00000000-0005-0000-0000-0000E1000000}"/>
    <cellStyle name="標準 2 2" xfId="200" xr:uid="{00000000-0005-0000-0000-0000E2000000}"/>
    <cellStyle name="標準 3" xfId="172" xr:uid="{00000000-0005-0000-0000-0000E3000000}"/>
    <cellStyle name="標準 3 2" xfId="201" xr:uid="{00000000-0005-0000-0000-0000E4000000}"/>
    <cellStyle name="標準 4" xfId="173" xr:uid="{00000000-0005-0000-0000-0000E5000000}"/>
    <cellStyle name="標準 5" xfId="174" xr:uid="{00000000-0005-0000-0000-0000E6000000}"/>
    <cellStyle name="標準 6" xfId="175" xr:uid="{00000000-0005-0000-0000-0000E7000000}"/>
    <cellStyle name="標準 7" xfId="176" xr:uid="{00000000-0005-0000-0000-0000E8000000}"/>
    <cellStyle name="標準 8" xfId="203" xr:uid="{00000000-0005-0000-0000-0000E9000000}"/>
    <cellStyle name="標準 8 2" xfId="249" xr:uid="{00000000-0005-0000-0000-0000EA000000}"/>
    <cellStyle name="標準 9" xfId="187" xr:uid="{00000000-0005-0000-0000-0000EB000000}"/>
    <cellStyle name="標準_02_変更来歴例" xfId="177" xr:uid="{00000000-0005-0000-0000-0000EC000000}"/>
    <cellStyle name="標準_A00200 オーダー状況" xfId="178" xr:uid="{00000000-0005-0000-0000-0000ED000000}"/>
    <cellStyle name="標準_LogicCommon" xfId="179" xr:uid="{00000000-0005-0000-0000-0000EE000000}"/>
    <cellStyle name="標準_Srch01_1" xfId="180" xr:uid="{00000000-0005-0000-0000-0000EF000000}"/>
    <cellStyle name="標準_変更来歴_1" xfId="181" xr:uid="{00000000-0005-0000-0000-0000F0000000}"/>
    <cellStyle name="標準2" xfId="204" xr:uid="{00000000-0005-0000-0000-0000F1000000}"/>
    <cellStyle name="標準２" xfId="205" xr:uid="{00000000-0005-0000-0000-0000F2000000}"/>
    <cellStyle name="標準2_DAIICH" xfId="206" xr:uid="{00000000-0005-0000-0000-0000F3000000}"/>
    <cellStyle name="未定義" xfId="182" xr:uid="{00000000-0005-0000-0000-0000F4000000}"/>
    <cellStyle name="良い" xfId="183" builtinId="26" customBuiltin="1"/>
    <cellStyle name="良い 2" xfId="184" xr:uid="{00000000-0005-0000-0000-0000F6000000}"/>
    <cellStyle name="良い 3" xfId="185" xr:uid="{00000000-0005-0000-0000-0000F7000000}"/>
    <cellStyle name="良い 4" xfId="186" xr:uid="{00000000-0005-0000-0000-0000F8000000}"/>
    <cellStyle name="良い 5" xfId="214" xr:uid="{00000000-0005-0000-0000-0000F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2</v>
      </c>
      <c r="B2" s="7" t="s">
        <v>11</v>
      </c>
      <c r="C2" s="8" t="s">
        <v>34</v>
      </c>
      <c r="D2" s="7" t="s">
        <v>8</v>
      </c>
      <c r="E2" s="9" t="s">
        <v>40</v>
      </c>
      <c r="F2" s="7" t="s">
        <v>30</v>
      </c>
      <c r="G2" s="9" t="s">
        <v>6</v>
      </c>
      <c r="H2" s="7"/>
      <c r="I2" s="10"/>
    </row>
    <row r="3" spans="1:12">
      <c r="A3" s="11"/>
      <c r="B3" s="7" t="s">
        <v>12</v>
      </c>
      <c r="C3" s="12" t="s">
        <v>38</v>
      </c>
      <c r="D3" s="7" t="s">
        <v>9</v>
      </c>
      <c r="E3" s="9" t="s">
        <v>85</v>
      </c>
      <c r="F3" s="7" t="s">
        <v>31</v>
      </c>
      <c r="G3" s="9"/>
      <c r="H3" s="7"/>
      <c r="I3" s="9"/>
    </row>
    <row r="4" spans="1:12">
      <c r="A4" s="3"/>
      <c r="B4" s="7"/>
      <c r="C4" s="74"/>
      <c r="D4" s="7" t="s">
        <v>10</v>
      </c>
      <c r="E4" s="13" t="s">
        <v>41</v>
      </c>
      <c r="F4" s="7" t="s">
        <v>4</v>
      </c>
      <c r="G4" s="9" t="s">
        <v>120</v>
      </c>
      <c r="H4" s="14"/>
      <c r="I4" s="15"/>
    </row>
    <row r="5" spans="1:12">
      <c r="A5" s="6" t="s">
        <v>5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3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21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6328125" style="29" customWidth="1"/>
    <col min="12" max="12" width="16.0898437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>
      <c r="A1" s="76" t="s">
        <v>99</v>
      </c>
      <c r="B1" s="76" t="s">
        <v>99</v>
      </c>
      <c r="C1" s="76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7" t="s">
        <v>99</v>
      </c>
      <c r="B2" s="78"/>
      <c r="C2" s="78"/>
      <c r="D2" s="88" t="s">
        <v>125</v>
      </c>
      <c r="E2" s="7" t="s">
        <v>11</v>
      </c>
      <c r="F2" s="79" t="str">
        <f>IF(LogicCommon!C2="","",LogicCommon!C2)</f>
        <v>MA</v>
      </c>
      <c r="G2" s="7" t="s">
        <v>8</v>
      </c>
      <c r="H2" s="79" t="str">
        <f>IF(LogicCommon!E2="","",LogicCommon!E2)</f>
        <v>MABCL0260</v>
      </c>
      <c r="I2" s="7" t="s">
        <v>100</v>
      </c>
      <c r="J2" s="9" t="s">
        <v>87</v>
      </c>
      <c r="K2" s="7" t="s">
        <v>30</v>
      </c>
      <c r="L2" s="79" t="s">
        <v>6</v>
      </c>
      <c r="M2" s="5" t="s">
        <v>101</v>
      </c>
      <c r="N2" s="28" t="str">
        <f>L4 &amp; ".Checker"</f>
        <v>MA.MAUDL5010.Checker</v>
      </c>
      <c r="O2" s="7"/>
      <c r="P2" s="7"/>
      <c r="Q2" s="4"/>
    </row>
    <row r="3" spans="1:17" s="11" customFormat="1">
      <c r="A3" s="80" t="s">
        <v>99</v>
      </c>
      <c r="B3" s="81"/>
      <c r="C3" s="81"/>
      <c r="D3" s="82" t="s">
        <v>84</v>
      </c>
      <c r="E3" s="7" t="s">
        <v>12</v>
      </c>
      <c r="F3" s="79" t="str">
        <f>IF(LogicCommon!C3="","",LogicCommon!C3)</f>
        <v>MABC</v>
      </c>
      <c r="G3" s="7" t="s">
        <v>9</v>
      </c>
      <c r="H3" s="79" t="str">
        <f>IF(LogicCommon!E3="","",LogicCommon!E3)</f>
        <v>MABCL_UsrImageReg</v>
      </c>
      <c r="I3" s="7" t="s">
        <v>102</v>
      </c>
      <c r="J3" s="9" t="s">
        <v>49</v>
      </c>
      <c r="K3" s="7" t="s">
        <v>31</v>
      </c>
      <c r="L3" s="79" t="s">
        <v>84</v>
      </c>
      <c r="M3" s="83" t="s">
        <v>70</v>
      </c>
      <c r="N3" s="7"/>
      <c r="O3" s="7" t="s">
        <v>103</v>
      </c>
      <c r="P3" s="9" t="s">
        <v>104</v>
      </c>
      <c r="Q3" s="4"/>
    </row>
    <row r="4" spans="1:17" s="11" customFormat="1">
      <c r="A4" s="80" t="s">
        <v>99</v>
      </c>
      <c r="B4" s="81"/>
      <c r="C4" s="81"/>
      <c r="D4" s="4"/>
      <c r="E4" s="7" t="s">
        <v>7</v>
      </c>
      <c r="F4" s="10" t="s">
        <v>119</v>
      </c>
      <c r="G4" s="7" t="s">
        <v>10</v>
      </c>
      <c r="H4" s="79" t="str">
        <f>IF(LogicCommon!E4="","",LogicCommon!E4)</f>
        <v>担当者画像登録</v>
      </c>
      <c r="I4" s="7" t="s">
        <v>105</v>
      </c>
      <c r="J4" s="9" t="s">
        <v>95</v>
      </c>
      <c r="K4" s="7" t="s">
        <v>4</v>
      </c>
      <c r="L4" s="79" t="str">
        <f>IF(LogicCommon!G4="","",LogicCommon!G4)</f>
        <v>MA.MAUDL5010</v>
      </c>
      <c r="M4" s="84"/>
      <c r="N4" s="28"/>
      <c r="O4" s="14"/>
      <c r="P4" s="4"/>
      <c r="Q4" s="4"/>
    </row>
    <row r="5" spans="1:17" s="11" customFormat="1">
      <c r="A5" s="85" t="s">
        <v>99</v>
      </c>
      <c r="B5" s="76"/>
      <c r="C5" s="76"/>
      <c r="D5" s="26"/>
      <c r="E5" s="7" t="s">
        <v>106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</row>
    <row r="6" spans="1:17" s="11" customFormat="1">
      <c r="A6" s="80" t="s">
        <v>99</v>
      </c>
      <c r="B6" s="81"/>
      <c r="C6" s="81"/>
      <c r="D6" s="4" t="s">
        <v>5</v>
      </c>
      <c r="E6" s="16" t="s">
        <v>92</v>
      </c>
      <c r="F6" s="16"/>
      <c r="G6" s="16"/>
      <c r="H6" s="16"/>
      <c r="I6" s="16"/>
      <c r="J6" s="16"/>
      <c r="K6" s="16"/>
      <c r="L6" s="87"/>
      <c r="M6" s="19" t="s">
        <v>98</v>
      </c>
      <c r="N6" s="19"/>
      <c r="O6" s="19"/>
      <c r="P6" s="19"/>
      <c r="Q6" s="19"/>
    </row>
    <row r="7" spans="1:17" s="11" customFormat="1">
      <c r="A7" s="30" t="s">
        <v>56</v>
      </c>
      <c r="B7" s="30"/>
      <c r="C7" s="30"/>
      <c r="D7" s="31"/>
      <c r="E7" s="31"/>
      <c r="F7" s="31"/>
      <c r="G7" s="31"/>
      <c r="H7" s="31"/>
      <c r="I7" s="31" t="s">
        <v>71</v>
      </c>
      <c r="J7" s="31"/>
      <c r="K7" s="32" t="s">
        <v>35</v>
      </c>
      <c r="L7" s="33" t="s">
        <v>60</v>
      </c>
      <c r="M7" s="32"/>
      <c r="N7" s="29"/>
      <c r="O7" s="29"/>
      <c r="P7" s="29"/>
      <c r="Q7" s="29"/>
    </row>
    <row r="8" spans="1:17" s="11" customFormat="1" ht="60" customHeight="1">
      <c r="A8" s="55" t="s">
        <v>14</v>
      </c>
      <c r="B8" s="91"/>
      <c r="C8" s="92"/>
      <c r="D8" s="89" t="s">
        <v>126</v>
      </c>
      <c r="E8" s="89" t="s">
        <v>127</v>
      </c>
      <c r="F8" s="87"/>
      <c r="G8" s="89" t="s">
        <v>112</v>
      </c>
      <c r="H8" s="89" t="s">
        <v>128</v>
      </c>
      <c r="I8" s="87"/>
      <c r="J8" s="3"/>
      <c r="K8" s="34" t="s">
        <v>72</v>
      </c>
      <c r="L8" s="33" t="s">
        <v>63</v>
      </c>
      <c r="M8" s="34"/>
      <c r="N8" s="93"/>
      <c r="O8" s="94"/>
      <c r="P8" s="95" t="s">
        <v>129</v>
      </c>
      <c r="Q8" s="57"/>
    </row>
    <row r="9" spans="1:17" s="11" customFormat="1" ht="60" customHeight="1">
      <c r="A9" s="9" t="s">
        <v>14</v>
      </c>
      <c r="B9" s="37"/>
      <c r="C9" s="38"/>
      <c r="D9" s="89" t="s">
        <v>130</v>
      </c>
      <c r="E9" s="96" t="s">
        <v>131</v>
      </c>
      <c r="F9" s="89" t="s">
        <v>132</v>
      </c>
      <c r="G9" s="89" t="s">
        <v>133</v>
      </c>
      <c r="H9" s="89" t="s">
        <v>134</v>
      </c>
      <c r="I9" s="97" t="s">
        <v>135</v>
      </c>
      <c r="J9" s="89" t="s">
        <v>136</v>
      </c>
      <c r="K9" s="98"/>
      <c r="L9" s="33"/>
      <c r="M9" s="33"/>
      <c r="N9" s="95" t="s">
        <v>137</v>
      </c>
      <c r="O9" s="57"/>
      <c r="P9" s="95" t="s">
        <v>138</v>
      </c>
      <c r="Q9" s="57"/>
    </row>
    <row r="10" spans="1:17" s="11" customFormat="1" ht="52">
      <c r="A10" s="41" t="s">
        <v>73</v>
      </c>
      <c r="B10" s="42"/>
      <c r="C10" s="42"/>
      <c r="D10" s="43"/>
      <c r="E10" s="39"/>
      <c r="F10" s="39"/>
      <c r="G10" s="39"/>
      <c r="H10" s="40"/>
      <c r="I10" s="39"/>
      <c r="J10" s="40"/>
      <c r="K10" s="44"/>
      <c r="L10" s="90" t="s">
        <v>135</v>
      </c>
      <c r="M10" s="90" t="s">
        <v>136</v>
      </c>
      <c r="N10" s="39"/>
      <c r="O10" s="39"/>
      <c r="P10" s="46"/>
      <c r="Q10" s="36"/>
    </row>
    <row r="11" spans="1:17" s="11" customFormat="1">
      <c r="A11" s="9">
        <v>10</v>
      </c>
      <c r="B11" s="37" t="s">
        <v>0</v>
      </c>
      <c r="C11" s="38"/>
      <c r="D11" s="28" t="s">
        <v>86</v>
      </c>
      <c r="E11" s="47" t="s">
        <v>74</v>
      </c>
      <c r="F11" s="48"/>
      <c r="G11" s="28"/>
      <c r="H11" s="49"/>
      <c r="I11" s="50"/>
      <c r="J11" s="51"/>
      <c r="K11" s="51"/>
      <c r="L11" s="53"/>
      <c r="M11" s="53"/>
      <c r="N11" s="35"/>
      <c r="O11" s="36"/>
      <c r="P11" s="75"/>
      <c r="Q11" s="54"/>
    </row>
    <row r="12" spans="1:17" s="11" customFormat="1">
      <c r="A12" s="9">
        <v>10</v>
      </c>
      <c r="B12" s="9"/>
      <c r="C12" s="9"/>
      <c r="D12" s="9" t="s">
        <v>42</v>
      </c>
      <c r="E12" s="55" t="s">
        <v>43</v>
      </c>
      <c r="F12" s="55"/>
      <c r="G12" s="56" t="s">
        <v>139</v>
      </c>
      <c r="H12" s="56" t="s">
        <v>107</v>
      </c>
      <c r="I12" s="9" t="s">
        <v>108</v>
      </c>
      <c r="J12" s="9"/>
      <c r="K12" s="9" t="s">
        <v>109</v>
      </c>
      <c r="L12" s="9"/>
      <c r="M12" s="9"/>
      <c r="N12" s="43"/>
      <c r="O12" s="57"/>
      <c r="P12" s="147"/>
      <c r="Q12" s="148"/>
    </row>
    <row r="13" spans="1:17" s="11" customFormat="1">
      <c r="A13" s="9">
        <v>10</v>
      </c>
      <c r="B13" s="9"/>
      <c r="C13" s="9"/>
      <c r="D13" s="9" t="s">
        <v>48</v>
      </c>
      <c r="E13" s="55" t="s">
        <v>39</v>
      </c>
      <c r="F13" s="55"/>
      <c r="G13" s="56" t="s">
        <v>140</v>
      </c>
      <c r="H13" s="56" t="s">
        <v>110</v>
      </c>
      <c r="I13" s="9" t="s">
        <v>108</v>
      </c>
      <c r="J13" s="9"/>
      <c r="K13" s="9"/>
      <c r="L13" s="9"/>
      <c r="M13" s="9"/>
      <c r="N13" s="43"/>
      <c r="O13" s="57"/>
      <c r="P13" s="147"/>
      <c r="Q13" s="148"/>
    </row>
    <row r="14" spans="1:17" s="11" customFormat="1">
      <c r="A14" s="9">
        <v>10</v>
      </c>
      <c r="B14" s="9"/>
      <c r="C14" s="9"/>
      <c r="D14" s="9" t="s">
        <v>68</v>
      </c>
      <c r="E14" s="55" t="s">
        <v>33</v>
      </c>
      <c r="F14" s="55"/>
      <c r="G14" s="56" t="s">
        <v>141</v>
      </c>
      <c r="H14" s="56" t="s">
        <v>111</v>
      </c>
      <c r="I14" s="9" t="s">
        <v>108</v>
      </c>
      <c r="J14" s="9"/>
      <c r="K14" s="9"/>
      <c r="L14" s="9"/>
      <c r="M14" s="9"/>
      <c r="N14" s="43"/>
      <c r="O14" s="57"/>
      <c r="P14" s="147"/>
      <c r="Q14" s="148"/>
    </row>
    <row r="15" spans="1:17" s="11" customFormat="1">
      <c r="A15" s="58"/>
      <c r="B15" s="59"/>
      <c r="C15" s="59"/>
      <c r="D15" s="27" t="s">
        <v>69</v>
      </c>
      <c r="E15" s="29"/>
      <c r="F15" s="29"/>
      <c r="G15" s="29"/>
      <c r="H15" s="29"/>
      <c r="I15" s="29"/>
      <c r="J15" s="29"/>
      <c r="K15" s="29"/>
      <c r="L15" s="29"/>
      <c r="M15" s="29"/>
      <c r="N15" s="4"/>
      <c r="O15" s="4"/>
      <c r="P15" s="6"/>
      <c r="Q15" s="23"/>
    </row>
    <row r="16" spans="1:17" s="11" customFormat="1">
      <c r="A16" s="80"/>
      <c r="Q16" s="60"/>
    </row>
    <row r="17" spans="1:17" s="11" customFormat="1">
      <c r="A17" s="80"/>
      <c r="Q17" s="60"/>
    </row>
    <row r="18" spans="1:17" s="11" customFormat="1">
      <c r="A18" s="80"/>
      <c r="Q18" s="60"/>
    </row>
    <row r="19" spans="1:17" s="11" customFormat="1">
      <c r="A19" s="80"/>
      <c r="Q19" s="60"/>
    </row>
    <row r="20" spans="1:17" s="11" customFormat="1">
      <c r="A20" s="80"/>
      <c r="Q20" s="60"/>
    </row>
    <row r="21" spans="1:17" s="11" customFormat="1">
      <c r="A21" s="85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20"/>
    </row>
  </sheetData>
  <dataConsolidate/>
  <mergeCells count="3">
    <mergeCell ref="P14:Q14"/>
    <mergeCell ref="P13:Q13"/>
    <mergeCell ref="P12:Q1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1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>
      <c r="A1" s="76" t="s">
        <v>99</v>
      </c>
      <c r="B1" s="76" t="s">
        <v>99</v>
      </c>
      <c r="C1" s="76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>
      <c r="A2" s="77" t="s">
        <v>99</v>
      </c>
      <c r="B2" s="78"/>
      <c r="C2" s="78"/>
      <c r="D2" s="88" t="s">
        <v>125</v>
      </c>
      <c r="E2" s="7" t="s">
        <v>11</v>
      </c>
      <c r="F2" s="79" t="str">
        <f>IF(LogicCommon!C2="","",LogicCommon!C2)</f>
        <v>MA</v>
      </c>
      <c r="G2" s="7" t="s">
        <v>8</v>
      </c>
      <c r="H2" s="79" t="str">
        <f>IF(LogicCommon!E2="","",LogicCommon!E2)</f>
        <v>MABCL0260</v>
      </c>
      <c r="I2" s="7" t="s">
        <v>100</v>
      </c>
      <c r="J2" s="9" t="s">
        <v>89</v>
      </c>
      <c r="K2" s="7" t="s">
        <v>30</v>
      </c>
      <c r="L2" s="79" t="s">
        <v>6</v>
      </c>
      <c r="M2" s="5" t="s">
        <v>101</v>
      </c>
      <c r="N2" s="28" t="s">
        <v>121</v>
      </c>
      <c r="O2" s="7"/>
      <c r="P2" s="7"/>
      <c r="Q2" s="4"/>
      <c r="R2" s="27"/>
      <c r="S2" s="4"/>
      <c r="T2" s="27"/>
      <c r="U2" s="27"/>
      <c r="V2" s="27"/>
    </row>
    <row r="3" spans="1:22" s="11" customFormat="1">
      <c r="A3" s="80" t="s">
        <v>99</v>
      </c>
      <c r="B3" s="81"/>
      <c r="C3" s="81"/>
      <c r="D3" s="82" t="s">
        <v>84</v>
      </c>
      <c r="E3" s="7" t="s">
        <v>12</v>
      </c>
      <c r="F3" s="79" t="str">
        <f>IF(LogicCommon!C3="","",LogicCommon!C3)</f>
        <v>MABC</v>
      </c>
      <c r="G3" s="7" t="s">
        <v>9</v>
      </c>
      <c r="H3" s="79" t="str">
        <f>IF(LogicCommon!E3="","",LogicCommon!E3)</f>
        <v>MABCL_UsrImageReg</v>
      </c>
      <c r="I3" s="7" t="s">
        <v>102</v>
      </c>
      <c r="J3" s="9" t="s">
        <v>75</v>
      </c>
      <c r="K3" s="7" t="s">
        <v>31</v>
      </c>
      <c r="L3" s="79" t="s">
        <v>84</v>
      </c>
      <c r="M3" s="83" t="s">
        <v>76</v>
      </c>
      <c r="N3" s="7"/>
      <c r="O3" s="7" t="s">
        <v>103</v>
      </c>
      <c r="P3" s="9" t="s">
        <v>104</v>
      </c>
      <c r="Q3" s="4"/>
      <c r="R3" s="27"/>
      <c r="S3" s="4"/>
      <c r="T3" s="27"/>
      <c r="U3" s="27"/>
      <c r="V3" s="27"/>
    </row>
    <row r="4" spans="1:22" s="11" customFormat="1">
      <c r="A4" s="80" t="s">
        <v>99</v>
      </c>
      <c r="B4" s="81"/>
      <c r="C4" s="81"/>
      <c r="D4" s="4"/>
      <c r="E4" s="7" t="s">
        <v>7</v>
      </c>
      <c r="F4" s="10" t="s">
        <v>119</v>
      </c>
      <c r="G4" s="7" t="s">
        <v>10</v>
      </c>
      <c r="H4" s="79" t="str">
        <f>IF(LogicCommon!E4="","",LogicCommon!E4)</f>
        <v>担当者画像登録</v>
      </c>
      <c r="I4" s="7" t="s">
        <v>105</v>
      </c>
      <c r="J4" s="9" t="s">
        <v>93</v>
      </c>
      <c r="K4" s="7" t="s">
        <v>4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>
      <c r="A5" s="85" t="s">
        <v>99</v>
      </c>
      <c r="B5" s="76"/>
      <c r="C5" s="76"/>
      <c r="D5" s="26"/>
      <c r="E5" s="7" t="s">
        <v>106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>
      <c r="A6" s="80" t="s">
        <v>99</v>
      </c>
      <c r="B6" s="81"/>
      <c r="C6" s="81"/>
      <c r="D6" s="4" t="s">
        <v>5</v>
      </c>
      <c r="E6" s="16" t="s">
        <v>94</v>
      </c>
      <c r="F6" s="16"/>
      <c r="G6" s="16"/>
      <c r="H6" s="16"/>
      <c r="I6" s="16"/>
      <c r="J6" s="16"/>
      <c r="K6" s="16"/>
      <c r="L6" s="87" t="s">
        <v>98</v>
      </c>
      <c r="M6" s="19"/>
      <c r="N6" s="19" t="s">
        <v>98</v>
      </c>
      <c r="O6" s="19"/>
      <c r="P6" s="19" t="s">
        <v>98</v>
      </c>
      <c r="Q6" s="19"/>
      <c r="R6" s="3" t="s">
        <v>98</v>
      </c>
      <c r="S6" s="4"/>
      <c r="T6" s="29"/>
      <c r="U6" s="29"/>
      <c r="V6" s="27"/>
    </row>
    <row r="7" spans="1:22" s="11" customFormat="1">
      <c r="A7" s="30" t="s">
        <v>77</v>
      </c>
      <c r="B7" s="30"/>
      <c r="C7" s="30"/>
      <c r="D7" s="31"/>
      <c r="E7" s="31"/>
      <c r="F7" s="31"/>
      <c r="G7" s="31"/>
      <c r="H7" s="31"/>
      <c r="I7" s="31" t="s">
        <v>78</v>
      </c>
      <c r="J7" s="31"/>
      <c r="K7" s="33" t="s">
        <v>58</v>
      </c>
      <c r="L7" s="32" t="s">
        <v>79</v>
      </c>
      <c r="M7" s="33" t="s">
        <v>60</v>
      </c>
      <c r="N7" s="32" t="s">
        <v>80</v>
      </c>
      <c r="O7" s="33" t="s">
        <v>60</v>
      </c>
      <c r="P7" s="32"/>
      <c r="Q7" s="33" t="s">
        <v>60</v>
      </c>
      <c r="R7" s="32"/>
      <c r="S7" s="29"/>
      <c r="T7" s="29"/>
      <c r="U7" s="29"/>
      <c r="V7" s="29"/>
    </row>
    <row r="8" spans="1:22" s="11" customFormat="1" ht="60" customHeight="1">
      <c r="A8" s="55" t="s">
        <v>14</v>
      </c>
      <c r="B8" s="91"/>
      <c r="C8" s="92"/>
      <c r="D8" s="89" t="s">
        <v>126</v>
      </c>
      <c r="E8" s="89" t="s">
        <v>127</v>
      </c>
      <c r="F8" s="87"/>
      <c r="G8" s="89" t="s">
        <v>112</v>
      </c>
      <c r="H8" s="89" t="s">
        <v>128</v>
      </c>
      <c r="I8" s="87"/>
      <c r="J8" s="3"/>
      <c r="K8" s="33" t="s">
        <v>81</v>
      </c>
      <c r="L8" s="34" t="s">
        <v>123</v>
      </c>
      <c r="M8" s="33" t="s">
        <v>63</v>
      </c>
      <c r="N8" s="34" t="s">
        <v>123</v>
      </c>
      <c r="O8" s="33" t="s">
        <v>63</v>
      </c>
      <c r="P8" s="34"/>
      <c r="Q8" s="33" t="s">
        <v>63</v>
      </c>
      <c r="R8" s="34"/>
      <c r="S8" s="93"/>
      <c r="T8" s="94"/>
      <c r="U8" s="95" t="s">
        <v>129</v>
      </c>
      <c r="V8" s="57"/>
    </row>
    <row r="9" spans="1:22" s="11" customFormat="1" ht="60" customHeight="1">
      <c r="A9" s="9" t="s">
        <v>14</v>
      </c>
      <c r="B9" s="37"/>
      <c r="C9" s="38"/>
      <c r="D9" s="89" t="s">
        <v>130</v>
      </c>
      <c r="E9" s="96" t="s">
        <v>131</v>
      </c>
      <c r="F9" s="89" t="s">
        <v>132</v>
      </c>
      <c r="G9" s="89" t="s">
        <v>133</v>
      </c>
      <c r="H9" s="89" t="s">
        <v>134</v>
      </c>
      <c r="I9" s="97" t="s">
        <v>135</v>
      </c>
      <c r="J9" s="89" t="s">
        <v>136</v>
      </c>
      <c r="K9" s="33"/>
      <c r="L9" s="33"/>
      <c r="M9" s="33"/>
      <c r="N9" s="33"/>
      <c r="O9" s="33"/>
      <c r="P9" s="33"/>
      <c r="Q9" s="33"/>
      <c r="R9" s="33"/>
      <c r="S9" s="95" t="s">
        <v>137</v>
      </c>
      <c r="T9" s="57"/>
      <c r="U9" s="95" t="s">
        <v>138</v>
      </c>
      <c r="V9" s="57"/>
    </row>
    <row r="10" spans="1:22" s="11" customFormat="1" ht="52">
      <c r="A10" s="41" t="s">
        <v>56</v>
      </c>
      <c r="B10" s="42"/>
      <c r="C10" s="42"/>
      <c r="D10" s="43"/>
      <c r="E10" s="39"/>
      <c r="F10" s="39"/>
      <c r="G10" s="46"/>
      <c r="H10" s="46"/>
      <c r="I10" s="39"/>
      <c r="J10" s="39"/>
      <c r="K10" s="90" t="s">
        <v>135</v>
      </c>
      <c r="L10" s="90" t="s">
        <v>136</v>
      </c>
      <c r="M10" s="90" t="s">
        <v>135</v>
      </c>
      <c r="N10" s="90" t="s">
        <v>136</v>
      </c>
      <c r="O10" s="90" t="s">
        <v>135</v>
      </c>
      <c r="P10" s="90" t="s">
        <v>136</v>
      </c>
      <c r="Q10" s="90" t="s">
        <v>135</v>
      </c>
      <c r="R10" s="90" t="s">
        <v>136</v>
      </c>
      <c r="S10" s="39"/>
      <c r="T10" s="39"/>
      <c r="U10" s="46"/>
      <c r="V10" s="36"/>
    </row>
    <row r="11" spans="1:22" s="11" customFormat="1">
      <c r="A11" s="9">
        <v>10</v>
      </c>
      <c r="B11" s="37" t="s">
        <v>0</v>
      </c>
      <c r="C11" s="38"/>
      <c r="D11" s="28" t="s">
        <v>88</v>
      </c>
      <c r="E11" s="47" t="s">
        <v>82</v>
      </c>
      <c r="F11" s="48"/>
      <c r="G11" s="28" t="s">
        <v>67</v>
      </c>
      <c r="H11" s="49" t="s">
        <v>113</v>
      </c>
      <c r="I11" s="50"/>
      <c r="J11" s="52"/>
      <c r="K11" s="53" t="s">
        <v>25</v>
      </c>
      <c r="L11" s="53"/>
      <c r="M11" s="53" t="s">
        <v>114</v>
      </c>
      <c r="N11" s="53"/>
      <c r="O11" s="53"/>
      <c r="P11" s="53"/>
      <c r="Q11" s="53"/>
      <c r="R11" s="53"/>
      <c r="S11" s="35"/>
      <c r="T11" s="36"/>
      <c r="U11" s="75"/>
      <c r="V11" s="54"/>
    </row>
    <row r="12" spans="1:22" s="11" customFormat="1">
      <c r="A12" s="9">
        <v>10</v>
      </c>
      <c r="B12" s="9"/>
      <c r="C12" s="9"/>
      <c r="D12" s="9" t="s">
        <v>42</v>
      </c>
      <c r="E12" s="55" t="s">
        <v>83</v>
      </c>
      <c r="F12" s="55"/>
      <c r="G12" s="56" t="s">
        <v>139</v>
      </c>
      <c r="H12" s="56" t="s">
        <v>107</v>
      </c>
      <c r="I12" s="9" t="s">
        <v>108</v>
      </c>
      <c r="J12" s="9"/>
      <c r="K12" s="9" t="s">
        <v>109</v>
      </c>
      <c r="L12" s="9"/>
      <c r="M12" s="9" t="s">
        <v>109</v>
      </c>
      <c r="N12" s="9"/>
      <c r="O12" s="9"/>
      <c r="P12" s="9"/>
      <c r="Q12" s="9"/>
      <c r="R12" s="9"/>
      <c r="S12" s="43"/>
      <c r="T12" s="57"/>
      <c r="U12" s="147"/>
      <c r="V12" s="148"/>
    </row>
    <row r="13" spans="1:22" s="11" customFormat="1">
      <c r="A13" s="9">
        <v>10</v>
      </c>
      <c r="B13" s="9"/>
      <c r="C13" s="9"/>
      <c r="D13" s="9" t="s">
        <v>48</v>
      </c>
      <c r="E13" s="55" t="s">
        <v>39</v>
      </c>
      <c r="F13" s="55"/>
      <c r="G13" s="56" t="s">
        <v>142</v>
      </c>
      <c r="H13" s="56" t="s">
        <v>115</v>
      </c>
      <c r="I13" s="9" t="s">
        <v>108</v>
      </c>
      <c r="J13" s="9"/>
      <c r="K13" s="9" t="s">
        <v>108</v>
      </c>
      <c r="L13" s="9"/>
      <c r="M13" s="9"/>
      <c r="N13" s="9"/>
      <c r="O13" s="9"/>
      <c r="P13" s="9"/>
      <c r="Q13" s="9"/>
      <c r="R13" s="9"/>
      <c r="S13" s="43"/>
      <c r="T13" s="57"/>
      <c r="U13" s="147"/>
      <c r="V13" s="148"/>
    </row>
    <row r="14" spans="1:22" s="11" customFormat="1">
      <c r="A14" s="9">
        <v>10</v>
      </c>
      <c r="B14" s="9"/>
      <c r="C14" s="9"/>
      <c r="D14" s="9" t="s">
        <v>68</v>
      </c>
      <c r="E14" s="55" t="s">
        <v>33</v>
      </c>
      <c r="F14" s="55"/>
      <c r="G14" s="56" t="s">
        <v>141</v>
      </c>
      <c r="H14" s="56" t="s">
        <v>111</v>
      </c>
      <c r="I14" s="9" t="s">
        <v>108</v>
      </c>
      <c r="J14" s="9"/>
      <c r="K14" s="9" t="s">
        <v>108</v>
      </c>
      <c r="L14" s="9"/>
      <c r="M14" s="9"/>
      <c r="N14" s="9"/>
      <c r="O14" s="9"/>
      <c r="P14" s="9"/>
      <c r="Q14" s="9"/>
      <c r="R14" s="9"/>
      <c r="S14" s="43"/>
      <c r="T14" s="57"/>
      <c r="U14" s="147"/>
      <c r="V14" s="148"/>
    </row>
    <row r="15" spans="1:22" s="11" customFormat="1">
      <c r="A15" s="58"/>
      <c r="B15" s="59"/>
      <c r="C15" s="59"/>
      <c r="D15" s="27" t="s">
        <v>69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4"/>
      <c r="T15" s="4"/>
      <c r="U15" s="6"/>
      <c r="V15" s="23"/>
    </row>
    <row r="16" spans="1:22" s="11" customFormat="1">
      <c r="A16" s="80"/>
      <c r="V16" s="60"/>
    </row>
    <row r="17" spans="1:22" s="11" customFormat="1">
      <c r="A17" s="80"/>
      <c r="V17" s="60"/>
    </row>
    <row r="18" spans="1:22" s="11" customFormat="1">
      <c r="A18" s="80"/>
      <c r="V18" s="60"/>
    </row>
    <row r="19" spans="1:22" s="11" customFormat="1">
      <c r="A19" s="85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20"/>
    </row>
  </sheetData>
  <dataConsolidate/>
  <mergeCells count="3">
    <mergeCell ref="U14:V14"/>
    <mergeCell ref="U13:V13"/>
    <mergeCell ref="U12:V1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A1:T2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6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6" t="s">
        <v>99</v>
      </c>
      <c r="B1" s="76" t="s">
        <v>99</v>
      </c>
      <c r="C1" s="76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7" t="s">
        <v>99</v>
      </c>
      <c r="B2" s="78"/>
      <c r="C2" s="78"/>
      <c r="D2" s="88" t="s">
        <v>125</v>
      </c>
      <c r="E2" s="7" t="s">
        <v>11</v>
      </c>
      <c r="F2" s="79" t="str">
        <f>IF(LogicCommon!C2="","",LogicCommon!C2)</f>
        <v>MA</v>
      </c>
      <c r="G2" s="7" t="s">
        <v>8</v>
      </c>
      <c r="H2" s="79" t="str">
        <f>IF(LogicCommon!E2="","",LogicCommon!E2)</f>
        <v>MABCL0260</v>
      </c>
      <c r="I2" s="7" t="s">
        <v>100</v>
      </c>
      <c r="J2" s="9" t="s">
        <v>37</v>
      </c>
      <c r="K2" s="7" t="s">
        <v>30</v>
      </c>
      <c r="L2" s="79" t="str">
        <f>IF(LogicCommon!G2="","",LogicCommon!G2)</f>
        <v>MC</v>
      </c>
      <c r="M2" s="5" t="s">
        <v>101</v>
      </c>
      <c r="N2" s="28" t="s">
        <v>122</v>
      </c>
      <c r="O2" s="7"/>
      <c r="P2" s="7"/>
      <c r="Q2" s="4"/>
      <c r="R2" s="4"/>
      <c r="S2" s="4"/>
    </row>
    <row r="3" spans="1:19" s="11" customFormat="1">
      <c r="A3" s="80" t="s">
        <v>99</v>
      </c>
      <c r="B3" s="81"/>
      <c r="C3" s="81"/>
      <c r="D3" s="82" t="str">
        <f>IF(LogicCommon!A3="","",LogicCommon!A3)</f>
        <v/>
      </c>
      <c r="E3" s="7" t="s">
        <v>12</v>
      </c>
      <c r="F3" s="79" t="str">
        <f>IF(LogicCommon!C3="","",LogicCommon!C3)</f>
        <v>MABC</v>
      </c>
      <c r="G3" s="7" t="s">
        <v>9</v>
      </c>
      <c r="H3" s="79" t="str">
        <f>IF(LogicCommon!E3="","",LogicCommon!E3)</f>
        <v>MABCL_UsrImageReg</v>
      </c>
      <c r="I3" s="7" t="s">
        <v>102</v>
      </c>
      <c r="J3" s="9" t="s">
        <v>23</v>
      </c>
      <c r="K3" s="7" t="s">
        <v>31</v>
      </c>
      <c r="L3" s="79" t="str">
        <f>IF(LogicCommon!G3="","",LogicCommon!G3)</f>
        <v/>
      </c>
      <c r="M3" s="83" t="s">
        <v>24</v>
      </c>
      <c r="N3" s="7"/>
      <c r="O3" s="7" t="s">
        <v>103</v>
      </c>
      <c r="P3" s="9" t="s">
        <v>104</v>
      </c>
      <c r="Q3" s="4"/>
      <c r="R3" s="4"/>
      <c r="S3" s="4"/>
    </row>
    <row r="4" spans="1:19" s="11" customFormat="1">
      <c r="A4" s="80" t="s">
        <v>99</v>
      </c>
      <c r="B4" s="81"/>
      <c r="C4" s="81"/>
      <c r="D4" s="4"/>
      <c r="E4" s="7" t="s">
        <v>7</v>
      </c>
      <c r="F4" s="10" t="s">
        <v>119</v>
      </c>
      <c r="G4" s="7" t="s">
        <v>10</v>
      </c>
      <c r="H4" s="79" t="str">
        <f>IF(LogicCommon!E4="","",LogicCommon!E4)</f>
        <v>担当者画像登録</v>
      </c>
      <c r="I4" s="7" t="s">
        <v>105</v>
      </c>
      <c r="J4" s="9" t="s">
        <v>1</v>
      </c>
      <c r="K4" s="7" t="s">
        <v>4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4"/>
      <c r="S4" s="4"/>
    </row>
    <row r="5" spans="1:19" s="11" customFormat="1">
      <c r="A5" s="85" t="s">
        <v>99</v>
      </c>
      <c r="B5" s="76"/>
      <c r="C5" s="76"/>
      <c r="D5" s="26"/>
      <c r="E5" s="7" t="s">
        <v>106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80" t="s">
        <v>99</v>
      </c>
      <c r="B6" s="81"/>
      <c r="C6" s="81"/>
      <c r="D6" s="4" t="s">
        <v>5</v>
      </c>
      <c r="E6" s="16" t="s">
        <v>96</v>
      </c>
      <c r="F6" s="16"/>
      <c r="G6" s="16"/>
      <c r="H6" s="16"/>
      <c r="I6" s="16"/>
      <c r="J6" s="16"/>
      <c r="K6" s="16"/>
      <c r="L6" s="87"/>
      <c r="M6" s="19" t="s">
        <v>98</v>
      </c>
      <c r="N6" s="19"/>
      <c r="O6" s="19" t="s">
        <v>98</v>
      </c>
      <c r="P6" s="19"/>
      <c r="Q6" s="19"/>
      <c r="R6" s="4"/>
      <c r="S6" s="4"/>
    </row>
    <row r="7" spans="1:19" s="11" customFormat="1">
      <c r="A7" s="30" t="s">
        <v>26</v>
      </c>
      <c r="B7" s="30"/>
      <c r="C7" s="30"/>
      <c r="D7" s="31"/>
      <c r="E7" s="31"/>
      <c r="F7" s="31"/>
      <c r="G7" s="31"/>
      <c r="H7" s="31"/>
      <c r="I7" s="31" t="s">
        <v>27</v>
      </c>
      <c r="J7" s="31"/>
      <c r="K7" s="32" t="s">
        <v>35</v>
      </c>
      <c r="L7" s="33" t="s">
        <v>28</v>
      </c>
      <c r="M7" s="32" t="s">
        <v>29</v>
      </c>
      <c r="N7" s="33" t="s">
        <v>28</v>
      </c>
      <c r="O7" s="32"/>
      <c r="P7" s="29"/>
      <c r="Q7" s="29"/>
      <c r="R7" s="29"/>
      <c r="S7" s="29"/>
    </row>
    <row r="8" spans="1:19" s="11" customFormat="1" ht="60" customHeight="1">
      <c r="A8" s="55" t="s">
        <v>14</v>
      </c>
      <c r="B8" s="91"/>
      <c r="C8" s="92"/>
      <c r="D8" s="89" t="s">
        <v>126</v>
      </c>
      <c r="E8" s="89" t="s">
        <v>127</v>
      </c>
      <c r="F8" s="87"/>
      <c r="G8" s="89" t="s">
        <v>112</v>
      </c>
      <c r="H8" s="89" t="s">
        <v>128</v>
      </c>
      <c r="I8" s="87"/>
      <c r="J8" s="3"/>
      <c r="K8" s="34" t="s">
        <v>36</v>
      </c>
      <c r="L8" s="33" t="s">
        <v>13</v>
      </c>
      <c r="M8" s="34" t="s">
        <v>124</v>
      </c>
      <c r="N8" s="33" t="s">
        <v>13</v>
      </c>
      <c r="O8" s="34"/>
      <c r="P8" s="93"/>
      <c r="Q8" s="94"/>
      <c r="R8" s="95" t="s">
        <v>129</v>
      </c>
      <c r="S8" s="57"/>
    </row>
    <row r="9" spans="1:19" s="11" customFormat="1" ht="60" customHeight="1">
      <c r="A9" s="9" t="s">
        <v>14</v>
      </c>
      <c r="B9" s="37"/>
      <c r="C9" s="38"/>
      <c r="D9" s="89" t="s">
        <v>130</v>
      </c>
      <c r="E9" s="96" t="s">
        <v>131</v>
      </c>
      <c r="F9" s="89" t="s">
        <v>132</v>
      </c>
      <c r="G9" s="89" t="s">
        <v>133</v>
      </c>
      <c r="H9" s="89" t="s">
        <v>134</v>
      </c>
      <c r="I9" s="97" t="s">
        <v>135</v>
      </c>
      <c r="J9" s="89" t="s">
        <v>136</v>
      </c>
      <c r="K9" s="98"/>
      <c r="L9" s="33"/>
      <c r="M9" s="33"/>
      <c r="N9" s="33"/>
      <c r="O9" s="33"/>
      <c r="P9" s="95" t="s">
        <v>137</v>
      </c>
      <c r="Q9" s="57"/>
      <c r="R9" s="95" t="s">
        <v>138</v>
      </c>
      <c r="S9" s="57"/>
    </row>
    <row r="10" spans="1:19" s="11" customFormat="1" ht="39">
      <c r="A10" s="41" t="s">
        <v>14</v>
      </c>
      <c r="B10" s="42"/>
      <c r="C10" s="42"/>
      <c r="D10" s="43"/>
      <c r="E10" s="39"/>
      <c r="F10" s="39"/>
      <c r="G10" s="46"/>
      <c r="H10" s="46"/>
      <c r="I10" s="39"/>
      <c r="J10" s="39"/>
      <c r="K10" s="45"/>
      <c r="L10" s="90" t="s">
        <v>135</v>
      </c>
      <c r="M10" s="90" t="s">
        <v>136</v>
      </c>
      <c r="N10" s="90" t="s">
        <v>135</v>
      </c>
      <c r="O10" s="90" t="s">
        <v>136</v>
      </c>
      <c r="P10" s="39"/>
      <c r="Q10" s="39"/>
      <c r="R10" s="46"/>
      <c r="S10" s="36"/>
    </row>
    <row r="11" spans="1:19" s="11" customFormat="1">
      <c r="A11" s="9">
        <v>10</v>
      </c>
      <c r="B11" s="37" t="s">
        <v>0</v>
      </c>
      <c r="C11" s="38"/>
      <c r="D11" s="28" t="s">
        <v>15</v>
      </c>
      <c r="E11" s="47" t="s">
        <v>16</v>
      </c>
      <c r="F11" s="51"/>
      <c r="G11" s="28"/>
      <c r="H11" s="49"/>
      <c r="I11" s="50"/>
      <c r="J11" s="52"/>
      <c r="K11" s="48"/>
      <c r="L11" s="53" t="s">
        <v>16</v>
      </c>
      <c r="M11" s="53"/>
      <c r="N11" s="53"/>
      <c r="O11" s="53"/>
      <c r="P11" s="35"/>
      <c r="Q11" s="36"/>
      <c r="R11" s="75"/>
      <c r="S11" s="54"/>
    </row>
    <row r="12" spans="1:19" s="11" customFormat="1">
      <c r="A12" s="9">
        <v>10</v>
      </c>
      <c r="B12" s="9"/>
      <c r="C12" s="9"/>
      <c r="D12" s="9" t="s">
        <v>46</v>
      </c>
      <c r="E12" s="55" t="s">
        <v>44</v>
      </c>
      <c r="F12" s="55"/>
      <c r="G12" s="56" t="s">
        <v>139</v>
      </c>
      <c r="H12" s="56" t="s">
        <v>107</v>
      </c>
      <c r="I12" s="9" t="s">
        <v>108</v>
      </c>
      <c r="J12" s="9"/>
      <c r="K12" s="9"/>
      <c r="L12" s="9" t="s">
        <v>108</v>
      </c>
      <c r="M12" s="9"/>
      <c r="N12" s="9"/>
      <c r="O12" s="9"/>
      <c r="P12" s="61"/>
      <c r="Q12" s="57"/>
      <c r="R12" s="147"/>
      <c r="S12" s="148"/>
    </row>
    <row r="13" spans="1:19" s="11" customFormat="1">
      <c r="A13" s="80"/>
      <c r="S13" s="60"/>
    </row>
    <row r="14" spans="1:19" s="11" customFormat="1">
      <c r="A14" s="9">
        <v>20</v>
      </c>
      <c r="B14" s="37" t="s">
        <v>0</v>
      </c>
      <c r="C14" s="38"/>
      <c r="D14" s="28" t="s">
        <v>116</v>
      </c>
      <c r="E14" s="47" t="s">
        <v>25</v>
      </c>
      <c r="F14" s="62"/>
      <c r="G14" s="28"/>
      <c r="H14" s="49"/>
      <c r="I14" s="63"/>
      <c r="J14" s="64"/>
      <c r="K14" s="64"/>
      <c r="L14" s="53"/>
      <c r="M14" s="53" t="s">
        <v>25</v>
      </c>
      <c r="N14" s="53"/>
      <c r="O14" s="53"/>
      <c r="P14" s="35"/>
      <c r="Q14" s="36"/>
      <c r="R14" s="75"/>
      <c r="S14" s="54"/>
    </row>
    <row r="15" spans="1:19" s="11" customFormat="1">
      <c r="A15" s="9">
        <v>20</v>
      </c>
      <c r="B15" s="9"/>
      <c r="C15" s="9"/>
      <c r="D15" s="9" t="s">
        <v>47</v>
      </c>
      <c r="E15" s="55" t="s">
        <v>45</v>
      </c>
      <c r="F15" s="55"/>
      <c r="G15" s="56" t="s">
        <v>139</v>
      </c>
      <c r="H15" s="56" t="s">
        <v>107</v>
      </c>
      <c r="I15" s="9"/>
      <c r="J15" s="9" t="s">
        <v>108</v>
      </c>
      <c r="K15" s="9"/>
      <c r="L15" s="9"/>
      <c r="M15" s="9" t="s">
        <v>108</v>
      </c>
      <c r="N15" s="9"/>
      <c r="O15" s="9"/>
      <c r="P15" s="61"/>
      <c r="Q15" s="57"/>
      <c r="R15" s="147"/>
      <c r="S15" s="148"/>
    </row>
    <row r="16" spans="1:19" s="11" customFormat="1">
      <c r="A16" s="9">
        <v>20</v>
      </c>
      <c r="B16" s="9"/>
      <c r="C16" s="9"/>
      <c r="D16" s="9" t="s">
        <v>50</v>
      </c>
      <c r="E16" s="55" t="s">
        <v>51</v>
      </c>
      <c r="F16" s="55"/>
      <c r="G16" s="56" t="s">
        <v>142</v>
      </c>
      <c r="H16" s="56" t="s">
        <v>115</v>
      </c>
      <c r="I16" s="9"/>
      <c r="J16" s="9" t="s">
        <v>108</v>
      </c>
      <c r="K16" s="9"/>
      <c r="L16" s="9"/>
      <c r="M16" s="9" t="s">
        <v>108</v>
      </c>
      <c r="N16" s="9"/>
      <c r="O16" s="9"/>
      <c r="P16" s="61"/>
      <c r="Q16" s="57"/>
      <c r="R16" s="147"/>
      <c r="S16" s="148"/>
    </row>
    <row r="17" spans="1:19" s="11" customFormat="1">
      <c r="A17" s="9">
        <v>20</v>
      </c>
      <c r="B17" s="9"/>
      <c r="C17" s="9"/>
      <c r="D17" s="9" t="s">
        <v>32</v>
      </c>
      <c r="E17" s="55" t="s">
        <v>33</v>
      </c>
      <c r="F17" s="55"/>
      <c r="G17" s="56" t="s">
        <v>141</v>
      </c>
      <c r="H17" s="56" t="s">
        <v>111</v>
      </c>
      <c r="I17" s="9"/>
      <c r="J17" s="9" t="s">
        <v>108</v>
      </c>
      <c r="K17" s="9"/>
      <c r="L17" s="9"/>
      <c r="M17" s="9" t="s">
        <v>108</v>
      </c>
      <c r="N17" s="9"/>
      <c r="O17" s="9"/>
      <c r="P17" s="61"/>
      <c r="Q17" s="57"/>
      <c r="R17" s="147"/>
      <c r="S17" s="148"/>
    </row>
    <row r="18" spans="1:19" s="11" customFormat="1">
      <c r="A18" s="65"/>
      <c r="B18" s="30"/>
      <c r="C18" s="30"/>
      <c r="D18" s="66" t="s">
        <v>3</v>
      </c>
      <c r="E18" s="31"/>
      <c r="F18" s="67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68"/>
    </row>
    <row r="19" spans="1:19" s="11" customFormat="1">
      <c r="A19" s="80"/>
      <c r="S19" s="60"/>
    </row>
    <row r="20" spans="1:19" s="11" customFormat="1">
      <c r="A20" s="80"/>
      <c r="S20" s="60"/>
    </row>
    <row r="21" spans="1:19" s="11" customFormat="1">
      <c r="A21" s="80"/>
      <c r="S21" s="60"/>
    </row>
    <row r="22" spans="1:19" s="11" customFormat="1">
      <c r="A22" s="80"/>
      <c r="S22" s="60"/>
    </row>
    <row r="23" spans="1:19" s="11" customFormat="1">
      <c r="A23" s="85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20"/>
    </row>
  </sheetData>
  <mergeCells count="4">
    <mergeCell ref="R15:S15"/>
    <mergeCell ref="R12:S12"/>
    <mergeCell ref="R17:S17"/>
    <mergeCell ref="R16:S16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1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30.81640625" style="27" customWidth="1"/>
    <col min="18" max="18" width="31.632812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20" s="11" customFormat="1">
      <c r="A1" s="76" t="s">
        <v>99</v>
      </c>
      <c r="B1" s="76" t="s">
        <v>99</v>
      </c>
      <c r="C1" s="76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</row>
    <row r="2" spans="1:20" s="11" customFormat="1" ht="40" customHeight="1">
      <c r="A2" s="77" t="s">
        <v>99</v>
      </c>
      <c r="B2" s="78"/>
      <c r="C2" s="78"/>
      <c r="D2" s="88" t="s">
        <v>125</v>
      </c>
      <c r="E2" s="7" t="s">
        <v>11</v>
      </c>
      <c r="F2" s="79" t="str">
        <f>IF(LogicCommon!C2="","",LogicCommon!C2)</f>
        <v>MA</v>
      </c>
      <c r="G2" s="7" t="s">
        <v>8</v>
      </c>
      <c r="H2" s="79" t="str">
        <f>IF(LogicCommon!E2="","",LogicCommon!E2)</f>
        <v>MABCL0260</v>
      </c>
      <c r="I2" s="7" t="s">
        <v>100</v>
      </c>
      <c r="J2" s="9" t="s">
        <v>52</v>
      </c>
      <c r="K2" s="7" t="s">
        <v>30</v>
      </c>
      <c r="L2" s="79" t="s">
        <v>6</v>
      </c>
      <c r="M2" s="5" t="s">
        <v>101</v>
      </c>
      <c r="N2" s="28" t="s">
        <v>121</v>
      </c>
      <c r="O2" s="7"/>
      <c r="P2" s="7"/>
      <c r="Q2" s="4"/>
      <c r="R2" s="27"/>
      <c r="S2" s="27"/>
      <c r="T2" s="27"/>
    </row>
    <row r="3" spans="1:20" s="11" customFormat="1">
      <c r="A3" s="80" t="s">
        <v>99</v>
      </c>
      <c r="B3" s="81"/>
      <c r="C3" s="81"/>
      <c r="D3" s="82" t="s">
        <v>84</v>
      </c>
      <c r="E3" s="7" t="s">
        <v>12</v>
      </c>
      <c r="F3" s="79" t="str">
        <f>IF(LogicCommon!C3="","",LogicCommon!C3)</f>
        <v>MABC</v>
      </c>
      <c r="G3" s="7" t="s">
        <v>9</v>
      </c>
      <c r="H3" s="79" t="str">
        <f>IF(LogicCommon!E3="","",LogicCommon!E3)</f>
        <v>MABCL_UsrImageReg</v>
      </c>
      <c r="I3" s="7" t="s">
        <v>102</v>
      </c>
      <c r="J3" s="9" t="s">
        <v>53</v>
      </c>
      <c r="K3" s="7" t="s">
        <v>31</v>
      </c>
      <c r="L3" s="79" t="s">
        <v>84</v>
      </c>
      <c r="M3" s="83" t="s">
        <v>54</v>
      </c>
      <c r="N3" s="7"/>
      <c r="O3" s="7" t="s">
        <v>103</v>
      </c>
      <c r="P3" s="9" t="s">
        <v>104</v>
      </c>
      <c r="Q3" s="4"/>
      <c r="R3" s="27"/>
      <c r="S3" s="27"/>
      <c r="T3" s="27"/>
    </row>
    <row r="4" spans="1:20" s="11" customFormat="1">
      <c r="A4" s="80" t="s">
        <v>99</v>
      </c>
      <c r="B4" s="81"/>
      <c r="C4" s="81"/>
      <c r="D4" s="4"/>
      <c r="E4" s="7" t="s">
        <v>7</v>
      </c>
      <c r="F4" s="10" t="s">
        <v>119</v>
      </c>
      <c r="G4" s="7" t="s">
        <v>10</v>
      </c>
      <c r="H4" s="79" t="str">
        <f>IF(LogicCommon!E4="","",LogicCommon!E4)</f>
        <v>担当者画像登録</v>
      </c>
      <c r="I4" s="7" t="s">
        <v>105</v>
      </c>
      <c r="J4" s="9" t="s">
        <v>55</v>
      </c>
      <c r="K4" s="7" t="s">
        <v>4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</row>
    <row r="5" spans="1:20" s="11" customFormat="1">
      <c r="A5" s="85" t="s">
        <v>99</v>
      </c>
      <c r="B5" s="76"/>
      <c r="C5" s="76"/>
      <c r="D5" s="26"/>
      <c r="E5" s="7" t="s">
        <v>106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</row>
    <row r="6" spans="1:20" s="11" customFormat="1">
      <c r="A6" s="80" t="s">
        <v>99</v>
      </c>
      <c r="B6" s="81"/>
      <c r="C6" s="81"/>
      <c r="D6" s="4" t="s">
        <v>5</v>
      </c>
      <c r="E6" s="16" t="s">
        <v>97</v>
      </c>
      <c r="F6" s="16"/>
      <c r="G6" s="16"/>
      <c r="H6" s="16"/>
      <c r="I6" s="16"/>
      <c r="J6" s="16"/>
      <c r="K6" s="16"/>
      <c r="L6" s="87" t="s">
        <v>98</v>
      </c>
      <c r="M6" s="19"/>
      <c r="N6" s="19" t="s">
        <v>98</v>
      </c>
      <c r="O6" s="19"/>
      <c r="P6" s="19" t="s">
        <v>98</v>
      </c>
      <c r="Q6" s="19"/>
      <c r="R6" s="29"/>
      <c r="S6" s="29"/>
      <c r="T6" s="27"/>
    </row>
    <row r="7" spans="1:20" s="11" customFormat="1">
      <c r="A7" s="30" t="s">
        <v>56</v>
      </c>
      <c r="B7" s="30"/>
      <c r="C7" s="30"/>
      <c r="D7" s="31"/>
      <c r="E7" s="31"/>
      <c r="F7" s="31"/>
      <c r="G7" s="31"/>
      <c r="H7" s="31"/>
      <c r="I7" s="31" t="s">
        <v>57</v>
      </c>
      <c r="J7" s="31"/>
      <c r="K7" s="33" t="s">
        <v>58</v>
      </c>
      <c r="L7" s="32" t="s">
        <v>59</v>
      </c>
      <c r="M7" s="33" t="s">
        <v>60</v>
      </c>
      <c r="N7" s="32" t="s">
        <v>61</v>
      </c>
      <c r="O7" s="33" t="s">
        <v>60</v>
      </c>
      <c r="P7" s="32"/>
      <c r="Q7" s="29"/>
      <c r="R7" s="29"/>
      <c r="S7" s="29"/>
      <c r="T7" s="29"/>
    </row>
    <row r="8" spans="1:20" s="11" customFormat="1" ht="60" customHeight="1">
      <c r="A8" s="55" t="s">
        <v>14</v>
      </c>
      <c r="B8" s="91"/>
      <c r="C8" s="92"/>
      <c r="D8" s="89" t="s">
        <v>126</v>
      </c>
      <c r="E8" s="89" t="s">
        <v>127</v>
      </c>
      <c r="F8" s="87"/>
      <c r="G8" s="89" t="s">
        <v>112</v>
      </c>
      <c r="H8" s="89" t="s">
        <v>128</v>
      </c>
      <c r="I8" s="87"/>
      <c r="J8" s="3"/>
      <c r="K8" s="33" t="s">
        <v>62</v>
      </c>
      <c r="L8" s="34" t="s">
        <v>90</v>
      </c>
      <c r="M8" s="33" t="s">
        <v>63</v>
      </c>
      <c r="N8" s="34" t="s">
        <v>91</v>
      </c>
      <c r="O8" s="33" t="s">
        <v>63</v>
      </c>
      <c r="P8" s="34"/>
      <c r="Q8" s="93"/>
      <c r="R8" s="94"/>
      <c r="S8" s="95" t="s">
        <v>129</v>
      </c>
      <c r="T8" s="57"/>
    </row>
    <row r="9" spans="1:20" s="11" customFormat="1" ht="60" customHeight="1">
      <c r="A9" s="9" t="s">
        <v>14</v>
      </c>
      <c r="B9" s="37"/>
      <c r="C9" s="38"/>
      <c r="D9" s="89" t="s">
        <v>130</v>
      </c>
      <c r="E9" s="96" t="s">
        <v>131</v>
      </c>
      <c r="F9" s="89" t="s">
        <v>132</v>
      </c>
      <c r="G9" s="89" t="s">
        <v>133</v>
      </c>
      <c r="H9" s="89" t="s">
        <v>134</v>
      </c>
      <c r="I9" s="97" t="s">
        <v>135</v>
      </c>
      <c r="J9" s="89" t="s">
        <v>136</v>
      </c>
      <c r="K9" s="33"/>
      <c r="L9" s="33"/>
      <c r="M9" s="33"/>
      <c r="N9" s="33"/>
      <c r="O9" s="33"/>
      <c r="P9" s="33"/>
      <c r="Q9" s="95" t="s">
        <v>137</v>
      </c>
      <c r="R9" s="57"/>
      <c r="S9" s="95" t="s">
        <v>138</v>
      </c>
      <c r="T9" s="57"/>
    </row>
    <row r="10" spans="1:20" s="11" customFormat="1" ht="52">
      <c r="A10" s="41" t="s">
        <v>64</v>
      </c>
      <c r="B10" s="42"/>
      <c r="C10" s="42"/>
      <c r="D10" s="43"/>
      <c r="E10" s="39"/>
      <c r="F10" s="39"/>
      <c r="G10" s="46"/>
      <c r="H10" s="46"/>
      <c r="I10" s="39"/>
      <c r="J10" s="39"/>
      <c r="K10" s="90" t="s">
        <v>135</v>
      </c>
      <c r="L10" s="90" t="s">
        <v>136</v>
      </c>
      <c r="M10" s="90" t="s">
        <v>135</v>
      </c>
      <c r="N10" s="90" t="s">
        <v>136</v>
      </c>
      <c r="O10" s="90" t="s">
        <v>135</v>
      </c>
      <c r="P10" s="90" t="s">
        <v>136</v>
      </c>
      <c r="Q10" s="39"/>
      <c r="R10" s="39"/>
      <c r="S10" s="46"/>
      <c r="T10" s="36"/>
    </row>
    <row r="11" spans="1:20" s="11" customFormat="1">
      <c r="A11" s="9">
        <v>10</v>
      </c>
      <c r="B11" s="37" t="s">
        <v>0</v>
      </c>
      <c r="C11" s="38"/>
      <c r="D11" s="28" t="s">
        <v>65</v>
      </c>
      <c r="E11" s="47" t="s">
        <v>66</v>
      </c>
      <c r="F11" s="48"/>
      <c r="G11" s="28" t="s">
        <v>67</v>
      </c>
      <c r="H11" s="49" t="s">
        <v>117</v>
      </c>
      <c r="I11" s="50"/>
      <c r="J11" s="52"/>
      <c r="K11" s="53" t="s">
        <v>86</v>
      </c>
      <c r="L11" s="53"/>
      <c r="M11" s="53" t="s">
        <v>118</v>
      </c>
      <c r="N11" s="53"/>
      <c r="O11" s="53"/>
      <c r="P11" s="53"/>
      <c r="Q11" s="35"/>
      <c r="R11" s="36"/>
      <c r="S11" s="75"/>
      <c r="T11" s="54"/>
    </row>
    <row r="12" spans="1:20" s="11" customFormat="1">
      <c r="A12" s="9">
        <v>10</v>
      </c>
      <c r="B12" s="9"/>
      <c r="C12" s="9"/>
      <c r="D12" s="9" t="s">
        <v>42</v>
      </c>
      <c r="E12" s="55" t="s">
        <v>43</v>
      </c>
      <c r="F12" s="55"/>
      <c r="G12" s="56" t="s">
        <v>139</v>
      </c>
      <c r="H12" s="56" t="s">
        <v>107</v>
      </c>
      <c r="I12" s="9" t="s">
        <v>108</v>
      </c>
      <c r="J12" s="9"/>
      <c r="K12" s="9" t="s">
        <v>108</v>
      </c>
      <c r="L12" s="9"/>
      <c r="M12" s="9" t="s">
        <v>108</v>
      </c>
      <c r="N12" s="9"/>
      <c r="O12" s="9"/>
      <c r="P12" s="9"/>
      <c r="Q12" s="43"/>
      <c r="R12" s="57"/>
      <c r="S12" s="147"/>
      <c r="T12" s="148"/>
    </row>
    <row r="13" spans="1:20" s="11" customFormat="1">
      <c r="A13" s="9">
        <v>10</v>
      </c>
      <c r="B13" s="9"/>
      <c r="C13" s="9"/>
      <c r="D13" s="9" t="s">
        <v>48</v>
      </c>
      <c r="E13" s="55" t="s">
        <v>39</v>
      </c>
      <c r="F13" s="55"/>
      <c r="G13" s="56" t="s">
        <v>142</v>
      </c>
      <c r="H13" s="56" t="s">
        <v>115</v>
      </c>
      <c r="I13" s="9" t="s">
        <v>108</v>
      </c>
      <c r="J13" s="9"/>
      <c r="K13" s="9" t="s">
        <v>108</v>
      </c>
      <c r="L13" s="9"/>
      <c r="M13" s="9" t="s">
        <v>108</v>
      </c>
      <c r="N13" s="9"/>
      <c r="O13" s="9"/>
      <c r="P13" s="9"/>
      <c r="Q13" s="43"/>
      <c r="R13" s="57"/>
      <c r="S13" s="147"/>
      <c r="T13" s="148"/>
    </row>
    <row r="14" spans="1:20" s="11" customFormat="1">
      <c r="A14" s="9">
        <v>10</v>
      </c>
      <c r="B14" s="9"/>
      <c r="C14" s="9"/>
      <c r="D14" s="9" t="s">
        <v>68</v>
      </c>
      <c r="E14" s="55" t="s">
        <v>33</v>
      </c>
      <c r="F14" s="55"/>
      <c r="G14" s="56" t="s">
        <v>141</v>
      </c>
      <c r="H14" s="56" t="s">
        <v>111</v>
      </c>
      <c r="I14" s="9" t="s">
        <v>108</v>
      </c>
      <c r="J14" s="9"/>
      <c r="K14" s="9" t="s">
        <v>108</v>
      </c>
      <c r="L14" s="9"/>
      <c r="M14" s="9" t="s">
        <v>108</v>
      </c>
      <c r="N14" s="9"/>
      <c r="O14" s="9"/>
      <c r="P14" s="9"/>
      <c r="Q14" s="43"/>
      <c r="R14" s="57"/>
      <c r="S14" s="147"/>
      <c r="T14" s="148"/>
    </row>
    <row r="15" spans="1:20" s="11" customFormat="1">
      <c r="A15" s="58"/>
      <c r="B15" s="59"/>
      <c r="C15" s="59"/>
      <c r="D15" s="27" t="s">
        <v>69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4"/>
      <c r="R15" s="4"/>
      <c r="S15" s="6"/>
      <c r="T15" s="23"/>
    </row>
    <row r="16" spans="1:20" s="11" customFormat="1">
      <c r="A16" s="80"/>
      <c r="T16" s="60"/>
    </row>
    <row r="17" spans="1:20" s="11" customFormat="1">
      <c r="A17" s="80"/>
      <c r="T17" s="60"/>
    </row>
    <row r="18" spans="1:20" s="11" customFormat="1">
      <c r="A18" s="80"/>
      <c r="T18" s="60"/>
    </row>
    <row r="19" spans="1:20" s="11" customFormat="1">
      <c r="A19" s="85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20"/>
    </row>
  </sheetData>
  <dataConsolidate/>
  <mergeCells count="3">
    <mergeCell ref="S14:T14"/>
    <mergeCell ref="S13:T13"/>
    <mergeCell ref="S12:T1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38" t="s">
        <v>17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40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06" t="s">
        <v>18</v>
      </c>
      <c r="B3" s="107"/>
      <c r="C3" s="107"/>
      <c r="D3" s="107"/>
      <c r="E3" s="107"/>
      <c r="F3" s="107"/>
      <c r="G3" s="108"/>
      <c r="H3" s="141" t="s">
        <v>19</v>
      </c>
      <c r="I3" s="107"/>
      <c r="J3" s="107"/>
      <c r="K3" s="107"/>
      <c r="L3" s="107"/>
      <c r="M3" s="107"/>
      <c r="N3" s="108"/>
      <c r="O3" s="141" t="s">
        <v>20</v>
      </c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3"/>
      <c r="AQ3" s="144" t="s">
        <v>21</v>
      </c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6"/>
    </row>
    <row r="4" spans="1:57" ht="15" customHeight="1">
      <c r="A4" s="114">
        <v>1</v>
      </c>
      <c r="B4" s="115"/>
      <c r="C4" s="115"/>
      <c r="D4" s="115"/>
      <c r="E4" s="115"/>
      <c r="F4" s="115"/>
      <c r="G4" s="116"/>
      <c r="H4" s="99"/>
      <c r="I4" s="100"/>
      <c r="J4" s="100"/>
      <c r="K4" s="100"/>
      <c r="L4" s="100"/>
      <c r="M4" s="100"/>
      <c r="N4" s="101"/>
      <c r="O4" s="99" t="s">
        <v>22</v>
      </c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3"/>
      <c r="AQ4" s="104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5"/>
    </row>
    <row r="5" spans="1:57" ht="15" customHeight="1">
      <c r="A5" s="117">
        <v>1.1000000000000001</v>
      </c>
      <c r="B5" s="118"/>
      <c r="C5" s="118"/>
      <c r="D5" s="118"/>
      <c r="E5" s="118"/>
      <c r="F5" s="118"/>
      <c r="G5" s="119"/>
      <c r="H5" s="109"/>
      <c r="I5" s="120"/>
      <c r="J5" s="120"/>
      <c r="K5" s="120"/>
      <c r="L5" s="120"/>
      <c r="M5" s="120"/>
      <c r="N5" s="121"/>
      <c r="O5" s="122" t="s">
        <v>143</v>
      </c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4"/>
      <c r="AQ5" s="125" t="s">
        <v>144</v>
      </c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7"/>
    </row>
    <row r="6" spans="1:57" ht="15" customHeight="1">
      <c r="A6" s="117"/>
      <c r="B6" s="118"/>
      <c r="C6" s="118"/>
      <c r="D6" s="118"/>
      <c r="E6" s="118"/>
      <c r="F6" s="118"/>
      <c r="G6" s="119"/>
      <c r="H6" s="109"/>
      <c r="I6" s="120"/>
      <c r="J6" s="120"/>
      <c r="K6" s="120"/>
      <c r="L6" s="120"/>
      <c r="M6" s="120"/>
      <c r="N6" s="121"/>
      <c r="O6" s="109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1"/>
      <c r="AQ6" s="112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3"/>
    </row>
    <row r="7" spans="1:57" ht="15" customHeight="1">
      <c r="A7" s="117"/>
      <c r="B7" s="118"/>
      <c r="C7" s="118"/>
      <c r="D7" s="118"/>
      <c r="E7" s="118"/>
      <c r="F7" s="118"/>
      <c r="G7" s="119"/>
      <c r="H7" s="109"/>
      <c r="I7" s="120"/>
      <c r="J7" s="120"/>
      <c r="K7" s="120"/>
      <c r="L7" s="120"/>
      <c r="M7" s="120"/>
      <c r="N7" s="121"/>
      <c r="O7" s="109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1"/>
      <c r="AQ7" s="112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3"/>
    </row>
    <row r="8" spans="1:57" ht="15" customHeight="1">
      <c r="A8" s="117"/>
      <c r="B8" s="118"/>
      <c r="C8" s="118"/>
      <c r="D8" s="118"/>
      <c r="E8" s="118"/>
      <c r="F8" s="118"/>
      <c r="G8" s="119"/>
      <c r="H8" s="109"/>
      <c r="I8" s="120"/>
      <c r="J8" s="120"/>
      <c r="K8" s="120"/>
      <c r="L8" s="120"/>
      <c r="M8" s="120"/>
      <c r="N8" s="121"/>
      <c r="O8" s="109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1"/>
      <c r="AQ8" s="112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3"/>
    </row>
    <row r="9" spans="1:57" ht="15" customHeight="1">
      <c r="A9" s="117"/>
      <c r="B9" s="118"/>
      <c r="C9" s="118"/>
      <c r="D9" s="118"/>
      <c r="E9" s="118"/>
      <c r="F9" s="118"/>
      <c r="G9" s="119"/>
      <c r="H9" s="109"/>
      <c r="I9" s="120"/>
      <c r="J9" s="120"/>
      <c r="K9" s="120"/>
      <c r="L9" s="120"/>
      <c r="M9" s="120"/>
      <c r="N9" s="121"/>
      <c r="O9" s="109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1"/>
      <c r="AQ9" s="112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3"/>
    </row>
    <row r="10" spans="1:57" ht="15" customHeight="1">
      <c r="A10" s="117"/>
      <c r="B10" s="118"/>
      <c r="C10" s="118"/>
      <c r="D10" s="118"/>
      <c r="E10" s="118"/>
      <c r="F10" s="118"/>
      <c r="G10" s="119"/>
      <c r="H10" s="109"/>
      <c r="I10" s="120"/>
      <c r="J10" s="120"/>
      <c r="K10" s="120"/>
      <c r="L10" s="120"/>
      <c r="M10" s="120"/>
      <c r="N10" s="121"/>
      <c r="O10" s="109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1"/>
      <c r="AQ10" s="112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3"/>
    </row>
    <row r="11" spans="1:57" ht="15" customHeight="1">
      <c r="A11" s="117"/>
      <c r="B11" s="118"/>
      <c r="C11" s="118"/>
      <c r="D11" s="118"/>
      <c r="E11" s="118"/>
      <c r="F11" s="118"/>
      <c r="G11" s="119"/>
      <c r="H11" s="109"/>
      <c r="I11" s="120"/>
      <c r="J11" s="120"/>
      <c r="K11" s="120"/>
      <c r="L11" s="120"/>
      <c r="M11" s="120"/>
      <c r="N11" s="121"/>
      <c r="O11" s="109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1"/>
      <c r="AQ11" s="112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3"/>
    </row>
    <row r="12" spans="1:57" ht="15" customHeight="1">
      <c r="A12" s="117"/>
      <c r="B12" s="118"/>
      <c r="C12" s="118"/>
      <c r="D12" s="118"/>
      <c r="E12" s="118"/>
      <c r="F12" s="118"/>
      <c r="G12" s="119"/>
      <c r="H12" s="109"/>
      <c r="I12" s="120"/>
      <c r="J12" s="120"/>
      <c r="K12" s="120"/>
      <c r="L12" s="120"/>
      <c r="M12" s="120"/>
      <c r="N12" s="121"/>
      <c r="O12" s="109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1"/>
      <c r="AQ12" s="112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3"/>
    </row>
    <row r="13" spans="1:57" ht="15" customHeight="1">
      <c r="A13" s="117"/>
      <c r="B13" s="118"/>
      <c r="C13" s="118"/>
      <c r="D13" s="118"/>
      <c r="E13" s="118"/>
      <c r="F13" s="118"/>
      <c r="G13" s="119"/>
      <c r="H13" s="109"/>
      <c r="I13" s="120"/>
      <c r="J13" s="120"/>
      <c r="K13" s="120"/>
      <c r="L13" s="120"/>
      <c r="M13" s="120"/>
      <c r="N13" s="121"/>
      <c r="O13" s="109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1"/>
      <c r="AQ13" s="112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3"/>
    </row>
    <row r="14" spans="1:57" ht="15" customHeight="1">
      <c r="A14" s="117"/>
      <c r="B14" s="118"/>
      <c r="C14" s="118"/>
      <c r="D14" s="118"/>
      <c r="E14" s="118"/>
      <c r="F14" s="118"/>
      <c r="G14" s="119"/>
      <c r="H14" s="109"/>
      <c r="I14" s="120"/>
      <c r="J14" s="120"/>
      <c r="K14" s="120"/>
      <c r="L14" s="120"/>
      <c r="M14" s="120"/>
      <c r="N14" s="121"/>
      <c r="O14" s="109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1"/>
      <c r="AQ14" s="112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3"/>
    </row>
    <row r="15" spans="1:57" ht="15" customHeight="1">
      <c r="A15" s="117"/>
      <c r="B15" s="118"/>
      <c r="C15" s="118"/>
      <c r="D15" s="118"/>
      <c r="E15" s="118"/>
      <c r="F15" s="118"/>
      <c r="G15" s="119"/>
      <c r="H15" s="109"/>
      <c r="I15" s="120"/>
      <c r="J15" s="120"/>
      <c r="K15" s="120"/>
      <c r="L15" s="120"/>
      <c r="M15" s="120"/>
      <c r="N15" s="121"/>
      <c r="O15" s="109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1"/>
      <c r="AQ15" s="112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3"/>
    </row>
    <row r="16" spans="1:57" ht="15" customHeight="1">
      <c r="A16" s="117"/>
      <c r="B16" s="118"/>
      <c r="C16" s="118"/>
      <c r="D16" s="118"/>
      <c r="E16" s="118"/>
      <c r="F16" s="118"/>
      <c r="G16" s="119"/>
      <c r="H16" s="109"/>
      <c r="I16" s="120"/>
      <c r="J16" s="120"/>
      <c r="K16" s="120"/>
      <c r="L16" s="120"/>
      <c r="M16" s="120"/>
      <c r="N16" s="121"/>
      <c r="O16" s="109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1"/>
      <c r="AQ16" s="112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3"/>
    </row>
    <row r="17" spans="1:57" ht="15" customHeight="1">
      <c r="A17" s="117"/>
      <c r="B17" s="118"/>
      <c r="C17" s="118"/>
      <c r="D17" s="118"/>
      <c r="E17" s="118"/>
      <c r="F17" s="118"/>
      <c r="G17" s="119"/>
      <c r="H17" s="109"/>
      <c r="I17" s="120"/>
      <c r="J17" s="120"/>
      <c r="K17" s="120"/>
      <c r="L17" s="120"/>
      <c r="M17" s="120"/>
      <c r="N17" s="121"/>
      <c r="O17" s="109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1"/>
      <c r="AQ17" s="112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3"/>
    </row>
    <row r="18" spans="1:57" ht="15" customHeight="1">
      <c r="A18" s="117"/>
      <c r="B18" s="118"/>
      <c r="C18" s="118"/>
      <c r="D18" s="118"/>
      <c r="E18" s="118"/>
      <c r="F18" s="118"/>
      <c r="G18" s="119"/>
      <c r="H18" s="109"/>
      <c r="I18" s="120"/>
      <c r="J18" s="120"/>
      <c r="K18" s="120"/>
      <c r="L18" s="120"/>
      <c r="M18" s="120"/>
      <c r="N18" s="121"/>
      <c r="O18" s="109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1"/>
      <c r="AQ18" s="112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3"/>
    </row>
    <row r="19" spans="1:57" ht="15" customHeight="1">
      <c r="A19" s="117"/>
      <c r="B19" s="118"/>
      <c r="C19" s="118"/>
      <c r="D19" s="118"/>
      <c r="E19" s="118"/>
      <c r="F19" s="118"/>
      <c r="G19" s="119"/>
      <c r="H19" s="109"/>
      <c r="I19" s="120"/>
      <c r="J19" s="120"/>
      <c r="K19" s="120"/>
      <c r="L19" s="120"/>
      <c r="M19" s="120"/>
      <c r="N19" s="121"/>
      <c r="O19" s="109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1"/>
      <c r="AQ19" s="112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3"/>
    </row>
    <row r="20" spans="1:57" ht="15" customHeight="1">
      <c r="A20" s="117"/>
      <c r="B20" s="118"/>
      <c r="C20" s="118"/>
      <c r="D20" s="118"/>
      <c r="E20" s="118"/>
      <c r="F20" s="118"/>
      <c r="G20" s="119"/>
      <c r="H20" s="109"/>
      <c r="I20" s="120"/>
      <c r="J20" s="120"/>
      <c r="K20" s="120"/>
      <c r="L20" s="120"/>
      <c r="M20" s="120"/>
      <c r="N20" s="121"/>
      <c r="O20" s="109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1"/>
      <c r="AQ20" s="112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3"/>
    </row>
    <row r="21" spans="1:57" ht="15" customHeight="1">
      <c r="A21" s="117"/>
      <c r="B21" s="118"/>
      <c r="C21" s="118"/>
      <c r="D21" s="118"/>
      <c r="E21" s="118"/>
      <c r="F21" s="118"/>
      <c r="G21" s="119"/>
      <c r="H21" s="109"/>
      <c r="I21" s="120"/>
      <c r="J21" s="120"/>
      <c r="K21" s="120"/>
      <c r="L21" s="120"/>
      <c r="M21" s="120"/>
      <c r="N21" s="121"/>
      <c r="O21" s="109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1"/>
      <c r="AQ21" s="112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3"/>
    </row>
    <row r="22" spans="1:57" ht="15" customHeight="1">
      <c r="A22" s="117"/>
      <c r="B22" s="118"/>
      <c r="C22" s="118"/>
      <c r="D22" s="118"/>
      <c r="E22" s="118"/>
      <c r="F22" s="118"/>
      <c r="G22" s="119"/>
      <c r="H22" s="109"/>
      <c r="I22" s="120"/>
      <c r="J22" s="120"/>
      <c r="K22" s="120"/>
      <c r="L22" s="120"/>
      <c r="M22" s="120"/>
      <c r="N22" s="121"/>
      <c r="O22" s="109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1"/>
      <c r="AQ22" s="112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3"/>
    </row>
    <row r="23" spans="1:57" ht="15" customHeight="1">
      <c r="A23" s="117"/>
      <c r="B23" s="118"/>
      <c r="C23" s="118"/>
      <c r="D23" s="118"/>
      <c r="E23" s="118"/>
      <c r="F23" s="118"/>
      <c r="G23" s="119"/>
      <c r="H23" s="109"/>
      <c r="I23" s="120"/>
      <c r="J23" s="120"/>
      <c r="K23" s="120"/>
      <c r="L23" s="120"/>
      <c r="M23" s="120"/>
      <c r="N23" s="121"/>
      <c r="O23" s="109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1"/>
      <c r="AQ23" s="112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3"/>
    </row>
    <row r="24" spans="1:57" ht="15" customHeight="1">
      <c r="A24" s="117"/>
      <c r="B24" s="118"/>
      <c r="C24" s="118"/>
      <c r="D24" s="118"/>
      <c r="E24" s="118"/>
      <c r="F24" s="118"/>
      <c r="G24" s="119"/>
      <c r="H24" s="109"/>
      <c r="I24" s="120"/>
      <c r="J24" s="120"/>
      <c r="K24" s="120"/>
      <c r="L24" s="120"/>
      <c r="M24" s="120"/>
      <c r="N24" s="121"/>
      <c r="O24" s="109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1"/>
      <c r="AQ24" s="112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3"/>
    </row>
    <row r="25" spans="1:57" ht="15" customHeight="1">
      <c r="A25" s="117"/>
      <c r="B25" s="118"/>
      <c r="C25" s="118"/>
      <c r="D25" s="118"/>
      <c r="E25" s="118"/>
      <c r="F25" s="118"/>
      <c r="G25" s="119"/>
      <c r="H25" s="109"/>
      <c r="I25" s="120"/>
      <c r="J25" s="120"/>
      <c r="K25" s="120"/>
      <c r="L25" s="120"/>
      <c r="M25" s="120"/>
      <c r="N25" s="121"/>
      <c r="O25" s="109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1"/>
      <c r="AQ25" s="112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3"/>
    </row>
    <row r="26" spans="1:57" ht="15" customHeight="1">
      <c r="A26" s="117"/>
      <c r="B26" s="118"/>
      <c r="C26" s="118"/>
      <c r="D26" s="118"/>
      <c r="E26" s="118"/>
      <c r="F26" s="118"/>
      <c r="G26" s="119"/>
      <c r="H26" s="109"/>
      <c r="I26" s="120"/>
      <c r="J26" s="120"/>
      <c r="K26" s="120"/>
      <c r="L26" s="120"/>
      <c r="M26" s="120"/>
      <c r="N26" s="121"/>
      <c r="O26" s="109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1"/>
      <c r="AQ26" s="112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3"/>
    </row>
    <row r="27" spans="1:57" ht="15" customHeight="1">
      <c r="A27" s="117"/>
      <c r="B27" s="118"/>
      <c r="C27" s="118"/>
      <c r="D27" s="118"/>
      <c r="E27" s="118"/>
      <c r="F27" s="118"/>
      <c r="G27" s="119"/>
      <c r="H27" s="109"/>
      <c r="I27" s="120"/>
      <c r="J27" s="120"/>
      <c r="K27" s="120"/>
      <c r="L27" s="120"/>
      <c r="M27" s="120"/>
      <c r="N27" s="121"/>
      <c r="O27" s="109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1"/>
      <c r="AQ27" s="112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3"/>
    </row>
    <row r="28" spans="1:57" ht="15" customHeight="1">
      <c r="A28" s="117"/>
      <c r="B28" s="118"/>
      <c r="C28" s="118"/>
      <c r="D28" s="118"/>
      <c r="E28" s="118"/>
      <c r="F28" s="118"/>
      <c r="G28" s="119"/>
      <c r="H28" s="109"/>
      <c r="I28" s="120"/>
      <c r="J28" s="120"/>
      <c r="K28" s="120"/>
      <c r="L28" s="120"/>
      <c r="M28" s="120"/>
      <c r="N28" s="121"/>
      <c r="O28" s="109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1"/>
      <c r="AQ28" s="112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3"/>
    </row>
    <row r="29" spans="1:57" ht="15" customHeight="1">
      <c r="A29" s="117"/>
      <c r="B29" s="118"/>
      <c r="C29" s="118"/>
      <c r="D29" s="118"/>
      <c r="E29" s="118"/>
      <c r="F29" s="118"/>
      <c r="G29" s="119"/>
      <c r="H29" s="109"/>
      <c r="I29" s="120"/>
      <c r="J29" s="120"/>
      <c r="K29" s="120"/>
      <c r="L29" s="120"/>
      <c r="M29" s="120"/>
      <c r="N29" s="121"/>
      <c r="O29" s="109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1"/>
      <c r="AQ29" s="112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3"/>
    </row>
    <row r="30" spans="1:57" ht="15" customHeight="1">
      <c r="A30" s="117"/>
      <c r="B30" s="118"/>
      <c r="C30" s="118"/>
      <c r="D30" s="118"/>
      <c r="E30" s="118"/>
      <c r="F30" s="118"/>
      <c r="G30" s="119"/>
      <c r="H30" s="109"/>
      <c r="I30" s="120"/>
      <c r="J30" s="120"/>
      <c r="K30" s="120"/>
      <c r="L30" s="120"/>
      <c r="M30" s="120"/>
      <c r="N30" s="121"/>
      <c r="O30" s="109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1"/>
      <c r="AQ30" s="112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3"/>
    </row>
    <row r="31" spans="1:57" ht="15" customHeight="1">
      <c r="A31" s="117"/>
      <c r="B31" s="118"/>
      <c r="C31" s="118"/>
      <c r="D31" s="118"/>
      <c r="E31" s="118"/>
      <c r="F31" s="118"/>
      <c r="G31" s="119"/>
      <c r="H31" s="109"/>
      <c r="I31" s="120"/>
      <c r="J31" s="120"/>
      <c r="K31" s="120"/>
      <c r="L31" s="120"/>
      <c r="M31" s="120"/>
      <c r="N31" s="121"/>
      <c r="O31" s="109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1"/>
      <c r="AQ31" s="112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3"/>
    </row>
    <row r="32" spans="1:57" ht="15" customHeight="1">
      <c r="A32" s="117"/>
      <c r="B32" s="118"/>
      <c r="C32" s="118"/>
      <c r="D32" s="118"/>
      <c r="E32" s="118"/>
      <c r="F32" s="118"/>
      <c r="G32" s="119"/>
      <c r="H32" s="109"/>
      <c r="I32" s="120"/>
      <c r="J32" s="120"/>
      <c r="K32" s="120"/>
      <c r="L32" s="120"/>
      <c r="M32" s="120"/>
      <c r="N32" s="121"/>
      <c r="O32" s="109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1"/>
      <c r="AQ32" s="112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3"/>
    </row>
    <row r="33" spans="1:57" ht="15" customHeight="1">
      <c r="A33" s="117"/>
      <c r="B33" s="118"/>
      <c r="C33" s="118"/>
      <c r="D33" s="118"/>
      <c r="E33" s="118"/>
      <c r="F33" s="118"/>
      <c r="G33" s="119"/>
      <c r="H33" s="109"/>
      <c r="I33" s="120"/>
      <c r="J33" s="120"/>
      <c r="K33" s="120"/>
      <c r="L33" s="120"/>
      <c r="M33" s="120"/>
      <c r="N33" s="121"/>
      <c r="O33" s="109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1"/>
      <c r="AQ33" s="112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3"/>
    </row>
    <row r="34" spans="1:57" ht="15" customHeight="1">
      <c r="A34" s="117"/>
      <c r="B34" s="118"/>
      <c r="C34" s="118"/>
      <c r="D34" s="118"/>
      <c r="E34" s="118"/>
      <c r="F34" s="118"/>
      <c r="G34" s="119"/>
      <c r="H34" s="109"/>
      <c r="I34" s="120"/>
      <c r="J34" s="120"/>
      <c r="K34" s="120"/>
      <c r="L34" s="120"/>
      <c r="M34" s="120"/>
      <c r="N34" s="121"/>
      <c r="O34" s="109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1"/>
      <c r="AQ34" s="112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3"/>
    </row>
    <row r="35" spans="1:57" ht="15" customHeight="1" thickBot="1">
      <c r="A35" s="135"/>
      <c r="B35" s="136"/>
      <c r="C35" s="136"/>
      <c r="D35" s="136"/>
      <c r="E35" s="136"/>
      <c r="F35" s="136"/>
      <c r="G35" s="137"/>
      <c r="H35" s="128"/>
      <c r="I35" s="129"/>
      <c r="J35" s="129"/>
      <c r="K35" s="129"/>
      <c r="L35" s="129"/>
      <c r="M35" s="129"/>
      <c r="N35" s="130"/>
      <c r="O35" s="128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2"/>
      <c r="AQ35" s="133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4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UsrImage_UpdChk01</vt:lpstr>
      <vt:lpstr>UsrImage_Upd01</vt:lpstr>
      <vt:lpstr>Srch01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2026-03-27T05:42:28Z</dcterms:modified>
  <cp:category/>
</cp:coreProperties>
</file>