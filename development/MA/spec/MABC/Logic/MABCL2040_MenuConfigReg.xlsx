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9C008856-9737-4E97-B05A-0426434F97AC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MenuConfig_UpdChk01" sheetId="18" r:id="rId2"/>
    <sheet name="MenuConfig_Upd01" sheetId="15" r:id="rId3"/>
    <sheet name="MenuConfig_DelChk01" sheetId="21" r:id="rId4"/>
    <sheet name="MenuConfig_Del01" sheetId="17" r:id="rId5"/>
    <sheet name="Srch01" sheetId="1" r:id="rId6"/>
    <sheet name="Del01" sheetId="14" r:id="rId7"/>
    <sheet name="Upd01" sheetId="11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<sst xmlns="http://schemas.openxmlformats.org/spreadsheetml/2006/main" count="763" uniqueCount="222">
  <si>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</si>
  <si>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</si>
  <si>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</si>
  <si>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</si>
  <si>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</si>
  <si>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</si>
  <si>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</si>
  <si>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</si>
  <si>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</si>
  <si>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</si>
  <si>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</si>
  <si>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</si>
  <si>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</si>
  <si>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</si>
  <si>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</si>
  <si>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</si>
  <si>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</si>
  <si>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super/share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</si>
  <si>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</si>
  <si>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</si>
  <si>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</si>
  <si>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</si>
  <si>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</si>
  <si>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</si>
  <si>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ACType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</si>
  <si>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</si>
  <si>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</si>
  <si>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</si>
  <si>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</si>
  <si>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</si>
  <si>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</si>
  <si>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Srch01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</si>
  <si>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</si>
  <si>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</si>
  <si>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</si>
  <si>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</si>
  <si>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</si>
  <si>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</si>
  <si>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</si>
  <si>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</si>
  <si>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</si>
  <si>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Upd01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</si>
  <si>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</si>
  <si>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</si>
  <si>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</si>
  <si>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</si>
  <si>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</si>
  <si>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</si>
  <si>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</si>
  <si>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</si>
  <si>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</si>
  <si>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</si>
  <si>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</si>
  <si>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</si>
  <si>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</si>
  <si>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MA</t>
    <phoneticPr fontId="2"/>
  </si>
  <si>
    <t>更新ユーザ名</t>
    <phoneticPr fontId="2"/>
  </si>
  <si>
    <t>登録ユーザＩＤ</t>
    <phoneticPr fontId="2"/>
  </si>
  <si>
    <t>#MA.SYS_TS</t>
    <phoneticPr fontId="2"/>
  </si>
  <si>
    <t>ins_func_id</t>
    <phoneticPr fontId="2"/>
  </si>
  <si>
    <t>upd_func_id</t>
    <phoneticPr fontId="2"/>
  </si>
  <si>
    <t>#MA.SRV_REQ_NO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</si>
  <si>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</si>
  <si>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</si>
  <si>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</si>
  <si>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</si>
  <si>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</si>
  <si>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Del01</t>
    <phoneticPr fontId="2"/>
  </si>
  <si>
    <t>削除</t>
    <phoneticPr fontId="2"/>
  </si>
  <si>
    <t>登録</t>
    <rPh sb="0" eb="2">
      <t>トウロク</t>
    </rPh>
    <phoneticPr fontId="2"/>
  </si>
  <si>
    <t>L</t>
  </si>
  <si>
    <t>Upd01_Dtl1</t>
    <phoneticPr fontId="2"/>
  </si>
  <si>
    <t>o</t>
  </si>
  <si>
    <t>TargetName</t>
  </si>
  <si>
    <t>#MA.UPD_CNT</t>
    <phoneticPr fontId="2"/>
  </si>
  <si>
    <t>upd_cntr</t>
  </si>
  <si>
    <t>#MA.UPD_CNT</t>
  </si>
  <si>
    <t>$share$</t>
  </si>
  <si>
    <t>@</t>
  </si>
  <si>
    <t>K</t>
  </si>
  <si>
    <t>REQUIRED</t>
  </si>
  <si>
    <t>upd_cntr</t>
    <phoneticPr fontId="39"/>
  </si>
  <si>
    <t>#MA.UPD_CNT</t>
    <phoneticPr fontId="39"/>
  </si>
  <si>
    <t>CALL_OPE01.chk01</t>
    <phoneticPr fontId="2"/>
  </si>
  <si>
    <t>CALL_OPE01.upd01</t>
    <phoneticPr fontId="2"/>
  </si>
  <si>
    <t>CALL_OPE01.chk01</t>
    <phoneticPr fontId="39"/>
  </si>
  <si>
    <t>CALL_OPE01.del01</t>
    <phoneticPr fontId="39"/>
  </si>
  <si>
    <t>$super$</t>
    <phoneticPr fontId="39"/>
  </si>
  <si>
    <t>原価メニュー構成マスタ登録</t>
  </si>
  <si>
    <t>MABC</t>
  </si>
  <si>
    <t>MABCL2040</t>
  </si>
  <si>
    <t>MABCL_MenuConfigReg</t>
  </si>
  <si>
    <t>MenuConfig_UpdChk01</t>
  </si>
  <si>
    <t>MenuConfig_UpdChk01_Dtl</t>
  </si>
  <si>
    <t>MenuConfig_Upd01</t>
  </si>
  <si>
    <t>MenuConfig_Upd01_Dtl</t>
  </si>
  <si>
    <t>MenuConfig_DelChk01</t>
  </si>
  <si>
    <t>MenuConfig_Del01</t>
  </si>
  <si>
    <t>OPE.MA.MABCL2040.MenuConfig_UpdChk01</t>
  </si>
  <si>
    <t>OPE.MA.MABCL2040.MenuConfig_Upd01</t>
  </si>
  <si>
    <t>OPE.MA.MABCL2040.MenuConfig_DelChk01</t>
  </si>
  <si>
    <t>OPE.MA.MABCL2040.MenuConfig_Del01</t>
  </si>
  <si>
    <t>menu_cd</t>
    <phoneticPr fontId="2"/>
  </si>
  <si>
    <t>menu_nm</t>
    <phoneticPr fontId="2"/>
  </si>
  <si>
    <t>menu_no</t>
    <phoneticPr fontId="2"/>
  </si>
  <si>
    <t>module_id</t>
    <phoneticPr fontId="2"/>
  </si>
  <si>
    <t>モジュールＩＤ</t>
    <phoneticPr fontId="2"/>
  </si>
  <si>
    <t>Upd01_Hdr1</t>
    <phoneticPr fontId="2"/>
  </si>
  <si>
    <t>Del01_Hdr1</t>
    <phoneticPr fontId="2"/>
  </si>
  <si>
    <t>MenuConfig_UpdChk01_Hdr</t>
    <phoneticPr fontId="39"/>
  </si>
  <si>
    <t>K</t>
    <phoneticPr fontId="39"/>
  </si>
  <si>
    <t>LIST_LOGIC</t>
    <phoneticPr fontId="39"/>
  </si>
  <si>
    <t>MenuConfig_Upd01_Hdr</t>
    <phoneticPr fontId="39"/>
  </si>
  <si>
    <t>MenuConfig_DelChk01_Hdr</t>
    <phoneticPr fontId="39"/>
  </si>
  <si>
    <t>MenuConfig_Del01_Hdr</t>
    <phoneticPr fontId="39"/>
  </si>
  <si>
    <t>R</t>
    <phoneticPr fontId="39"/>
  </si>
  <si>
    <t>scrn_id</t>
  </si>
  <si>
    <t>Srch01_Hdr1</t>
    <phoneticPr fontId="2"/>
  </si>
  <si>
    <t>upd_cntr</t>
    <phoneticPr fontId="2"/>
  </si>
  <si>
    <t>#MA.FCM_USR_ID</t>
  </si>
  <si>
    <t>#MA.FCM_USR_NM</t>
  </si>
  <si>
    <t>原価メニュー構成マスタを登録する前のチェックを行う</t>
    <rPh sb="12" eb="14">
      <t>トウロク</t>
    </rPh>
    <rPh sb="16" eb="17">
      <t>マエ</t>
    </rPh>
    <rPh sb="23" eb="24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</si>
  <si>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</si>
  <si>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原価メニュー構成マスタを登録する</t>
    <rPh sb="12" eb="14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</si>
  <si>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</si>
  <si>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原価メニュー構成マスタを削除する前のチェックを行う</t>
    <rPh sb="12" eb="14">
      <t>サクジョ</t>
    </rPh>
    <rPh sb="16" eb="17">
      <t>マエ</t>
    </rPh>
    <rPh sb="23" eb="24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</si>
  <si>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</si>
  <si>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原価メニュー構成マスタを削除する</t>
    <rPh sb="12" eb="14">
      <t>サクジョ</t>
    </rPh>
    <phoneticPr fontId="3"/>
  </si>
  <si>
    <t>削除処理</t>
    <rPh sb="0" eb="2">
      <t>サクジョ</t>
    </rPh>
    <rPh sb="2" eb="4">
      <t>ショリ</t>
    </rPh>
    <phoneticPr fontId="3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</si>
  <si>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</si>
  <si>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</si>
  <si>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</si>
  <si>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o</t>
    <phoneticPr fontId="39"/>
  </si>
  <si>
    <t>o</t>
    <phoneticPr fontId="39"/>
  </si>
  <si>
    <t>000000</t>
    <phoneticPr fontId="2"/>
  </si>
  <si>
    <t>Ope.ID :</t>
    <phoneticPr fontId="2"/>
  </si>
  <si>
    <t>メニューＣＤ</t>
    <phoneticPr fontId="39"/>
  </si>
  <si>
    <t>E</t>
    <phoneticPr fontId="39"/>
  </si>
  <si>
    <t>MA.MAUAL0010.CostMenu</t>
    <phoneticPr fontId="39"/>
  </si>
  <si>
    <t>更新カウンタ</t>
    <phoneticPr fontId="39"/>
  </si>
  <si>
    <t>メニュー配置番号</t>
    <phoneticPr fontId="2"/>
  </si>
  <si>
    <t>画面ＩＤ</t>
    <phoneticPr fontId="2"/>
  </si>
  <si>
    <t>#MA.MENU_CD</t>
    <phoneticPr fontId="2"/>
  </si>
  <si>
    <t>menu_no</t>
    <phoneticPr fontId="2"/>
  </si>
  <si>
    <t>#MA.MENU_NO</t>
    <phoneticPr fontId="2"/>
  </si>
  <si>
    <t>module_id</t>
    <phoneticPr fontId="2"/>
  </si>
  <si>
    <t>#MA.MODULE_ID</t>
    <phoneticPr fontId="2"/>
  </si>
  <si>
    <t>#MA.SCREEN_ID</t>
    <phoneticPr fontId="2"/>
  </si>
  <si>
    <t>MA.MABCL2040.MenuConfig_UpdChk01.MenuConfig_UpdChk01_Hdr</t>
    <phoneticPr fontId="39"/>
  </si>
  <si>
    <t>更新カウンタ</t>
    <phoneticPr fontId="2"/>
  </si>
  <si>
    <t>MA.MABCL2040.MenuConfig_UpdChk01.MenuConfig_UpdChk01_Dtl</t>
    <phoneticPr fontId="2"/>
  </si>
  <si>
    <t>#MA.MENU_CD</t>
    <phoneticPr fontId="2"/>
  </si>
  <si>
    <t>#MA.MENU_NO</t>
    <phoneticPr fontId="2"/>
  </si>
  <si>
    <t>#MA.MODULE_ID</t>
    <phoneticPr fontId="2"/>
  </si>
  <si>
    <t>#MA.SCREEN_ID</t>
    <phoneticPr fontId="2"/>
  </si>
  <si>
    <t>MA.MABCL2040.MenuConfig_DelChk01.MenuConfig_DelChk01_Hdr</t>
    <phoneticPr fontId="39"/>
  </si>
  <si>
    <t>メニューＣＤ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</si>
  <si>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</si>
  <si>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</si>
  <si>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</si>
  <si>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</si>
  <si>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</si>
  <si>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</si>
  <si>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</si>
  <si>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</si>
  <si>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</si>
  <si>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メニュー名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</si>
  <si>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</si>
  <si>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</si>
  <si>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</si>
  <si>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</si>
  <si>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#MA.MENU_NM</t>
    <phoneticPr fontId="2"/>
  </si>
  <si>
    <t>MA.MABCL2040.MenuConfig_Upd01.MenuConfig_Upd01_Hdr</t>
    <phoneticPr fontId="2"/>
  </si>
  <si>
    <t>MenuConfig_UpdChk01_Hdr</t>
    <phoneticPr fontId="2"/>
  </si>
  <si>
    <t>MenuConfig_Upd01_Hdr</t>
    <phoneticPr fontId="2"/>
  </si>
  <si>
    <t>MA.MABCL2040.MenuConfig_Upd01.MenuConfig_Upd01_Dtl</t>
    <phoneticPr fontId="2"/>
  </si>
  <si>
    <t>MenuConfig_UpdChk01_Dtl</t>
    <phoneticPr fontId="2"/>
  </si>
  <si>
    <t>MenuConfig_Upd01_Dtl</t>
    <phoneticPr fontId="2"/>
  </si>
  <si>
    <t>MA.MABCL2040.MenuConfig_Del01.MenuConfig_Del01_Hdr</t>
    <phoneticPr fontId="39"/>
  </si>
  <si>
    <t>MA.MAUDL5010</t>
    <phoneticPr fontId="2"/>
  </si>
  <si>
    <t>"mcframe.serverMAUD.MAUDL6010.MAUDL_RLUpdater"</t>
    <phoneticPr fontId="39"/>
  </si>
  <si>
    <t>"mcframe.serverMAUD.MAUDL6010.MAUDL_RLDeleter"</t>
    <phoneticPr fontId="39"/>
  </si>
  <si>
    <t>"mcframe.serverMAUD.MAUDL6010.MAUDL_RLSearcher"</t>
    <phoneticPr fontId="2"/>
  </si>
  <si>
    <t>"mcframe.serverMAUD.MAUDL6010.MAUDL_RLUpdater"</t>
    <phoneticPr fontId="2"/>
  </si>
  <si>
    <t>DBC:MA.MAM_MENU_CONFIG</t>
    <phoneticPr fontId="39"/>
  </si>
  <si>
    <t>DBC:MA.MAM_MENU_CONFIG</t>
    <phoneticPr fontId="2"/>
  </si>
  <si>
    <t>DBC.MA.MAM_MENU_CONFIG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</si>
  <si>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</si>
  <si>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</si>
  <si>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</si>
  <si>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</si>
  <si>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</si>
  <si>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</si>
  <si>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</si>
  <si>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</si>
  <si>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</si>
  <si>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</si>
  <si>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</si>
  <si>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</si>
  <si>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</si>
  <si>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</si>
  <si>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Menu cd.</t>
  </si>
  <si>
    <t>Update counter</t>
  </si>
  <si>
    <t>Menu placement number</t>
  </si>
  <si>
    <t>Module ID</t>
  </si>
  <si>
    <t>Screen ID</t>
  </si>
  <si>
    <t>項目名
Field Name</t>
    <phoneticPr fontId="2"/>
  </si>
  <si>
    <t>型
Type</t>
    <phoneticPr fontId="2"/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</si>
  <si>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</si>
  <si>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</si>
  <si>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</si>
  <si>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</si>
  <si>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</si>
  <si>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</si>
  <si>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</si>
  <si>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</si>
  <si>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</si>
  <si>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</si>
  <si>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</si>
  <si>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Menu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</si>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</sst>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7">
    <xf numFmtId="0" fontId="0" fillId="0" borderId="0">
      <alignment vertical="top" wrapText="1"/>
    </xf>
    <xf numFmtId="0" fontId="22" fillId="0" borderId="0"/>
    <xf numFmtId="0" fontId="22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8" fillId="24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8" fillId="0" borderId="0"/>
    <xf numFmtId="0" fontId="11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25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8" fillId="26" borderId="1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5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31" fillId="0" borderId="0"/>
    <xf numFmtId="0" fontId="37" fillId="0" borderId="0"/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20" fontId="40" fillId="27" borderId="20" xfId="0" applyNumberFormat="1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0" xfId="0" applyFont="1">
      <alignment vertical="top" wrapText="1"/>
    </xf>
    <xf numFmtId="0" fontId="40" fillId="27" borderId="20" xfId="0" applyFont="1" applyFill="1" applyBorder="1" applyAlignment="1">
      <alignment horizontal="left" vertical="top"/>
    </xf>
    <xf numFmtId="0" fontId="40" fillId="28" borderId="20" xfId="179" applyFont="1" applyFill="1" applyBorder="1" applyAlignment="1">
      <alignment vertical="top"/>
    </xf>
    <xf numFmtId="0" fontId="40" fillId="0" borderId="0" xfId="0" applyFont="1" applyAlignment="1"/>
    <xf numFmtId="0" fontId="40" fillId="0" borderId="23" xfId="0" applyFont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0" borderId="0" xfId="0" applyFont="1" applyAlignment="1" applyProtection="1">
      <alignment vertical="top"/>
      <protection locked="0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18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0" borderId="20" xfId="0" applyFont="1" applyBorder="1" applyAlignment="1" applyProtection="1">
      <protection locked="0"/>
    </xf>
    <xf numFmtId="0" fontId="40" fillId="0" borderId="27" xfId="0" applyFont="1" applyBorder="1" applyAlignment="1" applyProtection="1">
      <protection locked="0"/>
    </xf>
    <xf numFmtId="0" fontId="40" fillId="0" borderId="24" xfId="0" applyFont="1" applyBorder="1" applyAlignment="1" applyProtection="1">
      <protection locked="0"/>
    </xf>
    <xf numFmtId="0" fontId="40" fillId="27" borderId="27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7" xfId="0" applyFont="1" applyBorder="1" applyAlignment="1"/>
    <xf numFmtId="0" fontId="40" fillId="0" borderId="2" xfId="0" applyFont="1" applyBorder="1" applyAlignment="1"/>
    <xf numFmtId="0" fontId="40" fillId="27" borderId="20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4" xfId="0" applyFont="1" applyBorder="1" applyAlignment="1" applyProtection="1">
      <alignment vertical="top"/>
      <protection locked="0"/>
    </xf>
    <xf numFmtId="0" fontId="40" fillId="0" borderId="23" xfId="0" applyFont="1" applyBorder="1">
      <alignment vertical="top" wrapText="1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0" xfId="0" applyFont="1" applyFill="1" applyAlignment="1" applyProtection="1">
      <alignment vertical="top"/>
      <protection locked="0"/>
    </xf>
    <xf numFmtId="0" fontId="40" fillId="0" borderId="48" xfId="0" applyFont="1" applyBorder="1" applyAlignment="1" applyProtection="1">
      <alignment vertical="top"/>
      <protection locked="0"/>
    </xf>
    <xf numFmtId="0" fontId="40" fillId="0" borderId="22" xfId="0" applyFont="1" applyBorder="1" applyAlignment="1"/>
    <xf numFmtId="0" fontId="40" fillId="0" borderId="28" xfId="0" applyFont="1" applyBorder="1" applyAlignment="1"/>
    <xf numFmtId="0" fontId="40" fillId="0" borderId="18" xfId="0" applyFont="1" applyBorder="1" applyAlignment="1"/>
    <xf numFmtId="0" fontId="40" fillId="27" borderId="25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81" applyFont="1"/>
    <xf numFmtId="0" fontId="43" fillId="0" borderId="0" xfId="181" applyFont="1" applyAlignment="1">
      <alignment horizontal="center"/>
    </xf>
    <xf numFmtId="0" fontId="40" fillId="28" borderId="27" xfId="0" applyFont="1" applyFill="1" applyBorder="1" applyAlignment="1" applyProtection="1">
      <protection locked="0"/>
    </xf>
    <xf numFmtId="0" fontId="40" fillId="28" borderId="24" xfId="0" applyFont="1" applyFill="1" applyBorder="1" applyAlignment="1"/>
    <xf numFmtId="0" fontId="40" fillId="28" borderId="24" xfId="0" applyFont="1" applyFill="1" applyBorder="1" applyAlignment="1" applyProtection="1">
      <protection locked="0"/>
    </xf>
    <xf numFmtId="0" fontId="40" fillId="27" borderId="18" xfId="0" applyFont="1" applyFill="1" applyBorder="1" applyAlignment="1">
      <alignment vertical="top"/>
    </xf>
    <xf numFmtId="0" fontId="40" fillId="27" borderId="25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6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7" xfId="0" applyFont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27" borderId="28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8" xfId="0" applyFont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7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2" xfId="0" applyFont="1" applyBorder="1" applyAlignment="1" applyProtection="1">
      <alignment vertical="top"/>
      <protection locked="0"/>
    </xf>
    <xf numFmtId="0" fontId="40" fillId="0" borderId="27" xfId="0" applyFont="1" applyBorder="1" applyProtection="1">
      <alignment vertical="top" wrapText="1"/>
      <protection locked="0"/>
    </xf>
    <xf numFmtId="0" fontId="40" fillId="0" borderId="27" xfId="0" applyFont="1" applyBorder="1">
      <alignment vertical="top" wrapText="1"/>
    </xf>
    <xf numFmtId="0" fontId="40" fillId="0" borderId="24" xfId="0" applyFont="1" applyBorder="1">
      <alignment vertical="top" wrapText="1"/>
    </xf>
    <xf numFmtId="0" fontId="40" fillId="0" borderId="47" xfId="0" applyFont="1" applyBorder="1" applyAlignment="1" applyProtection="1">
      <alignment vertical="top"/>
      <protection locked="0"/>
    </xf>
    <xf numFmtId="177" fontId="42" fillId="0" borderId="42" xfId="181" applyNumberFormat="1" applyFont="1" applyBorder="1" applyAlignment="1">
      <alignment horizontal="center" vertical="center"/>
    </xf>
    <xf numFmtId="177" fontId="42" fillId="0" borderId="39" xfId="177" applyNumberFormat="1" applyFont="1" applyBorder="1" applyAlignment="1">
      <alignment horizontal="center" vertical="center"/>
    </xf>
    <xf numFmtId="177" fontId="42" fillId="0" borderId="40" xfId="177" applyNumberFormat="1" applyFont="1" applyBorder="1" applyAlignment="1">
      <alignment horizontal="center" vertical="center"/>
    </xf>
    <xf numFmtId="0" fontId="41" fillId="28" borderId="4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3" fillId="28" borderId="45" xfId="181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5" xfId="177" applyFont="1" applyBorder="1" applyAlignment="1">
      <alignment horizontal="center" vertical="center"/>
    </xf>
    <xf numFmtId="0" fontId="43" fillId="28" borderId="1" xfId="181" applyFont="1" applyFill="1" applyBorder="1" applyAlignment="1">
      <alignment horizontal="center" vertical="center"/>
    </xf>
    <xf numFmtId="0" fontId="43" fillId="28" borderId="35" xfId="181" applyFont="1" applyFill="1" applyBorder="1" applyAlignment="1">
      <alignment horizontal="center" vertical="center"/>
    </xf>
    <xf numFmtId="0" fontId="43" fillId="28" borderId="4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46" xfId="177" applyFont="1" applyBorder="1" applyAlignment="1">
      <alignment horizontal="center" vertical="center"/>
    </xf>
    <xf numFmtId="177" fontId="42" fillId="0" borderId="37" xfId="181" applyNumberFormat="1" applyFont="1" applyBorder="1" applyAlignment="1">
      <alignment horizontal="center" vertical="center"/>
    </xf>
    <xf numFmtId="177" fontId="42" fillId="0" borderId="2" xfId="177" applyNumberFormat="1" applyFont="1" applyBorder="1" applyAlignment="1">
      <alignment horizontal="center" vertical="center"/>
    </xf>
    <xf numFmtId="177" fontId="42" fillId="0" borderId="24" xfId="177" applyNumberFormat="1" applyFont="1" applyBorder="1" applyAlignment="1">
      <alignment horizontal="center" vertical="center"/>
    </xf>
    <xf numFmtId="0" fontId="42" fillId="0" borderId="38" xfId="181" applyFont="1" applyBorder="1" applyAlignment="1">
      <alignment horizontal="left" vertical="center" wrapText="1"/>
    </xf>
    <xf numFmtId="0" fontId="42" fillId="0" borderId="39" xfId="177" applyFont="1" applyBorder="1" applyAlignment="1">
      <alignment horizontal="left" vertical="center" wrapText="1"/>
    </xf>
    <xf numFmtId="0" fontId="42" fillId="0" borderId="40" xfId="177" applyFont="1" applyBorder="1" applyAlignment="1">
      <alignment horizontal="left" vertical="center" wrapText="1"/>
    </xf>
    <xf numFmtId="0" fontId="42" fillId="0" borderId="39" xfId="177" applyFont="1" applyBorder="1" applyAlignment="1">
      <alignment vertical="center" wrapText="1"/>
    </xf>
    <xf numFmtId="0" fontId="42" fillId="0" borderId="40" xfId="177" applyFont="1" applyBorder="1" applyAlignment="1">
      <alignment vertical="center" wrapText="1"/>
    </xf>
    <xf numFmtId="0" fontId="42" fillId="0" borderId="38" xfId="181" applyFont="1" applyBorder="1" applyAlignment="1">
      <alignment vertical="center" wrapText="1"/>
    </xf>
    <xf numFmtId="0" fontId="42" fillId="0" borderId="41" xfId="177" applyFont="1" applyBorder="1" applyAlignment="1">
      <alignment vertical="center" wrapText="1"/>
    </xf>
    <xf numFmtId="0" fontId="42" fillId="0" borderId="27" xfId="181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0" fontId="42" fillId="0" borderId="27" xfId="181" applyFont="1" applyBorder="1" applyAlignment="1">
      <alignment vertical="center" wrapText="1"/>
    </xf>
    <xf numFmtId="0" fontId="42" fillId="0" borderId="29" xfId="177" applyFont="1" applyBorder="1" applyAlignment="1">
      <alignment vertical="center" wrapText="1"/>
    </xf>
    <xf numFmtId="0" fontId="42" fillId="0" borderId="30" xfId="181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2" xfId="177" applyFont="1" applyBorder="1" applyAlignment="1">
      <alignment horizontal="left" vertical="center" wrapText="1"/>
    </xf>
    <xf numFmtId="0" fontId="42" fillId="0" borderId="31" xfId="177" applyFont="1" applyBorder="1" applyAlignment="1">
      <alignment vertical="center" wrapText="1"/>
    </xf>
    <xf numFmtId="0" fontId="42" fillId="0" borderId="32" xfId="177" applyFont="1" applyBorder="1" applyAlignment="1">
      <alignment vertical="center" wrapText="1"/>
    </xf>
    <xf numFmtId="0" fontId="42" fillId="0" borderId="30" xfId="181" applyFont="1" applyBorder="1" applyAlignment="1">
      <alignment vertical="center" wrapText="1"/>
    </xf>
    <xf numFmtId="0" fontId="42" fillId="0" borderId="33" xfId="177" applyFont="1" applyBorder="1" applyAlignment="1">
      <alignment vertical="center" wrapText="1"/>
    </xf>
    <xf numFmtId="0" fontId="43" fillId="28" borderId="34" xfId="181" applyFont="1" applyFill="1" applyBorder="1" applyAlignment="1">
      <alignment horizontal="center" vertical="center"/>
    </xf>
    <xf numFmtId="177" fontId="42" fillId="0" borderId="36" xfId="181" applyNumberFormat="1" applyFont="1" applyBorder="1" applyAlignment="1">
      <alignment horizontal="center" vertical="center"/>
    </xf>
    <xf numFmtId="177" fontId="42" fillId="0" borderId="31" xfId="177" applyNumberFormat="1" applyFont="1" applyBorder="1" applyAlignment="1">
      <alignment horizontal="center" vertical="center"/>
    </xf>
    <xf numFmtId="177" fontId="42" fillId="0" borderId="32" xfId="177" applyNumberFormat="1" applyFont="1" applyBorder="1" applyAlignment="1">
      <alignment horizontal="center" vertical="center"/>
    </xf>
    <xf numFmtId="0" fontId="42" fillId="0" borderId="27" xfId="181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7" xfId="181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29" xfId="177" applyFont="1" applyBorder="1" applyAlignment="1">
      <alignment vertical="center"/>
    </xf>
    <xf numFmtId="0" fontId="40" fillId="28" borderId="27" xfId="0" applyFont="1" applyFill="1" applyBorder="1" applyAlignment="1" applyProtection="1">
      <protection locked="0"/>
    </xf>
    <xf numFmtId="0" fontId="40" fillId="28" borderId="24" xfId="0" applyFont="1" applyFill="1" applyBorder="1" applyAlignment="1"/>
    <xf numFmtId="0" fontId="40" fillId="28" borderId="24" xfId="0" applyFont="1" applyFill="1" applyBorder="1" applyAlignment="1" applyProtection="1">
      <protection locked="0"/>
    </xf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LogicCommon" xfId="179" xr:uid="{00000000-0005-0000-0000-0000B3000000}"/>
    <cellStyle name="標準_Srch01_1" xfId="180" xr:uid="{00000000-0005-0000-0000-0000B4000000}"/>
    <cellStyle name="標準_変更来歴_1" xfId="181" xr:uid="{00000000-0005-0000-0000-0000B5000000}"/>
    <cellStyle name="未定義" xfId="182" xr:uid="{00000000-0005-0000-0000-0000B6000000}"/>
    <cellStyle name="良い" xfId="183" builtinId="26" customBuiltin="1"/>
    <cellStyle name="良い 2" xfId="184" xr:uid="{00000000-0005-0000-0000-0000B8000000}"/>
    <cellStyle name="良い 3" xfId="185" xr:uid="{00000000-0005-0000-0000-0000B9000000}"/>
    <cellStyle name="良い 4" xfId="186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55</v>
      </c>
      <c r="D2" s="7" t="s">
        <v>9</v>
      </c>
      <c r="E2" s="9" t="s">
        <v>90</v>
      </c>
      <c r="F2" s="7" t="s">
        <v>53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89</v>
      </c>
      <c r="D3" s="7" t="s">
        <v>10</v>
      </c>
      <c r="E3" s="9" t="s">
        <v>91</v>
      </c>
      <c r="F3" s="7" t="s">
        <v>54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88</v>
      </c>
      <c r="F4" s="7" t="s">
        <v>5</v>
      </c>
      <c r="G4" s="9" t="s">
        <v>179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1.6328125" style="29" bestFit="1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92</v>
      </c>
      <c r="K2" s="7" t="s">
        <v>32</v>
      </c>
      <c r="L2" s="76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78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</row>
    <row r="4" spans="1:21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122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</v>
      </c>
      <c r="B6" s="78"/>
      <c r="C6" s="78"/>
      <c r="D6" s="4" t="s">
        <v>6</v>
      </c>
      <c r="E6" s="16" t="s">
        <v>121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44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2" t="s">
        <v>79</v>
      </c>
      <c r="L7" s="32" t="s">
        <v>110</v>
      </c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4" t="s">
        <v>80</v>
      </c>
      <c r="L8" s="34" t="s">
        <v>111</v>
      </c>
      <c r="M8" s="34"/>
      <c r="N8" s="34"/>
      <c r="O8" s="34"/>
      <c r="P8" s="33" t="s">
        <v>73</v>
      </c>
      <c r="Q8" s="34"/>
      <c r="R8" s="90"/>
      <c r="S8" s="91"/>
      <c r="T8" s="92" t="s">
        <v>191</v>
      </c>
      <c r="U8" s="53"/>
    </row>
    <row r="9" spans="1:21" s="11" customFormat="1" ht="60" customHeight="1">
      <c r="A9" s="9" t="s">
        <v>19</v>
      </c>
      <c r="B9" s="35"/>
      <c r="C9" s="36"/>
      <c r="D9" s="86" t="s">
        <v>192</v>
      </c>
      <c r="E9" s="93" t="s">
        <v>193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33"/>
      <c r="L9" s="33"/>
      <c r="M9" s="33"/>
      <c r="N9" s="33"/>
      <c r="O9" s="33"/>
      <c r="P9" s="33"/>
      <c r="Q9" s="33"/>
      <c r="R9" s="92" t="s">
        <v>199</v>
      </c>
      <c r="S9" s="53"/>
      <c r="T9" s="92" t="s">
        <v>200</v>
      </c>
      <c r="U9" s="53"/>
    </row>
    <row r="10" spans="1:21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197</v>
      </c>
      <c r="Q10" s="87" t="s">
        <v>198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109</v>
      </c>
      <c r="E11" s="45" t="s">
        <v>115</v>
      </c>
      <c r="F11" s="46"/>
      <c r="G11" s="28" t="s">
        <v>87</v>
      </c>
      <c r="H11" s="47" t="s">
        <v>184</v>
      </c>
      <c r="I11" s="48"/>
      <c r="J11" s="49"/>
      <c r="K11" s="9"/>
      <c r="L11" s="9"/>
      <c r="M11" s="9"/>
      <c r="N11" s="9"/>
      <c r="O11" s="9"/>
      <c r="P11" s="50"/>
      <c r="Q11" s="50"/>
      <c r="R11" s="38"/>
      <c r="S11" s="39"/>
      <c r="T11" s="70"/>
      <c r="U11" s="72"/>
    </row>
    <row r="12" spans="1:21" s="11" customFormat="1">
      <c r="A12" s="9">
        <v>10</v>
      </c>
      <c r="B12" s="9"/>
      <c r="C12" s="9"/>
      <c r="D12" s="9" t="s">
        <v>102</v>
      </c>
      <c r="E12" s="51" t="s">
        <v>142</v>
      </c>
      <c r="F12" s="51"/>
      <c r="G12" s="52" t="s">
        <v>201</v>
      </c>
      <c r="H12" s="52" t="s">
        <v>136</v>
      </c>
      <c r="I12" s="9" t="s">
        <v>137</v>
      </c>
      <c r="J12" s="9"/>
      <c r="K12" s="9" t="s">
        <v>137</v>
      </c>
      <c r="L12" s="9" t="s">
        <v>138</v>
      </c>
      <c r="M12" s="9"/>
      <c r="N12" s="9"/>
      <c r="O12" s="9"/>
      <c r="P12" s="9"/>
      <c r="Q12" s="9"/>
      <c r="R12" s="42"/>
      <c r="S12" s="53"/>
      <c r="T12" s="144"/>
      <c r="U12" s="145"/>
    </row>
    <row r="13" spans="1:21" s="11" customFormat="1">
      <c r="A13" s="9">
        <v>10</v>
      </c>
      <c r="B13" s="9"/>
      <c r="C13" s="9"/>
      <c r="D13" s="9" t="s">
        <v>81</v>
      </c>
      <c r="E13" s="51" t="s">
        <v>82</v>
      </c>
      <c r="F13" s="51"/>
      <c r="G13" s="52" t="s">
        <v>202</v>
      </c>
      <c r="H13" s="52" t="s">
        <v>139</v>
      </c>
      <c r="I13" s="9" t="s">
        <v>42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44"/>
      <c r="U13" s="145"/>
    </row>
    <row r="14" spans="1:21" s="11" customFormat="1">
      <c r="A14" s="77"/>
      <c r="U14" s="54"/>
    </row>
    <row r="15" spans="1:21" s="11" customFormat="1">
      <c r="A15" s="9">
        <v>20</v>
      </c>
      <c r="B15" s="35" t="s">
        <v>0</v>
      </c>
      <c r="C15" s="36"/>
      <c r="D15" s="28" t="s">
        <v>93</v>
      </c>
      <c r="E15" s="45" t="s">
        <v>70</v>
      </c>
      <c r="F15" s="46"/>
      <c r="G15" s="28" t="s">
        <v>87</v>
      </c>
      <c r="H15" s="47" t="s">
        <v>185</v>
      </c>
      <c r="I15" s="48"/>
      <c r="J15" s="49"/>
      <c r="K15" s="9"/>
      <c r="L15" s="9"/>
      <c r="M15" s="9"/>
      <c r="N15" s="9"/>
      <c r="O15" s="9"/>
      <c r="P15" s="50"/>
      <c r="Q15" s="50"/>
      <c r="R15" s="38"/>
      <c r="S15" s="39"/>
      <c r="T15" s="70"/>
      <c r="U15" s="72"/>
    </row>
    <row r="16" spans="1:21" s="11" customFormat="1">
      <c r="A16" s="9">
        <v>20</v>
      </c>
      <c r="B16" s="9"/>
      <c r="C16" s="9"/>
      <c r="D16" s="9" t="s">
        <v>143</v>
      </c>
      <c r="E16" s="51" t="s">
        <v>144</v>
      </c>
      <c r="F16" s="51"/>
      <c r="G16" s="52" t="s">
        <v>203</v>
      </c>
      <c r="H16" s="52" t="s">
        <v>140</v>
      </c>
      <c r="I16" s="9" t="s">
        <v>137</v>
      </c>
      <c r="J16" s="9"/>
      <c r="K16" s="9" t="s">
        <v>137</v>
      </c>
      <c r="L16" s="9"/>
      <c r="M16" s="9"/>
      <c r="N16" s="9"/>
      <c r="O16" s="9"/>
      <c r="P16" s="9"/>
      <c r="Q16" s="9"/>
      <c r="R16" s="42"/>
      <c r="S16" s="53"/>
      <c r="T16" s="144"/>
      <c r="U16" s="145"/>
    </row>
    <row r="17" spans="1:21" s="11" customFormat="1">
      <c r="A17" s="9">
        <v>20</v>
      </c>
      <c r="B17" s="9"/>
      <c r="C17" s="9"/>
      <c r="D17" s="9" t="s">
        <v>145</v>
      </c>
      <c r="E17" s="51" t="s">
        <v>146</v>
      </c>
      <c r="F17" s="51"/>
      <c r="G17" s="52" t="s">
        <v>204</v>
      </c>
      <c r="H17" s="52" t="s">
        <v>106</v>
      </c>
      <c r="I17" s="9" t="s">
        <v>137</v>
      </c>
      <c r="J17" s="9"/>
      <c r="K17" s="9" t="s">
        <v>137</v>
      </c>
      <c r="L17" s="9"/>
      <c r="M17" s="9"/>
      <c r="N17" s="9"/>
      <c r="O17" s="9"/>
      <c r="P17" s="9"/>
      <c r="Q17" s="9"/>
      <c r="R17" s="42"/>
      <c r="S17" s="53"/>
      <c r="T17" s="70"/>
      <c r="U17" s="71"/>
    </row>
    <row r="18" spans="1:21" s="11" customFormat="1">
      <c r="A18" s="9">
        <v>20</v>
      </c>
      <c r="B18" s="9"/>
      <c r="C18" s="9"/>
      <c r="D18" s="9" t="s">
        <v>116</v>
      </c>
      <c r="E18" s="51" t="s">
        <v>147</v>
      </c>
      <c r="F18" s="51"/>
      <c r="G18" s="52" t="s">
        <v>205</v>
      </c>
      <c r="H18" s="52" t="s">
        <v>141</v>
      </c>
      <c r="I18" s="9" t="s">
        <v>137</v>
      </c>
      <c r="J18" s="9"/>
      <c r="K18" s="9" t="s">
        <v>137</v>
      </c>
      <c r="L18" s="9"/>
      <c r="M18" s="9"/>
      <c r="N18" s="9"/>
      <c r="O18" s="9"/>
      <c r="P18" s="9"/>
      <c r="Q18" s="9"/>
      <c r="R18" s="42"/>
      <c r="S18" s="53"/>
      <c r="T18" s="70"/>
      <c r="U18" s="71"/>
    </row>
    <row r="19" spans="1:21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77"/>
      <c r="U20" s="54"/>
    </row>
    <row r="21" spans="1:21" s="11" customFormat="1">
      <c r="A21" s="77"/>
      <c r="U21" s="54"/>
    </row>
    <row r="22" spans="1:21" s="11" customFormat="1">
      <c r="A22" s="77"/>
      <c r="U22" s="54"/>
    </row>
    <row r="23" spans="1:21" s="11" customFormat="1">
      <c r="A23" s="8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3">
    <mergeCell ref="T12:U12"/>
    <mergeCell ref="T16:U16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30.81640625" style="27" customWidth="1"/>
    <col min="18" max="18" width="27.1796875" style="27" bestFit="1" customWidth="1"/>
    <col min="19" max="19" width="15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0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</row>
    <row r="2" spans="1:20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94</v>
      </c>
      <c r="K2" s="7" t="s">
        <v>32</v>
      </c>
      <c r="L2" s="76" t="str">
        <f>IF(LogicCommon!G2="","",LogicCommon!G2)</f>
        <v>MC</v>
      </c>
      <c r="M2" s="5" t="s">
        <v>33</v>
      </c>
      <c r="N2" s="28" t="s">
        <v>180</v>
      </c>
      <c r="O2" s="7"/>
      <c r="P2" s="7"/>
      <c r="Q2" s="4"/>
      <c r="R2" s="27"/>
      <c r="S2" s="4"/>
      <c r="T2" s="27"/>
    </row>
    <row r="3" spans="1:20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35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  <c r="R3" s="27"/>
      <c r="S3" s="4"/>
      <c r="T3" s="27"/>
    </row>
    <row r="4" spans="1:20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124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4"/>
      <c r="T4" s="27"/>
    </row>
    <row r="5" spans="1:20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4"/>
      <c r="T5" s="27"/>
    </row>
    <row r="6" spans="1:20" s="11" customFormat="1">
      <c r="A6" s="77" t="s">
        <v>16</v>
      </c>
      <c r="B6" s="78"/>
      <c r="C6" s="78"/>
      <c r="D6" s="4" t="s">
        <v>6</v>
      </c>
      <c r="E6" s="16" t="s">
        <v>123</v>
      </c>
      <c r="F6" s="16"/>
      <c r="G6" s="16"/>
      <c r="H6" s="16"/>
      <c r="I6" s="16"/>
      <c r="J6" s="16"/>
      <c r="K6" s="16"/>
      <c r="L6" s="84" t="s">
        <v>44</v>
      </c>
      <c r="M6" s="19"/>
      <c r="N6" s="19" t="s">
        <v>44</v>
      </c>
      <c r="O6" s="19"/>
      <c r="P6" s="19" t="s">
        <v>44</v>
      </c>
      <c r="Q6" s="19"/>
      <c r="R6" s="29"/>
      <c r="S6" s="29"/>
      <c r="T6" s="27"/>
    </row>
    <row r="7" spans="1:20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132</v>
      </c>
      <c r="L7" s="32"/>
      <c r="M7" s="33" t="s">
        <v>132</v>
      </c>
      <c r="N7" s="32"/>
      <c r="O7" s="33" t="s">
        <v>132</v>
      </c>
      <c r="P7" s="32"/>
      <c r="Q7" s="29"/>
      <c r="R7" s="29"/>
      <c r="S7" s="29"/>
      <c r="T7" s="29"/>
    </row>
    <row r="8" spans="1:20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3" t="s">
        <v>18</v>
      </c>
      <c r="L8" s="34"/>
      <c r="M8" s="33" t="s">
        <v>73</v>
      </c>
      <c r="N8" s="34"/>
      <c r="O8" s="33" t="s">
        <v>73</v>
      </c>
      <c r="P8" s="34"/>
      <c r="Q8" s="90"/>
      <c r="R8" s="91"/>
      <c r="S8" s="92" t="s">
        <v>191</v>
      </c>
      <c r="T8" s="53"/>
    </row>
    <row r="9" spans="1:20" s="11" customFormat="1" ht="60" customHeight="1">
      <c r="A9" s="9" t="s">
        <v>19</v>
      </c>
      <c r="B9" s="35"/>
      <c r="C9" s="36"/>
      <c r="D9" s="86" t="s">
        <v>206</v>
      </c>
      <c r="E9" s="93" t="s">
        <v>207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33"/>
      <c r="L9" s="33"/>
      <c r="M9" s="33"/>
      <c r="N9" s="33"/>
      <c r="O9" s="33"/>
      <c r="P9" s="33"/>
      <c r="Q9" s="92" t="s">
        <v>199</v>
      </c>
      <c r="R9" s="53"/>
      <c r="S9" s="92" t="s">
        <v>200</v>
      </c>
      <c r="T9" s="53"/>
    </row>
    <row r="10" spans="1:20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197</v>
      </c>
      <c r="L10" s="87" t="s">
        <v>198</v>
      </c>
      <c r="M10" s="87" t="s">
        <v>197</v>
      </c>
      <c r="N10" s="87" t="s">
        <v>198</v>
      </c>
      <c r="O10" s="87" t="s">
        <v>197</v>
      </c>
      <c r="P10" s="87" t="s">
        <v>198</v>
      </c>
      <c r="Q10" s="43"/>
      <c r="R10" s="43"/>
      <c r="S10" s="44"/>
      <c r="T10" s="39"/>
    </row>
    <row r="11" spans="1:20" s="11" customFormat="1">
      <c r="A11" s="9">
        <v>10</v>
      </c>
      <c r="B11" s="35" t="s">
        <v>0</v>
      </c>
      <c r="C11" s="36"/>
      <c r="D11" s="28" t="s">
        <v>112</v>
      </c>
      <c r="E11" s="45" t="s">
        <v>22</v>
      </c>
      <c r="F11" s="46"/>
      <c r="G11" s="28" t="s">
        <v>77</v>
      </c>
      <c r="H11" s="47" t="s">
        <v>148</v>
      </c>
      <c r="I11" s="48"/>
      <c r="J11" s="49"/>
      <c r="K11" s="50"/>
      <c r="L11" s="50"/>
      <c r="M11" s="50"/>
      <c r="N11" s="50"/>
      <c r="O11" s="50"/>
      <c r="P11" s="50"/>
      <c r="Q11" s="38"/>
      <c r="R11" s="39"/>
      <c r="S11" s="70"/>
      <c r="T11" s="72"/>
    </row>
    <row r="12" spans="1:20" s="11" customFormat="1">
      <c r="A12" s="9">
        <v>10</v>
      </c>
      <c r="B12" s="9"/>
      <c r="C12" s="9"/>
      <c r="D12" s="9" t="s">
        <v>102</v>
      </c>
      <c r="E12" s="51" t="s">
        <v>151</v>
      </c>
      <c r="F12" s="51"/>
      <c r="G12" s="52" t="s">
        <v>201</v>
      </c>
      <c r="H12" s="52" t="s">
        <v>136</v>
      </c>
      <c r="I12" s="9" t="s">
        <v>137</v>
      </c>
      <c r="J12" s="9"/>
      <c r="K12" s="9"/>
      <c r="L12" s="9"/>
      <c r="M12" s="9"/>
      <c r="N12" s="9"/>
      <c r="O12" s="9"/>
      <c r="P12" s="9"/>
      <c r="Q12" s="42"/>
      <c r="R12" s="53"/>
      <c r="S12" s="144"/>
      <c r="T12" s="146"/>
    </row>
    <row r="13" spans="1:20" s="11" customFormat="1">
      <c r="A13" s="9">
        <v>10</v>
      </c>
      <c r="B13" s="9"/>
      <c r="C13" s="9"/>
      <c r="D13" s="9" t="s">
        <v>75</v>
      </c>
      <c r="E13" s="51" t="s">
        <v>76</v>
      </c>
      <c r="F13" s="51"/>
      <c r="G13" s="52" t="s">
        <v>202</v>
      </c>
      <c r="H13" s="52" t="s">
        <v>149</v>
      </c>
      <c r="I13" s="9" t="s">
        <v>42</v>
      </c>
      <c r="J13" s="9"/>
      <c r="K13" s="9"/>
      <c r="L13" s="9"/>
      <c r="M13" s="9"/>
      <c r="N13" s="9"/>
      <c r="O13" s="9"/>
      <c r="P13" s="9"/>
      <c r="Q13" s="42"/>
      <c r="R13" s="53"/>
      <c r="S13" s="144"/>
      <c r="T13" s="145"/>
    </row>
    <row r="14" spans="1:20" s="11" customFormat="1">
      <c r="A14" s="77"/>
      <c r="T14" s="54"/>
    </row>
    <row r="15" spans="1:20" s="11" customFormat="1">
      <c r="A15" s="9">
        <v>20</v>
      </c>
      <c r="B15" s="35" t="s">
        <v>0</v>
      </c>
      <c r="C15" s="36"/>
      <c r="D15" s="28" t="s">
        <v>95</v>
      </c>
      <c r="E15" s="45" t="s">
        <v>23</v>
      </c>
      <c r="F15" s="46"/>
      <c r="G15" s="28" t="s">
        <v>77</v>
      </c>
      <c r="H15" s="47" t="s">
        <v>150</v>
      </c>
      <c r="I15" s="48"/>
      <c r="J15" s="49"/>
      <c r="K15" s="50"/>
      <c r="L15" s="50"/>
      <c r="M15" s="50"/>
      <c r="N15" s="50"/>
      <c r="O15" s="50"/>
      <c r="P15" s="50"/>
      <c r="Q15" s="38"/>
      <c r="R15" s="39"/>
      <c r="S15" s="70"/>
      <c r="T15" s="72"/>
    </row>
    <row r="16" spans="1:20" s="11" customFormat="1">
      <c r="A16" s="9">
        <v>20</v>
      </c>
      <c r="B16" s="9"/>
      <c r="C16" s="9"/>
      <c r="D16" s="9" t="s">
        <v>104</v>
      </c>
      <c r="E16" s="51" t="s">
        <v>152</v>
      </c>
      <c r="F16" s="51"/>
      <c r="G16" s="52" t="s">
        <v>203</v>
      </c>
      <c r="H16" s="52" t="s">
        <v>140</v>
      </c>
      <c r="I16" s="9" t="s">
        <v>137</v>
      </c>
      <c r="J16" s="9"/>
      <c r="K16" s="9"/>
      <c r="L16" s="9"/>
      <c r="M16" s="9"/>
      <c r="N16" s="9"/>
      <c r="O16" s="9"/>
      <c r="P16" s="9"/>
      <c r="Q16" s="42"/>
      <c r="R16" s="53"/>
      <c r="S16" s="144"/>
      <c r="T16" s="146"/>
    </row>
    <row r="17" spans="1:20" s="11" customFormat="1">
      <c r="A17" s="9">
        <v>20</v>
      </c>
      <c r="B17" s="9"/>
      <c r="C17" s="9"/>
      <c r="D17" s="9" t="s">
        <v>105</v>
      </c>
      <c r="E17" s="51" t="s">
        <v>153</v>
      </c>
      <c r="F17" s="51"/>
      <c r="G17" s="52" t="s">
        <v>204</v>
      </c>
      <c r="H17" s="52" t="s">
        <v>106</v>
      </c>
      <c r="I17" s="9" t="s">
        <v>137</v>
      </c>
      <c r="J17" s="9"/>
      <c r="K17" s="9"/>
      <c r="L17" s="9"/>
      <c r="M17" s="9"/>
      <c r="N17" s="9"/>
      <c r="O17" s="9"/>
      <c r="P17" s="9"/>
      <c r="Q17" s="42"/>
      <c r="R17" s="53"/>
      <c r="S17" s="144"/>
      <c r="T17" s="146"/>
    </row>
    <row r="18" spans="1:20" s="11" customFormat="1">
      <c r="A18" s="9">
        <v>20</v>
      </c>
      <c r="B18" s="9"/>
      <c r="C18" s="9"/>
      <c r="D18" s="9" t="s">
        <v>116</v>
      </c>
      <c r="E18" s="51" t="s">
        <v>154</v>
      </c>
      <c r="F18" s="51"/>
      <c r="G18" s="52" t="s">
        <v>205</v>
      </c>
      <c r="H18" s="52" t="s">
        <v>141</v>
      </c>
      <c r="I18" s="9" t="s">
        <v>137</v>
      </c>
      <c r="J18" s="9"/>
      <c r="K18" s="9"/>
      <c r="L18" s="9"/>
      <c r="M18" s="9"/>
      <c r="N18" s="9"/>
      <c r="O18" s="9"/>
      <c r="P18" s="9"/>
      <c r="Q18" s="42"/>
      <c r="R18" s="53"/>
      <c r="S18" s="144"/>
      <c r="T18" s="146"/>
    </row>
    <row r="19" spans="1:20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4"/>
      <c r="R19" s="4"/>
      <c r="S19" s="6"/>
      <c r="T19" s="23"/>
    </row>
    <row r="20" spans="1:20" s="11" customFormat="1">
      <c r="A20" s="77"/>
      <c r="T20" s="54"/>
    </row>
    <row r="21" spans="1:20" s="11" customFormat="1">
      <c r="A21" s="77"/>
      <c r="T21" s="54"/>
    </row>
    <row r="22" spans="1:20" s="11" customFormat="1">
      <c r="A22" s="77"/>
      <c r="T22" s="54"/>
    </row>
    <row r="23" spans="1:20" s="11" customFormat="1">
      <c r="A23" s="8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/>
    </row>
  </sheetData>
  <dataConsolidate/>
  <mergeCells count="5">
    <mergeCell ref="S16:T16"/>
    <mergeCell ref="S17:T17"/>
    <mergeCell ref="S18:T18"/>
    <mergeCell ref="S12:T12"/>
    <mergeCell ref="S13:T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96</v>
      </c>
      <c r="K2" s="7" t="s">
        <v>32</v>
      </c>
      <c r="L2" s="76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78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</row>
    <row r="4" spans="1:21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126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77" t="s">
        <v>16</v>
      </c>
      <c r="B6" s="78"/>
      <c r="C6" s="78"/>
      <c r="D6" s="4" t="s">
        <v>6</v>
      </c>
      <c r="E6" s="16" t="s">
        <v>125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44</v>
      </c>
      <c r="R6" s="4"/>
      <c r="S6" s="29"/>
      <c r="T6" s="29"/>
      <c r="U6" s="27"/>
    </row>
    <row r="7" spans="1:21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2" t="s">
        <v>79</v>
      </c>
      <c r="L7" s="32"/>
      <c r="M7" s="32"/>
      <c r="N7" s="32"/>
      <c r="O7" s="32"/>
      <c r="P7" s="33" t="s">
        <v>72</v>
      </c>
      <c r="Q7" s="32"/>
      <c r="R7" s="29"/>
      <c r="S7" s="29"/>
      <c r="T7" s="29"/>
      <c r="U7" s="29"/>
    </row>
    <row r="8" spans="1:21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4" t="s">
        <v>80</v>
      </c>
      <c r="L8" s="34"/>
      <c r="M8" s="34"/>
      <c r="N8" s="34"/>
      <c r="O8" s="34"/>
      <c r="P8" s="33" t="s">
        <v>73</v>
      </c>
      <c r="Q8" s="34"/>
      <c r="R8" s="90"/>
      <c r="S8" s="91"/>
      <c r="T8" s="92" t="s">
        <v>191</v>
      </c>
      <c r="U8" s="53"/>
    </row>
    <row r="9" spans="1:21" s="11" customFormat="1" ht="60" customHeight="1">
      <c r="A9" s="9" t="s">
        <v>19</v>
      </c>
      <c r="B9" s="35"/>
      <c r="C9" s="36"/>
      <c r="D9" s="86" t="s">
        <v>206</v>
      </c>
      <c r="E9" s="93" t="s">
        <v>207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33"/>
      <c r="L9" s="33"/>
      <c r="M9" s="33"/>
      <c r="N9" s="33"/>
      <c r="O9" s="33"/>
      <c r="P9" s="33"/>
      <c r="Q9" s="33"/>
      <c r="R9" s="92" t="s">
        <v>199</v>
      </c>
      <c r="S9" s="53"/>
      <c r="T9" s="92" t="s">
        <v>200</v>
      </c>
      <c r="U9" s="53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87" t="s">
        <v>197</v>
      </c>
      <c r="Q10" s="87" t="s">
        <v>198</v>
      </c>
      <c r="R10" s="43"/>
      <c r="S10" s="43"/>
      <c r="T10" s="44"/>
      <c r="U10" s="39"/>
    </row>
    <row r="11" spans="1:21" s="11" customFormat="1">
      <c r="A11" s="9">
        <v>10</v>
      </c>
      <c r="B11" s="35" t="s">
        <v>0</v>
      </c>
      <c r="C11" s="36"/>
      <c r="D11" s="28" t="s">
        <v>113</v>
      </c>
      <c r="E11" s="45" t="s">
        <v>115</v>
      </c>
      <c r="F11" s="46"/>
      <c r="G11" s="28" t="s">
        <v>77</v>
      </c>
      <c r="H11" s="47" t="s">
        <v>148</v>
      </c>
      <c r="I11" s="48"/>
      <c r="J11" s="49"/>
      <c r="K11" s="50"/>
      <c r="L11" s="50"/>
      <c r="M11" s="50"/>
      <c r="N11" s="50"/>
      <c r="O11" s="50"/>
      <c r="P11" s="50"/>
      <c r="Q11" s="50"/>
      <c r="R11" s="38"/>
      <c r="S11" s="39"/>
      <c r="T11" s="70"/>
      <c r="U11" s="72"/>
    </row>
    <row r="12" spans="1:21" s="11" customFormat="1">
      <c r="A12" s="9">
        <v>10</v>
      </c>
      <c r="B12" s="9"/>
      <c r="C12" s="9"/>
      <c r="D12" s="9" t="s">
        <v>102</v>
      </c>
      <c r="E12" s="51" t="s">
        <v>142</v>
      </c>
      <c r="F12" s="51"/>
      <c r="G12" s="52" t="s">
        <v>201</v>
      </c>
      <c r="H12" s="52" t="s">
        <v>136</v>
      </c>
      <c r="I12" s="9" t="s">
        <v>137</v>
      </c>
      <c r="J12" s="9"/>
      <c r="K12" s="9" t="s">
        <v>137</v>
      </c>
      <c r="L12" s="9"/>
      <c r="M12" s="9"/>
      <c r="N12" s="9"/>
      <c r="O12" s="9"/>
      <c r="P12" s="9"/>
      <c r="Q12" s="9"/>
      <c r="R12" s="42"/>
      <c r="S12" s="53"/>
      <c r="T12" s="144"/>
      <c r="U12" s="145"/>
    </row>
    <row r="13" spans="1:21" s="11" customFormat="1">
      <c r="A13" s="9">
        <v>10</v>
      </c>
      <c r="B13" s="9"/>
      <c r="C13" s="9"/>
      <c r="D13" s="9" t="s">
        <v>75</v>
      </c>
      <c r="E13" s="51" t="s">
        <v>76</v>
      </c>
      <c r="F13" s="51"/>
      <c r="G13" s="52" t="s">
        <v>202</v>
      </c>
      <c r="H13" s="52" t="s">
        <v>139</v>
      </c>
      <c r="I13" s="9" t="s">
        <v>42</v>
      </c>
      <c r="J13" s="9"/>
      <c r="K13" s="9"/>
      <c r="L13" s="9"/>
      <c r="M13" s="9"/>
      <c r="N13" s="9"/>
      <c r="O13" s="9"/>
      <c r="P13" s="9"/>
      <c r="Q13" s="9"/>
      <c r="R13" s="42"/>
      <c r="S13" s="53"/>
      <c r="T13" s="144"/>
      <c r="U13" s="145"/>
    </row>
    <row r="14" spans="1:21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77"/>
      <c r="U15" s="54"/>
    </row>
    <row r="16" spans="1:21" s="11" customFormat="1">
      <c r="A16" s="77"/>
      <c r="U16" s="54"/>
    </row>
    <row r="17" spans="1:21" s="11" customFormat="1">
      <c r="A17" s="77"/>
      <c r="U17" s="54"/>
    </row>
    <row r="18" spans="1:21" s="11" customFormat="1">
      <c r="A18" s="8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2:U12"/>
    <mergeCell ref="T13:U13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4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97</v>
      </c>
      <c r="K2" s="7" t="s">
        <v>32</v>
      </c>
      <c r="L2" s="76" t="str">
        <f>IF(LogicCommon!G2="","",LogicCommon!G2)</f>
        <v>MC</v>
      </c>
      <c r="M2" s="5" t="s">
        <v>33</v>
      </c>
      <c r="N2" s="28" t="s">
        <v>181</v>
      </c>
      <c r="O2" s="7"/>
      <c r="P2" s="7"/>
      <c r="Q2" s="4"/>
      <c r="R2" s="27"/>
    </row>
    <row r="3" spans="1:18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35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  <c r="R3" s="27"/>
    </row>
    <row r="4" spans="1:18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128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</v>
      </c>
      <c r="B6" s="78"/>
      <c r="C6" s="78"/>
      <c r="D6" s="4" t="s">
        <v>6</v>
      </c>
      <c r="E6" s="16" t="s">
        <v>127</v>
      </c>
      <c r="F6" s="16"/>
      <c r="G6" s="16"/>
      <c r="H6" s="16"/>
      <c r="I6" s="16"/>
      <c r="J6" s="16"/>
      <c r="K6" s="16"/>
      <c r="L6" s="84" t="s">
        <v>44</v>
      </c>
      <c r="M6" s="19"/>
      <c r="N6" s="19" t="s">
        <v>44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133</v>
      </c>
      <c r="L7" s="32"/>
      <c r="M7" s="33" t="s">
        <v>133</v>
      </c>
      <c r="N7" s="32"/>
      <c r="O7" s="29"/>
      <c r="P7" s="29"/>
      <c r="Q7" s="29"/>
      <c r="R7" s="29"/>
    </row>
    <row r="8" spans="1:18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3" t="s">
        <v>18</v>
      </c>
      <c r="L8" s="34"/>
      <c r="M8" s="33" t="s">
        <v>18</v>
      </c>
      <c r="N8" s="34"/>
      <c r="O8" s="90"/>
      <c r="P8" s="91"/>
      <c r="Q8" s="92" t="s">
        <v>191</v>
      </c>
      <c r="R8" s="53"/>
    </row>
    <row r="9" spans="1:18" s="11" customFormat="1" ht="60" customHeight="1">
      <c r="A9" s="9" t="s">
        <v>19</v>
      </c>
      <c r="B9" s="35"/>
      <c r="C9" s="36"/>
      <c r="D9" s="86" t="s">
        <v>206</v>
      </c>
      <c r="E9" s="93" t="s">
        <v>207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33"/>
      <c r="L9" s="33"/>
      <c r="M9" s="33"/>
      <c r="N9" s="33"/>
      <c r="O9" s="92" t="s">
        <v>199</v>
      </c>
      <c r="P9" s="53"/>
      <c r="Q9" s="92" t="s">
        <v>200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197</v>
      </c>
      <c r="L10" s="87" t="s">
        <v>198</v>
      </c>
      <c r="M10" s="87" t="s">
        <v>197</v>
      </c>
      <c r="N10" s="87" t="s">
        <v>198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114</v>
      </c>
      <c r="E11" s="45" t="s">
        <v>115</v>
      </c>
      <c r="F11" s="46"/>
      <c r="G11" s="28" t="s">
        <v>77</v>
      </c>
      <c r="H11" s="47" t="s">
        <v>155</v>
      </c>
      <c r="I11" s="48"/>
      <c r="J11" s="49"/>
      <c r="K11" s="50"/>
      <c r="L11" s="50"/>
      <c r="M11" s="50"/>
      <c r="N11" s="50"/>
      <c r="O11" s="38"/>
      <c r="P11" s="39"/>
      <c r="Q11" s="70"/>
      <c r="R11" s="72"/>
    </row>
    <row r="12" spans="1:18" s="11" customFormat="1">
      <c r="A12" s="9">
        <v>10</v>
      </c>
      <c r="B12" s="9"/>
      <c r="C12" s="9"/>
      <c r="D12" s="9" t="s">
        <v>102</v>
      </c>
      <c r="E12" s="51" t="s">
        <v>142</v>
      </c>
      <c r="F12" s="51"/>
      <c r="G12" s="52" t="s">
        <v>201</v>
      </c>
      <c r="H12" s="52" t="s">
        <v>136</v>
      </c>
      <c r="I12" s="9" t="s">
        <v>137</v>
      </c>
      <c r="J12" s="9"/>
      <c r="K12" s="9"/>
      <c r="L12" s="9"/>
      <c r="M12" s="9"/>
      <c r="N12" s="9"/>
      <c r="O12" s="44"/>
      <c r="P12" s="39"/>
      <c r="Q12" s="70"/>
      <c r="R12" s="72"/>
    </row>
    <row r="13" spans="1:18" s="11" customFormat="1">
      <c r="A13" s="9">
        <v>10</v>
      </c>
      <c r="B13" s="9"/>
      <c r="C13" s="9"/>
      <c r="D13" s="9" t="s">
        <v>75</v>
      </c>
      <c r="E13" s="51" t="s">
        <v>76</v>
      </c>
      <c r="F13" s="51"/>
      <c r="G13" s="52" t="s">
        <v>202</v>
      </c>
      <c r="H13" s="52" t="s">
        <v>149</v>
      </c>
      <c r="I13" s="9" t="s">
        <v>42</v>
      </c>
      <c r="J13" s="9"/>
      <c r="K13" s="9"/>
      <c r="L13" s="9"/>
      <c r="M13" s="9"/>
      <c r="N13" s="9"/>
      <c r="O13" s="44"/>
      <c r="P13" s="39"/>
      <c r="Q13" s="70"/>
      <c r="R13" s="72"/>
    </row>
    <row r="14" spans="1:18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7"/>
      <c r="R15" s="54"/>
    </row>
    <row r="16" spans="1:18" s="11" customFormat="1">
      <c r="A16" s="77"/>
      <c r="R16" s="54"/>
    </row>
    <row r="17" spans="1:18" s="11" customFormat="1">
      <c r="A17" s="77"/>
      <c r="R17" s="54"/>
    </row>
    <row r="18" spans="1:18" s="11" customFormat="1">
      <c r="A18" s="77"/>
      <c r="R18" s="54"/>
    </row>
    <row r="19" spans="1:18" s="11" customFormat="1">
      <c r="A19" s="77"/>
      <c r="R19" s="54"/>
    </row>
    <row r="20" spans="1:18" s="11" customFormat="1">
      <c r="A20" s="77"/>
      <c r="R20" s="54"/>
    </row>
    <row r="21" spans="1:18" s="11" customFormat="1">
      <c r="A21" s="77"/>
      <c r="R21" s="54"/>
    </row>
    <row r="22" spans="1:18" s="11" customFormat="1">
      <c r="A22" s="77"/>
      <c r="R22" s="54"/>
    </row>
    <row r="23" spans="1:18" s="11" customFormat="1">
      <c r="A23" s="77"/>
      <c r="R23" s="54"/>
    </row>
    <row r="24" spans="1:18" s="11" customFormat="1">
      <c r="A24" s="77"/>
      <c r="R24" s="54"/>
    </row>
    <row r="25" spans="1:18" s="11" customFormat="1">
      <c r="A25" s="77"/>
      <c r="R25" s="54"/>
    </row>
    <row r="26" spans="1:18" s="11" customFormat="1">
      <c r="A26" s="77"/>
      <c r="R26" s="54"/>
    </row>
    <row r="27" spans="1:18" s="11" customFormat="1">
      <c r="A27" s="77"/>
      <c r="R27" s="54"/>
    </row>
    <row r="28" spans="1:18" s="11" customFormat="1">
      <c r="A28" s="77"/>
      <c r="R28" s="54"/>
    </row>
    <row r="29" spans="1:18" s="11" customFormat="1">
      <c r="A29" s="77"/>
      <c r="R29" s="54"/>
    </row>
    <row r="30" spans="1:18" s="11" customFormat="1">
      <c r="A30" s="77"/>
      <c r="R30" s="54"/>
    </row>
    <row r="31" spans="1:18" s="11" customFormat="1">
      <c r="A31" s="77"/>
      <c r="R31" s="54"/>
    </row>
    <row r="32" spans="1:18" s="11" customFormat="1">
      <c r="A32" s="77"/>
      <c r="R32" s="54"/>
    </row>
    <row r="33" spans="1:18" s="11" customFormat="1">
      <c r="A33" s="77"/>
      <c r="R33" s="54"/>
    </row>
    <row r="34" spans="1:18" s="11" customFormat="1">
      <c r="A34" s="77"/>
      <c r="R34" s="54"/>
    </row>
    <row r="35" spans="1:18" s="11" customFormat="1">
      <c r="A35" s="77"/>
      <c r="R35" s="54"/>
    </row>
    <row r="36" spans="1:18" s="11" customFormat="1">
      <c r="A36" s="77"/>
      <c r="R36" s="54"/>
    </row>
    <row r="37" spans="1:18" s="11" customFormat="1">
      <c r="A37" s="77"/>
      <c r="R37" s="54"/>
    </row>
    <row r="38" spans="1:18" s="11" customFormat="1">
      <c r="A38" s="77"/>
      <c r="R38" s="54"/>
    </row>
    <row r="39" spans="1:18" s="11" customFormat="1">
      <c r="A39" s="77"/>
      <c r="R39" s="54"/>
    </row>
    <row r="40" spans="1:18" s="11" customFormat="1">
      <c r="A40" s="8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31</v>
      </c>
      <c r="K2" s="7" t="s">
        <v>32</v>
      </c>
      <c r="L2" s="76" t="str">
        <f>IF(LogicCommon!G2="","",LogicCommon!G2)</f>
        <v>MC</v>
      </c>
      <c r="M2" s="5" t="s">
        <v>33</v>
      </c>
      <c r="N2" s="28" t="s">
        <v>182</v>
      </c>
      <c r="O2" s="7"/>
      <c r="P2" s="7"/>
      <c r="Q2" s="4"/>
    </row>
    <row r="3" spans="1:17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35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</row>
    <row r="4" spans="1:17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2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</row>
    <row r="5" spans="1:17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</row>
    <row r="6" spans="1:17" s="11" customFormat="1">
      <c r="A6" s="77" t="s">
        <v>16</v>
      </c>
      <c r="B6" s="78"/>
      <c r="C6" s="78"/>
      <c r="D6" s="4" t="s">
        <v>6</v>
      </c>
      <c r="E6" s="16" t="s">
        <v>129</v>
      </c>
      <c r="F6" s="16"/>
      <c r="G6" s="16"/>
      <c r="H6" s="16"/>
      <c r="I6" s="16"/>
      <c r="J6" s="16"/>
      <c r="K6" s="16"/>
      <c r="L6" s="84"/>
      <c r="M6" s="19" t="s">
        <v>44</v>
      </c>
      <c r="N6" s="19"/>
      <c r="O6" s="19"/>
      <c r="P6" s="19"/>
      <c r="Q6" s="19"/>
    </row>
    <row r="7" spans="1:17" s="11" customFormat="1">
      <c r="A7" s="30" t="s">
        <v>45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2"/>
      <c r="L7" s="33" t="s">
        <v>47</v>
      </c>
      <c r="M7" s="32" t="s">
        <v>48</v>
      </c>
      <c r="N7" s="29"/>
      <c r="O7" s="29"/>
      <c r="P7" s="29"/>
      <c r="Q7" s="29"/>
    </row>
    <row r="8" spans="1:17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4"/>
      <c r="L8" s="33" t="s">
        <v>18</v>
      </c>
      <c r="M8" s="34" t="s">
        <v>186</v>
      </c>
      <c r="N8" s="90"/>
      <c r="O8" s="91"/>
      <c r="P8" s="92" t="s">
        <v>191</v>
      </c>
      <c r="Q8" s="53"/>
    </row>
    <row r="9" spans="1:17" s="11" customFormat="1" ht="60" customHeight="1">
      <c r="A9" s="9" t="s">
        <v>19</v>
      </c>
      <c r="B9" s="35"/>
      <c r="C9" s="36"/>
      <c r="D9" s="86" t="s">
        <v>206</v>
      </c>
      <c r="E9" s="93" t="s">
        <v>207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95"/>
      <c r="L9" s="33"/>
      <c r="M9" s="33"/>
      <c r="N9" s="92" t="s">
        <v>199</v>
      </c>
      <c r="O9" s="53"/>
      <c r="P9" s="92" t="s">
        <v>200</v>
      </c>
      <c r="Q9" s="53"/>
    </row>
    <row r="10" spans="1:17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7" t="s">
        <v>197</v>
      </c>
      <c r="M10" s="87" t="s">
        <v>198</v>
      </c>
      <c r="N10" s="43"/>
      <c r="O10" s="43"/>
      <c r="P10" s="44"/>
      <c r="Q10" s="39"/>
    </row>
    <row r="11" spans="1:17" s="11" customFormat="1">
      <c r="A11" s="9">
        <v>10</v>
      </c>
      <c r="B11" s="35" t="s">
        <v>0</v>
      </c>
      <c r="C11" s="36"/>
      <c r="D11" s="28" t="s">
        <v>21</v>
      </c>
      <c r="E11" s="45" t="s">
        <v>22</v>
      </c>
      <c r="F11" s="46"/>
      <c r="G11" s="28"/>
      <c r="H11" s="47"/>
      <c r="I11" s="48"/>
      <c r="J11" s="49"/>
      <c r="K11" s="37"/>
      <c r="L11" s="50" t="s">
        <v>22</v>
      </c>
      <c r="M11" s="50"/>
      <c r="N11" s="38"/>
      <c r="O11" s="39"/>
      <c r="P11" s="70"/>
      <c r="Q11" s="72"/>
    </row>
    <row r="12" spans="1:17" s="11" customFormat="1">
      <c r="A12" s="9">
        <v>10</v>
      </c>
      <c r="B12" s="9"/>
      <c r="C12" s="9"/>
      <c r="D12" s="9" t="s">
        <v>102</v>
      </c>
      <c r="E12" s="51" t="s">
        <v>142</v>
      </c>
      <c r="F12" s="51"/>
      <c r="G12" s="52" t="s">
        <v>201</v>
      </c>
      <c r="H12" s="52" t="s">
        <v>156</v>
      </c>
      <c r="I12" s="9" t="s">
        <v>42</v>
      </c>
      <c r="J12" s="9"/>
      <c r="K12" s="9"/>
      <c r="L12" s="9" t="s">
        <v>42</v>
      </c>
      <c r="M12" s="9"/>
      <c r="N12" s="42"/>
      <c r="O12" s="53"/>
      <c r="P12" s="144"/>
      <c r="Q12" s="145"/>
    </row>
    <row r="13" spans="1:17" s="11" customFormat="1">
      <c r="A13" s="77"/>
      <c r="Q13" s="54"/>
    </row>
    <row r="14" spans="1:17" s="11" customFormat="1">
      <c r="A14" s="9">
        <v>20</v>
      </c>
      <c r="B14" s="35" t="s">
        <v>0</v>
      </c>
      <c r="C14" s="36"/>
      <c r="D14" s="28" t="s">
        <v>167</v>
      </c>
      <c r="E14" s="45" t="s">
        <v>43</v>
      </c>
      <c r="F14" s="58"/>
      <c r="G14" s="28"/>
      <c r="H14" s="47"/>
      <c r="I14" s="59"/>
      <c r="J14" s="60"/>
      <c r="K14" s="50"/>
      <c r="L14" s="50"/>
      <c r="M14" s="50" t="s">
        <v>23</v>
      </c>
      <c r="N14" s="38"/>
      <c r="O14" s="39"/>
      <c r="P14" s="70"/>
      <c r="Q14" s="72"/>
    </row>
    <row r="15" spans="1:17" s="11" customFormat="1">
      <c r="A15" s="9">
        <v>20</v>
      </c>
      <c r="B15" s="9"/>
      <c r="C15" s="9"/>
      <c r="D15" s="9" t="s">
        <v>104</v>
      </c>
      <c r="E15" s="51" t="s">
        <v>144</v>
      </c>
      <c r="F15" s="51"/>
      <c r="G15" s="52" t="s">
        <v>203</v>
      </c>
      <c r="H15" s="52" t="s">
        <v>140</v>
      </c>
      <c r="I15" s="9"/>
      <c r="J15" s="9" t="s">
        <v>42</v>
      </c>
      <c r="K15" s="9"/>
      <c r="L15" s="9"/>
      <c r="M15" s="9" t="s">
        <v>42</v>
      </c>
      <c r="N15" s="42"/>
      <c r="O15" s="53"/>
      <c r="P15" s="144"/>
      <c r="Q15" s="146"/>
    </row>
    <row r="16" spans="1:17" s="11" customFormat="1">
      <c r="A16" s="9">
        <v>20</v>
      </c>
      <c r="B16" s="9"/>
      <c r="C16" s="9"/>
      <c r="D16" s="9" t="s">
        <v>105</v>
      </c>
      <c r="E16" s="51" t="s">
        <v>146</v>
      </c>
      <c r="F16" s="51"/>
      <c r="G16" s="52" t="s">
        <v>204</v>
      </c>
      <c r="H16" s="52" t="s">
        <v>106</v>
      </c>
      <c r="I16" s="9"/>
      <c r="J16" s="9" t="s">
        <v>42</v>
      </c>
      <c r="K16" s="9"/>
      <c r="L16" s="9"/>
      <c r="M16" s="9" t="s">
        <v>42</v>
      </c>
      <c r="N16" s="42"/>
      <c r="O16" s="53"/>
      <c r="P16" s="144"/>
      <c r="Q16" s="146"/>
    </row>
    <row r="17" spans="1:17" s="11" customFormat="1">
      <c r="A17" s="9">
        <v>20</v>
      </c>
      <c r="B17" s="9"/>
      <c r="C17" s="9"/>
      <c r="D17" s="9" t="s">
        <v>116</v>
      </c>
      <c r="E17" s="51" t="s">
        <v>147</v>
      </c>
      <c r="F17" s="51"/>
      <c r="G17" s="52" t="s">
        <v>205</v>
      </c>
      <c r="H17" s="52" t="s">
        <v>141</v>
      </c>
      <c r="I17" s="9"/>
      <c r="J17" s="9" t="s">
        <v>42</v>
      </c>
      <c r="K17" s="9"/>
      <c r="L17" s="9"/>
      <c r="M17" s="9" t="s">
        <v>42</v>
      </c>
      <c r="N17" s="42"/>
      <c r="O17" s="53"/>
      <c r="P17" s="144"/>
      <c r="Q17" s="146"/>
    </row>
    <row r="18" spans="1:17" s="11" customFormat="1">
      <c r="A18" s="9">
        <v>20</v>
      </c>
      <c r="B18" s="9"/>
      <c r="C18" s="9"/>
      <c r="D18" s="9" t="s">
        <v>168</v>
      </c>
      <c r="E18" s="51" t="s">
        <v>119</v>
      </c>
      <c r="F18" s="51"/>
      <c r="G18" s="52" t="s">
        <v>208</v>
      </c>
      <c r="H18" s="52" t="s">
        <v>57</v>
      </c>
      <c r="I18" s="9"/>
      <c r="J18" s="9" t="s">
        <v>42</v>
      </c>
      <c r="K18" s="9"/>
      <c r="L18" s="9"/>
      <c r="M18" s="9" t="s">
        <v>42</v>
      </c>
      <c r="N18" s="42"/>
      <c r="O18" s="53"/>
      <c r="P18" s="144"/>
      <c r="Q18" s="145"/>
    </row>
    <row r="19" spans="1:17" s="11" customFormat="1">
      <c r="A19" s="9">
        <v>20</v>
      </c>
      <c r="B19" s="9"/>
      <c r="C19" s="9"/>
      <c r="D19" s="9" t="s">
        <v>49</v>
      </c>
      <c r="E19" s="51" t="s">
        <v>120</v>
      </c>
      <c r="F19" s="51"/>
      <c r="G19" s="52" t="s">
        <v>209</v>
      </c>
      <c r="H19" s="52" t="s">
        <v>157</v>
      </c>
      <c r="I19" s="9"/>
      <c r="J19" s="9" t="s">
        <v>42</v>
      </c>
      <c r="K19" s="9"/>
      <c r="L19" s="9"/>
      <c r="M19" s="9" t="s">
        <v>42</v>
      </c>
      <c r="N19" s="42"/>
      <c r="O19" s="53"/>
      <c r="P19" s="144"/>
      <c r="Q19" s="145"/>
    </row>
    <row r="20" spans="1:17" s="11" customFormat="1">
      <c r="A20" s="9">
        <v>20</v>
      </c>
      <c r="B20" s="9"/>
      <c r="C20" s="9"/>
      <c r="D20" s="9" t="s">
        <v>14</v>
      </c>
      <c r="E20" s="51" t="s">
        <v>58</v>
      </c>
      <c r="F20" s="51"/>
      <c r="G20" s="52" t="s">
        <v>210</v>
      </c>
      <c r="H20" s="52" t="s">
        <v>158</v>
      </c>
      <c r="I20" s="9"/>
      <c r="J20" s="9" t="s">
        <v>42</v>
      </c>
      <c r="K20" s="9"/>
      <c r="L20" s="9"/>
      <c r="M20" s="9" t="s">
        <v>42</v>
      </c>
      <c r="N20" s="42"/>
      <c r="O20" s="53"/>
      <c r="P20" s="144"/>
      <c r="Q20" s="145"/>
    </row>
    <row r="21" spans="1:17" s="11" customFormat="1">
      <c r="A21" s="9">
        <v>20</v>
      </c>
      <c r="B21" s="9"/>
      <c r="C21" s="9"/>
      <c r="D21" s="9" t="s">
        <v>59</v>
      </c>
      <c r="E21" s="51" t="s">
        <v>62</v>
      </c>
      <c r="F21" s="51"/>
      <c r="G21" s="52" t="s">
        <v>211</v>
      </c>
      <c r="H21" s="52" t="s">
        <v>159</v>
      </c>
      <c r="I21" s="9"/>
      <c r="J21" s="9" t="s">
        <v>42</v>
      </c>
      <c r="K21" s="9"/>
      <c r="L21" s="9"/>
      <c r="M21" s="9" t="s">
        <v>42</v>
      </c>
      <c r="N21" s="42"/>
      <c r="O21" s="53"/>
      <c r="P21" s="144"/>
      <c r="Q21" s="145"/>
    </row>
    <row r="22" spans="1:17" s="11" customFormat="1">
      <c r="A22" s="9">
        <v>20</v>
      </c>
      <c r="B22" s="9"/>
      <c r="C22" s="9"/>
      <c r="D22" s="9" t="s">
        <v>63</v>
      </c>
      <c r="E22" s="51" t="s">
        <v>64</v>
      </c>
      <c r="F22" s="51"/>
      <c r="G22" s="52" t="s">
        <v>212</v>
      </c>
      <c r="H22" s="52" t="s">
        <v>160</v>
      </c>
      <c r="I22" s="9"/>
      <c r="J22" s="9" t="s">
        <v>42</v>
      </c>
      <c r="K22" s="9"/>
      <c r="L22" s="9"/>
      <c r="M22" s="9"/>
      <c r="N22" s="42"/>
      <c r="O22" s="53"/>
      <c r="P22" s="144"/>
      <c r="Q22" s="145"/>
    </row>
    <row r="23" spans="1:17" s="11" customFormat="1">
      <c r="A23" s="9">
        <v>20</v>
      </c>
      <c r="B23" s="9"/>
      <c r="C23" s="9"/>
      <c r="D23" s="9" t="s">
        <v>169</v>
      </c>
      <c r="E23" s="51" t="s">
        <v>119</v>
      </c>
      <c r="F23" s="51"/>
      <c r="G23" s="52" t="s">
        <v>213</v>
      </c>
      <c r="H23" s="52" t="s">
        <v>161</v>
      </c>
      <c r="I23" s="9"/>
      <c r="J23" s="9" t="s">
        <v>42</v>
      </c>
      <c r="K23" s="9"/>
      <c r="L23" s="9"/>
      <c r="M23" s="9" t="s">
        <v>42</v>
      </c>
      <c r="N23" s="42"/>
      <c r="O23" s="53"/>
      <c r="P23" s="144"/>
      <c r="Q23" s="145"/>
    </row>
    <row r="24" spans="1:17" s="11" customFormat="1">
      <c r="A24" s="9">
        <v>20</v>
      </c>
      <c r="B24" s="9"/>
      <c r="C24" s="9"/>
      <c r="D24" s="9" t="s">
        <v>50</v>
      </c>
      <c r="E24" s="51" t="s">
        <v>120</v>
      </c>
      <c r="F24" s="51"/>
      <c r="G24" s="52" t="s">
        <v>214</v>
      </c>
      <c r="H24" s="52" t="s">
        <v>56</v>
      </c>
      <c r="I24" s="9"/>
      <c r="J24" s="9" t="s">
        <v>42</v>
      </c>
      <c r="K24" s="9"/>
      <c r="L24" s="9"/>
      <c r="M24" s="9" t="s">
        <v>42</v>
      </c>
      <c r="N24" s="42"/>
      <c r="O24" s="53"/>
      <c r="P24" s="144"/>
      <c r="Q24" s="145"/>
    </row>
    <row r="25" spans="1:17" s="11" customFormat="1">
      <c r="A25" s="9">
        <v>20</v>
      </c>
      <c r="B25" s="9"/>
      <c r="C25" s="9"/>
      <c r="D25" s="9" t="s">
        <v>15</v>
      </c>
      <c r="E25" s="51" t="s">
        <v>170</v>
      </c>
      <c r="F25" s="51"/>
      <c r="G25" s="52" t="s">
        <v>215</v>
      </c>
      <c r="H25" s="52" t="s">
        <v>162</v>
      </c>
      <c r="I25" s="9"/>
      <c r="J25" s="9" t="s">
        <v>42</v>
      </c>
      <c r="K25" s="9"/>
      <c r="L25" s="9"/>
      <c r="M25" s="9" t="s">
        <v>42</v>
      </c>
      <c r="N25" s="42"/>
      <c r="O25" s="53"/>
      <c r="P25" s="144"/>
      <c r="Q25" s="145"/>
    </row>
    <row r="26" spans="1:17" s="11" customFormat="1">
      <c r="A26" s="9">
        <v>20</v>
      </c>
      <c r="B26" s="9"/>
      <c r="C26" s="9"/>
      <c r="D26" s="9" t="s">
        <v>60</v>
      </c>
      <c r="E26" s="51" t="s">
        <v>62</v>
      </c>
      <c r="F26" s="51"/>
      <c r="G26" s="52" t="s">
        <v>216</v>
      </c>
      <c r="H26" s="52" t="s">
        <v>163</v>
      </c>
      <c r="I26" s="9"/>
      <c r="J26" s="9" t="s">
        <v>42</v>
      </c>
      <c r="K26" s="9"/>
      <c r="L26" s="9"/>
      <c r="M26" s="9" t="s">
        <v>42</v>
      </c>
      <c r="N26" s="42"/>
      <c r="O26" s="53"/>
      <c r="P26" s="144"/>
      <c r="Q26" s="145"/>
    </row>
    <row r="27" spans="1:17" s="11" customFormat="1">
      <c r="A27" s="9">
        <v>20</v>
      </c>
      <c r="B27" s="9"/>
      <c r="C27" s="9"/>
      <c r="D27" s="9" t="s">
        <v>65</v>
      </c>
      <c r="E27" s="51" t="s">
        <v>64</v>
      </c>
      <c r="F27" s="51"/>
      <c r="G27" s="52" t="s">
        <v>217</v>
      </c>
      <c r="H27" s="52" t="s">
        <v>164</v>
      </c>
      <c r="I27" s="9"/>
      <c r="J27" s="9" t="s">
        <v>42</v>
      </c>
      <c r="K27" s="9"/>
      <c r="L27" s="9"/>
      <c r="M27" s="9"/>
      <c r="N27" s="42"/>
      <c r="O27" s="53"/>
      <c r="P27" s="144"/>
      <c r="Q27" s="145"/>
    </row>
    <row r="28" spans="1:17" s="11" customFormat="1">
      <c r="A28" s="9">
        <v>20</v>
      </c>
      <c r="B28" s="9"/>
      <c r="C28" s="9"/>
      <c r="D28" s="9" t="s">
        <v>66</v>
      </c>
      <c r="E28" s="51" t="s">
        <v>61</v>
      </c>
      <c r="F28" s="51"/>
      <c r="G28" s="52" t="s">
        <v>218</v>
      </c>
      <c r="H28" s="52" t="s">
        <v>165</v>
      </c>
      <c r="I28" s="9"/>
      <c r="J28" s="9" t="s">
        <v>42</v>
      </c>
      <c r="K28" s="9"/>
      <c r="L28" s="9"/>
      <c r="M28" s="9" t="s">
        <v>42</v>
      </c>
      <c r="N28" s="42"/>
      <c r="O28" s="53"/>
      <c r="P28" s="144"/>
      <c r="Q28" s="145"/>
    </row>
    <row r="29" spans="1:17" s="11" customFormat="1" ht="39">
      <c r="A29" s="77"/>
      <c r="L29" s="11" t="s">
        <v>197</v>
      </c>
      <c r="M29" s="11" t="s">
        <v>198</v>
      </c>
      <c r="Q29" s="54"/>
    </row>
    <row r="30" spans="1:17" s="11" customFormat="1">
      <c r="A30" s="9">
        <v>30</v>
      </c>
      <c r="B30" s="35" t="s">
        <v>0</v>
      </c>
      <c r="C30" s="36"/>
      <c r="D30" s="28" t="s">
        <v>117</v>
      </c>
      <c r="E30" s="45" t="s">
        <v>22</v>
      </c>
      <c r="F30" s="46"/>
      <c r="G30" s="28"/>
      <c r="H30" s="47"/>
      <c r="I30" s="59"/>
      <c r="J30" s="60"/>
      <c r="K30" s="50"/>
      <c r="L30" s="50"/>
      <c r="M30" s="50"/>
      <c r="N30" s="38"/>
      <c r="O30" s="39"/>
      <c r="P30" s="70"/>
      <c r="Q30" s="72"/>
    </row>
    <row r="31" spans="1:17" s="11" customFormat="1">
      <c r="A31" s="9">
        <v>30</v>
      </c>
      <c r="B31" s="9"/>
      <c r="C31" s="9"/>
      <c r="D31" s="9" t="s">
        <v>102</v>
      </c>
      <c r="E31" s="51" t="s">
        <v>142</v>
      </c>
      <c r="F31" s="51"/>
      <c r="G31" s="52" t="s">
        <v>201</v>
      </c>
      <c r="H31" s="52" t="s">
        <v>156</v>
      </c>
      <c r="I31" s="9"/>
      <c r="J31" s="9" t="s">
        <v>42</v>
      </c>
      <c r="K31" s="9"/>
      <c r="L31" s="9"/>
      <c r="M31" s="9"/>
      <c r="N31" s="42"/>
      <c r="O31" s="53"/>
      <c r="P31" s="144"/>
      <c r="Q31" s="145"/>
    </row>
    <row r="32" spans="1:17" s="11" customFormat="1">
      <c r="A32" s="9">
        <v>30</v>
      </c>
      <c r="B32" s="9"/>
      <c r="C32" s="9"/>
      <c r="D32" s="9" t="s">
        <v>103</v>
      </c>
      <c r="E32" s="51" t="s">
        <v>171</v>
      </c>
      <c r="F32" s="51"/>
      <c r="G32" s="52" t="s">
        <v>219</v>
      </c>
      <c r="H32" s="52" t="s">
        <v>166</v>
      </c>
      <c r="I32" s="9"/>
      <c r="J32" s="9" t="s">
        <v>42</v>
      </c>
      <c r="K32" s="9"/>
      <c r="L32" s="9"/>
      <c r="M32" s="9"/>
      <c r="N32" s="42"/>
      <c r="O32" s="53"/>
      <c r="P32" s="144"/>
      <c r="Q32" s="145"/>
    </row>
    <row r="33" spans="1:17" s="11" customFormat="1">
      <c r="A33" s="9">
        <v>30</v>
      </c>
      <c r="B33" s="9"/>
      <c r="C33" s="9"/>
      <c r="D33" s="9" t="s">
        <v>118</v>
      </c>
      <c r="E33" s="51" t="s">
        <v>74</v>
      </c>
      <c r="F33" s="51"/>
      <c r="G33" s="52" t="s">
        <v>202</v>
      </c>
      <c r="H33" s="52" t="s">
        <v>149</v>
      </c>
      <c r="I33" s="9"/>
      <c r="J33" s="9" t="s">
        <v>42</v>
      </c>
      <c r="K33" s="9"/>
      <c r="L33" s="9"/>
      <c r="M33" s="9"/>
      <c r="N33" s="42"/>
      <c r="O33" s="53"/>
      <c r="P33" s="144"/>
      <c r="Q33" s="145"/>
    </row>
    <row r="34" spans="1:17" s="11" customFormat="1">
      <c r="A34" s="61"/>
      <c r="B34" s="30"/>
      <c r="C34" s="30"/>
      <c r="D34" s="62" t="s">
        <v>4</v>
      </c>
      <c r="E34" s="31"/>
      <c r="F34" s="63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64"/>
    </row>
    <row r="35" spans="1:17" s="11" customFormat="1">
      <c r="A35" s="77"/>
      <c r="Q35" s="54"/>
    </row>
    <row r="36" spans="1:17" s="11" customFormat="1">
      <c r="A36" s="77"/>
      <c r="Q36" s="54"/>
    </row>
    <row r="37" spans="1:17" s="11" customFormat="1">
      <c r="A37" s="77"/>
      <c r="Q37" s="54"/>
    </row>
    <row r="38" spans="1:17" s="11" customFormat="1">
      <c r="A38" s="77"/>
      <c r="Q38" s="54"/>
    </row>
    <row r="39" spans="1:17" s="11" customFormat="1">
      <c r="A39" s="77"/>
      <c r="Q39" s="54"/>
    </row>
    <row r="40" spans="1:17" s="11" customFormat="1">
      <c r="A40" s="77"/>
      <c r="Q40" s="54"/>
    </row>
    <row r="41" spans="1:17" s="11" customFormat="1">
      <c r="A41" s="77"/>
      <c r="Q41" s="54"/>
    </row>
    <row r="42" spans="1:17" s="11" customFormat="1">
      <c r="A42" s="77"/>
      <c r="Q42" s="54"/>
    </row>
    <row r="43" spans="1:17" s="11" customFormat="1">
      <c r="A43" s="77"/>
      <c r="Q43" s="54"/>
    </row>
    <row r="44" spans="1:17" s="11" customFormat="1">
      <c r="A44" s="77"/>
      <c r="Q44" s="54"/>
    </row>
    <row r="45" spans="1:17" s="11" customFormat="1">
      <c r="A45" s="77"/>
      <c r="Q45" s="54"/>
    </row>
    <row r="46" spans="1:17" s="11" customFormat="1">
      <c r="A46" s="77"/>
      <c r="Q46" s="54"/>
    </row>
    <row r="47" spans="1:17" s="11" customFormat="1">
      <c r="A47" s="77"/>
      <c r="Q47" s="54"/>
    </row>
    <row r="48" spans="1:17" s="11" customFormat="1">
      <c r="A48" s="77"/>
      <c r="Q48" s="54"/>
    </row>
    <row r="49" spans="1:17" s="11" customFormat="1">
      <c r="A49" s="77"/>
      <c r="Q49" s="54"/>
    </row>
    <row r="50" spans="1:17" s="11" customFormat="1">
      <c r="A50" s="77"/>
      <c r="Q50" s="54"/>
    </row>
    <row r="51" spans="1:17" s="11" customFormat="1">
      <c r="A51" s="77"/>
      <c r="Q51" s="54"/>
    </row>
    <row r="52" spans="1:17" s="11" customFormat="1">
      <c r="A52" s="77"/>
      <c r="Q52" s="54"/>
    </row>
    <row r="53" spans="1:17" s="11" customFormat="1">
      <c r="A53" s="77"/>
      <c r="Q53" s="54"/>
    </row>
    <row r="54" spans="1:17" s="11" customFormat="1">
      <c r="A54" s="77"/>
      <c r="Q54" s="54"/>
    </row>
    <row r="55" spans="1:17" s="11" customFormat="1">
      <c r="A55" s="77"/>
      <c r="Q55" s="54"/>
    </row>
    <row r="56" spans="1:17" s="11" customFormat="1">
      <c r="A56" s="77"/>
      <c r="Q56" s="54"/>
    </row>
    <row r="57" spans="1:17" s="11" customFormat="1">
      <c r="A57" s="77"/>
      <c r="Q57" s="54"/>
    </row>
    <row r="58" spans="1:17" s="11" customFormat="1">
      <c r="A58" s="77"/>
      <c r="Q58" s="54"/>
    </row>
    <row r="59" spans="1:17" s="11" customFormat="1">
      <c r="A59" s="77"/>
      <c r="Q59" s="54"/>
    </row>
    <row r="60" spans="1:17" s="11" customFormat="1">
      <c r="A60" s="8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20"/>
    </row>
  </sheetData>
  <mergeCells count="18">
    <mergeCell ref="P33:Q33"/>
    <mergeCell ref="P16:Q16"/>
    <mergeCell ref="P15:Q15"/>
    <mergeCell ref="P19:Q19"/>
    <mergeCell ref="P18:Q18"/>
    <mergeCell ref="P12:Q12"/>
    <mergeCell ref="P31:Q31"/>
    <mergeCell ref="P32:Q32"/>
    <mergeCell ref="P20:Q20"/>
    <mergeCell ref="P28:Q28"/>
    <mergeCell ref="P24:Q24"/>
    <mergeCell ref="P27:Q27"/>
    <mergeCell ref="P26:Q26"/>
    <mergeCell ref="P22:Q22"/>
    <mergeCell ref="P23:Q23"/>
    <mergeCell ref="P21:Q21"/>
    <mergeCell ref="P25:Q25"/>
    <mergeCell ref="P17:Q1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67</v>
      </c>
      <c r="K2" s="7" t="s">
        <v>32</v>
      </c>
      <c r="L2" s="76" t="str">
        <f>IF(LogicCommon!G2="","",LogicCommon!G2)</f>
        <v>MC</v>
      </c>
      <c r="M2" s="5" t="s">
        <v>33</v>
      </c>
      <c r="N2" s="28" t="s">
        <v>181</v>
      </c>
      <c r="O2" s="7"/>
      <c r="P2" s="7"/>
      <c r="Q2" s="4"/>
      <c r="R2" s="27"/>
    </row>
    <row r="3" spans="1:18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35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  <c r="R3" s="27"/>
    </row>
    <row r="4" spans="1:18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68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</v>
      </c>
      <c r="B6" s="78"/>
      <c r="C6" s="78"/>
      <c r="D6" s="4" t="s">
        <v>6</v>
      </c>
      <c r="E6" s="16" t="s">
        <v>131</v>
      </c>
      <c r="F6" s="16"/>
      <c r="G6" s="16"/>
      <c r="H6" s="16"/>
      <c r="I6" s="16"/>
      <c r="J6" s="16"/>
      <c r="K6" s="16"/>
      <c r="L6" s="84" t="s">
        <v>44</v>
      </c>
      <c r="M6" s="19"/>
      <c r="N6" s="19" t="s">
        <v>44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46</v>
      </c>
      <c r="J7" s="31"/>
      <c r="K7" s="33" t="s">
        <v>47</v>
      </c>
      <c r="L7" s="32" t="s">
        <v>85</v>
      </c>
      <c r="M7" s="33" t="s">
        <v>47</v>
      </c>
      <c r="N7" s="32" t="s">
        <v>86</v>
      </c>
      <c r="O7" s="29"/>
      <c r="P7" s="29"/>
      <c r="Q7" s="29"/>
      <c r="R7" s="29"/>
    </row>
    <row r="8" spans="1:18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3" t="s">
        <v>18</v>
      </c>
      <c r="L8" s="34" t="s">
        <v>100</v>
      </c>
      <c r="M8" s="33" t="s">
        <v>18</v>
      </c>
      <c r="N8" s="34" t="s">
        <v>101</v>
      </c>
      <c r="O8" s="90"/>
      <c r="P8" s="91"/>
      <c r="Q8" s="92" t="s">
        <v>191</v>
      </c>
      <c r="R8" s="53"/>
    </row>
    <row r="9" spans="1:18" s="11" customFormat="1" ht="60" customHeight="1">
      <c r="A9" s="9" t="s">
        <v>19</v>
      </c>
      <c r="B9" s="35"/>
      <c r="C9" s="36"/>
      <c r="D9" s="86" t="s">
        <v>206</v>
      </c>
      <c r="E9" s="93" t="s">
        <v>207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33"/>
      <c r="L9" s="33"/>
      <c r="M9" s="33"/>
      <c r="N9" s="33"/>
      <c r="O9" s="92" t="s">
        <v>199</v>
      </c>
      <c r="P9" s="53"/>
      <c r="Q9" s="92" t="s">
        <v>200</v>
      </c>
      <c r="R9" s="53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197</v>
      </c>
      <c r="L10" s="87" t="s">
        <v>198</v>
      </c>
      <c r="M10" s="87" t="s">
        <v>197</v>
      </c>
      <c r="N10" s="87" t="s">
        <v>198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108</v>
      </c>
      <c r="E11" s="45" t="s">
        <v>22</v>
      </c>
      <c r="F11" s="46"/>
      <c r="G11" s="28" t="s">
        <v>77</v>
      </c>
      <c r="H11" s="47" t="s">
        <v>178</v>
      </c>
      <c r="I11" s="48"/>
      <c r="J11" s="49"/>
      <c r="K11" s="50" t="s">
        <v>113</v>
      </c>
      <c r="L11" s="50"/>
      <c r="M11" s="50" t="s">
        <v>114</v>
      </c>
      <c r="N11" s="50"/>
      <c r="O11" s="38"/>
      <c r="P11" s="39"/>
      <c r="Q11" s="70"/>
      <c r="R11" s="72"/>
    </row>
    <row r="12" spans="1:18" s="11" customFormat="1">
      <c r="A12" s="9">
        <v>10</v>
      </c>
      <c r="B12" s="9"/>
      <c r="C12" s="9"/>
      <c r="D12" s="9" t="s">
        <v>102</v>
      </c>
      <c r="E12" s="51" t="s">
        <v>142</v>
      </c>
      <c r="F12" s="51"/>
      <c r="G12" s="52" t="s">
        <v>201</v>
      </c>
      <c r="H12" s="52" t="s">
        <v>156</v>
      </c>
      <c r="I12" s="9" t="s">
        <v>42</v>
      </c>
      <c r="J12" s="9"/>
      <c r="K12" s="9" t="s">
        <v>137</v>
      </c>
      <c r="L12" s="9"/>
      <c r="M12" s="9" t="s">
        <v>137</v>
      </c>
      <c r="N12" s="9"/>
      <c r="O12" s="44"/>
      <c r="P12" s="39"/>
      <c r="Q12" s="70"/>
      <c r="R12" s="72"/>
    </row>
    <row r="13" spans="1:18" s="11" customFormat="1">
      <c r="A13" s="9">
        <v>10</v>
      </c>
      <c r="B13" s="9"/>
      <c r="C13" s="9"/>
      <c r="D13" s="9" t="s">
        <v>75</v>
      </c>
      <c r="E13" s="51" t="s">
        <v>76</v>
      </c>
      <c r="F13" s="51"/>
      <c r="G13" s="52" t="s">
        <v>202</v>
      </c>
      <c r="H13" s="52" t="s">
        <v>149</v>
      </c>
      <c r="I13" s="9" t="s">
        <v>137</v>
      </c>
      <c r="J13" s="9"/>
      <c r="K13" s="9" t="s">
        <v>137</v>
      </c>
      <c r="L13" s="9"/>
      <c r="M13" s="9" t="s">
        <v>137</v>
      </c>
      <c r="N13" s="9"/>
      <c r="O13" s="44"/>
      <c r="P13" s="39"/>
      <c r="Q13" s="70"/>
      <c r="R13" s="72"/>
    </row>
    <row r="14" spans="1:18" s="11" customFormat="1">
      <c r="A14" s="55"/>
      <c r="B14" s="56"/>
      <c r="C14" s="56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77"/>
      <c r="R15" s="54"/>
    </row>
    <row r="16" spans="1:18" s="11" customFormat="1">
      <c r="A16" s="77"/>
      <c r="R16" s="54"/>
    </row>
    <row r="17" spans="1:18" s="11" customFormat="1">
      <c r="A17" s="77"/>
      <c r="R17" s="54"/>
    </row>
    <row r="18" spans="1:18" s="11" customFormat="1">
      <c r="A18" s="77"/>
      <c r="R18" s="54"/>
    </row>
    <row r="19" spans="1:18" s="11" customFormat="1">
      <c r="A19" s="77"/>
      <c r="R19" s="54"/>
    </row>
    <row r="20" spans="1:18" s="11" customFormat="1">
      <c r="A20" s="77"/>
      <c r="R20" s="54"/>
    </row>
    <row r="21" spans="1:18" s="11" customFormat="1">
      <c r="A21" s="77"/>
      <c r="R21" s="54"/>
    </row>
    <row r="22" spans="1:18" s="11" customFormat="1">
      <c r="A22" s="77"/>
      <c r="R22" s="54"/>
    </row>
    <row r="23" spans="1:18" s="11" customFormat="1">
      <c r="A23" s="77"/>
      <c r="R23" s="54"/>
    </row>
    <row r="24" spans="1:18" s="11" customFormat="1">
      <c r="A24" s="77"/>
      <c r="R24" s="54"/>
    </row>
    <row r="25" spans="1:18" s="11" customFormat="1">
      <c r="A25" s="77"/>
      <c r="R25" s="54"/>
    </row>
    <row r="26" spans="1:18" s="11" customFormat="1">
      <c r="A26" s="77"/>
      <c r="R26" s="54"/>
    </row>
    <row r="27" spans="1:18" s="11" customFormat="1">
      <c r="A27" s="77"/>
      <c r="R27" s="54"/>
    </row>
    <row r="28" spans="1:18" s="11" customFormat="1">
      <c r="A28" s="77"/>
      <c r="R28" s="54"/>
    </row>
    <row r="29" spans="1:18" s="11" customFormat="1">
      <c r="A29" s="77"/>
      <c r="R29" s="54"/>
    </row>
    <row r="30" spans="1:18" s="11" customFormat="1">
      <c r="A30" s="77"/>
      <c r="R30" s="54"/>
    </row>
    <row r="31" spans="1:18" s="11" customFormat="1">
      <c r="A31" s="8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9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3" t="s">
        <v>16</v>
      </c>
      <c r="B1" s="73" t="s">
        <v>16</v>
      </c>
      <c r="C1" s="7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4" t="s">
        <v>16</v>
      </c>
      <c r="B2" s="75"/>
      <c r="C2" s="75"/>
      <c r="D2" s="85" t="s">
        <v>187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MABCL2040</v>
      </c>
      <c r="I2" s="7" t="s">
        <v>135</v>
      </c>
      <c r="J2" s="9" t="s">
        <v>41</v>
      </c>
      <c r="K2" s="7" t="s">
        <v>32</v>
      </c>
      <c r="L2" s="76" t="str">
        <f>IF(LogicCommon!G2="","",LogicCommon!G2)</f>
        <v>MC</v>
      </c>
      <c r="M2" s="5" t="s">
        <v>33</v>
      </c>
      <c r="N2" s="28" t="s">
        <v>183</v>
      </c>
      <c r="O2" s="7"/>
      <c r="P2" s="7"/>
      <c r="Q2" s="4"/>
      <c r="R2" s="27"/>
    </row>
    <row r="3" spans="1:18" s="11" customFormat="1">
      <c r="A3" s="77" t="s">
        <v>16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MABCL_MenuConfigReg</v>
      </c>
      <c r="I3" s="7" t="s">
        <v>34</v>
      </c>
      <c r="J3" s="9" t="s">
        <v>35</v>
      </c>
      <c r="K3" s="7" t="s">
        <v>36</v>
      </c>
      <c r="L3" s="76" t="str">
        <f>IF(LogicCommon!G3="","",LogicCommon!G3)</f>
        <v/>
      </c>
      <c r="M3" s="80" t="s">
        <v>37</v>
      </c>
      <c r="N3" s="7"/>
      <c r="O3" s="7" t="s">
        <v>38</v>
      </c>
      <c r="P3" s="9" t="s">
        <v>39</v>
      </c>
      <c r="Q3" s="4"/>
      <c r="R3" s="27"/>
    </row>
    <row r="4" spans="1:18" s="11" customFormat="1">
      <c r="A4" s="77" t="s">
        <v>16</v>
      </c>
      <c r="B4" s="78"/>
      <c r="C4" s="78"/>
      <c r="D4" s="4"/>
      <c r="E4" s="7" t="s">
        <v>8</v>
      </c>
      <c r="F4" s="10" t="s">
        <v>134</v>
      </c>
      <c r="G4" s="7" t="s">
        <v>11</v>
      </c>
      <c r="H4" s="76" t="str">
        <f>IF(LogicCommon!E4="","",LogicCommon!E4)</f>
        <v>原価メニュー構成マスタ登録</v>
      </c>
      <c r="I4" s="7" t="s">
        <v>40</v>
      </c>
      <c r="J4" s="9" t="s">
        <v>69</v>
      </c>
      <c r="K4" s="7" t="s">
        <v>5</v>
      </c>
      <c r="L4" s="76" t="str">
        <f>IF(LogicCommon!G4="","",LogicCommon!G4)</f>
        <v>MA.MAUDL5010</v>
      </c>
      <c r="M4" s="81"/>
      <c r="N4" s="28"/>
      <c r="O4" s="14"/>
      <c r="P4" s="4"/>
      <c r="Q4" s="4"/>
      <c r="R4" s="27"/>
    </row>
    <row r="5" spans="1:18" s="11" customFormat="1">
      <c r="A5" s="82" t="s">
        <v>16</v>
      </c>
      <c r="B5" s="73"/>
      <c r="C5" s="73"/>
      <c r="D5" s="26"/>
      <c r="E5" s="7" t="s">
        <v>24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27"/>
    </row>
    <row r="6" spans="1:18" s="11" customFormat="1">
      <c r="A6" s="77" t="s">
        <v>16</v>
      </c>
      <c r="B6" s="78"/>
      <c r="C6" s="78"/>
      <c r="D6" s="4" t="s">
        <v>6</v>
      </c>
      <c r="E6" s="16" t="s">
        <v>130</v>
      </c>
      <c r="F6" s="16"/>
      <c r="G6" s="16"/>
      <c r="H6" s="16"/>
      <c r="I6" s="16"/>
      <c r="J6" s="16"/>
      <c r="K6" s="16"/>
      <c r="L6" s="84" t="s">
        <v>44</v>
      </c>
      <c r="M6" s="19"/>
      <c r="N6" s="19" t="s">
        <v>44</v>
      </c>
      <c r="O6" s="19"/>
      <c r="P6" s="19"/>
      <c r="Q6" s="19"/>
      <c r="R6" s="27"/>
    </row>
    <row r="7" spans="1:18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51</v>
      </c>
      <c r="J7" s="31"/>
      <c r="K7" s="33" t="s">
        <v>52</v>
      </c>
      <c r="L7" s="32" t="s">
        <v>83</v>
      </c>
      <c r="M7" s="33" t="s">
        <v>72</v>
      </c>
      <c r="N7" s="32" t="s">
        <v>84</v>
      </c>
      <c r="O7" s="29"/>
      <c r="P7" s="29"/>
      <c r="Q7" s="29"/>
      <c r="R7" s="29"/>
    </row>
    <row r="8" spans="1:18" s="11" customFormat="1" ht="60" customHeight="1">
      <c r="A8" s="51" t="s">
        <v>19</v>
      </c>
      <c r="B8" s="88"/>
      <c r="C8" s="89"/>
      <c r="D8" s="86" t="s">
        <v>188</v>
      </c>
      <c r="E8" s="86" t="s">
        <v>189</v>
      </c>
      <c r="F8" s="84"/>
      <c r="G8" s="86" t="s">
        <v>17</v>
      </c>
      <c r="H8" s="86" t="s">
        <v>190</v>
      </c>
      <c r="I8" s="84"/>
      <c r="J8" s="3"/>
      <c r="K8" s="33" t="s">
        <v>18</v>
      </c>
      <c r="L8" s="34" t="s">
        <v>98</v>
      </c>
      <c r="M8" s="33" t="s">
        <v>73</v>
      </c>
      <c r="N8" s="34" t="s">
        <v>99</v>
      </c>
      <c r="O8" s="90"/>
      <c r="P8" s="91"/>
      <c r="Q8" s="92" t="s">
        <v>191</v>
      </c>
      <c r="R8" s="53"/>
    </row>
    <row r="9" spans="1:18" s="11" customFormat="1" ht="60" customHeight="1">
      <c r="A9" s="9" t="s">
        <v>19</v>
      </c>
      <c r="B9" s="35"/>
      <c r="C9" s="36"/>
      <c r="D9" s="86" t="s">
        <v>206</v>
      </c>
      <c r="E9" s="93" t="s">
        <v>207</v>
      </c>
      <c r="F9" s="86" t="s">
        <v>194</v>
      </c>
      <c r="G9" s="86" t="s">
        <v>195</v>
      </c>
      <c r="H9" s="86" t="s">
        <v>196</v>
      </c>
      <c r="I9" s="94" t="s">
        <v>197</v>
      </c>
      <c r="J9" s="86" t="s">
        <v>198</v>
      </c>
      <c r="K9" s="33"/>
      <c r="L9" s="33"/>
      <c r="M9" s="33"/>
      <c r="N9" s="33"/>
      <c r="O9" s="92" t="s">
        <v>199</v>
      </c>
      <c r="P9" s="53"/>
      <c r="Q9" s="92" t="s">
        <v>200</v>
      </c>
      <c r="R9" s="53"/>
    </row>
    <row r="10" spans="1:18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197</v>
      </c>
      <c r="L10" s="87" t="s">
        <v>198</v>
      </c>
      <c r="M10" s="87" t="s">
        <v>197</v>
      </c>
      <c r="N10" s="87" t="s">
        <v>198</v>
      </c>
      <c r="O10" s="43"/>
      <c r="P10" s="43"/>
      <c r="Q10" s="44"/>
      <c r="R10" s="39"/>
    </row>
    <row r="11" spans="1:18" s="11" customFormat="1">
      <c r="A11" s="9">
        <v>10</v>
      </c>
      <c r="B11" s="35" t="s">
        <v>0</v>
      </c>
      <c r="C11" s="36"/>
      <c r="D11" s="28" t="s">
        <v>107</v>
      </c>
      <c r="E11" s="45" t="s">
        <v>22</v>
      </c>
      <c r="F11" s="46"/>
      <c r="G11" s="28" t="s">
        <v>77</v>
      </c>
      <c r="H11" s="47" t="s">
        <v>172</v>
      </c>
      <c r="I11" s="48"/>
      <c r="J11" s="49"/>
      <c r="K11" s="50" t="s">
        <v>173</v>
      </c>
      <c r="L11" s="50"/>
      <c r="M11" s="50" t="s">
        <v>174</v>
      </c>
      <c r="N11" s="50"/>
      <c r="O11" s="38"/>
      <c r="P11" s="39"/>
      <c r="Q11" s="70"/>
      <c r="R11" s="72"/>
    </row>
    <row r="12" spans="1:18" s="11" customFormat="1">
      <c r="A12" s="9">
        <v>10</v>
      </c>
      <c r="B12" s="9"/>
      <c r="C12" s="9"/>
      <c r="D12" s="9" t="s">
        <v>102</v>
      </c>
      <c r="E12" s="51" t="s">
        <v>151</v>
      </c>
      <c r="F12" s="51"/>
      <c r="G12" s="52" t="s">
        <v>201</v>
      </c>
      <c r="H12" s="52" t="s">
        <v>156</v>
      </c>
      <c r="I12" s="9" t="s">
        <v>42</v>
      </c>
      <c r="J12" s="9"/>
      <c r="K12" s="9" t="s">
        <v>42</v>
      </c>
      <c r="L12" s="9"/>
      <c r="M12" s="9" t="s">
        <v>42</v>
      </c>
      <c r="N12" s="9"/>
      <c r="O12" s="42"/>
      <c r="P12" s="53"/>
      <c r="Q12" s="144"/>
      <c r="R12" s="145"/>
    </row>
    <row r="13" spans="1:18" s="11" customFormat="1">
      <c r="A13" s="9">
        <v>10</v>
      </c>
      <c r="B13" s="9"/>
      <c r="C13" s="9"/>
      <c r="D13" s="9" t="s">
        <v>75</v>
      </c>
      <c r="E13" s="51" t="s">
        <v>76</v>
      </c>
      <c r="F13" s="51"/>
      <c r="G13" s="52" t="s">
        <v>202</v>
      </c>
      <c r="H13" s="52" t="s">
        <v>149</v>
      </c>
      <c r="I13" s="9" t="s">
        <v>42</v>
      </c>
      <c r="J13" s="9"/>
      <c r="K13" s="9" t="s">
        <v>42</v>
      </c>
      <c r="L13" s="9"/>
      <c r="M13" s="9" t="s">
        <v>42</v>
      </c>
      <c r="N13" s="9"/>
      <c r="O13" s="42"/>
      <c r="P13" s="53"/>
      <c r="Q13" s="144"/>
      <c r="R13" s="145"/>
    </row>
    <row r="14" spans="1:18" s="11" customFormat="1">
      <c r="A14" s="77"/>
      <c r="R14" s="54"/>
    </row>
    <row r="15" spans="1:18" s="11" customFormat="1">
      <c r="A15" s="9">
        <v>20</v>
      </c>
      <c r="B15" s="35" t="s">
        <v>0</v>
      </c>
      <c r="C15" s="36"/>
      <c r="D15" s="28" t="s">
        <v>71</v>
      </c>
      <c r="E15" s="45" t="s">
        <v>23</v>
      </c>
      <c r="F15" s="46"/>
      <c r="G15" s="28" t="s">
        <v>77</v>
      </c>
      <c r="H15" s="47" t="s">
        <v>175</v>
      </c>
      <c r="I15" s="48"/>
      <c r="J15" s="49"/>
      <c r="K15" s="50" t="s">
        <v>176</v>
      </c>
      <c r="L15" s="50"/>
      <c r="M15" s="50" t="s">
        <v>177</v>
      </c>
      <c r="N15" s="50"/>
      <c r="O15" s="38"/>
      <c r="P15" s="39"/>
      <c r="Q15" s="70"/>
      <c r="R15" s="72"/>
    </row>
    <row r="16" spans="1:18" s="11" customFormat="1">
      <c r="A16" s="9">
        <v>20</v>
      </c>
      <c r="B16" s="9"/>
      <c r="C16" s="9"/>
      <c r="D16" s="9" t="s">
        <v>104</v>
      </c>
      <c r="E16" s="51" t="s">
        <v>152</v>
      </c>
      <c r="F16" s="51"/>
      <c r="G16" s="52" t="s">
        <v>203</v>
      </c>
      <c r="H16" s="52" t="s">
        <v>140</v>
      </c>
      <c r="I16" s="9" t="s">
        <v>42</v>
      </c>
      <c r="J16" s="9"/>
      <c r="K16" s="9" t="s">
        <v>42</v>
      </c>
      <c r="L16" s="9"/>
      <c r="M16" s="9" t="s">
        <v>42</v>
      </c>
      <c r="N16" s="9"/>
      <c r="O16" s="42"/>
      <c r="P16" s="53"/>
      <c r="Q16" s="144"/>
      <c r="R16" s="145"/>
    </row>
    <row r="17" spans="1:18" s="11" customFormat="1">
      <c r="A17" s="9">
        <v>20</v>
      </c>
      <c r="B17" s="9"/>
      <c r="C17" s="9"/>
      <c r="D17" s="9" t="s">
        <v>105</v>
      </c>
      <c r="E17" s="51" t="s">
        <v>153</v>
      </c>
      <c r="F17" s="51"/>
      <c r="G17" s="52" t="s">
        <v>204</v>
      </c>
      <c r="H17" s="52" t="s">
        <v>106</v>
      </c>
      <c r="I17" s="9" t="s">
        <v>42</v>
      </c>
      <c r="J17" s="9"/>
      <c r="K17" s="9" t="s">
        <v>42</v>
      </c>
      <c r="L17" s="9"/>
      <c r="M17" s="9" t="s">
        <v>42</v>
      </c>
      <c r="N17" s="9"/>
      <c r="O17" s="42"/>
      <c r="P17" s="53"/>
      <c r="Q17" s="70"/>
      <c r="R17" s="71"/>
    </row>
    <row r="18" spans="1:18" s="11" customFormat="1">
      <c r="A18" s="9">
        <v>20</v>
      </c>
      <c r="B18" s="9"/>
      <c r="C18" s="9"/>
      <c r="D18" s="9" t="s">
        <v>116</v>
      </c>
      <c r="E18" s="51" t="s">
        <v>154</v>
      </c>
      <c r="F18" s="51"/>
      <c r="G18" s="52" t="s">
        <v>205</v>
      </c>
      <c r="H18" s="52" t="s">
        <v>141</v>
      </c>
      <c r="I18" s="9" t="s">
        <v>42</v>
      </c>
      <c r="J18" s="9"/>
      <c r="K18" s="9" t="s">
        <v>42</v>
      </c>
      <c r="L18" s="9"/>
      <c r="M18" s="9" t="s">
        <v>42</v>
      </c>
      <c r="N18" s="9"/>
      <c r="O18" s="42"/>
      <c r="P18" s="53"/>
      <c r="Q18" s="70"/>
      <c r="R18" s="71"/>
    </row>
    <row r="19" spans="1:18" s="11" customFormat="1">
      <c r="A19" s="55"/>
      <c r="B19" s="56"/>
      <c r="C19" s="56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4"/>
      <c r="P19" s="4"/>
      <c r="Q19" s="6"/>
      <c r="R19" s="23"/>
    </row>
    <row r="20" spans="1:18" s="11" customFormat="1">
      <c r="A20" s="77"/>
      <c r="R20" s="54"/>
    </row>
    <row r="21" spans="1:18" s="11" customFormat="1">
      <c r="A21" s="77"/>
      <c r="R21" s="54"/>
    </row>
    <row r="22" spans="1:18" s="11" customFormat="1">
      <c r="A22" s="77"/>
      <c r="R22" s="54"/>
    </row>
    <row r="23" spans="1:18" s="11" customFormat="1">
      <c r="A23" s="77"/>
      <c r="R23" s="54"/>
    </row>
    <row r="24" spans="1:18" s="11" customFormat="1">
      <c r="A24" s="77"/>
      <c r="R24" s="54"/>
    </row>
    <row r="25" spans="1:18" s="11" customFormat="1">
      <c r="A25" s="77"/>
      <c r="R25" s="54"/>
    </row>
    <row r="26" spans="1:18" s="11" customFormat="1">
      <c r="A26" s="77"/>
      <c r="R26" s="54"/>
    </row>
    <row r="27" spans="1:18" s="11" customFormat="1">
      <c r="A27" s="77"/>
      <c r="R27" s="54"/>
    </row>
    <row r="28" spans="1:18" s="11" customFormat="1">
      <c r="A28" s="77"/>
      <c r="R28" s="54"/>
    </row>
    <row r="29" spans="1:18" s="11" customFormat="1">
      <c r="A29" s="77"/>
      <c r="R29" s="54"/>
    </row>
    <row r="30" spans="1:18" s="11" customFormat="1">
      <c r="A30" s="77"/>
      <c r="R30" s="54"/>
    </row>
    <row r="31" spans="1:18" s="11" customFormat="1">
      <c r="A31" s="77"/>
      <c r="R31" s="54"/>
    </row>
    <row r="32" spans="1:18" s="11" customFormat="1">
      <c r="A32" s="77"/>
      <c r="R32" s="54"/>
    </row>
    <row r="33" spans="1:18" s="11" customFormat="1">
      <c r="A33" s="77"/>
      <c r="R33" s="54"/>
    </row>
    <row r="34" spans="1:18" s="11" customFormat="1">
      <c r="A34" s="77"/>
      <c r="R34" s="54"/>
    </row>
    <row r="35" spans="1:18" s="11" customFormat="1">
      <c r="A35" s="77"/>
      <c r="R35" s="54"/>
    </row>
    <row r="36" spans="1:18" s="11" customFormat="1">
      <c r="A36" s="77"/>
      <c r="R36" s="54"/>
    </row>
    <row r="37" spans="1:18" s="11" customFormat="1">
      <c r="A37" s="77"/>
      <c r="R37" s="54"/>
    </row>
    <row r="38" spans="1:18" s="11" customFormat="1">
      <c r="A38" s="77"/>
      <c r="R38" s="54"/>
    </row>
    <row r="39" spans="1:18" s="11" customFormat="1">
      <c r="A39" s="82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20"/>
    </row>
  </sheetData>
  <dataConsolidate/>
  <mergeCells count="3">
    <mergeCell ref="Q13:R13"/>
    <mergeCell ref="Q16:R16"/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8" customWidth="1"/>
    <col min="43" max="44" width="2.08984375" style="69" customWidth="1"/>
    <col min="45" max="71" width="2.08984375" style="68" customWidth="1"/>
    <col min="72" max="16384" width="9" style="68"/>
  </cols>
  <sheetData>
    <row r="1" spans="1:57" s="65" customFormat="1" ht="38.25" customHeight="1" thickBot="1">
      <c r="A1" s="99" t="s">
        <v>25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65" customFormat="1" ht="12" customHeight="1" thickBot="1">
      <c r="A2" s="66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7"/>
      <c r="AR2" s="67"/>
    </row>
    <row r="3" spans="1:57" ht="15" customHeight="1" thickBot="1">
      <c r="A3" s="134" t="s">
        <v>26</v>
      </c>
      <c r="B3" s="103"/>
      <c r="C3" s="103"/>
      <c r="D3" s="103"/>
      <c r="E3" s="103"/>
      <c r="F3" s="103"/>
      <c r="G3" s="104"/>
      <c r="H3" s="102" t="s">
        <v>27</v>
      </c>
      <c r="I3" s="103"/>
      <c r="J3" s="103"/>
      <c r="K3" s="103"/>
      <c r="L3" s="103"/>
      <c r="M3" s="103"/>
      <c r="N3" s="104"/>
      <c r="O3" s="102" t="s">
        <v>28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29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35">
        <v>1</v>
      </c>
      <c r="B4" s="136"/>
      <c r="C4" s="136"/>
      <c r="D4" s="136"/>
      <c r="E4" s="136"/>
      <c r="F4" s="136"/>
      <c r="G4" s="137"/>
      <c r="H4" s="127"/>
      <c r="I4" s="128"/>
      <c r="J4" s="128"/>
      <c r="K4" s="128"/>
      <c r="L4" s="128"/>
      <c r="M4" s="128"/>
      <c r="N4" s="129"/>
      <c r="O4" s="127" t="s">
        <v>30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120"/>
      <c r="I5" s="121"/>
      <c r="J5" s="121"/>
      <c r="K5" s="121"/>
      <c r="L5" s="121"/>
      <c r="M5" s="121"/>
      <c r="N5" s="122"/>
      <c r="O5" s="138" t="s">
        <v>220</v>
      </c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41" t="s">
        <v>221</v>
      </c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3"/>
    </row>
    <row r="6" spans="1:57" ht="15" customHeight="1">
      <c r="A6" s="110"/>
      <c r="B6" s="111"/>
      <c r="C6" s="111"/>
      <c r="D6" s="111"/>
      <c r="E6" s="111"/>
      <c r="F6" s="111"/>
      <c r="G6" s="112"/>
      <c r="H6" s="120"/>
      <c r="I6" s="121"/>
      <c r="J6" s="121"/>
      <c r="K6" s="121"/>
      <c r="L6" s="121"/>
      <c r="M6" s="121"/>
      <c r="N6" s="122"/>
      <c r="O6" s="120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25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6"/>
    </row>
    <row r="7" spans="1:57" ht="15" customHeight="1">
      <c r="A7" s="110"/>
      <c r="B7" s="111"/>
      <c r="C7" s="111"/>
      <c r="D7" s="111"/>
      <c r="E7" s="111"/>
      <c r="F7" s="111"/>
      <c r="G7" s="112"/>
      <c r="H7" s="120"/>
      <c r="I7" s="121"/>
      <c r="J7" s="121"/>
      <c r="K7" s="121"/>
      <c r="L7" s="121"/>
      <c r="M7" s="121"/>
      <c r="N7" s="122"/>
      <c r="O7" s="120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4"/>
      <c r="AQ7" s="125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6"/>
    </row>
    <row r="8" spans="1:57" ht="15" customHeight="1">
      <c r="A8" s="110"/>
      <c r="B8" s="111"/>
      <c r="C8" s="111"/>
      <c r="D8" s="111"/>
      <c r="E8" s="111"/>
      <c r="F8" s="111"/>
      <c r="G8" s="112"/>
      <c r="H8" s="120"/>
      <c r="I8" s="121"/>
      <c r="J8" s="121"/>
      <c r="K8" s="121"/>
      <c r="L8" s="121"/>
      <c r="M8" s="121"/>
      <c r="N8" s="122"/>
      <c r="O8" s="120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25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6"/>
    </row>
    <row r="9" spans="1:57" ht="15" customHeight="1">
      <c r="A9" s="110"/>
      <c r="B9" s="111"/>
      <c r="C9" s="111"/>
      <c r="D9" s="111"/>
      <c r="E9" s="111"/>
      <c r="F9" s="111"/>
      <c r="G9" s="112"/>
      <c r="H9" s="120"/>
      <c r="I9" s="121"/>
      <c r="J9" s="121"/>
      <c r="K9" s="121"/>
      <c r="L9" s="121"/>
      <c r="M9" s="121"/>
      <c r="N9" s="122"/>
      <c r="O9" s="120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4"/>
      <c r="AQ9" s="125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6"/>
    </row>
    <row r="10" spans="1:57" ht="15" customHeight="1">
      <c r="A10" s="110"/>
      <c r="B10" s="111"/>
      <c r="C10" s="111"/>
      <c r="D10" s="111"/>
      <c r="E10" s="111"/>
      <c r="F10" s="111"/>
      <c r="G10" s="112"/>
      <c r="H10" s="120"/>
      <c r="I10" s="121"/>
      <c r="J10" s="121"/>
      <c r="K10" s="121"/>
      <c r="L10" s="121"/>
      <c r="M10" s="121"/>
      <c r="N10" s="122"/>
      <c r="O10" s="120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5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6"/>
    </row>
    <row r="11" spans="1:57" ht="15" customHeight="1">
      <c r="A11" s="110"/>
      <c r="B11" s="111"/>
      <c r="C11" s="111"/>
      <c r="D11" s="111"/>
      <c r="E11" s="111"/>
      <c r="F11" s="111"/>
      <c r="G11" s="112"/>
      <c r="H11" s="120"/>
      <c r="I11" s="121"/>
      <c r="J11" s="121"/>
      <c r="K11" s="121"/>
      <c r="L11" s="121"/>
      <c r="M11" s="121"/>
      <c r="N11" s="122"/>
      <c r="O11" s="120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>
      <c r="A12" s="110"/>
      <c r="B12" s="111"/>
      <c r="C12" s="111"/>
      <c r="D12" s="111"/>
      <c r="E12" s="111"/>
      <c r="F12" s="111"/>
      <c r="G12" s="112"/>
      <c r="H12" s="120"/>
      <c r="I12" s="121"/>
      <c r="J12" s="121"/>
      <c r="K12" s="121"/>
      <c r="L12" s="121"/>
      <c r="M12" s="121"/>
      <c r="N12" s="122"/>
      <c r="O12" s="120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>
      <c r="A13" s="110"/>
      <c r="B13" s="111"/>
      <c r="C13" s="111"/>
      <c r="D13" s="111"/>
      <c r="E13" s="111"/>
      <c r="F13" s="111"/>
      <c r="G13" s="112"/>
      <c r="H13" s="120"/>
      <c r="I13" s="121"/>
      <c r="J13" s="121"/>
      <c r="K13" s="121"/>
      <c r="L13" s="121"/>
      <c r="M13" s="121"/>
      <c r="N13" s="122"/>
      <c r="O13" s="120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>
      <c r="A14" s="110"/>
      <c r="B14" s="111"/>
      <c r="C14" s="111"/>
      <c r="D14" s="111"/>
      <c r="E14" s="111"/>
      <c r="F14" s="111"/>
      <c r="G14" s="112"/>
      <c r="H14" s="120"/>
      <c r="I14" s="121"/>
      <c r="J14" s="121"/>
      <c r="K14" s="121"/>
      <c r="L14" s="121"/>
      <c r="M14" s="121"/>
      <c r="N14" s="122"/>
      <c r="O14" s="120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>
      <c r="A15" s="110"/>
      <c r="B15" s="111"/>
      <c r="C15" s="111"/>
      <c r="D15" s="111"/>
      <c r="E15" s="111"/>
      <c r="F15" s="111"/>
      <c r="G15" s="112"/>
      <c r="H15" s="120"/>
      <c r="I15" s="121"/>
      <c r="J15" s="121"/>
      <c r="K15" s="121"/>
      <c r="L15" s="121"/>
      <c r="M15" s="121"/>
      <c r="N15" s="122"/>
      <c r="O15" s="120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>
      <c r="A16" s="110"/>
      <c r="B16" s="111"/>
      <c r="C16" s="111"/>
      <c r="D16" s="111"/>
      <c r="E16" s="111"/>
      <c r="F16" s="111"/>
      <c r="G16" s="112"/>
      <c r="H16" s="120"/>
      <c r="I16" s="121"/>
      <c r="J16" s="121"/>
      <c r="K16" s="121"/>
      <c r="L16" s="121"/>
      <c r="M16" s="121"/>
      <c r="N16" s="122"/>
      <c r="O16" s="120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>
      <c r="A17" s="110"/>
      <c r="B17" s="111"/>
      <c r="C17" s="111"/>
      <c r="D17" s="111"/>
      <c r="E17" s="111"/>
      <c r="F17" s="111"/>
      <c r="G17" s="112"/>
      <c r="H17" s="120"/>
      <c r="I17" s="121"/>
      <c r="J17" s="121"/>
      <c r="K17" s="121"/>
      <c r="L17" s="121"/>
      <c r="M17" s="121"/>
      <c r="N17" s="122"/>
      <c r="O17" s="120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>
      <c r="A18" s="110"/>
      <c r="B18" s="111"/>
      <c r="C18" s="111"/>
      <c r="D18" s="111"/>
      <c r="E18" s="111"/>
      <c r="F18" s="111"/>
      <c r="G18" s="112"/>
      <c r="H18" s="120"/>
      <c r="I18" s="121"/>
      <c r="J18" s="121"/>
      <c r="K18" s="121"/>
      <c r="L18" s="121"/>
      <c r="M18" s="121"/>
      <c r="N18" s="122"/>
      <c r="O18" s="120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>
      <c r="A19" s="110"/>
      <c r="B19" s="111"/>
      <c r="C19" s="111"/>
      <c r="D19" s="111"/>
      <c r="E19" s="111"/>
      <c r="F19" s="111"/>
      <c r="G19" s="112"/>
      <c r="H19" s="120"/>
      <c r="I19" s="121"/>
      <c r="J19" s="121"/>
      <c r="K19" s="121"/>
      <c r="L19" s="121"/>
      <c r="M19" s="121"/>
      <c r="N19" s="122"/>
      <c r="O19" s="120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>
      <c r="A20" s="110"/>
      <c r="B20" s="111"/>
      <c r="C20" s="111"/>
      <c r="D20" s="111"/>
      <c r="E20" s="111"/>
      <c r="F20" s="111"/>
      <c r="G20" s="112"/>
      <c r="H20" s="120"/>
      <c r="I20" s="121"/>
      <c r="J20" s="121"/>
      <c r="K20" s="121"/>
      <c r="L20" s="121"/>
      <c r="M20" s="121"/>
      <c r="N20" s="122"/>
      <c r="O20" s="120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>
      <c r="A21" s="110"/>
      <c r="B21" s="111"/>
      <c r="C21" s="111"/>
      <c r="D21" s="111"/>
      <c r="E21" s="111"/>
      <c r="F21" s="111"/>
      <c r="G21" s="112"/>
      <c r="H21" s="120"/>
      <c r="I21" s="121"/>
      <c r="J21" s="121"/>
      <c r="K21" s="121"/>
      <c r="L21" s="121"/>
      <c r="M21" s="121"/>
      <c r="N21" s="122"/>
      <c r="O21" s="120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>
      <c r="A22" s="110"/>
      <c r="B22" s="111"/>
      <c r="C22" s="111"/>
      <c r="D22" s="111"/>
      <c r="E22" s="111"/>
      <c r="F22" s="111"/>
      <c r="G22" s="112"/>
      <c r="H22" s="120"/>
      <c r="I22" s="121"/>
      <c r="J22" s="121"/>
      <c r="K22" s="121"/>
      <c r="L22" s="121"/>
      <c r="M22" s="121"/>
      <c r="N22" s="122"/>
      <c r="O22" s="120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>
      <c r="A23" s="110"/>
      <c r="B23" s="111"/>
      <c r="C23" s="111"/>
      <c r="D23" s="111"/>
      <c r="E23" s="111"/>
      <c r="F23" s="111"/>
      <c r="G23" s="112"/>
      <c r="H23" s="120"/>
      <c r="I23" s="121"/>
      <c r="J23" s="121"/>
      <c r="K23" s="121"/>
      <c r="L23" s="121"/>
      <c r="M23" s="121"/>
      <c r="N23" s="122"/>
      <c r="O23" s="120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>
      <c r="A24" s="110"/>
      <c r="B24" s="111"/>
      <c r="C24" s="111"/>
      <c r="D24" s="111"/>
      <c r="E24" s="111"/>
      <c r="F24" s="111"/>
      <c r="G24" s="112"/>
      <c r="H24" s="120"/>
      <c r="I24" s="121"/>
      <c r="J24" s="121"/>
      <c r="K24" s="121"/>
      <c r="L24" s="121"/>
      <c r="M24" s="121"/>
      <c r="N24" s="122"/>
      <c r="O24" s="120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>
      <c r="A25" s="110"/>
      <c r="B25" s="111"/>
      <c r="C25" s="111"/>
      <c r="D25" s="111"/>
      <c r="E25" s="111"/>
      <c r="F25" s="111"/>
      <c r="G25" s="112"/>
      <c r="H25" s="120"/>
      <c r="I25" s="121"/>
      <c r="J25" s="121"/>
      <c r="K25" s="121"/>
      <c r="L25" s="121"/>
      <c r="M25" s="121"/>
      <c r="N25" s="122"/>
      <c r="O25" s="120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>
      <c r="A26" s="110"/>
      <c r="B26" s="111"/>
      <c r="C26" s="111"/>
      <c r="D26" s="111"/>
      <c r="E26" s="111"/>
      <c r="F26" s="111"/>
      <c r="G26" s="112"/>
      <c r="H26" s="120"/>
      <c r="I26" s="121"/>
      <c r="J26" s="121"/>
      <c r="K26" s="121"/>
      <c r="L26" s="121"/>
      <c r="M26" s="121"/>
      <c r="N26" s="122"/>
      <c r="O26" s="120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>
      <c r="A27" s="110"/>
      <c r="B27" s="111"/>
      <c r="C27" s="111"/>
      <c r="D27" s="111"/>
      <c r="E27" s="111"/>
      <c r="F27" s="111"/>
      <c r="G27" s="112"/>
      <c r="H27" s="120"/>
      <c r="I27" s="121"/>
      <c r="J27" s="121"/>
      <c r="K27" s="121"/>
      <c r="L27" s="121"/>
      <c r="M27" s="121"/>
      <c r="N27" s="122"/>
      <c r="O27" s="120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>
      <c r="A28" s="110"/>
      <c r="B28" s="111"/>
      <c r="C28" s="111"/>
      <c r="D28" s="111"/>
      <c r="E28" s="111"/>
      <c r="F28" s="111"/>
      <c r="G28" s="112"/>
      <c r="H28" s="120"/>
      <c r="I28" s="121"/>
      <c r="J28" s="121"/>
      <c r="K28" s="121"/>
      <c r="L28" s="121"/>
      <c r="M28" s="121"/>
      <c r="N28" s="122"/>
      <c r="O28" s="120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>
      <c r="A29" s="110"/>
      <c r="B29" s="111"/>
      <c r="C29" s="111"/>
      <c r="D29" s="111"/>
      <c r="E29" s="111"/>
      <c r="F29" s="111"/>
      <c r="G29" s="112"/>
      <c r="H29" s="120"/>
      <c r="I29" s="121"/>
      <c r="J29" s="121"/>
      <c r="K29" s="121"/>
      <c r="L29" s="121"/>
      <c r="M29" s="121"/>
      <c r="N29" s="122"/>
      <c r="O29" s="120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>
      <c r="A30" s="110"/>
      <c r="B30" s="111"/>
      <c r="C30" s="111"/>
      <c r="D30" s="111"/>
      <c r="E30" s="111"/>
      <c r="F30" s="111"/>
      <c r="G30" s="112"/>
      <c r="H30" s="120"/>
      <c r="I30" s="121"/>
      <c r="J30" s="121"/>
      <c r="K30" s="121"/>
      <c r="L30" s="121"/>
      <c r="M30" s="121"/>
      <c r="N30" s="122"/>
      <c r="O30" s="120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>
      <c r="A31" s="110"/>
      <c r="B31" s="111"/>
      <c r="C31" s="111"/>
      <c r="D31" s="111"/>
      <c r="E31" s="111"/>
      <c r="F31" s="111"/>
      <c r="G31" s="112"/>
      <c r="H31" s="120"/>
      <c r="I31" s="121"/>
      <c r="J31" s="121"/>
      <c r="K31" s="121"/>
      <c r="L31" s="121"/>
      <c r="M31" s="121"/>
      <c r="N31" s="122"/>
      <c r="O31" s="120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>
      <c r="A32" s="110"/>
      <c r="B32" s="111"/>
      <c r="C32" s="111"/>
      <c r="D32" s="111"/>
      <c r="E32" s="111"/>
      <c r="F32" s="111"/>
      <c r="G32" s="112"/>
      <c r="H32" s="120"/>
      <c r="I32" s="121"/>
      <c r="J32" s="121"/>
      <c r="K32" s="121"/>
      <c r="L32" s="121"/>
      <c r="M32" s="121"/>
      <c r="N32" s="122"/>
      <c r="O32" s="120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>
      <c r="A33" s="110"/>
      <c r="B33" s="111"/>
      <c r="C33" s="111"/>
      <c r="D33" s="111"/>
      <c r="E33" s="111"/>
      <c r="F33" s="111"/>
      <c r="G33" s="112"/>
      <c r="H33" s="120"/>
      <c r="I33" s="121"/>
      <c r="J33" s="121"/>
      <c r="K33" s="121"/>
      <c r="L33" s="121"/>
      <c r="M33" s="121"/>
      <c r="N33" s="122"/>
      <c r="O33" s="12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  <row r="34" spans="1:57" ht="15" customHeight="1">
      <c r="A34" s="110"/>
      <c r="B34" s="111"/>
      <c r="C34" s="111"/>
      <c r="D34" s="111"/>
      <c r="E34" s="111"/>
      <c r="F34" s="111"/>
      <c r="G34" s="112"/>
      <c r="H34" s="120"/>
      <c r="I34" s="121"/>
      <c r="J34" s="121"/>
      <c r="K34" s="121"/>
      <c r="L34" s="121"/>
      <c r="M34" s="121"/>
      <c r="N34" s="122"/>
      <c r="O34" s="120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4"/>
      <c r="AQ34" s="125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6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MenuConfig_UpdChk01</vt:lpstr>
      <vt:lpstr>MenuConfig_Upd01</vt:lpstr>
      <vt:lpstr>MenuConfig_DelChk01</vt:lpstr>
      <vt:lpstr>MenuConfig_Del01</vt:lpstr>
      <vt:lpstr>Srch01</vt:lpstr>
      <vt:lpstr>Del01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2026-03-27T05:43:09Z</dcterms:modified>
  <cp:category/>
</cp:coreProperties>
</file>