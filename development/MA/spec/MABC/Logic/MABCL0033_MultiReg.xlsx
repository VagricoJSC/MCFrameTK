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D6CCAD6-6DAE-4059-8DC7-61AA744A044F}" xr6:coauthVersionLast="47" xr6:coauthVersionMax="47" xr10:uidLastSave="{00000000-0000-0000-0000-000000000000}"/>
  <bookViews>
    <workbookView xWindow="1710" yWindow="1710" windowWidth="21600" windowHeight="11265" tabRatio="822" firstSheet="57" activeTab="61" xr2:uid="{00000000-000D-0000-FFFF-FFFF00000000}"/>
  </bookViews>
  <sheets>
    <sheet name="LogicCommon" sheetId="10" r:id="rId1"/>
    <sheet name="Wg_UpdChk01" sheetId="97" r:id="rId2"/>
    <sheet name="Wg_Upd01" sheetId="98" r:id="rId3"/>
    <sheet name="WgLcl_UpdChk01" sheetId="99" r:id="rId4"/>
    <sheet name="WgLcl_Upd01" sheetId="100" r:id="rId5"/>
    <sheet name="Wg_DelChk01" sheetId="149" r:id="rId6"/>
    <sheet name="Wg_Del01" sheetId="150" r:id="rId7"/>
    <sheet name="Oper_UpdChk01" sheetId="101" r:id="rId8"/>
    <sheet name="Oper_Upd01" sheetId="102" r:id="rId9"/>
    <sheet name="OperLcl_UpdChk01" sheetId="103" r:id="rId10"/>
    <sheet name="OperLcl_Upd01" sheetId="104" r:id="rId11"/>
    <sheet name="Oper_DelChk01" sheetId="151" r:id="rId12"/>
    <sheet name="Oper_Del01" sheetId="152" r:id="rId13"/>
    <sheet name="WkCost_UpdChk01" sheetId="105" r:id="rId14"/>
    <sheet name="WkCost_Upd01" sheetId="106" r:id="rId15"/>
    <sheet name="WkCostLcl_UpdChk01" sheetId="107" r:id="rId16"/>
    <sheet name="WkCostLcl_Upd01" sheetId="108" r:id="rId17"/>
    <sheet name="WkCost_DelChk01" sheetId="153" r:id="rId18"/>
    <sheet name="WkCost_Del01" sheetId="154" r:id="rId19"/>
    <sheet name="WkRsn_UpdChk01" sheetId="109" r:id="rId20"/>
    <sheet name="WkRsn_Upd01" sheetId="110" r:id="rId21"/>
    <sheet name="WkRsnLcl_UpdChk01" sheetId="111" r:id="rId22"/>
    <sheet name="WkRsnLcl_Upd01" sheetId="112" r:id="rId23"/>
    <sheet name="WkRsn_DelChk01" sheetId="155" r:id="rId24"/>
    <sheet name="WkRsn_Del01" sheetId="156" r:id="rId25"/>
    <sheet name="SlsUpriGrp_UpdChk01" sheetId="113" r:id="rId26"/>
    <sheet name="SlsUpriGrp_Upd01" sheetId="114" r:id="rId27"/>
    <sheet name="SlsUpriGrpLcl_UpdChk01" sheetId="115" r:id="rId28"/>
    <sheet name="SlsUpriGrpLcl_Upd01" sheetId="116" r:id="rId29"/>
    <sheet name="SlsUpriGrp_DelChk01" sheetId="157" r:id="rId30"/>
    <sheet name="SlsUpriGrp_Del01" sheetId="158" r:id="rId31"/>
    <sheet name="SlsUpriRank_UpdChk01" sheetId="117" r:id="rId32"/>
    <sheet name="SlsUpriRank_Upd01" sheetId="118" r:id="rId33"/>
    <sheet name="SlsUpriRankLcl_UpdChk01" sheetId="119" r:id="rId34"/>
    <sheet name="SlsUpriRankLcl_Upd01" sheetId="120" r:id="rId35"/>
    <sheet name="SlsUpriRank_DelChk01" sheetId="159" r:id="rId36"/>
    <sheet name="SlsUpriRank_Del01" sheetId="160" r:id="rId37"/>
    <sheet name="SetoffGrp_UpdChk01" sheetId="121" r:id="rId38"/>
    <sheet name="SetoffGrp_Upd01" sheetId="122" r:id="rId39"/>
    <sheet name="SetoffGrpLcl_UpdChk01" sheetId="123" r:id="rId40"/>
    <sheet name="SetoffGrpLcl_Upd01" sheetId="124" r:id="rId41"/>
    <sheet name="SetoffGrp_DelChk01" sheetId="161" r:id="rId42"/>
    <sheet name="SetoffGrp_Del01" sheetId="162" r:id="rId43"/>
    <sheet name="ShipValid_UpdChk01" sheetId="125" r:id="rId44"/>
    <sheet name="ShipValid_Upd01" sheetId="126" r:id="rId45"/>
    <sheet name="ShipValidLcl_UpdChk01" sheetId="127" r:id="rId46"/>
    <sheet name="ShipValidLcl_Upd01" sheetId="128" r:id="rId47"/>
    <sheet name="ShipValid_DelChk01" sheetId="163" r:id="rId48"/>
    <sheet name="ShipValid_Del01" sheetId="164" r:id="rId49"/>
    <sheet name="ItmShipGrp_UpdChk01" sheetId="129" r:id="rId50"/>
    <sheet name="ItmShipGrp_Upd01" sheetId="130" r:id="rId51"/>
    <sheet name="ItmShipGrpLcl_UpdChk01" sheetId="131" r:id="rId52"/>
    <sheet name="ItmShipGrpLcl_Upd01" sheetId="132" r:id="rId53"/>
    <sheet name="ItmShipGrp_DelChk01" sheetId="165" r:id="rId54"/>
    <sheet name="ItmShipGrp_Del01" sheetId="166" r:id="rId55"/>
    <sheet name="Trnspt_UpdChk01" sheetId="145" r:id="rId56"/>
    <sheet name="Trnspt_Upd01" sheetId="146" r:id="rId57"/>
    <sheet name="TrnsptLcl_UpdChk01" sheetId="147" r:id="rId58"/>
    <sheet name="TrnsptLcl_Upd01" sheetId="148" r:id="rId59"/>
    <sheet name="Trnspt_DelChk01" sheetId="167" r:id="rId60"/>
    <sheet name="Trnspt_Del01" sheetId="168" r:id="rId61"/>
    <sheet name="来歴" sheetId="13" r:id="rId6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8" l="1"/>
  <c r="L3" i="168"/>
  <c r="L2" i="168"/>
  <c r="L4" i="167"/>
  <c r="N2" i="167" s="1"/>
  <c r="L3" i="167"/>
  <c r="L2" i="167"/>
  <c r="L4" i="166"/>
  <c r="L3" i="166"/>
  <c r="L2" i="166"/>
  <c r="L4" i="165"/>
  <c r="L3" i="165"/>
  <c r="L2" i="165"/>
  <c r="L4" i="164"/>
  <c r="L3" i="164"/>
  <c r="L2" i="164"/>
  <c r="L4" i="163"/>
  <c r="N2" i="163" s="1"/>
  <c r="L3" i="163"/>
  <c r="L2" i="163"/>
  <c r="L4" i="162"/>
  <c r="L3" i="162"/>
  <c r="L2" i="162"/>
  <c r="L4" i="161"/>
  <c r="N2" i="161" s="1"/>
  <c r="L3" i="161"/>
  <c r="L2" i="161"/>
  <c r="L4" i="160"/>
  <c r="L3" i="160"/>
  <c r="L2" i="160"/>
  <c r="L4" i="159"/>
  <c r="N2" i="159" s="1"/>
  <c r="L3" i="159"/>
  <c r="L2" i="159"/>
  <c r="L4" i="158"/>
  <c r="L3" i="158"/>
  <c r="L2" i="158"/>
  <c r="L4" i="157"/>
  <c r="N2" i="157" s="1"/>
  <c r="L3" i="157"/>
  <c r="L2" i="157"/>
  <c r="L4" i="156"/>
  <c r="L3" i="156"/>
  <c r="L2" i="156"/>
  <c r="L4" i="155"/>
  <c r="N2" i="155" s="1"/>
  <c r="L3" i="155"/>
  <c r="L2" i="155"/>
  <c r="L4" i="154"/>
  <c r="L3" i="154"/>
  <c r="L2" i="154"/>
  <c r="L4" i="153"/>
  <c r="N2" i="153" s="1"/>
  <c r="L3" i="153"/>
  <c r="L2" i="153"/>
  <c r="L4" i="152"/>
  <c r="L3" i="152"/>
  <c r="L2" i="152"/>
  <c r="L4" i="151"/>
  <c r="N2" i="151" s="1"/>
  <c r="L3" i="151"/>
  <c r="L2" i="151"/>
  <c r="L4" i="150"/>
  <c r="L3" i="150"/>
  <c r="L2" i="150"/>
  <c r="L4" i="149"/>
  <c r="L3" i="149"/>
  <c r="L2" i="149"/>
  <c r="H4" i="168"/>
  <c r="H3" i="168"/>
  <c r="F3" i="168"/>
  <c r="D3" i="168"/>
  <c r="H2" i="168"/>
  <c r="F2" i="168"/>
  <c r="H4" i="167"/>
  <c r="H3" i="167"/>
  <c r="F3" i="167"/>
  <c r="D3" i="167"/>
  <c r="H2" i="167"/>
  <c r="F2" i="167"/>
  <c r="H4" i="166"/>
  <c r="H3" i="166"/>
  <c r="F3" i="166"/>
  <c r="D3" i="166"/>
  <c r="H2" i="166"/>
  <c r="F2" i="166"/>
  <c r="H4" i="165"/>
  <c r="H3" i="165"/>
  <c r="F3" i="165"/>
  <c r="D3" i="165"/>
  <c r="H2" i="165"/>
  <c r="F2" i="165"/>
  <c r="H4" i="164"/>
  <c r="H3" i="164"/>
  <c r="F3" i="164"/>
  <c r="D3" i="164"/>
  <c r="H2" i="164"/>
  <c r="F2" i="164"/>
  <c r="H4" i="163"/>
  <c r="H3" i="163"/>
  <c r="F3" i="163"/>
  <c r="D3" i="163"/>
  <c r="H2" i="163"/>
  <c r="F2" i="163"/>
  <c r="H4" i="162"/>
  <c r="H3" i="162"/>
  <c r="F3" i="162"/>
  <c r="D3" i="162"/>
  <c r="H2" i="162"/>
  <c r="F2" i="162"/>
  <c r="H4" i="161"/>
  <c r="H3" i="161"/>
  <c r="F3" i="161"/>
  <c r="D3" i="161"/>
  <c r="H2" i="161"/>
  <c r="F2" i="161"/>
  <c r="H4" i="160"/>
  <c r="H3" i="160"/>
  <c r="F3" i="160"/>
  <c r="D3" i="160"/>
  <c r="H2" i="160"/>
  <c r="F2" i="160"/>
  <c r="H4" i="159"/>
  <c r="H3" i="159"/>
  <c r="F3" i="159"/>
  <c r="D3" i="159"/>
  <c r="H2" i="159"/>
  <c r="F2" i="159"/>
  <c r="H4" i="158"/>
  <c r="H3" i="158"/>
  <c r="F3" i="158"/>
  <c r="D3" i="158"/>
  <c r="H2" i="158"/>
  <c r="F2" i="158"/>
  <c r="H4" i="157"/>
  <c r="H3" i="157"/>
  <c r="F3" i="157"/>
  <c r="D3" i="157"/>
  <c r="H2" i="157"/>
  <c r="F2" i="157"/>
  <c r="H4" i="156"/>
  <c r="H3" i="156"/>
  <c r="F3" i="156"/>
  <c r="D3" i="156"/>
  <c r="H2" i="156"/>
  <c r="F2" i="156"/>
  <c r="H4" i="155"/>
  <c r="H3" i="155"/>
  <c r="F3" i="155"/>
  <c r="D3" i="155"/>
  <c r="H2" i="155"/>
  <c r="F2" i="155"/>
  <c r="H4" i="154"/>
  <c r="H3" i="154"/>
  <c r="F3" i="154"/>
  <c r="D3" i="154"/>
  <c r="H2" i="154"/>
  <c r="F2" i="154"/>
  <c r="H4" i="153"/>
  <c r="H3" i="153"/>
  <c r="F3" i="153"/>
  <c r="D3" i="153"/>
  <c r="H2" i="153"/>
  <c r="F2" i="153"/>
  <c r="H4" i="152"/>
  <c r="H3" i="152"/>
  <c r="F3" i="152"/>
  <c r="D3" i="152"/>
  <c r="H2" i="152"/>
  <c r="F2" i="152"/>
  <c r="H4" i="151"/>
  <c r="H3" i="151"/>
  <c r="F3" i="151"/>
  <c r="D3" i="151"/>
  <c r="H2" i="151"/>
  <c r="F2" i="151"/>
  <c r="H4" i="150"/>
  <c r="H3" i="150"/>
  <c r="F3" i="150"/>
  <c r="D3" i="150"/>
  <c r="H2" i="150"/>
  <c r="F2" i="150"/>
  <c r="H4" i="149"/>
  <c r="H3" i="149"/>
  <c r="F3" i="149"/>
  <c r="D3" i="149"/>
  <c r="H2" i="149"/>
  <c r="F2" i="149"/>
  <c r="N2" i="165"/>
  <c r="N2" i="149"/>
  <c r="L4" i="148" l="1"/>
  <c r="H4" i="148"/>
  <c r="L3" i="148"/>
  <c r="H3" i="148"/>
  <c r="F3" i="148"/>
  <c r="D3" i="148"/>
  <c r="L2" i="148"/>
  <c r="H2" i="148"/>
  <c r="F2" i="148"/>
  <c r="L4" i="147"/>
  <c r="N2" i="147" s="1"/>
  <c r="H4" i="147"/>
  <c r="L3" i="147"/>
  <c r="H3" i="147"/>
  <c r="F3" i="147"/>
  <c r="D3" i="147"/>
  <c r="L2" i="147"/>
  <c r="H2" i="147"/>
  <c r="F2" i="147"/>
  <c r="L4" i="146"/>
  <c r="H4" i="146"/>
  <c r="L3" i="146"/>
  <c r="H3" i="146"/>
  <c r="F3" i="146"/>
  <c r="D3" i="146"/>
  <c r="L2" i="146"/>
  <c r="H2" i="146"/>
  <c r="F2" i="146"/>
  <c r="L4" i="145"/>
  <c r="N2" i="145" s="1"/>
  <c r="H4" i="145"/>
  <c r="L3" i="145"/>
  <c r="H3" i="145"/>
  <c r="F3" i="145"/>
  <c r="D3" i="145"/>
  <c r="L2" i="145"/>
  <c r="H2" i="145"/>
  <c r="F2" i="145"/>
  <c r="L4" i="132"/>
  <c r="H4" i="132"/>
  <c r="L3" i="132"/>
  <c r="H3" i="132"/>
  <c r="F3" i="132"/>
  <c r="D3" i="132"/>
  <c r="L2" i="132"/>
  <c r="H2" i="132"/>
  <c r="F2" i="132"/>
  <c r="L4" i="131"/>
  <c r="N2" i="131" s="1"/>
  <c r="H4" i="131"/>
  <c r="L3" i="131"/>
  <c r="H3" i="131"/>
  <c r="F3" i="131"/>
  <c r="D3" i="131"/>
  <c r="L2" i="131"/>
  <c r="H2" i="131"/>
  <c r="F2" i="131"/>
  <c r="L4" i="130"/>
  <c r="H4" i="130"/>
  <c r="L3" i="130"/>
  <c r="H3" i="130"/>
  <c r="F3" i="130"/>
  <c r="D3" i="130"/>
  <c r="L2" i="130"/>
  <c r="H2" i="130"/>
  <c r="F2" i="130"/>
  <c r="L4" i="129"/>
  <c r="N2" i="129" s="1"/>
  <c r="H4" i="129"/>
  <c r="L3" i="129"/>
  <c r="H3" i="129"/>
  <c r="F3" i="129"/>
  <c r="D3" i="129"/>
  <c r="L2" i="129"/>
  <c r="H2" i="129"/>
  <c r="F2" i="129"/>
  <c r="L4" i="128"/>
  <c r="H4" i="128"/>
  <c r="L3" i="128"/>
  <c r="H3" i="128"/>
  <c r="F3" i="128"/>
  <c r="D3" i="128"/>
  <c r="L2" i="128"/>
  <c r="H2" i="128"/>
  <c r="F2" i="128"/>
  <c r="L4" i="127"/>
  <c r="N2" i="127" s="1"/>
  <c r="H4" i="127"/>
  <c r="L3" i="127"/>
  <c r="H3" i="127"/>
  <c r="F3" i="127"/>
  <c r="D3" i="127"/>
  <c r="L2" i="127"/>
  <c r="H2" i="127"/>
  <c r="F2" i="127"/>
  <c r="L4" i="126"/>
  <c r="H4" i="126"/>
  <c r="L3" i="126"/>
  <c r="H3" i="126"/>
  <c r="F3" i="126"/>
  <c r="D3" i="126"/>
  <c r="L2" i="126"/>
  <c r="H2" i="126"/>
  <c r="F2" i="126"/>
  <c r="L4" i="125"/>
  <c r="N2" i="125" s="1"/>
  <c r="H4" i="125"/>
  <c r="L3" i="125"/>
  <c r="H3" i="125"/>
  <c r="F3" i="125"/>
  <c r="D3" i="125"/>
  <c r="L2" i="125"/>
  <c r="H2" i="125"/>
  <c r="F2" i="125"/>
  <c r="L4" i="124"/>
  <c r="H4" i="124"/>
  <c r="L3" i="124"/>
  <c r="H3" i="124"/>
  <c r="F3" i="124"/>
  <c r="D3" i="124"/>
  <c r="L2" i="124"/>
  <c r="H2" i="124"/>
  <c r="F2" i="124"/>
  <c r="L4" i="123"/>
  <c r="N2" i="123" s="1"/>
  <c r="H4" i="123"/>
  <c r="L3" i="123"/>
  <c r="H3" i="123"/>
  <c r="F3" i="123"/>
  <c r="D3" i="123"/>
  <c r="L2" i="123"/>
  <c r="H2" i="123"/>
  <c r="F2" i="123"/>
  <c r="L4" i="122"/>
  <c r="H4" i="122"/>
  <c r="L3" i="122"/>
  <c r="H3" i="122"/>
  <c r="F3" i="122"/>
  <c r="D3" i="122"/>
  <c r="L2" i="122"/>
  <c r="H2" i="122"/>
  <c r="F2" i="122"/>
  <c r="L4" i="121"/>
  <c r="N2" i="121" s="1"/>
  <c r="H4" i="121"/>
  <c r="L3" i="121"/>
  <c r="H3" i="121"/>
  <c r="F3" i="121"/>
  <c r="D3" i="121"/>
  <c r="L2" i="121"/>
  <c r="H2" i="121"/>
  <c r="F2" i="121"/>
  <c r="L4" i="120"/>
  <c r="H4" i="120"/>
  <c r="L3" i="120"/>
  <c r="H3" i="120"/>
  <c r="F3" i="120"/>
  <c r="D3" i="120"/>
  <c r="L2" i="120"/>
  <c r="H2" i="120"/>
  <c r="F2" i="120"/>
  <c r="L4" i="119"/>
  <c r="N2" i="119" s="1"/>
  <c r="H4" i="119"/>
  <c r="L3" i="119"/>
  <c r="H3" i="119"/>
  <c r="F3" i="119"/>
  <c r="D3" i="119"/>
  <c r="L2" i="119"/>
  <c r="H2" i="119"/>
  <c r="F2" i="119"/>
  <c r="L4" i="118"/>
  <c r="H4" i="118"/>
  <c r="L3" i="118"/>
  <c r="H3" i="118"/>
  <c r="F3" i="118"/>
  <c r="D3" i="118"/>
  <c r="L2" i="118"/>
  <c r="H2" i="118"/>
  <c r="F2" i="118"/>
  <c r="L4" i="117"/>
  <c r="N2" i="117" s="1"/>
  <c r="H4" i="117"/>
  <c r="L3" i="117"/>
  <c r="H3" i="117"/>
  <c r="F3" i="117"/>
  <c r="D3" i="117"/>
  <c r="L2" i="117"/>
  <c r="H2" i="117"/>
  <c r="F2" i="117"/>
  <c r="L4" i="116"/>
  <c r="H4" i="116"/>
  <c r="L3" i="116"/>
  <c r="H3" i="116"/>
  <c r="F3" i="116"/>
  <c r="D3" i="116"/>
  <c r="L2" i="116"/>
  <c r="H2" i="116"/>
  <c r="F2" i="116"/>
  <c r="L4" i="115"/>
  <c r="N2" i="115" s="1"/>
  <c r="H4" i="115"/>
  <c r="L3" i="115"/>
  <c r="H3" i="115"/>
  <c r="F3" i="115"/>
  <c r="D3" i="115"/>
  <c r="L2" i="115"/>
  <c r="H2" i="115"/>
  <c r="F2" i="115"/>
  <c r="L4" i="114"/>
  <c r="H4" i="114"/>
  <c r="L3" i="114"/>
  <c r="H3" i="114"/>
  <c r="F3" i="114"/>
  <c r="D3" i="114"/>
  <c r="L2" i="114"/>
  <c r="H2" i="114"/>
  <c r="F2" i="114"/>
  <c r="L4" i="113"/>
  <c r="N2" i="113" s="1"/>
  <c r="H4" i="113"/>
  <c r="L3" i="113"/>
  <c r="H3" i="113"/>
  <c r="F3" i="113"/>
  <c r="D3" i="113"/>
  <c r="L2" i="113"/>
  <c r="H2" i="113"/>
  <c r="F2" i="113"/>
  <c r="L4" i="112"/>
  <c r="H4" i="112"/>
  <c r="L3" i="112"/>
  <c r="H3" i="112"/>
  <c r="F3" i="112"/>
  <c r="D3" i="112"/>
  <c r="L2" i="112"/>
  <c r="H2" i="112"/>
  <c r="F2" i="112"/>
  <c r="L4" i="111"/>
  <c r="N2" i="111" s="1"/>
  <c r="H4" i="111"/>
  <c r="L3" i="111"/>
  <c r="H3" i="111"/>
  <c r="F3" i="111"/>
  <c r="D3" i="111"/>
  <c r="L2" i="111"/>
  <c r="H2" i="111"/>
  <c r="F2" i="111"/>
  <c r="L4" i="110"/>
  <c r="H4" i="110"/>
  <c r="L3" i="110"/>
  <c r="H3" i="110"/>
  <c r="F3" i="110"/>
  <c r="D3" i="110"/>
  <c r="L2" i="110"/>
  <c r="H2" i="110"/>
  <c r="F2" i="110"/>
  <c r="L4" i="109"/>
  <c r="N2" i="109" s="1"/>
  <c r="H4" i="109"/>
  <c r="L3" i="109"/>
  <c r="H3" i="109"/>
  <c r="F3" i="109"/>
  <c r="D3" i="109"/>
  <c r="L2" i="109"/>
  <c r="H2" i="109"/>
  <c r="F2" i="109"/>
  <c r="L4" i="108"/>
  <c r="H4" i="108"/>
  <c r="L3" i="108"/>
  <c r="H3" i="108"/>
  <c r="F3" i="108"/>
  <c r="D3" i="108"/>
  <c r="L2" i="108"/>
  <c r="H2" i="108"/>
  <c r="F2" i="108"/>
  <c r="L4" i="107"/>
  <c r="N2" i="107" s="1"/>
  <c r="H4" i="107"/>
  <c r="L3" i="107"/>
  <c r="H3" i="107"/>
  <c r="F3" i="107"/>
  <c r="D3" i="107"/>
  <c r="L2" i="107"/>
  <c r="H2" i="107"/>
  <c r="F2" i="107"/>
  <c r="L4" i="106"/>
  <c r="H4" i="106"/>
  <c r="L3" i="106"/>
  <c r="H3" i="106"/>
  <c r="F3" i="106"/>
  <c r="D3" i="106"/>
  <c r="L2" i="106"/>
  <c r="H2" i="106"/>
  <c r="F2" i="106"/>
  <c r="L4" i="105"/>
  <c r="N2" i="105" s="1"/>
  <c r="H4" i="105"/>
  <c r="L3" i="105"/>
  <c r="H3" i="105"/>
  <c r="F3" i="105"/>
  <c r="D3" i="105"/>
  <c r="L2" i="105"/>
  <c r="H2" i="105"/>
  <c r="F2" i="105"/>
  <c r="L4" i="104"/>
  <c r="H4" i="104"/>
  <c r="L3" i="104"/>
  <c r="H3" i="104"/>
  <c r="F3" i="104"/>
  <c r="D3" i="104"/>
  <c r="L2" i="104"/>
  <c r="H2" i="104"/>
  <c r="F2" i="104"/>
  <c r="L4" i="103"/>
  <c r="N2" i="103" s="1"/>
  <c r="H4" i="103"/>
  <c r="L3" i="103"/>
  <c r="H3" i="103"/>
  <c r="F3" i="103"/>
  <c r="D3" i="103"/>
  <c r="L2" i="103"/>
  <c r="H2" i="103"/>
  <c r="F2" i="103"/>
  <c r="L4" i="102"/>
  <c r="H4" i="102"/>
  <c r="L3" i="102"/>
  <c r="H3" i="102"/>
  <c r="F3" i="102"/>
  <c r="D3" i="102"/>
  <c r="L2" i="102"/>
  <c r="H2" i="102"/>
  <c r="F2" i="102"/>
  <c r="L4" i="101"/>
  <c r="N2" i="101" s="1"/>
  <c r="H4" i="101"/>
  <c r="L3" i="101"/>
  <c r="H3" i="101"/>
  <c r="F3" i="101"/>
  <c r="D3" i="101"/>
  <c r="L2" i="101"/>
  <c r="H2" i="101"/>
  <c r="F2" i="101"/>
  <c r="L4" i="100"/>
  <c r="H4" i="100"/>
  <c r="L3" i="100"/>
  <c r="H3" i="100"/>
  <c r="F3" i="100"/>
  <c r="D3" i="100"/>
  <c r="L2" i="100"/>
  <c r="H2" i="100"/>
  <c r="F2" i="100"/>
  <c r="L4" i="99"/>
  <c r="N2" i="99" s="1"/>
  <c r="H4" i="99"/>
  <c r="L3" i="99"/>
  <c r="H3" i="99"/>
  <c r="F3" i="99"/>
  <c r="D3" i="99"/>
  <c r="L2" i="99"/>
  <c r="H2" i="99"/>
  <c r="F2" i="99"/>
  <c r="L4" i="98"/>
  <c r="H4" i="98"/>
  <c r="L3" i="98"/>
  <c r="H3" i="98"/>
  <c r="F3" i="98"/>
  <c r="D3" i="98"/>
  <c r="L2" i="98"/>
  <c r="H2" i="98"/>
  <c r="F2" i="98"/>
  <c r="L4" i="97"/>
  <c r="N2" i="97" s="1"/>
  <c r="H4" i="97"/>
  <c r="L3" i="97"/>
  <c r="H3" i="97"/>
  <c r="F3" i="97"/>
  <c r="D3" i="97"/>
  <c r="L2" i="97"/>
  <c r="H2" i="97"/>
  <c r="F2" i="97"/>
</calcChain>
</file>

<file path=xl/sharedStrings.xml><?xml version="1.0" encoding="utf-8"?>
<sst xmlns="http://schemas.openxmlformats.org/spreadsheetml/2006/main" count="6803" uniqueCount="636">
  <si>
    <t>*</t>
  </si>
  <si>
    <t>詳細 :</t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</si>
  <si>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</si>
  <si>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</si>
  <si>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</si>
  <si>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</si>
  <si>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</si>
  <si>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</si>
  <si>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</si>
  <si>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</si>
  <si>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</si>
  <si>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</si>
  <si>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</si>
  <si>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#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</si>
  <si>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</si>
  <si>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</si>
  <si>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</si>
  <si>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</si>
  <si>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</si>
  <si>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</si>
  <si>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U</t>
    <phoneticPr fontId="1"/>
  </si>
  <si>
    <t>Pj.ID :</t>
    <phoneticPr fontId="1"/>
  </si>
  <si>
    <t>SuperClassPj.ID :</t>
    <phoneticPr fontId="1"/>
  </si>
  <si>
    <t>MA</t>
    <phoneticPr fontId="1"/>
  </si>
  <si>
    <t>memo1</t>
  </si>
  <si>
    <t>#MA.MST_MEMO1</t>
  </si>
  <si>
    <t>memo3</t>
  </si>
  <si>
    <t>#MA.MST_MEMO3</t>
  </si>
  <si>
    <t>memo2</t>
  </si>
  <si>
    <t>#MA.MST_MEMO2</t>
  </si>
  <si>
    <t>#MA.FLG</t>
  </si>
  <si>
    <t>登録</t>
    <rPh sb="0" eb="2">
      <t>トウロク</t>
    </rPh>
    <phoneticPr fontId="1"/>
  </si>
  <si>
    <t>L</t>
  </si>
  <si>
    <t>o</t>
  </si>
  <si>
    <t>TargetName</t>
  </si>
  <si>
    <t>del_flg</t>
  </si>
  <si>
    <t>upd_cntr</t>
  </si>
  <si>
    <t>#MA.UPD_CNT</t>
  </si>
  <si>
    <t>#MA.LCL_CD</t>
  </si>
  <si>
    <t>lcl_cd</t>
  </si>
  <si>
    <t>MABCL_MultiReg</t>
    <phoneticPr fontId="1"/>
  </si>
  <si>
    <t>マルチマスタ登録</t>
    <phoneticPr fontId="1"/>
  </si>
  <si>
    <t>#MA.INT</t>
  </si>
  <si>
    <t>E</t>
    <phoneticPr fontId="1"/>
  </si>
  <si>
    <t>wg_cd</t>
  </si>
  <si>
    <t>wg_nm</t>
  </si>
  <si>
    <t>sls_flg</t>
  </si>
  <si>
    <t>purc_flg</t>
  </si>
  <si>
    <t>ar_flg</t>
  </si>
  <si>
    <t>ap_flg</t>
  </si>
  <si>
    <t>sd_flg</t>
  </si>
  <si>
    <t>oper_cd</t>
  </si>
  <si>
    <t>oper_nm</t>
  </si>
  <si>
    <t>oper_alc_grp</t>
  </si>
  <si>
    <t>wk_cost_cd</t>
  </si>
  <si>
    <t>wk_cost_nm</t>
  </si>
  <si>
    <t>rnd_typ</t>
  </si>
  <si>
    <t>wk_rsn_cd</t>
  </si>
  <si>
    <t>wk_rsn_nm</t>
  </si>
  <si>
    <t>sls_upri_grp_cd</t>
  </si>
  <si>
    <t>sls_upri_grp_nm</t>
  </si>
  <si>
    <t>sls_upri_rank_cd</t>
  </si>
  <si>
    <t>sls_upri_rank_nm</t>
  </si>
  <si>
    <t>setoff_grp_cd</t>
  </si>
  <si>
    <t>setoff_grp_nm</t>
  </si>
  <si>
    <t>ship_valid_grp_cd</t>
  </si>
  <si>
    <t>ship_valid_grp_nm</t>
  </si>
  <si>
    <t>itm_ship_grp_cd</t>
  </si>
  <si>
    <t>itm_ship_grp_nm</t>
  </si>
  <si>
    <t>trnspt_cd</t>
  </si>
  <si>
    <t>trnspt_nm</t>
  </si>
  <si>
    <t>#MA.DEC_PLACE</t>
  </si>
  <si>
    <t>#MA.WG_CD</t>
  </si>
  <si>
    <t>#MA.WG_NM</t>
  </si>
  <si>
    <t>#MA.OPER_CD</t>
  </si>
  <si>
    <t>#MA.OPER_NM</t>
  </si>
  <si>
    <t>#MA.OPER_ALC_GRP</t>
  </si>
  <si>
    <t>#MA.WK_COST_CD</t>
  </si>
  <si>
    <t>#MA.WK_COST_NM</t>
  </si>
  <si>
    <t>#MA.RND_TYP</t>
  </si>
  <si>
    <t>#MA.WK_RSN_CD</t>
  </si>
  <si>
    <t>#MA.WK_RSN_NM</t>
  </si>
  <si>
    <t>#MA.SLS_UPRI_GRP_CD</t>
  </si>
  <si>
    <t>#MA.SLS_UPRI_GRP_NM</t>
  </si>
  <si>
    <t>#MA.SLS_UPRI_RANK_CD</t>
  </si>
  <si>
    <t>#MA.SLS_UPRI_RANK_NM</t>
  </si>
  <si>
    <t>#MA.SETOFF_GRP_CD</t>
  </si>
  <si>
    <t>#MA.SETOFF_GRP_NM</t>
  </si>
  <si>
    <t>#MA.SHIP_VALID_GRP_CD</t>
  </si>
  <si>
    <t>#MA.SHIP_VALID_GRP_NM</t>
  </si>
  <si>
    <t>#MA.ITM_SHIP_GRP_CD</t>
  </si>
  <si>
    <t>#MA.ITM_SHIP_GRP_NM</t>
  </si>
  <si>
    <t>#MA.TRNSPT_CD</t>
  </si>
  <si>
    <t>#MA.TRNSPT_NM</t>
  </si>
  <si>
    <t>ＷＧマスタ</t>
  </si>
  <si>
    <t>K</t>
  </si>
  <si>
    <t>@</t>
  </si>
  <si>
    <t>ReportID :</t>
    <phoneticPr fontId="1"/>
  </si>
  <si>
    <t>チェック</t>
  </si>
  <si>
    <t>K</t>
    <phoneticPr fontId="20"/>
  </si>
  <si>
    <t>@</t>
    <phoneticPr fontId="1"/>
  </si>
  <si>
    <t>o</t>
    <phoneticPr fontId="1"/>
  </si>
  <si>
    <t>UPDATE.updMaster</t>
    <phoneticPr fontId="1"/>
  </si>
  <si>
    <t>MAIN.chkMaster</t>
    <phoneticPr fontId="20"/>
  </si>
  <si>
    <t>TargetName</t>
    <phoneticPr fontId="1"/>
  </si>
  <si>
    <t>#</t>
    <phoneticPr fontId="1"/>
  </si>
  <si>
    <t>L</t>
    <phoneticPr fontId="1"/>
  </si>
  <si>
    <t>$share$</t>
  </si>
  <si>
    <t>#</t>
    <phoneticPr fontId="1"/>
  </si>
  <si>
    <t>U</t>
    <phoneticPr fontId="1"/>
  </si>
  <si>
    <t>K</t>
    <phoneticPr fontId="20"/>
  </si>
  <si>
    <t>REQUIRED</t>
    <phoneticPr fontId="20"/>
  </si>
  <si>
    <t>Wg_UpdChk01</t>
  </si>
  <si>
    <t>Wg_UpdChk01_Dtl</t>
  </si>
  <si>
    <t>Wg_Upd01</t>
  </si>
  <si>
    <t>Wg_Upd01_Dtl</t>
  </si>
  <si>
    <t>WgLcl_UpdChk01</t>
  </si>
  <si>
    <t>WgLcl_UpdChk01_Dtl</t>
  </si>
  <si>
    <t>WgLcl_Upd01</t>
  </si>
  <si>
    <t>WgLcl_Upd01_Dtl</t>
  </si>
  <si>
    <t>DBC.MA.MAM_WG_LCL</t>
  </si>
  <si>
    <t>Oper_UpdChk01</t>
  </si>
  <si>
    <t>Oper_UpdChk01_Dtl</t>
  </si>
  <si>
    <t>Oper_Upd01</t>
  </si>
  <si>
    <t>Oper_Upd01_Dtl</t>
  </si>
  <si>
    <t>OperLcl_UpdChk01</t>
  </si>
  <si>
    <t>OperLcl_UpdChk01_Dtl</t>
  </si>
  <si>
    <t>OperLcl_Upd01</t>
  </si>
  <si>
    <t>OperLcl_Upd01_Dtl</t>
  </si>
  <si>
    <t>DBC.MA.MAM_OPER_LCL</t>
  </si>
  <si>
    <t>WkCost_UpdChk01</t>
  </si>
  <si>
    <t>WkCost_UpdChk01_Dtl</t>
  </si>
  <si>
    <t>dec_place</t>
    <phoneticPr fontId="1"/>
  </si>
  <si>
    <t>WkCost_Upd01</t>
  </si>
  <si>
    <t>WkCost_Upd01_Dtl</t>
  </si>
  <si>
    <t>WkCostLcl_UpdChk01</t>
  </si>
  <si>
    <t>WkCostLcl_UpdChk01_Dtl</t>
  </si>
  <si>
    <t>WkCostLcl_Upd01</t>
  </si>
  <si>
    <t>WkCostLcl_Upd01_Dtl</t>
  </si>
  <si>
    <t>DBC.MA.MAM_WK_COST_LCL</t>
  </si>
  <si>
    <t>WkRsn_UpdChk01</t>
  </si>
  <si>
    <t>WkRsn_UpdChk01_Dtl</t>
  </si>
  <si>
    <t>WkRsn_Upd01</t>
  </si>
  <si>
    <t>WkRsn_Upd01_Dtl</t>
  </si>
  <si>
    <t>WkRsnLcl_UpdChk01</t>
  </si>
  <si>
    <t>WkRsnLcl_UpdChk01_Dtl</t>
  </si>
  <si>
    <t>WkRsnLcl_Upd01</t>
  </si>
  <si>
    <t>WkRsnLcl_Upd01_Dtl</t>
  </si>
  <si>
    <t>DBC.MA.MAM_WK_RSN_LCL</t>
  </si>
  <si>
    <t>SlsUpriGrp_UpdChk01</t>
  </si>
  <si>
    <t>SlsUpriGrp_UpdChk01_Dtl</t>
  </si>
  <si>
    <t>SlsUpriGrp_Upd01</t>
  </si>
  <si>
    <t>SlsUpriGrp_Upd01_Dtl</t>
  </si>
  <si>
    <t>SlsUpriGrpLcl_UpdChk01</t>
  </si>
  <si>
    <t>SlsUpriGrpLcl_UpdChk01_Dtl</t>
  </si>
  <si>
    <t>SlsUpriGrpLcl_Upd01</t>
  </si>
  <si>
    <t>SlsUpriGrpLcl_Upd01_Dtl</t>
  </si>
  <si>
    <t>DBC.MA.MAM_SLS_UPRI_GRP_LCL</t>
  </si>
  <si>
    <t>SlsUpriRank_UpdChk01</t>
  </si>
  <si>
    <t>SlsUpriRank_UpdChk01_Dtl</t>
  </si>
  <si>
    <t>SlsUpriRank_Upd01</t>
  </si>
  <si>
    <t>SlsUpriRank_Upd01_Dtl</t>
  </si>
  <si>
    <t>SlsUpriRankLcl_UpdChk01</t>
  </si>
  <si>
    <t>SlsUpriRankLcl_UpdChk01_Dtl</t>
  </si>
  <si>
    <t>SlsUpriRankLcl_Upd01</t>
  </si>
  <si>
    <t>SlsUpriRankLcl_Upd01_Dtl</t>
  </si>
  <si>
    <t>DBC.MA.MAM_SLS_UPRI_RANK_LCL</t>
  </si>
  <si>
    <t>SetoffGrp_UpdChk01</t>
  </si>
  <si>
    <t>SetoffGrp_UpdChk01_Dtl</t>
  </si>
  <si>
    <t>SetoffGrp_Upd01</t>
  </si>
  <si>
    <t>SetoffGrp_Upd01_Dtl</t>
  </si>
  <si>
    <t>SetoffGrpLcl_UpdChk01</t>
  </si>
  <si>
    <t>SetoffGrpLcl_UpdChk01_Dtl</t>
  </si>
  <si>
    <t>SetoffGrpLcl_Upd01</t>
  </si>
  <si>
    <t>SetoffGrpLcl_Upd01_Dtl</t>
  </si>
  <si>
    <t>DBC.MA.MAM_SETOFF_GRP_LCL</t>
  </si>
  <si>
    <t>ItmShipGrp_UpdChk01</t>
  </si>
  <si>
    <t>ItmShipGrp_UpdChk01_Dtl</t>
  </si>
  <si>
    <t>ItmShipGrp_Upd01</t>
  </si>
  <si>
    <t>ItmShipGrp_Upd01_Dtl</t>
  </si>
  <si>
    <t>ItmShipGrpLcl_UpdChk01</t>
  </si>
  <si>
    <t>ItmShipGrpLcl_UpdChk01_Dtl</t>
  </si>
  <si>
    <t>ItmShipGrpLcl_Upd01</t>
  </si>
  <si>
    <t>ItmShipGrpLcl_Upd01_Dtl</t>
  </si>
  <si>
    <t>DBC.MA.MAM_ITM_SHIP_GRP_LCL</t>
  </si>
  <si>
    <t>ReportID :</t>
    <phoneticPr fontId="1"/>
  </si>
  <si>
    <t>Trnspt_UpdChk01</t>
  </si>
  <si>
    <t>Trnspt_UpdChk01_Dtl</t>
  </si>
  <si>
    <t>Trnspt_Upd01</t>
  </si>
  <si>
    <t>Trnspt_Upd01_Dtl</t>
  </si>
  <si>
    <t>TrnsptLcl_UpdChk01</t>
  </si>
  <si>
    <t>TrnsptLcl_UpdChk01_Dtl</t>
  </si>
  <si>
    <t>TrnsptLcl_Upd01</t>
  </si>
  <si>
    <t>TrnsptLcl_Upd01_Dtl</t>
  </si>
  <si>
    <t>DBC.MA.MAM_TRNSPT_LCL</t>
  </si>
  <si>
    <t>EXISTS.chk01</t>
  </si>
  <si>
    <t>wk_cost_unit_nm</t>
    <phoneticPr fontId="20"/>
  </si>
  <si>
    <t>#MA.WK_COST_UNIT_NM</t>
    <phoneticPr fontId="20"/>
  </si>
  <si>
    <t>K</t>
    <phoneticPr fontId="20"/>
  </si>
  <si>
    <t>CONST</t>
    <phoneticPr fontId="20"/>
  </si>
  <si>
    <t>DBC.MA.MAM_SHIP_VALID_LCL</t>
    <phoneticPr fontId="20"/>
  </si>
  <si>
    <t>lg_flg</t>
  </si>
  <si>
    <t>mfg_flg</t>
  </si>
  <si>
    <t>wk_cost_unit_nm</t>
    <phoneticPr fontId="20"/>
  </si>
  <si>
    <t>#MA.WK_COST_UNIT_NM</t>
    <phoneticPr fontId="20"/>
  </si>
  <si>
    <t>#MA.WK_COST_UNIT_NM</t>
    <phoneticPr fontId="20"/>
  </si>
  <si>
    <t>ShipValid_UpdChk01</t>
    <phoneticPr fontId="20"/>
  </si>
  <si>
    <t>ShipValid_UpdChk01_Dtl</t>
    <phoneticPr fontId="20"/>
  </si>
  <si>
    <t>ShipValid_Upd01</t>
    <phoneticPr fontId="20"/>
  </si>
  <si>
    <t>ShipValid_Upd01_Dtl</t>
    <phoneticPr fontId="20"/>
  </si>
  <si>
    <t>ShipValidLcl_UpdChk01</t>
    <phoneticPr fontId="20"/>
  </si>
  <si>
    <t>ShipValidLcl_UpdChk01_Dtl</t>
    <phoneticPr fontId="20"/>
  </si>
  <si>
    <t>ShipValidLcl_Upd01</t>
    <phoneticPr fontId="20"/>
  </si>
  <si>
    <t>ShipValidLcl_Upd01_Dtl</t>
    <phoneticPr fontId="20"/>
  </si>
  <si>
    <t>$super$</t>
  </si>
  <si>
    <t>K</t>
    <phoneticPr fontId="20"/>
  </si>
  <si>
    <t>AT_LEAST_ONE</t>
  </si>
  <si>
    <t>sort_seq</t>
    <phoneticPr fontId="20"/>
  </si>
  <si>
    <t>sort_seq</t>
    <phoneticPr fontId="20"/>
  </si>
  <si>
    <t>SMALL_LARGE</t>
    <phoneticPr fontId="20"/>
  </si>
  <si>
    <t>K</t>
    <phoneticPr fontId="20"/>
  </si>
  <si>
    <t>plm_flg</t>
    <phoneticPr fontId="20"/>
  </si>
  <si>
    <t>mrp_prefix</t>
    <phoneticPr fontId="20"/>
  </si>
  <si>
    <t>#MA.MRP_PREFIX</t>
    <phoneticPr fontId="20"/>
  </si>
  <si>
    <t>rqmt_typ</t>
    <phoneticPr fontId="20"/>
  </si>
  <si>
    <t>#MA.RQMT_TYP</t>
    <phoneticPr fontId="20"/>
  </si>
  <si>
    <t>prod_pln_typ</t>
    <phoneticPr fontId="20"/>
  </si>
  <si>
    <t>#MA.PROD_PLN_TYP</t>
    <phoneticPr fontId="20"/>
  </si>
  <si>
    <t>#MA.RQMT_TYP</t>
    <phoneticPr fontId="20"/>
  </si>
  <si>
    <t>dmnd_date_div_mons</t>
    <phoneticPr fontId="20"/>
  </si>
  <si>
    <t>#MA.MONS</t>
    <phoneticPr fontId="20"/>
  </si>
  <si>
    <t>SMALL_LARGE</t>
  </si>
  <si>
    <t>#MA.MONS</t>
    <phoneticPr fontId="20"/>
  </si>
  <si>
    <t>mfg_inst_unit_typ</t>
  </si>
  <si>
    <t>mrp_proc_typ</t>
  </si>
  <si>
    <t>alloc_margin_days</t>
  </si>
  <si>
    <t>mrp_alloc_margin_days</t>
  </si>
  <si>
    <t>#MA.DAYS</t>
  </si>
  <si>
    <t>#MA.MFG_INST_UNIT_TYP</t>
    <phoneticPr fontId="20"/>
  </si>
  <si>
    <t>#MA.MRP_PROC_TYP</t>
    <phoneticPr fontId="20"/>
  </si>
  <si>
    <t>MABCL0033</t>
    <phoneticPr fontId="1"/>
  </si>
  <si>
    <t>工程マスタ</t>
  </si>
  <si>
    <t>工数管理マスタ</t>
  </si>
  <si>
    <t>工数理由マスタ</t>
  </si>
  <si>
    <t>販売単価分類マスタ</t>
  </si>
  <si>
    <t>販売単価ランクマスタ</t>
  </si>
  <si>
    <t>相殺グループマスタ</t>
  </si>
  <si>
    <t>出荷有効期限グループマスタ</t>
  </si>
  <si>
    <t>品目出荷グループマスタ</t>
  </si>
  <si>
    <t>輸送方法マスタ</t>
  </si>
  <si>
    <t>対象マスタ</t>
  </si>
  <si>
    <t>Wg_DelChk01_Dtl</t>
  </si>
  <si>
    <t>#</t>
    <phoneticPr fontId="1"/>
  </si>
  <si>
    <t>#</t>
    <phoneticPr fontId="1"/>
  </si>
  <si>
    <t>REQUIRED</t>
    <phoneticPr fontId="20"/>
  </si>
  <si>
    <t>#</t>
    <phoneticPr fontId="1"/>
  </si>
  <si>
    <t>ReportID :</t>
    <phoneticPr fontId="1"/>
  </si>
  <si>
    <t>ReportID :</t>
    <phoneticPr fontId="1"/>
  </si>
  <si>
    <t>Wg_DelChk01</t>
  </si>
  <si>
    <t>L</t>
    <phoneticPr fontId="1"/>
  </si>
  <si>
    <t>Wg_Del01_Dtl</t>
  </si>
  <si>
    <t>#</t>
    <phoneticPr fontId="1"/>
  </si>
  <si>
    <t>TargetName</t>
    <phoneticPr fontId="1"/>
  </si>
  <si>
    <t>UPDATE.updMaster2</t>
  </si>
  <si>
    <t>UPDATE.updMaster1</t>
  </si>
  <si>
    <t>o</t>
    <phoneticPr fontId="1"/>
  </si>
  <si>
    <t>o</t>
    <phoneticPr fontId="1"/>
  </si>
  <si>
    <t>U</t>
    <phoneticPr fontId="1"/>
  </si>
  <si>
    <t>削除</t>
    <rPh sb="0" eb="2">
      <t>サクジョ</t>
    </rPh>
    <phoneticPr fontId="1"/>
  </si>
  <si>
    <t>@</t>
    <phoneticPr fontId="1"/>
  </si>
  <si>
    <t>Wg_Del01</t>
  </si>
  <si>
    <t>Oper_DelChk01_Dtl</t>
  </si>
  <si>
    <t>Oper_DelChk01</t>
  </si>
  <si>
    <t>Oper_Del01_Dtl</t>
  </si>
  <si>
    <t>o</t>
    <phoneticPr fontId="1"/>
  </si>
  <si>
    <t>U</t>
    <phoneticPr fontId="1"/>
  </si>
  <si>
    <t>@</t>
    <phoneticPr fontId="1"/>
  </si>
  <si>
    <t>Oper_Del01</t>
  </si>
  <si>
    <t>WkCost_DelChk01_Dtl</t>
  </si>
  <si>
    <t>K</t>
    <phoneticPr fontId="20"/>
  </si>
  <si>
    <t>WkCost_DelChk01</t>
  </si>
  <si>
    <t>L</t>
    <phoneticPr fontId="1"/>
  </si>
  <si>
    <t>WkCost_Del01_Dtl</t>
  </si>
  <si>
    <t>TargetName</t>
    <phoneticPr fontId="1"/>
  </si>
  <si>
    <t>o</t>
    <phoneticPr fontId="1"/>
  </si>
  <si>
    <t>WkCost_Del01</t>
  </si>
  <si>
    <t>WkRsn_DelChk01_Dtl</t>
  </si>
  <si>
    <t>K</t>
    <phoneticPr fontId="20"/>
  </si>
  <si>
    <t>WkRsn_DelChk01</t>
  </si>
  <si>
    <t>WkRsn_Del01_Dtl</t>
  </si>
  <si>
    <t>@</t>
    <phoneticPr fontId="1"/>
  </si>
  <si>
    <t>WkRsn_Del01</t>
  </si>
  <si>
    <t>SlsUpriGrp_DelChk01_Dtl</t>
  </si>
  <si>
    <t>SlsUpriGrp_DelChk01</t>
  </si>
  <si>
    <t>SlsUpriGrp_Del01_Dtl</t>
  </si>
  <si>
    <t>SlsUpriGrp_Del01</t>
  </si>
  <si>
    <t>SlsUpriRank_DelChk01_Dtl</t>
  </si>
  <si>
    <t>SlsUpriRank_DelChk01</t>
  </si>
  <si>
    <t>SlsUpriRank_Del01_Dtl</t>
  </si>
  <si>
    <t>ReportID :</t>
    <phoneticPr fontId="1"/>
  </si>
  <si>
    <t>SlsUpriRank_Del01</t>
  </si>
  <si>
    <t>SetoffGrp_DelChk01_Dtl</t>
  </si>
  <si>
    <t>REQUIRED</t>
    <phoneticPr fontId="20"/>
  </si>
  <si>
    <t>SetoffGrp_DelChk01</t>
  </si>
  <si>
    <t>SetoffGrp_Del01_Dtl</t>
  </si>
  <si>
    <t>SetoffGrp_Del01</t>
  </si>
  <si>
    <t>ShipValid_DelChk01_Dtl</t>
    <phoneticPr fontId="20"/>
  </si>
  <si>
    <t>ShipValid_DelChk01</t>
    <phoneticPr fontId="20"/>
  </si>
  <si>
    <t>ShipValid_Del01_Dtl</t>
    <phoneticPr fontId="20"/>
  </si>
  <si>
    <t>DBC.MA.MAM_SHIP_VALID_LCL</t>
    <phoneticPr fontId="20"/>
  </si>
  <si>
    <t>ShipValid_Del01</t>
    <phoneticPr fontId="20"/>
  </si>
  <si>
    <t>ItmShipGrp_DelChk01_Dtl</t>
  </si>
  <si>
    <t>K</t>
    <phoneticPr fontId="20"/>
  </si>
  <si>
    <t>ItmShipGrp_DelChk01</t>
  </si>
  <si>
    <t>E</t>
    <phoneticPr fontId="20"/>
  </si>
  <si>
    <t>ItmShipGrp_Del01_Dtl</t>
  </si>
  <si>
    <t>TargetName</t>
    <phoneticPr fontId="1"/>
  </si>
  <si>
    <t>ItmShipGrp_Del01</t>
  </si>
  <si>
    <t>Trnspt_DelChk01_Dtl</t>
  </si>
  <si>
    <t>Trnspt_DelChk01</t>
  </si>
  <si>
    <t>Trnspt_Del01_Dtl</t>
  </si>
  <si>
    <t>Trnspt_Del01</t>
  </si>
  <si>
    <t>ＷＧマスタの登録前のチェックを行います。</t>
    <phoneticPr fontId="20"/>
  </si>
  <si>
    <t>ＷＧマスタの登録を行います。</t>
    <phoneticPr fontId="20"/>
  </si>
  <si>
    <t>ＷＧマスタの登録前のチェックを行います。（ロケール用）</t>
    <phoneticPr fontId="20"/>
  </si>
  <si>
    <t>ＷＧマスタの登録を行います。（ロケール用）</t>
    <phoneticPr fontId="20"/>
  </si>
  <si>
    <t>ＷＧマスタの削除前のチェックを行います。</t>
    <phoneticPr fontId="20"/>
  </si>
  <si>
    <t>ＷＧマスタの削除を行います。</t>
    <phoneticPr fontId="20"/>
  </si>
  <si>
    <t>工程マスタの登録前のチェックを行います。</t>
    <phoneticPr fontId="20"/>
  </si>
  <si>
    <t>工程マスタの登録を行います。</t>
    <phoneticPr fontId="20"/>
  </si>
  <si>
    <t>工程マスタの登録前のチェックを行います。（ロケール用）</t>
    <phoneticPr fontId="20"/>
  </si>
  <si>
    <t>工程マスタの登録を行います。（ロケール用）</t>
    <phoneticPr fontId="20"/>
  </si>
  <si>
    <t>工程マスタの削除前のチェックを行います。</t>
    <phoneticPr fontId="20"/>
  </si>
  <si>
    <t>工程マスタの削除を行います。</t>
    <phoneticPr fontId="20"/>
  </si>
  <si>
    <t>工数管理マスタの登録前のチェックを行います。</t>
    <phoneticPr fontId="20"/>
  </si>
  <si>
    <t>工数管理マスタの登録を行います。</t>
    <phoneticPr fontId="20"/>
  </si>
  <si>
    <t>工数管理マスタの登録前のチェックを行います。（ロケール用）</t>
    <phoneticPr fontId="20"/>
  </si>
  <si>
    <t>工数管理マスタの登録を行います。（ロケール用）</t>
    <phoneticPr fontId="20"/>
  </si>
  <si>
    <t>工数管理マスタの削除前のチェックを行います。</t>
    <phoneticPr fontId="20"/>
  </si>
  <si>
    <t>工数管理マスタの削除を行います。</t>
    <phoneticPr fontId="20"/>
  </si>
  <si>
    <t>工数理由マスタの登録前のチェックを行います。</t>
    <phoneticPr fontId="20"/>
  </si>
  <si>
    <t>工数理由マスタの登録を行います。</t>
    <phoneticPr fontId="20"/>
  </si>
  <si>
    <t>工数理由マスタの登録前のチェックを行います。（ロケール用）</t>
    <phoneticPr fontId="20"/>
  </si>
  <si>
    <t>工数理由マスタの登録を行います。（ロケール用）</t>
    <phoneticPr fontId="20"/>
  </si>
  <si>
    <t>工数理由マスタの削除前のチェックを行います。</t>
    <phoneticPr fontId="20"/>
  </si>
  <si>
    <t>工数理由マスタの削除を行います。</t>
    <phoneticPr fontId="20"/>
  </si>
  <si>
    <t>販売単価分類マスタの登録前のチェックを行います。</t>
    <phoneticPr fontId="20"/>
  </si>
  <si>
    <t>販売単価分類マスタの登録を行います。</t>
    <phoneticPr fontId="20"/>
  </si>
  <si>
    <t>販売単価分類マスタの登録前のチェックを行います。（ロケール用）</t>
    <phoneticPr fontId="20"/>
  </si>
  <si>
    <t>販売単価分類マスタの登録を行います。（ロケール用）</t>
    <phoneticPr fontId="20"/>
  </si>
  <si>
    <t>販売単価分類マスタの削除前のチェックを行います。</t>
    <phoneticPr fontId="20"/>
  </si>
  <si>
    <t>販売単価分類マスタの削除を行います。</t>
    <phoneticPr fontId="20"/>
  </si>
  <si>
    <t>販売単価ランクマスタの登録前のチェックを行います。</t>
    <phoneticPr fontId="20"/>
  </si>
  <si>
    <t>販売単価ランクマスタの登録を行います。</t>
    <phoneticPr fontId="20"/>
  </si>
  <si>
    <t>販売単価ランクマスタの登録前のチェックを行います。（ロケール用）</t>
    <phoneticPr fontId="20"/>
  </si>
  <si>
    <t>販売単価ランクマスタの登録を行います。（ロケール用）</t>
    <phoneticPr fontId="20"/>
  </si>
  <si>
    <t>販売単価ランクマスタの削除前のチェックを行います。</t>
    <phoneticPr fontId="20"/>
  </si>
  <si>
    <t>販売単価ランクマスタの削除を行います。</t>
    <phoneticPr fontId="20"/>
  </si>
  <si>
    <t>相殺グループマスタの登録前のチェックを行います。</t>
    <phoneticPr fontId="20"/>
  </si>
  <si>
    <t>相殺グループマスタの登録を行います。</t>
    <phoneticPr fontId="20"/>
  </si>
  <si>
    <t>相殺グループマスタの登録前のチェックを行います。（ロケール用）</t>
    <phoneticPr fontId="20"/>
  </si>
  <si>
    <t>相殺グループマスタの登録を行います。（ロケール用）</t>
    <phoneticPr fontId="20"/>
  </si>
  <si>
    <t>相殺グループマスタの削除前のチェックを行います。</t>
    <phoneticPr fontId="20"/>
  </si>
  <si>
    <t>相殺グループマスタの削除を行います。</t>
    <phoneticPr fontId="20"/>
  </si>
  <si>
    <t>出荷有効期限グループマスタの登録前のチェックを行います。</t>
    <phoneticPr fontId="20"/>
  </si>
  <si>
    <t>出荷有効期限グループマスタの登録を行います。</t>
    <phoneticPr fontId="20"/>
  </si>
  <si>
    <t>出荷有効期限グループマスタの登録前のチェックを行います。（ロケール用）</t>
    <phoneticPr fontId="20"/>
  </si>
  <si>
    <t>出荷有効期限グループマスタの登録を行います。（ロケール用）</t>
    <phoneticPr fontId="20"/>
  </si>
  <si>
    <t>出荷有効期限グループマスタの削除前のチェックを行います。</t>
    <phoneticPr fontId="20"/>
  </si>
  <si>
    <t>出荷有効期限グループマスタの削除を行います。</t>
    <phoneticPr fontId="20"/>
  </si>
  <si>
    <t>品目出荷グループマスタの登録前のチェックを行います。</t>
    <phoneticPr fontId="20"/>
  </si>
  <si>
    <t>品目出荷グループマスタの登録を行います。</t>
    <phoneticPr fontId="20"/>
  </si>
  <si>
    <t>品目出荷グループマスタの登録前のチェックを行います。（ロケール用）</t>
    <phoneticPr fontId="20"/>
  </si>
  <si>
    <t>品目出荷グループマスタの登録を行います。（ロケール用）</t>
    <phoneticPr fontId="20"/>
  </si>
  <si>
    <t>品目出荷グループマスタの削除前のチェックを行います。</t>
    <phoneticPr fontId="20"/>
  </si>
  <si>
    <t>品目出荷グループマスタの削除を行います。</t>
    <phoneticPr fontId="20"/>
  </si>
  <si>
    <t>輸送方法マスタの登録前のチェックを行います。</t>
    <phoneticPr fontId="20"/>
  </si>
  <si>
    <t>輸送方法マスタの登録を行います。</t>
    <phoneticPr fontId="20"/>
  </si>
  <si>
    <t>輸送方法マスタの登録前のチェックを行います。（ロケール用）</t>
    <phoneticPr fontId="20"/>
  </si>
  <si>
    <t>輸送方法マスタの登録を行います。（ロケール用）</t>
    <phoneticPr fontId="20"/>
  </si>
  <si>
    <t>輸送方法マスタの削除前のチェックを行います。</t>
    <phoneticPr fontId="20"/>
  </si>
  <si>
    <t>輸送方法マスタの削除を行います。</t>
    <phoneticPr fontId="20"/>
  </si>
  <si>
    <t>mrp_opn_xfr_days</t>
    <phoneticPr fontId="20"/>
  </si>
  <si>
    <t>calc_seq</t>
    <phoneticPr fontId="1"/>
  </si>
  <si>
    <t>#MA.INT3</t>
  </si>
  <si>
    <t>cmn_upri_flg</t>
  </si>
  <si>
    <t>#MA.FLG</t>
    <phoneticPr fontId="1"/>
  </si>
  <si>
    <t>not_xfr_flg</t>
    <phoneticPr fontId="20"/>
  </si>
  <si>
    <t>MABC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</si>
  <si>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</si>
  <si>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</si>
  <si>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</si>
  <si>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</si>
  <si>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</si>
  <si>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</si>
  <si>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</si>
  <si>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</si>
  <si>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ワーキンググループＣＤ</t>
    <phoneticPr fontId="20"/>
  </si>
  <si>
    <t>標準ワーキンググループ名</t>
    <phoneticPr fontId="20"/>
  </si>
  <si>
    <t>販売</t>
    <phoneticPr fontId="20"/>
  </si>
  <si>
    <t>物流</t>
    <phoneticPr fontId="20"/>
  </si>
  <si>
    <t>製造</t>
    <phoneticPr fontId="20"/>
  </si>
  <si>
    <t>購買</t>
    <phoneticPr fontId="20"/>
  </si>
  <si>
    <t>債権</t>
    <phoneticPr fontId="20"/>
  </si>
  <si>
    <t>債務</t>
    <phoneticPr fontId="20"/>
  </si>
  <si>
    <t>需給</t>
    <phoneticPr fontId="20"/>
  </si>
  <si>
    <t>ＭＲＰ発番用接頭語</t>
    <phoneticPr fontId="20"/>
  </si>
  <si>
    <t>製造指図単位区分</t>
    <phoneticPr fontId="1"/>
  </si>
  <si>
    <t>MAC_MFG_INST_UNIT_TYP</t>
    <phoneticPr fontId="20"/>
  </si>
  <si>
    <t>ＭＲＰ処理区分</t>
    <phoneticPr fontId="1"/>
  </si>
  <si>
    <t>MAC_MRP_PROC_TYP</t>
    <phoneticPr fontId="20"/>
  </si>
  <si>
    <t>引当余裕日数</t>
    <phoneticPr fontId="1"/>
  </si>
  <si>
    <t>移動・移送引当対象外</t>
    <phoneticPr fontId="20"/>
  </si>
  <si>
    <t>ＭＲＰ引当余裕日数</t>
    <phoneticPr fontId="1"/>
  </si>
  <si>
    <t>1:</t>
    <phoneticPr fontId="20"/>
  </si>
  <si>
    <t>ＭＲＰ未確定移送依頼考慮日数</t>
    <phoneticPr fontId="20"/>
  </si>
  <si>
    <t>0:</t>
    <phoneticPr fontId="20"/>
  </si>
  <si>
    <t>所要区分</t>
    <phoneticPr fontId="20"/>
  </si>
  <si>
    <t>MAC_RQMT_TYP</t>
    <phoneticPr fontId="20"/>
  </si>
  <si>
    <t>生産計画立案区分</t>
    <phoneticPr fontId="20"/>
  </si>
  <si>
    <t>MAC_PROD_PLN_TYP</t>
    <phoneticPr fontId="20"/>
  </si>
  <si>
    <t>需要日ばらし月数</t>
    <phoneticPr fontId="20"/>
  </si>
  <si>
    <t>0:</t>
    <phoneticPr fontId="1"/>
  </si>
  <si>
    <t>ＰＬＭ</t>
    <phoneticPr fontId="20"/>
  </si>
  <si>
    <t>計算順序</t>
    <phoneticPr fontId="1"/>
  </si>
  <si>
    <t>0:999</t>
    <phoneticPr fontId="20"/>
  </si>
  <si>
    <t>共通単価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</si>
  <si>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</si>
  <si>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</si>
  <si>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</si>
  <si>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</si>
  <si>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</si>
  <si>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super/share</t>
    <phoneticPr fontId="1"/>
  </si>
  <si>
    <t>ID</t>
    <phoneticPr fontId="1"/>
  </si>
  <si>
    <t>MA.MABCL0033.Wg_UpdChk01.Wg_UpdChk01_Dtl</t>
    <phoneticPr fontId="1"/>
  </si>
  <si>
    <t>L</t>
    <phoneticPr fontId="20"/>
  </si>
  <si>
    <t>DBC:MA.MAM_WG_LCL</t>
    <phoneticPr fontId="20"/>
  </si>
  <si>
    <t>ワーキンググループＣＤ</t>
    <phoneticPr fontId="1"/>
  </si>
  <si>
    <t>ロケールＣＤ</t>
    <phoneticPr fontId="1"/>
  </si>
  <si>
    <t>ワーキンググループ名</t>
    <phoneticPr fontId="1"/>
  </si>
  <si>
    <t>MA.MABCL0033.WgLcl_UpdChk01.WgLcl_UpdChk01_Dtl</t>
    <phoneticPr fontId="1"/>
  </si>
  <si>
    <t>MA.MABCL0033.Wg_DelChk01.Wg_DelChk01_Dtl</t>
    <phoneticPr fontId="1"/>
  </si>
  <si>
    <t>工程ＣＤ</t>
    <phoneticPr fontId="1"/>
  </si>
  <si>
    <t>標準工程名</t>
    <phoneticPr fontId="1"/>
  </si>
  <si>
    <t>工程配賦グループ</t>
    <phoneticPr fontId="1"/>
  </si>
  <si>
    <t>MA.MABCL0033.Oper_UpdChk01.Oper_UpdChk01_Dtl</t>
    <phoneticPr fontId="1"/>
  </si>
  <si>
    <t>DBC:MA.MAM_OPER_LCL</t>
    <phoneticPr fontId="20"/>
  </si>
  <si>
    <t>工程名</t>
    <phoneticPr fontId="1"/>
  </si>
  <si>
    <t>MA.MABCL0033.OperLcl_UpdChk01.OperLcl_UpdChk01_Dtl</t>
    <phoneticPr fontId="1"/>
  </si>
  <si>
    <t>工程ＣＤ</t>
    <phoneticPr fontId="20"/>
  </si>
  <si>
    <t>MA.MABCL0033.Oper_DelChk01.Oper_DelChk01_Dtl</t>
    <phoneticPr fontId="1"/>
  </si>
  <si>
    <t>工数管理ＣＤ</t>
    <phoneticPr fontId="1"/>
  </si>
  <si>
    <t>標準工数管理名</t>
    <phoneticPr fontId="1"/>
  </si>
  <si>
    <t>工数管理単位名</t>
    <phoneticPr fontId="20"/>
  </si>
  <si>
    <t>小数部有効桁数</t>
    <phoneticPr fontId="1"/>
  </si>
  <si>
    <t>端数処理区分</t>
    <phoneticPr fontId="1"/>
  </si>
  <si>
    <t>MA.MABCL0033.WkCost_UpdChk01.WkCost_UpdChk01_Dtl</t>
    <phoneticPr fontId="1"/>
  </si>
  <si>
    <t>DBC:MA.MAM_WK_COST_LCL</t>
    <phoneticPr fontId="20"/>
  </si>
  <si>
    <t>工数管理名</t>
    <phoneticPr fontId="1"/>
  </si>
  <si>
    <t>工数管理単位名</t>
    <phoneticPr fontId="1"/>
  </si>
  <si>
    <t>MA.MABCL0033.WkCostLcl_UpdChk01.WkCostLcl_UpdChk01_Dtl</t>
    <phoneticPr fontId="1"/>
  </si>
  <si>
    <t>工数管理ＣＤ</t>
    <phoneticPr fontId="20"/>
  </si>
  <si>
    <t>MA.MABCL0033.WkCost_DelChk01.WkCost_DelChk01_Dtl</t>
    <phoneticPr fontId="1"/>
  </si>
  <si>
    <t>工数理由ＣＤ</t>
    <phoneticPr fontId="1"/>
  </si>
  <si>
    <t>標準工数理由名</t>
    <phoneticPr fontId="1"/>
  </si>
  <si>
    <t>MA.MABCL0033.WkRsn_UpdChk01.WkRsn_UpdChk01_Dtl</t>
    <phoneticPr fontId="1"/>
  </si>
  <si>
    <t>DBC:MA.MAM_WK_RSN_LCL</t>
    <phoneticPr fontId="20"/>
  </si>
  <si>
    <t>工数理由名</t>
    <phoneticPr fontId="1"/>
  </si>
  <si>
    <t>MA.MABCL0033.WkRsnLcl_UpdChk01.WkRsnLcl_UpdChk01_Dtl</t>
    <phoneticPr fontId="1"/>
  </si>
  <si>
    <t>工数理由ＣＤ</t>
    <phoneticPr fontId="20"/>
  </si>
  <si>
    <t>MA.MABCL0033.WkRsn_DelChk01.WkRsn_DelChk01_Dtl</t>
    <phoneticPr fontId="1"/>
  </si>
  <si>
    <t>販売単価分類ＣＤ</t>
    <phoneticPr fontId="1"/>
  </si>
  <si>
    <t>標準販売単価分類名</t>
    <phoneticPr fontId="1"/>
  </si>
  <si>
    <t>MA.MABCL0033.SlsUpriGrp_UpdChk01.SlsUpriGrp_UpdChk01_Dtl</t>
    <phoneticPr fontId="1"/>
  </si>
  <si>
    <t>DBC:MA.MAM_SLS_UPRI_GRP_LCL</t>
    <phoneticPr fontId="20"/>
  </si>
  <si>
    <t>販売単価分類名</t>
    <phoneticPr fontId="1"/>
  </si>
  <si>
    <t>MA.MABCL0033.SlsUpriGrpLcl_UpdChk01.SlsUpriGrpLcl_UpdChk01_Dtl</t>
    <phoneticPr fontId="1"/>
  </si>
  <si>
    <t>販売単価分類ＣＤ</t>
    <phoneticPr fontId="20"/>
  </si>
  <si>
    <t>MA.MABCL0033.SlsUpriGrp_DelChk01.SlsUpriGrp_DelChk01_Dtl</t>
    <phoneticPr fontId="1"/>
  </si>
  <si>
    <t>販売単価ランクＣＤ</t>
    <phoneticPr fontId="1"/>
  </si>
  <si>
    <t>標準販売単価ランク名</t>
    <phoneticPr fontId="1"/>
  </si>
  <si>
    <t>MA.MABCL0033.SlsUpriRank_UpdChk01.SlsUpriRank_UpdChk01_Dtl</t>
    <phoneticPr fontId="1"/>
  </si>
  <si>
    <t>DBC:MA.MAM_SLS_UPRI_RANK_LCL</t>
    <phoneticPr fontId="20"/>
  </si>
  <si>
    <t>販売単価ランク名</t>
    <phoneticPr fontId="1"/>
  </si>
  <si>
    <t>MA.MABCL0033.SlsUpriRankLcl_UpdChk01.SlsUpriRankLcl_UpdChk01_Dtl</t>
    <phoneticPr fontId="1"/>
  </si>
  <si>
    <t>販売単価ランクＣＤ</t>
    <phoneticPr fontId="20"/>
  </si>
  <si>
    <t>MA.MABCL0033.SlsUpriRank_DelChk01.SlsUpriRank_DelChk01_Dtl</t>
    <phoneticPr fontId="1"/>
  </si>
  <si>
    <t>相殺グループＣＤ</t>
    <phoneticPr fontId="1"/>
  </si>
  <si>
    <t>標準相殺グループ名</t>
    <phoneticPr fontId="1"/>
  </si>
  <si>
    <t>MA.MABCL0033.SetoffGrp_UpdChk01.SetoffGrp_UpdChk01_Dtl</t>
    <phoneticPr fontId="1"/>
  </si>
  <si>
    <t>DBC:MA.MAM_SETOFF_GRP_LCL</t>
    <phoneticPr fontId="20"/>
  </si>
  <si>
    <t>相殺グループ名</t>
    <phoneticPr fontId="1"/>
  </si>
  <si>
    <t>MA.MABCL0033.SetoffGrpLcl_UpdChk01.SetoffGrpLcl_UpdChk01_Dtl</t>
    <phoneticPr fontId="1"/>
  </si>
  <si>
    <t>相殺グループＣＤ</t>
    <phoneticPr fontId="20"/>
  </si>
  <si>
    <t>MA.MABCL0033.SetoffGrp_DelChk01.SetoffGrp_DelChk01_Dtl</t>
    <phoneticPr fontId="1"/>
  </si>
  <si>
    <t>出荷有効期限グループＣＤ</t>
    <phoneticPr fontId="1"/>
  </si>
  <si>
    <t>標準出荷有効期限グループ名</t>
    <phoneticPr fontId="1"/>
  </si>
  <si>
    <t>MA.MABCL0033.ShipValid_UpdChk01.ShipValid_UpdChk01_Dtl</t>
    <phoneticPr fontId="1"/>
  </si>
  <si>
    <t>DBC:MA.MAM_SHIP_VALID_LCL</t>
    <phoneticPr fontId="20"/>
  </si>
  <si>
    <t>出荷有効期限グループ名</t>
    <phoneticPr fontId="1"/>
  </si>
  <si>
    <t>MA.MABCL0033.ShipValidLcl_UpdChk01.ShipValidLcl_UpdChk01_Dtl</t>
    <phoneticPr fontId="1"/>
  </si>
  <si>
    <t>MA.MABCL0033.ShipValid_DelChk01.ShipValid_DelChk01_Dtl</t>
    <phoneticPr fontId="1"/>
  </si>
  <si>
    <t>品目出荷グループＣＤ</t>
    <phoneticPr fontId="1"/>
  </si>
  <si>
    <t>標準品目出荷グループ名</t>
    <phoneticPr fontId="1"/>
  </si>
  <si>
    <t>MA.MABCL0033.ItmShipGrp_UpdChk01.ItmShipGrp_UpdChk01_Dtl</t>
    <phoneticPr fontId="1"/>
  </si>
  <si>
    <t>DBC:MA.MAM_ITM_SHIP_GRP_LCL</t>
    <phoneticPr fontId="20"/>
  </si>
  <si>
    <t>品目出荷グループ名</t>
    <phoneticPr fontId="1"/>
  </si>
  <si>
    <t>MA.MABCL0033.ItmShipGrpLcl_UpdChk01.ItmShipGrpLcl_UpdChk01_Dtl</t>
    <phoneticPr fontId="1"/>
  </si>
  <si>
    <t>品目出荷グループＣＤ</t>
    <phoneticPr fontId="20"/>
  </si>
  <si>
    <t>MA.MABCL0033.ItmShipGrp_DelChk01.ItmShipGrp_DelChk01_Dtl</t>
    <phoneticPr fontId="1"/>
  </si>
  <si>
    <t>輸送方法ＣＤ</t>
    <phoneticPr fontId="1"/>
  </si>
  <si>
    <t>標準輸送方法名</t>
    <phoneticPr fontId="1"/>
  </si>
  <si>
    <t>ソート順</t>
    <phoneticPr fontId="20"/>
  </si>
  <si>
    <t>MA.MABCL0033.Trnspt_UpdChk01.Trnspt_UpdChk01_Dtl</t>
    <phoneticPr fontId="1"/>
  </si>
  <si>
    <t>DBC:MA.MAM_TRNSPT_LCL</t>
    <phoneticPr fontId="20"/>
  </si>
  <si>
    <t>輸送方法名</t>
    <phoneticPr fontId="1"/>
  </si>
  <si>
    <t>MA.MABCL0033.TrnsptLcl_UpdChk01.TrnsptLcl_UpdChk01_Dtl</t>
    <phoneticPr fontId="1"/>
  </si>
  <si>
    <t>輸送方法ＣＤ</t>
    <phoneticPr fontId="20"/>
  </si>
  <si>
    <t>MA.MABCL0033.Trnspt_DelChk01.Trnspt_DelChk01_Dtl</t>
    <phoneticPr fontId="1"/>
  </si>
  <si>
    <t>000000</t>
    <phoneticPr fontId="1"/>
  </si>
  <si>
    <t>0:8</t>
    <phoneticPr fontId="20"/>
  </si>
  <si>
    <t>MAC_RND_TYP</t>
    <phoneticPr fontId="20"/>
  </si>
  <si>
    <t>MA.MAUDL5010</t>
    <phoneticPr fontId="1"/>
  </si>
  <si>
    <t>"mcframe.serverMAUD.MAUDL6020.MAUDL_LCLRLUpdater"</t>
  </si>
  <si>
    <t>"mcframe.serverMAUD.MAUDL6020.MAUDL_LCLRLDeleter"</t>
  </si>
  <si>
    <t>DBC:MA.MAM_WG</t>
    <phoneticPr fontId="20"/>
  </si>
  <si>
    <t>DBC.MA.MAM_WG</t>
    <phoneticPr fontId="1"/>
  </si>
  <si>
    <t>DBC.MA.MAM_WG</t>
    <phoneticPr fontId="20"/>
  </si>
  <si>
    <t>DBC:MA.MAM_OPER</t>
    <phoneticPr fontId="20"/>
  </si>
  <si>
    <t>DBC.MA.MAM_OPER</t>
    <phoneticPr fontId="1"/>
  </si>
  <si>
    <t>DBC.MA.MAM_OPER</t>
    <phoneticPr fontId="20"/>
  </si>
  <si>
    <t>DBC:MA.MAM_WK_COST</t>
    <phoneticPr fontId="20"/>
  </si>
  <si>
    <t>DBC.MA.MAM_WK_COST</t>
    <phoneticPr fontId="1"/>
  </si>
  <si>
    <t>DBC.MA.MAM_WK_COST</t>
    <phoneticPr fontId="20"/>
  </si>
  <si>
    <t>DBC:MA.MAM_WK_RSN</t>
    <phoneticPr fontId="20"/>
  </si>
  <si>
    <t>DBC.MA.MAM_WK_RSN</t>
    <phoneticPr fontId="1"/>
  </si>
  <si>
    <t>DBC.MA.MAM_WK_RSN</t>
    <phoneticPr fontId="20"/>
  </si>
  <si>
    <t>DBC:MA.MAM_SLS_UPRI_GRP</t>
    <phoneticPr fontId="20"/>
  </si>
  <si>
    <t>DBC.MA.MAM_SLS_UPRI_GRP</t>
    <phoneticPr fontId="1"/>
  </si>
  <si>
    <t>DBC.MA.MAM_SLS_UPRI_GRP</t>
    <phoneticPr fontId="20"/>
  </si>
  <si>
    <t>DBC:MA.MAM_SLS_UPRI_RANK</t>
    <phoneticPr fontId="20"/>
  </si>
  <si>
    <t>DBC.MA.MAM_SLS_UPRI_RANK</t>
    <phoneticPr fontId="1"/>
  </si>
  <si>
    <t>DBC.MA.MAM_SLS_UPRI_RANK</t>
    <phoneticPr fontId="20"/>
  </si>
  <si>
    <t>DBC:MA.MAM_SETOFF_GRP</t>
    <phoneticPr fontId="20"/>
  </si>
  <si>
    <t>DBC.MA.MAM_SETOFF_GRP</t>
    <phoneticPr fontId="1"/>
  </si>
  <si>
    <t>DBC.MA.MAM_SETOFF_GRP</t>
    <phoneticPr fontId="20"/>
  </si>
  <si>
    <t>DBC:MA.MAM_SHIP_VALID</t>
    <phoneticPr fontId="20"/>
  </si>
  <si>
    <t>DBC.MA.MAM_SHIP_VALID</t>
    <phoneticPr fontId="20"/>
  </si>
  <si>
    <t>DBC:MA.MAM_ITM_SHIP_GRP</t>
    <phoneticPr fontId="20"/>
  </si>
  <si>
    <t>DBC.MA.MAM_ITM_SHIP_GRP</t>
    <phoneticPr fontId="1"/>
  </si>
  <si>
    <t>DBC.MA.MAM_ITM_SHIP_GRP</t>
    <phoneticPr fontId="20"/>
  </si>
  <si>
    <t>DBC:MA.MAM_TRNSPT</t>
    <phoneticPr fontId="20"/>
  </si>
  <si>
    <t>DBC.MA.MAM_TRNSPT</t>
    <phoneticPr fontId="1"/>
  </si>
  <si>
    <t>DBC.MA.MAM_TRNSPT</t>
    <phoneticPr fontId="20"/>
  </si>
  <si>
    <t>ID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</si>
  <si>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</si>
  <si>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</si>
  <si>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</si>
  <si>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</si>
  <si>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</si>
  <si>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</si>
  <si>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</si>
  <si>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</si>
  <si>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</si>
  <si>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</si>
  <si>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</si>
  <si>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</si>
  <si>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</si>
  <si>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</si>
  <si>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WG cd.</t>
  </si>
  <si>
    <t>Standard WG name</t>
  </si>
  <si>
    <t>Sales</t>
  </si>
  <si>
    <t>Distribution</t>
  </si>
  <si>
    <t>Mfg.</t>
  </si>
  <si>
    <t>Purchase</t>
  </si>
  <si>
    <t>AR</t>
  </si>
  <si>
    <t>AP</t>
  </si>
  <si>
    <t>Demand and supply management</t>
  </si>
  <si>
    <t>Prefix for MRP numbering</t>
  </si>
  <si>
    <t>Mfg. order unit type</t>
  </si>
  <si>
    <t>MRP process type</t>
  </si>
  <si>
    <t>Allocation extra days</t>
  </si>
  <si>
    <t>Not for movement/transport allocation</t>
  </si>
  <si>
    <t>MRP allocation extra days</t>
  </si>
  <si>
    <t>Days to consider unfirm transport request in MRP</t>
  </si>
  <si>
    <t>Requirements type</t>
  </si>
  <si>
    <t>Production planning type</t>
  </si>
  <si>
    <t>Number of months for demand disaggregation by day</t>
  </si>
  <si>
    <t>PLM</t>
  </si>
  <si>
    <t>Calculation sequence</t>
  </si>
  <si>
    <t>Common unit price</t>
  </si>
  <si>
    <t>Memo 1</t>
  </si>
  <si>
    <t>Memo 2</t>
  </si>
  <si>
    <t>Memo 3</t>
  </si>
  <si>
    <t>Logical delete</t>
  </si>
  <si>
    <t>Update counter</t>
  </si>
  <si>
    <t>Locale cd.</t>
  </si>
  <si>
    <t>WG name</t>
  </si>
  <si>
    <t>Operation cd.</t>
  </si>
  <si>
    <t>Standard operation name</t>
  </si>
  <si>
    <t>Operation allocation group</t>
  </si>
  <si>
    <t>Operation name</t>
  </si>
  <si>
    <t>Work element cd.</t>
  </si>
  <si>
    <t>Standard work element name</t>
  </si>
  <si>
    <t>Work element unit name</t>
  </si>
  <si>
    <t>Number of decimal places</t>
  </si>
  <si>
    <t>Rounding type</t>
  </si>
  <si>
    <t>Work element name</t>
  </si>
  <si>
    <t>Man-hour reason cd.</t>
  </si>
  <si>
    <t>Standard man-hour reason name</t>
  </si>
  <si>
    <t>Man-hour reason name</t>
  </si>
  <si>
    <t>Sales unit price classification cd.</t>
  </si>
  <si>
    <t>Standard sales unit price classification name</t>
  </si>
  <si>
    <t>Sales unit price classification name</t>
  </si>
  <si>
    <t>Sales unit price rank cd.</t>
  </si>
  <si>
    <t>Standard sales unit price rank name</t>
  </si>
  <si>
    <t>Sales unit price rank name</t>
  </si>
  <si>
    <t>Offset group cd.</t>
  </si>
  <si>
    <t>Standard offset group name</t>
  </si>
  <si>
    <t>Offset group name</t>
  </si>
  <si>
    <t>Shipping expiration date group cd.</t>
  </si>
  <si>
    <t>Standard shipping expiration date group name</t>
  </si>
  <si>
    <t>Shipping expiration date group name</t>
  </si>
  <si>
    <t>Item shipping group cd.</t>
  </si>
  <si>
    <t>Standard item shipping group name</t>
  </si>
  <si>
    <t>Item shipping group name</t>
  </si>
  <si>
    <t>項目名
Field Name</t>
    <phoneticPr fontId="1"/>
  </si>
  <si>
    <t>型
Type</t>
    <phoneticPr fontId="1"/>
  </si>
  <si>
    <t>Transportation method cd.</t>
  </si>
  <si>
    <t>Standard transportation method name</t>
  </si>
  <si>
    <t>Sort order</t>
  </si>
  <si>
    <t>項目名
Field Name</t>
    <phoneticPr fontId="1"/>
  </si>
  <si>
    <t>型
Type</t>
    <phoneticPr fontId="1"/>
  </si>
  <si>
    <t>Transportation method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</si>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</sst>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49" fontId="22" fillId="24" borderId="15" xfId="0" applyNumberFormat="1" applyFont="1" applyFill="1" applyBorder="1" applyAlignment="1" applyProtection="1">
      <protection locked="0"/>
    </xf>
    <xf numFmtId="49" fontId="22" fillId="24" borderId="15" xfId="0" applyNumberFormat="1" applyFont="1" applyFill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49" fontId="22" fillId="24" borderId="15" xfId="0" quotePrefix="1" applyNumberFormat="1" applyFont="1" applyFill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23</v>
      </c>
      <c r="D2" s="7" t="s">
        <v>8</v>
      </c>
      <c r="E2" s="9" t="s">
        <v>240</v>
      </c>
      <c r="F2" s="7" t="s">
        <v>21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388</v>
      </c>
      <c r="D3" s="7" t="s">
        <v>9</v>
      </c>
      <c r="E3" s="9" t="s">
        <v>40</v>
      </c>
      <c r="F3" s="7" t="s">
        <v>22</v>
      </c>
      <c r="G3" s="9"/>
      <c r="H3" s="7"/>
      <c r="I3" s="9"/>
    </row>
    <row r="4" spans="1:12" x14ac:dyDescent="0.2">
      <c r="A4" s="3"/>
      <c r="B4" s="7"/>
      <c r="C4" s="59"/>
      <c r="D4" s="7" t="s">
        <v>10</v>
      </c>
      <c r="E4" s="13" t="s">
        <v>41</v>
      </c>
      <c r="F4" s="7" t="s">
        <v>4</v>
      </c>
      <c r="G4" s="9" t="s">
        <v>522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 t="s">
        <v>250</v>
      </c>
      <c r="C7" s="25"/>
      <c r="D7" s="4"/>
      <c r="E7" s="4"/>
      <c r="F7" s="4"/>
      <c r="G7" s="4"/>
      <c r="H7" s="4"/>
      <c r="I7" s="15"/>
    </row>
    <row r="8" spans="1:12" x14ac:dyDescent="0.2">
      <c r="B8" s="4"/>
      <c r="C8" s="25" t="s">
        <v>94</v>
      </c>
      <c r="I8" s="15"/>
    </row>
    <row r="9" spans="1:12" x14ac:dyDescent="0.2">
      <c r="B9" s="4"/>
      <c r="C9" s="25" t="s">
        <v>241</v>
      </c>
      <c r="I9" s="15"/>
      <c r="J9" s="4"/>
    </row>
    <row r="10" spans="1:12" x14ac:dyDescent="0.2">
      <c r="B10" s="4"/>
      <c r="C10" s="25" t="s">
        <v>242</v>
      </c>
      <c r="I10" s="15"/>
      <c r="J10" s="4"/>
    </row>
    <row r="11" spans="1:12" x14ac:dyDescent="0.2">
      <c r="B11" s="4"/>
      <c r="C11" s="25" t="s">
        <v>243</v>
      </c>
      <c r="I11" s="15"/>
      <c r="J11" s="4"/>
    </row>
    <row r="12" spans="1:12" x14ac:dyDescent="0.2">
      <c r="B12" s="4"/>
      <c r="C12" s="25" t="s">
        <v>244</v>
      </c>
      <c r="I12" s="15"/>
      <c r="J12" s="4"/>
    </row>
    <row r="13" spans="1:12" x14ac:dyDescent="0.2">
      <c r="B13" s="4"/>
      <c r="C13" s="25" t="s">
        <v>245</v>
      </c>
      <c r="I13" s="15"/>
      <c r="J13" s="4"/>
    </row>
    <row r="14" spans="1:12" x14ac:dyDescent="0.2">
      <c r="B14" s="4"/>
      <c r="C14" s="25" t="s">
        <v>246</v>
      </c>
      <c r="I14" s="15"/>
      <c r="J14" s="4"/>
    </row>
    <row r="15" spans="1:12" x14ac:dyDescent="0.2">
      <c r="B15" s="4"/>
      <c r="C15" s="25" t="s">
        <v>247</v>
      </c>
      <c r="I15" s="15"/>
      <c r="J15" s="4"/>
    </row>
    <row r="16" spans="1:12" x14ac:dyDescent="0.2">
      <c r="B16" s="4"/>
      <c r="C16" s="25" t="s">
        <v>248</v>
      </c>
      <c r="I16" s="15"/>
      <c r="J16" s="4"/>
    </row>
    <row r="17" spans="1:10" x14ac:dyDescent="0.2">
      <c r="B17" s="4"/>
      <c r="C17" s="25" t="s">
        <v>249</v>
      </c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4">
    <pageSetUpPr fitToPage="1"/>
  </sheetPr>
  <dimension ref="A1:T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9.36328125" style="29" customWidth="1"/>
    <col min="12" max="12" width="12.90625" style="29" customWidth="1"/>
    <col min="13" max="13" width="19.81640625" style="29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0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</row>
    <row r="2" spans="1:20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112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</row>
    <row r="3" spans="1:20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4"/>
      <c r="S3" s="27"/>
      <c r="T3" s="27"/>
    </row>
    <row r="4" spans="1:20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4"/>
      <c r="S4" s="27"/>
      <c r="T4" s="27"/>
    </row>
    <row r="5" spans="1:20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4"/>
      <c r="S5" s="27"/>
      <c r="T5" s="27"/>
    </row>
    <row r="6" spans="1:20" s="11" customFormat="1" x14ac:dyDescent="0.2">
      <c r="A6" s="68" t="s">
        <v>389</v>
      </c>
      <c r="B6" s="69"/>
      <c r="C6" s="69"/>
      <c r="D6" s="4" t="s">
        <v>5</v>
      </c>
      <c r="E6" s="16" t="s">
        <v>322</v>
      </c>
      <c r="F6" s="16"/>
      <c r="G6" s="16"/>
      <c r="H6" s="16"/>
      <c r="I6" s="16"/>
      <c r="J6" s="16"/>
      <c r="K6" s="16"/>
      <c r="L6" s="75"/>
      <c r="M6" s="19"/>
      <c r="N6" s="19"/>
      <c r="O6" s="19"/>
      <c r="P6" s="19" t="s">
        <v>554</v>
      </c>
      <c r="Q6" s="19"/>
      <c r="R6" s="4"/>
      <c r="S6" s="29"/>
      <c r="T6" s="29"/>
    </row>
    <row r="7" spans="1:20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2" t="s">
        <v>215</v>
      </c>
      <c r="M7" s="32" t="s">
        <v>99</v>
      </c>
      <c r="N7" s="32" t="s">
        <v>95</v>
      </c>
      <c r="O7" s="33" t="s">
        <v>33</v>
      </c>
      <c r="P7" s="32"/>
      <c r="Q7" s="29"/>
      <c r="R7" s="29"/>
      <c r="S7" s="29"/>
      <c r="T7" s="29"/>
    </row>
    <row r="8" spans="1:20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9" t="s">
        <v>216</v>
      </c>
      <c r="M8" s="9" t="s">
        <v>199</v>
      </c>
      <c r="N8" s="9" t="s">
        <v>231</v>
      </c>
      <c r="O8" s="33" t="s">
        <v>34</v>
      </c>
      <c r="P8" s="9"/>
      <c r="Q8" s="82"/>
      <c r="R8" s="83"/>
      <c r="S8" s="84" t="s">
        <v>559</v>
      </c>
      <c r="T8" s="52"/>
    </row>
    <row r="9" spans="1:20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84" t="s">
        <v>567</v>
      </c>
      <c r="R9" s="52"/>
      <c r="S9" s="84" t="s">
        <v>568</v>
      </c>
      <c r="T9" s="52"/>
    </row>
    <row r="10" spans="1:20" s="11" customFormat="1" ht="39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79" t="s">
        <v>565</v>
      </c>
      <c r="P10" s="79" t="s">
        <v>566</v>
      </c>
      <c r="Q10" s="41"/>
      <c r="R10" s="41"/>
      <c r="S10" s="42"/>
      <c r="T10" s="35"/>
    </row>
    <row r="11" spans="1:20" s="11" customFormat="1" x14ac:dyDescent="0.2">
      <c r="A11" s="9">
        <v>10</v>
      </c>
      <c r="B11" s="36" t="s">
        <v>0</v>
      </c>
      <c r="C11" s="37"/>
      <c r="D11" s="28" t="s">
        <v>113</v>
      </c>
      <c r="E11" s="43" t="s">
        <v>32</v>
      </c>
      <c r="F11" s="44"/>
      <c r="G11" s="28" t="s">
        <v>214</v>
      </c>
      <c r="H11" s="45" t="s">
        <v>525</v>
      </c>
      <c r="I11" s="46"/>
      <c r="J11" s="47"/>
      <c r="K11" s="48"/>
      <c r="L11" s="48"/>
      <c r="M11" s="48"/>
      <c r="N11" s="60"/>
      <c r="O11" s="48"/>
      <c r="P11" s="48"/>
      <c r="Q11" s="34"/>
      <c r="R11" s="35"/>
      <c r="S11" s="62"/>
      <c r="T11" s="49"/>
    </row>
    <row r="12" spans="1:20" s="11" customFormat="1" ht="26" x14ac:dyDescent="0.2">
      <c r="A12" s="9">
        <v>10</v>
      </c>
      <c r="B12" s="9"/>
      <c r="C12" s="9"/>
      <c r="D12" s="9" t="s">
        <v>44</v>
      </c>
      <c r="E12" s="50" t="s">
        <v>72</v>
      </c>
      <c r="F12" s="50"/>
      <c r="G12" s="51" t="s">
        <v>569</v>
      </c>
      <c r="H12" s="51" t="s">
        <v>397</v>
      </c>
      <c r="I12" s="9" t="s">
        <v>43</v>
      </c>
      <c r="J12" s="9"/>
      <c r="K12" s="9" t="s">
        <v>314</v>
      </c>
      <c r="L12" s="9"/>
      <c r="M12" s="9"/>
      <c r="N12" s="61"/>
      <c r="O12" s="9"/>
      <c r="P12" s="9"/>
      <c r="Q12" s="40"/>
      <c r="R12" s="52"/>
      <c r="S12" s="134"/>
      <c r="T12" s="135"/>
    </row>
    <row r="13" spans="1:20" s="11" customFormat="1" ht="26" x14ac:dyDescent="0.2">
      <c r="A13" s="9">
        <v>10</v>
      </c>
      <c r="B13" s="9"/>
      <c r="C13" s="9"/>
      <c r="D13" s="9" t="s">
        <v>45</v>
      </c>
      <c r="E13" s="50" t="s">
        <v>73</v>
      </c>
      <c r="F13" s="50"/>
      <c r="G13" s="51" t="s">
        <v>570</v>
      </c>
      <c r="H13" s="51" t="s">
        <v>398</v>
      </c>
      <c r="I13" s="9" t="s">
        <v>43</v>
      </c>
      <c r="J13" s="9"/>
      <c r="K13" s="9" t="s">
        <v>314</v>
      </c>
      <c r="L13" s="9"/>
      <c r="M13" s="9"/>
      <c r="N13" s="61"/>
      <c r="O13" s="9"/>
      <c r="P13" s="9"/>
      <c r="Q13" s="40"/>
      <c r="R13" s="52"/>
      <c r="S13" s="134"/>
      <c r="T13" s="135"/>
    </row>
    <row r="14" spans="1:20" s="11" customFormat="1" x14ac:dyDescent="0.2">
      <c r="A14" s="9">
        <v>10</v>
      </c>
      <c r="B14" s="9"/>
      <c r="C14" s="9"/>
      <c r="D14" s="9" t="s">
        <v>46</v>
      </c>
      <c r="E14" s="50" t="s">
        <v>30</v>
      </c>
      <c r="F14" s="50"/>
      <c r="G14" s="51" t="s">
        <v>571</v>
      </c>
      <c r="H14" s="51" t="s">
        <v>399</v>
      </c>
      <c r="I14" s="9" t="s">
        <v>43</v>
      </c>
      <c r="J14" s="9"/>
      <c r="K14" s="9"/>
      <c r="L14" s="9"/>
      <c r="M14" s="9"/>
      <c r="N14" s="61"/>
      <c r="O14" s="9"/>
      <c r="P14" s="9"/>
      <c r="Q14" s="40"/>
      <c r="R14" s="52"/>
      <c r="S14" s="134"/>
      <c r="T14" s="135"/>
    </row>
    <row r="15" spans="1:20" s="11" customFormat="1" x14ac:dyDescent="0.2">
      <c r="A15" s="9">
        <v>10</v>
      </c>
      <c r="B15" s="9"/>
      <c r="C15" s="9"/>
      <c r="D15" s="9" t="s">
        <v>201</v>
      </c>
      <c r="E15" s="50" t="s">
        <v>30</v>
      </c>
      <c r="F15" s="50"/>
      <c r="G15" s="51" t="s">
        <v>572</v>
      </c>
      <c r="H15" s="51" t="s">
        <v>400</v>
      </c>
      <c r="I15" s="9" t="s">
        <v>43</v>
      </c>
      <c r="J15" s="9"/>
      <c r="K15" s="9"/>
      <c r="L15" s="9"/>
      <c r="M15" s="9"/>
      <c r="N15" s="61"/>
      <c r="O15" s="9"/>
      <c r="P15" s="9"/>
      <c r="Q15" s="40"/>
      <c r="R15" s="52"/>
      <c r="S15" s="134"/>
      <c r="T15" s="135"/>
    </row>
    <row r="16" spans="1:20" s="11" customFormat="1" x14ac:dyDescent="0.2">
      <c r="A16" s="9">
        <v>10</v>
      </c>
      <c r="B16" s="9"/>
      <c r="C16" s="9"/>
      <c r="D16" s="9" t="s">
        <v>202</v>
      </c>
      <c r="E16" s="50" t="s">
        <v>30</v>
      </c>
      <c r="F16" s="50"/>
      <c r="G16" s="51" t="s">
        <v>573</v>
      </c>
      <c r="H16" s="51" t="s">
        <v>401</v>
      </c>
      <c r="I16" s="9" t="s">
        <v>43</v>
      </c>
      <c r="J16" s="9"/>
      <c r="K16" s="9"/>
      <c r="L16" s="9"/>
      <c r="M16" s="9"/>
      <c r="N16" s="61"/>
      <c r="O16" s="9"/>
      <c r="P16" s="9"/>
      <c r="Q16" s="40"/>
      <c r="R16" s="52"/>
      <c r="S16" s="134"/>
      <c r="T16" s="135"/>
    </row>
    <row r="17" spans="1:20" s="11" customFormat="1" x14ac:dyDescent="0.2">
      <c r="A17" s="9">
        <v>10</v>
      </c>
      <c r="B17" s="9"/>
      <c r="C17" s="9"/>
      <c r="D17" s="9" t="s">
        <v>47</v>
      </c>
      <c r="E17" s="50" t="s">
        <v>30</v>
      </c>
      <c r="F17" s="50"/>
      <c r="G17" s="51" t="s">
        <v>574</v>
      </c>
      <c r="H17" s="51" t="s">
        <v>402</v>
      </c>
      <c r="I17" s="9" t="s">
        <v>43</v>
      </c>
      <c r="J17" s="9"/>
      <c r="K17" s="9"/>
      <c r="L17" s="9"/>
      <c r="M17" s="9"/>
      <c r="N17" s="61"/>
      <c r="O17" s="9"/>
      <c r="P17" s="9"/>
      <c r="Q17" s="40"/>
      <c r="R17" s="52"/>
      <c r="S17" s="134"/>
      <c r="T17" s="135"/>
    </row>
    <row r="18" spans="1:20" s="11" customFormat="1" x14ac:dyDescent="0.2">
      <c r="A18" s="9">
        <v>10</v>
      </c>
      <c r="B18" s="9"/>
      <c r="C18" s="9"/>
      <c r="D18" s="9" t="s">
        <v>48</v>
      </c>
      <c r="E18" s="50" t="s">
        <v>30</v>
      </c>
      <c r="F18" s="50"/>
      <c r="G18" s="51" t="s">
        <v>575</v>
      </c>
      <c r="H18" s="51" t="s">
        <v>403</v>
      </c>
      <c r="I18" s="9" t="s">
        <v>43</v>
      </c>
      <c r="J18" s="9"/>
      <c r="K18" s="9"/>
      <c r="L18" s="9"/>
      <c r="M18" s="9"/>
      <c r="N18" s="61"/>
      <c r="O18" s="9"/>
      <c r="P18" s="9"/>
      <c r="Q18" s="40"/>
      <c r="R18" s="52"/>
      <c r="S18" s="134"/>
      <c r="T18" s="135"/>
    </row>
    <row r="19" spans="1:20" s="11" customFormat="1" x14ac:dyDescent="0.2">
      <c r="A19" s="9">
        <v>10</v>
      </c>
      <c r="B19" s="9"/>
      <c r="C19" s="9"/>
      <c r="D19" s="9" t="s">
        <v>49</v>
      </c>
      <c r="E19" s="50" t="s">
        <v>30</v>
      </c>
      <c r="F19" s="50"/>
      <c r="G19" s="51" t="s">
        <v>576</v>
      </c>
      <c r="H19" s="51" t="s">
        <v>404</v>
      </c>
      <c r="I19" s="9" t="s">
        <v>43</v>
      </c>
      <c r="J19" s="9"/>
      <c r="K19" s="9"/>
      <c r="L19" s="9"/>
      <c r="M19" s="9"/>
      <c r="N19" s="61"/>
      <c r="O19" s="9"/>
      <c r="P19" s="9"/>
      <c r="Q19" s="40"/>
      <c r="R19" s="52"/>
      <c r="S19" s="134"/>
      <c r="T19" s="135"/>
    </row>
    <row r="20" spans="1:20" s="11" customFormat="1" x14ac:dyDescent="0.2">
      <c r="A20" s="9">
        <v>10</v>
      </c>
      <c r="B20" s="9"/>
      <c r="C20" s="9"/>
      <c r="D20" s="9" t="s">
        <v>50</v>
      </c>
      <c r="E20" s="50" t="s">
        <v>30</v>
      </c>
      <c r="F20" s="50"/>
      <c r="G20" s="51" t="s">
        <v>577</v>
      </c>
      <c r="H20" s="51" t="s">
        <v>405</v>
      </c>
      <c r="I20" s="9" t="s">
        <v>43</v>
      </c>
      <c r="J20" s="9"/>
      <c r="K20" s="9"/>
      <c r="L20" s="9"/>
      <c r="M20" s="9"/>
      <c r="N20" s="61"/>
      <c r="O20" s="9"/>
      <c r="P20" s="9"/>
      <c r="Q20" s="40"/>
      <c r="R20" s="52"/>
      <c r="S20" s="134"/>
      <c r="T20" s="135"/>
    </row>
    <row r="21" spans="1:20" s="11" customFormat="1" x14ac:dyDescent="0.2">
      <c r="A21" s="9">
        <v>10</v>
      </c>
      <c r="B21" s="9"/>
      <c r="C21" s="9"/>
      <c r="D21" s="9" t="s">
        <v>222</v>
      </c>
      <c r="E21" s="50" t="s">
        <v>223</v>
      </c>
      <c r="F21" s="50"/>
      <c r="G21" s="51" t="s">
        <v>578</v>
      </c>
      <c r="H21" s="51" t="s">
        <v>406</v>
      </c>
      <c r="I21" s="9" t="s">
        <v>43</v>
      </c>
      <c r="J21" s="9"/>
      <c r="K21" s="9"/>
      <c r="L21" s="9"/>
      <c r="M21" s="9"/>
      <c r="N21" s="61"/>
      <c r="O21" s="9"/>
      <c r="P21" s="9"/>
      <c r="Q21" s="40"/>
      <c r="R21" s="52"/>
      <c r="S21" s="134"/>
      <c r="T21" s="135"/>
    </row>
    <row r="22" spans="1:20" s="11" customFormat="1" x14ac:dyDescent="0.2">
      <c r="A22" s="9">
        <v>10</v>
      </c>
      <c r="B22" s="9"/>
      <c r="C22" s="9"/>
      <c r="D22" s="9" t="s">
        <v>233</v>
      </c>
      <c r="E22" s="50" t="s">
        <v>238</v>
      </c>
      <c r="F22" s="50"/>
      <c r="G22" s="51" t="s">
        <v>579</v>
      </c>
      <c r="H22" s="51" t="s">
        <v>407</v>
      </c>
      <c r="I22" s="9" t="s">
        <v>43</v>
      </c>
      <c r="J22" s="9"/>
      <c r="K22" s="9"/>
      <c r="L22" s="9"/>
      <c r="M22" s="9" t="s">
        <v>408</v>
      </c>
      <c r="N22" s="61"/>
      <c r="O22" s="9"/>
      <c r="P22" s="9"/>
      <c r="Q22" s="40"/>
      <c r="R22" s="52"/>
      <c r="S22" s="62"/>
      <c r="T22" s="63"/>
    </row>
    <row r="23" spans="1:20" s="11" customFormat="1" x14ac:dyDescent="0.2">
      <c r="A23" s="9">
        <v>10</v>
      </c>
      <c r="B23" s="9"/>
      <c r="C23" s="9"/>
      <c r="D23" s="9" t="s">
        <v>234</v>
      </c>
      <c r="E23" s="50" t="s">
        <v>239</v>
      </c>
      <c r="F23" s="50"/>
      <c r="G23" s="51" t="s">
        <v>580</v>
      </c>
      <c r="H23" s="51" t="s">
        <v>409</v>
      </c>
      <c r="I23" s="9" t="s">
        <v>43</v>
      </c>
      <c r="J23" s="9"/>
      <c r="K23" s="9"/>
      <c r="L23" s="9"/>
      <c r="M23" s="9" t="s">
        <v>410</v>
      </c>
      <c r="N23" s="61"/>
      <c r="O23" s="9"/>
      <c r="P23" s="9"/>
      <c r="Q23" s="40"/>
      <c r="R23" s="52"/>
      <c r="S23" s="62"/>
      <c r="T23" s="63"/>
    </row>
    <row r="24" spans="1:20" s="11" customFormat="1" x14ac:dyDescent="0.2">
      <c r="A24" s="9">
        <v>10</v>
      </c>
      <c r="B24" s="9"/>
      <c r="C24" s="9"/>
      <c r="D24" s="9" t="s">
        <v>235</v>
      </c>
      <c r="E24" s="50" t="s">
        <v>237</v>
      </c>
      <c r="F24" s="50"/>
      <c r="G24" s="51" t="s">
        <v>581</v>
      </c>
      <c r="H24" s="51" t="s">
        <v>411</v>
      </c>
      <c r="I24" s="9" t="s">
        <v>43</v>
      </c>
      <c r="J24" s="9"/>
      <c r="K24" s="9"/>
      <c r="L24" s="9"/>
      <c r="M24" s="9"/>
      <c r="N24" s="61"/>
      <c r="O24" s="9"/>
      <c r="P24" s="9"/>
      <c r="Q24" s="40"/>
      <c r="R24" s="52"/>
      <c r="S24" s="62"/>
      <c r="T24" s="63"/>
    </row>
    <row r="25" spans="1:20" s="11" customFormat="1" ht="26" x14ac:dyDescent="0.2">
      <c r="A25" s="9">
        <v>10</v>
      </c>
      <c r="B25" s="9"/>
      <c r="C25" s="9"/>
      <c r="D25" s="9" t="s">
        <v>387</v>
      </c>
      <c r="E25" s="50" t="s">
        <v>30</v>
      </c>
      <c r="F25" s="50"/>
      <c r="G25" s="51" t="s">
        <v>582</v>
      </c>
      <c r="H25" s="51" t="s">
        <v>412</v>
      </c>
      <c r="I25" s="9" t="s">
        <v>314</v>
      </c>
      <c r="J25" s="9"/>
      <c r="K25" s="9"/>
      <c r="L25" s="9"/>
      <c r="M25" s="9"/>
      <c r="N25" s="61"/>
      <c r="O25" s="9"/>
      <c r="P25" s="9"/>
      <c r="Q25" s="40"/>
      <c r="R25" s="52"/>
      <c r="S25" s="62"/>
      <c r="T25" s="63"/>
    </row>
    <row r="26" spans="1:20" s="11" customFormat="1" x14ac:dyDescent="0.2">
      <c r="A26" s="9">
        <v>10</v>
      </c>
      <c r="B26" s="9"/>
      <c r="C26" s="9"/>
      <c r="D26" s="9" t="s">
        <v>236</v>
      </c>
      <c r="E26" s="50" t="s">
        <v>237</v>
      </c>
      <c r="F26" s="50"/>
      <c r="G26" s="51" t="s">
        <v>583</v>
      </c>
      <c r="H26" s="51" t="s">
        <v>413</v>
      </c>
      <c r="I26" s="9" t="s">
        <v>43</v>
      </c>
      <c r="J26" s="9"/>
      <c r="K26" s="9"/>
      <c r="L26" s="9"/>
      <c r="M26" s="9"/>
      <c r="N26" s="61" t="s">
        <v>414</v>
      </c>
      <c r="O26" s="9"/>
      <c r="P26" s="9"/>
      <c r="Q26" s="40"/>
      <c r="R26" s="52"/>
      <c r="S26" s="62"/>
      <c r="T26" s="63"/>
    </row>
    <row r="27" spans="1:20" s="11" customFormat="1" ht="26" x14ac:dyDescent="0.2">
      <c r="A27" s="9">
        <v>10</v>
      </c>
      <c r="B27" s="9"/>
      <c r="C27" s="9"/>
      <c r="D27" s="9" t="s">
        <v>382</v>
      </c>
      <c r="E27" s="50" t="s">
        <v>237</v>
      </c>
      <c r="F27" s="50"/>
      <c r="G27" s="51" t="s">
        <v>584</v>
      </c>
      <c r="H27" s="51" t="s">
        <v>415</v>
      </c>
      <c r="I27" s="9" t="s">
        <v>314</v>
      </c>
      <c r="J27" s="9"/>
      <c r="K27" s="9"/>
      <c r="L27" s="9"/>
      <c r="M27" s="9"/>
      <c r="N27" s="61" t="s">
        <v>416</v>
      </c>
      <c r="O27" s="9"/>
      <c r="P27" s="9"/>
      <c r="Q27" s="40"/>
      <c r="R27" s="52"/>
      <c r="S27" s="62"/>
      <c r="T27" s="63"/>
    </row>
    <row r="28" spans="1:20" s="11" customFormat="1" x14ac:dyDescent="0.2">
      <c r="A28" s="9">
        <v>10</v>
      </c>
      <c r="B28" s="9"/>
      <c r="C28" s="9"/>
      <c r="D28" s="9" t="s">
        <v>224</v>
      </c>
      <c r="E28" s="50" t="s">
        <v>228</v>
      </c>
      <c r="F28" s="50"/>
      <c r="G28" s="51" t="s">
        <v>585</v>
      </c>
      <c r="H28" s="51" t="s">
        <v>417</v>
      </c>
      <c r="I28" s="9" t="s">
        <v>43</v>
      </c>
      <c r="J28" s="9"/>
      <c r="K28" s="9"/>
      <c r="L28" s="9"/>
      <c r="M28" s="9" t="s">
        <v>418</v>
      </c>
      <c r="N28" s="61"/>
      <c r="O28" s="9"/>
      <c r="P28" s="9"/>
      <c r="Q28" s="40"/>
      <c r="R28" s="52"/>
      <c r="S28" s="134"/>
      <c r="T28" s="135"/>
    </row>
    <row r="29" spans="1:20" s="11" customFormat="1" x14ac:dyDescent="0.2">
      <c r="A29" s="9">
        <v>10</v>
      </c>
      <c r="B29" s="9"/>
      <c r="C29" s="9"/>
      <c r="D29" s="9" t="s">
        <v>226</v>
      </c>
      <c r="E29" s="50" t="s">
        <v>227</v>
      </c>
      <c r="F29" s="50"/>
      <c r="G29" s="51" t="s">
        <v>586</v>
      </c>
      <c r="H29" s="51" t="s">
        <v>419</v>
      </c>
      <c r="I29" s="9" t="s">
        <v>43</v>
      </c>
      <c r="J29" s="9"/>
      <c r="K29" s="9"/>
      <c r="L29" s="9"/>
      <c r="M29" s="9" t="s">
        <v>420</v>
      </c>
      <c r="N29" s="61"/>
      <c r="O29" s="9"/>
      <c r="P29" s="9"/>
      <c r="Q29" s="40"/>
      <c r="R29" s="52"/>
      <c r="S29" s="134"/>
      <c r="T29" s="135"/>
    </row>
    <row r="30" spans="1:20" s="11" customFormat="1" ht="26" x14ac:dyDescent="0.2">
      <c r="A30" s="9">
        <v>10</v>
      </c>
      <c r="B30" s="9"/>
      <c r="C30" s="9"/>
      <c r="D30" s="9" t="s">
        <v>229</v>
      </c>
      <c r="E30" s="50" t="s">
        <v>230</v>
      </c>
      <c r="F30" s="50"/>
      <c r="G30" s="51" t="s">
        <v>587</v>
      </c>
      <c r="H30" s="51" t="s">
        <v>421</v>
      </c>
      <c r="I30" s="9" t="s">
        <v>43</v>
      </c>
      <c r="J30" s="9"/>
      <c r="K30" s="9"/>
      <c r="L30" s="9"/>
      <c r="M30" s="9"/>
      <c r="N30" s="61" t="s">
        <v>422</v>
      </c>
      <c r="O30" s="9"/>
      <c r="P30" s="9"/>
      <c r="Q30" s="40"/>
      <c r="R30" s="52"/>
      <c r="S30" s="134"/>
      <c r="T30" s="135"/>
    </row>
    <row r="31" spans="1:20" s="11" customFormat="1" x14ac:dyDescent="0.2">
      <c r="A31" s="9">
        <v>10</v>
      </c>
      <c r="B31" s="9"/>
      <c r="C31" s="9"/>
      <c r="D31" s="9" t="s">
        <v>221</v>
      </c>
      <c r="E31" s="50" t="s">
        <v>30</v>
      </c>
      <c r="F31" s="50"/>
      <c r="G31" s="51" t="s">
        <v>588</v>
      </c>
      <c r="H31" s="51" t="s">
        <v>423</v>
      </c>
      <c r="I31" s="9" t="s">
        <v>43</v>
      </c>
      <c r="J31" s="9"/>
      <c r="K31" s="9"/>
      <c r="L31" s="9"/>
      <c r="M31" s="9"/>
      <c r="N31" s="61"/>
      <c r="O31" s="9"/>
      <c r="P31" s="9"/>
      <c r="Q31" s="40"/>
      <c r="R31" s="52"/>
      <c r="S31" s="134"/>
      <c r="T31" s="135"/>
    </row>
    <row r="32" spans="1:20" s="11" customFormat="1" x14ac:dyDescent="0.2">
      <c r="A32" s="9">
        <v>10</v>
      </c>
      <c r="B32" s="9"/>
      <c r="C32" s="9"/>
      <c r="D32" s="9" t="s">
        <v>383</v>
      </c>
      <c r="E32" s="50" t="s">
        <v>384</v>
      </c>
      <c r="F32" s="50"/>
      <c r="G32" s="51" t="s">
        <v>589</v>
      </c>
      <c r="H32" s="51" t="s">
        <v>424</v>
      </c>
      <c r="I32" s="9" t="s">
        <v>43</v>
      </c>
      <c r="J32" s="9"/>
      <c r="K32" s="9"/>
      <c r="L32" s="9"/>
      <c r="M32" s="9"/>
      <c r="N32" s="61" t="s">
        <v>425</v>
      </c>
      <c r="O32" s="9"/>
      <c r="P32" s="9"/>
      <c r="Q32" s="40"/>
      <c r="R32" s="52"/>
      <c r="S32" s="134"/>
      <c r="T32" s="135"/>
    </row>
    <row r="33" spans="1:20" s="11" customFormat="1" x14ac:dyDescent="0.2">
      <c r="A33" s="9">
        <v>10</v>
      </c>
      <c r="B33" s="9"/>
      <c r="C33" s="9"/>
      <c r="D33" s="9" t="s">
        <v>385</v>
      </c>
      <c r="E33" s="50" t="s">
        <v>386</v>
      </c>
      <c r="F33" s="50"/>
      <c r="G33" s="51" t="s">
        <v>590</v>
      </c>
      <c r="H33" s="51" t="s">
        <v>426</v>
      </c>
      <c r="I33" s="9" t="s">
        <v>43</v>
      </c>
      <c r="J33" s="9"/>
      <c r="K33" s="9"/>
      <c r="L33" s="9"/>
      <c r="M33" s="9"/>
      <c r="N33" s="61"/>
      <c r="O33" s="9"/>
      <c r="P33" s="9"/>
      <c r="Q33" s="40"/>
      <c r="R33" s="52"/>
      <c r="S33" s="134"/>
      <c r="T33" s="135"/>
    </row>
    <row r="34" spans="1:20" s="11" customFormat="1" x14ac:dyDescent="0.2">
      <c r="A34" s="9">
        <v>10</v>
      </c>
      <c r="B34" s="9"/>
      <c r="C34" s="9"/>
      <c r="D34" s="9" t="s">
        <v>24</v>
      </c>
      <c r="E34" s="50" t="s">
        <v>25</v>
      </c>
      <c r="F34" s="50"/>
      <c r="G34" s="51" t="s">
        <v>591</v>
      </c>
      <c r="H34" s="51" t="s">
        <v>427</v>
      </c>
      <c r="I34" s="9" t="s">
        <v>43</v>
      </c>
      <c r="J34" s="9"/>
      <c r="K34" s="9"/>
      <c r="L34" s="9"/>
      <c r="M34" s="9"/>
      <c r="N34" s="61"/>
      <c r="O34" s="9"/>
      <c r="P34" s="9"/>
      <c r="Q34" s="40"/>
      <c r="R34" s="52"/>
      <c r="S34" s="134"/>
      <c r="T34" s="135"/>
    </row>
    <row r="35" spans="1:20" s="11" customFormat="1" x14ac:dyDescent="0.2">
      <c r="A35" s="9">
        <v>10</v>
      </c>
      <c r="B35" s="9"/>
      <c r="C35" s="9"/>
      <c r="D35" s="9" t="s">
        <v>28</v>
      </c>
      <c r="E35" s="50" t="s">
        <v>29</v>
      </c>
      <c r="F35" s="50"/>
      <c r="G35" s="51" t="s">
        <v>592</v>
      </c>
      <c r="H35" s="51" t="s">
        <v>428</v>
      </c>
      <c r="I35" s="9" t="s">
        <v>43</v>
      </c>
      <c r="J35" s="9"/>
      <c r="K35" s="9"/>
      <c r="L35" s="9"/>
      <c r="M35" s="9"/>
      <c r="N35" s="61"/>
      <c r="O35" s="9"/>
      <c r="P35" s="9"/>
      <c r="Q35" s="40"/>
      <c r="R35" s="52"/>
      <c r="S35" s="134"/>
      <c r="T35" s="135"/>
    </row>
    <row r="36" spans="1:20" s="11" customFormat="1" x14ac:dyDescent="0.2">
      <c r="A36" s="9">
        <v>10</v>
      </c>
      <c r="B36" s="9"/>
      <c r="C36" s="9"/>
      <c r="D36" s="9" t="s">
        <v>26</v>
      </c>
      <c r="E36" s="50" t="s">
        <v>27</v>
      </c>
      <c r="F36" s="50"/>
      <c r="G36" s="51" t="s">
        <v>593</v>
      </c>
      <c r="H36" s="51" t="s">
        <v>429</v>
      </c>
      <c r="I36" s="9" t="s">
        <v>43</v>
      </c>
      <c r="J36" s="9"/>
      <c r="K36" s="9"/>
      <c r="L36" s="9"/>
      <c r="M36" s="9"/>
      <c r="N36" s="61"/>
      <c r="O36" s="9"/>
      <c r="P36" s="9"/>
      <c r="Q36" s="40"/>
      <c r="R36" s="52"/>
      <c r="S36" s="134"/>
      <c r="T36" s="135"/>
    </row>
    <row r="37" spans="1:20" s="11" customFormat="1" x14ac:dyDescent="0.2">
      <c r="A37" s="9">
        <v>10</v>
      </c>
      <c r="B37" s="9"/>
      <c r="C37" s="9"/>
      <c r="D37" s="9" t="s">
        <v>35</v>
      </c>
      <c r="E37" s="50" t="s">
        <v>30</v>
      </c>
      <c r="F37" s="50"/>
      <c r="G37" s="51" t="s">
        <v>594</v>
      </c>
      <c r="H37" s="51" t="s">
        <v>430</v>
      </c>
      <c r="I37" s="9" t="s">
        <v>43</v>
      </c>
      <c r="J37" s="9"/>
      <c r="K37" s="9"/>
      <c r="L37" s="9"/>
      <c r="M37" s="9"/>
      <c r="N37" s="61"/>
      <c r="O37" s="9"/>
      <c r="P37" s="9"/>
      <c r="Q37" s="40"/>
      <c r="R37" s="52"/>
      <c r="S37" s="134"/>
      <c r="T37" s="135"/>
    </row>
    <row r="38" spans="1:20" s="11" customFormat="1" x14ac:dyDescent="0.2">
      <c r="A38" s="9">
        <v>10</v>
      </c>
      <c r="B38" s="9"/>
      <c r="C38" s="9"/>
      <c r="D38" s="9" t="s">
        <v>36</v>
      </c>
      <c r="E38" s="50" t="s">
        <v>37</v>
      </c>
      <c r="F38" s="50"/>
      <c r="G38" s="51" t="s">
        <v>595</v>
      </c>
      <c r="H38" s="51" t="s">
        <v>431</v>
      </c>
      <c r="I38" s="9" t="s">
        <v>43</v>
      </c>
      <c r="J38" s="9"/>
      <c r="K38" s="9"/>
      <c r="L38" s="9"/>
      <c r="M38" s="9"/>
      <c r="N38" s="61"/>
      <c r="O38" s="9"/>
      <c r="P38" s="9"/>
      <c r="Q38" s="40"/>
      <c r="R38" s="52"/>
      <c r="S38" s="134"/>
      <c r="T38" s="135"/>
    </row>
    <row r="39" spans="1:20" s="11" customFormat="1" x14ac:dyDescent="0.2">
      <c r="A39" s="53"/>
      <c r="B39" s="54"/>
      <c r="C39" s="54"/>
      <c r="D39" s="27" t="s">
        <v>1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4"/>
      <c r="R39" s="4"/>
      <c r="S39" s="6"/>
      <c r="T39" s="23"/>
    </row>
    <row r="40" spans="1:20" s="11" customFormat="1" x14ac:dyDescent="0.2">
      <c r="A40" s="68"/>
      <c r="T40" s="55"/>
    </row>
    <row r="41" spans="1:20" s="11" customFormat="1" x14ac:dyDescent="0.2">
      <c r="A41" s="68"/>
      <c r="T41" s="55"/>
    </row>
    <row r="42" spans="1:20" s="11" customFormat="1" x14ac:dyDescent="0.2">
      <c r="A42" s="68"/>
      <c r="T42" s="55"/>
    </row>
    <row r="43" spans="1:20" s="11" customFormat="1" x14ac:dyDescent="0.2">
      <c r="A43" s="68"/>
      <c r="T43" s="55"/>
    </row>
    <row r="44" spans="1:20" s="11" customFormat="1" x14ac:dyDescent="0.2">
      <c r="A44" s="73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0"/>
    </row>
  </sheetData>
  <dataConsolidate/>
  <mergeCells count="21">
    <mergeCell ref="S12:T12"/>
    <mergeCell ref="S13:T13"/>
    <mergeCell ref="S14:T14"/>
    <mergeCell ref="S15:T15"/>
    <mergeCell ref="S16:T16"/>
    <mergeCell ref="S36:T36"/>
    <mergeCell ref="S37:T37"/>
    <mergeCell ref="S38:T38"/>
    <mergeCell ref="S17:T17"/>
    <mergeCell ref="S18:T18"/>
    <mergeCell ref="S19:T19"/>
    <mergeCell ref="S20:T20"/>
    <mergeCell ref="S34:T34"/>
    <mergeCell ref="S35:T35"/>
    <mergeCell ref="S33:T33"/>
    <mergeCell ref="S29:T29"/>
    <mergeCell ref="S28:T28"/>
    <mergeCell ref="S21:T21"/>
    <mergeCell ref="S30:T30"/>
    <mergeCell ref="S31:T31"/>
    <mergeCell ref="S32:T3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5">
    <pageSetUpPr fitToPage="1"/>
  </sheetPr>
  <dimension ref="A1:V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114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323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526</v>
      </c>
      <c r="M8" s="33" t="s">
        <v>34</v>
      </c>
      <c r="N8" s="9" t="s">
        <v>526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115</v>
      </c>
      <c r="E11" s="43" t="s">
        <v>106</v>
      </c>
      <c r="F11" s="44"/>
      <c r="G11" s="28" t="s">
        <v>107</v>
      </c>
      <c r="H11" s="45" t="s">
        <v>434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44</v>
      </c>
      <c r="E12" s="50" t="s">
        <v>72</v>
      </c>
      <c r="F12" s="50"/>
      <c r="G12" s="51" t="s">
        <v>569</v>
      </c>
      <c r="H12" s="51" t="s">
        <v>397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73</v>
      </c>
      <c r="F13" s="50"/>
      <c r="G13" s="51" t="s">
        <v>570</v>
      </c>
      <c r="H13" s="51" t="s">
        <v>398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46</v>
      </c>
      <c r="E14" s="50" t="s">
        <v>30</v>
      </c>
      <c r="F14" s="50"/>
      <c r="G14" s="51" t="s">
        <v>571</v>
      </c>
      <c r="H14" s="51" t="s">
        <v>399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201</v>
      </c>
      <c r="E15" s="50" t="s">
        <v>30</v>
      </c>
      <c r="F15" s="50"/>
      <c r="G15" s="51" t="s">
        <v>572</v>
      </c>
      <c r="H15" s="51" t="s">
        <v>400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202</v>
      </c>
      <c r="E16" s="50" t="s">
        <v>30</v>
      </c>
      <c r="F16" s="50"/>
      <c r="G16" s="51" t="s">
        <v>573</v>
      </c>
      <c r="H16" s="51" t="s">
        <v>401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47</v>
      </c>
      <c r="E17" s="50" t="s">
        <v>30</v>
      </c>
      <c r="F17" s="50"/>
      <c r="G17" s="51" t="s">
        <v>574</v>
      </c>
      <c r="H17" s="51" t="s">
        <v>402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48</v>
      </c>
      <c r="E18" s="50" t="s">
        <v>30</v>
      </c>
      <c r="F18" s="50"/>
      <c r="G18" s="51" t="s">
        <v>575</v>
      </c>
      <c r="H18" s="51" t="s">
        <v>403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9">
        <v>10</v>
      </c>
      <c r="B19" s="9"/>
      <c r="C19" s="9"/>
      <c r="D19" s="9" t="s">
        <v>49</v>
      </c>
      <c r="E19" s="50" t="s">
        <v>30</v>
      </c>
      <c r="F19" s="50"/>
      <c r="G19" s="51" t="s">
        <v>576</v>
      </c>
      <c r="H19" s="51" t="s">
        <v>404</v>
      </c>
      <c r="I19" s="9" t="s">
        <v>43</v>
      </c>
      <c r="J19" s="9"/>
      <c r="K19" s="9" t="s">
        <v>314</v>
      </c>
      <c r="L19" s="9"/>
      <c r="M19" s="9" t="s">
        <v>314</v>
      </c>
      <c r="N19" s="9"/>
      <c r="O19" s="9"/>
      <c r="P19" s="9"/>
      <c r="Q19" s="9"/>
      <c r="R19" s="9"/>
      <c r="S19" s="40"/>
      <c r="T19" s="52"/>
      <c r="U19" s="134"/>
      <c r="V19" s="135"/>
    </row>
    <row r="20" spans="1:22" s="11" customFormat="1" x14ac:dyDescent="0.2">
      <c r="A20" s="9">
        <v>10</v>
      </c>
      <c r="B20" s="9"/>
      <c r="C20" s="9"/>
      <c r="D20" s="9" t="s">
        <v>50</v>
      </c>
      <c r="E20" s="50" t="s">
        <v>30</v>
      </c>
      <c r="F20" s="50"/>
      <c r="G20" s="51" t="s">
        <v>577</v>
      </c>
      <c r="H20" s="51" t="s">
        <v>405</v>
      </c>
      <c r="I20" s="9" t="s">
        <v>43</v>
      </c>
      <c r="J20" s="9"/>
      <c r="K20" s="9" t="s">
        <v>314</v>
      </c>
      <c r="L20" s="9"/>
      <c r="M20" s="9" t="s">
        <v>314</v>
      </c>
      <c r="N20" s="9"/>
      <c r="O20" s="9"/>
      <c r="P20" s="9"/>
      <c r="Q20" s="9"/>
      <c r="R20" s="9"/>
      <c r="S20" s="40"/>
      <c r="T20" s="52"/>
      <c r="U20" s="134"/>
      <c r="V20" s="135"/>
    </row>
    <row r="21" spans="1:22" s="11" customFormat="1" x14ac:dyDescent="0.2">
      <c r="A21" s="9">
        <v>10</v>
      </c>
      <c r="B21" s="9"/>
      <c r="C21" s="9"/>
      <c r="D21" s="9" t="s">
        <v>222</v>
      </c>
      <c r="E21" s="50" t="s">
        <v>223</v>
      </c>
      <c r="F21" s="50"/>
      <c r="G21" s="51" t="s">
        <v>578</v>
      </c>
      <c r="H21" s="51" t="s">
        <v>406</v>
      </c>
      <c r="I21" s="9" t="s">
        <v>43</v>
      </c>
      <c r="J21" s="9"/>
      <c r="K21" s="9" t="s">
        <v>314</v>
      </c>
      <c r="L21" s="9"/>
      <c r="M21" s="9" t="s">
        <v>314</v>
      </c>
      <c r="N21" s="9"/>
      <c r="O21" s="9"/>
      <c r="P21" s="9"/>
      <c r="Q21" s="9"/>
      <c r="R21" s="9"/>
      <c r="S21" s="40"/>
      <c r="T21" s="52"/>
      <c r="U21" s="134"/>
      <c r="V21" s="135"/>
    </row>
    <row r="22" spans="1:22" s="11" customFormat="1" x14ac:dyDescent="0.2">
      <c r="A22" s="9">
        <v>10</v>
      </c>
      <c r="B22" s="9"/>
      <c r="C22" s="9"/>
      <c r="D22" s="9" t="s">
        <v>233</v>
      </c>
      <c r="E22" s="50" t="s">
        <v>238</v>
      </c>
      <c r="F22" s="50"/>
      <c r="G22" s="51" t="s">
        <v>579</v>
      </c>
      <c r="H22" s="51" t="s">
        <v>407</v>
      </c>
      <c r="I22" s="9" t="s">
        <v>43</v>
      </c>
      <c r="J22" s="9"/>
      <c r="K22" s="9" t="s">
        <v>314</v>
      </c>
      <c r="L22" s="9"/>
      <c r="M22" s="9" t="s">
        <v>314</v>
      </c>
      <c r="N22" s="9"/>
      <c r="O22" s="9"/>
      <c r="P22" s="9"/>
      <c r="Q22" s="9"/>
      <c r="R22" s="9"/>
      <c r="S22" s="40"/>
      <c r="T22" s="52"/>
      <c r="U22" s="62"/>
      <c r="V22" s="63"/>
    </row>
    <row r="23" spans="1:22" s="11" customFormat="1" x14ac:dyDescent="0.2">
      <c r="A23" s="9">
        <v>10</v>
      </c>
      <c r="B23" s="9"/>
      <c r="C23" s="9"/>
      <c r="D23" s="9" t="s">
        <v>234</v>
      </c>
      <c r="E23" s="50" t="s">
        <v>239</v>
      </c>
      <c r="F23" s="50"/>
      <c r="G23" s="51" t="s">
        <v>580</v>
      </c>
      <c r="H23" s="51" t="s">
        <v>409</v>
      </c>
      <c r="I23" s="9" t="s">
        <v>43</v>
      </c>
      <c r="J23" s="9"/>
      <c r="K23" s="9" t="s">
        <v>314</v>
      </c>
      <c r="L23" s="9"/>
      <c r="M23" s="9" t="s">
        <v>314</v>
      </c>
      <c r="N23" s="9"/>
      <c r="O23" s="9"/>
      <c r="P23" s="9"/>
      <c r="Q23" s="9"/>
      <c r="R23" s="9"/>
      <c r="S23" s="40"/>
      <c r="T23" s="52"/>
      <c r="U23" s="62"/>
      <c r="V23" s="63"/>
    </row>
    <row r="24" spans="1:22" s="11" customFormat="1" x14ac:dyDescent="0.2">
      <c r="A24" s="9">
        <v>10</v>
      </c>
      <c r="B24" s="9"/>
      <c r="C24" s="9"/>
      <c r="D24" s="9" t="s">
        <v>235</v>
      </c>
      <c r="E24" s="50" t="s">
        <v>237</v>
      </c>
      <c r="F24" s="50"/>
      <c r="G24" s="51" t="s">
        <v>581</v>
      </c>
      <c r="H24" s="51" t="s">
        <v>411</v>
      </c>
      <c r="I24" s="9" t="s">
        <v>43</v>
      </c>
      <c r="J24" s="9"/>
      <c r="K24" s="9" t="s">
        <v>314</v>
      </c>
      <c r="L24" s="9"/>
      <c r="M24" s="9" t="s">
        <v>314</v>
      </c>
      <c r="N24" s="9"/>
      <c r="O24" s="9"/>
      <c r="P24" s="9"/>
      <c r="Q24" s="9"/>
      <c r="R24" s="9"/>
      <c r="S24" s="40"/>
      <c r="T24" s="52"/>
      <c r="U24" s="62"/>
      <c r="V24" s="63"/>
    </row>
    <row r="25" spans="1:22" s="11" customFormat="1" ht="26" x14ac:dyDescent="0.2">
      <c r="A25" s="9">
        <v>10</v>
      </c>
      <c r="B25" s="9"/>
      <c r="C25" s="9"/>
      <c r="D25" s="9" t="s">
        <v>387</v>
      </c>
      <c r="E25" s="50" t="s">
        <v>30</v>
      </c>
      <c r="F25" s="50"/>
      <c r="G25" s="51" t="s">
        <v>582</v>
      </c>
      <c r="H25" s="51" t="s">
        <v>412</v>
      </c>
      <c r="I25" s="9" t="s">
        <v>314</v>
      </c>
      <c r="J25" s="9"/>
      <c r="K25" s="9" t="s">
        <v>314</v>
      </c>
      <c r="L25" s="9"/>
      <c r="M25" s="9" t="s">
        <v>314</v>
      </c>
      <c r="N25" s="9"/>
      <c r="O25" s="9"/>
      <c r="P25" s="9"/>
      <c r="Q25" s="9"/>
      <c r="R25" s="9"/>
      <c r="S25" s="40"/>
      <c r="T25" s="52"/>
      <c r="U25" s="62"/>
      <c r="V25" s="63"/>
    </row>
    <row r="26" spans="1:22" s="11" customFormat="1" x14ac:dyDescent="0.2">
      <c r="A26" s="9">
        <v>10</v>
      </c>
      <c r="B26" s="9"/>
      <c r="C26" s="9"/>
      <c r="D26" s="9" t="s">
        <v>236</v>
      </c>
      <c r="E26" s="50" t="s">
        <v>237</v>
      </c>
      <c r="F26" s="50"/>
      <c r="G26" s="51" t="s">
        <v>583</v>
      </c>
      <c r="H26" s="51" t="s">
        <v>413</v>
      </c>
      <c r="I26" s="9" t="s">
        <v>43</v>
      </c>
      <c r="J26" s="9"/>
      <c r="K26" s="9" t="s">
        <v>314</v>
      </c>
      <c r="L26" s="9"/>
      <c r="M26" s="9" t="s">
        <v>314</v>
      </c>
      <c r="N26" s="9"/>
      <c r="O26" s="9"/>
      <c r="P26" s="9"/>
      <c r="Q26" s="9"/>
      <c r="R26" s="9"/>
      <c r="S26" s="40"/>
      <c r="T26" s="52"/>
      <c r="U26" s="62"/>
      <c r="V26" s="63"/>
    </row>
    <row r="27" spans="1:22" s="11" customFormat="1" ht="26" x14ac:dyDescent="0.2">
      <c r="A27" s="9">
        <v>10</v>
      </c>
      <c r="B27" s="9"/>
      <c r="C27" s="9"/>
      <c r="D27" s="9" t="s">
        <v>382</v>
      </c>
      <c r="E27" s="50" t="s">
        <v>237</v>
      </c>
      <c r="F27" s="50"/>
      <c r="G27" s="51" t="s">
        <v>584</v>
      </c>
      <c r="H27" s="51" t="s">
        <v>415</v>
      </c>
      <c r="I27" s="9" t="s">
        <v>314</v>
      </c>
      <c r="J27" s="9"/>
      <c r="K27" s="9" t="s">
        <v>314</v>
      </c>
      <c r="L27" s="9"/>
      <c r="M27" s="9" t="s">
        <v>314</v>
      </c>
      <c r="N27" s="9"/>
      <c r="O27" s="9"/>
      <c r="P27" s="9"/>
      <c r="Q27" s="9"/>
      <c r="R27" s="9"/>
      <c r="S27" s="40"/>
      <c r="T27" s="52"/>
      <c r="U27" s="62"/>
      <c r="V27" s="63"/>
    </row>
    <row r="28" spans="1:22" s="11" customFormat="1" x14ac:dyDescent="0.2">
      <c r="A28" s="9">
        <v>10</v>
      </c>
      <c r="B28" s="9"/>
      <c r="C28" s="9"/>
      <c r="D28" s="9" t="s">
        <v>224</v>
      </c>
      <c r="E28" s="50" t="s">
        <v>225</v>
      </c>
      <c r="F28" s="50"/>
      <c r="G28" s="51" t="s">
        <v>585</v>
      </c>
      <c r="H28" s="51" t="s">
        <v>417</v>
      </c>
      <c r="I28" s="9" t="s">
        <v>43</v>
      </c>
      <c r="J28" s="9"/>
      <c r="K28" s="9" t="s">
        <v>314</v>
      </c>
      <c r="L28" s="9"/>
      <c r="M28" s="9" t="s">
        <v>314</v>
      </c>
      <c r="N28" s="9"/>
      <c r="O28" s="9"/>
      <c r="P28" s="9"/>
      <c r="Q28" s="9"/>
      <c r="R28" s="9"/>
      <c r="S28" s="40"/>
      <c r="T28" s="52"/>
      <c r="U28" s="134"/>
      <c r="V28" s="135"/>
    </row>
    <row r="29" spans="1:22" s="11" customFormat="1" x14ac:dyDescent="0.2">
      <c r="A29" s="9">
        <v>10</v>
      </c>
      <c r="B29" s="9"/>
      <c r="C29" s="9"/>
      <c r="D29" s="9" t="s">
        <v>226</v>
      </c>
      <c r="E29" s="50" t="s">
        <v>227</v>
      </c>
      <c r="F29" s="50"/>
      <c r="G29" s="51" t="s">
        <v>586</v>
      </c>
      <c r="H29" s="51" t="s">
        <v>419</v>
      </c>
      <c r="I29" s="9" t="s">
        <v>43</v>
      </c>
      <c r="J29" s="9"/>
      <c r="K29" s="9" t="s">
        <v>314</v>
      </c>
      <c r="L29" s="9"/>
      <c r="M29" s="9" t="s">
        <v>314</v>
      </c>
      <c r="N29" s="9"/>
      <c r="O29" s="9"/>
      <c r="P29" s="9"/>
      <c r="Q29" s="9"/>
      <c r="R29" s="9"/>
      <c r="S29" s="40"/>
      <c r="T29" s="52"/>
      <c r="U29" s="134"/>
      <c r="V29" s="135"/>
    </row>
    <row r="30" spans="1:22" s="11" customFormat="1" ht="26" x14ac:dyDescent="0.2">
      <c r="A30" s="9">
        <v>10</v>
      </c>
      <c r="B30" s="9"/>
      <c r="C30" s="9"/>
      <c r="D30" s="9" t="s">
        <v>229</v>
      </c>
      <c r="E30" s="50" t="s">
        <v>232</v>
      </c>
      <c r="F30" s="50"/>
      <c r="G30" s="51" t="s">
        <v>587</v>
      </c>
      <c r="H30" s="51" t="s">
        <v>421</v>
      </c>
      <c r="I30" s="9" t="s">
        <v>43</v>
      </c>
      <c r="J30" s="9"/>
      <c r="K30" s="9" t="s">
        <v>314</v>
      </c>
      <c r="L30" s="9"/>
      <c r="M30" s="9" t="s">
        <v>314</v>
      </c>
      <c r="N30" s="9"/>
      <c r="O30" s="9"/>
      <c r="P30" s="9"/>
      <c r="Q30" s="9"/>
      <c r="R30" s="9"/>
      <c r="S30" s="40"/>
      <c r="T30" s="52"/>
      <c r="U30" s="134"/>
      <c r="V30" s="135"/>
    </row>
    <row r="31" spans="1:22" s="11" customFormat="1" x14ac:dyDescent="0.2">
      <c r="A31" s="9">
        <v>10</v>
      </c>
      <c r="B31" s="9"/>
      <c r="C31" s="9"/>
      <c r="D31" s="9" t="s">
        <v>221</v>
      </c>
      <c r="E31" s="50" t="s">
        <v>30</v>
      </c>
      <c r="F31" s="50"/>
      <c r="G31" s="51" t="s">
        <v>588</v>
      </c>
      <c r="H31" s="51" t="s">
        <v>423</v>
      </c>
      <c r="I31" s="9" t="s">
        <v>43</v>
      </c>
      <c r="J31" s="9"/>
      <c r="K31" s="9" t="s">
        <v>314</v>
      </c>
      <c r="L31" s="9"/>
      <c r="M31" s="9" t="s">
        <v>314</v>
      </c>
      <c r="N31" s="9"/>
      <c r="O31" s="9"/>
      <c r="P31" s="9"/>
      <c r="Q31" s="9"/>
      <c r="R31" s="9"/>
      <c r="S31" s="40"/>
      <c r="T31" s="52"/>
      <c r="U31" s="134"/>
      <c r="V31" s="135"/>
    </row>
    <row r="32" spans="1:22" s="11" customFormat="1" x14ac:dyDescent="0.2">
      <c r="A32" s="9">
        <v>10</v>
      </c>
      <c r="B32" s="9"/>
      <c r="C32" s="9"/>
      <c r="D32" s="9" t="s">
        <v>383</v>
      </c>
      <c r="E32" s="50" t="s">
        <v>384</v>
      </c>
      <c r="F32" s="50"/>
      <c r="G32" s="51" t="s">
        <v>589</v>
      </c>
      <c r="H32" s="51" t="s">
        <v>424</v>
      </c>
      <c r="I32" s="9" t="s">
        <v>43</v>
      </c>
      <c r="J32" s="9"/>
      <c r="K32" s="9" t="s">
        <v>314</v>
      </c>
      <c r="L32" s="9"/>
      <c r="M32" s="9" t="s">
        <v>314</v>
      </c>
      <c r="N32" s="9"/>
      <c r="O32" s="9"/>
      <c r="P32" s="9"/>
      <c r="Q32" s="9"/>
      <c r="R32" s="9"/>
      <c r="S32" s="40"/>
      <c r="T32" s="52"/>
      <c r="U32" s="134"/>
      <c r="V32" s="135"/>
    </row>
    <row r="33" spans="1:22" s="11" customFormat="1" x14ac:dyDescent="0.2">
      <c r="A33" s="9">
        <v>10</v>
      </c>
      <c r="B33" s="9"/>
      <c r="C33" s="9"/>
      <c r="D33" s="9" t="s">
        <v>385</v>
      </c>
      <c r="E33" s="50" t="s">
        <v>386</v>
      </c>
      <c r="F33" s="50"/>
      <c r="G33" s="51" t="s">
        <v>590</v>
      </c>
      <c r="H33" s="51" t="s">
        <v>426</v>
      </c>
      <c r="I33" s="9" t="s">
        <v>43</v>
      </c>
      <c r="J33" s="9"/>
      <c r="K33" s="9" t="s">
        <v>314</v>
      </c>
      <c r="L33" s="9"/>
      <c r="M33" s="9" t="s">
        <v>314</v>
      </c>
      <c r="N33" s="9"/>
      <c r="O33" s="9"/>
      <c r="P33" s="9"/>
      <c r="Q33" s="9"/>
      <c r="R33" s="9"/>
      <c r="S33" s="40"/>
      <c r="T33" s="52"/>
      <c r="U33" s="134"/>
      <c r="V33" s="135"/>
    </row>
    <row r="34" spans="1:22" s="11" customFormat="1" x14ac:dyDescent="0.2">
      <c r="A34" s="9">
        <v>10</v>
      </c>
      <c r="B34" s="9"/>
      <c r="C34" s="9"/>
      <c r="D34" s="9" t="s">
        <v>24</v>
      </c>
      <c r="E34" s="50" t="s">
        <v>25</v>
      </c>
      <c r="F34" s="50"/>
      <c r="G34" s="51" t="s">
        <v>591</v>
      </c>
      <c r="H34" s="51" t="s">
        <v>427</v>
      </c>
      <c r="I34" s="9" t="s">
        <v>43</v>
      </c>
      <c r="J34" s="9"/>
      <c r="K34" s="9" t="s">
        <v>314</v>
      </c>
      <c r="L34" s="9"/>
      <c r="M34" s="9" t="s">
        <v>314</v>
      </c>
      <c r="N34" s="9"/>
      <c r="O34" s="9"/>
      <c r="P34" s="9"/>
      <c r="Q34" s="9"/>
      <c r="R34" s="9"/>
      <c r="S34" s="40"/>
      <c r="T34" s="52"/>
      <c r="U34" s="134"/>
      <c r="V34" s="135"/>
    </row>
    <row r="35" spans="1:22" s="11" customFormat="1" x14ac:dyDescent="0.2">
      <c r="A35" s="9">
        <v>10</v>
      </c>
      <c r="B35" s="9"/>
      <c r="C35" s="9"/>
      <c r="D35" s="9" t="s">
        <v>28</v>
      </c>
      <c r="E35" s="50" t="s">
        <v>29</v>
      </c>
      <c r="F35" s="50"/>
      <c r="G35" s="51" t="s">
        <v>592</v>
      </c>
      <c r="H35" s="51" t="s">
        <v>428</v>
      </c>
      <c r="I35" s="9" t="s">
        <v>43</v>
      </c>
      <c r="J35" s="9"/>
      <c r="K35" s="9" t="s">
        <v>314</v>
      </c>
      <c r="L35" s="9"/>
      <c r="M35" s="9" t="s">
        <v>314</v>
      </c>
      <c r="N35" s="9"/>
      <c r="O35" s="9"/>
      <c r="P35" s="9"/>
      <c r="Q35" s="9"/>
      <c r="R35" s="9"/>
      <c r="S35" s="40"/>
      <c r="T35" s="52"/>
      <c r="U35" s="134"/>
      <c r="V35" s="135"/>
    </row>
    <row r="36" spans="1:22" s="11" customFormat="1" x14ac:dyDescent="0.2">
      <c r="A36" s="9">
        <v>10</v>
      </c>
      <c r="B36" s="9"/>
      <c r="C36" s="9"/>
      <c r="D36" s="9" t="s">
        <v>26</v>
      </c>
      <c r="E36" s="50" t="s">
        <v>27</v>
      </c>
      <c r="F36" s="50"/>
      <c r="G36" s="51" t="s">
        <v>593</v>
      </c>
      <c r="H36" s="51" t="s">
        <v>429</v>
      </c>
      <c r="I36" s="9" t="s">
        <v>43</v>
      </c>
      <c r="J36" s="9"/>
      <c r="K36" s="9" t="s">
        <v>314</v>
      </c>
      <c r="L36" s="9"/>
      <c r="M36" s="9" t="s">
        <v>314</v>
      </c>
      <c r="N36" s="9"/>
      <c r="O36" s="9"/>
      <c r="P36" s="9"/>
      <c r="Q36" s="9"/>
      <c r="R36" s="9"/>
      <c r="S36" s="40"/>
      <c r="T36" s="52"/>
      <c r="U36" s="134"/>
      <c r="V36" s="135"/>
    </row>
    <row r="37" spans="1:22" s="11" customFormat="1" x14ac:dyDescent="0.2">
      <c r="A37" s="9">
        <v>10</v>
      </c>
      <c r="B37" s="9"/>
      <c r="C37" s="9"/>
      <c r="D37" s="9" t="s">
        <v>35</v>
      </c>
      <c r="E37" s="50" t="s">
        <v>30</v>
      </c>
      <c r="F37" s="50"/>
      <c r="G37" s="51" t="s">
        <v>594</v>
      </c>
      <c r="H37" s="51" t="s">
        <v>430</v>
      </c>
      <c r="I37" s="9" t="s">
        <v>43</v>
      </c>
      <c r="J37" s="9"/>
      <c r="K37" s="9" t="s">
        <v>314</v>
      </c>
      <c r="L37" s="9"/>
      <c r="M37" s="9" t="s">
        <v>314</v>
      </c>
      <c r="N37" s="9"/>
      <c r="O37" s="9"/>
      <c r="P37" s="9"/>
      <c r="Q37" s="9"/>
      <c r="R37" s="9"/>
      <c r="S37" s="40"/>
      <c r="T37" s="52"/>
      <c r="U37" s="134"/>
      <c r="V37" s="135"/>
    </row>
    <row r="38" spans="1:22" s="11" customFormat="1" x14ac:dyDescent="0.2">
      <c r="A38" s="9">
        <v>10</v>
      </c>
      <c r="B38" s="9"/>
      <c r="C38" s="9"/>
      <c r="D38" s="9" t="s">
        <v>36</v>
      </c>
      <c r="E38" s="50" t="s">
        <v>37</v>
      </c>
      <c r="F38" s="50"/>
      <c r="G38" s="51" t="s">
        <v>595</v>
      </c>
      <c r="H38" s="51" t="s">
        <v>431</v>
      </c>
      <c r="I38" s="9" t="s">
        <v>43</v>
      </c>
      <c r="J38" s="9"/>
      <c r="K38" s="9" t="s">
        <v>314</v>
      </c>
      <c r="L38" s="9"/>
      <c r="M38" s="9" t="s">
        <v>314</v>
      </c>
      <c r="N38" s="9"/>
      <c r="O38" s="9"/>
      <c r="P38" s="9"/>
      <c r="Q38" s="9"/>
      <c r="R38" s="9"/>
      <c r="S38" s="40"/>
      <c r="T38" s="52"/>
      <c r="U38" s="134"/>
      <c r="V38" s="135"/>
    </row>
    <row r="39" spans="1:22" s="11" customFormat="1" x14ac:dyDescent="0.2">
      <c r="A39" s="53"/>
      <c r="B39" s="54"/>
      <c r="C39" s="54"/>
      <c r="D39" s="27" t="s">
        <v>1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4"/>
      <c r="T39" s="4"/>
      <c r="U39" s="6"/>
      <c r="V39" s="23"/>
    </row>
    <row r="40" spans="1:22" s="11" customFormat="1" x14ac:dyDescent="0.2">
      <c r="A40" s="68"/>
      <c r="V40" s="55"/>
    </row>
    <row r="41" spans="1:22" s="11" customFormat="1" x14ac:dyDescent="0.2">
      <c r="A41" s="68"/>
      <c r="V41" s="55"/>
    </row>
    <row r="42" spans="1:22" s="11" customFormat="1" x14ac:dyDescent="0.2">
      <c r="A42" s="68"/>
      <c r="V42" s="55"/>
    </row>
    <row r="43" spans="1:22" s="11" customFormat="1" x14ac:dyDescent="0.2">
      <c r="A43" s="73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20"/>
    </row>
  </sheetData>
  <dataConsolidate/>
  <mergeCells count="21">
    <mergeCell ref="U12:V12"/>
    <mergeCell ref="U13:V13"/>
    <mergeCell ref="U14:V14"/>
    <mergeCell ref="U15:V15"/>
    <mergeCell ref="U16:V16"/>
    <mergeCell ref="U36:V36"/>
    <mergeCell ref="U37:V37"/>
    <mergeCell ref="U38:V38"/>
    <mergeCell ref="U17:V17"/>
    <mergeCell ref="U18:V18"/>
    <mergeCell ref="U19:V19"/>
    <mergeCell ref="U20:V20"/>
    <mergeCell ref="U34:V34"/>
    <mergeCell ref="U35:V35"/>
    <mergeCell ref="U33:V33"/>
    <mergeCell ref="U21:V21"/>
    <mergeCell ref="U28:V28"/>
    <mergeCell ref="U29:V29"/>
    <mergeCell ref="U30:V30"/>
    <mergeCell ref="U31:V31"/>
    <mergeCell ref="U32:V3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116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324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 t="s">
        <v>195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 t="s">
        <v>527</v>
      </c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117</v>
      </c>
      <c r="E11" s="43" t="s">
        <v>32</v>
      </c>
      <c r="F11" s="44"/>
      <c r="G11" s="28" t="s">
        <v>214</v>
      </c>
      <c r="H11" s="45" t="s">
        <v>436</v>
      </c>
      <c r="I11" s="46"/>
      <c r="J11" s="47"/>
      <c r="K11" s="48"/>
      <c r="L11" s="48" t="s">
        <v>435</v>
      </c>
      <c r="M11" s="48"/>
      <c r="N11" s="34"/>
      <c r="O11" s="35"/>
      <c r="P11" s="62"/>
      <c r="Q11" s="49"/>
    </row>
    <row r="12" spans="1:17" s="11" customFormat="1" ht="26" x14ac:dyDescent="0.2">
      <c r="A12" s="9">
        <v>10</v>
      </c>
      <c r="B12" s="9"/>
      <c r="C12" s="9"/>
      <c r="D12" s="9" t="s">
        <v>44</v>
      </c>
      <c r="E12" s="50" t="s">
        <v>72</v>
      </c>
      <c r="F12" s="50"/>
      <c r="G12" s="51" t="s">
        <v>569</v>
      </c>
      <c r="H12" s="51" t="s">
        <v>437</v>
      </c>
      <c r="I12" s="9" t="s">
        <v>43</v>
      </c>
      <c r="J12" s="9"/>
      <c r="K12" s="9" t="s">
        <v>314</v>
      </c>
      <c r="L12" s="9" t="s">
        <v>314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ht="26" x14ac:dyDescent="0.2">
      <c r="A14" s="9">
        <v>10</v>
      </c>
      <c r="B14" s="9"/>
      <c r="C14" s="9"/>
      <c r="D14" s="9" t="s">
        <v>45</v>
      </c>
      <c r="E14" s="50" t="s">
        <v>73</v>
      </c>
      <c r="F14" s="50"/>
      <c r="G14" s="51" t="s">
        <v>597</v>
      </c>
      <c r="H14" s="51" t="s">
        <v>439</v>
      </c>
      <c r="I14" s="9" t="s">
        <v>43</v>
      </c>
      <c r="J14" s="9"/>
      <c r="K14" s="9" t="s">
        <v>314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118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325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120</v>
      </c>
      <c r="M8" s="33" t="s">
        <v>34</v>
      </c>
      <c r="N8" s="9" t="s">
        <v>120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119</v>
      </c>
      <c r="E11" s="43" t="s">
        <v>106</v>
      </c>
      <c r="F11" s="44"/>
      <c r="G11" s="28" t="s">
        <v>107</v>
      </c>
      <c r="H11" s="45" t="s">
        <v>440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44</v>
      </c>
      <c r="E12" s="50" t="s">
        <v>72</v>
      </c>
      <c r="F12" s="50"/>
      <c r="G12" s="51" t="s">
        <v>569</v>
      </c>
      <c r="H12" s="51" t="s">
        <v>437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45</v>
      </c>
      <c r="E14" s="50" t="s">
        <v>73</v>
      </c>
      <c r="F14" s="50"/>
      <c r="G14" s="51" t="s">
        <v>597</v>
      </c>
      <c r="H14" s="51" t="s">
        <v>439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258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257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326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252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198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254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251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ht="26" x14ac:dyDescent="0.2">
      <c r="A12" s="9">
        <v>10</v>
      </c>
      <c r="B12" s="9"/>
      <c r="C12" s="9"/>
      <c r="D12" s="9" t="s">
        <v>44</v>
      </c>
      <c r="E12" s="50" t="s">
        <v>72</v>
      </c>
      <c r="F12" s="50"/>
      <c r="G12" s="51" t="s">
        <v>569</v>
      </c>
      <c r="H12" s="51" t="s">
        <v>397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8"/>
      <c r="Q15" s="55"/>
    </row>
    <row r="16" spans="1:17" s="11" customFormat="1" x14ac:dyDescent="0.2">
      <c r="A16" s="68"/>
      <c r="Q16" s="55"/>
    </row>
    <row r="17" spans="1:17" s="11" customFormat="1" x14ac:dyDescent="0.2">
      <c r="A17" s="68"/>
      <c r="Q17" s="55"/>
    </row>
    <row r="18" spans="1:17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270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269</v>
      </c>
      <c r="K3" s="7" t="s">
        <v>22</v>
      </c>
      <c r="L3" s="67" t="str">
        <f>IF(LogicCommon!G3="","",LogicCommon!G3)</f>
        <v/>
      </c>
      <c r="M3" s="71" t="s">
        <v>256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268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327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255</v>
      </c>
      <c r="B7" s="30"/>
      <c r="C7" s="30"/>
      <c r="D7" s="31"/>
      <c r="E7" s="31"/>
      <c r="F7" s="31"/>
      <c r="G7" s="31"/>
      <c r="H7" s="31"/>
      <c r="I7" s="31" t="s">
        <v>267</v>
      </c>
      <c r="J7" s="31"/>
      <c r="K7" s="33" t="s">
        <v>266</v>
      </c>
      <c r="L7" s="32" t="s">
        <v>264</v>
      </c>
      <c r="M7" s="33" t="s">
        <v>33</v>
      </c>
      <c r="N7" s="32" t="s">
        <v>263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262</v>
      </c>
      <c r="L8" s="9" t="s">
        <v>526</v>
      </c>
      <c r="M8" s="33" t="s">
        <v>34</v>
      </c>
      <c r="N8" s="9" t="s">
        <v>120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261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260</v>
      </c>
      <c r="E11" s="43" t="s">
        <v>259</v>
      </c>
      <c r="F11" s="44"/>
      <c r="G11" s="28" t="s">
        <v>107</v>
      </c>
      <c r="H11" s="45" t="s">
        <v>441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44</v>
      </c>
      <c r="E12" s="50" t="s">
        <v>72</v>
      </c>
      <c r="F12" s="50"/>
      <c r="G12" s="51" t="s">
        <v>569</v>
      </c>
      <c r="H12" s="51" t="s">
        <v>397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 t="s">
        <v>314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8"/>
      <c r="V15" s="55"/>
    </row>
    <row r="16" spans="1:22" s="11" customFormat="1" x14ac:dyDescent="0.2">
      <c r="A16" s="68"/>
      <c r="V16" s="55"/>
    </row>
    <row r="17" spans="1:22" s="11" customFormat="1" x14ac:dyDescent="0.2">
      <c r="A17" s="68"/>
      <c r="V17" s="55"/>
    </row>
    <row r="18" spans="1:22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8">
    <pageSetUpPr fitToPage="1"/>
  </sheetPr>
  <dimension ref="A1:Q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121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328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122</v>
      </c>
      <c r="E11" s="43" t="s">
        <v>32</v>
      </c>
      <c r="F11" s="44"/>
      <c r="G11" s="28" t="s">
        <v>214</v>
      </c>
      <c r="H11" s="45" t="s">
        <v>528</v>
      </c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51</v>
      </c>
      <c r="E12" s="50" t="s">
        <v>74</v>
      </c>
      <c r="F12" s="50"/>
      <c r="G12" s="51" t="s">
        <v>598</v>
      </c>
      <c r="H12" s="51" t="s">
        <v>442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52</v>
      </c>
      <c r="E13" s="50" t="s">
        <v>75</v>
      </c>
      <c r="F13" s="50"/>
      <c r="G13" s="51" t="s">
        <v>599</v>
      </c>
      <c r="H13" s="51" t="s">
        <v>443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53</v>
      </c>
      <c r="E14" s="50" t="s">
        <v>76</v>
      </c>
      <c r="F14" s="50"/>
      <c r="G14" s="51" t="s">
        <v>600</v>
      </c>
      <c r="H14" s="51" t="s">
        <v>444</v>
      </c>
      <c r="I14" s="9" t="s">
        <v>43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594</v>
      </c>
      <c r="H18" s="51" t="s">
        <v>430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595</v>
      </c>
      <c r="H19" s="51" t="s">
        <v>431</v>
      </c>
      <c r="I19" s="9" t="s">
        <v>43</v>
      </c>
      <c r="J19" s="9"/>
      <c r="K19" s="9"/>
      <c r="L19" s="9"/>
      <c r="M19" s="9"/>
      <c r="N19" s="40"/>
      <c r="O19" s="52"/>
      <c r="P19" s="134"/>
      <c r="Q19" s="135"/>
    </row>
    <row r="20" spans="1:17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68"/>
      <c r="Q23" s="55"/>
    </row>
    <row r="24" spans="1:17" s="11" customFormat="1" x14ac:dyDescent="0.2">
      <c r="A24" s="7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8">
    <mergeCell ref="P17:Q17"/>
    <mergeCell ref="P18:Q18"/>
    <mergeCell ref="P19:Q19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9"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123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329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529</v>
      </c>
      <c r="M8" s="33" t="s">
        <v>34</v>
      </c>
      <c r="N8" s="9" t="s">
        <v>529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124</v>
      </c>
      <c r="E11" s="43" t="s">
        <v>106</v>
      </c>
      <c r="F11" s="44"/>
      <c r="G11" s="28" t="s">
        <v>107</v>
      </c>
      <c r="H11" s="45" t="s">
        <v>445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51</v>
      </c>
      <c r="E12" s="50" t="s">
        <v>74</v>
      </c>
      <c r="F12" s="50"/>
      <c r="G12" s="51" t="s">
        <v>598</v>
      </c>
      <c r="H12" s="51" t="s">
        <v>442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52</v>
      </c>
      <c r="E13" s="50" t="s">
        <v>75</v>
      </c>
      <c r="F13" s="50"/>
      <c r="G13" s="51" t="s">
        <v>599</v>
      </c>
      <c r="H13" s="51" t="s">
        <v>443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53</v>
      </c>
      <c r="E14" s="50" t="s">
        <v>76</v>
      </c>
      <c r="F14" s="50"/>
      <c r="G14" s="51" t="s">
        <v>600</v>
      </c>
      <c r="H14" s="51" t="s">
        <v>444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594</v>
      </c>
      <c r="H18" s="51" t="s">
        <v>430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595</v>
      </c>
      <c r="H19" s="51" t="s">
        <v>431</v>
      </c>
      <c r="I19" s="9" t="s">
        <v>43</v>
      </c>
      <c r="J19" s="9"/>
      <c r="K19" s="9" t="s">
        <v>314</v>
      </c>
      <c r="L19" s="9"/>
      <c r="M19" s="9" t="s">
        <v>314</v>
      </c>
      <c r="N19" s="9"/>
      <c r="O19" s="9"/>
      <c r="P19" s="9"/>
      <c r="Q19" s="9"/>
      <c r="R19" s="9"/>
      <c r="S19" s="40"/>
      <c r="T19" s="52"/>
      <c r="U19" s="134"/>
      <c r="V19" s="135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68"/>
      <c r="V23" s="55"/>
    </row>
    <row r="24" spans="1:22" s="11" customFormat="1" x14ac:dyDescent="0.2">
      <c r="A24" s="7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125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330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 t="s">
        <v>195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 t="s">
        <v>530</v>
      </c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126</v>
      </c>
      <c r="E11" s="43" t="s">
        <v>32</v>
      </c>
      <c r="F11" s="44"/>
      <c r="G11" s="28" t="s">
        <v>214</v>
      </c>
      <c r="H11" s="45" t="s">
        <v>446</v>
      </c>
      <c r="I11" s="46"/>
      <c r="J11" s="47"/>
      <c r="K11" s="48"/>
      <c r="L11" s="48" t="s">
        <v>435</v>
      </c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51</v>
      </c>
      <c r="E12" s="50" t="s">
        <v>74</v>
      </c>
      <c r="F12" s="50"/>
      <c r="G12" s="51" t="s">
        <v>598</v>
      </c>
      <c r="H12" s="51" t="s">
        <v>442</v>
      </c>
      <c r="I12" s="9" t="s">
        <v>43</v>
      </c>
      <c r="J12" s="9"/>
      <c r="K12" s="9" t="s">
        <v>314</v>
      </c>
      <c r="L12" s="9" t="s">
        <v>314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52</v>
      </c>
      <c r="E14" s="50" t="s">
        <v>75</v>
      </c>
      <c r="F14" s="50"/>
      <c r="G14" s="51" t="s">
        <v>601</v>
      </c>
      <c r="H14" s="51" t="s">
        <v>447</v>
      </c>
      <c r="I14" s="9" t="s">
        <v>43</v>
      </c>
      <c r="J14" s="9"/>
      <c r="K14" s="9" t="s">
        <v>314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1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127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331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129</v>
      </c>
      <c r="M8" s="33" t="s">
        <v>34</v>
      </c>
      <c r="N8" s="9" t="s">
        <v>129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128</v>
      </c>
      <c r="E11" s="43" t="s">
        <v>106</v>
      </c>
      <c r="F11" s="44"/>
      <c r="G11" s="28" t="s">
        <v>107</v>
      </c>
      <c r="H11" s="45" t="s">
        <v>448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51</v>
      </c>
      <c r="E12" s="50" t="s">
        <v>74</v>
      </c>
      <c r="F12" s="50"/>
      <c r="G12" s="51" t="s">
        <v>598</v>
      </c>
      <c r="H12" s="51" t="s">
        <v>442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52</v>
      </c>
      <c r="E14" s="50" t="s">
        <v>75</v>
      </c>
      <c r="F14" s="50"/>
      <c r="G14" s="51" t="s">
        <v>601</v>
      </c>
      <c r="H14" s="51" t="s">
        <v>447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272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256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332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252</v>
      </c>
      <c r="B7" s="30"/>
      <c r="C7" s="30"/>
      <c r="D7" s="31"/>
      <c r="E7" s="31"/>
      <c r="F7" s="31"/>
      <c r="G7" s="31"/>
      <c r="H7" s="31"/>
      <c r="I7" s="31" t="s">
        <v>267</v>
      </c>
      <c r="J7" s="31"/>
      <c r="K7" s="32" t="s">
        <v>198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254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271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51</v>
      </c>
      <c r="E12" s="50" t="s">
        <v>74</v>
      </c>
      <c r="F12" s="50"/>
      <c r="G12" s="51" t="s">
        <v>598</v>
      </c>
      <c r="H12" s="51" t="s">
        <v>449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8"/>
      <c r="Q15" s="55"/>
    </row>
    <row r="16" spans="1:17" s="11" customFormat="1" x14ac:dyDescent="0.2">
      <c r="A16" s="68"/>
      <c r="Q16" s="55"/>
    </row>
    <row r="17" spans="1:17" s="11" customFormat="1" x14ac:dyDescent="0.2">
      <c r="A17" s="68"/>
      <c r="Q17" s="55"/>
    </row>
    <row r="18" spans="1:17" s="11" customFormat="1" x14ac:dyDescent="0.2">
      <c r="A18" s="68"/>
      <c r="Q18" s="55"/>
    </row>
    <row r="19" spans="1:17" s="11" customFormat="1" x14ac:dyDescent="0.2">
      <c r="A19" s="73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277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276</v>
      </c>
      <c r="K3" s="7" t="s">
        <v>22</v>
      </c>
      <c r="L3" s="67" t="str">
        <f>IF(LogicCommon!G3="","",LogicCommon!G3)</f>
        <v/>
      </c>
      <c r="M3" s="71" t="s">
        <v>256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268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333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252</v>
      </c>
      <c r="B7" s="30"/>
      <c r="C7" s="30"/>
      <c r="D7" s="31"/>
      <c r="E7" s="31"/>
      <c r="F7" s="31"/>
      <c r="G7" s="31"/>
      <c r="H7" s="31"/>
      <c r="I7" s="31" t="s">
        <v>275</v>
      </c>
      <c r="J7" s="31"/>
      <c r="K7" s="33" t="s">
        <v>274</v>
      </c>
      <c r="L7" s="32" t="s">
        <v>264</v>
      </c>
      <c r="M7" s="33" t="s">
        <v>33</v>
      </c>
      <c r="N7" s="32" t="s">
        <v>263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262</v>
      </c>
      <c r="L8" s="9" t="s">
        <v>529</v>
      </c>
      <c r="M8" s="33" t="s">
        <v>34</v>
      </c>
      <c r="N8" s="9" t="s">
        <v>129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273</v>
      </c>
      <c r="E11" s="43" t="s">
        <v>259</v>
      </c>
      <c r="F11" s="44"/>
      <c r="G11" s="28" t="s">
        <v>107</v>
      </c>
      <c r="H11" s="45" t="s">
        <v>450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51</v>
      </c>
      <c r="E12" s="50" t="s">
        <v>74</v>
      </c>
      <c r="F12" s="50"/>
      <c r="G12" s="51" t="s">
        <v>598</v>
      </c>
      <c r="H12" s="51" t="s">
        <v>449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 t="s">
        <v>314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8"/>
      <c r="V15" s="55"/>
    </row>
    <row r="16" spans="1:22" s="11" customFormat="1" x14ac:dyDescent="0.2">
      <c r="A16" s="68"/>
      <c r="V16" s="55"/>
    </row>
    <row r="17" spans="1:22" s="11" customFormat="1" x14ac:dyDescent="0.2">
      <c r="A17" s="68"/>
      <c r="V17" s="55"/>
    </row>
    <row r="18" spans="1:22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92">
    <pageSetUpPr fitToPage="1"/>
  </sheetPr>
  <dimension ref="A1:S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15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9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</row>
    <row r="2" spans="1:19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130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  <c r="R2" s="4"/>
      <c r="S2" s="27"/>
    </row>
    <row r="3" spans="1:19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4"/>
      <c r="S3" s="27"/>
    </row>
    <row r="4" spans="1:19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4"/>
      <c r="S4" s="27"/>
    </row>
    <row r="5" spans="1:19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4"/>
      <c r="S5" s="27"/>
    </row>
    <row r="6" spans="1:19" s="11" customFormat="1" x14ac:dyDescent="0.2">
      <c r="A6" s="68" t="s">
        <v>389</v>
      </c>
      <c r="B6" s="69"/>
      <c r="C6" s="69"/>
      <c r="D6" s="4" t="s">
        <v>5</v>
      </c>
      <c r="E6" s="16" t="s">
        <v>334</v>
      </c>
      <c r="F6" s="16"/>
      <c r="G6" s="16"/>
      <c r="H6" s="16"/>
      <c r="I6" s="16"/>
      <c r="J6" s="16"/>
      <c r="K6" s="16"/>
      <c r="L6" s="75"/>
      <c r="M6" s="19"/>
      <c r="N6" s="19"/>
      <c r="O6" s="19" t="s">
        <v>433</v>
      </c>
      <c r="P6" s="19"/>
      <c r="Q6" s="19"/>
      <c r="R6" s="29"/>
      <c r="S6" s="27"/>
    </row>
    <row r="7" spans="1:19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2" t="s">
        <v>198</v>
      </c>
      <c r="M7" s="32" t="s">
        <v>220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9" t="s">
        <v>199</v>
      </c>
      <c r="M8" s="9" t="s">
        <v>219</v>
      </c>
      <c r="N8" s="33" t="s">
        <v>34</v>
      </c>
      <c r="O8" s="9"/>
      <c r="P8" s="82"/>
      <c r="Q8" s="83"/>
      <c r="R8" s="84" t="s">
        <v>559</v>
      </c>
      <c r="S8" s="52"/>
    </row>
    <row r="9" spans="1:19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84" t="s">
        <v>567</v>
      </c>
      <c r="Q9" s="52"/>
      <c r="R9" s="84" t="s">
        <v>568</v>
      </c>
      <c r="S9" s="52"/>
    </row>
    <row r="10" spans="1:19" s="11" customFormat="1" ht="39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79" t="s">
        <v>565</v>
      </c>
      <c r="O10" s="79" t="s">
        <v>566</v>
      </c>
      <c r="P10" s="41"/>
      <c r="Q10" s="41"/>
      <c r="R10" s="42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131</v>
      </c>
      <c r="E11" s="43" t="s">
        <v>32</v>
      </c>
      <c r="F11" s="44"/>
      <c r="G11" s="28" t="s">
        <v>214</v>
      </c>
      <c r="H11" s="45" t="s">
        <v>531</v>
      </c>
      <c r="I11" s="46"/>
      <c r="J11" s="47"/>
      <c r="K11" s="48"/>
      <c r="L11" s="48"/>
      <c r="M11" s="60"/>
      <c r="N11" s="48"/>
      <c r="O11" s="48"/>
      <c r="P11" s="34"/>
      <c r="Q11" s="35"/>
      <c r="R11" s="62"/>
      <c r="S11" s="49"/>
    </row>
    <row r="12" spans="1:19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602</v>
      </c>
      <c r="H12" s="51" t="s">
        <v>451</v>
      </c>
      <c r="I12" s="9" t="s">
        <v>43</v>
      </c>
      <c r="J12" s="9"/>
      <c r="K12" s="9" t="s">
        <v>314</v>
      </c>
      <c r="L12" s="9"/>
      <c r="M12" s="61"/>
      <c r="N12" s="9"/>
      <c r="O12" s="9"/>
      <c r="P12" s="40"/>
      <c r="Q12" s="52"/>
      <c r="R12" s="134"/>
      <c r="S12" s="135"/>
    </row>
    <row r="13" spans="1:19" s="11" customFormat="1" x14ac:dyDescent="0.2">
      <c r="A13" s="9">
        <v>10</v>
      </c>
      <c r="B13" s="9"/>
      <c r="C13" s="9"/>
      <c r="D13" s="9" t="s">
        <v>55</v>
      </c>
      <c r="E13" s="50" t="s">
        <v>78</v>
      </c>
      <c r="F13" s="50"/>
      <c r="G13" s="51" t="s">
        <v>603</v>
      </c>
      <c r="H13" s="51" t="s">
        <v>452</v>
      </c>
      <c r="I13" s="9" t="s">
        <v>43</v>
      </c>
      <c r="J13" s="9"/>
      <c r="K13" s="9" t="s">
        <v>314</v>
      </c>
      <c r="L13" s="9"/>
      <c r="M13" s="61"/>
      <c r="N13" s="9"/>
      <c r="O13" s="9"/>
      <c r="P13" s="40"/>
      <c r="Q13" s="52"/>
      <c r="R13" s="134"/>
      <c r="S13" s="135"/>
    </row>
    <row r="14" spans="1:19" s="11" customFormat="1" x14ac:dyDescent="0.2">
      <c r="A14" s="9">
        <v>10</v>
      </c>
      <c r="B14" s="9"/>
      <c r="C14" s="9"/>
      <c r="D14" s="9" t="s">
        <v>196</v>
      </c>
      <c r="E14" s="50" t="s">
        <v>197</v>
      </c>
      <c r="F14" s="50"/>
      <c r="G14" s="51" t="s">
        <v>604</v>
      </c>
      <c r="H14" s="51" t="s">
        <v>453</v>
      </c>
      <c r="I14" s="9" t="s">
        <v>314</v>
      </c>
      <c r="J14" s="9"/>
      <c r="K14" s="9" t="s">
        <v>314</v>
      </c>
      <c r="L14" s="9"/>
      <c r="M14" s="61"/>
      <c r="N14" s="9"/>
      <c r="O14" s="9"/>
      <c r="P14" s="40"/>
      <c r="Q14" s="52"/>
      <c r="R14" s="62"/>
      <c r="S14" s="63"/>
    </row>
    <row r="15" spans="1:19" s="11" customFormat="1" x14ac:dyDescent="0.2">
      <c r="A15" s="9">
        <v>10</v>
      </c>
      <c r="B15" s="9"/>
      <c r="C15" s="9"/>
      <c r="D15" s="9" t="s">
        <v>132</v>
      </c>
      <c r="E15" s="50" t="s">
        <v>71</v>
      </c>
      <c r="F15" s="50"/>
      <c r="G15" s="51" t="s">
        <v>605</v>
      </c>
      <c r="H15" s="51" t="s">
        <v>454</v>
      </c>
      <c r="I15" s="9" t="s">
        <v>43</v>
      </c>
      <c r="J15" s="9"/>
      <c r="K15" s="9" t="s">
        <v>314</v>
      </c>
      <c r="L15" s="9"/>
      <c r="M15" s="76" t="s">
        <v>520</v>
      </c>
      <c r="N15" s="9"/>
      <c r="O15" s="9"/>
      <c r="P15" s="40"/>
      <c r="Q15" s="52"/>
      <c r="R15" s="134"/>
      <c r="S15" s="135"/>
    </row>
    <row r="16" spans="1:19" s="11" customFormat="1" x14ac:dyDescent="0.2">
      <c r="A16" s="9">
        <v>10</v>
      </c>
      <c r="B16" s="9"/>
      <c r="C16" s="9"/>
      <c r="D16" s="9" t="s">
        <v>56</v>
      </c>
      <c r="E16" s="50" t="s">
        <v>79</v>
      </c>
      <c r="F16" s="50"/>
      <c r="G16" s="51" t="s">
        <v>606</v>
      </c>
      <c r="H16" s="51" t="s">
        <v>455</v>
      </c>
      <c r="I16" s="9" t="s">
        <v>43</v>
      </c>
      <c r="J16" s="9"/>
      <c r="K16" s="9" t="s">
        <v>314</v>
      </c>
      <c r="L16" s="9" t="s">
        <v>521</v>
      </c>
      <c r="M16" s="61"/>
      <c r="N16" s="9"/>
      <c r="O16" s="9"/>
      <c r="P16" s="40"/>
      <c r="Q16" s="52"/>
      <c r="R16" s="134"/>
      <c r="S16" s="135"/>
    </row>
    <row r="17" spans="1:19" s="11" customFormat="1" x14ac:dyDescent="0.2">
      <c r="A17" s="9">
        <v>10</v>
      </c>
      <c r="B17" s="9"/>
      <c r="C17" s="9"/>
      <c r="D17" s="9" t="s">
        <v>24</v>
      </c>
      <c r="E17" s="50" t="s">
        <v>25</v>
      </c>
      <c r="F17" s="50"/>
      <c r="G17" s="51" t="s">
        <v>591</v>
      </c>
      <c r="H17" s="51" t="s">
        <v>427</v>
      </c>
      <c r="I17" s="9" t="s">
        <v>43</v>
      </c>
      <c r="J17" s="9"/>
      <c r="K17" s="9"/>
      <c r="L17" s="9"/>
      <c r="M17" s="61"/>
      <c r="N17" s="9"/>
      <c r="O17" s="9"/>
      <c r="P17" s="40"/>
      <c r="Q17" s="52"/>
      <c r="R17" s="134"/>
      <c r="S17" s="135"/>
    </row>
    <row r="18" spans="1:19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592</v>
      </c>
      <c r="H18" s="51" t="s">
        <v>428</v>
      </c>
      <c r="I18" s="9" t="s">
        <v>43</v>
      </c>
      <c r="J18" s="9"/>
      <c r="K18" s="9"/>
      <c r="L18" s="9"/>
      <c r="M18" s="61"/>
      <c r="N18" s="9"/>
      <c r="O18" s="9"/>
      <c r="P18" s="40"/>
      <c r="Q18" s="52"/>
      <c r="R18" s="134"/>
      <c r="S18" s="135"/>
    </row>
    <row r="19" spans="1:19" s="11" customFormat="1" x14ac:dyDescent="0.2">
      <c r="A19" s="9">
        <v>10</v>
      </c>
      <c r="B19" s="9"/>
      <c r="C19" s="9"/>
      <c r="D19" s="9" t="s">
        <v>26</v>
      </c>
      <c r="E19" s="50" t="s">
        <v>27</v>
      </c>
      <c r="F19" s="50"/>
      <c r="G19" s="51" t="s">
        <v>593</v>
      </c>
      <c r="H19" s="51" t="s">
        <v>429</v>
      </c>
      <c r="I19" s="9" t="s">
        <v>43</v>
      </c>
      <c r="J19" s="9"/>
      <c r="K19" s="9"/>
      <c r="L19" s="9"/>
      <c r="M19" s="61"/>
      <c r="N19" s="9"/>
      <c r="O19" s="9"/>
      <c r="P19" s="40"/>
      <c r="Q19" s="52"/>
      <c r="R19" s="134"/>
      <c r="S19" s="135"/>
    </row>
    <row r="20" spans="1:19" s="11" customFormat="1" x14ac:dyDescent="0.2">
      <c r="A20" s="9">
        <v>10</v>
      </c>
      <c r="B20" s="9"/>
      <c r="C20" s="9"/>
      <c r="D20" s="9" t="s">
        <v>35</v>
      </c>
      <c r="E20" s="50" t="s">
        <v>30</v>
      </c>
      <c r="F20" s="50"/>
      <c r="G20" s="51" t="s">
        <v>594</v>
      </c>
      <c r="H20" s="51" t="s">
        <v>430</v>
      </c>
      <c r="I20" s="9" t="s">
        <v>43</v>
      </c>
      <c r="J20" s="9"/>
      <c r="K20" s="9"/>
      <c r="L20" s="9"/>
      <c r="M20" s="61"/>
      <c r="N20" s="9"/>
      <c r="O20" s="9"/>
      <c r="P20" s="40"/>
      <c r="Q20" s="52"/>
      <c r="R20" s="134"/>
      <c r="S20" s="135"/>
    </row>
    <row r="21" spans="1:19" s="11" customFormat="1" x14ac:dyDescent="0.2">
      <c r="A21" s="9">
        <v>10</v>
      </c>
      <c r="B21" s="9"/>
      <c r="C21" s="9"/>
      <c r="D21" s="9" t="s">
        <v>36</v>
      </c>
      <c r="E21" s="50" t="s">
        <v>37</v>
      </c>
      <c r="F21" s="50"/>
      <c r="G21" s="51" t="s">
        <v>595</v>
      </c>
      <c r="H21" s="51" t="s">
        <v>431</v>
      </c>
      <c r="I21" s="9" t="s">
        <v>43</v>
      </c>
      <c r="J21" s="9"/>
      <c r="K21" s="9"/>
      <c r="L21" s="9"/>
      <c r="M21" s="61"/>
      <c r="N21" s="9"/>
      <c r="O21" s="9"/>
      <c r="P21" s="40"/>
      <c r="Q21" s="52"/>
      <c r="R21" s="134"/>
      <c r="S21" s="135"/>
    </row>
    <row r="22" spans="1:19" s="11" customFormat="1" x14ac:dyDescent="0.2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4"/>
      <c r="Q22" s="4"/>
      <c r="R22" s="6"/>
      <c r="S22" s="23"/>
    </row>
    <row r="23" spans="1:19" s="11" customFormat="1" x14ac:dyDescent="0.2">
      <c r="A23" s="68"/>
      <c r="S23" s="55"/>
    </row>
    <row r="24" spans="1:19" s="11" customFormat="1" x14ac:dyDescent="0.2">
      <c r="A24" s="68"/>
      <c r="S24" s="55"/>
    </row>
    <row r="25" spans="1:19" s="11" customFormat="1" x14ac:dyDescent="0.2">
      <c r="A25" s="68"/>
      <c r="S25" s="55"/>
    </row>
    <row r="26" spans="1:19" s="11" customFormat="1" x14ac:dyDescent="0.2">
      <c r="A26" s="7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20"/>
    </row>
  </sheetData>
  <dataConsolidate/>
  <mergeCells count="9">
    <mergeCell ref="R18:S18"/>
    <mergeCell ref="R19:S19"/>
    <mergeCell ref="R20:S20"/>
    <mergeCell ref="R21:S21"/>
    <mergeCell ref="R12:S12"/>
    <mergeCell ref="R13:S13"/>
    <mergeCell ref="R15:S15"/>
    <mergeCell ref="R16:S16"/>
    <mergeCell ref="R17:S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3">
    <pageSetUpPr fitToPage="1"/>
  </sheetPr>
  <dimension ref="A1:V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133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335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532</v>
      </c>
      <c r="M8" s="33" t="s">
        <v>34</v>
      </c>
      <c r="N8" s="9" t="s">
        <v>532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134</v>
      </c>
      <c r="E11" s="43" t="s">
        <v>106</v>
      </c>
      <c r="F11" s="44"/>
      <c r="G11" s="28" t="s">
        <v>107</v>
      </c>
      <c r="H11" s="45" t="s">
        <v>456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602</v>
      </c>
      <c r="H12" s="51" t="s">
        <v>451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55</v>
      </c>
      <c r="E13" s="50" t="s">
        <v>78</v>
      </c>
      <c r="F13" s="50"/>
      <c r="G13" s="51" t="s">
        <v>603</v>
      </c>
      <c r="H13" s="51" t="s">
        <v>452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196</v>
      </c>
      <c r="E14" s="50" t="s">
        <v>197</v>
      </c>
      <c r="F14" s="50"/>
      <c r="G14" s="51" t="s">
        <v>604</v>
      </c>
      <c r="H14" s="51" t="s">
        <v>453</v>
      </c>
      <c r="I14" s="9" t="s">
        <v>314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62"/>
      <c r="V14" s="63"/>
    </row>
    <row r="15" spans="1:22" s="11" customFormat="1" x14ac:dyDescent="0.2">
      <c r="A15" s="9">
        <v>10</v>
      </c>
      <c r="B15" s="9"/>
      <c r="C15" s="9"/>
      <c r="D15" s="9" t="s">
        <v>132</v>
      </c>
      <c r="E15" s="50" t="s">
        <v>71</v>
      </c>
      <c r="F15" s="50"/>
      <c r="G15" s="51" t="s">
        <v>605</v>
      </c>
      <c r="H15" s="51" t="s">
        <v>454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56</v>
      </c>
      <c r="E16" s="50" t="s">
        <v>79</v>
      </c>
      <c r="F16" s="50"/>
      <c r="G16" s="51" t="s">
        <v>606</v>
      </c>
      <c r="H16" s="51" t="s">
        <v>455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24</v>
      </c>
      <c r="E17" s="50" t="s">
        <v>25</v>
      </c>
      <c r="F17" s="50"/>
      <c r="G17" s="51" t="s">
        <v>591</v>
      </c>
      <c r="H17" s="51" t="s">
        <v>427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592</v>
      </c>
      <c r="H18" s="51" t="s">
        <v>428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9">
        <v>10</v>
      </c>
      <c r="B19" s="9"/>
      <c r="C19" s="9"/>
      <c r="D19" s="9" t="s">
        <v>26</v>
      </c>
      <c r="E19" s="50" t="s">
        <v>27</v>
      </c>
      <c r="F19" s="50"/>
      <c r="G19" s="51" t="s">
        <v>593</v>
      </c>
      <c r="H19" s="51" t="s">
        <v>429</v>
      </c>
      <c r="I19" s="9" t="s">
        <v>43</v>
      </c>
      <c r="J19" s="9"/>
      <c r="K19" s="9" t="s">
        <v>314</v>
      </c>
      <c r="L19" s="9"/>
      <c r="M19" s="9" t="s">
        <v>314</v>
      </c>
      <c r="N19" s="9"/>
      <c r="O19" s="9"/>
      <c r="P19" s="9"/>
      <c r="Q19" s="9"/>
      <c r="R19" s="9"/>
      <c r="S19" s="40"/>
      <c r="T19" s="52"/>
      <c r="U19" s="134"/>
      <c r="V19" s="135"/>
    </row>
    <row r="20" spans="1:22" s="11" customFormat="1" x14ac:dyDescent="0.2">
      <c r="A20" s="9">
        <v>10</v>
      </c>
      <c r="B20" s="9"/>
      <c r="C20" s="9"/>
      <c r="D20" s="9" t="s">
        <v>35</v>
      </c>
      <c r="E20" s="50" t="s">
        <v>30</v>
      </c>
      <c r="F20" s="50"/>
      <c r="G20" s="51" t="s">
        <v>594</v>
      </c>
      <c r="H20" s="51" t="s">
        <v>430</v>
      </c>
      <c r="I20" s="9" t="s">
        <v>43</v>
      </c>
      <c r="J20" s="9"/>
      <c r="K20" s="9" t="s">
        <v>314</v>
      </c>
      <c r="L20" s="9"/>
      <c r="M20" s="9" t="s">
        <v>314</v>
      </c>
      <c r="N20" s="9"/>
      <c r="O20" s="9"/>
      <c r="P20" s="9"/>
      <c r="Q20" s="9"/>
      <c r="R20" s="9"/>
      <c r="S20" s="40"/>
      <c r="T20" s="52"/>
      <c r="U20" s="134"/>
      <c r="V20" s="135"/>
    </row>
    <row r="21" spans="1:22" s="11" customFormat="1" x14ac:dyDescent="0.2">
      <c r="A21" s="9">
        <v>10</v>
      </c>
      <c r="B21" s="9"/>
      <c r="C21" s="9"/>
      <c r="D21" s="9" t="s">
        <v>36</v>
      </c>
      <c r="E21" s="50" t="s">
        <v>37</v>
      </c>
      <c r="F21" s="50"/>
      <c r="G21" s="51" t="s">
        <v>595</v>
      </c>
      <c r="H21" s="51" t="s">
        <v>431</v>
      </c>
      <c r="I21" s="9" t="s">
        <v>43</v>
      </c>
      <c r="J21" s="9"/>
      <c r="K21" s="9" t="s">
        <v>314</v>
      </c>
      <c r="L21" s="9"/>
      <c r="M21" s="9" t="s">
        <v>314</v>
      </c>
      <c r="N21" s="9"/>
      <c r="O21" s="9"/>
      <c r="P21" s="9"/>
      <c r="Q21" s="9"/>
      <c r="R21" s="9"/>
      <c r="S21" s="40"/>
      <c r="T21" s="52"/>
      <c r="U21" s="134"/>
      <c r="V21" s="135"/>
    </row>
    <row r="22" spans="1:22" s="11" customFormat="1" x14ac:dyDescent="0.2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 x14ac:dyDescent="0.2">
      <c r="A23" s="68"/>
      <c r="V23" s="55"/>
    </row>
    <row r="24" spans="1:22" s="11" customFormat="1" x14ac:dyDescent="0.2">
      <c r="A24" s="68"/>
      <c r="V24" s="55"/>
    </row>
    <row r="25" spans="1:22" s="11" customFormat="1" x14ac:dyDescent="0.2">
      <c r="A25" s="68"/>
      <c r="V25" s="55"/>
    </row>
    <row r="26" spans="1:22" s="11" customFormat="1" x14ac:dyDescent="0.2">
      <c r="A26" s="7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9">
    <mergeCell ref="U18:V18"/>
    <mergeCell ref="U19:V19"/>
    <mergeCell ref="U20:V20"/>
    <mergeCell ref="U21:V21"/>
    <mergeCell ref="U12:V12"/>
    <mergeCell ref="U13:V13"/>
    <mergeCell ref="U15:V15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4">
    <pageSetUpPr fitToPage="1"/>
  </sheetPr>
  <dimension ref="A1:Q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135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336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 t="s">
        <v>195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 t="s">
        <v>533</v>
      </c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136</v>
      </c>
      <c r="E11" s="43" t="s">
        <v>32</v>
      </c>
      <c r="F11" s="44"/>
      <c r="G11" s="28" t="s">
        <v>214</v>
      </c>
      <c r="H11" s="45" t="s">
        <v>457</v>
      </c>
      <c r="I11" s="46"/>
      <c r="J11" s="47"/>
      <c r="K11" s="48"/>
      <c r="L11" s="48" t="s">
        <v>435</v>
      </c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602</v>
      </c>
      <c r="H12" s="51" t="s">
        <v>451</v>
      </c>
      <c r="I12" s="9" t="s">
        <v>43</v>
      </c>
      <c r="J12" s="9"/>
      <c r="K12" s="9" t="s">
        <v>314</v>
      </c>
      <c r="L12" s="9" t="s">
        <v>314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55</v>
      </c>
      <c r="E14" s="50" t="s">
        <v>78</v>
      </c>
      <c r="F14" s="50"/>
      <c r="G14" s="51" t="s">
        <v>607</v>
      </c>
      <c r="H14" s="51" t="s">
        <v>458</v>
      </c>
      <c r="I14" s="9" t="s">
        <v>43</v>
      </c>
      <c r="J14" s="9"/>
      <c r="K14" s="9" t="s">
        <v>314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203</v>
      </c>
      <c r="E15" s="50" t="s">
        <v>204</v>
      </c>
      <c r="F15" s="50"/>
      <c r="G15" s="51" t="s">
        <v>604</v>
      </c>
      <c r="H15" s="51" t="s">
        <v>459</v>
      </c>
      <c r="I15" s="9" t="s">
        <v>43</v>
      </c>
      <c r="J15" s="9"/>
      <c r="K15" s="9" t="s">
        <v>314</v>
      </c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24</v>
      </c>
      <c r="E16" s="50" t="s">
        <v>25</v>
      </c>
      <c r="F16" s="50"/>
      <c r="G16" s="51" t="s">
        <v>591</v>
      </c>
      <c r="H16" s="51" t="s">
        <v>427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592</v>
      </c>
      <c r="H17" s="51" t="s">
        <v>428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26</v>
      </c>
      <c r="E18" s="50" t="s">
        <v>27</v>
      </c>
      <c r="F18" s="50"/>
      <c r="G18" s="51" t="s">
        <v>593</v>
      </c>
      <c r="H18" s="51" t="s">
        <v>429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595</v>
      </c>
      <c r="H19" s="51" t="s">
        <v>431</v>
      </c>
      <c r="I19" s="9" t="s">
        <v>43</v>
      </c>
      <c r="J19" s="9"/>
      <c r="K19" s="9"/>
      <c r="L19" s="9"/>
      <c r="M19" s="9"/>
      <c r="N19" s="40"/>
      <c r="O19" s="52"/>
      <c r="P19" s="134"/>
      <c r="Q19" s="135"/>
    </row>
    <row r="20" spans="1:17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68"/>
      <c r="Q23" s="55"/>
    </row>
    <row r="24" spans="1:17" s="11" customFormat="1" x14ac:dyDescent="0.2">
      <c r="A24" s="7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8">
    <mergeCell ref="P18:Q18"/>
    <mergeCell ref="P19:Q19"/>
    <mergeCell ref="P12:Q12"/>
    <mergeCell ref="P13:Q13"/>
    <mergeCell ref="P14:Q14"/>
    <mergeCell ref="P16:Q16"/>
    <mergeCell ref="P17:Q17"/>
    <mergeCell ref="P15:Q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5"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137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337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139</v>
      </c>
      <c r="M8" s="33" t="s">
        <v>34</v>
      </c>
      <c r="N8" s="9" t="s">
        <v>139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138</v>
      </c>
      <c r="E11" s="43" t="s">
        <v>106</v>
      </c>
      <c r="F11" s="44"/>
      <c r="G11" s="28" t="s">
        <v>107</v>
      </c>
      <c r="H11" s="45" t="s">
        <v>460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602</v>
      </c>
      <c r="H12" s="51" t="s">
        <v>451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55</v>
      </c>
      <c r="E14" s="50" t="s">
        <v>78</v>
      </c>
      <c r="F14" s="50"/>
      <c r="G14" s="51" t="s">
        <v>607</v>
      </c>
      <c r="H14" s="51" t="s">
        <v>458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203</v>
      </c>
      <c r="E15" s="50" t="s">
        <v>205</v>
      </c>
      <c r="F15" s="50"/>
      <c r="G15" s="51" t="s">
        <v>604</v>
      </c>
      <c r="H15" s="51" t="s">
        <v>459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24</v>
      </c>
      <c r="E16" s="50" t="s">
        <v>25</v>
      </c>
      <c r="F16" s="50"/>
      <c r="G16" s="51" t="s">
        <v>591</v>
      </c>
      <c r="H16" s="51" t="s">
        <v>427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592</v>
      </c>
      <c r="H17" s="51" t="s">
        <v>428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26</v>
      </c>
      <c r="E18" s="50" t="s">
        <v>27</v>
      </c>
      <c r="F18" s="50"/>
      <c r="G18" s="51" t="s">
        <v>593</v>
      </c>
      <c r="H18" s="51" t="s">
        <v>429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595</v>
      </c>
      <c r="H19" s="51" t="s">
        <v>431</v>
      </c>
      <c r="I19" s="9" t="s">
        <v>43</v>
      </c>
      <c r="J19" s="9"/>
      <c r="K19" s="9" t="s">
        <v>314</v>
      </c>
      <c r="L19" s="9"/>
      <c r="M19" s="9" t="s">
        <v>314</v>
      </c>
      <c r="N19" s="9"/>
      <c r="O19" s="9"/>
      <c r="P19" s="9"/>
      <c r="Q19" s="9"/>
      <c r="R19" s="9"/>
      <c r="S19" s="40"/>
      <c r="T19" s="52"/>
      <c r="U19" s="134"/>
      <c r="V19" s="135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68"/>
      <c r="V23" s="55"/>
    </row>
    <row r="24" spans="1:22" s="11" customFormat="1" x14ac:dyDescent="0.2">
      <c r="A24" s="7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8:V18"/>
    <mergeCell ref="U19:V19"/>
    <mergeCell ref="U12:V12"/>
    <mergeCell ref="U13:V13"/>
    <mergeCell ref="U14:V14"/>
    <mergeCell ref="U16:V16"/>
    <mergeCell ref="U17:V17"/>
    <mergeCell ref="U15:V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280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257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338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261</v>
      </c>
      <c r="B7" s="30"/>
      <c r="C7" s="30"/>
      <c r="D7" s="31"/>
      <c r="E7" s="31"/>
      <c r="F7" s="31"/>
      <c r="G7" s="31"/>
      <c r="H7" s="31"/>
      <c r="I7" s="31" t="s">
        <v>275</v>
      </c>
      <c r="J7" s="31"/>
      <c r="K7" s="32" t="s">
        <v>279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254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278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602</v>
      </c>
      <c r="H12" s="51" t="s">
        <v>461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8"/>
      <c r="Q15" s="55"/>
    </row>
    <row r="16" spans="1:17" s="11" customFormat="1" x14ac:dyDescent="0.2">
      <c r="A16" s="68"/>
      <c r="Q16" s="55"/>
    </row>
    <row r="17" spans="1:17" s="11" customFormat="1" x14ac:dyDescent="0.2">
      <c r="A17" s="68"/>
      <c r="Q17" s="55"/>
    </row>
    <row r="18" spans="1:17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285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269</v>
      </c>
      <c r="K3" s="7" t="s">
        <v>22</v>
      </c>
      <c r="L3" s="67" t="str">
        <f>IF(LogicCommon!G3="","",LogicCommon!G3)</f>
        <v/>
      </c>
      <c r="M3" s="71" t="s">
        <v>257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268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339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255</v>
      </c>
      <c r="B7" s="30"/>
      <c r="C7" s="30"/>
      <c r="D7" s="31"/>
      <c r="E7" s="31"/>
      <c r="F7" s="31"/>
      <c r="G7" s="31"/>
      <c r="H7" s="31"/>
      <c r="I7" s="31" t="s">
        <v>275</v>
      </c>
      <c r="J7" s="31"/>
      <c r="K7" s="33" t="s">
        <v>284</v>
      </c>
      <c r="L7" s="32" t="s">
        <v>264</v>
      </c>
      <c r="M7" s="33" t="s">
        <v>33</v>
      </c>
      <c r="N7" s="32" t="s">
        <v>263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283</v>
      </c>
      <c r="L8" s="9" t="s">
        <v>532</v>
      </c>
      <c r="M8" s="33" t="s">
        <v>34</v>
      </c>
      <c r="N8" s="9" t="s">
        <v>139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255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282</v>
      </c>
      <c r="E11" s="43" t="s">
        <v>281</v>
      </c>
      <c r="F11" s="44"/>
      <c r="G11" s="28" t="s">
        <v>107</v>
      </c>
      <c r="H11" s="45" t="s">
        <v>462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54</v>
      </c>
      <c r="E12" s="50" t="s">
        <v>77</v>
      </c>
      <c r="F12" s="50"/>
      <c r="G12" s="51" t="s">
        <v>602</v>
      </c>
      <c r="H12" s="51" t="s">
        <v>461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 t="s">
        <v>314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8"/>
      <c r="V15" s="55"/>
    </row>
    <row r="16" spans="1:22" s="11" customFormat="1" x14ac:dyDescent="0.2">
      <c r="A16" s="68"/>
      <c r="V16" s="55"/>
    </row>
    <row r="17" spans="1:22" s="11" customFormat="1" x14ac:dyDescent="0.2">
      <c r="A17" s="68"/>
      <c r="V17" s="55"/>
    </row>
    <row r="18" spans="1:22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96">
    <pageSetUpPr fitToPage="1"/>
  </sheetPr>
  <dimension ref="A1:Q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140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340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141</v>
      </c>
      <c r="E11" s="43" t="s">
        <v>32</v>
      </c>
      <c r="F11" s="44"/>
      <c r="G11" s="28" t="s">
        <v>214</v>
      </c>
      <c r="H11" s="45" t="s">
        <v>534</v>
      </c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57</v>
      </c>
      <c r="E12" s="50" t="s">
        <v>80</v>
      </c>
      <c r="F12" s="50"/>
      <c r="G12" s="51" t="s">
        <v>608</v>
      </c>
      <c r="H12" s="51" t="s">
        <v>463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58</v>
      </c>
      <c r="E13" s="50" t="s">
        <v>81</v>
      </c>
      <c r="F13" s="50"/>
      <c r="G13" s="51" t="s">
        <v>609</v>
      </c>
      <c r="H13" s="51" t="s">
        <v>464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68"/>
      <c r="Q23" s="55"/>
    </row>
    <row r="24" spans="1:17" s="11" customFormat="1" x14ac:dyDescent="0.2">
      <c r="A24" s="7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9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142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341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535</v>
      </c>
      <c r="M8" s="33" t="s">
        <v>34</v>
      </c>
      <c r="N8" s="9" t="s">
        <v>535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143</v>
      </c>
      <c r="E11" s="43" t="s">
        <v>106</v>
      </c>
      <c r="F11" s="44"/>
      <c r="G11" s="28" t="s">
        <v>107</v>
      </c>
      <c r="H11" s="45" t="s">
        <v>465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57</v>
      </c>
      <c r="E12" s="50" t="s">
        <v>80</v>
      </c>
      <c r="F12" s="50"/>
      <c r="G12" s="51" t="s">
        <v>608</v>
      </c>
      <c r="H12" s="51" t="s">
        <v>463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58</v>
      </c>
      <c r="E13" s="50" t="s">
        <v>81</v>
      </c>
      <c r="F13" s="50"/>
      <c r="G13" s="51" t="s">
        <v>609</v>
      </c>
      <c r="H13" s="51" t="s">
        <v>464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144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342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 t="s">
        <v>195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 t="s">
        <v>536</v>
      </c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145</v>
      </c>
      <c r="E11" s="43" t="s">
        <v>32</v>
      </c>
      <c r="F11" s="44"/>
      <c r="G11" s="28" t="s">
        <v>214</v>
      </c>
      <c r="H11" s="45" t="s">
        <v>466</v>
      </c>
      <c r="I11" s="46"/>
      <c r="J11" s="47"/>
      <c r="K11" s="48"/>
      <c r="L11" s="48" t="s">
        <v>435</v>
      </c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57</v>
      </c>
      <c r="E12" s="50" t="s">
        <v>80</v>
      </c>
      <c r="F12" s="50"/>
      <c r="G12" s="51" t="s">
        <v>608</v>
      </c>
      <c r="H12" s="51" t="s">
        <v>463</v>
      </c>
      <c r="I12" s="9" t="s">
        <v>43</v>
      </c>
      <c r="J12" s="9"/>
      <c r="K12" s="9" t="s">
        <v>314</v>
      </c>
      <c r="L12" s="9" t="s">
        <v>314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58</v>
      </c>
      <c r="E14" s="50" t="s">
        <v>81</v>
      </c>
      <c r="F14" s="50"/>
      <c r="G14" s="51" t="s">
        <v>610</v>
      </c>
      <c r="H14" s="51" t="s">
        <v>467</v>
      </c>
      <c r="I14" s="9" t="s">
        <v>43</v>
      </c>
      <c r="J14" s="9"/>
      <c r="K14" s="9" t="s">
        <v>314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99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146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343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148</v>
      </c>
      <c r="M8" s="33" t="s">
        <v>34</v>
      </c>
      <c r="N8" s="9" t="s">
        <v>148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147</v>
      </c>
      <c r="E11" s="43" t="s">
        <v>106</v>
      </c>
      <c r="F11" s="44"/>
      <c r="G11" s="28" t="s">
        <v>107</v>
      </c>
      <c r="H11" s="45" t="s">
        <v>468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57</v>
      </c>
      <c r="E12" s="50" t="s">
        <v>80</v>
      </c>
      <c r="F12" s="50"/>
      <c r="G12" s="51" t="s">
        <v>608</v>
      </c>
      <c r="H12" s="51" t="s">
        <v>463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58</v>
      </c>
      <c r="E14" s="50" t="s">
        <v>81</v>
      </c>
      <c r="F14" s="50"/>
      <c r="G14" s="51" t="s">
        <v>610</v>
      </c>
      <c r="H14" s="51" t="s">
        <v>467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288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256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344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252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287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254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286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57</v>
      </c>
      <c r="E12" s="50" t="s">
        <v>80</v>
      </c>
      <c r="F12" s="50"/>
      <c r="G12" s="51" t="s">
        <v>608</v>
      </c>
      <c r="H12" s="51" t="s">
        <v>469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8"/>
      <c r="Q15" s="55"/>
    </row>
    <row r="16" spans="1:17" s="11" customFormat="1" x14ac:dyDescent="0.2">
      <c r="A16" s="68"/>
      <c r="Q16" s="55"/>
    </row>
    <row r="17" spans="1:17" s="11" customFormat="1" x14ac:dyDescent="0.2">
      <c r="A17" s="68"/>
      <c r="Q17" s="55"/>
    </row>
    <row r="18" spans="1:17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291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290</v>
      </c>
      <c r="K3" s="7" t="s">
        <v>22</v>
      </c>
      <c r="L3" s="67" t="str">
        <f>IF(LogicCommon!G3="","",LogicCommon!G3)</f>
        <v/>
      </c>
      <c r="M3" s="71" t="s">
        <v>257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268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345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255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266</v>
      </c>
      <c r="L7" s="32" t="s">
        <v>264</v>
      </c>
      <c r="M7" s="33" t="s">
        <v>33</v>
      </c>
      <c r="N7" s="32" t="s">
        <v>263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283</v>
      </c>
      <c r="L8" s="9" t="s">
        <v>535</v>
      </c>
      <c r="M8" s="33" t="s">
        <v>34</v>
      </c>
      <c r="N8" s="9" t="s">
        <v>148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253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289</v>
      </c>
      <c r="E11" s="43" t="s">
        <v>259</v>
      </c>
      <c r="F11" s="44"/>
      <c r="G11" s="28" t="s">
        <v>107</v>
      </c>
      <c r="H11" s="45" t="s">
        <v>470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57</v>
      </c>
      <c r="E12" s="50" t="s">
        <v>80</v>
      </c>
      <c r="F12" s="50"/>
      <c r="G12" s="51" t="s">
        <v>608</v>
      </c>
      <c r="H12" s="51" t="s">
        <v>469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 t="s">
        <v>314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8"/>
      <c r="V15" s="55"/>
    </row>
    <row r="16" spans="1:22" s="11" customFormat="1" x14ac:dyDescent="0.2">
      <c r="A16" s="68"/>
      <c r="V16" s="55"/>
    </row>
    <row r="17" spans="1:22" s="11" customFormat="1" x14ac:dyDescent="0.2">
      <c r="A17" s="68"/>
      <c r="V17" s="55"/>
    </row>
    <row r="18" spans="1:22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0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149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346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150</v>
      </c>
      <c r="E11" s="43" t="s">
        <v>32</v>
      </c>
      <c r="F11" s="44"/>
      <c r="G11" s="28" t="s">
        <v>214</v>
      </c>
      <c r="H11" s="45" t="s">
        <v>537</v>
      </c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ht="26" x14ac:dyDescent="0.2">
      <c r="A12" s="9">
        <v>10</v>
      </c>
      <c r="B12" s="9"/>
      <c r="C12" s="9"/>
      <c r="D12" s="9" t="s">
        <v>59</v>
      </c>
      <c r="E12" s="50" t="s">
        <v>82</v>
      </c>
      <c r="F12" s="50"/>
      <c r="G12" s="51" t="s">
        <v>611</v>
      </c>
      <c r="H12" s="51" t="s">
        <v>471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ht="26" x14ac:dyDescent="0.2">
      <c r="A13" s="9">
        <v>10</v>
      </c>
      <c r="B13" s="9"/>
      <c r="C13" s="9"/>
      <c r="D13" s="9" t="s">
        <v>60</v>
      </c>
      <c r="E13" s="50" t="s">
        <v>83</v>
      </c>
      <c r="F13" s="50"/>
      <c r="G13" s="51" t="s">
        <v>612</v>
      </c>
      <c r="H13" s="51" t="s">
        <v>472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01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151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347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538</v>
      </c>
      <c r="M8" s="33" t="s">
        <v>34</v>
      </c>
      <c r="N8" s="9" t="s">
        <v>538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152</v>
      </c>
      <c r="E11" s="43" t="s">
        <v>106</v>
      </c>
      <c r="F11" s="44"/>
      <c r="G11" s="28" t="s">
        <v>107</v>
      </c>
      <c r="H11" s="45" t="s">
        <v>473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ht="26" x14ac:dyDescent="0.2">
      <c r="A12" s="9">
        <v>10</v>
      </c>
      <c r="B12" s="9"/>
      <c r="C12" s="9"/>
      <c r="D12" s="9" t="s">
        <v>59</v>
      </c>
      <c r="E12" s="50" t="s">
        <v>82</v>
      </c>
      <c r="F12" s="50"/>
      <c r="G12" s="51" t="s">
        <v>611</v>
      </c>
      <c r="H12" s="51" t="s">
        <v>471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ht="26" x14ac:dyDescent="0.2">
      <c r="A13" s="9">
        <v>10</v>
      </c>
      <c r="B13" s="9"/>
      <c r="C13" s="9"/>
      <c r="D13" s="9" t="s">
        <v>60</v>
      </c>
      <c r="E13" s="50" t="s">
        <v>83</v>
      </c>
      <c r="F13" s="50"/>
      <c r="G13" s="51" t="s">
        <v>612</v>
      </c>
      <c r="H13" s="51" t="s">
        <v>472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0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153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348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 t="s">
        <v>195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 t="s">
        <v>539</v>
      </c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154</v>
      </c>
      <c r="E11" s="43" t="s">
        <v>32</v>
      </c>
      <c r="F11" s="44"/>
      <c r="G11" s="28" t="s">
        <v>214</v>
      </c>
      <c r="H11" s="45" t="s">
        <v>474</v>
      </c>
      <c r="I11" s="46"/>
      <c r="J11" s="47"/>
      <c r="K11" s="48"/>
      <c r="L11" s="48" t="s">
        <v>435</v>
      </c>
      <c r="M11" s="48"/>
      <c r="N11" s="34"/>
      <c r="O11" s="35"/>
      <c r="P11" s="62"/>
      <c r="Q11" s="49"/>
    </row>
    <row r="12" spans="1:17" s="11" customFormat="1" ht="26" x14ac:dyDescent="0.2">
      <c r="A12" s="9">
        <v>10</v>
      </c>
      <c r="B12" s="9"/>
      <c r="C12" s="9"/>
      <c r="D12" s="9" t="s">
        <v>59</v>
      </c>
      <c r="E12" s="50" t="s">
        <v>82</v>
      </c>
      <c r="F12" s="50"/>
      <c r="G12" s="51" t="s">
        <v>611</v>
      </c>
      <c r="H12" s="51" t="s">
        <v>471</v>
      </c>
      <c r="I12" s="9" t="s">
        <v>43</v>
      </c>
      <c r="J12" s="9"/>
      <c r="K12" s="9" t="s">
        <v>314</v>
      </c>
      <c r="L12" s="9" t="s">
        <v>314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ht="26" x14ac:dyDescent="0.2">
      <c r="A14" s="9">
        <v>10</v>
      </c>
      <c r="B14" s="9"/>
      <c r="C14" s="9"/>
      <c r="D14" s="9" t="s">
        <v>60</v>
      </c>
      <c r="E14" s="50" t="s">
        <v>83</v>
      </c>
      <c r="F14" s="50"/>
      <c r="G14" s="51" t="s">
        <v>613</v>
      </c>
      <c r="H14" s="51" t="s">
        <v>475</v>
      </c>
      <c r="I14" s="9" t="s">
        <v>43</v>
      </c>
      <c r="J14" s="9"/>
      <c r="K14" s="9" t="s">
        <v>314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03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155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349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157</v>
      </c>
      <c r="M8" s="33" t="s">
        <v>34</v>
      </c>
      <c r="N8" s="9" t="s">
        <v>157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156</v>
      </c>
      <c r="E11" s="43" t="s">
        <v>106</v>
      </c>
      <c r="F11" s="44"/>
      <c r="G11" s="28" t="s">
        <v>107</v>
      </c>
      <c r="H11" s="45" t="s">
        <v>476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ht="26" x14ac:dyDescent="0.2">
      <c r="A12" s="9">
        <v>10</v>
      </c>
      <c r="B12" s="9"/>
      <c r="C12" s="9"/>
      <c r="D12" s="9" t="s">
        <v>59</v>
      </c>
      <c r="E12" s="50" t="s">
        <v>82</v>
      </c>
      <c r="F12" s="50"/>
      <c r="G12" s="51" t="s">
        <v>611</v>
      </c>
      <c r="H12" s="51" t="s">
        <v>471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ht="26" x14ac:dyDescent="0.2">
      <c r="A14" s="9">
        <v>10</v>
      </c>
      <c r="B14" s="9"/>
      <c r="C14" s="9"/>
      <c r="D14" s="9" t="s">
        <v>60</v>
      </c>
      <c r="E14" s="50" t="s">
        <v>83</v>
      </c>
      <c r="F14" s="50"/>
      <c r="G14" s="51" t="s">
        <v>613</v>
      </c>
      <c r="H14" s="51" t="s">
        <v>475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293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256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350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252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287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254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292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ht="26" x14ac:dyDescent="0.2">
      <c r="A12" s="9">
        <v>10</v>
      </c>
      <c r="B12" s="9"/>
      <c r="C12" s="9"/>
      <c r="D12" s="9" t="s">
        <v>59</v>
      </c>
      <c r="E12" s="50" t="s">
        <v>82</v>
      </c>
      <c r="F12" s="50"/>
      <c r="G12" s="51" t="s">
        <v>611</v>
      </c>
      <c r="H12" s="51" t="s">
        <v>477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8"/>
      <c r="Q15" s="55"/>
    </row>
    <row r="16" spans="1:17" s="11" customFormat="1" x14ac:dyDescent="0.2">
      <c r="A16" s="68"/>
      <c r="Q16" s="55"/>
    </row>
    <row r="17" spans="1:17" s="11" customFormat="1" x14ac:dyDescent="0.2">
      <c r="A17" s="68"/>
      <c r="Q17" s="55"/>
    </row>
    <row r="18" spans="1:17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295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269</v>
      </c>
      <c r="K3" s="7" t="s">
        <v>22</v>
      </c>
      <c r="L3" s="67" t="str">
        <f>IF(LogicCommon!G3="","",LogicCommon!G3)</f>
        <v/>
      </c>
      <c r="M3" s="71" t="s">
        <v>257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268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351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255</v>
      </c>
      <c r="B7" s="30"/>
      <c r="C7" s="30"/>
      <c r="D7" s="31"/>
      <c r="E7" s="31"/>
      <c r="F7" s="31"/>
      <c r="G7" s="31"/>
      <c r="H7" s="31"/>
      <c r="I7" s="31" t="s">
        <v>275</v>
      </c>
      <c r="J7" s="31"/>
      <c r="K7" s="33" t="s">
        <v>266</v>
      </c>
      <c r="L7" s="32" t="s">
        <v>264</v>
      </c>
      <c r="M7" s="33" t="s">
        <v>33</v>
      </c>
      <c r="N7" s="32" t="s">
        <v>263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283</v>
      </c>
      <c r="L8" s="9" t="s">
        <v>538</v>
      </c>
      <c r="M8" s="33" t="s">
        <v>34</v>
      </c>
      <c r="N8" s="9" t="s">
        <v>157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294</v>
      </c>
      <c r="E11" s="43" t="s">
        <v>259</v>
      </c>
      <c r="F11" s="44"/>
      <c r="G11" s="28" t="s">
        <v>107</v>
      </c>
      <c r="H11" s="45" t="s">
        <v>478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ht="26" x14ac:dyDescent="0.2">
      <c r="A12" s="9">
        <v>10</v>
      </c>
      <c r="B12" s="9"/>
      <c r="C12" s="9"/>
      <c r="D12" s="9" t="s">
        <v>59</v>
      </c>
      <c r="E12" s="50" t="s">
        <v>82</v>
      </c>
      <c r="F12" s="50"/>
      <c r="G12" s="51" t="s">
        <v>611</v>
      </c>
      <c r="H12" s="51" t="s">
        <v>477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 t="s">
        <v>314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8"/>
      <c r="V15" s="55"/>
    </row>
    <row r="16" spans="1:22" s="11" customFormat="1" x14ac:dyDescent="0.2">
      <c r="A16" s="68"/>
      <c r="V16" s="55"/>
    </row>
    <row r="17" spans="1:22" s="11" customFormat="1" x14ac:dyDescent="0.2">
      <c r="A17" s="68"/>
      <c r="V17" s="55"/>
    </row>
    <row r="18" spans="1:22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0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158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352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159</v>
      </c>
      <c r="E11" s="43" t="s">
        <v>32</v>
      </c>
      <c r="F11" s="44"/>
      <c r="G11" s="28" t="s">
        <v>214</v>
      </c>
      <c r="H11" s="45" t="s">
        <v>540</v>
      </c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61</v>
      </c>
      <c r="E12" s="50" t="s">
        <v>84</v>
      </c>
      <c r="F12" s="50"/>
      <c r="G12" s="51" t="s">
        <v>614</v>
      </c>
      <c r="H12" s="51" t="s">
        <v>479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ht="26" x14ac:dyDescent="0.2">
      <c r="A13" s="9">
        <v>10</v>
      </c>
      <c r="B13" s="9"/>
      <c r="C13" s="9"/>
      <c r="D13" s="9" t="s">
        <v>62</v>
      </c>
      <c r="E13" s="50" t="s">
        <v>85</v>
      </c>
      <c r="F13" s="50"/>
      <c r="G13" s="51" t="s">
        <v>615</v>
      </c>
      <c r="H13" s="51" t="s">
        <v>480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05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160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353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541</v>
      </c>
      <c r="M8" s="33" t="s">
        <v>34</v>
      </c>
      <c r="N8" s="9" t="s">
        <v>541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161</v>
      </c>
      <c r="E11" s="43" t="s">
        <v>106</v>
      </c>
      <c r="F11" s="44"/>
      <c r="G11" s="28" t="s">
        <v>107</v>
      </c>
      <c r="H11" s="45" t="s">
        <v>481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61</v>
      </c>
      <c r="E12" s="50" t="s">
        <v>84</v>
      </c>
      <c r="F12" s="50"/>
      <c r="G12" s="51" t="s">
        <v>614</v>
      </c>
      <c r="H12" s="51" t="s">
        <v>479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ht="26" x14ac:dyDescent="0.2">
      <c r="A13" s="9">
        <v>10</v>
      </c>
      <c r="B13" s="9"/>
      <c r="C13" s="9"/>
      <c r="D13" s="9" t="s">
        <v>62</v>
      </c>
      <c r="E13" s="50" t="s">
        <v>85</v>
      </c>
      <c r="F13" s="50"/>
      <c r="G13" s="51" t="s">
        <v>615</v>
      </c>
      <c r="H13" s="51" t="s">
        <v>480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0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162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354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 t="s">
        <v>195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 t="s">
        <v>542</v>
      </c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163</v>
      </c>
      <c r="E11" s="43" t="s">
        <v>32</v>
      </c>
      <c r="F11" s="44"/>
      <c r="G11" s="28" t="s">
        <v>214</v>
      </c>
      <c r="H11" s="45" t="s">
        <v>482</v>
      </c>
      <c r="I11" s="46"/>
      <c r="J11" s="47"/>
      <c r="K11" s="48"/>
      <c r="L11" s="48" t="s">
        <v>435</v>
      </c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61</v>
      </c>
      <c r="E12" s="50" t="s">
        <v>84</v>
      </c>
      <c r="F12" s="50"/>
      <c r="G12" s="51" t="s">
        <v>614</v>
      </c>
      <c r="H12" s="51" t="s">
        <v>479</v>
      </c>
      <c r="I12" s="9" t="s">
        <v>43</v>
      </c>
      <c r="J12" s="9"/>
      <c r="K12" s="9" t="s">
        <v>314</v>
      </c>
      <c r="L12" s="9" t="s">
        <v>314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62</v>
      </c>
      <c r="E14" s="50" t="s">
        <v>85</v>
      </c>
      <c r="F14" s="50"/>
      <c r="G14" s="51" t="s">
        <v>616</v>
      </c>
      <c r="H14" s="51" t="s">
        <v>483</v>
      </c>
      <c r="I14" s="9" t="s">
        <v>43</v>
      </c>
      <c r="J14" s="9"/>
      <c r="K14" s="9" t="s">
        <v>314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0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164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355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166</v>
      </c>
      <c r="M8" s="33" t="s">
        <v>34</v>
      </c>
      <c r="N8" s="9" t="s">
        <v>166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165</v>
      </c>
      <c r="E11" s="43" t="s">
        <v>106</v>
      </c>
      <c r="F11" s="44"/>
      <c r="G11" s="28" t="s">
        <v>107</v>
      </c>
      <c r="H11" s="45" t="s">
        <v>484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61</v>
      </c>
      <c r="E12" s="50" t="s">
        <v>84</v>
      </c>
      <c r="F12" s="50"/>
      <c r="G12" s="51" t="s">
        <v>614</v>
      </c>
      <c r="H12" s="51" t="s">
        <v>479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62</v>
      </c>
      <c r="E14" s="50" t="s">
        <v>85</v>
      </c>
      <c r="F14" s="50"/>
      <c r="G14" s="51" t="s">
        <v>616</v>
      </c>
      <c r="H14" s="51" t="s">
        <v>483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297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256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356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253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198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254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296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61</v>
      </c>
      <c r="E12" s="50" t="s">
        <v>84</v>
      </c>
      <c r="F12" s="50"/>
      <c r="G12" s="51" t="s">
        <v>614</v>
      </c>
      <c r="H12" s="51" t="s">
        <v>485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8"/>
      <c r="Q15" s="55"/>
    </row>
    <row r="16" spans="1:17" s="11" customFormat="1" x14ac:dyDescent="0.2">
      <c r="A16" s="68"/>
      <c r="Q16" s="55"/>
    </row>
    <row r="17" spans="1:17" s="11" customFormat="1" x14ac:dyDescent="0.2">
      <c r="A17" s="68"/>
      <c r="Q17" s="55"/>
    </row>
    <row r="18" spans="1:17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300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276</v>
      </c>
      <c r="K3" s="7" t="s">
        <v>22</v>
      </c>
      <c r="L3" s="67" t="str">
        <f>IF(LogicCommon!G3="","",LogicCommon!G3)</f>
        <v/>
      </c>
      <c r="M3" s="71" t="s">
        <v>299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268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357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253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266</v>
      </c>
      <c r="L7" s="32" t="s">
        <v>264</v>
      </c>
      <c r="M7" s="33" t="s">
        <v>33</v>
      </c>
      <c r="N7" s="32" t="s">
        <v>263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283</v>
      </c>
      <c r="L8" s="9" t="s">
        <v>541</v>
      </c>
      <c r="M8" s="33" t="s">
        <v>34</v>
      </c>
      <c r="N8" s="9" t="s">
        <v>166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298</v>
      </c>
      <c r="E11" s="43" t="s">
        <v>259</v>
      </c>
      <c r="F11" s="44"/>
      <c r="G11" s="28" t="s">
        <v>107</v>
      </c>
      <c r="H11" s="45" t="s">
        <v>486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61</v>
      </c>
      <c r="E12" s="50" t="s">
        <v>84</v>
      </c>
      <c r="F12" s="50"/>
      <c r="G12" s="51" t="s">
        <v>614</v>
      </c>
      <c r="H12" s="51" t="s">
        <v>485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 t="s">
        <v>314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8"/>
      <c r="V15" s="55"/>
    </row>
    <row r="16" spans="1:22" s="11" customFormat="1" x14ac:dyDescent="0.2">
      <c r="A16" s="68"/>
      <c r="V16" s="55"/>
    </row>
    <row r="17" spans="1:22" s="11" customFormat="1" x14ac:dyDescent="0.2">
      <c r="A17" s="68"/>
      <c r="V17" s="55"/>
    </row>
    <row r="18" spans="1:22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0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167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358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168</v>
      </c>
      <c r="E11" s="43" t="s">
        <v>32</v>
      </c>
      <c r="F11" s="44"/>
      <c r="G11" s="28" t="s">
        <v>214</v>
      </c>
      <c r="H11" s="45" t="s">
        <v>543</v>
      </c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63</v>
      </c>
      <c r="E12" s="50" t="s">
        <v>86</v>
      </c>
      <c r="F12" s="50"/>
      <c r="G12" s="51" t="s">
        <v>617</v>
      </c>
      <c r="H12" s="51" t="s">
        <v>487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64</v>
      </c>
      <c r="E13" s="50" t="s">
        <v>87</v>
      </c>
      <c r="F13" s="50"/>
      <c r="G13" s="51" t="s">
        <v>618</v>
      </c>
      <c r="H13" s="51" t="s">
        <v>488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09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169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359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544</v>
      </c>
      <c r="M8" s="33" t="s">
        <v>34</v>
      </c>
      <c r="N8" s="9" t="s">
        <v>544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170</v>
      </c>
      <c r="E11" s="43" t="s">
        <v>106</v>
      </c>
      <c r="F11" s="44"/>
      <c r="G11" s="28" t="s">
        <v>107</v>
      </c>
      <c r="H11" s="45" t="s">
        <v>489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63</v>
      </c>
      <c r="E12" s="50" t="s">
        <v>86</v>
      </c>
      <c r="F12" s="50"/>
      <c r="G12" s="51" t="s">
        <v>617</v>
      </c>
      <c r="H12" s="51" t="s">
        <v>487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64</v>
      </c>
      <c r="E13" s="50" t="s">
        <v>87</v>
      </c>
      <c r="F13" s="50"/>
      <c r="G13" s="51" t="s">
        <v>618</v>
      </c>
      <c r="H13" s="51" t="s">
        <v>488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1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171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360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 t="s">
        <v>195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 t="s">
        <v>545</v>
      </c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172</v>
      </c>
      <c r="E11" s="43" t="s">
        <v>32</v>
      </c>
      <c r="F11" s="44"/>
      <c r="G11" s="28" t="s">
        <v>214</v>
      </c>
      <c r="H11" s="45" t="s">
        <v>490</v>
      </c>
      <c r="I11" s="46"/>
      <c r="J11" s="47"/>
      <c r="K11" s="48"/>
      <c r="L11" s="48" t="s">
        <v>435</v>
      </c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63</v>
      </c>
      <c r="E12" s="50" t="s">
        <v>86</v>
      </c>
      <c r="F12" s="50"/>
      <c r="G12" s="51" t="s">
        <v>617</v>
      </c>
      <c r="H12" s="51" t="s">
        <v>487</v>
      </c>
      <c r="I12" s="9" t="s">
        <v>43</v>
      </c>
      <c r="J12" s="9"/>
      <c r="K12" s="9" t="s">
        <v>314</v>
      </c>
      <c r="L12" s="9" t="s">
        <v>314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64</v>
      </c>
      <c r="E14" s="50" t="s">
        <v>87</v>
      </c>
      <c r="F14" s="50"/>
      <c r="G14" s="51" t="s">
        <v>619</v>
      </c>
      <c r="H14" s="51" t="s">
        <v>491</v>
      </c>
      <c r="I14" s="9" t="s">
        <v>43</v>
      </c>
      <c r="J14" s="9"/>
      <c r="K14" s="9" t="s">
        <v>314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11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173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361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175</v>
      </c>
      <c r="M8" s="33" t="s">
        <v>34</v>
      </c>
      <c r="N8" s="9" t="s">
        <v>175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174</v>
      </c>
      <c r="E11" s="43" t="s">
        <v>106</v>
      </c>
      <c r="F11" s="44"/>
      <c r="G11" s="28" t="s">
        <v>107</v>
      </c>
      <c r="H11" s="45" t="s">
        <v>492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63</v>
      </c>
      <c r="E12" s="50" t="s">
        <v>86</v>
      </c>
      <c r="F12" s="50"/>
      <c r="G12" s="51" t="s">
        <v>617</v>
      </c>
      <c r="H12" s="51" t="s">
        <v>487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64</v>
      </c>
      <c r="E14" s="50" t="s">
        <v>87</v>
      </c>
      <c r="F14" s="50"/>
      <c r="G14" s="51" t="s">
        <v>619</v>
      </c>
      <c r="H14" s="51" t="s">
        <v>491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303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256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362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252</v>
      </c>
      <c r="B7" s="30"/>
      <c r="C7" s="30"/>
      <c r="D7" s="31"/>
      <c r="E7" s="31"/>
      <c r="F7" s="31"/>
      <c r="G7" s="31"/>
      <c r="H7" s="31"/>
      <c r="I7" s="31" t="s">
        <v>275</v>
      </c>
      <c r="J7" s="31"/>
      <c r="K7" s="32" t="s">
        <v>198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302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301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63</v>
      </c>
      <c r="E12" s="50" t="s">
        <v>86</v>
      </c>
      <c r="F12" s="50"/>
      <c r="G12" s="51" t="s">
        <v>617</v>
      </c>
      <c r="H12" s="51" t="s">
        <v>493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8"/>
      <c r="Q15" s="55"/>
    </row>
    <row r="16" spans="1:17" s="11" customFormat="1" x14ac:dyDescent="0.2">
      <c r="A16" s="68"/>
      <c r="Q16" s="55"/>
    </row>
    <row r="17" spans="1:17" s="11" customFormat="1" x14ac:dyDescent="0.2">
      <c r="A17" s="68"/>
      <c r="Q17" s="55"/>
    </row>
    <row r="18" spans="1:17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305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269</v>
      </c>
      <c r="K3" s="7" t="s">
        <v>22</v>
      </c>
      <c r="L3" s="67" t="str">
        <f>IF(LogicCommon!G3="","",LogicCommon!G3)</f>
        <v/>
      </c>
      <c r="M3" s="71" t="s">
        <v>256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268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363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252</v>
      </c>
      <c r="B7" s="30"/>
      <c r="C7" s="30"/>
      <c r="D7" s="31"/>
      <c r="E7" s="31"/>
      <c r="F7" s="31"/>
      <c r="G7" s="31"/>
      <c r="H7" s="31"/>
      <c r="I7" s="31" t="s">
        <v>275</v>
      </c>
      <c r="J7" s="31"/>
      <c r="K7" s="33" t="s">
        <v>266</v>
      </c>
      <c r="L7" s="32" t="s">
        <v>264</v>
      </c>
      <c r="M7" s="33" t="s">
        <v>33</v>
      </c>
      <c r="N7" s="32" t="s">
        <v>263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262</v>
      </c>
      <c r="L8" s="9" t="s">
        <v>544</v>
      </c>
      <c r="M8" s="33" t="s">
        <v>34</v>
      </c>
      <c r="N8" s="9" t="s">
        <v>175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304</v>
      </c>
      <c r="E11" s="43" t="s">
        <v>259</v>
      </c>
      <c r="F11" s="44"/>
      <c r="G11" s="28" t="s">
        <v>107</v>
      </c>
      <c r="H11" s="45" t="s">
        <v>494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63</v>
      </c>
      <c r="E12" s="50" t="s">
        <v>86</v>
      </c>
      <c r="F12" s="50"/>
      <c r="G12" s="51" t="s">
        <v>617</v>
      </c>
      <c r="H12" s="51" t="s">
        <v>493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 t="s">
        <v>314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8"/>
      <c r="V15" s="55"/>
    </row>
    <row r="16" spans="1:22" s="11" customFormat="1" x14ac:dyDescent="0.2">
      <c r="A16" s="68"/>
      <c r="V16" s="55"/>
    </row>
    <row r="17" spans="1:22" s="11" customFormat="1" x14ac:dyDescent="0.2">
      <c r="A17" s="68"/>
      <c r="V17" s="55"/>
    </row>
    <row r="18" spans="1:22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1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206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364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207</v>
      </c>
      <c r="E11" s="43" t="s">
        <v>32</v>
      </c>
      <c r="F11" s="44"/>
      <c r="G11" s="28" t="s">
        <v>214</v>
      </c>
      <c r="H11" s="45" t="s">
        <v>546</v>
      </c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ht="26" x14ac:dyDescent="0.2">
      <c r="A12" s="9">
        <v>10</v>
      </c>
      <c r="B12" s="9"/>
      <c r="C12" s="9"/>
      <c r="D12" s="9" t="s">
        <v>65</v>
      </c>
      <c r="E12" s="50" t="s">
        <v>88</v>
      </c>
      <c r="F12" s="50"/>
      <c r="G12" s="51" t="s">
        <v>620</v>
      </c>
      <c r="H12" s="51" t="s">
        <v>495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ht="26" x14ac:dyDescent="0.2">
      <c r="A13" s="9">
        <v>10</v>
      </c>
      <c r="B13" s="9"/>
      <c r="C13" s="9"/>
      <c r="D13" s="9" t="s">
        <v>66</v>
      </c>
      <c r="E13" s="50" t="s">
        <v>89</v>
      </c>
      <c r="F13" s="50"/>
      <c r="G13" s="51" t="s">
        <v>621</v>
      </c>
      <c r="H13" s="51" t="s">
        <v>496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113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208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365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547</v>
      </c>
      <c r="M8" s="33" t="s">
        <v>34</v>
      </c>
      <c r="N8" s="9" t="s">
        <v>547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209</v>
      </c>
      <c r="E11" s="43" t="s">
        <v>106</v>
      </c>
      <c r="F11" s="44"/>
      <c r="G11" s="28" t="s">
        <v>107</v>
      </c>
      <c r="H11" s="45" t="s">
        <v>497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ht="26" x14ac:dyDescent="0.2">
      <c r="A12" s="9">
        <v>10</v>
      </c>
      <c r="B12" s="9"/>
      <c r="C12" s="9"/>
      <c r="D12" s="9" t="s">
        <v>65</v>
      </c>
      <c r="E12" s="50" t="s">
        <v>88</v>
      </c>
      <c r="F12" s="50"/>
      <c r="G12" s="51" t="s">
        <v>620</v>
      </c>
      <c r="H12" s="51" t="s">
        <v>495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ht="26" x14ac:dyDescent="0.2">
      <c r="A13" s="9">
        <v>10</v>
      </c>
      <c r="B13" s="9"/>
      <c r="C13" s="9"/>
      <c r="D13" s="9" t="s">
        <v>66</v>
      </c>
      <c r="E13" s="50" t="s">
        <v>89</v>
      </c>
      <c r="F13" s="50"/>
      <c r="G13" s="51" t="s">
        <v>621</v>
      </c>
      <c r="H13" s="51" t="s">
        <v>496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11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210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366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 t="s">
        <v>195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 t="s">
        <v>547</v>
      </c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211</v>
      </c>
      <c r="E11" s="43" t="s">
        <v>32</v>
      </c>
      <c r="F11" s="44"/>
      <c r="G11" s="28" t="s">
        <v>214</v>
      </c>
      <c r="H11" s="45" t="s">
        <v>498</v>
      </c>
      <c r="I11" s="46"/>
      <c r="J11" s="47"/>
      <c r="K11" s="48"/>
      <c r="L11" s="48" t="s">
        <v>435</v>
      </c>
      <c r="M11" s="48"/>
      <c r="N11" s="34"/>
      <c r="O11" s="35"/>
      <c r="P11" s="62"/>
      <c r="Q11" s="49"/>
    </row>
    <row r="12" spans="1:17" s="11" customFormat="1" ht="26" x14ac:dyDescent="0.2">
      <c r="A12" s="9">
        <v>10</v>
      </c>
      <c r="B12" s="9"/>
      <c r="C12" s="9"/>
      <c r="D12" s="9" t="s">
        <v>65</v>
      </c>
      <c r="E12" s="50" t="s">
        <v>88</v>
      </c>
      <c r="F12" s="50"/>
      <c r="G12" s="51" t="s">
        <v>620</v>
      </c>
      <c r="H12" s="51" t="s">
        <v>495</v>
      </c>
      <c r="I12" s="9" t="s">
        <v>43</v>
      </c>
      <c r="J12" s="9"/>
      <c r="K12" s="9" t="s">
        <v>314</v>
      </c>
      <c r="L12" s="9" t="s">
        <v>314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ht="26" x14ac:dyDescent="0.2">
      <c r="A14" s="9">
        <v>10</v>
      </c>
      <c r="B14" s="9"/>
      <c r="C14" s="9"/>
      <c r="D14" s="9" t="s">
        <v>66</v>
      </c>
      <c r="E14" s="50" t="s">
        <v>89</v>
      </c>
      <c r="F14" s="50"/>
      <c r="G14" s="51" t="s">
        <v>622</v>
      </c>
      <c r="H14" s="51" t="s">
        <v>499</v>
      </c>
      <c r="I14" s="9" t="s">
        <v>43</v>
      </c>
      <c r="J14" s="9"/>
      <c r="K14" s="9" t="s">
        <v>314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15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212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367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200</v>
      </c>
      <c r="M8" s="33" t="s">
        <v>34</v>
      </c>
      <c r="N8" s="9" t="s">
        <v>200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213</v>
      </c>
      <c r="E11" s="43" t="s">
        <v>106</v>
      </c>
      <c r="F11" s="44"/>
      <c r="G11" s="28" t="s">
        <v>107</v>
      </c>
      <c r="H11" s="45" t="s">
        <v>500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ht="26" x14ac:dyDescent="0.2">
      <c r="A12" s="9">
        <v>10</v>
      </c>
      <c r="B12" s="9"/>
      <c r="C12" s="9"/>
      <c r="D12" s="9" t="s">
        <v>65</v>
      </c>
      <c r="E12" s="50" t="s">
        <v>88</v>
      </c>
      <c r="F12" s="50"/>
      <c r="G12" s="51" t="s">
        <v>620</v>
      </c>
      <c r="H12" s="51" t="s">
        <v>495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ht="26" x14ac:dyDescent="0.2">
      <c r="A14" s="9">
        <v>10</v>
      </c>
      <c r="B14" s="9"/>
      <c r="C14" s="9"/>
      <c r="D14" s="9" t="s">
        <v>66</v>
      </c>
      <c r="E14" s="50" t="s">
        <v>89</v>
      </c>
      <c r="F14" s="50"/>
      <c r="G14" s="51" t="s">
        <v>622</v>
      </c>
      <c r="H14" s="51" t="s">
        <v>499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307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257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368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255</v>
      </c>
      <c r="B7" s="30"/>
      <c r="C7" s="30"/>
      <c r="D7" s="31"/>
      <c r="E7" s="31"/>
      <c r="F7" s="31"/>
      <c r="G7" s="31"/>
      <c r="H7" s="31"/>
      <c r="I7" s="31" t="s">
        <v>275</v>
      </c>
      <c r="J7" s="31"/>
      <c r="K7" s="32" t="s">
        <v>287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302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306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ht="26" x14ac:dyDescent="0.2">
      <c r="A12" s="9">
        <v>10</v>
      </c>
      <c r="B12" s="9"/>
      <c r="C12" s="9"/>
      <c r="D12" s="9" t="s">
        <v>65</v>
      </c>
      <c r="E12" s="50" t="s">
        <v>88</v>
      </c>
      <c r="F12" s="50"/>
      <c r="G12" s="51" t="s">
        <v>620</v>
      </c>
      <c r="H12" s="51" t="s">
        <v>495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8"/>
      <c r="Q15" s="55"/>
    </row>
    <row r="16" spans="1:17" s="11" customFormat="1" x14ac:dyDescent="0.2">
      <c r="A16" s="68"/>
      <c r="Q16" s="55"/>
    </row>
    <row r="17" spans="1:17" s="11" customFormat="1" x14ac:dyDescent="0.2">
      <c r="A17" s="68"/>
      <c r="Q17" s="55"/>
    </row>
    <row r="18" spans="1:17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310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269</v>
      </c>
      <c r="K3" s="7" t="s">
        <v>22</v>
      </c>
      <c r="L3" s="67" t="str">
        <f>IF(LogicCommon!G3="","",LogicCommon!G3)</f>
        <v/>
      </c>
      <c r="M3" s="71" t="s">
        <v>257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268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369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255</v>
      </c>
      <c r="B7" s="30"/>
      <c r="C7" s="30"/>
      <c r="D7" s="31"/>
      <c r="E7" s="31"/>
      <c r="F7" s="31"/>
      <c r="G7" s="31"/>
      <c r="H7" s="31"/>
      <c r="I7" s="31" t="s">
        <v>275</v>
      </c>
      <c r="J7" s="31"/>
      <c r="K7" s="33" t="s">
        <v>266</v>
      </c>
      <c r="L7" s="32" t="s">
        <v>264</v>
      </c>
      <c r="M7" s="33" t="s">
        <v>33</v>
      </c>
      <c r="N7" s="32" t="s">
        <v>263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283</v>
      </c>
      <c r="L8" s="9" t="s">
        <v>547</v>
      </c>
      <c r="M8" s="33" t="s">
        <v>34</v>
      </c>
      <c r="N8" s="9" t="s">
        <v>309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308</v>
      </c>
      <c r="E11" s="43" t="s">
        <v>259</v>
      </c>
      <c r="F11" s="44"/>
      <c r="G11" s="28" t="s">
        <v>107</v>
      </c>
      <c r="H11" s="45" t="s">
        <v>501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ht="26" x14ac:dyDescent="0.2">
      <c r="A12" s="9">
        <v>10</v>
      </c>
      <c r="B12" s="9"/>
      <c r="C12" s="9"/>
      <c r="D12" s="9" t="s">
        <v>65</v>
      </c>
      <c r="E12" s="50" t="s">
        <v>88</v>
      </c>
      <c r="F12" s="50"/>
      <c r="G12" s="51" t="s">
        <v>620</v>
      </c>
      <c r="H12" s="51" t="s">
        <v>495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 t="s">
        <v>314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8"/>
      <c r="V15" s="55"/>
    </row>
    <row r="16" spans="1:22" s="11" customFormat="1" x14ac:dyDescent="0.2">
      <c r="A16" s="68"/>
      <c r="V16" s="55"/>
    </row>
    <row r="17" spans="1:22" s="11" customFormat="1" x14ac:dyDescent="0.2">
      <c r="A17" s="68"/>
      <c r="V17" s="55"/>
    </row>
    <row r="18" spans="1:22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1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176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370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177</v>
      </c>
      <c r="E11" s="43" t="s">
        <v>32</v>
      </c>
      <c r="F11" s="44"/>
      <c r="G11" s="28" t="s">
        <v>214</v>
      </c>
      <c r="H11" s="45" t="s">
        <v>548</v>
      </c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ht="26" x14ac:dyDescent="0.2">
      <c r="A12" s="9">
        <v>10</v>
      </c>
      <c r="B12" s="9"/>
      <c r="C12" s="9"/>
      <c r="D12" s="9" t="s">
        <v>67</v>
      </c>
      <c r="E12" s="50" t="s">
        <v>90</v>
      </c>
      <c r="F12" s="50"/>
      <c r="G12" s="51" t="s">
        <v>623</v>
      </c>
      <c r="H12" s="51" t="s">
        <v>502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ht="26" x14ac:dyDescent="0.2">
      <c r="A13" s="9">
        <v>10</v>
      </c>
      <c r="B13" s="9"/>
      <c r="C13" s="9"/>
      <c r="D13" s="9" t="s">
        <v>68</v>
      </c>
      <c r="E13" s="50" t="s">
        <v>91</v>
      </c>
      <c r="F13" s="50"/>
      <c r="G13" s="51" t="s">
        <v>624</v>
      </c>
      <c r="H13" s="51" t="s">
        <v>503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1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178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371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549</v>
      </c>
      <c r="M8" s="33" t="s">
        <v>34</v>
      </c>
      <c r="N8" s="9" t="s">
        <v>549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179</v>
      </c>
      <c r="E11" s="43" t="s">
        <v>106</v>
      </c>
      <c r="F11" s="44"/>
      <c r="G11" s="28" t="s">
        <v>107</v>
      </c>
      <c r="H11" s="45" t="s">
        <v>504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67</v>
      </c>
      <c r="E12" s="50" t="s">
        <v>90</v>
      </c>
      <c r="F12" s="50"/>
      <c r="G12" s="51" t="s">
        <v>623</v>
      </c>
      <c r="H12" s="51" t="s">
        <v>502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ht="26" x14ac:dyDescent="0.2">
      <c r="A13" s="9">
        <v>10</v>
      </c>
      <c r="B13" s="9"/>
      <c r="C13" s="9"/>
      <c r="D13" s="9" t="s">
        <v>68</v>
      </c>
      <c r="E13" s="50" t="s">
        <v>91</v>
      </c>
      <c r="F13" s="50"/>
      <c r="G13" s="51" t="s">
        <v>624</v>
      </c>
      <c r="H13" s="51" t="s">
        <v>503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591</v>
      </c>
      <c r="H14" s="51" t="s">
        <v>427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592</v>
      </c>
      <c r="H15" s="51" t="s">
        <v>428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593</v>
      </c>
      <c r="H16" s="51" t="s">
        <v>429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594</v>
      </c>
      <c r="H17" s="51" t="s">
        <v>430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1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180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372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 t="s">
        <v>195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 t="s">
        <v>550</v>
      </c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181</v>
      </c>
      <c r="E11" s="43" t="s">
        <v>32</v>
      </c>
      <c r="F11" s="44"/>
      <c r="G11" s="28" t="s">
        <v>214</v>
      </c>
      <c r="H11" s="45" t="s">
        <v>505</v>
      </c>
      <c r="I11" s="46"/>
      <c r="J11" s="47"/>
      <c r="K11" s="48"/>
      <c r="L11" s="48" t="s">
        <v>435</v>
      </c>
      <c r="M11" s="48"/>
      <c r="N11" s="34"/>
      <c r="O11" s="35"/>
      <c r="P11" s="62"/>
      <c r="Q11" s="49"/>
    </row>
    <row r="12" spans="1:17" s="11" customFormat="1" ht="26" x14ac:dyDescent="0.2">
      <c r="A12" s="9">
        <v>10</v>
      </c>
      <c r="B12" s="9"/>
      <c r="C12" s="9"/>
      <c r="D12" s="9" t="s">
        <v>67</v>
      </c>
      <c r="E12" s="50" t="s">
        <v>90</v>
      </c>
      <c r="F12" s="50"/>
      <c r="G12" s="51" t="s">
        <v>623</v>
      </c>
      <c r="H12" s="51" t="s">
        <v>502</v>
      </c>
      <c r="I12" s="9" t="s">
        <v>43</v>
      </c>
      <c r="J12" s="9"/>
      <c r="K12" s="9" t="s">
        <v>314</v>
      </c>
      <c r="L12" s="9" t="s">
        <v>314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68</v>
      </c>
      <c r="E14" s="50" t="s">
        <v>91</v>
      </c>
      <c r="F14" s="50"/>
      <c r="G14" s="51" t="s">
        <v>625</v>
      </c>
      <c r="H14" s="51" t="s">
        <v>506</v>
      </c>
      <c r="I14" s="9" t="s">
        <v>43</v>
      </c>
      <c r="J14" s="9"/>
      <c r="K14" s="9" t="s">
        <v>314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119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182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373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184</v>
      </c>
      <c r="M8" s="33" t="s">
        <v>34</v>
      </c>
      <c r="N8" s="9" t="s">
        <v>184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183</v>
      </c>
      <c r="E11" s="43" t="s">
        <v>106</v>
      </c>
      <c r="F11" s="44"/>
      <c r="G11" s="28" t="s">
        <v>107</v>
      </c>
      <c r="H11" s="45" t="s">
        <v>507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67</v>
      </c>
      <c r="E12" s="50" t="s">
        <v>90</v>
      </c>
      <c r="F12" s="50"/>
      <c r="G12" s="51" t="s">
        <v>623</v>
      </c>
      <c r="H12" s="51" t="s">
        <v>502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68</v>
      </c>
      <c r="E14" s="50" t="s">
        <v>91</v>
      </c>
      <c r="F14" s="50"/>
      <c r="G14" s="51" t="s">
        <v>625</v>
      </c>
      <c r="H14" s="51" t="s">
        <v>506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313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299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374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252</v>
      </c>
      <c r="B7" s="30"/>
      <c r="C7" s="30"/>
      <c r="D7" s="31"/>
      <c r="E7" s="31"/>
      <c r="F7" s="31"/>
      <c r="G7" s="31"/>
      <c r="H7" s="31"/>
      <c r="I7" s="31" t="s">
        <v>267</v>
      </c>
      <c r="J7" s="31"/>
      <c r="K7" s="32" t="s">
        <v>312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254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560</v>
      </c>
      <c r="E9" s="85" t="s">
        <v>561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311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ht="26" x14ac:dyDescent="0.2">
      <c r="A12" s="9">
        <v>10</v>
      </c>
      <c r="B12" s="9"/>
      <c r="C12" s="9"/>
      <c r="D12" s="9" t="s">
        <v>67</v>
      </c>
      <c r="E12" s="50" t="s">
        <v>90</v>
      </c>
      <c r="F12" s="50"/>
      <c r="G12" s="51" t="s">
        <v>623</v>
      </c>
      <c r="H12" s="51" t="s">
        <v>508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8"/>
      <c r="Q15" s="55"/>
    </row>
    <row r="16" spans="1:17" s="11" customFormat="1" x14ac:dyDescent="0.2">
      <c r="A16" s="68"/>
      <c r="Q16" s="55"/>
    </row>
    <row r="17" spans="1:17" s="11" customFormat="1" x14ac:dyDescent="0.2">
      <c r="A17" s="68"/>
      <c r="Q17" s="55"/>
    </row>
    <row r="18" spans="1:17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317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269</v>
      </c>
      <c r="K3" s="7" t="s">
        <v>22</v>
      </c>
      <c r="L3" s="67" t="str">
        <f>IF(LogicCommon!G3="","",LogicCommon!G3)</f>
        <v/>
      </c>
      <c r="M3" s="71" t="s">
        <v>256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268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375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255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266</v>
      </c>
      <c r="L7" s="32" t="s">
        <v>264</v>
      </c>
      <c r="M7" s="33" t="s">
        <v>33</v>
      </c>
      <c r="N7" s="32" t="s">
        <v>263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316</v>
      </c>
      <c r="L8" s="9" t="s">
        <v>549</v>
      </c>
      <c r="M8" s="33" t="s">
        <v>34</v>
      </c>
      <c r="N8" s="9" t="s">
        <v>184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626</v>
      </c>
      <c r="E9" s="85" t="s">
        <v>627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315</v>
      </c>
      <c r="E11" s="43" t="s">
        <v>259</v>
      </c>
      <c r="F11" s="44"/>
      <c r="G11" s="28" t="s">
        <v>107</v>
      </c>
      <c r="H11" s="45" t="s">
        <v>509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67</v>
      </c>
      <c r="E12" s="50" t="s">
        <v>90</v>
      </c>
      <c r="F12" s="50"/>
      <c r="G12" s="51" t="s">
        <v>623</v>
      </c>
      <c r="H12" s="51" t="s">
        <v>508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 t="s">
        <v>314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8"/>
      <c r="V15" s="55"/>
    </row>
    <row r="16" spans="1:22" s="11" customFormat="1" x14ac:dyDescent="0.2">
      <c r="A16" s="68"/>
      <c r="V16" s="55"/>
    </row>
    <row r="17" spans="1:22" s="11" customFormat="1" x14ac:dyDescent="0.2">
      <c r="A17" s="68"/>
      <c r="V17" s="55"/>
    </row>
    <row r="18" spans="1:22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132">
    <pageSetUpPr fitToPage="1"/>
  </sheetPr>
  <dimension ref="A1:Q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186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185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376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108</v>
      </c>
      <c r="B7" s="30"/>
      <c r="C7" s="30"/>
      <c r="D7" s="31"/>
      <c r="E7" s="31"/>
      <c r="F7" s="31"/>
      <c r="G7" s="31"/>
      <c r="H7" s="31"/>
      <c r="I7" s="31" t="s">
        <v>109</v>
      </c>
      <c r="J7" s="31"/>
      <c r="K7" s="32" t="s">
        <v>110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626</v>
      </c>
      <c r="E9" s="85" t="s">
        <v>627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187</v>
      </c>
      <c r="E11" s="43" t="s">
        <v>32</v>
      </c>
      <c r="F11" s="44"/>
      <c r="G11" s="28" t="s">
        <v>214</v>
      </c>
      <c r="H11" s="45" t="s">
        <v>551</v>
      </c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69</v>
      </c>
      <c r="E12" s="50" t="s">
        <v>92</v>
      </c>
      <c r="F12" s="50"/>
      <c r="G12" s="51" t="s">
        <v>628</v>
      </c>
      <c r="H12" s="51" t="s">
        <v>510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ht="26" x14ac:dyDescent="0.2">
      <c r="A13" s="9">
        <v>10</v>
      </c>
      <c r="B13" s="9"/>
      <c r="C13" s="9"/>
      <c r="D13" s="9" t="s">
        <v>70</v>
      </c>
      <c r="E13" s="50" t="s">
        <v>93</v>
      </c>
      <c r="F13" s="50"/>
      <c r="G13" s="51" t="s">
        <v>629</v>
      </c>
      <c r="H13" s="51" t="s">
        <v>511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217</v>
      </c>
      <c r="E14" s="50" t="s">
        <v>42</v>
      </c>
      <c r="F14" s="50"/>
      <c r="G14" s="51" t="s">
        <v>630</v>
      </c>
      <c r="H14" s="51" t="s">
        <v>512</v>
      </c>
      <c r="I14" s="9" t="s">
        <v>43</v>
      </c>
      <c r="J14" s="9"/>
      <c r="K14" s="9"/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594</v>
      </c>
      <c r="H18" s="51" t="s">
        <v>430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595</v>
      </c>
      <c r="H19" s="51" t="s">
        <v>431</v>
      </c>
      <c r="I19" s="9" t="s">
        <v>43</v>
      </c>
      <c r="J19" s="9"/>
      <c r="K19" s="9"/>
      <c r="L19" s="9"/>
      <c r="M19" s="9"/>
      <c r="N19" s="40"/>
      <c r="O19" s="52"/>
      <c r="P19" s="134"/>
      <c r="Q19" s="135"/>
    </row>
    <row r="20" spans="1:17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68"/>
      <c r="Q23" s="55"/>
    </row>
    <row r="24" spans="1:17" s="11" customFormat="1" x14ac:dyDescent="0.2">
      <c r="A24" s="7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8">
    <mergeCell ref="P12:Q12"/>
    <mergeCell ref="P13:Q13"/>
    <mergeCell ref="P14:Q14"/>
    <mergeCell ref="P18:Q18"/>
    <mergeCell ref="P19:Q19"/>
    <mergeCell ref="P15:Q15"/>
    <mergeCell ref="P16:Q16"/>
    <mergeCell ref="P17:Q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133"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188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377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552</v>
      </c>
      <c r="M8" s="33" t="s">
        <v>34</v>
      </c>
      <c r="N8" s="9" t="s">
        <v>552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631</v>
      </c>
      <c r="E9" s="85" t="s">
        <v>632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189</v>
      </c>
      <c r="E11" s="43" t="s">
        <v>106</v>
      </c>
      <c r="F11" s="44"/>
      <c r="G11" s="28" t="s">
        <v>107</v>
      </c>
      <c r="H11" s="45" t="s">
        <v>513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69</v>
      </c>
      <c r="E12" s="50" t="s">
        <v>92</v>
      </c>
      <c r="F12" s="50"/>
      <c r="G12" s="51" t="s">
        <v>628</v>
      </c>
      <c r="H12" s="51" t="s">
        <v>510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ht="26" x14ac:dyDescent="0.2">
      <c r="A13" s="9">
        <v>10</v>
      </c>
      <c r="B13" s="9"/>
      <c r="C13" s="9"/>
      <c r="D13" s="9" t="s">
        <v>70</v>
      </c>
      <c r="E13" s="50" t="s">
        <v>93</v>
      </c>
      <c r="F13" s="50"/>
      <c r="G13" s="51" t="s">
        <v>629</v>
      </c>
      <c r="H13" s="51" t="s">
        <v>511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218</v>
      </c>
      <c r="E14" s="50" t="s">
        <v>42</v>
      </c>
      <c r="F14" s="50"/>
      <c r="G14" s="51" t="s">
        <v>630</v>
      </c>
      <c r="H14" s="51" t="s">
        <v>512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594</v>
      </c>
      <c r="H18" s="51" t="s">
        <v>430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595</v>
      </c>
      <c r="H19" s="51" t="s">
        <v>431</v>
      </c>
      <c r="I19" s="9" t="s">
        <v>43</v>
      </c>
      <c r="J19" s="9"/>
      <c r="K19" s="9" t="s">
        <v>314</v>
      </c>
      <c r="L19" s="9"/>
      <c r="M19" s="9" t="s">
        <v>314</v>
      </c>
      <c r="N19" s="9"/>
      <c r="O19" s="9"/>
      <c r="P19" s="9"/>
      <c r="Q19" s="9"/>
      <c r="R19" s="9"/>
      <c r="S19" s="40"/>
      <c r="T19" s="52"/>
      <c r="U19" s="134"/>
      <c r="V19" s="135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68"/>
      <c r="V23" s="55"/>
    </row>
    <row r="24" spans="1:22" s="11" customFormat="1" x14ac:dyDescent="0.2">
      <c r="A24" s="7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2:V12"/>
    <mergeCell ref="U13:V13"/>
    <mergeCell ref="U14:V14"/>
    <mergeCell ref="U18:V18"/>
    <mergeCell ref="U19:V19"/>
    <mergeCell ref="U15:V15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13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190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378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99</v>
      </c>
      <c r="L7" s="33" t="s">
        <v>33</v>
      </c>
      <c r="M7" s="32" t="s">
        <v>195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111</v>
      </c>
      <c r="L8" s="33" t="s">
        <v>34</v>
      </c>
      <c r="M8" s="9" t="s">
        <v>553</v>
      </c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631</v>
      </c>
      <c r="E9" s="85" t="s">
        <v>632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191</v>
      </c>
      <c r="E11" s="43" t="s">
        <v>32</v>
      </c>
      <c r="F11" s="44"/>
      <c r="G11" s="28" t="s">
        <v>214</v>
      </c>
      <c r="H11" s="45" t="s">
        <v>514</v>
      </c>
      <c r="I11" s="46"/>
      <c r="J11" s="47"/>
      <c r="K11" s="48"/>
      <c r="L11" s="48" t="s">
        <v>435</v>
      </c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69</v>
      </c>
      <c r="E12" s="50" t="s">
        <v>92</v>
      </c>
      <c r="F12" s="50"/>
      <c r="G12" s="51" t="s">
        <v>628</v>
      </c>
      <c r="H12" s="51" t="s">
        <v>510</v>
      </c>
      <c r="I12" s="9" t="s">
        <v>43</v>
      </c>
      <c r="J12" s="9"/>
      <c r="K12" s="9" t="s">
        <v>314</v>
      </c>
      <c r="L12" s="9" t="s">
        <v>314</v>
      </c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/>
      <c r="N13" s="40"/>
      <c r="O13" s="52"/>
      <c r="P13" s="134"/>
      <c r="Q13" s="135"/>
    </row>
    <row r="14" spans="1:17" s="11" customFormat="1" x14ac:dyDescent="0.2">
      <c r="A14" s="9">
        <v>10</v>
      </c>
      <c r="B14" s="9"/>
      <c r="C14" s="9"/>
      <c r="D14" s="9" t="s">
        <v>70</v>
      </c>
      <c r="E14" s="50" t="s">
        <v>93</v>
      </c>
      <c r="F14" s="50"/>
      <c r="G14" s="51" t="s">
        <v>633</v>
      </c>
      <c r="H14" s="51" t="s">
        <v>515</v>
      </c>
      <c r="I14" s="9" t="s">
        <v>43</v>
      </c>
      <c r="J14" s="9"/>
      <c r="K14" s="9" t="s">
        <v>314</v>
      </c>
      <c r="L14" s="9"/>
      <c r="M14" s="9"/>
      <c r="N14" s="40"/>
      <c r="O14" s="52"/>
      <c r="P14" s="134"/>
      <c r="Q14" s="135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/>
      <c r="L15" s="9"/>
      <c r="M15" s="9"/>
      <c r="N15" s="40"/>
      <c r="O15" s="52"/>
      <c r="P15" s="134"/>
      <c r="Q15" s="135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/>
      <c r="L16" s="9"/>
      <c r="M16" s="9"/>
      <c r="N16" s="40"/>
      <c r="O16" s="52"/>
      <c r="P16" s="134"/>
      <c r="Q16" s="135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/>
      <c r="L17" s="9"/>
      <c r="M17" s="9"/>
      <c r="N17" s="40"/>
      <c r="O17" s="52"/>
      <c r="P17" s="134"/>
      <c r="Q17" s="135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/>
      <c r="L18" s="9"/>
      <c r="M18" s="9"/>
      <c r="N18" s="40"/>
      <c r="O18" s="52"/>
      <c r="P18" s="134"/>
      <c r="Q18" s="135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8"/>
      <c r="Q20" s="55"/>
    </row>
    <row r="21" spans="1:17" s="11" customFormat="1" x14ac:dyDescent="0.2">
      <c r="A21" s="68"/>
      <c r="Q21" s="55"/>
    </row>
    <row r="22" spans="1:17" s="11" customFormat="1" x14ac:dyDescent="0.2">
      <c r="A22" s="68"/>
      <c r="Q22" s="55"/>
    </row>
    <row r="23" spans="1:17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135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192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100</v>
      </c>
      <c r="K3" s="7" t="s">
        <v>22</v>
      </c>
      <c r="L3" s="67" t="str">
        <f>IF(LogicCommon!G3="","",LogicCommon!G3)</f>
        <v/>
      </c>
      <c r="M3" s="71" t="s">
        <v>97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31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379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101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104</v>
      </c>
      <c r="L8" s="9" t="s">
        <v>194</v>
      </c>
      <c r="M8" s="33" t="s">
        <v>34</v>
      </c>
      <c r="N8" s="9" t="s">
        <v>194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631</v>
      </c>
      <c r="E9" s="85" t="s">
        <v>632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105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193</v>
      </c>
      <c r="E11" s="43" t="s">
        <v>106</v>
      </c>
      <c r="F11" s="44"/>
      <c r="G11" s="28" t="s">
        <v>107</v>
      </c>
      <c r="H11" s="45" t="s">
        <v>516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69</v>
      </c>
      <c r="E12" s="50" t="s">
        <v>92</v>
      </c>
      <c r="F12" s="50"/>
      <c r="G12" s="51" t="s">
        <v>628</v>
      </c>
      <c r="H12" s="51" t="s">
        <v>510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596</v>
      </c>
      <c r="H13" s="51" t="s">
        <v>438</v>
      </c>
      <c r="I13" s="9" t="s">
        <v>43</v>
      </c>
      <c r="J13" s="9"/>
      <c r="K13" s="9" t="s">
        <v>314</v>
      </c>
      <c r="L13" s="9"/>
      <c r="M13" s="9" t="s">
        <v>314</v>
      </c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9">
        <v>10</v>
      </c>
      <c r="B14" s="9"/>
      <c r="C14" s="9"/>
      <c r="D14" s="9" t="s">
        <v>70</v>
      </c>
      <c r="E14" s="50" t="s">
        <v>93</v>
      </c>
      <c r="F14" s="50"/>
      <c r="G14" s="51" t="s">
        <v>633</v>
      </c>
      <c r="H14" s="51" t="s">
        <v>515</v>
      </c>
      <c r="I14" s="9" t="s">
        <v>43</v>
      </c>
      <c r="J14" s="9"/>
      <c r="K14" s="9" t="s">
        <v>314</v>
      </c>
      <c r="L14" s="9"/>
      <c r="M14" s="9" t="s">
        <v>314</v>
      </c>
      <c r="N14" s="9"/>
      <c r="O14" s="9"/>
      <c r="P14" s="9"/>
      <c r="Q14" s="9"/>
      <c r="R14" s="9"/>
      <c r="S14" s="40"/>
      <c r="T14" s="52"/>
      <c r="U14" s="134"/>
      <c r="V14" s="135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591</v>
      </c>
      <c r="H15" s="51" t="s">
        <v>427</v>
      </c>
      <c r="I15" s="9" t="s">
        <v>43</v>
      </c>
      <c r="J15" s="9"/>
      <c r="K15" s="9" t="s">
        <v>314</v>
      </c>
      <c r="L15" s="9"/>
      <c r="M15" s="9" t="s">
        <v>314</v>
      </c>
      <c r="N15" s="9"/>
      <c r="O15" s="9"/>
      <c r="P15" s="9"/>
      <c r="Q15" s="9"/>
      <c r="R15" s="9"/>
      <c r="S15" s="40"/>
      <c r="T15" s="52"/>
      <c r="U15" s="134"/>
      <c r="V15" s="135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592</v>
      </c>
      <c r="H16" s="51" t="s">
        <v>428</v>
      </c>
      <c r="I16" s="9" t="s">
        <v>43</v>
      </c>
      <c r="J16" s="9"/>
      <c r="K16" s="9" t="s">
        <v>314</v>
      </c>
      <c r="L16" s="9"/>
      <c r="M16" s="9" t="s">
        <v>314</v>
      </c>
      <c r="N16" s="9"/>
      <c r="O16" s="9"/>
      <c r="P16" s="9"/>
      <c r="Q16" s="9"/>
      <c r="R16" s="9"/>
      <c r="S16" s="40"/>
      <c r="T16" s="52"/>
      <c r="U16" s="134"/>
      <c r="V16" s="135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593</v>
      </c>
      <c r="H17" s="51" t="s">
        <v>429</v>
      </c>
      <c r="I17" s="9" t="s">
        <v>43</v>
      </c>
      <c r="J17" s="9"/>
      <c r="K17" s="9" t="s">
        <v>314</v>
      </c>
      <c r="L17" s="9"/>
      <c r="M17" s="9" t="s">
        <v>314</v>
      </c>
      <c r="N17" s="9"/>
      <c r="O17" s="9"/>
      <c r="P17" s="9"/>
      <c r="Q17" s="9"/>
      <c r="R17" s="9"/>
      <c r="S17" s="40"/>
      <c r="T17" s="52"/>
      <c r="U17" s="134"/>
      <c r="V17" s="135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595</v>
      </c>
      <c r="H18" s="51" t="s">
        <v>431</v>
      </c>
      <c r="I18" s="9" t="s">
        <v>43</v>
      </c>
      <c r="J18" s="9"/>
      <c r="K18" s="9" t="s">
        <v>314</v>
      </c>
      <c r="L18" s="9"/>
      <c r="M18" s="9" t="s">
        <v>314</v>
      </c>
      <c r="N18" s="9"/>
      <c r="O18" s="9"/>
      <c r="P18" s="9"/>
      <c r="Q18" s="9"/>
      <c r="R18" s="9"/>
      <c r="S18" s="40"/>
      <c r="T18" s="52"/>
      <c r="U18" s="134"/>
      <c r="V18" s="135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8"/>
      <c r="V20" s="55"/>
    </row>
    <row r="21" spans="1:22" s="11" customFormat="1" x14ac:dyDescent="0.2">
      <c r="A21" s="68"/>
      <c r="V21" s="55"/>
    </row>
    <row r="22" spans="1:22" s="11" customFormat="1" x14ac:dyDescent="0.2">
      <c r="A22" s="68"/>
      <c r="V22" s="55"/>
    </row>
    <row r="23" spans="1:22" s="11" customFormat="1" x14ac:dyDescent="0.2">
      <c r="A23" s="7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319</v>
      </c>
      <c r="K2" s="7" t="s">
        <v>21</v>
      </c>
      <c r="L2" s="67" t="str">
        <f>IF(LogicCommon!G2="","",LogicCommon!G2)</f>
        <v>MC</v>
      </c>
      <c r="M2" s="5" t="s">
        <v>391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96</v>
      </c>
      <c r="K3" s="7" t="s">
        <v>22</v>
      </c>
      <c r="L3" s="67" t="str">
        <f>IF(LogicCommon!G3="","",LogicCommon!G3)</f>
        <v/>
      </c>
      <c r="M3" s="71" t="s">
        <v>257</v>
      </c>
      <c r="N3" s="7"/>
      <c r="O3" s="7" t="s">
        <v>393</v>
      </c>
      <c r="P3" s="9" t="s">
        <v>394</v>
      </c>
      <c r="Q3" s="4"/>
    </row>
    <row r="4" spans="1:17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98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</row>
    <row r="5" spans="1:17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</row>
    <row r="6" spans="1:17" s="11" customFormat="1" x14ac:dyDescent="0.2">
      <c r="A6" s="68" t="s">
        <v>389</v>
      </c>
      <c r="B6" s="69"/>
      <c r="C6" s="69"/>
      <c r="D6" s="4" t="s">
        <v>5</v>
      </c>
      <c r="E6" s="16" t="s">
        <v>380</v>
      </c>
      <c r="F6" s="16"/>
      <c r="G6" s="16"/>
      <c r="H6" s="16"/>
      <c r="I6" s="16"/>
      <c r="J6" s="16"/>
      <c r="K6" s="16"/>
      <c r="L6" s="75"/>
      <c r="M6" s="19" t="s">
        <v>433</v>
      </c>
      <c r="N6" s="19"/>
      <c r="O6" s="19"/>
      <c r="P6" s="19"/>
      <c r="Q6" s="19"/>
    </row>
    <row r="7" spans="1:17" s="11" customFormat="1" x14ac:dyDescent="0.2">
      <c r="A7" s="30" t="s">
        <v>255</v>
      </c>
      <c r="B7" s="30"/>
      <c r="C7" s="30"/>
      <c r="D7" s="31"/>
      <c r="E7" s="31"/>
      <c r="F7" s="31"/>
      <c r="G7" s="31"/>
      <c r="H7" s="31"/>
      <c r="I7" s="31" t="s">
        <v>275</v>
      </c>
      <c r="J7" s="31"/>
      <c r="K7" s="32" t="s">
        <v>287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9" t="s">
        <v>302</v>
      </c>
      <c r="L8" s="33" t="s">
        <v>34</v>
      </c>
      <c r="M8" s="9"/>
      <c r="N8" s="82"/>
      <c r="O8" s="83"/>
      <c r="P8" s="84" t="s">
        <v>559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8" t="s">
        <v>631</v>
      </c>
      <c r="E9" s="85" t="s">
        <v>632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84" t="s">
        <v>567</v>
      </c>
      <c r="O9" s="52"/>
      <c r="P9" s="84" t="s">
        <v>568</v>
      </c>
      <c r="Q9" s="52"/>
    </row>
    <row r="10" spans="1:17" s="11" customFormat="1" ht="52" x14ac:dyDescent="0.2">
      <c r="A10" s="38" t="s">
        <v>255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9" t="s">
        <v>565</v>
      </c>
      <c r="M10" s="79" t="s">
        <v>566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318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2"/>
      <c r="Q11" s="49"/>
    </row>
    <row r="12" spans="1:17" s="11" customFormat="1" x14ac:dyDescent="0.2">
      <c r="A12" s="9">
        <v>10</v>
      </c>
      <c r="B12" s="9"/>
      <c r="C12" s="9"/>
      <c r="D12" s="9" t="s">
        <v>69</v>
      </c>
      <c r="E12" s="50" t="s">
        <v>92</v>
      </c>
      <c r="F12" s="50"/>
      <c r="G12" s="51" t="s">
        <v>628</v>
      </c>
      <c r="H12" s="51" t="s">
        <v>517</v>
      </c>
      <c r="I12" s="9" t="s">
        <v>43</v>
      </c>
      <c r="J12" s="9"/>
      <c r="K12" s="9" t="s">
        <v>314</v>
      </c>
      <c r="L12" s="9"/>
      <c r="M12" s="9"/>
      <c r="N12" s="40"/>
      <c r="O12" s="52"/>
      <c r="P12" s="134"/>
      <c r="Q12" s="135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/>
      <c r="L13" s="9"/>
      <c r="M13" s="9"/>
      <c r="N13" s="40"/>
      <c r="O13" s="52"/>
      <c r="P13" s="134"/>
      <c r="Q13" s="135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8"/>
      <c r="Q15" s="55"/>
    </row>
    <row r="16" spans="1:17" s="11" customFormat="1" x14ac:dyDescent="0.2">
      <c r="A16" s="68"/>
      <c r="Q16" s="55"/>
    </row>
    <row r="17" spans="1:17" s="11" customFormat="1" x14ac:dyDescent="0.2">
      <c r="A17" s="68"/>
      <c r="Q17" s="55"/>
    </row>
    <row r="18" spans="1:17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4" t="s">
        <v>389</v>
      </c>
      <c r="B1" s="64" t="s">
        <v>389</v>
      </c>
      <c r="C1" s="64"/>
      <c r="D1" s="1" t="s">
        <v>106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5" t="s">
        <v>389</v>
      </c>
      <c r="B2" s="66"/>
      <c r="C2" s="66"/>
      <c r="D2" s="77" t="s">
        <v>555</v>
      </c>
      <c r="E2" s="7" t="s">
        <v>11</v>
      </c>
      <c r="F2" s="67" t="str">
        <f>IF(LogicCommon!C2="","",LogicCommon!C2)</f>
        <v>MA</v>
      </c>
      <c r="G2" s="7" t="s">
        <v>8</v>
      </c>
      <c r="H2" s="67" t="str">
        <f>IF(LogicCommon!E2="","",LogicCommon!E2)</f>
        <v>MABCL0033</v>
      </c>
      <c r="I2" s="7" t="s">
        <v>390</v>
      </c>
      <c r="J2" s="9" t="s">
        <v>321</v>
      </c>
      <c r="K2" s="7" t="s">
        <v>21</v>
      </c>
      <c r="L2" s="67" t="str">
        <f>IF(LogicCommon!G2="","",LogicCommon!G2)</f>
        <v>MC</v>
      </c>
      <c r="M2" s="5" t="s">
        <v>391</v>
      </c>
      <c r="N2" s="28" t="s">
        <v>524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8" t="s">
        <v>389</v>
      </c>
      <c r="B3" s="69"/>
      <c r="C3" s="69"/>
      <c r="D3" s="70" t="str">
        <f>IF(LogicCommon!A3="","",LogicCommon!A3)</f>
        <v/>
      </c>
      <c r="E3" s="7" t="s">
        <v>12</v>
      </c>
      <c r="F3" s="67" t="str">
        <f>IF(LogicCommon!C3="","",LogicCommon!C3)</f>
        <v>MABC</v>
      </c>
      <c r="G3" s="7" t="s">
        <v>9</v>
      </c>
      <c r="H3" s="67" t="str">
        <f>IF(LogicCommon!E3="","",LogicCommon!E3)</f>
        <v>MABCL_MultiReg</v>
      </c>
      <c r="I3" s="7" t="s">
        <v>392</v>
      </c>
      <c r="J3" s="9" t="s">
        <v>276</v>
      </c>
      <c r="K3" s="7" t="s">
        <v>22</v>
      </c>
      <c r="L3" s="67" t="str">
        <f>IF(LogicCommon!G3="","",LogicCommon!G3)</f>
        <v/>
      </c>
      <c r="M3" s="71" t="s">
        <v>256</v>
      </c>
      <c r="N3" s="7"/>
      <c r="O3" s="7" t="s">
        <v>393</v>
      </c>
      <c r="P3" s="9" t="s">
        <v>394</v>
      </c>
      <c r="Q3" s="4"/>
      <c r="R3" s="27"/>
      <c r="S3" s="4"/>
      <c r="T3" s="27"/>
      <c r="U3" s="27"/>
      <c r="V3" s="27"/>
    </row>
    <row r="4" spans="1:22" s="11" customFormat="1" x14ac:dyDescent="0.2">
      <c r="A4" s="68" t="s">
        <v>389</v>
      </c>
      <c r="B4" s="69"/>
      <c r="C4" s="69"/>
      <c r="D4" s="4"/>
      <c r="E4" s="7" t="s">
        <v>7</v>
      </c>
      <c r="F4" s="10" t="s">
        <v>519</v>
      </c>
      <c r="G4" s="7" t="s">
        <v>10</v>
      </c>
      <c r="H4" s="67" t="str">
        <f>IF(LogicCommon!E4="","",LogicCommon!E4)</f>
        <v>マルチマスタ登録</v>
      </c>
      <c r="I4" s="7" t="s">
        <v>395</v>
      </c>
      <c r="J4" s="9" t="s">
        <v>268</v>
      </c>
      <c r="K4" s="7" t="s">
        <v>4</v>
      </c>
      <c r="L4" s="67" t="str">
        <f>IF(LogicCommon!G4="","",LogicCommon!G4)</f>
        <v>MA.MAUDL5010</v>
      </c>
      <c r="M4" s="7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3" t="s">
        <v>389</v>
      </c>
      <c r="B5" s="64"/>
      <c r="C5" s="64"/>
      <c r="D5" s="26"/>
      <c r="E5" s="7" t="s">
        <v>396</v>
      </c>
      <c r="F5" s="10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8" t="s">
        <v>389</v>
      </c>
      <c r="B6" s="69"/>
      <c r="C6" s="69"/>
      <c r="D6" s="4" t="s">
        <v>5</v>
      </c>
      <c r="E6" s="16" t="s">
        <v>381</v>
      </c>
      <c r="F6" s="16"/>
      <c r="G6" s="16"/>
      <c r="H6" s="16"/>
      <c r="I6" s="16"/>
      <c r="J6" s="16"/>
      <c r="K6" s="16"/>
      <c r="L6" s="75" t="s">
        <v>433</v>
      </c>
      <c r="M6" s="19"/>
      <c r="N6" s="19" t="s">
        <v>433</v>
      </c>
      <c r="O6" s="19"/>
      <c r="P6" s="19" t="s">
        <v>433</v>
      </c>
      <c r="Q6" s="19"/>
      <c r="R6" s="3" t="s">
        <v>433</v>
      </c>
      <c r="S6" s="4"/>
      <c r="T6" s="29"/>
      <c r="U6" s="29"/>
      <c r="V6" s="27"/>
    </row>
    <row r="7" spans="1:22" s="11" customFormat="1" x14ac:dyDescent="0.2">
      <c r="A7" s="30" t="s">
        <v>252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265</v>
      </c>
      <c r="L7" s="32" t="s">
        <v>264</v>
      </c>
      <c r="M7" s="33" t="s">
        <v>33</v>
      </c>
      <c r="N7" s="32" t="s">
        <v>263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80"/>
      <c r="C8" s="81"/>
      <c r="D8" s="78" t="s">
        <v>556</v>
      </c>
      <c r="E8" s="78" t="s">
        <v>557</v>
      </c>
      <c r="F8" s="75"/>
      <c r="G8" s="78" t="s">
        <v>432</v>
      </c>
      <c r="H8" s="78" t="s">
        <v>558</v>
      </c>
      <c r="I8" s="75"/>
      <c r="J8" s="3"/>
      <c r="K8" s="33" t="s">
        <v>262</v>
      </c>
      <c r="L8" s="9" t="s">
        <v>552</v>
      </c>
      <c r="M8" s="33" t="s">
        <v>34</v>
      </c>
      <c r="N8" s="9" t="s">
        <v>194</v>
      </c>
      <c r="O8" s="33" t="s">
        <v>34</v>
      </c>
      <c r="P8" s="9"/>
      <c r="Q8" s="33" t="s">
        <v>34</v>
      </c>
      <c r="R8" s="9"/>
      <c r="S8" s="82"/>
      <c r="T8" s="83"/>
      <c r="U8" s="84" t="s">
        <v>559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8" t="s">
        <v>631</v>
      </c>
      <c r="E9" s="85" t="s">
        <v>632</v>
      </c>
      <c r="F9" s="78" t="s">
        <v>562</v>
      </c>
      <c r="G9" s="78" t="s">
        <v>563</v>
      </c>
      <c r="H9" s="78" t="s">
        <v>564</v>
      </c>
      <c r="I9" s="86" t="s">
        <v>565</v>
      </c>
      <c r="J9" s="78" t="s">
        <v>566</v>
      </c>
      <c r="K9" s="33"/>
      <c r="L9" s="33"/>
      <c r="M9" s="33"/>
      <c r="N9" s="33"/>
      <c r="O9" s="33"/>
      <c r="P9" s="33"/>
      <c r="Q9" s="33"/>
      <c r="R9" s="33"/>
      <c r="S9" s="84" t="s">
        <v>567</v>
      </c>
      <c r="T9" s="52"/>
      <c r="U9" s="84" t="s">
        <v>568</v>
      </c>
      <c r="V9" s="52"/>
    </row>
    <row r="10" spans="1:22" s="11" customFormat="1" ht="52" x14ac:dyDescent="0.2">
      <c r="A10" s="38" t="s">
        <v>252</v>
      </c>
      <c r="B10" s="39"/>
      <c r="C10" s="39"/>
      <c r="D10" s="40"/>
      <c r="E10" s="41"/>
      <c r="F10" s="41"/>
      <c r="G10" s="42"/>
      <c r="H10" s="42"/>
      <c r="I10" s="41"/>
      <c r="J10" s="41"/>
      <c r="K10" s="79" t="s">
        <v>565</v>
      </c>
      <c r="L10" s="79" t="s">
        <v>566</v>
      </c>
      <c r="M10" s="79" t="s">
        <v>565</v>
      </c>
      <c r="N10" s="79" t="s">
        <v>566</v>
      </c>
      <c r="O10" s="79" t="s">
        <v>565</v>
      </c>
      <c r="P10" s="79" t="s">
        <v>566</v>
      </c>
      <c r="Q10" s="79" t="s">
        <v>565</v>
      </c>
      <c r="R10" s="79" t="s">
        <v>566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320</v>
      </c>
      <c r="E11" s="43" t="s">
        <v>259</v>
      </c>
      <c r="F11" s="44"/>
      <c r="G11" s="28" t="s">
        <v>107</v>
      </c>
      <c r="H11" s="45" t="s">
        <v>518</v>
      </c>
      <c r="I11" s="46"/>
      <c r="J11" s="47"/>
      <c r="K11" s="48" t="s">
        <v>106</v>
      </c>
      <c r="L11" s="48"/>
      <c r="M11" s="48" t="s">
        <v>435</v>
      </c>
      <c r="N11" s="48"/>
      <c r="O11" s="48"/>
      <c r="P11" s="48"/>
      <c r="Q11" s="48"/>
      <c r="R11" s="48"/>
      <c r="S11" s="34"/>
      <c r="T11" s="35"/>
      <c r="U11" s="62"/>
      <c r="V11" s="49"/>
    </row>
    <row r="12" spans="1:22" s="11" customFormat="1" x14ac:dyDescent="0.2">
      <c r="A12" s="9">
        <v>10</v>
      </c>
      <c r="B12" s="9"/>
      <c r="C12" s="9"/>
      <c r="D12" s="9" t="s">
        <v>69</v>
      </c>
      <c r="E12" s="50" t="s">
        <v>92</v>
      </c>
      <c r="F12" s="50"/>
      <c r="G12" s="51" t="s">
        <v>628</v>
      </c>
      <c r="H12" s="51" t="s">
        <v>517</v>
      </c>
      <c r="I12" s="9" t="s">
        <v>43</v>
      </c>
      <c r="J12" s="9"/>
      <c r="K12" s="9" t="s">
        <v>314</v>
      </c>
      <c r="L12" s="9"/>
      <c r="M12" s="9" t="s">
        <v>314</v>
      </c>
      <c r="N12" s="9"/>
      <c r="O12" s="9"/>
      <c r="P12" s="9"/>
      <c r="Q12" s="9"/>
      <c r="R12" s="9"/>
      <c r="S12" s="40"/>
      <c r="T12" s="52"/>
      <c r="U12" s="134"/>
      <c r="V12" s="135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595</v>
      </c>
      <c r="H13" s="51" t="s">
        <v>431</v>
      </c>
      <c r="I13" s="9" t="s">
        <v>43</v>
      </c>
      <c r="J13" s="9"/>
      <c r="K13" s="9" t="s">
        <v>314</v>
      </c>
      <c r="L13" s="9"/>
      <c r="M13" s="9"/>
      <c r="N13" s="9"/>
      <c r="O13" s="9"/>
      <c r="P13" s="9"/>
      <c r="Q13" s="9"/>
      <c r="R13" s="9"/>
      <c r="S13" s="40"/>
      <c r="T13" s="52"/>
      <c r="U13" s="134"/>
      <c r="V13" s="135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8"/>
      <c r="V15" s="55"/>
    </row>
    <row r="16" spans="1:22" s="11" customFormat="1" x14ac:dyDescent="0.2">
      <c r="A16" s="68"/>
      <c r="V16" s="55"/>
    </row>
    <row r="17" spans="1:22" s="11" customFormat="1" x14ac:dyDescent="0.2">
      <c r="A17" s="68"/>
      <c r="V17" s="55"/>
    </row>
    <row r="18" spans="1:22" s="11" customFormat="1" x14ac:dyDescent="0.2">
      <c r="A18" s="7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6" customWidth="1"/>
    <col min="43" max="44" width="2.08984375" style="58" customWidth="1"/>
    <col min="45" max="71" width="2.08984375" style="56" customWidth="1"/>
    <col min="72" max="16384" width="9" style="56"/>
  </cols>
  <sheetData>
    <row r="1" spans="1:57" ht="38.25" customHeight="1" thickBot="1" x14ac:dyDescent="0.25">
      <c r="A1" s="126" t="s">
        <v>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8"/>
    </row>
    <row r="2" spans="1:57" ht="12" customHeight="1" thickBo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</row>
    <row r="3" spans="1:57" ht="15" customHeight="1" thickBot="1" x14ac:dyDescent="0.25">
      <c r="A3" s="94" t="s">
        <v>15</v>
      </c>
      <c r="B3" s="95"/>
      <c r="C3" s="95"/>
      <c r="D3" s="95"/>
      <c r="E3" s="95"/>
      <c r="F3" s="95"/>
      <c r="G3" s="96"/>
      <c r="H3" s="129" t="s">
        <v>16</v>
      </c>
      <c r="I3" s="95"/>
      <c r="J3" s="95"/>
      <c r="K3" s="95"/>
      <c r="L3" s="95"/>
      <c r="M3" s="95"/>
      <c r="N3" s="96"/>
      <c r="O3" s="129" t="s">
        <v>17</v>
      </c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1"/>
      <c r="AQ3" s="129" t="s">
        <v>18</v>
      </c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3"/>
    </row>
    <row r="4" spans="1:57" ht="15" customHeight="1" x14ac:dyDescent="0.2">
      <c r="A4" s="102">
        <v>1</v>
      </c>
      <c r="B4" s="103"/>
      <c r="C4" s="103"/>
      <c r="D4" s="103"/>
      <c r="E4" s="103"/>
      <c r="F4" s="103"/>
      <c r="G4" s="104"/>
      <c r="H4" s="87"/>
      <c r="I4" s="88"/>
      <c r="J4" s="88"/>
      <c r="K4" s="88"/>
      <c r="L4" s="88"/>
      <c r="M4" s="88"/>
      <c r="N4" s="89"/>
      <c r="O4" s="87" t="s">
        <v>19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97"/>
      <c r="I5" s="108"/>
      <c r="J5" s="108"/>
      <c r="K5" s="108"/>
      <c r="L5" s="108"/>
      <c r="M5" s="108"/>
      <c r="N5" s="109"/>
      <c r="O5" s="110" t="s">
        <v>634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635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 x14ac:dyDescent="0.2">
      <c r="A6" s="105"/>
      <c r="B6" s="106"/>
      <c r="C6" s="106"/>
      <c r="D6" s="106"/>
      <c r="E6" s="106"/>
      <c r="F6" s="106"/>
      <c r="G6" s="107"/>
      <c r="H6" s="97"/>
      <c r="I6" s="108"/>
      <c r="J6" s="108"/>
      <c r="K6" s="108"/>
      <c r="L6" s="108"/>
      <c r="M6" s="108"/>
      <c r="N6" s="109"/>
      <c r="O6" s="97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9"/>
      <c r="AQ6" s="100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101"/>
    </row>
    <row r="7" spans="1:57" ht="15" customHeight="1" x14ac:dyDescent="0.2">
      <c r="A7" s="105"/>
      <c r="B7" s="106"/>
      <c r="C7" s="106"/>
      <c r="D7" s="106"/>
      <c r="E7" s="106"/>
      <c r="F7" s="106"/>
      <c r="G7" s="107"/>
      <c r="H7" s="97"/>
      <c r="I7" s="108"/>
      <c r="J7" s="108"/>
      <c r="K7" s="108"/>
      <c r="L7" s="108"/>
      <c r="M7" s="108"/>
      <c r="N7" s="109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101"/>
    </row>
    <row r="8" spans="1:57" ht="15" customHeight="1" x14ac:dyDescent="0.2">
      <c r="A8" s="105"/>
      <c r="B8" s="106"/>
      <c r="C8" s="106"/>
      <c r="D8" s="106"/>
      <c r="E8" s="106"/>
      <c r="F8" s="106"/>
      <c r="G8" s="107"/>
      <c r="H8" s="97"/>
      <c r="I8" s="108"/>
      <c r="J8" s="108"/>
      <c r="K8" s="108"/>
      <c r="L8" s="108"/>
      <c r="M8" s="108"/>
      <c r="N8" s="109"/>
      <c r="O8" s="97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9"/>
      <c r="AQ8" s="100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101"/>
    </row>
    <row r="9" spans="1:57" ht="15" customHeight="1" x14ac:dyDescent="0.2">
      <c r="A9" s="105"/>
      <c r="B9" s="106"/>
      <c r="C9" s="106"/>
      <c r="D9" s="106"/>
      <c r="E9" s="106"/>
      <c r="F9" s="106"/>
      <c r="G9" s="107"/>
      <c r="H9" s="97"/>
      <c r="I9" s="108"/>
      <c r="J9" s="108"/>
      <c r="K9" s="108"/>
      <c r="L9" s="108"/>
      <c r="M9" s="108"/>
      <c r="N9" s="109"/>
      <c r="O9" s="97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9"/>
      <c r="AQ9" s="100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101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97"/>
      <c r="I10" s="108"/>
      <c r="J10" s="108"/>
      <c r="K10" s="108"/>
      <c r="L10" s="108"/>
      <c r="M10" s="108"/>
      <c r="N10" s="109"/>
      <c r="O10" s="97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9"/>
      <c r="AQ10" s="100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101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97"/>
      <c r="I11" s="108"/>
      <c r="J11" s="108"/>
      <c r="K11" s="108"/>
      <c r="L11" s="108"/>
      <c r="M11" s="108"/>
      <c r="N11" s="109"/>
      <c r="O11" s="97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9"/>
      <c r="AQ11" s="100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101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97"/>
      <c r="I12" s="108"/>
      <c r="J12" s="108"/>
      <c r="K12" s="108"/>
      <c r="L12" s="108"/>
      <c r="M12" s="108"/>
      <c r="N12" s="109"/>
      <c r="O12" s="97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9"/>
      <c r="AQ12" s="100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101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97"/>
      <c r="I13" s="108"/>
      <c r="J13" s="108"/>
      <c r="K13" s="108"/>
      <c r="L13" s="108"/>
      <c r="M13" s="108"/>
      <c r="N13" s="109"/>
      <c r="O13" s="97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9"/>
      <c r="AQ13" s="100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101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97"/>
      <c r="I14" s="108"/>
      <c r="J14" s="108"/>
      <c r="K14" s="108"/>
      <c r="L14" s="108"/>
      <c r="M14" s="108"/>
      <c r="N14" s="109"/>
      <c r="O14" s="97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9"/>
      <c r="AQ14" s="100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101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97"/>
      <c r="I15" s="108"/>
      <c r="J15" s="108"/>
      <c r="K15" s="108"/>
      <c r="L15" s="108"/>
      <c r="M15" s="108"/>
      <c r="N15" s="109"/>
      <c r="O15" s="97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9"/>
      <c r="AQ15" s="100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101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97"/>
      <c r="I16" s="108"/>
      <c r="J16" s="108"/>
      <c r="K16" s="108"/>
      <c r="L16" s="108"/>
      <c r="M16" s="108"/>
      <c r="N16" s="109"/>
      <c r="O16" s="97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9"/>
      <c r="AQ16" s="100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101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97"/>
      <c r="I17" s="108"/>
      <c r="J17" s="108"/>
      <c r="K17" s="108"/>
      <c r="L17" s="108"/>
      <c r="M17" s="108"/>
      <c r="N17" s="109"/>
      <c r="O17" s="97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9"/>
      <c r="AQ17" s="100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101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97"/>
      <c r="I18" s="108"/>
      <c r="J18" s="108"/>
      <c r="K18" s="108"/>
      <c r="L18" s="108"/>
      <c r="M18" s="108"/>
      <c r="N18" s="109"/>
      <c r="O18" s="97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9"/>
      <c r="AQ18" s="100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101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97"/>
      <c r="I19" s="108"/>
      <c r="J19" s="108"/>
      <c r="K19" s="108"/>
      <c r="L19" s="108"/>
      <c r="M19" s="108"/>
      <c r="N19" s="109"/>
      <c r="O19" s="97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9"/>
      <c r="AQ19" s="100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101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97"/>
      <c r="I20" s="108"/>
      <c r="J20" s="108"/>
      <c r="K20" s="108"/>
      <c r="L20" s="108"/>
      <c r="M20" s="108"/>
      <c r="N20" s="109"/>
      <c r="O20" s="97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9"/>
      <c r="AQ20" s="100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101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97"/>
      <c r="I21" s="108"/>
      <c r="J21" s="108"/>
      <c r="K21" s="108"/>
      <c r="L21" s="108"/>
      <c r="M21" s="108"/>
      <c r="N21" s="109"/>
      <c r="O21" s="97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9"/>
      <c r="AQ21" s="100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101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97"/>
      <c r="I22" s="108"/>
      <c r="J22" s="108"/>
      <c r="K22" s="108"/>
      <c r="L22" s="108"/>
      <c r="M22" s="108"/>
      <c r="N22" s="109"/>
      <c r="O22" s="97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9"/>
      <c r="AQ22" s="100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101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97"/>
      <c r="I23" s="108"/>
      <c r="J23" s="108"/>
      <c r="K23" s="108"/>
      <c r="L23" s="108"/>
      <c r="M23" s="108"/>
      <c r="N23" s="109"/>
      <c r="O23" s="97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9"/>
      <c r="AQ23" s="100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101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97"/>
      <c r="I24" s="108"/>
      <c r="J24" s="108"/>
      <c r="K24" s="108"/>
      <c r="L24" s="108"/>
      <c r="M24" s="108"/>
      <c r="N24" s="109"/>
      <c r="O24" s="97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9"/>
      <c r="AQ24" s="100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101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97"/>
      <c r="I25" s="108"/>
      <c r="J25" s="108"/>
      <c r="K25" s="108"/>
      <c r="L25" s="108"/>
      <c r="M25" s="108"/>
      <c r="N25" s="109"/>
      <c r="O25" s="97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9"/>
      <c r="AQ25" s="100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101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97"/>
      <c r="I26" s="108"/>
      <c r="J26" s="108"/>
      <c r="K26" s="108"/>
      <c r="L26" s="108"/>
      <c r="M26" s="108"/>
      <c r="N26" s="109"/>
      <c r="O26" s="97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9"/>
      <c r="AQ26" s="100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101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97"/>
      <c r="I27" s="108"/>
      <c r="J27" s="108"/>
      <c r="K27" s="108"/>
      <c r="L27" s="108"/>
      <c r="M27" s="108"/>
      <c r="N27" s="109"/>
      <c r="O27" s="97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9"/>
      <c r="AQ27" s="100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101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97"/>
      <c r="I28" s="108"/>
      <c r="J28" s="108"/>
      <c r="K28" s="108"/>
      <c r="L28" s="108"/>
      <c r="M28" s="108"/>
      <c r="N28" s="109"/>
      <c r="O28" s="97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9"/>
      <c r="AQ28" s="100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101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97"/>
      <c r="I29" s="108"/>
      <c r="J29" s="108"/>
      <c r="K29" s="108"/>
      <c r="L29" s="108"/>
      <c r="M29" s="108"/>
      <c r="N29" s="109"/>
      <c r="O29" s="97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9"/>
      <c r="AQ29" s="100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101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97"/>
      <c r="I30" s="108"/>
      <c r="J30" s="108"/>
      <c r="K30" s="108"/>
      <c r="L30" s="108"/>
      <c r="M30" s="108"/>
      <c r="N30" s="109"/>
      <c r="O30" s="97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9"/>
      <c r="AQ30" s="100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101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97"/>
      <c r="I31" s="108"/>
      <c r="J31" s="108"/>
      <c r="K31" s="108"/>
      <c r="L31" s="108"/>
      <c r="M31" s="108"/>
      <c r="N31" s="109"/>
      <c r="O31" s="97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9"/>
      <c r="AQ31" s="100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101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97"/>
      <c r="I32" s="108"/>
      <c r="J32" s="108"/>
      <c r="K32" s="108"/>
      <c r="L32" s="108"/>
      <c r="M32" s="108"/>
      <c r="N32" s="109"/>
      <c r="O32" s="97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9"/>
      <c r="AQ32" s="100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101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97"/>
      <c r="I33" s="108"/>
      <c r="J33" s="108"/>
      <c r="K33" s="108"/>
      <c r="L33" s="108"/>
      <c r="M33" s="108"/>
      <c r="N33" s="109"/>
      <c r="O33" s="97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9"/>
      <c r="AQ33" s="100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101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97"/>
      <c r="I34" s="108"/>
      <c r="J34" s="108"/>
      <c r="K34" s="108"/>
      <c r="L34" s="108"/>
      <c r="M34" s="108"/>
      <c r="N34" s="109"/>
      <c r="O34" s="97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9"/>
      <c r="AQ34" s="100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101"/>
    </row>
    <row r="35" spans="1:57" ht="15" customHeight="1" thickBot="1" x14ac:dyDescent="0.25">
      <c r="A35" s="123"/>
      <c r="B35" s="124"/>
      <c r="C35" s="124"/>
      <c r="D35" s="124"/>
      <c r="E35" s="124"/>
      <c r="F35" s="124"/>
      <c r="G35" s="12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62</vt:i4>
      </vt:variant>
    </vt:vector>
  </HeadingPairs>
  <TitlesOfParts>
    <vt:vector size="62" baseType="lpstr">
      <vt:lpstr>LogicCommon</vt:lpstr>
      <vt:lpstr>Wg_UpdChk01</vt:lpstr>
      <vt:lpstr>Wg_Upd01</vt:lpstr>
      <vt:lpstr>WgLcl_UpdChk01</vt:lpstr>
      <vt:lpstr>WgLcl_Upd01</vt:lpstr>
      <vt:lpstr>Wg_DelChk01</vt:lpstr>
      <vt:lpstr>Wg_Del01</vt:lpstr>
      <vt:lpstr>Oper_UpdChk01</vt:lpstr>
      <vt:lpstr>Oper_Upd01</vt:lpstr>
      <vt:lpstr>OperLcl_UpdChk01</vt:lpstr>
      <vt:lpstr>OperLcl_Upd01</vt:lpstr>
      <vt:lpstr>Oper_DelChk01</vt:lpstr>
      <vt:lpstr>Oper_Del01</vt:lpstr>
      <vt:lpstr>WkCost_UpdChk01</vt:lpstr>
      <vt:lpstr>WkCost_Upd01</vt:lpstr>
      <vt:lpstr>WkCostLcl_UpdChk01</vt:lpstr>
      <vt:lpstr>WkCostLcl_Upd01</vt:lpstr>
      <vt:lpstr>WkCost_DelChk01</vt:lpstr>
      <vt:lpstr>WkCost_Del01</vt:lpstr>
      <vt:lpstr>WkRsn_UpdChk01</vt:lpstr>
      <vt:lpstr>WkRsn_Upd01</vt:lpstr>
      <vt:lpstr>WkRsnLcl_UpdChk01</vt:lpstr>
      <vt:lpstr>WkRsnLcl_Upd01</vt:lpstr>
      <vt:lpstr>WkRsn_DelChk01</vt:lpstr>
      <vt:lpstr>WkRsn_Del01</vt:lpstr>
      <vt:lpstr>SlsUpriGrp_UpdChk01</vt:lpstr>
      <vt:lpstr>SlsUpriGrp_Upd01</vt:lpstr>
      <vt:lpstr>SlsUpriGrpLcl_UpdChk01</vt:lpstr>
      <vt:lpstr>SlsUpriGrpLcl_Upd01</vt:lpstr>
      <vt:lpstr>SlsUpriGrp_DelChk01</vt:lpstr>
      <vt:lpstr>SlsUpriGrp_Del01</vt:lpstr>
      <vt:lpstr>SlsUpriRank_UpdChk01</vt:lpstr>
      <vt:lpstr>SlsUpriRank_Upd01</vt:lpstr>
      <vt:lpstr>SlsUpriRankLcl_UpdChk01</vt:lpstr>
      <vt:lpstr>SlsUpriRankLcl_Upd01</vt:lpstr>
      <vt:lpstr>SlsUpriRank_DelChk01</vt:lpstr>
      <vt:lpstr>SlsUpriRank_Del01</vt:lpstr>
      <vt:lpstr>SetoffGrp_UpdChk01</vt:lpstr>
      <vt:lpstr>SetoffGrp_Upd01</vt:lpstr>
      <vt:lpstr>SetoffGrpLcl_UpdChk01</vt:lpstr>
      <vt:lpstr>SetoffGrpLcl_Upd01</vt:lpstr>
      <vt:lpstr>SetoffGrp_DelChk01</vt:lpstr>
      <vt:lpstr>SetoffGrp_Del01</vt:lpstr>
      <vt:lpstr>ShipValid_UpdChk01</vt:lpstr>
      <vt:lpstr>ShipValid_Upd01</vt:lpstr>
      <vt:lpstr>ShipValidLcl_UpdChk01</vt:lpstr>
      <vt:lpstr>ShipValidLcl_Upd01</vt:lpstr>
      <vt:lpstr>ShipValid_DelChk01</vt:lpstr>
      <vt:lpstr>ShipValid_Del01</vt:lpstr>
      <vt:lpstr>ItmShipGrp_UpdChk01</vt:lpstr>
      <vt:lpstr>ItmShipGrp_Upd01</vt:lpstr>
      <vt:lpstr>ItmShipGrpLcl_UpdChk01</vt:lpstr>
      <vt:lpstr>ItmShipGrpLcl_Upd01</vt:lpstr>
      <vt:lpstr>ItmShipGrp_DelChk01</vt:lpstr>
      <vt:lpstr>ItmShipGrp_Del01</vt:lpstr>
      <vt:lpstr>Trnspt_UpdChk01</vt:lpstr>
      <vt:lpstr>Trnspt_Upd01</vt:lpstr>
      <vt:lpstr>TrnsptLcl_UpdChk01</vt:lpstr>
      <vt:lpstr>TrnsptLcl_Upd01</vt:lpstr>
      <vt:lpstr>Trnspt_DelChk01</vt:lpstr>
      <vt:lpstr>Trnspt_Del01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2016-02-18T07:23:43Z</cp:lastPrinted>
  <dcterms:created xsi:type="dcterms:W3CDTF">2000-04-01T00:00:00Z</dcterms:created>
  <dcterms:modified xsi:type="dcterms:W3CDTF">2026-03-27T05:42:17Z</dcterms:modified>
  <cp:category/>
</cp:coreProperties>
</file>