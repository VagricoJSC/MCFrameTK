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00123B9A-D15F-4676-BB69-75778712C267}" xr6:coauthVersionLast="47" xr6:coauthVersionMax="47" xr10:uidLastSave="{00000000-0000-0000-0000-000000000000}"/>
  <bookViews>
    <workbookView xWindow="1710" yWindow="1710" windowWidth="21600" windowHeight="11265" tabRatio="807" firstSheet="3" activeTab="10" xr2:uid="{00000000-000D-0000-FFFF-FFFF00000000}"/>
  </bookViews>
  <sheets>
    <sheet name="LogicCommon" sheetId="10" r:id="rId1"/>
    <sheet name="BpGrp_UpdChk01" sheetId="18" r:id="rId2"/>
    <sheet name="BpGrp_Upd01" sheetId="15" r:id="rId3"/>
    <sheet name="BpGrpLcl_UpdChk01" sheetId="20" r:id="rId4"/>
    <sheet name="BpGrpLcl_Upd01" sheetId="16" r:id="rId5"/>
    <sheet name="BpGrp_DelChk01" sheetId="21" r:id="rId6"/>
    <sheet name="BpGrp_Del01" sheetId="17" r:id="rId7"/>
    <sheet name="Srch01" sheetId="1" r:id="rId8"/>
    <sheet name="Upd01" sheetId="11" r:id="rId9"/>
    <sheet name="Del01" sheetId="14" r:id="rId10"/>
    <sheet name="来歴" sheetId="1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1" l="1"/>
  <c r="N2" i="21" s="1"/>
  <c r="H4" i="21"/>
  <c r="L3" i="21"/>
  <c r="H3" i="21"/>
  <c r="F3" i="21"/>
  <c r="D3" i="21"/>
  <c r="L2" i="21"/>
  <c r="H2" i="21"/>
  <c r="F2" i="21"/>
  <c r="L4" i="20"/>
  <c r="N2" i="20" s="1"/>
  <c r="H4" i="20"/>
  <c r="L3" i="20"/>
  <c r="H3" i="20"/>
  <c r="F3" i="20"/>
  <c r="D3" i="20"/>
  <c r="L2" i="20"/>
  <c r="H2" i="20"/>
  <c r="F2" i="20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6"/>
  <c r="H4" i="16"/>
  <c r="L3" i="16"/>
  <c r="H3" i="16"/>
  <c r="F3" i="16"/>
  <c r="D3" i="16"/>
  <c r="L2" i="16"/>
  <c r="H2" i="16"/>
  <c r="F2" i="16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<sst xmlns="http://schemas.openxmlformats.org/spreadsheetml/2006/main" count="1408" uniqueCount="296">
  <si>
    <t>*</t>
  </si>
  <si>
    <t>詳細 :</t>
  </si>
  <si>
    <t>検索</t>
    <rPh sb="0" eb="2">
      <t>ケンサク</t>
    </rPh>
    <phoneticPr fontId="4"/>
  </si>
  <si>
    <t>ロジック共通定義</t>
    <rPh sb="4" eb="6">
      <t>キョウツウ</t>
    </rPh>
    <rPh sb="6" eb="8">
      <t>テイギ</t>
    </rPh>
    <phoneticPr fontId="4"/>
  </si>
  <si>
    <t>詳細 :</t>
    <rPh sb="0" eb="2">
      <t>ショウサイ</t>
    </rPh>
    <phoneticPr fontId="4"/>
  </si>
  <si>
    <t>SuperLogicID :</t>
    <phoneticPr fontId="4"/>
  </si>
  <si>
    <t>概要 :</t>
    <phoneticPr fontId="4"/>
  </si>
  <si>
    <t>MC</t>
  </si>
  <si>
    <t>Version :</t>
  </si>
  <si>
    <t>LogicID :</t>
    <phoneticPr fontId="4"/>
  </si>
  <si>
    <t>LogicClass :</t>
    <phoneticPr fontId="4"/>
  </si>
  <si>
    <t>LogicName :</t>
    <phoneticPr fontId="4"/>
  </si>
  <si>
    <t>ModuleID :</t>
    <phoneticPr fontId="4"/>
  </si>
  <si>
    <t>SubModuleID :</t>
    <phoneticPr fontId="4"/>
  </si>
  <si>
    <t>ins_ts</t>
  </si>
  <si>
    <t>upd_ts</t>
  </si>
  <si>
    <t>TargetName</t>
    <phoneticPr fontId="4"/>
  </si>
  <si>
    <t>#</t>
    <phoneticPr fontId="4"/>
  </si>
  <si>
    <t>#</t>
    <phoneticPr fontId="4"/>
  </si>
  <si>
    <t>Srch01_Cnd</t>
    <phoneticPr fontId="4"/>
  </si>
  <si>
    <t>R</t>
    <phoneticPr fontId="4"/>
  </si>
  <si>
    <t>L</t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</si>
  <si>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</si>
  <si>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</si>
  <si>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</si>
  <si>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</si>
  <si>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</si>
  <si>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</si>
  <si>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@</t>
    <phoneticPr fontId="4"/>
  </si>
  <si>
    <t>ReportID :</t>
    <phoneticPr fontId="4"/>
  </si>
  <si>
    <t>L</t>
    <phoneticPr fontId="4"/>
  </si>
  <si>
    <t>#</t>
    <phoneticPr fontId="4"/>
  </si>
  <si>
    <t>U</t>
    <phoneticPr fontId="4"/>
  </si>
  <si>
    <t>o</t>
    <phoneticPr fontId="4"/>
  </si>
  <si>
    <t>SELECT.c0</t>
    <phoneticPr fontId="4"/>
  </si>
  <si>
    <t>ins_usr_nm</t>
    <phoneticPr fontId="4"/>
  </si>
  <si>
    <t>upd_usr_nm</t>
    <phoneticPr fontId="4"/>
  </si>
  <si>
    <t>U</t>
    <phoneticPr fontId="4"/>
  </si>
  <si>
    <t>o</t>
    <phoneticPr fontId="4"/>
  </si>
  <si>
    <t>Pj.ID :</t>
    <phoneticPr fontId="4"/>
  </si>
  <si>
    <t>SuperClassPj.ID :</t>
    <phoneticPr fontId="4"/>
  </si>
  <si>
    <t>memo1</t>
  </si>
  <si>
    <t>memo1</t>
    <phoneticPr fontId="4"/>
  </si>
  <si>
    <t>#MA.MST_MEMO1</t>
  </si>
  <si>
    <t>#MA.MST_MEMO1</t>
    <phoneticPr fontId="4"/>
  </si>
  <si>
    <t>memo3</t>
  </si>
  <si>
    <t>memo3</t>
    <phoneticPr fontId="4"/>
  </si>
  <si>
    <t>#MA.MST_MEMO3</t>
  </si>
  <si>
    <t>#MA.MST_MEMO3</t>
    <phoneticPr fontId="4"/>
  </si>
  <si>
    <t>memo2</t>
  </si>
  <si>
    <t>#MA.MST_MEMO2</t>
  </si>
  <si>
    <t>#MA.FLG</t>
  </si>
  <si>
    <t>#MA.FLG</t>
    <phoneticPr fontId="4"/>
  </si>
  <si>
    <t>ins_func_id</t>
    <phoneticPr fontId="4"/>
  </si>
  <si>
    <t>upd_func_id</t>
    <phoneticPr fontId="4"/>
  </si>
  <si>
    <t>#MA.SRV_REQ_NO</t>
  </si>
  <si>
    <t>#MA.SYS_TS</t>
  </si>
  <si>
    <t>#MA.FUNC_ID</t>
    <phoneticPr fontId="4"/>
  </si>
  <si>
    <t>ins_func_nm</t>
    <phoneticPr fontId="4"/>
  </si>
  <si>
    <t>#MA.FUNC_NM</t>
    <phoneticPr fontId="4"/>
  </si>
  <si>
    <t>upd_func_nm</t>
    <phoneticPr fontId="4"/>
  </si>
  <si>
    <t>upd_srv_req_no</t>
    <phoneticPr fontId="4"/>
  </si>
  <si>
    <t>#MA.FLG</t>
    <phoneticPr fontId="4"/>
  </si>
  <si>
    <t>削除</t>
    <phoneticPr fontId="4"/>
  </si>
  <si>
    <t>登録</t>
    <rPh sb="0" eb="2">
      <t>トウロク</t>
    </rPh>
    <phoneticPr fontId="4"/>
  </si>
  <si>
    <t>Srch01_Rslt2</t>
    <phoneticPr fontId="4"/>
  </si>
  <si>
    <t>lcl_cd</t>
    <phoneticPr fontId="4"/>
  </si>
  <si>
    <t>#MA.LCL_CD</t>
    <phoneticPr fontId="4"/>
  </si>
  <si>
    <t>L</t>
  </si>
  <si>
    <t>Upd01_Dtl1</t>
    <phoneticPr fontId="4"/>
  </si>
  <si>
    <t>Upd01_Dtl2</t>
    <phoneticPr fontId="4"/>
  </si>
  <si>
    <t>o</t>
  </si>
  <si>
    <t>TargetName</t>
  </si>
  <si>
    <t>UPDATE.updMaster1</t>
    <phoneticPr fontId="41"/>
  </si>
  <si>
    <t>UPDATE.updMaster2</t>
    <phoneticPr fontId="41"/>
  </si>
  <si>
    <t>Del01_Dtl1</t>
    <phoneticPr fontId="4"/>
  </si>
  <si>
    <t>off_del_flg</t>
  </si>
  <si>
    <t>on_del_flg</t>
  </si>
  <si>
    <t>del_flg</t>
  </si>
  <si>
    <t>del_usr_id</t>
  </si>
  <si>
    <t>del_usr_nm</t>
  </si>
  <si>
    <t>del_ts</t>
  </si>
  <si>
    <t>upd_cntr</t>
    <phoneticPr fontId="4"/>
  </si>
  <si>
    <t>upd_cntr</t>
  </si>
  <si>
    <t>#MA.UPD_CNT</t>
  </si>
  <si>
    <t>SELECT_LCL.c1</t>
    <phoneticPr fontId="4"/>
  </si>
  <si>
    <t>lcl_nm</t>
    <phoneticPr fontId="4"/>
  </si>
  <si>
    <t>#MA.LCL_NM</t>
    <phoneticPr fontId="4"/>
  </si>
  <si>
    <t>UPDATE.updMaster</t>
    <phoneticPr fontId="4"/>
  </si>
  <si>
    <t>MAIN.chkMaster</t>
    <phoneticPr fontId="41"/>
  </si>
  <si>
    <t>$share$</t>
  </si>
  <si>
    <t>MAIN.chkMaster</t>
    <phoneticPr fontId="41"/>
  </si>
  <si>
    <t>@</t>
  </si>
  <si>
    <t>EXISTS.chk01</t>
    <phoneticPr fontId="41"/>
  </si>
  <si>
    <t>upd_cntr</t>
    <phoneticPr fontId="41"/>
  </si>
  <si>
    <t>#MA.UPD_CNT</t>
    <phoneticPr fontId="41"/>
  </si>
  <si>
    <t>CALL_OPE01.chk01</t>
    <phoneticPr fontId="4"/>
  </si>
  <si>
    <t>CALL_OPE01.upd01</t>
    <phoneticPr fontId="4"/>
  </si>
  <si>
    <t>CALL_OPE02.chk02</t>
    <phoneticPr fontId="4"/>
  </si>
  <si>
    <t>CALL_OPE02.upd02</t>
    <phoneticPr fontId="4"/>
  </si>
  <si>
    <t>CALL_OPE01.chk01</t>
    <phoneticPr fontId="41"/>
  </si>
  <si>
    <t>CALL_OPE01.del01</t>
    <phoneticPr fontId="41"/>
  </si>
  <si>
    <t>K</t>
    <phoneticPr fontId="4"/>
  </si>
  <si>
    <t>K</t>
    <phoneticPr fontId="41"/>
  </si>
  <si>
    <t>NULL_VAL</t>
    <phoneticPr fontId="4"/>
  </si>
  <si>
    <t>REQUIRED</t>
    <phoneticPr fontId="4"/>
  </si>
  <si>
    <t>SCALE</t>
    <phoneticPr fontId="4"/>
  </si>
  <si>
    <t>CONST</t>
    <phoneticPr fontId="41"/>
  </si>
  <si>
    <t>BpGrp_UpdChk01</t>
  </si>
  <si>
    <t>BpGrpLcl_UpdChk01</t>
  </si>
  <si>
    <t>BpGrp_DelChk01</t>
  </si>
  <si>
    <t>BpGrp_Upd01</t>
  </si>
  <si>
    <t>BpGrpLcl_Upd01</t>
  </si>
  <si>
    <t>BpGrp_Del01</t>
  </si>
  <si>
    <t>MA</t>
  </si>
  <si>
    <t>MABC</t>
  </si>
  <si>
    <t>BpGrp_UpdChk01_Dtl</t>
  </si>
  <si>
    <t>BpGrp_Upd01_Dtl</t>
  </si>
  <si>
    <t>BpGrpLcl_UpdChk01_Dtl</t>
  </si>
  <si>
    <t>BpGrpLcl_Upd01_Dtl</t>
  </si>
  <si>
    <t>BpGrp_DelChk01_Dtl</t>
  </si>
  <si>
    <t>BpGrp_Del01_Dtl</t>
  </si>
  <si>
    <t>Srch01</t>
  </si>
  <si>
    <t>Upd01</t>
  </si>
  <si>
    <t>Del01</t>
  </si>
  <si>
    <t>MABCL0430</t>
    <phoneticPr fontId="4"/>
  </si>
  <si>
    <t>取引先分類マスタ登録</t>
    <rPh sb="0" eb="2">
      <t>トリヒキ</t>
    </rPh>
    <rPh sb="2" eb="3">
      <t>サキ</t>
    </rPh>
    <phoneticPr fontId="4"/>
  </si>
  <si>
    <t>bp_grp_typ</t>
  </si>
  <si>
    <t>bp_grp_typ_nm</t>
  </si>
  <si>
    <t>bp_grp_cd</t>
  </si>
  <si>
    <t>bp_grp_nm</t>
  </si>
  <si>
    <t>#MA.BP_GRP_TYP</t>
  </si>
  <si>
    <t>#MA.BP_GRP_CD</t>
  </si>
  <si>
    <t>#MA.BP_GRP_NM</t>
  </si>
  <si>
    <t>DBC.MA.MAM_BP_GRP_LCL</t>
  </si>
  <si>
    <t>bp_grp_nm_lcl</t>
    <phoneticPr fontId="4"/>
  </si>
  <si>
    <t>bp_grp_nm</t>
    <phoneticPr fontId="4"/>
  </si>
  <si>
    <t>OPE.MA.MABCL0430.BpGrp_UpdChk01</t>
  </si>
  <si>
    <t>OPE.MA.MABCL0430.BpGrp_Upd01</t>
  </si>
  <si>
    <t>OPE.MA.MABCL0430.BpGrpLcl_UpdChk01</t>
  </si>
  <si>
    <t>OPE.MA.MABCL0430.BpGrpLcl_Upd01</t>
  </si>
  <si>
    <t>OPE.MA.MABCL0430.BpGrp_DelChk01</t>
  </si>
  <si>
    <t>OPE.MA.MABCL0430.BpGrp_Del01</t>
  </si>
  <si>
    <t>bp_grp_nm_lcl</t>
    <phoneticPr fontId="4"/>
  </si>
  <si>
    <t>lcl_cd</t>
  </si>
  <si>
    <t>#MA.LCL_CD</t>
  </si>
  <si>
    <t>K</t>
  </si>
  <si>
    <t>CONST</t>
  </si>
  <si>
    <t>#MA.BP_GRP_TYP_NM</t>
    <phoneticPr fontId="4"/>
  </si>
  <si>
    <t>#MA.BP_GRP_TYP</t>
    <phoneticPr fontId="4"/>
  </si>
  <si>
    <t>#MA.BP_GRP_TYP</t>
    <phoneticPr fontId="41"/>
  </si>
  <si>
    <t>bp_grp_typ</t>
    <phoneticPr fontId="41"/>
  </si>
  <si>
    <t>bp_grp_typ</t>
    <phoneticPr fontId="41"/>
  </si>
  <si>
    <t>MABCL_BpGrpReg</t>
    <phoneticPr fontId="4"/>
  </si>
  <si>
    <t>$super$</t>
  </si>
  <si>
    <t>num_id</t>
  </si>
  <si>
    <t>#MA.NUM_ID</t>
  </si>
  <si>
    <t>#MA.FUNC_ID</t>
  </si>
  <si>
    <t>#MA.FUNC_NM</t>
  </si>
  <si>
    <t>#MA.FCM_USR_ID</t>
  </si>
  <si>
    <t>#MA.FCM_USR_NM</t>
  </si>
  <si>
    <t>登録前チェック</t>
    <rPh sb="0" eb="2">
      <t>トウロク</t>
    </rPh>
    <rPh sb="2" eb="3">
      <t>マエ</t>
    </rPh>
    <phoneticPr fontId="5"/>
  </si>
  <si>
    <t>取引先分類マスタを登録する前のチェックを行う</t>
    <rPh sb="0" eb="2">
      <t>トリヒキ</t>
    </rPh>
    <rPh sb="2" eb="3">
      <t>サキ</t>
    </rPh>
    <rPh sb="3" eb="5">
      <t>ブンルイ</t>
    </rPh>
    <rPh sb="9" eb="11">
      <t>トウロク</t>
    </rPh>
    <rPh sb="13" eb="14">
      <t>マエ</t>
    </rPh>
    <rPh sb="20" eb="21">
      <t>オコナ</t>
    </rPh>
    <phoneticPr fontId="5"/>
  </si>
  <si>
    <t>登録処理</t>
    <rPh sb="2" eb="4">
      <t>ショリ</t>
    </rPh>
    <phoneticPr fontId="5"/>
  </si>
  <si>
    <t>取引先分類マスタを登録する</t>
  </si>
  <si>
    <t>登録前チェック(ロケール別情報)</t>
    <rPh sb="2" eb="3">
      <t>マエ</t>
    </rPh>
    <phoneticPr fontId="5"/>
  </si>
  <si>
    <t>取引先分類マスタ(ロケール別情報)を登録する前のチェックを行う</t>
    <rPh sb="18" eb="20">
      <t>トウロク</t>
    </rPh>
    <rPh sb="22" eb="23">
      <t>マエ</t>
    </rPh>
    <rPh sb="29" eb="30">
      <t>オコナ</t>
    </rPh>
    <phoneticPr fontId="5"/>
  </si>
  <si>
    <t>登録処理(ロケール別情報)</t>
    <rPh sb="2" eb="4">
      <t>ショリ</t>
    </rPh>
    <phoneticPr fontId="5"/>
  </si>
  <si>
    <t>取引先分類マスタ(ロケール別情報)を登録する</t>
  </si>
  <si>
    <t>削除チェック</t>
    <rPh sb="0" eb="2">
      <t>サクジョ</t>
    </rPh>
    <phoneticPr fontId="5"/>
  </si>
  <si>
    <t>取引先分類マスタ、取引先分類マスタ(ロケール別情報)を削除する前のチェックを行う</t>
    <rPh sb="31" eb="32">
      <t>マエ</t>
    </rPh>
    <rPh sb="38" eb="39">
      <t>オコナ</t>
    </rPh>
    <phoneticPr fontId="5"/>
  </si>
  <si>
    <t>削除処理</t>
    <rPh sb="2" eb="4">
      <t>ショリ</t>
    </rPh>
    <phoneticPr fontId="5"/>
  </si>
  <si>
    <t>取引先分類マスタ、取引先分類マスタ(ロケール別情報)を削除する</t>
  </si>
  <si>
    <t>検索処理を行う</t>
    <rPh sb="0" eb="2">
      <t>ケンサク</t>
    </rPh>
    <rPh sb="2" eb="4">
      <t>ショリ</t>
    </rPh>
    <rPh sb="5" eb="6">
      <t>オコナ</t>
    </rPh>
    <phoneticPr fontId="7"/>
  </si>
  <si>
    <t>登録処理を行う</t>
    <rPh sb="0" eb="2">
      <t>トウロク</t>
    </rPh>
    <rPh sb="2" eb="4">
      <t>ショリ</t>
    </rPh>
    <rPh sb="5" eb="6">
      <t>オコナ</t>
    </rPh>
    <phoneticPr fontId="7"/>
  </si>
  <si>
    <t>削除処理を行う</t>
    <rPh sb="0" eb="2">
      <t>サクジョ</t>
    </rPh>
    <rPh sb="2" eb="4">
      <t>ショリ</t>
    </rPh>
    <rPh sb="5" eb="6">
      <t>オコナ</t>
    </rPh>
    <phoneticPr fontId="7"/>
  </si>
  <si>
    <t>ID</t>
    <phoneticPr fontId="4"/>
  </si>
  <si>
    <t>*</t>
    <phoneticPr fontId="4"/>
  </si>
  <si>
    <t>Ope.ID :</t>
    <phoneticPr fontId="4"/>
  </si>
  <si>
    <t xml:space="preserve">Ope.Body : </t>
    <phoneticPr fontId="4"/>
  </si>
  <si>
    <t>Ope.Method :</t>
    <phoneticPr fontId="4"/>
  </si>
  <si>
    <t>Gene.Type :</t>
    <phoneticPr fontId="4"/>
  </si>
  <si>
    <t>ALL</t>
    <phoneticPr fontId="4"/>
  </si>
  <si>
    <t xml:space="preserve">Ope.Name : </t>
    <phoneticPr fontId="4"/>
  </si>
  <si>
    <t>ACType :</t>
    <phoneticPr fontId="4"/>
  </si>
  <si>
    <t>取引先分類区分</t>
    <phoneticPr fontId="4"/>
  </si>
  <si>
    <t>E</t>
    <phoneticPr fontId="4"/>
  </si>
  <si>
    <t>E</t>
    <phoneticPr fontId="41"/>
  </si>
  <si>
    <t>MAC_BP_GRP_TYP</t>
    <phoneticPr fontId="41"/>
  </si>
  <si>
    <t>取引先分類ＣＤ</t>
    <phoneticPr fontId="4"/>
  </si>
  <si>
    <t>取引先分類名</t>
    <phoneticPr fontId="4"/>
  </si>
  <si>
    <t>発番ＩＤ</t>
    <phoneticPr fontId="4"/>
  </si>
  <si>
    <t>メモ１</t>
    <phoneticPr fontId="4"/>
  </si>
  <si>
    <t>メモ２</t>
    <phoneticPr fontId="4"/>
  </si>
  <si>
    <t>メモ３</t>
    <phoneticPr fontId="4"/>
  </si>
  <si>
    <t>論理削除</t>
    <phoneticPr fontId="4"/>
  </si>
  <si>
    <t>更新カウンタ</t>
    <phoneticPr fontId="41"/>
  </si>
  <si>
    <t>super/share</t>
    <phoneticPr fontId="4"/>
  </si>
  <si>
    <t>MA.MABCL0430.BpGrp_UpdChk01.BpGrp_UpdChk01_Dtl</t>
    <phoneticPr fontId="4"/>
  </si>
  <si>
    <t>L</t>
    <phoneticPr fontId="41"/>
  </si>
  <si>
    <t>更新カウンタ</t>
    <phoneticPr fontId="4"/>
  </si>
  <si>
    <t>DBC:MA.MAM_BP_GRP_LCL</t>
    <phoneticPr fontId="41"/>
  </si>
  <si>
    <t>ロケールＣＤ</t>
    <phoneticPr fontId="4"/>
  </si>
  <si>
    <t>MA.MABCL0430.BpGrpLcl_UpdChk01.BpGrpLcl_UpdChk01_Dtl</t>
    <phoneticPr fontId="4"/>
  </si>
  <si>
    <t>MA.MABCL0430.BpGrp_DelChk01.BpGrp_DelChk01_Dtl</t>
    <phoneticPr fontId="4"/>
  </si>
  <si>
    <t>論理削除.オフ</t>
    <phoneticPr fontId="4"/>
  </si>
  <si>
    <t>論理削除.オン</t>
    <phoneticPr fontId="4"/>
  </si>
  <si>
    <t>MAC_BP_GRP_TYP</t>
    <phoneticPr fontId="4"/>
  </si>
  <si>
    <t>取引先分類区分名</t>
    <phoneticPr fontId="4"/>
  </si>
  <si>
    <t>標準取引先分類名</t>
    <phoneticPr fontId="4"/>
  </si>
  <si>
    <t>登録ユーザＩＤ</t>
    <phoneticPr fontId="4"/>
  </si>
  <si>
    <t>登録ユーザ名</t>
    <phoneticPr fontId="4"/>
  </si>
  <si>
    <t>登録日時</t>
    <phoneticPr fontId="4"/>
  </si>
  <si>
    <t>登録機能ＩＤ</t>
    <phoneticPr fontId="4"/>
  </si>
  <si>
    <t>登録機能名</t>
    <phoneticPr fontId="4"/>
  </si>
  <si>
    <t>更新ユーザＩＤ</t>
    <phoneticPr fontId="4"/>
  </si>
  <si>
    <t>更新ユーザ名</t>
    <phoneticPr fontId="4"/>
  </si>
  <si>
    <t>更新日時</t>
    <phoneticPr fontId="4"/>
  </si>
  <si>
    <t>更新機能ＩＤ</t>
    <phoneticPr fontId="4"/>
  </si>
  <si>
    <t>更新機能名</t>
    <phoneticPr fontId="4"/>
  </si>
  <si>
    <t>更新リクエストＮＯ</t>
    <phoneticPr fontId="4"/>
  </si>
  <si>
    <t>論理削除ユーザＩＤ</t>
    <phoneticPr fontId="4"/>
  </si>
  <si>
    <t>論理削除ユーザ名</t>
    <phoneticPr fontId="4"/>
  </si>
  <si>
    <t>論理削除日時</t>
    <phoneticPr fontId="4"/>
  </si>
  <si>
    <t>ロケール名</t>
    <phoneticPr fontId="4"/>
  </si>
  <si>
    <t>memo2</t>
    <phoneticPr fontId="4"/>
  </si>
  <si>
    <t>#MA.MST_MEMO2</t>
    <phoneticPr fontId="4"/>
  </si>
  <si>
    <t>Srch01_Rslt1</t>
    <phoneticPr fontId="4"/>
  </si>
  <si>
    <t>ins_usr_id</t>
    <phoneticPr fontId="4"/>
  </si>
  <si>
    <t>upd_usr_id</t>
    <phoneticPr fontId="4"/>
  </si>
  <si>
    <t>#MA.SYS_TS</t>
    <phoneticPr fontId="4"/>
  </si>
  <si>
    <t>MA.MABCL0430.BpGrp_Upd01.BpGrp_Upd01_Dtl</t>
    <phoneticPr fontId="4"/>
  </si>
  <si>
    <t>BpGrp_UpdChk01_Dtl</t>
    <phoneticPr fontId="4"/>
  </si>
  <si>
    <t>BpGrp_Upd01_Dtl</t>
    <phoneticPr fontId="4"/>
  </si>
  <si>
    <t>MA.MABCL0430.BpGrpLcl_Upd01.BpGrpLcl_Upd01_Dtl</t>
    <phoneticPr fontId="4"/>
  </si>
  <si>
    <t>BpGrpLcl_UpdChk01_Dtl</t>
    <phoneticPr fontId="4"/>
  </si>
  <si>
    <t>BpGrpLcl_Upd01_Dtl</t>
    <phoneticPr fontId="4"/>
  </si>
  <si>
    <t>MA.MABCL0430.BpGrp_Del01.BpGrp_Del01_Dtl</t>
    <phoneticPr fontId="4"/>
  </si>
  <si>
    <t>BpGrp_DelChk01_Dtl</t>
    <phoneticPr fontId="4"/>
  </si>
  <si>
    <t>BpGrp_Del01_Dtl</t>
    <phoneticPr fontId="4"/>
  </si>
  <si>
    <t>000000</t>
    <phoneticPr fontId="4"/>
  </si>
  <si>
    <t>MA.MAUDL5010</t>
    <phoneticPr fontId="4"/>
  </si>
  <si>
    <t>DBC:MA.MAM_BP_GRP</t>
    <phoneticPr fontId="41"/>
  </si>
  <si>
    <t>DBC.MA.MAM_BP_GRP</t>
    <phoneticPr fontId="4"/>
  </si>
  <si>
    <t>"mcframe.serverMAUD.MAUDL6020.MAUDL_LCLRLUpdater"</t>
    <phoneticPr fontId="4"/>
  </si>
  <si>
    <t>"mcframe.serverMAUD.MAUDL6020.MAUDL_LCLRLDeleter"</t>
    <phoneticPr fontId="4"/>
  </si>
  <si>
    <t>"mcframe.serverMAUD.MAUDL6020.MAUDL_LCLRLSearcher"</t>
    <phoneticPr fontId="4"/>
  </si>
  <si>
    <t>DBC.MA.MAM_BP_GRP</t>
    <phoneticPr fontId="4"/>
  </si>
  <si>
    <t>base_bp_grp_nm</t>
    <phoneticPr fontId="4"/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</si>
  <si>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</si>
  <si>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</si>
  <si>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</si>
  <si>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</si>
  <si>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ブロック備考
Block Remarks</t>
    <phoneticPr fontId="4"/>
  </si>
  <si>
    <t>項目名
Field Name</t>
    <phoneticPr fontId="4"/>
  </si>
  <si>
    <t>型
Type</t>
    <phoneticPr fontId="4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</si>
  <si>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</si>
  <si>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</si>
  <si>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</si>
  <si>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</si>
  <si>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</si>
  <si>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</si>
  <si>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項目備考
Field Remarks</t>
    <phoneticPr fontId="4"/>
  </si>
  <si>
    <t>BP classification type</t>
  </si>
  <si>
    <t>BP classification cd.</t>
  </si>
  <si>
    <t>BP classification name</t>
  </si>
  <si>
    <t>Numbering ID</t>
  </si>
  <si>
    <t>Memo 1</t>
  </si>
  <si>
    <t>Memo 2</t>
  </si>
  <si>
    <t>Memo 3</t>
  </si>
  <si>
    <t>Logical delete</t>
  </si>
  <si>
    <t>Update counter</t>
  </si>
  <si>
    <t>項目名
Field Name</t>
    <phoneticPr fontId="4"/>
  </si>
  <si>
    <t>型
Type</t>
    <phoneticPr fontId="4"/>
  </si>
  <si>
    <t>Locale cd.</t>
  </si>
  <si>
    <t>Logical delete. Off</t>
  </si>
  <si>
    <t>Logical delete. On</t>
  </si>
  <si>
    <t>BP classification type name</t>
  </si>
  <si>
    <t>Standard BP classification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</si>
  <si>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</si>
  <si>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</si>
  <si>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</si>
  <si>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</si>
  <si>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</si>
  <si>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</si>
  <si>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</si>
  <si>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</si>
  <si>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</si>
  <si>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</si>
  <si>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</si>
  <si>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</si>
  <si>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</si>
  <si>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</si>
  <si>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Locale name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</si>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</sst>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0.00_)"/>
    <numFmt numFmtId="179" formatCode="&quot;$&quot;#,##0_);[Red]\(&quot;$&quot;#,##0\)"/>
  </numFmts>
  <fonts count="52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6"/>
      <name val="ＭＳ ゴシック"/>
      <family val="3"/>
      <charset val="128"/>
    </font>
    <font>
      <sz val="11"/>
      <name val="明朝"/>
      <family val="1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16">
    <xf numFmtId="0" fontId="0" fillId="0" borderId="0">
      <alignment vertical="top" wrapText="1"/>
    </xf>
    <xf numFmtId="0" fontId="24" fillId="0" borderId="0"/>
    <xf numFmtId="0" fontId="24" fillId="0" borderId="0"/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176" fontId="25" fillId="0" borderId="0" applyFill="0" applyBorder="0" applyAlignment="0"/>
    <xf numFmtId="0" fontId="26" fillId="0" borderId="1" applyNumberFormat="0" applyAlignment="0" applyProtection="0">
      <alignment horizontal="left" vertical="center"/>
    </xf>
    <xf numFmtId="0" fontId="26" fillId="0" borderId="2">
      <alignment horizontal="left" vertical="center"/>
    </xf>
    <xf numFmtId="0" fontId="27" fillId="0" borderId="0"/>
    <xf numFmtId="0" fontId="28" fillId="0" borderId="0" applyNumberFormat="0" applyFont="0" applyFill="0" applyBorder="0" applyAlignment="0" applyProtection="0">
      <alignment horizontal="left"/>
    </xf>
    <xf numFmtId="0" fontId="29" fillId="0" borderId="3">
      <alignment horizontal="center"/>
    </xf>
    <xf numFmtId="0" fontId="30" fillId="0" borderId="0">
      <alignment wrapText="1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33" fillId="7" borderId="5" applyNumberFormat="0" applyFont="0" applyAlignment="0" applyProtection="0">
      <alignment vertical="center"/>
    </xf>
    <xf numFmtId="0" fontId="33" fillId="7" borderId="5" applyNumberFormat="0" applyFont="0" applyAlignment="0" applyProtection="0">
      <alignment vertical="center"/>
    </xf>
    <xf numFmtId="0" fontId="33" fillId="7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40" fillId="0" borderId="0"/>
    <xf numFmtId="0" fontId="13" fillId="4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34" fillId="26" borderId="8" applyNumberFormat="0" applyAlignment="0" applyProtection="0">
      <alignment vertical="center"/>
    </xf>
    <xf numFmtId="0" fontId="34" fillId="26" borderId="8" applyNumberFormat="0" applyAlignment="0" applyProtection="0">
      <alignment vertical="center"/>
    </xf>
    <xf numFmtId="0" fontId="34" fillId="26" borderId="8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25" borderId="17" applyNumberFormat="0" applyAlignment="0" applyProtection="0">
      <alignment vertical="center"/>
    </xf>
    <xf numFmtId="0" fontId="20" fillId="26" borderId="17" applyNumberFormat="0" applyAlignment="0" applyProtection="0">
      <alignment vertical="center"/>
    </xf>
    <xf numFmtId="0" fontId="20" fillId="26" borderId="17" applyNumberFormat="0" applyAlignment="0" applyProtection="0">
      <alignment vertical="center"/>
    </xf>
    <xf numFmtId="0" fontId="20" fillId="26" borderId="17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2" fillId="12" borderId="8" applyNumberFormat="0" applyAlignment="0" applyProtection="0">
      <alignment vertical="center"/>
    </xf>
    <xf numFmtId="0" fontId="22" fillId="12" borderId="8" applyNumberFormat="0" applyAlignment="0" applyProtection="0">
      <alignment vertical="center"/>
    </xf>
    <xf numFmtId="0" fontId="22" fillId="12" borderId="8" applyNumberFormat="0" applyAlignment="0" applyProtection="0">
      <alignment vertical="center"/>
    </xf>
    <xf numFmtId="0" fontId="7" fillId="0" borderId="0">
      <alignment vertical="center"/>
    </xf>
    <xf numFmtId="0" fontId="33" fillId="0" borderId="0"/>
    <xf numFmtId="0" fontId="38" fillId="0" borderId="0"/>
    <xf numFmtId="0" fontId="33" fillId="0" borderId="0"/>
    <xf numFmtId="0" fontId="33" fillId="0" borderId="0"/>
    <xf numFmtId="0" fontId="33" fillId="0" borderId="0"/>
    <xf numFmtId="0" fontId="3" fillId="0" borderId="0"/>
    <xf numFmtId="0" fontId="40" fillId="0" borderId="0"/>
    <xf numFmtId="0" fontId="30" fillId="0" borderId="0">
      <alignment vertical="center"/>
    </xf>
    <xf numFmtId="0" fontId="33" fillId="0" borderId="0">
      <alignment vertical="center"/>
    </xf>
    <xf numFmtId="0" fontId="30" fillId="0" borderId="0">
      <alignment vertical="center"/>
    </xf>
    <xf numFmtId="0" fontId="33" fillId="0" borderId="0"/>
    <xf numFmtId="0" fontId="39" fillId="0" borderId="0"/>
    <xf numFmtId="0" fontId="23" fillId="6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0" fillId="25" borderId="17" applyNumberFormat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0" borderId="0">
      <alignment vertical="top" wrapText="1"/>
    </xf>
    <xf numFmtId="0" fontId="7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25" borderId="17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42" fillId="0" borderId="0"/>
    <xf numFmtId="0" fontId="40" fillId="0" borderId="0"/>
    <xf numFmtId="0" fontId="2" fillId="0" borderId="0">
      <alignment vertical="center"/>
    </xf>
    <xf numFmtId="0" fontId="40" fillId="0" borderId="0"/>
    <xf numFmtId="0" fontId="42" fillId="0" borderId="0"/>
    <xf numFmtId="0" fontId="2" fillId="0" borderId="0">
      <alignment vertical="center"/>
    </xf>
    <xf numFmtId="0" fontId="42" fillId="0" borderId="0"/>
    <xf numFmtId="0" fontId="2" fillId="0" borderId="0">
      <alignment vertical="center"/>
    </xf>
    <xf numFmtId="0" fontId="2" fillId="0" borderId="0">
      <alignment vertical="center"/>
    </xf>
    <xf numFmtId="0" fontId="4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top"/>
    </xf>
    <xf numFmtId="38" fontId="44" fillId="0" borderId="0" applyFont="0" applyFill="0" applyBorder="0" applyAlignment="0" applyProtection="0"/>
    <xf numFmtId="38" fontId="44" fillId="0" borderId="0" applyFont="0" applyFill="0" applyBorder="0" applyAlignment="0" applyProtection="0"/>
    <xf numFmtId="179" fontId="44" fillId="0" borderId="0" applyFont="0" applyFill="0" applyBorder="0" applyAlignment="0" applyProtection="0"/>
    <xf numFmtId="38" fontId="45" fillId="30" borderId="0" applyNumberFormat="0" applyBorder="0" applyAlignment="0" applyProtection="0"/>
    <xf numFmtId="10" fontId="45" fillId="31" borderId="20" applyNumberFormat="0" applyBorder="0" applyAlignment="0" applyProtection="0"/>
    <xf numFmtId="178" fontId="46" fillId="0" borderId="0"/>
    <xf numFmtId="10" fontId="27" fillId="0" borderId="0" applyFont="0" applyFill="0" applyBorder="0" applyAlignment="0" applyProtection="0"/>
    <xf numFmtId="0" fontId="6" fillId="0" borderId="0"/>
    <xf numFmtId="0" fontId="6" fillId="0" borderId="0" applyNumberFormat="0"/>
    <xf numFmtId="0" fontId="43" fillId="0" borderId="0" applyBorder="0" applyAlignment="0"/>
    <xf numFmtId="0" fontId="33" fillId="0" borderId="0"/>
    <xf numFmtId="0" fontId="6" fillId="0" borderId="0">
      <alignment vertical="top"/>
    </xf>
    <xf numFmtId="0" fontId="6" fillId="0" borderId="0">
      <alignment vertical="top"/>
    </xf>
    <xf numFmtId="0" fontId="47" fillId="0" borderId="0">
      <alignment vertical="center"/>
    </xf>
    <xf numFmtId="0" fontId="6" fillId="0" borderId="0" applyNumberFormat="0"/>
    <xf numFmtId="0" fontId="43" fillId="0" borderId="0">
      <alignment vertical="center"/>
    </xf>
    <xf numFmtId="0" fontId="6" fillId="0" borderId="0" applyNumberFormat="0"/>
    <xf numFmtId="0" fontId="6" fillId="0" borderId="0">
      <alignment vertical="top"/>
    </xf>
    <xf numFmtId="0" fontId="6" fillId="0" borderId="0">
      <alignment vertical="top"/>
    </xf>
    <xf numFmtId="38" fontId="33" fillId="0" borderId="0" applyFont="0" applyFill="0" applyBorder="0" applyAlignment="0" applyProtection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1" fillId="0" borderId="0">
      <alignment vertical="center"/>
    </xf>
    <xf numFmtId="0" fontId="6" fillId="0" borderId="0">
      <alignment vertical="top" wrapText="1"/>
    </xf>
    <xf numFmtId="0" fontId="4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53">
    <xf numFmtId="0" fontId="0" fillId="0" borderId="0" xfId="0">
      <alignment vertical="top" wrapText="1"/>
    </xf>
    <xf numFmtId="0" fontId="48" fillId="0" borderId="18" xfId="0" applyFont="1" applyBorder="1" applyAlignment="1">
      <alignment vertical="center"/>
    </xf>
    <xf numFmtId="0" fontId="48" fillId="0" borderId="18" xfId="0" applyFont="1" applyBorder="1" applyAlignment="1">
      <alignment horizontal="left" vertical="top"/>
    </xf>
    <xf numFmtId="0" fontId="48" fillId="0" borderId="18" xfId="0" applyFont="1" applyBorder="1" applyAlignment="1">
      <alignment vertical="top"/>
    </xf>
    <xf numFmtId="0" fontId="48" fillId="0" borderId="0" xfId="0" applyFont="1" applyAlignment="1">
      <alignment vertical="top"/>
    </xf>
    <xf numFmtId="0" fontId="48" fillId="0" borderId="0" xfId="0" applyFont="1" applyAlignment="1">
      <alignment vertical="center"/>
    </xf>
    <xf numFmtId="0" fontId="48" fillId="0" borderId="19" xfId="0" applyFont="1" applyBorder="1" applyAlignment="1">
      <alignment vertical="top"/>
    </xf>
    <xf numFmtId="0" fontId="48" fillId="0" borderId="20" xfId="0" applyFont="1" applyBorder="1" applyAlignment="1">
      <alignment vertical="top"/>
    </xf>
    <xf numFmtId="20" fontId="48" fillId="27" borderId="20" xfId="0" applyNumberFormat="1" applyFont="1" applyFill="1" applyBorder="1" applyAlignment="1">
      <alignment horizontal="left" vertical="top"/>
    </xf>
    <xf numFmtId="0" fontId="48" fillId="27" borderId="20" xfId="0" applyFont="1" applyFill="1" applyBorder="1" applyAlignment="1">
      <alignment vertical="top"/>
    </xf>
    <xf numFmtId="0" fontId="48" fillId="27" borderId="20" xfId="0" quotePrefix="1" applyFont="1" applyFill="1" applyBorder="1" applyAlignment="1">
      <alignment vertical="top"/>
    </xf>
    <xf numFmtId="0" fontId="48" fillId="0" borderId="0" xfId="0" applyFont="1">
      <alignment vertical="top" wrapText="1"/>
    </xf>
    <xf numFmtId="0" fontId="48" fillId="27" borderId="20" xfId="0" applyFont="1" applyFill="1" applyBorder="1" applyAlignment="1">
      <alignment horizontal="left" vertical="top"/>
    </xf>
    <xf numFmtId="0" fontId="48" fillId="28" borderId="20" xfId="179" applyFont="1" applyFill="1" applyBorder="1" applyAlignment="1">
      <alignment vertical="top"/>
    </xf>
    <xf numFmtId="0" fontId="48" fillId="0" borderId="0" xfId="0" applyFont="1" applyAlignment="1"/>
    <xf numFmtId="0" fontId="48" fillId="0" borderId="23" xfId="0" applyFont="1" applyBorder="1" applyAlignment="1">
      <alignment vertical="top"/>
    </xf>
    <xf numFmtId="0" fontId="48" fillId="28" borderId="2" xfId="0" applyFont="1" applyFill="1" applyBorder="1" applyAlignment="1">
      <alignment vertical="top"/>
    </xf>
    <xf numFmtId="0" fontId="48" fillId="28" borderId="2" xfId="0" applyFont="1" applyFill="1" applyBorder="1" applyAlignment="1">
      <alignment horizontal="left" vertical="top"/>
    </xf>
    <xf numFmtId="0" fontId="48" fillId="28" borderId="24" xfId="0" applyFont="1" applyFill="1" applyBorder="1" applyAlignment="1">
      <alignment vertical="top"/>
    </xf>
    <xf numFmtId="0" fontId="48" fillId="0" borderId="18" xfId="0" applyFont="1" applyBorder="1">
      <alignment vertical="top" wrapText="1"/>
    </xf>
    <xf numFmtId="0" fontId="48" fillId="0" borderId="22" xfId="0" applyFont="1" applyBorder="1">
      <alignment vertical="top" wrapText="1"/>
    </xf>
    <xf numFmtId="0" fontId="48" fillId="0" borderId="19" xfId="0" applyFont="1" applyBorder="1" applyAlignment="1">
      <alignment vertical="center"/>
    </xf>
    <xf numFmtId="0" fontId="48" fillId="0" borderId="19" xfId="0" applyFont="1" applyBorder="1" applyAlignment="1">
      <alignment horizontal="left" vertical="top"/>
    </xf>
    <xf numFmtId="0" fontId="48" fillId="0" borderId="21" xfId="0" applyFont="1" applyBorder="1" applyAlignment="1">
      <alignment vertical="top"/>
    </xf>
    <xf numFmtId="0" fontId="48" fillId="0" borderId="0" xfId="0" applyFont="1" applyAlignment="1">
      <alignment vertical="center" wrapText="1"/>
    </xf>
    <xf numFmtId="0" fontId="48" fillId="0" borderId="0" xfId="0" applyFont="1" applyAlignment="1">
      <alignment horizontal="left" vertical="top"/>
    </xf>
    <xf numFmtId="0" fontId="48" fillId="0" borderId="22" xfId="0" applyFont="1" applyBorder="1" applyAlignment="1">
      <alignment vertical="top"/>
    </xf>
    <xf numFmtId="0" fontId="48" fillId="0" borderId="0" xfId="0" applyFont="1" applyAlignment="1" applyProtection="1">
      <alignment vertical="center"/>
      <protection locked="0"/>
    </xf>
    <xf numFmtId="0" fontId="48" fillId="27" borderId="20" xfId="0" applyFont="1" applyFill="1" applyBorder="1" applyAlignment="1">
      <alignment vertical="center"/>
    </xf>
    <xf numFmtId="0" fontId="48" fillId="0" borderId="0" xfId="0" applyFont="1" applyAlignment="1" applyProtection="1">
      <alignment vertical="top"/>
      <protection locked="0"/>
    </xf>
    <xf numFmtId="0" fontId="48" fillId="27" borderId="19" xfId="0" applyFont="1" applyFill="1" applyBorder="1" applyAlignment="1" applyProtection="1">
      <alignment vertical="top"/>
      <protection locked="0"/>
    </xf>
    <xf numFmtId="0" fontId="48" fillId="0" borderId="19" xfId="0" applyFont="1" applyBorder="1" applyAlignment="1" applyProtection="1">
      <alignment vertical="top"/>
      <protection locked="0"/>
    </xf>
    <xf numFmtId="0" fontId="48" fillId="27" borderId="20" xfId="0" applyFont="1" applyFill="1" applyBorder="1" applyAlignment="1" applyProtection="1">
      <alignment vertical="top"/>
      <protection locked="0"/>
    </xf>
    <xf numFmtId="0" fontId="48" fillId="0" borderId="20" xfId="0" applyFont="1" applyBorder="1" applyAlignment="1" applyProtection="1">
      <alignment vertical="top"/>
      <protection locked="0"/>
    </xf>
    <xf numFmtId="0" fontId="48" fillId="27" borderId="20" xfId="0" applyFont="1" applyFill="1" applyBorder="1" applyAlignment="1"/>
    <xf numFmtId="0" fontId="48" fillId="27" borderId="20" xfId="181" applyFont="1" applyFill="1" applyBorder="1" applyAlignment="1">
      <alignment vertical="top"/>
    </xf>
    <xf numFmtId="0" fontId="48" fillId="0" borderId="27" xfId="0" applyFont="1" applyBorder="1" applyAlignment="1" applyProtection="1">
      <protection locked="0"/>
    </xf>
    <xf numFmtId="0" fontId="48" fillId="0" borderId="24" xfId="0" applyFont="1" applyBorder="1" applyAlignment="1" applyProtection="1">
      <protection locked="0"/>
    </xf>
    <xf numFmtId="0" fontId="48" fillId="27" borderId="27" xfId="0" applyFont="1" applyFill="1" applyBorder="1" applyAlignment="1">
      <alignment vertical="top"/>
    </xf>
    <xf numFmtId="0" fontId="48" fillId="27" borderId="24" xfId="0" applyFont="1" applyFill="1" applyBorder="1" applyAlignment="1">
      <alignment vertical="top"/>
    </xf>
    <xf numFmtId="0" fontId="48" fillId="27" borderId="27" xfId="0" applyFont="1" applyFill="1" applyBorder="1" applyAlignment="1" applyProtection="1">
      <alignment vertical="top"/>
      <protection locked="0"/>
    </xf>
    <xf numFmtId="0" fontId="48" fillId="27" borderId="2" xfId="0" applyFont="1" applyFill="1" applyBorder="1" applyAlignment="1" applyProtection="1">
      <alignment vertical="top"/>
      <protection locked="0"/>
    </xf>
    <xf numFmtId="0" fontId="48" fillId="0" borderId="2" xfId="0" applyFont="1" applyBorder="1" applyAlignment="1" applyProtection="1">
      <alignment vertical="top"/>
      <protection locked="0"/>
    </xf>
    <xf numFmtId="0" fontId="48" fillId="0" borderId="19" xfId="0" applyFont="1" applyBorder="1" applyAlignment="1" applyProtection="1">
      <protection locked="0"/>
    </xf>
    <xf numFmtId="0" fontId="48" fillId="0" borderId="2" xfId="0" applyFont="1" applyBorder="1" applyAlignment="1" applyProtection="1">
      <protection locked="0"/>
    </xf>
    <xf numFmtId="0" fontId="48" fillId="0" borderId="24" xfId="0" applyFont="1" applyBorder="1" applyAlignment="1"/>
    <xf numFmtId="0" fontId="48" fillId="0" borderId="27" xfId="0" applyFont="1" applyBorder="1" applyAlignment="1"/>
    <xf numFmtId="0" fontId="48" fillId="0" borderId="2" xfId="0" applyFont="1" applyBorder="1" applyAlignment="1"/>
    <xf numFmtId="0" fontId="48" fillId="27" borderId="20" xfId="0" applyFont="1" applyFill="1" applyBorder="1" applyAlignment="1" applyProtection="1">
      <protection locked="0"/>
    </xf>
    <xf numFmtId="0" fontId="48" fillId="28" borderId="24" xfId="0" applyFont="1" applyFill="1" applyBorder="1" applyAlignment="1" applyProtection="1">
      <protection locked="0"/>
    </xf>
    <xf numFmtId="0" fontId="48" fillId="27" borderId="20" xfId="0" applyFont="1" applyFill="1" applyBorder="1">
      <alignment vertical="top" wrapText="1"/>
    </xf>
    <xf numFmtId="0" fontId="48" fillId="28" borderId="20" xfId="0" applyFont="1" applyFill="1" applyBorder="1">
      <alignment vertical="top" wrapText="1"/>
    </xf>
    <xf numFmtId="0" fontId="48" fillId="0" borderId="24" xfId="0" applyFont="1" applyBorder="1" applyAlignment="1" applyProtection="1">
      <alignment vertical="top"/>
      <protection locked="0"/>
    </xf>
    <xf numFmtId="0" fontId="48" fillId="27" borderId="26" xfId="0" applyFont="1" applyFill="1" applyBorder="1" applyAlignment="1" applyProtection="1">
      <alignment vertical="top"/>
      <protection locked="0"/>
    </xf>
    <xf numFmtId="0" fontId="48" fillId="27" borderId="0" xfId="0" applyFont="1" applyFill="1" applyAlignment="1" applyProtection="1">
      <alignment vertical="top"/>
      <protection locked="0"/>
    </xf>
    <xf numFmtId="0" fontId="48" fillId="0" borderId="23" xfId="0" applyFont="1" applyBorder="1">
      <alignment vertical="top" wrapText="1"/>
    </xf>
    <xf numFmtId="0" fontId="48" fillId="27" borderId="24" xfId="0" applyFont="1" applyFill="1" applyBorder="1" applyAlignment="1"/>
    <xf numFmtId="0" fontId="48" fillId="28" borderId="23" xfId="0" applyFont="1" applyFill="1" applyBorder="1" applyAlignment="1">
      <alignment vertical="top"/>
    </xf>
    <xf numFmtId="0" fontId="48" fillId="0" borderId="48" xfId="0" applyFont="1" applyBorder="1" applyAlignment="1" applyProtection="1">
      <alignment vertical="top"/>
      <protection locked="0"/>
    </xf>
    <xf numFmtId="0" fontId="48" fillId="0" borderId="20" xfId="0" applyFont="1" applyBorder="1" applyAlignment="1"/>
    <xf numFmtId="0" fontId="48" fillId="0" borderId="27" xfId="0" applyFont="1" applyBorder="1" applyAlignment="1" applyProtection="1">
      <alignment vertical="top"/>
      <protection locked="0"/>
    </xf>
    <xf numFmtId="0" fontId="48" fillId="0" borderId="27" xfId="180" applyFont="1" applyBorder="1" applyAlignment="1">
      <alignment vertical="top"/>
    </xf>
    <xf numFmtId="0" fontId="48" fillId="0" borderId="24" xfId="180" applyFont="1" applyBorder="1" applyAlignment="1">
      <alignment vertical="top"/>
    </xf>
    <xf numFmtId="0" fontId="48" fillId="0" borderId="22" xfId="0" applyFont="1" applyBorder="1" applyAlignment="1"/>
    <xf numFmtId="0" fontId="48" fillId="0" borderId="28" xfId="0" applyFont="1" applyBorder="1" applyAlignment="1"/>
    <xf numFmtId="0" fontId="48" fillId="0" borderId="18" xfId="0" applyFont="1" applyBorder="1" applyAlignment="1"/>
    <xf numFmtId="0" fontId="48" fillId="27" borderId="25" xfId="0" applyFont="1" applyFill="1" applyBorder="1" applyAlignment="1" applyProtection="1">
      <alignment vertical="top"/>
      <protection locked="0"/>
    </xf>
    <xf numFmtId="0" fontId="48" fillId="0" borderId="19" xfId="0" applyFont="1" applyBorder="1" applyAlignment="1" applyProtection="1">
      <alignment vertical="center"/>
      <protection locked="0"/>
    </xf>
    <xf numFmtId="0" fontId="48" fillId="0" borderId="19" xfId="0" applyFont="1" applyBorder="1" applyAlignment="1" applyProtection="1">
      <alignment horizontal="left" vertical="top"/>
      <protection locked="0"/>
    </xf>
    <xf numFmtId="0" fontId="48" fillId="0" borderId="21" xfId="0" applyFont="1" applyBorder="1" applyAlignment="1" applyProtection="1">
      <alignment vertical="top"/>
      <protection locked="0"/>
    </xf>
    <xf numFmtId="0" fontId="51" fillId="0" borderId="0" xfId="178" applyFont="1"/>
    <xf numFmtId="0" fontId="51" fillId="0" borderId="0" xfId="178" applyFont="1" applyAlignment="1">
      <alignment horizontal="center" vertical="center"/>
    </xf>
    <xf numFmtId="0" fontId="51" fillId="0" borderId="0" xfId="178" applyFont="1" applyAlignment="1">
      <alignment horizontal="center"/>
    </xf>
    <xf numFmtId="0" fontId="51" fillId="0" borderId="0" xfId="182" applyFont="1"/>
    <xf numFmtId="0" fontId="51" fillId="0" borderId="0" xfId="182" applyFont="1" applyAlignment="1">
      <alignment horizontal="center"/>
    </xf>
    <xf numFmtId="0" fontId="48" fillId="0" borderId="20" xfId="0" quotePrefix="1" applyFont="1" applyBorder="1" applyAlignment="1">
      <alignment vertical="top"/>
    </xf>
    <xf numFmtId="0" fontId="48" fillId="28" borderId="27" xfId="0" applyFont="1" applyFill="1" applyBorder="1" applyAlignment="1"/>
    <xf numFmtId="0" fontId="48" fillId="28" borderId="27" xfId="0" applyFont="1" applyFill="1" applyBorder="1" applyAlignment="1" applyProtection="1">
      <protection locked="0"/>
    </xf>
    <xf numFmtId="0" fontId="48" fillId="28" borderId="24" xfId="0" applyFont="1" applyFill="1" applyBorder="1" applyAlignment="1"/>
    <xf numFmtId="0" fontId="48" fillId="27" borderId="18" xfId="0" applyFont="1" applyFill="1" applyBorder="1" applyAlignment="1">
      <alignment vertical="top"/>
    </xf>
    <xf numFmtId="0" fontId="48" fillId="27" borderId="25" xfId="0" applyFont="1" applyFill="1" applyBorder="1" applyAlignment="1">
      <alignment vertical="top"/>
    </xf>
    <xf numFmtId="0" fontId="48" fillId="27" borderId="19" xfId="0" applyFont="1" applyFill="1" applyBorder="1" applyAlignment="1">
      <alignment vertical="top"/>
    </xf>
    <xf numFmtId="0" fontId="48" fillId="29" borderId="20" xfId="0" applyFont="1" applyFill="1" applyBorder="1" applyAlignment="1">
      <alignment vertical="top"/>
    </xf>
    <xf numFmtId="0" fontId="48" fillId="27" borderId="26" xfId="0" applyFont="1" applyFill="1" applyBorder="1" applyAlignment="1">
      <alignment vertical="top"/>
    </xf>
    <xf numFmtId="0" fontId="48" fillId="27" borderId="0" xfId="0" applyFont="1" applyFill="1" applyAlignment="1">
      <alignment vertical="top"/>
    </xf>
    <xf numFmtId="0" fontId="48" fillId="29" borderId="0" xfId="0" applyFont="1" applyFill="1">
      <alignment vertical="top" wrapText="1"/>
    </xf>
    <xf numFmtId="0" fontId="48" fillId="0" borderId="27" xfId="0" applyFont="1" applyBorder="1" applyAlignment="1">
      <alignment vertical="top"/>
    </xf>
    <xf numFmtId="0" fontId="48" fillId="0" borderId="20" xfId="0" applyFont="1" applyBorder="1" applyAlignment="1">
      <alignment vertical="center"/>
    </xf>
    <xf numFmtId="0" fontId="48" fillId="27" borderId="28" xfId="0" applyFont="1" applyFill="1" applyBorder="1" applyAlignment="1">
      <alignment vertical="top"/>
    </xf>
    <xf numFmtId="0" fontId="48" fillId="0" borderId="2" xfId="0" applyFont="1" applyBorder="1" applyAlignment="1">
      <alignment vertical="top"/>
    </xf>
    <xf numFmtId="0" fontId="48" fillId="0" borderId="28" xfId="0" applyFont="1" applyBorder="1" applyAlignment="1">
      <alignment vertical="top"/>
    </xf>
    <xf numFmtId="0" fontId="48" fillId="0" borderId="19" xfId="0" applyFont="1" applyBorder="1">
      <alignment vertical="top" wrapText="1"/>
    </xf>
    <xf numFmtId="0" fontId="48" fillId="0" borderId="20" xfId="0" applyFont="1" applyBorder="1">
      <alignment vertical="top" wrapText="1"/>
    </xf>
    <xf numFmtId="0" fontId="48" fillId="0" borderId="20" xfId="0" applyFont="1" applyBorder="1" applyProtection="1">
      <alignment vertical="top" wrapText="1"/>
      <protection locked="0"/>
    </xf>
    <xf numFmtId="0" fontId="48" fillId="27" borderId="27" xfId="0" applyFont="1" applyFill="1" applyBorder="1">
      <alignment vertical="top" wrapText="1"/>
    </xf>
    <xf numFmtId="0" fontId="48" fillId="27" borderId="24" xfId="0" applyFont="1" applyFill="1" applyBorder="1">
      <alignment vertical="top" wrapText="1"/>
    </xf>
    <xf numFmtId="0" fontId="48" fillId="0" borderId="18" xfId="0" applyFont="1" applyBorder="1" applyAlignment="1" applyProtection="1">
      <alignment vertical="top"/>
      <protection locked="0"/>
    </xf>
    <xf numFmtId="0" fontId="48" fillId="0" borderId="22" xfId="0" applyFont="1" applyBorder="1" applyAlignment="1" applyProtection="1">
      <alignment vertical="top"/>
      <protection locked="0"/>
    </xf>
    <xf numFmtId="0" fontId="48" fillId="0" borderId="27" xfId="0" applyFont="1" applyBorder="1" applyProtection="1">
      <alignment vertical="top" wrapText="1"/>
      <protection locked="0"/>
    </xf>
    <xf numFmtId="0" fontId="48" fillId="0" borderId="27" xfId="0" applyFont="1" applyBorder="1">
      <alignment vertical="top" wrapText="1"/>
    </xf>
    <xf numFmtId="0" fontId="48" fillId="0" borderId="24" xfId="0" applyFont="1" applyBorder="1">
      <alignment vertical="top" wrapText="1"/>
    </xf>
    <xf numFmtId="0" fontId="48" fillId="0" borderId="47" xfId="0" applyFont="1" applyBorder="1" applyAlignment="1" applyProtection="1">
      <alignment vertical="top"/>
      <protection locked="0"/>
    </xf>
    <xf numFmtId="0" fontId="50" fillId="0" borderId="41" xfId="182" applyFont="1" applyBorder="1" applyAlignment="1">
      <alignment horizontal="left" vertical="center" wrapText="1"/>
    </xf>
    <xf numFmtId="0" fontId="50" fillId="0" borderId="42" xfId="177" applyFont="1" applyBorder="1" applyAlignment="1">
      <alignment horizontal="left" vertical="center" wrapText="1"/>
    </xf>
    <xf numFmtId="0" fontId="50" fillId="0" borderId="43" xfId="177" applyFont="1" applyBorder="1" applyAlignment="1">
      <alignment horizontal="left" vertical="center" wrapText="1"/>
    </xf>
    <xf numFmtId="0" fontId="50" fillId="0" borderId="42" xfId="177" applyFont="1" applyBorder="1" applyAlignment="1">
      <alignment vertical="center" wrapText="1"/>
    </xf>
    <xf numFmtId="0" fontId="50" fillId="0" borderId="43" xfId="177" applyFont="1" applyBorder="1" applyAlignment="1">
      <alignment vertical="center" wrapText="1"/>
    </xf>
    <xf numFmtId="0" fontId="50" fillId="0" borderId="41" xfId="182" applyFont="1" applyBorder="1" applyAlignment="1">
      <alignment vertical="center" wrapText="1"/>
    </xf>
    <xf numFmtId="0" fontId="50" fillId="0" borderId="44" xfId="177" applyFont="1" applyBorder="1" applyAlignment="1">
      <alignment vertical="center" wrapText="1"/>
    </xf>
    <xf numFmtId="0" fontId="51" fillId="28" borderId="45" xfId="182" applyFont="1" applyFill="1" applyBorder="1" applyAlignment="1">
      <alignment horizontal="center" vertical="center"/>
    </xf>
    <xf numFmtId="0" fontId="50" fillId="0" borderId="1" xfId="177" applyFont="1" applyBorder="1" applyAlignment="1">
      <alignment horizontal="center" vertical="center"/>
    </xf>
    <xf numFmtId="0" fontId="50" fillId="0" borderId="35" xfId="177" applyFont="1" applyBorder="1" applyAlignment="1">
      <alignment horizontal="center" vertical="center"/>
    </xf>
    <xf numFmtId="0" fontId="50" fillId="0" borderId="27" xfId="182" applyFont="1" applyBorder="1" applyAlignment="1">
      <alignment horizontal="left" vertical="center" wrapText="1"/>
    </xf>
    <xf numFmtId="0" fontId="50" fillId="0" borderId="2" xfId="177" applyFont="1" applyBorder="1" applyAlignment="1">
      <alignment vertical="center" wrapText="1"/>
    </xf>
    <xf numFmtId="0" fontId="50" fillId="0" borderId="24" xfId="177" applyFont="1" applyBorder="1" applyAlignment="1">
      <alignment vertical="center" wrapText="1"/>
    </xf>
    <xf numFmtId="0" fontId="50" fillId="0" borderId="27" xfId="182" applyFont="1" applyBorder="1" applyAlignment="1">
      <alignment vertical="center" wrapText="1"/>
    </xf>
    <xf numFmtId="0" fontId="50" fillId="0" borderId="38" xfId="177" applyFont="1" applyBorder="1" applyAlignment="1">
      <alignment vertical="center" wrapText="1"/>
    </xf>
    <xf numFmtId="177" fontId="50" fillId="0" borderId="46" xfId="182" applyNumberFormat="1" applyFont="1" applyBorder="1" applyAlignment="1">
      <alignment horizontal="center" vertical="center"/>
    </xf>
    <xf numFmtId="177" fontId="50" fillId="0" borderId="42" xfId="177" applyNumberFormat="1" applyFont="1" applyBorder="1" applyAlignment="1">
      <alignment horizontal="center" vertical="center"/>
    </xf>
    <xf numFmtId="177" fontId="50" fillId="0" borderId="43" xfId="177" applyNumberFormat="1" applyFont="1" applyBorder="1" applyAlignment="1">
      <alignment horizontal="center" vertical="center"/>
    </xf>
    <xf numFmtId="177" fontId="50" fillId="0" borderId="37" xfId="182" applyNumberFormat="1" applyFont="1" applyBorder="1" applyAlignment="1">
      <alignment horizontal="center" vertical="center"/>
    </xf>
    <xf numFmtId="177" fontId="50" fillId="0" borderId="2" xfId="177" applyNumberFormat="1" applyFont="1" applyBorder="1" applyAlignment="1">
      <alignment horizontal="center" vertical="center"/>
    </xf>
    <xf numFmtId="177" fontId="50" fillId="0" borderId="24" xfId="177" applyNumberFormat="1" applyFont="1" applyBorder="1" applyAlignment="1">
      <alignment horizontal="center" vertical="center"/>
    </xf>
    <xf numFmtId="0" fontId="50" fillId="0" borderId="2" xfId="177" applyFont="1" applyBorder="1" applyAlignment="1">
      <alignment horizontal="left" vertical="center" wrapText="1"/>
    </xf>
    <xf numFmtId="0" fontId="50" fillId="0" borderId="24" xfId="177" applyFont="1" applyBorder="1" applyAlignment="1">
      <alignment horizontal="left" vertical="center" wrapText="1"/>
    </xf>
    <xf numFmtId="0" fontId="50" fillId="0" borderId="27" xfId="182" applyFont="1" applyBorder="1" applyAlignment="1">
      <alignment horizontal="left" vertical="center"/>
    </xf>
    <xf numFmtId="0" fontId="50" fillId="0" borderId="2" xfId="177" applyFont="1" applyBorder="1" applyAlignment="1">
      <alignment horizontal="left" vertical="center"/>
    </xf>
    <xf numFmtId="0" fontId="50" fillId="0" borderId="24" xfId="177" applyFont="1" applyBorder="1" applyAlignment="1">
      <alignment horizontal="left" vertical="center"/>
    </xf>
    <xf numFmtId="0" fontId="50" fillId="0" borderId="27" xfId="182" applyFont="1" applyBorder="1" applyAlignment="1">
      <alignment vertical="center"/>
    </xf>
    <xf numFmtId="0" fontId="50" fillId="0" borderId="2" xfId="177" applyFont="1" applyBorder="1" applyAlignment="1">
      <alignment vertical="center"/>
    </xf>
    <xf numFmtId="0" fontId="50" fillId="0" borderId="38" xfId="177" applyFont="1" applyBorder="1" applyAlignment="1">
      <alignment vertical="center"/>
    </xf>
    <xf numFmtId="0" fontId="50" fillId="0" borderId="39" xfId="182" applyFont="1" applyBorder="1" applyAlignment="1">
      <alignment horizontal="left" vertical="center" wrapText="1"/>
    </xf>
    <xf numFmtId="0" fontId="50" fillId="0" borderId="30" xfId="177" applyFont="1" applyBorder="1" applyAlignment="1">
      <alignment horizontal="left" vertical="center" wrapText="1"/>
    </xf>
    <xf numFmtId="0" fontId="50" fillId="0" borderId="31" xfId="177" applyFont="1" applyBorder="1" applyAlignment="1">
      <alignment horizontal="left" vertical="center" wrapText="1"/>
    </xf>
    <xf numFmtId="0" fontId="50" fillId="0" borderId="30" xfId="177" applyFont="1" applyBorder="1" applyAlignment="1">
      <alignment vertical="center" wrapText="1"/>
    </xf>
    <xf numFmtId="0" fontId="50" fillId="0" borderId="31" xfId="177" applyFont="1" applyBorder="1" applyAlignment="1">
      <alignment vertical="center" wrapText="1"/>
    </xf>
    <xf numFmtId="0" fontId="50" fillId="0" borderId="39" xfId="182" applyFont="1" applyBorder="1" applyAlignment="1">
      <alignment vertical="center" wrapText="1"/>
    </xf>
    <xf numFmtId="0" fontId="50" fillId="0" borderId="40" xfId="177" applyFont="1" applyBorder="1" applyAlignment="1">
      <alignment vertical="center" wrapText="1"/>
    </xf>
    <xf numFmtId="177" fontId="50" fillId="0" borderId="29" xfId="182" applyNumberFormat="1" applyFont="1" applyBorder="1" applyAlignment="1">
      <alignment horizontal="center" vertical="center"/>
    </xf>
    <xf numFmtId="177" fontId="50" fillId="0" borderId="30" xfId="177" applyNumberFormat="1" applyFont="1" applyBorder="1" applyAlignment="1">
      <alignment horizontal="center" vertical="center"/>
    </xf>
    <xf numFmtId="177" fontId="50" fillId="0" borderId="31" xfId="177" applyNumberFormat="1" applyFont="1" applyBorder="1" applyAlignment="1">
      <alignment horizontal="center" vertical="center"/>
    </xf>
    <xf numFmtId="0" fontId="49" fillId="28" borderId="32" xfId="178" applyFont="1" applyFill="1" applyBorder="1" applyAlignment="1">
      <alignment horizontal="center" vertical="center"/>
    </xf>
    <xf numFmtId="0" fontId="50" fillId="0" borderId="3" xfId="177" applyFont="1" applyBorder="1" applyAlignment="1">
      <alignment vertical="center"/>
    </xf>
    <xf numFmtId="0" fontId="50" fillId="0" borderId="33" xfId="177" applyFont="1" applyBorder="1" applyAlignment="1">
      <alignment vertical="center"/>
    </xf>
    <xf numFmtId="0" fontId="51" fillId="28" borderId="34" xfId="182" applyFont="1" applyFill="1" applyBorder="1" applyAlignment="1">
      <alignment horizontal="center" vertical="center"/>
    </xf>
    <xf numFmtId="0" fontId="51" fillId="28" borderId="1" xfId="182" applyFont="1" applyFill="1" applyBorder="1" applyAlignment="1">
      <alignment horizontal="center" vertical="center"/>
    </xf>
    <xf numFmtId="0" fontId="51" fillId="28" borderId="35" xfId="182" applyFont="1" applyFill="1" applyBorder="1" applyAlignment="1">
      <alignment horizontal="center" vertical="center"/>
    </xf>
    <xf numFmtId="0" fontId="51" fillId="28" borderId="34" xfId="177" applyFont="1" applyFill="1" applyBorder="1" applyAlignment="1">
      <alignment horizontal="center" vertical="center"/>
    </xf>
    <xf numFmtId="0" fontId="51" fillId="0" borderId="1" xfId="177" applyFont="1" applyBorder="1" applyAlignment="1">
      <alignment horizontal="center" vertical="center"/>
    </xf>
    <xf numFmtId="0" fontId="51" fillId="0" borderId="36" xfId="177" applyFont="1" applyBorder="1" applyAlignment="1">
      <alignment horizontal="center" vertical="center"/>
    </xf>
    <xf numFmtId="0" fontId="48" fillId="28" borderId="27" xfId="0" applyFont="1" applyFill="1" applyBorder="1" applyAlignment="1" applyProtection="1">
      <protection locked="0"/>
    </xf>
    <xf numFmtId="0" fontId="48" fillId="28" borderId="24" xfId="0" applyFont="1" applyFill="1" applyBorder="1" applyAlignment="1"/>
    <xf numFmtId="0" fontId="48" fillId="28" borderId="27" xfId="180" applyFont="1" applyFill="1" applyBorder="1" applyAlignment="1"/>
  </cellXfs>
  <cellStyles count="316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22" xr:uid="{00000000-0005-0000-0000-000006000000}"/>
    <cellStyle name="20% - アクセント 1 6" xfId="225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221" xr:uid="{00000000-0005-0000-0000-00000C000000}"/>
    <cellStyle name="20% - アクセント 2 6" xfId="226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220" xr:uid="{00000000-0005-0000-0000-000012000000}"/>
    <cellStyle name="20% - アクセント 3 6" xfId="227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219" xr:uid="{00000000-0005-0000-0000-000018000000}"/>
    <cellStyle name="20% - アクセント 4 6" xfId="228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5 5" xfId="229" xr:uid="{00000000-0005-0000-0000-00001E000000}"/>
    <cellStyle name="20% - アクセント 6" xfId="23" builtinId="50" customBuiltin="1"/>
    <cellStyle name="20% - アクセント 6 2" xfId="24" xr:uid="{00000000-0005-0000-0000-000020000000}"/>
    <cellStyle name="20% - アクセント 6 3" xfId="25" xr:uid="{00000000-0005-0000-0000-000021000000}"/>
    <cellStyle name="20% - アクセント 6 4" xfId="26" xr:uid="{00000000-0005-0000-0000-000022000000}"/>
    <cellStyle name="20% - アクセント 6 5" xfId="218" xr:uid="{00000000-0005-0000-0000-000023000000}"/>
    <cellStyle name="20% - アクセント 6 6" xfId="230" xr:uid="{00000000-0005-0000-0000-000024000000}"/>
    <cellStyle name="40% - アクセント 1" xfId="27" builtinId="31" customBuiltin="1"/>
    <cellStyle name="40% - アクセント 1 2" xfId="28" xr:uid="{00000000-0005-0000-0000-000026000000}"/>
    <cellStyle name="40% - アクセント 1 3" xfId="29" xr:uid="{00000000-0005-0000-0000-000027000000}"/>
    <cellStyle name="40% - アクセント 1 4" xfId="30" xr:uid="{00000000-0005-0000-0000-000028000000}"/>
    <cellStyle name="40% - アクセント 1 5" xfId="217" xr:uid="{00000000-0005-0000-0000-000029000000}"/>
    <cellStyle name="40% - アクセント 1 6" xfId="231" xr:uid="{00000000-0005-0000-0000-00002A000000}"/>
    <cellStyle name="40% - アクセント 2" xfId="31" builtinId="35" customBuiltin="1"/>
    <cellStyle name="40% - アクセント 2 2" xfId="32" xr:uid="{00000000-0005-0000-0000-00002C000000}"/>
    <cellStyle name="40% - アクセント 2 3" xfId="33" xr:uid="{00000000-0005-0000-0000-00002D000000}"/>
    <cellStyle name="40% - アクセント 2 4" xfId="34" xr:uid="{00000000-0005-0000-0000-00002E000000}"/>
    <cellStyle name="40% - アクセント 2 5" xfId="232" xr:uid="{00000000-0005-0000-0000-00002F000000}"/>
    <cellStyle name="40% - アクセント 3" xfId="35" builtinId="39" customBuiltin="1"/>
    <cellStyle name="40% - アクセント 3 2" xfId="36" xr:uid="{00000000-0005-0000-0000-000031000000}"/>
    <cellStyle name="40% - アクセント 3 3" xfId="37" xr:uid="{00000000-0005-0000-0000-000032000000}"/>
    <cellStyle name="40% - アクセント 3 4" xfId="38" xr:uid="{00000000-0005-0000-0000-000033000000}"/>
    <cellStyle name="40% - アクセント 3 5" xfId="216" xr:uid="{00000000-0005-0000-0000-000034000000}"/>
    <cellStyle name="40% - アクセント 3 6" xfId="233" xr:uid="{00000000-0005-0000-0000-000035000000}"/>
    <cellStyle name="40% - アクセント 4" xfId="39" builtinId="43" customBuiltin="1"/>
    <cellStyle name="40% - アクセント 4 2" xfId="40" xr:uid="{00000000-0005-0000-0000-000037000000}"/>
    <cellStyle name="40% - アクセント 4 3" xfId="41" xr:uid="{00000000-0005-0000-0000-000038000000}"/>
    <cellStyle name="40% - アクセント 4 4" xfId="42" xr:uid="{00000000-0005-0000-0000-000039000000}"/>
    <cellStyle name="40% - アクセント 4 5" xfId="215" xr:uid="{00000000-0005-0000-0000-00003A000000}"/>
    <cellStyle name="40% - アクセント 4 6" xfId="234" xr:uid="{00000000-0005-0000-0000-00003B000000}"/>
    <cellStyle name="40% - アクセント 5" xfId="43" builtinId="47" customBuiltin="1"/>
    <cellStyle name="40% - アクセント 5 2" xfId="44" xr:uid="{00000000-0005-0000-0000-00003D000000}"/>
    <cellStyle name="40% - アクセント 5 3" xfId="45" xr:uid="{00000000-0005-0000-0000-00003E000000}"/>
    <cellStyle name="40% - アクセント 5 4" xfId="46" xr:uid="{00000000-0005-0000-0000-00003F000000}"/>
    <cellStyle name="40% - アクセント 5 5" xfId="214" xr:uid="{00000000-0005-0000-0000-000040000000}"/>
    <cellStyle name="40% - アクセント 5 6" xfId="235" xr:uid="{00000000-0005-0000-0000-000041000000}"/>
    <cellStyle name="40% - アクセント 6" xfId="47" builtinId="51" customBuiltin="1"/>
    <cellStyle name="40% - アクセント 6 2" xfId="48" xr:uid="{00000000-0005-0000-0000-000043000000}"/>
    <cellStyle name="40% - アクセント 6 3" xfId="49" xr:uid="{00000000-0005-0000-0000-000044000000}"/>
    <cellStyle name="40% - アクセント 6 4" xfId="50" xr:uid="{00000000-0005-0000-0000-000045000000}"/>
    <cellStyle name="40% - アクセント 6 5" xfId="213" xr:uid="{00000000-0005-0000-0000-000046000000}"/>
    <cellStyle name="40% - アクセント 6 6" xfId="236" xr:uid="{00000000-0005-0000-0000-000047000000}"/>
    <cellStyle name="60% - アクセント 1" xfId="51" builtinId="32" customBuiltin="1"/>
    <cellStyle name="60% - アクセント 1 2" xfId="52" xr:uid="{00000000-0005-0000-0000-000049000000}"/>
    <cellStyle name="60% - アクセント 1 3" xfId="53" xr:uid="{00000000-0005-0000-0000-00004A000000}"/>
    <cellStyle name="60% - アクセント 1 4" xfId="54" xr:uid="{00000000-0005-0000-0000-00004B000000}"/>
    <cellStyle name="60% - アクセント 1 5" xfId="212" xr:uid="{00000000-0005-0000-0000-00004C000000}"/>
    <cellStyle name="60% - アクセント 1 6" xfId="237" xr:uid="{00000000-0005-0000-0000-00004D000000}"/>
    <cellStyle name="60% - アクセント 2" xfId="55" builtinId="36" customBuiltin="1"/>
    <cellStyle name="60% - アクセント 2 2" xfId="56" xr:uid="{00000000-0005-0000-0000-00004F000000}"/>
    <cellStyle name="60% - アクセント 2 3" xfId="57" xr:uid="{00000000-0005-0000-0000-000050000000}"/>
    <cellStyle name="60% - アクセント 2 4" xfId="58" xr:uid="{00000000-0005-0000-0000-000051000000}"/>
    <cellStyle name="60% - アクセント 2 5" xfId="211" xr:uid="{00000000-0005-0000-0000-000052000000}"/>
    <cellStyle name="60% - アクセント 2 6" xfId="238" xr:uid="{00000000-0005-0000-0000-000053000000}"/>
    <cellStyle name="60% - アクセント 3" xfId="59" builtinId="40" customBuiltin="1"/>
    <cellStyle name="60% - アクセント 3 2" xfId="60" xr:uid="{00000000-0005-0000-0000-000055000000}"/>
    <cellStyle name="60% - アクセント 3 3" xfId="61" xr:uid="{00000000-0005-0000-0000-000056000000}"/>
    <cellStyle name="60% - アクセント 3 4" xfId="62" xr:uid="{00000000-0005-0000-0000-000057000000}"/>
    <cellStyle name="60% - アクセント 3 5" xfId="210" xr:uid="{00000000-0005-0000-0000-000058000000}"/>
    <cellStyle name="60% - アクセント 3 6" xfId="239" xr:uid="{00000000-0005-0000-0000-000059000000}"/>
    <cellStyle name="60% - アクセント 4" xfId="63" builtinId="44" customBuiltin="1"/>
    <cellStyle name="60% - アクセント 4 2" xfId="64" xr:uid="{00000000-0005-0000-0000-00005B000000}"/>
    <cellStyle name="60% - アクセント 4 3" xfId="65" xr:uid="{00000000-0005-0000-0000-00005C000000}"/>
    <cellStyle name="60% - アクセント 4 4" xfId="66" xr:uid="{00000000-0005-0000-0000-00005D000000}"/>
    <cellStyle name="60% - アクセント 4 5" xfId="209" xr:uid="{00000000-0005-0000-0000-00005E000000}"/>
    <cellStyle name="60% - アクセント 4 6" xfId="240" xr:uid="{00000000-0005-0000-0000-00005F000000}"/>
    <cellStyle name="60% - アクセント 5" xfId="67" builtinId="48" customBuiltin="1"/>
    <cellStyle name="60% - アクセント 5 2" xfId="68" xr:uid="{00000000-0005-0000-0000-000061000000}"/>
    <cellStyle name="60% - アクセント 5 3" xfId="69" xr:uid="{00000000-0005-0000-0000-000062000000}"/>
    <cellStyle name="60% - アクセント 5 4" xfId="70" xr:uid="{00000000-0005-0000-0000-000063000000}"/>
    <cellStyle name="60% - アクセント 5 5" xfId="208" xr:uid="{00000000-0005-0000-0000-000064000000}"/>
    <cellStyle name="60% - アクセント 5 6" xfId="241" xr:uid="{00000000-0005-0000-0000-000065000000}"/>
    <cellStyle name="60% - アクセント 6" xfId="71" builtinId="52" customBuiltin="1"/>
    <cellStyle name="60% - アクセント 6 2" xfId="72" xr:uid="{00000000-0005-0000-0000-000067000000}"/>
    <cellStyle name="60% - アクセント 6 3" xfId="73" xr:uid="{00000000-0005-0000-0000-000068000000}"/>
    <cellStyle name="60% - アクセント 6 4" xfId="74" xr:uid="{00000000-0005-0000-0000-000069000000}"/>
    <cellStyle name="60% - アクセント 6 5" xfId="207" xr:uid="{00000000-0005-0000-0000-00006A000000}"/>
    <cellStyle name="60% - アクセント 6 6" xfId="242" xr:uid="{00000000-0005-0000-0000-00006B000000}"/>
    <cellStyle name="Calc Currency (0)" xfId="75" xr:uid="{00000000-0005-0000-0000-00006C000000}"/>
    <cellStyle name="Comma [0]" xfId="284" xr:uid="{00000000-0005-0000-0000-00006D000000}"/>
    <cellStyle name="Comma [0] 2" xfId="285" xr:uid="{00000000-0005-0000-0000-00006E000000}"/>
    <cellStyle name="Currency [0]" xfId="286" xr:uid="{00000000-0005-0000-0000-00006F000000}"/>
    <cellStyle name="Grey" xfId="287" xr:uid="{00000000-0005-0000-0000-000070000000}"/>
    <cellStyle name="Header1" xfId="76" xr:uid="{00000000-0005-0000-0000-000071000000}"/>
    <cellStyle name="Header2" xfId="77" xr:uid="{00000000-0005-0000-0000-000072000000}"/>
    <cellStyle name="Input [yellow]" xfId="288" xr:uid="{00000000-0005-0000-0000-000073000000}"/>
    <cellStyle name="Normal - Style1" xfId="289" xr:uid="{00000000-0005-0000-0000-000074000000}"/>
    <cellStyle name="Normal_#18-Internet" xfId="78" xr:uid="{00000000-0005-0000-0000-000075000000}"/>
    <cellStyle name="Percent [2]" xfId="290" xr:uid="{00000000-0005-0000-0000-000076000000}"/>
    <cellStyle name="PSChar" xfId="79" xr:uid="{00000000-0005-0000-0000-000077000000}"/>
    <cellStyle name="PSHeading" xfId="80" xr:uid="{00000000-0005-0000-0000-000078000000}"/>
    <cellStyle name="u" xfId="81" xr:uid="{00000000-0005-0000-0000-000079000000}"/>
    <cellStyle name="アクセント 1" xfId="82" builtinId="29" customBuiltin="1"/>
    <cellStyle name="アクセント 1 2" xfId="83" xr:uid="{00000000-0005-0000-0000-00007B000000}"/>
    <cellStyle name="アクセント 1 3" xfId="84" xr:uid="{00000000-0005-0000-0000-00007C000000}"/>
    <cellStyle name="アクセント 1 4" xfId="85" xr:uid="{00000000-0005-0000-0000-00007D000000}"/>
    <cellStyle name="アクセント 1 5" xfId="206" xr:uid="{00000000-0005-0000-0000-00007E000000}"/>
    <cellStyle name="アクセント 1 6" xfId="243" xr:uid="{00000000-0005-0000-0000-00007F000000}"/>
    <cellStyle name="アクセント 2" xfId="86" builtinId="33" customBuiltin="1"/>
    <cellStyle name="アクセント 2 2" xfId="87" xr:uid="{00000000-0005-0000-0000-000081000000}"/>
    <cellStyle name="アクセント 2 3" xfId="88" xr:uid="{00000000-0005-0000-0000-000082000000}"/>
    <cellStyle name="アクセント 2 4" xfId="89" xr:uid="{00000000-0005-0000-0000-000083000000}"/>
    <cellStyle name="アクセント 2 5" xfId="205" xr:uid="{00000000-0005-0000-0000-000084000000}"/>
    <cellStyle name="アクセント 2 6" xfId="244" xr:uid="{00000000-0005-0000-0000-000085000000}"/>
    <cellStyle name="アクセント 3" xfId="90" builtinId="37" customBuiltin="1"/>
    <cellStyle name="アクセント 3 2" xfId="91" xr:uid="{00000000-0005-0000-0000-000087000000}"/>
    <cellStyle name="アクセント 3 3" xfId="92" xr:uid="{00000000-0005-0000-0000-000088000000}"/>
    <cellStyle name="アクセント 3 4" xfId="93" xr:uid="{00000000-0005-0000-0000-000089000000}"/>
    <cellStyle name="アクセント 3 5" xfId="204" xr:uid="{00000000-0005-0000-0000-00008A000000}"/>
    <cellStyle name="アクセント 3 6" xfId="245" xr:uid="{00000000-0005-0000-0000-00008B000000}"/>
    <cellStyle name="アクセント 4" xfId="94" builtinId="41" customBuiltin="1"/>
    <cellStyle name="アクセント 4 2" xfId="95" xr:uid="{00000000-0005-0000-0000-00008D000000}"/>
    <cellStyle name="アクセント 4 3" xfId="96" xr:uid="{00000000-0005-0000-0000-00008E000000}"/>
    <cellStyle name="アクセント 4 4" xfId="97" xr:uid="{00000000-0005-0000-0000-00008F000000}"/>
    <cellStyle name="アクセント 4 5" xfId="203" xr:uid="{00000000-0005-0000-0000-000090000000}"/>
    <cellStyle name="アクセント 4 6" xfId="246" xr:uid="{00000000-0005-0000-0000-000091000000}"/>
    <cellStyle name="アクセント 5" xfId="98" builtinId="45" customBuiltin="1"/>
    <cellStyle name="アクセント 5 2" xfId="99" xr:uid="{00000000-0005-0000-0000-000093000000}"/>
    <cellStyle name="アクセント 5 3" xfId="100" xr:uid="{00000000-0005-0000-0000-000094000000}"/>
    <cellStyle name="アクセント 5 4" xfId="101" xr:uid="{00000000-0005-0000-0000-000095000000}"/>
    <cellStyle name="アクセント 5 5" xfId="247" xr:uid="{00000000-0005-0000-0000-000096000000}"/>
    <cellStyle name="アクセント 6" xfId="102" builtinId="49" customBuiltin="1"/>
    <cellStyle name="アクセント 6 2" xfId="103" xr:uid="{00000000-0005-0000-0000-000098000000}"/>
    <cellStyle name="アクセント 6 3" xfId="104" xr:uid="{00000000-0005-0000-0000-000099000000}"/>
    <cellStyle name="アクセント 6 4" xfId="105" xr:uid="{00000000-0005-0000-0000-00009A000000}"/>
    <cellStyle name="アクセント 6 5" xfId="202" xr:uid="{00000000-0005-0000-0000-00009B000000}"/>
    <cellStyle name="アクセント 6 6" xfId="248" xr:uid="{00000000-0005-0000-0000-00009C000000}"/>
    <cellStyle name="タイトル" xfId="106" builtinId="15" customBuiltin="1"/>
    <cellStyle name="タイトル 2" xfId="107" xr:uid="{00000000-0005-0000-0000-00009E000000}"/>
    <cellStyle name="タイトル 3" xfId="108" xr:uid="{00000000-0005-0000-0000-00009F000000}"/>
    <cellStyle name="タイトル 4" xfId="109" xr:uid="{00000000-0005-0000-0000-0000A0000000}"/>
    <cellStyle name="タイトル 5" xfId="201" xr:uid="{00000000-0005-0000-0000-0000A1000000}"/>
    <cellStyle name="タイトル 6" xfId="249" xr:uid="{00000000-0005-0000-0000-0000A2000000}"/>
    <cellStyle name="チェック セル" xfId="110" builtinId="23" customBuiltin="1"/>
    <cellStyle name="チェック セル 2" xfId="111" xr:uid="{00000000-0005-0000-0000-0000A4000000}"/>
    <cellStyle name="チェック セル 3" xfId="112" xr:uid="{00000000-0005-0000-0000-0000A5000000}"/>
    <cellStyle name="チェック セル 4" xfId="113" xr:uid="{00000000-0005-0000-0000-0000A6000000}"/>
    <cellStyle name="チェック セル 5" xfId="250" xr:uid="{00000000-0005-0000-0000-0000A7000000}"/>
    <cellStyle name="どちらでもない" xfId="114" builtinId="28" customBuiltin="1"/>
    <cellStyle name="どちらでもない 2" xfId="115" xr:uid="{00000000-0005-0000-0000-0000A9000000}"/>
    <cellStyle name="どちらでもない 3" xfId="116" xr:uid="{00000000-0005-0000-0000-0000AA000000}"/>
    <cellStyle name="どちらでもない 4" xfId="117" xr:uid="{00000000-0005-0000-0000-0000AB000000}"/>
    <cellStyle name="どちらでもない 5" xfId="200" xr:uid="{00000000-0005-0000-0000-0000AC000000}"/>
    <cellStyle name="どちらでもない 6" xfId="251" xr:uid="{00000000-0005-0000-0000-0000AD000000}"/>
    <cellStyle name="メモ" xfId="118" builtinId="10" customBuiltin="1"/>
    <cellStyle name="メモ 2" xfId="119" xr:uid="{00000000-0005-0000-0000-0000AF000000}"/>
    <cellStyle name="メモ 3" xfId="120" xr:uid="{00000000-0005-0000-0000-0000B0000000}"/>
    <cellStyle name="メモ 4" xfId="121" xr:uid="{00000000-0005-0000-0000-0000B1000000}"/>
    <cellStyle name="メモ 5" xfId="199" xr:uid="{00000000-0005-0000-0000-0000B2000000}"/>
    <cellStyle name="メモ 6" xfId="252" xr:uid="{00000000-0005-0000-0000-0000B3000000}"/>
    <cellStyle name="リンク セル" xfId="122" builtinId="24" customBuiltin="1"/>
    <cellStyle name="リンク セル 2" xfId="123" xr:uid="{00000000-0005-0000-0000-0000B5000000}"/>
    <cellStyle name="リンク セル 3" xfId="124" xr:uid="{00000000-0005-0000-0000-0000B6000000}"/>
    <cellStyle name="リンク セル 4" xfId="125" xr:uid="{00000000-0005-0000-0000-0000B7000000}"/>
    <cellStyle name="リンク セル 5" xfId="198" xr:uid="{00000000-0005-0000-0000-0000B8000000}"/>
    <cellStyle name="リンク セル 6" xfId="253" xr:uid="{00000000-0005-0000-0000-0000B9000000}"/>
    <cellStyle name="_x001d__x000c_K_x0014__x000d_&gt;V_x0001_&gt;_x0014_n_x001e__x0007__x0001__x0001_" xfId="126" xr:uid="{00000000-0005-0000-0000-0000BA000000}"/>
    <cellStyle name="_x001d__x000c_K_x0014__x000d_&gt;V_x0001_&gt;_x0014_n_x001e__x0007__x0001__x0001_ 2" xfId="267" xr:uid="{00000000-0005-0000-0000-0000BB000000}"/>
    <cellStyle name="_x001d__x000c_K_x0014__x000d_&gt;V_x0001_&gt;_x0014_n_x001e__x0007__x0001__x0001_ 2 2" xfId="269" xr:uid="{00000000-0005-0000-0000-0000BC000000}"/>
    <cellStyle name="_x001d__x000c_K_x0014__x000d_&gt;V_x0001_&gt;_x0014_n_x001e__x0007__x0001__x0001_ 2 3" xfId="272" xr:uid="{00000000-0005-0000-0000-0000BD000000}"/>
    <cellStyle name="_x001d__x000c_K_x0014__x000d_&gt;V_x0001_&gt;_x0014_n_x001e__x0007__x0001__x0001_ 3" xfId="266" xr:uid="{00000000-0005-0000-0000-0000BE000000}"/>
    <cellStyle name="_x001d__x000c_K_x0014__x000d_&gt;V_x0001_&gt;_x0014_n_x001e__x0007__x0001__x0001_ 3 2" xfId="270" xr:uid="{00000000-0005-0000-0000-0000BF000000}"/>
    <cellStyle name="_x001d__x000c_K_x0014__x000d_&gt;V_x0001_&gt;_x0014_n_x001e__x0007__x0001__x0001_ 3 3" xfId="275" xr:uid="{00000000-0005-0000-0000-0000C0000000}"/>
    <cellStyle name="_x001d__x000c_K_x0014__x000d_&gt;V_x0001_&gt;_x0014_n_x001e__x0007__x0001__x0001_ 3 4" xfId="310" xr:uid="{00000000-0005-0000-0000-0000C1000000}"/>
    <cellStyle name="悪い" xfId="127" builtinId="27" customBuiltin="1"/>
    <cellStyle name="悪い 2" xfId="128" xr:uid="{00000000-0005-0000-0000-0000C3000000}"/>
    <cellStyle name="悪い 3" xfId="129" xr:uid="{00000000-0005-0000-0000-0000C4000000}"/>
    <cellStyle name="悪い 4" xfId="130" xr:uid="{00000000-0005-0000-0000-0000C5000000}"/>
    <cellStyle name="悪い 5" xfId="197" xr:uid="{00000000-0005-0000-0000-0000C6000000}"/>
    <cellStyle name="悪い 6" xfId="254" xr:uid="{00000000-0005-0000-0000-0000C7000000}"/>
    <cellStyle name="計算" xfId="131" builtinId="22" customBuiltin="1"/>
    <cellStyle name="計算 2" xfId="132" xr:uid="{00000000-0005-0000-0000-0000C9000000}"/>
    <cellStyle name="計算 3" xfId="133" xr:uid="{00000000-0005-0000-0000-0000CA000000}"/>
    <cellStyle name="計算 4" xfId="134" xr:uid="{00000000-0005-0000-0000-0000CB000000}"/>
    <cellStyle name="計算 5" xfId="196" xr:uid="{00000000-0005-0000-0000-0000CC000000}"/>
    <cellStyle name="計算 6" xfId="255" xr:uid="{00000000-0005-0000-0000-0000CD000000}"/>
    <cellStyle name="警告文" xfId="135" builtinId="11" customBuiltin="1"/>
    <cellStyle name="警告文 2" xfId="136" xr:uid="{00000000-0005-0000-0000-0000CF000000}"/>
    <cellStyle name="警告文 3" xfId="137" xr:uid="{00000000-0005-0000-0000-0000D0000000}"/>
    <cellStyle name="警告文 4" xfId="138" xr:uid="{00000000-0005-0000-0000-0000D1000000}"/>
    <cellStyle name="警告文 5" xfId="256" xr:uid="{00000000-0005-0000-0000-0000D2000000}"/>
    <cellStyle name="桁区切り 2" xfId="303" xr:uid="{00000000-0005-0000-0000-0000D3000000}"/>
    <cellStyle name="見出し 1" xfId="139" builtinId="16" customBuiltin="1"/>
    <cellStyle name="見出し 1 2" xfId="140" xr:uid="{00000000-0005-0000-0000-0000D5000000}"/>
    <cellStyle name="見出し 1 3" xfId="141" xr:uid="{00000000-0005-0000-0000-0000D6000000}"/>
    <cellStyle name="見出し 1 4" xfId="142" xr:uid="{00000000-0005-0000-0000-0000D7000000}"/>
    <cellStyle name="見出し 1 5" xfId="195" xr:uid="{00000000-0005-0000-0000-0000D8000000}"/>
    <cellStyle name="見出し 1 6" xfId="257" xr:uid="{00000000-0005-0000-0000-0000D9000000}"/>
    <cellStyle name="見出し 2" xfId="143" builtinId="17" customBuiltin="1"/>
    <cellStyle name="見出し 2 2" xfId="144" xr:uid="{00000000-0005-0000-0000-0000DB000000}"/>
    <cellStyle name="見出し 2 3" xfId="145" xr:uid="{00000000-0005-0000-0000-0000DC000000}"/>
    <cellStyle name="見出し 2 4" xfId="146" xr:uid="{00000000-0005-0000-0000-0000DD000000}"/>
    <cellStyle name="見出し 2 5" xfId="194" xr:uid="{00000000-0005-0000-0000-0000DE000000}"/>
    <cellStyle name="見出し 2 6" xfId="258" xr:uid="{00000000-0005-0000-0000-0000DF000000}"/>
    <cellStyle name="見出し 3" xfId="147" builtinId="18" customBuiltin="1"/>
    <cellStyle name="見出し 3 2" xfId="148" xr:uid="{00000000-0005-0000-0000-0000E1000000}"/>
    <cellStyle name="見出し 3 3" xfId="149" xr:uid="{00000000-0005-0000-0000-0000E2000000}"/>
    <cellStyle name="見出し 3 4" xfId="150" xr:uid="{00000000-0005-0000-0000-0000E3000000}"/>
    <cellStyle name="見出し 3 5" xfId="193" xr:uid="{00000000-0005-0000-0000-0000E4000000}"/>
    <cellStyle name="見出し 3 6" xfId="259" xr:uid="{00000000-0005-0000-0000-0000E5000000}"/>
    <cellStyle name="見出し 4" xfId="151" builtinId="19" customBuiltin="1"/>
    <cellStyle name="見出し 4 2" xfId="152" xr:uid="{00000000-0005-0000-0000-0000E7000000}"/>
    <cellStyle name="見出し 4 3" xfId="153" xr:uid="{00000000-0005-0000-0000-0000E8000000}"/>
    <cellStyle name="見出し 4 4" xfId="154" xr:uid="{00000000-0005-0000-0000-0000E9000000}"/>
    <cellStyle name="見出し 4 5" xfId="192" xr:uid="{00000000-0005-0000-0000-0000EA000000}"/>
    <cellStyle name="見出し 4 6" xfId="260" xr:uid="{00000000-0005-0000-0000-0000EB000000}"/>
    <cellStyle name="作業ﾌﾛｰ" xfId="291" xr:uid="{00000000-0005-0000-0000-0000EC000000}"/>
    <cellStyle name="資料" xfId="292" xr:uid="{00000000-0005-0000-0000-0000ED000000}"/>
    <cellStyle name="資料２" xfId="293" xr:uid="{00000000-0005-0000-0000-0000EE000000}"/>
    <cellStyle name="集計" xfId="155" builtinId="25" customBuiltin="1"/>
    <cellStyle name="集計 2" xfId="156" xr:uid="{00000000-0005-0000-0000-0000F0000000}"/>
    <cellStyle name="集計 3" xfId="157" xr:uid="{00000000-0005-0000-0000-0000F1000000}"/>
    <cellStyle name="集計 4" xfId="158" xr:uid="{00000000-0005-0000-0000-0000F2000000}"/>
    <cellStyle name="集計 5" xfId="191" xr:uid="{00000000-0005-0000-0000-0000F3000000}"/>
    <cellStyle name="集計 6" xfId="261" xr:uid="{00000000-0005-0000-0000-0000F4000000}"/>
    <cellStyle name="出力" xfId="159" builtinId="21" customBuiltin="1"/>
    <cellStyle name="出力 2" xfId="160" xr:uid="{00000000-0005-0000-0000-0000F6000000}"/>
    <cellStyle name="出力 3" xfId="161" xr:uid="{00000000-0005-0000-0000-0000F7000000}"/>
    <cellStyle name="出力 4" xfId="162" xr:uid="{00000000-0005-0000-0000-0000F8000000}"/>
    <cellStyle name="出力 5" xfId="190" xr:uid="{00000000-0005-0000-0000-0000F9000000}"/>
    <cellStyle name="出力 6" xfId="262" xr:uid="{00000000-0005-0000-0000-0000FA000000}"/>
    <cellStyle name="説明文" xfId="163" builtinId="53" customBuiltin="1"/>
    <cellStyle name="説明文 2" xfId="164" xr:uid="{00000000-0005-0000-0000-0000FC000000}"/>
    <cellStyle name="説明文 3" xfId="165" xr:uid="{00000000-0005-0000-0000-0000FD000000}"/>
    <cellStyle name="説明文 4" xfId="166" xr:uid="{00000000-0005-0000-0000-0000FE000000}"/>
    <cellStyle name="説明文 5" xfId="263" xr:uid="{00000000-0005-0000-0000-0000FF000000}"/>
    <cellStyle name="入力" xfId="167" builtinId="20" customBuiltin="1"/>
    <cellStyle name="入力 2" xfId="168" xr:uid="{00000000-0005-0000-0000-000001010000}"/>
    <cellStyle name="入力 3" xfId="169" xr:uid="{00000000-0005-0000-0000-000002010000}"/>
    <cellStyle name="入力 4" xfId="170" xr:uid="{00000000-0005-0000-0000-000003010000}"/>
    <cellStyle name="入力 5" xfId="189" xr:uid="{00000000-0005-0000-0000-000004010000}"/>
    <cellStyle name="入力 6" xfId="264" xr:uid="{00000000-0005-0000-0000-000005010000}"/>
    <cellStyle name="標準" xfId="0" builtinId="0"/>
    <cellStyle name="標準 10" xfId="271" xr:uid="{00000000-0005-0000-0000-000007010000}"/>
    <cellStyle name="標準 10 2" xfId="313" xr:uid="{00000000-0005-0000-0000-000008010000}"/>
    <cellStyle name="標準 10 3" xfId="302" xr:uid="{00000000-0005-0000-0000-000009010000}"/>
    <cellStyle name="標準 10 4" xfId="279" xr:uid="{00000000-0005-0000-0000-00000A010000}"/>
    <cellStyle name="標準 11" xfId="273" xr:uid="{00000000-0005-0000-0000-00000B010000}"/>
    <cellStyle name="標準 11 2" xfId="314" xr:uid="{00000000-0005-0000-0000-00000C010000}"/>
    <cellStyle name="標準 11 3" xfId="306" xr:uid="{00000000-0005-0000-0000-00000D010000}"/>
    <cellStyle name="標準 11 4" xfId="280" xr:uid="{00000000-0005-0000-0000-00000E010000}"/>
    <cellStyle name="標準 12" xfId="274" xr:uid="{00000000-0005-0000-0000-00000F010000}"/>
    <cellStyle name="標準 12 2" xfId="315" xr:uid="{00000000-0005-0000-0000-000010010000}"/>
    <cellStyle name="標準 12 3" xfId="304" xr:uid="{00000000-0005-0000-0000-000011010000}"/>
    <cellStyle name="標準 12 4" xfId="281" xr:uid="{00000000-0005-0000-0000-000012010000}"/>
    <cellStyle name="標準 13" xfId="223" xr:uid="{00000000-0005-0000-0000-000013010000}"/>
    <cellStyle name="標準 13 2" xfId="312" xr:uid="{00000000-0005-0000-0000-000014010000}"/>
    <cellStyle name="標準 13 3" xfId="305" xr:uid="{00000000-0005-0000-0000-000015010000}"/>
    <cellStyle name="標準 13 4" xfId="278" xr:uid="{00000000-0005-0000-0000-000016010000}"/>
    <cellStyle name="標準 14" xfId="296" xr:uid="{00000000-0005-0000-0000-000017010000}"/>
    <cellStyle name="標準 14 2" xfId="282" xr:uid="{00000000-0005-0000-0000-000018010000}"/>
    <cellStyle name="標準 15" xfId="307" xr:uid="{00000000-0005-0000-0000-000019010000}"/>
    <cellStyle name="標準 16" xfId="301" xr:uid="{00000000-0005-0000-0000-00001A010000}"/>
    <cellStyle name="標準 17" xfId="308" xr:uid="{00000000-0005-0000-0000-00001B010000}"/>
    <cellStyle name="標準 18" xfId="276" xr:uid="{00000000-0005-0000-0000-00001C010000}"/>
    <cellStyle name="標準 2" xfId="171" xr:uid="{00000000-0005-0000-0000-00001D010000}"/>
    <cellStyle name="標準 2 2" xfId="294" xr:uid="{00000000-0005-0000-0000-00001E010000}"/>
    <cellStyle name="標準 3" xfId="172" xr:uid="{00000000-0005-0000-0000-00001F010000}"/>
    <cellStyle name="標準 3 2" xfId="295" xr:uid="{00000000-0005-0000-0000-000020010000}"/>
    <cellStyle name="標準 4" xfId="173" xr:uid="{00000000-0005-0000-0000-000021010000}"/>
    <cellStyle name="標準 5" xfId="174" xr:uid="{00000000-0005-0000-0000-000022010000}"/>
    <cellStyle name="標準 6" xfId="175" xr:uid="{00000000-0005-0000-0000-000023010000}"/>
    <cellStyle name="標準 7" xfId="176" xr:uid="{00000000-0005-0000-0000-000024010000}"/>
    <cellStyle name="標準 8" xfId="268" xr:uid="{00000000-0005-0000-0000-000025010000}"/>
    <cellStyle name="標準 8 2" xfId="311" xr:uid="{00000000-0005-0000-0000-000026010000}"/>
    <cellStyle name="標準 8 3" xfId="297" xr:uid="{00000000-0005-0000-0000-000027010000}"/>
    <cellStyle name="標準 8 4" xfId="277" xr:uid="{00000000-0005-0000-0000-000028010000}"/>
    <cellStyle name="標準 9" xfId="224" xr:uid="{00000000-0005-0000-0000-000029010000}"/>
    <cellStyle name="標準 9 2" xfId="309" xr:uid="{00000000-0005-0000-0000-00002A010000}"/>
    <cellStyle name="標準 9 3" xfId="283" xr:uid="{00000000-0005-0000-0000-00002B010000}"/>
    <cellStyle name="標準_02_変更来歴例" xfId="177" xr:uid="{00000000-0005-0000-0000-00002C010000}"/>
    <cellStyle name="標準_A00200 オーダー状況" xfId="178" xr:uid="{00000000-0005-0000-0000-00002D010000}"/>
    <cellStyle name="標準_LogicCommon" xfId="179" xr:uid="{00000000-0005-0000-0000-00002E010000}"/>
    <cellStyle name="標準_Srch01" xfId="180" xr:uid="{00000000-0005-0000-0000-00002F010000}"/>
    <cellStyle name="標準_Srch01_1" xfId="181" xr:uid="{00000000-0005-0000-0000-000030010000}"/>
    <cellStyle name="標準_変更来歴_1" xfId="182" xr:uid="{00000000-0005-0000-0000-000031010000}"/>
    <cellStyle name="標準2" xfId="298" xr:uid="{00000000-0005-0000-0000-000032010000}"/>
    <cellStyle name="標準２" xfId="299" xr:uid="{00000000-0005-0000-0000-000033010000}"/>
    <cellStyle name="標準2_DAIICH" xfId="300" xr:uid="{00000000-0005-0000-0000-000034010000}"/>
    <cellStyle name="未定義" xfId="183" xr:uid="{00000000-0005-0000-0000-000035010000}"/>
    <cellStyle name="良い" xfId="184" builtinId="26" customBuiltin="1"/>
    <cellStyle name="良い 2" xfId="185" xr:uid="{00000000-0005-0000-0000-000037010000}"/>
    <cellStyle name="良い 3" xfId="186" xr:uid="{00000000-0005-0000-0000-000038010000}"/>
    <cellStyle name="良い 4" xfId="187" xr:uid="{00000000-0005-0000-0000-000039010000}"/>
    <cellStyle name="良い 5" xfId="188" xr:uid="{00000000-0005-0000-0000-00003A010000}"/>
    <cellStyle name="良い 6" xfId="265" xr:uid="{00000000-0005-0000-0000-00003B010000}"/>
  </cellStyles>
  <dxfs count="0"/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114</v>
      </c>
      <c r="D2" s="7" t="s">
        <v>9</v>
      </c>
      <c r="E2" s="9" t="s">
        <v>125</v>
      </c>
      <c r="F2" s="7" t="s">
        <v>39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115</v>
      </c>
      <c r="D3" s="7" t="s">
        <v>10</v>
      </c>
      <c r="E3" s="9" t="s">
        <v>153</v>
      </c>
      <c r="F3" s="7" t="s">
        <v>40</v>
      </c>
      <c r="G3" s="9"/>
      <c r="H3" s="7"/>
      <c r="I3" s="9"/>
    </row>
    <row r="4" spans="1:12">
      <c r="A4" s="3"/>
      <c r="B4" s="7"/>
      <c r="C4" s="75"/>
      <c r="D4" s="7" t="s">
        <v>11</v>
      </c>
      <c r="E4" s="13" t="s">
        <v>126</v>
      </c>
      <c r="F4" s="7" t="s">
        <v>5</v>
      </c>
      <c r="G4" s="9" t="s">
        <v>241</v>
      </c>
      <c r="H4" s="14"/>
      <c r="I4" s="15"/>
    </row>
    <row r="5" spans="1:1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T28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7.17968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30.81640625" style="27" customWidth="1"/>
    <col min="18" max="18" width="20.453125" style="27" bestFit="1" customWidth="1"/>
    <col min="19" max="19" width="15.81640625" style="27" customWidth="1"/>
    <col min="20" max="20" width="13.90625" style="27" bestFit="1" customWidth="1"/>
    <col min="21" max="16384" width="9" style="27"/>
  </cols>
  <sheetData>
    <row r="1" spans="1:20" s="11" customFormat="1">
      <c r="A1" s="79" t="s">
        <v>177</v>
      </c>
      <c r="B1" s="79" t="s">
        <v>177</v>
      </c>
      <c r="C1" s="79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</row>
    <row r="2" spans="1:20" s="11" customFormat="1" ht="40" customHeight="1">
      <c r="A2" s="80" t="s">
        <v>177</v>
      </c>
      <c r="B2" s="81"/>
      <c r="C2" s="81"/>
      <c r="D2" s="91" t="s">
        <v>249</v>
      </c>
      <c r="E2" s="7" t="s">
        <v>12</v>
      </c>
      <c r="F2" s="82" t="str">
        <f>IF(LogicCommon!C2="","",LogicCommon!C2)</f>
        <v>MA</v>
      </c>
      <c r="G2" s="7" t="s">
        <v>9</v>
      </c>
      <c r="H2" s="82" t="str">
        <f>IF(LogicCommon!E2="","",LogicCommon!E2)</f>
        <v>MABCL0430</v>
      </c>
      <c r="I2" s="7" t="s">
        <v>178</v>
      </c>
      <c r="J2" s="9" t="s">
        <v>108</v>
      </c>
      <c r="K2" s="7" t="s">
        <v>39</v>
      </c>
      <c r="L2" s="82" t="str">
        <f>IF(LogicCommon!G2="","",LogicCommon!G2)</f>
        <v>MC</v>
      </c>
      <c r="M2" s="5" t="s">
        <v>179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</row>
    <row r="3" spans="1:20" s="11" customFormat="1">
      <c r="A3" s="83" t="s">
        <v>177</v>
      </c>
      <c r="B3" s="84"/>
      <c r="C3" s="84"/>
      <c r="D3" s="85" t="str">
        <f>IF(LogicCommon!A3="","",LogicCommon!A3)</f>
        <v/>
      </c>
      <c r="E3" s="7" t="s">
        <v>13</v>
      </c>
      <c r="F3" s="82" t="str">
        <f>IF(LogicCommon!C3="","",LogicCommon!C3)</f>
        <v>MABC</v>
      </c>
      <c r="G3" s="7" t="s">
        <v>10</v>
      </c>
      <c r="H3" s="82" t="str">
        <f>IF(LogicCommon!E3="","",LogicCommon!E3)</f>
        <v>MABCL_BpGrpReg</v>
      </c>
      <c r="I3" s="7" t="s">
        <v>180</v>
      </c>
      <c r="J3" s="9" t="s">
        <v>92</v>
      </c>
      <c r="K3" s="7" t="s">
        <v>40</v>
      </c>
      <c r="L3" s="82" t="str">
        <f>IF(LogicCommon!G3="","",LogicCommon!G3)</f>
        <v/>
      </c>
      <c r="M3" s="86" t="s">
        <v>29</v>
      </c>
      <c r="N3" s="7"/>
      <c r="O3" s="7" t="s">
        <v>181</v>
      </c>
      <c r="P3" s="9" t="s">
        <v>182</v>
      </c>
      <c r="Q3" s="4"/>
      <c r="R3" s="27"/>
      <c r="S3" s="27"/>
      <c r="T3" s="27"/>
    </row>
    <row r="4" spans="1:20" s="11" customFormat="1">
      <c r="A4" s="83" t="s">
        <v>177</v>
      </c>
      <c r="B4" s="84"/>
      <c r="C4" s="84"/>
      <c r="D4" s="4"/>
      <c r="E4" s="7" t="s">
        <v>8</v>
      </c>
      <c r="F4" s="10" t="s">
        <v>240</v>
      </c>
      <c r="G4" s="7" t="s">
        <v>11</v>
      </c>
      <c r="H4" s="82" t="str">
        <f>IF(LogicCommon!E4="","",LogicCommon!E4)</f>
        <v>取引先分類マスタ登録</v>
      </c>
      <c r="I4" s="7" t="s">
        <v>183</v>
      </c>
      <c r="J4" s="9" t="s">
        <v>161</v>
      </c>
      <c r="K4" s="7" t="s">
        <v>5</v>
      </c>
      <c r="L4" s="82" t="str">
        <f>IF(LogicCommon!G4="","",LogicCommon!G4)</f>
        <v>MA.MAUDL5010</v>
      </c>
      <c r="M4" s="87"/>
      <c r="N4" s="28"/>
      <c r="O4" s="14"/>
      <c r="P4" s="4"/>
      <c r="Q4" s="4"/>
      <c r="R4" s="27"/>
      <c r="S4" s="27"/>
      <c r="T4" s="27"/>
    </row>
    <row r="5" spans="1:20" s="11" customFormat="1">
      <c r="A5" s="88" t="s">
        <v>177</v>
      </c>
      <c r="B5" s="79"/>
      <c r="C5" s="79"/>
      <c r="D5" s="26"/>
      <c r="E5" s="7" t="s">
        <v>184</v>
      </c>
      <c r="F5" s="10"/>
      <c r="G5" s="89"/>
      <c r="H5" s="89"/>
      <c r="I5" s="89"/>
      <c r="J5" s="89"/>
      <c r="K5" s="89"/>
      <c r="L5" s="6"/>
      <c r="M5" s="5"/>
      <c r="N5" s="5"/>
      <c r="O5" s="14"/>
      <c r="P5" s="4"/>
      <c r="Q5" s="4"/>
      <c r="R5" s="27"/>
      <c r="S5" s="27"/>
      <c r="T5" s="27"/>
    </row>
    <row r="6" spans="1:20" s="11" customFormat="1">
      <c r="A6" s="83" t="s">
        <v>177</v>
      </c>
      <c r="B6" s="84"/>
      <c r="C6" s="84"/>
      <c r="D6" s="4" t="s">
        <v>6</v>
      </c>
      <c r="E6" s="16" t="s">
        <v>162</v>
      </c>
      <c r="F6" s="16"/>
      <c r="G6" s="16"/>
      <c r="H6" s="16"/>
      <c r="I6" s="16"/>
      <c r="J6" s="16"/>
      <c r="K6" s="16"/>
      <c r="L6" s="90"/>
      <c r="M6" s="19"/>
      <c r="N6" s="19"/>
      <c r="O6" s="19"/>
      <c r="P6" s="19" t="s">
        <v>176</v>
      </c>
      <c r="Q6" s="19"/>
      <c r="R6" s="29"/>
      <c r="S6" s="29"/>
      <c r="T6" s="27"/>
    </row>
    <row r="7" spans="1:20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102</v>
      </c>
      <c r="L7" s="32" t="s">
        <v>102</v>
      </c>
      <c r="M7" s="32" t="s">
        <v>102</v>
      </c>
      <c r="N7" s="32" t="s">
        <v>103</v>
      </c>
      <c r="O7" s="33" t="s">
        <v>71</v>
      </c>
      <c r="P7" s="32"/>
      <c r="Q7" s="29"/>
      <c r="R7" s="29"/>
      <c r="S7" s="29"/>
      <c r="T7" s="29"/>
    </row>
    <row r="8" spans="1:20" s="11" customFormat="1" ht="60" customHeight="1">
      <c r="A8" s="50" t="s">
        <v>17</v>
      </c>
      <c r="B8" s="94"/>
      <c r="C8" s="95"/>
      <c r="D8" s="92" t="s">
        <v>250</v>
      </c>
      <c r="E8" s="92" t="s">
        <v>251</v>
      </c>
      <c r="F8" s="90"/>
      <c r="G8" s="92" t="s">
        <v>197</v>
      </c>
      <c r="H8" s="92" t="s">
        <v>252</v>
      </c>
      <c r="I8" s="90"/>
      <c r="J8" s="3"/>
      <c r="K8" s="9" t="s">
        <v>104</v>
      </c>
      <c r="L8" s="9" t="s">
        <v>105</v>
      </c>
      <c r="M8" s="9" t="s">
        <v>106</v>
      </c>
      <c r="N8" s="9" t="s">
        <v>107</v>
      </c>
      <c r="O8" s="33" t="s">
        <v>72</v>
      </c>
      <c r="P8" s="35"/>
      <c r="Q8" s="96"/>
      <c r="R8" s="97"/>
      <c r="S8" s="98" t="s">
        <v>253</v>
      </c>
      <c r="T8" s="52"/>
    </row>
    <row r="9" spans="1:20" s="11" customFormat="1" ht="60" customHeight="1">
      <c r="A9" s="9" t="s">
        <v>17</v>
      </c>
      <c r="B9" s="38"/>
      <c r="C9" s="39"/>
      <c r="D9" s="92" t="s">
        <v>254</v>
      </c>
      <c r="E9" s="99" t="s">
        <v>255</v>
      </c>
      <c r="F9" s="92" t="s">
        <v>256</v>
      </c>
      <c r="G9" s="92" t="s">
        <v>257</v>
      </c>
      <c r="H9" s="92" t="s">
        <v>258</v>
      </c>
      <c r="I9" s="100" t="s">
        <v>259</v>
      </c>
      <c r="J9" s="92" t="s">
        <v>260</v>
      </c>
      <c r="K9" s="33"/>
      <c r="L9" s="33"/>
      <c r="M9" s="33"/>
      <c r="N9" s="33"/>
      <c r="O9" s="33"/>
      <c r="P9" s="33"/>
      <c r="Q9" s="98" t="s">
        <v>261</v>
      </c>
      <c r="R9" s="52"/>
      <c r="S9" s="98" t="s">
        <v>262</v>
      </c>
      <c r="T9" s="52"/>
    </row>
    <row r="10" spans="1:20" s="11" customFormat="1" ht="39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93" t="s">
        <v>259</v>
      </c>
      <c r="P10" s="93" t="s">
        <v>260</v>
      </c>
      <c r="Q10" s="43"/>
      <c r="R10" s="43"/>
      <c r="S10" s="44"/>
      <c r="T10" s="37"/>
    </row>
    <row r="11" spans="1:20" s="11" customFormat="1">
      <c r="A11" s="9">
        <v>10</v>
      </c>
      <c r="B11" s="38" t="s">
        <v>0</v>
      </c>
      <c r="C11" s="39"/>
      <c r="D11" s="28" t="s">
        <v>116</v>
      </c>
      <c r="E11" s="34" t="s">
        <v>68</v>
      </c>
      <c r="F11" s="45"/>
      <c r="G11" s="28" t="s">
        <v>154</v>
      </c>
      <c r="H11" s="35" t="s">
        <v>242</v>
      </c>
      <c r="I11" s="46"/>
      <c r="J11" s="47"/>
      <c r="K11" s="48"/>
      <c r="L11" s="48"/>
      <c r="M11" s="48"/>
      <c r="N11" s="48"/>
      <c r="O11" s="48"/>
      <c r="P11" s="48"/>
      <c r="Q11" s="36"/>
      <c r="R11" s="37"/>
      <c r="S11" s="77"/>
      <c r="T11" s="49"/>
    </row>
    <row r="12" spans="1:20" s="11" customFormat="1">
      <c r="A12" s="9">
        <v>10</v>
      </c>
      <c r="B12" s="9"/>
      <c r="C12" s="9"/>
      <c r="D12" s="9" t="s">
        <v>151</v>
      </c>
      <c r="E12" s="50" t="s">
        <v>150</v>
      </c>
      <c r="F12" s="50"/>
      <c r="G12" s="51" t="s">
        <v>263</v>
      </c>
      <c r="H12" s="51" t="s">
        <v>185</v>
      </c>
      <c r="I12" s="9" t="s">
        <v>186</v>
      </c>
      <c r="J12" s="9"/>
      <c r="K12" s="9"/>
      <c r="L12" s="9" t="s">
        <v>187</v>
      </c>
      <c r="M12" s="9"/>
      <c r="N12" s="9" t="s">
        <v>188</v>
      </c>
      <c r="O12" s="9"/>
      <c r="P12" s="9"/>
      <c r="Q12" s="42"/>
      <c r="R12" s="52"/>
      <c r="S12" s="150"/>
      <c r="T12" s="151"/>
    </row>
    <row r="13" spans="1:20" s="11" customFormat="1">
      <c r="A13" s="9">
        <v>10</v>
      </c>
      <c r="B13" s="9"/>
      <c r="C13" s="9"/>
      <c r="D13" s="9" t="s">
        <v>129</v>
      </c>
      <c r="E13" s="50" t="s">
        <v>132</v>
      </c>
      <c r="F13" s="50"/>
      <c r="G13" s="51" t="s">
        <v>264</v>
      </c>
      <c r="H13" s="51" t="s">
        <v>189</v>
      </c>
      <c r="I13" s="9" t="s">
        <v>186</v>
      </c>
      <c r="J13" s="9"/>
      <c r="K13" s="9"/>
      <c r="L13" s="9" t="s">
        <v>187</v>
      </c>
      <c r="M13" s="9"/>
      <c r="N13" s="9"/>
      <c r="O13" s="9"/>
      <c r="P13" s="9"/>
      <c r="Q13" s="42"/>
      <c r="R13" s="52"/>
      <c r="S13" s="150"/>
      <c r="T13" s="151"/>
    </row>
    <row r="14" spans="1:20" s="11" customFormat="1">
      <c r="A14" s="9">
        <v>10</v>
      </c>
      <c r="B14" s="9"/>
      <c r="C14" s="9"/>
      <c r="D14" s="9" t="s">
        <v>130</v>
      </c>
      <c r="E14" s="50" t="s">
        <v>133</v>
      </c>
      <c r="F14" s="50"/>
      <c r="G14" s="51" t="s">
        <v>265</v>
      </c>
      <c r="H14" s="51" t="s">
        <v>190</v>
      </c>
      <c r="I14" s="9" t="s">
        <v>186</v>
      </c>
      <c r="J14" s="9"/>
      <c r="K14" s="9"/>
      <c r="L14" s="9" t="s">
        <v>187</v>
      </c>
      <c r="M14" s="9"/>
      <c r="N14" s="9"/>
      <c r="O14" s="9"/>
      <c r="P14" s="9"/>
      <c r="Q14" s="42"/>
      <c r="R14" s="52"/>
      <c r="S14" s="150"/>
      <c r="T14" s="151"/>
    </row>
    <row r="15" spans="1:20" s="11" customFormat="1">
      <c r="A15" s="9">
        <v>10</v>
      </c>
      <c r="B15" s="9"/>
      <c r="C15" s="9"/>
      <c r="D15" s="9" t="s">
        <v>155</v>
      </c>
      <c r="E15" s="50" t="s">
        <v>156</v>
      </c>
      <c r="F15" s="50"/>
      <c r="G15" s="51" t="s">
        <v>266</v>
      </c>
      <c r="H15" s="51" t="s">
        <v>191</v>
      </c>
      <c r="I15" s="9" t="s">
        <v>186</v>
      </c>
      <c r="J15" s="9"/>
      <c r="K15" s="9"/>
      <c r="L15" s="9"/>
      <c r="M15" s="9"/>
      <c r="N15" s="9"/>
      <c r="O15" s="9"/>
      <c r="P15" s="9"/>
      <c r="Q15" s="42"/>
      <c r="R15" s="52"/>
      <c r="S15" s="150"/>
      <c r="T15" s="151"/>
    </row>
    <row r="16" spans="1:20" s="11" customFormat="1">
      <c r="A16" s="9">
        <v>10</v>
      </c>
      <c r="B16" s="9"/>
      <c r="C16" s="9"/>
      <c r="D16" s="9" t="s">
        <v>41</v>
      </c>
      <c r="E16" s="50" t="s">
        <v>43</v>
      </c>
      <c r="F16" s="50"/>
      <c r="G16" s="51" t="s">
        <v>267</v>
      </c>
      <c r="H16" s="51" t="s">
        <v>192</v>
      </c>
      <c r="I16" s="9" t="s">
        <v>186</v>
      </c>
      <c r="J16" s="9"/>
      <c r="K16" s="9"/>
      <c r="L16" s="9"/>
      <c r="M16" s="9"/>
      <c r="N16" s="9"/>
      <c r="O16" s="9"/>
      <c r="P16" s="9"/>
      <c r="Q16" s="42"/>
      <c r="R16" s="52"/>
      <c r="S16" s="150"/>
      <c r="T16" s="151"/>
    </row>
    <row r="17" spans="1:20" s="11" customFormat="1">
      <c r="A17" s="9">
        <v>10</v>
      </c>
      <c r="B17" s="9"/>
      <c r="C17" s="9"/>
      <c r="D17" s="9" t="s">
        <v>49</v>
      </c>
      <c r="E17" s="50" t="s">
        <v>50</v>
      </c>
      <c r="F17" s="50"/>
      <c r="G17" s="51" t="s">
        <v>268</v>
      </c>
      <c r="H17" s="51" t="s">
        <v>193</v>
      </c>
      <c r="I17" s="9" t="s">
        <v>186</v>
      </c>
      <c r="J17" s="9"/>
      <c r="K17" s="9"/>
      <c r="L17" s="9"/>
      <c r="M17" s="9"/>
      <c r="N17" s="9"/>
      <c r="O17" s="9"/>
      <c r="P17" s="9"/>
      <c r="Q17" s="42"/>
      <c r="R17" s="52"/>
      <c r="S17" s="150"/>
      <c r="T17" s="151"/>
    </row>
    <row r="18" spans="1:20" s="11" customFormat="1">
      <c r="A18" s="9">
        <v>10</v>
      </c>
      <c r="B18" s="9"/>
      <c r="C18" s="9"/>
      <c r="D18" s="9" t="s">
        <v>45</v>
      </c>
      <c r="E18" s="50" t="s">
        <v>47</v>
      </c>
      <c r="F18" s="50"/>
      <c r="G18" s="51" t="s">
        <v>269</v>
      </c>
      <c r="H18" s="51" t="s">
        <v>194</v>
      </c>
      <c r="I18" s="9" t="s">
        <v>186</v>
      </c>
      <c r="J18" s="9"/>
      <c r="K18" s="9"/>
      <c r="L18" s="9"/>
      <c r="M18" s="9"/>
      <c r="N18" s="9"/>
      <c r="O18" s="9"/>
      <c r="P18" s="9"/>
      <c r="Q18" s="42"/>
      <c r="R18" s="52"/>
      <c r="S18" s="150"/>
      <c r="T18" s="151"/>
    </row>
    <row r="19" spans="1:20" s="11" customFormat="1">
      <c r="A19" s="9">
        <v>10</v>
      </c>
      <c r="B19" s="9"/>
      <c r="C19" s="9"/>
      <c r="D19" s="9" t="s">
        <v>78</v>
      </c>
      <c r="E19" s="50" t="s">
        <v>51</v>
      </c>
      <c r="F19" s="50"/>
      <c r="G19" s="51" t="s">
        <v>270</v>
      </c>
      <c r="H19" s="51" t="s">
        <v>195</v>
      </c>
      <c r="I19" s="9" t="s">
        <v>186</v>
      </c>
      <c r="J19" s="9"/>
      <c r="K19" s="9"/>
      <c r="L19" s="9"/>
      <c r="M19" s="9"/>
      <c r="N19" s="9"/>
      <c r="O19" s="9"/>
      <c r="P19" s="9"/>
      <c r="Q19" s="42"/>
      <c r="R19" s="52"/>
      <c r="S19" s="150"/>
      <c r="T19" s="151"/>
    </row>
    <row r="20" spans="1:20" s="11" customFormat="1">
      <c r="A20" s="9">
        <v>10</v>
      </c>
      <c r="B20" s="9"/>
      <c r="C20" s="9"/>
      <c r="D20" s="9" t="s">
        <v>94</v>
      </c>
      <c r="E20" s="50" t="s">
        <v>95</v>
      </c>
      <c r="F20" s="50"/>
      <c r="G20" s="51" t="s">
        <v>271</v>
      </c>
      <c r="H20" s="51" t="s">
        <v>196</v>
      </c>
      <c r="I20" s="9" t="s">
        <v>186</v>
      </c>
      <c r="J20" s="9"/>
      <c r="K20" s="9"/>
      <c r="L20" s="9"/>
      <c r="M20" s="9"/>
      <c r="N20" s="9"/>
      <c r="O20" s="9"/>
      <c r="P20" s="9"/>
      <c r="Q20" s="42"/>
      <c r="R20" s="52"/>
      <c r="S20" s="150"/>
      <c r="T20" s="151"/>
    </row>
    <row r="21" spans="1:20" s="11" customFormat="1">
      <c r="A21" s="53"/>
      <c r="B21" s="54"/>
      <c r="C21" s="54"/>
      <c r="D21" s="27" t="s">
        <v>1</v>
      </c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4"/>
      <c r="R21" s="4"/>
      <c r="S21" s="6"/>
      <c r="T21" s="23"/>
    </row>
    <row r="22" spans="1:20" s="11" customFormat="1">
      <c r="A22" s="83"/>
      <c r="T22" s="55"/>
    </row>
    <row r="23" spans="1:20" s="11" customFormat="1">
      <c r="A23" s="83"/>
      <c r="T23" s="55"/>
    </row>
    <row r="24" spans="1:20" s="11" customFormat="1">
      <c r="A24" s="83"/>
      <c r="T24" s="55"/>
    </row>
    <row r="25" spans="1:20" s="11" customFormat="1">
      <c r="A25" s="83"/>
      <c r="T25" s="55"/>
    </row>
    <row r="26" spans="1:20" s="11" customFormat="1">
      <c r="A26" s="83"/>
      <c r="T26" s="55"/>
    </row>
    <row r="27" spans="1:20" s="11" customFormat="1">
      <c r="A27" s="83"/>
      <c r="T27" s="55"/>
    </row>
    <row r="28" spans="1:20" s="11" customFormat="1">
      <c r="A28" s="88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20"/>
    </row>
  </sheetData>
  <dataConsolidate/>
  <mergeCells count="9">
    <mergeCell ref="S18:T18"/>
    <mergeCell ref="S20:T20"/>
    <mergeCell ref="S19:T19"/>
    <mergeCell ref="S12:T12"/>
    <mergeCell ref="S13:T13"/>
    <mergeCell ref="S14:T14"/>
    <mergeCell ref="S16:T16"/>
    <mergeCell ref="S17:T17"/>
    <mergeCell ref="S15:T15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25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9" t="s">
        <v>177</v>
      </c>
      <c r="B1" s="79" t="s">
        <v>177</v>
      </c>
      <c r="C1" s="79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80" t="s">
        <v>177</v>
      </c>
      <c r="B2" s="81"/>
      <c r="C2" s="81"/>
      <c r="D2" s="91" t="s">
        <v>249</v>
      </c>
      <c r="E2" s="7" t="s">
        <v>12</v>
      </c>
      <c r="F2" s="82" t="str">
        <f>IF(LogicCommon!C2="","",LogicCommon!C2)</f>
        <v>MA</v>
      </c>
      <c r="G2" s="7" t="s">
        <v>9</v>
      </c>
      <c r="H2" s="82" t="str">
        <f>IF(LogicCommon!E2="","",LogicCommon!E2)</f>
        <v>MABCL0430</v>
      </c>
      <c r="I2" s="7" t="s">
        <v>178</v>
      </c>
      <c r="J2" s="9" t="s">
        <v>111</v>
      </c>
      <c r="K2" s="7" t="s">
        <v>39</v>
      </c>
      <c r="L2" s="82" t="str">
        <f>IF(LogicCommon!G2="","",LogicCommon!G2)</f>
        <v>MC</v>
      </c>
      <c r="M2" s="5" t="s">
        <v>179</v>
      </c>
      <c r="N2" s="28" t="s">
        <v>244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83" t="s">
        <v>177</v>
      </c>
      <c r="B3" s="84"/>
      <c r="C3" s="84"/>
      <c r="D3" s="85" t="str">
        <f>IF(LogicCommon!A3="","",LogicCommon!A3)</f>
        <v/>
      </c>
      <c r="E3" s="7" t="s">
        <v>13</v>
      </c>
      <c r="F3" s="82" t="str">
        <f>IF(LogicCommon!C3="","",LogicCommon!C3)</f>
        <v>MABC</v>
      </c>
      <c r="G3" s="7" t="s">
        <v>10</v>
      </c>
      <c r="H3" s="82" t="str">
        <f>IF(LogicCommon!E3="","",LogicCommon!E3)</f>
        <v>MABCL_BpGrpReg</v>
      </c>
      <c r="I3" s="7" t="s">
        <v>180</v>
      </c>
      <c r="J3" s="9" t="s">
        <v>28</v>
      </c>
      <c r="K3" s="7" t="s">
        <v>40</v>
      </c>
      <c r="L3" s="82" t="str">
        <f>IF(LogicCommon!G3="","",LogicCommon!G3)</f>
        <v/>
      </c>
      <c r="M3" s="86" t="s">
        <v>29</v>
      </c>
      <c r="N3" s="7"/>
      <c r="O3" s="7" t="s">
        <v>181</v>
      </c>
      <c r="P3" s="9" t="s">
        <v>182</v>
      </c>
      <c r="Q3" s="4"/>
      <c r="R3" s="27"/>
      <c r="S3" s="27"/>
      <c r="T3" s="27"/>
      <c r="U3" s="27"/>
      <c r="V3" s="27"/>
    </row>
    <row r="4" spans="1:22" s="11" customFormat="1">
      <c r="A4" s="83" t="s">
        <v>177</v>
      </c>
      <c r="B4" s="84"/>
      <c r="C4" s="84"/>
      <c r="D4" s="4"/>
      <c r="E4" s="7" t="s">
        <v>8</v>
      </c>
      <c r="F4" s="10" t="s">
        <v>240</v>
      </c>
      <c r="G4" s="7" t="s">
        <v>11</v>
      </c>
      <c r="H4" s="82" t="str">
        <f>IF(LogicCommon!E4="","",LogicCommon!E4)</f>
        <v>取引先分類マスタ登録</v>
      </c>
      <c r="I4" s="7" t="s">
        <v>183</v>
      </c>
      <c r="J4" s="9" t="s">
        <v>163</v>
      </c>
      <c r="K4" s="7" t="s">
        <v>5</v>
      </c>
      <c r="L4" s="82" t="str">
        <f>IF(LogicCommon!G4="","",LogicCommon!G4)</f>
        <v>MA.MAUDL5010</v>
      </c>
      <c r="M4" s="87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8" t="s">
        <v>177</v>
      </c>
      <c r="B5" s="79"/>
      <c r="C5" s="79"/>
      <c r="D5" s="26"/>
      <c r="E5" s="7" t="s">
        <v>184</v>
      </c>
      <c r="F5" s="10"/>
      <c r="G5" s="89"/>
      <c r="H5" s="89"/>
      <c r="I5" s="89"/>
      <c r="J5" s="89"/>
      <c r="K5" s="89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83" t="s">
        <v>177</v>
      </c>
      <c r="B6" s="84"/>
      <c r="C6" s="84"/>
      <c r="D6" s="4" t="s">
        <v>6</v>
      </c>
      <c r="E6" s="16" t="s">
        <v>164</v>
      </c>
      <c r="F6" s="16"/>
      <c r="G6" s="16"/>
      <c r="H6" s="16"/>
      <c r="I6" s="16"/>
      <c r="J6" s="16"/>
      <c r="K6" s="16"/>
      <c r="L6" s="90" t="s">
        <v>176</v>
      </c>
      <c r="M6" s="19"/>
      <c r="N6" s="19" t="s">
        <v>176</v>
      </c>
      <c r="O6" s="19"/>
      <c r="P6" s="19" t="s">
        <v>176</v>
      </c>
      <c r="Q6" s="19"/>
      <c r="R6" s="3" t="s">
        <v>176</v>
      </c>
      <c r="S6" s="4"/>
      <c r="T6" s="29"/>
      <c r="U6" s="29"/>
      <c r="V6" s="27"/>
    </row>
    <row r="7" spans="1:22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88</v>
      </c>
      <c r="M7" s="33" t="s">
        <v>71</v>
      </c>
      <c r="N7" s="32" t="s">
        <v>89</v>
      </c>
      <c r="O7" s="33" t="s">
        <v>71</v>
      </c>
      <c r="P7" s="9"/>
      <c r="Q7" s="33" t="s">
        <v>71</v>
      </c>
      <c r="R7" s="32"/>
      <c r="S7" s="29"/>
      <c r="T7" s="29"/>
      <c r="U7" s="29"/>
      <c r="V7" s="29"/>
    </row>
    <row r="8" spans="1:22" s="11" customFormat="1" ht="60" customHeight="1">
      <c r="A8" s="50" t="s">
        <v>17</v>
      </c>
      <c r="B8" s="94"/>
      <c r="C8" s="95"/>
      <c r="D8" s="92" t="s">
        <v>250</v>
      </c>
      <c r="E8" s="92" t="s">
        <v>251</v>
      </c>
      <c r="F8" s="90"/>
      <c r="G8" s="92" t="s">
        <v>197</v>
      </c>
      <c r="H8" s="92" t="s">
        <v>252</v>
      </c>
      <c r="I8" s="90"/>
      <c r="J8" s="3"/>
      <c r="K8" s="33" t="s">
        <v>16</v>
      </c>
      <c r="L8" s="35" t="s">
        <v>243</v>
      </c>
      <c r="M8" s="33" t="s">
        <v>72</v>
      </c>
      <c r="N8" s="35" t="s">
        <v>243</v>
      </c>
      <c r="O8" s="33" t="s">
        <v>72</v>
      </c>
      <c r="P8" s="9"/>
      <c r="Q8" s="33" t="s">
        <v>72</v>
      </c>
      <c r="R8" s="35"/>
      <c r="S8" s="96"/>
      <c r="T8" s="97"/>
      <c r="U8" s="98" t="s">
        <v>253</v>
      </c>
      <c r="V8" s="52"/>
    </row>
    <row r="9" spans="1:22" s="11" customFormat="1" ht="60" customHeight="1">
      <c r="A9" s="9" t="s">
        <v>17</v>
      </c>
      <c r="B9" s="38"/>
      <c r="C9" s="39"/>
      <c r="D9" s="92" t="s">
        <v>272</v>
      </c>
      <c r="E9" s="99" t="s">
        <v>273</v>
      </c>
      <c r="F9" s="92" t="s">
        <v>256</v>
      </c>
      <c r="G9" s="92" t="s">
        <v>257</v>
      </c>
      <c r="H9" s="92" t="s">
        <v>258</v>
      </c>
      <c r="I9" s="100" t="s">
        <v>259</v>
      </c>
      <c r="J9" s="92" t="s">
        <v>260</v>
      </c>
      <c r="K9" s="33"/>
      <c r="L9" s="33"/>
      <c r="M9" s="33"/>
      <c r="N9" s="33"/>
      <c r="O9" s="33"/>
      <c r="P9" s="33"/>
      <c r="Q9" s="33"/>
      <c r="R9" s="33"/>
      <c r="S9" s="98" t="s">
        <v>261</v>
      </c>
      <c r="T9" s="52"/>
      <c r="U9" s="98" t="s">
        <v>262</v>
      </c>
      <c r="V9" s="52"/>
    </row>
    <row r="10" spans="1:22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93" t="s">
        <v>259</v>
      </c>
      <c r="L10" s="93" t="s">
        <v>260</v>
      </c>
      <c r="M10" s="93" t="s">
        <v>259</v>
      </c>
      <c r="N10" s="93" t="s">
        <v>260</v>
      </c>
      <c r="O10" s="93" t="s">
        <v>259</v>
      </c>
      <c r="P10" s="93" t="s">
        <v>260</v>
      </c>
      <c r="Q10" s="93" t="s">
        <v>259</v>
      </c>
      <c r="R10" s="93" t="s">
        <v>260</v>
      </c>
      <c r="S10" s="43"/>
      <c r="T10" s="43"/>
      <c r="U10" s="44"/>
      <c r="V10" s="37"/>
    </row>
    <row r="11" spans="1:22" s="11" customFormat="1">
      <c r="A11" s="9">
        <v>10</v>
      </c>
      <c r="B11" s="38" t="s">
        <v>0</v>
      </c>
      <c r="C11" s="39"/>
      <c r="D11" s="28" t="s">
        <v>117</v>
      </c>
      <c r="E11" s="34" t="s">
        <v>21</v>
      </c>
      <c r="F11" s="45"/>
      <c r="G11" s="28" t="s">
        <v>90</v>
      </c>
      <c r="H11" s="56" t="s">
        <v>198</v>
      </c>
      <c r="I11" s="46"/>
      <c r="J11" s="47"/>
      <c r="K11" s="48" t="s">
        <v>21</v>
      </c>
      <c r="L11" s="48"/>
      <c r="M11" s="48" t="s">
        <v>199</v>
      </c>
      <c r="N11" s="48"/>
      <c r="O11" s="34"/>
      <c r="P11" s="48"/>
      <c r="Q11" s="48"/>
      <c r="R11" s="48"/>
      <c r="S11" s="36"/>
      <c r="T11" s="37"/>
      <c r="U11" s="77"/>
      <c r="V11" s="49"/>
    </row>
    <row r="12" spans="1:22" s="11" customFormat="1">
      <c r="A12" s="9">
        <v>10</v>
      </c>
      <c r="B12" s="9"/>
      <c r="C12" s="9"/>
      <c r="D12" s="9" t="s">
        <v>127</v>
      </c>
      <c r="E12" s="50" t="s">
        <v>131</v>
      </c>
      <c r="F12" s="50"/>
      <c r="G12" s="51" t="s">
        <v>263</v>
      </c>
      <c r="H12" s="51" t="s">
        <v>185</v>
      </c>
      <c r="I12" s="9" t="s">
        <v>186</v>
      </c>
      <c r="J12" s="9"/>
      <c r="K12" s="9" t="s">
        <v>186</v>
      </c>
      <c r="L12" s="9"/>
      <c r="M12" s="9" t="s">
        <v>187</v>
      </c>
      <c r="N12" s="9"/>
      <c r="O12" s="9"/>
      <c r="P12" s="9"/>
      <c r="Q12" s="9"/>
      <c r="R12" s="9"/>
      <c r="S12" s="42"/>
      <c r="T12" s="52"/>
      <c r="U12" s="150"/>
      <c r="V12" s="151"/>
    </row>
    <row r="13" spans="1:22" s="11" customFormat="1">
      <c r="A13" s="9">
        <v>10</v>
      </c>
      <c r="B13" s="9"/>
      <c r="C13" s="9"/>
      <c r="D13" s="9" t="s">
        <v>129</v>
      </c>
      <c r="E13" s="50" t="s">
        <v>132</v>
      </c>
      <c r="F13" s="50"/>
      <c r="G13" s="51" t="s">
        <v>264</v>
      </c>
      <c r="H13" s="51" t="s">
        <v>189</v>
      </c>
      <c r="I13" s="9" t="s">
        <v>186</v>
      </c>
      <c r="J13" s="9"/>
      <c r="K13" s="9" t="s">
        <v>186</v>
      </c>
      <c r="L13" s="9"/>
      <c r="M13" s="9" t="s">
        <v>187</v>
      </c>
      <c r="N13" s="9"/>
      <c r="O13" s="9"/>
      <c r="P13" s="9"/>
      <c r="Q13" s="9"/>
      <c r="R13" s="9"/>
      <c r="S13" s="42"/>
      <c r="T13" s="52"/>
      <c r="U13" s="150"/>
      <c r="V13" s="151"/>
    </row>
    <row r="14" spans="1:22" s="11" customFormat="1">
      <c r="A14" s="9">
        <v>10</v>
      </c>
      <c r="B14" s="9"/>
      <c r="C14" s="9"/>
      <c r="D14" s="9" t="s">
        <v>130</v>
      </c>
      <c r="E14" s="50" t="s">
        <v>133</v>
      </c>
      <c r="F14" s="50"/>
      <c r="G14" s="51" t="s">
        <v>265</v>
      </c>
      <c r="H14" s="51" t="s">
        <v>190</v>
      </c>
      <c r="I14" s="9" t="s">
        <v>186</v>
      </c>
      <c r="J14" s="9"/>
      <c r="K14" s="9" t="s">
        <v>186</v>
      </c>
      <c r="L14" s="9"/>
      <c r="M14" s="9" t="s">
        <v>187</v>
      </c>
      <c r="N14" s="9"/>
      <c r="O14" s="9"/>
      <c r="P14" s="9"/>
      <c r="Q14" s="9"/>
      <c r="R14" s="9"/>
      <c r="S14" s="42"/>
      <c r="T14" s="52"/>
      <c r="U14" s="150"/>
      <c r="V14" s="151"/>
    </row>
    <row r="15" spans="1:22" s="11" customFormat="1">
      <c r="A15" s="9">
        <v>10</v>
      </c>
      <c r="B15" s="9"/>
      <c r="C15" s="9"/>
      <c r="D15" s="9" t="s">
        <v>155</v>
      </c>
      <c r="E15" s="50" t="s">
        <v>156</v>
      </c>
      <c r="F15" s="50"/>
      <c r="G15" s="51" t="s">
        <v>266</v>
      </c>
      <c r="H15" s="51" t="s">
        <v>191</v>
      </c>
      <c r="I15" s="9" t="s">
        <v>186</v>
      </c>
      <c r="J15" s="9"/>
      <c r="K15" s="9" t="s">
        <v>186</v>
      </c>
      <c r="L15" s="9"/>
      <c r="M15" s="9"/>
      <c r="N15" s="9"/>
      <c r="O15" s="9"/>
      <c r="P15" s="9"/>
      <c r="Q15" s="9"/>
      <c r="R15" s="9"/>
      <c r="S15" s="42"/>
      <c r="T15" s="52"/>
      <c r="U15" s="150"/>
      <c r="V15" s="151"/>
    </row>
    <row r="16" spans="1:22" s="11" customFormat="1">
      <c r="A16" s="9">
        <v>10</v>
      </c>
      <c r="B16" s="9"/>
      <c r="C16" s="9"/>
      <c r="D16" s="9" t="s">
        <v>41</v>
      </c>
      <c r="E16" s="50" t="s">
        <v>43</v>
      </c>
      <c r="F16" s="50"/>
      <c r="G16" s="51" t="s">
        <v>267</v>
      </c>
      <c r="H16" s="51" t="s">
        <v>192</v>
      </c>
      <c r="I16" s="9" t="s">
        <v>186</v>
      </c>
      <c r="J16" s="9"/>
      <c r="K16" s="9" t="s">
        <v>186</v>
      </c>
      <c r="L16" s="9"/>
      <c r="M16" s="9"/>
      <c r="N16" s="9"/>
      <c r="O16" s="9"/>
      <c r="P16" s="9"/>
      <c r="Q16" s="9"/>
      <c r="R16" s="9"/>
      <c r="S16" s="42"/>
      <c r="T16" s="52"/>
      <c r="U16" s="150"/>
      <c r="V16" s="151"/>
    </row>
    <row r="17" spans="1:22" s="11" customFormat="1">
      <c r="A17" s="9">
        <v>10</v>
      </c>
      <c r="B17" s="9"/>
      <c r="C17" s="9"/>
      <c r="D17" s="9" t="s">
        <v>49</v>
      </c>
      <c r="E17" s="50" t="s">
        <v>50</v>
      </c>
      <c r="F17" s="50"/>
      <c r="G17" s="51" t="s">
        <v>268</v>
      </c>
      <c r="H17" s="51" t="s">
        <v>193</v>
      </c>
      <c r="I17" s="9" t="s">
        <v>186</v>
      </c>
      <c r="J17" s="9"/>
      <c r="K17" s="9" t="s">
        <v>186</v>
      </c>
      <c r="L17" s="9"/>
      <c r="M17" s="9"/>
      <c r="N17" s="9"/>
      <c r="O17" s="9"/>
      <c r="P17" s="9"/>
      <c r="Q17" s="9"/>
      <c r="R17" s="9"/>
      <c r="S17" s="42"/>
      <c r="T17" s="52"/>
      <c r="U17" s="150"/>
      <c r="V17" s="151"/>
    </row>
    <row r="18" spans="1:22" s="11" customFormat="1">
      <c r="A18" s="9">
        <v>10</v>
      </c>
      <c r="B18" s="9"/>
      <c r="C18" s="9"/>
      <c r="D18" s="9" t="s">
        <v>45</v>
      </c>
      <c r="E18" s="50" t="s">
        <v>47</v>
      </c>
      <c r="F18" s="50"/>
      <c r="G18" s="51" t="s">
        <v>269</v>
      </c>
      <c r="H18" s="51" t="s">
        <v>194</v>
      </c>
      <c r="I18" s="9" t="s">
        <v>186</v>
      </c>
      <c r="J18" s="9"/>
      <c r="K18" s="9" t="s">
        <v>186</v>
      </c>
      <c r="L18" s="9"/>
      <c r="M18" s="9"/>
      <c r="N18" s="9"/>
      <c r="O18" s="9"/>
      <c r="P18" s="9"/>
      <c r="Q18" s="9"/>
      <c r="R18" s="9"/>
      <c r="S18" s="42"/>
      <c r="T18" s="52"/>
      <c r="U18" s="150"/>
      <c r="V18" s="151"/>
    </row>
    <row r="19" spans="1:22" s="11" customFormat="1">
      <c r="A19" s="9">
        <v>10</v>
      </c>
      <c r="B19" s="9"/>
      <c r="C19" s="9"/>
      <c r="D19" s="9" t="s">
        <v>78</v>
      </c>
      <c r="E19" s="50" t="s">
        <v>51</v>
      </c>
      <c r="F19" s="50"/>
      <c r="G19" s="51" t="s">
        <v>270</v>
      </c>
      <c r="H19" s="51" t="s">
        <v>195</v>
      </c>
      <c r="I19" s="9" t="s">
        <v>186</v>
      </c>
      <c r="J19" s="9"/>
      <c r="K19" s="9" t="s">
        <v>186</v>
      </c>
      <c r="L19" s="9"/>
      <c r="M19" s="9"/>
      <c r="N19" s="9"/>
      <c r="O19" s="9"/>
      <c r="P19" s="9"/>
      <c r="Q19" s="9"/>
      <c r="R19" s="9"/>
      <c r="S19" s="42"/>
      <c r="T19" s="52"/>
      <c r="U19" s="150"/>
      <c r="V19" s="151"/>
    </row>
    <row r="20" spans="1:22" s="11" customFormat="1">
      <c r="A20" s="9">
        <v>10</v>
      </c>
      <c r="B20" s="9"/>
      <c r="C20" s="9"/>
      <c r="D20" s="9" t="s">
        <v>83</v>
      </c>
      <c r="E20" s="50" t="s">
        <v>84</v>
      </c>
      <c r="F20" s="50"/>
      <c r="G20" s="51" t="s">
        <v>271</v>
      </c>
      <c r="H20" s="51" t="s">
        <v>200</v>
      </c>
      <c r="I20" s="9" t="s">
        <v>186</v>
      </c>
      <c r="J20" s="9"/>
      <c r="K20" s="9" t="s">
        <v>186</v>
      </c>
      <c r="L20" s="9"/>
      <c r="M20" s="9"/>
      <c r="N20" s="9"/>
      <c r="O20" s="9"/>
      <c r="P20" s="9"/>
      <c r="Q20" s="9"/>
      <c r="R20" s="9"/>
      <c r="S20" s="42"/>
      <c r="T20" s="52"/>
      <c r="U20" s="150"/>
      <c r="V20" s="151"/>
    </row>
    <row r="21" spans="1:22" s="11" customFormat="1">
      <c r="A21" s="53"/>
      <c r="B21" s="54"/>
      <c r="C21" s="54"/>
      <c r="D21" s="27" t="s">
        <v>1</v>
      </c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4"/>
      <c r="T21" s="4"/>
      <c r="U21" s="6"/>
      <c r="V21" s="23"/>
    </row>
    <row r="22" spans="1:22" s="11" customFormat="1">
      <c r="A22" s="83"/>
      <c r="V22" s="55"/>
    </row>
    <row r="23" spans="1:22" s="11" customFormat="1">
      <c r="A23" s="83"/>
      <c r="V23" s="55"/>
    </row>
    <row r="24" spans="1:22" s="11" customFormat="1">
      <c r="A24" s="83"/>
      <c r="V24" s="55"/>
    </row>
    <row r="25" spans="1:22" s="11" customFormat="1">
      <c r="A25" s="88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20"/>
    </row>
  </sheetData>
  <dataConsolidate/>
  <mergeCells count="9">
    <mergeCell ref="U19:V19"/>
    <mergeCell ref="U20:V20"/>
    <mergeCell ref="U16:V16"/>
    <mergeCell ref="U12:V12"/>
    <mergeCell ref="U13:V13"/>
    <mergeCell ref="U14:V14"/>
    <mergeCell ref="U17:V17"/>
    <mergeCell ref="U18:V18"/>
    <mergeCell ref="U15:V15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>
    <pageSetUpPr fitToPage="1"/>
  </sheetPr>
  <dimension ref="A1:Q28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51.089843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>
      <c r="A1" s="79" t="s">
        <v>177</v>
      </c>
      <c r="B1" s="79" t="s">
        <v>177</v>
      </c>
      <c r="C1" s="79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>
      <c r="A2" s="80" t="s">
        <v>177</v>
      </c>
      <c r="B2" s="81"/>
      <c r="C2" s="81"/>
      <c r="D2" s="91" t="s">
        <v>249</v>
      </c>
      <c r="E2" s="7" t="s">
        <v>12</v>
      </c>
      <c r="F2" s="82" t="str">
        <f>IF(LogicCommon!C2="","",LogicCommon!C2)</f>
        <v>MA</v>
      </c>
      <c r="G2" s="7" t="s">
        <v>9</v>
      </c>
      <c r="H2" s="82" t="str">
        <f>IF(LogicCommon!E2="","",LogicCommon!E2)</f>
        <v>MABCL0430</v>
      </c>
      <c r="I2" s="7" t="s">
        <v>178</v>
      </c>
      <c r="J2" s="9" t="s">
        <v>109</v>
      </c>
      <c r="K2" s="7" t="s">
        <v>39</v>
      </c>
      <c r="L2" s="82" t="str">
        <f>IF(LogicCommon!G2="","",LogicCommon!G2)</f>
        <v>MC</v>
      </c>
      <c r="M2" s="5" t="s">
        <v>179</v>
      </c>
      <c r="N2" s="28" t="str">
        <f>L4 &amp; ".Checker"</f>
        <v>MA.MAUDL5010.Checker</v>
      </c>
      <c r="O2" s="7"/>
      <c r="P2" s="7"/>
      <c r="Q2" s="4"/>
    </row>
    <row r="3" spans="1:17" s="11" customFormat="1">
      <c r="A3" s="83" t="s">
        <v>177</v>
      </c>
      <c r="B3" s="84"/>
      <c r="C3" s="84"/>
      <c r="D3" s="85" t="str">
        <f>IF(LogicCommon!A3="","",LogicCommon!A3)</f>
        <v/>
      </c>
      <c r="E3" s="7" t="s">
        <v>13</v>
      </c>
      <c r="F3" s="82" t="str">
        <f>IF(LogicCommon!C3="","",LogicCommon!C3)</f>
        <v>MABC</v>
      </c>
      <c r="G3" s="7" t="s">
        <v>10</v>
      </c>
      <c r="H3" s="82" t="str">
        <f>IF(LogicCommon!E3="","",LogicCommon!E3)</f>
        <v>MABCL_BpGrpReg</v>
      </c>
      <c r="I3" s="7" t="s">
        <v>180</v>
      </c>
      <c r="J3" s="9" t="s">
        <v>92</v>
      </c>
      <c r="K3" s="7" t="s">
        <v>40</v>
      </c>
      <c r="L3" s="82" t="str">
        <f>IF(LogicCommon!G3="","",LogicCommon!G3)</f>
        <v/>
      </c>
      <c r="M3" s="86" t="s">
        <v>29</v>
      </c>
      <c r="N3" s="7"/>
      <c r="O3" s="7" t="s">
        <v>181</v>
      </c>
      <c r="P3" s="9" t="s">
        <v>182</v>
      </c>
      <c r="Q3" s="4"/>
    </row>
    <row r="4" spans="1:17" s="11" customFormat="1">
      <c r="A4" s="83" t="s">
        <v>177</v>
      </c>
      <c r="B4" s="84"/>
      <c r="C4" s="84"/>
      <c r="D4" s="4"/>
      <c r="E4" s="7" t="s">
        <v>8</v>
      </c>
      <c r="F4" s="10" t="s">
        <v>240</v>
      </c>
      <c r="G4" s="7" t="s">
        <v>11</v>
      </c>
      <c r="H4" s="82" t="str">
        <f>IF(LogicCommon!E4="","",LogicCommon!E4)</f>
        <v>取引先分類マスタ登録</v>
      </c>
      <c r="I4" s="7" t="s">
        <v>183</v>
      </c>
      <c r="J4" s="9" t="s">
        <v>165</v>
      </c>
      <c r="K4" s="7" t="s">
        <v>5</v>
      </c>
      <c r="L4" s="82" t="str">
        <f>IF(LogicCommon!G4="","",LogicCommon!G4)</f>
        <v>MA.MAUDL5010</v>
      </c>
      <c r="M4" s="87"/>
      <c r="N4" s="28"/>
      <c r="O4" s="14"/>
      <c r="P4" s="4"/>
      <c r="Q4" s="4"/>
    </row>
    <row r="5" spans="1:17" s="11" customFormat="1">
      <c r="A5" s="88" t="s">
        <v>177</v>
      </c>
      <c r="B5" s="79"/>
      <c r="C5" s="79"/>
      <c r="D5" s="26"/>
      <c r="E5" s="7" t="s">
        <v>184</v>
      </c>
      <c r="F5" s="10"/>
      <c r="G5" s="89"/>
      <c r="H5" s="89"/>
      <c r="I5" s="89"/>
      <c r="J5" s="89"/>
      <c r="K5" s="89"/>
      <c r="L5" s="6"/>
      <c r="M5" s="5"/>
      <c r="N5" s="5"/>
      <c r="O5" s="14"/>
      <c r="P5" s="4"/>
      <c r="Q5" s="4"/>
    </row>
    <row r="6" spans="1:17" s="11" customFormat="1">
      <c r="A6" s="83" t="s">
        <v>177</v>
      </c>
      <c r="B6" s="84"/>
      <c r="C6" s="84"/>
      <c r="D6" s="4" t="s">
        <v>6</v>
      </c>
      <c r="E6" s="16" t="s">
        <v>166</v>
      </c>
      <c r="F6" s="16"/>
      <c r="G6" s="16"/>
      <c r="H6" s="16"/>
      <c r="I6" s="16"/>
      <c r="J6" s="16"/>
      <c r="K6" s="16"/>
      <c r="L6" s="90"/>
      <c r="M6" s="19" t="s">
        <v>176</v>
      </c>
      <c r="N6" s="19"/>
      <c r="O6" s="19"/>
      <c r="P6" s="19"/>
      <c r="Q6" s="19"/>
    </row>
    <row r="7" spans="1:17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102</v>
      </c>
      <c r="L7" s="33" t="s">
        <v>71</v>
      </c>
      <c r="M7" s="32" t="s">
        <v>93</v>
      </c>
      <c r="N7" s="29"/>
      <c r="O7" s="29"/>
      <c r="P7" s="29"/>
      <c r="Q7" s="29"/>
    </row>
    <row r="8" spans="1:17" s="11" customFormat="1" ht="60" customHeight="1">
      <c r="A8" s="50" t="s">
        <v>17</v>
      </c>
      <c r="B8" s="94"/>
      <c r="C8" s="95"/>
      <c r="D8" s="92" t="s">
        <v>250</v>
      </c>
      <c r="E8" s="92" t="s">
        <v>251</v>
      </c>
      <c r="F8" s="90"/>
      <c r="G8" s="92" t="s">
        <v>197</v>
      </c>
      <c r="H8" s="92" t="s">
        <v>252</v>
      </c>
      <c r="I8" s="90"/>
      <c r="J8" s="3"/>
      <c r="K8" s="9" t="s">
        <v>105</v>
      </c>
      <c r="L8" s="33" t="s">
        <v>72</v>
      </c>
      <c r="M8" s="35" t="s">
        <v>247</v>
      </c>
      <c r="N8" s="96"/>
      <c r="O8" s="97"/>
      <c r="P8" s="98" t="s">
        <v>253</v>
      </c>
      <c r="Q8" s="52"/>
    </row>
    <row r="9" spans="1:17" s="11" customFormat="1" ht="60" customHeight="1">
      <c r="A9" s="9" t="s">
        <v>17</v>
      </c>
      <c r="B9" s="38"/>
      <c r="C9" s="39"/>
      <c r="D9" s="92" t="s">
        <v>272</v>
      </c>
      <c r="E9" s="99" t="s">
        <v>273</v>
      </c>
      <c r="F9" s="92" t="s">
        <v>256</v>
      </c>
      <c r="G9" s="92" t="s">
        <v>257</v>
      </c>
      <c r="H9" s="92" t="s">
        <v>258</v>
      </c>
      <c r="I9" s="100" t="s">
        <v>259</v>
      </c>
      <c r="J9" s="92" t="s">
        <v>260</v>
      </c>
      <c r="K9" s="33"/>
      <c r="L9" s="33"/>
      <c r="M9" s="33"/>
      <c r="N9" s="98" t="s">
        <v>261</v>
      </c>
      <c r="O9" s="52"/>
      <c r="P9" s="98" t="s">
        <v>262</v>
      </c>
      <c r="Q9" s="52"/>
    </row>
    <row r="10" spans="1:17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93" t="s">
        <v>259</v>
      </c>
      <c r="M10" s="93" t="s">
        <v>260</v>
      </c>
      <c r="N10" s="43"/>
      <c r="O10" s="43"/>
      <c r="P10" s="44"/>
      <c r="Q10" s="37"/>
    </row>
    <row r="11" spans="1:17" s="11" customFormat="1">
      <c r="A11" s="9">
        <v>10</v>
      </c>
      <c r="B11" s="38" t="s">
        <v>0</v>
      </c>
      <c r="C11" s="39"/>
      <c r="D11" s="28" t="s">
        <v>118</v>
      </c>
      <c r="E11" s="34" t="s">
        <v>68</v>
      </c>
      <c r="F11" s="45"/>
      <c r="G11" s="28" t="s">
        <v>154</v>
      </c>
      <c r="H11" s="35" t="s">
        <v>201</v>
      </c>
      <c r="I11" s="46"/>
      <c r="J11" s="47"/>
      <c r="K11" s="48"/>
      <c r="L11" s="48" t="s">
        <v>21</v>
      </c>
      <c r="M11" s="48"/>
      <c r="N11" s="36"/>
      <c r="O11" s="37"/>
      <c r="P11" s="77"/>
      <c r="Q11" s="49"/>
    </row>
    <row r="12" spans="1:17" s="11" customFormat="1">
      <c r="A12" s="9">
        <v>10</v>
      </c>
      <c r="B12" s="9"/>
      <c r="C12" s="9"/>
      <c r="D12" s="9" t="s">
        <v>152</v>
      </c>
      <c r="E12" s="50" t="s">
        <v>131</v>
      </c>
      <c r="F12" s="50"/>
      <c r="G12" s="51" t="s">
        <v>263</v>
      </c>
      <c r="H12" s="51" t="s">
        <v>185</v>
      </c>
      <c r="I12" s="9" t="s">
        <v>186</v>
      </c>
      <c r="J12" s="9"/>
      <c r="K12" s="9" t="s">
        <v>187</v>
      </c>
      <c r="L12" s="9" t="s">
        <v>187</v>
      </c>
      <c r="M12" s="9"/>
      <c r="N12" s="42"/>
      <c r="O12" s="52"/>
      <c r="P12" s="150"/>
      <c r="Q12" s="151"/>
    </row>
    <row r="13" spans="1:17" s="11" customFormat="1">
      <c r="A13" s="9">
        <v>10</v>
      </c>
      <c r="B13" s="9"/>
      <c r="C13" s="9"/>
      <c r="D13" s="9" t="s">
        <v>129</v>
      </c>
      <c r="E13" s="50" t="s">
        <v>132</v>
      </c>
      <c r="F13" s="50"/>
      <c r="G13" s="51" t="s">
        <v>264</v>
      </c>
      <c r="H13" s="51" t="s">
        <v>189</v>
      </c>
      <c r="I13" s="9" t="s">
        <v>186</v>
      </c>
      <c r="J13" s="9"/>
      <c r="K13" s="9" t="s">
        <v>187</v>
      </c>
      <c r="L13" s="9" t="s">
        <v>187</v>
      </c>
      <c r="M13" s="9"/>
      <c r="N13" s="42"/>
      <c r="O13" s="52"/>
      <c r="P13" s="150"/>
      <c r="Q13" s="151"/>
    </row>
    <row r="14" spans="1:17" s="11" customFormat="1">
      <c r="A14" s="9">
        <v>10</v>
      </c>
      <c r="B14" s="9"/>
      <c r="C14" s="9"/>
      <c r="D14" s="9" t="s">
        <v>144</v>
      </c>
      <c r="E14" s="50" t="s">
        <v>145</v>
      </c>
      <c r="F14" s="50"/>
      <c r="G14" s="51" t="s">
        <v>274</v>
      </c>
      <c r="H14" s="51" t="s">
        <v>202</v>
      </c>
      <c r="I14" s="9" t="s">
        <v>186</v>
      </c>
      <c r="J14" s="9"/>
      <c r="K14" s="9" t="s">
        <v>187</v>
      </c>
      <c r="L14" s="9"/>
      <c r="M14" s="9"/>
      <c r="N14" s="42"/>
      <c r="O14" s="52"/>
      <c r="P14" s="77"/>
      <c r="Q14" s="78"/>
    </row>
    <row r="15" spans="1:17" s="11" customFormat="1">
      <c r="A15" s="9">
        <v>10</v>
      </c>
      <c r="B15" s="9"/>
      <c r="C15" s="9"/>
      <c r="D15" s="9" t="s">
        <v>136</v>
      </c>
      <c r="E15" s="50" t="s">
        <v>133</v>
      </c>
      <c r="F15" s="50"/>
      <c r="G15" s="51" t="s">
        <v>265</v>
      </c>
      <c r="H15" s="51" t="s">
        <v>190</v>
      </c>
      <c r="I15" s="9" t="s">
        <v>186</v>
      </c>
      <c r="J15" s="9"/>
      <c r="K15" s="9" t="s">
        <v>187</v>
      </c>
      <c r="L15" s="9"/>
      <c r="M15" s="9"/>
      <c r="N15" s="42"/>
      <c r="O15" s="52"/>
      <c r="P15" s="150"/>
      <c r="Q15" s="151"/>
    </row>
    <row r="16" spans="1:17" s="11" customFormat="1">
      <c r="A16" s="9">
        <v>10</v>
      </c>
      <c r="B16" s="9"/>
      <c r="C16" s="9"/>
      <c r="D16" s="9" t="s">
        <v>41</v>
      </c>
      <c r="E16" s="50" t="s">
        <v>43</v>
      </c>
      <c r="F16" s="50"/>
      <c r="G16" s="51" t="s">
        <v>267</v>
      </c>
      <c r="H16" s="51" t="s">
        <v>192</v>
      </c>
      <c r="I16" s="9" t="s">
        <v>186</v>
      </c>
      <c r="J16" s="9"/>
      <c r="K16" s="9"/>
      <c r="L16" s="9"/>
      <c r="M16" s="9"/>
      <c r="N16" s="42"/>
      <c r="O16" s="52"/>
      <c r="P16" s="150"/>
      <c r="Q16" s="151"/>
    </row>
    <row r="17" spans="1:17" s="11" customFormat="1">
      <c r="A17" s="9">
        <v>10</v>
      </c>
      <c r="B17" s="9"/>
      <c r="C17" s="9"/>
      <c r="D17" s="9" t="s">
        <v>49</v>
      </c>
      <c r="E17" s="50" t="s">
        <v>50</v>
      </c>
      <c r="F17" s="50"/>
      <c r="G17" s="51" t="s">
        <v>268</v>
      </c>
      <c r="H17" s="51" t="s">
        <v>193</v>
      </c>
      <c r="I17" s="9" t="s">
        <v>186</v>
      </c>
      <c r="J17" s="9"/>
      <c r="K17" s="9"/>
      <c r="L17" s="9"/>
      <c r="M17" s="9"/>
      <c r="N17" s="42"/>
      <c r="O17" s="52"/>
      <c r="P17" s="150"/>
      <c r="Q17" s="151"/>
    </row>
    <row r="18" spans="1:17" s="11" customFormat="1">
      <c r="A18" s="9">
        <v>10</v>
      </c>
      <c r="B18" s="9"/>
      <c r="C18" s="9"/>
      <c r="D18" s="9" t="s">
        <v>45</v>
      </c>
      <c r="E18" s="50" t="s">
        <v>47</v>
      </c>
      <c r="F18" s="50"/>
      <c r="G18" s="51" t="s">
        <v>269</v>
      </c>
      <c r="H18" s="51" t="s">
        <v>194</v>
      </c>
      <c r="I18" s="9" t="s">
        <v>186</v>
      </c>
      <c r="J18" s="9"/>
      <c r="K18" s="9"/>
      <c r="L18" s="9"/>
      <c r="M18" s="9"/>
      <c r="N18" s="42"/>
      <c r="O18" s="52"/>
      <c r="P18" s="150"/>
      <c r="Q18" s="151"/>
    </row>
    <row r="19" spans="1:17" s="11" customFormat="1">
      <c r="A19" s="9">
        <v>10</v>
      </c>
      <c r="B19" s="9"/>
      <c r="C19" s="9"/>
      <c r="D19" s="9" t="s">
        <v>83</v>
      </c>
      <c r="E19" s="50" t="s">
        <v>84</v>
      </c>
      <c r="F19" s="50"/>
      <c r="G19" s="51" t="s">
        <v>271</v>
      </c>
      <c r="H19" s="51" t="s">
        <v>196</v>
      </c>
      <c r="I19" s="9" t="s">
        <v>186</v>
      </c>
      <c r="J19" s="9"/>
      <c r="K19" s="9"/>
      <c r="L19" s="9"/>
      <c r="M19" s="9"/>
      <c r="N19" s="42"/>
      <c r="O19" s="52"/>
      <c r="P19" s="150"/>
      <c r="Q19" s="151"/>
    </row>
    <row r="20" spans="1:17" s="11" customFormat="1">
      <c r="A20" s="53"/>
      <c r="B20" s="54"/>
      <c r="C20" s="54"/>
      <c r="D20" s="27" t="s">
        <v>1</v>
      </c>
      <c r="E20" s="29"/>
      <c r="F20" s="29"/>
      <c r="G20" s="29"/>
      <c r="H20" s="29"/>
      <c r="I20" s="29"/>
      <c r="J20" s="29"/>
      <c r="K20" s="29"/>
      <c r="L20" s="29"/>
      <c r="M20" s="29"/>
      <c r="N20" s="4"/>
      <c r="O20" s="4"/>
      <c r="P20" s="6"/>
      <c r="Q20" s="23"/>
    </row>
    <row r="21" spans="1:17" s="11" customFormat="1">
      <c r="A21" s="83"/>
      <c r="Q21" s="55"/>
    </row>
    <row r="22" spans="1:17" s="11" customFormat="1">
      <c r="A22" s="83"/>
      <c r="Q22" s="55"/>
    </row>
    <row r="23" spans="1:17" s="11" customFormat="1">
      <c r="A23" s="83"/>
      <c r="Q23" s="55"/>
    </row>
    <row r="24" spans="1:17" s="11" customFormat="1">
      <c r="A24" s="83"/>
      <c r="Q24" s="55"/>
    </row>
    <row r="25" spans="1:17" s="11" customFormat="1">
      <c r="A25" s="83"/>
      <c r="Q25" s="55"/>
    </row>
    <row r="26" spans="1:17" s="11" customFormat="1">
      <c r="A26" s="83"/>
      <c r="Q26" s="55"/>
    </row>
    <row r="27" spans="1:17" s="11" customFormat="1">
      <c r="A27" s="83"/>
      <c r="Q27" s="55"/>
    </row>
    <row r="28" spans="1:17" s="11" customFormat="1">
      <c r="A28" s="88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20"/>
    </row>
  </sheetData>
  <dataConsolidate/>
  <mergeCells count="7">
    <mergeCell ref="P17:Q17"/>
    <mergeCell ref="P19:Q19"/>
    <mergeCell ref="P16:Q16"/>
    <mergeCell ref="P18:Q18"/>
    <mergeCell ref="P12:Q12"/>
    <mergeCell ref="P13:Q13"/>
    <mergeCell ref="P15:Q15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pageSetUpPr fitToPage="1"/>
  </sheetPr>
  <dimension ref="A1:V24"/>
  <sheetViews>
    <sheetView topLeftCell="C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50.453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9" t="s">
        <v>177</v>
      </c>
      <c r="B1" s="79" t="s">
        <v>177</v>
      </c>
      <c r="C1" s="79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80" t="s">
        <v>177</v>
      </c>
      <c r="B2" s="81"/>
      <c r="C2" s="81"/>
      <c r="D2" s="91" t="s">
        <v>249</v>
      </c>
      <c r="E2" s="7" t="s">
        <v>12</v>
      </c>
      <c r="F2" s="82" t="str">
        <f>IF(LogicCommon!C2="","",LogicCommon!C2)</f>
        <v>MA</v>
      </c>
      <c r="G2" s="7" t="s">
        <v>9</v>
      </c>
      <c r="H2" s="82" t="str">
        <f>IF(LogicCommon!E2="","",LogicCommon!E2)</f>
        <v>MABCL0430</v>
      </c>
      <c r="I2" s="7" t="s">
        <v>178</v>
      </c>
      <c r="J2" s="9" t="s">
        <v>112</v>
      </c>
      <c r="K2" s="7" t="s">
        <v>39</v>
      </c>
      <c r="L2" s="82" t="str">
        <f>IF(LogicCommon!G2="","",LogicCommon!G2)</f>
        <v>MC</v>
      </c>
      <c r="M2" s="5" t="s">
        <v>179</v>
      </c>
      <c r="N2" s="28" t="s">
        <v>244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83" t="s">
        <v>177</v>
      </c>
      <c r="B3" s="84"/>
      <c r="C3" s="84"/>
      <c r="D3" s="85" t="str">
        <f>IF(LogicCommon!A3="","",LogicCommon!A3)</f>
        <v/>
      </c>
      <c r="E3" s="7" t="s">
        <v>13</v>
      </c>
      <c r="F3" s="82" t="str">
        <f>IF(LogicCommon!C3="","",LogicCommon!C3)</f>
        <v>MABC</v>
      </c>
      <c r="G3" s="7" t="s">
        <v>10</v>
      </c>
      <c r="H3" s="82" t="str">
        <f>IF(LogicCommon!E3="","",LogicCommon!E3)</f>
        <v>MABCL_BpGrpReg</v>
      </c>
      <c r="I3" s="7" t="s">
        <v>180</v>
      </c>
      <c r="J3" s="9" t="s">
        <v>28</v>
      </c>
      <c r="K3" s="7" t="s">
        <v>40</v>
      </c>
      <c r="L3" s="82" t="str">
        <f>IF(LogicCommon!G3="","",LogicCommon!G3)</f>
        <v/>
      </c>
      <c r="M3" s="86" t="s">
        <v>29</v>
      </c>
      <c r="N3" s="7"/>
      <c r="O3" s="7" t="s">
        <v>181</v>
      </c>
      <c r="P3" s="9" t="s">
        <v>182</v>
      </c>
      <c r="Q3" s="4"/>
      <c r="R3" s="27"/>
      <c r="S3" s="27"/>
      <c r="T3" s="27"/>
      <c r="U3" s="27"/>
      <c r="V3" s="27"/>
    </row>
    <row r="4" spans="1:22" s="11" customFormat="1">
      <c r="A4" s="83" t="s">
        <v>177</v>
      </c>
      <c r="B4" s="84"/>
      <c r="C4" s="84"/>
      <c r="D4" s="4"/>
      <c r="E4" s="7" t="s">
        <v>8</v>
      </c>
      <c r="F4" s="10" t="s">
        <v>240</v>
      </c>
      <c r="G4" s="7" t="s">
        <v>11</v>
      </c>
      <c r="H4" s="82" t="str">
        <f>IF(LogicCommon!E4="","",LogicCommon!E4)</f>
        <v>取引先分類マスタ登録</v>
      </c>
      <c r="I4" s="7" t="s">
        <v>183</v>
      </c>
      <c r="J4" s="9" t="s">
        <v>167</v>
      </c>
      <c r="K4" s="7" t="s">
        <v>5</v>
      </c>
      <c r="L4" s="82" t="str">
        <f>IF(LogicCommon!G4="","",LogicCommon!G4)</f>
        <v>MA.MAUDL5010</v>
      </c>
      <c r="M4" s="87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8" t="s">
        <v>177</v>
      </c>
      <c r="B5" s="79"/>
      <c r="C5" s="79"/>
      <c r="D5" s="26"/>
      <c r="E5" s="7" t="s">
        <v>184</v>
      </c>
      <c r="F5" s="10"/>
      <c r="G5" s="89"/>
      <c r="H5" s="89"/>
      <c r="I5" s="89"/>
      <c r="J5" s="89"/>
      <c r="K5" s="89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83" t="s">
        <v>177</v>
      </c>
      <c r="B6" s="84"/>
      <c r="C6" s="84"/>
      <c r="D6" s="4" t="s">
        <v>6</v>
      </c>
      <c r="E6" s="16" t="s">
        <v>168</v>
      </c>
      <c r="F6" s="16"/>
      <c r="G6" s="16"/>
      <c r="H6" s="16"/>
      <c r="I6" s="16"/>
      <c r="J6" s="16"/>
      <c r="K6" s="16"/>
      <c r="L6" s="90" t="s">
        <v>176</v>
      </c>
      <c r="M6" s="19"/>
      <c r="N6" s="19" t="s">
        <v>176</v>
      </c>
      <c r="O6" s="19"/>
      <c r="P6" s="19" t="s">
        <v>176</v>
      </c>
      <c r="Q6" s="19"/>
      <c r="R6" s="3" t="s">
        <v>176</v>
      </c>
      <c r="S6" s="4"/>
      <c r="T6" s="29"/>
      <c r="U6" s="29"/>
      <c r="V6" s="27"/>
    </row>
    <row r="7" spans="1:22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88</v>
      </c>
      <c r="M7" s="33" t="s">
        <v>71</v>
      </c>
      <c r="N7" s="32" t="s">
        <v>91</v>
      </c>
      <c r="O7" s="33" t="s">
        <v>71</v>
      </c>
      <c r="P7" s="32"/>
      <c r="Q7" s="33" t="s">
        <v>71</v>
      </c>
      <c r="R7" s="32"/>
      <c r="S7" s="29"/>
      <c r="T7" s="29"/>
      <c r="U7" s="29"/>
      <c r="V7" s="29"/>
    </row>
    <row r="8" spans="1:22" s="11" customFormat="1" ht="60" customHeight="1">
      <c r="A8" s="50" t="s">
        <v>17</v>
      </c>
      <c r="B8" s="94"/>
      <c r="C8" s="95"/>
      <c r="D8" s="92" t="s">
        <v>250</v>
      </c>
      <c r="E8" s="92" t="s">
        <v>251</v>
      </c>
      <c r="F8" s="90"/>
      <c r="G8" s="92" t="s">
        <v>197</v>
      </c>
      <c r="H8" s="92" t="s">
        <v>252</v>
      </c>
      <c r="I8" s="90"/>
      <c r="J8" s="3"/>
      <c r="K8" s="33" t="s">
        <v>16</v>
      </c>
      <c r="L8" s="35" t="s">
        <v>134</v>
      </c>
      <c r="M8" s="33" t="s">
        <v>72</v>
      </c>
      <c r="N8" s="35" t="s">
        <v>134</v>
      </c>
      <c r="O8" s="33" t="s">
        <v>72</v>
      </c>
      <c r="P8" s="35"/>
      <c r="Q8" s="33" t="s">
        <v>72</v>
      </c>
      <c r="R8" s="35"/>
      <c r="S8" s="96"/>
      <c r="T8" s="97"/>
      <c r="U8" s="98" t="s">
        <v>253</v>
      </c>
      <c r="V8" s="52"/>
    </row>
    <row r="9" spans="1:22" s="11" customFormat="1" ht="60" customHeight="1">
      <c r="A9" s="9" t="s">
        <v>17</v>
      </c>
      <c r="B9" s="38"/>
      <c r="C9" s="39"/>
      <c r="D9" s="92" t="s">
        <v>272</v>
      </c>
      <c r="E9" s="99" t="s">
        <v>273</v>
      </c>
      <c r="F9" s="92" t="s">
        <v>256</v>
      </c>
      <c r="G9" s="92" t="s">
        <v>257</v>
      </c>
      <c r="H9" s="92" t="s">
        <v>258</v>
      </c>
      <c r="I9" s="100" t="s">
        <v>259</v>
      </c>
      <c r="J9" s="92" t="s">
        <v>260</v>
      </c>
      <c r="K9" s="33"/>
      <c r="L9" s="33"/>
      <c r="M9" s="33"/>
      <c r="N9" s="33"/>
      <c r="O9" s="33"/>
      <c r="P9" s="33"/>
      <c r="Q9" s="33"/>
      <c r="R9" s="33"/>
      <c r="S9" s="98" t="s">
        <v>261</v>
      </c>
      <c r="T9" s="52"/>
      <c r="U9" s="98" t="s">
        <v>262</v>
      </c>
      <c r="V9" s="52"/>
    </row>
    <row r="10" spans="1:22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93" t="s">
        <v>259</v>
      </c>
      <c r="L10" s="93" t="s">
        <v>260</v>
      </c>
      <c r="M10" s="93" t="s">
        <v>259</v>
      </c>
      <c r="N10" s="93" t="s">
        <v>260</v>
      </c>
      <c r="O10" s="93" t="s">
        <v>259</v>
      </c>
      <c r="P10" s="93" t="s">
        <v>260</v>
      </c>
      <c r="Q10" s="93" t="s">
        <v>259</v>
      </c>
      <c r="R10" s="93" t="s">
        <v>260</v>
      </c>
      <c r="S10" s="43"/>
      <c r="T10" s="43"/>
      <c r="U10" s="44"/>
      <c r="V10" s="37"/>
    </row>
    <row r="11" spans="1:22" s="11" customFormat="1">
      <c r="A11" s="9">
        <v>10</v>
      </c>
      <c r="B11" s="38" t="s">
        <v>0</v>
      </c>
      <c r="C11" s="39"/>
      <c r="D11" s="28" t="s">
        <v>119</v>
      </c>
      <c r="E11" s="34" t="s">
        <v>21</v>
      </c>
      <c r="F11" s="45"/>
      <c r="G11" s="28" t="s">
        <v>90</v>
      </c>
      <c r="H11" s="56" t="s">
        <v>203</v>
      </c>
      <c r="I11" s="46"/>
      <c r="J11" s="47"/>
      <c r="K11" s="48" t="s">
        <v>199</v>
      </c>
      <c r="L11" s="48"/>
      <c r="M11" s="48" t="s">
        <v>199</v>
      </c>
      <c r="N11" s="48"/>
      <c r="O11" s="48"/>
      <c r="P11" s="48"/>
      <c r="Q11" s="48"/>
      <c r="R11" s="48"/>
      <c r="S11" s="36"/>
      <c r="T11" s="37"/>
      <c r="U11" s="77"/>
      <c r="V11" s="49"/>
    </row>
    <row r="12" spans="1:22" s="11" customFormat="1">
      <c r="A12" s="9">
        <v>10</v>
      </c>
      <c r="B12" s="9"/>
      <c r="C12" s="9"/>
      <c r="D12" s="9" t="s">
        <v>127</v>
      </c>
      <c r="E12" s="50" t="s">
        <v>131</v>
      </c>
      <c r="F12" s="50"/>
      <c r="G12" s="51" t="s">
        <v>263</v>
      </c>
      <c r="H12" s="51" t="s">
        <v>185</v>
      </c>
      <c r="I12" s="9" t="s">
        <v>186</v>
      </c>
      <c r="J12" s="9"/>
      <c r="K12" s="9" t="s">
        <v>186</v>
      </c>
      <c r="L12" s="9"/>
      <c r="M12" s="9" t="s">
        <v>187</v>
      </c>
      <c r="N12" s="9"/>
      <c r="O12" s="9"/>
      <c r="P12" s="9"/>
      <c r="Q12" s="9"/>
      <c r="R12" s="9"/>
      <c r="S12" s="42"/>
      <c r="T12" s="52"/>
      <c r="U12" s="150"/>
      <c r="V12" s="151"/>
    </row>
    <row r="13" spans="1:22" s="11" customFormat="1">
      <c r="A13" s="9">
        <v>10</v>
      </c>
      <c r="B13" s="9"/>
      <c r="C13" s="9"/>
      <c r="D13" s="9" t="s">
        <v>129</v>
      </c>
      <c r="E13" s="50" t="s">
        <v>132</v>
      </c>
      <c r="F13" s="50"/>
      <c r="G13" s="51" t="s">
        <v>264</v>
      </c>
      <c r="H13" s="51" t="s">
        <v>189</v>
      </c>
      <c r="I13" s="9" t="s">
        <v>186</v>
      </c>
      <c r="J13" s="9"/>
      <c r="K13" s="9" t="s">
        <v>186</v>
      </c>
      <c r="L13" s="9"/>
      <c r="M13" s="9" t="s">
        <v>187</v>
      </c>
      <c r="N13" s="9"/>
      <c r="O13" s="9"/>
      <c r="P13" s="9"/>
      <c r="Q13" s="9"/>
      <c r="R13" s="9"/>
      <c r="S13" s="42"/>
      <c r="T13" s="52"/>
      <c r="U13" s="150"/>
      <c r="V13" s="151"/>
    </row>
    <row r="14" spans="1:22" s="11" customFormat="1">
      <c r="A14" s="9">
        <v>10</v>
      </c>
      <c r="B14" s="9"/>
      <c r="C14" s="9"/>
      <c r="D14" s="9" t="s">
        <v>144</v>
      </c>
      <c r="E14" s="50" t="s">
        <v>145</v>
      </c>
      <c r="F14" s="50"/>
      <c r="G14" s="51" t="s">
        <v>274</v>
      </c>
      <c r="H14" s="51" t="s">
        <v>202</v>
      </c>
      <c r="I14" s="9" t="s">
        <v>186</v>
      </c>
      <c r="J14" s="9"/>
      <c r="K14" s="9" t="s">
        <v>186</v>
      </c>
      <c r="L14" s="9"/>
      <c r="M14" s="9" t="s">
        <v>187</v>
      </c>
      <c r="N14" s="9"/>
      <c r="O14" s="9"/>
      <c r="P14" s="9"/>
      <c r="Q14" s="9"/>
      <c r="R14" s="9"/>
      <c r="S14" s="42"/>
      <c r="T14" s="37"/>
      <c r="U14" s="76"/>
      <c r="V14" s="57"/>
    </row>
    <row r="15" spans="1:22" s="11" customFormat="1">
      <c r="A15" s="9">
        <v>10</v>
      </c>
      <c r="B15" s="9"/>
      <c r="C15" s="9"/>
      <c r="D15" s="9" t="s">
        <v>136</v>
      </c>
      <c r="E15" s="50" t="s">
        <v>133</v>
      </c>
      <c r="F15" s="50"/>
      <c r="G15" s="51" t="s">
        <v>265</v>
      </c>
      <c r="H15" s="51" t="s">
        <v>190</v>
      </c>
      <c r="I15" s="9" t="s">
        <v>186</v>
      </c>
      <c r="J15" s="9"/>
      <c r="K15" s="9" t="s">
        <v>186</v>
      </c>
      <c r="L15" s="9"/>
      <c r="M15" s="9" t="s">
        <v>187</v>
      </c>
      <c r="N15" s="9"/>
      <c r="O15" s="9"/>
      <c r="P15" s="9"/>
      <c r="Q15" s="9"/>
      <c r="R15" s="9"/>
      <c r="S15" s="42"/>
      <c r="T15" s="52"/>
      <c r="U15" s="150"/>
      <c r="V15" s="151"/>
    </row>
    <row r="16" spans="1:22" s="11" customFormat="1">
      <c r="A16" s="9">
        <v>10</v>
      </c>
      <c r="B16" s="9"/>
      <c r="C16" s="9"/>
      <c r="D16" s="9" t="s">
        <v>41</v>
      </c>
      <c r="E16" s="50" t="s">
        <v>43</v>
      </c>
      <c r="F16" s="50"/>
      <c r="G16" s="51" t="s">
        <v>267</v>
      </c>
      <c r="H16" s="51" t="s">
        <v>192</v>
      </c>
      <c r="I16" s="9" t="s">
        <v>186</v>
      </c>
      <c r="J16" s="9"/>
      <c r="K16" s="9" t="s">
        <v>187</v>
      </c>
      <c r="L16" s="9"/>
      <c r="M16" s="9"/>
      <c r="N16" s="9"/>
      <c r="O16" s="9"/>
      <c r="P16" s="9"/>
      <c r="Q16" s="9"/>
      <c r="R16" s="9"/>
      <c r="S16" s="42"/>
      <c r="T16" s="52"/>
      <c r="U16" s="150"/>
      <c r="V16" s="151"/>
    </row>
    <row r="17" spans="1:22" s="11" customFormat="1">
      <c r="A17" s="9">
        <v>10</v>
      </c>
      <c r="B17" s="9"/>
      <c r="C17" s="9"/>
      <c r="D17" s="9" t="s">
        <v>49</v>
      </c>
      <c r="E17" s="50" t="s">
        <v>50</v>
      </c>
      <c r="F17" s="50"/>
      <c r="G17" s="51" t="s">
        <v>268</v>
      </c>
      <c r="H17" s="51" t="s">
        <v>193</v>
      </c>
      <c r="I17" s="9" t="s">
        <v>186</v>
      </c>
      <c r="J17" s="9"/>
      <c r="K17" s="9" t="s">
        <v>187</v>
      </c>
      <c r="L17" s="9"/>
      <c r="M17" s="9"/>
      <c r="N17" s="9"/>
      <c r="O17" s="9"/>
      <c r="P17" s="9"/>
      <c r="Q17" s="9"/>
      <c r="R17" s="9"/>
      <c r="S17" s="42"/>
      <c r="T17" s="52"/>
      <c r="U17" s="150"/>
      <c r="V17" s="151"/>
    </row>
    <row r="18" spans="1:22" s="11" customFormat="1">
      <c r="A18" s="9">
        <v>10</v>
      </c>
      <c r="B18" s="9"/>
      <c r="C18" s="9"/>
      <c r="D18" s="9" t="s">
        <v>45</v>
      </c>
      <c r="E18" s="50" t="s">
        <v>47</v>
      </c>
      <c r="F18" s="50"/>
      <c r="G18" s="51" t="s">
        <v>269</v>
      </c>
      <c r="H18" s="51" t="s">
        <v>194</v>
      </c>
      <c r="I18" s="9" t="s">
        <v>186</v>
      </c>
      <c r="J18" s="9"/>
      <c r="K18" s="9" t="s">
        <v>187</v>
      </c>
      <c r="L18" s="9"/>
      <c r="M18" s="9"/>
      <c r="N18" s="9"/>
      <c r="O18" s="9"/>
      <c r="P18" s="9"/>
      <c r="Q18" s="9"/>
      <c r="R18" s="9"/>
      <c r="S18" s="42"/>
      <c r="T18" s="52"/>
      <c r="U18" s="150"/>
      <c r="V18" s="151"/>
    </row>
    <row r="19" spans="1:22" s="11" customFormat="1">
      <c r="A19" s="9">
        <v>10</v>
      </c>
      <c r="B19" s="9"/>
      <c r="C19" s="9"/>
      <c r="D19" s="9" t="s">
        <v>83</v>
      </c>
      <c r="E19" s="50" t="s">
        <v>84</v>
      </c>
      <c r="F19" s="50"/>
      <c r="G19" s="51" t="s">
        <v>271</v>
      </c>
      <c r="H19" s="51" t="s">
        <v>200</v>
      </c>
      <c r="I19" s="9" t="s">
        <v>186</v>
      </c>
      <c r="J19" s="9"/>
      <c r="K19" s="9" t="s">
        <v>187</v>
      </c>
      <c r="L19" s="9"/>
      <c r="M19" s="9"/>
      <c r="N19" s="9"/>
      <c r="O19" s="9"/>
      <c r="P19" s="9"/>
      <c r="Q19" s="9"/>
      <c r="R19" s="9"/>
      <c r="S19" s="42"/>
      <c r="T19" s="52"/>
      <c r="U19" s="150"/>
      <c r="V19" s="151"/>
    </row>
    <row r="20" spans="1:22" s="11" customFormat="1">
      <c r="A20" s="53"/>
      <c r="B20" s="54"/>
      <c r="C20" s="54"/>
      <c r="D20" s="27" t="s">
        <v>1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4"/>
      <c r="T20" s="4"/>
      <c r="U20" s="6"/>
      <c r="V20" s="23"/>
    </row>
    <row r="21" spans="1:22" s="11" customFormat="1">
      <c r="A21" s="83"/>
      <c r="V21" s="55"/>
    </row>
    <row r="22" spans="1:22" s="11" customFormat="1">
      <c r="A22" s="83"/>
      <c r="V22" s="55"/>
    </row>
    <row r="23" spans="1:22" s="11" customFormat="1">
      <c r="A23" s="83"/>
      <c r="V23" s="55"/>
    </row>
    <row r="24" spans="1:22" s="11" customFormat="1">
      <c r="A24" s="88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20"/>
    </row>
  </sheetData>
  <dataConsolidate/>
  <mergeCells count="7">
    <mergeCell ref="U17:V17"/>
    <mergeCell ref="U18:V18"/>
    <mergeCell ref="U19:V19"/>
    <mergeCell ref="U16:V16"/>
    <mergeCell ref="U12:V12"/>
    <mergeCell ref="U13:V13"/>
    <mergeCell ref="U15:V15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>
    <pageSetUpPr fitToPage="1"/>
  </sheetPr>
  <dimension ref="A1:T28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30.81640625" style="27" customWidth="1"/>
    <col min="18" max="18" width="20.453125" style="27" bestFit="1" customWidth="1"/>
    <col min="19" max="19" width="15.81640625" style="27" customWidth="1"/>
    <col min="20" max="20" width="13.90625" style="27" bestFit="1" customWidth="1"/>
    <col min="21" max="16384" width="9" style="27"/>
  </cols>
  <sheetData>
    <row r="1" spans="1:20" s="11" customFormat="1">
      <c r="A1" s="79" t="s">
        <v>177</v>
      </c>
      <c r="B1" s="79" t="s">
        <v>177</v>
      </c>
      <c r="C1" s="79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</row>
    <row r="2" spans="1:20" s="11" customFormat="1" ht="40" customHeight="1">
      <c r="A2" s="80" t="s">
        <v>177</v>
      </c>
      <c r="B2" s="81"/>
      <c r="C2" s="81"/>
      <c r="D2" s="91" t="s">
        <v>249</v>
      </c>
      <c r="E2" s="7" t="s">
        <v>12</v>
      </c>
      <c r="F2" s="82" t="str">
        <f>IF(LogicCommon!C2="","",LogicCommon!C2)</f>
        <v>MA</v>
      </c>
      <c r="G2" s="7" t="s">
        <v>9</v>
      </c>
      <c r="H2" s="82" t="str">
        <f>IF(LogicCommon!E2="","",LogicCommon!E2)</f>
        <v>MABCL0430</v>
      </c>
      <c r="I2" s="7" t="s">
        <v>178</v>
      </c>
      <c r="J2" s="9" t="s">
        <v>110</v>
      </c>
      <c r="K2" s="7" t="s">
        <v>39</v>
      </c>
      <c r="L2" s="82" t="str">
        <f>IF(LogicCommon!G2="","",LogicCommon!G2)</f>
        <v>MC</v>
      </c>
      <c r="M2" s="5" t="s">
        <v>179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</row>
    <row r="3" spans="1:20" s="11" customFormat="1">
      <c r="A3" s="83" t="s">
        <v>177</v>
      </c>
      <c r="B3" s="84"/>
      <c r="C3" s="84"/>
      <c r="D3" s="85" t="str">
        <f>IF(LogicCommon!A3="","",LogicCommon!A3)</f>
        <v/>
      </c>
      <c r="E3" s="7" t="s">
        <v>13</v>
      </c>
      <c r="F3" s="82" t="str">
        <f>IF(LogicCommon!C3="","",LogicCommon!C3)</f>
        <v>MABC</v>
      </c>
      <c r="G3" s="7" t="s">
        <v>10</v>
      </c>
      <c r="H3" s="82" t="str">
        <f>IF(LogicCommon!E3="","",LogicCommon!E3)</f>
        <v>MABCL_BpGrpReg</v>
      </c>
      <c r="I3" s="7" t="s">
        <v>180</v>
      </c>
      <c r="J3" s="9" t="s">
        <v>92</v>
      </c>
      <c r="K3" s="7" t="s">
        <v>40</v>
      </c>
      <c r="L3" s="82" t="str">
        <f>IF(LogicCommon!G3="","",LogicCommon!G3)</f>
        <v/>
      </c>
      <c r="M3" s="86" t="s">
        <v>29</v>
      </c>
      <c r="N3" s="7"/>
      <c r="O3" s="7" t="s">
        <v>181</v>
      </c>
      <c r="P3" s="9" t="s">
        <v>182</v>
      </c>
      <c r="Q3" s="4"/>
      <c r="R3" s="27"/>
      <c r="S3" s="27"/>
      <c r="T3" s="27"/>
    </row>
    <row r="4" spans="1:20" s="11" customFormat="1">
      <c r="A4" s="83" t="s">
        <v>177</v>
      </c>
      <c r="B4" s="84"/>
      <c r="C4" s="84"/>
      <c r="D4" s="4"/>
      <c r="E4" s="7" t="s">
        <v>8</v>
      </c>
      <c r="F4" s="10" t="s">
        <v>240</v>
      </c>
      <c r="G4" s="7" t="s">
        <v>11</v>
      </c>
      <c r="H4" s="82" t="str">
        <f>IF(LogicCommon!E4="","",LogicCommon!E4)</f>
        <v>取引先分類マスタ登録</v>
      </c>
      <c r="I4" s="7" t="s">
        <v>183</v>
      </c>
      <c r="J4" s="9" t="s">
        <v>169</v>
      </c>
      <c r="K4" s="7" t="s">
        <v>5</v>
      </c>
      <c r="L4" s="82" t="str">
        <f>IF(LogicCommon!G4="","",LogicCommon!G4)</f>
        <v>MA.MAUDL5010</v>
      </c>
      <c r="M4" s="87"/>
      <c r="N4" s="28"/>
      <c r="O4" s="14"/>
      <c r="P4" s="4"/>
      <c r="Q4" s="4"/>
      <c r="R4" s="27"/>
      <c r="S4" s="27"/>
      <c r="T4" s="27"/>
    </row>
    <row r="5" spans="1:20" s="11" customFormat="1">
      <c r="A5" s="88" t="s">
        <v>177</v>
      </c>
      <c r="B5" s="79"/>
      <c r="C5" s="79"/>
      <c r="D5" s="26"/>
      <c r="E5" s="7" t="s">
        <v>184</v>
      </c>
      <c r="F5" s="10"/>
      <c r="G5" s="89"/>
      <c r="H5" s="89"/>
      <c r="I5" s="89"/>
      <c r="J5" s="89"/>
      <c r="K5" s="89"/>
      <c r="L5" s="6"/>
      <c r="M5" s="5"/>
      <c r="N5" s="5"/>
      <c r="O5" s="14"/>
      <c r="P5" s="4"/>
      <c r="Q5" s="4"/>
      <c r="R5" s="27"/>
      <c r="S5" s="27"/>
      <c r="T5" s="27"/>
    </row>
    <row r="6" spans="1:20" s="11" customFormat="1">
      <c r="A6" s="83" t="s">
        <v>177</v>
      </c>
      <c r="B6" s="84"/>
      <c r="C6" s="84"/>
      <c r="D6" s="4" t="s">
        <v>6</v>
      </c>
      <c r="E6" s="16" t="s">
        <v>170</v>
      </c>
      <c r="F6" s="16"/>
      <c r="G6" s="16"/>
      <c r="H6" s="16"/>
      <c r="I6" s="16"/>
      <c r="J6" s="16"/>
      <c r="K6" s="16"/>
      <c r="L6" s="90"/>
      <c r="M6" s="19"/>
      <c r="N6" s="19"/>
      <c r="O6" s="19"/>
      <c r="P6" s="19" t="s">
        <v>176</v>
      </c>
      <c r="Q6" s="19"/>
      <c r="R6" s="29"/>
      <c r="S6" s="29"/>
      <c r="T6" s="27"/>
    </row>
    <row r="7" spans="1:20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102</v>
      </c>
      <c r="L7" s="32" t="s">
        <v>102</v>
      </c>
      <c r="M7" s="32" t="s">
        <v>102</v>
      </c>
      <c r="N7" s="32" t="s">
        <v>103</v>
      </c>
      <c r="O7" s="33" t="s">
        <v>71</v>
      </c>
      <c r="P7" s="9"/>
      <c r="Q7" s="29"/>
      <c r="R7" s="29"/>
      <c r="S7" s="29"/>
      <c r="T7" s="29"/>
    </row>
    <row r="8" spans="1:20" s="11" customFormat="1" ht="60" customHeight="1">
      <c r="A8" s="50" t="s">
        <v>17</v>
      </c>
      <c r="B8" s="94"/>
      <c r="C8" s="95"/>
      <c r="D8" s="92" t="s">
        <v>250</v>
      </c>
      <c r="E8" s="92" t="s">
        <v>251</v>
      </c>
      <c r="F8" s="90"/>
      <c r="G8" s="92" t="s">
        <v>197</v>
      </c>
      <c r="H8" s="92" t="s">
        <v>252</v>
      </c>
      <c r="I8" s="90"/>
      <c r="J8" s="3"/>
      <c r="K8" s="9" t="s">
        <v>104</v>
      </c>
      <c r="L8" s="9" t="s">
        <v>105</v>
      </c>
      <c r="M8" s="9" t="s">
        <v>106</v>
      </c>
      <c r="N8" s="9" t="s">
        <v>107</v>
      </c>
      <c r="O8" s="33" t="s">
        <v>72</v>
      </c>
      <c r="P8" s="9"/>
      <c r="Q8" s="96"/>
      <c r="R8" s="97"/>
      <c r="S8" s="98" t="s">
        <v>253</v>
      </c>
      <c r="T8" s="52"/>
    </row>
    <row r="9" spans="1:20" s="11" customFormat="1" ht="60" customHeight="1">
      <c r="A9" s="9" t="s">
        <v>17</v>
      </c>
      <c r="B9" s="38"/>
      <c r="C9" s="39"/>
      <c r="D9" s="92" t="s">
        <v>272</v>
      </c>
      <c r="E9" s="99" t="s">
        <v>273</v>
      </c>
      <c r="F9" s="92" t="s">
        <v>256</v>
      </c>
      <c r="G9" s="92" t="s">
        <v>257</v>
      </c>
      <c r="H9" s="92" t="s">
        <v>258</v>
      </c>
      <c r="I9" s="100" t="s">
        <v>259</v>
      </c>
      <c r="J9" s="92" t="s">
        <v>260</v>
      </c>
      <c r="K9" s="33"/>
      <c r="L9" s="33"/>
      <c r="M9" s="33"/>
      <c r="N9" s="33"/>
      <c r="O9" s="33"/>
      <c r="P9" s="33"/>
      <c r="Q9" s="98" t="s">
        <v>261</v>
      </c>
      <c r="R9" s="52"/>
      <c r="S9" s="98" t="s">
        <v>262</v>
      </c>
      <c r="T9" s="52"/>
    </row>
    <row r="10" spans="1:20" s="11" customFormat="1" ht="39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93" t="s">
        <v>259</v>
      </c>
      <c r="P10" s="93" t="s">
        <v>260</v>
      </c>
      <c r="Q10" s="43"/>
      <c r="R10" s="43"/>
      <c r="S10" s="44"/>
      <c r="T10" s="37"/>
    </row>
    <row r="11" spans="1:20" s="11" customFormat="1">
      <c r="A11" s="9">
        <v>10</v>
      </c>
      <c r="B11" s="38" t="s">
        <v>0</v>
      </c>
      <c r="C11" s="39"/>
      <c r="D11" s="28" t="s">
        <v>120</v>
      </c>
      <c r="E11" s="34" t="s">
        <v>68</v>
      </c>
      <c r="F11" s="45"/>
      <c r="G11" s="28"/>
      <c r="H11" s="56"/>
      <c r="I11" s="46"/>
      <c r="J11" s="47"/>
      <c r="K11" s="48"/>
      <c r="L11" s="48"/>
      <c r="M11" s="48"/>
      <c r="N11" s="48"/>
      <c r="O11" s="34"/>
      <c r="P11" s="48"/>
      <c r="Q11" s="36"/>
      <c r="R11" s="37"/>
      <c r="S11" s="77"/>
      <c r="T11" s="49"/>
    </row>
    <row r="12" spans="1:20" s="11" customFormat="1">
      <c r="A12" s="9">
        <v>10</v>
      </c>
      <c r="B12" s="9"/>
      <c r="C12" s="9"/>
      <c r="D12" s="9" t="s">
        <v>127</v>
      </c>
      <c r="E12" s="50" t="s">
        <v>131</v>
      </c>
      <c r="F12" s="50"/>
      <c r="G12" s="51" t="s">
        <v>263</v>
      </c>
      <c r="H12" s="51" t="s">
        <v>185</v>
      </c>
      <c r="I12" s="9" t="s">
        <v>186</v>
      </c>
      <c r="J12" s="9"/>
      <c r="K12" s="9"/>
      <c r="L12" s="9" t="s">
        <v>186</v>
      </c>
      <c r="M12" s="9"/>
      <c r="N12" s="9"/>
      <c r="O12" s="9"/>
      <c r="P12" s="9"/>
      <c r="Q12" s="42"/>
      <c r="R12" s="52"/>
      <c r="S12" s="150"/>
      <c r="T12" s="151"/>
    </row>
    <row r="13" spans="1:20" s="11" customFormat="1">
      <c r="A13" s="9">
        <v>10</v>
      </c>
      <c r="B13" s="9"/>
      <c r="C13" s="9"/>
      <c r="D13" s="9" t="s">
        <v>129</v>
      </c>
      <c r="E13" s="50" t="s">
        <v>132</v>
      </c>
      <c r="F13" s="50"/>
      <c r="G13" s="51" t="s">
        <v>264</v>
      </c>
      <c r="H13" s="51" t="s">
        <v>189</v>
      </c>
      <c r="I13" s="9" t="s">
        <v>186</v>
      </c>
      <c r="J13" s="9"/>
      <c r="K13" s="9"/>
      <c r="L13" s="9" t="s">
        <v>186</v>
      </c>
      <c r="M13" s="9"/>
      <c r="N13" s="9"/>
      <c r="O13" s="9"/>
      <c r="P13" s="9"/>
      <c r="Q13" s="42"/>
      <c r="R13" s="52"/>
      <c r="S13" s="150"/>
      <c r="T13" s="151"/>
    </row>
    <row r="14" spans="1:20" s="11" customFormat="1">
      <c r="A14" s="9">
        <v>10</v>
      </c>
      <c r="B14" s="9"/>
      <c r="C14" s="9"/>
      <c r="D14" s="9" t="s">
        <v>83</v>
      </c>
      <c r="E14" s="50" t="s">
        <v>84</v>
      </c>
      <c r="F14" s="50"/>
      <c r="G14" s="51" t="s">
        <v>271</v>
      </c>
      <c r="H14" s="51" t="s">
        <v>196</v>
      </c>
      <c r="I14" s="9" t="s">
        <v>186</v>
      </c>
      <c r="J14" s="9"/>
      <c r="K14" s="9"/>
      <c r="L14" s="9"/>
      <c r="M14" s="9"/>
      <c r="N14" s="9"/>
      <c r="O14" s="9"/>
      <c r="P14" s="9"/>
      <c r="Q14" s="42"/>
      <c r="R14" s="52"/>
      <c r="S14" s="150"/>
      <c r="T14" s="151"/>
    </row>
    <row r="15" spans="1:20" s="11" customFormat="1">
      <c r="A15" s="53"/>
      <c r="B15" s="54"/>
      <c r="C15" s="54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4"/>
      <c r="R15" s="4"/>
      <c r="S15" s="6"/>
      <c r="T15" s="23"/>
    </row>
    <row r="16" spans="1:20" s="11" customFormat="1">
      <c r="A16" s="83"/>
      <c r="T16" s="55"/>
    </row>
    <row r="17" spans="1:20" s="11" customFormat="1">
      <c r="A17" s="83"/>
      <c r="T17" s="55"/>
    </row>
    <row r="18" spans="1:20" s="11" customFormat="1">
      <c r="A18" s="83"/>
      <c r="T18" s="55"/>
    </row>
    <row r="19" spans="1:20" s="11" customFormat="1">
      <c r="A19" s="83"/>
      <c r="T19" s="55"/>
    </row>
    <row r="20" spans="1:20" s="11" customFormat="1">
      <c r="A20" s="83"/>
      <c r="T20" s="55"/>
    </row>
    <row r="21" spans="1:20" s="11" customFormat="1">
      <c r="A21" s="83"/>
      <c r="T21" s="55"/>
    </row>
    <row r="22" spans="1:20" s="11" customFormat="1">
      <c r="A22" s="83"/>
      <c r="T22" s="55"/>
    </row>
    <row r="23" spans="1:20" s="11" customFormat="1">
      <c r="A23" s="83"/>
      <c r="T23" s="55"/>
    </row>
    <row r="24" spans="1:20" s="11" customFormat="1">
      <c r="A24" s="83"/>
      <c r="T24" s="55"/>
    </row>
    <row r="25" spans="1:20" s="11" customFormat="1">
      <c r="A25" s="83"/>
      <c r="T25" s="55"/>
    </row>
    <row r="26" spans="1:20" s="11" customFormat="1">
      <c r="A26" s="83"/>
      <c r="T26" s="55"/>
    </row>
    <row r="27" spans="1:20" s="11" customFormat="1">
      <c r="A27" s="83"/>
      <c r="T27" s="55"/>
    </row>
    <row r="28" spans="1:20" s="11" customFormat="1">
      <c r="A28" s="88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20"/>
    </row>
  </sheetData>
  <dataConsolidate/>
  <mergeCells count="3">
    <mergeCell ref="S14:T14"/>
    <mergeCell ref="S12:T12"/>
    <mergeCell ref="S13:T13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0">
    <pageSetUpPr fitToPage="1"/>
  </sheetPr>
  <dimension ref="A1:R22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9" t="s">
        <v>177</v>
      </c>
      <c r="B1" s="79" t="s">
        <v>177</v>
      </c>
      <c r="C1" s="79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80" t="s">
        <v>177</v>
      </c>
      <c r="B2" s="81"/>
      <c r="C2" s="81"/>
      <c r="D2" s="91" t="s">
        <v>249</v>
      </c>
      <c r="E2" s="7" t="s">
        <v>12</v>
      </c>
      <c r="F2" s="82" t="str">
        <f>IF(LogicCommon!C2="","",LogicCommon!C2)</f>
        <v>MA</v>
      </c>
      <c r="G2" s="7" t="s">
        <v>9</v>
      </c>
      <c r="H2" s="82" t="str">
        <f>IF(LogicCommon!E2="","",LogicCommon!E2)</f>
        <v>MABCL0430</v>
      </c>
      <c r="I2" s="7" t="s">
        <v>178</v>
      </c>
      <c r="J2" s="9" t="s">
        <v>113</v>
      </c>
      <c r="K2" s="7" t="s">
        <v>39</v>
      </c>
      <c r="L2" s="82" t="str">
        <f>IF(LogicCommon!G2="","",LogicCommon!G2)</f>
        <v>MC</v>
      </c>
      <c r="M2" s="5" t="s">
        <v>179</v>
      </c>
      <c r="N2" s="28" t="s">
        <v>245</v>
      </c>
      <c r="O2" s="7"/>
      <c r="P2" s="7"/>
      <c r="Q2" s="4"/>
      <c r="R2" s="27"/>
    </row>
    <row r="3" spans="1:18" s="11" customFormat="1">
      <c r="A3" s="83" t="s">
        <v>177</v>
      </c>
      <c r="B3" s="84"/>
      <c r="C3" s="84"/>
      <c r="D3" s="85" t="str">
        <f>IF(LogicCommon!A3="","",LogicCommon!A3)</f>
        <v/>
      </c>
      <c r="E3" s="7" t="s">
        <v>13</v>
      </c>
      <c r="F3" s="82" t="str">
        <f>IF(LogicCommon!C3="","",LogicCommon!C3)</f>
        <v>MABC</v>
      </c>
      <c r="G3" s="7" t="s">
        <v>10</v>
      </c>
      <c r="H3" s="82" t="str">
        <f>IF(LogicCommon!E3="","",LogicCommon!E3)</f>
        <v>MABCL_BpGrpReg</v>
      </c>
      <c r="I3" s="7" t="s">
        <v>180</v>
      </c>
      <c r="J3" s="9" t="s">
        <v>28</v>
      </c>
      <c r="K3" s="7" t="s">
        <v>40</v>
      </c>
      <c r="L3" s="82" t="str">
        <f>IF(LogicCommon!G3="","",LogicCommon!G3)</f>
        <v/>
      </c>
      <c r="M3" s="86" t="s">
        <v>29</v>
      </c>
      <c r="N3" s="7"/>
      <c r="O3" s="7" t="s">
        <v>181</v>
      </c>
      <c r="P3" s="9" t="s">
        <v>182</v>
      </c>
      <c r="Q3" s="4"/>
      <c r="R3" s="27"/>
    </row>
    <row r="4" spans="1:18" s="11" customFormat="1">
      <c r="A4" s="83" t="s">
        <v>177</v>
      </c>
      <c r="B4" s="84"/>
      <c r="C4" s="84"/>
      <c r="D4" s="4"/>
      <c r="E4" s="7" t="s">
        <v>8</v>
      </c>
      <c r="F4" s="10" t="s">
        <v>240</v>
      </c>
      <c r="G4" s="7" t="s">
        <v>11</v>
      </c>
      <c r="H4" s="82" t="str">
        <f>IF(LogicCommon!E4="","",LogicCommon!E4)</f>
        <v>取引先分類マスタ登録</v>
      </c>
      <c r="I4" s="7" t="s">
        <v>183</v>
      </c>
      <c r="J4" s="9" t="s">
        <v>171</v>
      </c>
      <c r="K4" s="7" t="s">
        <v>5</v>
      </c>
      <c r="L4" s="82" t="str">
        <f>IF(LogicCommon!G4="","",LogicCommon!G4)</f>
        <v>MA.MAUDL5010</v>
      </c>
      <c r="M4" s="87"/>
      <c r="N4" s="28"/>
      <c r="O4" s="14"/>
      <c r="P4" s="4"/>
      <c r="Q4" s="4"/>
      <c r="R4" s="27"/>
    </row>
    <row r="5" spans="1:18" s="11" customFormat="1">
      <c r="A5" s="88" t="s">
        <v>177</v>
      </c>
      <c r="B5" s="79"/>
      <c r="C5" s="79"/>
      <c r="D5" s="26"/>
      <c r="E5" s="7" t="s">
        <v>184</v>
      </c>
      <c r="F5" s="10"/>
      <c r="G5" s="89"/>
      <c r="H5" s="89"/>
      <c r="I5" s="89"/>
      <c r="J5" s="89"/>
      <c r="K5" s="89"/>
      <c r="L5" s="6"/>
      <c r="M5" s="5"/>
      <c r="N5" s="5"/>
      <c r="O5" s="14"/>
      <c r="P5" s="4"/>
      <c r="Q5" s="4"/>
      <c r="R5" s="27"/>
    </row>
    <row r="6" spans="1:18" s="11" customFormat="1">
      <c r="A6" s="83" t="s">
        <v>177</v>
      </c>
      <c r="B6" s="84"/>
      <c r="C6" s="84"/>
      <c r="D6" s="4" t="s">
        <v>6</v>
      </c>
      <c r="E6" s="16" t="s">
        <v>172</v>
      </c>
      <c r="F6" s="16"/>
      <c r="G6" s="16"/>
      <c r="H6" s="16"/>
      <c r="I6" s="16"/>
      <c r="J6" s="16"/>
      <c r="K6" s="16"/>
      <c r="L6" s="90" t="s">
        <v>176</v>
      </c>
      <c r="M6" s="19"/>
      <c r="N6" s="19" t="s">
        <v>176</v>
      </c>
      <c r="O6" s="19"/>
      <c r="P6" s="19"/>
      <c r="Q6" s="19"/>
      <c r="R6" s="27"/>
    </row>
    <row r="7" spans="1:18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73</v>
      </c>
      <c r="M7" s="33" t="s">
        <v>33</v>
      </c>
      <c r="N7" s="32" t="s">
        <v>74</v>
      </c>
      <c r="O7" s="29"/>
      <c r="P7" s="29"/>
      <c r="Q7" s="29"/>
      <c r="R7" s="29"/>
    </row>
    <row r="8" spans="1:18" s="11" customFormat="1" ht="60" customHeight="1">
      <c r="A8" s="50" t="s">
        <v>17</v>
      </c>
      <c r="B8" s="94"/>
      <c r="C8" s="95"/>
      <c r="D8" s="92" t="s">
        <v>250</v>
      </c>
      <c r="E8" s="92" t="s">
        <v>251</v>
      </c>
      <c r="F8" s="90"/>
      <c r="G8" s="92" t="s">
        <v>197</v>
      </c>
      <c r="H8" s="92" t="s">
        <v>252</v>
      </c>
      <c r="I8" s="90"/>
      <c r="J8" s="3"/>
      <c r="K8" s="33" t="s">
        <v>16</v>
      </c>
      <c r="L8" s="35" t="s">
        <v>243</v>
      </c>
      <c r="M8" s="33" t="s">
        <v>16</v>
      </c>
      <c r="N8" s="35" t="s">
        <v>134</v>
      </c>
      <c r="O8" s="96"/>
      <c r="P8" s="97"/>
      <c r="Q8" s="98" t="s">
        <v>253</v>
      </c>
      <c r="R8" s="52"/>
    </row>
    <row r="9" spans="1:18" s="11" customFormat="1" ht="60" customHeight="1">
      <c r="A9" s="9" t="s">
        <v>17</v>
      </c>
      <c r="B9" s="38"/>
      <c r="C9" s="39"/>
      <c r="D9" s="92" t="s">
        <v>254</v>
      </c>
      <c r="E9" s="99" t="s">
        <v>255</v>
      </c>
      <c r="F9" s="92" t="s">
        <v>256</v>
      </c>
      <c r="G9" s="92" t="s">
        <v>257</v>
      </c>
      <c r="H9" s="92" t="s">
        <v>258</v>
      </c>
      <c r="I9" s="100" t="s">
        <v>259</v>
      </c>
      <c r="J9" s="92" t="s">
        <v>260</v>
      </c>
      <c r="K9" s="33"/>
      <c r="L9" s="33"/>
      <c r="M9" s="33"/>
      <c r="N9" s="33"/>
      <c r="O9" s="98" t="s">
        <v>261</v>
      </c>
      <c r="P9" s="52"/>
      <c r="Q9" s="98" t="s">
        <v>262</v>
      </c>
      <c r="R9" s="52"/>
    </row>
    <row r="10" spans="1:18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93" t="s">
        <v>259</v>
      </c>
      <c r="L10" s="93" t="s">
        <v>260</v>
      </c>
      <c r="M10" s="93" t="s">
        <v>259</v>
      </c>
      <c r="N10" s="93" t="s">
        <v>260</v>
      </c>
      <c r="O10" s="43"/>
      <c r="P10" s="43"/>
      <c r="Q10" s="44"/>
      <c r="R10" s="37"/>
    </row>
    <row r="11" spans="1:18" s="11" customFormat="1">
      <c r="A11" s="9">
        <v>10</v>
      </c>
      <c r="B11" s="38" t="s">
        <v>0</v>
      </c>
      <c r="C11" s="39"/>
      <c r="D11" s="28" t="s">
        <v>121</v>
      </c>
      <c r="E11" s="34" t="s">
        <v>68</v>
      </c>
      <c r="F11" s="45"/>
      <c r="G11" s="28" t="s">
        <v>90</v>
      </c>
      <c r="H11" s="56" t="s">
        <v>204</v>
      </c>
      <c r="I11" s="46"/>
      <c r="J11" s="47"/>
      <c r="K11" s="48" t="s">
        <v>199</v>
      </c>
      <c r="L11" s="48"/>
      <c r="M11" s="48" t="s">
        <v>199</v>
      </c>
      <c r="N11" s="48"/>
      <c r="O11" s="36"/>
      <c r="P11" s="37"/>
      <c r="Q11" s="77"/>
      <c r="R11" s="49"/>
    </row>
    <row r="12" spans="1:18" s="11" customFormat="1">
      <c r="A12" s="9">
        <v>10</v>
      </c>
      <c r="B12" s="9"/>
      <c r="C12" s="9"/>
      <c r="D12" s="9" t="s">
        <v>127</v>
      </c>
      <c r="E12" s="50" t="s">
        <v>131</v>
      </c>
      <c r="F12" s="50"/>
      <c r="G12" s="51" t="s">
        <v>263</v>
      </c>
      <c r="H12" s="51" t="s">
        <v>185</v>
      </c>
      <c r="I12" s="9" t="s">
        <v>186</v>
      </c>
      <c r="J12" s="9"/>
      <c r="K12" s="9" t="s">
        <v>186</v>
      </c>
      <c r="L12" s="9"/>
      <c r="M12" s="9" t="s">
        <v>187</v>
      </c>
      <c r="N12" s="9"/>
      <c r="O12" s="42"/>
      <c r="P12" s="52"/>
      <c r="Q12" s="150"/>
      <c r="R12" s="151"/>
    </row>
    <row r="13" spans="1:18" s="11" customFormat="1">
      <c r="A13" s="9">
        <v>10</v>
      </c>
      <c r="B13" s="9"/>
      <c r="C13" s="9"/>
      <c r="D13" s="9" t="s">
        <v>129</v>
      </c>
      <c r="E13" s="50" t="s">
        <v>132</v>
      </c>
      <c r="F13" s="50"/>
      <c r="G13" s="51" t="s">
        <v>264</v>
      </c>
      <c r="H13" s="51" t="s">
        <v>189</v>
      </c>
      <c r="I13" s="9" t="s">
        <v>186</v>
      </c>
      <c r="J13" s="9"/>
      <c r="K13" s="9" t="s">
        <v>186</v>
      </c>
      <c r="L13" s="9"/>
      <c r="M13" s="9" t="s">
        <v>187</v>
      </c>
      <c r="N13" s="9"/>
      <c r="O13" s="42"/>
      <c r="P13" s="52"/>
      <c r="Q13" s="150"/>
      <c r="R13" s="151"/>
    </row>
    <row r="14" spans="1:18" s="11" customFormat="1">
      <c r="A14" s="9">
        <v>10</v>
      </c>
      <c r="B14" s="9"/>
      <c r="C14" s="9"/>
      <c r="D14" s="9" t="s">
        <v>83</v>
      </c>
      <c r="E14" s="50" t="s">
        <v>84</v>
      </c>
      <c r="F14" s="50"/>
      <c r="G14" s="51" t="s">
        <v>271</v>
      </c>
      <c r="H14" s="51" t="s">
        <v>200</v>
      </c>
      <c r="I14" s="9" t="s">
        <v>186</v>
      </c>
      <c r="J14" s="9"/>
      <c r="K14" s="9" t="s">
        <v>186</v>
      </c>
      <c r="L14" s="9"/>
      <c r="M14" s="9"/>
      <c r="N14" s="9"/>
      <c r="O14" s="44"/>
      <c r="P14" s="37"/>
      <c r="Q14" s="77"/>
      <c r="R14" s="49"/>
    </row>
    <row r="15" spans="1:18" s="11" customFormat="1">
      <c r="A15" s="53"/>
      <c r="B15" s="54"/>
      <c r="C15" s="54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4"/>
      <c r="P15" s="4"/>
      <c r="Q15" s="6"/>
      <c r="R15" s="23"/>
    </row>
    <row r="16" spans="1:18" s="11" customFormat="1">
      <c r="A16" s="83"/>
      <c r="R16" s="55"/>
    </row>
    <row r="17" spans="1:18" s="11" customFormat="1">
      <c r="A17" s="83"/>
      <c r="R17" s="55"/>
    </row>
    <row r="18" spans="1:18" s="11" customFormat="1">
      <c r="A18" s="83"/>
      <c r="R18" s="55"/>
    </row>
    <row r="19" spans="1:18" s="11" customFormat="1">
      <c r="A19" s="83"/>
      <c r="R19" s="55"/>
    </row>
    <row r="20" spans="1:18" s="11" customFormat="1">
      <c r="A20" s="83"/>
      <c r="R20" s="55"/>
    </row>
    <row r="21" spans="1:18" s="11" customFormat="1">
      <c r="A21" s="83"/>
      <c r="R21" s="55"/>
    </row>
    <row r="22" spans="1:18" s="11" customFormat="1">
      <c r="A22" s="8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20"/>
    </row>
  </sheetData>
  <dataConsolidate/>
  <mergeCells count="2">
    <mergeCell ref="Q12:R12"/>
    <mergeCell ref="Q13:R13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">
    <pageSetUpPr fitToPage="1"/>
  </sheetPr>
  <dimension ref="A1:T74"/>
  <sheetViews>
    <sheetView topLeftCell="B10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20.453125" style="29" bestFit="1" customWidth="1"/>
    <col min="16" max="16" width="30.81640625" style="29" customWidth="1"/>
    <col min="17" max="17" width="13.90625" style="29" bestFit="1" customWidth="1"/>
    <col min="18" max="18" width="15.81640625" style="29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9" s="11" customFormat="1">
      <c r="A1" s="79" t="s">
        <v>177</v>
      </c>
      <c r="B1" s="79" t="s">
        <v>177</v>
      </c>
      <c r="C1" s="79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>
      <c r="A2" s="80" t="s">
        <v>177</v>
      </c>
      <c r="B2" s="81"/>
      <c r="C2" s="81"/>
      <c r="D2" s="91" t="s">
        <v>249</v>
      </c>
      <c r="E2" s="7" t="s">
        <v>12</v>
      </c>
      <c r="F2" s="82" t="str">
        <f>IF(LogicCommon!C2="","",LogicCommon!C2)</f>
        <v>MA</v>
      </c>
      <c r="G2" s="7" t="s">
        <v>9</v>
      </c>
      <c r="H2" s="82" t="str">
        <f>IF(LogicCommon!E2="","",LogicCommon!E2)</f>
        <v>MABCL0430</v>
      </c>
      <c r="I2" s="7" t="s">
        <v>178</v>
      </c>
      <c r="J2" s="9" t="s">
        <v>122</v>
      </c>
      <c r="K2" s="7" t="s">
        <v>39</v>
      </c>
      <c r="L2" s="82" t="str">
        <f>IF(LogicCommon!G2="","",LogicCommon!G2)</f>
        <v>MC</v>
      </c>
      <c r="M2" s="5" t="s">
        <v>179</v>
      </c>
      <c r="N2" s="28" t="s">
        <v>246</v>
      </c>
      <c r="O2" s="7"/>
      <c r="P2" s="7"/>
      <c r="Q2" s="4"/>
      <c r="R2" s="4"/>
      <c r="S2" s="4"/>
    </row>
    <row r="3" spans="1:19" s="11" customFormat="1">
      <c r="A3" s="83" t="s">
        <v>177</v>
      </c>
      <c r="B3" s="84"/>
      <c r="C3" s="84"/>
      <c r="D3" s="85" t="str">
        <f>IF(LogicCommon!A3="","",LogicCommon!A3)</f>
        <v/>
      </c>
      <c r="E3" s="7" t="s">
        <v>13</v>
      </c>
      <c r="F3" s="82" t="str">
        <f>IF(LogicCommon!C3="","",LogicCommon!C3)</f>
        <v>MABC</v>
      </c>
      <c r="G3" s="7" t="s">
        <v>10</v>
      </c>
      <c r="H3" s="82" t="str">
        <f>IF(LogicCommon!E3="","",LogicCommon!E3)</f>
        <v>MABCL_BpGrpReg</v>
      </c>
      <c r="I3" s="7" t="s">
        <v>180</v>
      </c>
      <c r="J3" s="9" t="s">
        <v>28</v>
      </c>
      <c r="K3" s="7" t="s">
        <v>40</v>
      </c>
      <c r="L3" s="82" t="str">
        <f>IF(LogicCommon!G3="","",LogicCommon!G3)</f>
        <v/>
      </c>
      <c r="M3" s="86" t="s">
        <v>29</v>
      </c>
      <c r="N3" s="7"/>
      <c r="O3" s="7" t="s">
        <v>181</v>
      </c>
      <c r="P3" s="9" t="s">
        <v>182</v>
      </c>
      <c r="Q3" s="4"/>
      <c r="R3" s="4"/>
      <c r="S3" s="4"/>
    </row>
    <row r="4" spans="1:19" s="11" customFormat="1">
      <c r="A4" s="83" t="s">
        <v>177</v>
      </c>
      <c r="B4" s="84"/>
      <c r="C4" s="84"/>
      <c r="D4" s="4"/>
      <c r="E4" s="7" t="s">
        <v>8</v>
      </c>
      <c r="F4" s="10" t="s">
        <v>240</v>
      </c>
      <c r="G4" s="7" t="s">
        <v>11</v>
      </c>
      <c r="H4" s="82" t="str">
        <f>IF(LogicCommon!E4="","",LogicCommon!E4)</f>
        <v>取引先分類マスタ登録</v>
      </c>
      <c r="I4" s="7" t="s">
        <v>183</v>
      </c>
      <c r="J4" s="9" t="s">
        <v>2</v>
      </c>
      <c r="K4" s="7" t="s">
        <v>5</v>
      </c>
      <c r="L4" s="82" t="str">
        <f>IF(LogicCommon!G4="","",LogicCommon!G4)</f>
        <v>MA.MAUDL5010</v>
      </c>
      <c r="M4" s="87"/>
      <c r="N4" s="28"/>
      <c r="O4" s="14"/>
      <c r="P4" s="4"/>
      <c r="Q4" s="4"/>
      <c r="R4" s="4"/>
      <c r="S4" s="4"/>
    </row>
    <row r="5" spans="1:19" s="11" customFormat="1">
      <c r="A5" s="88" t="s">
        <v>177</v>
      </c>
      <c r="B5" s="79"/>
      <c r="C5" s="79"/>
      <c r="D5" s="26"/>
      <c r="E5" s="7" t="s">
        <v>184</v>
      </c>
      <c r="F5" s="10"/>
      <c r="G5" s="89"/>
      <c r="H5" s="89"/>
      <c r="I5" s="89"/>
      <c r="J5" s="89"/>
      <c r="K5" s="89"/>
      <c r="L5" s="6"/>
      <c r="M5" s="5"/>
      <c r="N5" s="5"/>
      <c r="O5" s="14"/>
      <c r="P5" s="4"/>
      <c r="Q5" s="4"/>
      <c r="R5" s="4"/>
      <c r="S5" s="4"/>
    </row>
    <row r="6" spans="1:19" s="11" customFormat="1">
      <c r="A6" s="83" t="s">
        <v>177</v>
      </c>
      <c r="B6" s="84"/>
      <c r="C6" s="84"/>
      <c r="D6" s="4" t="s">
        <v>6</v>
      </c>
      <c r="E6" s="16" t="s">
        <v>173</v>
      </c>
      <c r="F6" s="16"/>
      <c r="G6" s="16"/>
      <c r="H6" s="16"/>
      <c r="I6" s="16"/>
      <c r="J6" s="16"/>
      <c r="K6" s="16"/>
      <c r="L6" s="90"/>
      <c r="M6" s="19" t="s">
        <v>176</v>
      </c>
      <c r="N6" s="19"/>
      <c r="O6" s="19" t="s">
        <v>176</v>
      </c>
      <c r="P6" s="19"/>
      <c r="Q6" s="19"/>
      <c r="R6" s="4"/>
      <c r="S6" s="4"/>
    </row>
    <row r="7" spans="1:19" s="11" customFormat="1">
      <c r="A7" s="30" t="s">
        <v>31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146</v>
      </c>
      <c r="L7" s="33" t="s">
        <v>33</v>
      </c>
      <c r="M7" s="32" t="s">
        <v>34</v>
      </c>
      <c r="N7" s="33" t="s">
        <v>33</v>
      </c>
      <c r="O7" s="32" t="s">
        <v>85</v>
      </c>
      <c r="P7" s="29"/>
      <c r="Q7" s="29"/>
      <c r="R7" s="29"/>
      <c r="S7" s="29"/>
    </row>
    <row r="8" spans="1:19" s="11" customFormat="1" ht="60" customHeight="1">
      <c r="A8" s="50" t="s">
        <v>17</v>
      </c>
      <c r="B8" s="94"/>
      <c r="C8" s="95"/>
      <c r="D8" s="92" t="s">
        <v>250</v>
      </c>
      <c r="E8" s="92" t="s">
        <v>251</v>
      </c>
      <c r="F8" s="90"/>
      <c r="G8" s="92" t="s">
        <v>197</v>
      </c>
      <c r="H8" s="92" t="s">
        <v>252</v>
      </c>
      <c r="I8" s="90"/>
      <c r="J8" s="3"/>
      <c r="K8" s="35" t="s">
        <v>147</v>
      </c>
      <c r="L8" s="33" t="s">
        <v>16</v>
      </c>
      <c r="M8" s="35" t="s">
        <v>243</v>
      </c>
      <c r="N8" s="33" t="s">
        <v>16</v>
      </c>
      <c r="O8" s="35" t="s">
        <v>134</v>
      </c>
      <c r="P8" s="96"/>
      <c r="Q8" s="97"/>
      <c r="R8" s="98" t="s">
        <v>253</v>
      </c>
      <c r="S8" s="52"/>
    </row>
    <row r="9" spans="1:19" s="11" customFormat="1" ht="60" customHeight="1">
      <c r="A9" s="9" t="s">
        <v>17</v>
      </c>
      <c r="B9" s="38"/>
      <c r="C9" s="39"/>
      <c r="D9" s="92" t="s">
        <v>254</v>
      </c>
      <c r="E9" s="99" t="s">
        <v>255</v>
      </c>
      <c r="F9" s="92" t="s">
        <v>256</v>
      </c>
      <c r="G9" s="92" t="s">
        <v>257</v>
      </c>
      <c r="H9" s="92" t="s">
        <v>258</v>
      </c>
      <c r="I9" s="100" t="s">
        <v>259</v>
      </c>
      <c r="J9" s="92" t="s">
        <v>260</v>
      </c>
      <c r="K9" s="101"/>
      <c r="L9" s="33"/>
      <c r="M9" s="33"/>
      <c r="N9" s="33"/>
      <c r="O9" s="33"/>
      <c r="P9" s="98" t="s">
        <v>261</v>
      </c>
      <c r="Q9" s="52"/>
      <c r="R9" s="98" t="s">
        <v>262</v>
      </c>
      <c r="S9" s="52"/>
    </row>
    <row r="10" spans="1:19" s="11" customFormat="1" ht="39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58"/>
      <c r="L10" s="93" t="s">
        <v>259</v>
      </c>
      <c r="M10" s="93" t="s">
        <v>260</v>
      </c>
      <c r="N10" s="93" t="s">
        <v>259</v>
      </c>
      <c r="O10" s="93" t="s">
        <v>260</v>
      </c>
      <c r="P10" s="43"/>
      <c r="Q10" s="43"/>
      <c r="R10" s="44"/>
      <c r="S10" s="37"/>
    </row>
    <row r="11" spans="1:19" s="11" customFormat="1">
      <c r="A11" s="9">
        <v>10</v>
      </c>
      <c r="B11" s="38" t="s">
        <v>0</v>
      </c>
      <c r="C11" s="39"/>
      <c r="D11" s="28" t="s">
        <v>19</v>
      </c>
      <c r="E11" s="34" t="s">
        <v>20</v>
      </c>
      <c r="F11" s="45"/>
      <c r="G11" s="28"/>
      <c r="H11" s="56"/>
      <c r="I11" s="46"/>
      <c r="J11" s="47"/>
      <c r="K11" s="59"/>
      <c r="L11" s="48"/>
      <c r="M11" s="48"/>
      <c r="N11" s="48"/>
      <c r="O11" s="48"/>
      <c r="P11" s="36"/>
      <c r="Q11" s="37"/>
      <c r="R11" s="77"/>
      <c r="S11" s="49"/>
    </row>
    <row r="12" spans="1:19" s="11" customFormat="1">
      <c r="A12" s="9">
        <v>10</v>
      </c>
      <c r="B12" s="9"/>
      <c r="C12" s="9"/>
      <c r="D12" s="9" t="s">
        <v>127</v>
      </c>
      <c r="E12" s="50" t="s">
        <v>131</v>
      </c>
      <c r="F12" s="50"/>
      <c r="G12" s="51" t="s">
        <v>263</v>
      </c>
      <c r="H12" s="51" t="s">
        <v>185</v>
      </c>
      <c r="I12" s="9" t="s">
        <v>186</v>
      </c>
      <c r="J12" s="9"/>
      <c r="K12" s="9"/>
      <c r="L12" s="9"/>
      <c r="M12" s="9"/>
      <c r="N12" s="9"/>
      <c r="O12" s="9"/>
      <c r="P12" s="60"/>
      <c r="Q12" s="52"/>
      <c r="R12" s="150"/>
      <c r="S12" s="151"/>
    </row>
    <row r="13" spans="1:19" s="11" customFormat="1">
      <c r="A13" s="9">
        <v>10</v>
      </c>
      <c r="B13" s="9"/>
      <c r="C13" s="9"/>
      <c r="D13" s="9" t="s">
        <v>129</v>
      </c>
      <c r="E13" s="50" t="s">
        <v>132</v>
      </c>
      <c r="F13" s="50"/>
      <c r="G13" s="51" t="s">
        <v>264</v>
      </c>
      <c r="H13" s="51" t="s">
        <v>189</v>
      </c>
      <c r="I13" s="9" t="s">
        <v>186</v>
      </c>
      <c r="J13" s="9"/>
      <c r="K13" s="9"/>
      <c r="L13" s="9"/>
      <c r="M13" s="9"/>
      <c r="N13" s="9"/>
      <c r="O13" s="9"/>
      <c r="P13" s="60"/>
      <c r="Q13" s="52"/>
      <c r="R13" s="150"/>
      <c r="S13" s="151"/>
    </row>
    <row r="14" spans="1:19" s="11" customFormat="1">
      <c r="A14" s="9">
        <v>10</v>
      </c>
      <c r="B14" s="9"/>
      <c r="C14" s="9"/>
      <c r="D14" s="9" t="s">
        <v>135</v>
      </c>
      <c r="E14" s="50" t="s">
        <v>133</v>
      </c>
      <c r="F14" s="50"/>
      <c r="G14" s="51" t="s">
        <v>265</v>
      </c>
      <c r="H14" s="51" t="s">
        <v>190</v>
      </c>
      <c r="I14" s="9" t="s">
        <v>186</v>
      </c>
      <c r="J14" s="9"/>
      <c r="K14" s="9"/>
      <c r="L14" s="9"/>
      <c r="M14" s="9"/>
      <c r="N14" s="9"/>
      <c r="O14" s="9"/>
      <c r="P14" s="60"/>
      <c r="Q14" s="52"/>
      <c r="R14" s="150"/>
      <c r="S14" s="151"/>
    </row>
    <row r="15" spans="1:19" s="11" customFormat="1">
      <c r="A15" s="9">
        <v>10</v>
      </c>
      <c r="B15" s="9"/>
      <c r="C15" s="9"/>
      <c r="D15" s="9" t="s">
        <v>76</v>
      </c>
      <c r="E15" s="50" t="s">
        <v>62</v>
      </c>
      <c r="F15" s="50"/>
      <c r="G15" s="51" t="s">
        <v>275</v>
      </c>
      <c r="H15" s="51" t="s">
        <v>205</v>
      </c>
      <c r="I15" s="9" t="s">
        <v>186</v>
      </c>
      <c r="J15" s="9"/>
      <c r="K15" s="9"/>
      <c r="L15" s="9"/>
      <c r="M15" s="9"/>
      <c r="N15" s="9"/>
      <c r="O15" s="9"/>
      <c r="P15" s="60"/>
      <c r="Q15" s="52"/>
      <c r="R15" s="150"/>
      <c r="S15" s="151"/>
    </row>
    <row r="16" spans="1:19" s="11" customFormat="1">
      <c r="A16" s="9">
        <v>10</v>
      </c>
      <c r="B16" s="9"/>
      <c r="C16" s="9"/>
      <c r="D16" s="9" t="s">
        <v>77</v>
      </c>
      <c r="E16" s="50" t="s">
        <v>52</v>
      </c>
      <c r="F16" s="50"/>
      <c r="G16" s="51" t="s">
        <v>276</v>
      </c>
      <c r="H16" s="51" t="s">
        <v>206</v>
      </c>
      <c r="I16" s="9" t="s">
        <v>186</v>
      </c>
      <c r="J16" s="9"/>
      <c r="K16" s="9"/>
      <c r="L16" s="9"/>
      <c r="M16" s="9"/>
      <c r="N16" s="9"/>
      <c r="O16" s="9"/>
      <c r="P16" s="61"/>
      <c r="Q16" s="62"/>
      <c r="R16" s="152"/>
      <c r="S16" s="151"/>
    </row>
    <row r="17" spans="1:19" s="11" customFormat="1">
      <c r="A17" s="9">
        <v>10</v>
      </c>
      <c r="B17" s="9"/>
      <c r="C17" s="9"/>
      <c r="D17" s="9" t="s">
        <v>42</v>
      </c>
      <c r="E17" s="50" t="s">
        <v>44</v>
      </c>
      <c r="F17" s="50"/>
      <c r="G17" s="51" t="s">
        <v>267</v>
      </c>
      <c r="H17" s="51" t="s">
        <v>192</v>
      </c>
      <c r="I17" s="9" t="s">
        <v>186</v>
      </c>
      <c r="J17" s="9"/>
      <c r="K17" s="9"/>
      <c r="L17" s="9"/>
      <c r="M17" s="9"/>
      <c r="N17" s="9"/>
      <c r="O17" s="9"/>
      <c r="P17" s="60"/>
      <c r="Q17" s="52"/>
      <c r="R17" s="150"/>
      <c r="S17" s="151"/>
    </row>
    <row r="18" spans="1:19" s="11" customFormat="1">
      <c r="A18" s="9">
        <v>10</v>
      </c>
      <c r="B18" s="9"/>
      <c r="C18" s="9"/>
      <c r="D18" s="9" t="s">
        <v>225</v>
      </c>
      <c r="E18" s="50" t="s">
        <v>226</v>
      </c>
      <c r="F18" s="50"/>
      <c r="G18" s="51" t="s">
        <v>268</v>
      </c>
      <c r="H18" s="51" t="s">
        <v>193</v>
      </c>
      <c r="I18" s="9" t="s">
        <v>186</v>
      </c>
      <c r="J18" s="9"/>
      <c r="K18" s="9"/>
      <c r="L18" s="9"/>
      <c r="M18" s="9"/>
      <c r="N18" s="9"/>
      <c r="O18" s="9"/>
      <c r="P18" s="61"/>
      <c r="Q18" s="62"/>
      <c r="R18" s="152"/>
      <c r="S18" s="151"/>
    </row>
    <row r="19" spans="1:19" s="11" customFormat="1">
      <c r="A19" s="9">
        <v>10</v>
      </c>
      <c r="B19" s="9"/>
      <c r="C19" s="9"/>
      <c r="D19" s="9" t="s">
        <v>46</v>
      </c>
      <c r="E19" s="50" t="s">
        <v>48</v>
      </c>
      <c r="F19" s="50"/>
      <c r="G19" s="51" t="s">
        <v>269</v>
      </c>
      <c r="H19" s="51" t="s">
        <v>194</v>
      </c>
      <c r="I19" s="9" t="s">
        <v>186</v>
      </c>
      <c r="J19" s="9"/>
      <c r="K19" s="9"/>
      <c r="L19" s="9"/>
      <c r="M19" s="9"/>
      <c r="N19" s="9"/>
      <c r="O19" s="9"/>
      <c r="P19" s="61"/>
      <c r="Q19" s="62"/>
      <c r="R19" s="152"/>
      <c r="S19" s="151"/>
    </row>
    <row r="20" spans="1:19" s="11" customFormat="1">
      <c r="A20" s="83"/>
      <c r="S20" s="55"/>
    </row>
    <row r="21" spans="1:19" s="11" customFormat="1">
      <c r="A21" s="9">
        <v>20</v>
      </c>
      <c r="B21" s="38" t="s">
        <v>0</v>
      </c>
      <c r="C21" s="39"/>
      <c r="D21" s="28" t="s">
        <v>227</v>
      </c>
      <c r="E21" s="34" t="s">
        <v>30</v>
      </c>
      <c r="F21" s="63"/>
      <c r="G21" s="28"/>
      <c r="H21" s="56"/>
      <c r="I21" s="64"/>
      <c r="J21" s="65"/>
      <c r="K21" s="65"/>
      <c r="L21" s="48"/>
      <c r="M21" s="48" t="s">
        <v>21</v>
      </c>
      <c r="N21" s="48"/>
      <c r="O21" s="48"/>
      <c r="P21" s="36"/>
      <c r="Q21" s="37"/>
      <c r="R21" s="77"/>
      <c r="S21" s="49"/>
    </row>
    <row r="22" spans="1:19" s="11" customFormat="1">
      <c r="A22" s="9">
        <v>20</v>
      </c>
      <c r="B22" s="9"/>
      <c r="C22" s="9"/>
      <c r="D22" s="9" t="s">
        <v>78</v>
      </c>
      <c r="E22" s="50" t="s">
        <v>52</v>
      </c>
      <c r="F22" s="50"/>
      <c r="G22" s="51" t="s">
        <v>270</v>
      </c>
      <c r="H22" s="51" t="s">
        <v>195</v>
      </c>
      <c r="I22" s="9"/>
      <c r="J22" s="9" t="s">
        <v>186</v>
      </c>
      <c r="K22" s="9"/>
      <c r="L22" s="9"/>
      <c r="M22" s="9" t="s">
        <v>186</v>
      </c>
      <c r="N22" s="9"/>
      <c r="O22" s="9"/>
      <c r="P22" s="60"/>
      <c r="Q22" s="52"/>
      <c r="R22" s="150"/>
      <c r="S22" s="151"/>
    </row>
    <row r="23" spans="1:19" s="11" customFormat="1">
      <c r="A23" s="9">
        <v>20</v>
      </c>
      <c r="B23" s="9"/>
      <c r="C23" s="9"/>
      <c r="D23" s="9" t="s">
        <v>127</v>
      </c>
      <c r="E23" s="50" t="s">
        <v>149</v>
      </c>
      <c r="F23" s="50"/>
      <c r="G23" s="51" t="s">
        <v>263</v>
      </c>
      <c r="H23" s="51" t="s">
        <v>185</v>
      </c>
      <c r="I23" s="9"/>
      <c r="J23" s="9" t="s">
        <v>186</v>
      </c>
      <c r="K23" s="9" t="s">
        <v>207</v>
      </c>
      <c r="L23" s="9"/>
      <c r="M23" s="9" t="s">
        <v>186</v>
      </c>
      <c r="N23" s="9"/>
      <c r="O23" s="9"/>
      <c r="P23" s="60"/>
      <c r="Q23" s="52"/>
      <c r="R23" s="150"/>
      <c r="S23" s="151"/>
    </row>
    <row r="24" spans="1:19" s="11" customFormat="1">
      <c r="A24" s="9">
        <v>20</v>
      </c>
      <c r="B24" s="9"/>
      <c r="C24" s="9"/>
      <c r="D24" s="9" t="s">
        <v>128</v>
      </c>
      <c r="E24" s="50" t="s">
        <v>148</v>
      </c>
      <c r="F24" s="50"/>
      <c r="G24" s="51" t="s">
        <v>277</v>
      </c>
      <c r="H24" s="51" t="s">
        <v>208</v>
      </c>
      <c r="I24" s="9"/>
      <c r="J24" s="9" t="s">
        <v>186</v>
      </c>
      <c r="K24" s="9"/>
      <c r="L24" s="9"/>
      <c r="M24" s="9"/>
      <c r="N24" s="9"/>
      <c r="O24" s="9"/>
      <c r="P24" s="60"/>
      <c r="Q24" s="52"/>
      <c r="R24" s="150"/>
      <c r="S24" s="151"/>
    </row>
    <row r="25" spans="1:19" s="11" customFormat="1">
      <c r="A25" s="9">
        <v>20</v>
      </c>
      <c r="B25" s="9"/>
      <c r="C25" s="9"/>
      <c r="D25" s="9" t="s">
        <v>129</v>
      </c>
      <c r="E25" s="50" t="s">
        <v>132</v>
      </c>
      <c r="F25" s="50"/>
      <c r="G25" s="51" t="s">
        <v>264</v>
      </c>
      <c r="H25" s="51" t="s">
        <v>189</v>
      </c>
      <c r="I25" s="9"/>
      <c r="J25" s="9" t="s">
        <v>186</v>
      </c>
      <c r="K25" s="9"/>
      <c r="L25" s="9"/>
      <c r="M25" s="9" t="s">
        <v>186</v>
      </c>
      <c r="N25" s="9"/>
      <c r="O25" s="9"/>
      <c r="P25" s="60"/>
      <c r="Q25" s="52"/>
      <c r="R25" s="150"/>
      <c r="S25" s="151"/>
    </row>
    <row r="26" spans="1:19" s="11" customFormat="1">
      <c r="A26" s="9">
        <v>20</v>
      </c>
      <c r="B26" s="9"/>
      <c r="C26" s="9"/>
      <c r="D26" s="9" t="s">
        <v>143</v>
      </c>
      <c r="E26" s="50" t="s">
        <v>133</v>
      </c>
      <c r="F26" s="50"/>
      <c r="G26" s="51" t="s">
        <v>265</v>
      </c>
      <c r="H26" s="51" t="s">
        <v>190</v>
      </c>
      <c r="I26" s="9"/>
      <c r="J26" s="9" t="s">
        <v>186</v>
      </c>
      <c r="K26" s="9"/>
      <c r="L26" s="9"/>
      <c r="M26" s="9" t="s">
        <v>136</v>
      </c>
      <c r="N26" s="9"/>
      <c r="O26" s="9"/>
      <c r="P26" s="60"/>
      <c r="Q26" s="52"/>
      <c r="R26" s="150"/>
      <c r="S26" s="151"/>
    </row>
    <row r="27" spans="1:19" s="11" customFormat="1" ht="26">
      <c r="A27" s="9">
        <v>20</v>
      </c>
      <c r="B27" s="9"/>
      <c r="C27" s="9"/>
      <c r="D27" s="9" t="s">
        <v>136</v>
      </c>
      <c r="E27" s="50" t="s">
        <v>133</v>
      </c>
      <c r="F27" s="50"/>
      <c r="G27" s="51" t="s">
        <v>278</v>
      </c>
      <c r="H27" s="51" t="s">
        <v>209</v>
      </c>
      <c r="I27" s="9"/>
      <c r="J27" s="9" t="s">
        <v>186</v>
      </c>
      <c r="K27" s="9"/>
      <c r="L27" s="9"/>
      <c r="M27" s="9" t="s">
        <v>248</v>
      </c>
      <c r="N27" s="9"/>
      <c r="O27" s="9"/>
      <c r="P27" s="60"/>
      <c r="Q27" s="52"/>
      <c r="R27" s="150"/>
      <c r="S27" s="151"/>
    </row>
    <row r="28" spans="1:19" s="11" customFormat="1">
      <c r="A28" s="9">
        <v>20</v>
      </c>
      <c r="B28" s="9"/>
      <c r="C28" s="9"/>
      <c r="D28" s="9" t="s">
        <v>155</v>
      </c>
      <c r="E28" s="50" t="s">
        <v>156</v>
      </c>
      <c r="F28" s="50"/>
      <c r="G28" s="51" t="s">
        <v>266</v>
      </c>
      <c r="H28" s="51" t="s">
        <v>191</v>
      </c>
      <c r="I28" s="9"/>
      <c r="J28" s="9" t="s">
        <v>186</v>
      </c>
      <c r="K28" s="9"/>
      <c r="L28" s="9"/>
      <c r="M28" s="9" t="s">
        <v>186</v>
      </c>
      <c r="N28" s="9"/>
      <c r="O28" s="9"/>
      <c r="P28" s="60"/>
      <c r="Q28" s="52"/>
      <c r="R28" s="150"/>
      <c r="S28" s="151"/>
    </row>
    <row r="29" spans="1:19" s="11" customFormat="1">
      <c r="A29" s="9">
        <v>20</v>
      </c>
      <c r="B29" s="9"/>
      <c r="C29" s="9"/>
      <c r="D29" s="9" t="s">
        <v>41</v>
      </c>
      <c r="E29" s="50" t="s">
        <v>43</v>
      </c>
      <c r="F29" s="50"/>
      <c r="G29" s="51" t="s">
        <v>267</v>
      </c>
      <c r="H29" s="51" t="s">
        <v>192</v>
      </c>
      <c r="I29" s="9"/>
      <c r="J29" s="9" t="s">
        <v>186</v>
      </c>
      <c r="K29" s="9"/>
      <c r="L29" s="9"/>
      <c r="M29" s="9" t="s">
        <v>186</v>
      </c>
      <c r="N29" s="9"/>
      <c r="O29" s="9"/>
      <c r="P29" s="60"/>
      <c r="Q29" s="52"/>
      <c r="R29" s="150"/>
      <c r="S29" s="151"/>
    </row>
    <row r="30" spans="1:19" s="11" customFormat="1">
      <c r="A30" s="9">
        <v>20</v>
      </c>
      <c r="B30" s="9"/>
      <c r="C30" s="9"/>
      <c r="D30" s="9" t="s">
        <v>49</v>
      </c>
      <c r="E30" s="50" t="s">
        <v>50</v>
      </c>
      <c r="F30" s="50"/>
      <c r="G30" s="51" t="s">
        <v>268</v>
      </c>
      <c r="H30" s="51" t="s">
        <v>193</v>
      </c>
      <c r="I30" s="9"/>
      <c r="J30" s="9" t="s">
        <v>186</v>
      </c>
      <c r="K30" s="9"/>
      <c r="L30" s="9"/>
      <c r="M30" s="9" t="s">
        <v>186</v>
      </c>
      <c r="N30" s="9"/>
      <c r="O30" s="9"/>
      <c r="P30" s="60"/>
      <c r="Q30" s="52"/>
      <c r="R30" s="150"/>
      <c r="S30" s="151"/>
    </row>
    <row r="31" spans="1:19" s="11" customFormat="1">
      <c r="A31" s="9">
        <v>20</v>
      </c>
      <c r="B31" s="9"/>
      <c r="C31" s="9"/>
      <c r="D31" s="9" t="s">
        <v>45</v>
      </c>
      <c r="E31" s="50" t="s">
        <v>47</v>
      </c>
      <c r="F31" s="50"/>
      <c r="G31" s="51" t="s">
        <v>269</v>
      </c>
      <c r="H31" s="51" t="s">
        <v>194</v>
      </c>
      <c r="I31" s="9"/>
      <c r="J31" s="9" t="s">
        <v>186</v>
      </c>
      <c r="K31" s="9"/>
      <c r="L31" s="9"/>
      <c r="M31" s="9" t="s">
        <v>186</v>
      </c>
      <c r="N31" s="9"/>
      <c r="O31" s="9"/>
      <c r="P31" s="60"/>
      <c r="Q31" s="52"/>
      <c r="R31" s="150"/>
      <c r="S31" s="151"/>
    </row>
    <row r="32" spans="1:19" s="11" customFormat="1">
      <c r="A32" s="9">
        <v>20</v>
      </c>
      <c r="B32" s="9"/>
      <c r="C32" s="9"/>
      <c r="D32" s="9" t="s">
        <v>228</v>
      </c>
      <c r="E32" s="50" t="s">
        <v>159</v>
      </c>
      <c r="F32" s="50"/>
      <c r="G32" s="51" t="s">
        <v>279</v>
      </c>
      <c r="H32" s="51" t="s">
        <v>210</v>
      </c>
      <c r="I32" s="9"/>
      <c r="J32" s="9" t="s">
        <v>186</v>
      </c>
      <c r="K32" s="9"/>
      <c r="L32" s="9"/>
      <c r="M32" s="9" t="s">
        <v>186</v>
      </c>
      <c r="N32" s="9"/>
      <c r="O32" s="9"/>
      <c r="P32" s="60"/>
      <c r="Q32" s="52"/>
      <c r="R32" s="150"/>
      <c r="S32" s="151"/>
    </row>
    <row r="33" spans="1:19" s="11" customFormat="1">
      <c r="A33" s="9">
        <v>20</v>
      </c>
      <c r="B33" s="9"/>
      <c r="C33" s="9"/>
      <c r="D33" s="9" t="s">
        <v>35</v>
      </c>
      <c r="E33" s="50" t="s">
        <v>160</v>
      </c>
      <c r="F33" s="50"/>
      <c r="G33" s="51" t="s">
        <v>280</v>
      </c>
      <c r="H33" s="51" t="s">
        <v>211</v>
      </c>
      <c r="I33" s="9"/>
      <c r="J33" s="9" t="s">
        <v>186</v>
      </c>
      <c r="K33" s="9"/>
      <c r="L33" s="9"/>
      <c r="M33" s="9" t="s">
        <v>186</v>
      </c>
      <c r="N33" s="9"/>
      <c r="O33" s="9"/>
      <c r="P33" s="60"/>
      <c r="Q33" s="52"/>
      <c r="R33" s="150"/>
      <c r="S33" s="151"/>
    </row>
    <row r="34" spans="1:19" s="11" customFormat="1">
      <c r="A34" s="9">
        <v>20</v>
      </c>
      <c r="B34" s="9"/>
      <c r="C34" s="9"/>
      <c r="D34" s="9" t="s">
        <v>14</v>
      </c>
      <c r="E34" s="50" t="s">
        <v>56</v>
      </c>
      <c r="F34" s="50"/>
      <c r="G34" s="51" t="s">
        <v>281</v>
      </c>
      <c r="H34" s="51" t="s">
        <v>212</v>
      </c>
      <c r="I34" s="9"/>
      <c r="J34" s="9" t="s">
        <v>186</v>
      </c>
      <c r="K34" s="9"/>
      <c r="L34" s="9"/>
      <c r="M34" s="9" t="s">
        <v>186</v>
      </c>
      <c r="N34" s="9"/>
      <c r="O34" s="9"/>
      <c r="P34" s="60"/>
      <c r="Q34" s="52"/>
      <c r="R34" s="150"/>
      <c r="S34" s="151"/>
    </row>
    <row r="35" spans="1:19" s="11" customFormat="1">
      <c r="A35" s="9">
        <v>20</v>
      </c>
      <c r="B35" s="9"/>
      <c r="C35" s="9"/>
      <c r="D35" s="9" t="s">
        <v>53</v>
      </c>
      <c r="E35" s="50" t="s">
        <v>157</v>
      </c>
      <c r="F35" s="50"/>
      <c r="G35" s="51" t="s">
        <v>282</v>
      </c>
      <c r="H35" s="51" t="s">
        <v>213</v>
      </c>
      <c r="I35" s="9"/>
      <c r="J35" s="9" t="s">
        <v>186</v>
      </c>
      <c r="K35" s="9"/>
      <c r="L35" s="9"/>
      <c r="M35" s="9" t="s">
        <v>186</v>
      </c>
      <c r="N35" s="9"/>
      <c r="O35" s="9"/>
      <c r="P35" s="60"/>
      <c r="Q35" s="52"/>
      <c r="R35" s="150"/>
      <c r="S35" s="151"/>
    </row>
    <row r="36" spans="1:19" s="11" customFormat="1">
      <c r="A36" s="9">
        <v>20</v>
      </c>
      <c r="B36" s="9"/>
      <c r="C36" s="9"/>
      <c r="D36" s="9" t="s">
        <v>58</v>
      </c>
      <c r="E36" s="50" t="s">
        <v>158</v>
      </c>
      <c r="F36" s="50"/>
      <c r="G36" s="51" t="s">
        <v>283</v>
      </c>
      <c r="H36" s="51" t="s">
        <v>214</v>
      </c>
      <c r="I36" s="9"/>
      <c r="J36" s="9" t="s">
        <v>186</v>
      </c>
      <c r="K36" s="9"/>
      <c r="L36" s="9"/>
      <c r="M36" s="9"/>
      <c r="N36" s="9"/>
      <c r="O36" s="9"/>
      <c r="P36" s="60"/>
      <c r="Q36" s="52"/>
      <c r="R36" s="150"/>
      <c r="S36" s="151"/>
    </row>
    <row r="37" spans="1:19" s="11" customFormat="1">
      <c r="A37" s="9">
        <v>20</v>
      </c>
      <c r="B37" s="9"/>
      <c r="C37" s="9"/>
      <c r="D37" s="9" t="s">
        <v>82</v>
      </c>
      <c r="E37" s="50" t="s">
        <v>84</v>
      </c>
      <c r="F37" s="50"/>
      <c r="G37" s="51" t="s">
        <v>271</v>
      </c>
      <c r="H37" s="51" t="s">
        <v>200</v>
      </c>
      <c r="I37" s="9"/>
      <c r="J37" s="9" t="s">
        <v>186</v>
      </c>
      <c r="K37" s="9"/>
      <c r="L37" s="9"/>
      <c r="M37" s="9" t="s">
        <v>186</v>
      </c>
      <c r="N37" s="9"/>
      <c r="O37" s="9"/>
      <c r="P37" s="60"/>
      <c r="Q37" s="52"/>
      <c r="R37" s="150"/>
      <c r="S37" s="151"/>
    </row>
    <row r="38" spans="1:19" s="11" customFormat="1">
      <c r="A38" s="9">
        <v>20</v>
      </c>
      <c r="B38" s="9"/>
      <c r="C38" s="9"/>
      <c r="D38" s="9" t="s">
        <v>229</v>
      </c>
      <c r="E38" s="50" t="s">
        <v>159</v>
      </c>
      <c r="F38" s="50"/>
      <c r="G38" s="51" t="s">
        <v>284</v>
      </c>
      <c r="H38" s="51" t="s">
        <v>215</v>
      </c>
      <c r="I38" s="9"/>
      <c r="J38" s="9" t="s">
        <v>186</v>
      </c>
      <c r="K38" s="9"/>
      <c r="L38" s="9"/>
      <c r="M38" s="9" t="s">
        <v>186</v>
      </c>
      <c r="N38" s="9"/>
      <c r="O38" s="9"/>
      <c r="P38" s="60"/>
      <c r="Q38" s="52"/>
      <c r="R38" s="150"/>
      <c r="S38" s="151"/>
    </row>
    <row r="39" spans="1:19" s="11" customFormat="1">
      <c r="A39" s="9">
        <v>20</v>
      </c>
      <c r="B39" s="9"/>
      <c r="C39" s="9"/>
      <c r="D39" s="9" t="s">
        <v>36</v>
      </c>
      <c r="E39" s="50" t="s">
        <v>160</v>
      </c>
      <c r="F39" s="50"/>
      <c r="G39" s="51" t="s">
        <v>285</v>
      </c>
      <c r="H39" s="51" t="s">
        <v>216</v>
      </c>
      <c r="I39" s="9"/>
      <c r="J39" s="9" t="s">
        <v>186</v>
      </c>
      <c r="K39" s="9"/>
      <c r="L39" s="9"/>
      <c r="M39" s="9" t="s">
        <v>186</v>
      </c>
      <c r="N39" s="9"/>
      <c r="O39" s="9"/>
      <c r="P39" s="60"/>
      <c r="Q39" s="52"/>
      <c r="R39" s="150"/>
      <c r="S39" s="151"/>
    </row>
    <row r="40" spans="1:19" s="11" customFormat="1">
      <c r="A40" s="9">
        <v>20</v>
      </c>
      <c r="B40" s="9"/>
      <c r="C40" s="9"/>
      <c r="D40" s="9" t="s">
        <v>15</v>
      </c>
      <c r="E40" s="50" t="s">
        <v>56</v>
      </c>
      <c r="F40" s="50"/>
      <c r="G40" s="51" t="s">
        <v>286</v>
      </c>
      <c r="H40" s="51" t="s">
        <v>217</v>
      </c>
      <c r="I40" s="9"/>
      <c r="J40" s="9" t="s">
        <v>186</v>
      </c>
      <c r="K40" s="9"/>
      <c r="L40" s="9"/>
      <c r="M40" s="9" t="s">
        <v>186</v>
      </c>
      <c r="N40" s="9"/>
      <c r="O40" s="9"/>
      <c r="P40" s="60"/>
      <c r="Q40" s="52"/>
      <c r="R40" s="150"/>
      <c r="S40" s="151"/>
    </row>
    <row r="41" spans="1:19" s="11" customFormat="1">
      <c r="A41" s="9">
        <v>20</v>
      </c>
      <c r="B41" s="9"/>
      <c r="C41" s="9"/>
      <c r="D41" s="9" t="s">
        <v>54</v>
      </c>
      <c r="E41" s="50" t="s">
        <v>157</v>
      </c>
      <c r="F41" s="50"/>
      <c r="G41" s="51" t="s">
        <v>287</v>
      </c>
      <c r="H41" s="51" t="s">
        <v>218</v>
      </c>
      <c r="I41" s="9"/>
      <c r="J41" s="9" t="s">
        <v>186</v>
      </c>
      <c r="K41" s="9"/>
      <c r="L41" s="9"/>
      <c r="M41" s="9" t="s">
        <v>186</v>
      </c>
      <c r="N41" s="9"/>
      <c r="O41" s="9"/>
      <c r="P41" s="60"/>
      <c r="Q41" s="52"/>
      <c r="R41" s="150"/>
      <c r="S41" s="151"/>
    </row>
    <row r="42" spans="1:19" s="11" customFormat="1">
      <c r="A42" s="9">
        <v>20</v>
      </c>
      <c r="B42" s="9"/>
      <c r="C42" s="9"/>
      <c r="D42" s="9" t="s">
        <v>60</v>
      </c>
      <c r="E42" s="50" t="s">
        <v>158</v>
      </c>
      <c r="F42" s="50"/>
      <c r="G42" s="51" t="s">
        <v>288</v>
      </c>
      <c r="H42" s="51" t="s">
        <v>219</v>
      </c>
      <c r="I42" s="9"/>
      <c r="J42" s="9" t="s">
        <v>186</v>
      </c>
      <c r="K42" s="9"/>
      <c r="L42" s="9"/>
      <c r="M42" s="9"/>
      <c r="N42" s="9"/>
      <c r="O42" s="9"/>
      <c r="P42" s="60"/>
      <c r="Q42" s="52"/>
      <c r="R42" s="150"/>
      <c r="S42" s="151"/>
    </row>
    <row r="43" spans="1:19" s="11" customFormat="1">
      <c r="A43" s="9">
        <v>20</v>
      </c>
      <c r="B43" s="9"/>
      <c r="C43" s="9"/>
      <c r="D43" s="9" t="s">
        <v>61</v>
      </c>
      <c r="E43" s="50" t="s">
        <v>55</v>
      </c>
      <c r="F43" s="50"/>
      <c r="G43" s="51" t="s">
        <v>289</v>
      </c>
      <c r="H43" s="51" t="s">
        <v>220</v>
      </c>
      <c r="I43" s="9"/>
      <c r="J43" s="9" t="s">
        <v>186</v>
      </c>
      <c r="K43" s="9"/>
      <c r="L43" s="9"/>
      <c r="M43" s="9" t="s">
        <v>186</v>
      </c>
      <c r="N43" s="9"/>
      <c r="O43" s="9"/>
      <c r="P43" s="60"/>
      <c r="Q43" s="52"/>
      <c r="R43" s="150"/>
      <c r="S43" s="151"/>
    </row>
    <row r="44" spans="1:19" s="11" customFormat="1">
      <c r="A44" s="9">
        <v>20</v>
      </c>
      <c r="B44" s="9"/>
      <c r="C44" s="9"/>
      <c r="D44" s="9" t="s">
        <v>79</v>
      </c>
      <c r="E44" s="50" t="s">
        <v>159</v>
      </c>
      <c r="F44" s="50"/>
      <c r="G44" s="51" t="s">
        <v>290</v>
      </c>
      <c r="H44" s="51" t="s">
        <v>221</v>
      </c>
      <c r="I44" s="9"/>
      <c r="J44" s="9" t="s">
        <v>186</v>
      </c>
      <c r="K44" s="9"/>
      <c r="L44" s="9"/>
      <c r="M44" s="9" t="s">
        <v>186</v>
      </c>
      <c r="N44" s="9"/>
      <c r="O44" s="9"/>
      <c r="P44" s="60"/>
      <c r="Q44" s="52"/>
      <c r="R44" s="150"/>
      <c r="S44" s="151"/>
    </row>
    <row r="45" spans="1:19" s="11" customFormat="1">
      <c r="A45" s="9">
        <v>20</v>
      </c>
      <c r="B45" s="9"/>
      <c r="C45" s="9"/>
      <c r="D45" s="9" t="s">
        <v>80</v>
      </c>
      <c r="E45" s="50" t="s">
        <v>160</v>
      </c>
      <c r="F45" s="50"/>
      <c r="G45" s="51" t="s">
        <v>291</v>
      </c>
      <c r="H45" s="51" t="s">
        <v>222</v>
      </c>
      <c r="I45" s="9"/>
      <c r="J45" s="9" t="s">
        <v>186</v>
      </c>
      <c r="K45" s="9"/>
      <c r="L45" s="9"/>
      <c r="M45" s="9" t="s">
        <v>186</v>
      </c>
      <c r="N45" s="9"/>
      <c r="O45" s="9"/>
      <c r="P45" s="60"/>
      <c r="Q45" s="52"/>
      <c r="R45" s="150"/>
      <c r="S45" s="151"/>
    </row>
    <row r="46" spans="1:19" s="11" customFormat="1">
      <c r="A46" s="9">
        <v>20</v>
      </c>
      <c r="B46" s="9"/>
      <c r="C46" s="9"/>
      <c r="D46" s="9" t="s">
        <v>81</v>
      </c>
      <c r="E46" s="50" t="s">
        <v>56</v>
      </c>
      <c r="F46" s="50"/>
      <c r="G46" s="51" t="s">
        <v>292</v>
      </c>
      <c r="H46" s="51" t="s">
        <v>223</v>
      </c>
      <c r="I46" s="9"/>
      <c r="J46" s="9" t="s">
        <v>186</v>
      </c>
      <c r="K46" s="9"/>
      <c r="L46" s="9"/>
      <c r="M46" s="9" t="s">
        <v>186</v>
      </c>
      <c r="N46" s="9"/>
      <c r="O46" s="9"/>
      <c r="P46" s="60"/>
      <c r="Q46" s="52"/>
      <c r="R46" s="150"/>
      <c r="S46" s="151"/>
    </row>
    <row r="47" spans="1:19" s="11" customFormat="1">
      <c r="A47" s="83"/>
      <c r="S47" s="55"/>
    </row>
    <row r="48" spans="1:19" s="11" customFormat="1">
      <c r="A48" s="9">
        <v>30</v>
      </c>
      <c r="B48" s="38" t="s">
        <v>0</v>
      </c>
      <c r="C48" s="39"/>
      <c r="D48" s="28" t="s">
        <v>65</v>
      </c>
      <c r="E48" s="34" t="s">
        <v>21</v>
      </c>
      <c r="F48" s="63"/>
      <c r="G48" s="28"/>
      <c r="H48" s="56"/>
      <c r="I48" s="64"/>
      <c r="J48" s="65"/>
      <c r="K48" s="65"/>
      <c r="L48" s="48"/>
      <c r="M48" s="48"/>
      <c r="N48" s="48"/>
      <c r="O48" s="48" t="s">
        <v>21</v>
      </c>
      <c r="P48" s="36"/>
      <c r="Q48" s="37"/>
      <c r="R48" s="77"/>
      <c r="S48" s="49"/>
    </row>
    <row r="49" spans="1:19" s="11" customFormat="1">
      <c r="A49" s="9">
        <v>30</v>
      </c>
      <c r="B49" s="9"/>
      <c r="C49" s="9"/>
      <c r="D49" s="9" t="s">
        <v>127</v>
      </c>
      <c r="E49" s="50" t="s">
        <v>131</v>
      </c>
      <c r="F49" s="50"/>
      <c r="G49" s="51" t="s">
        <v>263</v>
      </c>
      <c r="H49" s="51" t="s">
        <v>185</v>
      </c>
      <c r="I49" s="9"/>
      <c r="J49" s="9" t="s">
        <v>186</v>
      </c>
      <c r="K49" s="9"/>
      <c r="L49" s="9"/>
      <c r="M49" s="9"/>
      <c r="N49" s="9"/>
      <c r="O49" s="9" t="s">
        <v>186</v>
      </c>
      <c r="P49" s="60"/>
      <c r="Q49" s="52"/>
      <c r="R49" s="150"/>
      <c r="S49" s="151"/>
    </row>
    <row r="50" spans="1:19" s="11" customFormat="1">
      <c r="A50" s="9">
        <v>30</v>
      </c>
      <c r="B50" s="9"/>
      <c r="C50" s="9"/>
      <c r="D50" s="9" t="s">
        <v>129</v>
      </c>
      <c r="E50" s="50" t="s">
        <v>132</v>
      </c>
      <c r="F50" s="50"/>
      <c r="G50" s="51" t="s">
        <v>264</v>
      </c>
      <c r="H50" s="51" t="s">
        <v>189</v>
      </c>
      <c r="I50" s="9"/>
      <c r="J50" s="9" t="s">
        <v>186</v>
      </c>
      <c r="K50" s="9"/>
      <c r="L50" s="9"/>
      <c r="M50" s="9"/>
      <c r="N50" s="9"/>
      <c r="O50" s="9" t="s">
        <v>186</v>
      </c>
      <c r="P50" s="60"/>
      <c r="Q50" s="52"/>
      <c r="R50" s="150"/>
      <c r="S50" s="151"/>
    </row>
    <row r="51" spans="1:19" s="11" customFormat="1">
      <c r="A51" s="9">
        <v>30</v>
      </c>
      <c r="B51" s="9"/>
      <c r="C51" s="9"/>
      <c r="D51" s="9" t="s">
        <v>66</v>
      </c>
      <c r="E51" s="50" t="s">
        <v>67</v>
      </c>
      <c r="F51" s="50"/>
      <c r="G51" s="51" t="s">
        <v>274</v>
      </c>
      <c r="H51" s="51" t="s">
        <v>202</v>
      </c>
      <c r="I51" s="9"/>
      <c r="J51" s="9" t="s">
        <v>186</v>
      </c>
      <c r="K51" s="9"/>
      <c r="L51" s="9"/>
      <c r="M51" s="9"/>
      <c r="N51" s="9"/>
      <c r="O51" s="9" t="s">
        <v>186</v>
      </c>
      <c r="P51" s="60"/>
      <c r="Q51" s="52"/>
      <c r="R51" s="150"/>
      <c r="S51" s="151"/>
    </row>
    <row r="52" spans="1:19" s="11" customFormat="1">
      <c r="A52" s="9">
        <v>30</v>
      </c>
      <c r="B52" s="9"/>
      <c r="C52" s="9"/>
      <c r="D52" s="9" t="s">
        <v>86</v>
      </c>
      <c r="E52" s="50" t="s">
        <v>87</v>
      </c>
      <c r="F52" s="50"/>
      <c r="G52" s="51" t="s">
        <v>293</v>
      </c>
      <c r="H52" s="51" t="s">
        <v>224</v>
      </c>
      <c r="I52" s="9"/>
      <c r="J52" s="9" t="s">
        <v>186</v>
      </c>
      <c r="K52" s="9"/>
      <c r="L52" s="9"/>
      <c r="M52" s="9"/>
      <c r="N52" s="9"/>
      <c r="O52" s="9"/>
      <c r="P52" s="60"/>
      <c r="Q52" s="52"/>
      <c r="R52" s="150"/>
      <c r="S52" s="151"/>
    </row>
    <row r="53" spans="1:19" s="11" customFormat="1">
      <c r="A53" s="9">
        <v>30</v>
      </c>
      <c r="B53" s="9"/>
      <c r="C53" s="9"/>
      <c r="D53" s="9" t="s">
        <v>136</v>
      </c>
      <c r="E53" s="50" t="s">
        <v>133</v>
      </c>
      <c r="F53" s="50"/>
      <c r="G53" s="51" t="s">
        <v>265</v>
      </c>
      <c r="H53" s="51" t="s">
        <v>190</v>
      </c>
      <c r="I53" s="9"/>
      <c r="J53" s="9" t="s">
        <v>186</v>
      </c>
      <c r="K53" s="9"/>
      <c r="L53" s="9"/>
      <c r="M53" s="9"/>
      <c r="N53" s="9"/>
      <c r="O53" s="9" t="s">
        <v>186</v>
      </c>
      <c r="P53" s="60"/>
      <c r="Q53" s="52"/>
      <c r="R53" s="150"/>
      <c r="S53" s="151"/>
    </row>
    <row r="54" spans="1:19" s="11" customFormat="1">
      <c r="A54" s="9">
        <v>30</v>
      </c>
      <c r="B54" s="9"/>
      <c r="C54" s="9"/>
      <c r="D54" s="9" t="s">
        <v>41</v>
      </c>
      <c r="E54" s="50" t="s">
        <v>43</v>
      </c>
      <c r="F54" s="50"/>
      <c r="G54" s="51" t="s">
        <v>267</v>
      </c>
      <c r="H54" s="51" t="s">
        <v>192</v>
      </c>
      <c r="I54" s="9"/>
      <c r="J54" s="9" t="s">
        <v>186</v>
      </c>
      <c r="K54" s="9"/>
      <c r="L54" s="9"/>
      <c r="M54" s="9"/>
      <c r="N54" s="9"/>
      <c r="O54" s="9" t="s">
        <v>186</v>
      </c>
      <c r="P54" s="60"/>
      <c r="Q54" s="52"/>
      <c r="R54" s="150"/>
      <c r="S54" s="151"/>
    </row>
    <row r="55" spans="1:19" s="11" customFormat="1">
      <c r="A55" s="9">
        <v>30</v>
      </c>
      <c r="B55" s="9"/>
      <c r="C55" s="9"/>
      <c r="D55" s="9" t="s">
        <v>49</v>
      </c>
      <c r="E55" s="50" t="s">
        <v>50</v>
      </c>
      <c r="F55" s="50"/>
      <c r="G55" s="51" t="s">
        <v>268</v>
      </c>
      <c r="H55" s="51" t="s">
        <v>193</v>
      </c>
      <c r="I55" s="9"/>
      <c r="J55" s="9" t="s">
        <v>186</v>
      </c>
      <c r="K55" s="9"/>
      <c r="L55" s="9"/>
      <c r="M55" s="9"/>
      <c r="N55" s="9"/>
      <c r="O55" s="9" t="s">
        <v>186</v>
      </c>
      <c r="P55" s="60"/>
      <c r="Q55" s="52"/>
      <c r="R55" s="150"/>
      <c r="S55" s="151"/>
    </row>
    <row r="56" spans="1:19" s="11" customFormat="1">
      <c r="A56" s="9">
        <v>30</v>
      </c>
      <c r="B56" s="9"/>
      <c r="C56" s="9"/>
      <c r="D56" s="9" t="s">
        <v>45</v>
      </c>
      <c r="E56" s="50" t="s">
        <v>47</v>
      </c>
      <c r="F56" s="50"/>
      <c r="G56" s="51" t="s">
        <v>269</v>
      </c>
      <c r="H56" s="51" t="s">
        <v>194</v>
      </c>
      <c r="I56" s="9"/>
      <c r="J56" s="9" t="s">
        <v>186</v>
      </c>
      <c r="K56" s="9"/>
      <c r="L56" s="9"/>
      <c r="M56" s="9"/>
      <c r="N56" s="9"/>
      <c r="O56" s="9" t="s">
        <v>186</v>
      </c>
      <c r="P56" s="60"/>
      <c r="Q56" s="52"/>
      <c r="R56" s="150"/>
      <c r="S56" s="151"/>
    </row>
    <row r="57" spans="1:19" s="11" customFormat="1">
      <c r="A57" s="9">
        <v>30</v>
      </c>
      <c r="B57" s="9"/>
      <c r="C57" s="9"/>
      <c r="D57" s="9" t="s">
        <v>228</v>
      </c>
      <c r="E57" s="50" t="s">
        <v>159</v>
      </c>
      <c r="F57" s="50"/>
      <c r="G57" s="51" t="s">
        <v>279</v>
      </c>
      <c r="H57" s="51" t="s">
        <v>210</v>
      </c>
      <c r="I57" s="9"/>
      <c r="J57" s="9" t="s">
        <v>186</v>
      </c>
      <c r="K57" s="9"/>
      <c r="L57" s="9"/>
      <c r="M57" s="9"/>
      <c r="N57" s="9"/>
      <c r="O57" s="9" t="s">
        <v>186</v>
      </c>
      <c r="P57" s="60"/>
      <c r="Q57" s="52"/>
      <c r="R57" s="150"/>
      <c r="S57" s="151"/>
    </row>
    <row r="58" spans="1:19" s="11" customFormat="1">
      <c r="A58" s="9">
        <v>30</v>
      </c>
      <c r="B58" s="9"/>
      <c r="C58" s="9"/>
      <c r="D58" s="9" t="s">
        <v>35</v>
      </c>
      <c r="E58" s="50" t="s">
        <v>160</v>
      </c>
      <c r="F58" s="50"/>
      <c r="G58" s="51" t="s">
        <v>280</v>
      </c>
      <c r="H58" s="51" t="s">
        <v>211</v>
      </c>
      <c r="I58" s="9"/>
      <c r="J58" s="9" t="s">
        <v>186</v>
      </c>
      <c r="K58" s="9"/>
      <c r="L58" s="9"/>
      <c r="M58" s="9"/>
      <c r="N58" s="9"/>
      <c r="O58" s="9" t="s">
        <v>186</v>
      </c>
      <c r="P58" s="60"/>
      <c r="Q58" s="52"/>
      <c r="R58" s="150"/>
      <c r="S58" s="151"/>
    </row>
    <row r="59" spans="1:19" s="11" customFormat="1">
      <c r="A59" s="9">
        <v>30</v>
      </c>
      <c r="B59" s="9"/>
      <c r="C59" s="9"/>
      <c r="D59" s="9" t="s">
        <v>14</v>
      </c>
      <c r="E59" s="50" t="s">
        <v>56</v>
      </c>
      <c r="F59" s="50"/>
      <c r="G59" s="51" t="s">
        <v>281</v>
      </c>
      <c r="H59" s="51" t="s">
        <v>212</v>
      </c>
      <c r="I59" s="9"/>
      <c r="J59" s="9" t="s">
        <v>186</v>
      </c>
      <c r="K59" s="9"/>
      <c r="L59" s="9"/>
      <c r="M59" s="9"/>
      <c r="N59" s="9"/>
      <c r="O59" s="9" t="s">
        <v>186</v>
      </c>
      <c r="P59" s="60"/>
      <c r="Q59" s="52"/>
      <c r="R59" s="150"/>
      <c r="S59" s="151"/>
    </row>
    <row r="60" spans="1:19" s="11" customFormat="1">
      <c r="A60" s="9">
        <v>30</v>
      </c>
      <c r="B60" s="9"/>
      <c r="C60" s="9"/>
      <c r="D60" s="9" t="s">
        <v>53</v>
      </c>
      <c r="E60" s="50" t="s">
        <v>157</v>
      </c>
      <c r="F60" s="50"/>
      <c r="G60" s="51" t="s">
        <v>282</v>
      </c>
      <c r="H60" s="51" t="s">
        <v>213</v>
      </c>
      <c r="I60" s="9"/>
      <c r="J60" s="9" t="s">
        <v>186</v>
      </c>
      <c r="K60" s="9"/>
      <c r="L60" s="9"/>
      <c r="M60" s="9"/>
      <c r="N60" s="9"/>
      <c r="O60" s="9" t="s">
        <v>186</v>
      </c>
      <c r="P60" s="60"/>
      <c r="Q60" s="52"/>
      <c r="R60" s="150"/>
      <c r="S60" s="151"/>
    </row>
    <row r="61" spans="1:19" s="11" customFormat="1">
      <c r="A61" s="9">
        <v>30</v>
      </c>
      <c r="B61" s="9"/>
      <c r="C61" s="9"/>
      <c r="D61" s="9" t="s">
        <v>58</v>
      </c>
      <c r="E61" s="50" t="s">
        <v>158</v>
      </c>
      <c r="F61" s="50"/>
      <c r="G61" s="51" t="s">
        <v>283</v>
      </c>
      <c r="H61" s="51" t="s">
        <v>214</v>
      </c>
      <c r="I61" s="9"/>
      <c r="J61" s="9" t="s">
        <v>186</v>
      </c>
      <c r="K61" s="9"/>
      <c r="L61" s="9"/>
      <c r="M61" s="9"/>
      <c r="N61" s="9"/>
      <c r="O61" s="9"/>
      <c r="P61" s="60"/>
      <c r="Q61" s="52"/>
      <c r="R61" s="150"/>
      <c r="S61" s="151"/>
    </row>
    <row r="62" spans="1:19" s="11" customFormat="1">
      <c r="A62" s="9">
        <v>30</v>
      </c>
      <c r="B62" s="9"/>
      <c r="C62" s="9"/>
      <c r="D62" s="9" t="s">
        <v>82</v>
      </c>
      <c r="E62" s="50" t="s">
        <v>84</v>
      </c>
      <c r="F62" s="50"/>
      <c r="G62" s="51" t="s">
        <v>271</v>
      </c>
      <c r="H62" s="51" t="s">
        <v>200</v>
      </c>
      <c r="I62" s="9"/>
      <c r="J62" s="9" t="s">
        <v>186</v>
      </c>
      <c r="K62" s="9"/>
      <c r="L62" s="9"/>
      <c r="M62" s="9"/>
      <c r="N62" s="9"/>
      <c r="O62" s="9" t="s">
        <v>186</v>
      </c>
      <c r="P62" s="60"/>
      <c r="Q62" s="52"/>
      <c r="R62" s="150"/>
      <c r="S62" s="151"/>
    </row>
    <row r="63" spans="1:19" s="11" customFormat="1">
      <c r="A63" s="9">
        <v>30</v>
      </c>
      <c r="B63" s="9"/>
      <c r="C63" s="9"/>
      <c r="D63" s="9" t="s">
        <v>229</v>
      </c>
      <c r="E63" s="50" t="s">
        <v>159</v>
      </c>
      <c r="F63" s="50"/>
      <c r="G63" s="51" t="s">
        <v>284</v>
      </c>
      <c r="H63" s="51" t="s">
        <v>215</v>
      </c>
      <c r="I63" s="9"/>
      <c r="J63" s="9" t="s">
        <v>186</v>
      </c>
      <c r="K63" s="9"/>
      <c r="L63" s="9"/>
      <c r="M63" s="9"/>
      <c r="N63" s="9"/>
      <c r="O63" s="9" t="s">
        <v>186</v>
      </c>
      <c r="P63" s="60"/>
      <c r="Q63" s="52"/>
      <c r="R63" s="150"/>
      <c r="S63" s="151"/>
    </row>
    <row r="64" spans="1:19" s="11" customFormat="1">
      <c r="A64" s="9">
        <v>30</v>
      </c>
      <c r="B64" s="9"/>
      <c r="C64" s="9"/>
      <c r="D64" s="9" t="s">
        <v>36</v>
      </c>
      <c r="E64" s="50" t="s">
        <v>160</v>
      </c>
      <c r="F64" s="50"/>
      <c r="G64" s="51" t="s">
        <v>285</v>
      </c>
      <c r="H64" s="51" t="s">
        <v>216</v>
      </c>
      <c r="I64" s="9"/>
      <c r="J64" s="9" t="s">
        <v>186</v>
      </c>
      <c r="K64" s="9"/>
      <c r="L64" s="9"/>
      <c r="M64" s="9"/>
      <c r="N64" s="9"/>
      <c r="O64" s="9" t="s">
        <v>186</v>
      </c>
      <c r="P64" s="60"/>
      <c r="Q64" s="52"/>
      <c r="R64" s="150"/>
      <c r="S64" s="151"/>
    </row>
    <row r="65" spans="1:19" s="11" customFormat="1">
      <c r="A65" s="9">
        <v>30</v>
      </c>
      <c r="B65" s="9"/>
      <c r="C65" s="9"/>
      <c r="D65" s="9" t="s">
        <v>15</v>
      </c>
      <c r="E65" s="50" t="s">
        <v>230</v>
      </c>
      <c r="F65" s="50"/>
      <c r="G65" s="51" t="s">
        <v>286</v>
      </c>
      <c r="H65" s="51" t="s">
        <v>217</v>
      </c>
      <c r="I65" s="9"/>
      <c r="J65" s="9" t="s">
        <v>186</v>
      </c>
      <c r="K65" s="9"/>
      <c r="L65" s="9"/>
      <c r="M65" s="9"/>
      <c r="N65" s="9"/>
      <c r="O65" s="9" t="s">
        <v>186</v>
      </c>
      <c r="P65" s="60"/>
      <c r="Q65" s="52"/>
      <c r="R65" s="150"/>
      <c r="S65" s="151"/>
    </row>
    <row r="66" spans="1:19" s="11" customFormat="1">
      <c r="A66" s="9">
        <v>30</v>
      </c>
      <c r="B66" s="9"/>
      <c r="C66" s="9"/>
      <c r="D66" s="9" t="s">
        <v>54</v>
      </c>
      <c r="E66" s="50" t="s">
        <v>57</v>
      </c>
      <c r="F66" s="50"/>
      <c r="G66" s="51" t="s">
        <v>287</v>
      </c>
      <c r="H66" s="51" t="s">
        <v>218</v>
      </c>
      <c r="I66" s="9"/>
      <c r="J66" s="9" t="s">
        <v>186</v>
      </c>
      <c r="K66" s="9"/>
      <c r="L66" s="9"/>
      <c r="M66" s="9"/>
      <c r="N66" s="9"/>
      <c r="O66" s="9" t="s">
        <v>186</v>
      </c>
      <c r="P66" s="60"/>
      <c r="Q66" s="52"/>
      <c r="R66" s="150"/>
      <c r="S66" s="151"/>
    </row>
    <row r="67" spans="1:19" s="11" customFormat="1">
      <c r="A67" s="9">
        <v>30</v>
      </c>
      <c r="B67" s="9"/>
      <c r="C67" s="9"/>
      <c r="D67" s="9" t="s">
        <v>60</v>
      </c>
      <c r="E67" s="50" t="s">
        <v>59</v>
      </c>
      <c r="F67" s="50"/>
      <c r="G67" s="51" t="s">
        <v>288</v>
      </c>
      <c r="H67" s="51" t="s">
        <v>219</v>
      </c>
      <c r="I67" s="9"/>
      <c r="J67" s="9" t="s">
        <v>186</v>
      </c>
      <c r="K67" s="9"/>
      <c r="L67" s="9"/>
      <c r="M67" s="9"/>
      <c r="N67" s="9"/>
      <c r="O67" s="9"/>
      <c r="P67" s="60"/>
      <c r="Q67" s="52"/>
      <c r="R67" s="150"/>
      <c r="S67" s="151"/>
    </row>
    <row r="68" spans="1:19" s="11" customFormat="1">
      <c r="A68" s="9">
        <v>30</v>
      </c>
      <c r="B68" s="9"/>
      <c r="C68" s="9"/>
      <c r="D68" s="9" t="s">
        <v>61</v>
      </c>
      <c r="E68" s="50" t="s">
        <v>55</v>
      </c>
      <c r="F68" s="50"/>
      <c r="G68" s="51" t="s">
        <v>289</v>
      </c>
      <c r="H68" s="51" t="s">
        <v>220</v>
      </c>
      <c r="I68" s="9"/>
      <c r="J68" s="9" t="s">
        <v>186</v>
      </c>
      <c r="K68" s="9"/>
      <c r="L68" s="9"/>
      <c r="M68" s="9"/>
      <c r="N68" s="9"/>
      <c r="O68" s="9" t="s">
        <v>186</v>
      </c>
      <c r="P68" s="60"/>
      <c r="Q68" s="52"/>
      <c r="R68" s="150"/>
      <c r="S68" s="151"/>
    </row>
    <row r="69" spans="1:19" s="11" customFormat="1">
      <c r="A69" s="66"/>
      <c r="B69" s="30"/>
      <c r="C69" s="30"/>
      <c r="D69" s="67" t="s">
        <v>4</v>
      </c>
      <c r="E69" s="31"/>
      <c r="F69" s="68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69"/>
    </row>
    <row r="70" spans="1:19" s="11" customFormat="1">
      <c r="A70" s="83"/>
      <c r="S70" s="55"/>
    </row>
    <row r="71" spans="1:19" s="11" customFormat="1">
      <c r="A71" s="83"/>
      <c r="S71" s="55"/>
    </row>
    <row r="72" spans="1:19" s="11" customFormat="1">
      <c r="A72" s="83"/>
      <c r="S72" s="55"/>
    </row>
    <row r="73" spans="1:19" s="11" customFormat="1">
      <c r="A73" s="83"/>
      <c r="S73" s="55"/>
    </row>
    <row r="74" spans="1:19" s="11" customFormat="1">
      <c r="A74" s="88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20"/>
    </row>
  </sheetData>
  <mergeCells count="53">
    <mergeCell ref="R16:S16"/>
    <mergeCell ref="R45:S45"/>
    <mergeCell ref="R35:S35"/>
    <mergeCell ref="R31:S31"/>
    <mergeCell ref="R33:S33"/>
    <mergeCell ref="R36:S36"/>
    <mergeCell ref="R32:S32"/>
    <mergeCell ref="R29:S29"/>
    <mergeCell ref="R40:S40"/>
    <mergeCell ref="R34:S34"/>
    <mergeCell ref="R39:S39"/>
    <mergeCell ref="R28:S28"/>
    <mergeCell ref="R68:S68"/>
    <mergeCell ref="R57:S57"/>
    <mergeCell ref="R58:S58"/>
    <mergeCell ref="R59:S59"/>
    <mergeCell ref="R60:S60"/>
    <mergeCell ref="R64:S64"/>
    <mergeCell ref="R65:S65"/>
    <mergeCell ref="R61:S61"/>
    <mergeCell ref="R63:S63"/>
    <mergeCell ref="R56:S56"/>
    <mergeCell ref="R67:S67"/>
    <mergeCell ref="R37:S37"/>
    <mergeCell ref="R62:S62"/>
    <mergeCell ref="R66:S66"/>
    <mergeCell ref="R51:S51"/>
    <mergeCell ref="R54:S54"/>
    <mergeCell ref="R55:S55"/>
    <mergeCell ref="R44:S44"/>
    <mergeCell ref="R38:S38"/>
    <mergeCell ref="R52:S52"/>
    <mergeCell ref="R42:S42"/>
    <mergeCell ref="R41:S41"/>
    <mergeCell ref="R49:S49"/>
    <mergeCell ref="R46:S46"/>
    <mergeCell ref="R43:S43"/>
    <mergeCell ref="R50:S50"/>
    <mergeCell ref="R53:S53"/>
    <mergeCell ref="R12:S12"/>
    <mergeCell ref="R13:S13"/>
    <mergeCell ref="R14:S14"/>
    <mergeCell ref="R17:S17"/>
    <mergeCell ref="R30:S30"/>
    <mergeCell ref="R19:S19"/>
    <mergeCell ref="R15:S15"/>
    <mergeCell ref="R18:S18"/>
    <mergeCell ref="R22:S22"/>
    <mergeCell ref="R23:S23"/>
    <mergeCell ref="R24:S24"/>
    <mergeCell ref="R25:S25"/>
    <mergeCell ref="R26:S26"/>
    <mergeCell ref="R27:S27"/>
  </mergeCells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>
    <pageSetUpPr fitToPage="1"/>
  </sheetPr>
  <dimension ref="A1:V35"/>
  <sheetViews>
    <sheetView topLeftCell="H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8164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9" t="s">
        <v>177</v>
      </c>
      <c r="B1" s="79" t="s">
        <v>177</v>
      </c>
      <c r="C1" s="79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80" t="s">
        <v>177</v>
      </c>
      <c r="B2" s="81"/>
      <c r="C2" s="81"/>
      <c r="D2" s="91" t="s">
        <v>249</v>
      </c>
      <c r="E2" s="7" t="s">
        <v>12</v>
      </c>
      <c r="F2" s="82" t="str">
        <f>IF(LogicCommon!C2="","",LogicCommon!C2)</f>
        <v>MA</v>
      </c>
      <c r="G2" s="7" t="s">
        <v>9</v>
      </c>
      <c r="H2" s="82" t="str">
        <f>IF(LogicCommon!E2="","",LogicCommon!E2)</f>
        <v>MABCL0430</v>
      </c>
      <c r="I2" s="7" t="s">
        <v>178</v>
      </c>
      <c r="J2" s="9" t="s">
        <v>123</v>
      </c>
      <c r="K2" s="7" t="s">
        <v>39</v>
      </c>
      <c r="L2" s="82" t="str">
        <f>IF(LogicCommon!G2="","",LogicCommon!G2)</f>
        <v>MC</v>
      </c>
      <c r="M2" s="5" t="s">
        <v>179</v>
      </c>
      <c r="N2" s="28" t="s">
        <v>244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83" t="s">
        <v>177</v>
      </c>
      <c r="B3" s="84"/>
      <c r="C3" s="84"/>
      <c r="D3" s="85" t="str">
        <f>IF(LogicCommon!A3="","",LogicCommon!A3)</f>
        <v/>
      </c>
      <c r="E3" s="7" t="s">
        <v>13</v>
      </c>
      <c r="F3" s="82" t="str">
        <f>IF(LogicCommon!C3="","",LogicCommon!C3)</f>
        <v>MABC</v>
      </c>
      <c r="G3" s="7" t="s">
        <v>10</v>
      </c>
      <c r="H3" s="82" t="str">
        <f>IF(LogicCommon!E3="","",LogicCommon!E3)</f>
        <v>MABCL_BpGrpReg</v>
      </c>
      <c r="I3" s="7" t="s">
        <v>180</v>
      </c>
      <c r="J3" s="9" t="s">
        <v>28</v>
      </c>
      <c r="K3" s="7" t="s">
        <v>40</v>
      </c>
      <c r="L3" s="82" t="str">
        <f>IF(LogicCommon!G3="","",LogicCommon!G3)</f>
        <v/>
      </c>
      <c r="M3" s="86" t="s">
        <v>29</v>
      </c>
      <c r="N3" s="7"/>
      <c r="O3" s="7" t="s">
        <v>181</v>
      </c>
      <c r="P3" s="9" t="s">
        <v>182</v>
      </c>
      <c r="Q3" s="4"/>
      <c r="R3" s="27"/>
      <c r="S3" s="27"/>
      <c r="T3" s="27"/>
      <c r="U3" s="27"/>
      <c r="V3" s="27"/>
    </row>
    <row r="4" spans="1:22" s="11" customFormat="1">
      <c r="A4" s="83" t="s">
        <v>177</v>
      </c>
      <c r="B4" s="84"/>
      <c r="C4" s="84"/>
      <c r="D4" s="4"/>
      <c r="E4" s="7" t="s">
        <v>8</v>
      </c>
      <c r="F4" s="10" t="s">
        <v>240</v>
      </c>
      <c r="G4" s="7" t="s">
        <v>11</v>
      </c>
      <c r="H4" s="82" t="str">
        <f>IF(LogicCommon!E4="","",LogicCommon!E4)</f>
        <v>取引先分類マスタ登録</v>
      </c>
      <c r="I4" s="7" t="s">
        <v>183</v>
      </c>
      <c r="J4" s="9" t="s">
        <v>64</v>
      </c>
      <c r="K4" s="7" t="s">
        <v>5</v>
      </c>
      <c r="L4" s="82" t="str">
        <f>IF(LogicCommon!G4="","",LogicCommon!G4)</f>
        <v>MA.MAUDL5010</v>
      </c>
      <c r="M4" s="87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8" t="s">
        <v>177</v>
      </c>
      <c r="B5" s="79"/>
      <c r="C5" s="79"/>
      <c r="D5" s="26"/>
      <c r="E5" s="7" t="s">
        <v>184</v>
      </c>
      <c r="F5" s="10"/>
      <c r="G5" s="89"/>
      <c r="H5" s="89"/>
      <c r="I5" s="89"/>
      <c r="J5" s="89"/>
      <c r="K5" s="89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83" t="s">
        <v>177</v>
      </c>
      <c r="B6" s="84"/>
      <c r="C6" s="84"/>
      <c r="D6" s="4" t="s">
        <v>6</v>
      </c>
      <c r="E6" s="16" t="s">
        <v>174</v>
      </c>
      <c r="F6" s="16"/>
      <c r="G6" s="16"/>
      <c r="H6" s="16"/>
      <c r="I6" s="16"/>
      <c r="J6" s="16"/>
      <c r="K6" s="16"/>
      <c r="L6" s="90" t="s">
        <v>176</v>
      </c>
      <c r="M6" s="19"/>
      <c r="N6" s="19" t="s">
        <v>176</v>
      </c>
      <c r="O6" s="19"/>
      <c r="P6" s="19" t="s">
        <v>176</v>
      </c>
      <c r="Q6" s="19"/>
      <c r="R6" s="3" t="s">
        <v>176</v>
      </c>
      <c r="S6" s="4"/>
      <c r="T6" s="29"/>
      <c r="U6" s="29"/>
      <c r="V6" s="27"/>
    </row>
    <row r="7" spans="1:22" s="11" customFormat="1">
      <c r="A7" s="30" t="s">
        <v>18</v>
      </c>
      <c r="B7" s="30"/>
      <c r="C7" s="30"/>
      <c r="D7" s="31"/>
      <c r="E7" s="31"/>
      <c r="F7" s="31"/>
      <c r="G7" s="31"/>
      <c r="H7" s="31"/>
      <c r="I7" s="31" t="s">
        <v>37</v>
      </c>
      <c r="J7" s="31"/>
      <c r="K7" s="33" t="s">
        <v>38</v>
      </c>
      <c r="L7" s="32" t="s">
        <v>96</v>
      </c>
      <c r="M7" s="33" t="s">
        <v>71</v>
      </c>
      <c r="N7" s="32" t="s">
        <v>97</v>
      </c>
      <c r="O7" s="33" t="s">
        <v>71</v>
      </c>
      <c r="P7" s="32" t="s">
        <v>98</v>
      </c>
      <c r="Q7" s="33" t="s">
        <v>71</v>
      </c>
      <c r="R7" s="32" t="s">
        <v>99</v>
      </c>
      <c r="S7" s="29"/>
      <c r="T7" s="29"/>
      <c r="U7" s="29"/>
      <c r="V7" s="29"/>
    </row>
    <row r="8" spans="1:22" s="11" customFormat="1" ht="60" customHeight="1">
      <c r="A8" s="50" t="s">
        <v>17</v>
      </c>
      <c r="B8" s="94"/>
      <c r="C8" s="95"/>
      <c r="D8" s="92" t="s">
        <v>250</v>
      </c>
      <c r="E8" s="92" t="s">
        <v>251</v>
      </c>
      <c r="F8" s="90"/>
      <c r="G8" s="92" t="s">
        <v>197</v>
      </c>
      <c r="H8" s="92" t="s">
        <v>252</v>
      </c>
      <c r="I8" s="90"/>
      <c r="J8" s="3"/>
      <c r="K8" s="33" t="s">
        <v>16</v>
      </c>
      <c r="L8" s="35" t="s">
        <v>137</v>
      </c>
      <c r="M8" s="33" t="s">
        <v>72</v>
      </c>
      <c r="N8" s="35" t="s">
        <v>138</v>
      </c>
      <c r="O8" s="33" t="s">
        <v>72</v>
      </c>
      <c r="P8" s="35" t="s">
        <v>139</v>
      </c>
      <c r="Q8" s="33" t="s">
        <v>72</v>
      </c>
      <c r="R8" s="35" t="s">
        <v>140</v>
      </c>
      <c r="S8" s="96"/>
      <c r="T8" s="97"/>
      <c r="U8" s="98" t="s">
        <v>253</v>
      </c>
      <c r="V8" s="52"/>
    </row>
    <row r="9" spans="1:22" s="11" customFormat="1" ht="60" customHeight="1">
      <c r="A9" s="9" t="s">
        <v>17</v>
      </c>
      <c r="B9" s="38"/>
      <c r="C9" s="39"/>
      <c r="D9" s="92" t="s">
        <v>254</v>
      </c>
      <c r="E9" s="99" t="s">
        <v>255</v>
      </c>
      <c r="F9" s="92" t="s">
        <v>256</v>
      </c>
      <c r="G9" s="92" t="s">
        <v>257</v>
      </c>
      <c r="H9" s="92" t="s">
        <v>258</v>
      </c>
      <c r="I9" s="100" t="s">
        <v>259</v>
      </c>
      <c r="J9" s="92" t="s">
        <v>260</v>
      </c>
      <c r="K9" s="33"/>
      <c r="L9" s="33"/>
      <c r="M9" s="33"/>
      <c r="N9" s="33"/>
      <c r="O9" s="33"/>
      <c r="P9" s="33"/>
      <c r="Q9" s="33"/>
      <c r="R9" s="33"/>
      <c r="S9" s="98" t="s">
        <v>261</v>
      </c>
      <c r="T9" s="52"/>
      <c r="U9" s="98" t="s">
        <v>262</v>
      </c>
      <c r="V9" s="52"/>
    </row>
    <row r="10" spans="1:22" s="11" customFormat="1" ht="52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93" t="s">
        <v>259</v>
      </c>
      <c r="L10" s="93" t="s">
        <v>260</v>
      </c>
      <c r="M10" s="93" t="s">
        <v>259</v>
      </c>
      <c r="N10" s="93" t="s">
        <v>260</v>
      </c>
      <c r="O10" s="93" t="s">
        <v>259</v>
      </c>
      <c r="P10" s="93" t="s">
        <v>260</v>
      </c>
      <c r="Q10" s="93" t="s">
        <v>259</v>
      </c>
      <c r="R10" s="93" t="s">
        <v>260</v>
      </c>
      <c r="S10" s="43"/>
      <c r="T10" s="43"/>
      <c r="U10" s="44"/>
      <c r="V10" s="37"/>
    </row>
    <row r="11" spans="1:22" s="11" customFormat="1">
      <c r="A11" s="9">
        <v>10</v>
      </c>
      <c r="B11" s="38" t="s">
        <v>0</v>
      </c>
      <c r="C11" s="39"/>
      <c r="D11" s="28" t="s">
        <v>69</v>
      </c>
      <c r="E11" s="34" t="s">
        <v>21</v>
      </c>
      <c r="F11" s="45"/>
      <c r="G11" s="28" t="s">
        <v>90</v>
      </c>
      <c r="H11" s="56" t="s">
        <v>231</v>
      </c>
      <c r="I11" s="46"/>
      <c r="J11" s="47"/>
      <c r="K11" s="48" t="s">
        <v>232</v>
      </c>
      <c r="L11" s="48"/>
      <c r="M11" s="48" t="s">
        <v>233</v>
      </c>
      <c r="N11" s="48"/>
      <c r="O11" s="48"/>
      <c r="P11" s="48"/>
      <c r="Q11" s="48"/>
      <c r="R11" s="48"/>
      <c r="S11" s="36"/>
      <c r="T11" s="37"/>
      <c r="U11" s="77"/>
      <c r="V11" s="49"/>
    </row>
    <row r="12" spans="1:22" s="11" customFormat="1">
      <c r="A12" s="9">
        <v>10</v>
      </c>
      <c r="B12" s="9"/>
      <c r="C12" s="9"/>
      <c r="D12" s="9" t="s">
        <v>127</v>
      </c>
      <c r="E12" s="50" t="s">
        <v>131</v>
      </c>
      <c r="F12" s="50"/>
      <c r="G12" s="51" t="s">
        <v>263</v>
      </c>
      <c r="H12" s="51" t="s">
        <v>185</v>
      </c>
      <c r="I12" s="9" t="s">
        <v>186</v>
      </c>
      <c r="J12" s="9"/>
      <c r="K12" s="9" t="s">
        <v>186</v>
      </c>
      <c r="L12" s="9"/>
      <c r="M12" s="9" t="s">
        <v>187</v>
      </c>
      <c r="N12" s="9"/>
      <c r="O12" s="9"/>
      <c r="P12" s="9"/>
      <c r="Q12" s="9"/>
      <c r="R12" s="9"/>
      <c r="S12" s="42"/>
      <c r="T12" s="52"/>
      <c r="U12" s="150"/>
      <c r="V12" s="151"/>
    </row>
    <row r="13" spans="1:22" s="11" customFormat="1">
      <c r="A13" s="9">
        <v>10</v>
      </c>
      <c r="B13" s="9"/>
      <c r="C13" s="9"/>
      <c r="D13" s="9" t="s">
        <v>129</v>
      </c>
      <c r="E13" s="50" t="s">
        <v>132</v>
      </c>
      <c r="F13" s="50"/>
      <c r="G13" s="51" t="s">
        <v>264</v>
      </c>
      <c r="H13" s="51" t="s">
        <v>189</v>
      </c>
      <c r="I13" s="9" t="s">
        <v>186</v>
      </c>
      <c r="J13" s="9"/>
      <c r="K13" s="9" t="s">
        <v>186</v>
      </c>
      <c r="L13" s="9"/>
      <c r="M13" s="9" t="s">
        <v>187</v>
      </c>
      <c r="N13" s="9"/>
      <c r="O13" s="9"/>
      <c r="P13" s="9"/>
      <c r="Q13" s="9"/>
      <c r="R13" s="9"/>
      <c r="S13" s="42"/>
      <c r="T13" s="52"/>
      <c r="U13" s="150"/>
      <c r="V13" s="151"/>
    </row>
    <row r="14" spans="1:22" s="11" customFormat="1">
      <c r="A14" s="9">
        <v>10</v>
      </c>
      <c r="B14" s="9"/>
      <c r="C14" s="9"/>
      <c r="D14" s="9" t="s">
        <v>130</v>
      </c>
      <c r="E14" s="50" t="s">
        <v>133</v>
      </c>
      <c r="F14" s="50"/>
      <c r="G14" s="51" t="s">
        <v>265</v>
      </c>
      <c r="H14" s="51" t="s">
        <v>190</v>
      </c>
      <c r="I14" s="9" t="s">
        <v>186</v>
      </c>
      <c r="J14" s="9"/>
      <c r="K14" s="9" t="s">
        <v>186</v>
      </c>
      <c r="L14" s="9"/>
      <c r="M14" s="9" t="s">
        <v>186</v>
      </c>
      <c r="N14" s="9"/>
      <c r="O14" s="9"/>
      <c r="P14" s="9"/>
      <c r="Q14" s="9"/>
      <c r="R14" s="9"/>
      <c r="S14" s="42"/>
      <c r="T14" s="52"/>
      <c r="U14" s="150"/>
      <c r="V14" s="151"/>
    </row>
    <row r="15" spans="1:22" s="11" customFormat="1">
      <c r="A15" s="9">
        <v>10</v>
      </c>
      <c r="B15" s="9"/>
      <c r="C15" s="9"/>
      <c r="D15" s="9" t="s">
        <v>155</v>
      </c>
      <c r="E15" s="50" t="s">
        <v>156</v>
      </c>
      <c r="F15" s="50"/>
      <c r="G15" s="51" t="s">
        <v>266</v>
      </c>
      <c r="H15" s="51" t="s">
        <v>191</v>
      </c>
      <c r="I15" s="9" t="s">
        <v>186</v>
      </c>
      <c r="J15" s="9"/>
      <c r="K15" s="9" t="s">
        <v>186</v>
      </c>
      <c r="L15" s="9"/>
      <c r="M15" s="9" t="s">
        <v>186</v>
      </c>
      <c r="N15" s="9"/>
      <c r="O15" s="9"/>
      <c r="P15" s="9"/>
      <c r="Q15" s="9"/>
      <c r="R15" s="9"/>
      <c r="S15" s="42"/>
      <c r="T15" s="52"/>
      <c r="U15" s="150"/>
      <c r="V15" s="151"/>
    </row>
    <row r="16" spans="1:22" s="11" customFormat="1">
      <c r="A16" s="9">
        <v>10</v>
      </c>
      <c r="B16" s="9"/>
      <c r="C16" s="9"/>
      <c r="D16" s="9" t="s">
        <v>41</v>
      </c>
      <c r="E16" s="50" t="s">
        <v>43</v>
      </c>
      <c r="F16" s="50"/>
      <c r="G16" s="51" t="s">
        <v>267</v>
      </c>
      <c r="H16" s="51" t="s">
        <v>192</v>
      </c>
      <c r="I16" s="9" t="s">
        <v>186</v>
      </c>
      <c r="J16" s="9"/>
      <c r="K16" s="9" t="s">
        <v>186</v>
      </c>
      <c r="L16" s="9"/>
      <c r="M16" s="9" t="s">
        <v>186</v>
      </c>
      <c r="N16" s="9"/>
      <c r="O16" s="9"/>
      <c r="P16" s="9"/>
      <c r="Q16" s="9"/>
      <c r="R16" s="9"/>
      <c r="S16" s="42"/>
      <c r="T16" s="52"/>
      <c r="U16" s="150"/>
      <c r="V16" s="151"/>
    </row>
    <row r="17" spans="1:22" s="11" customFormat="1">
      <c r="A17" s="9">
        <v>10</v>
      </c>
      <c r="B17" s="9"/>
      <c r="C17" s="9"/>
      <c r="D17" s="9" t="s">
        <v>49</v>
      </c>
      <c r="E17" s="50" t="s">
        <v>50</v>
      </c>
      <c r="F17" s="50"/>
      <c r="G17" s="51" t="s">
        <v>268</v>
      </c>
      <c r="H17" s="51" t="s">
        <v>193</v>
      </c>
      <c r="I17" s="9" t="s">
        <v>186</v>
      </c>
      <c r="J17" s="9"/>
      <c r="K17" s="9" t="s">
        <v>186</v>
      </c>
      <c r="L17" s="9"/>
      <c r="M17" s="9" t="s">
        <v>186</v>
      </c>
      <c r="N17" s="9"/>
      <c r="O17" s="9"/>
      <c r="P17" s="9"/>
      <c r="Q17" s="9"/>
      <c r="R17" s="9"/>
      <c r="S17" s="42"/>
      <c r="T17" s="52"/>
      <c r="U17" s="150"/>
      <c r="V17" s="151"/>
    </row>
    <row r="18" spans="1:22" s="11" customFormat="1">
      <c r="A18" s="9">
        <v>10</v>
      </c>
      <c r="B18" s="9"/>
      <c r="C18" s="9"/>
      <c r="D18" s="9" t="s">
        <v>45</v>
      </c>
      <c r="E18" s="50" t="s">
        <v>47</v>
      </c>
      <c r="F18" s="50"/>
      <c r="G18" s="51" t="s">
        <v>269</v>
      </c>
      <c r="H18" s="51" t="s">
        <v>194</v>
      </c>
      <c r="I18" s="9" t="s">
        <v>186</v>
      </c>
      <c r="J18" s="9"/>
      <c r="K18" s="9" t="s">
        <v>186</v>
      </c>
      <c r="L18" s="9"/>
      <c r="M18" s="9" t="s">
        <v>186</v>
      </c>
      <c r="N18" s="9"/>
      <c r="O18" s="9"/>
      <c r="P18" s="9"/>
      <c r="Q18" s="9"/>
      <c r="R18" s="9"/>
      <c r="S18" s="42"/>
      <c r="T18" s="52"/>
      <c r="U18" s="150"/>
      <c r="V18" s="151"/>
    </row>
    <row r="19" spans="1:22" s="11" customFormat="1">
      <c r="A19" s="9">
        <v>10</v>
      </c>
      <c r="B19" s="9"/>
      <c r="C19" s="9"/>
      <c r="D19" s="9" t="s">
        <v>78</v>
      </c>
      <c r="E19" s="50" t="s">
        <v>51</v>
      </c>
      <c r="F19" s="50"/>
      <c r="G19" s="51" t="s">
        <v>270</v>
      </c>
      <c r="H19" s="51" t="s">
        <v>195</v>
      </c>
      <c r="I19" s="9" t="s">
        <v>186</v>
      </c>
      <c r="J19" s="9"/>
      <c r="K19" s="9" t="s">
        <v>186</v>
      </c>
      <c r="L19" s="9"/>
      <c r="M19" s="9" t="s">
        <v>186</v>
      </c>
      <c r="N19" s="9"/>
      <c r="O19" s="9"/>
      <c r="P19" s="9"/>
      <c r="Q19" s="9"/>
      <c r="R19" s="9"/>
      <c r="S19" s="42"/>
      <c r="T19" s="52"/>
      <c r="U19" s="150"/>
      <c r="V19" s="151"/>
    </row>
    <row r="20" spans="1:22" s="11" customFormat="1">
      <c r="A20" s="9">
        <v>10</v>
      </c>
      <c r="B20" s="9"/>
      <c r="C20" s="9"/>
      <c r="D20" s="9" t="s">
        <v>83</v>
      </c>
      <c r="E20" s="50" t="s">
        <v>84</v>
      </c>
      <c r="F20" s="50"/>
      <c r="G20" s="51" t="s">
        <v>271</v>
      </c>
      <c r="H20" s="51" t="s">
        <v>200</v>
      </c>
      <c r="I20" s="9" t="s">
        <v>186</v>
      </c>
      <c r="J20" s="9"/>
      <c r="K20" s="9" t="s">
        <v>186</v>
      </c>
      <c r="L20" s="9"/>
      <c r="M20" s="9" t="s">
        <v>186</v>
      </c>
      <c r="N20" s="9"/>
      <c r="O20" s="9"/>
      <c r="P20" s="9"/>
      <c r="Q20" s="9"/>
      <c r="R20" s="9"/>
      <c r="S20" s="42"/>
      <c r="T20" s="52"/>
      <c r="U20" s="150"/>
      <c r="V20" s="151"/>
    </row>
    <row r="21" spans="1:22" s="11" customFormat="1">
      <c r="A21" s="83"/>
      <c r="V21" s="55"/>
    </row>
    <row r="22" spans="1:22" s="11" customFormat="1">
      <c r="A22" s="9">
        <v>20</v>
      </c>
      <c r="B22" s="38" t="s">
        <v>0</v>
      </c>
      <c r="C22" s="39"/>
      <c r="D22" s="28" t="s">
        <v>70</v>
      </c>
      <c r="E22" s="34" t="s">
        <v>21</v>
      </c>
      <c r="F22" s="45"/>
      <c r="G22" s="28" t="s">
        <v>90</v>
      </c>
      <c r="H22" s="56" t="s">
        <v>234</v>
      </c>
      <c r="I22" s="46"/>
      <c r="J22" s="47"/>
      <c r="K22" s="48"/>
      <c r="L22" s="48"/>
      <c r="M22" s="48"/>
      <c r="N22" s="48"/>
      <c r="O22" s="48" t="s">
        <v>235</v>
      </c>
      <c r="P22" s="48"/>
      <c r="Q22" s="48" t="s">
        <v>236</v>
      </c>
      <c r="R22" s="48"/>
      <c r="S22" s="36"/>
      <c r="T22" s="37"/>
      <c r="U22" s="77"/>
      <c r="V22" s="49"/>
    </row>
    <row r="23" spans="1:22" s="11" customFormat="1">
      <c r="A23" s="9">
        <v>20</v>
      </c>
      <c r="B23" s="9"/>
      <c r="C23" s="9"/>
      <c r="D23" s="9" t="s">
        <v>127</v>
      </c>
      <c r="E23" s="50" t="s">
        <v>131</v>
      </c>
      <c r="F23" s="50"/>
      <c r="G23" s="51" t="s">
        <v>263</v>
      </c>
      <c r="H23" s="51" t="s">
        <v>185</v>
      </c>
      <c r="I23" s="9" t="s">
        <v>186</v>
      </c>
      <c r="J23" s="9"/>
      <c r="K23" s="9"/>
      <c r="L23" s="9"/>
      <c r="M23" s="9"/>
      <c r="N23" s="9"/>
      <c r="O23" s="9" t="s">
        <v>186</v>
      </c>
      <c r="P23" s="9"/>
      <c r="Q23" s="9" t="s">
        <v>186</v>
      </c>
      <c r="R23" s="9"/>
      <c r="S23" s="42"/>
      <c r="T23" s="52"/>
      <c r="U23" s="150"/>
      <c r="V23" s="151"/>
    </row>
    <row r="24" spans="1:22" s="11" customFormat="1">
      <c r="A24" s="9">
        <v>20</v>
      </c>
      <c r="B24" s="9"/>
      <c r="C24" s="9"/>
      <c r="D24" s="9" t="s">
        <v>144</v>
      </c>
      <c r="E24" s="50" t="s">
        <v>145</v>
      </c>
      <c r="F24" s="50"/>
      <c r="G24" s="51" t="s">
        <v>274</v>
      </c>
      <c r="H24" s="51" t="s">
        <v>202</v>
      </c>
      <c r="I24" s="9" t="s">
        <v>186</v>
      </c>
      <c r="J24" s="9"/>
      <c r="K24" s="9"/>
      <c r="L24" s="9"/>
      <c r="M24" s="9"/>
      <c r="N24" s="9"/>
      <c r="O24" s="9" t="s">
        <v>186</v>
      </c>
      <c r="P24" s="9"/>
      <c r="Q24" s="9" t="s">
        <v>186</v>
      </c>
      <c r="R24" s="9"/>
      <c r="S24" s="42"/>
      <c r="T24" s="52"/>
      <c r="U24" s="150"/>
      <c r="V24" s="151"/>
    </row>
    <row r="25" spans="1:22" s="11" customFormat="1">
      <c r="A25" s="9">
        <v>20</v>
      </c>
      <c r="B25" s="9"/>
      <c r="C25" s="9"/>
      <c r="D25" s="9" t="s">
        <v>129</v>
      </c>
      <c r="E25" s="50" t="s">
        <v>132</v>
      </c>
      <c r="F25" s="50"/>
      <c r="G25" s="51" t="s">
        <v>264</v>
      </c>
      <c r="H25" s="51" t="s">
        <v>189</v>
      </c>
      <c r="I25" s="9" t="s">
        <v>186</v>
      </c>
      <c r="J25" s="9"/>
      <c r="K25" s="9"/>
      <c r="L25" s="9"/>
      <c r="M25" s="9"/>
      <c r="N25" s="9"/>
      <c r="O25" s="9" t="s">
        <v>186</v>
      </c>
      <c r="P25" s="9"/>
      <c r="Q25" s="9" t="s">
        <v>186</v>
      </c>
      <c r="R25" s="9"/>
      <c r="S25" s="42"/>
      <c r="T25" s="52"/>
      <c r="U25" s="150"/>
      <c r="V25" s="151"/>
    </row>
    <row r="26" spans="1:22" s="11" customFormat="1">
      <c r="A26" s="9">
        <v>20</v>
      </c>
      <c r="B26" s="9"/>
      <c r="C26" s="9"/>
      <c r="D26" s="9" t="s">
        <v>136</v>
      </c>
      <c r="E26" s="50" t="s">
        <v>133</v>
      </c>
      <c r="F26" s="50"/>
      <c r="G26" s="51" t="s">
        <v>265</v>
      </c>
      <c r="H26" s="51" t="s">
        <v>190</v>
      </c>
      <c r="I26" s="9" t="s">
        <v>186</v>
      </c>
      <c r="J26" s="9"/>
      <c r="K26" s="9"/>
      <c r="L26" s="9"/>
      <c r="M26" s="9"/>
      <c r="N26" s="9"/>
      <c r="O26" s="9" t="s">
        <v>186</v>
      </c>
      <c r="P26" s="9"/>
      <c r="Q26" s="9" t="s">
        <v>186</v>
      </c>
      <c r="R26" s="9"/>
      <c r="S26" s="42"/>
      <c r="T26" s="52"/>
      <c r="U26" s="150"/>
      <c r="V26" s="151"/>
    </row>
    <row r="27" spans="1:22" s="11" customFormat="1">
      <c r="A27" s="9">
        <v>20</v>
      </c>
      <c r="B27" s="9"/>
      <c r="C27" s="9"/>
      <c r="D27" s="9" t="s">
        <v>41</v>
      </c>
      <c r="E27" s="50" t="s">
        <v>43</v>
      </c>
      <c r="F27" s="50"/>
      <c r="G27" s="51" t="s">
        <v>267</v>
      </c>
      <c r="H27" s="51" t="s">
        <v>192</v>
      </c>
      <c r="I27" s="9" t="s">
        <v>186</v>
      </c>
      <c r="J27" s="9"/>
      <c r="K27" s="9"/>
      <c r="L27" s="9"/>
      <c r="M27" s="9"/>
      <c r="N27" s="9"/>
      <c r="O27" s="9" t="s">
        <v>186</v>
      </c>
      <c r="P27" s="9"/>
      <c r="Q27" s="9" t="s">
        <v>186</v>
      </c>
      <c r="R27" s="9"/>
      <c r="S27" s="42"/>
      <c r="T27" s="52"/>
      <c r="U27" s="150"/>
      <c r="V27" s="151"/>
    </row>
    <row r="28" spans="1:22" s="11" customFormat="1">
      <c r="A28" s="9">
        <v>20</v>
      </c>
      <c r="B28" s="9"/>
      <c r="C28" s="9"/>
      <c r="D28" s="9" t="s">
        <v>49</v>
      </c>
      <c r="E28" s="50" t="s">
        <v>50</v>
      </c>
      <c r="F28" s="50"/>
      <c r="G28" s="51" t="s">
        <v>268</v>
      </c>
      <c r="H28" s="51" t="s">
        <v>193</v>
      </c>
      <c r="I28" s="9" t="s">
        <v>186</v>
      </c>
      <c r="J28" s="9"/>
      <c r="K28" s="9"/>
      <c r="L28" s="9"/>
      <c r="M28" s="9"/>
      <c r="N28" s="9"/>
      <c r="O28" s="9" t="s">
        <v>186</v>
      </c>
      <c r="P28" s="9"/>
      <c r="Q28" s="9" t="s">
        <v>186</v>
      </c>
      <c r="R28" s="9"/>
      <c r="S28" s="42"/>
      <c r="T28" s="52"/>
      <c r="U28" s="150"/>
      <c r="V28" s="151"/>
    </row>
    <row r="29" spans="1:22" s="11" customFormat="1">
      <c r="A29" s="9">
        <v>20</v>
      </c>
      <c r="B29" s="9"/>
      <c r="C29" s="9"/>
      <c r="D29" s="9" t="s">
        <v>45</v>
      </c>
      <c r="E29" s="50" t="s">
        <v>47</v>
      </c>
      <c r="F29" s="50"/>
      <c r="G29" s="51" t="s">
        <v>269</v>
      </c>
      <c r="H29" s="51" t="s">
        <v>194</v>
      </c>
      <c r="I29" s="9" t="s">
        <v>186</v>
      </c>
      <c r="J29" s="9"/>
      <c r="K29" s="9"/>
      <c r="L29" s="9"/>
      <c r="M29" s="9"/>
      <c r="N29" s="9"/>
      <c r="O29" s="9" t="s">
        <v>186</v>
      </c>
      <c r="P29" s="9"/>
      <c r="Q29" s="9" t="s">
        <v>186</v>
      </c>
      <c r="R29" s="9"/>
      <c r="S29" s="42"/>
      <c r="T29" s="52"/>
      <c r="U29" s="150"/>
      <c r="V29" s="151"/>
    </row>
    <row r="30" spans="1:22" s="11" customFormat="1">
      <c r="A30" s="9">
        <v>20</v>
      </c>
      <c r="B30" s="9"/>
      <c r="C30" s="9"/>
      <c r="D30" s="9" t="s">
        <v>83</v>
      </c>
      <c r="E30" s="50" t="s">
        <v>84</v>
      </c>
      <c r="F30" s="50"/>
      <c r="G30" s="51" t="s">
        <v>271</v>
      </c>
      <c r="H30" s="51" t="s">
        <v>200</v>
      </c>
      <c r="I30" s="9" t="s">
        <v>186</v>
      </c>
      <c r="J30" s="9"/>
      <c r="K30" s="9"/>
      <c r="L30" s="9"/>
      <c r="M30" s="9"/>
      <c r="N30" s="9"/>
      <c r="O30" s="9" t="s">
        <v>186</v>
      </c>
      <c r="P30" s="9"/>
      <c r="Q30" s="9" t="s">
        <v>186</v>
      </c>
      <c r="R30" s="9"/>
      <c r="S30" s="42"/>
      <c r="T30" s="52"/>
      <c r="U30" s="150"/>
      <c r="V30" s="151"/>
    </row>
    <row r="31" spans="1:22" s="11" customFormat="1">
      <c r="A31" s="53"/>
      <c r="B31" s="54"/>
      <c r="C31" s="54"/>
      <c r="D31" s="27" t="s">
        <v>1</v>
      </c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4"/>
      <c r="T31" s="4"/>
      <c r="U31" s="6"/>
      <c r="V31" s="23"/>
    </row>
    <row r="32" spans="1:22" s="11" customFormat="1">
      <c r="A32" s="83"/>
      <c r="V32" s="55"/>
    </row>
    <row r="33" spans="1:22" s="11" customFormat="1">
      <c r="A33" s="83"/>
      <c r="V33" s="55"/>
    </row>
    <row r="34" spans="1:22" s="11" customFormat="1">
      <c r="A34" s="83"/>
      <c r="V34" s="55"/>
    </row>
    <row r="35" spans="1:22" s="11" customFormat="1">
      <c r="A35" s="88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20"/>
    </row>
  </sheetData>
  <dataConsolidate/>
  <mergeCells count="17">
    <mergeCell ref="U15:V15"/>
    <mergeCell ref="U12:V12"/>
    <mergeCell ref="U13:V13"/>
    <mergeCell ref="U14:V14"/>
    <mergeCell ref="U30:V30"/>
    <mergeCell ref="U18:V18"/>
    <mergeCell ref="U17:V17"/>
    <mergeCell ref="U16:V16"/>
    <mergeCell ref="U27:V27"/>
    <mergeCell ref="U28:V28"/>
    <mergeCell ref="U29:V29"/>
    <mergeCell ref="U19:V19"/>
    <mergeCell ref="U20:V20"/>
    <mergeCell ref="U23:V23"/>
    <mergeCell ref="U25:V25"/>
    <mergeCell ref="U26:V26"/>
    <mergeCell ref="U24:V24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>
    <pageSetUpPr fitToPage="1"/>
  </sheetPr>
  <dimension ref="A1:R21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9" t="s">
        <v>177</v>
      </c>
      <c r="B1" s="79" t="s">
        <v>177</v>
      </c>
      <c r="C1" s="79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80" t="s">
        <v>177</v>
      </c>
      <c r="B2" s="81"/>
      <c r="C2" s="81"/>
      <c r="D2" s="91" t="s">
        <v>249</v>
      </c>
      <c r="E2" s="7" t="s">
        <v>12</v>
      </c>
      <c r="F2" s="82" t="str">
        <f>IF(LogicCommon!C2="","",LogicCommon!C2)</f>
        <v>MA</v>
      </c>
      <c r="G2" s="7" t="s">
        <v>9</v>
      </c>
      <c r="H2" s="82" t="str">
        <f>IF(LogicCommon!E2="","",LogicCommon!E2)</f>
        <v>MABCL0430</v>
      </c>
      <c r="I2" s="7" t="s">
        <v>178</v>
      </c>
      <c r="J2" s="9" t="s">
        <v>124</v>
      </c>
      <c r="K2" s="7" t="s">
        <v>39</v>
      </c>
      <c r="L2" s="82" t="str">
        <f>IF(LogicCommon!G2="","",LogicCommon!G2)</f>
        <v>MC</v>
      </c>
      <c r="M2" s="5" t="s">
        <v>179</v>
      </c>
      <c r="N2" s="28" t="s">
        <v>245</v>
      </c>
      <c r="O2" s="7"/>
      <c r="P2" s="7"/>
      <c r="Q2" s="4"/>
      <c r="R2" s="27"/>
    </row>
    <row r="3" spans="1:18" s="11" customFormat="1">
      <c r="A3" s="83" t="s">
        <v>177</v>
      </c>
      <c r="B3" s="84"/>
      <c r="C3" s="84"/>
      <c r="D3" s="85" t="str">
        <f>IF(LogicCommon!A3="","",LogicCommon!A3)</f>
        <v/>
      </c>
      <c r="E3" s="7" t="s">
        <v>13</v>
      </c>
      <c r="F3" s="82" t="str">
        <f>IF(LogicCommon!C3="","",LogicCommon!C3)</f>
        <v>MABC</v>
      </c>
      <c r="G3" s="7" t="s">
        <v>10</v>
      </c>
      <c r="H3" s="82" t="str">
        <f>IF(LogicCommon!E3="","",LogicCommon!E3)</f>
        <v>MABCL_BpGrpReg</v>
      </c>
      <c r="I3" s="7" t="s">
        <v>180</v>
      </c>
      <c r="J3" s="9" t="s">
        <v>28</v>
      </c>
      <c r="K3" s="7" t="s">
        <v>40</v>
      </c>
      <c r="L3" s="82" t="str">
        <f>IF(LogicCommon!G3="","",LogicCommon!G3)</f>
        <v/>
      </c>
      <c r="M3" s="86" t="s">
        <v>29</v>
      </c>
      <c r="N3" s="7"/>
      <c r="O3" s="7" t="s">
        <v>181</v>
      </c>
      <c r="P3" s="9" t="s">
        <v>182</v>
      </c>
      <c r="Q3" s="4"/>
      <c r="R3" s="27"/>
    </row>
    <row r="4" spans="1:18" s="11" customFormat="1">
      <c r="A4" s="83" t="s">
        <v>177</v>
      </c>
      <c r="B4" s="84"/>
      <c r="C4" s="84"/>
      <c r="D4" s="4"/>
      <c r="E4" s="7" t="s">
        <v>8</v>
      </c>
      <c r="F4" s="10" t="s">
        <v>240</v>
      </c>
      <c r="G4" s="7" t="s">
        <v>11</v>
      </c>
      <c r="H4" s="82" t="str">
        <f>IF(LogicCommon!E4="","",LogicCommon!E4)</f>
        <v>取引先分類マスタ登録</v>
      </c>
      <c r="I4" s="7" t="s">
        <v>183</v>
      </c>
      <c r="J4" s="9" t="s">
        <v>63</v>
      </c>
      <c r="K4" s="7" t="s">
        <v>5</v>
      </c>
      <c r="L4" s="82" t="str">
        <f>IF(LogicCommon!G4="","",LogicCommon!G4)</f>
        <v>MA.MAUDL5010</v>
      </c>
      <c r="M4" s="87"/>
      <c r="N4" s="28"/>
      <c r="O4" s="14"/>
      <c r="P4" s="4"/>
      <c r="Q4" s="4"/>
      <c r="R4" s="27"/>
    </row>
    <row r="5" spans="1:18" s="11" customFormat="1">
      <c r="A5" s="88" t="s">
        <v>177</v>
      </c>
      <c r="B5" s="79"/>
      <c r="C5" s="79"/>
      <c r="D5" s="26"/>
      <c r="E5" s="7" t="s">
        <v>184</v>
      </c>
      <c r="F5" s="10"/>
      <c r="G5" s="89"/>
      <c r="H5" s="89"/>
      <c r="I5" s="89"/>
      <c r="J5" s="89"/>
      <c r="K5" s="89"/>
      <c r="L5" s="6"/>
      <c r="M5" s="5"/>
      <c r="N5" s="5"/>
      <c r="O5" s="14"/>
      <c r="P5" s="4"/>
      <c r="Q5" s="4"/>
      <c r="R5" s="27"/>
    </row>
    <row r="6" spans="1:18" s="11" customFormat="1">
      <c r="A6" s="83" t="s">
        <v>177</v>
      </c>
      <c r="B6" s="84"/>
      <c r="C6" s="84"/>
      <c r="D6" s="4" t="s">
        <v>6</v>
      </c>
      <c r="E6" s="16" t="s">
        <v>175</v>
      </c>
      <c r="F6" s="16"/>
      <c r="G6" s="16"/>
      <c r="H6" s="16"/>
      <c r="I6" s="16"/>
      <c r="J6" s="16"/>
      <c r="K6" s="16"/>
      <c r="L6" s="90" t="s">
        <v>176</v>
      </c>
      <c r="M6" s="19"/>
      <c r="N6" s="19" t="s">
        <v>176</v>
      </c>
      <c r="O6" s="19"/>
      <c r="P6" s="19"/>
      <c r="Q6" s="19"/>
      <c r="R6" s="27"/>
    </row>
    <row r="7" spans="1:18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100</v>
      </c>
      <c r="M7" s="33" t="s">
        <v>33</v>
      </c>
      <c r="N7" s="32" t="s">
        <v>101</v>
      </c>
      <c r="O7" s="29"/>
      <c r="P7" s="29"/>
      <c r="Q7" s="29"/>
      <c r="R7" s="29"/>
    </row>
    <row r="8" spans="1:18" s="11" customFormat="1" ht="60" customHeight="1">
      <c r="A8" s="50" t="s">
        <v>17</v>
      </c>
      <c r="B8" s="94"/>
      <c r="C8" s="95"/>
      <c r="D8" s="92" t="s">
        <v>250</v>
      </c>
      <c r="E8" s="92" t="s">
        <v>251</v>
      </c>
      <c r="F8" s="90"/>
      <c r="G8" s="92" t="s">
        <v>197</v>
      </c>
      <c r="H8" s="92" t="s">
        <v>252</v>
      </c>
      <c r="I8" s="90"/>
      <c r="J8" s="3"/>
      <c r="K8" s="33" t="s">
        <v>16</v>
      </c>
      <c r="L8" s="35" t="s">
        <v>141</v>
      </c>
      <c r="M8" s="33" t="s">
        <v>16</v>
      </c>
      <c r="N8" s="35" t="s">
        <v>142</v>
      </c>
      <c r="O8" s="96"/>
      <c r="P8" s="97"/>
      <c r="Q8" s="98" t="s">
        <v>253</v>
      </c>
      <c r="R8" s="52"/>
    </row>
    <row r="9" spans="1:18" s="11" customFormat="1" ht="60" customHeight="1">
      <c r="A9" s="9" t="s">
        <v>17</v>
      </c>
      <c r="B9" s="38"/>
      <c r="C9" s="39"/>
      <c r="D9" s="92" t="s">
        <v>254</v>
      </c>
      <c r="E9" s="99" t="s">
        <v>255</v>
      </c>
      <c r="F9" s="92" t="s">
        <v>256</v>
      </c>
      <c r="G9" s="92" t="s">
        <v>257</v>
      </c>
      <c r="H9" s="92" t="s">
        <v>258</v>
      </c>
      <c r="I9" s="100" t="s">
        <v>259</v>
      </c>
      <c r="J9" s="92" t="s">
        <v>260</v>
      </c>
      <c r="K9" s="33"/>
      <c r="L9" s="33"/>
      <c r="M9" s="33"/>
      <c r="N9" s="33"/>
      <c r="O9" s="98" t="s">
        <v>261</v>
      </c>
      <c r="P9" s="52"/>
      <c r="Q9" s="98" t="s">
        <v>262</v>
      </c>
      <c r="R9" s="52"/>
    </row>
    <row r="10" spans="1:18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93" t="s">
        <v>259</v>
      </c>
      <c r="L10" s="93" t="s">
        <v>260</v>
      </c>
      <c r="M10" s="93" t="s">
        <v>259</v>
      </c>
      <c r="N10" s="93" t="s">
        <v>260</v>
      </c>
      <c r="O10" s="43"/>
      <c r="P10" s="43"/>
      <c r="Q10" s="44"/>
      <c r="R10" s="37"/>
    </row>
    <row r="11" spans="1:18" s="11" customFormat="1">
      <c r="A11" s="9">
        <v>10</v>
      </c>
      <c r="B11" s="38" t="s">
        <v>0</v>
      </c>
      <c r="C11" s="39"/>
      <c r="D11" s="28" t="s">
        <v>75</v>
      </c>
      <c r="E11" s="34" t="s">
        <v>21</v>
      </c>
      <c r="F11" s="45"/>
      <c r="G11" s="28" t="s">
        <v>90</v>
      </c>
      <c r="H11" s="56" t="s">
        <v>237</v>
      </c>
      <c r="I11" s="46"/>
      <c r="J11" s="47"/>
      <c r="K11" s="48" t="s">
        <v>238</v>
      </c>
      <c r="L11" s="48"/>
      <c r="M11" s="48" t="s">
        <v>239</v>
      </c>
      <c r="N11" s="48"/>
      <c r="O11" s="36"/>
      <c r="P11" s="37"/>
      <c r="Q11" s="77"/>
      <c r="R11" s="49"/>
    </row>
    <row r="12" spans="1:18" s="11" customFormat="1">
      <c r="A12" s="9">
        <v>10</v>
      </c>
      <c r="B12" s="9"/>
      <c r="C12" s="9"/>
      <c r="D12" s="9" t="s">
        <v>127</v>
      </c>
      <c r="E12" s="50" t="s">
        <v>131</v>
      </c>
      <c r="F12" s="50"/>
      <c r="G12" s="51" t="s">
        <v>263</v>
      </c>
      <c r="H12" s="51" t="s">
        <v>185</v>
      </c>
      <c r="I12" s="9" t="s">
        <v>186</v>
      </c>
      <c r="J12" s="9"/>
      <c r="K12" s="9" t="s">
        <v>186</v>
      </c>
      <c r="L12" s="9"/>
      <c r="M12" s="9" t="s">
        <v>187</v>
      </c>
      <c r="N12" s="9"/>
      <c r="O12" s="42"/>
      <c r="P12" s="52"/>
      <c r="Q12" s="150"/>
      <c r="R12" s="151"/>
    </row>
    <row r="13" spans="1:18" s="11" customFormat="1">
      <c r="A13" s="9">
        <v>10</v>
      </c>
      <c r="B13" s="9"/>
      <c r="C13" s="9"/>
      <c r="D13" s="9" t="s">
        <v>129</v>
      </c>
      <c r="E13" s="50" t="s">
        <v>132</v>
      </c>
      <c r="F13" s="50"/>
      <c r="G13" s="51" t="s">
        <v>264</v>
      </c>
      <c r="H13" s="51" t="s">
        <v>189</v>
      </c>
      <c r="I13" s="9" t="s">
        <v>186</v>
      </c>
      <c r="J13" s="9"/>
      <c r="K13" s="9" t="s">
        <v>186</v>
      </c>
      <c r="L13" s="9"/>
      <c r="M13" s="9" t="s">
        <v>187</v>
      </c>
      <c r="N13" s="9"/>
      <c r="O13" s="42"/>
      <c r="P13" s="52"/>
      <c r="Q13" s="150"/>
      <c r="R13" s="151"/>
    </row>
    <row r="14" spans="1:18" s="11" customFormat="1">
      <c r="A14" s="9">
        <v>10</v>
      </c>
      <c r="B14" s="9"/>
      <c r="C14" s="9"/>
      <c r="D14" s="9" t="s">
        <v>83</v>
      </c>
      <c r="E14" s="50" t="s">
        <v>84</v>
      </c>
      <c r="F14" s="50"/>
      <c r="G14" s="51" t="s">
        <v>271</v>
      </c>
      <c r="H14" s="51" t="s">
        <v>200</v>
      </c>
      <c r="I14" s="9" t="s">
        <v>187</v>
      </c>
      <c r="J14" s="9"/>
      <c r="K14" s="9" t="s">
        <v>187</v>
      </c>
      <c r="L14" s="9"/>
      <c r="M14" s="9" t="s">
        <v>187</v>
      </c>
      <c r="N14" s="9"/>
      <c r="O14" s="44"/>
      <c r="P14" s="37"/>
      <c r="Q14" s="77"/>
      <c r="R14" s="49"/>
    </row>
    <row r="15" spans="1:18" s="11" customFormat="1">
      <c r="A15" s="53"/>
      <c r="B15" s="54"/>
      <c r="C15" s="54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4"/>
      <c r="P15" s="4"/>
      <c r="Q15" s="6"/>
      <c r="R15" s="23"/>
    </row>
    <row r="16" spans="1:18" s="11" customFormat="1">
      <c r="A16" s="83"/>
      <c r="R16" s="55"/>
    </row>
    <row r="17" spans="1:18" s="11" customFormat="1">
      <c r="A17" s="83"/>
      <c r="R17" s="55"/>
    </row>
    <row r="18" spans="1:18" s="11" customFormat="1">
      <c r="A18" s="83"/>
      <c r="R18" s="55"/>
    </row>
    <row r="19" spans="1:18" s="11" customFormat="1">
      <c r="A19" s="83"/>
      <c r="R19" s="55"/>
    </row>
    <row r="20" spans="1:18" s="11" customFormat="1">
      <c r="A20" s="83"/>
      <c r="R20" s="55"/>
    </row>
    <row r="21" spans="1:18" s="11" customFormat="1">
      <c r="A21" s="88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20"/>
    </row>
  </sheetData>
  <dataConsolidate/>
  <mergeCells count="2">
    <mergeCell ref="Q12:R12"/>
    <mergeCell ref="Q13:R13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73" customWidth="1"/>
    <col min="43" max="44" width="2.08984375" style="74" customWidth="1"/>
    <col min="45" max="71" width="2.08984375" style="73" customWidth="1"/>
    <col min="72" max="16384" width="9" style="73"/>
  </cols>
  <sheetData>
    <row r="1" spans="1:57" s="70" customFormat="1" ht="38.25" customHeight="1" thickBot="1">
      <c r="A1" s="141" t="s">
        <v>22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G1" s="142"/>
      <c r="AH1" s="142"/>
      <c r="AI1" s="142"/>
      <c r="AJ1" s="142"/>
      <c r="AK1" s="142"/>
      <c r="AL1" s="142"/>
      <c r="AM1" s="142"/>
      <c r="AN1" s="142"/>
      <c r="AO1" s="142"/>
      <c r="AP1" s="142"/>
      <c r="AQ1" s="142"/>
      <c r="AR1" s="142"/>
      <c r="AS1" s="142"/>
      <c r="AT1" s="142"/>
      <c r="AU1" s="142"/>
      <c r="AV1" s="142"/>
      <c r="AW1" s="142"/>
      <c r="AX1" s="142"/>
      <c r="AY1" s="142"/>
      <c r="AZ1" s="142"/>
      <c r="BA1" s="142"/>
      <c r="BB1" s="142"/>
      <c r="BC1" s="142"/>
      <c r="BD1" s="142"/>
      <c r="BE1" s="143"/>
    </row>
    <row r="2" spans="1:57" s="70" customFormat="1" ht="12" customHeight="1" thickBot="1">
      <c r="A2" s="71"/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71"/>
      <c r="AK2" s="71"/>
      <c r="AL2" s="71"/>
      <c r="AM2" s="71"/>
      <c r="AN2" s="71"/>
      <c r="AO2" s="71"/>
      <c r="AP2" s="71"/>
      <c r="AQ2" s="72"/>
      <c r="AR2" s="72"/>
    </row>
    <row r="3" spans="1:57" ht="15" customHeight="1" thickBot="1">
      <c r="A3" s="109" t="s">
        <v>23</v>
      </c>
      <c r="B3" s="110"/>
      <c r="C3" s="110"/>
      <c r="D3" s="110"/>
      <c r="E3" s="110"/>
      <c r="F3" s="110"/>
      <c r="G3" s="111"/>
      <c r="H3" s="144" t="s">
        <v>24</v>
      </c>
      <c r="I3" s="110"/>
      <c r="J3" s="110"/>
      <c r="K3" s="110"/>
      <c r="L3" s="110"/>
      <c r="M3" s="110"/>
      <c r="N3" s="111"/>
      <c r="O3" s="144" t="s">
        <v>25</v>
      </c>
      <c r="P3" s="145"/>
      <c r="Q3" s="145"/>
      <c r="R3" s="145"/>
      <c r="S3" s="145"/>
      <c r="T3" s="145"/>
      <c r="U3" s="145"/>
      <c r="V3" s="145"/>
      <c r="W3" s="145"/>
      <c r="X3" s="145"/>
      <c r="Y3" s="145"/>
      <c r="Z3" s="145"/>
      <c r="AA3" s="145"/>
      <c r="AB3" s="145"/>
      <c r="AC3" s="145"/>
      <c r="AD3" s="145"/>
      <c r="AE3" s="145"/>
      <c r="AF3" s="145"/>
      <c r="AG3" s="145"/>
      <c r="AH3" s="145"/>
      <c r="AI3" s="145"/>
      <c r="AJ3" s="145"/>
      <c r="AK3" s="145"/>
      <c r="AL3" s="145"/>
      <c r="AM3" s="145"/>
      <c r="AN3" s="145"/>
      <c r="AO3" s="145"/>
      <c r="AP3" s="146"/>
      <c r="AQ3" s="147" t="s">
        <v>26</v>
      </c>
      <c r="AR3" s="148"/>
      <c r="AS3" s="148"/>
      <c r="AT3" s="148"/>
      <c r="AU3" s="148"/>
      <c r="AV3" s="148"/>
      <c r="AW3" s="148"/>
      <c r="AX3" s="148"/>
      <c r="AY3" s="148"/>
      <c r="AZ3" s="148"/>
      <c r="BA3" s="148"/>
      <c r="BB3" s="148"/>
      <c r="BC3" s="148"/>
      <c r="BD3" s="148"/>
      <c r="BE3" s="149"/>
    </row>
    <row r="4" spans="1:57" ht="15" customHeight="1">
      <c r="A4" s="117">
        <v>1</v>
      </c>
      <c r="B4" s="118"/>
      <c r="C4" s="118"/>
      <c r="D4" s="118"/>
      <c r="E4" s="118"/>
      <c r="F4" s="118"/>
      <c r="G4" s="119"/>
      <c r="H4" s="102"/>
      <c r="I4" s="103"/>
      <c r="J4" s="103"/>
      <c r="K4" s="103"/>
      <c r="L4" s="103"/>
      <c r="M4" s="103"/>
      <c r="N4" s="104"/>
      <c r="O4" s="102" t="s">
        <v>27</v>
      </c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  <c r="AF4" s="105"/>
      <c r="AG4" s="105"/>
      <c r="AH4" s="105"/>
      <c r="AI4" s="105"/>
      <c r="AJ4" s="105"/>
      <c r="AK4" s="105"/>
      <c r="AL4" s="105"/>
      <c r="AM4" s="105"/>
      <c r="AN4" s="105"/>
      <c r="AO4" s="105"/>
      <c r="AP4" s="106"/>
      <c r="AQ4" s="107"/>
      <c r="AR4" s="105"/>
      <c r="AS4" s="105"/>
      <c r="AT4" s="105"/>
      <c r="AU4" s="105"/>
      <c r="AV4" s="105"/>
      <c r="AW4" s="105"/>
      <c r="AX4" s="105"/>
      <c r="AY4" s="105"/>
      <c r="AZ4" s="105"/>
      <c r="BA4" s="105"/>
      <c r="BB4" s="105"/>
      <c r="BC4" s="105"/>
      <c r="BD4" s="105"/>
      <c r="BE4" s="108"/>
    </row>
    <row r="5" spans="1:57" ht="15" customHeight="1">
      <c r="A5" s="120">
        <v>1.1000000000000001</v>
      </c>
      <c r="B5" s="121"/>
      <c r="C5" s="121"/>
      <c r="D5" s="121"/>
      <c r="E5" s="121"/>
      <c r="F5" s="121"/>
      <c r="G5" s="122"/>
      <c r="H5" s="112"/>
      <c r="I5" s="123"/>
      <c r="J5" s="123"/>
      <c r="K5" s="123"/>
      <c r="L5" s="123"/>
      <c r="M5" s="123"/>
      <c r="N5" s="124"/>
      <c r="O5" s="125" t="s">
        <v>294</v>
      </c>
      <c r="P5" s="126"/>
      <c r="Q5" s="126"/>
      <c r="R5" s="126"/>
      <c r="S5" s="126"/>
      <c r="T5" s="126"/>
      <c r="U5" s="126"/>
      <c r="V5" s="126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26"/>
      <c r="AP5" s="127"/>
      <c r="AQ5" s="128" t="s">
        <v>295</v>
      </c>
      <c r="AR5" s="129"/>
      <c r="AS5" s="129"/>
      <c r="AT5" s="129"/>
      <c r="AU5" s="129"/>
      <c r="AV5" s="129"/>
      <c r="AW5" s="129"/>
      <c r="AX5" s="129"/>
      <c r="AY5" s="129"/>
      <c r="AZ5" s="129"/>
      <c r="BA5" s="129"/>
      <c r="BB5" s="129"/>
      <c r="BC5" s="129"/>
      <c r="BD5" s="129"/>
      <c r="BE5" s="130"/>
    </row>
    <row r="6" spans="1:57" ht="15" customHeight="1">
      <c r="A6" s="120"/>
      <c r="B6" s="121"/>
      <c r="C6" s="121"/>
      <c r="D6" s="121"/>
      <c r="E6" s="121"/>
      <c r="F6" s="121"/>
      <c r="G6" s="122"/>
      <c r="H6" s="112"/>
      <c r="I6" s="123"/>
      <c r="J6" s="123"/>
      <c r="K6" s="123"/>
      <c r="L6" s="123"/>
      <c r="M6" s="123"/>
      <c r="N6" s="124"/>
      <c r="O6" s="112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3"/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4"/>
      <c r="AQ6" s="115"/>
      <c r="AR6" s="113"/>
      <c r="AS6" s="113"/>
      <c r="AT6" s="113"/>
      <c r="AU6" s="113"/>
      <c r="AV6" s="113"/>
      <c r="AW6" s="113"/>
      <c r="AX6" s="113"/>
      <c r="AY6" s="113"/>
      <c r="AZ6" s="113"/>
      <c r="BA6" s="113"/>
      <c r="BB6" s="113"/>
      <c r="BC6" s="113"/>
      <c r="BD6" s="113"/>
      <c r="BE6" s="116"/>
    </row>
    <row r="7" spans="1:57" ht="15" customHeight="1">
      <c r="A7" s="120"/>
      <c r="B7" s="121"/>
      <c r="C7" s="121"/>
      <c r="D7" s="121"/>
      <c r="E7" s="121"/>
      <c r="F7" s="121"/>
      <c r="G7" s="122"/>
      <c r="H7" s="112"/>
      <c r="I7" s="123"/>
      <c r="J7" s="123"/>
      <c r="K7" s="123"/>
      <c r="L7" s="123"/>
      <c r="M7" s="123"/>
      <c r="N7" s="124"/>
      <c r="O7" s="112"/>
      <c r="P7" s="113"/>
      <c r="Q7" s="113"/>
      <c r="R7" s="113"/>
      <c r="S7" s="113"/>
      <c r="T7" s="113"/>
      <c r="U7" s="113"/>
      <c r="V7" s="113"/>
      <c r="W7" s="113"/>
      <c r="X7" s="113"/>
      <c r="Y7" s="113"/>
      <c r="Z7" s="113"/>
      <c r="AA7" s="113"/>
      <c r="AB7" s="113"/>
      <c r="AC7" s="113"/>
      <c r="AD7" s="113"/>
      <c r="AE7" s="113"/>
      <c r="AF7" s="113"/>
      <c r="AG7" s="113"/>
      <c r="AH7" s="113"/>
      <c r="AI7" s="113"/>
      <c r="AJ7" s="113"/>
      <c r="AK7" s="113"/>
      <c r="AL7" s="113"/>
      <c r="AM7" s="113"/>
      <c r="AN7" s="113"/>
      <c r="AO7" s="113"/>
      <c r="AP7" s="114"/>
      <c r="AQ7" s="115"/>
      <c r="AR7" s="113"/>
      <c r="AS7" s="113"/>
      <c r="AT7" s="113"/>
      <c r="AU7" s="113"/>
      <c r="AV7" s="113"/>
      <c r="AW7" s="113"/>
      <c r="AX7" s="113"/>
      <c r="AY7" s="113"/>
      <c r="AZ7" s="113"/>
      <c r="BA7" s="113"/>
      <c r="BB7" s="113"/>
      <c r="BC7" s="113"/>
      <c r="BD7" s="113"/>
      <c r="BE7" s="116"/>
    </row>
    <row r="8" spans="1:57" ht="15" customHeight="1">
      <c r="A8" s="120"/>
      <c r="B8" s="121"/>
      <c r="C8" s="121"/>
      <c r="D8" s="121"/>
      <c r="E8" s="121"/>
      <c r="F8" s="121"/>
      <c r="G8" s="122"/>
      <c r="H8" s="112"/>
      <c r="I8" s="123"/>
      <c r="J8" s="123"/>
      <c r="K8" s="123"/>
      <c r="L8" s="123"/>
      <c r="M8" s="123"/>
      <c r="N8" s="124"/>
      <c r="O8" s="112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  <c r="AA8" s="113"/>
      <c r="AB8" s="113"/>
      <c r="AC8" s="113"/>
      <c r="AD8" s="113"/>
      <c r="AE8" s="113"/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4"/>
      <c r="AQ8" s="115"/>
      <c r="AR8" s="113"/>
      <c r="AS8" s="113"/>
      <c r="AT8" s="113"/>
      <c r="AU8" s="113"/>
      <c r="AV8" s="113"/>
      <c r="AW8" s="113"/>
      <c r="AX8" s="113"/>
      <c r="AY8" s="113"/>
      <c r="AZ8" s="113"/>
      <c r="BA8" s="113"/>
      <c r="BB8" s="113"/>
      <c r="BC8" s="113"/>
      <c r="BD8" s="113"/>
      <c r="BE8" s="116"/>
    </row>
    <row r="9" spans="1:57" ht="15" customHeight="1">
      <c r="A9" s="120"/>
      <c r="B9" s="121"/>
      <c r="C9" s="121"/>
      <c r="D9" s="121"/>
      <c r="E9" s="121"/>
      <c r="F9" s="121"/>
      <c r="G9" s="122"/>
      <c r="H9" s="112"/>
      <c r="I9" s="123"/>
      <c r="J9" s="123"/>
      <c r="K9" s="123"/>
      <c r="L9" s="123"/>
      <c r="M9" s="123"/>
      <c r="N9" s="124"/>
      <c r="O9" s="112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4"/>
      <c r="AQ9" s="115"/>
      <c r="AR9" s="113"/>
      <c r="AS9" s="113"/>
      <c r="AT9" s="113"/>
      <c r="AU9" s="113"/>
      <c r="AV9" s="113"/>
      <c r="AW9" s="113"/>
      <c r="AX9" s="113"/>
      <c r="AY9" s="113"/>
      <c r="AZ9" s="113"/>
      <c r="BA9" s="113"/>
      <c r="BB9" s="113"/>
      <c r="BC9" s="113"/>
      <c r="BD9" s="113"/>
      <c r="BE9" s="116"/>
    </row>
    <row r="10" spans="1:57" ht="15" customHeight="1">
      <c r="A10" s="120"/>
      <c r="B10" s="121"/>
      <c r="C10" s="121"/>
      <c r="D10" s="121"/>
      <c r="E10" s="121"/>
      <c r="F10" s="121"/>
      <c r="G10" s="122"/>
      <c r="H10" s="112"/>
      <c r="I10" s="123"/>
      <c r="J10" s="123"/>
      <c r="K10" s="123"/>
      <c r="L10" s="123"/>
      <c r="M10" s="123"/>
      <c r="N10" s="124"/>
      <c r="O10" s="112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4"/>
      <c r="AQ10" s="115"/>
      <c r="AR10" s="113"/>
      <c r="AS10" s="113"/>
      <c r="AT10" s="113"/>
      <c r="AU10" s="113"/>
      <c r="AV10" s="113"/>
      <c r="AW10" s="113"/>
      <c r="AX10" s="113"/>
      <c r="AY10" s="113"/>
      <c r="AZ10" s="113"/>
      <c r="BA10" s="113"/>
      <c r="BB10" s="113"/>
      <c r="BC10" s="113"/>
      <c r="BD10" s="113"/>
      <c r="BE10" s="116"/>
    </row>
    <row r="11" spans="1:57" ht="15" customHeight="1">
      <c r="A11" s="120"/>
      <c r="B11" s="121"/>
      <c r="C11" s="121"/>
      <c r="D11" s="121"/>
      <c r="E11" s="121"/>
      <c r="F11" s="121"/>
      <c r="G11" s="122"/>
      <c r="H11" s="112"/>
      <c r="I11" s="123"/>
      <c r="J11" s="123"/>
      <c r="K11" s="123"/>
      <c r="L11" s="123"/>
      <c r="M11" s="123"/>
      <c r="N11" s="124"/>
      <c r="O11" s="112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Z11" s="113"/>
      <c r="AA11" s="113"/>
      <c r="AB11" s="113"/>
      <c r="AC11" s="113"/>
      <c r="AD11" s="113"/>
      <c r="AE11" s="113"/>
      <c r="AF11" s="113"/>
      <c r="AG11" s="113"/>
      <c r="AH11" s="113"/>
      <c r="AI11" s="113"/>
      <c r="AJ11" s="113"/>
      <c r="AK11" s="113"/>
      <c r="AL11" s="113"/>
      <c r="AM11" s="113"/>
      <c r="AN11" s="113"/>
      <c r="AO11" s="113"/>
      <c r="AP11" s="114"/>
      <c r="AQ11" s="115"/>
      <c r="AR11" s="113"/>
      <c r="AS11" s="113"/>
      <c r="AT11" s="113"/>
      <c r="AU11" s="113"/>
      <c r="AV11" s="113"/>
      <c r="AW11" s="113"/>
      <c r="AX11" s="113"/>
      <c r="AY11" s="113"/>
      <c r="AZ11" s="113"/>
      <c r="BA11" s="113"/>
      <c r="BB11" s="113"/>
      <c r="BC11" s="113"/>
      <c r="BD11" s="113"/>
      <c r="BE11" s="116"/>
    </row>
    <row r="12" spans="1:57" ht="15" customHeight="1">
      <c r="A12" s="120"/>
      <c r="B12" s="121"/>
      <c r="C12" s="121"/>
      <c r="D12" s="121"/>
      <c r="E12" s="121"/>
      <c r="F12" s="121"/>
      <c r="G12" s="122"/>
      <c r="H12" s="112"/>
      <c r="I12" s="123"/>
      <c r="J12" s="123"/>
      <c r="K12" s="123"/>
      <c r="L12" s="123"/>
      <c r="M12" s="123"/>
      <c r="N12" s="124"/>
      <c r="O12" s="112"/>
      <c r="P12" s="113"/>
      <c r="Q12" s="113"/>
      <c r="R12" s="113"/>
      <c r="S12" s="113"/>
      <c r="T12" s="113"/>
      <c r="U12" s="113"/>
      <c r="V12" s="113"/>
      <c r="W12" s="113"/>
      <c r="X12" s="113"/>
      <c r="Y12" s="113"/>
      <c r="Z12" s="113"/>
      <c r="AA12" s="113"/>
      <c r="AB12" s="113"/>
      <c r="AC12" s="113"/>
      <c r="AD12" s="113"/>
      <c r="AE12" s="113"/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4"/>
      <c r="AQ12" s="115"/>
      <c r="AR12" s="113"/>
      <c r="AS12" s="113"/>
      <c r="AT12" s="113"/>
      <c r="AU12" s="113"/>
      <c r="AV12" s="113"/>
      <c r="AW12" s="113"/>
      <c r="AX12" s="113"/>
      <c r="AY12" s="113"/>
      <c r="AZ12" s="113"/>
      <c r="BA12" s="113"/>
      <c r="BB12" s="113"/>
      <c r="BC12" s="113"/>
      <c r="BD12" s="113"/>
      <c r="BE12" s="116"/>
    </row>
    <row r="13" spans="1:57" ht="15" customHeight="1">
      <c r="A13" s="120"/>
      <c r="B13" s="121"/>
      <c r="C13" s="121"/>
      <c r="D13" s="121"/>
      <c r="E13" s="121"/>
      <c r="F13" s="121"/>
      <c r="G13" s="122"/>
      <c r="H13" s="112"/>
      <c r="I13" s="123"/>
      <c r="J13" s="123"/>
      <c r="K13" s="123"/>
      <c r="L13" s="123"/>
      <c r="M13" s="123"/>
      <c r="N13" s="124"/>
      <c r="O13" s="112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3"/>
      <c r="AF13" s="113"/>
      <c r="AG13" s="113"/>
      <c r="AH13" s="113"/>
      <c r="AI13" s="113"/>
      <c r="AJ13" s="113"/>
      <c r="AK13" s="113"/>
      <c r="AL13" s="113"/>
      <c r="AM13" s="113"/>
      <c r="AN13" s="113"/>
      <c r="AO13" s="113"/>
      <c r="AP13" s="114"/>
      <c r="AQ13" s="115"/>
      <c r="AR13" s="113"/>
      <c r="AS13" s="113"/>
      <c r="AT13" s="113"/>
      <c r="AU13" s="113"/>
      <c r="AV13" s="113"/>
      <c r="AW13" s="113"/>
      <c r="AX13" s="113"/>
      <c r="AY13" s="113"/>
      <c r="AZ13" s="113"/>
      <c r="BA13" s="113"/>
      <c r="BB13" s="113"/>
      <c r="BC13" s="113"/>
      <c r="BD13" s="113"/>
      <c r="BE13" s="116"/>
    </row>
    <row r="14" spans="1:57" ht="15" customHeight="1">
      <c r="A14" s="120"/>
      <c r="B14" s="121"/>
      <c r="C14" s="121"/>
      <c r="D14" s="121"/>
      <c r="E14" s="121"/>
      <c r="F14" s="121"/>
      <c r="G14" s="122"/>
      <c r="H14" s="112"/>
      <c r="I14" s="123"/>
      <c r="J14" s="123"/>
      <c r="K14" s="123"/>
      <c r="L14" s="123"/>
      <c r="M14" s="123"/>
      <c r="N14" s="124"/>
      <c r="O14" s="112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  <c r="AA14" s="113"/>
      <c r="AB14" s="113"/>
      <c r="AC14" s="113"/>
      <c r="AD14" s="113"/>
      <c r="AE14" s="113"/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4"/>
      <c r="AQ14" s="115"/>
      <c r="AR14" s="113"/>
      <c r="AS14" s="113"/>
      <c r="AT14" s="113"/>
      <c r="AU14" s="113"/>
      <c r="AV14" s="113"/>
      <c r="AW14" s="113"/>
      <c r="AX14" s="113"/>
      <c r="AY14" s="113"/>
      <c r="AZ14" s="113"/>
      <c r="BA14" s="113"/>
      <c r="BB14" s="113"/>
      <c r="BC14" s="113"/>
      <c r="BD14" s="113"/>
      <c r="BE14" s="116"/>
    </row>
    <row r="15" spans="1:57" ht="15" customHeight="1">
      <c r="A15" s="120"/>
      <c r="B15" s="121"/>
      <c r="C15" s="121"/>
      <c r="D15" s="121"/>
      <c r="E15" s="121"/>
      <c r="F15" s="121"/>
      <c r="G15" s="122"/>
      <c r="H15" s="112"/>
      <c r="I15" s="123"/>
      <c r="J15" s="123"/>
      <c r="K15" s="123"/>
      <c r="L15" s="123"/>
      <c r="M15" s="123"/>
      <c r="N15" s="124"/>
      <c r="O15" s="112"/>
      <c r="P15" s="113"/>
      <c r="Q15" s="113"/>
      <c r="R15" s="113"/>
      <c r="S15" s="113"/>
      <c r="T15" s="113"/>
      <c r="U15" s="113"/>
      <c r="V15" s="113"/>
      <c r="W15" s="113"/>
      <c r="X15" s="113"/>
      <c r="Y15" s="113"/>
      <c r="Z15" s="113"/>
      <c r="AA15" s="113"/>
      <c r="AB15" s="113"/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4"/>
      <c r="AQ15" s="115"/>
      <c r="AR15" s="113"/>
      <c r="AS15" s="113"/>
      <c r="AT15" s="113"/>
      <c r="AU15" s="113"/>
      <c r="AV15" s="113"/>
      <c r="AW15" s="113"/>
      <c r="AX15" s="113"/>
      <c r="AY15" s="113"/>
      <c r="AZ15" s="113"/>
      <c r="BA15" s="113"/>
      <c r="BB15" s="113"/>
      <c r="BC15" s="113"/>
      <c r="BD15" s="113"/>
      <c r="BE15" s="116"/>
    </row>
    <row r="16" spans="1:57" ht="15" customHeight="1">
      <c r="A16" s="120"/>
      <c r="B16" s="121"/>
      <c r="C16" s="121"/>
      <c r="D16" s="121"/>
      <c r="E16" s="121"/>
      <c r="F16" s="121"/>
      <c r="G16" s="122"/>
      <c r="H16" s="112"/>
      <c r="I16" s="123"/>
      <c r="J16" s="123"/>
      <c r="K16" s="123"/>
      <c r="L16" s="123"/>
      <c r="M16" s="123"/>
      <c r="N16" s="124"/>
      <c r="O16" s="112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4"/>
      <c r="AQ16" s="115"/>
      <c r="AR16" s="113"/>
      <c r="AS16" s="113"/>
      <c r="AT16" s="113"/>
      <c r="AU16" s="113"/>
      <c r="AV16" s="113"/>
      <c r="AW16" s="113"/>
      <c r="AX16" s="113"/>
      <c r="AY16" s="113"/>
      <c r="AZ16" s="113"/>
      <c r="BA16" s="113"/>
      <c r="BB16" s="113"/>
      <c r="BC16" s="113"/>
      <c r="BD16" s="113"/>
      <c r="BE16" s="116"/>
    </row>
    <row r="17" spans="1:57" ht="15" customHeight="1">
      <c r="A17" s="120"/>
      <c r="B17" s="121"/>
      <c r="C17" s="121"/>
      <c r="D17" s="121"/>
      <c r="E17" s="121"/>
      <c r="F17" s="121"/>
      <c r="G17" s="122"/>
      <c r="H17" s="112"/>
      <c r="I17" s="123"/>
      <c r="J17" s="123"/>
      <c r="K17" s="123"/>
      <c r="L17" s="123"/>
      <c r="M17" s="123"/>
      <c r="N17" s="124"/>
      <c r="O17" s="112"/>
      <c r="P17" s="113"/>
      <c r="Q17" s="113"/>
      <c r="R17" s="113"/>
      <c r="S17" s="113"/>
      <c r="T17" s="113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3"/>
      <c r="AI17" s="113"/>
      <c r="AJ17" s="113"/>
      <c r="AK17" s="113"/>
      <c r="AL17" s="113"/>
      <c r="AM17" s="113"/>
      <c r="AN17" s="113"/>
      <c r="AO17" s="113"/>
      <c r="AP17" s="114"/>
      <c r="AQ17" s="115"/>
      <c r="AR17" s="113"/>
      <c r="AS17" s="113"/>
      <c r="AT17" s="113"/>
      <c r="AU17" s="113"/>
      <c r="AV17" s="113"/>
      <c r="AW17" s="113"/>
      <c r="AX17" s="113"/>
      <c r="AY17" s="113"/>
      <c r="AZ17" s="113"/>
      <c r="BA17" s="113"/>
      <c r="BB17" s="113"/>
      <c r="BC17" s="113"/>
      <c r="BD17" s="113"/>
      <c r="BE17" s="116"/>
    </row>
    <row r="18" spans="1:57" ht="15" customHeight="1">
      <c r="A18" s="120"/>
      <c r="B18" s="121"/>
      <c r="C18" s="121"/>
      <c r="D18" s="121"/>
      <c r="E18" s="121"/>
      <c r="F18" s="121"/>
      <c r="G18" s="122"/>
      <c r="H18" s="112"/>
      <c r="I18" s="123"/>
      <c r="J18" s="123"/>
      <c r="K18" s="123"/>
      <c r="L18" s="123"/>
      <c r="M18" s="123"/>
      <c r="N18" s="124"/>
      <c r="O18" s="112"/>
      <c r="P18" s="113"/>
      <c r="Q18" s="113"/>
      <c r="R18" s="113"/>
      <c r="S18" s="113"/>
      <c r="T18" s="113"/>
      <c r="U18" s="113"/>
      <c r="V18" s="113"/>
      <c r="W18" s="113"/>
      <c r="X18" s="113"/>
      <c r="Y18" s="113"/>
      <c r="Z18" s="113"/>
      <c r="AA18" s="113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4"/>
      <c r="AQ18" s="115"/>
      <c r="AR18" s="113"/>
      <c r="AS18" s="113"/>
      <c r="AT18" s="113"/>
      <c r="AU18" s="113"/>
      <c r="AV18" s="113"/>
      <c r="AW18" s="113"/>
      <c r="AX18" s="113"/>
      <c r="AY18" s="113"/>
      <c r="AZ18" s="113"/>
      <c r="BA18" s="113"/>
      <c r="BB18" s="113"/>
      <c r="BC18" s="113"/>
      <c r="BD18" s="113"/>
      <c r="BE18" s="116"/>
    </row>
    <row r="19" spans="1:57" ht="15" customHeight="1">
      <c r="A19" s="120"/>
      <c r="B19" s="121"/>
      <c r="C19" s="121"/>
      <c r="D19" s="121"/>
      <c r="E19" s="121"/>
      <c r="F19" s="121"/>
      <c r="G19" s="122"/>
      <c r="H19" s="112"/>
      <c r="I19" s="123"/>
      <c r="J19" s="123"/>
      <c r="K19" s="123"/>
      <c r="L19" s="123"/>
      <c r="M19" s="123"/>
      <c r="N19" s="124"/>
      <c r="O19" s="112"/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  <c r="AA19" s="113"/>
      <c r="AB19" s="113"/>
      <c r="AC19" s="113"/>
      <c r="AD19" s="113"/>
      <c r="AE19" s="113"/>
      <c r="AF19" s="113"/>
      <c r="AG19" s="113"/>
      <c r="AH19" s="113"/>
      <c r="AI19" s="113"/>
      <c r="AJ19" s="113"/>
      <c r="AK19" s="113"/>
      <c r="AL19" s="113"/>
      <c r="AM19" s="113"/>
      <c r="AN19" s="113"/>
      <c r="AO19" s="113"/>
      <c r="AP19" s="114"/>
      <c r="AQ19" s="115"/>
      <c r="AR19" s="113"/>
      <c r="AS19" s="113"/>
      <c r="AT19" s="113"/>
      <c r="AU19" s="113"/>
      <c r="AV19" s="113"/>
      <c r="AW19" s="113"/>
      <c r="AX19" s="113"/>
      <c r="AY19" s="113"/>
      <c r="AZ19" s="113"/>
      <c r="BA19" s="113"/>
      <c r="BB19" s="113"/>
      <c r="BC19" s="113"/>
      <c r="BD19" s="113"/>
      <c r="BE19" s="116"/>
    </row>
    <row r="20" spans="1:57" ht="15" customHeight="1">
      <c r="A20" s="120"/>
      <c r="B20" s="121"/>
      <c r="C20" s="121"/>
      <c r="D20" s="121"/>
      <c r="E20" s="121"/>
      <c r="F20" s="121"/>
      <c r="G20" s="122"/>
      <c r="H20" s="112"/>
      <c r="I20" s="123"/>
      <c r="J20" s="123"/>
      <c r="K20" s="123"/>
      <c r="L20" s="123"/>
      <c r="M20" s="123"/>
      <c r="N20" s="124"/>
      <c r="O20" s="112"/>
      <c r="P20" s="113"/>
      <c r="Q20" s="113"/>
      <c r="R20" s="113"/>
      <c r="S20" s="113"/>
      <c r="T20" s="113"/>
      <c r="U20" s="113"/>
      <c r="V20" s="113"/>
      <c r="W20" s="113"/>
      <c r="X20" s="113"/>
      <c r="Y20" s="113"/>
      <c r="Z20" s="113"/>
      <c r="AA20" s="113"/>
      <c r="AB20" s="113"/>
      <c r="AC20" s="113"/>
      <c r="AD20" s="113"/>
      <c r="AE20" s="113"/>
      <c r="AF20" s="113"/>
      <c r="AG20" s="113"/>
      <c r="AH20" s="113"/>
      <c r="AI20" s="113"/>
      <c r="AJ20" s="113"/>
      <c r="AK20" s="113"/>
      <c r="AL20" s="113"/>
      <c r="AM20" s="113"/>
      <c r="AN20" s="113"/>
      <c r="AO20" s="113"/>
      <c r="AP20" s="114"/>
      <c r="AQ20" s="115"/>
      <c r="AR20" s="113"/>
      <c r="AS20" s="113"/>
      <c r="AT20" s="113"/>
      <c r="AU20" s="113"/>
      <c r="AV20" s="113"/>
      <c r="AW20" s="113"/>
      <c r="AX20" s="113"/>
      <c r="AY20" s="113"/>
      <c r="AZ20" s="113"/>
      <c r="BA20" s="113"/>
      <c r="BB20" s="113"/>
      <c r="BC20" s="113"/>
      <c r="BD20" s="113"/>
      <c r="BE20" s="116"/>
    </row>
    <row r="21" spans="1:57" ht="15" customHeight="1">
      <c r="A21" s="120"/>
      <c r="B21" s="121"/>
      <c r="C21" s="121"/>
      <c r="D21" s="121"/>
      <c r="E21" s="121"/>
      <c r="F21" s="121"/>
      <c r="G21" s="122"/>
      <c r="H21" s="112"/>
      <c r="I21" s="123"/>
      <c r="J21" s="123"/>
      <c r="K21" s="123"/>
      <c r="L21" s="123"/>
      <c r="M21" s="123"/>
      <c r="N21" s="124"/>
      <c r="O21" s="112"/>
      <c r="P21" s="113"/>
      <c r="Q21" s="113"/>
      <c r="R21" s="113"/>
      <c r="S21" s="113"/>
      <c r="T21" s="113"/>
      <c r="U21" s="113"/>
      <c r="V21" s="113"/>
      <c r="W21" s="113"/>
      <c r="X21" s="113"/>
      <c r="Y21" s="113"/>
      <c r="Z21" s="113"/>
      <c r="AA21" s="113"/>
      <c r="AB21" s="113"/>
      <c r="AC21" s="113"/>
      <c r="AD21" s="113"/>
      <c r="AE21" s="113"/>
      <c r="AF21" s="113"/>
      <c r="AG21" s="113"/>
      <c r="AH21" s="113"/>
      <c r="AI21" s="113"/>
      <c r="AJ21" s="113"/>
      <c r="AK21" s="113"/>
      <c r="AL21" s="113"/>
      <c r="AM21" s="113"/>
      <c r="AN21" s="113"/>
      <c r="AO21" s="113"/>
      <c r="AP21" s="114"/>
      <c r="AQ21" s="115"/>
      <c r="AR21" s="113"/>
      <c r="AS21" s="113"/>
      <c r="AT21" s="113"/>
      <c r="AU21" s="113"/>
      <c r="AV21" s="113"/>
      <c r="AW21" s="113"/>
      <c r="AX21" s="113"/>
      <c r="AY21" s="113"/>
      <c r="AZ21" s="113"/>
      <c r="BA21" s="113"/>
      <c r="BB21" s="113"/>
      <c r="BC21" s="113"/>
      <c r="BD21" s="113"/>
      <c r="BE21" s="116"/>
    </row>
    <row r="22" spans="1:57" ht="15" customHeight="1">
      <c r="A22" s="120"/>
      <c r="B22" s="121"/>
      <c r="C22" s="121"/>
      <c r="D22" s="121"/>
      <c r="E22" s="121"/>
      <c r="F22" s="121"/>
      <c r="G22" s="122"/>
      <c r="H22" s="112"/>
      <c r="I22" s="123"/>
      <c r="J22" s="123"/>
      <c r="K22" s="123"/>
      <c r="L22" s="123"/>
      <c r="M22" s="123"/>
      <c r="N22" s="124"/>
      <c r="O22" s="112"/>
      <c r="P22" s="113"/>
      <c r="Q22" s="113"/>
      <c r="R22" s="113"/>
      <c r="S22" s="113"/>
      <c r="T22" s="113"/>
      <c r="U22" s="113"/>
      <c r="V22" s="113"/>
      <c r="W22" s="113"/>
      <c r="X22" s="113"/>
      <c r="Y22" s="113"/>
      <c r="Z22" s="113"/>
      <c r="AA22" s="113"/>
      <c r="AB22" s="113"/>
      <c r="AC22" s="113"/>
      <c r="AD22" s="113"/>
      <c r="AE22" s="113"/>
      <c r="AF22" s="113"/>
      <c r="AG22" s="113"/>
      <c r="AH22" s="113"/>
      <c r="AI22" s="113"/>
      <c r="AJ22" s="113"/>
      <c r="AK22" s="113"/>
      <c r="AL22" s="113"/>
      <c r="AM22" s="113"/>
      <c r="AN22" s="113"/>
      <c r="AO22" s="113"/>
      <c r="AP22" s="114"/>
      <c r="AQ22" s="115"/>
      <c r="AR22" s="113"/>
      <c r="AS22" s="113"/>
      <c r="AT22" s="113"/>
      <c r="AU22" s="113"/>
      <c r="AV22" s="113"/>
      <c r="AW22" s="113"/>
      <c r="AX22" s="113"/>
      <c r="AY22" s="113"/>
      <c r="AZ22" s="113"/>
      <c r="BA22" s="113"/>
      <c r="BB22" s="113"/>
      <c r="BC22" s="113"/>
      <c r="BD22" s="113"/>
      <c r="BE22" s="116"/>
    </row>
    <row r="23" spans="1:57" ht="15" customHeight="1">
      <c r="A23" s="120"/>
      <c r="B23" s="121"/>
      <c r="C23" s="121"/>
      <c r="D23" s="121"/>
      <c r="E23" s="121"/>
      <c r="F23" s="121"/>
      <c r="G23" s="122"/>
      <c r="H23" s="112"/>
      <c r="I23" s="123"/>
      <c r="J23" s="123"/>
      <c r="K23" s="123"/>
      <c r="L23" s="123"/>
      <c r="M23" s="123"/>
      <c r="N23" s="124"/>
      <c r="O23" s="112"/>
      <c r="P23" s="113"/>
      <c r="Q23" s="113"/>
      <c r="R23" s="113"/>
      <c r="S23" s="113"/>
      <c r="T23" s="113"/>
      <c r="U23" s="113"/>
      <c r="V23" s="113"/>
      <c r="W23" s="113"/>
      <c r="X23" s="113"/>
      <c r="Y23" s="113"/>
      <c r="Z23" s="113"/>
      <c r="AA23" s="113"/>
      <c r="AB23" s="113"/>
      <c r="AC23" s="113"/>
      <c r="AD23" s="113"/>
      <c r="AE23" s="113"/>
      <c r="AF23" s="113"/>
      <c r="AG23" s="113"/>
      <c r="AH23" s="113"/>
      <c r="AI23" s="113"/>
      <c r="AJ23" s="113"/>
      <c r="AK23" s="113"/>
      <c r="AL23" s="113"/>
      <c r="AM23" s="113"/>
      <c r="AN23" s="113"/>
      <c r="AO23" s="113"/>
      <c r="AP23" s="114"/>
      <c r="AQ23" s="115"/>
      <c r="AR23" s="113"/>
      <c r="AS23" s="113"/>
      <c r="AT23" s="113"/>
      <c r="AU23" s="113"/>
      <c r="AV23" s="113"/>
      <c r="AW23" s="113"/>
      <c r="AX23" s="113"/>
      <c r="AY23" s="113"/>
      <c r="AZ23" s="113"/>
      <c r="BA23" s="113"/>
      <c r="BB23" s="113"/>
      <c r="BC23" s="113"/>
      <c r="BD23" s="113"/>
      <c r="BE23" s="116"/>
    </row>
    <row r="24" spans="1:57" ht="15" customHeight="1">
      <c r="A24" s="120"/>
      <c r="B24" s="121"/>
      <c r="C24" s="121"/>
      <c r="D24" s="121"/>
      <c r="E24" s="121"/>
      <c r="F24" s="121"/>
      <c r="G24" s="122"/>
      <c r="H24" s="112"/>
      <c r="I24" s="123"/>
      <c r="J24" s="123"/>
      <c r="K24" s="123"/>
      <c r="L24" s="123"/>
      <c r="M24" s="123"/>
      <c r="N24" s="124"/>
      <c r="O24" s="112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Z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  <c r="AM24" s="113"/>
      <c r="AN24" s="113"/>
      <c r="AO24" s="113"/>
      <c r="AP24" s="114"/>
      <c r="AQ24" s="115"/>
      <c r="AR24" s="113"/>
      <c r="AS24" s="113"/>
      <c r="AT24" s="113"/>
      <c r="AU24" s="113"/>
      <c r="AV24" s="113"/>
      <c r="AW24" s="113"/>
      <c r="AX24" s="113"/>
      <c r="AY24" s="113"/>
      <c r="AZ24" s="113"/>
      <c r="BA24" s="113"/>
      <c r="BB24" s="113"/>
      <c r="BC24" s="113"/>
      <c r="BD24" s="113"/>
      <c r="BE24" s="116"/>
    </row>
    <row r="25" spans="1:57" ht="15" customHeight="1">
      <c r="A25" s="120"/>
      <c r="B25" s="121"/>
      <c r="C25" s="121"/>
      <c r="D25" s="121"/>
      <c r="E25" s="121"/>
      <c r="F25" s="121"/>
      <c r="G25" s="122"/>
      <c r="H25" s="112"/>
      <c r="I25" s="123"/>
      <c r="J25" s="123"/>
      <c r="K25" s="123"/>
      <c r="L25" s="123"/>
      <c r="M25" s="123"/>
      <c r="N25" s="124"/>
      <c r="O25" s="112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4"/>
      <c r="AQ25" s="115"/>
      <c r="AR25" s="113"/>
      <c r="AS25" s="113"/>
      <c r="AT25" s="113"/>
      <c r="AU25" s="113"/>
      <c r="AV25" s="113"/>
      <c r="AW25" s="113"/>
      <c r="AX25" s="113"/>
      <c r="AY25" s="113"/>
      <c r="AZ25" s="113"/>
      <c r="BA25" s="113"/>
      <c r="BB25" s="113"/>
      <c r="BC25" s="113"/>
      <c r="BD25" s="113"/>
      <c r="BE25" s="116"/>
    </row>
    <row r="26" spans="1:57" ht="15" customHeight="1">
      <c r="A26" s="120"/>
      <c r="B26" s="121"/>
      <c r="C26" s="121"/>
      <c r="D26" s="121"/>
      <c r="E26" s="121"/>
      <c r="F26" s="121"/>
      <c r="G26" s="122"/>
      <c r="H26" s="112"/>
      <c r="I26" s="123"/>
      <c r="J26" s="123"/>
      <c r="K26" s="123"/>
      <c r="L26" s="123"/>
      <c r="M26" s="123"/>
      <c r="N26" s="124"/>
      <c r="O26" s="112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  <c r="AM26" s="113"/>
      <c r="AN26" s="113"/>
      <c r="AO26" s="113"/>
      <c r="AP26" s="114"/>
      <c r="AQ26" s="115"/>
      <c r="AR26" s="113"/>
      <c r="AS26" s="113"/>
      <c r="AT26" s="113"/>
      <c r="AU26" s="113"/>
      <c r="AV26" s="113"/>
      <c r="AW26" s="113"/>
      <c r="AX26" s="113"/>
      <c r="AY26" s="113"/>
      <c r="AZ26" s="113"/>
      <c r="BA26" s="113"/>
      <c r="BB26" s="113"/>
      <c r="BC26" s="113"/>
      <c r="BD26" s="113"/>
      <c r="BE26" s="116"/>
    </row>
    <row r="27" spans="1:57" ht="15" customHeight="1">
      <c r="A27" s="120"/>
      <c r="B27" s="121"/>
      <c r="C27" s="121"/>
      <c r="D27" s="121"/>
      <c r="E27" s="121"/>
      <c r="F27" s="121"/>
      <c r="G27" s="122"/>
      <c r="H27" s="112"/>
      <c r="I27" s="123"/>
      <c r="J27" s="123"/>
      <c r="K27" s="123"/>
      <c r="L27" s="123"/>
      <c r="M27" s="123"/>
      <c r="N27" s="124"/>
      <c r="O27" s="112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Z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  <c r="AM27" s="113"/>
      <c r="AN27" s="113"/>
      <c r="AO27" s="113"/>
      <c r="AP27" s="114"/>
      <c r="AQ27" s="115"/>
      <c r="AR27" s="113"/>
      <c r="AS27" s="113"/>
      <c r="AT27" s="113"/>
      <c r="AU27" s="113"/>
      <c r="AV27" s="113"/>
      <c r="AW27" s="113"/>
      <c r="AX27" s="113"/>
      <c r="AY27" s="113"/>
      <c r="AZ27" s="113"/>
      <c r="BA27" s="113"/>
      <c r="BB27" s="113"/>
      <c r="BC27" s="113"/>
      <c r="BD27" s="113"/>
      <c r="BE27" s="116"/>
    </row>
    <row r="28" spans="1:57" ht="15" customHeight="1">
      <c r="A28" s="120"/>
      <c r="B28" s="121"/>
      <c r="C28" s="121"/>
      <c r="D28" s="121"/>
      <c r="E28" s="121"/>
      <c r="F28" s="121"/>
      <c r="G28" s="122"/>
      <c r="H28" s="112"/>
      <c r="I28" s="123"/>
      <c r="J28" s="123"/>
      <c r="K28" s="123"/>
      <c r="L28" s="123"/>
      <c r="M28" s="123"/>
      <c r="N28" s="124"/>
      <c r="O28" s="112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Z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/>
      <c r="AN28" s="113"/>
      <c r="AO28" s="113"/>
      <c r="AP28" s="114"/>
      <c r="AQ28" s="115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/>
      <c r="BB28" s="113"/>
      <c r="BC28" s="113"/>
      <c r="BD28" s="113"/>
      <c r="BE28" s="116"/>
    </row>
    <row r="29" spans="1:57" ht="15" customHeight="1">
      <c r="A29" s="120"/>
      <c r="B29" s="121"/>
      <c r="C29" s="121"/>
      <c r="D29" s="121"/>
      <c r="E29" s="121"/>
      <c r="F29" s="121"/>
      <c r="G29" s="122"/>
      <c r="H29" s="112"/>
      <c r="I29" s="123"/>
      <c r="J29" s="123"/>
      <c r="K29" s="123"/>
      <c r="L29" s="123"/>
      <c r="M29" s="123"/>
      <c r="N29" s="124"/>
      <c r="O29" s="112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Z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  <c r="AM29" s="113"/>
      <c r="AN29" s="113"/>
      <c r="AO29" s="113"/>
      <c r="AP29" s="114"/>
      <c r="AQ29" s="115"/>
      <c r="AR29" s="113"/>
      <c r="AS29" s="113"/>
      <c r="AT29" s="113"/>
      <c r="AU29" s="113"/>
      <c r="AV29" s="113"/>
      <c r="AW29" s="113"/>
      <c r="AX29" s="113"/>
      <c r="AY29" s="113"/>
      <c r="AZ29" s="113"/>
      <c r="BA29" s="113"/>
      <c r="BB29" s="113"/>
      <c r="BC29" s="113"/>
      <c r="BD29" s="113"/>
      <c r="BE29" s="116"/>
    </row>
    <row r="30" spans="1:57" ht="15" customHeight="1">
      <c r="A30" s="120"/>
      <c r="B30" s="121"/>
      <c r="C30" s="121"/>
      <c r="D30" s="121"/>
      <c r="E30" s="121"/>
      <c r="F30" s="121"/>
      <c r="G30" s="122"/>
      <c r="H30" s="112"/>
      <c r="I30" s="123"/>
      <c r="J30" s="123"/>
      <c r="K30" s="123"/>
      <c r="L30" s="123"/>
      <c r="M30" s="123"/>
      <c r="N30" s="124"/>
      <c r="O30" s="112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3"/>
      <c r="AO30" s="113"/>
      <c r="AP30" s="114"/>
      <c r="AQ30" s="115"/>
      <c r="AR30" s="113"/>
      <c r="AS30" s="113"/>
      <c r="AT30" s="113"/>
      <c r="AU30" s="113"/>
      <c r="AV30" s="113"/>
      <c r="AW30" s="113"/>
      <c r="AX30" s="113"/>
      <c r="AY30" s="113"/>
      <c r="AZ30" s="113"/>
      <c r="BA30" s="113"/>
      <c r="BB30" s="113"/>
      <c r="BC30" s="113"/>
      <c r="BD30" s="113"/>
      <c r="BE30" s="116"/>
    </row>
    <row r="31" spans="1:57" ht="15" customHeight="1">
      <c r="A31" s="120"/>
      <c r="B31" s="121"/>
      <c r="C31" s="121"/>
      <c r="D31" s="121"/>
      <c r="E31" s="121"/>
      <c r="F31" s="121"/>
      <c r="G31" s="122"/>
      <c r="H31" s="112"/>
      <c r="I31" s="123"/>
      <c r="J31" s="123"/>
      <c r="K31" s="123"/>
      <c r="L31" s="123"/>
      <c r="M31" s="123"/>
      <c r="N31" s="124"/>
      <c r="O31" s="112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Z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  <c r="AM31" s="113"/>
      <c r="AN31" s="113"/>
      <c r="AO31" s="113"/>
      <c r="AP31" s="114"/>
      <c r="AQ31" s="115"/>
      <c r="AR31" s="113"/>
      <c r="AS31" s="113"/>
      <c r="AT31" s="113"/>
      <c r="AU31" s="113"/>
      <c r="AV31" s="113"/>
      <c r="AW31" s="113"/>
      <c r="AX31" s="113"/>
      <c r="AY31" s="113"/>
      <c r="AZ31" s="113"/>
      <c r="BA31" s="113"/>
      <c r="BB31" s="113"/>
      <c r="BC31" s="113"/>
      <c r="BD31" s="113"/>
      <c r="BE31" s="116"/>
    </row>
    <row r="32" spans="1:57" ht="15" customHeight="1">
      <c r="A32" s="120"/>
      <c r="B32" s="121"/>
      <c r="C32" s="121"/>
      <c r="D32" s="121"/>
      <c r="E32" s="121"/>
      <c r="F32" s="121"/>
      <c r="G32" s="122"/>
      <c r="H32" s="112"/>
      <c r="I32" s="123"/>
      <c r="J32" s="123"/>
      <c r="K32" s="123"/>
      <c r="L32" s="123"/>
      <c r="M32" s="123"/>
      <c r="N32" s="124"/>
      <c r="O32" s="112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Z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  <c r="AM32" s="113"/>
      <c r="AN32" s="113"/>
      <c r="AO32" s="113"/>
      <c r="AP32" s="114"/>
      <c r="AQ32" s="115"/>
      <c r="AR32" s="113"/>
      <c r="AS32" s="113"/>
      <c r="AT32" s="113"/>
      <c r="AU32" s="113"/>
      <c r="AV32" s="113"/>
      <c r="AW32" s="113"/>
      <c r="AX32" s="113"/>
      <c r="AY32" s="113"/>
      <c r="AZ32" s="113"/>
      <c r="BA32" s="113"/>
      <c r="BB32" s="113"/>
      <c r="BC32" s="113"/>
      <c r="BD32" s="113"/>
      <c r="BE32" s="116"/>
    </row>
    <row r="33" spans="1:57" ht="15" customHeight="1">
      <c r="A33" s="120"/>
      <c r="B33" s="121"/>
      <c r="C33" s="121"/>
      <c r="D33" s="121"/>
      <c r="E33" s="121"/>
      <c r="F33" s="121"/>
      <c r="G33" s="122"/>
      <c r="H33" s="112"/>
      <c r="I33" s="123"/>
      <c r="J33" s="123"/>
      <c r="K33" s="123"/>
      <c r="L33" s="123"/>
      <c r="M33" s="123"/>
      <c r="N33" s="124"/>
      <c r="O33" s="112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Z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  <c r="AM33" s="113"/>
      <c r="AN33" s="113"/>
      <c r="AO33" s="113"/>
      <c r="AP33" s="114"/>
      <c r="AQ33" s="115"/>
      <c r="AR33" s="113"/>
      <c r="AS33" s="113"/>
      <c r="AT33" s="113"/>
      <c r="AU33" s="113"/>
      <c r="AV33" s="113"/>
      <c r="AW33" s="113"/>
      <c r="AX33" s="113"/>
      <c r="AY33" s="113"/>
      <c r="AZ33" s="113"/>
      <c r="BA33" s="113"/>
      <c r="BB33" s="113"/>
      <c r="BC33" s="113"/>
      <c r="BD33" s="113"/>
      <c r="BE33" s="116"/>
    </row>
    <row r="34" spans="1:57" ht="15" customHeight="1">
      <c r="A34" s="120"/>
      <c r="B34" s="121"/>
      <c r="C34" s="121"/>
      <c r="D34" s="121"/>
      <c r="E34" s="121"/>
      <c r="F34" s="121"/>
      <c r="G34" s="122"/>
      <c r="H34" s="112"/>
      <c r="I34" s="123"/>
      <c r="J34" s="123"/>
      <c r="K34" s="123"/>
      <c r="L34" s="123"/>
      <c r="M34" s="123"/>
      <c r="N34" s="124"/>
      <c r="O34" s="112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4"/>
      <c r="AQ34" s="115"/>
      <c r="AR34" s="113"/>
      <c r="AS34" s="113"/>
      <c r="AT34" s="113"/>
      <c r="AU34" s="113"/>
      <c r="AV34" s="113"/>
      <c r="AW34" s="113"/>
      <c r="AX34" s="113"/>
      <c r="AY34" s="113"/>
      <c r="AZ34" s="113"/>
      <c r="BA34" s="113"/>
      <c r="BB34" s="113"/>
      <c r="BC34" s="113"/>
      <c r="BD34" s="113"/>
      <c r="BE34" s="116"/>
    </row>
    <row r="35" spans="1:57" ht="15" customHeight="1" thickBot="1">
      <c r="A35" s="138"/>
      <c r="B35" s="139"/>
      <c r="C35" s="139"/>
      <c r="D35" s="139"/>
      <c r="E35" s="139"/>
      <c r="F35" s="139"/>
      <c r="G35" s="140"/>
      <c r="H35" s="131"/>
      <c r="I35" s="132"/>
      <c r="J35" s="132"/>
      <c r="K35" s="132"/>
      <c r="L35" s="132"/>
      <c r="M35" s="132"/>
      <c r="N35" s="133"/>
      <c r="O35" s="131"/>
      <c r="P35" s="134"/>
      <c r="Q35" s="134"/>
      <c r="R35" s="134"/>
      <c r="S35" s="134"/>
      <c r="T35" s="134"/>
      <c r="U35" s="134"/>
      <c r="V35" s="134"/>
      <c r="W35" s="134"/>
      <c r="X35" s="134"/>
      <c r="Y35" s="134"/>
      <c r="Z35" s="134"/>
      <c r="AA35" s="134"/>
      <c r="AB35" s="134"/>
      <c r="AC35" s="134"/>
      <c r="AD35" s="134"/>
      <c r="AE35" s="134"/>
      <c r="AF35" s="134"/>
      <c r="AG35" s="134"/>
      <c r="AH35" s="134"/>
      <c r="AI35" s="134"/>
      <c r="AJ35" s="134"/>
      <c r="AK35" s="134"/>
      <c r="AL35" s="134"/>
      <c r="AM35" s="134"/>
      <c r="AN35" s="134"/>
      <c r="AO35" s="134"/>
      <c r="AP35" s="135"/>
      <c r="AQ35" s="136"/>
      <c r="AR35" s="134"/>
      <c r="AS35" s="134"/>
      <c r="AT35" s="134"/>
      <c r="AU35" s="134"/>
      <c r="AV35" s="134"/>
      <c r="AW35" s="134"/>
      <c r="AX35" s="134"/>
      <c r="AY35" s="134"/>
      <c r="AZ35" s="134"/>
      <c r="BA35" s="134"/>
      <c r="BB35" s="134"/>
      <c r="BC35" s="134"/>
      <c r="BD35" s="134"/>
      <c r="BE35" s="137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LogicCommon</vt:lpstr>
      <vt:lpstr>BpGrp_UpdChk01</vt:lpstr>
      <vt:lpstr>BpGrp_Upd01</vt:lpstr>
      <vt:lpstr>BpGrpLcl_UpdChk01</vt:lpstr>
      <vt:lpstr>BpGrpLcl_Upd01</vt:lpstr>
      <vt:lpstr>BpGrp_DelChk01</vt:lpstr>
      <vt:lpstr>BpGrp_Del01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2026-03-27T05:42:36Z</dcterms:modified>
  <cp:category/>
</cp:coreProperties>
</file>