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C180F0A2-DAE1-4EA4-93C6-C3949CBA8CDE}" xr6:coauthVersionLast="47" xr6:coauthVersionMax="47" xr10:uidLastSave="{00000000-0000-0000-0000-000000000000}"/>
  <bookViews>
    <workbookView xWindow="1710" yWindow="1710" windowWidth="21600" windowHeight="11265" tabRatio="755" firstSheet="2" activeTab="8" xr2:uid="{00000000-000D-0000-FFFF-FFFF00000000}"/>
  </bookViews>
  <sheets>
    <sheet name="LogicCommon" sheetId="1" r:id="rId1"/>
    <sheet name="JnlKeyMap_UpdChk01" sheetId="2" r:id="rId2"/>
    <sheet name="JnlKeyMap_Upd01" sheetId="3" r:id="rId3"/>
    <sheet name="JnlKeyMap_DelChk01" sheetId="4" r:id="rId4"/>
    <sheet name="JnlKeyMap_Del01" sheetId="5" r:id="rId5"/>
    <sheet name="Srch01" sheetId="6" r:id="rId6"/>
    <sheet name="Upd01" sheetId="7" r:id="rId7"/>
    <sheet name="Del01" sheetId="8" r:id="rId8"/>
    <sheet name="来歴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N2" i="4" s="1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N2" i="2" s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<sst xmlns="http://schemas.openxmlformats.org/spreadsheetml/2006/main" count="1045" uniqueCount="272">
  <si>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</si>
  <si>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</si>
  <si>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MA</t>
    <phoneticPr fontId="2"/>
  </si>
  <si>
    <t>LogicID :</t>
    <phoneticPr fontId="2"/>
  </si>
  <si>
    <t>Pj.ID :</t>
    <phoneticPr fontId="2"/>
  </si>
  <si>
    <t>MC</t>
  </si>
  <si>
    <t>SubModuleID :</t>
    <phoneticPr fontId="2"/>
  </si>
  <si>
    <t>LogicClass :</t>
    <phoneticPr fontId="2"/>
  </si>
  <si>
    <t>SuperClassPj.ID :</t>
    <phoneticPr fontId="2"/>
  </si>
  <si>
    <t>Version :</t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</si>
  <si>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</si>
  <si>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</si>
  <si>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</si>
  <si>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</si>
  <si>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L</t>
    <phoneticPr fontId="2"/>
  </si>
  <si>
    <t>@</t>
  </si>
  <si>
    <t>ReportID :</t>
    <phoneticPr fontId="2"/>
  </si>
  <si>
    <t>登録前チェック</t>
    <rPh sb="0" eb="2">
      <t>トウロク</t>
    </rPh>
    <rPh sb="2" eb="3">
      <t>マエ</t>
    </rPh>
    <phoneticPr fontId="1"/>
  </si>
  <si>
    <t>ID</t>
    <phoneticPr fontId="2"/>
  </si>
  <si>
    <t>#</t>
    <phoneticPr fontId="2"/>
  </si>
  <si>
    <t>U</t>
    <phoneticPr fontId="2"/>
  </si>
  <si>
    <t>K</t>
  </si>
  <si>
    <t>K</t>
    <phoneticPr fontId="1"/>
  </si>
  <si>
    <t>o</t>
  </si>
  <si>
    <t>REQUIRED</t>
  </si>
  <si>
    <t>CONST</t>
    <phoneticPr fontId="1"/>
  </si>
  <si>
    <t>LIST_LOGIC</t>
    <phoneticPr fontId="1"/>
  </si>
  <si>
    <t>TargetName</t>
  </si>
  <si>
    <t>#</t>
    <phoneticPr fontId="2"/>
  </si>
  <si>
    <t>#</t>
    <phoneticPr fontId="2"/>
  </si>
  <si>
    <t>*</t>
  </si>
  <si>
    <t>L</t>
  </si>
  <si>
    <t>$super$</t>
  </si>
  <si>
    <t>ac_slip_typ</t>
  </si>
  <si>
    <t>#MA.AC_SLIP_TYP</t>
  </si>
  <si>
    <t>#MA.FLG</t>
  </si>
  <si>
    <t>memo1</t>
  </si>
  <si>
    <t>#MA.MST_MEMO1</t>
  </si>
  <si>
    <t>memo2</t>
  </si>
  <si>
    <t>#MA.MST_MEMO2</t>
  </si>
  <si>
    <t>memo3</t>
  </si>
  <si>
    <t>#MA.MST_MEMO3</t>
  </si>
  <si>
    <t>del_flg</t>
  </si>
  <si>
    <t>upd_cntr</t>
    <phoneticPr fontId="1"/>
  </si>
  <si>
    <t>#MA.UPD_CNT</t>
    <phoneticPr fontId="1"/>
  </si>
  <si>
    <t>詳細 :</t>
  </si>
  <si>
    <t>@</t>
    <phoneticPr fontId="2"/>
  </si>
  <si>
    <t>登録処理</t>
    <rPh sb="0" eb="2">
      <t>トウロク</t>
    </rPh>
    <rPh sb="2" eb="4">
      <t>ショリ</t>
    </rPh>
    <phoneticPr fontId="2"/>
  </si>
  <si>
    <t>o</t>
    <phoneticPr fontId="2"/>
  </si>
  <si>
    <t>UPDATE.updMaster</t>
    <phoneticPr fontId="2"/>
  </si>
  <si>
    <t>MAIN.chkMaster</t>
    <phoneticPr fontId="1"/>
  </si>
  <si>
    <t>TargetName</t>
    <phoneticPr fontId="2"/>
  </si>
  <si>
    <t>$share$</t>
  </si>
  <si>
    <t>L</t>
    <phoneticPr fontId="2"/>
  </si>
  <si>
    <t>upd_cntr</t>
  </si>
  <si>
    <t>#MA.UPD_CNT</t>
  </si>
  <si>
    <t>L</t>
    <phoneticPr fontId="2"/>
  </si>
  <si>
    <t>削除前チェック</t>
    <rPh sb="0" eb="2">
      <t>サクジョ</t>
    </rPh>
    <rPh sb="2" eb="3">
      <t>マエ</t>
    </rPh>
    <phoneticPr fontId="1"/>
  </si>
  <si>
    <t>削除処理</t>
    <rPh sb="2" eb="4">
      <t>ショリ</t>
    </rPh>
    <phoneticPr fontId="2"/>
  </si>
  <si>
    <t>o</t>
    <phoneticPr fontId="2"/>
  </si>
  <si>
    <t>UPDATE.updMaster1</t>
    <phoneticPr fontId="1"/>
  </si>
  <si>
    <t>TargetName</t>
    <phoneticPr fontId="2"/>
  </si>
  <si>
    <t>Srch01</t>
    <phoneticPr fontId="2"/>
  </si>
  <si>
    <t>検索</t>
    <rPh sb="0" eb="2">
      <t>ケンサク</t>
    </rPh>
    <phoneticPr fontId="2"/>
  </si>
  <si>
    <t>検索処理を行う</t>
    <rPh sb="0" eb="2">
      <t>ケンサク</t>
    </rPh>
    <rPh sb="2" eb="4">
      <t>ショリ</t>
    </rPh>
    <rPh sb="5" eb="6">
      <t>オコナ</t>
    </rPh>
    <phoneticPr fontId="4"/>
  </si>
  <si>
    <t>ID</t>
  </si>
  <si>
    <t>SELECT.c0</t>
    <phoneticPr fontId="2"/>
  </si>
  <si>
    <t>CONST</t>
  </si>
  <si>
    <t>Srch01_Cnd</t>
  </si>
  <si>
    <t>R</t>
  </si>
  <si>
    <t>off_del_flg</t>
  </si>
  <si>
    <t>on_del_flg</t>
  </si>
  <si>
    <t>#MA.FLG</t>
    <phoneticPr fontId="2"/>
  </si>
  <si>
    <t>論理削除</t>
    <phoneticPr fontId="2"/>
  </si>
  <si>
    <t>#MA.AC_SLIP_TYP</t>
    <phoneticPr fontId="2"/>
  </si>
  <si>
    <t>ac_slip_typ_nm</t>
  </si>
  <si>
    <t>#MA.AC_SLIP_TYP_NM</t>
  </si>
  <si>
    <t>#MA.FCM_USR_ID</t>
  </si>
  <si>
    <t>登録ユーザＩＤ</t>
    <phoneticPr fontId="2"/>
  </si>
  <si>
    <t>ins_usr_nm</t>
    <phoneticPr fontId="2"/>
  </si>
  <si>
    <t>#MA.FCM_USR_NM</t>
  </si>
  <si>
    <t>登録ユーザ名</t>
    <phoneticPr fontId="2"/>
  </si>
  <si>
    <t>ins_ts</t>
  </si>
  <si>
    <t>#MA.SYS_TS</t>
  </si>
  <si>
    <t>ins_func_id</t>
    <phoneticPr fontId="2"/>
  </si>
  <si>
    <t>#MA.FUNC_ID</t>
  </si>
  <si>
    <t>登録機能ＩＤ</t>
    <phoneticPr fontId="2"/>
  </si>
  <si>
    <t>ins_func_nm</t>
    <phoneticPr fontId="2"/>
  </si>
  <si>
    <t>#MA.FUNC_NM</t>
  </si>
  <si>
    <t>登録機能名</t>
    <phoneticPr fontId="2"/>
  </si>
  <si>
    <t>upd_cntr</t>
    <phoneticPr fontId="2"/>
  </si>
  <si>
    <t>更新カウンタ</t>
    <phoneticPr fontId="2"/>
  </si>
  <si>
    <t>更新ユーザＩＤ</t>
    <phoneticPr fontId="2"/>
  </si>
  <si>
    <t>upd_usr_nm</t>
    <phoneticPr fontId="2"/>
  </si>
  <si>
    <t>更新ユーザ名</t>
    <phoneticPr fontId="2"/>
  </si>
  <si>
    <t>upd_ts</t>
  </si>
  <si>
    <t>upd_func_id</t>
    <phoneticPr fontId="2"/>
  </si>
  <si>
    <t>更新機能ＩＤ</t>
    <phoneticPr fontId="2"/>
  </si>
  <si>
    <t>upd_func_nm</t>
    <phoneticPr fontId="2"/>
  </si>
  <si>
    <t>更新機能名</t>
    <phoneticPr fontId="2"/>
  </si>
  <si>
    <t>upd_srv_req_no</t>
    <phoneticPr fontId="2"/>
  </si>
  <si>
    <t>#MA.SRV_REQ_NO</t>
  </si>
  <si>
    <t>del_usr_id</t>
  </si>
  <si>
    <t>del_usr_nm</t>
  </si>
  <si>
    <t>del_ts</t>
  </si>
  <si>
    <t>Upd01</t>
    <phoneticPr fontId="2"/>
  </si>
  <si>
    <t>@</t>
    <phoneticPr fontId="2"/>
  </si>
  <si>
    <t>Gene.Type :</t>
    <phoneticPr fontId="2"/>
  </si>
  <si>
    <t xml:space="preserve">Ope.Name : </t>
    <phoneticPr fontId="2"/>
  </si>
  <si>
    <t>登録</t>
    <rPh sb="0" eb="2">
      <t>トウロク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</si>
  <si>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4"/>
  </si>
  <si>
    <t>CALL_OPE01.chk01</t>
    <phoneticPr fontId="2"/>
  </si>
  <si>
    <t>CALL_OPE01.upd01</t>
    <phoneticPr fontId="2"/>
  </si>
  <si>
    <t>Upd01_Dtl1</t>
    <phoneticPr fontId="2"/>
  </si>
  <si>
    <t>Del01</t>
    <phoneticPr fontId="2"/>
  </si>
  <si>
    <t>削除</t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</si>
  <si>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4"/>
  </si>
  <si>
    <t>CALL_OPE01.chk01</t>
    <phoneticPr fontId="1"/>
  </si>
  <si>
    <t>CALL_OPE01.del01</t>
    <phoneticPr fontId="1"/>
  </si>
  <si>
    <t>Del01_Dtl1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</si>
  <si>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</si>
  <si>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</si>
  <si>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</si>
  <si>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</si>
  <si>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</si>
  <si>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</si>
  <si>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MABC</t>
    <phoneticPr fontId="2"/>
  </si>
  <si>
    <t>000000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</si>
  <si>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</si>
  <si>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</si>
  <si>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</si>
  <si>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</si>
  <si>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ALL</t>
    <phoneticPr fontId="2"/>
  </si>
  <si>
    <t>ACType :</t>
    <phoneticPr fontId="2"/>
  </si>
  <si>
    <t>会計伝票区分</t>
    <phoneticPr fontId="2"/>
  </si>
  <si>
    <t>E</t>
    <phoneticPr fontId="2"/>
  </si>
  <si>
    <t>E</t>
    <phoneticPr fontId="1"/>
  </si>
  <si>
    <t>MAC_AC_SLIP_TYP</t>
    <phoneticPr fontId="1"/>
  </si>
  <si>
    <t>メモ１</t>
    <phoneticPr fontId="2"/>
  </si>
  <si>
    <t>メモ２</t>
    <phoneticPr fontId="2"/>
  </si>
  <si>
    <t>メモ３</t>
    <phoneticPr fontId="2"/>
  </si>
  <si>
    <t>更新カウンタ</t>
    <phoneticPr fontId="1"/>
  </si>
  <si>
    <t>super/share</t>
    <phoneticPr fontId="2"/>
  </si>
  <si>
    <t>L</t>
    <phoneticPr fontId="1"/>
  </si>
  <si>
    <t>R</t>
    <phoneticPr fontId="2"/>
  </si>
  <si>
    <t>論理削除.オフ</t>
    <phoneticPr fontId="2"/>
  </si>
  <si>
    <t>論理削除.オン</t>
    <phoneticPr fontId="2"/>
  </si>
  <si>
    <t>MAC_AC_SLIP_TYP</t>
    <phoneticPr fontId="2"/>
  </si>
  <si>
    <t>会計伝票区分名</t>
    <phoneticPr fontId="2"/>
  </si>
  <si>
    <t>登録日時</t>
    <phoneticPr fontId="2"/>
  </si>
  <si>
    <t>更新日時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</si>
  <si>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</si>
  <si>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</si>
  <si>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</si>
  <si>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</si>
  <si>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Srch01_Rslt1</t>
    <phoneticPr fontId="2"/>
  </si>
  <si>
    <t>ins_usr_id</t>
    <phoneticPr fontId="2"/>
  </si>
  <si>
    <t>upd_usr_id</t>
    <phoneticPr fontId="2"/>
  </si>
  <si>
    <t>MABCL1220</t>
    <phoneticPr fontId="2"/>
  </si>
  <si>
    <t>MABCL_JnlKeyMapReg</t>
    <phoneticPr fontId="2"/>
  </si>
  <si>
    <t>仕訳キー対応マスタ登録</t>
    <rPh sb="0" eb="2">
      <t>シワケ</t>
    </rPh>
    <rPh sb="4" eb="6">
      <t>タイオウ</t>
    </rPh>
    <rPh sb="9" eb="11">
      <t>トウロク</t>
    </rPh>
    <phoneticPr fontId="2"/>
  </si>
  <si>
    <t>JnlKeyMap_UpdChk01</t>
  </si>
  <si>
    <t>JnlKeyMap_UpdChk01_Dtl</t>
  </si>
  <si>
    <t>JnlKeyMap_Upd01</t>
  </si>
  <si>
    <t>JnlKeyMap_Upd01_Dtl</t>
  </si>
  <si>
    <t>JnlKeyMap_DelChk01</t>
  </si>
  <si>
    <t>JnlKeyMap_DelChk01_Dtl</t>
  </si>
  <si>
    <t>JnlKeyMap_Del01</t>
  </si>
  <si>
    <t>JnlKeyMap_Del01_Dtl</t>
  </si>
  <si>
    <t>仕訳キー対応マスタを登録する前のチェックを行う</t>
    <rPh sb="10" eb="12">
      <t>トウロク</t>
    </rPh>
    <rPh sb="14" eb="15">
      <t>マエ</t>
    </rPh>
    <rPh sb="21" eb="22">
      <t>オコナ</t>
    </rPh>
    <phoneticPr fontId="3"/>
  </si>
  <si>
    <t>仕訳キー対応マスタを登録する</t>
    <rPh sb="10" eb="12">
      <t>トウロク</t>
    </rPh>
    <phoneticPr fontId="3"/>
  </si>
  <si>
    <t>仕訳キー対応マスタを削除する前のチェックを行う</t>
    <rPh sb="10" eb="12">
      <t>サクジョ</t>
    </rPh>
    <rPh sb="14" eb="15">
      <t>マエ</t>
    </rPh>
    <rPh sb="21" eb="22">
      <t>オコナ</t>
    </rPh>
    <phoneticPr fontId="3"/>
  </si>
  <si>
    <t>仕訳キー対応マスタを削除する</t>
    <rPh sb="10" eb="12">
      <t>サクジョ</t>
    </rPh>
    <phoneticPr fontId="3"/>
  </si>
  <si>
    <t>jnl_key_col_typ</t>
    <phoneticPr fontId="2"/>
  </si>
  <si>
    <t>#MA.JNL_KEY_COL_TYP</t>
    <phoneticPr fontId="2"/>
  </si>
  <si>
    <t>仕訳キー項目区分</t>
    <phoneticPr fontId="2"/>
  </si>
  <si>
    <t>off_cost_flg</t>
    <phoneticPr fontId="2"/>
  </si>
  <si>
    <t>on_cost_flg</t>
    <phoneticPr fontId="2"/>
  </si>
  <si>
    <t>原価.オフ</t>
    <phoneticPr fontId="2"/>
  </si>
  <si>
    <t>原価.オン</t>
    <phoneticPr fontId="2"/>
  </si>
  <si>
    <t>cost_flg</t>
    <phoneticPr fontId="2"/>
  </si>
  <si>
    <t>jnl_key_col_typ</t>
    <phoneticPr fontId="2"/>
  </si>
  <si>
    <t>jnl_key_col_typ_nm</t>
    <phoneticPr fontId="2"/>
  </si>
  <si>
    <t>#MA.JNL_KEY_COL_TYP</t>
    <phoneticPr fontId="2"/>
  </si>
  <si>
    <t>#MA.JNL_KEY_COL_TYP_NM</t>
    <phoneticPr fontId="2"/>
  </si>
  <si>
    <t>仕訳キー項目区分名</t>
    <phoneticPr fontId="2"/>
  </si>
  <si>
    <t>MAC_JNL_KEY_COL_TYP</t>
    <phoneticPr fontId="2"/>
  </si>
  <si>
    <t>jnl_key_set_col_typ</t>
    <phoneticPr fontId="2"/>
  </si>
  <si>
    <t>jnl_key_set_col_typ_nm</t>
    <phoneticPr fontId="2"/>
  </si>
  <si>
    <t>#MA.JNL_KEY_SET_COL_TYP</t>
    <phoneticPr fontId="2"/>
  </si>
  <si>
    <t>#MA.JNL_KEY_SET_COL_TYP</t>
    <phoneticPr fontId="2"/>
  </si>
  <si>
    <t>#MA.JNL_KEY_SET_COL_TYP_NM</t>
    <phoneticPr fontId="2"/>
  </si>
  <si>
    <t>仕訳キー設定項目区分</t>
    <phoneticPr fontId="2"/>
  </si>
  <si>
    <t>仕訳キー設定項目区分名</t>
    <phoneticPr fontId="2"/>
  </si>
  <si>
    <t>MAC_JNL_KEY_SET_COL_TYP</t>
    <phoneticPr fontId="2"/>
  </si>
  <si>
    <t>bp_jnl_key_set_col_typ</t>
    <phoneticPr fontId="2"/>
  </si>
  <si>
    <t>bp_jnl_key_set_col_typ_nm</t>
    <phoneticPr fontId="2"/>
  </si>
  <si>
    <t>取引先仕訳キー設定項目区分</t>
    <phoneticPr fontId="2"/>
  </si>
  <si>
    <t>取引先仕訳キー設定項目区分名</t>
    <phoneticPr fontId="2"/>
  </si>
  <si>
    <t>default_cd</t>
    <phoneticPr fontId="2"/>
  </si>
  <si>
    <t>#MA.JNL_KEY</t>
    <phoneticPr fontId="2"/>
  </si>
  <si>
    <t>デフォルトＣＤ</t>
    <phoneticPr fontId="2"/>
  </si>
  <si>
    <t>MA.MABCL1220.JnlKeyMap_Upd01.JnlKeyMap_Upd01_Dtl</t>
    <phoneticPr fontId="2"/>
  </si>
  <si>
    <t>OPE.MA.MABCL1220.JnlKeyMap_UpdChk01</t>
  </si>
  <si>
    <t>OPE.MA.MABCL1220.JnlKeyMap_Upd01</t>
  </si>
  <si>
    <t>OPE.MA.MABCL1220.JnlKeyMap_DelChk01</t>
  </si>
  <si>
    <t>OPE.MA.MABCL1220.JnlKeyMap_Del01</t>
  </si>
  <si>
    <t>#MA.JNL_KEY_COL_TYP</t>
    <phoneticPr fontId="2"/>
  </si>
  <si>
    <t>MA.MAUDL5010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</si>
  <si>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</si>
  <si>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</si>
  <si>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</si>
  <si>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DBC:MA.MAM_JNL_KEY_MAP</t>
    <phoneticPr fontId="2"/>
  </si>
  <si>
    <t>DBC.MA.MAM_JNL_KEY_MAP</t>
    <phoneticPr fontId="2"/>
  </si>
  <si>
    <t>DBC.MAM_JNL_KEY_MAP</t>
    <phoneticPr fontId="2"/>
  </si>
  <si>
    <t>原価</t>
    <phoneticPr fontId="2"/>
  </si>
  <si>
    <t>MA.MABCL1220.JnlKeyMap_UpdChk01.JnlKeyMap_UpdChk01_Dtl</t>
    <phoneticPr fontId="2"/>
  </si>
  <si>
    <t>MA.MABCL1220.JnlKeyMap_DelChk01.JnlKeyMap_DelChk01_Dtl</t>
    <phoneticPr fontId="2"/>
  </si>
  <si>
    <t>JnlKeyMap_UpdChk01_Dtl</t>
    <phoneticPr fontId="2"/>
  </si>
  <si>
    <t>JnlKeyMap_Upd01_Dtl</t>
    <phoneticPr fontId="2"/>
  </si>
  <si>
    <t>MA.MABCL1220.JnlKeyMap_Del01.JnlKeyMap_Del01_Dtl</t>
    <phoneticPr fontId="2"/>
  </si>
  <si>
    <t>JnlKeyMap_DelChk01_Dtl</t>
    <phoneticPr fontId="2"/>
  </si>
  <si>
    <t>JnlKeyMap_Del01_Dtl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</si>
  <si>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</si>
  <si>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</si>
  <si>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</si>
  <si>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</si>
  <si>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</si>
  <si>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</si>
  <si>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</si>
  <si>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</si>
  <si>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</si>
  <si>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</si>
  <si>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</si>
  <si>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</si>
  <si>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</si>
  <si>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</si>
  <si>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Accounting slip type</t>
  </si>
  <si>
    <t>Cost</t>
  </si>
  <si>
    <t>Journal key column type</t>
  </si>
  <si>
    <t>Journal key setting column type</t>
  </si>
  <si>
    <t>BP journal key setting column type</t>
  </si>
  <si>
    <t>Default cd.</t>
  </si>
  <si>
    <t>Memo 1</t>
  </si>
  <si>
    <t>Memo 2</t>
  </si>
  <si>
    <t>Memo 3</t>
  </si>
  <si>
    <t>Logical delete</t>
  </si>
  <si>
    <t>Update counter</t>
  </si>
  <si>
    <t>Cost. Off</t>
  </si>
  <si>
    <t>Cost. On</t>
  </si>
  <si>
    <t>Logical delete. Off</t>
  </si>
  <si>
    <t>Logical delete. On</t>
  </si>
  <si>
    <t>Accounting slip type name</t>
  </si>
  <si>
    <t>Journal key column type name</t>
  </si>
  <si>
    <t>Journal key setting column type name</t>
  </si>
  <si>
    <t>BP journal key setting column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</si>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</sst>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47">
    <xf numFmtId="0" fontId="0" fillId="0" borderId="0" xfId="0">
      <alignment vertical="top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20" fontId="5" fillId="2" borderId="3" xfId="0" applyNumberFormat="1" applyFont="1" applyFill="1" applyBorder="1" applyAlignment="1">
      <alignment horizontal="left" vertical="top"/>
    </xf>
    <xf numFmtId="0" fontId="5" fillId="2" borderId="3" xfId="0" applyFont="1" applyFill="1" applyBorder="1" applyAlignment="1">
      <alignment vertical="top"/>
    </xf>
    <xf numFmtId="0" fontId="5" fillId="2" borderId="3" xfId="0" quotePrefix="1" applyFont="1" applyFill="1" applyBorder="1" applyAlignment="1">
      <alignment vertical="top"/>
    </xf>
    <xf numFmtId="0" fontId="5" fillId="0" borderId="0" xfId="0" applyFont="1">
      <alignment vertical="top" wrapText="1"/>
    </xf>
    <xf numFmtId="0" fontId="5" fillId="2" borderId="3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vertical="top"/>
    </xf>
    <xf numFmtId="0" fontId="5" fillId="0" borderId="0" xfId="0" applyFont="1" applyAlignment="1"/>
    <xf numFmtId="0" fontId="5" fillId="0" borderId="4" xfId="0" applyFont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5" xfId="0" applyFont="1" applyFill="1" applyBorder="1" applyAlignment="1">
      <alignment horizontal="left" vertical="top"/>
    </xf>
    <xf numFmtId="0" fontId="5" fillId="3" borderId="6" xfId="0" applyFont="1" applyFill="1" applyBorder="1" applyAlignment="1">
      <alignment vertical="top"/>
    </xf>
    <xf numFmtId="0" fontId="5" fillId="0" borderId="1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top"/>
    </xf>
    <xf numFmtId="0" fontId="5" fillId="0" borderId="8" xfId="0" applyFont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top"/>
    </xf>
    <xf numFmtId="0" fontId="5" fillId="0" borderId="7" xfId="0" applyFont="1" applyBorder="1" applyAlignment="1">
      <alignment vertical="top"/>
    </xf>
    <xf numFmtId="0" fontId="5" fillId="0" borderId="0" xfId="0" applyFont="1" applyAlignment="1" applyProtection="1">
      <alignment vertical="center"/>
      <protection locked="0"/>
    </xf>
    <xf numFmtId="0" fontId="5" fillId="2" borderId="3" xfId="0" applyFont="1" applyFill="1" applyBorder="1" applyAlignment="1">
      <alignment vertical="center"/>
    </xf>
    <xf numFmtId="0" fontId="5" fillId="0" borderId="0" xfId="0" applyFont="1" applyAlignment="1" applyProtection="1">
      <alignment vertical="top"/>
      <protection locked="0"/>
    </xf>
    <xf numFmtId="0" fontId="5" fillId="2" borderId="2" xfId="0" applyFont="1" applyFill="1" applyBorder="1" applyAlignment="1" applyProtection="1">
      <alignment vertical="top"/>
      <protection locked="0"/>
    </xf>
    <xf numFmtId="0" fontId="5" fillId="0" borderId="2" xfId="0" applyFont="1" applyBorder="1" applyAlignment="1" applyProtection="1">
      <alignment vertical="top"/>
      <protection locked="0"/>
    </xf>
    <xf numFmtId="0" fontId="5" fillId="2" borderId="3" xfId="0" applyFont="1" applyFill="1" applyBorder="1" applyAlignment="1" applyProtection="1">
      <alignment vertical="top"/>
      <protection locked="0"/>
    </xf>
    <xf numFmtId="0" fontId="5" fillId="0" borderId="3" xfId="0" applyFont="1" applyBorder="1" applyAlignment="1" applyProtection="1">
      <alignment vertical="top"/>
      <protection locked="0"/>
    </xf>
    <xf numFmtId="0" fontId="5" fillId="2" borderId="11" xfId="0" applyFont="1" applyFill="1" applyBorder="1" applyAlignment="1">
      <alignment vertical="top"/>
    </xf>
    <xf numFmtId="0" fontId="5" fillId="2" borderId="6" xfId="0" applyFont="1" applyFill="1" applyBorder="1" applyAlignment="1">
      <alignment vertical="top"/>
    </xf>
    <xf numFmtId="0" fontId="5" fillId="0" borderId="11" xfId="0" applyFont="1" applyBorder="1" applyAlignment="1" applyProtection="1">
      <protection locked="0"/>
    </xf>
    <xf numFmtId="0" fontId="5" fillId="0" borderId="6" xfId="0" applyFont="1" applyBorder="1" applyAlignment="1" applyProtection="1">
      <protection locked="0"/>
    </xf>
    <xf numFmtId="0" fontId="5" fillId="2" borderId="11" xfId="0" applyFont="1" applyFill="1" applyBorder="1" applyAlignment="1" applyProtection="1">
      <alignment vertical="top"/>
      <protection locked="0"/>
    </xf>
    <xf numFmtId="0" fontId="5" fillId="2" borderId="5" xfId="0" applyFont="1" applyFill="1" applyBorder="1" applyAlignment="1" applyProtection="1">
      <alignment vertical="top"/>
      <protection locked="0"/>
    </xf>
    <xf numFmtId="0" fontId="5" fillId="0" borderId="5" xfId="0" applyFont="1" applyBorder="1" applyAlignment="1" applyProtection="1">
      <alignment vertical="top"/>
      <protection locked="0"/>
    </xf>
    <xf numFmtId="0" fontId="5" fillId="0" borderId="2" xfId="0" applyFont="1" applyBorder="1" applyAlignment="1" applyProtection="1">
      <protection locked="0"/>
    </xf>
    <xf numFmtId="0" fontId="5" fillId="0" borderId="5" xfId="0" applyFont="1" applyBorder="1" applyAlignment="1" applyProtection="1">
      <protection locked="0"/>
    </xf>
    <xf numFmtId="0" fontId="5" fillId="2" borderId="3" xfId="0" applyFont="1" applyFill="1" applyBorder="1" applyAlignment="1"/>
    <xf numFmtId="0" fontId="5" fillId="0" borderId="6" xfId="0" applyFont="1" applyBorder="1" applyAlignment="1"/>
    <xf numFmtId="0" fontId="5" fillId="0" borderId="11" xfId="0" applyFont="1" applyBorder="1" applyAlignment="1"/>
    <xf numFmtId="0" fontId="5" fillId="0" borderId="5" xfId="0" applyFont="1" applyBorder="1" applyAlignment="1"/>
    <xf numFmtId="0" fontId="5" fillId="2" borderId="3" xfId="0" applyFont="1" applyFill="1" applyBorder="1" applyAlignment="1" applyProtection="1">
      <protection locked="0"/>
    </xf>
    <xf numFmtId="0" fontId="5" fillId="3" borderId="6" xfId="0" applyFont="1" applyFill="1" applyBorder="1" applyAlignment="1" applyProtection="1">
      <protection locked="0"/>
    </xf>
    <xf numFmtId="0" fontId="5" fillId="2" borderId="3" xfId="0" applyFont="1" applyFill="1" applyBorder="1">
      <alignment vertical="top" wrapText="1"/>
    </xf>
    <xf numFmtId="0" fontId="5" fillId="3" borderId="3" xfId="0" applyFont="1" applyFill="1" applyBorder="1">
      <alignment vertical="top" wrapText="1"/>
    </xf>
    <xf numFmtId="0" fontId="5" fillId="0" borderId="11" xfId="0" applyFont="1" applyBorder="1" applyAlignment="1">
      <alignment vertical="top"/>
    </xf>
    <xf numFmtId="0" fontId="5" fillId="0" borderId="6" xfId="0" applyFont="1" applyBorder="1" applyAlignment="1" applyProtection="1">
      <alignment vertical="top"/>
      <protection locked="0"/>
    </xf>
    <xf numFmtId="0" fontId="5" fillId="2" borderId="10" xfId="0" applyFont="1" applyFill="1" applyBorder="1" applyAlignment="1" applyProtection="1">
      <alignment vertical="top"/>
      <protection locked="0"/>
    </xf>
    <xf numFmtId="0" fontId="5" fillId="2" borderId="0" xfId="0" applyFont="1" applyFill="1" applyAlignment="1" applyProtection="1">
      <alignment vertical="top"/>
      <protection locked="0"/>
    </xf>
    <xf numFmtId="0" fontId="5" fillId="0" borderId="4" xfId="0" applyFont="1" applyBorder="1">
      <alignment vertical="top" wrapText="1"/>
    </xf>
    <xf numFmtId="0" fontId="5" fillId="2" borderId="6" xfId="0" applyFont="1" applyFill="1" applyBorder="1" applyAlignment="1"/>
    <xf numFmtId="0" fontId="5" fillId="0" borderId="13" xfId="0" applyFont="1" applyBorder="1" applyAlignment="1" applyProtection="1">
      <alignment vertical="top"/>
      <protection locked="0"/>
    </xf>
    <xf numFmtId="0" fontId="5" fillId="0" borderId="15" xfId="0" applyFont="1" applyBorder="1" applyAlignment="1" applyProtection="1">
      <alignment vertical="top"/>
      <protection locked="0"/>
    </xf>
    <xf numFmtId="0" fontId="5" fillId="0" borderId="3" xfId="0" applyFont="1" applyBorder="1" applyAlignment="1"/>
    <xf numFmtId="0" fontId="5" fillId="0" borderId="11" xfId="0" applyFont="1" applyBorder="1" applyAlignment="1" applyProtection="1">
      <alignment vertical="top"/>
      <protection locked="0"/>
    </xf>
    <xf numFmtId="0" fontId="5" fillId="0" borderId="6" xfId="0" applyFont="1" applyBorder="1" applyAlignment="1">
      <alignment vertical="top"/>
    </xf>
    <xf numFmtId="0" fontId="5" fillId="0" borderId="7" xfId="0" applyFont="1" applyBorder="1" applyAlignment="1"/>
    <xf numFmtId="0" fontId="5" fillId="0" borderId="12" xfId="0" applyFont="1" applyBorder="1" applyAlignment="1"/>
    <xf numFmtId="0" fontId="5" fillId="0" borderId="1" xfId="0" applyFont="1" applyBorder="1" applyAlignment="1"/>
    <xf numFmtId="0" fontId="5" fillId="2" borderId="9" xfId="0" applyFont="1" applyFill="1" applyBorder="1" applyAlignment="1" applyProtection="1">
      <alignment vertical="top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0" fontId="5" fillId="0" borderId="8" xfId="0" applyFont="1" applyBorder="1" applyAlignment="1" applyProtection="1">
      <alignment vertical="top"/>
      <protection locked="0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3" borderId="11" xfId="0" applyFont="1" applyFill="1" applyBorder="1" applyAlignment="1"/>
    <xf numFmtId="0" fontId="5" fillId="3" borderId="11" xfId="0" applyFont="1" applyFill="1" applyBorder="1" applyAlignment="1" applyProtection="1">
      <protection locked="0"/>
    </xf>
    <xf numFmtId="0" fontId="5" fillId="3" borderId="6" xfId="0" applyFont="1" applyFill="1" applyBorder="1" applyAlignment="1"/>
    <xf numFmtId="0" fontId="5" fillId="2" borderId="1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5" fillId="4" borderId="3" xfId="0" applyFont="1" applyFill="1" applyBorder="1" applyAlignment="1">
      <alignment vertical="top"/>
    </xf>
    <xf numFmtId="0" fontId="5" fillId="2" borderId="10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3" xfId="0" applyFont="1" applyBorder="1" applyAlignment="1">
      <alignment vertical="center"/>
    </xf>
    <xf numFmtId="0" fontId="5" fillId="2" borderId="12" xfId="0" applyFont="1" applyFill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3" xfId="0" applyFont="1" applyBorder="1">
      <alignment vertical="top" wrapText="1"/>
    </xf>
    <xf numFmtId="0" fontId="5" fillId="0" borderId="3" xfId="0" applyFont="1" applyBorder="1" applyProtection="1">
      <alignment vertical="top" wrapText="1"/>
      <protection locked="0"/>
    </xf>
    <xf numFmtId="0" fontId="5" fillId="2" borderId="11" xfId="0" applyFont="1" applyFill="1" applyBorder="1">
      <alignment vertical="top" wrapText="1"/>
    </xf>
    <xf numFmtId="0" fontId="5" fillId="2" borderId="6" xfId="0" applyFont="1" applyFill="1" applyBorder="1">
      <alignment vertical="top" wrapText="1"/>
    </xf>
    <xf numFmtId="0" fontId="5" fillId="0" borderId="1" xfId="0" applyFont="1" applyBorder="1" applyAlignment="1" applyProtection="1">
      <alignment vertical="top"/>
      <protection locked="0"/>
    </xf>
    <xf numFmtId="0" fontId="5" fillId="0" borderId="7" xfId="0" applyFont="1" applyBorder="1" applyAlignment="1" applyProtection="1">
      <alignment vertical="top"/>
      <protection locked="0"/>
    </xf>
    <xf numFmtId="0" fontId="5" fillId="0" borderId="11" xfId="0" applyFont="1" applyBorder="1" applyProtection="1">
      <alignment vertical="top" wrapText="1"/>
      <protection locked="0"/>
    </xf>
    <xf numFmtId="0" fontId="5" fillId="0" borderId="11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5" fillId="0" borderId="14" xfId="0" applyFont="1" applyBorder="1" applyAlignment="1" applyProtection="1">
      <alignment vertical="top"/>
      <protection locked="0"/>
    </xf>
    <xf numFmtId="0" fontId="6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8" fillId="3" borderId="19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76" fontId="7" fillId="0" borderId="24" xfId="0" applyNumberFormat="1" applyFont="1" applyBorder="1" applyAlignment="1">
      <alignment horizontal="center" vertical="center"/>
    </xf>
    <xf numFmtId="176" fontId="7" fillId="0" borderId="25" xfId="0" applyNumberFormat="1" applyFont="1" applyBorder="1" applyAlignment="1">
      <alignment horizontal="center" vertical="center"/>
    </xf>
    <xf numFmtId="176" fontId="7" fillId="0" borderId="26" xfId="0" applyNumberFormat="1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176" fontId="7" fillId="0" borderId="29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2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0" fontId="7" fillId="0" borderId="34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7" fillId="0" borderId="34" xfId="0" applyFont="1" applyBorder="1" applyAlignment="1">
      <alignment vertical="center" wrapText="1"/>
    </xf>
    <xf numFmtId="0" fontId="7" fillId="0" borderId="35" xfId="0" applyFont="1" applyBorder="1" applyAlignment="1">
      <alignment vertical="center" wrapText="1"/>
    </xf>
    <xf numFmtId="0" fontId="5" fillId="3" borderId="11" xfId="0" applyFont="1" applyFill="1" applyBorder="1" applyAlignment="1" applyProtection="1">
      <protection locked="0"/>
    </xf>
    <xf numFmtId="0" fontId="5" fillId="3" borderId="6" xfId="0" applyFon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0</v>
      </c>
      <c r="B2" s="7" t="s">
        <v>1</v>
      </c>
      <c r="C2" s="8" t="s">
        <v>2</v>
      </c>
      <c r="D2" s="7" t="s">
        <v>3</v>
      </c>
      <c r="E2" s="9" t="s">
        <v>158</v>
      </c>
      <c r="F2" s="7" t="s">
        <v>4</v>
      </c>
      <c r="G2" s="9" t="s">
        <v>5</v>
      </c>
      <c r="H2" s="7"/>
      <c r="I2" s="10"/>
    </row>
    <row r="3" spans="1:12" x14ac:dyDescent="0.2">
      <c r="A3" s="11"/>
      <c r="B3" s="7" t="s">
        <v>6</v>
      </c>
      <c r="C3" s="12" t="s">
        <v>126</v>
      </c>
      <c r="D3" s="7" t="s">
        <v>7</v>
      </c>
      <c r="E3" s="9" t="s">
        <v>159</v>
      </c>
      <c r="F3" s="7" t="s">
        <v>8</v>
      </c>
      <c r="G3" s="9"/>
      <c r="H3" s="7"/>
      <c r="I3" s="9"/>
    </row>
    <row r="4" spans="1:12" x14ac:dyDescent="0.2">
      <c r="A4" s="3"/>
      <c r="B4" s="7"/>
      <c r="C4" s="7"/>
      <c r="D4" s="7" t="s">
        <v>10</v>
      </c>
      <c r="E4" s="13" t="s">
        <v>160</v>
      </c>
      <c r="F4" s="7" t="s">
        <v>11</v>
      </c>
      <c r="G4" s="9" t="s">
        <v>208</v>
      </c>
      <c r="H4" s="14"/>
      <c r="I4" s="15"/>
    </row>
    <row r="5" spans="1:12" x14ac:dyDescent="0.2">
      <c r="A5" s="6" t="s">
        <v>12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13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26.08984375" style="29" bestFit="1" customWidth="1"/>
    <col min="13" max="13" width="21.6328125" style="29" customWidth="1"/>
    <col min="14" max="14" width="50.6328125" style="29" customWidth="1"/>
    <col min="15" max="15" width="12.81640625" style="29" bestFit="1" customWidth="1"/>
    <col min="16" max="16" width="11.6328125" style="29" bestFit="1" customWidth="1"/>
    <col min="17" max="17" width="9.453125" style="27" bestFit="1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5" t="s">
        <v>128</v>
      </c>
      <c r="B1" s="75" t="s">
        <v>128</v>
      </c>
      <c r="C1" s="7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6" t="s">
        <v>128</v>
      </c>
      <c r="B2" s="77"/>
      <c r="C2" s="77"/>
      <c r="D2" s="86" t="s">
        <v>223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MABCL1220</v>
      </c>
      <c r="I2" s="7" t="s">
        <v>129</v>
      </c>
      <c r="J2" s="9" t="s">
        <v>161</v>
      </c>
      <c r="K2" s="7" t="s">
        <v>4</v>
      </c>
      <c r="L2" s="78" t="str">
        <f>IF(LogicCommon!G2="","",LogicCommon!G2)</f>
        <v>MC</v>
      </c>
      <c r="M2" s="5" t="s">
        <v>130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9" t="s">
        <v>128</v>
      </c>
      <c r="B3" s="80"/>
      <c r="C3" s="80"/>
      <c r="D3" s="81" t="str">
        <f>IF(LogicCommon!A3="","",LogicCommon!A3)</f>
        <v/>
      </c>
      <c r="E3" s="7" t="s">
        <v>6</v>
      </c>
      <c r="F3" s="78" t="str">
        <f>IF(LogicCommon!C3="","",LogicCommon!C3)</f>
        <v>MABC</v>
      </c>
      <c r="G3" s="7" t="s">
        <v>7</v>
      </c>
      <c r="H3" s="78" t="str">
        <f>IF(LogicCommon!E3="","",LogicCommon!E3)</f>
        <v>MABCL_JnlKeyMapReg</v>
      </c>
      <c r="I3" s="7" t="s">
        <v>131</v>
      </c>
      <c r="J3" s="9" t="s">
        <v>15</v>
      </c>
      <c r="K3" s="7" t="s">
        <v>8</v>
      </c>
      <c r="L3" s="78" t="str">
        <f>IF(LogicCommon!G3="","",LogicCommon!G3)</f>
        <v/>
      </c>
      <c r="M3" s="51" t="s">
        <v>16</v>
      </c>
      <c r="N3" s="7"/>
      <c r="O3" s="7" t="s">
        <v>107</v>
      </c>
      <c r="P3" s="9" t="s">
        <v>132</v>
      </c>
      <c r="Q3" s="4"/>
      <c r="R3" s="27"/>
      <c r="S3" s="27"/>
      <c r="T3" s="27"/>
      <c r="U3" s="27"/>
    </row>
    <row r="4" spans="1:21" s="11" customFormat="1" x14ac:dyDescent="0.2">
      <c r="A4" s="79" t="s">
        <v>128</v>
      </c>
      <c r="B4" s="80"/>
      <c r="C4" s="80"/>
      <c r="D4" s="4"/>
      <c r="E4" s="7" t="s">
        <v>9</v>
      </c>
      <c r="F4" s="10" t="s">
        <v>127</v>
      </c>
      <c r="G4" s="7" t="s">
        <v>10</v>
      </c>
      <c r="H4" s="78" t="str">
        <f>IF(LogicCommon!E4="","",LogicCommon!E4)</f>
        <v>仕訳キー対応マスタ登録</v>
      </c>
      <c r="I4" s="7" t="s">
        <v>108</v>
      </c>
      <c r="J4" s="9" t="s">
        <v>17</v>
      </c>
      <c r="K4" s="7" t="s">
        <v>11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83" t="s">
        <v>128</v>
      </c>
      <c r="B5" s="75"/>
      <c r="C5" s="75"/>
      <c r="D5" s="26"/>
      <c r="E5" s="7" t="s">
        <v>133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9" t="s">
        <v>128</v>
      </c>
      <c r="B6" s="80"/>
      <c r="C6" s="80"/>
      <c r="D6" s="4" t="s">
        <v>12</v>
      </c>
      <c r="E6" s="16" t="s">
        <v>169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18</v>
      </c>
      <c r="R6" s="4"/>
      <c r="S6" s="29"/>
      <c r="T6" s="29"/>
      <c r="U6" s="27"/>
    </row>
    <row r="7" spans="1:21" s="11" customFormat="1" x14ac:dyDescent="0.2">
      <c r="A7" s="30" t="s">
        <v>19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21</v>
      </c>
      <c r="L7" s="32" t="s">
        <v>22</v>
      </c>
      <c r="M7" s="32" t="s">
        <v>22</v>
      </c>
      <c r="N7" s="32"/>
      <c r="O7" s="32"/>
      <c r="P7" s="33" t="s">
        <v>23</v>
      </c>
      <c r="Q7" s="32"/>
      <c r="R7" s="29"/>
      <c r="S7" s="29"/>
      <c r="T7" s="29"/>
      <c r="U7" s="29"/>
    </row>
    <row r="8" spans="1:21" s="11" customFormat="1" ht="60" customHeight="1" x14ac:dyDescent="0.2">
      <c r="A8" s="49" t="s">
        <v>19</v>
      </c>
      <c r="B8" s="89"/>
      <c r="C8" s="90"/>
      <c r="D8" s="87" t="s">
        <v>224</v>
      </c>
      <c r="E8" s="87" t="s">
        <v>225</v>
      </c>
      <c r="F8" s="85"/>
      <c r="G8" s="87" t="s">
        <v>142</v>
      </c>
      <c r="H8" s="87" t="s">
        <v>226</v>
      </c>
      <c r="I8" s="85"/>
      <c r="J8" s="3"/>
      <c r="K8" s="9" t="s">
        <v>24</v>
      </c>
      <c r="L8" s="9" t="s">
        <v>25</v>
      </c>
      <c r="M8" s="9" t="s">
        <v>26</v>
      </c>
      <c r="N8" s="9"/>
      <c r="O8" s="9"/>
      <c r="P8" s="33" t="s">
        <v>27</v>
      </c>
      <c r="Q8" s="9"/>
      <c r="R8" s="91"/>
      <c r="S8" s="92"/>
      <c r="T8" s="93" t="s">
        <v>227</v>
      </c>
      <c r="U8" s="52"/>
    </row>
    <row r="9" spans="1:21" s="11" customFormat="1" ht="60" customHeight="1" x14ac:dyDescent="0.2">
      <c r="A9" s="9" t="s">
        <v>19</v>
      </c>
      <c r="B9" s="34"/>
      <c r="C9" s="35"/>
      <c r="D9" s="87" t="s">
        <v>228</v>
      </c>
      <c r="E9" s="94" t="s">
        <v>229</v>
      </c>
      <c r="F9" s="87" t="s">
        <v>230</v>
      </c>
      <c r="G9" s="87" t="s">
        <v>231</v>
      </c>
      <c r="H9" s="87" t="s">
        <v>232</v>
      </c>
      <c r="I9" s="95" t="s">
        <v>233</v>
      </c>
      <c r="J9" s="87" t="s">
        <v>234</v>
      </c>
      <c r="K9" s="33"/>
      <c r="L9" s="33"/>
      <c r="M9" s="33"/>
      <c r="N9" s="33"/>
      <c r="O9" s="33"/>
      <c r="P9" s="33"/>
      <c r="Q9" s="33"/>
      <c r="R9" s="93" t="s">
        <v>235</v>
      </c>
      <c r="S9" s="52"/>
      <c r="T9" s="93" t="s">
        <v>236</v>
      </c>
      <c r="U9" s="52"/>
    </row>
    <row r="10" spans="1:21" s="11" customFormat="1" ht="52" x14ac:dyDescent="0.2">
      <c r="A10" s="38" t="s">
        <v>29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33"/>
      <c r="N10" s="33"/>
      <c r="O10" s="33"/>
      <c r="P10" s="88" t="s">
        <v>233</v>
      </c>
      <c r="Q10" s="88" t="s">
        <v>234</v>
      </c>
      <c r="R10" s="41"/>
      <c r="S10" s="41"/>
      <c r="T10" s="42"/>
      <c r="U10" s="37"/>
    </row>
    <row r="11" spans="1:21" s="11" customFormat="1" x14ac:dyDescent="0.2">
      <c r="A11" s="9">
        <v>10</v>
      </c>
      <c r="B11" s="34" t="s">
        <v>30</v>
      </c>
      <c r="C11" s="35"/>
      <c r="D11" s="28" t="s">
        <v>162</v>
      </c>
      <c r="E11" s="43" t="s">
        <v>31</v>
      </c>
      <c r="F11" s="44"/>
      <c r="G11" s="28" t="s">
        <v>32</v>
      </c>
      <c r="H11" s="9" t="s">
        <v>212</v>
      </c>
      <c r="I11" s="45"/>
      <c r="J11" s="46"/>
      <c r="K11" s="47"/>
      <c r="L11" s="47"/>
      <c r="M11" s="47"/>
      <c r="N11" s="47"/>
      <c r="O11" s="47"/>
      <c r="P11" s="47"/>
      <c r="Q11" s="47"/>
      <c r="R11" s="36"/>
      <c r="S11" s="37"/>
      <c r="T11" s="73"/>
      <c r="U11" s="48"/>
    </row>
    <row r="12" spans="1:21" s="11" customFormat="1" x14ac:dyDescent="0.2">
      <c r="A12" s="9">
        <v>10</v>
      </c>
      <c r="B12" s="9"/>
      <c r="C12" s="9"/>
      <c r="D12" s="9" t="s">
        <v>33</v>
      </c>
      <c r="E12" s="49" t="s">
        <v>74</v>
      </c>
      <c r="F12" s="49"/>
      <c r="G12" s="50" t="s">
        <v>237</v>
      </c>
      <c r="H12" s="50" t="s">
        <v>134</v>
      </c>
      <c r="I12" s="9" t="s">
        <v>135</v>
      </c>
      <c r="J12" s="9"/>
      <c r="K12" s="9" t="s">
        <v>136</v>
      </c>
      <c r="L12" s="9" t="s">
        <v>137</v>
      </c>
      <c r="M12" s="9"/>
      <c r="N12" s="9"/>
      <c r="O12" s="9"/>
      <c r="P12" s="9"/>
      <c r="Q12" s="9"/>
      <c r="R12" s="40"/>
      <c r="S12" s="52"/>
      <c r="T12" s="73"/>
      <c r="U12" s="74"/>
    </row>
    <row r="13" spans="1:21" s="11" customFormat="1" x14ac:dyDescent="0.2">
      <c r="A13" s="9">
        <v>10</v>
      </c>
      <c r="B13" s="9"/>
      <c r="C13" s="9"/>
      <c r="D13" s="9" t="s">
        <v>180</v>
      </c>
      <c r="E13" s="49" t="s">
        <v>72</v>
      </c>
      <c r="F13" s="49"/>
      <c r="G13" s="50" t="s">
        <v>238</v>
      </c>
      <c r="H13" s="50" t="s">
        <v>215</v>
      </c>
      <c r="I13" s="9" t="s">
        <v>135</v>
      </c>
      <c r="J13" s="9"/>
      <c r="K13" s="9"/>
      <c r="L13" s="9"/>
      <c r="M13" s="9"/>
      <c r="N13" s="9"/>
      <c r="O13" s="9"/>
      <c r="P13" s="9"/>
      <c r="Q13" s="9"/>
      <c r="R13" s="40"/>
      <c r="S13" s="52"/>
      <c r="T13" s="73"/>
      <c r="U13" s="74"/>
    </row>
    <row r="14" spans="1:21" s="11" customFormat="1" x14ac:dyDescent="0.2">
      <c r="A14" s="9">
        <v>10</v>
      </c>
      <c r="B14" s="9"/>
      <c r="C14" s="9"/>
      <c r="D14" s="49" t="s">
        <v>181</v>
      </c>
      <c r="E14" s="49" t="s">
        <v>207</v>
      </c>
      <c r="F14" s="49"/>
      <c r="G14" s="50" t="s">
        <v>239</v>
      </c>
      <c r="H14" s="50" t="s">
        <v>175</v>
      </c>
      <c r="I14" s="9" t="s">
        <v>135</v>
      </c>
      <c r="J14" s="9"/>
      <c r="K14" s="9" t="s">
        <v>136</v>
      </c>
      <c r="L14" s="9" t="s">
        <v>186</v>
      </c>
      <c r="M14" s="9"/>
      <c r="N14" s="9"/>
      <c r="O14" s="9"/>
      <c r="P14" s="9"/>
      <c r="Q14" s="9"/>
      <c r="R14" s="40"/>
      <c r="S14" s="52"/>
      <c r="T14" s="73"/>
      <c r="U14" s="74"/>
    </row>
    <row r="15" spans="1:21" s="11" customFormat="1" ht="26" x14ac:dyDescent="0.2">
      <c r="A15" s="9">
        <v>10</v>
      </c>
      <c r="B15" s="9"/>
      <c r="C15" s="9"/>
      <c r="D15" s="49" t="s">
        <v>187</v>
      </c>
      <c r="E15" s="49" t="s">
        <v>189</v>
      </c>
      <c r="F15" s="49"/>
      <c r="G15" s="50" t="s">
        <v>240</v>
      </c>
      <c r="H15" s="50" t="s">
        <v>192</v>
      </c>
      <c r="I15" s="9" t="s">
        <v>135</v>
      </c>
      <c r="J15" s="9"/>
      <c r="K15" s="9" t="s">
        <v>136</v>
      </c>
      <c r="L15" s="9" t="s">
        <v>194</v>
      </c>
      <c r="M15" s="9"/>
      <c r="N15" s="9"/>
      <c r="O15" s="9"/>
      <c r="P15" s="9"/>
      <c r="Q15" s="9"/>
      <c r="R15" s="40"/>
      <c r="S15" s="52"/>
      <c r="T15" s="73"/>
      <c r="U15" s="74"/>
    </row>
    <row r="16" spans="1:21" s="11" customFormat="1" ht="26" x14ac:dyDescent="0.2">
      <c r="A16" s="9">
        <v>10</v>
      </c>
      <c r="B16" s="9"/>
      <c r="C16" s="9"/>
      <c r="D16" s="49" t="s">
        <v>195</v>
      </c>
      <c r="E16" s="49" t="s">
        <v>190</v>
      </c>
      <c r="F16" s="49"/>
      <c r="G16" s="50" t="s">
        <v>241</v>
      </c>
      <c r="H16" s="50" t="s">
        <v>197</v>
      </c>
      <c r="I16" s="9" t="s">
        <v>135</v>
      </c>
      <c r="J16" s="9"/>
      <c r="K16" s="9"/>
      <c r="L16" s="9" t="s">
        <v>194</v>
      </c>
      <c r="M16" s="9"/>
      <c r="N16" s="9"/>
      <c r="O16" s="9"/>
      <c r="P16" s="9"/>
      <c r="Q16" s="9"/>
      <c r="R16" s="40"/>
      <c r="S16" s="52"/>
      <c r="T16" s="73"/>
      <c r="U16" s="74"/>
    </row>
    <row r="17" spans="1:21" s="11" customFormat="1" x14ac:dyDescent="0.2">
      <c r="A17" s="9">
        <v>10</v>
      </c>
      <c r="B17" s="9"/>
      <c r="C17" s="9"/>
      <c r="D17" s="9" t="s">
        <v>199</v>
      </c>
      <c r="E17" s="49" t="s">
        <v>200</v>
      </c>
      <c r="F17" s="49"/>
      <c r="G17" s="50" t="s">
        <v>242</v>
      </c>
      <c r="H17" s="50" t="s">
        <v>201</v>
      </c>
      <c r="I17" s="9" t="s">
        <v>135</v>
      </c>
      <c r="J17" s="9"/>
      <c r="K17" s="9"/>
      <c r="L17" s="9"/>
      <c r="M17" s="9"/>
      <c r="N17" s="9"/>
      <c r="O17" s="9"/>
      <c r="P17" s="9"/>
      <c r="Q17" s="9"/>
      <c r="R17" s="40"/>
      <c r="S17" s="52"/>
      <c r="T17" s="73"/>
      <c r="U17" s="74"/>
    </row>
    <row r="18" spans="1:21" s="11" customFormat="1" x14ac:dyDescent="0.2">
      <c r="A18" s="9">
        <v>10</v>
      </c>
      <c r="B18" s="9"/>
      <c r="C18" s="9"/>
      <c r="D18" s="9" t="s">
        <v>36</v>
      </c>
      <c r="E18" s="49" t="s">
        <v>37</v>
      </c>
      <c r="F18" s="49"/>
      <c r="G18" s="50" t="s">
        <v>243</v>
      </c>
      <c r="H18" s="50" t="s">
        <v>138</v>
      </c>
      <c r="I18" s="9" t="s">
        <v>135</v>
      </c>
      <c r="J18" s="9"/>
      <c r="K18" s="9"/>
      <c r="L18" s="9"/>
      <c r="M18" s="9"/>
      <c r="N18" s="9"/>
      <c r="O18" s="9"/>
      <c r="P18" s="9"/>
      <c r="Q18" s="9"/>
      <c r="R18" s="40"/>
      <c r="S18" s="52"/>
      <c r="T18" s="145"/>
      <c r="U18" s="146"/>
    </row>
    <row r="19" spans="1:21" s="11" customFormat="1" x14ac:dyDescent="0.2">
      <c r="A19" s="9">
        <v>10</v>
      </c>
      <c r="B19" s="9"/>
      <c r="C19" s="9"/>
      <c r="D19" s="9" t="s">
        <v>38</v>
      </c>
      <c r="E19" s="49" t="s">
        <v>39</v>
      </c>
      <c r="F19" s="49"/>
      <c r="G19" s="50" t="s">
        <v>244</v>
      </c>
      <c r="H19" s="50" t="s">
        <v>139</v>
      </c>
      <c r="I19" s="9" t="s">
        <v>135</v>
      </c>
      <c r="J19" s="9"/>
      <c r="K19" s="9"/>
      <c r="L19" s="9"/>
      <c r="M19" s="9"/>
      <c r="N19" s="9"/>
      <c r="O19" s="9"/>
      <c r="P19" s="9"/>
      <c r="Q19" s="9"/>
      <c r="R19" s="40"/>
      <c r="S19" s="52"/>
      <c r="T19" s="145"/>
      <c r="U19" s="146"/>
    </row>
    <row r="20" spans="1:21" s="11" customFormat="1" x14ac:dyDescent="0.2">
      <c r="A20" s="9">
        <v>10</v>
      </c>
      <c r="B20" s="9"/>
      <c r="C20" s="9"/>
      <c r="D20" s="9" t="s">
        <v>40</v>
      </c>
      <c r="E20" s="49" t="s">
        <v>41</v>
      </c>
      <c r="F20" s="49"/>
      <c r="G20" s="50" t="s">
        <v>245</v>
      </c>
      <c r="H20" s="50" t="s">
        <v>140</v>
      </c>
      <c r="I20" s="9" t="s">
        <v>135</v>
      </c>
      <c r="J20" s="9"/>
      <c r="K20" s="9"/>
      <c r="L20" s="9"/>
      <c r="M20" s="9"/>
      <c r="N20" s="9"/>
      <c r="O20" s="9"/>
      <c r="P20" s="9"/>
      <c r="Q20" s="9"/>
      <c r="R20" s="40"/>
      <c r="S20" s="52"/>
      <c r="T20" s="145"/>
      <c r="U20" s="146"/>
    </row>
    <row r="21" spans="1:21" s="11" customFormat="1" x14ac:dyDescent="0.2">
      <c r="A21" s="9">
        <v>10</v>
      </c>
      <c r="B21" s="9"/>
      <c r="C21" s="9"/>
      <c r="D21" s="9" t="s">
        <v>42</v>
      </c>
      <c r="E21" s="49" t="s">
        <v>35</v>
      </c>
      <c r="F21" s="49"/>
      <c r="G21" s="50" t="s">
        <v>246</v>
      </c>
      <c r="H21" s="50" t="s">
        <v>73</v>
      </c>
      <c r="I21" s="9" t="s">
        <v>135</v>
      </c>
      <c r="J21" s="9"/>
      <c r="K21" s="9"/>
      <c r="L21" s="9"/>
      <c r="M21" s="9"/>
      <c r="N21" s="9"/>
      <c r="O21" s="9"/>
      <c r="P21" s="9"/>
      <c r="Q21" s="9"/>
      <c r="R21" s="40"/>
      <c r="S21" s="52"/>
      <c r="T21" s="145"/>
      <c r="U21" s="146"/>
    </row>
    <row r="22" spans="1:21" s="11" customFormat="1" x14ac:dyDescent="0.2">
      <c r="A22" s="9">
        <v>10</v>
      </c>
      <c r="B22" s="9"/>
      <c r="C22" s="9"/>
      <c r="D22" s="9" t="s">
        <v>43</v>
      </c>
      <c r="E22" s="49" t="s">
        <v>44</v>
      </c>
      <c r="F22" s="49"/>
      <c r="G22" s="50" t="s">
        <v>247</v>
      </c>
      <c r="H22" s="50" t="s">
        <v>141</v>
      </c>
      <c r="I22" s="9" t="s">
        <v>135</v>
      </c>
      <c r="J22" s="9"/>
      <c r="K22" s="9"/>
      <c r="L22" s="9"/>
      <c r="M22" s="9"/>
      <c r="N22" s="9"/>
      <c r="O22" s="9"/>
      <c r="P22" s="9"/>
      <c r="Q22" s="9"/>
      <c r="R22" s="40"/>
      <c r="S22" s="52"/>
      <c r="T22" s="145"/>
      <c r="U22" s="146"/>
    </row>
    <row r="23" spans="1:21" s="11" customFormat="1" x14ac:dyDescent="0.2">
      <c r="A23" s="53"/>
      <c r="B23" s="54"/>
      <c r="C23" s="54"/>
      <c r="D23" s="27" t="s">
        <v>45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4"/>
      <c r="S23" s="4"/>
      <c r="T23" s="6"/>
      <c r="U23" s="23"/>
    </row>
    <row r="24" spans="1:21" s="11" customFormat="1" x14ac:dyDescent="0.2">
      <c r="A24" s="79"/>
      <c r="U24" s="55"/>
    </row>
    <row r="25" spans="1:21" s="11" customFormat="1" x14ac:dyDescent="0.2">
      <c r="A25" s="79"/>
      <c r="U25" s="55"/>
    </row>
    <row r="26" spans="1:21" s="11" customFormat="1" x14ac:dyDescent="0.2">
      <c r="A26" s="79"/>
      <c r="U26" s="55"/>
    </row>
    <row r="27" spans="1:21" s="11" customFormat="1" x14ac:dyDescent="0.2">
      <c r="A27" s="83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20"/>
    </row>
  </sheetData>
  <dataConsolidate/>
  <mergeCells count="5">
    <mergeCell ref="T18:U18"/>
    <mergeCell ref="T19:U19"/>
    <mergeCell ref="T20:U20"/>
    <mergeCell ref="T21:U21"/>
    <mergeCell ref="T22:U2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27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9.453125" style="29" bestFit="1" customWidth="1"/>
    <col min="17" max="17" width="11.6328125" style="27" bestFit="1" customWidth="1"/>
    <col min="18" max="18" width="9.45312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5" t="s">
        <v>128</v>
      </c>
      <c r="B1" s="75" t="s">
        <v>128</v>
      </c>
      <c r="C1" s="7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6" t="s">
        <v>128</v>
      </c>
      <c r="B2" s="77"/>
      <c r="C2" s="77"/>
      <c r="D2" s="86" t="s">
        <v>223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MABCL1220</v>
      </c>
      <c r="I2" s="7" t="s">
        <v>129</v>
      </c>
      <c r="J2" s="9" t="s">
        <v>163</v>
      </c>
      <c r="K2" s="7" t="s">
        <v>4</v>
      </c>
      <c r="L2" s="78" t="str">
        <f>IF(LogicCommon!G2="","",LogicCommon!G2)</f>
        <v>MC</v>
      </c>
      <c r="M2" s="5" t="s">
        <v>130</v>
      </c>
      <c r="N2" s="28" t="s">
        <v>209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9" t="s">
        <v>128</v>
      </c>
      <c r="B3" s="80"/>
      <c r="C3" s="80"/>
      <c r="D3" s="81" t="str">
        <f>IF(LogicCommon!A3="","",LogicCommon!A3)</f>
        <v/>
      </c>
      <c r="E3" s="7" t="s">
        <v>6</v>
      </c>
      <c r="F3" s="78" t="str">
        <f>IF(LogicCommon!C3="","",LogicCommon!C3)</f>
        <v>MABC</v>
      </c>
      <c r="G3" s="7" t="s">
        <v>7</v>
      </c>
      <c r="H3" s="78" t="str">
        <f>IF(LogicCommon!E3="","",LogicCommon!E3)</f>
        <v>MABCL_JnlKeyMapReg</v>
      </c>
      <c r="I3" s="7" t="s">
        <v>131</v>
      </c>
      <c r="J3" s="9" t="s">
        <v>46</v>
      </c>
      <c r="K3" s="7" t="s">
        <v>8</v>
      </c>
      <c r="L3" s="78" t="str">
        <f>IF(LogicCommon!G3="","",LogicCommon!G3)</f>
        <v/>
      </c>
      <c r="M3" s="51" t="s">
        <v>16</v>
      </c>
      <c r="N3" s="7"/>
      <c r="O3" s="7" t="s">
        <v>107</v>
      </c>
      <c r="P3" s="9" t="s">
        <v>132</v>
      </c>
      <c r="Q3" s="4"/>
      <c r="R3" s="27"/>
      <c r="S3" s="27"/>
      <c r="T3" s="27"/>
      <c r="U3" s="27"/>
      <c r="V3" s="27"/>
    </row>
    <row r="4" spans="1:22" s="11" customFormat="1" x14ac:dyDescent="0.2">
      <c r="A4" s="79" t="s">
        <v>128</v>
      </c>
      <c r="B4" s="80"/>
      <c r="C4" s="80"/>
      <c r="D4" s="4"/>
      <c r="E4" s="7" t="s">
        <v>9</v>
      </c>
      <c r="F4" s="10" t="s">
        <v>127</v>
      </c>
      <c r="G4" s="7" t="s">
        <v>10</v>
      </c>
      <c r="H4" s="78" t="str">
        <f>IF(LogicCommon!E4="","",LogicCommon!E4)</f>
        <v>仕訳キー対応マスタ登録</v>
      </c>
      <c r="I4" s="7" t="s">
        <v>108</v>
      </c>
      <c r="J4" s="9" t="s">
        <v>47</v>
      </c>
      <c r="K4" s="7" t="s">
        <v>11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3" t="s">
        <v>128</v>
      </c>
      <c r="B5" s="75"/>
      <c r="C5" s="75"/>
      <c r="D5" s="26"/>
      <c r="E5" s="7" t="s">
        <v>133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9" t="s">
        <v>128</v>
      </c>
      <c r="B6" s="80"/>
      <c r="C6" s="80"/>
      <c r="D6" s="4" t="s">
        <v>12</v>
      </c>
      <c r="E6" s="16" t="s">
        <v>170</v>
      </c>
      <c r="F6" s="16"/>
      <c r="G6" s="16"/>
      <c r="H6" s="16"/>
      <c r="I6" s="16"/>
      <c r="J6" s="16"/>
      <c r="K6" s="16"/>
      <c r="L6" s="85" t="s">
        <v>18</v>
      </c>
      <c r="M6" s="19"/>
      <c r="N6" s="19" t="s">
        <v>18</v>
      </c>
      <c r="O6" s="19"/>
      <c r="P6" s="19" t="s">
        <v>18</v>
      </c>
      <c r="Q6" s="19"/>
      <c r="R6" s="3" t="s">
        <v>18</v>
      </c>
      <c r="S6" s="4"/>
      <c r="T6" s="29"/>
      <c r="U6" s="29"/>
      <c r="V6" s="27"/>
    </row>
    <row r="7" spans="1:22" s="11" customFormat="1" x14ac:dyDescent="0.2">
      <c r="A7" s="30" t="s">
        <v>19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48</v>
      </c>
      <c r="L7" s="32" t="s">
        <v>49</v>
      </c>
      <c r="M7" s="33" t="s">
        <v>23</v>
      </c>
      <c r="N7" s="32" t="s">
        <v>50</v>
      </c>
      <c r="O7" s="33" t="s">
        <v>23</v>
      </c>
      <c r="P7" s="32"/>
      <c r="Q7" s="33" t="s">
        <v>23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19</v>
      </c>
      <c r="B8" s="89"/>
      <c r="C8" s="90"/>
      <c r="D8" s="87" t="s">
        <v>224</v>
      </c>
      <c r="E8" s="87" t="s">
        <v>225</v>
      </c>
      <c r="F8" s="85"/>
      <c r="G8" s="87" t="s">
        <v>142</v>
      </c>
      <c r="H8" s="87" t="s">
        <v>226</v>
      </c>
      <c r="I8" s="85"/>
      <c r="J8" s="3"/>
      <c r="K8" s="33" t="s">
        <v>51</v>
      </c>
      <c r="L8" s="9" t="s">
        <v>213</v>
      </c>
      <c r="M8" s="33" t="s">
        <v>27</v>
      </c>
      <c r="N8" s="9" t="s">
        <v>213</v>
      </c>
      <c r="O8" s="33" t="s">
        <v>27</v>
      </c>
      <c r="P8" s="9"/>
      <c r="Q8" s="33" t="s">
        <v>27</v>
      </c>
      <c r="R8" s="9"/>
      <c r="S8" s="91"/>
      <c r="T8" s="92"/>
      <c r="U8" s="93" t="s">
        <v>227</v>
      </c>
      <c r="V8" s="52"/>
    </row>
    <row r="9" spans="1:22" s="11" customFormat="1" ht="60" customHeight="1" x14ac:dyDescent="0.2">
      <c r="A9" s="9" t="s">
        <v>19</v>
      </c>
      <c r="B9" s="34"/>
      <c r="C9" s="35"/>
      <c r="D9" s="87" t="s">
        <v>228</v>
      </c>
      <c r="E9" s="94" t="s">
        <v>229</v>
      </c>
      <c r="F9" s="87" t="s">
        <v>230</v>
      </c>
      <c r="G9" s="87" t="s">
        <v>231</v>
      </c>
      <c r="H9" s="87" t="s">
        <v>232</v>
      </c>
      <c r="I9" s="95" t="s">
        <v>233</v>
      </c>
      <c r="J9" s="87" t="s">
        <v>234</v>
      </c>
      <c r="K9" s="33"/>
      <c r="L9" s="33"/>
      <c r="M9" s="33"/>
      <c r="N9" s="33"/>
      <c r="O9" s="33"/>
      <c r="P9" s="33"/>
      <c r="Q9" s="33"/>
      <c r="R9" s="33"/>
      <c r="S9" s="93" t="s">
        <v>235</v>
      </c>
      <c r="T9" s="52"/>
      <c r="U9" s="93" t="s">
        <v>236</v>
      </c>
      <c r="V9" s="52"/>
    </row>
    <row r="10" spans="1:22" s="11" customFormat="1" ht="52" x14ac:dyDescent="0.2">
      <c r="A10" s="38" t="s">
        <v>19</v>
      </c>
      <c r="B10" s="39"/>
      <c r="C10" s="39"/>
      <c r="D10" s="40"/>
      <c r="E10" s="41"/>
      <c r="F10" s="41"/>
      <c r="G10" s="42"/>
      <c r="H10" s="42"/>
      <c r="I10" s="41"/>
      <c r="J10" s="41"/>
      <c r="K10" s="88" t="s">
        <v>233</v>
      </c>
      <c r="L10" s="88" t="s">
        <v>234</v>
      </c>
      <c r="M10" s="88" t="s">
        <v>233</v>
      </c>
      <c r="N10" s="88" t="s">
        <v>234</v>
      </c>
      <c r="O10" s="88" t="s">
        <v>233</v>
      </c>
      <c r="P10" s="88" t="s">
        <v>234</v>
      </c>
      <c r="Q10" s="88" t="s">
        <v>233</v>
      </c>
      <c r="R10" s="88" t="s">
        <v>234</v>
      </c>
      <c r="S10" s="41"/>
      <c r="T10" s="41"/>
      <c r="U10" s="42"/>
      <c r="V10" s="37"/>
    </row>
    <row r="11" spans="1:22" s="11" customFormat="1" x14ac:dyDescent="0.2">
      <c r="A11" s="9">
        <v>10</v>
      </c>
      <c r="B11" s="34" t="s">
        <v>30</v>
      </c>
      <c r="C11" s="35"/>
      <c r="D11" s="28" t="s">
        <v>164</v>
      </c>
      <c r="E11" s="43" t="s">
        <v>14</v>
      </c>
      <c r="F11" s="44"/>
      <c r="G11" s="28" t="s">
        <v>52</v>
      </c>
      <c r="H11" s="56" t="s">
        <v>216</v>
      </c>
      <c r="I11" s="45"/>
      <c r="J11" s="46"/>
      <c r="K11" s="47" t="s">
        <v>14</v>
      </c>
      <c r="L11" s="47"/>
      <c r="M11" s="47" t="s">
        <v>143</v>
      </c>
      <c r="N11" s="47"/>
      <c r="O11" s="47"/>
      <c r="P11" s="47"/>
      <c r="Q11" s="47"/>
      <c r="R11" s="47"/>
      <c r="S11" s="36"/>
      <c r="T11" s="37"/>
      <c r="U11" s="73"/>
      <c r="V11" s="48"/>
    </row>
    <row r="12" spans="1:22" s="11" customFormat="1" x14ac:dyDescent="0.2">
      <c r="A12" s="9">
        <v>10</v>
      </c>
      <c r="B12" s="9"/>
      <c r="C12" s="9"/>
      <c r="D12" s="9" t="s">
        <v>33</v>
      </c>
      <c r="E12" s="49" t="s">
        <v>74</v>
      </c>
      <c r="F12" s="49"/>
      <c r="G12" s="50" t="s">
        <v>237</v>
      </c>
      <c r="H12" s="50" t="s">
        <v>134</v>
      </c>
      <c r="I12" s="9" t="s">
        <v>135</v>
      </c>
      <c r="J12" s="9"/>
      <c r="K12" s="9" t="s">
        <v>136</v>
      </c>
      <c r="L12" s="9"/>
      <c r="M12" s="9" t="s">
        <v>136</v>
      </c>
      <c r="N12" s="9"/>
      <c r="O12" s="9"/>
      <c r="P12" s="9"/>
      <c r="Q12" s="9"/>
      <c r="R12" s="9"/>
      <c r="S12" s="40"/>
      <c r="T12" s="52"/>
      <c r="U12" s="145"/>
      <c r="V12" s="146"/>
    </row>
    <row r="13" spans="1:22" s="11" customFormat="1" x14ac:dyDescent="0.2">
      <c r="A13" s="9">
        <v>10</v>
      </c>
      <c r="B13" s="9"/>
      <c r="C13" s="9"/>
      <c r="D13" s="9" t="s">
        <v>180</v>
      </c>
      <c r="E13" s="49" t="s">
        <v>72</v>
      </c>
      <c r="F13" s="49"/>
      <c r="G13" s="50" t="s">
        <v>238</v>
      </c>
      <c r="H13" s="50" t="s">
        <v>215</v>
      </c>
      <c r="I13" s="9" t="s">
        <v>135</v>
      </c>
      <c r="J13" s="9"/>
      <c r="K13" s="9" t="s">
        <v>135</v>
      </c>
      <c r="L13" s="9"/>
      <c r="M13" s="9" t="s">
        <v>136</v>
      </c>
      <c r="N13" s="9"/>
      <c r="O13" s="9"/>
      <c r="P13" s="9"/>
      <c r="Q13" s="9"/>
      <c r="R13" s="9"/>
      <c r="S13" s="40"/>
      <c r="T13" s="52"/>
      <c r="U13" s="145"/>
      <c r="V13" s="146"/>
    </row>
    <row r="14" spans="1:22" s="11" customFormat="1" x14ac:dyDescent="0.2">
      <c r="A14" s="9">
        <v>10</v>
      </c>
      <c r="B14" s="9"/>
      <c r="C14" s="9"/>
      <c r="D14" s="49" t="s">
        <v>181</v>
      </c>
      <c r="E14" s="49" t="s">
        <v>207</v>
      </c>
      <c r="F14" s="49"/>
      <c r="G14" s="50" t="s">
        <v>239</v>
      </c>
      <c r="H14" s="50" t="s">
        <v>175</v>
      </c>
      <c r="I14" s="9" t="s">
        <v>135</v>
      </c>
      <c r="J14" s="9"/>
      <c r="K14" s="9" t="s">
        <v>135</v>
      </c>
      <c r="L14" s="9"/>
      <c r="M14" s="9" t="s">
        <v>136</v>
      </c>
      <c r="N14" s="9"/>
      <c r="O14" s="9"/>
      <c r="P14" s="9"/>
      <c r="Q14" s="9"/>
      <c r="R14" s="9"/>
      <c r="S14" s="40"/>
      <c r="T14" s="52"/>
      <c r="U14" s="145"/>
      <c r="V14" s="146"/>
    </row>
    <row r="15" spans="1:22" s="11" customFormat="1" ht="26" x14ac:dyDescent="0.2">
      <c r="A15" s="9">
        <v>10</v>
      </c>
      <c r="B15" s="9"/>
      <c r="C15" s="9"/>
      <c r="D15" s="49" t="s">
        <v>187</v>
      </c>
      <c r="E15" s="49" t="s">
        <v>189</v>
      </c>
      <c r="F15" s="49"/>
      <c r="G15" s="50" t="s">
        <v>240</v>
      </c>
      <c r="H15" s="50" t="s">
        <v>192</v>
      </c>
      <c r="I15" s="9" t="s">
        <v>135</v>
      </c>
      <c r="J15" s="9"/>
      <c r="K15" s="9" t="s">
        <v>135</v>
      </c>
      <c r="L15" s="9"/>
      <c r="M15" s="9"/>
      <c r="N15" s="9"/>
      <c r="O15" s="9"/>
      <c r="P15" s="9"/>
      <c r="Q15" s="9"/>
      <c r="R15" s="9"/>
      <c r="S15" s="40"/>
      <c r="T15" s="52"/>
      <c r="U15" s="145"/>
      <c r="V15" s="146"/>
    </row>
    <row r="16" spans="1:22" s="11" customFormat="1" ht="26" x14ac:dyDescent="0.2">
      <c r="A16" s="9">
        <v>10</v>
      </c>
      <c r="B16" s="9"/>
      <c r="C16" s="9"/>
      <c r="D16" s="49" t="s">
        <v>195</v>
      </c>
      <c r="E16" s="49" t="s">
        <v>190</v>
      </c>
      <c r="F16" s="49"/>
      <c r="G16" s="50" t="s">
        <v>241</v>
      </c>
      <c r="H16" s="50" t="s">
        <v>197</v>
      </c>
      <c r="I16" s="9" t="s">
        <v>135</v>
      </c>
      <c r="J16" s="9"/>
      <c r="K16" s="9" t="s">
        <v>135</v>
      </c>
      <c r="L16" s="9"/>
      <c r="M16" s="9"/>
      <c r="N16" s="9"/>
      <c r="O16" s="9"/>
      <c r="P16" s="9"/>
      <c r="Q16" s="9"/>
      <c r="R16" s="9"/>
      <c r="S16" s="40"/>
      <c r="T16" s="52"/>
      <c r="U16" s="145"/>
      <c r="V16" s="146"/>
    </row>
    <row r="17" spans="1:22" s="11" customFormat="1" x14ac:dyDescent="0.2">
      <c r="A17" s="9">
        <v>10</v>
      </c>
      <c r="B17" s="9"/>
      <c r="C17" s="9"/>
      <c r="D17" s="9" t="s">
        <v>199</v>
      </c>
      <c r="E17" s="49" t="s">
        <v>200</v>
      </c>
      <c r="F17" s="49"/>
      <c r="G17" s="50" t="s">
        <v>242</v>
      </c>
      <c r="H17" s="50" t="s">
        <v>201</v>
      </c>
      <c r="I17" s="9" t="s">
        <v>135</v>
      </c>
      <c r="J17" s="9"/>
      <c r="K17" s="9" t="s">
        <v>135</v>
      </c>
      <c r="L17" s="9"/>
      <c r="M17" s="9"/>
      <c r="N17" s="9"/>
      <c r="O17" s="9"/>
      <c r="P17" s="9"/>
      <c r="Q17" s="9"/>
      <c r="R17" s="9"/>
      <c r="S17" s="40"/>
      <c r="T17" s="52"/>
      <c r="U17" s="145"/>
      <c r="V17" s="146"/>
    </row>
    <row r="18" spans="1:22" s="11" customFormat="1" x14ac:dyDescent="0.2">
      <c r="A18" s="9">
        <v>10</v>
      </c>
      <c r="B18" s="9"/>
      <c r="C18" s="9"/>
      <c r="D18" s="9" t="s">
        <v>36</v>
      </c>
      <c r="E18" s="49" t="s">
        <v>37</v>
      </c>
      <c r="F18" s="49"/>
      <c r="G18" s="50" t="s">
        <v>243</v>
      </c>
      <c r="H18" s="50" t="s">
        <v>138</v>
      </c>
      <c r="I18" s="9" t="s">
        <v>135</v>
      </c>
      <c r="J18" s="9"/>
      <c r="K18" s="9" t="s">
        <v>135</v>
      </c>
      <c r="L18" s="9"/>
      <c r="M18" s="9"/>
      <c r="N18" s="9"/>
      <c r="O18" s="9"/>
      <c r="P18" s="9"/>
      <c r="Q18" s="9"/>
      <c r="R18" s="9"/>
      <c r="S18" s="40"/>
      <c r="T18" s="52"/>
      <c r="U18" s="145"/>
      <c r="V18" s="146"/>
    </row>
    <row r="19" spans="1:22" s="11" customFormat="1" x14ac:dyDescent="0.2">
      <c r="A19" s="9">
        <v>10</v>
      </c>
      <c r="B19" s="9"/>
      <c r="C19" s="9"/>
      <c r="D19" s="9" t="s">
        <v>38</v>
      </c>
      <c r="E19" s="49" t="s">
        <v>39</v>
      </c>
      <c r="F19" s="49"/>
      <c r="G19" s="50" t="s">
        <v>244</v>
      </c>
      <c r="H19" s="50" t="s">
        <v>139</v>
      </c>
      <c r="I19" s="9" t="s">
        <v>135</v>
      </c>
      <c r="J19" s="9"/>
      <c r="K19" s="9" t="s">
        <v>135</v>
      </c>
      <c r="L19" s="9"/>
      <c r="M19" s="9"/>
      <c r="N19" s="9"/>
      <c r="O19" s="9"/>
      <c r="P19" s="9"/>
      <c r="Q19" s="9"/>
      <c r="R19" s="9"/>
      <c r="S19" s="40"/>
      <c r="T19" s="52"/>
      <c r="U19" s="145"/>
      <c r="V19" s="146"/>
    </row>
    <row r="20" spans="1:22" s="11" customFormat="1" x14ac:dyDescent="0.2">
      <c r="A20" s="9">
        <v>10</v>
      </c>
      <c r="B20" s="9"/>
      <c r="C20" s="9"/>
      <c r="D20" s="9" t="s">
        <v>40</v>
      </c>
      <c r="E20" s="49" t="s">
        <v>41</v>
      </c>
      <c r="F20" s="49"/>
      <c r="G20" s="50" t="s">
        <v>245</v>
      </c>
      <c r="H20" s="50" t="s">
        <v>140</v>
      </c>
      <c r="I20" s="9" t="s">
        <v>135</v>
      </c>
      <c r="J20" s="9"/>
      <c r="K20" s="9" t="s">
        <v>135</v>
      </c>
      <c r="L20" s="9"/>
      <c r="M20" s="9"/>
      <c r="N20" s="9"/>
      <c r="O20" s="9"/>
      <c r="P20" s="9"/>
      <c r="Q20" s="9"/>
      <c r="R20" s="9"/>
      <c r="S20" s="40"/>
      <c r="T20" s="52"/>
      <c r="U20" s="145"/>
      <c r="V20" s="146"/>
    </row>
    <row r="21" spans="1:22" s="11" customFormat="1" x14ac:dyDescent="0.2">
      <c r="A21" s="9">
        <v>10</v>
      </c>
      <c r="B21" s="9"/>
      <c r="C21" s="9"/>
      <c r="D21" s="9" t="s">
        <v>42</v>
      </c>
      <c r="E21" s="49" t="s">
        <v>35</v>
      </c>
      <c r="F21" s="49"/>
      <c r="G21" s="50" t="s">
        <v>246</v>
      </c>
      <c r="H21" s="50" t="s">
        <v>73</v>
      </c>
      <c r="I21" s="9" t="s">
        <v>135</v>
      </c>
      <c r="J21" s="9"/>
      <c r="K21" s="9" t="s">
        <v>135</v>
      </c>
      <c r="L21" s="9"/>
      <c r="M21" s="9"/>
      <c r="N21" s="9"/>
      <c r="O21" s="9"/>
      <c r="P21" s="9"/>
      <c r="Q21" s="9"/>
      <c r="R21" s="9"/>
      <c r="S21" s="40"/>
      <c r="T21" s="52"/>
      <c r="U21" s="145"/>
      <c r="V21" s="146"/>
    </row>
    <row r="22" spans="1:22" s="11" customFormat="1" x14ac:dyDescent="0.2">
      <c r="A22" s="9">
        <v>10</v>
      </c>
      <c r="B22" s="9"/>
      <c r="C22" s="9"/>
      <c r="D22" s="9" t="s">
        <v>54</v>
      </c>
      <c r="E22" s="49" t="s">
        <v>55</v>
      </c>
      <c r="F22" s="49"/>
      <c r="G22" s="50" t="s">
        <v>247</v>
      </c>
      <c r="H22" s="50" t="s">
        <v>141</v>
      </c>
      <c r="I22" s="9" t="s">
        <v>135</v>
      </c>
      <c r="J22" s="9"/>
      <c r="K22" s="9" t="s">
        <v>135</v>
      </c>
      <c r="L22" s="9"/>
      <c r="M22" s="9"/>
      <c r="N22" s="9"/>
      <c r="O22" s="9"/>
      <c r="P22" s="9"/>
      <c r="Q22" s="9"/>
      <c r="R22" s="9"/>
      <c r="S22" s="40"/>
      <c r="T22" s="52"/>
      <c r="U22" s="145"/>
      <c r="V22" s="146"/>
    </row>
    <row r="23" spans="1:22" s="11" customFormat="1" x14ac:dyDescent="0.2">
      <c r="A23" s="53"/>
      <c r="B23" s="54"/>
      <c r="C23" s="54"/>
      <c r="D23" s="27" t="s">
        <v>45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4"/>
      <c r="T23" s="4"/>
      <c r="U23" s="6"/>
      <c r="V23" s="23"/>
    </row>
    <row r="24" spans="1:22" s="11" customFormat="1" x14ac:dyDescent="0.2">
      <c r="A24" s="79"/>
      <c r="V24" s="55"/>
    </row>
    <row r="25" spans="1:22" s="11" customFormat="1" x14ac:dyDescent="0.2">
      <c r="A25" s="79"/>
      <c r="V25" s="55"/>
    </row>
    <row r="26" spans="1:22" s="11" customFormat="1" x14ac:dyDescent="0.2">
      <c r="A26" s="79"/>
      <c r="V26" s="55"/>
    </row>
    <row r="27" spans="1:22" s="11" customFormat="1" x14ac:dyDescent="0.2">
      <c r="A27" s="83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20"/>
    </row>
  </sheetData>
  <dataConsolidate/>
  <mergeCells count="11">
    <mergeCell ref="U20:V20"/>
    <mergeCell ref="U21:V21"/>
    <mergeCell ref="U22:V22"/>
    <mergeCell ref="U18:V18"/>
    <mergeCell ref="U19:V19"/>
    <mergeCell ref="U17:V17"/>
    <mergeCell ref="U12:V12"/>
    <mergeCell ref="U13:V13"/>
    <mergeCell ref="U14:V14"/>
    <mergeCell ref="U15:V15"/>
    <mergeCell ref="U16:V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1.6328125" style="29" bestFit="1" customWidth="1"/>
    <col min="17" max="17" width="9.453125" style="27" bestFit="1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5" t="s">
        <v>128</v>
      </c>
      <c r="B1" s="75" t="s">
        <v>128</v>
      </c>
      <c r="C1" s="7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6" t="s">
        <v>128</v>
      </c>
      <c r="B2" s="77"/>
      <c r="C2" s="77"/>
      <c r="D2" s="86" t="s">
        <v>223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MABCL1220</v>
      </c>
      <c r="I2" s="7" t="s">
        <v>129</v>
      </c>
      <c r="J2" s="9" t="s">
        <v>165</v>
      </c>
      <c r="K2" s="7" t="s">
        <v>4</v>
      </c>
      <c r="L2" s="78" t="str">
        <f>IF(LogicCommon!G2="","",LogicCommon!G2)</f>
        <v>MC</v>
      </c>
      <c r="M2" s="5" t="s">
        <v>130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9" t="s">
        <v>128</v>
      </c>
      <c r="B3" s="80"/>
      <c r="C3" s="80"/>
      <c r="D3" s="81" t="str">
        <f>IF(LogicCommon!A3="","",LogicCommon!A3)</f>
        <v/>
      </c>
      <c r="E3" s="7" t="s">
        <v>6</v>
      </c>
      <c r="F3" s="78" t="str">
        <f>IF(LogicCommon!C3="","",LogicCommon!C3)</f>
        <v>MABC</v>
      </c>
      <c r="G3" s="7" t="s">
        <v>7</v>
      </c>
      <c r="H3" s="78" t="str">
        <f>IF(LogicCommon!E3="","",LogicCommon!E3)</f>
        <v>MABCL_JnlKeyMapReg</v>
      </c>
      <c r="I3" s="7" t="s">
        <v>131</v>
      </c>
      <c r="J3" s="9" t="s">
        <v>15</v>
      </c>
      <c r="K3" s="7" t="s">
        <v>8</v>
      </c>
      <c r="L3" s="78" t="str">
        <f>IF(LogicCommon!G3="","",LogicCommon!G3)</f>
        <v/>
      </c>
      <c r="M3" s="51" t="s">
        <v>16</v>
      </c>
      <c r="N3" s="7"/>
      <c r="O3" s="7" t="s">
        <v>107</v>
      </c>
      <c r="P3" s="9" t="s">
        <v>132</v>
      </c>
      <c r="Q3" s="4"/>
      <c r="R3" s="27"/>
      <c r="S3" s="27"/>
      <c r="T3" s="27"/>
      <c r="U3" s="27"/>
    </row>
    <row r="4" spans="1:21" s="11" customFormat="1" x14ac:dyDescent="0.2">
      <c r="A4" s="79" t="s">
        <v>128</v>
      </c>
      <c r="B4" s="80"/>
      <c r="C4" s="80"/>
      <c r="D4" s="4"/>
      <c r="E4" s="7" t="s">
        <v>9</v>
      </c>
      <c r="F4" s="10" t="s">
        <v>127</v>
      </c>
      <c r="G4" s="7" t="s">
        <v>10</v>
      </c>
      <c r="H4" s="78" t="str">
        <f>IF(LogicCommon!E4="","",LogicCommon!E4)</f>
        <v>仕訳キー対応マスタ登録</v>
      </c>
      <c r="I4" s="7" t="s">
        <v>108</v>
      </c>
      <c r="J4" s="9" t="s">
        <v>57</v>
      </c>
      <c r="K4" s="7" t="s">
        <v>11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83" t="s">
        <v>128</v>
      </c>
      <c r="B5" s="75"/>
      <c r="C5" s="75"/>
      <c r="D5" s="26"/>
      <c r="E5" s="7" t="s">
        <v>133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9" t="s">
        <v>128</v>
      </c>
      <c r="B6" s="80"/>
      <c r="C6" s="80"/>
      <c r="D6" s="4" t="s">
        <v>12</v>
      </c>
      <c r="E6" s="16" t="s">
        <v>171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18</v>
      </c>
      <c r="R6" s="4"/>
      <c r="S6" s="29"/>
      <c r="T6" s="29"/>
      <c r="U6" s="27"/>
    </row>
    <row r="7" spans="1:21" s="11" customFormat="1" x14ac:dyDescent="0.2">
      <c r="A7" s="30" t="s">
        <v>19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21</v>
      </c>
      <c r="L7" s="32"/>
      <c r="M7" s="32"/>
      <c r="N7" s="32"/>
      <c r="O7" s="32"/>
      <c r="P7" s="33" t="s">
        <v>23</v>
      </c>
      <c r="Q7" s="32"/>
      <c r="R7" s="29"/>
      <c r="S7" s="29"/>
      <c r="T7" s="29"/>
      <c r="U7" s="29"/>
    </row>
    <row r="8" spans="1:21" s="11" customFormat="1" ht="60" customHeight="1" x14ac:dyDescent="0.2">
      <c r="A8" s="49" t="s">
        <v>19</v>
      </c>
      <c r="B8" s="89"/>
      <c r="C8" s="90"/>
      <c r="D8" s="87" t="s">
        <v>224</v>
      </c>
      <c r="E8" s="87" t="s">
        <v>225</v>
      </c>
      <c r="F8" s="85"/>
      <c r="G8" s="87" t="s">
        <v>142</v>
      </c>
      <c r="H8" s="87" t="s">
        <v>226</v>
      </c>
      <c r="I8" s="85"/>
      <c r="J8" s="3"/>
      <c r="K8" s="9" t="s">
        <v>24</v>
      </c>
      <c r="L8" s="9"/>
      <c r="M8" s="9"/>
      <c r="N8" s="9"/>
      <c r="O8" s="9"/>
      <c r="P8" s="33" t="s">
        <v>27</v>
      </c>
      <c r="Q8" s="9"/>
      <c r="R8" s="91"/>
      <c r="S8" s="92"/>
      <c r="T8" s="93" t="s">
        <v>227</v>
      </c>
      <c r="U8" s="52"/>
    </row>
    <row r="9" spans="1:21" s="11" customFormat="1" ht="60" customHeight="1" x14ac:dyDescent="0.2">
      <c r="A9" s="9" t="s">
        <v>19</v>
      </c>
      <c r="B9" s="34"/>
      <c r="C9" s="35"/>
      <c r="D9" s="87" t="s">
        <v>228</v>
      </c>
      <c r="E9" s="94" t="s">
        <v>229</v>
      </c>
      <c r="F9" s="87" t="s">
        <v>230</v>
      </c>
      <c r="G9" s="87" t="s">
        <v>231</v>
      </c>
      <c r="H9" s="87" t="s">
        <v>232</v>
      </c>
      <c r="I9" s="95" t="s">
        <v>233</v>
      </c>
      <c r="J9" s="87" t="s">
        <v>234</v>
      </c>
      <c r="K9" s="33"/>
      <c r="L9" s="33"/>
      <c r="M9" s="33"/>
      <c r="N9" s="33"/>
      <c r="O9" s="33"/>
      <c r="P9" s="33"/>
      <c r="Q9" s="33"/>
      <c r="R9" s="93" t="s">
        <v>235</v>
      </c>
      <c r="S9" s="52"/>
      <c r="T9" s="93" t="s">
        <v>236</v>
      </c>
      <c r="U9" s="52"/>
    </row>
    <row r="10" spans="1:21" s="11" customFormat="1" ht="52" x14ac:dyDescent="0.2">
      <c r="A10" s="38" t="s">
        <v>29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33"/>
      <c r="N10" s="33"/>
      <c r="O10" s="33"/>
      <c r="P10" s="88" t="s">
        <v>233</v>
      </c>
      <c r="Q10" s="88" t="s">
        <v>234</v>
      </c>
      <c r="R10" s="41"/>
      <c r="S10" s="41"/>
      <c r="T10" s="42"/>
      <c r="U10" s="37"/>
    </row>
    <row r="11" spans="1:21" s="11" customFormat="1" x14ac:dyDescent="0.2">
      <c r="A11" s="9">
        <v>10</v>
      </c>
      <c r="B11" s="34" t="s">
        <v>30</v>
      </c>
      <c r="C11" s="35"/>
      <c r="D11" s="28" t="s">
        <v>166</v>
      </c>
      <c r="E11" s="43" t="s">
        <v>31</v>
      </c>
      <c r="F11" s="44"/>
      <c r="G11" s="28"/>
      <c r="H11" s="56"/>
      <c r="I11" s="45"/>
      <c r="J11" s="46"/>
      <c r="K11" s="47"/>
      <c r="L11" s="47"/>
      <c r="M11" s="47"/>
      <c r="N11" s="47"/>
      <c r="O11" s="47"/>
      <c r="P11" s="47"/>
      <c r="Q11" s="47"/>
      <c r="R11" s="36"/>
      <c r="S11" s="37"/>
      <c r="T11" s="73"/>
      <c r="U11" s="48"/>
    </row>
    <row r="12" spans="1:21" s="11" customFormat="1" x14ac:dyDescent="0.2">
      <c r="A12" s="9">
        <v>10</v>
      </c>
      <c r="B12" s="9"/>
      <c r="C12" s="9"/>
      <c r="D12" s="9" t="s">
        <v>33</v>
      </c>
      <c r="E12" s="49" t="s">
        <v>34</v>
      </c>
      <c r="F12" s="49"/>
      <c r="G12" s="50" t="s">
        <v>237</v>
      </c>
      <c r="H12" s="50" t="s">
        <v>134</v>
      </c>
      <c r="I12" s="9" t="s">
        <v>135</v>
      </c>
      <c r="J12" s="9"/>
      <c r="K12" s="9" t="s">
        <v>136</v>
      </c>
      <c r="L12" s="9"/>
      <c r="M12" s="9"/>
      <c r="N12" s="9"/>
      <c r="O12" s="9"/>
      <c r="P12" s="9"/>
      <c r="Q12" s="9"/>
      <c r="R12" s="40"/>
      <c r="S12" s="52"/>
      <c r="T12" s="145"/>
      <c r="U12" s="146"/>
    </row>
    <row r="13" spans="1:21" s="11" customFormat="1" x14ac:dyDescent="0.2">
      <c r="A13" s="9">
        <v>10</v>
      </c>
      <c r="B13" s="9"/>
      <c r="C13" s="9"/>
      <c r="D13" s="9" t="s">
        <v>180</v>
      </c>
      <c r="E13" s="49" t="s">
        <v>72</v>
      </c>
      <c r="F13" s="49"/>
      <c r="G13" s="50" t="s">
        <v>238</v>
      </c>
      <c r="H13" s="50" t="s">
        <v>215</v>
      </c>
      <c r="I13" s="9" t="s">
        <v>135</v>
      </c>
      <c r="J13" s="9"/>
      <c r="K13" s="9"/>
      <c r="L13" s="9"/>
      <c r="M13" s="9"/>
      <c r="N13" s="9"/>
      <c r="O13" s="9"/>
      <c r="P13" s="9"/>
      <c r="Q13" s="9"/>
      <c r="R13" s="40"/>
      <c r="S13" s="52"/>
      <c r="T13" s="73"/>
      <c r="U13" s="74"/>
    </row>
    <row r="14" spans="1:21" s="11" customFormat="1" x14ac:dyDescent="0.2">
      <c r="A14" s="9">
        <v>10</v>
      </c>
      <c r="B14" s="9"/>
      <c r="C14" s="9"/>
      <c r="D14" s="49" t="s">
        <v>181</v>
      </c>
      <c r="E14" s="49" t="s">
        <v>207</v>
      </c>
      <c r="F14" s="49"/>
      <c r="G14" s="50" t="s">
        <v>239</v>
      </c>
      <c r="H14" s="50" t="s">
        <v>175</v>
      </c>
      <c r="I14" s="9" t="s">
        <v>135</v>
      </c>
      <c r="J14" s="9"/>
      <c r="K14" s="9" t="s">
        <v>135</v>
      </c>
      <c r="L14" s="9"/>
      <c r="M14" s="9"/>
      <c r="N14" s="9"/>
      <c r="O14" s="9"/>
      <c r="P14" s="9"/>
      <c r="Q14" s="9"/>
      <c r="R14" s="40"/>
      <c r="S14" s="52"/>
      <c r="T14" s="73"/>
      <c r="U14" s="74"/>
    </row>
    <row r="15" spans="1:21" s="11" customFormat="1" x14ac:dyDescent="0.2">
      <c r="A15" s="9">
        <v>10</v>
      </c>
      <c r="B15" s="9"/>
      <c r="C15" s="9"/>
      <c r="D15" s="9" t="s">
        <v>54</v>
      </c>
      <c r="E15" s="49" t="s">
        <v>55</v>
      </c>
      <c r="F15" s="49"/>
      <c r="G15" s="50" t="s">
        <v>247</v>
      </c>
      <c r="H15" s="50" t="s">
        <v>141</v>
      </c>
      <c r="I15" s="9" t="s">
        <v>135</v>
      </c>
      <c r="J15" s="9"/>
      <c r="K15" s="9"/>
      <c r="L15" s="9"/>
      <c r="M15" s="9"/>
      <c r="N15" s="9"/>
      <c r="O15" s="9"/>
      <c r="P15" s="9"/>
      <c r="Q15" s="9"/>
      <c r="R15" s="40"/>
      <c r="S15" s="52"/>
      <c r="T15" s="145"/>
      <c r="U15" s="146"/>
    </row>
    <row r="16" spans="1:21" s="11" customFormat="1" x14ac:dyDescent="0.2">
      <c r="A16" s="53"/>
      <c r="B16" s="54"/>
      <c r="C16" s="54"/>
      <c r="D16" s="27" t="s">
        <v>45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4"/>
      <c r="S16" s="4"/>
      <c r="T16" s="6"/>
      <c r="U16" s="23"/>
    </row>
    <row r="17" spans="1:21" s="11" customFormat="1" x14ac:dyDescent="0.2">
      <c r="A17" s="79"/>
      <c r="U17" s="55"/>
    </row>
    <row r="18" spans="1:21" s="11" customFormat="1" x14ac:dyDescent="0.2">
      <c r="A18" s="79"/>
      <c r="U18" s="55"/>
    </row>
    <row r="19" spans="1:21" s="11" customFormat="1" x14ac:dyDescent="0.2">
      <c r="A19" s="79"/>
      <c r="U19" s="55"/>
    </row>
    <row r="20" spans="1:21" s="11" customFormat="1" x14ac:dyDescent="0.2">
      <c r="A20" s="83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20"/>
    </row>
  </sheetData>
  <dataConsolidate/>
  <mergeCells count="2">
    <mergeCell ref="T12:U12"/>
    <mergeCell ref="T15:U1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26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4.453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5" t="s">
        <v>128</v>
      </c>
      <c r="B1" s="75" t="s">
        <v>128</v>
      </c>
      <c r="C1" s="7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6" t="s">
        <v>128</v>
      </c>
      <c r="B2" s="77"/>
      <c r="C2" s="77"/>
      <c r="D2" s="86" t="s">
        <v>223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MABCL1220</v>
      </c>
      <c r="I2" s="7" t="s">
        <v>129</v>
      </c>
      <c r="J2" s="9" t="s">
        <v>167</v>
      </c>
      <c r="K2" s="7" t="s">
        <v>4</v>
      </c>
      <c r="L2" s="78" t="str">
        <f>IF(LogicCommon!G2="","",LogicCommon!G2)</f>
        <v>MC</v>
      </c>
      <c r="M2" s="5" t="s">
        <v>130</v>
      </c>
      <c r="N2" s="28" t="s">
        <v>210</v>
      </c>
      <c r="O2" s="7"/>
      <c r="P2" s="7"/>
      <c r="Q2" s="4"/>
      <c r="R2" s="27"/>
    </row>
    <row r="3" spans="1:18" s="11" customFormat="1" x14ac:dyDescent="0.2">
      <c r="A3" s="79" t="s">
        <v>128</v>
      </c>
      <c r="B3" s="80"/>
      <c r="C3" s="80"/>
      <c r="D3" s="81" t="str">
        <f>IF(LogicCommon!A3="","",LogicCommon!A3)</f>
        <v/>
      </c>
      <c r="E3" s="7" t="s">
        <v>6</v>
      </c>
      <c r="F3" s="78" t="str">
        <f>IF(LogicCommon!C3="","",LogicCommon!C3)</f>
        <v>MABC</v>
      </c>
      <c r="G3" s="7" t="s">
        <v>7</v>
      </c>
      <c r="H3" s="78" t="str">
        <f>IF(LogicCommon!E3="","",LogicCommon!E3)</f>
        <v>MABCL_JnlKeyMapReg</v>
      </c>
      <c r="I3" s="7" t="s">
        <v>131</v>
      </c>
      <c r="J3" s="9" t="s">
        <v>46</v>
      </c>
      <c r="K3" s="7" t="s">
        <v>8</v>
      </c>
      <c r="L3" s="78" t="str">
        <f>IF(LogicCommon!G3="","",LogicCommon!G3)</f>
        <v/>
      </c>
      <c r="M3" s="51" t="s">
        <v>16</v>
      </c>
      <c r="N3" s="7"/>
      <c r="O3" s="7" t="s">
        <v>107</v>
      </c>
      <c r="P3" s="9" t="s">
        <v>132</v>
      </c>
      <c r="Q3" s="4"/>
      <c r="R3" s="27"/>
    </row>
    <row r="4" spans="1:18" s="11" customFormat="1" x14ac:dyDescent="0.2">
      <c r="A4" s="79" t="s">
        <v>128</v>
      </c>
      <c r="B4" s="80"/>
      <c r="C4" s="80"/>
      <c r="D4" s="4"/>
      <c r="E4" s="7" t="s">
        <v>9</v>
      </c>
      <c r="F4" s="10" t="s">
        <v>127</v>
      </c>
      <c r="G4" s="7" t="s">
        <v>10</v>
      </c>
      <c r="H4" s="78" t="str">
        <f>IF(LogicCommon!E4="","",LogicCommon!E4)</f>
        <v>仕訳キー対応マスタ登録</v>
      </c>
      <c r="I4" s="7" t="s">
        <v>108</v>
      </c>
      <c r="J4" s="9" t="s">
        <v>58</v>
      </c>
      <c r="K4" s="7" t="s">
        <v>11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 x14ac:dyDescent="0.2">
      <c r="A5" s="83" t="s">
        <v>128</v>
      </c>
      <c r="B5" s="75"/>
      <c r="C5" s="75"/>
      <c r="D5" s="26"/>
      <c r="E5" s="7" t="s">
        <v>133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9" t="s">
        <v>128</v>
      </c>
      <c r="B6" s="80"/>
      <c r="C6" s="80"/>
      <c r="D6" s="4" t="s">
        <v>12</v>
      </c>
      <c r="E6" s="16" t="s">
        <v>172</v>
      </c>
      <c r="F6" s="16"/>
      <c r="G6" s="16"/>
      <c r="H6" s="16"/>
      <c r="I6" s="16"/>
      <c r="J6" s="16"/>
      <c r="K6" s="16"/>
      <c r="L6" s="85" t="s">
        <v>18</v>
      </c>
      <c r="M6" s="19"/>
      <c r="N6" s="19" t="s">
        <v>18</v>
      </c>
      <c r="O6" s="19"/>
      <c r="P6" s="19"/>
      <c r="Q6" s="19"/>
      <c r="R6" s="27"/>
    </row>
    <row r="7" spans="1:18" s="11" customFormat="1" x14ac:dyDescent="0.2">
      <c r="A7" s="30" t="s">
        <v>28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59</v>
      </c>
      <c r="L7" s="32" t="s">
        <v>60</v>
      </c>
      <c r="M7" s="33" t="s">
        <v>48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19</v>
      </c>
      <c r="B8" s="89"/>
      <c r="C8" s="90"/>
      <c r="D8" s="87" t="s">
        <v>224</v>
      </c>
      <c r="E8" s="87" t="s">
        <v>225</v>
      </c>
      <c r="F8" s="85"/>
      <c r="G8" s="87" t="s">
        <v>142</v>
      </c>
      <c r="H8" s="87" t="s">
        <v>226</v>
      </c>
      <c r="I8" s="85"/>
      <c r="J8" s="3"/>
      <c r="K8" s="33" t="s">
        <v>61</v>
      </c>
      <c r="L8" s="9" t="s">
        <v>213</v>
      </c>
      <c r="M8" s="33" t="s">
        <v>51</v>
      </c>
      <c r="N8" s="9"/>
      <c r="O8" s="91"/>
      <c r="P8" s="92"/>
      <c r="Q8" s="93" t="s">
        <v>227</v>
      </c>
      <c r="R8" s="52"/>
    </row>
    <row r="9" spans="1:18" s="11" customFormat="1" ht="60" customHeight="1" x14ac:dyDescent="0.2">
      <c r="A9" s="9" t="s">
        <v>19</v>
      </c>
      <c r="B9" s="34"/>
      <c r="C9" s="35"/>
      <c r="D9" s="87" t="s">
        <v>228</v>
      </c>
      <c r="E9" s="94" t="s">
        <v>229</v>
      </c>
      <c r="F9" s="87" t="s">
        <v>230</v>
      </c>
      <c r="G9" s="87" t="s">
        <v>231</v>
      </c>
      <c r="H9" s="87" t="s">
        <v>232</v>
      </c>
      <c r="I9" s="95" t="s">
        <v>233</v>
      </c>
      <c r="J9" s="87" t="s">
        <v>234</v>
      </c>
      <c r="K9" s="33"/>
      <c r="L9" s="33"/>
      <c r="M9" s="33"/>
      <c r="N9" s="33"/>
      <c r="O9" s="93" t="s">
        <v>235</v>
      </c>
      <c r="P9" s="52"/>
      <c r="Q9" s="93" t="s">
        <v>236</v>
      </c>
      <c r="R9" s="52"/>
    </row>
    <row r="10" spans="1:18" s="11" customFormat="1" ht="52" x14ac:dyDescent="0.2">
      <c r="A10" s="38" t="s">
        <v>29</v>
      </c>
      <c r="B10" s="39"/>
      <c r="C10" s="39"/>
      <c r="D10" s="40"/>
      <c r="E10" s="41"/>
      <c r="F10" s="41"/>
      <c r="G10" s="42"/>
      <c r="H10" s="42"/>
      <c r="I10" s="41"/>
      <c r="J10" s="41"/>
      <c r="K10" s="88" t="s">
        <v>233</v>
      </c>
      <c r="L10" s="88" t="s">
        <v>234</v>
      </c>
      <c r="M10" s="88" t="s">
        <v>233</v>
      </c>
      <c r="N10" s="88" t="s">
        <v>234</v>
      </c>
      <c r="O10" s="41"/>
      <c r="P10" s="41"/>
      <c r="Q10" s="42"/>
      <c r="R10" s="37"/>
    </row>
    <row r="11" spans="1:18" s="11" customFormat="1" x14ac:dyDescent="0.2">
      <c r="A11" s="9">
        <v>10</v>
      </c>
      <c r="B11" s="34" t="s">
        <v>30</v>
      </c>
      <c r="C11" s="35"/>
      <c r="D11" s="28" t="s">
        <v>168</v>
      </c>
      <c r="E11" s="43" t="s">
        <v>31</v>
      </c>
      <c r="F11" s="44"/>
      <c r="G11" s="28" t="s">
        <v>52</v>
      </c>
      <c r="H11" s="56" t="s">
        <v>217</v>
      </c>
      <c r="I11" s="45"/>
      <c r="J11" s="46"/>
      <c r="K11" s="47" t="s">
        <v>143</v>
      </c>
      <c r="L11" s="47"/>
      <c r="M11" s="47"/>
      <c r="N11" s="47"/>
      <c r="O11" s="36"/>
      <c r="P11" s="37"/>
      <c r="Q11" s="73"/>
      <c r="R11" s="48"/>
    </row>
    <row r="12" spans="1:18" s="11" customFormat="1" x14ac:dyDescent="0.2">
      <c r="A12" s="9">
        <v>10</v>
      </c>
      <c r="B12" s="9"/>
      <c r="C12" s="9"/>
      <c r="D12" s="9" t="s">
        <v>33</v>
      </c>
      <c r="E12" s="49" t="s">
        <v>34</v>
      </c>
      <c r="F12" s="49"/>
      <c r="G12" s="50" t="s">
        <v>237</v>
      </c>
      <c r="H12" s="50" t="s">
        <v>134</v>
      </c>
      <c r="I12" s="9" t="s">
        <v>135</v>
      </c>
      <c r="J12" s="9"/>
      <c r="K12" s="9" t="s">
        <v>136</v>
      </c>
      <c r="L12" s="9"/>
      <c r="M12" s="9"/>
      <c r="N12" s="9"/>
      <c r="O12" s="42"/>
      <c r="P12" s="37"/>
      <c r="Q12" s="73"/>
      <c r="R12" s="48"/>
    </row>
    <row r="13" spans="1:18" s="11" customFormat="1" x14ac:dyDescent="0.2">
      <c r="A13" s="9">
        <v>10</v>
      </c>
      <c r="B13" s="9"/>
      <c r="C13" s="9"/>
      <c r="D13" s="9" t="s">
        <v>180</v>
      </c>
      <c r="E13" s="49" t="s">
        <v>72</v>
      </c>
      <c r="F13" s="49"/>
      <c r="G13" s="50" t="s">
        <v>238</v>
      </c>
      <c r="H13" s="50" t="s">
        <v>215</v>
      </c>
      <c r="I13" s="9" t="s">
        <v>135</v>
      </c>
      <c r="J13" s="9"/>
      <c r="K13" s="9" t="s">
        <v>136</v>
      </c>
      <c r="L13" s="9"/>
      <c r="M13" s="9"/>
      <c r="N13" s="9"/>
      <c r="O13" s="42"/>
      <c r="P13" s="37"/>
      <c r="Q13" s="73"/>
      <c r="R13" s="48"/>
    </row>
    <row r="14" spans="1:18" s="11" customFormat="1" x14ac:dyDescent="0.2">
      <c r="A14" s="9">
        <v>10</v>
      </c>
      <c r="B14" s="9"/>
      <c r="C14" s="9"/>
      <c r="D14" s="49" t="s">
        <v>181</v>
      </c>
      <c r="E14" s="49" t="s">
        <v>207</v>
      </c>
      <c r="F14" s="49"/>
      <c r="G14" s="50" t="s">
        <v>239</v>
      </c>
      <c r="H14" s="50" t="s">
        <v>175</v>
      </c>
      <c r="I14" s="9" t="s">
        <v>135</v>
      </c>
      <c r="J14" s="9"/>
      <c r="K14" s="9" t="s">
        <v>136</v>
      </c>
      <c r="L14" s="9"/>
      <c r="M14" s="9"/>
      <c r="N14" s="9"/>
      <c r="O14" s="42"/>
      <c r="P14" s="37"/>
      <c r="Q14" s="73"/>
      <c r="R14" s="48"/>
    </row>
    <row r="15" spans="1:18" s="11" customFormat="1" x14ac:dyDescent="0.2">
      <c r="A15" s="9">
        <v>10</v>
      </c>
      <c r="B15" s="9"/>
      <c r="C15" s="9"/>
      <c r="D15" s="9" t="s">
        <v>54</v>
      </c>
      <c r="E15" s="49" t="s">
        <v>55</v>
      </c>
      <c r="F15" s="49"/>
      <c r="G15" s="50" t="s">
        <v>247</v>
      </c>
      <c r="H15" s="50" t="s">
        <v>91</v>
      </c>
      <c r="I15" s="9" t="s">
        <v>135</v>
      </c>
      <c r="J15" s="9"/>
      <c r="K15" s="9" t="s">
        <v>136</v>
      </c>
      <c r="L15" s="9"/>
      <c r="M15" s="9"/>
      <c r="N15" s="9"/>
      <c r="O15" s="42"/>
      <c r="P15" s="37"/>
      <c r="Q15" s="73"/>
      <c r="R15" s="48"/>
    </row>
    <row r="16" spans="1:18" s="11" customFormat="1" x14ac:dyDescent="0.2">
      <c r="A16" s="53"/>
      <c r="B16" s="54"/>
      <c r="C16" s="54"/>
      <c r="D16" s="27" t="s">
        <v>45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 x14ac:dyDescent="0.2">
      <c r="A17" s="79"/>
      <c r="R17" s="55"/>
    </row>
    <row r="18" spans="1:18" s="11" customFormat="1" x14ac:dyDescent="0.2">
      <c r="A18" s="79"/>
      <c r="R18" s="55"/>
    </row>
    <row r="19" spans="1:18" s="11" customFormat="1" x14ac:dyDescent="0.2">
      <c r="A19" s="79"/>
      <c r="R19" s="55"/>
    </row>
    <row r="20" spans="1:18" s="11" customFormat="1" x14ac:dyDescent="0.2">
      <c r="A20" s="79"/>
      <c r="R20" s="55"/>
    </row>
    <row r="21" spans="1:18" s="11" customFormat="1" x14ac:dyDescent="0.2">
      <c r="A21" s="79"/>
      <c r="R21" s="55"/>
    </row>
    <row r="22" spans="1:18" s="11" customFormat="1" x14ac:dyDescent="0.2">
      <c r="A22" s="79"/>
      <c r="R22" s="55"/>
    </row>
    <row r="23" spans="1:18" s="11" customFormat="1" x14ac:dyDescent="0.2">
      <c r="A23" s="79"/>
      <c r="R23" s="55"/>
    </row>
    <row r="24" spans="1:18" s="11" customFormat="1" x14ac:dyDescent="0.2">
      <c r="A24" s="79"/>
      <c r="R24" s="55"/>
    </row>
    <row r="25" spans="1:18" s="11" customFormat="1" x14ac:dyDescent="0.2">
      <c r="A25" s="79"/>
      <c r="R25" s="55"/>
    </row>
    <row r="26" spans="1:18" s="11" customFormat="1" x14ac:dyDescent="0.2">
      <c r="A26" s="83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</row>
  </sheetData>
  <dataConsolidate/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56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9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5" t="s">
        <v>128</v>
      </c>
      <c r="B1" s="75" t="s">
        <v>128</v>
      </c>
      <c r="C1" s="7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6" t="s">
        <v>128</v>
      </c>
      <c r="B2" s="77"/>
      <c r="C2" s="77"/>
      <c r="D2" s="86" t="s">
        <v>223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MABCL1220</v>
      </c>
      <c r="I2" s="7" t="s">
        <v>129</v>
      </c>
      <c r="J2" s="9" t="s">
        <v>62</v>
      </c>
      <c r="K2" s="7" t="s">
        <v>4</v>
      </c>
      <c r="L2" s="78" t="str">
        <f>IF(LogicCommon!G2="","",LogicCommon!G2)</f>
        <v>MC</v>
      </c>
      <c r="M2" s="5" t="s">
        <v>130</v>
      </c>
      <c r="N2" s="28" t="s">
        <v>211</v>
      </c>
      <c r="O2" s="7"/>
      <c r="P2" s="7"/>
      <c r="Q2" s="4"/>
      <c r="R2" s="4"/>
      <c r="S2" s="4"/>
    </row>
    <row r="3" spans="1:19" s="11" customFormat="1" x14ac:dyDescent="0.2">
      <c r="A3" s="79" t="s">
        <v>128</v>
      </c>
      <c r="B3" s="80"/>
      <c r="C3" s="80"/>
      <c r="D3" s="81" t="str">
        <f>IF(LogicCommon!A3="","",LogicCommon!A3)</f>
        <v/>
      </c>
      <c r="E3" s="7" t="s">
        <v>6</v>
      </c>
      <c r="F3" s="78" t="str">
        <f>IF(LogicCommon!C3="","",LogicCommon!C3)</f>
        <v>MABC</v>
      </c>
      <c r="G3" s="7" t="s">
        <v>7</v>
      </c>
      <c r="H3" s="78" t="str">
        <f>IF(LogicCommon!E3="","",LogicCommon!E3)</f>
        <v>MABCL_JnlKeyMapReg</v>
      </c>
      <c r="I3" s="7" t="s">
        <v>131</v>
      </c>
      <c r="J3" s="9" t="s">
        <v>46</v>
      </c>
      <c r="K3" s="7" t="s">
        <v>8</v>
      </c>
      <c r="L3" s="78" t="str">
        <f>IF(LogicCommon!G3="","",LogicCommon!G3)</f>
        <v/>
      </c>
      <c r="M3" s="51" t="s">
        <v>16</v>
      </c>
      <c r="N3" s="7"/>
      <c r="O3" s="7" t="s">
        <v>107</v>
      </c>
      <c r="P3" s="9" t="s">
        <v>132</v>
      </c>
      <c r="Q3" s="4"/>
      <c r="R3" s="4"/>
      <c r="S3" s="4"/>
    </row>
    <row r="4" spans="1:19" s="11" customFormat="1" x14ac:dyDescent="0.2">
      <c r="A4" s="79" t="s">
        <v>128</v>
      </c>
      <c r="B4" s="80"/>
      <c r="C4" s="80"/>
      <c r="D4" s="4"/>
      <c r="E4" s="7" t="s">
        <v>9</v>
      </c>
      <c r="F4" s="10" t="s">
        <v>127</v>
      </c>
      <c r="G4" s="7" t="s">
        <v>10</v>
      </c>
      <c r="H4" s="78" t="str">
        <f>IF(LogicCommon!E4="","",LogicCommon!E4)</f>
        <v>仕訳キー対応マスタ登録</v>
      </c>
      <c r="I4" s="7" t="s">
        <v>108</v>
      </c>
      <c r="J4" s="9" t="s">
        <v>63</v>
      </c>
      <c r="K4" s="7" t="s">
        <v>11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4"/>
      <c r="S4" s="4"/>
    </row>
    <row r="5" spans="1:19" s="11" customFormat="1" x14ac:dyDescent="0.2">
      <c r="A5" s="83" t="s">
        <v>128</v>
      </c>
      <c r="B5" s="75"/>
      <c r="C5" s="75"/>
      <c r="D5" s="26"/>
      <c r="E5" s="7" t="s">
        <v>133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9" t="s">
        <v>128</v>
      </c>
      <c r="B6" s="80"/>
      <c r="C6" s="80"/>
      <c r="D6" s="4" t="s">
        <v>12</v>
      </c>
      <c r="E6" s="16" t="s">
        <v>64</v>
      </c>
      <c r="F6" s="16"/>
      <c r="G6" s="16"/>
      <c r="H6" s="16"/>
      <c r="I6" s="16"/>
      <c r="J6" s="16"/>
      <c r="K6" s="16"/>
      <c r="L6" s="85" t="s">
        <v>18</v>
      </c>
      <c r="M6" s="19" t="s">
        <v>18</v>
      </c>
      <c r="N6" s="19" t="s">
        <v>65</v>
      </c>
      <c r="O6" s="19" t="s">
        <v>18</v>
      </c>
      <c r="P6" s="19"/>
      <c r="Q6" s="19"/>
      <c r="R6" s="4"/>
      <c r="S6" s="4"/>
    </row>
    <row r="7" spans="1:19" s="11" customFormat="1" x14ac:dyDescent="0.2">
      <c r="A7" s="30" t="s">
        <v>19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21</v>
      </c>
      <c r="L7" s="33" t="s">
        <v>48</v>
      </c>
      <c r="M7" s="32" t="s">
        <v>66</v>
      </c>
      <c r="N7" s="57" t="s">
        <v>48</v>
      </c>
      <c r="O7" s="32"/>
      <c r="P7" s="29"/>
      <c r="Q7" s="29"/>
      <c r="R7" s="29"/>
      <c r="S7" s="29"/>
    </row>
    <row r="8" spans="1:19" s="11" customFormat="1" ht="60" customHeight="1" x14ac:dyDescent="0.2">
      <c r="A8" s="49" t="s">
        <v>19</v>
      </c>
      <c r="B8" s="89"/>
      <c r="C8" s="90"/>
      <c r="D8" s="87" t="s">
        <v>224</v>
      </c>
      <c r="E8" s="87" t="s">
        <v>225</v>
      </c>
      <c r="F8" s="85"/>
      <c r="G8" s="87" t="s">
        <v>142</v>
      </c>
      <c r="H8" s="87" t="s">
        <v>226</v>
      </c>
      <c r="I8" s="85"/>
      <c r="J8" s="3"/>
      <c r="K8" s="9" t="s">
        <v>67</v>
      </c>
      <c r="L8" s="33" t="s">
        <v>51</v>
      </c>
      <c r="M8" s="9" t="s">
        <v>214</v>
      </c>
      <c r="N8" s="33" t="s">
        <v>51</v>
      </c>
      <c r="O8" s="9"/>
      <c r="P8" s="91"/>
      <c r="Q8" s="92"/>
      <c r="R8" s="93" t="s">
        <v>227</v>
      </c>
      <c r="S8" s="52"/>
    </row>
    <row r="9" spans="1:19" s="11" customFormat="1" ht="60" customHeight="1" x14ac:dyDescent="0.2">
      <c r="A9" s="9" t="s">
        <v>19</v>
      </c>
      <c r="B9" s="34"/>
      <c r="C9" s="35"/>
      <c r="D9" s="87" t="s">
        <v>228</v>
      </c>
      <c r="E9" s="94" t="s">
        <v>229</v>
      </c>
      <c r="F9" s="87" t="s">
        <v>230</v>
      </c>
      <c r="G9" s="87" t="s">
        <v>231</v>
      </c>
      <c r="H9" s="87" t="s">
        <v>232</v>
      </c>
      <c r="I9" s="95" t="s">
        <v>233</v>
      </c>
      <c r="J9" s="87" t="s">
        <v>234</v>
      </c>
      <c r="K9" s="96"/>
      <c r="L9" s="33"/>
      <c r="M9" s="33"/>
      <c r="N9" s="33"/>
      <c r="O9" s="33"/>
      <c r="P9" s="93" t="s">
        <v>235</v>
      </c>
      <c r="Q9" s="52"/>
      <c r="R9" s="93" t="s">
        <v>236</v>
      </c>
      <c r="S9" s="52"/>
    </row>
    <row r="10" spans="1:19" s="11" customFormat="1" ht="39" x14ac:dyDescent="0.2">
      <c r="A10" s="38" t="s">
        <v>28</v>
      </c>
      <c r="B10" s="39"/>
      <c r="C10" s="39"/>
      <c r="D10" s="40"/>
      <c r="E10" s="41"/>
      <c r="F10" s="41"/>
      <c r="G10" s="42"/>
      <c r="H10" s="42"/>
      <c r="I10" s="41"/>
      <c r="J10" s="41"/>
      <c r="K10" s="58"/>
      <c r="L10" s="88" t="s">
        <v>233</v>
      </c>
      <c r="M10" s="88" t="s">
        <v>234</v>
      </c>
      <c r="N10" s="88" t="s">
        <v>233</v>
      </c>
      <c r="O10" s="88" t="s">
        <v>234</v>
      </c>
      <c r="P10" s="41"/>
      <c r="Q10" s="41"/>
      <c r="R10" s="42"/>
      <c r="S10" s="37"/>
    </row>
    <row r="11" spans="1:19" s="11" customFormat="1" x14ac:dyDescent="0.2">
      <c r="A11" s="9">
        <v>10</v>
      </c>
      <c r="B11" s="34" t="s">
        <v>30</v>
      </c>
      <c r="C11" s="35"/>
      <c r="D11" s="28" t="s">
        <v>68</v>
      </c>
      <c r="E11" s="43" t="s">
        <v>69</v>
      </c>
      <c r="F11" s="44"/>
      <c r="G11" s="28"/>
      <c r="H11" s="56"/>
      <c r="I11" s="45"/>
      <c r="J11" s="46"/>
      <c r="K11" s="59"/>
      <c r="L11" s="47" t="s">
        <v>144</v>
      </c>
      <c r="M11" s="47"/>
      <c r="N11" s="47"/>
      <c r="O11" s="47"/>
      <c r="P11" s="36"/>
      <c r="Q11" s="37"/>
      <c r="R11" s="73"/>
      <c r="S11" s="48"/>
    </row>
    <row r="12" spans="1:19" s="11" customFormat="1" x14ac:dyDescent="0.2">
      <c r="A12" s="9">
        <v>10</v>
      </c>
      <c r="B12" s="9"/>
      <c r="C12" s="9"/>
      <c r="D12" s="9" t="s">
        <v>33</v>
      </c>
      <c r="E12" s="49" t="s">
        <v>34</v>
      </c>
      <c r="F12" s="49"/>
      <c r="G12" s="50" t="s">
        <v>237</v>
      </c>
      <c r="H12" s="50" t="s">
        <v>134</v>
      </c>
      <c r="I12" s="9" t="s">
        <v>135</v>
      </c>
      <c r="J12" s="9"/>
      <c r="K12" s="9"/>
      <c r="L12" s="9"/>
      <c r="M12" s="9"/>
      <c r="N12" s="9"/>
      <c r="O12" s="9"/>
      <c r="P12" s="60"/>
      <c r="Q12" s="52"/>
      <c r="R12" s="145"/>
      <c r="S12" s="146"/>
    </row>
    <row r="13" spans="1:19" s="11" customFormat="1" x14ac:dyDescent="0.2">
      <c r="A13" s="9">
        <v>10</v>
      </c>
      <c r="B13" s="9"/>
      <c r="C13" s="9"/>
      <c r="D13" s="49" t="s">
        <v>176</v>
      </c>
      <c r="E13" s="49" t="s">
        <v>35</v>
      </c>
      <c r="F13" s="49"/>
      <c r="G13" s="50" t="s">
        <v>248</v>
      </c>
      <c r="H13" s="50" t="s">
        <v>178</v>
      </c>
      <c r="I13" s="9" t="s">
        <v>135</v>
      </c>
      <c r="J13" s="9"/>
      <c r="K13" s="9"/>
      <c r="L13" s="9"/>
      <c r="M13" s="9"/>
      <c r="N13" s="9"/>
      <c r="O13" s="9"/>
      <c r="P13" s="51"/>
      <c r="Q13" s="61"/>
      <c r="R13" s="72"/>
      <c r="S13" s="74"/>
    </row>
    <row r="14" spans="1:19" s="11" customFormat="1" x14ac:dyDescent="0.2">
      <c r="A14" s="9">
        <v>10</v>
      </c>
      <c r="B14" s="9"/>
      <c r="C14" s="9"/>
      <c r="D14" s="49" t="s">
        <v>177</v>
      </c>
      <c r="E14" s="49" t="s">
        <v>35</v>
      </c>
      <c r="F14" s="49"/>
      <c r="G14" s="50" t="s">
        <v>249</v>
      </c>
      <c r="H14" s="50" t="s">
        <v>179</v>
      </c>
      <c r="I14" s="9" t="s">
        <v>135</v>
      </c>
      <c r="J14" s="9"/>
      <c r="K14" s="9"/>
      <c r="L14" s="9"/>
      <c r="M14" s="9"/>
      <c r="N14" s="9"/>
      <c r="O14" s="9"/>
      <c r="P14" s="51"/>
      <c r="Q14" s="61"/>
      <c r="R14" s="72"/>
      <c r="S14" s="74"/>
    </row>
    <row r="15" spans="1:19" s="11" customFormat="1" x14ac:dyDescent="0.2">
      <c r="A15" s="9">
        <v>10</v>
      </c>
      <c r="B15" s="9"/>
      <c r="C15" s="9"/>
      <c r="D15" s="9" t="s">
        <v>173</v>
      </c>
      <c r="E15" s="49" t="s">
        <v>174</v>
      </c>
      <c r="F15" s="49"/>
      <c r="G15" s="50" t="s">
        <v>239</v>
      </c>
      <c r="H15" s="50" t="s">
        <v>175</v>
      </c>
      <c r="I15" s="9" t="s">
        <v>135</v>
      </c>
      <c r="J15" s="9"/>
      <c r="K15" s="9"/>
      <c r="L15" s="9"/>
      <c r="M15" s="9"/>
      <c r="N15" s="9"/>
      <c r="O15" s="9"/>
      <c r="P15" s="60"/>
      <c r="Q15" s="52"/>
      <c r="R15" s="145"/>
      <c r="S15" s="146"/>
    </row>
    <row r="16" spans="1:19" s="11" customFormat="1" x14ac:dyDescent="0.2">
      <c r="A16" s="9">
        <v>10</v>
      </c>
      <c r="B16" s="9"/>
      <c r="C16" s="9"/>
      <c r="D16" s="9" t="s">
        <v>70</v>
      </c>
      <c r="E16" s="49" t="s">
        <v>35</v>
      </c>
      <c r="F16" s="49"/>
      <c r="G16" s="50" t="s">
        <v>250</v>
      </c>
      <c r="H16" s="50" t="s">
        <v>145</v>
      </c>
      <c r="I16" s="9" t="s">
        <v>135</v>
      </c>
      <c r="J16" s="9"/>
      <c r="K16" s="9"/>
      <c r="L16" s="9"/>
      <c r="M16" s="9"/>
      <c r="N16" s="9"/>
      <c r="O16" s="9"/>
      <c r="P16" s="51"/>
      <c r="Q16" s="61"/>
      <c r="R16" s="72"/>
      <c r="S16" s="74"/>
    </row>
    <row r="17" spans="1:19" s="11" customFormat="1" x14ac:dyDescent="0.2">
      <c r="A17" s="9">
        <v>10</v>
      </c>
      <c r="B17" s="9"/>
      <c r="C17" s="9"/>
      <c r="D17" s="9" t="s">
        <v>71</v>
      </c>
      <c r="E17" s="49" t="s">
        <v>35</v>
      </c>
      <c r="F17" s="49"/>
      <c r="G17" s="50" t="s">
        <v>251</v>
      </c>
      <c r="H17" s="50" t="s">
        <v>146</v>
      </c>
      <c r="I17" s="9" t="s">
        <v>135</v>
      </c>
      <c r="J17" s="9"/>
      <c r="K17" s="9"/>
      <c r="L17" s="9"/>
      <c r="M17" s="9"/>
      <c r="N17" s="9"/>
      <c r="O17" s="9"/>
      <c r="P17" s="51"/>
      <c r="Q17" s="61"/>
      <c r="R17" s="72"/>
      <c r="S17" s="74"/>
    </row>
    <row r="18" spans="1:19" s="11" customFormat="1" x14ac:dyDescent="0.2">
      <c r="A18" s="9">
        <v>10</v>
      </c>
      <c r="B18" s="9"/>
      <c r="C18" s="9"/>
      <c r="D18" s="9" t="s">
        <v>36</v>
      </c>
      <c r="E18" s="49" t="s">
        <v>37</v>
      </c>
      <c r="F18" s="49"/>
      <c r="G18" s="50" t="s">
        <v>243</v>
      </c>
      <c r="H18" s="50" t="s">
        <v>138</v>
      </c>
      <c r="I18" s="9" t="s">
        <v>135</v>
      </c>
      <c r="J18" s="9"/>
      <c r="K18" s="9"/>
      <c r="L18" s="9"/>
      <c r="M18" s="9"/>
      <c r="N18" s="9"/>
      <c r="O18" s="9"/>
      <c r="P18" s="51"/>
      <c r="Q18" s="61"/>
      <c r="R18" s="72"/>
      <c r="S18" s="74"/>
    </row>
    <row r="19" spans="1:19" s="11" customFormat="1" x14ac:dyDescent="0.2">
      <c r="A19" s="9">
        <v>10</v>
      </c>
      <c r="B19" s="9"/>
      <c r="C19" s="9"/>
      <c r="D19" s="9" t="s">
        <v>38</v>
      </c>
      <c r="E19" s="49" t="s">
        <v>39</v>
      </c>
      <c r="F19" s="49"/>
      <c r="G19" s="50" t="s">
        <v>244</v>
      </c>
      <c r="H19" s="50" t="s">
        <v>139</v>
      </c>
      <c r="I19" s="9" t="s">
        <v>135</v>
      </c>
      <c r="J19" s="9"/>
      <c r="K19" s="9"/>
      <c r="L19" s="9"/>
      <c r="M19" s="9"/>
      <c r="N19" s="9"/>
      <c r="O19" s="9"/>
      <c r="P19" s="51"/>
      <c r="Q19" s="61"/>
      <c r="R19" s="72"/>
      <c r="S19" s="74"/>
    </row>
    <row r="20" spans="1:19" s="11" customFormat="1" x14ac:dyDescent="0.2">
      <c r="A20" s="9">
        <v>10</v>
      </c>
      <c r="B20" s="9"/>
      <c r="C20" s="9"/>
      <c r="D20" s="9" t="s">
        <v>40</v>
      </c>
      <c r="E20" s="49" t="s">
        <v>41</v>
      </c>
      <c r="F20" s="49"/>
      <c r="G20" s="50" t="s">
        <v>245</v>
      </c>
      <c r="H20" s="50" t="s">
        <v>140</v>
      </c>
      <c r="I20" s="9" t="s">
        <v>135</v>
      </c>
      <c r="J20" s="9"/>
      <c r="K20" s="9"/>
      <c r="L20" s="9"/>
      <c r="M20" s="9"/>
      <c r="N20" s="9"/>
      <c r="O20" s="9"/>
      <c r="P20" s="51"/>
      <c r="Q20" s="61"/>
      <c r="R20" s="72"/>
      <c r="S20" s="74"/>
    </row>
    <row r="21" spans="1:19" s="11" customFormat="1" x14ac:dyDescent="0.2">
      <c r="A21" s="79"/>
      <c r="S21" s="55"/>
    </row>
    <row r="22" spans="1:19" s="11" customFormat="1" x14ac:dyDescent="0.2">
      <c r="A22" s="9">
        <v>20</v>
      </c>
      <c r="B22" s="34" t="s">
        <v>30</v>
      </c>
      <c r="C22" s="35"/>
      <c r="D22" s="28" t="s">
        <v>155</v>
      </c>
      <c r="E22" s="43" t="s">
        <v>56</v>
      </c>
      <c r="F22" s="62"/>
      <c r="G22" s="28"/>
      <c r="H22" s="56"/>
      <c r="I22" s="63"/>
      <c r="J22" s="64"/>
      <c r="K22" s="64"/>
      <c r="L22" s="47"/>
      <c r="M22" s="47" t="s">
        <v>14</v>
      </c>
      <c r="N22" s="47"/>
      <c r="O22" s="47"/>
      <c r="P22" s="36"/>
      <c r="Q22" s="37"/>
      <c r="R22" s="73"/>
      <c r="S22" s="48"/>
    </row>
    <row r="23" spans="1:19" s="11" customFormat="1" x14ac:dyDescent="0.2">
      <c r="A23" s="9">
        <v>20</v>
      </c>
      <c r="B23" s="9"/>
      <c r="C23" s="9"/>
      <c r="D23" s="9" t="s">
        <v>42</v>
      </c>
      <c r="E23" s="49" t="s">
        <v>72</v>
      </c>
      <c r="F23" s="49"/>
      <c r="G23" s="50" t="s">
        <v>246</v>
      </c>
      <c r="H23" s="50" t="s">
        <v>73</v>
      </c>
      <c r="I23" s="9"/>
      <c r="J23" s="9" t="s">
        <v>135</v>
      </c>
      <c r="K23" s="9"/>
      <c r="L23" s="9"/>
      <c r="M23" s="9" t="s">
        <v>135</v>
      </c>
      <c r="N23" s="9"/>
      <c r="O23" s="9"/>
      <c r="P23" s="60"/>
      <c r="Q23" s="52"/>
      <c r="R23" s="145"/>
      <c r="S23" s="146"/>
    </row>
    <row r="24" spans="1:19" s="11" customFormat="1" x14ac:dyDescent="0.2">
      <c r="A24" s="9">
        <v>20</v>
      </c>
      <c r="B24" s="9"/>
      <c r="C24" s="9"/>
      <c r="D24" s="9" t="s">
        <v>33</v>
      </c>
      <c r="E24" s="49" t="s">
        <v>74</v>
      </c>
      <c r="F24" s="49"/>
      <c r="G24" s="50" t="s">
        <v>237</v>
      </c>
      <c r="H24" s="50" t="s">
        <v>134</v>
      </c>
      <c r="I24" s="9"/>
      <c r="J24" s="9" t="s">
        <v>135</v>
      </c>
      <c r="K24" s="9" t="s">
        <v>147</v>
      </c>
      <c r="L24" s="9"/>
      <c r="M24" s="9" t="s">
        <v>135</v>
      </c>
      <c r="N24" s="9"/>
      <c r="O24" s="9"/>
      <c r="P24" s="60"/>
      <c r="Q24" s="52"/>
      <c r="R24" s="73"/>
      <c r="S24" s="74"/>
    </row>
    <row r="25" spans="1:19" s="11" customFormat="1" x14ac:dyDescent="0.2">
      <c r="A25" s="9">
        <v>20</v>
      </c>
      <c r="B25" s="9"/>
      <c r="C25" s="9"/>
      <c r="D25" s="9" t="s">
        <v>75</v>
      </c>
      <c r="E25" s="49" t="s">
        <v>76</v>
      </c>
      <c r="F25" s="49"/>
      <c r="G25" s="50" t="s">
        <v>252</v>
      </c>
      <c r="H25" s="50" t="s">
        <v>148</v>
      </c>
      <c r="I25" s="9"/>
      <c r="J25" s="9" t="s">
        <v>135</v>
      </c>
      <c r="K25" s="9"/>
      <c r="L25" s="9"/>
      <c r="M25" s="9"/>
      <c r="N25" s="9"/>
      <c r="O25" s="9"/>
      <c r="P25" s="60"/>
      <c r="Q25" s="52"/>
      <c r="R25" s="73"/>
      <c r="S25" s="74"/>
    </row>
    <row r="26" spans="1:19" s="11" customFormat="1" x14ac:dyDescent="0.2">
      <c r="A26" s="9">
        <v>20</v>
      </c>
      <c r="B26" s="9"/>
      <c r="C26" s="9"/>
      <c r="D26" s="9" t="s">
        <v>180</v>
      </c>
      <c r="E26" s="49" t="s">
        <v>72</v>
      </c>
      <c r="F26" s="49"/>
      <c r="G26" s="50" t="s">
        <v>238</v>
      </c>
      <c r="H26" s="50" t="s">
        <v>215</v>
      </c>
      <c r="I26" s="9"/>
      <c r="J26" s="9" t="s">
        <v>135</v>
      </c>
      <c r="K26" s="9"/>
      <c r="L26" s="9"/>
      <c r="M26" s="9" t="s">
        <v>135</v>
      </c>
      <c r="N26" s="9"/>
      <c r="O26" s="9"/>
      <c r="P26" s="60"/>
      <c r="Q26" s="52"/>
      <c r="R26" s="145"/>
      <c r="S26" s="146"/>
    </row>
    <row r="27" spans="1:19" s="11" customFormat="1" x14ac:dyDescent="0.2">
      <c r="A27" s="9">
        <v>20</v>
      </c>
      <c r="B27" s="9"/>
      <c r="C27" s="9"/>
      <c r="D27" s="49" t="s">
        <v>181</v>
      </c>
      <c r="E27" s="49" t="s">
        <v>183</v>
      </c>
      <c r="F27" s="49"/>
      <c r="G27" s="50" t="s">
        <v>239</v>
      </c>
      <c r="H27" s="50" t="s">
        <v>175</v>
      </c>
      <c r="I27" s="9"/>
      <c r="J27" s="9" t="s">
        <v>135</v>
      </c>
      <c r="K27" s="9" t="s">
        <v>186</v>
      </c>
      <c r="L27" s="9"/>
      <c r="M27" s="9" t="s">
        <v>135</v>
      </c>
      <c r="N27" s="9"/>
      <c r="O27" s="9"/>
      <c r="P27" s="60"/>
      <c r="Q27" s="52"/>
      <c r="R27" s="73"/>
      <c r="S27" s="74"/>
    </row>
    <row r="28" spans="1:19" s="11" customFormat="1" x14ac:dyDescent="0.2">
      <c r="A28" s="9">
        <v>20</v>
      </c>
      <c r="B28" s="9"/>
      <c r="C28" s="9"/>
      <c r="D28" s="49" t="s">
        <v>182</v>
      </c>
      <c r="E28" s="49" t="s">
        <v>184</v>
      </c>
      <c r="F28" s="49"/>
      <c r="G28" s="50" t="s">
        <v>253</v>
      </c>
      <c r="H28" s="50" t="s">
        <v>185</v>
      </c>
      <c r="I28" s="9"/>
      <c r="J28" s="9" t="s">
        <v>135</v>
      </c>
      <c r="K28" s="9"/>
      <c r="L28" s="9"/>
      <c r="M28" s="9"/>
      <c r="N28" s="9"/>
      <c r="O28" s="9"/>
      <c r="P28" s="60"/>
      <c r="Q28" s="52"/>
      <c r="R28" s="73"/>
      <c r="S28" s="74"/>
    </row>
    <row r="29" spans="1:19" s="11" customFormat="1" ht="26" x14ac:dyDescent="0.2">
      <c r="A29" s="9">
        <v>20</v>
      </c>
      <c r="B29" s="9"/>
      <c r="C29" s="9"/>
      <c r="D29" s="49" t="s">
        <v>187</v>
      </c>
      <c r="E29" s="49" t="s">
        <v>190</v>
      </c>
      <c r="F29" s="49"/>
      <c r="G29" s="50" t="s">
        <v>240</v>
      </c>
      <c r="H29" s="50" t="s">
        <v>192</v>
      </c>
      <c r="I29" s="9"/>
      <c r="J29" s="9" t="s">
        <v>135</v>
      </c>
      <c r="K29" s="9" t="s">
        <v>194</v>
      </c>
      <c r="L29" s="9"/>
      <c r="M29" s="9" t="s">
        <v>135</v>
      </c>
      <c r="N29" s="9"/>
      <c r="O29" s="9"/>
      <c r="P29" s="60"/>
      <c r="Q29" s="52"/>
      <c r="R29" s="73"/>
      <c r="S29" s="74"/>
    </row>
    <row r="30" spans="1:19" s="11" customFormat="1" ht="26" x14ac:dyDescent="0.2">
      <c r="A30" s="9">
        <v>20</v>
      </c>
      <c r="B30" s="9"/>
      <c r="C30" s="9"/>
      <c r="D30" s="49" t="s">
        <v>188</v>
      </c>
      <c r="E30" s="49" t="s">
        <v>191</v>
      </c>
      <c r="F30" s="49"/>
      <c r="G30" s="50" t="s">
        <v>254</v>
      </c>
      <c r="H30" s="50" t="s">
        <v>193</v>
      </c>
      <c r="I30" s="9"/>
      <c r="J30" s="9" t="s">
        <v>135</v>
      </c>
      <c r="K30" s="9"/>
      <c r="L30" s="9"/>
      <c r="M30" s="9"/>
      <c r="N30" s="9"/>
      <c r="O30" s="9"/>
      <c r="P30" s="60"/>
      <c r="Q30" s="52"/>
      <c r="R30" s="73"/>
      <c r="S30" s="74"/>
    </row>
    <row r="31" spans="1:19" s="11" customFormat="1" ht="26" x14ac:dyDescent="0.2">
      <c r="A31" s="9">
        <v>20</v>
      </c>
      <c r="B31" s="9"/>
      <c r="C31" s="9"/>
      <c r="D31" s="49" t="s">
        <v>195</v>
      </c>
      <c r="E31" s="49" t="s">
        <v>190</v>
      </c>
      <c r="F31" s="49"/>
      <c r="G31" s="50" t="s">
        <v>241</v>
      </c>
      <c r="H31" s="50" t="s">
        <v>197</v>
      </c>
      <c r="I31" s="9"/>
      <c r="J31" s="9" t="s">
        <v>135</v>
      </c>
      <c r="K31" s="9" t="s">
        <v>194</v>
      </c>
      <c r="L31" s="9"/>
      <c r="M31" s="9" t="s">
        <v>135</v>
      </c>
      <c r="N31" s="9"/>
      <c r="O31" s="9"/>
      <c r="P31" s="60"/>
      <c r="Q31" s="52"/>
      <c r="R31" s="73"/>
      <c r="S31" s="74"/>
    </row>
    <row r="32" spans="1:19" s="11" customFormat="1" ht="26" x14ac:dyDescent="0.2">
      <c r="A32" s="9">
        <v>20</v>
      </c>
      <c r="B32" s="9"/>
      <c r="C32" s="9"/>
      <c r="D32" s="49" t="s">
        <v>196</v>
      </c>
      <c r="E32" s="49" t="s">
        <v>191</v>
      </c>
      <c r="F32" s="49"/>
      <c r="G32" s="50" t="s">
        <v>255</v>
      </c>
      <c r="H32" s="50" t="s">
        <v>198</v>
      </c>
      <c r="I32" s="9"/>
      <c r="J32" s="9" t="s">
        <v>135</v>
      </c>
      <c r="K32" s="9"/>
      <c r="L32" s="9"/>
      <c r="M32" s="9"/>
      <c r="N32" s="9"/>
      <c r="O32" s="9"/>
      <c r="P32" s="60"/>
      <c r="Q32" s="52"/>
      <c r="R32" s="73"/>
      <c r="S32" s="74"/>
    </row>
    <row r="33" spans="1:19" s="11" customFormat="1" x14ac:dyDescent="0.2">
      <c r="A33" s="9">
        <v>20</v>
      </c>
      <c r="B33" s="9"/>
      <c r="C33" s="9"/>
      <c r="D33" s="9" t="s">
        <v>199</v>
      </c>
      <c r="E33" s="49" t="s">
        <v>200</v>
      </c>
      <c r="F33" s="49"/>
      <c r="G33" s="50" t="s">
        <v>242</v>
      </c>
      <c r="H33" s="50" t="s">
        <v>201</v>
      </c>
      <c r="I33" s="9"/>
      <c r="J33" s="9" t="s">
        <v>135</v>
      </c>
      <c r="K33" s="9"/>
      <c r="L33" s="9"/>
      <c r="M33" s="9" t="s">
        <v>135</v>
      </c>
      <c r="N33" s="9"/>
      <c r="O33" s="9"/>
      <c r="P33" s="60"/>
      <c r="Q33" s="52"/>
      <c r="R33" s="73"/>
      <c r="S33" s="74"/>
    </row>
    <row r="34" spans="1:19" s="11" customFormat="1" x14ac:dyDescent="0.2">
      <c r="A34" s="9">
        <v>20</v>
      </c>
      <c r="B34" s="9"/>
      <c r="C34" s="9"/>
      <c r="D34" s="9" t="s">
        <v>36</v>
      </c>
      <c r="E34" s="49" t="s">
        <v>37</v>
      </c>
      <c r="F34" s="49"/>
      <c r="G34" s="50" t="s">
        <v>243</v>
      </c>
      <c r="H34" s="50" t="s">
        <v>138</v>
      </c>
      <c r="I34" s="9"/>
      <c r="J34" s="9" t="s">
        <v>135</v>
      </c>
      <c r="K34" s="9"/>
      <c r="L34" s="9"/>
      <c r="M34" s="9" t="s">
        <v>135</v>
      </c>
      <c r="N34" s="9"/>
      <c r="O34" s="9"/>
      <c r="P34" s="60"/>
      <c r="Q34" s="52"/>
      <c r="R34" s="145"/>
      <c r="S34" s="146"/>
    </row>
    <row r="35" spans="1:19" s="11" customFormat="1" x14ac:dyDescent="0.2">
      <c r="A35" s="9">
        <v>20</v>
      </c>
      <c r="B35" s="9"/>
      <c r="C35" s="9"/>
      <c r="D35" s="9" t="s">
        <v>38</v>
      </c>
      <c r="E35" s="49" t="s">
        <v>39</v>
      </c>
      <c r="F35" s="49"/>
      <c r="G35" s="50" t="s">
        <v>244</v>
      </c>
      <c r="H35" s="50" t="s">
        <v>139</v>
      </c>
      <c r="I35" s="9"/>
      <c r="J35" s="9" t="s">
        <v>135</v>
      </c>
      <c r="K35" s="9"/>
      <c r="L35" s="9"/>
      <c r="M35" s="9" t="s">
        <v>135</v>
      </c>
      <c r="N35" s="9"/>
      <c r="O35" s="9"/>
      <c r="P35" s="60"/>
      <c r="Q35" s="52"/>
      <c r="R35" s="145"/>
      <c r="S35" s="146"/>
    </row>
    <row r="36" spans="1:19" s="11" customFormat="1" x14ac:dyDescent="0.2">
      <c r="A36" s="9">
        <v>20</v>
      </c>
      <c r="B36" s="9"/>
      <c r="C36" s="9"/>
      <c r="D36" s="9" t="s">
        <v>40</v>
      </c>
      <c r="E36" s="49" t="s">
        <v>41</v>
      </c>
      <c r="F36" s="49"/>
      <c r="G36" s="50" t="s">
        <v>245</v>
      </c>
      <c r="H36" s="50" t="s">
        <v>140</v>
      </c>
      <c r="I36" s="9"/>
      <c r="J36" s="9" t="s">
        <v>135</v>
      </c>
      <c r="K36" s="9"/>
      <c r="L36" s="9"/>
      <c r="M36" s="9" t="s">
        <v>135</v>
      </c>
      <c r="N36" s="9"/>
      <c r="O36" s="9"/>
      <c r="P36" s="60"/>
      <c r="Q36" s="52"/>
      <c r="R36" s="145"/>
      <c r="S36" s="146"/>
    </row>
    <row r="37" spans="1:19" s="11" customFormat="1" x14ac:dyDescent="0.2">
      <c r="A37" s="9">
        <v>20</v>
      </c>
      <c r="B37" s="9"/>
      <c r="C37" s="9"/>
      <c r="D37" s="9" t="s">
        <v>156</v>
      </c>
      <c r="E37" s="49" t="s">
        <v>77</v>
      </c>
      <c r="F37" s="49"/>
      <c r="G37" s="50" t="s">
        <v>256</v>
      </c>
      <c r="H37" s="50" t="s">
        <v>78</v>
      </c>
      <c r="I37" s="9"/>
      <c r="J37" s="9" t="s">
        <v>135</v>
      </c>
      <c r="K37" s="9"/>
      <c r="L37" s="9"/>
      <c r="M37" s="9" t="s">
        <v>135</v>
      </c>
      <c r="N37" s="9"/>
      <c r="O37" s="9"/>
      <c r="P37" s="60"/>
      <c r="Q37" s="52"/>
      <c r="R37" s="145"/>
      <c r="S37" s="146"/>
    </row>
    <row r="38" spans="1:19" s="11" customFormat="1" x14ac:dyDescent="0.2">
      <c r="A38" s="9">
        <v>20</v>
      </c>
      <c r="B38" s="9"/>
      <c r="C38" s="9"/>
      <c r="D38" s="9" t="s">
        <v>79</v>
      </c>
      <c r="E38" s="49" t="s">
        <v>80</v>
      </c>
      <c r="F38" s="49"/>
      <c r="G38" s="50" t="s">
        <v>257</v>
      </c>
      <c r="H38" s="50" t="s">
        <v>81</v>
      </c>
      <c r="I38" s="9"/>
      <c r="J38" s="9" t="s">
        <v>135</v>
      </c>
      <c r="K38" s="9"/>
      <c r="L38" s="9"/>
      <c r="M38" s="9" t="s">
        <v>135</v>
      </c>
      <c r="N38" s="9"/>
      <c r="O38" s="9"/>
      <c r="P38" s="60"/>
      <c r="Q38" s="52"/>
      <c r="R38" s="145"/>
      <c r="S38" s="146"/>
    </row>
    <row r="39" spans="1:19" s="11" customFormat="1" x14ac:dyDescent="0.2">
      <c r="A39" s="9">
        <v>20</v>
      </c>
      <c r="B39" s="9"/>
      <c r="C39" s="9"/>
      <c r="D39" s="9" t="s">
        <v>82</v>
      </c>
      <c r="E39" s="49" t="s">
        <v>83</v>
      </c>
      <c r="F39" s="49"/>
      <c r="G39" s="50" t="s">
        <v>258</v>
      </c>
      <c r="H39" s="50" t="s">
        <v>149</v>
      </c>
      <c r="I39" s="9"/>
      <c r="J39" s="9" t="s">
        <v>135</v>
      </c>
      <c r="K39" s="9"/>
      <c r="L39" s="9"/>
      <c r="M39" s="9" t="s">
        <v>135</v>
      </c>
      <c r="N39" s="9"/>
      <c r="O39" s="9"/>
      <c r="P39" s="60"/>
      <c r="Q39" s="52"/>
      <c r="R39" s="145"/>
      <c r="S39" s="146"/>
    </row>
    <row r="40" spans="1:19" s="11" customFormat="1" x14ac:dyDescent="0.2">
      <c r="A40" s="9">
        <v>20</v>
      </c>
      <c r="B40" s="9"/>
      <c r="C40" s="9"/>
      <c r="D40" s="9" t="s">
        <v>84</v>
      </c>
      <c r="E40" s="49" t="s">
        <v>85</v>
      </c>
      <c r="F40" s="49"/>
      <c r="G40" s="50" t="s">
        <v>259</v>
      </c>
      <c r="H40" s="50" t="s">
        <v>86</v>
      </c>
      <c r="I40" s="9"/>
      <c r="J40" s="9" t="s">
        <v>135</v>
      </c>
      <c r="K40" s="9"/>
      <c r="L40" s="9"/>
      <c r="M40" s="9" t="s">
        <v>135</v>
      </c>
      <c r="N40" s="9"/>
      <c r="O40" s="9"/>
      <c r="P40" s="60"/>
      <c r="Q40" s="52"/>
      <c r="R40" s="145"/>
      <c r="S40" s="146"/>
    </row>
    <row r="41" spans="1:19" s="11" customFormat="1" x14ac:dyDescent="0.2">
      <c r="A41" s="9">
        <v>20</v>
      </c>
      <c r="B41" s="9"/>
      <c r="C41" s="9"/>
      <c r="D41" s="9" t="s">
        <v>87</v>
      </c>
      <c r="E41" s="49" t="s">
        <v>88</v>
      </c>
      <c r="F41" s="49"/>
      <c r="G41" s="50" t="s">
        <v>260</v>
      </c>
      <c r="H41" s="50" t="s">
        <v>89</v>
      </c>
      <c r="I41" s="9"/>
      <c r="J41" s="9" t="s">
        <v>135</v>
      </c>
      <c r="K41" s="9"/>
      <c r="L41" s="9"/>
      <c r="M41" s="9"/>
      <c r="N41" s="9"/>
      <c r="O41" s="9"/>
      <c r="P41" s="60"/>
      <c r="Q41" s="52"/>
      <c r="R41" s="145"/>
      <c r="S41" s="146"/>
    </row>
    <row r="42" spans="1:19" s="11" customFormat="1" x14ac:dyDescent="0.2">
      <c r="A42" s="9">
        <v>20</v>
      </c>
      <c r="B42" s="9"/>
      <c r="C42" s="9"/>
      <c r="D42" s="9" t="s">
        <v>90</v>
      </c>
      <c r="E42" s="49" t="s">
        <v>55</v>
      </c>
      <c r="F42" s="49"/>
      <c r="G42" s="50" t="s">
        <v>247</v>
      </c>
      <c r="H42" s="50" t="s">
        <v>91</v>
      </c>
      <c r="I42" s="9"/>
      <c r="J42" s="9" t="s">
        <v>135</v>
      </c>
      <c r="K42" s="9"/>
      <c r="L42" s="9"/>
      <c r="M42" s="9" t="s">
        <v>135</v>
      </c>
      <c r="N42" s="9"/>
      <c r="O42" s="9"/>
      <c r="P42" s="60"/>
      <c r="Q42" s="52"/>
      <c r="R42" s="145"/>
      <c r="S42" s="146"/>
    </row>
    <row r="43" spans="1:19" s="11" customFormat="1" x14ac:dyDescent="0.2">
      <c r="A43" s="9">
        <v>20</v>
      </c>
      <c r="B43" s="9"/>
      <c r="C43" s="9"/>
      <c r="D43" s="9" t="s">
        <v>157</v>
      </c>
      <c r="E43" s="49" t="s">
        <v>77</v>
      </c>
      <c r="F43" s="49"/>
      <c r="G43" s="50" t="s">
        <v>261</v>
      </c>
      <c r="H43" s="50" t="s">
        <v>92</v>
      </c>
      <c r="I43" s="9"/>
      <c r="J43" s="9" t="s">
        <v>135</v>
      </c>
      <c r="K43" s="9"/>
      <c r="L43" s="9"/>
      <c r="M43" s="9" t="s">
        <v>135</v>
      </c>
      <c r="N43" s="9"/>
      <c r="O43" s="9"/>
      <c r="P43" s="60"/>
      <c r="Q43" s="52"/>
      <c r="R43" s="145"/>
      <c r="S43" s="146"/>
    </row>
    <row r="44" spans="1:19" s="11" customFormat="1" x14ac:dyDescent="0.2">
      <c r="A44" s="9">
        <v>20</v>
      </c>
      <c r="B44" s="9"/>
      <c r="C44" s="9"/>
      <c r="D44" s="9" t="s">
        <v>93</v>
      </c>
      <c r="E44" s="49" t="s">
        <v>80</v>
      </c>
      <c r="F44" s="49"/>
      <c r="G44" s="50" t="s">
        <v>262</v>
      </c>
      <c r="H44" s="50" t="s">
        <v>94</v>
      </c>
      <c r="I44" s="9"/>
      <c r="J44" s="9" t="s">
        <v>135</v>
      </c>
      <c r="K44" s="9"/>
      <c r="L44" s="9"/>
      <c r="M44" s="9" t="s">
        <v>135</v>
      </c>
      <c r="N44" s="9"/>
      <c r="O44" s="9"/>
      <c r="P44" s="60"/>
      <c r="Q44" s="52"/>
      <c r="R44" s="145"/>
      <c r="S44" s="146"/>
    </row>
    <row r="45" spans="1:19" s="11" customFormat="1" x14ac:dyDescent="0.2">
      <c r="A45" s="9">
        <v>20</v>
      </c>
      <c r="B45" s="9"/>
      <c r="C45" s="9"/>
      <c r="D45" s="9" t="s">
        <v>95</v>
      </c>
      <c r="E45" s="49" t="s">
        <v>83</v>
      </c>
      <c r="F45" s="49"/>
      <c r="G45" s="50" t="s">
        <v>263</v>
      </c>
      <c r="H45" s="50" t="s">
        <v>150</v>
      </c>
      <c r="I45" s="9"/>
      <c r="J45" s="9" t="s">
        <v>135</v>
      </c>
      <c r="K45" s="9"/>
      <c r="L45" s="9"/>
      <c r="M45" s="9" t="s">
        <v>135</v>
      </c>
      <c r="N45" s="9"/>
      <c r="O45" s="9"/>
      <c r="P45" s="60"/>
      <c r="Q45" s="52"/>
      <c r="R45" s="145"/>
      <c r="S45" s="146"/>
    </row>
    <row r="46" spans="1:19" s="11" customFormat="1" x14ac:dyDescent="0.2">
      <c r="A46" s="9">
        <v>20</v>
      </c>
      <c r="B46" s="9"/>
      <c r="C46" s="9"/>
      <c r="D46" s="9" t="s">
        <v>96</v>
      </c>
      <c r="E46" s="49" t="s">
        <v>85</v>
      </c>
      <c r="F46" s="49"/>
      <c r="G46" s="50" t="s">
        <v>264</v>
      </c>
      <c r="H46" s="50" t="s">
        <v>97</v>
      </c>
      <c r="I46" s="9"/>
      <c r="J46" s="9" t="s">
        <v>135</v>
      </c>
      <c r="K46" s="9"/>
      <c r="L46" s="9"/>
      <c r="M46" s="9" t="s">
        <v>135</v>
      </c>
      <c r="N46" s="9"/>
      <c r="O46" s="9"/>
      <c r="P46" s="60"/>
      <c r="Q46" s="52"/>
      <c r="R46" s="145"/>
      <c r="S46" s="146"/>
    </row>
    <row r="47" spans="1:19" s="11" customFormat="1" x14ac:dyDescent="0.2">
      <c r="A47" s="9">
        <v>20</v>
      </c>
      <c r="B47" s="9"/>
      <c r="C47" s="9"/>
      <c r="D47" s="9" t="s">
        <v>98</v>
      </c>
      <c r="E47" s="49" t="s">
        <v>88</v>
      </c>
      <c r="F47" s="49"/>
      <c r="G47" s="50" t="s">
        <v>265</v>
      </c>
      <c r="H47" s="50" t="s">
        <v>99</v>
      </c>
      <c r="I47" s="9"/>
      <c r="J47" s="9" t="s">
        <v>135</v>
      </c>
      <c r="K47" s="9"/>
      <c r="L47" s="9"/>
      <c r="M47" s="9"/>
      <c r="N47" s="9"/>
      <c r="O47" s="9"/>
      <c r="P47" s="60"/>
      <c r="Q47" s="52"/>
      <c r="R47" s="145"/>
      <c r="S47" s="146"/>
    </row>
    <row r="48" spans="1:19" s="11" customFormat="1" x14ac:dyDescent="0.2">
      <c r="A48" s="9">
        <v>20</v>
      </c>
      <c r="B48" s="9"/>
      <c r="C48" s="9"/>
      <c r="D48" s="9" t="s">
        <v>100</v>
      </c>
      <c r="E48" s="49" t="s">
        <v>101</v>
      </c>
      <c r="F48" s="49"/>
      <c r="G48" s="50" t="s">
        <v>266</v>
      </c>
      <c r="H48" s="50" t="s">
        <v>151</v>
      </c>
      <c r="I48" s="9"/>
      <c r="J48" s="9" t="s">
        <v>135</v>
      </c>
      <c r="K48" s="9"/>
      <c r="L48" s="9"/>
      <c r="M48" s="9" t="s">
        <v>135</v>
      </c>
      <c r="N48" s="9"/>
      <c r="O48" s="9"/>
      <c r="P48" s="60"/>
      <c r="Q48" s="52"/>
      <c r="R48" s="145"/>
      <c r="S48" s="146"/>
    </row>
    <row r="49" spans="1:19" s="11" customFormat="1" x14ac:dyDescent="0.2">
      <c r="A49" s="9">
        <v>20</v>
      </c>
      <c r="B49" s="9"/>
      <c r="C49" s="9"/>
      <c r="D49" s="9" t="s">
        <v>102</v>
      </c>
      <c r="E49" s="49" t="s">
        <v>77</v>
      </c>
      <c r="F49" s="49"/>
      <c r="G49" s="50" t="s">
        <v>267</v>
      </c>
      <c r="H49" s="50" t="s">
        <v>152</v>
      </c>
      <c r="I49" s="9"/>
      <c r="J49" s="9" t="s">
        <v>135</v>
      </c>
      <c r="K49" s="9"/>
      <c r="L49" s="9"/>
      <c r="M49" s="9" t="s">
        <v>135</v>
      </c>
      <c r="N49" s="9"/>
      <c r="O49" s="9"/>
      <c r="P49" s="60"/>
      <c r="Q49" s="52"/>
      <c r="R49" s="145"/>
      <c r="S49" s="146"/>
    </row>
    <row r="50" spans="1:19" s="11" customFormat="1" x14ac:dyDescent="0.2">
      <c r="A50" s="9">
        <v>20</v>
      </c>
      <c r="B50" s="9"/>
      <c r="C50" s="9"/>
      <c r="D50" s="9" t="s">
        <v>103</v>
      </c>
      <c r="E50" s="49" t="s">
        <v>80</v>
      </c>
      <c r="F50" s="49"/>
      <c r="G50" s="50" t="s">
        <v>268</v>
      </c>
      <c r="H50" s="50" t="s">
        <v>153</v>
      </c>
      <c r="I50" s="9"/>
      <c r="J50" s="9" t="s">
        <v>135</v>
      </c>
      <c r="K50" s="9"/>
      <c r="L50" s="9"/>
      <c r="M50" s="9" t="s">
        <v>135</v>
      </c>
      <c r="N50" s="9"/>
      <c r="O50" s="9"/>
      <c r="P50" s="60"/>
      <c r="Q50" s="52"/>
      <c r="R50" s="145"/>
      <c r="S50" s="146"/>
    </row>
    <row r="51" spans="1:19" s="11" customFormat="1" x14ac:dyDescent="0.2">
      <c r="A51" s="9">
        <v>20</v>
      </c>
      <c r="B51" s="9"/>
      <c r="C51" s="9"/>
      <c r="D51" s="9" t="s">
        <v>104</v>
      </c>
      <c r="E51" s="49" t="s">
        <v>83</v>
      </c>
      <c r="F51" s="49"/>
      <c r="G51" s="50" t="s">
        <v>269</v>
      </c>
      <c r="H51" s="50" t="s">
        <v>154</v>
      </c>
      <c r="I51" s="9"/>
      <c r="J51" s="9" t="s">
        <v>135</v>
      </c>
      <c r="K51" s="9"/>
      <c r="L51" s="9"/>
      <c r="M51" s="9" t="s">
        <v>135</v>
      </c>
      <c r="N51" s="9"/>
      <c r="O51" s="9"/>
      <c r="P51" s="60"/>
      <c r="Q51" s="52"/>
      <c r="R51" s="145"/>
      <c r="S51" s="146"/>
    </row>
    <row r="52" spans="1:19" s="11" customFormat="1" x14ac:dyDescent="0.2">
      <c r="A52" s="65"/>
      <c r="B52" s="30"/>
      <c r="C52" s="30"/>
      <c r="D52" s="66" t="s">
        <v>13</v>
      </c>
      <c r="E52" s="31"/>
      <c r="F52" s="67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68"/>
    </row>
    <row r="53" spans="1:19" s="11" customFormat="1" x14ac:dyDescent="0.2">
      <c r="A53" s="79"/>
      <c r="S53" s="55"/>
    </row>
    <row r="54" spans="1:19" s="11" customFormat="1" x14ac:dyDescent="0.2">
      <c r="A54" s="79"/>
      <c r="S54" s="55"/>
    </row>
    <row r="55" spans="1:19" s="11" customFormat="1" x14ac:dyDescent="0.2">
      <c r="A55" s="79"/>
      <c r="S55" s="55"/>
    </row>
    <row r="56" spans="1:19" s="11" customFormat="1" x14ac:dyDescent="0.2">
      <c r="A56" s="83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20"/>
    </row>
  </sheetData>
  <mergeCells count="22">
    <mergeCell ref="R47:S47"/>
    <mergeCell ref="R48:S48"/>
    <mergeCell ref="R49:S49"/>
    <mergeCell ref="R50:S50"/>
    <mergeCell ref="R51:S51"/>
    <mergeCell ref="R46:S46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34:S34"/>
    <mergeCell ref="R12:S12"/>
    <mergeCell ref="R15:S15"/>
    <mergeCell ref="R23:S23"/>
    <mergeCell ref="R26:S26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27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24.36328125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5" t="s">
        <v>128</v>
      </c>
      <c r="B1" s="75" t="s">
        <v>128</v>
      </c>
      <c r="C1" s="7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6" t="s">
        <v>128</v>
      </c>
      <c r="B2" s="77"/>
      <c r="C2" s="77"/>
      <c r="D2" s="86" t="s">
        <v>223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MABCL1220</v>
      </c>
      <c r="I2" s="7" t="s">
        <v>129</v>
      </c>
      <c r="J2" s="9" t="s">
        <v>105</v>
      </c>
      <c r="K2" s="7" t="s">
        <v>4</v>
      </c>
      <c r="L2" s="78" t="str">
        <f>IF(LogicCommon!G2="","",LogicCommon!G2)</f>
        <v>MC</v>
      </c>
      <c r="M2" s="5" t="s">
        <v>130</v>
      </c>
      <c r="N2" s="28" t="s">
        <v>209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9" t="s">
        <v>128</v>
      </c>
      <c r="B3" s="80"/>
      <c r="C3" s="80"/>
      <c r="D3" s="81" t="str">
        <f>IF(LogicCommon!A3="","",LogicCommon!A3)</f>
        <v/>
      </c>
      <c r="E3" s="7" t="s">
        <v>6</v>
      </c>
      <c r="F3" s="78" t="str">
        <f>IF(LogicCommon!C3="","",LogicCommon!C3)</f>
        <v>MABC</v>
      </c>
      <c r="G3" s="7" t="s">
        <v>7</v>
      </c>
      <c r="H3" s="78" t="str">
        <f>IF(LogicCommon!E3="","",LogicCommon!E3)</f>
        <v>MABCL_JnlKeyMapReg</v>
      </c>
      <c r="I3" s="7" t="s">
        <v>131</v>
      </c>
      <c r="J3" s="9" t="s">
        <v>106</v>
      </c>
      <c r="K3" s="7" t="s">
        <v>8</v>
      </c>
      <c r="L3" s="78" t="str">
        <f>IF(LogicCommon!G3="","",LogicCommon!G3)</f>
        <v/>
      </c>
      <c r="M3" s="51" t="s">
        <v>16</v>
      </c>
      <c r="N3" s="7"/>
      <c r="O3" s="7" t="s">
        <v>107</v>
      </c>
      <c r="P3" s="9" t="s">
        <v>132</v>
      </c>
      <c r="Q3" s="4"/>
      <c r="R3" s="27"/>
      <c r="S3" s="27"/>
      <c r="T3" s="27"/>
      <c r="U3" s="27"/>
      <c r="V3" s="27"/>
    </row>
    <row r="4" spans="1:22" s="11" customFormat="1" x14ac:dyDescent="0.2">
      <c r="A4" s="79" t="s">
        <v>128</v>
      </c>
      <c r="B4" s="80"/>
      <c r="C4" s="80"/>
      <c r="D4" s="4"/>
      <c r="E4" s="7" t="s">
        <v>9</v>
      </c>
      <c r="F4" s="10" t="s">
        <v>127</v>
      </c>
      <c r="G4" s="7" t="s">
        <v>10</v>
      </c>
      <c r="H4" s="78" t="str">
        <f>IF(LogicCommon!E4="","",LogicCommon!E4)</f>
        <v>仕訳キー対応マスタ登録</v>
      </c>
      <c r="I4" s="7" t="s">
        <v>108</v>
      </c>
      <c r="J4" s="9" t="s">
        <v>109</v>
      </c>
      <c r="K4" s="7" t="s">
        <v>11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3" t="s">
        <v>128</v>
      </c>
      <c r="B5" s="75"/>
      <c r="C5" s="75"/>
      <c r="D5" s="26"/>
      <c r="E5" s="7" t="s">
        <v>133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9" t="s">
        <v>128</v>
      </c>
      <c r="B6" s="80"/>
      <c r="C6" s="80"/>
      <c r="D6" s="4" t="s">
        <v>12</v>
      </c>
      <c r="E6" s="16" t="s">
        <v>110</v>
      </c>
      <c r="F6" s="16"/>
      <c r="G6" s="16"/>
      <c r="H6" s="16"/>
      <c r="I6" s="16"/>
      <c r="J6" s="16"/>
      <c r="K6" s="16"/>
      <c r="L6" s="85" t="s">
        <v>18</v>
      </c>
      <c r="M6" s="19"/>
      <c r="N6" s="19" t="s">
        <v>18</v>
      </c>
      <c r="O6" s="19"/>
      <c r="P6" s="19" t="s">
        <v>18</v>
      </c>
      <c r="Q6" s="19"/>
      <c r="R6" s="3" t="s">
        <v>18</v>
      </c>
      <c r="S6" s="4"/>
      <c r="T6" s="29"/>
      <c r="U6" s="29"/>
      <c r="V6" s="27"/>
    </row>
    <row r="7" spans="1:22" s="11" customFormat="1" x14ac:dyDescent="0.2">
      <c r="A7" s="30" t="s">
        <v>19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48</v>
      </c>
      <c r="L7" s="32" t="s">
        <v>111</v>
      </c>
      <c r="M7" s="33" t="s">
        <v>23</v>
      </c>
      <c r="N7" s="32" t="s">
        <v>112</v>
      </c>
      <c r="O7" s="33" t="s">
        <v>23</v>
      </c>
      <c r="P7" s="32"/>
      <c r="Q7" s="33" t="s">
        <v>23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19</v>
      </c>
      <c r="B8" s="89"/>
      <c r="C8" s="90"/>
      <c r="D8" s="87" t="s">
        <v>224</v>
      </c>
      <c r="E8" s="87" t="s">
        <v>225</v>
      </c>
      <c r="F8" s="85"/>
      <c r="G8" s="87" t="s">
        <v>142</v>
      </c>
      <c r="H8" s="87" t="s">
        <v>226</v>
      </c>
      <c r="I8" s="85"/>
      <c r="J8" s="3"/>
      <c r="K8" s="33" t="s">
        <v>51</v>
      </c>
      <c r="L8" s="9" t="s">
        <v>203</v>
      </c>
      <c r="M8" s="33" t="s">
        <v>27</v>
      </c>
      <c r="N8" s="9" t="s">
        <v>204</v>
      </c>
      <c r="O8" s="33" t="s">
        <v>27</v>
      </c>
      <c r="P8" s="9"/>
      <c r="Q8" s="33" t="s">
        <v>27</v>
      </c>
      <c r="R8" s="9"/>
      <c r="S8" s="91"/>
      <c r="T8" s="92"/>
      <c r="U8" s="93" t="s">
        <v>227</v>
      </c>
      <c r="V8" s="52"/>
    </row>
    <row r="9" spans="1:22" s="11" customFormat="1" ht="60" customHeight="1" x14ac:dyDescent="0.2">
      <c r="A9" s="9" t="s">
        <v>19</v>
      </c>
      <c r="B9" s="34"/>
      <c r="C9" s="35"/>
      <c r="D9" s="87" t="s">
        <v>228</v>
      </c>
      <c r="E9" s="94" t="s">
        <v>229</v>
      </c>
      <c r="F9" s="87" t="s">
        <v>230</v>
      </c>
      <c r="G9" s="87" t="s">
        <v>231</v>
      </c>
      <c r="H9" s="87" t="s">
        <v>232</v>
      </c>
      <c r="I9" s="95" t="s">
        <v>233</v>
      </c>
      <c r="J9" s="87" t="s">
        <v>234</v>
      </c>
      <c r="K9" s="33"/>
      <c r="L9" s="33"/>
      <c r="M9" s="33"/>
      <c r="N9" s="33"/>
      <c r="O9" s="33"/>
      <c r="P9" s="33"/>
      <c r="Q9" s="33"/>
      <c r="R9" s="33"/>
      <c r="S9" s="93" t="s">
        <v>235</v>
      </c>
      <c r="T9" s="52"/>
      <c r="U9" s="93" t="s">
        <v>236</v>
      </c>
      <c r="V9" s="52"/>
    </row>
    <row r="10" spans="1:22" s="11" customFormat="1" ht="52" x14ac:dyDescent="0.2">
      <c r="A10" s="38" t="s">
        <v>19</v>
      </c>
      <c r="B10" s="39"/>
      <c r="C10" s="39"/>
      <c r="D10" s="40"/>
      <c r="E10" s="41"/>
      <c r="F10" s="41"/>
      <c r="G10" s="42"/>
      <c r="H10" s="42"/>
      <c r="I10" s="41"/>
      <c r="J10" s="41"/>
      <c r="K10" s="88" t="s">
        <v>233</v>
      </c>
      <c r="L10" s="88" t="s">
        <v>234</v>
      </c>
      <c r="M10" s="88" t="s">
        <v>233</v>
      </c>
      <c r="N10" s="88" t="s">
        <v>234</v>
      </c>
      <c r="O10" s="88" t="s">
        <v>233</v>
      </c>
      <c r="P10" s="88" t="s">
        <v>234</v>
      </c>
      <c r="Q10" s="88" t="s">
        <v>233</v>
      </c>
      <c r="R10" s="88" t="s">
        <v>234</v>
      </c>
      <c r="S10" s="41"/>
      <c r="T10" s="41"/>
      <c r="U10" s="42"/>
      <c r="V10" s="37"/>
    </row>
    <row r="11" spans="1:22" s="11" customFormat="1" x14ac:dyDescent="0.2">
      <c r="A11" s="9">
        <v>10</v>
      </c>
      <c r="B11" s="34" t="s">
        <v>30</v>
      </c>
      <c r="C11" s="35"/>
      <c r="D11" s="28" t="s">
        <v>113</v>
      </c>
      <c r="E11" s="43" t="s">
        <v>14</v>
      </c>
      <c r="F11" s="44"/>
      <c r="G11" s="28" t="s">
        <v>52</v>
      </c>
      <c r="H11" s="56" t="s">
        <v>202</v>
      </c>
      <c r="I11" s="45"/>
      <c r="J11" s="46"/>
      <c r="K11" s="47" t="s">
        <v>218</v>
      </c>
      <c r="L11" s="47"/>
      <c r="M11" s="47" t="s">
        <v>219</v>
      </c>
      <c r="N11" s="47"/>
      <c r="O11" s="47"/>
      <c r="P11" s="47"/>
      <c r="Q11" s="47"/>
      <c r="R11" s="47"/>
      <c r="S11" s="36"/>
      <c r="T11" s="37"/>
      <c r="U11" s="73"/>
      <c r="V11" s="48"/>
    </row>
    <row r="12" spans="1:22" s="11" customFormat="1" x14ac:dyDescent="0.2">
      <c r="A12" s="9">
        <v>10</v>
      </c>
      <c r="B12" s="9"/>
      <c r="C12" s="9"/>
      <c r="D12" s="9" t="s">
        <v>33</v>
      </c>
      <c r="E12" s="49" t="s">
        <v>74</v>
      </c>
      <c r="F12" s="49"/>
      <c r="G12" s="50" t="s">
        <v>237</v>
      </c>
      <c r="H12" s="50" t="s">
        <v>134</v>
      </c>
      <c r="I12" s="9" t="s">
        <v>135</v>
      </c>
      <c r="J12" s="9"/>
      <c r="K12" s="9" t="s">
        <v>135</v>
      </c>
      <c r="L12" s="9"/>
      <c r="M12" s="9" t="s">
        <v>135</v>
      </c>
      <c r="N12" s="9"/>
      <c r="O12" s="9"/>
      <c r="P12" s="9"/>
      <c r="Q12" s="9"/>
      <c r="R12" s="9"/>
      <c r="S12" s="40"/>
      <c r="T12" s="52"/>
      <c r="U12" s="145"/>
      <c r="V12" s="146"/>
    </row>
    <row r="13" spans="1:22" s="11" customFormat="1" x14ac:dyDescent="0.2">
      <c r="A13" s="9">
        <v>10</v>
      </c>
      <c r="B13" s="9"/>
      <c r="C13" s="9"/>
      <c r="D13" s="9" t="s">
        <v>180</v>
      </c>
      <c r="E13" s="49" t="s">
        <v>72</v>
      </c>
      <c r="F13" s="49"/>
      <c r="G13" s="50" t="s">
        <v>238</v>
      </c>
      <c r="H13" s="50" t="s">
        <v>215</v>
      </c>
      <c r="I13" s="9" t="s">
        <v>135</v>
      </c>
      <c r="J13" s="9"/>
      <c r="K13" s="9" t="s">
        <v>135</v>
      </c>
      <c r="L13" s="9"/>
      <c r="M13" s="9" t="s">
        <v>135</v>
      </c>
      <c r="N13" s="9"/>
      <c r="O13" s="9"/>
      <c r="P13" s="9"/>
      <c r="Q13" s="9"/>
      <c r="R13" s="9"/>
      <c r="S13" s="40"/>
      <c r="T13" s="52"/>
      <c r="U13" s="145"/>
      <c r="V13" s="146"/>
    </row>
    <row r="14" spans="1:22" s="11" customFormat="1" x14ac:dyDescent="0.2">
      <c r="A14" s="9">
        <v>10</v>
      </c>
      <c r="B14" s="9"/>
      <c r="C14" s="9"/>
      <c r="D14" s="49" t="s">
        <v>181</v>
      </c>
      <c r="E14" s="49" t="s">
        <v>183</v>
      </c>
      <c r="F14" s="49"/>
      <c r="G14" s="50" t="s">
        <v>239</v>
      </c>
      <c r="H14" s="50" t="s">
        <v>175</v>
      </c>
      <c r="I14" s="9" t="s">
        <v>135</v>
      </c>
      <c r="J14" s="9"/>
      <c r="K14" s="9" t="s">
        <v>135</v>
      </c>
      <c r="L14" s="9"/>
      <c r="M14" s="9" t="s">
        <v>135</v>
      </c>
      <c r="N14" s="9"/>
      <c r="O14" s="9"/>
      <c r="P14" s="9"/>
      <c r="Q14" s="9"/>
      <c r="R14" s="9"/>
      <c r="S14" s="40"/>
      <c r="T14" s="52"/>
      <c r="U14" s="145"/>
      <c r="V14" s="146"/>
    </row>
    <row r="15" spans="1:22" s="11" customFormat="1" ht="26" x14ac:dyDescent="0.2">
      <c r="A15" s="9">
        <v>10</v>
      </c>
      <c r="B15" s="9"/>
      <c r="C15" s="9"/>
      <c r="D15" s="49" t="s">
        <v>187</v>
      </c>
      <c r="E15" s="49" t="s">
        <v>190</v>
      </c>
      <c r="F15" s="49"/>
      <c r="G15" s="50" t="s">
        <v>240</v>
      </c>
      <c r="H15" s="50" t="s">
        <v>192</v>
      </c>
      <c r="I15" s="9" t="s">
        <v>135</v>
      </c>
      <c r="J15" s="9"/>
      <c r="K15" s="9" t="s">
        <v>135</v>
      </c>
      <c r="L15" s="9"/>
      <c r="M15" s="9" t="s">
        <v>135</v>
      </c>
      <c r="N15" s="9"/>
      <c r="O15" s="9"/>
      <c r="P15" s="9"/>
      <c r="Q15" s="9"/>
      <c r="R15" s="9"/>
      <c r="S15" s="40"/>
      <c r="T15" s="52"/>
      <c r="U15" s="145"/>
      <c r="V15" s="146"/>
    </row>
    <row r="16" spans="1:22" s="11" customFormat="1" ht="26" x14ac:dyDescent="0.2">
      <c r="A16" s="9">
        <v>10</v>
      </c>
      <c r="B16" s="9"/>
      <c r="C16" s="9"/>
      <c r="D16" s="49" t="s">
        <v>195</v>
      </c>
      <c r="E16" s="49" t="s">
        <v>190</v>
      </c>
      <c r="F16" s="49"/>
      <c r="G16" s="50" t="s">
        <v>241</v>
      </c>
      <c r="H16" s="50" t="s">
        <v>197</v>
      </c>
      <c r="I16" s="9" t="s">
        <v>135</v>
      </c>
      <c r="J16" s="9"/>
      <c r="K16" s="9" t="s">
        <v>135</v>
      </c>
      <c r="L16" s="9"/>
      <c r="M16" s="9" t="s">
        <v>135</v>
      </c>
      <c r="N16" s="9"/>
      <c r="O16" s="9"/>
      <c r="P16" s="9"/>
      <c r="Q16" s="9"/>
      <c r="R16" s="9"/>
      <c r="S16" s="40"/>
      <c r="T16" s="52"/>
      <c r="U16" s="73"/>
      <c r="V16" s="74"/>
    </row>
    <row r="17" spans="1:22" s="11" customFormat="1" x14ac:dyDescent="0.2">
      <c r="A17" s="9">
        <v>10</v>
      </c>
      <c r="B17" s="9"/>
      <c r="C17" s="9"/>
      <c r="D17" s="9" t="s">
        <v>199</v>
      </c>
      <c r="E17" s="49" t="s">
        <v>200</v>
      </c>
      <c r="F17" s="49"/>
      <c r="G17" s="50" t="s">
        <v>242</v>
      </c>
      <c r="H17" s="50" t="s">
        <v>201</v>
      </c>
      <c r="I17" s="9" t="s">
        <v>135</v>
      </c>
      <c r="J17" s="9"/>
      <c r="K17" s="9" t="s">
        <v>135</v>
      </c>
      <c r="L17" s="9"/>
      <c r="M17" s="9" t="s">
        <v>135</v>
      </c>
      <c r="N17" s="9"/>
      <c r="O17" s="9"/>
      <c r="P17" s="9"/>
      <c r="Q17" s="9"/>
      <c r="R17" s="9"/>
      <c r="S17" s="40"/>
      <c r="T17" s="52"/>
      <c r="U17" s="145"/>
      <c r="V17" s="146"/>
    </row>
    <row r="18" spans="1:22" s="11" customFormat="1" x14ac:dyDescent="0.2">
      <c r="A18" s="9">
        <v>10</v>
      </c>
      <c r="B18" s="9"/>
      <c r="C18" s="9"/>
      <c r="D18" s="9" t="s">
        <v>36</v>
      </c>
      <c r="E18" s="49" t="s">
        <v>37</v>
      </c>
      <c r="F18" s="49"/>
      <c r="G18" s="50" t="s">
        <v>243</v>
      </c>
      <c r="H18" s="50" t="s">
        <v>138</v>
      </c>
      <c r="I18" s="9" t="s">
        <v>135</v>
      </c>
      <c r="J18" s="9"/>
      <c r="K18" s="9" t="s">
        <v>135</v>
      </c>
      <c r="L18" s="9"/>
      <c r="M18" s="9" t="s">
        <v>135</v>
      </c>
      <c r="N18" s="9"/>
      <c r="O18" s="9"/>
      <c r="P18" s="9"/>
      <c r="Q18" s="9"/>
      <c r="R18" s="9"/>
      <c r="S18" s="40"/>
      <c r="T18" s="52"/>
      <c r="U18" s="145"/>
      <c r="V18" s="146"/>
    </row>
    <row r="19" spans="1:22" s="11" customFormat="1" x14ac:dyDescent="0.2">
      <c r="A19" s="9">
        <v>10</v>
      </c>
      <c r="B19" s="9"/>
      <c r="C19" s="9"/>
      <c r="D19" s="9" t="s">
        <v>38</v>
      </c>
      <c r="E19" s="49" t="s">
        <v>39</v>
      </c>
      <c r="F19" s="49"/>
      <c r="G19" s="50" t="s">
        <v>244</v>
      </c>
      <c r="H19" s="50" t="s">
        <v>139</v>
      </c>
      <c r="I19" s="9" t="s">
        <v>135</v>
      </c>
      <c r="J19" s="9"/>
      <c r="K19" s="9" t="s">
        <v>135</v>
      </c>
      <c r="L19" s="9"/>
      <c r="M19" s="9" t="s">
        <v>135</v>
      </c>
      <c r="N19" s="9"/>
      <c r="O19" s="9"/>
      <c r="P19" s="9"/>
      <c r="Q19" s="9"/>
      <c r="R19" s="9"/>
      <c r="S19" s="40"/>
      <c r="T19" s="52"/>
      <c r="U19" s="145"/>
      <c r="V19" s="146"/>
    </row>
    <row r="20" spans="1:22" s="11" customFormat="1" x14ac:dyDescent="0.2">
      <c r="A20" s="9">
        <v>10</v>
      </c>
      <c r="B20" s="9"/>
      <c r="C20" s="9"/>
      <c r="D20" s="9" t="s">
        <v>40</v>
      </c>
      <c r="E20" s="49" t="s">
        <v>41</v>
      </c>
      <c r="F20" s="49"/>
      <c r="G20" s="50" t="s">
        <v>245</v>
      </c>
      <c r="H20" s="50" t="s">
        <v>140</v>
      </c>
      <c r="I20" s="9" t="s">
        <v>135</v>
      </c>
      <c r="J20" s="9"/>
      <c r="K20" s="9" t="s">
        <v>135</v>
      </c>
      <c r="L20" s="9"/>
      <c r="M20" s="9" t="s">
        <v>135</v>
      </c>
      <c r="N20" s="9"/>
      <c r="O20" s="9"/>
      <c r="P20" s="9"/>
      <c r="Q20" s="9"/>
      <c r="R20" s="9"/>
      <c r="S20" s="40"/>
      <c r="T20" s="52"/>
      <c r="U20" s="145"/>
      <c r="V20" s="146"/>
    </row>
    <row r="21" spans="1:22" s="11" customFormat="1" x14ac:dyDescent="0.2">
      <c r="A21" s="9">
        <v>10</v>
      </c>
      <c r="B21" s="9"/>
      <c r="C21" s="9"/>
      <c r="D21" s="9" t="s">
        <v>42</v>
      </c>
      <c r="E21" s="49" t="s">
        <v>35</v>
      </c>
      <c r="F21" s="49"/>
      <c r="G21" s="50" t="s">
        <v>246</v>
      </c>
      <c r="H21" s="50" t="s">
        <v>73</v>
      </c>
      <c r="I21" s="9" t="s">
        <v>135</v>
      </c>
      <c r="J21" s="9"/>
      <c r="K21" s="9" t="s">
        <v>135</v>
      </c>
      <c r="L21" s="9"/>
      <c r="M21" s="9" t="s">
        <v>135</v>
      </c>
      <c r="N21" s="9"/>
      <c r="O21" s="9"/>
      <c r="P21" s="9"/>
      <c r="Q21" s="9"/>
      <c r="R21" s="9"/>
      <c r="S21" s="40"/>
      <c r="T21" s="52"/>
      <c r="U21" s="73"/>
      <c r="V21" s="74"/>
    </row>
    <row r="22" spans="1:22" s="11" customFormat="1" x14ac:dyDescent="0.2">
      <c r="A22" s="9">
        <v>10</v>
      </c>
      <c r="B22" s="9"/>
      <c r="C22" s="9"/>
      <c r="D22" s="9" t="s">
        <v>54</v>
      </c>
      <c r="E22" s="49" t="s">
        <v>55</v>
      </c>
      <c r="F22" s="49"/>
      <c r="G22" s="50" t="s">
        <v>247</v>
      </c>
      <c r="H22" s="50" t="s">
        <v>141</v>
      </c>
      <c r="I22" s="9" t="s">
        <v>135</v>
      </c>
      <c r="J22" s="9"/>
      <c r="K22" s="9" t="s">
        <v>135</v>
      </c>
      <c r="L22" s="9"/>
      <c r="M22" s="9" t="s">
        <v>135</v>
      </c>
      <c r="N22" s="9"/>
      <c r="O22" s="9"/>
      <c r="P22" s="9"/>
      <c r="Q22" s="9"/>
      <c r="R22" s="9"/>
      <c r="S22" s="40"/>
      <c r="T22" s="52"/>
      <c r="U22" s="145"/>
      <c r="V22" s="146"/>
    </row>
    <row r="23" spans="1:22" s="11" customFormat="1" x14ac:dyDescent="0.2">
      <c r="A23" s="53"/>
      <c r="B23" s="54"/>
      <c r="C23" s="54"/>
      <c r="D23" s="27" t="s">
        <v>45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4"/>
      <c r="T23" s="4"/>
      <c r="U23" s="6"/>
      <c r="V23" s="23"/>
    </row>
    <row r="24" spans="1:22" s="11" customFormat="1" x14ac:dyDescent="0.2">
      <c r="A24" s="79"/>
      <c r="V24" s="55"/>
    </row>
    <row r="25" spans="1:22" s="11" customFormat="1" x14ac:dyDescent="0.2">
      <c r="A25" s="79"/>
      <c r="V25" s="55"/>
    </row>
    <row r="26" spans="1:22" s="11" customFormat="1" x14ac:dyDescent="0.2">
      <c r="A26" s="79"/>
      <c r="V26" s="55"/>
    </row>
    <row r="27" spans="1:22" s="11" customFormat="1" x14ac:dyDescent="0.2">
      <c r="A27" s="83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20"/>
    </row>
  </sheetData>
  <dataConsolidate/>
  <mergeCells count="9">
    <mergeCell ref="U15:V15"/>
    <mergeCell ref="U12:V12"/>
    <mergeCell ref="U13:V13"/>
    <mergeCell ref="U14:V14"/>
    <mergeCell ref="U22:V22"/>
    <mergeCell ref="U17:V17"/>
    <mergeCell ref="U18:V18"/>
    <mergeCell ref="U19:V19"/>
    <mergeCell ref="U20:V20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5" t="s">
        <v>128</v>
      </c>
      <c r="B1" s="75" t="s">
        <v>128</v>
      </c>
      <c r="C1" s="7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6" t="s">
        <v>128</v>
      </c>
      <c r="B2" s="77"/>
      <c r="C2" s="77"/>
      <c r="D2" s="86" t="s">
        <v>223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MABCL1220</v>
      </c>
      <c r="I2" s="7" t="s">
        <v>129</v>
      </c>
      <c r="J2" s="9" t="s">
        <v>114</v>
      </c>
      <c r="K2" s="7" t="s">
        <v>4</v>
      </c>
      <c r="L2" s="78" t="str">
        <f>IF(LogicCommon!G2="","",LogicCommon!G2)</f>
        <v>MC</v>
      </c>
      <c r="M2" s="5" t="s">
        <v>130</v>
      </c>
      <c r="N2" s="28" t="s">
        <v>210</v>
      </c>
      <c r="O2" s="7"/>
      <c r="P2" s="7"/>
      <c r="Q2" s="4"/>
      <c r="R2" s="27"/>
    </row>
    <row r="3" spans="1:18" s="11" customFormat="1" x14ac:dyDescent="0.2">
      <c r="A3" s="79" t="s">
        <v>128</v>
      </c>
      <c r="B3" s="80"/>
      <c r="C3" s="80"/>
      <c r="D3" s="81" t="str">
        <f>IF(LogicCommon!A3="","",LogicCommon!A3)</f>
        <v/>
      </c>
      <c r="E3" s="7" t="s">
        <v>6</v>
      </c>
      <c r="F3" s="78" t="str">
        <f>IF(LogicCommon!C3="","",LogicCommon!C3)</f>
        <v>MABC</v>
      </c>
      <c r="G3" s="7" t="s">
        <v>7</v>
      </c>
      <c r="H3" s="78" t="str">
        <f>IF(LogicCommon!E3="","",LogicCommon!E3)</f>
        <v>MABCL_JnlKeyMapReg</v>
      </c>
      <c r="I3" s="7" t="s">
        <v>131</v>
      </c>
      <c r="J3" s="9" t="s">
        <v>46</v>
      </c>
      <c r="K3" s="7" t="s">
        <v>8</v>
      </c>
      <c r="L3" s="78" t="str">
        <f>IF(LogicCommon!G3="","",LogicCommon!G3)</f>
        <v/>
      </c>
      <c r="M3" s="51" t="s">
        <v>16</v>
      </c>
      <c r="N3" s="7"/>
      <c r="O3" s="7" t="s">
        <v>107</v>
      </c>
      <c r="P3" s="9" t="s">
        <v>132</v>
      </c>
      <c r="Q3" s="4"/>
      <c r="R3" s="27"/>
    </row>
    <row r="4" spans="1:18" s="11" customFormat="1" x14ac:dyDescent="0.2">
      <c r="A4" s="79" t="s">
        <v>128</v>
      </c>
      <c r="B4" s="80"/>
      <c r="C4" s="80"/>
      <c r="D4" s="4"/>
      <c r="E4" s="7" t="s">
        <v>9</v>
      </c>
      <c r="F4" s="10" t="s">
        <v>127</v>
      </c>
      <c r="G4" s="7" t="s">
        <v>10</v>
      </c>
      <c r="H4" s="78" t="str">
        <f>IF(LogicCommon!E4="","",LogicCommon!E4)</f>
        <v>仕訳キー対応マスタ登録</v>
      </c>
      <c r="I4" s="7" t="s">
        <v>108</v>
      </c>
      <c r="J4" s="9" t="s">
        <v>115</v>
      </c>
      <c r="K4" s="7" t="s">
        <v>11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 x14ac:dyDescent="0.2">
      <c r="A5" s="83" t="s">
        <v>128</v>
      </c>
      <c r="B5" s="75"/>
      <c r="C5" s="75"/>
      <c r="D5" s="26"/>
      <c r="E5" s="7" t="s">
        <v>133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9" t="s">
        <v>128</v>
      </c>
      <c r="B6" s="80"/>
      <c r="C6" s="80"/>
      <c r="D6" s="4" t="s">
        <v>12</v>
      </c>
      <c r="E6" s="16" t="s">
        <v>116</v>
      </c>
      <c r="F6" s="16"/>
      <c r="G6" s="16"/>
      <c r="H6" s="16"/>
      <c r="I6" s="16"/>
      <c r="J6" s="16"/>
      <c r="K6" s="16"/>
      <c r="L6" s="85" t="s">
        <v>18</v>
      </c>
      <c r="M6" s="19"/>
      <c r="N6" s="19" t="s">
        <v>18</v>
      </c>
      <c r="O6" s="19"/>
      <c r="P6" s="19"/>
      <c r="Q6" s="19"/>
      <c r="R6" s="27"/>
    </row>
    <row r="7" spans="1:18" s="11" customFormat="1" x14ac:dyDescent="0.2">
      <c r="A7" s="30" t="s">
        <v>19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48</v>
      </c>
      <c r="L7" s="32" t="s">
        <v>117</v>
      </c>
      <c r="M7" s="33" t="s">
        <v>48</v>
      </c>
      <c r="N7" s="32" t="s">
        <v>118</v>
      </c>
      <c r="O7" s="29"/>
      <c r="P7" s="29"/>
      <c r="Q7" s="29"/>
      <c r="R7" s="29"/>
    </row>
    <row r="8" spans="1:18" s="11" customFormat="1" ht="60" customHeight="1" x14ac:dyDescent="0.2">
      <c r="A8" s="49" t="s">
        <v>19</v>
      </c>
      <c r="B8" s="89"/>
      <c r="C8" s="90"/>
      <c r="D8" s="87" t="s">
        <v>224</v>
      </c>
      <c r="E8" s="87" t="s">
        <v>225</v>
      </c>
      <c r="F8" s="85"/>
      <c r="G8" s="87" t="s">
        <v>142</v>
      </c>
      <c r="H8" s="87" t="s">
        <v>226</v>
      </c>
      <c r="I8" s="85"/>
      <c r="J8" s="3"/>
      <c r="K8" s="33" t="s">
        <v>61</v>
      </c>
      <c r="L8" s="9" t="s">
        <v>205</v>
      </c>
      <c r="M8" s="33" t="s">
        <v>61</v>
      </c>
      <c r="N8" s="9" t="s">
        <v>206</v>
      </c>
      <c r="O8" s="91"/>
      <c r="P8" s="92"/>
      <c r="Q8" s="93" t="s">
        <v>227</v>
      </c>
      <c r="R8" s="52"/>
    </row>
    <row r="9" spans="1:18" s="11" customFormat="1" ht="60" customHeight="1" x14ac:dyDescent="0.2">
      <c r="A9" s="9" t="s">
        <v>19</v>
      </c>
      <c r="B9" s="34"/>
      <c r="C9" s="35"/>
      <c r="D9" s="87" t="s">
        <v>228</v>
      </c>
      <c r="E9" s="94" t="s">
        <v>229</v>
      </c>
      <c r="F9" s="87" t="s">
        <v>230</v>
      </c>
      <c r="G9" s="87" t="s">
        <v>231</v>
      </c>
      <c r="H9" s="87" t="s">
        <v>232</v>
      </c>
      <c r="I9" s="95" t="s">
        <v>233</v>
      </c>
      <c r="J9" s="87" t="s">
        <v>234</v>
      </c>
      <c r="K9" s="33"/>
      <c r="L9" s="33"/>
      <c r="M9" s="33"/>
      <c r="N9" s="33"/>
      <c r="O9" s="93" t="s">
        <v>235</v>
      </c>
      <c r="P9" s="52"/>
      <c r="Q9" s="93" t="s">
        <v>236</v>
      </c>
      <c r="R9" s="52"/>
    </row>
    <row r="10" spans="1:18" s="11" customFormat="1" ht="52" x14ac:dyDescent="0.2">
      <c r="A10" s="38" t="s">
        <v>29</v>
      </c>
      <c r="B10" s="39"/>
      <c r="C10" s="39"/>
      <c r="D10" s="40"/>
      <c r="E10" s="41"/>
      <c r="F10" s="41"/>
      <c r="G10" s="42"/>
      <c r="H10" s="42"/>
      <c r="I10" s="41"/>
      <c r="J10" s="41"/>
      <c r="K10" s="88" t="s">
        <v>233</v>
      </c>
      <c r="L10" s="88" t="s">
        <v>234</v>
      </c>
      <c r="M10" s="88" t="s">
        <v>233</v>
      </c>
      <c r="N10" s="88" t="s">
        <v>234</v>
      </c>
      <c r="O10" s="41"/>
      <c r="P10" s="41"/>
      <c r="Q10" s="42"/>
      <c r="R10" s="37"/>
    </row>
    <row r="11" spans="1:18" s="11" customFormat="1" x14ac:dyDescent="0.2">
      <c r="A11" s="9">
        <v>10</v>
      </c>
      <c r="B11" s="34" t="s">
        <v>30</v>
      </c>
      <c r="C11" s="35"/>
      <c r="D11" s="28" t="s">
        <v>119</v>
      </c>
      <c r="E11" s="43" t="s">
        <v>53</v>
      </c>
      <c r="F11" s="44"/>
      <c r="G11" s="28" t="s">
        <v>52</v>
      </c>
      <c r="H11" s="56" t="s">
        <v>220</v>
      </c>
      <c r="I11" s="45"/>
      <c r="J11" s="46"/>
      <c r="K11" s="47" t="s">
        <v>221</v>
      </c>
      <c r="L11" s="47"/>
      <c r="M11" s="47" t="s">
        <v>222</v>
      </c>
      <c r="N11" s="47"/>
      <c r="O11" s="36"/>
      <c r="P11" s="37"/>
      <c r="Q11" s="73"/>
      <c r="R11" s="48"/>
    </row>
    <row r="12" spans="1:18" s="11" customFormat="1" x14ac:dyDescent="0.2">
      <c r="A12" s="9">
        <v>10</v>
      </c>
      <c r="B12" s="9"/>
      <c r="C12" s="9"/>
      <c r="D12" s="9" t="s">
        <v>33</v>
      </c>
      <c r="E12" s="49" t="s">
        <v>34</v>
      </c>
      <c r="F12" s="49"/>
      <c r="G12" s="50" t="s">
        <v>237</v>
      </c>
      <c r="H12" s="50" t="s">
        <v>134</v>
      </c>
      <c r="I12" s="9" t="s">
        <v>135</v>
      </c>
      <c r="J12" s="9"/>
      <c r="K12" s="9" t="s">
        <v>136</v>
      </c>
      <c r="L12" s="9"/>
      <c r="M12" s="9" t="s">
        <v>136</v>
      </c>
      <c r="N12" s="9"/>
      <c r="O12" s="42"/>
      <c r="P12" s="37"/>
      <c r="Q12" s="73"/>
      <c r="R12" s="48"/>
    </row>
    <row r="13" spans="1:18" s="11" customFormat="1" x14ac:dyDescent="0.2">
      <c r="A13" s="9">
        <v>10</v>
      </c>
      <c r="B13" s="9"/>
      <c r="C13" s="9"/>
      <c r="D13" s="9" t="s">
        <v>180</v>
      </c>
      <c r="E13" s="49" t="s">
        <v>72</v>
      </c>
      <c r="F13" s="49"/>
      <c r="G13" s="50" t="s">
        <v>238</v>
      </c>
      <c r="H13" s="50" t="s">
        <v>215</v>
      </c>
      <c r="I13" s="9" t="s">
        <v>135</v>
      </c>
      <c r="J13" s="9"/>
      <c r="K13" s="9" t="s">
        <v>136</v>
      </c>
      <c r="L13" s="9"/>
      <c r="M13" s="9" t="s">
        <v>136</v>
      </c>
      <c r="N13" s="9"/>
      <c r="O13" s="42"/>
      <c r="P13" s="37"/>
      <c r="Q13" s="73"/>
      <c r="R13" s="48"/>
    </row>
    <row r="14" spans="1:18" s="11" customFormat="1" x14ac:dyDescent="0.2">
      <c r="A14" s="9">
        <v>10</v>
      </c>
      <c r="B14" s="9"/>
      <c r="C14" s="9"/>
      <c r="D14" s="49" t="s">
        <v>181</v>
      </c>
      <c r="E14" s="49" t="s">
        <v>183</v>
      </c>
      <c r="F14" s="49"/>
      <c r="G14" s="50" t="s">
        <v>239</v>
      </c>
      <c r="H14" s="50" t="s">
        <v>175</v>
      </c>
      <c r="I14" s="9" t="s">
        <v>135</v>
      </c>
      <c r="J14" s="9"/>
      <c r="K14" s="9" t="s">
        <v>136</v>
      </c>
      <c r="L14" s="9"/>
      <c r="M14" s="9" t="s">
        <v>136</v>
      </c>
      <c r="N14" s="9"/>
      <c r="O14" s="42"/>
      <c r="P14" s="37"/>
      <c r="Q14" s="73"/>
      <c r="R14" s="48"/>
    </row>
    <row r="15" spans="1:18" s="11" customFormat="1" x14ac:dyDescent="0.2">
      <c r="A15" s="9">
        <v>10</v>
      </c>
      <c r="B15" s="9"/>
      <c r="C15" s="9"/>
      <c r="D15" s="9" t="s">
        <v>54</v>
      </c>
      <c r="E15" s="49" t="s">
        <v>55</v>
      </c>
      <c r="F15" s="49"/>
      <c r="G15" s="50" t="s">
        <v>247</v>
      </c>
      <c r="H15" s="50" t="s">
        <v>91</v>
      </c>
      <c r="I15" s="9" t="s">
        <v>136</v>
      </c>
      <c r="J15" s="9"/>
      <c r="K15" s="9" t="s">
        <v>136</v>
      </c>
      <c r="L15" s="9"/>
      <c r="M15" s="9" t="s">
        <v>136</v>
      </c>
      <c r="N15" s="9"/>
      <c r="O15" s="42"/>
      <c r="P15" s="37"/>
      <c r="Q15" s="73"/>
      <c r="R15" s="48"/>
    </row>
    <row r="16" spans="1:18" s="11" customFormat="1" x14ac:dyDescent="0.2">
      <c r="A16" s="53"/>
      <c r="B16" s="54"/>
      <c r="C16" s="54"/>
      <c r="D16" s="27" t="s">
        <v>45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 x14ac:dyDescent="0.2">
      <c r="A17" s="79"/>
      <c r="R17" s="55"/>
    </row>
    <row r="18" spans="1:18" s="11" customFormat="1" x14ac:dyDescent="0.2">
      <c r="A18" s="79"/>
      <c r="R18" s="55"/>
    </row>
    <row r="19" spans="1:18" s="11" customFormat="1" x14ac:dyDescent="0.2">
      <c r="A19" s="79"/>
      <c r="R19" s="55"/>
    </row>
    <row r="20" spans="1:18" s="11" customFormat="1" x14ac:dyDescent="0.2">
      <c r="A20" s="79"/>
      <c r="R20" s="55"/>
    </row>
    <row r="21" spans="1:18" s="11" customFormat="1" x14ac:dyDescent="0.2">
      <c r="A21" s="79"/>
      <c r="R21" s="55"/>
    </row>
    <row r="22" spans="1:18" s="11" customFormat="1" x14ac:dyDescent="0.2">
      <c r="A22" s="79"/>
      <c r="R22" s="55"/>
    </row>
    <row r="23" spans="1:18" s="11" customFormat="1" x14ac:dyDescent="0.2">
      <c r="A23" s="79"/>
      <c r="R23" s="55"/>
    </row>
    <row r="24" spans="1:18" s="11" customFormat="1" x14ac:dyDescent="0.2">
      <c r="A24" s="79"/>
      <c r="R24" s="55"/>
    </row>
    <row r="25" spans="1:18" s="11" customFormat="1" x14ac:dyDescent="0.2">
      <c r="A25" s="79"/>
      <c r="R25" s="55"/>
    </row>
    <row r="26" spans="1:18" s="11" customFormat="1" x14ac:dyDescent="0.2">
      <c r="A26" s="79"/>
      <c r="R26" s="55"/>
    </row>
    <row r="27" spans="1:18" s="11" customFormat="1" x14ac:dyDescent="0.2">
      <c r="A27" s="79"/>
      <c r="R27" s="55"/>
    </row>
    <row r="28" spans="1:18" s="11" customFormat="1" x14ac:dyDescent="0.2">
      <c r="A28" s="79"/>
      <c r="R28" s="55"/>
    </row>
    <row r="29" spans="1:18" s="11" customFormat="1" x14ac:dyDescent="0.2">
      <c r="A29" s="79"/>
      <c r="R29" s="55"/>
    </row>
    <row r="30" spans="1:18" s="11" customFormat="1" x14ac:dyDescent="0.2">
      <c r="A30" s="83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9" customWidth="1"/>
    <col min="43" max="44" width="2.08984375" style="71" customWidth="1"/>
    <col min="45" max="71" width="2.08984375" style="69" customWidth="1"/>
    <col min="72" max="16384" width="9" style="69"/>
  </cols>
  <sheetData>
    <row r="1" spans="1:57" ht="38.25" customHeight="1" thickBot="1" x14ac:dyDescent="0.25">
      <c r="A1" s="97" t="s">
        <v>120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</row>
    <row r="3" spans="1:57" ht="15" customHeight="1" thickBot="1" x14ac:dyDescent="0.25">
      <c r="A3" s="100" t="s">
        <v>121</v>
      </c>
      <c r="B3" s="101"/>
      <c r="C3" s="101"/>
      <c r="D3" s="101"/>
      <c r="E3" s="101"/>
      <c r="F3" s="101"/>
      <c r="G3" s="102"/>
      <c r="H3" s="103" t="s">
        <v>122</v>
      </c>
      <c r="I3" s="101"/>
      <c r="J3" s="101"/>
      <c r="K3" s="101"/>
      <c r="L3" s="101"/>
      <c r="M3" s="101"/>
      <c r="N3" s="102"/>
      <c r="O3" s="103" t="s">
        <v>123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124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4" t="s">
        <v>125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15" customHeight="1" x14ac:dyDescent="0.2">
      <c r="A5" s="119">
        <v>1.1000000000000001</v>
      </c>
      <c r="B5" s="120"/>
      <c r="C5" s="120"/>
      <c r="D5" s="120"/>
      <c r="E5" s="120"/>
      <c r="F5" s="120"/>
      <c r="G5" s="121"/>
      <c r="H5" s="122"/>
      <c r="I5" s="123"/>
      <c r="J5" s="123"/>
      <c r="K5" s="123"/>
      <c r="L5" s="123"/>
      <c r="M5" s="123"/>
      <c r="N5" s="124"/>
      <c r="O5" s="129" t="s">
        <v>270</v>
      </c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1"/>
      <c r="AQ5" s="132" t="s">
        <v>271</v>
      </c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4"/>
    </row>
    <row r="6" spans="1:57" ht="15" customHeight="1" x14ac:dyDescent="0.2">
      <c r="A6" s="119"/>
      <c r="B6" s="120"/>
      <c r="C6" s="120"/>
      <c r="D6" s="120"/>
      <c r="E6" s="120"/>
      <c r="F6" s="120"/>
      <c r="G6" s="121"/>
      <c r="H6" s="122"/>
      <c r="I6" s="123"/>
      <c r="J6" s="123"/>
      <c r="K6" s="123"/>
      <c r="L6" s="123"/>
      <c r="M6" s="123"/>
      <c r="N6" s="124"/>
      <c r="O6" s="122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6"/>
      <c r="AQ6" s="127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8"/>
    </row>
    <row r="7" spans="1:57" ht="15" customHeight="1" x14ac:dyDescent="0.2">
      <c r="A7" s="119"/>
      <c r="B7" s="120"/>
      <c r="C7" s="120"/>
      <c r="D7" s="120"/>
      <c r="E7" s="120"/>
      <c r="F7" s="120"/>
      <c r="G7" s="121"/>
      <c r="H7" s="122"/>
      <c r="I7" s="123"/>
      <c r="J7" s="123"/>
      <c r="K7" s="123"/>
      <c r="L7" s="123"/>
      <c r="M7" s="123"/>
      <c r="N7" s="124"/>
      <c r="O7" s="122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6"/>
      <c r="AQ7" s="127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8"/>
    </row>
    <row r="8" spans="1:57" ht="15" customHeight="1" x14ac:dyDescent="0.2">
      <c r="A8" s="119"/>
      <c r="B8" s="120"/>
      <c r="C8" s="120"/>
      <c r="D8" s="120"/>
      <c r="E8" s="120"/>
      <c r="F8" s="120"/>
      <c r="G8" s="121"/>
      <c r="H8" s="122"/>
      <c r="I8" s="123"/>
      <c r="J8" s="123"/>
      <c r="K8" s="123"/>
      <c r="L8" s="123"/>
      <c r="M8" s="123"/>
      <c r="N8" s="124"/>
      <c r="O8" s="122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6"/>
      <c r="AQ8" s="127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8"/>
    </row>
    <row r="9" spans="1:57" ht="15" customHeight="1" x14ac:dyDescent="0.2">
      <c r="A9" s="119"/>
      <c r="B9" s="120"/>
      <c r="C9" s="120"/>
      <c r="D9" s="120"/>
      <c r="E9" s="120"/>
      <c r="F9" s="120"/>
      <c r="G9" s="121"/>
      <c r="H9" s="122"/>
      <c r="I9" s="123"/>
      <c r="J9" s="123"/>
      <c r="K9" s="123"/>
      <c r="L9" s="123"/>
      <c r="M9" s="123"/>
      <c r="N9" s="124"/>
      <c r="O9" s="122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6"/>
      <c r="AQ9" s="127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8"/>
    </row>
    <row r="10" spans="1:57" ht="15" customHeight="1" x14ac:dyDescent="0.2">
      <c r="A10" s="119"/>
      <c r="B10" s="120"/>
      <c r="C10" s="120"/>
      <c r="D10" s="120"/>
      <c r="E10" s="120"/>
      <c r="F10" s="120"/>
      <c r="G10" s="121"/>
      <c r="H10" s="122"/>
      <c r="I10" s="123"/>
      <c r="J10" s="123"/>
      <c r="K10" s="123"/>
      <c r="L10" s="123"/>
      <c r="M10" s="123"/>
      <c r="N10" s="124"/>
      <c r="O10" s="122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6"/>
      <c r="AQ10" s="127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8"/>
    </row>
    <row r="11" spans="1:57" ht="15" customHeight="1" x14ac:dyDescent="0.2">
      <c r="A11" s="119"/>
      <c r="B11" s="120"/>
      <c r="C11" s="120"/>
      <c r="D11" s="120"/>
      <c r="E11" s="120"/>
      <c r="F11" s="120"/>
      <c r="G11" s="121"/>
      <c r="H11" s="122"/>
      <c r="I11" s="123"/>
      <c r="J11" s="123"/>
      <c r="K11" s="123"/>
      <c r="L11" s="123"/>
      <c r="M11" s="123"/>
      <c r="N11" s="124"/>
      <c r="O11" s="122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6"/>
      <c r="AQ11" s="127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8"/>
    </row>
    <row r="12" spans="1:57" ht="15" customHeight="1" x14ac:dyDescent="0.2">
      <c r="A12" s="119"/>
      <c r="B12" s="120"/>
      <c r="C12" s="120"/>
      <c r="D12" s="120"/>
      <c r="E12" s="120"/>
      <c r="F12" s="120"/>
      <c r="G12" s="121"/>
      <c r="H12" s="122"/>
      <c r="I12" s="123"/>
      <c r="J12" s="123"/>
      <c r="K12" s="123"/>
      <c r="L12" s="123"/>
      <c r="M12" s="123"/>
      <c r="N12" s="124"/>
      <c r="O12" s="122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6"/>
      <c r="AQ12" s="127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8"/>
    </row>
    <row r="13" spans="1:57" ht="15" customHeight="1" x14ac:dyDescent="0.2">
      <c r="A13" s="119"/>
      <c r="B13" s="120"/>
      <c r="C13" s="120"/>
      <c r="D13" s="120"/>
      <c r="E13" s="120"/>
      <c r="F13" s="120"/>
      <c r="G13" s="121"/>
      <c r="H13" s="122"/>
      <c r="I13" s="123"/>
      <c r="J13" s="123"/>
      <c r="K13" s="123"/>
      <c r="L13" s="123"/>
      <c r="M13" s="123"/>
      <c r="N13" s="124"/>
      <c r="O13" s="122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6"/>
      <c r="AQ13" s="127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8"/>
    </row>
    <row r="14" spans="1:57" ht="15" customHeight="1" x14ac:dyDescent="0.2">
      <c r="A14" s="119"/>
      <c r="B14" s="120"/>
      <c r="C14" s="120"/>
      <c r="D14" s="120"/>
      <c r="E14" s="120"/>
      <c r="F14" s="120"/>
      <c r="G14" s="121"/>
      <c r="H14" s="122"/>
      <c r="I14" s="123"/>
      <c r="J14" s="123"/>
      <c r="K14" s="123"/>
      <c r="L14" s="123"/>
      <c r="M14" s="123"/>
      <c r="N14" s="124"/>
      <c r="O14" s="122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6"/>
      <c r="AQ14" s="127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8"/>
    </row>
    <row r="15" spans="1:57" ht="15" customHeight="1" x14ac:dyDescent="0.2">
      <c r="A15" s="119"/>
      <c r="B15" s="120"/>
      <c r="C15" s="120"/>
      <c r="D15" s="120"/>
      <c r="E15" s="120"/>
      <c r="F15" s="120"/>
      <c r="G15" s="121"/>
      <c r="H15" s="122"/>
      <c r="I15" s="123"/>
      <c r="J15" s="123"/>
      <c r="K15" s="123"/>
      <c r="L15" s="123"/>
      <c r="M15" s="123"/>
      <c r="N15" s="124"/>
      <c r="O15" s="122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6"/>
      <c r="AQ15" s="127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8"/>
    </row>
    <row r="16" spans="1:57" ht="15" customHeight="1" x14ac:dyDescent="0.2">
      <c r="A16" s="119"/>
      <c r="B16" s="120"/>
      <c r="C16" s="120"/>
      <c r="D16" s="120"/>
      <c r="E16" s="120"/>
      <c r="F16" s="120"/>
      <c r="G16" s="121"/>
      <c r="H16" s="122"/>
      <c r="I16" s="123"/>
      <c r="J16" s="123"/>
      <c r="K16" s="123"/>
      <c r="L16" s="123"/>
      <c r="M16" s="123"/>
      <c r="N16" s="124"/>
      <c r="O16" s="122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6"/>
      <c r="AQ16" s="127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8"/>
    </row>
    <row r="17" spans="1:57" ht="15" customHeight="1" x14ac:dyDescent="0.2">
      <c r="A17" s="119"/>
      <c r="B17" s="120"/>
      <c r="C17" s="120"/>
      <c r="D17" s="120"/>
      <c r="E17" s="120"/>
      <c r="F17" s="120"/>
      <c r="G17" s="121"/>
      <c r="H17" s="122"/>
      <c r="I17" s="123"/>
      <c r="J17" s="123"/>
      <c r="K17" s="123"/>
      <c r="L17" s="123"/>
      <c r="M17" s="123"/>
      <c r="N17" s="124"/>
      <c r="O17" s="122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6"/>
      <c r="AQ17" s="127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8"/>
    </row>
    <row r="18" spans="1:57" ht="15" customHeight="1" x14ac:dyDescent="0.2">
      <c r="A18" s="119"/>
      <c r="B18" s="120"/>
      <c r="C18" s="120"/>
      <c r="D18" s="120"/>
      <c r="E18" s="120"/>
      <c r="F18" s="120"/>
      <c r="G18" s="121"/>
      <c r="H18" s="122"/>
      <c r="I18" s="123"/>
      <c r="J18" s="123"/>
      <c r="K18" s="123"/>
      <c r="L18" s="123"/>
      <c r="M18" s="123"/>
      <c r="N18" s="124"/>
      <c r="O18" s="122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6"/>
      <c r="AQ18" s="127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8"/>
    </row>
    <row r="19" spans="1:57" ht="15" customHeight="1" x14ac:dyDescent="0.2">
      <c r="A19" s="119"/>
      <c r="B19" s="120"/>
      <c r="C19" s="120"/>
      <c r="D19" s="120"/>
      <c r="E19" s="120"/>
      <c r="F19" s="120"/>
      <c r="G19" s="121"/>
      <c r="H19" s="122"/>
      <c r="I19" s="123"/>
      <c r="J19" s="123"/>
      <c r="K19" s="123"/>
      <c r="L19" s="123"/>
      <c r="M19" s="123"/>
      <c r="N19" s="124"/>
      <c r="O19" s="122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6"/>
      <c r="AQ19" s="127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8"/>
    </row>
    <row r="20" spans="1:57" ht="15" customHeight="1" x14ac:dyDescent="0.2">
      <c r="A20" s="119"/>
      <c r="B20" s="120"/>
      <c r="C20" s="120"/>
      <c r="D20" s="120"/>
      <c r="E20" s="120"/>
      <c r="F20" s="120"/>
      <c r="G20" s="121"/>
      <c r="H20" s="122"/>
      <c r="I20" s="123"/>
      <c r="J20" s="123"/>
      <c r="K20" s="123"/>
      <c r="L20" s="123"/>
      <c r="M20" s="123"/>
      <c r="N20" s="124"/>
      <c r="O20" s="122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6"/>
      <c r="AQ20" s="127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8"/>
    </row>
    <row r="21" spans="1:57" ht="15" customHeight="1" x14ac:dyDescent="0.2">
      <c r="A21" s="119"/>
      <c r="B21" s="120"/>
      <c r="C21" s="120"/>
      <c r="D21" s="120"/>
      <c r="E21" s="120"/>
      <c r="F21" s="120"/>
      <c r="G21" s="121"/>
      <c r="H21" s="122"/>
      <c r="I21" s="123"/>
      <c r="J21" s="123"/>
      <c r="K21" s="123"/>
      <c r="L21" s="123"/>
      <c r="M21" s="123"/>
      <c r="N21" s="124"/>
      <c r="O21" s="122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6"/>
      <c r="AQ21" s="127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8"/>
    </row>
    <row r="22" spans="1:57" ht="15" customHeight="1" x14ac:dyDescent="0.2">
      <c r="A22" s="119"/>
      <c r="B22" s="120"/>
      <c r="C22" s="120"/>
      <c r="D22" s="120"/>
      <c r="E22" s="120"/>
      <c r="F22" s="120"/>
      <c r="G22" s="121"/>
      <c r="H22" s="122"/>
      <c r="I22" s="123"/>
      <c r="J22" s="123"/>
      <c r="K22" s="123"/>
      <c r="L22" s="123"/>
      <c r="M22" s="123"/>
      <c r="N22" s="124"/>
      <c r="O22" s="122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6"/>
      <c r="AQ22" s="127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8"/>
    </row>
    <row r="23" spans="1:57" ht="15" customHeight="1" x14ac:dyDescent="0.2">
      <c r="A23" s="119"/>
      <c r="B23" s="120"/>
      <c r="C23" s="120"/>
      <c r="D23" s="120"/>
      <c r="E23" s="120"/>
      <c r="F23" s="120"/>
      <c r="G23" s="121"/>
      <c r="H23" s="122"/>
      <c r="I23" s="123"/>
      <c r="J23" s="123"/>
      <c r="K23" s="123"/>
      <c r="L23" s="123"/>
      <c r="M23" s="123"/>
      <c r="N23" s="124"/>
      <c r="O23" s="122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6"/>
      <c r="AQ23" s="127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8"/>
    </row>
    <row r="24" spans="1:57" ht="15" customHeight="1" x14ac:dyDescent="0.2">
      <c r="A24" s="119"/>
      <c r="B24" s="120"/>
      <c r="C24" s="120"/>
      <c r="D24" s="120"/>
      <c r="E24" s="120"/>
      <c r="F24" s="120"/>
      <c r="G24" s="121"/>
      <c r="H24" s="122"/>
      <c r="I24" s="123"/>
      <c r="J24" s="123"/>
      <c r="K24" s="123"/>
      <c r="L24" s="123"/>
      <c r="M24" s="123"/>
      <c r="N24" s="124"/>
      <c r="O24" s="122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6"/>
      <c r="AQ24" s="127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8"/>
    </row>
    <row r="25" spans="1:57" ht="15" customHeight="1" x14ac:dyDescent="0.2">
      <c r="A25" s="119"/>
      <c r="B25" s="120"/>
      <c r="C25" s="120"/>
      <c r="D25" s="120"/>
      <c r="E25" s="120"/>
      <c r="F25" s="120"/>
      <c r="G25" s="121"/>
      <c r="H25" s="122"/>
      <c r="I25" s="123"/>
      <c r="J25" s="123"/>
      <c r="K25" s="123"/>
      <c r="L25" s="123"/>
      <c r="M25" s="123"/>
      <c r="N25" s="124"/>
      <c r="O25" s="122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6"/>
      <c r="AQ25" s="127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8"/>
    </row>
    <row r="26" spans="1:57" ht="15" customHeight="1" x14ac:dyDescent="0.2">
      <c r="A26" s="119"/>
      <c r="B26" s="120"/>
      <c r="C26" s="120"/>
      <c r="D26" s="120"/>
      <c r="E26" s="120"/>
      <c r="F26" s="120"/>
      <c r="G26" s="121"/>
      <c r="H26" s="122"/>
      <c r="I26" s="123"/>
      <c r="J26" s="123"/>
      <c r="K26" s="123"/>
      <c r="L26" s="123"/>
      <c r="M26" s="123"/>
      <c r="N26" s="124"/>
      <c r="O26" s="122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6"/>
      <c r="AQ26" s="127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8"/>
    </row>
    <row r="27" spans="1:57" ht="15" customHeight="1" x14ac:dyDescent="0.2">
      <c r="A27" s="119"/>
      <c r="B27" s="120"/>
      <c r="C27" s="120"/>
      <c r="D27" s="120"/>
      <c r="E27" s="120"/>
      <c r="F27" s="120"/>
      <c r="G27" s="121"/>
      <c r="H27" s="122"/>
      <c r="I27" s="123"/>
      <c r="J27" s="123"/>
      <c r="K27" s="123"/>
      <c r="L27" s="123"/>
      <c r="M27" s="123"/>
      <c r="N27" s="124"/>
      <c r="O27" s="122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6"/>
      <c r="AQ27" s="127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8"/>
    </row>
    <row r="28" spans="1:57" ht="15" customHeight="1" x14ac:dyDescent="0.2">
      <c r="A28" s="119"/>
      <c r="B28" s="120"/>
      <c r="C28" s="120"/>
      <c r="D28" s="120"/>
      <c r="E28" s="120"/>
      <c r="F28" s="120"/>
      <c r="G28" s="121"/>
      <c r="H28" s="122"/>
      <c r="I28" s="123"/>
      <c r="J28" s="123"/>
      <c r="K28" s="123"/>
      <c r="L28" s="123"/>
      <c r="M28" s="123"/>
      <c r="N28" s="124"/>
      <c r="O28" s="122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6"/>
      <c r="AQ28" s="127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8"/>
    </row>
    <row r="29" spans="1:57" ht="15" customHeight="1" x14ac:dyDescent="0.2">
      <c r="A29" s="119"/>
      <c r="B29" s="120"/>
      <c r="C29" s="120"/>
      <c r="D29" s="120"/>
      <c r="E29" s="120"/>
      <c r="F29" s="120"/>
      <c r="G29" s="121"/>
      <c r="H29" s="122"/>
      <c r="I29" s="123"/>
      <c r="J29" s="123"/>
      <c r="K29" s="123"/>
      <c r="L29" s="123"/>
      <c r="M29" s="123"/>
      <c r="N29" s="124"/>
      <c r="O29" s="122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6"/>
      <c r="AQ29" s="127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8"/>
    </row>
    <row r="30" spans="1:57" ht="15" customHeight="1" x14ac:dyDescent="0.2">
      <c r="A30" s="119"/>
      <c r="B30" s="120"/>
      <c r="C30" s="120"/>
      <c r="D30" s="120"/>
      <c r="E30" s="120"/>
      <c r="F30" s="120"/>
      <c r="G30" s="121"/>
      <c r="H30" s="122"/>
      <c r="I30" s="123"/>
      <c r="J30" s="123"/>
      <c r="K30" s="123"/>
      <c r="L30" s="123"/>
      <c r="M30" s="123"/>
      <c r="N30" s="124"/>
      <c r="O30" s="122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6"/>
      <c r="AQ30" s="127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8"/>
    </row>
    <row r="31" spans="1:57" ht="15" customHeight="1" x14ac:dyDescent="0.2">
      <c r="A31" s="119"/>
      <c r="B31" s="120"/>
      <c r="C31" s="120"/>
      <c r="D31" s="120"/>
      <c r="E31" s="120"/>
      <c r="F31" s="120"/>
      <c r="G31" s="121"/>
      <c r="H31" s="122"/>
      <c r="I31" s="123"/>
      <c r="J31" s="123"/>
      <c r="K31" s="123"/>
      <c r="L31" s="123"/>
      <c r="M31" s="123"/>
      <c r="N31" s="124"/>
      <c r="O31" s="122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6"/>
      <c r="AQ31" s="127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8"/>
    </row>
    <row r="32" spans="1:57" ht="15" customHeight="1" x14ac:dyDescent="0.2">
      <c r="A32" s="119"/>
      <c r="B32" s="120"/>
      <c r="C32" s="120"/>
      <c r="D32" s="120"/>
      <c r="E32" s="120"/>
      <c r="F32" s="120"/>
      <c r="G32" s="121"/>
      <c r="H32" s="122"/>
      <c r="I32" s="123"/>
      <c r="J32" s="123"/>
      <c r="K32" s="123"/>
      <c r="L32" s="123"/>
      <c r="M32" s="123"/>
      <c r="N32" s="124"/>
      <c r="O32" s="122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6"/>
      <c r="AQ32" s="127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8"/>
    </row>
    <row r="33" spans="1:57" ht="15" customHeight="1" x14ac:dyDescent="0.2">
      <c r="A33" s="119"/>
      <c r="B33" s="120"/>
      <c r="C33" s="120"/>
      <c r="D33" s="120"/>
      <c r="E33" s="120"/>
      <c r="F33" s="120"/>
      <c r="G33" s="121"/>
      <c r="H33" s="122"/>
      <c r="I33" s="123"/>
      <c r="J33" s="123"/>
      <c r="K33" s="123"/>
      <c r="L33" s="123"/>
      <c r="M33" s="123"/>
      <c r="N33" s="124"/>
      <c r="O33" s="122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6"/>
      <c r="AQ33" s="127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8"/>
    </row>
    <row r="34" spans="1:57" ht="15" customHeight="1" x14ac:dyDescent="0.2">
      <c r="A34" s="119"/>
      <c r="B34" s="120"/>
      <c r="C34" s="120"/>
      <c r="D34" s="120"/>
      <c r="E34" s="120"/>
      <c r="F34" s="120"/>
      <c r="G34" s="121"/>
      <c r="H34" s="122"/>
      <c r="I34" s="123"/>
      <c r="J34" s="123"/>
      <c r="K34" s="123"/>
      <c r="L34" s="123"/>
      <c r="M34" s="123"/>
      <c r="N34" s="124"/>
      <c r="O34" s="122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6"/>
      <c r="AQ34" s="127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8"/>
    </row>
    <row r="35" spans="1:57" ht="15" customHeight="1" thickBot="1" x14ac:dyDescent="0.25">
      <c r="A35" s="135"/>
      <c r="B35" s="136"/>
      <c r="C35" s="136"/>
      <c r="D35" s="136"/>
      <c r="E35" s="136"/>
      <c r="F35" s="136"/>
      <c r="G35" s="137"/>
      <c r="H35" s="138"/>
      <c r="I35" s="139"/>
      <c r="J35" s="139"/>
      <c r="K35" s="139"/>
      <c r="L35" s="139"/>
      <c r="M35" s="139"/>
      <c r="N35" s="140"/>
      <c r="O35" s="138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2"/>
      <c r="AQ35" s="143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JnlKeyMap_UpdChk01</vt:lpstr>
      <vt:lpstr>JnlKeyMap_Upd01</vt:lpstr>
      <vt:lpstr>JnlKeyMap_DelChk01</vt:lpstr>
      <vt:lpstr>JnlKeyMap_Del01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2026-03-27T05:43:01Z</dcterms:modified>
  <cp:category/>
</cp:coreProperties>
</file>