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B8D5BAF-03F1-4FF6-8BAF-0EC4FDF379C7}" xr6:coauthVersionLast="47" xr6:coauthVersionMax="47" xr10:uidLastSave="{00000000-0000-0000-0000-000000000000}"/>
  <bookViews>
    <workbookView xWindow="1710" yWindow="1710" windowWidth="21600" windowHeight="11265" tabRatio="822" firstSheet="27" activeTab="31" xr2:uid="{00000000-000D-0000-FFFF-FFFF00000000}"/>
  </bookViews>
  <sheets>
    <sheet name="LogicCommon" sheetId="10" r:id="rId1"/>
    <sheet name="GpAlc_UpdChk01" sheetId="193" r:id="rId2"/>
    <sheet name="GpAlc_Upd01" sheetId="194" r:id="rId3"/>
    <sheet name="GpAlcLcl_UpdChk01" sheetId="195" r:id="rId4"/>
    <sheet name="GpAlcLcl_Upd01" sheetId="196" r:id="rId5"/>
    <sheet name="GpAlc_DelChk01" sheetId="355" r:id="rId6"/>
    <sheet name="GpAlc_Del01" sheetId="356" r:id="rId7"/>
    <sheet name="CalcCtg_UpdChk01" sheetId="197" r:id="rId8"/>
    <sheet name="CalcCtg_Upd01" sheetId="198" r:id="rId9"/>
    <sheet name="CalcCtgLcl_UpdChk01" sheetId="199" r:id="rId10"/>
    <sheet name="CalcCtgLcl_Upd01" sheetId="200" r:id="rId11"/>
    <sheet name="CalcCtg_DelChk01" sheetId="357" r:id="rId12"/>
    <sheet name="CalcCtg_Del01" sheetId="358" r:id="rId13"/>
    <sheet name="RptPtn_UpdChk01" sheetId="201" r:id="rId14"/>
    <sheet name="RptPtn_Upd01" sheetId="202" r:id="rId15"/>
    <sheet name="RptPtnLcl_UpdChk01" sheetId="203" r:id="rId16"/>
    <sheet name="RptPtnLcl_Upd01" sheetId="204" r:id="rId17"/>
    <sheet name="RptPtn_DelChk01" sheetId="359" r:id="rId18"/>
    <sheet name="RptPtn_Del01" sheetId="360" r:id="rId19"/>
    <sheet name="CostMenu_UpdChk01" sheetId="311" r:id="rId20"/>
    <sheet name="CostMenu_Upd01" sheetId="312" r:id="rId21"/>
    <sheet name="CostMenuLcl_UpdChk01" sheetId="313" r:id="rId22"/>
    <sheet name="CostMenuLcl_Upd01" sheetId="314" r:id="rId23"/>
    <sheet name="CostMenu_DelChk01" sheetId="361" r:id="rId24"/>
    <sheet name="CostMenu_Del01" sheetId="362" r:id="rId25"/>
    <sheet name="SiteCo_UpdChk01" sheetId="363" r:id="rId26"/>
    <sheet name="SiteCo_Upd01" sheetId="364" r:id="rId27"/>
    <sheet name="SiteCoLcl_UpdChk01" sheetId="365" r:id="rId28"/>
    <sheet name="SiteCoLcl_Upd01" sheetId="366" r:id="rId29"/>
    <sheet name="SiteCo_DelChk01" sheetId="367" r:id="rId30"/>
    <sheet name="SiteCo_Del01" sheetId="368" r:id="rId31"/>
    <sheet name="来歴" sheetId="13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68" l="1"/>
  <c r="H4" i="368"/>
  <c r="L3" i="368"/>
  <c r="H3" i="368"/>
  <c r="F3" i="368"/>
  <c r="D3" i="368"/>
  <c r="L2" i="368"/>
  <c r="H2" i="368"/>
  <c r="F2" i="368"/>
  <c r="L4" i="367"/>
  <c r="N2" i="367" s="1"/>
  <c r="H4" i="367"/>
  <c r="L3" i="367"/>
  <c r="H3" i="367"/>
  <c r="F3" i="367"/>
  <c r="D3" i="367"/>
  <c r="L2" i="367"/>
  <c r="H2" i="367"/>
  <c r="F2" i="367"/>
  <c r="L4" i="366"/>
  <c r="H4" i="366"/>
  <c r="L3" i="366"/>
  <c r="H3" i="366"/>
  <c r="F3" i="366"/>
  <c r="D3" i="366"/>
  <c r="L2" i="366"/>
  <c r="H2" i="366"/>
  <c r="F2" i="366"/>
  <c r="L4" i="365"/>
  <c r="N2" i="365" s="1"/>
  <c r="H4" i="365"/>
  <c r="L3" i="365"/>
  <c r="H3" i="365"/>
  <c r="F3" i="365"/>
  <c r="D3" i="365"/>
  <c r="L2" i="365"/>
  <c r="H2" i="365"/>
  <c r="F2" i="365"/>
  <c r="L4" i="364"/>
  <c r="H4" i="364"/>
  <c r="L3" i="364"/>
  <c r="H3" i="364"/>
  <c r="F3" i="364"/>
  <c r="D3" i="364"/>
  <c r="L2" i="364"/>
  <c r="H2" i="364"/>
  <c r="F2" i="364"/>
  <c r="L4" i="363"/>
  <c r="N2" i="363" s="1"/>
  <c r="H4" i="363"/>
  <c r="L3" i="363"/>
  <c r="H3" i="363"/>
  <c r="F3" i="363"/>
  <c r="D3" i="363"/>
  <c r="L2" i="363"/>
  <c r="H2" i="363"/>
  <c r="F2" i="363"/>
  <c r="L4" i="362" l="1"/>
  <c r="L3" i="362"/>
  <c r="L2" i="362"/>
  <c r="L4" i="361"/>
  <c r="N2" i="361" s="1"/>
  <c r="L3" i="361"/>
  <c r="L2" i="361"/>
  <c r="L4" i="360"/>
  <c r="L3" i="360"/>
  <c r="L2" i="360"/>
  <c r="L4" i="359"/>
  <c r="L3" i="359"/>
  <c r="L2" i="359"/>
  <c r="L4" i="358"/>
  <c r="L3" i="358"/>
  <c r="L2" i="358"/>
  <c r="L4" i="357"/>
  <c r="N2" i="357" s="1"/>
  <c r="L3" i="357"/>
  <c r="L2" i="357"/>
  <c r="L4" i="356"/>
  <c r="L3" i="356"/>
  <c r="L2" i="356"/>
  <c r="L4" i="355"/>
  <c r="L3" i="355"/>
  <c r="L2" i="355"/>
  <c r="H4" i="362"/>
  <c r="H3" i="362"/>
  <c r="F3" i="362"/>
  <c r="D3" i="362"/>
  <c r="H2" i="362"/>
  <c r="F2" i="362"/>
  <c r="H4" i="361"/>
  <c r="H3" i="361"/>
  <c r="F3" i="361"/>
  <c r="D3" i="361"/>
  <c r="H2" i="361"/>
  <c r="F2" i="361"/>
  <c r="H4" i="360"/>
  <c r="H3" i="360"/>
  <c r="F3" i="360"/>
  <c r="D3" i="360"/>
  <c r="H2" i="360"/>
  <c r="F2" i="360"/>
  <c r="H4" i="359"/>
  <c r="H3" i="359"/>
  <c r="F3" i="359"/>
  <c r="D3" i="359"/>
  <c r="H2" i="359"/>
  <c r="F2" i="359"/>
  <c r="H4" i="358"/>
  <c r="H3" i="358"/>
  <c r="F3" i="358"/>
  <c r="D3" i="358"/>
  <c r="H2" i="358"/>
  <c r="F2" i="358"/>
  <c r="H4" i="357"/>
  <c r="H3" i="357"/>
  <c r="F3" i="357"/>
  <c r="D3" i="357"/>
  <c r="H2" i="357"/>
  <c r="F2" i="357"/>
  <c r="H4" i="356"/>
  <c r="H3" i="356"/>
  <c r="F3" i="356"/>
  <c r="D3" i="356"/>
  <c r="H2" i="356"/>
  <c r="F2" i="356"/>
  <c r="H4" i="355"/>
  <c r="H3" i="355"/>
  <c r="F3" i="355"/>
  <c r="D3" i="355"/>
  <c r="H2" i="355"/>
  <c r="F2" i="355"/>
  <c r="N2" i="359"/>
  <c r="N2" i="355"/>
  <c r="L4" i="314" l="1"/>
  <c r="H4" i="314"/>
  <c r="L3" i="314"/>
  <c r="H3" i="314"/>
  <c r="F3" i="314"/>
  <c r="D3" i="314"/>
  <c r="L2" i="314"/>
  <c r="H2" i="314"/>
  <c r="F2" i="314"/>
  <c r="L4" i="313"/>
  <c r="N2" i="313" s="1"/>
  <c r="H4" i="313"/>
  <c r="L3" i="313"/>
  <c r="H3" i="313"/>
  <c r="F3" i="313"/>
  <c r="D3" i="313"/>
  <c r="L2" i="313"/>
  <c r="H2" i="313"/>
  <c r="F2" i="313"/>
  <c r="L4" i="312"/>
  <c r="H4" i="312"/>
  <c r="L3" i="312"/>
  <c r="H3" i="312"/>
  <c r="F3" i="312"/>
  <c r="D3" i="312"/>
  <c r="L2" i="312"/>
  <c r="H2" i="312"/>
  <c r="F2" i="312"/>
  <c r="L4" i="311"/>
  <c r="N2" i="311" s="1"/>
  <c r="H4" i="311"/>
  <c r="L3" i="311"/>
  <c r="H3" i="311"/>
  <c r="F3" i="311"/>
  <c r="D3" i="311"/>
  <c r="L2" i="311"/>
  <c r="H2" i="311"/>
  <c r="F2" i="311"/>
  <c r="L4" i="204" l="1"/>
  <c r="H4" i="204"/>
  <c r="L3" i="204"/>
  <c r="H3" i="204"/>
  <c r="F3" i="204"/>
  <c r="D3" i="204"/>
  <c r="L2" i="204"/>
  <c r="H2" i="204"/>
  <c r="F2" i="204"/>
  <c r="L4" i="203"/>
  <c r="N2" i="203" s="1"/>
  <c r="H4" i="203"/>
  <c r="L3" i="203"/>
  <c r="H3" i="203"/>
  <c r="F3" i="203"/>
  <c r="D3" i="203"/>
  <c r="L2" i="203"/>
  <c r="H2" i="203"/>
  <c r="F2" i="203"/>
  <c r="L4" i="202"/>
  <c r="H4" i="202"/>
  <c r="L3" i="202"/>
  <c r="H3" i="202"/>
  <c r="F3" i="202"/>
  <c r="D3" i="202"/>
  <c r="L2" i="202"/>
  <c r="H2" i="202"/>
  <c r="F2" i="202"/>
  <c r="L4" i="201"/>
  <c r="N2" i="201" s="1"/>
  <c r="H4" i="201"/>
  <c r="L3" i="201"/>
  <c r="H3" i="201"/>
  <c r="F3" i="201"/>
  <c r="D3" i="201"/>
  <c r="L2" i="201"/>
  <c r="H2" i="201"/>
  <c r="F2" i="201"/>
  <c r="L4" i="200"/>
  <c r="H4" i="200"/>
  <c r="L3" i="200"/>
  <c r="H3" i="200"/>
  <c r="F3" i="200"/>
  <c r="D3" i="200"/>
  <c r="L2" i="200"/>
  <c r="H2" i="200"/>
  <c r="F2" i="200"/>
  <c r="L4" i="199"/>
  <c r="N2" i="199" s="1"/>
  <c r="H4" i="199"/>
  <c r="L3" i="199"/>
  <c r="H3" i="199"/>
  <c r="F3" i="199"/>
  <c r="D3" i="199"/>
  <c r="L2" i="199"/>
  <c r="H2" i="199"/>
  <c r="F2" i="199"/>
  <c r="L4" i="198"/>
  <c r="H4" i="198"/>
  <c r="L3" i="198"/>
  <c r="H3" i="198"/>
  <c r="F3" i="198"/>
  <c r="D3" i="198"/>
  <c r="L2" i="198"/>
  <c r="H2" i="198"/>
  <c r="F2" i="198"/>
  <c r="L4" i="197"/>
  <c r="N2" i="197" s="1"/>
  <c r="H4" i="197"/>
  <c r="L3" i="197"/>
  <c r="H3" i="197"/>
  <c r="F3" i="197"/>
  <c r="D3" i="197"/>
  <c r="L2" i="197"/>
  <c r="H2" i="197"/>
  <c r="F2" i="197"/>
  <c r="L4" i="196"/>
  <c r="H4" i="196"/>
  <c r="L3" i="196"/>
  <c r="H3" i="196"/>
  <c r="F3" i="196"/>
  <c r="D3" i="196"/>
  <c r="L2" i="196"/>
  <c r="H2" i="196"/>
  <c r="F2" i="196"/>
  <c r="L4" i="195"/>
  <c r="N2" i="195" s="1"/>
  <c r="H4" i="195"/>
  <c r="L3" i="195"/>
  <c r="H3" i="195"/>
  <c r="F3" i="195"/>
  <c r="D3" i="195"/>
  <c r="L2" i="195"/>
  <c r="H2" i="195"/>
  <c r="F2" i="195"/>
  <c r="L4" i="194"/>
  <c r="H4" i="194"/>
  <c r="L3" i="194"/>
  <c r="H3" i="194"/>
  <c r="F3" i="194"/>
  <c r="D3" i="194"/>
  <c r="L2" i="194"/>
  <c r="H2" i="194"/>
  <c r="F2" i="194"/>
  <c r="L4" i="193"/>
  <c r="N2" i="193" s="1"/>
  <c r="H4" i="193"/>
  <c r="L3" i="193"/>
  <c r="H3" i="193"/>
  <c r="F3" i="193"/>
  <c r="D3" i="193"/>
  <c r="L2" i="193"/>
  <c r="H2" i="193"/>
  <c r="F2" i="193"/>
</calcChain>
</file>

<file path=xl/sharedStrings.xml><?xml version="1.0" encoding="utf-8"?>
<sst xmlns="http://schemas.openxmlformats.org/spreadsheetml/2006/main" count="3247" uniqueCount="331">
  <si>
    <t>*</t>
  </si>
  <si>
    <t>詳細 :</t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</si>
  <si>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</si>
  <si>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</si>
  <si>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</si>
  <si>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</si>
  <si>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</si>
  <si>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</si>
  <si>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</si>
  <si>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</si>
  <si>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</si>
  <si>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</si>
  <si>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</si>
  <si>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#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</si>
  <si>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</si>
  <si>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</si>
  <si>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</si>
  <si>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</si>
  <si>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</si>
  <si>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</si>
  <si>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</si>
  <si>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ReportID :</t>
    <phoneticPr fontId="1"/>
  </si>
  <si>
    <t>U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</si>
  <si>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</si>
  <si>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</si>
  <si>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</si>
  <si>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</si>
  <si>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</si>
  <si>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</si>
  <si>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</si>
  <si>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</si>
  <si>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</si>
  <si>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</si>
  <si>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登録</t>
    <rPh sb="0" eb="2">
      <t>トウロク</t>
    </rPh>
    <phoneticPr fontId="1"/>
  </si>
  <si>
    <t>L</t>
  </si>
  <si>
    <t>o</t>
  </si>
  <si>
    <t>TargetName</t>
  </si>
  <si>
    <t>del_flg</t>
  </si>
  <si>
    <t>upd_cntr</t>
  </si>
  <si>
    <t>#MA.UPD_CNT</t>
  </si>
  <si>
    <t>#MA.LCL_CD</t>
  </si>
  <si>
    <t>lcl_cd</t>
  </si>
  <si>
    <t>MABCL_MultiReg</t>
    <phoneticPr fontId="1"/>
  </si>
  <si>
    <t>マルチマスタ登録</t>
    <phoneticPr fontId="1"/>
  </si>
  <si>
    <t>L</t>
    <phoneticPr fontId="1"/>
  </si>
  <si>
    <t>@</t>
  </si>
  <si>
    <t>ReportID :</t>
    <phoneticPr fontId="1"/>
  </si>
  <si>
    <t>チェック</t>
  </si>
  <si>
    <t>#</t>
    <phoneticPr fontId="1"/>
  </si>
  <si>
    <t>K</t>
    <phoneticPr fontId="20"/>
  </si>
  <si>
    <t>REQUIRED</t>
    <phoneticPr fontId="20"/>
  </si>
  <si>
    <t>@</t>
    <phoneticPr fontId="1"/>
  </si>
  <si>
    <t>o</t>
    <phoneticPr fontId="1"/>
  </si>
  <si>
    <t>UPDATE.updMaster</t>
    <phoneticPr fontId="1"/>
  </si>
  <si>
    <t>MAIN.chkMaster</t>
    <phoneticPr fontId="20"/>
  </si>
  <si>
    <t>TargetName</t>
    <phoneticPr fontId="1"/>
  </si>
  <si>
    <t>#</t>
    <phoneticPr fontId="1"/>
  </si>
  <si>
    <t>L</t>
    <phoneticPr fontId="1"/>
  </si>
  <si>
    <t>$share$</t>
  </si>
  <si>
    <t>REQUIRED</t>
    <phoneticPr fontId="20"/>
  </si>
  <si>
    <t>ReportID :</t>
    <phoneticPr fontId="1"/>
  </si>
  <si>
    <t>@</t>
    <phoneticPr fontId="1"/>
  </si>
  <si>
    <t>EXISTS.chk01</t>
  </si>
  <si>
    <t>$super$</t>
  </si>
  <si>
    <t>対象マスタ</t>
    <rPh sb="0" eb="2">
      <t>タイショウ</t>
    </rPh>
    <phoneticPr fontId="1"/>
  </si>
  <si>
    <t>REQUIRED</t>
    <phoneticPr fontId="20"/>
  </si>
  <si>
    <t>#</t>
    <phoneticPr fontId="1"/>
  </si>
  <si>
    <t>U</t>
    <phoneticPr fontId="1"/>
  </si>
  <si>
    <t>ReportID :</t>
    <phoneticPr fontId="1"/>
  </si>
  <si>
    <t>L</t>
    <phoneticPr fontId="1"/>
  </si>
  <si>
    <t>#</t>
    <phoneticPr fontId="1"/>
  </si>
  <si>
    <t>TargetName</t>
    <phoneticPr fontId="1"/>
  </si>
  <si>
    <t>UPDATE.updMaster2</t>
  </si>
  <si>
    <t>UPDATE.updMaster1</t>
  </si>
  <si>
    <t>o</t>
    <phoneticPr fontId="1"/>
  </si>
  <si>
    <t>削除</t>
    <rPh sb="0" eb="2">
      <t>サクジョ</t>
    </rPh>
    <phoneticPr fontId="1"/>
  </si>
  <si>
    <t>@</t>
    <phoneticPr fontId="1"/>
  </si>
  <si>
    <t>K</t>
    <phoneticPr fontId="20"/>
  </si>
  <si>
    <t>TargetName</t>
    <phoneticPr fontId="1"/>
  </si>
  <si>
    <t>U</t>
    <phoneticPr fontId="1"/>
  </si>
  <si>
    <t>汎用配賦分類マスタ</t>
    <phoneticPr fontId="1"/>
  </si>
  <si>
    <t>計算カテゴリマスタ</t>
    <phoneticPr fontId="1"/>
  </si>
  <si>
    <t>原価レポートパタンマスタ</t>
    <phoneticPr fontId="1"/>
  </si>
  <si>
    <t>原価メニューマスタ</t>
    <phoneticPr fontId="1"/>
  </si>
  <si>
    <t>MABCL0036</t>
    <phoneticPr fontId="1"/>
  </si>
  <si>
    <t>DBC.MA.MAM_GP_ALC_LCL</t>
    <phoneticPr fontId="20"/>
  </si>
  <si>
    <t>GpAlc_UpdChk01</t>
    <phoneticPr fontId="20"/>
  </si>
  <si>
    <t>GpAlc_Upd01</t>
    <phoneticPr fontId="20"/>
  </si>
  <si>
    <t>GpAlcLcl_UpdChk01</t>
    <phoneticPr fontId="20"/>
  </si>
  <si>
    <t>GpAlcLcl_Upd01</t>
    <phoneticPr fontId="20"/>
  </si>
  <si>
    <t>GpAlc_DelChk01</t>
    <phoneticPr fontId="20"/>
  </si>
  <si>
    <t>GpAlc_Del01</t>
    <phoneticPr fontId="20"/>
  </si>
  <si>
    <t>CalcCtg_UpdChk01</t>
    <phoneticPr fontId="20"/>
  </si>
  <si>
    <t>CalcCtg_Upd01</t>
    <phoneticPr fontId="20"/>
  </si>
  <si>
    <t>CalcCtgLcl_UpdChk01</t>
    <phoneticPr fontId="20"/>
  </si>
  <si>
    <t>CalcCtgLcl_Upd01</t>
    <phoneticPr fontId="20"/>
  </si>
  <si>
    <t>CalcCtg_DelChk01</t>
    <phoneticPr fontId="20"/>
  </si>
  <si>
    <t>CalcCtg_Del01</t>
    <phoneticPr fontId="20"/>
  </si>
  <si>
    <t>RptPtn_UpdChk01</t>
    <phoneticPr fontId="20"/>
  </si>
  <si>
    <t>RptPtn_Upd01</t>
    <phoneticPr fontId="20"/>
  </si>
  <si>
    <t>RptPtnLcl_UpdChk01</t>
    <phoneticPr fontId="20"/>
  </si>
  <si>
    <t>RptPtnLcl_Upd01</t>
    <phoneticPr fontId="20"/>
  </si>
  <si>
    <t>RptPtn_DelChk01</t>
    <phoneticPr fontId="20"/>
  </si>
  <si>
    <t>RptPtn_Del01</t>
    <phoneticPr fontId="20"/>
  </si>
  <si>
    <t>CostMenu_UpdChk01</t>
    <phoneticPr fontId="20"/>
  </si>
  <si>
    <t>CostMenu_Upd01</t>
    <phoneticPr fontId="20"/>
  </si>
  <si>
    <t>CostMenuLcl_UpdChk01</t>
    <phoneticPr fontId="20"/>
  </si>
  <si>
    <t>CostMenuLcl_Upd01</t>
    <phoneticPr fontId="20"/>
  </si>
  <si>
    <t>CostMenu_DelChk01</t>
    <phoneticPr fontId="20"/>
  </si>
  <si>
    <t>CostMenu_Del01</t>
    <phoneticPr fontId="20"/>
  </si>
  <si>
    <t>原価メニューマスタの削除を行います。</t>
    <phoneticPr fontId="20"/>
  </si>
  <si>
    <t>原価メニューマスタの削除前のチェックを行います。</t>
    <phoneticPr fontId="20"/>
  </si>
  <si>
    <t>原価メニューマスタの登録を行います。（ロケール用）</t>
    <phoneticPr fontId="20"/>
  </si>
  <si>
    <t>原価メニューマスタの登録前のチェックを行います。（ロケール用）</t>
    <phoneticPr fontId="20"/>
  </si>
  <si>
    <t>原価メニューマスタの登録を行います。</t>
    <phoneticPr fontId="20"/>
  </si>
  <si>
    <t>原価メニューマスタの登録前のチェックを行います。</t>
    <phoneticPr fontId="20"/>
  </si>
  <si>
    <t>原価レポートパタンマスタの削除を行います。</t>
    <phoneticPr fontId="20"/>
  </si>
  <si>
    <t>原価レポートパタンマスタの削除前のチェックを行います。</t>
    <phoneticPr fontId="20"/>
  </si>
  <si>
    <t>原価レポートパタンマスタの登録を行います。（ロケール用）</t>
    <phoneticPr fontId="20"/>
  </si>
  <si>
    <t>原価レポートパタンマスタの登録前のチェックを行います。（ロケール用）</t>
    <phoneticPr fontId="20"/>
  </si>
  <si>
    <t>原価レポートパタンマスタの登録を行います。</t>
    <phoneticPr fontId="20"/>
  </si>
  <si>
    <t>原価レポートパタンマスタの登録前のチェックを行います。</t>
    <phoneticPr fontId="20"/>
  </si>
  <si>
    <t>計算カテゴリマスタの削除を行います。</t>
    <phoneticPr fontId="20"/>
  </si>
  <si>
    <t>計算カテゴリマスタの削除前のチェックを行います。</t>
    <phoneticPr fontId="20"/>
  </si>
  <si>
    <t>計算カテゴリマスタの登録を行います。（ロケール用）</t>
    <phoneticPr fontId="20"/>
  </si>
  <si>
    <t>計算カテゴリマスタの登録前のチェックを行います。（ロケール用）</t>
    <phoneticPr fontId="20"/>
  </si>
  <si>
    <t>計算カテゴリマスタの登録を行います。</t>
    <phoneticPr fontId="20"/>
  </si>
  <si>
    <t>計算カテゴリマスタの登録前のチェックを行います。</t>
    <phoneticPr fontId="20"/>
  </si>
  <si>
    <t>汎用配賦分類マスタの削除を行います。</t>
    <phoneticPr fontId="20"/>
  </si>
  <si>
    <t>汎用配賦分類マスタの削除前のチェックを行います。</t>
    <phoneticPr fontId="20"/>
  </si>
  <si>
    <t>汎用配賦分類マスタの登録を行います。（ロケール用）</t>
    <phoneticPr fontId="20"/>
  </si>
  <si>
    <t>汎用配賦分類マスタの登録前のチェックを行います。（ロケール用）</t>
    <phoneticPr fontId="20"/>
  </si>
  <si>
    <t>汎用配賦分類マスタの登録を行います。</t>
    <phoneticPr fontId="20"/>
  </si>
  <si>
    <t>汎用配賦分類マスタの登録前のチェックを行います。</t>
    <phoneticPr fontId="20"/>
  </si>
  <si>
    <t>gp_alc_cd</t>
  </si>
  <si>
    <t>gp_alc_cd</t>
    <phoneticPr fontId="20"/>
  </si>
  <si>
    <t>gp_alc_nm</t>
  </si>
  <si>
    <t>#MA.GP_ALC_CD</t>
  </si>
  <si>
    <t>#MA.GP_ALC_CD</t>
    <phoneticPr fontId="20"/>
  </si>
  <si>
    <t>#MA.GP_ALC_NM</t>
  </si>
  <si>
    <t>#MA.GP_ALC_NM</t>
    <phoneticPr fontId="20"/>
  </si>
  <si>
    <t>gp_alc_nm</t>
    <phoneticPr fontId="20"/>
  </si>
  <si>
    <t>GpAlc_UpdChk01_Dtl</t>
    <phoneticPr fontId="20"/>
  </si>
  <si>
    <t>GpAlc_Upd01_Dtl</t>
    <phoneticPr fontId="20"/>
  </si>
  <si>
    <t>GpAlcLcl_UpdChk01_Dtl</t>
    <phoneticPr fontId="20"/>
  </si>
  <si>
    <t>GpAlcLcl_Upd01_Dtl</t>
    <phoneticPr fontId="20"/>
  </si>
  <si>
    <t>GpAlc_DelChk01_Dtl</t>
    <phoneticPr fontId="20"/>
  </si>
  <si>
    <t>GpAlc_Del01_Dtl</t>
    <phoneticPr fontId="20"/>
  </si>
  <si>
    <t>CalcCtg_UpdChk01_Dtl</t>
  </si>
  <si>
    <t>CalcCtg_Upd01_Dtl</t>
  </si>
  <si>
    <t>CalcCtgLcl_UpdChk01_Dtl</t>
  </si>
  <si>
    <t>CalcCtgLcl_Upd01_Dtl</t>
  </si>
  <si>
    <t>CalcCtg_DelChk01_Dtl</t>
  </si>
  <si>
    <t>CalcCtg_Del01_Dtl</t>
  </si>
  <si>
    <t>#MA.CALC_CTG_CD</t>
  </si>
  <si>
    <t>#MA.CALC_CTG_NM</t>
  </si>
  <si>
    <t>DBC.MA.MAM_CALC_CTG_LCL</t>
  </si>
  <si>
    <t>RptPtn_UpdChk01_Dtl</t>
  </si>
  <si>
    <t>RptPtn_Upd01_Dtl</t>
  </si>
  <si>
    <t>RptPtnLcl_UpdChk01_Dtl</t>
  </si>
  <si>
    <t>RptPtnLcl_Upd01_Dtl</t>
  </si>
  <si>
    <t>RptPtn_DelChk01_Dtl</t>
  </si>
  <si>
    <t>RptPtn_Del01_Dtl</t>
  </si>
  <si>
    <t>#MA.RPT_PTN_CD</t>
  </si>
  <si>
    <t>#MA.RPT_PTN_NM</t>
  </si>
  <si>
    <t>DBC.MA.MAM_RPT_PTN_LCL</t>
  </si>
  <si>
    <t>CostMenu_UpdChk01_Dtl</t>
  </si>
  <si>
    <t>CostMenu_Upd01_Dtl</t>
  </si>
  <si>
    <t>CostMenuLcl_UpdChk01_Dtl</t>
  </si>
  <si>
    <t>CostMenuLcl_Upd01_Dtl</t>
  </si>
  <si>
    <t>CostMenu_DelChk01_Dtl</t>
  </si>
  <si>
    <t>CostMenu_Del01_Dtl</t>
  </si>
  <si>
    <t>DBC.MA.MAM_COST_MENU_LCL</t>
  </si>
  <si>
    <t>calc_ctg_cd</t>
  </si>
  <si>
    <t>calc_ctg_cd</t>
    <phoneticPr fontId="20"/>
  </si>
  <si>
    <t>calc_ctg_nm</t>
  </si>
  <si>
    <t>calc_ctg_nm</t>
    <phoneticPr fontId="20"/>
  </si>
  <si>
    <t>rpt_ptn_cd</t>
  </si>
  <si>
    <t>rpt_ptn_cd</t>
    <phoneticPr fontId="20"/>
  </si>
  <si>
    <t>rpt_ptn_nm</t>
  </si>
  <si>
    <t>rpt_ptn_nm</t>
    <phoneticPr fontId="20"/>
  </si>
  <si>
    <t>menu_cd</t>
  </si>
  <si>
    <t>menu_cd</t>
    <phoneticPr fontId="20"/>
  </si>
  <si>
    <t>#MA.MENU_CD</t>
  </si>
  <si>
    <t>#MA.MENU_CD</t>
    <phoneticPr fontId="20"/>
  </si>
  <si>
    <t>menu_nm</t>
  </si>
  <si>
    <t>menu_nm</t>
    <phoneticPr fontId="20"/>
  </si>
  <si>
    <t>#MA.MENU_NM</t>
  </si>
  <si>
    <t>#MA.MENU_NM</t>
    <phoneticPr fontId="20"/>
  </si>
  <si>
    <t>MABC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</si>
  <si>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</si>
  <si>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</si>
  <si>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</si>
  <si>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</si>
  <si>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</si>
  <si>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</si>
  <si>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</si>
  <si>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</si>
  <si>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</si>
  <si>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汎用配賦分類ＣＤ</t>
    <phoneticPr fontId="20"/>
  </si>
  <si>
    <t>E</t>
    <phoneticPr fontId="1"/>
  </si>
  <si>
    <t>E</t>
    <phoneticPr fontId="20"/>
  </si>
  <si>
    <t>標準汎用配賦分類名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</si>
  <si>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</si>
  <si>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</si>
  <si>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</si>
  <si>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</si>
  <si>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</si>
  <si>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super/share</t>
    <phoneticPr fontId="1"/>
  </si>
  <si>
    <t>MA.MABCL0036.GpAlc_UpdChk01.GpAlc_UpdChk01_Dtl</t>
    <phoneticPr fontId="20"/>
  </si>
  <si>
    <t>L</t>
    <phoneticPr fontId="20"/>
  </si>
  <si>
    <t>汎用配賦分類ＣＤ</t>
    <phoneticPr fontId="1"/>
  </si>
  <si>
    <t>DBC:MA.MAM_GP_ALC_LCL</t>
    <phoneticPr fontId="20"/>
  </si>
  <si>
    <t>ロケールＣＤ</t>
    <phoneticPr fontId="1"/>
  </si>
  <si>
    <t>汎用配賦分類名</t>
    <phoneticPr fontId="1"/>
  </si>
  <si>
    <t>MA.MABCL0036.GpAlcLcl_UpdChk01.GpAlcLcl_UpdChk01_Dtl</t>
    <phoneticPr fontId="1"/>
  </si>
  <si>
    <t>MA.MABCL0036.GpAlc_DelChk01.GpAlc_DelChk01_Dtl</t>
    <phoneticPr fontId="1"/>
  </si>
  <si>
    <t>計算カテゴリＣＤ</t>
    <phoneticPr fontId="20"/>
  </si>
  <si>
    <t>標準計算カテゴリ名</t>
    <phoneticPr fontId="20"/>
  </si>
  <si>
    <t>MA.MABCL0036.CalcCtg_UpdChk01.CalcCtg_UpdChk01_Dtl</t>
    <phoneticPr fontId="1"/>
  </si>
  <si>
    <t>計算カテゴリＣＤ</t>
    <phoneticPr fontId="1"/>
  </si>
  <si>
    <t>標準計算カテゴリ名</t>
    <phoneticPr fontId="1"/>
  </si>
  <si>
    <t>DBC:MA.MAM_CALC_CTG_LCL</t>
    <phoneticPr fontId="1"/>
  </si>
  <si>
    <t>計算カテゴリ名</t>
    <phoneticPr fontId="1"/>
  </si>
  <si>
    <t>MA.MABCL0036.CalcCtgLcl_UpdChk01.CalcCtgLcl_UpdChk01_Dtl</t>
    <phoneticPr fontId="1"/>
  </si>
  <si>
    <t>MA.MABCL0036.CalcCtg_DelChk01.CalcCtg_DelChk01_Dtl</t>
    <phoneticPr fontId="1"/>
  </si>
  <si>
    <t>レポートパタンＣＤ</t>
    <phoneticPr fontId="20"/>
  </si>
  <si>
    <t>標準レポートパタン名</t>
    <phoneticPr fontId="20"/>
  </si>
  <si>
    <t>MA.MABCL0036.RptPtn_UpdChk01.RptPtn_UpdChk01_Dtl</t>
    <phoneticPr fontId="1"/>
  </si>
  <si>
    <t>レポートパタンＣＤ</t>
    <phoneticPr fontId="1"/>
  </si>
  <si>
    <t>標準レポートパタン名</t>
    <phoneticPr fontId="1"/>
  </si>
  <si>
    <t>DBC:MA.MAM_RPT_PTN_LCL</t>
    <phoneticPr fontId="1"/>
  </si>
  <si>
    <t>レポートパタン名</t>
    <phoneticPr fontId="1"/>
  </si>
  <si>
    <t>MA.MABCL0036.RptPtnLcl_UpdChk01.RptPtnLcl_UpdChk01_Dtl</t>
    <phoneticPr fontId="1"/>
  </si>
  <si>
    <t>MA.MABCL0036.RptPtn_DelChk01.RptPtn_DelChk01_Dtl</t>
    <phoneticPr fontId="1"/>
  </si>
  <si>
    <t>メニューＣＤ</t>
    <phoneticPr fontId="20"/>
  </si>
  <si>
    <t>標準メニュー名</t>
    <phoneticPr fontId="20"/>
  </si>
  <si>
    <t>MA.MABCL0036.CostMenu_UpdChk01.CostMenu_UpdChk01_Dtl</t>
    <phoneticPr fontId="1"/>
  </si>
  <si>
    <t>メニューＣＤ</t>
    <phoneticPr fontId="1"/>
  </si>
  <si>
    <t>標準メニュー名</t>
    <phoneticPr fontId="1"/>
  </si>
  <si>
    <t>DBC:MA.MAM_COST_MENU_LCL</t>
    <phoneticPr fontId="1"/>
  </si>
  <si>
    <t>メニュー名</t>
    <phoneticPr fontId="1"/>
  </si>
  <si>
    <t>MA.MABCL0036.CostMenuLcl_UpdChk01.CostMenuLcl_UpdChk01_Dtl</t>
    <phoneticPr fontId="1"/>
  </si>
  <si>
    <t>MA.MABCL0036.CostMenu_DelChk01.CostMenu_DelChk01_Dtl</t>
    <phoneticPr fontId="1"/>
  </si>
  <si>
    <t>000000</t>
    <phoneticPr fontId="1"/>
  </si>
  <si>
    <t>倉庫事業者マスタ</t>
    <rPh sb="0" eb="2">
      <t>ソウコ</t>
    </rPh>
    <rPh sb="2" eb="5">
      <t>ジギョウシャ</t>
    </rPh>
    <phoneticPr fontId="1"/>
  </si>
  <si>
    <t>SiteCo_UpdChk01</t>
    <phoneticPr fontId="20"/>
  </si>
  <si>
    <t>倉庫事業者マスタの登録前のチェックを行います。</t>
    <rPh sb="0" eb="2">
      <t>ソウコ</t>
    </rPh>
    <rPh sb="2" eb="5">
      <t>ジギョウシャ</t>
    </rPh>
    <phoneticPr fontId="20"/>
  </si>
  <si>
    <t>SiteCo_UpdChk01_Dtl</t>
    <phoneticPr fontId="20"/>
  </si>
  <si>
    <t>site_co_cd</t>
    <phoneticPr fontId="20"/>
  </si>
  <si>
    <t>site_co_nm</t>
    <phoneticPr fontId="20"/>
  </si>
  <si>
    <t>SiteCo_Upd01</t>
    <phoneticPr fontId="20"/>
  </si>
  <si>
    <t>倉庫事業者マスタの登録を行います。</t>
    <rPh sb="0" eb="2">
      <t>ソウコ</t>
    </rPh>
    <rPh sb="2" eb="5">
      <t>ジギョウシャ</t>
    </rPh>
    <phoneticPr fontId="20"/>
  </si>
  <si>
    <t>SiteCo_Upd01_Dtl</t>
    <phoneticPr fontId="20"/>
  </si>
  <si>
    <t>MA.MABCL0036.SiteCo_UpdChk01.SiteCo_UpdChk01_Dtl</t>
    <phoneticPr fontId="1"/>
  </si>
  <si>
    <t>#MA.SITE_CO_CD</t>
    <phoneticPr fontId="20"/>
  </si>
  <si>
    <t>#MA.SITE_CO_NM</t>
    <phoneticPr fontId="20"/>
  </si>
  <si>
    <t>SiteCoLcl_UpdChk01</t>
    <phoneticPr fontId="20"/>
  </si>
  <si>
    <t>倉庫事業者マスタの登録前のチェックを行います。（ロケール用）</t>
    <rPh sb="0" eb="2">
      <t>ソウコ</t>
    </rPh>
    <rPh sb="2" eb="5">
      <t>ジギョウシャ</t>
    </rPh>
    <phoneticPr fontId="20"/>
  </si>
  <si>
    <t>SiteCoLcl_UpdChk01_Dtl</t>
    <phoneticPr fontId="20"/>
  </si>
  <si>
    <t>DBC:MA.MAM_SITE_CO_LCL</t>
    <phoneticPr fontId="1"/>
  </si>
  <si>
    <t>SiteCoLcl_Upd01</t>
    <phoneticPr fontId="20"/>
  </si>
  <si>
    <t>倉庫事業者マスタの登録を行います。（ロケール用）</t>
    <rPh sb="0" eb="2">
      <t>ソウコ</t>
    </rPh>
    <rPh sb="2" eb="5">
      <t>ジギョウシャ</t>
    </rPh>
    <phoneticPr fontId="20"/>
  </si>
  <si>
    <t>SiteCoLcl_Upd01_Dtl</t>
    <phoneticPr fontId="20"/>
  </si>
  <si>
    <t>MA.MABCL0036.SiteCoLcl_UpdChk01.SiteCoLcl_UpdChk01_Dtl</t>
    <phoneticPr fontId="1"/>
  </si>
  <si>
    <t>DBC.MA.MAM_SITE_CO_LCL</t>
    <phoneticPr fontId="20"/>
  </si>
  <si>
    <t>DBC.MA.MAM_SITE_CO_LCL</t>
    <phoneticPr fontId="20"/>
  </si>
  <si>
    <t>SiteCo_DelChk01</t>
    <phoneticPr fontId="20"/>
  </si>
  <si>
    <t>倉庫事業者マスタの削除前のチェックを行います。</t>
    <rPh sb="0" eb="5">
      <t>ソウコジギョウシャ</t>
    </rPh>
    <phoneticPr fontId="20"/>
  </si>
  <si>
    <t>SiteCo_DelChk01_Dtl</t>
    <phoneticPr fontId="20"/>
  </si>
  <si>
    <t>SiteCo_Del01</t>
    <phoneticPr fontId="20"/>
  </si>
  <si>
    <t>倉庫事業者マスタの削除を行います。</t>
    <rPh sb="0" eb="5">
      <t>ソウコジギョウシャ</t>
    </rPh>
    <phoneticPr fontId="20"/>
  </si>
  <si>
    <t>SiteCo_Del01_Dtl</t>
    <phoneticPr fontId="20"/>
  </si>
  <si>
    <t>MA.MABCL0036.SiteCo_DelChk01.SiteCo_DelChk01_Dtl</t>
    <phoneticPr fontId="1"/>
  </si>
  <si>
    <t>MA.MAUDL5010</t>
    <phoneticPr fontId="1"/>
  </si>
  <si>
    <t>"mcframe.serverMAUD.MAUDL6020.MAUDL_LCLRLUpdater"</t>
  </si>
  <si>
    <t>"mcframe.serverMAUD.MAUDL6020.MAUDL_LCLRLDeleter"</t>
  </si>
  <si>
    <t>DBC:MA.MAM_GP_ALC</t>
    <phoneticPr fontId="20"/>
  </si>
  <si>
    <t>DBC.MA.MAM_GP_ALC</t>
    <phoneticPr fontId="20"/>
  </si>
  <si>
    <t>DBC:MA.MAM_CALC_CTG</t>
    <phoneticPr fontId="1"/>
  </si>
  <si>
    <t>DBC.MA.MAM_CALC_CTG</t>
    <phoneticPr fontId="1"/>
  </si>
  <si>
    <t>DBC:MA.MAM_RPT_PTN</t>
    <phoneticPr fontId="1"/>
  </si>
  <si>
    <t>DBC.MA.MAM_RPT_PTN</t>
    <phoneticPr fontId="1"/>
  </si>
  <si>
    <t>DBC:MA.MAM_COST_MENU</t>
    <phoneticPr fontId="1"/>
  </si>
  <si>
    <t>DBC.MA.MAM_COST_MENU</t>
    <phoneticPr fontId="1"/>
  </si>
  <si>
    <t>DBC:MA.MAM_SITE_CO</t>
    <phoneticPr fontId="1"/>
  </si>
  <si>
    <t>DBC.MA.MAM_SITE_CO</t>
    <phoneticPr fontId="20"/>
  </si>
  <si>
    <t>倉庫事業者ＣＤ</t>
    <phoneticPr fontId="20"/>
  </si>
  <si>
    <t>標準倉庫事業者名</t>
    <phoneticPr fontId="20"/>
  </si>
  <si>
    <t>倉庫事業者ＣＤ</t>
    <phoneticPr fontId="1"/>
  </si>
  <si>
    <t>標準倉庫事業者名</t>
    <phoneticPr fontId="1"/>
  </si>
  <si>
    <t>倉庫事業者名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</si>
  <si>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</si>
  <si>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</si>
  <si>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</si>
  <si>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</si>
  <si>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</si>
  <si>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</si>
  <si>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</si>
  <si>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</si>
  <si>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</si>
  <si>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</si>
  <si>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</si>
  <si>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</si>
  <si>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</si>
  <si>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</si>
  <si>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General purpose allocation classification cd.</t>
  </si>
  <si>
    <t>Standard general purpose allocation classification name</t>
  </si>
  <si>
    <t>Memo 1</t>
  </si>
  <si>
    <t>Memo 2</t>
  </si>
  <si>
    <t>Memo 3</t>
  </si>
  <si>
    <t>Logical delete</t>
  </si>
  <si>
    <t>Update counter</t>
  </si>
  <si>
    <t>Locale cd.</t>
  </si>
  <si>
    <t>General purpose allocation classification name</t>
  </si>
  <si>
    <t>項目名
Field Name</t>
    <phoneticPr fontId="1"/>
  </si>
  <si>
    <t>型
Type</t>
    <phoneticPr fontId="1"/>
  </si>
  <si>
    <t>Calculation category cd.</t>
  </si>
  <si>
    <t>Standard calculation category name</t>
  </si>
  <si>
    <t>Calculation category name</t>
  </si>
  <si>
    <t>Report pattern cd.</t>
  </si>
  <si>
    <t>Standard Report pattern name</t>
  </si>
  <si>
    <t>Report pattern name</t>
  </si>
  <si>
    <t>Menu cd.</t>
  </si>
  <si>
    <t>Standard Menu name</t>
  </si>
  <si>
    <t>Menu name</t>
  </si>
  <si>
    <t>Warehousing business cd.</t>
  </si>
  <si>
    <t>Standard warehousing business name</t>
  </si>
  <si>
    <t>Warehousing business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</si>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</sst>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1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25</v>
      </c>
      <c r="D2" s="7" t="s">
        <v>8</v>
      </c>
      <c r="E2" s="9" t="s">
        <v>84</v>
      </c>
      <c r="F2" s="7" t="s">
        <v>23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189</v>
      </c>
      <c r="D3" s="7" t="s">
        <v>9</v>
      </c>
      <c r="E3" s="9" t="s">
        <v>42</v>
      </c>
      <c r="F3" s="7" t="s">
        <v>24</v>
      </c>
      <c r="G3" s="9"/>
      <c r="H3" s="7"/>
      <c r="I3" s="9"/>
    </row>
    <row r="4" spans="1:12" x14ac:dyDescent="0.2">
      <c r="A4" s="3"/>
      <c r="B4" s="7"/>
      <c r="C4" s="59"/>
      <c r="D4" s="7" t="s">
        <v>10</v>
      </c>
      <c r="E4" s="13" t="s">
        <v>43</v>
      </c>
      <c r="F4" s="7" t="s">
        <v>4</v>
      </c>
      <c r="G4" s="9" t="s">
        <v>274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 t="s">
        <v>64</v>
      </c>
      <c r="C7" s="25"/>
      <c r="D7" s="4"/>
      <c r="E7" s="4"/>
      <c r="F7" s="4"/>
      <c r="G7" s="4"/>
      <c r="H7" s="4"/>
      <c r="I7" s="15"/>
    </row>
    <row r="8" spans="1:12" x14ac:dyDescent="0.2">
      <c r="B8" s="4"/>
      <c r="C8" s="25" t="s">
        <v>80</v>
      </c>
      <c r="I8" s="15"/>
    </row>
    <row r="9" spans="1:12" x14ac:dyDescent="0.2">
      <c r="B9" s="4"/>
      <c r="C9" s="25" t="s">
        <v>81</v>
      </c>
      <c r="I9" s="15"/>
      <c r="J9" s="4"/>
    </row>
    <row r="10" spans="1:12" x14ac:dyDescent="0.2">
      <c r="B10" s="4"/>
      <c r="C10" s="25" t="s">
        <v>82</v>
      </c>
      <c r="I10" s="15"/>
      <c r="J10" s="4"/>
    </row>
    <row r="11" spans="1:12" x14ac:dyDescent="0.2">
      <c r="B11" s="4"/>
      <c r="C11" s="25" t="s">
        <v>83</v>
      </c>
      <c r="I11" s="15"/>
      <c r="J11" s="4"/>
    </row>
    <row r="12" spans="1:12" x14ac:dyDescent="0.2">
      <c r="B12" s="4"/>
      <c r="C12" s="25" t="s">
        <v>245</v>
      </c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B19" s="4"/>
      <c r="I19" s="15"/>
      <c r="J19" s="4"/>
    </row>
    <row r="20" spans="1:10" x14ac:dyDescent="0.2">
      <c r="A20" s="1"/>
      <c r="B20" s="3"/>
      <c r="C20" s="2"/>
      <c r="D20" s="3"/>
      <c r="E20" s="3"/>
      <c r="F20" s="3"/>
      <c r="G20" s="3"/>
      <c r="H20" s="3"/>
      <c r="I20" s="26"/>
      <c r="J20" s="4"/>
    </row>
    <row r="21" spans="1:10" x14ac:dyDescent="0.2">
      <c r="B21" s="4"/>
      <c r="J21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86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133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59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142</v>
      </c>
      <c r="E11" s="43" t="s">
        <v>34</v>
      </c>
      <c r="F11" s="44"/>
      <c r="G11" s="28" t="s">
        <v>63</v>
      </c>
      <c r="H11" s="45" t="s">
        <v>277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135</v>
      </c>
      <c r="E12" s="50" t="s">
        <v>138</v>
      </c>
      <c r="F12" s="50"/>
      <c r="G12" s="51" t="s">
        <v>306</v>
      </c>
      <c r="H12" s="51" t="s">
        <v>199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ht="26" x14ac:dyDescent="0.2">
      <c r="A13" s="9">
        <v>10</v>
      </c>
      <c r="B13" s="9"/>
      <c r="C13" s="9"/>
      <c r="D13" s="9" t="s">
        <v>141</v>
      </c>
      <c r="E13" s="50" t="s">
        <v>140</v>
      </c>
      <c r="F13" s="50"/>
      <c r="G13" s="51" t="s">
        <v>307</v>
      </c>
      <c r="H13" s="51" t="s">
        <v>202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/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81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87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132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278</v>
      </c>
      <c r="M8" s="33" t="s">
        <v>36</v>
      </c>
      <c r="N8" s="9" t="s">
        <v>278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143</v>
      </c>
      <c r="E11" s="43" t="s">
        <v>57</v>
      </c>
      <c r="F11" s="44"/>
      <c r="G11" s="28" t="s">
        <v>58</v>
      </c>
      <c r="H11" s="45" t="s">
        <v>209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134</v>
      </c>
      <c r="E12" s="50" t="s">
        <v>137</v>
      </c>
      <c r="F12" s="50"/>
      <c r="G12" s="51" t="s">
        <v>306</v>
      </c>
      <c r="H12" s="51" t="s">
        <v>211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ht="26" x14ac:dyDescent="0.2">
      <c r="A13" s="9">
        <v>10</v>
      </c>
      <c r="B13" s="9"/>
      <c r="C13" s="9"/>
      <c r="D13" s="9" t="s">
        <v>136</v>
      </c>
      <c r="E13" s="50" t="s">
        <v>139</v>
      </c>
      <c r="F13" s="50"/>
      <c r="G13" s="51" t="s">
        <v>307</v>
      </c>
      <c r="H13" s="51" t="s">
        <v>202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8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88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131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 t="s">
        <v>62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59</v>
      </c>
      <c r="L8" s="33" t="s">
        <v>36</v>
      </c>
      <c r="M8" s="9" t="s">
        <v>278</v>
      </c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144</v>
      </c>
      <c r="E11" s="43" t="s">
        <v>34</v>
      </c>
      <c r="F11" s="44"/>
      <c r="G11" s="28" t="s">
        <v>63</v>
      </c>
      <c r="H11" s="45" t="s">
        <v>212</v>
      </c>
      <c r="I11" s="46"/>
      <c r="J11" s="47"/>
      <c r="K11" s="48"/>
      <c r="L11" s="48" t="s">
        <v>210</v>
      </c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134</v>
      </c>
      <c r="E12" s="50" t="s">
        <v>137</v>
      </c>
      <c r="F12" s="50"/>
      <c r="G12" s="51" t="s">
        <v>306</v>
      </c>
      <c r="H12" s="51" t="s">
        <v>211</v>
      </c>
      <c r="I12" s="9" t="s">
        <v>200</v>
      </c>
      <c r="J12" s="9"/>
      <c r="K12" s="9" t="s">
        <v>201</v>
      </c>
      <c r="L12" s="9" t="s">
        <v>201</v>
      </c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ht="26" x14ac:dyDescent="0.2">
      <c r="A14" s="9">
        <v>10</v>
      </c>
      <c r="B14" s="9"/>
      <c r="C14" s="9"/>
      <c r="D14" s="9" t="s">
        <v>136</v>
      </c>
      <c r="E14" s="50" t="s">
        <v>139</v>
      </c>
      <c r="F14" s="50"/>
      <c r="G14" s="51" t="s">
        <v>314</v>
      </c>
      <c r="H14" s="51" t="s">
        <v>214</v>
      </c>
      <c r="I14" s="9" t="s">
        <v>200</v>
      </c>
      <c r="J14" s="9"/>
      <c r="K14" s="9" t="s">
        <v>201</v>
      </c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8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89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130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85</v>
      </c>
      <c r="M8" s="33" t="s">
        <v>36</v>
      </c>
      <c r="N8" s="9" t="s">
        <v>85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145</v>
      </c>
      <c r="E11" s="43" t="s">
        <v>57</v>
      </c>
      <c r="F11" s="44"/>
      <c r="G11" s="28" t="s">
        <v>58</v>
      </c>
      <c r="H11" s="45" t="s">
        <v>215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134</v>
      </c>
      <c r="E12" s="50" t="s">
        <v>137</v>
      </c>
      <c r="F12" s="50"/>
      <c r="G12" s="51" t="s">
        <v>306</v>
      </c>
      <c r="H12" s="51" t="s">
        <v>211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ht="26" x14ac:dyDescent="0.2">
      <c r="A14" s="9">
        <v>10</v>
      </c>
      <c r="B14" s="9"/>
      <c r="C14" s="9"/>
      <c r="D14" s="9" t="s">
        <v>136</v>
      </c>
      <c r="E14" s="50" t="s">
        <v>139</v>
      </c>
      <c r="F14" s="50"/>
      <c r="G14" s="51" t="s">
        <v>314</v>
      </c>
      <c r="H14" s="51" t="s">
        <v>214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90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68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129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2" t="s">
        <v>49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65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146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134</v>
      </c>
      <c r="E12" s="50" t="s">
        <v>137</v>
      </c>
      <c r="F12" s="50"/>
      <c r="G12" s="51" t="s">
        <v>306</v>
      </c>
      <c r="H12" s="51" t="s">
        <v>211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/>
      <c r="L13" s="9"/>
      <c r="M13" s="9"/>
      <c r="N13" s="40"/>
      <c r="O13" s="52"/>
      <c r="P13" s="130"/>
      <c r="Q13" s="131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91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76</v>
      </c>
      <c r="K3" s="7" t="s">
        <v>24</v>
      </c>
      <c r="L3" s="64" t="str">
        <f>IF(LogicCommon!G3="","",LogicCommon!G3)</f>
        <v/>
      </c>
      <c r="M3" s="68" t="s">
        <v>68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75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128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66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3" t="s">
        <v>74</v>
      </c>
      <c r="L7" s="32" t="s">
        <v>73</v>
      </c>
      <c r="M7" s="33" t="s">
        <v>35</v>
      </c>
      <c r="N7" s="32" t="s">
        <v>72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71</v>
      </c>
      <c r="L8" s="9" t="s">
        <v>278</v>
      </c>
      <c r="M8" s="33" t="s">
        <v>36</v>
      </c>
      <c r="N8" s="9" t="s">
        <v>85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70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147</v>
      </c>
      <c r="E11" s="43" t="s">
        <v>14</v>
      </c>
      <c r="F11" s="44"/>
      <c r="G11" s="28" t="s">
        <v>58</v>
      </c>
      <c r="H11" s="45" t="s">
        <v>216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134</v>
      </c>
      <c r="E12" s="50" t="s">
        <v>137</v>
      </c>
      <c r="F12" s="50"/>
      <c r="G12" s="51" t="s">
        <v>306</v>
      </c>
      <c r="H12" s="51" t="s">
        <v>211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 t="s">
        <v>201</v>
      </c>
      <c r="L13" s="9"/>
      <c r="M13" s="9"/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92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127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59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315</v>
      </c>
      <c r="E9" s="81" t="s">
        <v>316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148</v>
      </c>
      <c r="E11" s="43" t="s">
        <v>34</v>
      </c>
      <c r="F11" s="44"/>
      <c r="G11" s="28" t="s">
        <v>63</v>
      </c>
      <c r="H11" s="45" t="s">
        <v>279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174</v>
      </c>
      <c r="E12" s="50" t="s">
        <v>154</v>
      </c>
      <c r="F12" s="50"/>
      <c r="G12" s="51" t="s">
        <v>317</v>
      </c>
      <c r="H12" s="51" t="s">
        <v>217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ht="26" x14ac:dyDescent="0.2">
      <c r="A13" s="9">
        <v>10</v>
      </c>
      <c r="B13" s="9"/>
      <c r="C13" s="9"/>
      <c r="D13" s="9" t="s">
        <v>176</v>
      </c>
      <c r="E13" s="50" t="s">
        <v>155</v>
      </c>
      <c r="F13" s="50"/>
      <c r="G13" s="51" t="s">
        <v>318</v>
      </c>
      <c r="H13" s="51" t="s">
        <v>218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/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5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93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126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280</v>
      </c>
      <c r="M8" s="33" t="s">
        <v>36</v>
      </c>
      <c r="N8" s="9" t="s">
        <v>280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315</v>
      </c>
      <c r="E9" s="81" t="s">
        <v>316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149</v>
      </c>
      <c r="E11" s="43" t="s">
        <v>57</v>
      </c>
      <c r="F11" s="44"/>
      <c r="G11" s="28" t="s">
        <v>58</v>
      </c>
      <c r="H11" s="45" t="s">
        <v>219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173</v>
      </c>
      <c r="E12" s="50" t="s">
        <v>154</v>
      </c>
      <c r="F12" s="50"/>
      <c r="G12" s="51" t="s">
        <v>317</v>
      </c>
      <c r="H12" s="51" t="s">
        <v>220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ht="26" x14ac:dyDescent="0.2">
      <c r="A13" s="9">
        <v>10</v>
      </c>
      <c r="B13" s="9"/>
      <c r="C13" s="9"/>
      <c r="D13" s="9" t="s">
        <v>175</v>
      </c>
      <c r="E13" s="50" t="s">
        <v>155</v>
      </c>
      <c r="F13" s="50"/>
      <c r="G13" s="51" t="s">
        <v>318</v>
      </c>
      <c r="H13" s="51" t="s">
        <v>221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8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94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125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 t="s">
        <v>62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59</v>
      </c>
      <c r="L8" s="33" t="s">
        <v>36</v>
      </c>
      <c r="M8" s="9" t="s">
        <v>280</v>
      </c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315</v>
      </c>
      <c r="E9" s="81" t="s">
        <v>316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150</v>
      </c>
      <c r="E11" s="43" t="s">
        <v>34</v>
      </c>
      <c r="F11" s="44"/>
      <c r="G11" s="28" t="s">
        <v>63</v>
      </c>
      <c r="H11" s="45" t="s">
        <v>222</v>
      </c>
      <c r="I11" s="46"/>
      <c r="J11" s="47"/>
      <c r="K11" s="48"/>
      <c r="L11" s="48" t="s">
        <v>210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173</v>
      </c>
      <c r="E12" s="50" t="s">
        <v>154</v>
      </c>
      <c r="F12" s="50"/>
      <c r="G12" s="51" t="s">
        <v>317</v>
      </c>
      <c r="H12" s="51" t="s">
        <v>217</v>
      </c>
      <c r="I12" s="9" t="s">
        <v>200</v>
      </c>
      <c r="J12" s="9"/>
      <c r="K12" s="9" t="s">
        <v>201</v>
      </c>
      <c r="L12" s="9" t="s">
        <v>201</v>
      </c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175</v>
      </c>
      <c r="E14" s="50" t="s">
        <v>155</v>
      </c>
      <c r="F14" s="50"/>
      <c r="G14" s="51" t="s">
        <v>319</v>
      </c>
      <c r="H14" s="51" t="s">
        <v>223</v>
      </c>
      <c r="I14" s="9" t="s">
        <v>200</v>
      </c>
      <c r="J14" s="9"/>
      <c r="K14" s="9" t="s">
        <v>201</v>
      </c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95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61</v>
      </c>
      <c r="K3" s="7" t="s">
        <v>24</v>
      </c>
      <c r="L3" s="64" t="str">
        <f>IF(LogicCommon!G3="","",LogicCommon!G3)</f>
        <v/>
      </c>
      <c r="M3" s="68" t="s">
        <v>60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124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156</v>
      </c>
      <c r="M8" s="33" t="s">
        <v>36</v>
      </c>
      <c r="N8" s="9" t="s">
        <v>156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315</v>
      </c>
      <c r="E9" s="81" t="s">
        <v>316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151</v>
      </c>
      <c r="E11" s="43" t="s">
        <v>57</v>
      </c>
      <c r="F11" s="44"/>
      <c r="G11" s="28" t="s">
        <v>58</v>
      </c>
      <c r="H11" s="45" t="s">
        <v>224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173</v>
      </c>
      <c r="E12" s="50" t="s">
        <v>154</v>
      </c>
      <c r="F12" s="50"/>
      <c r="G12" s="51" t="s">
        <v>317</v>
      </c>
      <c r="H12" s="51" t="s">
        <v>220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175</v>
      </c>
      <c r="E14" s="50" t="s">
        <v>155</v>
      </c>
      <c r="F14" s="50"/>
      <c r="G14" s="51" t="s">
        <v>319</v>
      </c>
      <c r="H14" s="51" t="s">
        <v>223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96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68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123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66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2" t="s">
        <v>77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65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315</v>
      </c>
      <c r="E9" s="81" t="s">
        <v>316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70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152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173</v>
      </c>
      <c r="E12" s="50" t="s">
        <v>154</v>
      </c>
      <c r="F12" s="50"/>
      <c r="G12" s="51" t="s">
        <v>317</v>
      </c>
      <c r="H12" s="51" t="s">
        <v>220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/>
      <c r="L13" s="9"/>
      <c r="M13" s="9"/>
      <c r="N13" s="40"/>
      <c r="O13" s="52"/>
      <c r="P13" s="130"/>
      <c r="Q13" s="131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97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76</v>
      </c>
      <c r="K3" s="7" t="s">
        <v>24</v>
      </c>
      <c r="L3" s="64" t="str">
        <f>IF(LogicCommon!G3="","",LogicCommon!G3)</f>
        <v/>
      </c>
      <c r="M3" s="68" t="s">
        <v>68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75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122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66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3" t="s">
        <v>74</v>
      </c>
      <c r="L7" s="32" t="s">
        <v>73</v>
      </c>
      <c r="M7" s="33" t="s">
        <v>35</v>
      </c>
      <c r="N7" s="32" t="s">
        <v>72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71</v>
      </c>
      <c r="L8" s="9" t="s">
        <v>280</v>
      </c>
      <c r="M8" s="33" t="s">
        <v>36</v>
      </c>
      <c r="N8" s="9" t="s">
        <v>156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315</v>
      </c>
      <c r="E9" s="81" t="s">
        <v>316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153</v>
      </c>
      <c r="E11" s="43" t="s">
        <v>14</v>
      </c>
      <c r="F11" s="44"/>
      <c r="G11" s="28" t="s">
        <v>58</v>
      </c>
      <c r="H11" s="45" t="s">
        <v>225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173</v>
      </c>
      <c r="E12" s="50" t="s">
        <v>154</v>
      </c>
      <c r="F12" s="50"/>
      <c r="G12" s="51" t="s">
        <v>317</v>
      </c>
      <c r="H12" s="51" t="s">
        <v>220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 t="s">
        <v>201</v>
      </c>
      <c r="L13" s="9"/>
      <c r="M13" s="9"/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98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121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59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315</v>
      </c>
      <c r="E9" s="81" t="s">
        <v>316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157</v>
      </c>
      <c r="E11" s="43" t="s">
        <v>34</v>
      </c>
      <c r="F11" s="44"/>
      <c r="G11" s="28" t="s">
        <v>63</v>
      </c>
      <c r="H11" s="45" t="s">
        <v>281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178</v>
      </c>
      <c r="E12" s="50" t="s">
        <v>163</v>
      </c>
      <c r="F12" s="50"/>
      <c r="G12" s="51" t="s">
        <v>320</v>
      </c>
      <c r="H12" s="51" t="s">
        <v>226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ht="26" x14ac:dyDescent="0.2">
      <c r="A13" s="9">
        <v>10</v>
      </c>
      <c r="B13" s="9"/>
      <c r="C13" s="9"/>
      <c r="D13" s="9" t="s">
        <v>180</v>
      </c>
      <c r="E13" s="50" t="s">
        <v>164</v>
      </c>
      <c r="F13" s="50"/>
      <c r="G13" s="51" t="s">
        <v>321</v>
      </c>
      <c r="H13" s="51" t="s">
        <v>227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/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9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99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120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282</v>
      </c>
      <c r="M8" s="33" t="s">
        <v>36</v>
      </c>
      <c r="N8" s="9" t="s">
        <v>282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315</v>
      </c>
      <c r="E9" s="81" t="s">
        <v>316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158</v>
      </c>
      <c r="E11" s="43" t="s">
        <v>57</v>
      </c>
      <c r="F11" s="44"/>
      <c r="G11" s="28" t="s">
        <v>58</v>
      </c>
      <c r="H11" s="45" t="s">
        <v>228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177</v>
      </c>
      <c r="E12" s="50" t="s">
        <v>163</v>
      </c>
      <c r="F12" s="50"/>
      <c r="G12" s="51" t="s">
        <v>320</v>
      </c>
      <c r="H12" s="51" t="s">
        <v>229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179</v>
      </c>
      <c r="E13" s="50" t="s">
        <v>164</v>
      </c>
      <c r="F13" s="50"/>
      <c r="G13" s="51" t="s">
        <v>321</v>
      </c>
      <c r="H13" s="51" t="s">
        <v>230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100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119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 t="s">
        <v>62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59</v>
      </c>
      <c r="L8" s="33" t="s">
        <v>36</v>
      </c>
      <c r="M8" s="9" t="s">
        <v>282</v>
      </c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159</v>
      </c>
      <c r="E11" s="43" t="s">
        <v>34</v>
      </c>
      <c r="F11" s="44"/>
      <c r="G11" s="28" t="s">
        <v>63</v>
      </c>
      <c r="H11" s="45" t="s">
        <v>231</v>
      </c>
      <c r="I11" s="46"/>
      <c r="J11" s="47"/>
      <c r="K11" s="48"/>
      <c r="L11" s="48" t="s">
        <v>210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177</v>
      </c>
      <c r="E12" s="50" t="s">
        <v>163</v>
      </c>
      <c r="F12" s="50"/>
      <c r="G12" s="51" t="s">
        <v>320</v>
      </c>
      <c r="H12" s="51" t="s">
        <v>226</v>
      </c>
      <c r="I12" s="9" t="s">
        <v>200</v>
      </c>
      <c r="J12" s="9"/>
      <c r="K12" s="9" t="s">
        <v>201</v>
      </c>
      <c r="L12" s="9" t="s">
        <v>201</v>
      </c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179</v>
      </c>
      <c r="E14" s="50" t="s">
        <v>164</v>
      </c>
      <c r="F14" s="50"/>
      <c r="G14" s="51" t="s">
        <v>322</v>
      </c>
      <c r="H14" s="51" t="s">
        <v>232</v>
      </c>
      <c r="I14" s="9" t="s">
        <v>200</v>
      </c>
      <c r="J14" s="9"/>
      <c r="K14" s="9" t="s">
        <v>201</v>
      </c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101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118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165</v>
      </c>
      <c r="M8" s="33" t="s">
        <v>36</v>
      </c>
      <c r="N8" s="9" t="s">
        <v>165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56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160</v>
      </c>
      <c r="E11" s="43" t="s">
        <v>57</v>
      </c>
      <c r="F11" s="44"/>
      <c r="G11" s="28" t="s">
        <v>58</v>
      </c>
      <c r="H11" s="45" t="s">
        <v>233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177</v>
      </c>
      <c r="E12" s="50" t="s">
        <v>163</v>
      </c>
      <c r="F12" s="50"/>
      <c r="G12" s="51" t="s">
        <v>320</v>
      </c>
      <c r="H12" s="51" t="s">
        <v>229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179</v>
      </c>
      <c r="E14" s="50" t="s">
        <v>164</v>
      </c>
      <c r="F14" s="50"/>
      <c r="G14" s="51" t="s">
        <v>322</v>
      </c>
      <c r="H14" s="51" t="s">
        <v>232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102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68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117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66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2" t="s">
        <v>77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65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161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177</v>
      </c>
      <c r="E12" s="50" t="s">
        <v>163</v>
      </c>
      <c r="F12" s="50"/>
      <c r="G12" s="51" t="s">
        <v>320</v>
      </c>
      <c r="H12" s="51" t="s">
        <v>229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/>
      <c r="L13" s="9"/>
      <c r="M13" s="9"/>
      <c r="N13" s="40"/>
      <c r="O13" s="52"/>
      <c r="P13" s="130"/>
      <c r="Q13" s="131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103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76</v>
      </c>
      <c r="K3" s="7" t="s">
        <v>24</v>
      </c>
      <c r="L3" s="64" t="str">
        <f>IF(LogicCommon!G3="","",LogicCommon!G3)</f>
        <v/>
      </c>
      <c r="M3" s="68" t="s">
        <v>68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75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116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66</v>
      </c>
      <c r="B7" s="30"/>
      <c r="C7" s="30"/>
      <c r="D7" s="31"/>
      <c r="E7" s="31"/>
      <c r="F7" s="31"/>
      <c r="G7" s="31"/>
      <c r="H7" s="31"/>
      <c r="I7" s="31" t="s">
        <v>79</v>
      </c>
      <c r="J7" s="31"/>
      <c r="K7" s="33" t="s">
        <v>74</v>
      </c>
      <c r="L7" s="32" t="s">
        <v>73</v>
      </c>
      <c r="M7" s="33" t="s">
        <v>35</v>
      </c>
      <c r="N7" s="32" t="s">
        <v>72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78</v>
      </c>
      <c r="L8" s="9" t="s">
        <v>282</v>
      </c>
      <c r="M8" s="33" t="s">
        <v>36</v>
      </c>
      <c r="N8" s="9" t="s">
        <v>165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70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162</v>
      </c>
      <c r="E11" s="43" t="s">
        <v>69</v>
      </c>
      <c r="F11" s="44"/>
      <c r="G11" s="28" t="s">
        <v>58</v>
      </c>
      <c r="H11" s="45" t="s">
        <v>234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177</v>
      </c>
      <c r="E12" s="50" t="s">
        <v>163</v>
      </c>
      <c r="F12" s="50"/>
      <c r="G12" s="51" t="s">
        <v>320</v>
      </c>
      <c r="H12" s="51" t="s">
        <v>229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 t="s">
        <v>201</v>
      </c>
      <c r="L13" s="9"/>
      <c r="M13" s="9"/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104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115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50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48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166</v>
      </c>
      <c r="E11" s="43" t="s">
        <v>34</v>
      </c>
      <c r="F11" s="44"/>
      <c r="G11" s="28" t="s">
        <v>63</v>
      </c>
      <c r="H11" s="45" t="s">
        <v>283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182</v>
      </c>
      <c r="E12" s="50" t="s">
        <v>184</v>
      </c>
      <c r="F12" s="50"/>
      <c r="G12" s="51" t="s">
        <v>323</v>
      </c>
      <c r="H12" s="51" t="s">
        <v>235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186</v>
      </c>
      <c r="E13" s="50" t="s">
        <v>188</v>
      </c>
      <c r="F13" s="50"/>
      <c r="G13" s="51" t="s">
        <v>324</v>
      </c>
      <c r="H13" s="51" t="s">
        <v>236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/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5:Q15"/>
    <mergeCell ref="P16:Q16"/>
    <mergeCell ref="P17:Q17"/>
    <mergeCell ref="P18:Q18"/>
    <mergeCell ref="P12:Q12"/>
    <mergeCell ref="P13:Q13"/>
    <mergeCell ref="P14:Q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105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114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284</v>
      </c>
      <c r="M8" s="33" t="s">
        <v>36</v>
      </c>
      <c r="N8" s="9" t="s">
        <v>284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48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167</v>
      </c>
      <c r="E11" s="43" t="s">
        <v>44</v>
      </c>
      <c r="F11" s="44"/>
      <c r="G11" s="28" t="s">
        <v>58</v>
      </c>
      <c r="H11" s="45" t="s">
        <v>237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181</v>
      </c>
      <c r="E12" s="50" t="s">
        <v>183</v>
      </c>
      <c r="F12" s="50"/>
      <c r="G12" s="51" t="s">
        <v>323</v>
      </c>
      <c r="H12" s="51" t="s">
        <v>238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185</v>
      </c>
      <c r="E13" s="50" t="s">
        <v>187</v>
      </c>
      <c r="F13" s="50"/>
      <c r="G13" s="51" t="s">
        <v>324</v>
      </c>
      <c r="H13" s="51" t="s">
        <v>239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5:V15"/>
    <mergeCell ref="U16:V16"/>
    <mergeCell ref="U17:V17"/>
    <mergeCell ref="U18:V18"/>
    <mergeCell ref="U12:V12"/>
    <mergeCell ref="U13:V13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106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113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 t="s">
        <v>62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50</v>
      </c>
      <c r="L8" s="33" t="s">
        <v>36</v>
      </c>
      <c r="M8" s="9" t="s">
        <v>284</v>
      </c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48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168</v>
      </c>
      <c r="E11" s="43" t="s">
        <v>34</v>
      </c>
      <c r="F11" s="44"/>
      <c r="G11" s="28" t="s">
        <v>63</v>
      </c>
      <c r="H11" s="45" t="s">
        <v>240</v>
      </c>
      <c r="I11" s="46"/>
      <c r="J11" s="47"/>
      <c r="K11" s="48"/>
      <c r="L11" s="48" t="s">
        <v>210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181</v>
      </c>
      <c r="E12" s="50" t="s">
        <v>183</v>
      </c>
      <c r="F12" s="50"/>
      <c r="G12" s="51" t="s">
        <v>323</v>
      </c>
      <c r="H12" s="51" t="s">
        <v>235</v>
      </c>
      <c r="I12" s="9" t="s">
        <v>200</v>
      </c>
      <c r="J12" s="9"/>
      <c r="K12" s="9" t="s">
        <v>201</v>
      </c>
      <c r="L12" s="9" t="s">
        <v>201</v>
      </c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185</v>
      </c>
      <c r="E14" s="50" t="s">
        <v>187</v>
      </c>
      <c r="F14" s="50"/>
      <c r="G14" s="51" t="s">
        <v>325</v>
      </c>
      <c r="H14" s="51" t="s">
        <v>241</v>
      </c>
      <c r="I14" s="9" t="s">
        <v>200</v>
      </c>
      <c r="J14" s="9"/>
      <c r="K14" s="9" t="s">
        <v>201</v>
      </c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107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112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172</v>
      </c>
      <c r="M8" s="33" t="s">
        <v>36</v>
      </c>
      <c r="N8" s="9" t="s">
        <v>172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48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169</v>
      </c>
      <c r="E11" s="43" t="s">
        <v>44</v>
      </c>
      <c r="F11" s="44"/>
      <c r="G11" s="28" t="s">
        <v>58</v>
      </c>
      <c r="H11" s="45" t="s">
        <v>242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181</v>
      </c>
      <c r="E12" s="50" t="s">
        <v>183</v>
      </c>
      <c r="F12" s="50"/>
      <c r="G12" s="51" t="s">
        <v>323</v>
      </c>
      <c r="H12" s="51" t="s">
        <v>238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185</v>
      </c>
      <c r="E14" s="50" t="s">
        <v>187</v>
      </c>
      <c r="F14" s="50"/>
      <c r="G14" s="51" t="s">
        <v>325</v>
      </c>
      <c r="H14" s="51" t="s">
        <v>241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108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68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111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66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2" t="s">
        <v>77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65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170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181</v>
      </c>
      <c r="E12" s="50" t="s">
        <v>183</v>
      </c>
      <c r="F12" s="50"/>
      <c r="G12" s="51" t="s">
        <v>323</v>
      </c>
      <c r="H12" s="51" t="s">
        <v>238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/>
      <c r="L13" s="9"/>
      <c r="M13" s="9"/>
      <c r="N13" s="40"/>
      <c r="O13" s="52"/>
      <c r="P13" s="130"/>
      <c r="Q13" s="131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109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76</v>
      </c>
      <c r="K3" s="7" t="s">
        <v>24</v>
      </c>
      <c r="L3" s="64" t="str">
        <f>IF(LogicCommon!G3="","",LogicCommon!G3)</f>
        <v/>
      </c>
      <c r="M3" s="68" t="s">
        <v>21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75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110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70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3" t="s">
        <v>74</v>
      </c>
      <c r="L7" s="32" t="s">
        <v>73</v>
      </c>
      <c r="M7" s="33" t="s">
        <v>35</v>
      </c>
      <c r="N7" s="32" t="s">
        <v>72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78</v>
      </c>
      <c r="L8" s="9" t="s">
        <v>284</v>
      </c>
      <c r="M8" s="33" t="s">
        <v>36</v>
      </c>
      <c r="N8" s="9" t="s">
        <v>172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70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171</v>
      </c>
      <c r="E11" s="43" t="s">
        <v>69</v>
      </c>
      <c r="F11" s="44"/>
      <c r="G11" s="28" t="s">
        <v>58</v>
      </c>
      <c r="H11" s="45" t="s">
        <v>243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181</v>
      </c>
      <c r="E12" s="50" t="s">
        <v>183</v>
      </c>
      <c r="F12" s="50"/>
      <c r="G12" s="51" t="s">
        <v>323</v>
      </c>
      <c r="H12" s="51" t="s">
        <v>238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 t="s">
        <v>201</v>
      </c>
      <c r="L13" s="9"/>
      <c r="M13" s="9"/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246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247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50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48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248</v>
      </c>
      <c r="E11" s="43" t="s">
        <v>34</v>
      </c>
      <c r="F11" s="44"/>
      <c r="G11" s="28" t="s">
        <v>63</v>
      </c>
      <c r="H11" s="45" t="s">
        <v>285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249</v>
      </c>
      <c r="E12" s="50" t="s">
        <v>255</v>
      </c>
      <c r="F12" s="50"/>
      <c r="G12" s="51" t="s">
        <v>326</v>
      </c>
      <c r="H12" s="51" t="s">
        <v>287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ht="26" x14ac:dyDescent="0.2">
      <c r="A13" s="9">
        <v>10</v>
      </c>
      <c r="B13" s="9"/>
      <c r="C13" s="9"/>
      <c r="D13" s="9" t="s">
        <v>250</v>
      </c>
      <c r="E13" s="50" t="s">
        <v>256</v>
      </c>
      <c r="F13" s="50"/>
      <c r="G13" s="51" t="s">
        <v>327</v>
      </c>
      <c r="H13" s="51" t="s">
        <v>288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/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251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252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286</v>
      </c>
      <c r="M8" s="33" t="s">
        <v>36</v>
      </c>
      <c r="N8" s="9" t="s">
        <v>286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48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253</v>
      </c>
      <c r="E11" s="43" t="s">
        <v>44</v>
      </c>
      <c r="F11" s="44"/>
      <c r="G11" s="28" t="s">
        <v>58</v>
      </c>
      <c r="H11" s="45" t="s">
        <v>254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249</v>
      </c>
      <c r="E12" s="50" t="s">
        <v>255</v>
      </c>
      <c r="F12" s="50"/>
      <c r="G12" s="51" t="s">
        <v>326</v>
      </c>
      <c r="H12" s="51" t="s">
        <v>289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ht="26" x14ac:dyDescent="0.2">
      <c r="A13" s="9">
        <v>10</v>
      </c>
      <c r="B13" s="9"/>
      <c r="C13" s="9"/>
      <c r="D13" s="9" t="s">
        <v>250</v>
      </c>
      <c r="E13" s="50" t="s">
        <v>256</v>
      </c>
      <c r="F13" s="50"/>
      <c r="G13" s="51" t="s">
        <v>327</v>
      </c>
      <c r="H13" s="51" t="s">
        <v>290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308</v>
      </c>
      <c r="H14" s="51" t="s">
        <v>203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309</v>
      </c>
      <c r="H15" s="51" t="s">
        <v>204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310</v>
      </c>
      <c r="H16" s="51" t="s">
        <v>205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311</v>
      </c>
      <c r="H17" s="51" t="s">
        <v>206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257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258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49</v>
      </c>
      <c r="L7" s="33" t="s">
        <v>35</v>
      </c>
      <c r="M7" s="32" t="s">
        <v>62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50</v>
      </c>
      <c r="L8" s="33" t="s">
        <v>36</v>
      </c>
      <c r="M8" s="9" t="s">
        <v>286</v>
      </c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48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259</v>
      </c>
      <c r="E11" s="43" t="s">
        <v>34</v>
      </c>
      <c r="F11" s="44"/>
      <c r="G11" s="28" t="s">
        <v>63</v>
      </c>
      <c r="H11" s="45" t="s">
        <v>260</v>
      </c>
      <c r="I11" s="46"/>
      <c r="J11" s="47"/>
      <c r="K11" s="48"/>
      <c r="L11" s="48" t="s">
        <v>210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249</v>
      </c>
      <c r="E12" s="50" t="s">
        <v>255</v>
      </c>
      <c r="F12" s="50"/>
      <c r="G12" s="51" t="s">
        <v>326</v>
      </c>
      <c r="H12" s="51" t="s">
        <v>287</v>
      </c>
      <c r="I12" s="9" t="s">
        <v>200</v>
      </c>
      <c r="J12" s="9"/>
      <c r="K12" s="9" t="s">
        <v>201</v>
      </c>
      <c r="L12" s="9" t="s">
        <v>201</v>
      </c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/>
      <c r="N13" s="40"/>
      <c r="O13" s="52"/>
      <c r="P13" s="130"/>
      <c r="Q13" s="131"/>
    </row>
    <row r="14" spans="1:17" s="11" customFormat="1" x14ac:dyDescent="0.2">
      <c r="A14" s="9">
        <v>10</v>
      </c>
      <c r="B14" s="9"/>
      <c r="C14" s="9"/>
      <c r="D14" s="9" t="s">
        <v>250</v>
      </c>
      <c r="E14" s="50" t="s">
        <v>256</v>
      </c>
      <c r="F14" s="50"/>
      <c r="G14" s="51" t="s">
        <v>328</v>
      </c>
      <c r="H14" s="51" t="s">
        <v>291</v>
      </c>
      <c r="I14" s="9" t="s">
        <v>200</v>
      </c>
      <c r="J14" s="9"/>
      <c r="K14" s="9" t="s">
        <v>201</v>
      </c>
      <c r="L14" s="9"/>
      <c r="M14" s="9"/>
      <c r="N14" s="40"/>
      <c r="O14" s="52"/>
      <c r="P14" s="130"/>
      <c r="Q14" s="131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/>
      <c r="L15" s="9"/>
      <c r="M15" s="9"/>
      <c r="N15" s="40"/>
      <c r="O15" s="52"/>
      <c r="P15" s="130"/>
      <c r="Q15" s="131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/>
      <c r="L16" s="9"/>
      <c r="M16" s="9"/>
      <c r="N16" s="40"/>
      <c r="O16" s="52"/>
      <c r="P16" s="130"/>
      <c r="Q16" s="131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/>
      <c r="L17" s="9"/>
      <c r="M17" s="9"/>
      <c r="N17" s="40"/>
      <c r="O17" s="52"/>
      <c r="P17" s="130"/>
      <c r="Q17" s="131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/>
      <c r="L18" s="9"/>
      <c r="M18" s="9"/>
      <c r="N18" s="40"/>
      <c r="O18" s="52"/>
      <c r="P18" s="130"/>
      <c r="Q18" s="131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261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51</v>
      </c>
      <c r="K3" s="7" t="s">
        <v>24</v>
      </c>
      <c r="L3" s="64" t="str">
        <f>IF(LogicCommon!G3="","",LogicCommon!G3)</f>
        <v/>
      </c>
      <c r="M3" s="68" t="s">
        <v>46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262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52</v>
      </c>
      <c r="L7" s="32" t="s">
        <v>53</v>
      </c>
      <c r="M7" s="33" t="s">
        <v>35</v>
      </c>
      <c r="N7" s="32" t="s">
        <v>54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55</v>
      </c>
      <c r="L8" s="9" t="s">
        <v>265</v>
      </c>
      <c r="M8" s="33" t="s">
        <v>36</v>
      </c>
      <c r="N8" s="9" t="s">
        <v>266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48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263</v>
      </c>
      <c r="E11" s="43" t="s">
        <v>44</v>
      </c>
      <c r="F11" s="44"/>
      <c r="G11" s="28" t="s">
        <v>58</v>
      </c>
      <c r="H11" s="45" t="s">
        <v>264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249</v>
      </c>
      <c r="E12" s="50" t="s">
        <v>255</v>
      </c>
      <c r="F12" s="50"/>
      <c r="G12" s="51" t="s">
        <v>326</v>
      </c>
      <c r="H12" s="51" t="s">
        <v>289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313</v>
      </c>
      <c r="H13" s="51" t="s">
        <v>213</v>
      </c>
      <c r="I13" s="9" t="s">
        <v>200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250</v>
      </c>
      <c r="E14" s="50" t="s">
        <v>256</v>
      </c>
      <c r="F14" s="50"/>
      <c r="G14" s="51" t="s">
        <v>328</v>
      </c>
      <c r="H14" s="51" t="s">
        <v>291</v>
      </c>
      <c r="I14" s="9" t="s">
        <v>200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0"/>
      <c r="T14" s="52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308</v>
      </c>
      <c r="H15" s="51" t="s">
        <v>203</v>
      </c>
      <c r="I15" s="9" t="s">
        <v>200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0"/>
      <c r="T15" s="52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309</v>
      </c>
      <c r="H16" s="51" t="s">
        <v>204</v>
      </c>
      <c r="I16" s="9" t="s">
        <v>200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0"/>
      <c r="T16" s="52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310</v>
      </c>
      <c r="H17" s="51" t="s">
        <v>205</v>
      </c>
      <c r="I17" s="9" t="s">
        <v>200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0"/>
      <c r="T17" s="52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312</v>
      </c>
      <c r="H18" s="51" t="s">
        <v>207</v>
      </c>
      <c r="I18" s="9" t="s">
        <v>200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0"/>
      <c r="T18" s="52"/>
      <c r="U18" s="130"/>
      <c r="V18" s="131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267</v>
      </c>
      <c r="K2" s="7" t="s">
        <v>23</v>
      </c>
      <c r="L2" s="6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45</v>
      </c>
      <c r="K3" s="7" t="s">
        <v>24</v>
      </c>
      <c r="L3" s="64" t="str">
        <f>IF(LogicCommon!G3="","",LogicCommon!G3)</f>
        <v/>
      </c>
      <c r="M3" s="68" t="s">
        <v>68</v>
      </c>
      <c r="N3" s="7"/>
      <c r="O3" s="7" t="s">
        <v>195</v>
      </c>
      <c r="P3" s="9" t="s">
        <v>196</v>
      </c>
      <c r="Q3" s="4"/>
    </row>
    <row r="4" spans="1:17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47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191</v>
      </c>
      <c r="B6" s="66"/>
      <c r="C6" s="66"/>
      <c r="D6" s="4" t="s">
        <v>5</v>
      </c>
      <c r="E6" s="16" t="s">
        <v>268</v>
      </c>
      <c r="F6" s="16"/>
      <c r="G6" s="16"/>
      <c r="H6" s="16"/>
      <c r="I6" s="16"/>
      <c r="J6" s="16"/>
      <c r="K6" s="16"/>
      <c r="L6" s="72"/>
      <c r="M6" s="19" t="s">
        <v>190</v>
      </c>
      <c r="N6" s="19"/>
      <c r="O6" s="19"/>
      <c r="P6" s="19"/>
      <c r="Q6" s="19"/>
    </row>
    <row r="7" spans="1:17" s="11" customFormat="1" x14ac:dyDescent="0.2">
      <c r="A7" s="30" t="s">
        <v>66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2" t="s">
        <v>77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9" t="s">
        <v>65</v>
      </c>
      <c r="L8" s="33" t="s">
        <v>36</v>
      </c>
      <c r="M8" s="9"/>
      <c r="N8" s="78"/>
      <c r="O8" s="79"/>
      <c r="P8" s="80" t="s">
        <v>296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80" t="s">
        <v>304</v>
      </c>
      <c r="O9" s="52"/>
      <c r="P9" s="80" t="s">
        <v>305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5" t="s">
        <v>302</v>
      </c>
      <c r="M10" s="75" t="s">
        <v>303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269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249</v>
      </c>
      <c r="E12" s="50" t="s">
        <v>255</v>
      </c>
      <c r="F12" s="50"/>
      <c r="G12" s="51" t="s">
        <v>326</v>
      </c>
      <c r="H12" s="51" t="s">
        <v>289</v>
      </c>
      <c r="I12" s="9" t="s">
        <v>200</v>
      </c>
      <c r="J12" s="9"/>
      <c r="K12" s="9" t="s">
        <v>201</v>
      </c>
      <c r="L12" s="9"/>
      <c r="M12" s="9"/>
      <c r="N12" s="40"/>
      <c r="O12" s="52"/>
      <c r="P12" s="130"/>
      <c r="Q12" s="131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/>
      <c r="L13" s="9"/>
      <c r="M13" s="9"/>
      <c r="N13" s="40"/>
      <c r="O13" s="52"/>
      <c r="P13" s="130"/>
      <c r="Q13" s="131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191</v>
      </c>
      <c r="B1" s="61" t="s">
        <v>191</v>
      </c>
      <c r="C1" s="6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191</v>
      </c>
      <c r="B2" s="63"/>
      <c r="C2" s="63"/>
      <c r="D2" s="73" t="s">
        <v>292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MABCL0036</v>
      </c>
      <c r="I2" s="7" t="s">
        <v>192</v>
      </c>
      <c r="J2" s="9" t="s">
        <v>270</v>
      </c>
      <c r="K2" s="7" t="s">
        <v>23</v>
      </c>
      <c r="L2" s="64" t="str">
        <f>IF(LogicCommon!G2="","",LogicCommon!G2)</f>
        <v>MC</v>
      </c>
      <c r="M2" s="5" t="s">
        <v>193</v>
      </c>
      <c r="N2" s="28" t="s">
        <v>276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191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194</v>
      </c>
      <c r="J3" s="9" t="s">
        <v>76</v>
      </c>
      <c r="K3" s="7" t="s">
        <v>24</v>
      </c>
      <c r="L3" s="64" t="str">
        <f>IF(LogicCommon!G3="","",LogicCommon!G3)</f>
        <v/>
      </c>
      <c r="M3" s="68" t="s">
        <v>21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191</v>
      </c>
      <c r="B4" s="66"/>
      <c r="C4" s="66"/>
      <c r="D4" s="4"/>
      <c r="E4" s="7" t="s">
        <v>7</v>
      </c>
      <c r="F4" s="10" t="s">
        <v>244</v>
      </c>
      <c r="G4" s="7" t="s">
        <v>10</v>
      </c>
      <c r="H4" s="64" t="str">
        <f>IF(LogicCommon!E4="","",LogicCommon!E4)</f>
        <v>マルチマスタ登録</v>
      </c>
      <c r="I4" s="7" t="s">
        <v>197</v>
      </c>
      <c r="J4" s="9" t="s">
        <v>75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191</v>
      </c>
      <c r="B5" s="61"/>
      <c r="C5" s="61"/>
      <c r="D5" s="26"/>
      <c r="E5" s="7" t="s">
        <v>198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191</v>
      </c>
      <c r="B6" s="66"/>
      <c r="C6" s="66"/>
      <c r="D6" s="4" t="s">
        <v>5</v>
      </c>
      <c r="E6" s="16" t="s">
        <v>271</v>
      </c>
      <c r="F6" s="16"/>
      <c r="G6" s="16"/>
      <c r="H6" s="16"/>
      <c r="I6" s="16"/>
      <c r="J6" s="16"/>
      <c r="K6" s="16"/>
      <c r="L6" s="72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 x14ac:dyDescent="0.2">
      <c r="A7" s="30" t="s">
        <v>70</v>
      </c>
      <c r="B7" s="30"/>
      <c r="C7" s="30"/>
      <c r="D7" s="31"/>
      <c r="E7" s="31"/>
      <c r="F7" s="31"/>
      <c r="G7" s="31"/>
      <c r="H7" s="31"/>
      <c r="I7" s="31" t="s">
        <v>67</v>
      </c>
      <c r="J7" s="31"/>
      <c r="K7" s="33" t="s">
        <v>74</v>
      </c>
      <c r="L7" s="32" t="s">
        <v>73</v>
      </c>
      <c r="M7" s="33" t="s">
        <v>35</v>
      </c>
      <c r="N7" s="32" t="s">
        <v>72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6"/>
      <c r="C8" s="77"/>
      <c r="D8" s="74" t="s">
        <v>293</v>
      </c>
      <c r="E8" s="74" t="s">
        <v>294</v>
      </c>
      <c r="F8" s="72"/>
      <c r="G8" s="74" t="s">
        <v>208</v>
      </c>
      <c r="H8" s="74" t="s">
        <v>295</v>
      </c>
      <c r="I8" s="72"/>
      <c r="J8" s="3"/>
      <c r="K8" s="33" t="s">
        <v>78</v>
      </c>
      <c r="L8" s="9" t="s">
        <v>286</v>
      </c>
      <c r="M8" s="33" t="s">
        <v>36</v>
      </c>
      <c r="N8" s="9" t="s">
        <v>265</v>
      </c>
      <c r="O8" s="33" t="s">
        <v>36</v>
      </c>
      <c r="P8" s="9"/>
      <c r="Q8" s="33" t="s">
        <v>36</v>
      </c>
      <c r="R8" s="9"/>
      <c r="S8" s="78"/>
      <c r="T8" s="79"/>
      <c r="U8" s="80" t="s">
        <v>296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4" t="s">
        <v>297</v>
      </c>
      <c r="E9" s="81" t="s">
        <v>298</v>
      </c>
      <c r="F9" s="74" t="s">
        <v>299</v>
      </c>
      <c r="G9" s="74" t="s">
        <v>300</v>
      </c>
      <c r="H9" s="74" t="s">
        <v>301</v>
      </c>
      <c r="I9" s="82" t="s">
        <v>302</v>
      </c>
      <c r="J9" s="74" t="s">
        <v>303</v>
      </c>
      <c r="K9" s="33"/>
      <c r="L9" s="33"/>
      <c r="M9" s="33"/>
      <c r="N9" s="33"/>
      <c r="O9" s="33"/>
      <c r="P9" s="33"/>
      <c r="Q9" s="33"/>
      <c r="R9" s="33"/>
      <c r="S9" s="80" t="s">
        <v>304</v>
      </c>
      <c r="T9" s="52"/>
      <c r="U9" s="80" t="s">
        <v>305</v>
      </c>
      <c r="V9" s="52"/>
    </row>
    <row r="10" spans="1:22" s="11" customFormat="1" ht="52" x14ac:dyDescent="0.2">
      <c r="A10" s="38" t="s">
        <v>70</v>
      </c>
      <c r="B10" s="39"/>
      <c r="C10" s="39"/>
      <c r="D10" s="40"/>
      <c r="E10" s="41"/>
      <c r="F10" s="41"/>
      <c r="G10" s="42"/>
      <c r="H10" s="42"/>
      <c r="I10" s="41"/>
      <c r="J10" s="41"/>
      <c r="K10" s="75" t="s">
        <v>302</v>
      </c>
      <c r="L10" s="75" t="s">
        <v>303</v>
      </c>
      <c r="M10" s="75" t="s">
        <v>302</v>
      </c>
      <c r="N10" s="75" t="s">
        <v>303</v>
      </c>
      <c r="O10" s="75" t="s">
        <v>302</v>
      </c>
      <c r="P10" s="75" t="s">
        <v>303</v>
      </c>
      <c r="Q10" s="75" t="s">
        <v>302</v>
      </c>
      <c r="R10" s="75" t="s">
        <v>303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272</v>
      </c>
      <c r="E11" s="43" t="s">
        <v>69</v>
      </c>
      <c r="F11" s="44"/>
      <c r="G11" s="28" t="s">
        <v>58</v>
      </c>
      <c r="H11" s="45" t="s">
        <v>273</v>
      </c>
      <c r="I11" s="46"/>
      <c r="J11" s="47"/>
      <c r="K11" s="48" t="s">
        <v>14</v>
      </c>
      <c r="L11" s="48"/>
      <c r="M11" s="48" t="s">
        <v>210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249</v>
      </c>
      <c r="E12" s="50" t="s">
        <v>255</v>
      </c>
      <c r="F12" s="50"/>
      <c r="G12" s="51" t="s">
        <v>326</v>
      </c>
      <c r="H12" s="51" t="s">
        <v>289</v>
      </c>
      <c r="I12" s="9" t="s">
        <v>200</v>
      </c>
      <c r="J12" s="9"/>
      <c r="K12" s="9" t="s">
        <v>201</v>
      </c>
      <c r="L12" s="9"/>
      <c r="M12" s="9" t="s">
        <v>201</v>
      </c>
      <c r="N12" s="9"/>
      <c r="O12" s="9"/>
      <c r="P12" s="9"/>
      <c r="Q12" s="9"/>
      <c r="R12" s="9"/>
      <c r="S12" s="40"/>
      <c r="T12" s="52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312</v>
      </c>
      <c r="H13" s="51" t="s">
        <v>207</v>
      </c>
      <c r="I13" s="9" t="s">
        <v>200</v>
      </c>
      <c r="J13" s="9"/>
      <c r="K13" s="9" t="s">
        <v>201</v>
      </c>
      <c r="L13" s="9"/>
      <c r="M13" s="9"/>
      <c r="N13" s="9"/>
      <c r="O13" s="9"/>
      <c r="P13" s="9"/>
      <c r="Q13" s="9"/>
      <c r="R13" s="9"/>
      <c r="S13" s="40"/>
      <c r="T13" s="52"/>
      <c r="U13" s="130"/>
      <c r="V13" s="131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6" customWidth="1"/>
    <col min="43" max="44" width="2.08984375" style="58" customWidth="1"/>
    <col min="45" max="71" width="2.08984375" style="56" customWidth="1"/>
    <col min="72" max="16384" width="9" style="56"/>
  </cols>
  <sheetData>
    <row r="1" spans="1:57" ht="38.25" customHeight="1" thickBot="1" x14ac:dyDescent="0.25">
      <c r="A1" s="122" t="s">
        <v>15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4"/>
    </row>
    <row r="2" spans="1:57" ht="12" customHeight="1" thickBo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</row>
    <row r="3" spans="1:57" ht="15" customHeight="1" thickBot="1" x14ac:dyDescent="0.25">
      <c r="A3" s="90" t="s">
        <v>16</v>
      </c>
      <c r="B3" s="91"/>
      <c r="C3" s="91"/>
      <c r="D3" s="91"/>
      <c r="E3" s="91"/>
      <c r="F3" s="91"/>
      <c r="G3" s="92"/>
      <c r="H3" s="125" t="s">
        <v>17</v>
      </c>
      <c r="I3" s="91"/>
      <c r="J3" s="91"/>
      <c r="K3" s="91"/>
      <c r="L3" s="91"/>
      <c r="M3" s="91"/>
      <c r="N3" s="92"/>
      <c r="O3" s="125" t="s">
        <v>18</v>
      </c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7"/>
      <c r="AQ3" s="125" t="s">
        <v>19</v>
      </c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9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83"/>
      <c r="I4" s="84"/>
      <c r="J4" s="84"/>
      <c r="K4" s="84"/>
      <c r="L4" s="84"/>
      <c r="M4" s="84"/>
      <c r="N4" s="85"/>
      <c r="O4" s="83" t="s">
        <v>20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93"/>
      <c r="I5" s="104"/>
      <c r="J5" s="104"/>
      <c r="K5" s="104"/>
      <c r="L5" s="104"/>
      <c r="M5" s="104"/>
      <c r="N5" s="105"/>
      <c r="O5" s="106" t="s">
        <v>329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330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101"/>
      <c r="B6" s="102"/>
      <c r="C6" s="102"/>
      <c r="D6" s="102"/>
      <c r="E6" s="102"/>
      <c r="F6" s="102"/>
      <c r="G6" s="103"/>
      <c r="H6" s="93"/>
      <c r="I6" s="104"/>
      <c r="J6" s="104"/>
      <c r="K6" s="104"/>
      <c r="L6" s="104"/>
      <c r="M6" s="104"/>
      <c r="N6" s="105"/>
      <c r="O6" s="93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 x14ac:dyDescent="0.2">
      <c r="A7" s="101"/>
      <c r="B7" s="102"/>
      <c r="C7" s="102"/>
      <c r="D7" s="102"/>
      <c r="E7" s="102"/>
      <c r="F7" s="102"/>
      <c r="G7" s="103"/>
      <c r="H7" s="93"/>
      <c r="I7" s="104"/>
      <c r="J7" s="104"/>
      <c r="K7" s="104"/>
      <c r="L7" s="104"/>
      <c r="M7" s="104"/>
      <c r="N7" s="105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 x14ac:dyDescent="0.2">
      <c r="A8" s="101"/>
      <c r="B8" s="102"/>
      <c r="C8" s="102"/>
      <c r="D8" s="102"/>
      <c r="E8" s="102"/>
      <c r="F8" s="102"/>
      <c r="G8" s="103"/>
      <c r="H8" s="93"/>
      <c r="I8" s="104"/>
      <c r="J8" s="104"/>
      <c r="K8" s="104"/>
      <c r="L8" s="104"/>
      <c r="M8" s="104"/>
      <c r="N8" s="105"/>
      <c r="O8" s="93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 x14ac:dyDescent="0.2">
      <c r="A9" s="101"/>
      <c r="B9" s="102"/>
      <c r="C9" s="102"/>
      <c r="D9" s="102"/>
      <c r="E9" s="102"/>
      <c r="F9" s="102"/>
      <c r="G9" s="103"/>
      <c r="H9" s="93"/>
      <c r="I9" s="104"/>
      <c r="J9" s="104"/>
      <c r="K9" s="104"/>
      <c r="L9" s="104"/>
      <c r="M9" s="104"/>
      <c r="N9" s="105"/>
      <c r="O9" s="93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 x14ac:dyDescent="0.2">
      <c r="A10" s="101"/>
      <c r="B10" s="102"/>
      <c r="C10" s="102"/>
      <c r="D10" s="102"/>
      <c r="E10" s="102"/>
      <c r="F10" s="102"/>
      <c r="G10" s="103"/>
      <c r="H10" s="93"/>
      <c r="I10" s="104"/>
      <c r="J10" s="104"/>
      <c r="K10" s="104"/>
      <c r="L10" s="104"/>
      <c r="M10" s="104"/>
      <c r="N10" s="105"/>
      <c r="O10" s="93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93"/>
      <c r="I11" s="104"/>
      <c r="J11" s="104"/>
      <c r="K11" s="104"/>
      <c r="L11" s="104"/>
      <c r="M11" s="104"/>
      <c r="N11" s="105"/>
      <c r="O11" s="93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93"/>
      <c r="I12" s="104"/>
      <c r="J12" s="104"/>
      <c r="K12" s="104"/>
      <c r="L12" s="104"/>
      <c r="M12" s="104"/>
      <c r="N12" s="105"/>
      <c r="O12" s="93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93"/>
      <c r="I13" s="104"/>
      <c r="J13" s="104"/>
      <c r="K13" s="104"/>
      <c r="L13" s="104"/>
      <c r="M13" s="104"/>
      <c r="N13" s="105"/>
      <c r="O13" s="93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93"/>
      <c r="I14" s="104"/>
      <c r="J14" s="104"/>
      <c r="K14" s="104"/>
      <c r="L14" s="104"/>
      <c r="M14" s="104"/>
      <c r="N14" s="105"/>
      <c r="O14" s="93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93"/>
      <c r="I15" s="104"/>
      <c r="J15" s="104"/>
      <c r="K15" s="104"/>
      <c r="L15" s="104"/>
      <c r="M15" s="104"/>
      <c r="N15" s="105"/>
      <c r="O15" s="93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93"/>
      <c r="I16" s="104"/>
      <c r="J16" s="104"/>
      <c r="K16" s="104"/>
      <c r="L16" s="104"/>
      <c r="M16" s="104"/>
      <c r="N16" s="105"/>
      <c r="O16" s="93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93"/>
      <c r="I17" s="104"/>
      <c r="J17" s="104"/>
      <c r="K17" s="104"/>
      <c r="L17" s="104"/>
      <c r="M17" s="104"/>
      <c r="N17" s="105"/>
      <c r="O17" s="93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93"/>
      <c r="I18" s="104"/>
      <c r="J18" s="104"/>
      <c r="K18" s="104"/>
      <c r="L18" s="104"/>
      <c r="M18" s="104"/>
      <c r="N18" s="105"/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93"/>
      <c r="I19" s="104"/>
      <c r="J19" s="104"/>
      <c r="K19" s="104"/>
      <c r="L19" s="104"/>
      <c r="M19" s="104"/>
      <c r="N19" s="105"/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93"/>
      <c r="I20" s="104"/>
      <c r="J20" s="104"/>
      <c r="K20" s="104"/>
      <c r="L20" s="104"/>
      <c r="M20" s="104"/>
      <c r="N20" s="105"/>
      <c r="O20" s="93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93"/>
      <c r="I21" s="104"/>
      <c r="J21" s="104"/>
      <c r="K21" s="104"/>
      <c r="L21" s="104"/>
      <c r="M21" s="104"/>
      <c r="N21" s="105"/>
      <c r="O21" s="93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93"/>
      <c r="I22" s="104"/>
      <c r="J22" s="104"/>
      <c r="K22" s="104"/>
      <c r="L22" s="104"/>
      <c r="M22" s="104"/>
      <c r="N22" s="105"/>
      <c r="O22" s="93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93"/>
      <c r="I23" s="104"/>
      <c r="J23" s="104"/>
      <c r="K23" s="104"/>
      <c r="L23" s="104"/>
      <c r="M23" s="104"/>
      <c r="N23" s="105"/>
      <c r="O23" s="93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93"/>
      <c r="I24" s="104"/>
      <c r="J24" s="104"/>
      <c r="K24" s="104"/>
      <c r="L24" s="104"/>
      <c r="M24" s="104"/>
      <c r="N24" s="105"/>
      <c r="O24" s="93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93"/>
      <c r="I25" s="104"/>
      <c r="J25" s="104"/>
      <c r="K25" s="104"/>
      <c r="L25" s="104"/>
      <c r="M25" s="104"/>
      <c r="N25" s="105"/>
      <c r="O25" s="93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93"/>
      <c r="I26" s="104"/>
      <c r="J26" s="104"/>
      <c r="K26" s="104"/>
      <c r="L26" s="104"/>
      <c r="M26" s="104"/>
      <c r="N26" s="105"/>
      <c r="O26" s="93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93"/>
      <c r="I27" s="104"/>
      <c r="J27" s="104"/>
      <c r="K27" s="104"/>
      <c r="L27" s="104"/>
      <c r="M27" s="104"/>
      <c r="N27" s="105"/>
      <c r="O27" s="93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93"/>
      <c r="I28" s="104"/>
      <c r="J28" s="104"/>
      <c r="K28" s="104"/>
      <c r="L28" s="104"/>
      <c r="M28" s="104"/>
      <c r="N28" s="105"/>
      <c r="O28" s="93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93"/>
      <c r="I29" s="104"/>
      <c r="J29" s="104"/>
      <c r="K29" s="104"/>
      <c r="L29" s="104"/>
      <c r="M29" s="104"/>
      <c r="N29" s="105"/>
      <c r="O29" s="93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93"/>
      <c r="I30" s="104"/>
      <c r="J30" s="104"/>
      <c r="K30" s="104"/>
      <c r="L30" s="104"/>
      <c r="M30" s="104"/>
      <c r="N30" s="105"/>
      <c r="O30" s="93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93"/>
      <c r="I31" s="104"/>
      <c r="J31" s="104"/>
      <c r="K31" s="104"/>
      <c r="L31" s="104"/>
      <c r="M31" s="104"/>
      <c r="N31" s="105"/>
      <c r="O31" s="93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93"/>
      <c r="I32" s="104"/>
      <c r="J32" s="104"/>
      <c r="K32" s="104"/>
      <c r="L32" s="104"/>
      <c r="M32" s="104"/>
      <c r="N32" s="105"/>
      <c r="O32" s="93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93"/>
      <c r="I33" s="104"/>
      <c r="J33" s="104"/>
      <c r="K33" s="104"/>
      <c r="L33" s="104"/>
      <c r="M33" s="104"/>
      <c r="N33" s="105"/>
      <c r="O33" s="93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93"/>
      <c r="I34" s="104"/>
      <c r="J34" s="104"/>
      <c r="K34" s="104"/>
      <c r="L34" s="104"/>
      <c r="M34" s="104"/>
      <c r="N34" s="105"/>
      <c r="O34" s="93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 x14ac:dyDescent="0.25">
      <c r="A35" s="119"/>
      <c r="B35" s="120"/>
      <c r="C35" s="120"/>
      <c r="D35" s="120"/>
      <c r="E35" s="120"/>
      <c r="F35" s="120"/>
      <c r="G35" s="12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LogicCommon</vt:lpstr>
      <vt:lpstr>GpAlc_UpdChk01</vt:lpstr>
      <vt:lpstr>GpAlc_Upd01</vt:lpstr>
      <vt:lpstr>GpAlcLcl_UpdChk01</vt:lpstr>
      <vt:lpstr>GpAlcLcl_Upd01</vt:lpstr>
      <vt:lpstr>GpAlc_DelChk01</vt:lpstr>
      <vt:lpstr>GpAlc_Del01</vt:lpstr>
      <vt:lpstr>CalcCtg_UpdChk01</vt:lpstr>
      <vt:lpstr>CalcCtg_Upd01</vt:lpstr>
      <vt:lpstr>CalcCtgLcl_UpdChk01</vt:lpstr>
      <vt:lpstr>CalcCtgLcl_Upd01</vt:lpstr>
      <vt:lpstr>CalcCtg_DelChk01</vt:lpstr>
      <vt:lpstr>CalcCtg_Del01</vt:lpstr>
      <vt:lpstr>RptPtn_UpdChk01</vt:lpstr>
      <vt:lpstr>RptPtn_Upd01</vt:lpstr>
      <vt:lpstr>RptPtnLcl_UpdChk01</vt:lpstr>
      <vt:lpstr>RptPtnLcl_Upd01</vt:lpstr>
      <vt:lpstr>RptPtn_DelChk01</vt:lpstr>
      <vt:lpstr>RptPtn_Del01</vt:lpstr>
      <vt:lpstr>CostMenu_UpdChk01</vt:lpstr>
      <vt:lpstr>CostMenu_Upd01</vt:lpstr>
      <vt:lpstr>CostMenuLcl_UpdChk01</vt:lpstr>
      <vt:lpstr>CostMenuLcl_Upd01</vt:lpstr>
      <vt:lpstr>CostMenu_DelChk01</vt:lpstr>
      <vt:lpstr>CostMenu_Del01</vt:lpstr>
      <vt:lpstr>SiteCo_UpdChk01</vt:lpstr>
      <vt:lpstr>SiteCo_Upd01</vt:lpstr>
      <vt:lpstr>SiteCoLcl_UpdChk01</vt:lpstr>
      <vt:lpstr>SiteCoLcl_Upd01</vt:lpstr>
      <vt:lpstr>SiteCo_DelChk01</vt:lpstr>
      <vt:lpstr>SiteCo_Del01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2026-03-27T05:42:20Z</dcterms:modified>
  <cp:category/>
</cp:coreProperties>
</file>