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24BF36C9-5C27-4DF3-801D-B030B1CF82E8}" xr6:coauthVersionLast="47" xr6:coauthVersionMax="47" xr10:uidLastSave="{00000000-0000-0000-0000-000000000000}"/>
  <bookViews>
    <workbookView xWindow="1710" yWindow="1710" windowWidth="21600" windowHeight="11265" tabRatio="822" xr2:uid="{00000000-000D-0000-FFFF-FFFF00000000}"/>
  </bookViews>
  <sheets>
    <sheet name="LogicCommon" sheetId="10" r:id="rId1"/>
    <sheet name="BankAc_UpdChk01" sheetId="53" r:id="rId2"/>
    <sheet name="BankAc_Upd01" sheetId="54" r:id="rId3"/>
    <sheet name="BankAcLcl_UpdChk01" sheetId="55" r:id="rId4"/>
    <sheet name="BankAcLcl_Upd01" sheetId="56" r:id="rId5"/>
    <sheet name="BankAc_DelChk01" sheetId="97" r:id="rId6"/>
    <sheet name="BankAc_Del01" sheetId="98" r:id="rId7"/>
    <sheet name="Xrate_UpdChk01" sheetId="57" r:id="rId8"/>
    <sheet name="Xrate_Upd01" sheetId="58" r:id="rId9"/>
    <sheet name="XrateLcl_UpdChk01" sheetId="59" r:id="rId10"/>
    <sheet name="XrateLcl_Upd01" sheetId="60" r:id="rId11"/>
    <sheet name="Xrate_DelChk01" sheetId="99" r:id="rId12"/>
    <sheet name="Xrate_Del01" sheetId="100" r:id="rId13"/>
    <sheet name="CalBase_UpdChk01" sheetId="61" r:id="rId14"/>
    <sheet name="CalBase_Upd01" sheetId="62" r:id="rId15"/>
    <sheet name="CalBaseLcl_UpdChk01" sheetId="63" r:id="rId16"/>
    <sheet name="CalBaseLcl_Upd01" sheetId="64" r:id="rId17"/>
    <sheet name="CalBase_DelChk01" sheetId="101" r:id="rId18"/>
    <sheet name="CalBase_Del01" sheetId="102" r:id="rId19"/>
    <sheet name="ItmJnl_UpdChk01" sheetId="65" r:id="rId20"/>
    <sheet name="ItmJnl_Upd01" sheetId="66" r:id="rId21"/>
    <sheet name="ItmJnlLcl_UpdChk01" sheetId="67" r:id="rId22"/>
    <sheet name="ItmJnlLcl_Upd01" sheetId="68" r:id="rId23"/>
    <sheet name="ItmJnl_DelChk01" sheetId="103" r:id="rId24"/>
    <sheet name="ItmJnl_Del01" sheetId="104" r:id="rId25"/>
    <sheet name="AcItmGrp_UpdChk01" sheetId="69" r:id="rId26"/>
    <sheet name="AcItmGrp_Upd01" sheetId="70" r:id="rId27"/>
    <sheet name="AcItmGrpLcl_UpdChk01" sheetId="71" r:id="rId28"/>
    <sheet name="AcItmGrpLcl_Upd01" sheetId="72" r:id="rId29"/>
    <sheet name="AcItmGrp_DelChk01" sheetId="105" r:id="rId30"/>
    <sheet name="AcItmGrp_Del01" sheetId="106" r:id="rId31"/>
    <sheet name="AcRsn_UpdChk01" sheetId="73" r:id="rId32"/>
    <sheet name="AcRsn_Upd01" sheetId="74" r:id="rId33"/>
    <sheet name="AcRsnLcl_UpdChk01" sheetId="75" r:id="rId34"/>
    <sheet name="AcRsnLcl_Upd01" sheetId="76" r:id="rId35"/>
    <sheet name="AcRsn_DelChk01" sheetId="107" r:id="rId36"/>
    <sheet name="AcRsn_Del01" sheetId="108" r:id="rId37"/>
    <sheet name="Site_UpdChk01" sheetId="81" r:id="rId38"/>
    <sheet name="Site_Upd01" sheetId="82" r:id="rId39"/>
    <sheet name="SiteLcl_UpdChk01" sheetId="83" r:id="rId40"/>
    <sheet name="SiteLcl_Upd01" sheetId="84" r:id="rId41"/>
    <sheet name="Site_DelChk01" sheetId="109" r:id="rId42"/>
    <sheet name="Site_Del01" sheetId="110" r:id="rId43"/>
    <sheet name="LocGrp_UpdChk01" sheetId="85" r:id="rId44"/>
    <sheet name="LocGrp_Upd01" sheetId="86" r:id="rId45"/>
    <sheet name="LocGrpLcl_UpdChk01" sheetId="87" r:id="rId46"/>
    <sheet name="LocGrpLcl_Upd01" sheetId="88" r:id="rId47"/>
    <sheet name="LocGrp_DelChk01" sheetId="111" r:id="rId48"/>
    <sheet name="LocGrp_Del01" sheetId="112" r:id="rId49"/>
    <sheet name="LgGrp_UpdChk01" sheetId="89" r:id="rId50"/>
    <sheet name="LgGrp_Upd01" sheetId="90" r:id="rId51"/>
    <sheet name="LgGrpLcl_UpdChk01" sheetId="91" r:id="rId52"/>
    <sheet name="LgGrpLcl_Upd01" sheetId="92" r:id="rId53"/>
    <sheet name="LgGrp_DelChk01" sheetId="113" r:id="rId54"/>
    <sheet name="LgGrp_Del01" sheetId="114" r:id="rId55"/>
    <sheet name="AllocGrp_UpdChk01" sheetId="93" r:id="rId56"/>
    <sheet name="AllocGrp_Upd01" sheetId="94" r:id="rId57"/>
    <sheet name="AllocGrpLcl_UpdChk01" sheetId="95" r:id="rId58"/>
    <sheet name="AllocGrpLcl_Upd01" sheetId="96" r:id="rId59"/>
    <sheet name="AllocGrp_DelChk01" sheetId="115" r:id="rId60"/>
    <sheet name="AllocGrp_Del01" sheetId="116" r:id="rId61"/>
    <sheet name="来歴" sheetId="13" r:id="rId6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16" l="1"/>
  <c r="L3" i="116"/>
  <c r="L2" i="116"/>
  <c r="L4" i="115"/>
  <c r="N2" i="115" s="1"/>
  <c r="L3" i="115"/>
  <c r="L2" i="115"/>
  <c r="L4" i="114"/>
  <c r="L3" i="114"/>
  <c r="L2" i="114"/>
  <c r="L4" i="113"/>
  <c r="L3" i="113"/>
  <c r="L2" i="113"/>
  <c r="L4" i="112"/>
  <c r="L3" i="112"/>
  <c r="L2" i="112"/>
  <c r="L4" i="111"/>
  <c r="N2" i="111" s="1"/>
  <c r="L3" i="111"/>
  <c r="L2" i="111"/>
  <c r="L4" i="110"/>
  <c r="L3" i="110"/>
  <c r="L2" i="110"/>
  <c r="L4" i="109"/>
  <c r="N2" i="109" s="1"/>
  <c r="L3" i="109"/>
  <c r="L2" i="109"/>
  <c r="L4" i="108"/>
  <c r="L3" i="108"/>
  <c r="L2" i="108"/>
  <c r="L4" i="107"/>
  <c r="N2" i="107" s="1"/>
  <c r="L3" i="107"/>
  <c r="L2" i="107"/>
  <c r="L4" i="106"/>
  <c r="L3" i="106"/>
  <c r="L2" i="106"/>
  <c r="L4" i="105"/>
  <c r="N2" i="105" s="1"/>
  <c r="L3" i="105"/>
  <c r="L2" i="105"/>
  <c r="L4" i="104"/>
  <c r="L3" i="104"/>
  <c r="L2" i="104"/>
  <c r="L4" i="103"/>
  <c r="N2" i="103" s="1"/>
  <c r="L3" i="103"/>
  <c r="L2" i="103"/>
  <c r="L4" i="102"/>
  <c r="L3" i="102"/>
  <c r="L2" i="102"/>
  <c r="L4" i="101"/>
  <c r="N2" i="101" s="1"/>
  <c r="L3" i="101"/>
  <c r="L2" i="101"/>
  <c r="L4" i="100"/>
  <c r="L3" i="100"/>
  <c r="L2" i="100"/>
  <c r="L4" i="99"/>
  <c r="N2" i="99" s="1"/>
  <c r="L3" i="99"/>
  <c r="L2" i="99"/>
  <c r="L4" i="98"/>
  <c r="L3" i="98"/>
  <c r="L2" i="98"/>
  <c r="L4" i="97"/>
  <c r="L3" i="97"/>
  <c r="L2" i="97"/>
  <c r="H4" i="116"/>
  <c r="H3" i="116"/>
  <c r="F3" i="116"/>
  <c r="D3" i="116"/>
  <c r="H2" i="116"/>
  <c r="F2" i="116"/>
  <c r="H4" i="115"/>
  <c r="H3" i="115"/>
  <c r="F3" i="115"/>
  <c r="D3" i="115"/>
  <c r="H2" i="115"/>
  <c r="F2" i="115"/>
  <c r="H4" i="114"/>
  <c r="H3" i="114"/>
  <c r="F3" i="114"/>
  <c r="D3" i="114"/>
  <c r="H2" i="114"/>
  <c r="F2" i="114"/>
  <c r="H4" i="113"/>
  <c r="H3" i="113"/>
  <c r="F3" i="113"/>
  <c r="D3" i="113"/>
  <c r="H2" i="113"/>
  <c r="F2" i="113"/>
  <c r="H4" i="112"/>
  <c r="H3" i="112"/>
  <c r="F3" i="112"/>
  <c r="D3" i="112"/>
  <c r="H2" i="112"/>
  <c r="F2" i="112"/>
  <c r="H4" i="111"/>
  <c r="H3" i="111"/>
  <c r="F3" i="111"/>
  <c r="D3" i="111"/>
  <c r="H2" i="111"/>
  <c r="F2" i="111"/>
  <c r="H4" i="110"/>
  <c r="H3" i="110"/>
  <c r="F3" i="110"/>
  <c r="D3" i="110"/>
  <c r="H2" i="110"/>
  <c r="F2" i="110"/>
  <c r="H4" i="109"/>
  <c r="H3" i="109"/>
  <c r="F3" i="109"/>
  <c r="D3" i="109"/>
  <c r="H2" i="109"/>
  <c r="F2" i="109"/>
  <c r="H4" i="108"/>
  <c r="H3" i="108"/>
  <c r="F3" i="108"/>
  <c r="D3" i="108"/>
  <c r="H2" i="108"/>
  <c r="F2" i="108"/>
  <c r="H4" i="107"/>
  <c r="H3" i="107"/>
  <c r="F3" i="107"/>
  <c r="D3" i="107"/>
  <c r="H2" i="107"/>
  <c r="F2" i="107"/>
  <c r="H4" i="106"/>
  <c r="H3" i="106"/>
  <c r="F3" i="106"/>
  <c r="D3" i="106"/>
  <c r="H2" i="106"/>
  <c r="F2" i="106"/>
  <c r="H4" i="105"/>
  <c r="H3" i="105"/>
  <c r="F3" i="105"/>
  <c r="D3" i="105"/>
  <c r="H2" i="105"/>
  <c r="F2" i="105"/>
  <c r="H4" i="104"/>
  <c r="H3" i="104"/>
  <c r="F3" i="104"/>
  <c r="D3" i="104"/>
  <c r="H2" i="104"/>
  <c r="F2" i="104"/>
  <c r="H4" i="103"/>
  <c r="H3" i="103"/>
  <c r="F3" i="103"/>
  <c r="D3" i="103"/>
  <c r="H2" i="103"/>
  <c r="F2" i="103"/>
  <c r="H4" i="102"/>
  <c r="H3" i="102"/>
  <c r="F3" i="102"/>
  <c r="D3" i="102"/>
  <c r="H2" i="102"/>
  <c r="F2" i="102"/>
  <c r="H4" i="101"/>
  <c r="H3" i="101"/>
  <c r="F3" i="101"/>
  <c r="D3" i="101"/>
  <c r="H2" i="101"/>
  <c r="F2" i="101"/>
  <c r="H4" i="100"/>
  <c r="H3" i="100"/>
  <c r="F3" i="100"/>
  <c r="D3" i="100"/>
  <c r="H2" i="100"/>
  <c r="F2" i="100"/>
  <c r="H4" i="99"/>
  <c r="H3" i="99"/>
  <c r="F3" i="99"/>
  <c r="D3" i="99"/>
  <c r="H2" i="99"/>
  <c r="F2" i="99"/>
  <c r="H4" i="98"/>
  <c r="H3" i="98"/>
  <c r="F3" i="98"/>
  <c r="D3" i="98"/>
  <c r="H2" i="98"/>
  <c r="F2" i="98"/>
  <c r="H4" i="97"/>
  <c r="H3" i="97"/>
  <c r="F3" i="97"/>
  <c r="D3" i="97"/>
  <c r="H2" i="97"/>
  <c r="F2" i="97"/>
  <c r="N2" i="113"/>
  <c r="N2" i="97"/>
  <c r="L4" i="96" l="1"/>
  <c r="H4" i="96"/>
  <c r="L3" i="96"/>
  <c r="H3" i="96"/>
  <c r="F3" i="96"/>
  <c r="D3" i="96"/>
  <c r="L2" i="96"/>
  <c r="H2" i="96"/>
  <c r="F2" i="96"/>
  <c r="L4" i="95"/>
  <c r="N2" i="95" s="1"/>
  <c r="H4" i="95"/>
  <c r="L3" i="95"/>
  <c r="H3" i="95"/>
  <c r="F3" i="95"/>
  <c r="D3" i="95"/>
  <c r="L2" i="95"/>
  <c r="H2" i="95"/>
  <c r="F2" i="95"/>
  <c r="L4" i="94"/>
  <c r="H4" i="94"/>
  <c r="L3" i="94"/>
  <c r="H3" i="94"/>
  <c r="F3" i="94"/>
  <c r="D3" i="94"/>
  <c r="L2" i="94"/>
  <c r="H2" i="94"/>
  <c r="F2" i="94"/>
  <c r="L4" i="93"/>
  <c r="N2" i="93" s="1"/>
  <c r="H4" i="93"/>
  <c r="L3" i="93"/>
  <c r="H3" i="93"/>
  <c r="F3" i="93"/>
  <c r="D3" i="93"/>
  <c r="L2" i="93"/>
  <c r="H2" i="93"/>
  <c r="F2" i="93"/>
  <c r="L4" i="92"/>
  <c r="H4" i="92"/>
  <c r="L3" i="92"/>
  <c r="H3" i="92"/>
  <c r="F3" i="92"/>
  <c r="D3" i="92"/>
  <c r="L2" i="92"/>
  <c r="H2" i="92"/>
  <c r="F2" i="92"/>
  <c r="L4" i="91"/>
  <c r="N2" i="91" s="1"/>
  <c r="H4" i="91"/>
  <c r="L3" i="91"/>
  <c r="H3" i="91"/>
  <c r="F3" i="91"/>
  <c r="D3" i="91"/>
  <c r="L2" i="91"/>
  <c r="H2" i="91"/>
  <c r="F2" i="91"/>
  <c r="L4" i="90"/>
  <c r="H4" i="90"/>
  <c r="L3" i="90"/>
  <c r="H3" i="90"/>
  <c r="F3" i="90"/>
  <c r="D3" i="90"/>
  <c r="L2" i="90"/>
  <c r="H2" i="90"/>
  <c r="F2" i="90"/>
  <c r="L4" i="89"/>
  <c r="N2" i="89" s="1"/>
  <c r="H4" i="89"/>
  <c r="L3" i="89"/>
  <c r="H3" i="89"/>
  <c r="F3" i="89"/>
  <c r="D3" i="89"/>
  <c r="L2" i="89"/>
  <c r="H2" i="89"/>
  <c r="F2" i="89"/>
  <c r="L4" i="88"/>
  <c r="H4" i="88"/>
  <c r="L3" i="88"/>
  <c r="H3" i="88"/>
  <c r="F3" i="88"/>
  <c r="D3" i="88"/>
  <c r="L2" i="88"/>
  <c r="H2" i="88"/>
  <c r="F2" i="88"/>
  <c r="L4" i="87"/>
  <c r="N2" i="87" s="1"/>
  <c r="H4" i="87"/>
  <c r="L3" i="87"/>
  <c r="H3" i="87"/>
  <c r="F3" i="87"/>
  <c r="D3" i="87"/>
  <c r="L2" i="87"/>
  <c r="H2" i="87"/>
  <c r="F2" i="87"/>
  <c r="L4" i="86"/>
  <c r="H4" i="86"/>
  <c r="L3" i="86"/>
  <c r="H3" i="86"/>
  <c r="F3" i="86"/>
  <c r="D3" i="86"/>
  <c r="L2" i="86"/>
  <c r="H2" i="86"/>
  <c r="F2" i="86"/>
  <c r="L4" i="85"/>
  <c r="N2" i="85" s="1"/>
  <c r="H4" i="85"/>
  <c r="L3" i="85"/>
  <c r="H3" i="85"/>
  <c r="F3" i="85"/>
  <c r="D3" i="85"/>
  <c r="L2" i="85"/>
  <c r="H2" i="85"/>
  <c r="F2" i="85"/>
  <c r="L4" i="84"/>
  <c r="H4" i="84"/>
  <c r="L3" i="84"/>
  <c r="H3" i="84"/>
  <c r="F3" i="84"/>
  <c r="D3" i="84"/>
  <c r="L2" i="84"/>
  <c r="H2" i="84"/>
  <c r="F2" i="84"/>
  <c r="L4" i="83"/>
  <c r="N2" i="83" s="1"/>
  <c r="H4" i="83"/>
  <c r="L3" i="83"/>
  <c r="H3" i="83"/>
  <c r="F3" i="83"/>
  <c r="D3" i="83"/>
  <c r="L2" i="83"/>
  <c r="H2" i="83"/>
  <c r="F2" i="83"/>
  <c r="L4" i="82"/>
  <c r="H4" i="82"/>
  <c r="L3" i="82"/>
  <c r="H3" i="82"/>
  <c r="F3" i="82"/>
  <c r="D3" i="82"/>
  <c r="L2" i="82"/>
  <c r="H2" i="82"/>
  <c r="F2" i="82"/>
  <c r="L4" i="81"/>
  <c r="N2" i="81" s="1"/>
  <c r="H4" i="81"/>
  <c r="L3" i="81"/>
  <c r="H3" i="81"/>
  <c r="F3" i="81"/>
  <c r="D3" i="81"/>
  <c r="L2" i="81"/>
  <c r="H2" i="81"/>
  <c r="F2" i="81"/>
  <c r="L4" i="76"/>
  <c r="H4" i="76"/>
  <c r="L3" i="76"/>
  <c r="H3" i="76"/>
  <c r="F3" i="76"/>
  <c r="D3" i="76"/>
  <c r="L2" i="76"/>
  <c r="H2" i="76"/>
  <c r="F2" i="76"/>
  <c r="L4" i="75"/>
  <c r="N2" i="75" s="1"/>
  <c r="H4" i="75"/>
  <c r="L3" i="75"/>
  <c r="H3" i="75"/>
  <c r="F3" i="75"/>
  <c r="D3" i="75"/>
  <c r="L2" i="75"/>
  <c r="H2" i="75"/>
  <c r="F2" i="75"/>
  <c r="L4" i="74"/>
  <c r="H4" i="74"/>
  <c r="L3" i="74"/>
  <c r="H3" i="74"/>
  <c r="F3" i="74"/>
  <c r="D3" i="74"/>
  <c r="L2" i="74"/>
  <c r="H2" i="74"/>
  <c r="F2" i="74"/>
  <c r="L4" i="73"/>
  <c r="N2" i="73" s="1"/>
  <c r="H4" i="73"/>
  <c r="L3" i="73"/>
  <c r="H3" i="73"/>
  <c r="F3" i="73"/>
  <c r="D3" i="73"/>
  <c r="L2" i="73"/>
  <c r="H2" i="73"/>
  <c r="F2" i="73"/>
  <c r="L4" i="72"/>
  <c r="H4" i="72"/>
  <c r="L3" i="72"/>
  <c r="H3" i="72"/>
  <c r="F3" i="72"/>
  <c r="D3" i="72"/>
  <c r="L2" i="72"/>
  <c r="H2" i="72"/>
  <c r="F2" i="72"/>
  <c r="L4" i="71"/>
  <c r="N2" i="71" s="1"/>
  <c r="H4" i="71"/>
  <c r="L3" i="71"/>
  <c r="H3" i="71"/>
  <c r="F3" i="71"/>
  <c r="D3" i="71"/>
  <c r="L2" i="71"/>
  <c r="H2" i="71"/>
  <c r="F2" i="71"/>
  <c r="L4" i="70"/>
  <c r="H4" i="70"/>
  <c r="L3" i="70"/>
  <c r="H3" i="70"/>
  <c r="F3" i="70"/>
  <c r="D3" i="70"/>
  <c r="L2" i="70"/>
  <c r="H2" i="70"/>
  <c r="F2" i="70"/>
  <c r="L4" i="69"/>
  <c r="N2" i="69" s="1"/>
  <c r="H4" i="69"/>
  <c r="L3" i="69"/>
  <c r="H3" i="69"/>
  <c r="F3" i="69"/>
  <c r="D3" i="69"/>
  <c r="L2" i="69"/>
  <c r="H2" i="69"/>
  <c r="F2" i="69"/>
  <c r="L4" i="68"/>
  <c r="H4" i="68"/>
  <c r="L3" i="68"/>
  <c r="H3" i="68"/>
  <c r="F3" i="68"/>
  <c r="D3" i="68"/>
  <c r="L2" i="68"/>
  <c r="H2" i="68"/>
  <c r="F2" i="68"/>
  <c r="L4" i="67"/>
  <c r="N2" i="67" s="1"/>
  <c r="H4" i="67"/>
  <c r="L3" i="67"/>
  <c r="H3" i="67"/>
  <c r="F3" i="67"/>
  <c r="D3" i="67"/>
  <c r="L2" i="67"/>
  <c r="H2" i="67"/>
  <c r="F2" i="67"/>
  <c r="L4" i="66"/>
  <c r="H4" i="66"/>
  <c r="L3" i="66"/>
  <c r="H3" i="66"/>
  <c r="F3" i="66"/>
  <c r="D3" i="66"/>
  <c r="L2" i="66"/>
  <c r="H2" i="66"/>
  <c r="F2" i="66"/>
  <c r="L4" i="65"/>
  <c r="N2" i="65" s="1"/>
  <c r="H4" i="65"/>
  <c r="L3" i="65"/>
  <c r="H3" i="65"/>
  <c r="F3" i="65"/>
  <c r="D3" i="65"/>
  <c r="L2" i="65"/>
  <c r="H2" i="65"/>
  <c r="F2" i="65"/>
  <c r="L4" i="64"/>
  <c r="H4" i="64"/>
  <c r="L3" i="64"/>
  <c r="H3" i="64"/>
  <c r="F3" i="64"/>
  <c r="D3" i="64"/>
  <c r="L2" i="64"/>
  <c r="H2" i="64"/>
  <c r="F2" i="64"/>
  <c r="L4" i="63"/>
  <c r="N2" i="63" s="1"/>
  <c r="H4" i="63"/>
  <c r="L3" i="63"/>
  <c r="H3" i="63"/>
  <c r="F3" i="63"/>
  <c r="D3" i="63"/>
  <c r="L2" i="63"/>
  <c r="H2" i="63"/>
  <c r="F2" i="63"/>
  <c r="L4" i="62"/>
  <c r="H4" i="62"/>
  <c r="L3" i="62"/>
  <c r="H3" i="62"/>
  <c r="F3" i="62"/>
  <c r="D3" i="62"/>
  <c r="L2" i="62"/>
  <c r="H2" i="62"/>
  <c r="F2" i="62"/>
  <c r="L4" i="61"/>
  <c r="N2" i="61" s="1"/>
  <c r="H4" i="61"/>
  <c r="L3" i="61"/>
  <c r="H3" i="61"/>
  <c r="F3" i="61"/>
  <c r="D3" i="61"/>
  <c r="L2" i="61"/>
  <c r="H2" i="61"/>
  <c r="F2" i="61"/>
  <c r="L4" i="60"/>
  <c r="H4" i="60"/>
  <c r="L3" i="60"/>
  <c r="H3" i="60"/>
  <c r="F3" i="60"/>
  <c r="D3" i="60"/>
  <c r="L2" i="60"/>
  <c r="H2" i="60"/>
  <c r="F2" i="60"/>
  <c r="L4" i="59"/>
  <c r="N2" i="59" s="1"/>
  <c r="H4" i="59"/>
  <c r="L3" i="59"/>
  <c r="H3" i="59"/>
  <c r="F3" i="59"/>
  <c r="D3" i="59"/>
  <c r="L2" i="59"/>
  <c r="H2" i="59"/>
  <c r="F2" i="59"/>
  <c r="L4" i="58"/>
  <c r="H4" i="58"/>
  <c r="L3" i="58"/>
  <c r="H3" i="58"/>
  <c r="F3" i="58"/>
  <c r="D3" i="58"/>
  <c r="L2" i="58"/>
  <c r="H2" i="58"/>
  <c r="F2" i="58"/>
  <c r="L4" i="57"/>
  <c r="N2" i="57" s="1"/>
  <c r="H4" i="57"/>
  <c r="L3" i="57"/>
  <c r="H3" i="57"/>
  <c r="F3" i="57"/>
  <c r="D3" i="57"/>
  <c r="L2" i="57"/>
  <c r="H2" i="57"/>
  <c r="F2" i="57"/>
  <c r="L4" i="56"/>
  <c r="H4" i="56"/>
  <c r="L3" i="56"/>
  <c r="H3" i="56"/>
  <c r="F3" i="56"/>
  <c r="D3" i="56"/>
  <c r="L2" i="56"/>
  <c r="H2" i="56"/>
  <c r="F2" i="56"/>
  <c r="L4" i="55"/>
  <c r="N2" i="55" s="1"/>
  <c r="H4" i="55"/>
  <c r="L3" i="55"/>
  <c r="H3" i="55"/>
  <c r="F3" i="55"/>
  <c r="D3" i="55"/>
  <c r="L2" i="55"/>
  <c r="H2" i="55"/>
  <c r="F2" i="55"/>
  <c r="L4" i="54"/>
  <c r="H4" i="54"/>
  <c r="L3" i="54"/>
  <c r="H3" i="54"/>
  <c r="F3" i="54"/>
  <c r="D3" i="54"/>
  <c r="L2" i="54"/>
  <c r="H2" i="54"/>
  <c r="F2" i="54"/>
  <c r="L4" i="53"/>
  <c r="N2" i="53" s="1"/>
  <c r="H4" i="53"/>
  <c r="L3" i="53"/>
  <c r="H3" i="53"/>
  <c r="F3" i="53"/>
  <c r="D3" i="53"/>
  <c r="L2" i="53"/>
  <c r="H2" i="53"/>
  <c r="F2" i="53"/>
</calcChain>
</file>

<file path=xl/sharedStrings.xml><?xml version="1.0" encoding="utf-8"?>
<sst xmlns="http://schemas.openxmlformats.org/spreadsheetml/2006/main" count="7039" uniqueCount="664">
  <si>
    <t>*</t>
  </si>
  <si>
    <t>詳細 :</t>
  </si>
  <si>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</si>
  <si>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</si>
  <si>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</si>
  <si>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</si>
  <si>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</si>
  <si>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</si>
  <si>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</si>
  <si>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</si>
  <si>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</si>
  <si>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</si>
  <si>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</si>
  <si>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#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</si>
  <si>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</si>
  <si>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</si>
  <si>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</si>
  <si>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</si>
  <si>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</si>
  <si>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</si>
  <si>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U</t>
    <phoneticPr fontId="1"/>
  </si>
  <si>
    <t>Pj.ID :</t>
    <phoneticPr fontId="1"/>
  </si>
  <si>
    <t>SuperClassPj.ID :</t>
    <phoneticPr fontId="1"/>
  </si>
  <si>
    <t>MA</t>
    <phoneticPr fontId="1"/>
  </si>
  <si>
    <t>memo1</t>
  </si>
  <si>
    <t>#MA.MST_MEMO1</t>
  </si>
  <si>
    <t>memo3</t>
  </si>
  <si>
    <t>#MA.MST_MEMO3</t>
  </si>
  <si>
    <t>memo2</t>
  </si>
  <si>
    <t>#MA.MST_MEMO2</t>
  </si>
  <si>
    <t>#MA.FLG</t>
  </si>
  <si>
    <t>登録</t>
    <rPh sb="0" eb="2">
      <t>トウロク</t>
    </rPh>
    <phoneticPr fontId="1"/>
  </si>
  <si>
    <t>L</t>
  </si>
  <si>
    <t>o</t>
  </si>
  <si>
    <t>TargetName</t>
  </si>
  <si>
    <t>del_flg</t>
  </si>
  <si>
    <t>upd_cntr</t>
  </si>
  <si>
    <t>#MA.UPD_CNT</t>
  </si>
  <si>
    <t>#MA.LCL_CD</t>
  </si>
  <si>
    <t>lcl_cd</t>
  </si>
  <si>
    <t>MABCL_MultiReg</t>
    <phoneticPr fontId="1"/>
  </si>
  <si>
    <t>マルチマスタ登録</t>
    <phoneticPr fontId="1"/>
  </si>
  <si>
    <t>addr2</t>
  </si>
  <si>
    <t>addr3</t>
  </si>
  <si>
    <t>addr4</t>
  </si>
  <si>
    <t>#MA.ADDR2</t>
  </si>
  <si>
    <t>#MA.ADDR3</t>
  </si>
  <si>
    <t>#MA.ADDR4</t>
  </si>
  <si>
    <t>cal_cd</t>
  </si>
  <si>
    <t>cal_nm</t>
  </si>
  <si>
    <t>bank_ac_cd</t>
  </si>
  <si>
    <t>bank_ac_nm</t>
  </si>
  <si>
    <t>ext_flg</t>
  </si>
  <si>
    <t>bank_ac_no</t>
  </si>
  <si>
    <t>bank_ac_typ</t>
  </si>
  <si>
    <t>bank_ac_holder</t>
  </si>
  <si>
    <t>bank_ac_holder_sub</t>
  </si>
  <si>
    <t>xrate_cd</t>
  </si>
  <si>
    <t>xrate_nm</t>
  </si>
  <si>
    <t>itm_jnl_cd</t>
  </si>
  <si>
    <t>itm_jnl_nm</t>
  </si>
  <si>
    <t>ar_typ</t>
  </si>
  <si>
    <t>ap_typ</t>
  </si>
  <si>
    <t>ac_itm_grp_cd</t>
  </si>
  <si>
    <t>ac_itm_grp_nm</t>
  </si>
  <si>
    <t>ac_rsn_cd</t>
  </si>
  <si>
    <t>ac_rsn_nm</t>
  </si>
  <si>
    <t>ac_invalid_flg</t>
  </si>
  <si>
    <t>cost_invalid_flg</t>
  </si>
  <si>
    <t>site_cd</t>
  </si>
  <si>
    <t>site_nm</t>
  </si>
  <si>
    <t>arr_flg</t>
  </si>
  <si>
    <t>zip_cd</t>
  </si>
  <si>
    <t>addr1</t>
  </si>
  <si>
    <t>tel</t>
  </si>
  <si>
    <t>fax</t>
  </si>
  <si>
    <t>def_loc_grp_cd</t>
  </si>
  <si>
    <t>def_alloc_grp_cd</t>
  </si>
  <si>
    <t>def_lg_grp_cd</t>
  </si>
  <si>
    <t>def_cal_cd</t>
  </si>
  <si>
    <t>loc_grp_cd</t>
  </si>
  <si>
    <t>loc_grp_nm</t>
  </si>
  <si>
    <t>lg_grp_cd</t>
  </si>
  <si>
    <t>lg_grp_nm</t>
  </si>
  <si>
    <t>loc_flg</t>
  </si>
  <si>
    <t>ship_slip_flg</t>
  </si>
  <si>
    <t>pick_list_flg</t>
  </si>
  <si>
    <t>ship_inst_flg</t>
  </si>
  <si>
    <t>alloc_grp_cd</t>
  </si>
  <si>
    <t>alloc_grp_nm</t>
  </si>
  <si>
    <t>#MA.BANK_CD</t>
  </si>
  <si>
    <t>#MA.CAL_CD</t>
  </si>
  <si>
    <t>#MA.CAL_NM</t>
  </si>
  <si>
    <t>#MA.BANK_BRANCH_CD</t>
  </si>
  <si>
    <t>#MA.BANK_AC_CD</t>
  </si>
  <si>
    <t>#MA.BANK_AC_NM</t>
  </si>
  <si>
    <t>#MA.BANK_AC_NO</t>
  </si>
  <si>
    <t>#MA.BANK_AC_TYP</t>
  </si>
  <si>
    <t>#MA.BANK_AC_HOLDER</t>
  </si>
  <si>
    <t>#MA.BANK_AC_HOLDER_SUB</t>
  </si>
  <si>
    <t>#MA.XRATE_CD</t>
  </si>
  <si>
    <t>#MA.XRATE_NM</t>
  </si>
  <si>
    <t>#MA.ITM_JNL_CD</t>
  </si>
  <si>
    <t>#MA.ITM_JNL_NM</t>
  </si>
  <si>
    <t>#MA.AR_TYP</t>
  </si>
  <si>
    <t>#MA.AP_TYP</t>
  </si>
  <si>
    <t>#MA.AC_ITM_GRP_CD</t>
  </si>
  <si>
    <t>#MA.AC_ITM_GRP_NM</t>
  </si>
  <si>
    <t>#MA.SITE_CD</t>
  </si>
  <si>
    <t>#MA.SITE_NM</t>
  </si>
  <si>
    <t>#MA.ZIP_CD</t>
  </si>
  <si>
    <t>#MA.ADDR1</t>
  </si>
  <si>
    <t>#MA.TEL</t>
  </si>
  <si>
    <t>#MA.LOC_GRP_CD</t>
  </si>
  <si>
    <t>#MA.LOC_GRP_NM</t>
  </si>
  <si>
    <t>#MA.ALLOC_GRP_CD</t>
  </si>
  <si>
    <t>#MA.ALLOC_GRP_NM</t>
  </si>
  <si>
    <t>#MA.LG_GRP_CD</t>
  </si>
  <si>
    <t>#MA.LG_GRP_NM</t>
  </si>
  <si>
    <t>bank_cd</t>
    <phoneticPr fontId="1"/>
  </si>
  <si>
    <t>cal_cd</t>
    <phoneticPr fontId="1"/>
  </si>
  <si>
    <t>K</t>
  </si>
  <si>
    <t>L</t>
    <phoneticPr fontId="1"/>
  </si>
  <si>
    <t>Ope.ID :</t>
    <phoneticPr fontId="1"/>
  </si>
  <si>
    <t xml:space="preserve">Ope.Body : </t>
    <phoneticPr fontId="1"/>
  </si>
  <si>
    <t>@</t>
  </si>
  <si>
    <t>ReportID :</t>
    <phoneticPr fontId="1"/>
  </si>
  <si>
    <t>チェック</t>
  </si>
  <si>
    <t>K</t>
    <phoneticPr fontId="20"/>
  </si>
  <si>
    <t>@</t>
    <phoneticPr fontId="1"/>
  </si>
  <si>
    <t>o</t>
    <phoneticPr fontId="1"/>
  </si>
  <si>
    <t>UPDATE.updMaster</t>
    <phoneticPr fontId="1"/>
  </si>
  <si>
    <t>MAIN.chkMaster</t>
    <phoneticPr fontId="20"/>
  </si>
  <si>
    <t>super/share</t>
    <phoneticPr fontId="1"/>
  </si>
  <si>
    <t>TargetName</t>
    <phoneticPr fontId="1"/>
  </si>
  <si>
    <t>#</t>
    <phoneticPr fontId="1"/>
  </si>
  <si>
    <t>L</t>
    <phoneticPr fontId="1"/>
  </si>
  <si>
    <t>$share$</t>
  </si>
  <si>
    <t>K</t>
    <phoneticPr fontId="20"/>
  </si>
  <si>
    <t>REQUIRED</t>
    <phoneticPr fontId="20"/>
  </si>
  <si>
    <t>*</t>
    <phoneticPr fontId="1"/>
  </si>
  <si>
    <t>ACType :</t>
    <phoneticPr fontId="1"/>
  </si>
  <si>
    <t>bank_cd</t>
    <phoneticPr fontId="1"/>
  </si>
  <si>
    <t>BankAc_UpdChk01</t>
  </si>
  <si>
    <t>BankAc_UpdChk01_Dtl</t>
  </si>
  <si>
    <t>branch_cd</t>
    <phoneticPr fontId="1"/>
  </si>
  <si>
    <t>BankAc_Upd01</t>
  </si>
  <si>
    <t>BankAc_Upd01_Dtl</t>
  </si>
  <si>
    <t>BankAcLcl_UpdChk01</t>
  </si>
  <si>
    <t>BankAcLcl_UpdChk01_Dtl</t>
  </si>
  <si>
    <t>BankAcLcl_Upd01</t>
  </si>
  <si>
    <t>BankAcLcl_Upd01_Dtl</t>
  </si>
  <si>
    <t>DBC.MA.MAM_BANK_AC_LCL</t>
  </si>
  <si>
    <t>Xrate_UpdChk01</t>
  </si>
  <si>
    <t>Xrate_UpdChk01_Dtl</t>
  </si>
  <si>
    <t>Xrate_Upd01</t>
  </si>
  <si>
    <t>Xrate_Upd01_Dtl</t>
  </si>
  <si>
    <t>XrateLcl_UpdChk01</t>
  </si>
  <si>
    <t>XrateLcl_UpdChk01_Dtl</t>
  </si>
  <si>
    <t>XrateLcl_Upd01</t>
  </si>
  <si>
    <t>XrateLcl_Upd01_Dtl</t>
  </si>
  <si>
    <t>DBC.MA.MAM_XRATE_LCL</t>
  </si>
  <si>
    <t>CalBase_UpdChk01</t>
  </si>
  <si>
    <t>CalBase_UpdChk01_Dtl</t>
  </si>
  <si>
    <t>CalBase_Upd01</t>
  </si>
  <si>
    <t>CalBase_Upd01_Dtl</t>
  </si>
  <si>
    <t>CalBaseLcl_UpdChk01</t>
  </si>
  <si>
    <t>CalBaseLcl_UpdChk01_Dtl</t>
  </si>
  <si>
    <t xml:space="preserve">Ope.Name : </t>
    <phoneticPr fontId="1"/>
  </si>
  <si>
    <t>ID</t>
    <phoneticPr fontId="1"/>
  </si>
  <si>
    <t>#</t>
    <phoneticPr fontId="1"/>
  </si>
  <si>
    <t>U</t>
    <phoneticPr fontId="1"/>
  </si>
  <si>
    <t>o</t>
    <phoneticPr fontId="1"/>
  </si>
  <si>
    <t>UPDATE.updMaster</t>
    <phoneticPr fontId="1"/>
  </si>
  <si>
    <t>MAIN.chkMaster</t>
    <phoneticPr fontId="20"/>
  </si>
  <si>
    <t>CalBaseLcl_Upd01</t>
  </si>
  <si>
    <t>CalBaseLcl_Upd01_Dtl</t>
  </si>
  <si>
    <t>DBC.MA.MAM_CAL_BASE_LCL</t>
  </si>
  <si>
    <t>ItmJnl_UpdChk01</t>
  </si>
  <si>
    <t>ItmJnl_UpdChk01_Dtl</t>
  </si>
  <si>
    <t>ItmJnl_Upd01</t>
  </si>
  <si>
    <t>ItmJnl_Upd01_Dtl</t>
  </si>
  <si>
    <t>ItmJnlLcl_UpdChk01</t>
  </si>
  <si>
    <t>ItmJnlLcl_UpdChk01_Dtl</t>
  </si>
  <si>
    <t>ItmJnlLcl_Upd01</t>
  </si>
  <si>
    <t>ItmJnlLcl_Upd01_Dtl</t>
  </si>
  <si>
    <t>DBC.MA.MAM_ITM_JNL_LCL</t>
  </si>
  <si>
    <t>AcItmGrp_UpdChk01</t>
  </si>
  <si>
    <t>AcItmGrp_UpdChk01_Dtl</t>
  </si>
  <si>
    <t>AcItmGrp_Upd01</t>
  </si>
  <si>
    <t>AcItmGrp_Upd01_Dtl</t>
  </si>
  <si>
    <t>Ope.Method :</t>
    <phoneticPr fontId="1"/>
  </si>
  <si>
    <t>ReportID :</t>
    <phoneticPr fontId="1"/>
  </si>
  <si>
    <t>Gene.Type :</t>
    <phoneticPr fontId="1"/>
  </si>
  <si>
    <t>ALL</t>
    <phoneticPr fontId="1"/>
  </si>
  <si>
    <t>AcItmGrpLcl_UpdChk01</t>
  </si>
  <si>
    <t>AcItmGrpLcl_UpdChk01_Dtl</t>
  </si>
  <si>
    <t>AcItmGrpLcl_Upd01</t>
  </si>
  <si>
    <t>AcItmGrpLcl_Upd01_Dtl</t>
  </si>
  <si>
    <t>DBC.MA.MAM_AC_ITM_GRP_LCL</t>
  </si>
  <si>
    <t>AcRsn_UpdChk01</t>
  </si>
  <si>
    <t>AcRsn_UpdChk01_Dtl</t>
  </si>
  <si>
    <t>ar_typ</t>
    <phoneticPr fontId="1"/>
  </si>
  <si>
    <t>ap_typ</t>
    <phoneticPr fontId="1"/>
  </si>
  <si>
    <t>AcRsn_Upd01</t>
  </si>
  <si>
    <t>AcRsn_Upd01_Dtl</t>
  </si>
  <si>
    <t>AcRsnLcl_UpdChk01</t>
  </si>
  <si>
    <t>AcRsnLcl_UpdChk01_Dtl</t>
  </si>
  <si>
    <t>AcRsnLcl_Upd01</t>
  </si>
  <si>
    <t>AcRsnLcl_Upd01_Dtl</t>
  </si>
  <si>
    <t>DBC.MA.MAM_AC_RSN_LCL</t>
  </si>
  <si>
    <t>Site_UpdChk01</t>
  </si>
  <si>
    <t>Site_UpdChk01_Dtl</t>
  </si>
  <si>
    <t>Site_Upd01</t>
  </si>
  <si>
    <t>Site_Upd01_Dtl</t>
  </si>
  <si>
    <t>SiteLcl_UpdChk01</t>
  </si>
  <si>
    <t>SiteLcl_UpdChk01_Dtl</t>
  </si>
  <si>
    <t>SiteLcl_Upd01</t>
  </si>
  <si>
    <t>SiteLcl_Upd01_Dtl</t>
  </si>
  <si>
    <t>DBC.MA.MAM_SITE_LCL</t>
  </si>
  <si>
    <t>LocGrp_UpdChk01</t>
  </si>
  <si>
    <t>LocGrp_UpdChk01_Dtl</t>
  </si>
  <si>
    <t>LocGrp_Upd01</t>
  </si>
  <si>
    <t>LocGrp_Upd01_Dtl</t>
  </si>
  <si>
    <t>LocGrpLcl_UpdChk01</t>
  </si>
  <si>
    <t>LocGrpLcl_UpdChk01_Dtl</t>
  </si>
  <si>
    <t>LocGrpLcl_Upd01</t>
  </si>
  <si>
    <t>LocGrpLcl_Upd01_Dtl</t>
  </si>
  <si>
    <t>DBC.MA.MAM_LOC_GRP_LCL</t>
  </si>
  <si>
    <t>LgGrp_UpdChk01</t>
  </si>
  <si>
    <t>LgGrp_Upd01</t>
  </si>
  <si>
    <t>LgGrpLcl_UpdChk01</t>
  </si>
  <si>
    <t>LgGrpLcl_UpdChk01_Dtl</t>
  </si>
  <si>
    <t>LgGrpLcl_Upd01</t>
  </si>
  <si>
    <t>LgGrpLcl_Upd01_Dtl</t>
  </si>
  <si>
    <t>DBC.MA.MAM_LG_GRP_LCL</t>
  </si>
  <si>
    <t>AllocGrp_UpdChk01</t>
  </si>
  <si>
    <t>AllocGrp_UpdChk01_Dtl</t>
  </si>
  <si>
    <t>AllocGrp_Upd01</t>
  </si>
  <si>
    <t>AllocGrp_Upd01_Dtl</t>
  </si>
  <si>
    <t>AllocGrpLcl_UpdChk01</t>
  </si>
  <si>
    <t>AllocGrpLcl_UpdChk01_Dtl</t>
  </si>
  <si>
    <t>AllocGrpLcl_Upd01</t>
  </si>
  <si>
    <t>AllocGrpLcl_Upd01_Dtl</t>
  </si>
  <si>
    <t>DBC.MA.MAM_ALLOC_GRP_LCL</t>
  </si>
  <si>
    <t>EXISTS.chk01</t>
  </si>
  <si>
    <t>CONST</t>
    <phoneticPr fontId="20"/>
  </si>
  <si>
    <t>LIST_LOGIC</t>
  </si>
  <si>
    <t>$super$</t>
  </si>
  <si>
    <t>#MA.AC_RSN_CD</t>
    <phoneticPr fontId="20"/>
  </si>
  <si>
    <t>#MA.AC_RSN_NM</t>
    <phoneticPr fontId="20"/>
  </si>
  <si>
    <t>#MA.AC_RSN_CD</t>
    <phoneticPr fontId="20"/>
  </si>
  <si>
    <t>#MA.AC_RSN_NM</t>
    <phoneticPr fontId="20"/>
  </si>
  <si>
    <t>K</t>
    <phoneticPr fontId="20"/>
  </si>
  <si>
    <t>wg_cd</t>
    <phoneticPr fontId="20"/>
  </si>
  <si>
    <t>#MA.WG_CD</t>
    <phoneticPr fontId="20"/>
  </si>
  <si>
    <t>CHK_PTN</t>
    <phoneticPr fontId="20"/>
  </si>
  <si>
    <t>LIST_LOGIC</t>
    <phoneticPr fontId="20"/>
  </si>
  <si>
    <t>LIST_IN</t>
  </si>
  <si>
    <t>LIST_IN_BASE</t>
  </si>
  <si>
    <t>MABCL0032</t>
    <phoneticPr fontId="1"/>
  </si>
  <si>
    <t>口座マスタ</t>
  </si>
  <si>
    <t>為替レート基本マスタ</t>
  </si>
  <si>
    <t>カレンダ基本マスタ</t>
  </si>
  <si>
    <t>品目仕訳マスタ</t>
  </si>
  <si>
    <t>会計品目分類マスタ</t>
  </si>
  <si>
    <t>会計理由マスタ</t>
  </si>
  <si>
    <t>工場・物流倉庫マスタ</t>
  </si>
  <si>
    <t>製造場所グループマスタ</t>
  </si>
  <si>
    <t>物流グループマスタ</t>
  </si>
  <si>
    <t>総量引当場所グループマスタ</t>
  </si>
  <si>
    <t>対象マスタ</t>
    <rPh sb="0" eb="2">
      <t>タイショウ</t>
    </rPh>
    <phoneticPr fontId="1"/>
  </si>
  <si>
    <t>BankAc_DelChk01_Dtl</t>
  </si>
  <si>
    <t>REQUIRED</t>
    <phoneticPr fontId="20"/>
  </si>
  <si>
    <t>#</t>
    <phoneticPr fontId="1"/>
  </si>
  <si>
    <t>K</t>
    <phoneticPr fontId="20"/>
  </si>
  <si>
    <t>U</t>
    <phoneticPr fontId="1"/>
  </si>
  <si>
    <t>ReportID :</t>
    <phoneticPr fontId="1"/>
  </si>
  <si>
    <t>BankAc_DelChk01</t>
  </si>
  <si>
    <t>L</t>
    <phoneticPr fontId="1"/>
  </si>
  <si>
    <t>BankAc_Del01_Dtl</t>
  </si>
  <si>
    <t>TargetName</t>
    <phoneticPr fontId="1"/>
  </si>
  <si>
    <t>#</t>
    <phoneticPr fontId="1"/>
  </si>
  <si>
    <t>UPDATE.updMaster2</t>
  </si>
  <si>
    <t>UPDATE.updMaster1</t>
  </si>
  <si>
    <t>削除</t>
    <rPh sb="0" eb="2">
      <t>サクジョ</t>
    </rPh>
    <phoneticPr fontId="1"/>
  </si>
  <si>
    <t>@</t>
    <phoneticPr fontId="1"/>
  </si>
  <si>
    <t>BankAc_Del01</t>
  </si>
  <si>
    <t>L</t>
    <phoneticPr fontId="1"/>
  </si>
  <si>
    <t>Xrate_DelChk01_Dtl</t>
  </si>
  <si>
    <t>REQUIRED</t>
    <phoneticPr fontId="20"/>
  </si>
  <si>
    <t>K</t>
    <phoneticPr fontId="20"/>
  </si>
  <si>
    <t>ReportID :</t>
    <phoneticPr fontId="1"/>
  </si>
  <si>
    <t>Xrate_DelChk01</t>
  </si>
  <si>
    <t>Xrate_Del01_Dtl</t>
  </si>
  <si>
    <t>TargetName</t>
    <phoneticPr fontId="1"/>
  </si>
  <si>
    <t>@</t>
    <phoneticPr fontId="1"/>
  </si>
  <si>
    <t>Xrate_Del01</t>
  </si>
  <si>
    <t>CalBase_DelChk01_Dtl</t>
  </si>
  <si>
    <t>CalBase_DelChk01</t>
  </si>
  <si>
    <t>CalBase_Del01_Dtl</t>
  </si>
  <si>
    <t>CalBase_Del01</t>
  </si>
  <si>
    <t>ItmJnl_DelChk01_Dtl</t>
  </si>
  <si>
    <t>ItmJnl_DelChk01</t>
  </si>
  <si>
    <t>ItmJnl_Del01_Dtl</t>
  </si>
  <si>
    <t>o</t>
    <phoneticPr fontId="1"/>
  </si>
  <si>
    <t>ItmJnl_Del01</t>
  </si>
  <si>
    <t>AcItmGrp_DelChk01_Dtl</t>
  </si>
  <si>
    <t>AcItmGrp_DelChk01</t>
  </si>
  <si>
    <t>AcItmGrp_Del01_Dtl</t>
  </si>
  <si>
    <t>o</t>
    <phoneticPr fontId="1"/>
  </si>
  <si>
    <t>ReportID :</t>
    <phoneticPr fontId="1"/>
  </si>
  <si>
    <t>AcItmGrp_Del01</t>
  </si>
  <si>
    <t>#MA.AC_RSN_CD</t>
    <phoneticPr fontId="20"/>
  </si>
  <si>
    <t>#MA.AC_RSN_CD</t>
    <phoneticPr fontId="20"/>
  </si>
  <si>
    <t>AcRsn_DelChk01_Dtl</t>
  </si>
  <si>
    <t>K</t>
    <phoneticPr fontId="20"/>
  </si>
  <si>
    <t>AcRsn_DelChk01</t>
  </si>
  <si>
    <t>AcRsn_Del01_Dtl</t>
  </si>
  <si>
    <t>AcRsn_Del01</t>
  </si>
  <si>
    <t>Site_DelChk01_Dtl</t>
  </si>
  <si>
    <t>Site_DelChk01</t>
  </si>
  <si>
    <t>Site_Del01_Dtl</t>
  </si>
  <si>
    <t>@</t>
    <phoneticPr fontId="1"/>
  </si>
  <si>
    <t>Site_Del01</t>
  </si>
  <si>
    <t>LocGrp_DelChk01_Dtl</t>
  </si>
  <si>
    <t>LocGrp_DelChk01</t>
  </si>
  <si>
    <t>LocGrp_Del01_Dtl</t>
  </si>
  <si>
    <t>LocGrp_Del01</t>
  </si>
  <si>
    <t>LgGrp_DelChk01_Dtl</t>
  </si>
  <si>
    <t>LgGrp_DelChk01</t>
  </si>
  <si>
    <t>LgGrp_Del01_Dtl</t>
  </si>
  <si>
    <t>U</t>
    <phoneticPr fontId="1"/>
  </si>
  <si>
    <t>ReportID :</t>
    <phoneticPr fontId="1"/>
  </si>
  <si>
    <t>LgGrp_Del01</t>
  </si>
  <si>
    <t>AllocGrp_DelChk01_Dtl</t>
  </si>
  <si>
    <t>AllocGrp_DelChk01</t>
  </si>
  <si>
    <t>L</t>
    <phoneticPr fontId="1"/>
  </si>
  <si>
    <t>AllocGrp_Del01_Dtl</t>
  </si>
  <si>
    <t>#</t>
    <phoneticPr fontId="1"/>
  </si>
  <si>
    <t>AllocGrp_Del01</t>
  </si>
  <si>
    <t>口座マスタの登録前のチェックを行います。</t>
    <phoneticPr fontId="20"/>
  </si>
  <si>
    <t>口座マスタの登録を行います。</t>
    <phoneticPr fontId="20"/>
  </si>
  <si>
    <t>口座マスタの登録前のチェックを行います。（ロケール用）</t>
    <phoneticPr fontId="20"/>
  </si>
  <si>
    <t>口座マスタの登録を行います。（ロケール用）</t>
    <phoneticPr fontId="20"/>
  </si>
  <si>
    <t>口座マスタの削除前のチェックを行います。</t>
    <phoneticPr fontId="20"/>
  </si>
  <si>
    <t>口座マスタの削除を行います。</t>
    <phoneticPr fontId="20"/>
  </si>
  <si>
    <t>為替レート基本マスタの登録前のチェックを行います。</t>
    <phoneticPr fontId="20"/>
  </si>
  <si>
    <t>為替レート基本マスタの登録を行います。</t>
    <phoneticPr fontId="20"/>
  </si>
  <si>
    <t>為替レート基本マスタの登録前のチェックを行います。（ロケール用）</t>
    <phoneticPr fontId="20"/>
  </si>
  <si>
    <t>為替レート基本マスタの登録を行います。（ロケール用）</t>
    <phoneticPr fontId="20"/>
  </si>
  <si>
    <t>為替レート基本マスタの削除前のチェックを行います。</t>
    <phoneticPr fontId="20"/>
  </si>
  <si>
    <t>為替レート基本マスタの削除を行います。</t>
    <phoneticPr fontId="20"/>
  </si>
  <si>
    <t>カレンダ基本マスタの登録前のチェックを行います。</t>
    <phoneticPr fontId="20"/>
  </si>
  <si>
    <t>カレンダ基本マスタの登録を行います。</t>
    <phoneticPr fontId="20"/>
  </si>
  <si>
    <t>カレンダ基本マスタの登録前のチェックを行います。（ロケール用）</t>
    <phoneticPr fontId="20"/>
  </si>
  <si>
    <t>カレンダ基本マスタの登録を行います。（ロケール用）</t>
    <phoneticPr fontId="20"/>
  </si>
  <si>
    <t>カレンダ基本マスタの削除前のチェックを行います。</t>
    <phoneticPr fontId="20"/>
  </si>
  <si>
    <t>カレンダ基本マスタの削除を行います。</t>
    <phoneticPr fontId="20"/>
  </si>
  <si>
    <t>品目仕訳マスタの登録前のチェックを行います。</t>
    <phoneticPr fontId="20"/>
  </si>
  <si>
    <t>品目仕訳マスタの登録を行います。</t>
    <phoneticPr fontId="20"/>
  </si>
  <si>
    <t>品目仕訳マスタの登録前のチェックを行います。（ロケール用）</t>
    <phoneticPr fontId="20"/>
  </si>
  <si>
    <t>品目仕訳マスタの登録を行います。（ロケール用）</t>
    <phoneticPr fontId="20"/>
  </si>
  <si>
    <t>品目仕訳マスタの削除前のチェックを行います。</t>
    <phoneticPr fontId="20"/>
  </si>
  <si>
    <t>品目仕訳マスタの削除を行います。</t>
    <phoneticPr fontId="20"/>
  </si>
  <si>
    <t>会計品目分類マスタの登録前のチェックを行います。</t>
    <phoneticPr fontId="20"/>
  </si>
  <si>
    <t>会計品目分類マスタの登録を行います。</t>
    <phoneticPr fontId="20"/>
  </si>
  <si>
    <t>会計品目分類マスタの登録前のチェックを行います。（ロケール用）</t>
    <phoneticPr fontId="20"/>
  </si>
  <si>
    <t>会計品目分類マスタの登録を行います。（ロケール用）</t>
    <phoneticPr fontId="20"/>
  </si>
  <si>
    <t>会計品目分類マスタの削除前のチェックを行います。</t>
    <phoneticPr fontId="20"/>
  </si>
  <si>
    <t>会計品目分類マスタの削除を行います。</t>
    <phoneticPr fontId="20"/>
  </si>
  <si>
    <t>会計理由マスタの登録前のチェックを行います。</t>
    <phoneticPr fontId="20"/>
  </si>
  <si>
    <t>会計理由マスタの登録を行います。</t>
    <phoneticPr fontId="20"/>
  </si>
  <si>
    <t>会計理由マスタの登録前のチェックを行います。（ロケール用）</t>
    <phoneticPr fontId="20"/>
  </si>
  <si>
    <t>会計理由マスタの登録を行います。（ロケール用）</t>
    <phoneticPr fontId="20"/>
  </si>
  <si>
    <t>会計理由マスタの削除前のチェックを行います。</t>
    <phoneticPr fontId="20"/>
  </si>
  <si>
    <t>会計理由マスタの削除を行います。</t>
    <phoneticPr fontId="20"/>
  </si>
  <si>
    <t>工場・物流倉庫マスタの登録前のチェックを行います。</t>
    <phoneticPr fontId="20"/>
  </si>
  <si>
    <t>工場・物流倉庫マスタの登録を行います。</t>
    <phoneticPr fontId="20"/>
  </si>
  <si>
    <t>工場・物流倉庫マスタの登録前のチェックを行います。（ロケール用）</t>
    <phoneticPr fontId="20"/>
  </si>
  <si>
    <t>工場・物流倉庫マスタの登録を行います。（ロケール用）</t>
    <phoneticPr fontId="20"/>
  </si>
  <si>
    <t>工場・物流倉庫マスタの削除前のチェックを行います。</t>
    <phoneticPr fontId="20"/>
  </si>
  <si>
    <t>工場・物流倉庫マスタの削除を行います。</t>
    <phoneticPr fontId="20"/>
  </si>
  <si>
    <t>製造場所グループマスタの登録前のチェックを行います。</t>
    <phoneticPr fontId="20"/>
  </si>
  <si>
    <t>製造場所グループマスタの登録を行います。</t>
    <phoneticPr fontId="20"/>
  </si>
  <si>
    <t>製造場所グループマスタの登録前のチェックを行います。（ロケール用）</t>
    <phoneticPr fontId="20"/>
  </si>
  <si>
    <t>製造場所グループマスタの登録を行います。（ロケール用）</t>
    <phoneticPr fontId="20"/>
  </si>
  <si>
    <t>製造場所グループマスタの削除前のチェックを行います。</t>
    <phoneticPr fontId="20"/>
  </si>
  <si>
    <t>製造場所グループマスタの削除を行います。</t>
    <phoneticPr fontId="20"/>
  </si>
  <si>
    <t>物流グループマスタの登録前のチェックを行います。</t>
    <phoneticPr fontId="20"/>
  </si>
  <si>
    <t>物流グループマスタの登録を行います。</t>
    <phoneticPr fontId="20"/>
  </si>
  <si>
    <t>物流グループマスタの登録前のチェックを行います。（ロケール用）</t>
    <phoneticPr fontId="20"/>
  </si>
  <si>
    <t>物流グループマスタの登録を行います。（ロケール用）</t>
    <phoneticPr fontId="20"/>
  </si>
  <si>
    <t>物流グループマスタの削除前のチェックを行います。</t>
    <phoneticPr fontId="20"/>
  </si>
  <si>
    <t>物流グループマスタの削除を行います。</t>
    <phoneticPr fontId="20"/>
  </si>
  <si>
    <t>総量引当場所グループマスタの登録前のチェックを行います。</t>
    <phoneticPr fontId="20"/>
  </si>
  <si>
    <t>総量引当場所グループマスタの登録を行います。</t>
    <phoneticPr fontId="20"/>
  </si>
  <si>
    <t>総量引当場所グループマスタの登録前のチェックを行います。（ロケール用）</t>
    <phoneticPr fontId="20"/>
  </si>
  <si>
    <t>総量引当場所グループマスタの登録を行います。（ロケール用）</t>
    <phoneticPr fontId="20"/>
  </si>
  <si>
    <t>総量引当場所グループマスタの削除前のチェックを行います。</t>
    <phoneticPr fontId="20"/>
  </si>
  <si>
    <t>総量引当場所グループマスタの削除を行います。</t>
    <phoneticPr fontId="20"/>
  </si>
  <si>
    <t>MABC</t>
    <phoneticPr fontId="1"/>
  </si>
  <si>
    <t>口座ＣＤ</t>
    <phoneticPr fontId="1"/>
  </si>
  <si>
    <t>E</t>
    <phoneticPr fontId="1"/>
  </si>
  <si>
    <t>E</t>
    <phoneticPr fontId="20"/>
  </si>
  <si>
    <t>標準口座名</t>
    <phoneticPr fontId="1"/>
  </si>
  <si>
    <t>社外</t>
    <phoneticPr fontId="20"/>
  </si>
  <si>
    <t>銀行ＣＤ</t>
    <phoneticPr fontId="1"/>
  </si>
  <si>
    <t>MA.MAUAL0010.Bank</t>
    <phoneticPr fontId="20"/>
  </si>
  <si>
    <t>銀行支店ＣＤ</t>
    <phoneticPr fontId="1"/>
  </si>
  <si>
    <t>MA.MAUAL0010.BankBranch</t>
    <phoneticPr fontId="20"/>
  </si>
  <si>
    <t>bank_cd</t>
    <phoneticPr fontId="20"/>
  </si>
  <si>
    <t>口座番号</t>
    <phoneticPr fontId="1"/>
  </si>
  <si>
    <t>口座区分</t>
    <phoneticPr fontId="1"/>
  </si>
  <si>
    <t>MAC_BANK_AC_TYP</t>
    <phoneticPr fontId="20"/>
  </si>
  <si>
    <t>口座名義</t>
    <phoneticPr fontId="1"/>
  </si>
  <si>
    <t>口座名義別名</t>
    <phoneticPr fontId="1"/>
  </si>
  <si>
    <t>メモ１</t>
    <phoneticPr fontId="1"/>
  </si>
  <si>
    <t>メモ２</t>
    <phoneticPr fontId="1"/>
  </si>
  <si>
    <t>メモ３</t>
    <phoneticPr fontId="1"/>
  </si>
  <si>
    <t>論理削除</t>
    <phoneticPr fontId="1"/>
  </si>
  <si>
    <t>更新カウンタ</t>
    <phoneticPr fontId="1"/>
  </si>
  <si>
    <t>MA.MABCL0032.BankAc_UpdChk01.BankAc_UpdChk01_Dtl</t>
    <phoneticPr fontId="1"/>
  </si>
  <si>
    <t>L</t>
    <phoneticPr fontId="20"/>
  </si>
  <si>
    <t>DBC:MA.MAM_BANK_AC_LCL</t>
    <phoneticPr fontId="20"/>
  </si>
  <si>
    <t>ロケールＣＤ</t>
    <phoneticPr fontId="1"/>
  </si>
  <si>
    <t>口座名</t>
    <phoneticPr fontId="1"/>
  </si>
  <si>
    <t>MA.MABCL0032.BankAcLcl_UpdChk01.BankAcLcl_UpdChk01_Dtl</t>
    <phoneticPr fontId="1"/>
  </si>
  <si>
    <t>口座ＣＤ</t>
    <phoneticPr fontId="20"/>
  </si>
  <si>
    <t>MA.MABCL0032.BankAc_DelChk01.BankAc_DelChk01_Dtl</t>
    <phoneticPr fontId="1"/>
  </si>
  <si>
    <t>為替レートＣＤ</t>
    <phoneticPr fontId="1"/>
  </si>
  <si>
    <t>標準為替レート名</t>
    <phoneticPr fontId="1"/>
  </si>
  <si>
    <t>MA.MABCL0032.Xrate_UpdChk01.Xrate_UpdChk01_Dtl</t>
    <phoneticPr fontId="1"/>
  </si>
  <si>
    <t>DBC:MA.MAM_XRATE_LCL</t>
    <phoneticPr fontId="20"/>
  </si>
  <si>
    <t>為替レート名</t>
    <phoneticPr fontId="1"/>
  </si>
  <si>
    <t>MA.MABCL0032.XrateLcl_UpdChk01.XrateLcl_UpdChk01_Dtl</t>
    <phoneticPr fontId="1"/>
  </si>
  <si>
    <t>為替レート基本ＣＤ</t>
    <phoneticPr fontId="20"/>
  </si>
  <si>
    <t>MA.MABCL0032.Xrate_DelChk01.Xrate_DelChk01_Dtl</t>
    <phoneticPr fontId="1"/>
  </si>
  <si>
    <t>カレンダＣＤ</t>
    <phoneticPr fontId="1"/>
  </si>
  <si>
    <t>標準カレンダ名</t>
    <phoneticPr fontId="1"/>
  </si>
  <si>
    <t>MA.MABCL0032.CalBase_UpdChk01.CalBase_UpdChk01_Dtl</t>
    <phoneticPr fontId="1"/>
  </si>
  <si>
    <t>DBC:MA.MAM_CAL_BASE_LCL</t>
    <phoneticPr fontId="20"/>
  </si>
  <si>
    <t>カレンダ名</t>
    <phoneticPr fontId="1"/>
  </si>
  <si>
    <t>MA.MABCL0032.CalBaseLcl_UpdChk01.CalBaseLcl_UpdChk01_Dtl</t>
    <phoneticPr fontId="1"/>
  </si>
  <si>
    <t>カレンダ基本ＣＤ</t>
    <phoneticPr fontId="20"/>
  </si>
  <si>
    <t>MA.MABCL0032.CalBase_DelChk01.CalBase_DelChk01_Dtl</t>
    <phoneticPr fontId="1"/>
  </si>
  <si>
    <t>品目仕訳ＣＤ</t>
    <phoneticPr fontId="1"/>
  </si>
  <si>
    <t>標準品目仕訳名</t>
    <phoneticPr fontId="1"/>
  </si>
  <si>
    <t>債権区分</t>
    <phoneticPr fontId="1"/>
  </si>
  <si>
    <t>MAC_AR_TYP</t>
    <phoneticPr fontId="20"/>
  </si>
  <si>
    <t>債務区分</t>
    <phoneticPr fontId="1"/>
  </si>
  <si>
    <t>MAC_AP_TYP</t>
    <phoneticPr fontId="20"/>
  </si>
  <si>
    <t>MA.MABCL0032.ItmJnl_UpdChk01.ItmJnl_UpdChk01_Dtl</t>
    <phoneticPr fontId="1"/>
  </si>
  <si>
    <t>DBC:MA.MAM_ITM_JNL_LCL</t>
    <phoneticPr fontId="20"/>
  </si>
  <si>
    <t>品目仕訳名</t>
    <phoneticPr fontId="1"/>
  </si>
  <si>
    <t>MA.MABCL0032.ItmJnlLcl_UpdChk01.ItmJnlLcl_UpdChk01_Dtl</t>
    <phoneticPr fontId="1"/>
  </si>
  <si>
    <t>品目仕訳ＣＤ</t>
    <phoneticPr fontId="20"/>
  </si>
  <si>
    <t>MA.MABCL0032.ItmJnl_DelChk01.ItmJnl_DelChk01_Dtl</t>
    <phoneticPr fontId="1"/>
  </si>
  <si>
    <t>会計品目分類ＣＤ</t>
    <phoneticPr fontId="1"/>
  </si>
  <si>
    <t>標準会計品目分類名</t>
    <phoneticPr fontId="1"/>
  </si>
  <si>
    <t>MA.MABCL0032.AcItmGrp_UpdChk01.AcItmGrp_UpdChk01_Dtl</t>
    <phoneticPr fontId="1"/>
  </si>
  <si>
    <t>DBC:MA.MAM_AC_ITM_GRP_LCL</t>
    <phoneticPr fontId="20"/>
  </si>
  <si>
    <t>会計品目分類名</t>
    <phoneticPr fontId="1"/>
  </si>
  <si>
    <t>MA.MABCL0032.AcItmGrpLcl_UpdChk01.AcItmGrpLcl_UpdChk01_Dtl</t>
    <phoneticPr fontId="1"/>
  </si>
  <si>
    <t>会計品目分類ＣＤ</t>
    <phoneticPr fontId="20"/>
  </si>
  <si>
    <t>MA.MABCL0032.AcItmGrp_DelChk01.AcItmGrp_DelChk01_Dtl</t>
    <phoneticPr fontId="1"/>
  </si>
  <si>
    <t>会計理由ＣＤ</t>
    <phoneticPr fontId="1"/>
  </si>
  <si>
    <t>標準会計理由名</t>
    <phoneticPr fontId="1"/>
  </si>
  <si>
    <t>仕訳対象外</t>
    <phoneticPr fontId="20"/>
  </si>
  <si>
    <t>原価対象外</t>
    <phoneticPr fontId="20"/>
  </si>
  <si>
    <t>MA.MABCL0032.AcRsn_UpdChk01.AcRsn_UpdChk01_Dtl</t>
    <phoneticPr fontId="1"/>
  </si>
  <si>
    <t>DBC:MA.MAM_AC_RSN_LCL</t>
    <phoneticPr fontId="20"/>
  </si>
  <si>
    <t>会計理由名</t>
    <phoneticPr fontId="1"/>
  </si>
  <si>
    <t>MA.MABCL0032.AcRsnLcl_UpdChk01.AcRsnLcl_UpdChk01_Dtl</t>
    <phoneticPr fontId="1"/>
  </si>
  <si>
    <t>会計理由ＣＤ</t>
    <phoneticPr fontId="20"/>
  </si>
  <si>
    <t>MA.MABCL0032.AcRsn_DelChk01.AcRsn_DelChk01_Dtl</t>
    <phoneticPr fontId="1"/>
  </si>
  <si>
    <t>工場・物流倉庫ＣＤ</t>
    <phoneticPr fontId="1"/>
  </si>
  <si>
    <t>標準工場・物流倉庫名</t>
    <phoneticPr fontId="1"/>
  </si>
  <si>
    <t>入荷</t>
    <phoneticPr fontId="1"/>
  </si>
  <si>
    <t>郵便番号</t>
    <phoneticPr fontId="1"/>
  </si>
  <si>
    <t>ZIP</t>
    <phoneticPr fontId="20"/>
  </si>
  <si>
    <t>住所１</t>
    <phoneticPr fontId="1"/>
  </si>
  <si>
    <t>住所２</t>
    <phoneticPr fontId="1"/>
  </si>
  <si>
    <t>住所３</t>
    <phoneticPr fontId="1"/>
  </si>
  <si>
    <t>住所４</t>
    <phoneticPr fontId="1"/>
  </si>
  <si>
    <t>ＴＥＬ</t>
    <phoneticPr fontId="1"/>
  </si>
  <si>
    <t>TEL</t>
    <phoneticPr fontId="20"/>
  </si>
  <si>
    <t>ＦＡＸ</t>
    <phoneticPr fontId="1"/>
  </si>
  <si>
    <t>製造場所グループＣＤ</t>
    <phoneticPr fontId="1"/>
  </si>
  <si>
    <t>MA.MAUAL0010.LocGrp</t>
    <phoneticPr fontId="20"/>
  </si>
  <si>
    <t>総量引当場所グループＣＤ</t>
    <phoneticPr fontId="1"/>
  </si>
  <si>
    <t>MA.MAUAL0010.AllocGrp</t>
    <phoneticPr fontId="20"/>
  </si>
  <si>
    <t>物流グループＣＤ</t>
    <phoneticPr fontId="1"/>
  </si>
  <si>
    <t>MA.MAUAL0010.LgGrp</t>
    <phoneticPr fontId="20"/>
  </si>
  <si>
    <t>loc_flg</t>
    <phoneticPr fontId="1"/>
  </si>
  <si>
    <t>MA.MAUAL0010.CalBase</t>
    <phoneticPr fontId="20"/>
  </si>
  <si>
    <t>MA.MABCL0032.Site_UpdChk01.Site_UpdChk01_Dtl</t>
    <phoneticPr fontId="1"/>
  </si>
  <si>
    <t>DBC:MA.MAM_SITE_LCL</t>
    <phoneticPr fontId="20"/>
  </si>
  <si>
    <t>工場・物流倉庫名</t>
    <phoneticPr fontId="1"/>
  </si>
  <si>
    <t>MA.MABCL0032.SiteLcl_UpdChk01.SiteLcl_UpdChk01_Dtl</t>
    <phoneticPr fontId="1"/>
  </si>
  <si>
    <t>工場・物流倉庫ＣＤ</t>
    <phoneticPr fontId="20"/>
  </si>
  <si>
    <t>MA.MABCL0032.Site_DelChk01.Site_DelChk01_Dtl</t>
    <phoneticPr fontId="1"/>
  </si>
  <si>
    <t>標準製造場所グループ名</t>
    <phoneticPr fontId="1"/>
  </si>
  <si>
    <t>ワーキンググループＣＤ</t>
    <phoneticPr fontId="20"/>
  </si>
  <si>
    <t>MA.MAUAL0010.LgOrMfgWg</t>
    <phoneticPr fontId="20"/>
  </si>
  <si>
    <t>MA.MABCL0032.LocGrp_UpdChk01.LocGrp_UpdChk01_Dtl</t>
    <phoneticPr fontId="1"/>
  </si>
  <si>
    <t>DBC:MA.MAM_LOC_GRP_LCL</t>
    <phoneticPr fontId="20"/>
  </si>
  <si>
    <t>製造場所グループ名</t>
    <phoneticPr fontId="1"/>
  </si>
  <si>
    <t>MA.MABCL0032.LocGrpLcl_UpdChk01.LocGrpLcl_UpdChk01_Dtl</t>
    <phoneticPr fontId="1"/>
  </si>
  <si>
    <t>製造場所グループＣＤ</t>
    <phoneticPr fontId="20"/>
  </si>
  <si>
    <t>MA.MABCL0032.LocGrp_DelChk01.LocGrp_DelChk01_Dtl</t>
    <phoneticPr fontId="1"/>
  </si>
  <si>
    <t>標準物流グループ名</t>
    <phoneticPr fontId="1"/>
  </si>
  <si>
    <t>場所設定</t>
    <phoneticPr fontId="20"/>
  </si>
  <si>
    <t>出荷伝票発行</t>
    <phoneticPr fontId="20"/>
  </si>
  <si>
    <t>ピッキングリスト発行</t>
    <phoneticPr fontId="20"/>
  </si>
  <si>
    <t>出荷指図書発行</t>
    <phoneticPr fontId="20"/>
  </si>
  <si>
    <t>MA.MABCL0032.LgGrp_UpdChk01.LgGrp_UpdChk01_Dtl</t>
    <phoneticPr fontId="1"/>
  </si>
  <si>
    <t>カレンダＣＤ</t>
    <phoneticPr fontId="20"/>
  </si>
  <si>
    <t>DBC:MA.MAM_LG_GRP_LCL</t>
    <phoneticPr fontId="20"/>
  </si>
  <si>
    <t>物流グループ名</t>
    <phoneticPr fontId="1"/>
  </si>
  <si>
    <t>MA.MABCL0032.LgGrpLcl_UpdChk01.LgGrpLcl_UpdChk01_Dtl</t>
    <phoneticPr fontId="1"/>
  </si>
  <si>
    <t>物流グループＣＤ</t>
    <phoneticPr fontId="20"/>
  </si>
  <si>
    <t>MA.MABCL0032.LgGrp_DelChk01.LgGrp_DelChk01_Dtl</t>
    <phoneticPr fontId="1"/>
  </si>
  <si>
    <t>標準総量引当場所グループ名</t>
    <phoneticPr fontId="1"/>
  </si>
  <si>
    <t>MA.MABCL0032.AllocGrp_UpdChk01.AllocGrp_UpdChk01_Dtl</t>
    <phoneticPr fontId="1"/>
  </si>
  <si>
    <t>DBC:MA.MAM_ALLOC_GRP_LCL</t>
    <phoneticPr fontId="20"/>
  </si>
  <si>
    <t>総量引当場所グループ名</t>
    <phoneticPr fontId="1"/>
  </si>
  <si>
    <t>MA.MABCL0032.AllocGrpLcl_UpdChk01.AllocGrpLcl_UpdChk01_Dtl</t>
    <phoneticPr fontId="1"/>
  </si>
  <si>
    <t>総量引当場所グループＣＤ</t>
    <phoneticPr fontId="20"/>
  </si>
  <si>
    <t>MA.MABCL0032.AllocGrp_DelChk01.AllocGrp_DelChk01_Dtl</t>
    <phoneticPr fontId="1"/>
  </si>
  <si>
    <t>000000</t>
    <phoneticPr fontId="1"/>
  </si>
  <si>
    <t>ship_slip_act_flg</t>
    <phoneticPr fontId="1"/>
  </si>
  <si>
    <t>出荷伝票発行（実績）</t>
    <phoneticPr fontId="20"/>
  </si>
  <si>
    <t>ship_slip_act_flg</t>
    <phoneticPr fontId="1"/>
  </si>
  <si>
    <t>LgGrp_Upd01_Dtl</t>
    <phoneticPr fontId="1"/>
  </si>
  <si>
    <t>ship_slip_flg</t>
    <phoneticPr fontId="1"/>
  </si>
  <si>
    <t>site_co_cd</t>
    <phoneticPr fontId="1"/>
  </si>
  <si>
    <t>#MA.SITE_CO_CD</t>
    <phoneticPr fontId="1"/>
  </si>
  <si>
    <t>MA.MAUAL0010.SiteCo</t>
    <phoneticPr fontId="1"/>
  </si>
  <si>
    <t>LgGrp_UpdChk01_Dtl</t>
    <phoneticPr fontId="1"/>
  </si>
  <si>
    <t>gi_minus_stk_chk_flg</t>
    <phoneticPr fontId="1"/>
  </si>
  <si>
    <t>#MA.FLG</t>
    <phoneticPr fontId="1"/>
  </si>
  <si>
    <t>ship_loc_prio_flg</t>
    <phoneticPr fontId="1"/>
  </si>
  <si>
    <t>メモ１</t>
    <phoneticPr fontId="20"/>
  </si>
  <si>
    <t>MA.MAUDL5010</t>
    <phoneticPr fontId="1"/>
  </si>
  <si>
    <t>"mcframe.serverMAUD.MAUDL6020.MAUDL_LCLRLUpdater"</t>
  </si>
  <si>
    <t>"mcframe.serverMAUD.MAUDL6020.MAUDL_LCLRLDeleter"</t>
  </si>
  <si>
    <t>DBC:MA.MAM_BANK_AC</t>
    <phoneticPr fontId="20"/>
  </si>
  <si>
    <t>DBC.MA.MAM_BANK_AC</t>
    <phoneticPr fontId="1"/>
  </si>
  <si>
    <t>DBC.MA.MAM_BANK_AC</t>
    <phoneticPr fontId="20"/>
  </si>
  <si>
    <t>DBC:MA.MAM_XRATE</t>
    <phoneticPr fontId="20"/>
  </si>
  <si>
    <t>DBC.MA.MAM_XRATE</t>
    <phoneticPr fontId="1"/>
  </si>
  <si>
    <t>DBC.MA.MAM_XRATE</t>
    <phoneticPr fontId="20"/>
  </si>
  <si>
    <t>DBC:MA.MAM_CAL_BASE</t>
    <phoneticPr fontId="20"/>
  </si>
  <si>
    <t>DBC.MA.MAM_CAL_BASE</t>
    <phoneticPr fontId="1"/>
  </si>
  <si>
    <t>DBC.MA.MAM_CAL_BASE</t>
    <phoneticPr fontId="20"/>
  </si>
  <si>
    <t>DBC:MA.MAM_ITM_JNL</t>
    <phoneticPr fontId="20"/>
  </si>
  <si>
    <t>DBC.MA.MAM_ITM_JNL</t>
    <phoneticPr fontId="1"/>
  </si>
  <si>
    <t>DBC.MA.MAM_ITM_JNL</t>
    <phoneticPr fontId="20"/>
  </si>
  <si>
    <t>DBC:MA.MAM_AC_ITM_GRP</t>
    <phoneticPr fontId="20"/>
  </si>
  <si>
    <t>DBC.MA.MAM_AC_ITM_GRP</t>
    <phoneticPr fontId="1"/>
  </si>
  <si>
    <t>DBC.MA.MAM_AC_ITM_GRP</t>
    <phoneticPr fontId="20"/>
  </si>
  <si>
    <t>DBC:MA.MAM_AC_RSN</t>
    <phoneticPr fontId="20"/>
  </si>
  <si>
    <t>DBC.MA.MAM_AC_RSN</t>
    <phoneticPr fontId="1"/>
  </si>
  <si>
    <t>DBC.MA.MAM_AC_RSN</t>
    <phoneticPr fontId="20"/>
  </si>
  <si>
    <t>DBC:MA.MAM_SITE</t>
    <phoneticPr fontId="20"/>
  </si>
  <si>
    <t>DBC.MA.MAM_SITE</t>
    <phoneticPr fontId="1"/>
  </si>
  <si>
    <t>DBC.MA.MAM_SITE</t>
    <phoneticPr fontId="20"/>
  </si>
  <si>
    <t>DBC:MA.MAM_LOC_GRP</t>
    <phoneticPr fontId="20"/>
  </si>
  <si>
    <t>DBC.MA.MAM_LOC_GRP</t>
    <phoneticPr fontId="1"/>
  </si>
  <si>
    <t>DBC.MA.MAM_LOC_GRP</t>
    <phoneticPr fontId="20"/>
  </si>
  <si>
    <t>DBC:MA.MAM_LG_GRP</t>
    <phoneticPr fontId="20"/>
  </si>
  <si>
    <t>DBC.MA.MAM_LG_GRP</t>
    <phoneticPr fontId="1"/>
  </si>
  <si>
    <t>DBC.MA.MAM_LG_GRP</t>
    <phoneticPr fontId="1"/>
  </si>
  <si>
    <t>DBC.MA.MAM_LG_GRP</t>
    <phoneticPr fontId="20"/>
  </si>
  <si>
    <t>DBC:MA.MAM_ALLOC_GRP</t>
    <phoneticPr fontId="20"/>
  </si>
  <si>
    <t>DBC.MA.MAM_ALLOC_GRP</t>
    <phoneticPr fontId="1"/>
  </si>
  <si>
    <t>DBC.MA.MAM_ALLOC_GRP</t>
    <phoneticPr fontId="20"/>
  </si>
  <si>
    <t>倉庫事業者ＣＤ</t>
    <phoneticPr fontId="20"/>
  </si>
  <si>
    <t>出庫時マイナス在庫確認</t>
    <phoneticPr fontId="20"/>
  </si>
  <si>
    <t>出荷場所優先</t>
    <phoneticPr fontId="20"/>
  </si>
  <si>
    <t>true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</si>
  <si>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</si>
  <si>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</si>
  <si>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</si>
  <si>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</si>
  <si>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</si>
  <si>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</si>
  <si>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</si>
  <si>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</si>
  <si>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</si>
  <si>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</si>
  <si>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</si>
  <si>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</si>
  <si>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</si>
  <si>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</si>
  <si>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Bank account cd.</t>
  </si>
  <si>
    <t>Standard account name</t>
  </si>
  <si>
    <t>External</t>
  </si>
  <si>
    <t>Bank cd.</t>
  </si>
  <si>
    <t>Bank branch cd.</t>
  </si>
  <si>
    <t>Bank account number</t>
  </si>
  <si>
    <t>Bank account type</t>
  </si>
  <si>
    <t>Bank account holder</t>
  </si>
  <si>
    <t>Account holder alias name</t>
  </si>
  <si>
    <t>Memo 1</t>
  </si>
  <si>
    <t>Memo 2</t>
  </si>
  <si>
    <t>Memo 3</t>
  </si>
  <si>
    <t>Logical delete</t>
  </si>
  <si>
    <t>Update counter</t>
  </si>
  <si>
    <t>Locale cd.</t>
  </si>
  <si>
    <t>Bank account name</t>
  </si>
  <si>
    <t>Exchange rate cd.</t>
  </si>
  <si>
    <t>Standard exchange rate name</t>
  </si>
  <si>
    <t>Exchange rate name</t>
  </si>
  <si>
    <t>Exchange rate basic cd.</t>
  </si>
  <si>
    <t>Calendar cd.</t>
  </si>
  <si>
    <t>Standard calendar name</t>
  </si>
  <si>
    <t>Calendar name</t>
  </si>
  <si>
    <t>Calendar basic cd.</t>
  </si>
  <si>
    <t>Item journal cd.</t>
  </si>
  <si>
    <t>Standard Item journal name</t>
  </si>
  <si>
    <t>AR type</t>
  </si>
  <si>
    <t>AP type</t>
  </si>
  <si>
    <t>Item journal name</t>
  </si>
  <si>
    <t>Accounting item classification cd.</t>
  </si>
  <si>
    <t>Standard Accounting item classification name</t>
  </si>
  <si>
    <t>Accounting item classification name</t>
  </si>
  <si>
    <t>Accounting reason cd.</t>
  </si>
  <si>
    <t>Standard Accounting reason name</t>
  </si>
  <si>
    <t>Not for journal</t>
  </si>
  <si>
    <t>Not costing</t>
  </si>
  <si>
    <t>Accounting reason name</t>
  </si>
  <si>
    <t>Factory/Distribution warehouse cd.</t>
  </si>
  <si>
    <t>Standard factory/distribution warehouse name</t>
  </si>
  <si>
    <t>Receipt</t>
  </si>
  <si>
    <t>Zip code</t>
  </si>
  <si>
    <t>Address 1</t>
  </si>
  <si>
    <t>Address 2</t>
  </si>
  <si>
    <t>Address 3</t>
  </si>
  <si>
    <t>Address 4</t>
  </si>
  <si>
    <t>TEL</t>
  </si>
  <si>
    <t>FAX</t>
  </si>
  <si>
    <t>Mfg. location group cd.</t>
  </si>
  <si>
    <t>Gross allocation location group cd.</t>
  </si>
  <si>
    <t>Distribution group cd.</t>
  </si>
  <si>
    <t>Factory/Distribution warehouse name</t>
  </si>
  <si>
    <t>Standard mfg. location group name</t>
  </si>
  <si>
    <t>WG cd.</t>
  </si>
  <si>
    <t>Mfg. location group name</t>
  </si>
  <si>
    <t>Standard distribution group name</t>
  </si>
  <si>
    <t>Set location</t>
  </si>
  <si>
    <t>Issue shipping slip</t>
  </si>
  <si>
    <t>Issue picking list</t>
  </si>
  <si>
    <t>Shipping order sheet issue</t>
  </si>
  <si>
    <t>Issue shipping slip (Result)</t>
  </si>
  <si>
    <t>Warehousing business cd.</t>
  </si>
  <si>
    <t>Check negative inventory at GI</t>
  </si>
  <si>
    <t>Precede shipping location</t>
  </si>
  <si>
    <t>Distribution group name</t>
  </si>
  <si>
    <t>Standard gross allocation location group name</t>
  </si>
  <si>
    <t>Gross allocation location group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</si>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</sst>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6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2" borderId="4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3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33">
    <xf numFmtId="0" fontId="0" fillId="0" borderId="0" xfId="0">
      <alignment vertical="top" wrapText="1"/>
    </xf>
    <xf numFmtId="0" fontId="22" fillId="0" borderId="13" xfId="0" applyFont="1" applyBorder="1" applyAlignment="1">
      <alignment vertical="center"/>
    </xf>
    <xf numFmtId="0" fontId="22" fillId="0" borderId="13" xfId="0" applyFont="1" applyBorder="1" applyAlignment="1">
      <alignment horizontal="left" vertical="top"/>
    </xf>
    <xf numFmtId="0" fontId="22" fillId="0" borderId="13" xfId="0" applyFont="1" applyBorder="1" applyAlignment="1">
      <alignment vertical="top"/>
    </xf>
    <xf numFmtId="0" fontId="22" fillId="0" borderId="0" xfId="0" applyFont="1" applyAlignment="1">
      <alignment vertical="top"/>
    </xf>
    <xf numFmtId="0" fontId="22" fillId="0" borderId="0" xfId="0" applyFont="1" applyAlignment="1">
      <alignment vertical="center"/>
    </xf>
    <xf numFmtId="0" fontId="22" fillId="0" borderId="14" xfId="0" applyFont="1" applyBorder="1" applyAlignment="1">
      <alignment vertical="top"/>
    </xf>
    <xf numFmtId="0" fontId="22" fillId="0" borderId="15" xfId="0" applyFont="1" applyBorder="1" applyAlignment="1">
      <alignment vertical="top"/>
    </xf>
    <xf numFmtId="20" fontId="22" fillId="24" borderId="15" xfId="0" applyNumberFormat="1" applyFont="1" applyFill="1" applyBorder="1" applyAlignment="1">
      <alignment horizontal="left" vertical="top"/>
    </xf>
    <xf numFmtId="0" fontId="22" fillId="24" borderId="15" xfId="0" applyFont="1" applyFill="1" applyBorder="1" applyAlignment="1">
      <alignment vertical="top"/>
    </xf>
    <xf numFmtId="0" fontId="22" fillId="24" borderId="15" xfId="0" quotePrefix="1" applyFont="1" applyFill="1" applyBorder="1" applyAlignment="1">
      <alignment vertical="top"/>
    </xf>
    <xf numFmtId="0" fontId="22" fillId="0" borderId="0" xfId="0" applyFont="1">
      <alignment vertical="top" wrapText="1"/>
    </xf>
    <xf numFmtId="0" fontId="22" fillId="24" borderId="15" xfId="0" applyFont="1" applyFill="1" applyBorder="1" applyAlignment="1">
      <alignment horizontal="left" vertical="top"/>
    </xf>
    <xf numFmtId="0" fontId="22" fillId="25" borderId="15" xfId="0" applyFont="1" applyFill="1" applyBorder="1" applyAlignment="1">
      <alignment vertical="top"/>
    </xf>
    <xf numFmtId="0" fontId="22" fillId="0" borderId="0" xfId="0" applyFont="1" applyAlignment="1"/>
    <xf numFmtId="0" fontId="22" fillId="0" borderId="18" xfId="0" applyFont="1" applyBorder="1" applyAlignment="1">
      <alignment vertical="top"/>
    </xf>
    <xf numFmtId="0" fontId="22" fillId="25" borderId="2" xfId="0" applyFont="1" applyFill="1" applyBorder="1" applyAlignment="1">
      <alignment vertical="top"/>
    </xf>
    <xf numFmtId="0" fontId="22" fillId="25" borderId="2" xfId="0" applyFont="1" applyFill="1" applyBorder="1" applyAlignment="1">
      <alignment horizontal="left" vertical="top"/>
    </xf>
    <xf numFmtId="0" fontId="22" fillId="25" borderId="19" xfId="0" applyFont="1" applyFill="1" applyBorder="1" applyAlignment="1">
      <alignment vertical="top"/>
    </xf>
    <xf numFmtId="0" fontId="22" fillId="0" borderId="13" xfId="0" applyFont="1" applyBorder="1">
      <alignment vertical="top" wrapText="1"/>
    </xf>
    <xf numFmtId="0" fontId="22" fillId="0" borderId="17" xfId="0" applyFont="1" applyBorder="1">
      <alignment vertical="top" wrapText="1"/>
    </xf>
    <xf numFmtId="0" fontId="22" fillId="0" borderId="14" xfId="0" applyFont="1" applyBorder="1" applyAlignment="1">
      <alignment vertical="center"/>
    </xf>
    <xf numFmtId="0" fontId="22" fillId="0" borderId="14" xfId="0" applyFont="1" applyBorder="1" applyAlignment="1">
      <alignment horizontal="left" vertical="top"/>
    </xf>
    <xf numFmtId="0" fontId="22" fillId="0" borderId="16" xfId="0" applyFont="1" applyBorder="1" applyAlignment="1">
      <alignment vertical="top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left" vertical="top"/>
    </xf>
    <xf numFmtId="0" fontId="22" fillId="0" borderId="17" xfId="0" applyFont="1" applyBorder="1" applyAlignment="1">
      <alignment vertical="top"/>
    </xf>
    <xf numFmtId="0" fontId="22" fillId="0" borderId="0" xfId="0" applyFont="1" applyAlignment="1" applyProtection="1">
      <alignment vertical="center"/>
      <protection locked="0"/>
    </xf>
    <xf numFmtId="0" fontId="22" fillId="24" borderId="15" xfId="0" applyFont="1" applyFill="1" applyBorder="1" applyAlignment="1">
      <alignment vertical="center"/>
    </xf>
    <xf numFmtId="0" fontId="22" fillId="0" borderId="0" xfId="0" applyFont="1" applyAlignment="1" applyProtection="1">
      <alignment vertical="top"/>
      <protection locked="0"/>
    </xf>
    <xf numFmtId="0" fontId="22" fillId="24" borderId="14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top"/>
      <protection locked="0"/>
    </xf>
    <xf numFmtId="0" fontId="22" fillId="24" borderId="15" xfId="0" applyFont="1" applyFill="1" applyBorder="1" applyAlignment="1" applyProtection="1">
      <alignment vertical="top"/>
      <protection locked="0"/>
    </xf>
    <xf numFmtId="0" fontId="22" fillId="0" borderId="15" xfId="0" applyFont="1" applyBorder="1" applyAlignment="1" applyProtection="1">
      <alignment vertical="top"/>
      <protection locked="0"/>
    </xf>
    <xf numFmtId="0" fontId="22" fillId="24" borderId="15" xfId="0" applyFont="1" applyFill="1" applyBorder="1" applyAlignment="1"/>
    <xf numFmtId="0" fontId="22" fillId="0" borderId="22" xfId="0" applyFont="1" applyBorder="1" applyAlignment="1" applyProtection="1">
      <protection locked="0"/>
    </xf>
    <xf numFmtId="0" fontId="22" fillId="0" borderId="19" xfId="0" applyFont="1" applyBorder="1" applyAlignment="1" applyProtection="1">
      <protection locked="0"/>
    </xf>
    <xf numFmtId="0" fontId="22" fillId="24" borderId="22" xfId="0" applyFont="1" applyFill="1" applyBorder="1" applyAlignment="1">
      <alignment vertical="top"/>
    </xf>
    <xf numFmtId="0" fontId="22" fillId="24" borderId="19" xfId="0" applyFont="1" applyFill="1" applyBorder="1" applyAlignment="1">
      <alignment vertical="top"/>
    </xf>
    <xf numFmtId="0" fontId="22" fillId="24" borderId="22" xfId="0" applyFont="1" applyFill="1" applyBorder="1" applyAlignment="1" applyProtection="1">
      <alignment vertical="top"/>
      <protection locked="0"/>
    </xf>
    <xf numFmtId="0" fontId="22" fillId="24" borderId="2" xfId="0" applyFont="1" applyFill="1" applyBorder="1" applyAlignment="1" applyProtection="1">
      <alignment vertical="top"/>
      <protection locked="0"/>
    </xf>
    <xf numFmtId="0" fontId="22" fillId="0" borderId="2" xfId="0" applyFont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protection locked="0"/>
    </xf>
    <xf numFmtId="0" fontId="22" fillId="0" borderId="2" xfId="0" applyFont="1" applyBorder="1" applyAlignment="1" applyProtection="1">
      <protection locked="0"/>
    </xf>
    <xf numFmtId="0" fontId="22" fillId="0" borderId="19" xfId="0" applyFont="1" applyBorder="1" applyAlignment="1"/>
    <xf numFmtId="0" fontId="22" fillId="24" borderId="19" xfId="0" applyFont="1" applyFill="1" applyBorder="1" applyAlignment="1"/>
    <xf numFmtId="0" fontId="22" fillId="0" borderId="22" xfId="0" applyFont="1" applyBorder="1" applyAlignment="1"/>
    <xf numFmtId="0" fontId="22" fillId="0" borderId="2" xfId="0" applyFont="1" applyBorder="1" applyAlignment="1"/>
    <xf numFmtId="0" fontId="22" fillId="24" borderId="15" xfId="0" applyFont="1" applyFill="1" applyBorder="1" applyAlignment="1" applyProtection="1">
      <protection locked="0"/>
    </xf>
    <xf numFmtId="0" fontId="22" fillId="25" borderId="19" xfId="0" applyFont="1" applyFill="1" applyBorder="1" applyAlignment="1" applyProtection="1">
      <protection locked="0"/>
    </xf>
    <xf numFmtId="0" fontId="22" fillId="24" borderId="15" xfId="0" applyFont="1" applyFill="1" applyBorder="1">
      <alignment vertical="top" wrapText="1"/>
    </xf>
    <xf numFmtId="0" fontId="22" fillId="25" borderId="15" xfId="0" applyFont="1" applyFill="1" applyBorder="1">
      <alignment vertical="top" wrapText="1"/>
    </xf>
    <xf numFmtId="0" fontId="22" fillId="0" borderId="19" xfId="0" applyFont="1" applyBorder="1" applyAlignment="1" applyProtection="1">
      <alignment vertical="top"/>
      <protection locked="0"/>
    </xf>
    <xf numFmtId="0" fontId="22" fillId="24" borderId="21" xfId="0" applyFont="1" applyFill="1" applyBorder="1" applyAlignment="1" applyProtection="1">
      <alignment vertical="top"/>
      <protection locked="0"/>
    </xf>
    <xf numFmtId="0" fontId="22" fillId="24" borderId="0" xfId="0" applyFont="1" applyFill="1" applyAlignment="1" applyProtection="1">
      <alignment vertical="top"/>
      <protection locked="0"/>
    </xf>
    <xf numFmtId="0" fontId="22" fillId="0" borderId="18" xfId="0" applyFont="1" applyBorder="1">
      <alignment vertical="top" wrapText="1"/>
    </xf>
    <xf numFmtId="0" fontId="25" fillId="0" borderId="0" xfId="0" applyFont="1">
      <alignment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2" fillId="0" borderId="15" xfId="0" quotePrefix="1" applyFont="1" applyBorder="1" applyAlignment="1">
      <alignment vertical="top"/>
    </xf>
    <xf numFmtId="0" fontId="22" fillId="25" borderId="22" xfId="0" applyFont="1" applyFill="1" applyBorder="1" applyAlignment="1" applyProtection="1">
      <protection locked="0"/>
    </xf>
    <xf numFmtId="0" fontId="22" fillId="24" borderId="13" xfId="0" applyFont="1" applyFill="1" applyBorder="1" applyAlignment="1">
      <alignment vertical="top"/>
    </xf>
    <xf numFmtId="0" fontId="22" fillId="24" borderId="20" xfId="0" applyFont="1" applyFill="1" applyBorder="1" applyAlignment="1">
      <alignment vertical="top"/>
    </xf>
    <xf numFmtId="0" fontId="22" fillId="24" borderId="14" xfId="0" applyFont="1" applyFill="1" applyBorder="1" applyAlignment="1">
      <alignment vertical="top"/>
    </xf>
    <xf numFmtId="0" fontId="22" fillId="26" borderId="15" xfId="0" applyFont="1" applyFill="1" applyBorder="1" applyAlignment="1">
      <alignment vertical="top"/>
    </xf>
    <xf numFmtId="0" fontId="22" fillId="24" borderId="21" xfId="0" applyFont="1" applyFill="1" applyBorder="1" applyAlignment="1">
      <alignment vertical="top"/>
    </xf>
    <xf numFmtId="0" fontId="22" fillId="24" borderId="0" xfId="0" applyFont="1" applyFill="1" applyAlignment="1">
      <alignment vertical="top"/>
    </xf>
    <xf numFmtId="0" fontId="22" fillId="26" borderId="0" xfId="0" applyFont="1" applyFill="1">
      <alignment vertical="top" wrapText="1"/>
    </xf>
    <xf numFmtId="0" fontId="22" fillId="0" borderId="22" xfId="0" applyFont="1" applyBorder="1" applyAlignment="1">
      <alignment vertical="top"/>
    </xf>
    <xf numFmtId="0" fontId="22" fillId="0" borderId="15" xfId="0" applyFont="1" applyBorder="1" applyAlignment="1">
      <alignment vertical="center"/>
    </xf>
    <xf numFmtId="0" fontId="22" fillId="24" borderId="23" xfId="0" applyFont="1" applyFill="1" applyBorder="1" applyAlignment="1">
      <alignment vertical="top"/>
    </xf>
    <xf numFmtId="0" fontId="22" fillId="0" borderId="2" xfId="0" applyFont="1" applyBorder="1" applyAlignment="1">
      <alignment vertical="top"/>
    </xf>
    <xf numFmtId="0" fontId="22" fillId="0" borderId="23" xfId="0" applyFont="1" applyBorder="1" applyAlignment="1">
      <alignment vertical="top"/>
    </xf>
    <xf numFmtId="49" fontId="22" fillId="24" borderId="15" xfId="0" quotePrefix="1" applyNumberFormat="1" applyFont="1" applyFill="1" applyBorder="1" applyAlignment="1">
      <alignment vertical="top"/>
    </xf>
    <xf numFmtId="0" fontId="22" fillId="0" borderId="14" xfId="0" applyFont="1" applyBorder="1">
      <alignment vertical="top" wrapText="1"/>
    </xf>
    <xf numFmtId="0" fontId="22" fillId="0" borderId="15" xfId="0" applyFont="1" applyBorder="1">
      <alignment vertical="top" wrapText="1"/>
    </xf>
    <xf numFmtId="0" fontId="22" fillId="0" borderId="15" xfId="0" applyFont="1" applyBorder="1" applyProtection="1">
      <alignment vertical="top" wrapText="1"/>
      <protection locked="0"/>
    </xf>
    <xf numFmtId="0" fontId="22" fillId="24" borderId="22" xfId="0" applyFont="1" applyFill="1" applyBorder="1">
      <alignment vertical="top" wrapText="1"/>
    </xf>
    <xf numFmtId="0" fontId="22" fillId="24" borderId="19" xfId="0" applyFont="1" applyFill="1" applyBorder="1">
      <alignment vertical="top" wrapText="1"/>
    </xf>
    <xf numFmtId="0" fontId="22" fillId="0" borderId="13" xfId="0" applyFont="1" applyBorder="1" applyAlignment="1" applyProtection="1">
      <alignment vertical="top"/>
      <protection locked="0"/>
    </xf>
    <xf numFmtId="0" fontId="22" fillId="0" borderId="17" xfId="0" applyFont="1" applyBorder="1" applyAlignment="1" applyProtection="1">
      <alignment vertical="top"/>
      <protection locked="0"/>
    </xf>
    <xf numFmtId="0" fontId="22" fillId="0" borderId="22" xfId="0" applyFont="1" applyBorder="1" applyProtection="1">
      <alignment vertical="top" wrapText="1"/>
      <protection locked="0"/>
    </xf>
    <xf numFmtId="0" fontId="22" fillId="0" borderId="22" xfId="0" applyFont="1" applyBorder="1">
      <alignment vertical="top" wrapText="1"/>
    </xf>
    <xf numFmtId="0" fontId="22" fillId="0" borderId="19" xfId="0" applyFont="1" applyBorder="1">
      <alignment vertical="top" wrapText="1"/>
    </xf>
    <xf numFmtId="0" fontId="22" fillId="25" borderId="22" xfId="0" applyFont="1" applyFill="1" applyBorder="1" applyAlignment="1" applyProtection="1">
      <protection locked="0"/>
    </xf>
    <xf numFmtId="0" fontId="22" fillId="25" borderId="19" xfId="0" applyFont="1" applyFill="1" applyBorder="1" applyAlignment="1"/>
    <xf numFmtId="177" fontId="24" fillId="0" borderId="24" xfId="0" applyNumberFormat="1" applyFont="1" applyBorder="1" applyAlignment="1">
      <alignment horizontal="center" vertical="center"/>
    </xf>
    <xf numFmtId="177" fontId="24" fillId="0" borderId="25" xfId="0" applyNumberFormat="1" applyFont="1" applyBorder="1" applyAlignment="1">
      <alignment horizontal="center" vertical="center"/>
    </xf>
    <xf numFmtId="177" fontId="24" fillId="0" borderId="26" xfId="0" applyNumberFormat="1" applyFont="1" applyBorder="1" applyAlignment="1">
      <alignment horizontal="center" vertical="center"/>
    </xf>
    <xf numFmtId="0" fontId="23" fillId="25" borderId="27" xfId="0" applyFont="1" applyFill="1" applyBorder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24" fillId="0" borderId="28" xfId="0" applyFont="1" applyBorder="1" applyAlignment="1">
      <alignment vertical="center"/>
    </xf>
    <xf numFmtId="0" fontId="25" fillId="25" borderId="29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5" fillId="25" borderId="30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177" fontId="24" fillId="0" borderId="32" xfId="0" applyNumberFormat="1" applyFont="1" applyBorder="1" applyAlignment="1">
      <alignment horizontal="center" vertical="center"/>
    </xf>
    <xf numFmtId="177" fontId="24" fillId="0" borderId="2" xfId="0" applyNumberFormat="1" applyFont="1" applyBorder="1" applyAlignment="1">
      <alignment horizontal="center" vertical="center"/>
    </xf>
    <xf numFmtId="177" fontId="24" fillId="0" borderId="19" xfId="0" applyNumberFormat="1" applyFont="1" applyBorder="1" applyAlignment="1">
      <alignment horizontal="center" vertical="center"/>
    </xf>
    <xf numFmtId="0" fontId="24" fillId="0" borderId="22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 wrapText="1"/>
    </xf>
    <xf numFmtId="0" fontId="24" fillId="0" borderId="2" xfId="0" applyFont="1" applyBorder="1" applyAlignment="1">
      <alignment vertical="center" wrapText="1"/>
    </xf>
    <xf numFmtId="0" fontId="24" fillId="0" borderId="19" xfId="0" applyFont="1" applyBorder="1" applyAlignment="1">
      <alignment vertical="center" wrapText="1"/>
    </xf>
    <xf numFmtId="0" fontId="24" fillId="0" borderId="22" xfId="0" applyFont="1" applyBorder="1" applyAlignment="1">
      <alignment vertical="center" wrapText="1"/>
    </xf>
    <xf numFmtId="0" fontId="24" fillId="0" borderId="33" xfId="0" applyFont="1" applyBorder="1" applyAlignment="1">
      <alignment vertical="center" wrapText="1"/>
    </xf>
    <xf numFmtId="0" fontId="24" fillId="0" borderId="34" xfId="0" applyFont="1" applyBorder="1" applyAlignment="1">
      <alignment horizontal="left" vertical="center" wrapText="1"/>
    </xf>
    <xf numFmtId="0" fontId="24" fillId="0" borderId="25" xfId="0" applyFont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0" fontId="24" fillId="0" borderId="25" xfId="0" applyFont="1" applyBorder="1" applyAlignment="1">
      <alignment vertical="center" wrapText="1"/>
    </xf>
    <xf numFmtId="0" fontId="24" fillId="0" borderId="26" xfId="0" applyFont="1" applyBorder="1" applyAlignment="1">
      <alignment vertical="center" wrapText="1"/>
    </xf>
    <xf numFmtId="0" fontId="24" fillId="0" borderId="34" xfId="0" applyFont="1" applyBorder="1" applyAlignment="1">
      <alignment vertical="center" wrapText="1"/>
    </xf>
    <xf numFmtId="0" fontId="24" fillId="0" borderId="35" xfId="0" applyFont="1" applyBorder="1" applyAlignment="1">
      <alignment vertical="center" wrapText="1"/>
    </xf>
    <xf numFmtId="0" fontId="24" fillId="0" borderId="36" xfId="0" applyFont="1" applyBorder="1" applyAlignment="1">
      <alignment horizontal="left" vertical="center" wrapText="1"/>
    </xf>
    <xf numFmtId="0" fontId="24" fillId="0" borderId="37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 wrapText="1"/>
    </xf>
    <xf numFmtId="0" fontId="24" fillId="0" borderId="37" xfId="0" applyFont="1" applyBorder="1" applyAlignment="1">
      <alignment vertical="center" wrapText="1"/>
    </xf>
    <xf numFmtId="0" fontId="24" fillId="0" borderId="38" xfId="0" applyFont="1" applyBorder="1" applyAlignment="1">
      <alignment vertical="center" wrapText="1"/>
    </xf>
    <xf numFmtId="0" fontId="24" fillId="0" borderId="36" xfId="0" applyFont="1" applyBorder="1" applyAlignment="1">
      <alignment vertical="center" wrapText="1"/>
    </xf>
    <xf numFmtId="0" fontId="24" fillId="0" borderId="39" xfId="0" applyFont="1" applyBorder="1" applyAlignment="1">
      <alignment vertical="center" wrapText="1"/>
    </xf>
    <xf numFmtId="0" fontId="25" fillId="25" borderId="40" xfId="0" applyFont="1" applyFill="1" applyBorder="1" applyAlignment="1">
      <alignment horizontal="center" vertical="center"/>
    </xf>
    <xf numFmtId="177" fontId="24" fillId="0" borderId="41" xfId="0" applyNumberFormat="1" applyFont="1" applyBorder="1" applyAlignment="1">
      <alignment horizontal="center" vertical="center"/>
    </xf>
    <xf numFmtId="177" fontId="24" fillId="0" borderId="37" xfId="0" applyNumberFormat="1" applyFont="1" applyBorder="1" applyAlignment="1">
      <alignment horizontal="center" vertical="center"/>
    </xf>
    <xf numFmtId="177" fontId="24" fillId="0" borderId="38" xfId="0" applyNumberFormat="1" applyFont="1" applyBorder="1" applyAlignment="1">
      <alignment horizontal="center" vertical="center"/>
    </xf>
    <xf numFmtId="0" fontId="24" fillId="0" borderId="22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24" fillId="0" borderId="19" xfId="0" applyFont="1" applyBorder="1" applyAlignment="1">
      <alignment horizontal="left" vertical="center"/>
    </xf>
    <xf numFmtId="0" fontId="24" fillId="0" borderId="22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4" fillId="0" borderId="33" xfId="0" applyFont="1" applyBorder="1" applyAlignment="1">
      <alignment vertical="center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7D000000}"/>
    <cellStyle name="Currency [0]" xfId="43" xr:uid="{00000000-0005-0000-0000-00008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tabSelected="1" zoomScale="85" zoomScaleNormal="85" zoomScaleSheetLayoutView="85" workbookViewId="0">
      <selection activeCell="D11" sqref="D11"/>
    </sheetView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2.90625" style="4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2</v>
      </c>
      <c r="B2" s="7" t="s">
        <v>11</v>
      </c>
      <c r="C2" s="8" t="s">
        <v>23</v>
      </c>
      <c r="D2" s="7" t="s">
        <v>8</v>
      </c>
      <c r="E2" s="9" t="s">
        <v>260</v>
      </c>
      <c r="F2" s="7" t="s">
        <v>21</v>
      </c>
      <c r="G2" s="9" t="s">
        <v>6</v>
      </c>
      <c r="H2" s="7"/>
      <c r="I2" s="10"/>
    </row>
    <row r="3" spans="1:12" x14ac:dyDescent="0.2">
      <c r="A3" s="11"/>
      <c r="B3" s="7" t="s">
        <v>12</v>
      </c>
      <c r="C3" s="12" t="s">
        <v>401</v>
      </c>
      <c r="D3" s="7" t="s">
        <v>9</v>
      </c>
      <c r="E3" s="9" t="s">
        <v>40</v>
      </c>
      <c r="F3" s="7" t="s">
        <v>22</v>
      </c>
      <c r="G3" s="9"/>
      <c r="H3" s="7"/>
      <c r="I3" s="9"/>
    </row>
    <row r="4" spans="1:12" x14ac:dyDescent="0.2">
      <c r="A4" s="3"/>
      <c r="B4" s="7"/>
      <c r="C4" s="59"/>
      <c r="D4" s="7" t="s">
        <v>10</v>
      </c>
      <c r="E4" s="13" t="s">
        <v>41</v>
      </c>
      <c r="F4" s="7" t="s">
        <v>4</v>
      </c>
      <c r="G4" s="9" t="s">
        <v>544</v>
      </c>
      <c r="H4" s="14"/>
      <c r="I4" s="15"/>
    </row>
    <row r="5" spans="1:12" x14ac:dyDescent="0.2">
      <c r="A5" s="6" t="s">
        <v>5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3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 t="s">
        <v>271</v>
      </c>
      <c r="C7" s="25"/>
      <c r="D7" s="4"/>
      <c r="E7" s="4"/>
      <c r="F7" s="4"/>
      <c r="G7" s="4"/>
      <c r="H7" s="4"/>
      <c r="I7" s="15"/>
    </row>
    <row r="8" spans="1:12" x14ac:dyDescent="0.2">
      <c r="B8" s="4"/>
      <c r="C8" s="25" t="s">
        <v>261</v>
      </c>
      <c r="I8" s="15"/>
    </row>
    <row r="9" spans="1:12" x14ac:dyDescent="0.2">
      <c r="B9" s="4"/>
      <c r="C9" s="25" t="s">
        <v>262</v>
      </c>
      <c r="I9" s="15"/>
      <c r="J9" s="4"/>
    </row>
    <row r="10" spans="1:12" x14ac:dyDescent="0.2">
      <c r="B10" s="4"/>
      <c r="C10" s="25" t="s">
        <v>263</v>
      </c>
      <c r="I10" s="15"/>
      <c r="J10" s="4"/>
    </row>
    <row r="11" spans="1:12" x14ac:dyDescent="0.2">
      <c r="B11" s="4"/>
      <c r="C11" s="25" t="s">
        <v>264</v>
      </c>
      <c r="I11" s="15"/>
      <c r="J11" s="4"/>
    </row>
    <row r="12" spans="1:12" x14ac:dyDescent="0.2">
      <c r="B12" s="4"/>
      <c r="C12" s="25" t="s">
        <v>265</v>
      </c>
      <c r="I12" s="15"/>
      <c r="J12" s="4"/>
    </row>
    <row r="13" spans="1:12" x14ac:dyDescent="0.2">
      <c r="B13" s="4"/>
      <c r="C13" s="25" t="s">
        <v>266</v>
      </c>
      <c r="I13" s="15"/>
      <c r="J13" s="4"/>
    </row>
    <row r="14" spans="1:12" x14ac:dyDescent="0.2">
      <c r="B14" s="4"/>
      <c r="C14" s="25" t="s">
        <v>267</v>
      </c>
      <c r="I14" s="15"/>
      <c r="J14" s="4"/>
    </row>
    <row r="15" spans="1:12" x14ac:dyDescent="0.2">
      <c r="B15" s="4"/>
      <c r="C15" s="25" t="s">
        <v>268</v>
      </c>
      <c r="I15" s="15"/>
      <c r="J15" s="4"/>
    </row>
    <row r="16" spans="1:12" x14ac:dyDescent="0.2">
      <c r="B16" s="4"/>
      <c r="C16" s="25" t="s">
        <v>269</v>
      </c>
      <c r="I16" s="15"/>
      <c r="J16" s="4"/>
    </row>
    <row r="17" spans="1:10" x14ac:dyDescent="0.2">
      <c r="B17" s="4"/>
      <c r="C17" s="25" t="s">
        <v>270</v>
      </c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0">
    <pageSetUpPr fitToPage="1"/>
  </sheetPr>
  <dimension ref="A1:U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8.453125" style="29" customWidth="1"/>
    <col min="12" max="12" width="14.6328125" style="29" customWidth="1"/>
    <col min="13" max="13" width="21.08984375" style="29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21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</row>
    <row r="2" spans="1:21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143</v>
      </c>
      <c r="K2" s="7" t="s">
        <v>21</v>
      </c>
      <c r="L2" s="64" t="str">
        <f>IF(LogicCommon!G2="","",LogicCommon!G2)</f>
        <v>MC</v>
      </c>
      <c r="M2" s="5" t="s">
        <v>124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</row>
    <row r="3" spans="1:21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125</v>
      </c>
      <c r="K3" s="7" t="s">
        <v>22</v>
      </c>
      <c r="L3" s="64" t="str">
        <f>IF(LogicCommon!G3="","",LogicCommon!G3)</f>
        <v/>
      </c>
      <c r="M3" s="68" t="s">
        <v>126</v>
      </c>
      <c r="N3" s="7"/>
      <c r="O3" s="7" t="s">
        <v>193</v>
      </c>
      <c r="P3" s="9" t="s">
        <v>194</v>
      </c>
      <c r="Q3" s="4"/>
      <c r="R3" s="4"/>
      <c r="S3" s="27"/>
      <c r="T3" s="27"/>
      <c r="U3" s="27"/>
    </row>
    <row r="4" spans="1:21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127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4"/>
      <c r="S4" s="27"/>
      <c r="T4" s="27"/>
      <c r="U4" s="27"/>
    </row>
    <row r="5" spans="1:21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4"/>
      <c r="S5" s="27"/>
      <c r="T5" s="27"/>
      <c r="U5" s="27"/>
    </row>
    <row r="6" spans="1:21" s="11" customFormat="1" x14ac:dyDescent="0.2">
      <c r="A6" s="65" t="s">
        <v>140</v>
      </c>
      <c r="B6" s="66"/>
      <c r="C6" s="66"/>
      <c r="D6" s="4" t="s">
        <v>5</v>
      </c>
      <c r="E6" s="16" t="s">
        <v>341</v>
      </c>
      <c r="F6" s="16"/>
      <c r="G6" s="16"/>
      <c r="H6" s="16"/>
      <c r="I6" s="16"/>
      <c r="J6" s="16"/>
      <c r="K6" s="16"/>
      <c r="L6" s="72"/>
      <c r="M6" s="19"/>
      <c r="N6" s="19"/>
      <c r="O6" s="19"/>
      <c r="P6" s="19"/>
      <c r="Q6" s="19" t="s">
        <v>169</v>
      </c>
      <c r="R6" s="29"/>
      <c r="S6" s="29"/>
      <c r="T6" s="27"/>
      <c r="U6" s="27"/>
    </row>
    <row r="7" spans="1:21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128</v>
      </c>
      <c r="L7" s="32" t="s">
        <v>128</v>
      </c>
      <c r="M7" s="32" t="s">
        <v>121</v>
      </c>
      <c r="N7" s="9" t="s">
        <v>121</v>
      </c>
      <c r="O7" s="9" t="s">
        <v>121</v>
      </c>
      <c r="P7" s="33" t="s">
        <v>33</v>
      </c>
      <c r="Q7" s="32"/>
      <c r="R7" s="29"/>
      <c r="S7" s="29"/>
      <c r="T7" s="29"/>
      <c r="U7" s="29"/>
    </row>
    <row r="8" spans="1:21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9" t="s">
        <v>139</v>
      </c>
      <c r="L8" s="9" t="s">
        <v>246</v>
      </c>
      <c r="M8" s="9" t="s">
        <v>247</v>
      </c>
      <c r="N8" s="9" t="s">
        <v>258</v>
      </c>
      <c r="O8" s="9" t="s">
        <v>259</v>
      </c>
      <c r="P8" s="33" t="s">
        <v>34</v>
      </c>
      <c r="Q8" s="9"/>
      <c r="R8" s="79"/>
      <c r="S8" s="80"/>
      <c r="T8" s="81" t="s">
        <v>586</v>
      </c>
      <c r="U8" s="52"/>
    </row>
    <row r="9" spans="1:21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33"/>
      <c r="O9" s="33"/>
      <c r="P9" s="33"/>
      <c r="Q9" s="33"/>
      <c r="R9" s="81" t="s">
        <v>594</v>
      </c>
      <c r="S9" s="52"/>
      <c r="T9" s="81" t="s">
        <v>595</v>
      </c>
      <c r="U9" s="52"/>
    </row>
    <row r="10" spans="1:21" s="11" customFormat="1" ht="39" x14ac:dyDescent="0.2">
      <c r="A10" s="39" t="s">
        <v>13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76" t="s">
        <v>592</v>
      </c>
      <c r="Q10" s="76" t="s">
        <v>593</v>
      </c>
      <c r="R10" s="42"/>
      <c r="S10" s="42"/>
      <c r="T10" s="43"/>
      <c r="U10" s="36"/>
    </row>
    <row r="11" spans="1:21" s="11" customFormat="1" x14ac:dyDescent="0.2">
      <c r="A11" s="9">
        <v>10</v>
      </c>
      <c r="B11" s="37" t="s">
        <v>0</v>
      </c>
      <c r="C11" s="38"/>
      <c r="D11" s="28" t="s">
        <v>144</v>
      </c>
      <c r="E11" s="34" t="s">
        <v>32</v>
      </c>
      <c r="F11" s="44"/>
      <c r="G11" s="28" t="s">
        <v>248</v>
      </c>
      <c r="H11" s="45" t="s">
        <v>547</v>
      </c>
      <c r="I11" s="46"/>
      <c r="J11" s="47"/>
      <c r="K11" s="48"/>
      <c r="L11" s="48"/>
      <c r="M11" s="48"/>
      <c r="N11" s="48"/>
      <c r="O11" s="48"/>
      <c r="P11" s="48"/>
      <c r="Q11" s="48"/>
      <c r="R11" s="35"/>
      <c r="S11" s="36"/>
      <c r="T11" s="60"/>
      <c r="U11" s="49"/>
    </row>
    <row r="12" spans="1:21" s="11" customFormat="1" x14ac:dyDescent="0.2">
      <c r="A12" s="9">
        <v>10</v>
      </c>
      <c r="B12" s="9"/>
      <c r="C12" s="9"/>
      <c r="D12" s="9" t="s">
        <v>50</v>
      </c>
      <c r="E12" s="50" t="s">
        <v>94</v>
      </c>
      <c r="F12" s="50"/>
      <c r="G12" s="51" t="s">
        <v>596</v>
      </c>
      <c r="H12" s="51" t="s">
        <v>402</v>
      </c>
      <c r="I12" s="9" t="s">
        <v>403</v>
      </c>
      <c r="J12" s="9"/>
      <c r="K12" s="9" t="s">
        <v>404</v>
      </c>
      <c r="L12" s="9"/>
      <c r="M12" s="9"/>
      <c r="N12" s="9"/>
      <c r="O12" s="9"/>
      <c r="P12" s="9"/>
      <c r="Q12" s="9"/>
      <c r="R12" s="41"/>
      <c r="S12" s="52"/>
      <c r="T12" s="84"/>
      <c r="U12" s="85"/>
    </row>
    <row r="13" spans="1:21" s="11" customFormat="1" x14ac:dyDescent="0.2">
      <c r="A13" s="9">
        <v>10</v>
      </c>
      <c r="B13" s="9"/>
      <c r="C13" s="9"/>
      <c r="D13" s="9" t="s">
        <v>51</v>
      </c>
      <c r="E13" s="50" t="s">
        <v>95</v>
      </c>
      <c r="F13" s="50"/>
      <c r="G13" s="51" t="s">
        <v>597</v>
      </c>
      <c r="H13" s="51" t="s">
        <v>405</v>
      </c>
      <c r="I13" s="9" t="s">
        <v>403</v>
      </c>
      <c r="J13" s="9"/>
      <c r="K13" s="9" t="s">
        <v>404</v>
      </c>
      <c r="L13" s="9"/>
      <c r="M13" s="9"/>
      <c r="N13" s="9"/>
      <c r="O13" s="9"/>
      <c r="P13" s="9"/>
      <c r="Q13" s="9"/>
      <c r="R13" s="41"/>
      <c r="S13" s="52"/>
      <c r="T13" s="84"/>
      <c r="U13" s="85"/>
    </row>
    <row r="14" spans="1:21" s="11" customFormat="1" x14ac:dyDescent="0.2">
      <c r="A14" s="9">
        <v>10</v>
      </c>
      <c r="B14" s="9"/>
      <c r="C14" s="9"/>
      <c r="D14" s="9" t="s">
        <v>52</v>
      </c>
      <c r="E14" s="50" t="s">
        <v>30</v>
      </c>
      <c r="F14" s="50"/>
      <c r="G14" s="51" t="s">
        <v>598</v>
      </c>
      <c r="H14" s="51" t="s">
        <v>406</v>
      </c>
      <c r="I14" s="9" t="s">
        <v>403</v>
      </c>
      <c r="J14" s="9"/>
      <c r="K14" s="9" t="s">
        <v>404</v>
      </c>
      <c r="L14" s="9"/>
      <c r="M14" s="9"/>
      <c r="N14" s="9"/>
      <c r="O14" s="9"/>
      <c r="P14" s="9"/>
      <c r="Q14" s="9"/>
      <c r="R14" s="41"/>
      <c r="S14" s="52"/>
      <c r="T14" s="84"/>
      <c r="U14" s="85"/>
    </row>
    <row r="15" spans="1:21" s="11" customFormat="1" x14ac:dyDescent="0.2">
      <c r="A15" s="9">
        <v>10</v>
      </c>
      <c r="B15" s="9"/>
      <c r="C15" s="9"/>
      <c r="D15" s="9" t="s">
        <v>119</v>
      </c>
      <c r="E15" s="50" t="s">
        <v>90</v>
      </c>
      <c r="F15" s="50"/>
      <c r="G15" s="51" t="s">
        <v>599</v>
      </c>
      <c r="H15" s="51" t="s">
        <v>407</v>
      </c>
      <c r="I15" s="9" t="s">
        <v>403</v>
      </c>
      <c r="J15" s="9"/>
      <c r="K15" s="9" t="s">
        <v>404</v>
      </c>
      <c r="L15" s="9"/>
      <c r="M15" s="9" t="s">
        <v>408</v>
      </c>
      <c r="N15" s="9"/>
      <c r="O15" s="9"/>
      <c r="P15" s="9"/>
      <c r="Q15" s="9"/>
      <c r="R15" s="41"/>
      <c r="S15" s="52"/>
      <c r="T15" s="84"/>
      <c r="U15" s="85"/>
    </row>
    <row r="16" spans="1:21" s="11" customFormat="1" x14ac:dyDescent="0.2">
      <c r="A16" s="9">
        <v>10</v>
      </c>
      <c r="B16" s="9"/>
      <c r="C16" s="9"/>
      <c r="D16" s="9" t="s">
        <v>145</v>
      </c>
      <c r="E16" s="50" t="s">
        <v>93</v>
      </c>
      <c r="F16" s="50"/>
      <c r="G16" s="51" t="s">
        <v>600</v>
      </c>
      <c r="H16" s="51" t="s">
        <v>409</v>
      </c>
      <c r="I16" s="9" t="s">
        <v>403</v>
      </c>
      <c r="J16" s="9"/>
      <c r="K16" s="9"/>
      <c r="L16" s="9"/>
      <c r="M16" s="9" t="s">
        <v>410</v>
      </c>
      <c r="N16" s="9" t="s">
        <v>411</v>
      </c>
      <c r="O16" s="9" t="s">
        <v>411</v>
      </c>
      <c r="P16" s="9"/>
      <c r="Q16" s="9"/>
      <c r="R16" s="41"/>
      <c r="S16" s="52"/>
      <c r="T16" s="84"/>
      <c r="U16" s="85"/>
    </row>
    <row r="17" spans="1:21" s="11" customFormat="1" x14ac:dyDescent="0.2">
      <c r="A17" s="9">
        <v>10</v>
      </c>
      <c r="B17" s="9"/>
      <c r="C17" s="9"/>
      <c r="D17" s="9" t="s">
        <v>53</v>
      </c>
      <c r="E17" s="50" t="s">
        <v>96</v>
      </c>
      <c r="F17" s="50"/>
      <c r="G17" s="51" t="s">
        <v>601</v>
      </c>
      <c r="H17" s="51" t="s">
        <v>412</v>
      </c>
      <c r="I17" s="9" t="s">
        <v>403</v>
      </c>
      <c r="J17" s="9"/>
      <c r="K17" s="9"/>
      <c r="L17" s="9"/>
      <c r="M17" s="9"/>
      <c r="N17" s="9"/>
      <c r="O17" s="9"/>
      <c r="P17" s="9"/>
      <c r="Q17" s="9"/>
      <c r="R17" s="41"/>
      <c r="S17" s="52"/>
      <c r="T17" s="84"/>
      <c r="U17" s="85"/>
    </row>
    <row r="18" spans="1:21" s="11" customFormat="1" x14ac:dyDescent="0.2">
      <c r="A18" s="9">
        <v>10</v>
      </c>
      <c r="B18" s="9"/>
      <c r="C18" s="9"/>
      <c r="D18" s="9" t="s">
        <v>54</v>
      </c>
      <c r="E18" s="50" t="s">
        <v>97</v>
      </c>
      <c r="F18" s="50"/>
      <c r="G18" s="51" t="s">
        <v>602</v>
      </c>
      <c r="H18" s="51" t="s">
        <v>413</v>
      </c>
      <c r="I18" s="9" t="s">
        <v>403</v>
      </c>
      <c r="J18" s="9"/>
      <c r="K18" s="9"/>
      <c r="L18" s="9" t="s">
        <v>414</v>
      </c>
      <c r="M18" s="9"/>
      <c r="N18" s="9"/>
      <c r="O18" s="9"/>
      <c r="P18" s="9"/>
      <c r="Q18" s="9"/>
      <c r="R18" s="41"/>
      <c r="S18" s="52"/>
      <c r="T18" s="84"/>
      <c r="U18" s="85"/>
    </row>
    <row r="19" spans="1:21" s="11" customFormat="1" x14ac:dyDescent="0.2">
      <c r="A19" s="9">
        <v>10</v>
      </c>
      <c r="B19" s="9"/>
      <c r="C19" s="9"/>
      <c r="D19" s="9" t="s">
        <v>55</v>
      </c>
      <c r="E19" s="50" t="s">
        <v>98</v>
      </c>
      <c r="F19" s="50"/>
      <c r="G19" s="51" t="s">
        <v>603</v>
      </c>
      <c r="H19" s="51" t="s">
        <v>415</v>
      </c>
      <c r="I19" s="9" t="s">
        <v>403</v>
      </c>
      <c r="J19" s="9"/>
      <c r="K19" s="9"/>
      <c r="L19" s="9"/>
      <c r="M19" s="9"/>
      <c r="N19" s="9"/>
      <c r="O19" s="9"/>
      <c r="P19" s="9"/>
      <c r="Q19" s="9"/>
      <c r="R19" s="41"/>
      <c r="S19" s="52"/>
      <c r="T19" s="84"/>
      <c r="U19" s="85"/>
    </row>
    <row r="20" spans="1:21" s="11" customFormat="1" x14ac:dyDescent="0.2">
      <c r="A20" s="9">
        <v>10</v>
      </c>
      <c r="B20" s="9"/>
      <c r="C20" s="9"/>
      <c r="D20" s="9" t="s">
        <v>56</v>
      </c>
      <c r="E20" s="50" t="s">
        <v>99</v>
      </c>
      <c r="F20" s="50"/>
      <c r="G20" s="51" t="s">
        <v>604</v>
      </c>
      <c r="H20" s="51" t="s">
        <v>416</v>
      </c>
      <c r="I20" s="9" t="s">
        <v>403</v>
      </c>
      <c r="J20" s="9"/>
      <c r="K20" s="9"/>
      <c r="L20" s="9"/>
      <c r="M20" s="9"/>
      <c r="N20" s="9"/>
      <c r="O20" s="9"/>
      <c r="P20" s="9"/>
      <c r="Q20" s="9"/>
      <c r="R20" s="41"/>
      <c r="S20" s="52"/>
      <c r="T20" s="84"/>
      <c r="U20" s="85"/>
    </row>
    <row r="21" spans="1:21" s="11" customFormat="1" x14ac:dyDescent="0.2">
      <c r="A21" s="9">
        <v>10</v>
      </c>
      <c r="B21" s="9"/>
      <c r="C21" s="9"/>
      <c r="D21" s="9" t="s">
        <v>24</v>
      </c>
      <c r="E21" s="50" t="s">
        <v>25</v>
      </c>
      <c r="F21" s="50"/>
      <c r="G21" s="51" t="s">
        <v>605</v>
      </c>
      <c r="H21" s="51" t="s">
        <v>417</v>
      </c>
      <c r="I21" s="9" t="s">
        <v>403</v>
      </c>
      <c r="J21" s="9"/>
      <c r="K21" s="9"/>
      <c r="L21" s="9"/>
      <c r="M21" s="9"/>
      <c r="N21" s="9"/>
      <c r="O21" s="9"/>
      <c r="P21" s="9"/>
      <c r="Q21" s="9"/>
      <c r="R21" s="41"/>
      <c r="S21" s="52"/>
      <c r="T21" s="84"/>
      <c r="U21" s="85"/>
    </row>
    <row r="22" spans="1:21" s="11" customFormat="1" x14ac:dyDescent="0.2">
      <c r="A22" s="9">
        <v>10</v>
      </c>
      <c r="B22" s="9"/>
      <c r="C22" s="9"/>
      <c r="D22" s="9" t="s">
        <v>28</v>
      </c>
      <c r="E22" s="50" t="s">
        <v>29</v>
      </c>
      <c r="F22" s="50"/>
      <c r="G22" s="51" t="s">
        <v>606</v>
      </c>
      <c r="H22" s="51" t="s">
        <v>418</v>
      </c>
      <c r="I22" s="9" t="s">
        <v>403</v>
      </c>
      <c r="J22" s="9"/>
      <c r="K22" s="9"/>
      <c r="L22" s="9"/>
      <c r="M22" s="9"/>
      <c r="N22" s="9"/>
      <c r="O22" s="9"/>
      <c r="P22" s="9"/>
      <c r="Q22" s="9"/>
      <c r="R22" s="41"/>
      <c r="S22" s="52"/>
      <c r="T22" s="84"/>
      <c r="U22" s="85"/>
    </row>
    <row r="23" spans="1:21" s="11" customFormat="1" x14ac:dyDescent="0.2">
      <c r="A23" s="9">
        <v>10</v>
      </c>
      <c r="B23" s="9"/>
      <c r="C23" s="9"/>
      <c r="D23" s="9" t="s">
        <v>26</v>
      </c>
      <c r="E23" s="50" t="s">
        <v>27</v>
      </c>
      <c r="F23" s="50"/>
      <c r="G23" s="51" t="s">
        <v>607</v>
      </c>
      <c r="H23" s="51" t="s">
        <v>419</v>
      </c>
      <c r="I23" s="9" t="s">
        <v>403</v>
      </c>
      <c r="J23" s="9"/>
      <c r="K23" s="9"/>
      <c r="L23" s="9"/>
      <c r="M23" s="9"/>
      <c r="N23" s="9"/>
      <c r="O23" s="9"/>
      <c r="P23" s="9"/>
      <c r="Q23" s="9"/>
      <c r="R23" s="41"/>
      <c r="S23" s="52"/>
      <c r="T23" s="84"/>
      <c r="U23" s="85"/>
    </row>
    <row r="24" spans="1:21" s="11" customFormat="1" x14ac:dyDescent="0.2">
      <c r="A24" s="9">
        <v>10</v>
      </c>
      <c r="B24" s="9"/>
      <c r="C24" s="9"/>
      <c r="D24" s="9" t="s">
        <v>35</v>
      </c>
      <c r="E24" s="50" t="s">
        <v>30</v>
      </c>
      <c r="F24" s="50"/>
      <c r="G24" s="51" t="s">
        <v>608</v>
      </c>
      <c r="H24" s="51" t="s">
        <v>420</v>
      </c>
      <c r="I24" s="9" t="s">
        <v>403</v>
      </c>
      <c r="J24" s="9"/>
      <c r="K24" s="9"/>
      <c r="L24" s="9"/>
      <c r="M24" s="9"/>
      <c r="N24" s="9"/>
      <c r="O24" s="9"/>
      <c r="P24" s="9"/>
      <c r="Q24" s="9"/>
      <c r="R24" s="41"/>
      <c r="S24" s="52"/>
      <c r="T24" s="84"/>
      <c r="U24" s="85"/>
    </row>
    <row r="25" spans="1:21" s="11" customFormat="1" x14ac:dyDescent="0.2">
      <c r="A25" s="9">
        <v>10</v>
      </c>
      <c r="B25" s="9"/>
      <c r="C25" s="9"/>
      <c r="D25" s="9" t="s">
        <v>36</v>
      </c>
      <c r="E25" s="50" t="s">
        <v>37</v>
      </c>
      <c r="F25" s="50"/>
      <c r="G25" s="51" t="s">
        <v>609</v>
      </c>
      <c r="H25" s="51" t="s">
        <v>421</v>
      </c>
      <c r="I25" s="9" t="s">
        <v>403</v>
      </c>
      <c r="J25" s="9"/>
      <c r="K25" s="9"/>
      <c r="L25" s="9"/>
      <c r="M25" s="9"/>
      <c r="N25" s="9"/>
      <c r="O25" s="9"/>
      <c r="P25" s="9"/>
      <c r="Q25" s="9"/>
      <c r="R25" s="41"/>
      <c r="S25" s="52"/>
      <c r="T25" s="84"/>
      <c r="U25" s="85"/>
    </row>
    <row r="26" spans="1:21" s="11" customFormat="1" x14ac:dyDescent="0.2">
      <c r="A26" s="53"/>
      <c r="B26" s="54"/>
      <c r="C26" s="54"/>
      <c r="D26" s="27" t="s">
        <v>1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4"/>
      <c r="S26" s="6"/>
      <c r="T26" s="23"/>
      <c r="U26" s="15"/>
    </row>
    <row r="27" spans="1:21" s="11" customFormat="1" x14ac:dyDescent="0.2">
      <c r="A27" s="65"/>
      <c r="U27" s="55"/>
    </row>
    <row r="28" spans="1:21" s="11" customFormat="1" x14ac:dyDescent="0.2">
      <c r="A28" s="65"/>
      <c r="U28" s="55"/>
    </row>
    <row r="29" spans="1:21" s="11" customFormat="1" x14ac:dyDescent="0.2">
      <c r="A29" s="65"/>
      <c r="U29" s="55"/>
    </row>
    <row r="30" spans="1:21" s="11" customFormat="1" x14ac:dyDescent="0.2">
      <c r="A30" s="70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20"/>
    </row>
  </sheetData>
  <dataConsolidate/>
  <mergeCells count="14">
    <mergeCell ref="T22:U22"/>
    <mergeCell ref="T23:U23"/>
    <mergeCell ref="T24:U24"/>
    <mergeCell ref="T25:U25"/>
    <mergeCell ref="T17:U17"/>
    <mergeCell ref="T18:U18"/>
    <mergeCell ref="T19:U19"/>
    <mergeCell ref="T20:U20"/>
    <mergeCell ref="T21:U21"/>
    <mergeCell ref="T12:U12"/>
    <mergeCell ref="T13:U13"/>
    <mergeCell ref="T14:U14"/>
    <mergeCell ref="T15:U15"/>
    <mergeCell ref="T16:U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1">
    <pageSetUpPr fitToPage="1"/>
  </sheetPr>
  <dimension ref="A1:V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146</v>
      </c>
      <c r="K2" s="7" t="s">
        <v>21</v>
      </c>
      <c r="L2" s="64" t="str">
        <f>IF(LogicCommon!G2="","",LogicCommon!G2)</f>
        <v>MC</v>
      </c>
      <c r="M2" s="5" t="s">
        <v>124</v>
      </c>
      <c r="N2" s="28" t="s">
        <v>545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129</v>
      </c>
      <c r="K3" s="7" t="s">
        <v>22</v>
      </c>
      <c r="L3" s="64" t="str">
        <f>IF(LogicCommon!G3="","",LogicCommon!G3)</f>
        <v/>
      </c>
      <c r="M3" s="68" t="s">
        <v>126</v>
      </c>
      <c r="N3" s="7"/>
      <c r="O3" s="7" t="s">
        <v>193</v>
      </c>
      <c r="P3" s="9" t="s">
        <v>194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31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140</v>
      </c>
      <c r="B6" s="66"/>
      <c r="C6" s="66"/>
      <c r="D6" s="4" t="s">
        <v>5</v>
      </c>
      <c r="E6" s="16" t="s">
        <v>342</v>
      </c>
      <c r="F6" s="16"/>
      <c r="G6" s="16"/>
      <c r="H6" s="16"/>
      <c r="I6" s="16"/>
      <c r="J6" s="16"/>
      <c r="K6" s="16"/>
      <c r="L6" s="72" t="s">
        <v>169</v>
      </c>
      <c r="M6" s="19"/>
      <c r="N6" s="19" t="s">
        <v>169</v>
      </c>
      <c r="O6" s="19"/>
      <c r="P6" s="19" t="s">
        <v>169</v>
      </c>
      <c r="Q6" s="19"/>
      <c r="R6" s="3" t="s">
        <v>169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130</v>
      </c>
      <c r="L7" s="32" t="s">
        <v>131</v>
      </c>
      <c r="M7" s="33" t="s">
        <v>33</v>
      </c>
      <c r="N7" s="32" t="s">
        <v>132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33" t="s">
        <v>134</v>
      </c>
      <c r="L8" s="9" t="s">
        <v>548</v>
      </c>
      <c r="M8" s="33" t="s">
        <v>34</v>
      </c>
      <c r="N8" s="9" t="s">
        <v>548</v>
      </c>
      <c r="O8" s="33" t="s">
        <v>34</v>
      </c>
      <c r="P8" s="9"/>
      <c r="Q8" s="33" t="s">
        <v>34</v>
      </c>
      <c r="R8" s="9"/>
      <c r="S8" s="79"/>
      <c r="T8" s="80"/>
      <c r="U8" s="81" t="s">
        <v>586</v>
      </c>
      <c r="V8" s="52"/>
    </row>
    <row r="9" spans="1:22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33"/>
      <c r="O9" s="33"/>
      <c r="P9" s="33"/>
      <c r="Q9" s="33"/>
      <c r="R9" s="33"/>
      <c r="S9" s="81" t="s">
        <v>594</v>
      </c>
      <c r="T9" s="52"/>
      <c r="U9" s="81" t="s">
        <v>595</v>
      </c>
      <c r="V9" s="52"/>
    </row>
    <row r="10" spans="1:22" s="11" customFormat="1" ht="52" x14ac:dyDescent="0.2">
      <c r="A10" s="39" t="s">
        <v>135</v>
      </c>
      <c r="B10" s="40"/>
      <c r="C10" s="40"/>
      <c r="D10" s="41"/>
      <c r="E10" s="42"/>
      <c r="F10" s="42"/>
      <c r="G10" s="43"/>
      <c r="H10" s="43"/>
      <c r="I10" s="42"/>
      <c r="J10" s="42"/>
      <c r="K10" s="76" t="s">
        <v>592</v>
      </c>
      <c r="L10" s="76" t="s">
        <v>593</v>
      </c>
      <c r="M10" s="76" t="s">
        <v>592</v>
      </c>
      <c r="N10" s="76" t="s">
        <v>593</v>
      </c>
      <c r="O10" s="76" t="s">
        <v>592</v>
      </c>
      <c r="P10" s="76" t="s">
        <v>593</v>
      </c>
      <c r="Q10" s="76" t="s">
        <v>592</v>
      </c>
      <c r="R10" s="76" t="s">
        <v>593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147</v>
      </c>
      <c r="E11" s="34" t="s">
        <v>136</v>
      </c>
      <c r="F11" s="44"/>
      <c r="G11" s="28" t="s">
        <v>137</v>
      </c>
      <c r="H11" s="45" t="s">
        <v>422</v>
      </c>
      <c r="I11" s="46"/>
      <c r="J11" s="47"/>
      <c r="K11" s="48" t="s">
        <v>122</v>
      </c>
      <c r="L11" s="48"/>
      <c r="M11" s="48" t="s">
        <v>423</v>
      </c>
      <c r="N11" s="48"/>
      <c r="O11" s="48"/>
      <c r="P11" s="48"/>
      <c r="Q11" s="48"/>
      <c r="R11" s="48"/>
      <c r="S11" s="35"/>
      <c r="T11" s="36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50</v>
      </c>
      <c r="E12" s="50" t="s">
        <v>94</v>
      </c>
      <c r="F12" s="50"/>
      <c r="G12" s="51" t="s">
        <v>596</v>
      </c>
      <c r="H12" s="51" t="s">
        <v>402</v>
      </c>
      <c r="I12" s="9" t="s">
        <v>403</v>
      </c>
      <c r="J12" s="9"/>
      <c r="K12" s="9" t="s">
        <v>404</v>
      </c>
      <c r="L12" s="9"/>
      <c r="M12" s="9" t="s">
        <v>404</v>
      </c>
      <c r="N12" s="9"/>
      <c r="O12" s="9"/>
      <c r="P12" s="9"/>
      <c r="Q12" s="9"/>
      <c r="R12" s="9"/>
      <c r="S12" s="41"/>
      <c r="T12" s="52"/>
      <c r="U12" s="84"/>
      <c r="V12" s="85"/>
    </row>
    <row r="13" spans="1:22" s="11" customFormat="1" x14ac:dyDescent="0.2">
      <c r="A13" s="9">
        <v>10</v>
      </c>
      <c r="B13" s="9"/>
      <c r="C13" s="9"/>
      <c r="D13" s="9" t="s">
        <v>51</v>
      </c>
      <c r="E13" s="50" t="s">
        <v>95</v>
      </c>
      <c r="F13" s="50"/>
      <c r="G13" s="51" t="s">
        <v>597</v>
      </c>
      <c r="H13" s="51" t="s">
        <v>405</v>
      </c>
      <c r="I13" s="9" t="s">
        <v>403</v>
      </c>
      <c r="J13" s="9"/>
      <c r="K13" s="9" t="s">
        <v>404</v>
      </c>
      <c r="L13" s="9"/>
      <c r="M13" s="9" t="s">
        <v>404</v>
      </c>
      <c r="N13" s="9"/>
      <c r="O13" s="9"/>
      <c r="P13" s="9"/>
      <c r="Q13" s="9"/>
      <c r="R13" s="9"/>
      <c r="S13" s="41"/>
      <c r="T13" s="52"/>
      <c r="U13" s="84"/>
      <c r="V13" s="85"/>
    </row>
    <row r="14" spans="1:22" s="11" customFormat="1" x14ac:dyDescent="0.2">
      <c r="A14" s="9">
        <v>10</v>
      </c>
      <c r="B14" s="9"/>
      <c r="C14" s="9"/>
      <c r="D14" s="9" t="s">
        <v>52</v>
      </c>
      <c r="E14" s="50" t="s">
        <v>30</v>
      </c>
      <c r="F14" s="50"/>
      <c r="G14" s="51" t="s">
        <v>598</v>
      </c>
      <c r="H14" s="51" t="s">
        <v>406</v>
      </c>
      <c r="I14" s="9" t="s">
        <v>403</v>
      </c>
      <c r="J14" s="9"/>
      <c r="K14" s="9" t="s">
        <v>404</v>
      </c>
      <c r="L14" s="9"/>
      <c r="M14" s="9" t="s">
        <v>404</v>
      </c>
      <c r="N14" s="9"/>
      <c r="O14" s="9"/>
      <c r="P14" s="9"/>
      <c r="Q14" s="9"/>
      <c r="R14" s="9"/>
      <c r="S14" s="41"/>
      <c r="T14" s="52"/>
      <c r="U14" s="84"/>
      <c r="V14" s="85"/>
    </row>
    <row r="15" spans="1:22" s="11" customFormat="1" x14ac:dyDescent="0.2">
      <c r="A15" s="9">
        <v>10</v>
      </c>
      <c r="B15" s="9"/>
      <c r="C15" s="9"/>
      <c r="D15" s="9" t="s">
        <v>142</v>
      </c>
      <c r="E15" s="50" t="s">
        <v>90</v>
      </c>
      <c r="F15" s="50"/>
      <c r="G15" s="51" t="s">
        <v>599</v>
      </c>
      <c r="H15" s="51" t="s">
        <v>407</v>
      </c>
      <c r="I15" s="9" t="s">
        <v>403</v>
      </c>
      <c r="J15" s="9"/>
      <c r="K15" s="9" t="s">
        <v>404</v>
      </c>
      <c r="L15" s="9"/>
      <c r="M15" s="9" t="s">
        <v>404</v>
      </c>
      <c r="N15" s="9"/>
      <c r="O15" s="9"/>
      <c r="P15" s="9"/>
      <c r="Q15" s="9"/>
      <c r="R15" s="9"/>
      <c r="S15" s="41"/>
      <c r="T15" s="52"/>
      <c r="U15" s="84"/>
      <c r="V15" s="85"/>
    </row>
    <row r="16" spans="1:22" s="11" customFormat="1" x14ac:dyDescent="0.2">
      <c r="A16" s="9">
        <v>10</v>
      </c>
      <c r="B16" s="9"/>
      <c r="C16" s="9"/>
      <c r="D16" s="9" t="s">
        <v>145</v>
      </c>
      <c r="E16" s="50" t="s">
        <v>93</v>
      </c>
      <c r="F16" s="50"/>
      <c r="G16" s="51" t="s">
        <v>600</v>
      </c>
      <c r="H16" s="51" t="s">
        <v>409</v>
      </c>
      <c r="I16" s="9" t="s">
        <v>403</v>
      </c>
      <c r="J16" s="9"/>
      <c r="K16" s="9" t="s">
        <v>404</v>
      </c>
      <c r="L16" s="9"/>
      <c r="M16" s="9" t="s">
        <v>404</v>
      </c>
      <c r="N16" s="9"/>
      <c r="O16" s="9"/>
      <c r="P16" s="9"/>
      <c r="Q16" s="9"/>
      <c r="R16" s="9"/>
      <c r="S16" s="41"/>
      <c r="T16" s="52"/>
      <c r="U16" s="84"/>
      <c r="V16" s="85"/>
    </row>
    <row r="17" spans="1:22" s="11" customFormat="1" x14ac:dyDescent="0.2">
      <c r="A17" s="9">
        <v>10</v>
      </c>
      <c r="B17" s="9"/>
      <c r="C17" s="9"/>
      <c r="D17" s="9" t="s">
        <v>53</v>
      </c>
      <c r="E17" s="50" t="s">
        <v>96</v>
      </c>
      <c r="F17" s="50"/>
      <c r="G17" s="51" t="s">
        <v>601</v>
      </c>
      <c r="H17" s="51" t="s">
        <v>412</v>
      </c>
      <c r="I17" s="9" t="s">
        <v>403</v>
      </c>
      <c r="J17" s="9"/>
      <c r="K17" s="9" t="s">
        <v>404</v>
      </c>
      <c r="L17" s="9"/>
      <c r="M17" s="9" t="s">
        <v>404</v>
      </c>
      <c r="N17" s="9"/>
      <c r="O17" s="9"/>
      <c r="P17" s="9"/>
      <c r="Q17" s="9"/>
      <c r="R17" s="9"/>
      <c r="S17" s="41"/>
      <c r="T17" s="52"/>
      <c r="U17" s="84"/>
      <c r="V17" s="85"/>
    </row>
    <row r="18" spans="1:22" s="11" customFormat="1" x14ac:dyDescent="0.2">
      <c r="A18" s="9">
        <v>10</v>
      </c>
      <c r="B18" s="9"/>
      <c r="C18" s="9"/>
      <c r="D18" s="9" t="s">
        <v>54</v>
      </c>
      <c r="E18" s="50" t="s">
        <v>97</v>
      </c>
      <c r="F18" s="50"/>
      <c r="G18" s="51" t="s">
        <v>602</v>
      </c>
      <c r="H18" s="51" t="s">
        <v>413</v>
      </c>
      <c r="I18" s="9" t="s">
        <v>403</v>
      </c>
      <c r="J18" s="9"/>
      <c r="K18" s="9" t="s">
        <v>404</v>
      </c>
      <c r="L18" s="9"/>
      <c r="M18" s="9" t="s">
        <v>404</v>
      </c>
      <c r="N18" s="9"/>
      <c r="O18" s="9"/>
      <c r="P18" s="9"/>
      <c r="Q18" s="9"/>
      <c r="R18" s="9"/>
      <c r="S18" s="41"/>
      <c r="T18" s="52"/>
      <c r="U18" s="84"/>
      <c r="V18" s="85"/>
    </row>
    <row r="19" spans="1:22" s="11" customFormat="1" x14ac:dyDescent="0.2">
      <c r="A19" s="9">
        <v>10</v>
      </c>
      <c r="B19" s="9"/>
      <c r="C19" s="9"/>
      <c r="D19" s="9" t="s">
        <v>55</v>
      </c>
      <c r="E19" s="50" t="s">
        <v>98</v>
      </c>
      <c r="F19" s="50"/>
      <c r="G19" s="51" t="s">
        <v>603</v>
      </c>
      <c r="H19" s="51" t="s">
        <v>415</v>
      </c>
      <c r="I19" s="9" t="s">
        <v>403</v>
      </c>
      <c r="J19" s="9"/>
      <c r="K19" s="9" t="s">
        <v>404</v>
      </c>
      <c r="L19" s="9"/>
      <c r="M19" s="9" t="s">
        <v>404</v>
      </c>
      <c r="N19" s="9"/>
      <c r="O19" s="9"/>
      <c r="P19" s="9"/>
      <c r="Q19" s="9"/>
      <c r="R19" s="9"/>
      <c r="S19" s="41"/>
      <c r="T19" s="52"/>
      <c r="U19" s="84"/>
      <c r="V19" s="85"/>
    </row>
    <row r="20" spans="1:22" s="11" customFormat="1" x14ac:dyDescent="0.2">
      <c r="A20" s="9">
        <v>10</v>
      </c>
      <c r="B20" s="9"/>
      <c r="C20" s="9"/>
      <c r="D20" s="9" t="s">
        <v>56</v>
      </c>
      <c r="E20" s="50" t="s">
        <v>99</v>
      </c>
      <c r="F20" s="50"/>
      <c r="G20" s="51" t="s">
        <v>604</v>
      </c>
      <c r="H20" s="51" t="s">
        <v>416</v>
      </c>
      <c r="I20" s="9" t="s">
        <v>403</v>
      </c>
      <c r="J20" s="9"/>
      <c r="K20" s="9" t="s">
        <v>404</v>
      </c>
      <c r="L20" s="9"/>
      <c r="M20" s="9" t="s">
        <v>404</v>
      </c>
      <c r="N20" s="9"/>
      <c r="O20" s="9"/>
      <c r="P20" s="9"/>
      <c r="Q20" s="9"/>
      <c r="R20" s="9"/>
      <c r="S20" s="41"/>
      <c r="T20" s="52"/>
      <c r="U20" s="84"/>
      <c r="V20" s="85"/>
    </row>
    <row r="21" spans="1:22" s="11" customFormat="1" x14ac:dyDescent="0.2">
      <c r="A21" s="9">
        <v>10</v>
      </c>
      <c r="B21" s="9"/>
      <c r="C21" s="9"/>
      <c r="D21" s="9" t="s">
        <v>24</v>
      </c>
      <c r="E21" s="50" t="s">
        <v>25</v>
      </c>
      <c r="F21" s="50"/>
      <c r="G21" s="51" t="s">
        <v>605</v>
      </c>
      <c r="H21" s="51" t="s">
        <v>417</v>
      </c>
      <c r="I21" s="9" t="s">
        <v>403</v>
      </c>
      <c r="J21" s="9"/>
      <c r="K21" s="9" t="s">
        <v>404</v>
      </c>
      <c r="L21" s="9"/>
      <c r="M21" s="9" t="s">
        <v>404</v>
      </c>
      <c r="N21" s="9"/>
      <c r="O21" s="9"/>
      <c r="P21" s="9"/>
      <c r="Q21" s="9"/>
      <c r="R21" s="9"/>
      <c r="S21" s="41"/>
      <c r="T21" s="52"/>
      <c r="U21" s="84"/>
      <c r="V21" s="85"/>
    </row>
    <row r="22" spans="1:22" s="11" customFormat="1" x14ac:dyDescent="0.2">
      <c r="A22" s="9">
        <v>10</v>
      </c>
      <c r="B22" s="9"/>
      <c r="C22" s="9"/>
      <c r="D22" s="9" t="s">
        <v>28</v>
      </c>
      <c r="E22" s="50" t="s">
        <v>29</v>
      </c>
      <c r="F22" s="50"/>
      <c r="G22" s="51" t="s">
        <v>606</v>
      </c>
      <c r="H22" s="51" t="s">
        <v>418</v>
      </c>
      <c r="I22" s="9" t="s">
        <v>403</v>
      </c>
      <c r="J22" s="9"/>
      <c r="K22" s="9" t="s">
        <v>404</v>
      </c>
      <c r="L22" s="9"/>
      <c r="M22" s="9" t="s">
        <v>404</v>
      </c>
      <c r="N22" s="9"/>
      <c r="O22" s="9"/>
      <c r="P22" s="9"/>
      <c r="Q22" s="9"/>
      <c r="R22" s="9"/>
      <c r="S22" s="41"/>
      <c r="T22" s="52"/>
      <c r="U22" s="84"/>
      <c r="V22" s="85"/>
    </row>
    <row r="23" spans="1:22" s="11" customFormat="1" x14ac:dyDescent="0.2">
      <c r="A23" s="9">
        <v>10</v>
      </c>
      <c r="B23" s="9"/>
      <c r="C23" s="9"/>
      <c r="D23" s="9" t="s">
        <v>26</v>
      </c>
      <c r="E23" s="50" t="s">
        <v>27</v>
      </c>
      <c r="F23" s="50"/>
      <c r="G23" s="51" t="s">
        <v>607</v>
      </c>
      <c r="H23" s="51" t="s">
        <v>419</v>
      </c>
      <c r="I23" s="9" t="s">
        <v>403</v>
      </c>
      <c r="J23" s="9"/>
      <c r="K23" s="9" t="s">
        <v>404</v>
      </c>
      <c r="L23" s="9"/>
      <c r="M23" s="9" t="s">
        <v>404</v>
      </c>
      <c r="N23" s="9"/>
      <c r="O23" s="9"/>
      <c r="P23" s="9"/>
      <c r="Q23" s="9"/>
      <c r="R23" s="9"/>
      <c r="S23" s="41"/>
      <c r="T23" s="52"/>
      <c r="U23" s="84"/>
      <c r="V23" s="85"/>
    </row>
    <row r="24" spans="1:22" s="11" customFormat="1" x14ac:dyDescent="0.2">
      <c r="A24" s="9">
        <v>10</v>
      </c>
      <c r="B24" s="9"/>
      <c r="C24" s="9"/>
      <c r="D24" s="9" t="s">
        <v>35</v>
      </c>
      <c r="E24" s="50" t="s">
        <v>30</v>
      </c>
      <c r="F24" s="50"/>
      <c r="G24" s="51" t="s">
        <v>608</v>
      </c>
      <c r="H24" s="51" t="s">
        <v>420</v>
      </c>
      <c r="I24" s="9" t="s">
        <v>403</v>
      </c>
      <c r="J24" s="9"/>
      <c r="K24" s="9" t="s">
        <v>404</v>
      </c>
      <c r="L24" s="9"/>
      <c r="M24" s="9" t="s">
        <v>404</v>
      </c>
      <c r="N24" s="9"/>
      <c r="O24" s="9"/>
      <c r="P24" s="9"/>
      <c r="Q24" s="9"/>
      <c r="R24" s="9"/>
      <c r="S24" s="41"/>
      <c r="T24" s="52"/>
      <c r="U24" s="84"/>
      <c r="V24" s="85"/>
    </row>
    <row r="25" spans="1:22" s="11" customFormat="1" x14ac:dyDescent="0.2">
      <c r="A25" s="9">
        <v>10</v>
      </c>
      <c r="B25" s="9"/>
      <c r="C25" s="9"/>
      <c r="D25" s="9" t="s">
        <v>36</v>
      </c>
      <c r="E25" s="50" t="s">
        <v>37</v>
      </c>
      <c r="F25" s="50"/>
      <c r="G25" s="51" t="s">
        <v>609</v>
      </c>
      <c r="H25" s="51" t="s">
        <v>421</v>
      </c>
      <c r="I25" s="9" t="s">
        <v>403</v>
      </c>
      <c r="J25" s="9"/>
      <c r="K25" s="9" t="s">
        <v>404</v>
      </c>
      <c r="L25" s="9"/>
      <c r="M25" s="9" t="s">
        <v>404</v>
      </c>
      <c r="N25" s="9"/>
      <c r="O25" s="9"/>
      <c r="P25" s="9"/>
      <c r="Q25" s="9"/>
      <c r="R25" s="9"/>
      <c r="S25" s="41"/>
      <c r="T25" s="52"/>
      <c r="U25" s="84"/>
      <c r="V25" s="85"/>
    </row>
    <row r="26" spans="1:22" s="11" customFormat="1" x14ac:dyDescent="0.2">
      <c r="A26" s="53"/>
      <c r="B26" s="54"/>
      <c r="C26" s="54"/>
      <c r="D26" s="27" t="s">
        <v>1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4"/>
      <c r="T26" s="4"/>
      <c r="U26" s="6"/>
      <c r="V26" s="23"/>
    </row>
    <row r="27" spans="1:22" s="11" customFormat="1" x14ac:dyDescent="0.2">
      <c r="A27" s="65"/>
      <c r="V27" s="55"/>
    </row>
    <row r="28" spans="1:22" s="11" customFormat="1" x14ac:dyDescent="0.2">
      <c r="A28" s="65"/>
      <c r="V28" s="55"/>
    </row>
    <row r="29" spans="1:22" s="11" customFormat="1" x14ac:dyDescent="0.2">
      <c r="A29" s="65"/>
      <c r="V29" s="55"/>
    </row>
    <row r="30" spans="1:22" s="11" customFormat="1" x14ac:dyDescent="0.2">
      <c r="A30" s="70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20"/>
    </row>
  </sheetData>
  <dataConsolidate/>
  <mergeCells count="14">
    <mergeCell ref="U22:V22"/>
    <mergeCell ref="U23:V23"/>
    <mergeCell ref="U24:V24"/>
    <mergeCell ref="U25:V25"/>
    <mergeCell ref="U17:V17"/>
    <mergeCell ref="U18:V18"/>
    <mergeCell ref="U19:V19"/>
    <mergeCell ref="U20:V20"/>
    <mergeCell ref="U21:V21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2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148</v>
      </c>
      <c r="K2" s="7" t="s">
        <v>21</v>
      </c>
      <c r="L2" s="64" t="str">
        <f>IF(LogicCommon!G2="","",LogicCommon!G2)</f>
        <v>MC</v>
      </c>
      <c r="M2" s="5" t="s">
        <v>124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125</v>
      </c>
      <c r="K3" s="7" t="s">
        <v>22</v>
      </c>
      <c r="L3" s="64" t="str">
        <f>IF(LogicCommon!G3="","",LogicCommon!G3)</f>
        <v/>
      </c>
      <c r="M3" s="68" t="s">
        <v>126</v>
      </c>
      <c r="N3" s="7"/>
      <c r="O3" s="7" t="s">
        <v>193</v>
      </c>
      <c r="P3" s="9" t="s">
        <v>194</v>
      </c>
      <c r="Q3" s="4"/>
    </row>
    <row r="4" spans="1:17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127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140</v>
      </c>
      <c r="B6" s="66"/>
      <c r="C6" s="66"/>
      <c r="D6" s="4" t="s">
        <v>5</v>
      </c>
      <c r="E6" s="16" t="s">
        <v>343</v>
      </c>
      <c r="F6" s="16"/>
      <c r="G6" s="16"/>
      <c r="H6" s="16"/>
      <c r="I6" s="16"/>
      <c r="J6" s="16"/>
      <c r="K6" s="16"/>
      <c r="L6" s="72"/>
      <c r="M6" s="19" t="s">
        <v>169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128</v>
      </c>
      <c r="L7" s="33" t="s">
        <v>33</v>
      </c>
      <c r="M7" s="32" t="s">
        <v>245</v>
      </c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9" t="s">
        <v>139</v>
      </c>
      <c r="L8" s="33" t="s">
        <v>34</v>
      </c>
      <c r="M8" s="9" t="s">
        <v>549</v>
      </c>
      <c r="N8" s="79"/>
      <c r="O8" s="80"/>
      <c r="P8" s="81" t="s">
        <v>586</v>
      </c>
      <c r="Q8" s="52"/>
    </row>
    <row r="9" spans="1:17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81" t="s">
        <v>594</v>
      </c>
      <c r="O9" s="52"/>
      <c r="P9" s="81" t="s">
        <v>595</v>
      </c>
      <c r="Q9" s="52"/>
    </row>
    <row r="10" spans="1:17" s="11" customFormat="1" ht="52" x14ac:dyDescent="0.2">
      <c r="A10" s="39" t="s">
        <v>135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76" t="s">
        <v>592</v>
      </c>
      <c r="M10" s="76" t="s">
        <v>593</v>
      </c>
      <c r="N10" s="42"/>
      <c r="O10" s="42"/>
      <c r="P10" s="43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149</v>
      </c>
      <c r="E11" s="34" t="s">
        <v>32</v>
      </c>
      <c r="F11" s="44"/>
      <c r="G11" s="28" t="s">
        <v>248</v>
      </c>
      <c r="H11" s="45" t="s">
        <v>424</v>
      </c>
      <c r="I11" s="46"/>
      <c r="J11" s="47"/>
      <c r="K11" s="48"/>
      <c r="L11" s="48" t="s">
        <v>423</v>
      </c>
      <c r="M11" s="48"/>
      <c r="N11" s="35"/>
      <c r="O11" s="36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50</v>
      </c>
      <c r="E12" s="50" t="s">
        <v>94</v>
      </c>
      <c r="F12" s="50"/>
      <c r="G12" s="51" t="s">
        <v>596</v>
      </c>
      <c r="H12" s="51" t="s">
        <v>402</v>
      </c>
      <c r="I12" s="9" t="s">
        <v>403</v>
      </c>
      <c r="J12" s="9"/>
      <c r="K12" s="9" t="s">
        <v>404</v>
      </c>
      <c r="L12" s="9" t="s">
        <v>404</v>
      </c>
      <c r="M12" s="9"/>
      <c r="N12" s="41"/>
      <c r="O12" s="52"/>
      <c r="P12" s="84"/>
      <c r="Q12" s="85"/>
    </row>
    <row r="13" spans="1:17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610</v>
      </c>
      <c r="H13" s="51" t="s">
        <v>425</v>
      </c>
      <c r="I13" s="9" t="s">
        <v>403</v>
      </c>
      <c r="J13" s="9"/>
      <c r="K13" s="9" t="s">
        <v>404</v>
      </c>
      <c r="L13" s="9"/>
      <c r="M13" s="9"/>
      <c r="N13" s="41"/>
      <c r="O13" s="52"/>
      <c r="P13" s="84"/>
      <c r="Q13" s="85"/>
    </row>
    <row r="14" spans="1:17" s="11" customFormat="1" x14ac:dyDescent="0.2">
      <c r="A14" s="9">
        <v>10</v>
      </c>
      <c r="B14" s="9"/>
      <c r="C14" s="9"/>
      <c r="D14" s="9" t="s">
        <v>51</v>
      </c>
      <c r="E14" s="50" t="s">
        <v>95</v>
      </c>
      <c r="F14" s="50"/>
      <c r="G14" s="51" t="s">
        <v>611</v>
      </c>
      <c r="H14" s="51" t="s">
        <v>426</v>
      </c>
      <c r="I14" s="9" t="s">
        <v>403</v>
      </c>
      <c r="J14" s="9"/>
      <c r="K14" s="9" t="s">
        <v>404</v>
      </c>
      <c r="L14" s="9"/>
      <c r="M14" s="9"/>
      <c r="N14" s="41"/>
      <c r="O14" s="52"/>
      <c r="P14" s="84"/>
      <c r="Q14" s="85"/>
    </row>
    <row r="15" spans="1:17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605</v>
      </c>
      <c r="H15" s="51" t="s">
        <v>417</v>
      </c>
      <c r="I15" s="9" t="s">
        <v>403</v>
      </c>
      <c r="J15" s="9"/>
      <c r="K15" s="9"/>
      <c r="L15" s="9"/>
      <c r="M15" s="9"/>
      <c r="N15" s="41"/>
      <c r="O15" s="52"/>
      <c r="P15" s="84"/>
      <c r="Q15" s="85"/>
    </row>
    <row r="16" spans="1:17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606</v>
      </c>
      <c r="H16" s="51" t="s">
        <v>418</v>
      </c>
      <c r="I16" s="9" t="s">
        <v>403</v>
      </c>
      <c r="J16" s="9"/>
      <c r="K16" s="9"/>
      <c r="L16" s="9"/>
      <c r="M16" s="9"/>
      <c r="N16" s="41"/>
      <c r="O16" s="52"/>
      <c r="P16" s="84"/>
      <c r="Q16" s="85"/>
    </row>
    <row r="17" spans="1:17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607</v>
      </c>
      <c r="H17" s="51" t="s">
        <v>419</v>
      </c>
      <c r="I17" s="9" t="s">
        <v>403</v>
      </c>
      <c r="J17" s="9"/>
      <c r="K17" s="9"/>
      <c r="L17" s="9"/>
      <c r="M17" s="9"/>
      <c r="N17" s="41"/>
      <c r="O17" s="52"/>
      <c r="P17" s="84"/>
      <c r="Q17" s="85"/>
    </row>
    <row r="18" spans="1:17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609</v>
      </c>
      <c r="H18" s="51" t="s">
        <v>421</v>
      </c>
      <c r="I18" s="9" t="s">
        <v>403</v>
      </c>
      <c r="J18" s="9"/>
      <c r="K18" s="9"/>
      <c r="L18" s="9"/>
      <c r="M18" s="9"/>
      <c r="N18" s="41"/>
      <c r="O18" s="52"/>
      <c r="P18" s="84"/>
      <c r="Q18" s="85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3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150</v>
      </c>
      <c r="K2" s="7" t="s">
        <v>21</v>
      </c>
      <c r="L2" s="64" t="str">
        <f>IF(LogicCommon!G2="","",LogicCommon!G2)</f>
        <v>MC</v>
      </c>
      <c r="M2" s="5" t="s">
        <v>124</v>
      </c>
      <c r="N2" s="28" t="s">
        <v>545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129</v>
      </c>
      <c r="K3" s="7" t="s">
        <v>22</v>
      </c>
      <c r="L3" s="64" t="str">
        <f>IF(LogicCommon!G3="","",LogicCommon!G3)</f>
        <v/>
      </c>
      <c r="M3" s="68" t="s">
        <v>126</v>
      </c>
      <c r="N3" s="7"/>
      <c r="O3" s="7" t="s">
        <v>193</v>
      </c>
      <c r="P3" s="9" t="s">
        <v>194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31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140</v>
      </c>
      <c r="B6" s="66"/>
      <c r="C6" s="66"/>
      <c r="D6" s="4" t="s">
        <v>5</v>
      </c>
      <c r="E6" s="16" t="s">
        <v>344</v>
      </c>
      <c r="F6" s="16"/>
      <c r="G6" s="16"/>
      <c r="H6" s="16"/>
      <c r="I6" s="16"/>
      <c r="J6" s="16"/>
      <c r="K6" s="16"/>
      <c r="L6" s="72" t="s">
        <v>169</v>
      </c>
      <c r="M6" s="19"/>
      <c r="N6" s="19" t="s">
        <v>169</v>
      </c>
      <c r="O6" s="19"/>
      <c r="P6" s="19" t="s">
        <v>169</v>
      </c>
      <c r="Q6" s="19"/>
      <c r="R6" s="3" t="s">
        <v>169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130</v>
      </c>
      <c r="L7" s="32" t="s">
        <v>131</v>
      </c>
      <c r="M7" s="33" t="s">
        <v>33</v>
      </c>
      <c r="N7" s="32" t="s">
        <v>132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33" t="s">
        <v>134</v>
      </c>
      <c r="L8" s="9" t="s">
        <v>152</v>
      </c>
      <c r="M8" s="33" t="s">
        <v>34</v>
      </c>
      <c r="N8" s="9" t="s">
        <v>152</v>
      </c>
      <c r="O8" s="33" t="s">
        <v>34</v>
      </c>
      <c r="P8" s="9"/>
      <c r="Q8" s="33" t="s">
        <v>34</v>
      </c>
      <c r="R8" s="9"/>
      <c r="S8" s="79"/>
      <c r="T8" s="80"/>
      <c r="U8" s="81" t="s">
        <v>586</v>
      </c>
      <c r="V8" s="52"/>
    </row>
    <row r="9" spans="1:22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33"/>
      <c r="O9" s="33"/>
      <c r="P9" s="33"/>
      <c r="Q9" s="33"/>
      <c r="R9" s="33"/>
      <c r="S9" s="81" t="s">
        <v>594</v>
      </c>
      <c r="T9" s="52"/>
      <c r="U9" s="81" t="s">
        <v>595</v>
      </c>
      <c r="V9" s="52"/>
    </row>
    <row r="10" spans="1:22" s="11" customFormat="1" ht="52" x14ac:dyDescent="0.2">
      <c r="A10" s="39" t="s">
        <v>135</v>
      </c>
      <c r="B10" s="40"/>
      <c r="C10" s="40"/>
      <c r="D10" s="41"/>
      <c r="E10" s="42"/>
      <c r="F10" s="42"/>
      <c r="G10" s="43"/>
      <c r="H10" s="43"/>
      <c r="I10" s="42"/>
      <c r="J10" s="42"/>
      <c r="K10" s="76" t="s">
        <v>592</v>
      </c>
      <c r="L10" s="76" t="s">
        <v>593</v>
      </c>
      <c r="M10" s="76" t="s">
        <v>592</v>
      </c>
      <c r="N10" s="76" t="s">
        <v>593</v>
      </c>
      <c r="O10" s="76" t="s">
        <v>592</v>
      </c>
      <c r="P10" s="76" t="s">
        <v>593</v>
      </c>
      <c r="Q10" s="76" t="s">
        <v>592</v>
      </c>
      <c r="R10" s="76" t="s">
        <v>593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151</v>
      </c>
      <c r="E11" s="34" t="s">
        <v>136</v>
      </c>
      <c r="F11" s="44"/>
      <c r="G11" s="28" t="s">
        <v>137</v>
      </c>
      <c r="H11" s="45" t="s">
        <v>427</v>
      </c>
      <c r="I11" s="46"/>
      <c r="J11" s="47"/>
      <c r="K11" s="48" t="s">
        <v>122</v>
      </c>
      <c r="L11" s="48"/>
      <c r="M11" s="48" t="s">
        <v>423</v>
      </c>
      <c r="N11" s="48"/>
      <c r="O11" s="48"/>
      <c r="P11" s="48"/>
      <c r="Q11" s="48"/>
      <c r="R11" s="48"/>
      <c r="S11" s="35"/>
      <c r="T11" s="36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50</v>
      </c>
      <c r="E12" s="50" t="s">
        <v>94</v>
      </c>
      <c r="F12" s="50"/>
      <c r="G12" s="51" t="s">
        <v>596</v>
      </c>
      <c r="H12" s="51" t="s">
        <v>402</v>
      </c>
      <c r="I12" s="9" t="s">
        <v>403</v>
      </c>
      <c r="J12" s="9"/>
      <c r="K12" s="9" t="s">
        <v>404</v>
      </c>
      <c r="L12" s="9"/>
      <c r="M12" s="9" t="s">
        <v>404</v>
      </c>
      <c r="N12" s="9"/>
      <c r="O12" s="9"/>
      <c r="P12" s="9"/>
      <c r="Q12" s="9"/>
      <c r="R12" s="9"/>
      <c r="S12" s="41"/>
      <c r="T12" s="52"/>
      <c r="U12" s="84"/>
      <c r="V12" s="85"/>
    </row>
    <row r="13" spans="1:22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610</v>
      </c>
      <c r="H13" s="51" t="s">
        <v>425</v>
      </c>
      <c r="I13" s="9" t="s">
        <v>403</v>
      </c>
      <c r="J13" s="9"/>
      <c r="K13" s="9" t="s">
        <v>404</v>
      </c>
      <c r="L13" s="9"/>
      <c r="M13" s="9" t="s">
        <v>404</v>
      </c>
      <c r="N13" s="9"/>
      <c r="O13" s="9"/>
      <c r="P13" s="9"/>
      <c r="Q13" s="9"/>
      <c r="R13" s="9"/>
      <c r="S13" s="41"/>
      <c r="T13" s="52"/>
      <c r="U13" s="84"/>
      <c r="V13" s="85"/>
    </row>
    <row r="14" spans="1:22" s="11" customFormat="1" x14ac:dyDescent="0.2">
      <c r="A14" s="9">
        <v>10</v>
      </c>
      <c r="B14" s="9"/>
      <c r="C14" s="9"/>
      <c r="D14" s="9" t="s">
        <v>51</v>
      </c>
      <c r="E14" s="50" t="s">
        <v>95</v>
      </c>
      <c r="F14" s="50"/>
      <c r="G14" s="51" t="s">
        <v>611</v>
      </c>
      <c r="H14" s="51" t="s">
        <v>426</v>
      </c>
      <c r="I14" s="9" t="s">
        <v>403</v>
      </c>
      <c r="J14" s="9"/>
      <c r="K14" s="9" t="s">
        <v>404</v>
      </c>
      <c r="L14" s="9"/>
      <c r="M14" s="9" t="s">
        <v>404</v>
      </c>
      <c r="N14" s="9"/>
      <c r="O14" s="9"/>
      <c r="P14" s="9"/>
      <c r="Q14" s="9"/>
      <c r="R14" s="9"/>
      <c r="S14" s="41"/>
      <c r="T14" s="52"/>
      <c r="U14" s="84"/>
      <c r="V14" s="85"/>
    </row>
    <row r="15" spans="1:22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605</v>
      </c>
      <c r="H15" s="51" t="s">
        <v>417</v>
      </c>
      <c r="I15" s="9" t="s">
        <v>403</v>
      </c>
      <c r="J15" s="9"/>
      <c r="K15" s="9" t="s">
        <v>404</v>
      </c>
      <c r="L15" s="9"/>
      <c r="M15" s="9" t="s">
        <v>404</v>
      </c>
      <c r="N15" s="9"/>
      <c r="O15" s="9"/>
      <c r="P15" s="9"/>
      <c r="Q15" s="9"/>
      <c r="R15" s="9"/>
      <c r="S15" s="41"/>
      <c r="T15" s="52"/>
      <c r="U15" s="84"/>
      <c r="V15" s="85"/>
    </row>
    <row r="16" spans="1:22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606</v>
      </c>
      <c r="H16" s="51" t="s">
        <v>418</v>
      </c>
      <c r="I16" s="9" t="s">
        <v>403</v>
      </c>
      <c r="J16" s="9"/>
      <c r="K16" s="9" t="s">
        <v>404</v>
      </c>
      <c r="L16" s="9"/>
      <c r="M16" s="9" t="s">
        <v>404</v>
      </c>
      <c r="N16" s="9"/>
      <c r="O16" s="9"/>
      <c r="P16" s="9"/>
      <c r="Q16" s="9"/>
      <c r="R16" s="9"/>
      <c r="S16" s="41"/>
      <c r="T16" s="52"/>
      <c r="U16" s="84"/>
      <c r="V16" s="85"/>
    </row>
    <row r="17" spans="1:22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607</v>
      </c>
      <c r="H17" s="51" t="s">
        <v>419</v>
      </c>
      <c r="I17" s="9" t="s">
        <v>403</v>
      </c>
      <c r="J17" s="9"/>
      <c r="K17" s="9" t="s">
        <v>404</v>
      </c>
      <c r="L17" s="9"/>
      <c r="M17" s="9" t="s">
        <v>404</v>
      </c>
      <c r="N17" s="9"/>
      <c r="O17" s="9"/>
      <c r="P17" s="9"/>
      <c r="Q17" s="9"/>
      <c r="R17" s="9"/>
      <c r="S17" s="41"/>
      <c r="T17" s="52"/>
      <c r="U17" s="84"/>
      <c r="V17" s="85"/>
    </row>
    <row r="18" spans="1:22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609</v>
      </c>
      <c r="H18" s="51" t="s">
        <v>421</v>
      </c>
      <c r="I18" s="9" t="s">
        <v>403</v>
      </c>
      <c r="J18" s="9"/>
      <c r="K18" s="9" t="s">
        <v>404</v>
      </c>
      <c r="L18" s="9"/>
      <c r="M18" s="9" t="s">
        <v>404</v>
      </c>
      <c r="N18" s="9"/>
      <c r="O18" s="9"/>
      <c r="P18" s="9"/>
      <c r="Q18" s="9"/>
      <c r="R18" s="9"/>
      <c r="S18" s="41"/>
      <c r="T18" s="52"/>
      <c r="U18" s="84"/>
      <c r="V18" s="85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1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278</v>
      </c>
      <c r="K2" s="7" t="s">
        <v>21</v>
      </c>
      <c r="L2" s="64" t="str">
        <f>IF(LogicCommon!G2="","",LogicCommon!G2)</f>
        <v>MC</v>
      </c>
      <c r="M2" s="5" t="s">
        <v>124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125</v>
      </c>
      <c r="K3" s="7" t="s">
        <v>22</v>
      </c>
      <c r="L3" s="64" t="str">
        <f>IF(LogicCommon!G3="","",LogicCommon!G3)</f>
        <v/>
      </c>
      <c r="M3" s="68" t="s">
        <v>277</v>
      </c>
      <c r="N3" s="7"/>
      <c r="O3" s="7" t="s">
        <v>193</v>
      </c>
      <c r="P3" s="9" t="s">
        <v>194</v>
      </c>
      <c r="Q3" s="4"/>
    </row>
    <row r="4" spans="1:17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127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140</v>
      </c>
      <c r="B6" s="66"/>
      <c r="C6" s="66"/>
      <c r="D6" s="4" t="s">
        <v>5</v>
      </c>
      <c r="E6" s="16" t="s">
        <v>345</v>
      </c>
      <c r="F6" s="16"/>
      <c r="G6" s="16"/>
      <c r="H6" s="16"/>
      <c r="I6" s="16"/>
      <c r="J6" s="16"/>
      <c r="K6" s="16"/>
      <c r="L6" s="72"/>
      <c r="M6" s="19" t="s">
        <v>169</v>
      </c>
      <c r="N6" s="19"/>
      <c r="O6" s="19"/>
      <c r="P6" s="19"/>
      <c r="Q6" s="19"/>
    </row>
    <row r="7" spans="1:17" s="11" customFormat="1" x14ac:dyDescent="0.2">
      <c r="A7" s="30" t="s">
        <v>274</v>
      </c>
      <c r="B7" s="30"/>
      <c r="C7" s="30"/>
      <c r="D7" s="31"/>
      <c r="E7" s="31"/>
      <c r="F7" s="31"/>
      <c r="G7" s="31"/>
      <c r="H7" s="31"/>
      <c r="I7" s="31" t="s">
        <v>276</v>
      </c>
      <c r="J7" s="31"/>
      <c r="K7" s="32" t="s">
        <v>275</v>
      </c>
      <c r="L7" s="33" t="s">
        <v>33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9" t="s">
        <v>273</v>
      </c>
      <c r="L8" s="33" t="s">
        <v>34</v>
      </c>
      <c r="M8" s="9"/>
      <c r="N8" s="79"/>
      <c r="O8" s="80"/>
      <c r="P8" s="81" t="s">
        <v>586</v>
      </c>
      <c r="Q8" s="52"/>
    </row>
    <row r="9" spans="1:17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81" t="s">
        <v>594</v>
      </c>
      <c r="O9" s="52"/>
      <c r="P9" s="81" t="s">
        <v>595</v>
      </c>
      <c r="Q9" s="52"/>
    </row>
    <row r="10" spans="1:17" s="11" customFormat="1" ht="52" x14ac:dyDescent="0.2">
      <c r="A10" s="39" t="s">
        <v>170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76" t="s">
        <v>592</v>
      </c>
      <c r="M10" s="76" t="s">
        <v>593</v>
      </c>
      <c r="N10" s="42"/>
      <c r="O10" s="42"/>
      <c r="P10" s="43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272</v>
      </c>
      <c r="E11" s="34" t="s">
        <v>32</v>
      </c>
      <c r="F11" s="44"/>
      <c r="G11" s="28"/>
      <c r="H11" s="45"/>
      <c r="I11" s="46"/>
      <c r="J11" s="47"/>
      <c r="K11" s="48"/>
      <c r="L11" s="48"/>
      <c r="M11" s="48"/>
      <c r="N11" s="35"/>
      <c r="O11" s="36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50</v>
      </c>
      <c r="E12" s="50" t="s">
        <v>94</v>
      </c>
      <c r="F12" s="50"/>
      <c r="G12" s="51" t="s">
        <v>596</v>
      </c>
      <c r="H12" s="51" t="s">
        <v>428</v>
      </c>
      <c r="I12" s="9" t="s">
        <v>403</v>
      </c>
      <c r="J12" s="9"/>
      <c r="K12" s="9" t="s">
        <v>404</v>
      </c>
      <c r="L12" s="9"/>
      <c r="M12" s="9"/>
      <c r="N12" s="41"/>
      <c r="O12" s="52"/>
      <c r="P12" s="84"/>
      <c r="Q12" s="85"/>
    </row>
    <row r="13" spans="1:17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609</v>
      </c>
      <c r="H13" s="51" t="s">
        <v>421</v>
      </c>
      <c r="I13" s="9" t="s">
        <v>403</v>
      </c>
      <c r="J13" s="9"/>
      <c r="K13" s="9"/>
      <c r="L13" s="9"/>
      <c r="M13" s="9"/>
      <c r="N13" s="41"/>
      <c r="O13" s="52"/>
      <c r="P13" s="84"/>
      <c r="Q13" s="85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5"/>
      <c r="Q15" s="55"/>
    </row>
    <row r="16" spans="1:17" s="11" customFormat="1" x14ac:dyDescent="0.2">
      <c r="A16" s="65"/>
      <c r="Q16" s="55"/>
    </row>
    <row r="17" spans="1:17" s="11" customFormat="1" x14ac:dyDescent="0.2">
      <c r="A17" s="65"/>
      <c r="Q17" s="55"/>
    </row>
    <row r="18" spans="1:17" s="11" customFormat="1" x14ac:dyDescent="0.2">
      <c r="A18" s="65"/>
      <c r="Q18" s="55"/>
    </row>
    <row r="19" spans="1:17" s="11" customFormat="1" x14ac:dyDescent="0.2">
      <c r="A19" s="70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20"/>
    </row>
  </sheetData>
  <dataConsolidate/>
  <mergeCells count="2"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287</v>
      </c>
      <c r="K2" s="7" t="s">
        <v>21</v>
      </c>
      <c r="L2" s="64" t="str">
        <f>IF(LogicCommon!G2="","",LogicCommon!G2)</f>
        <v>MC</v>
      </c>
      <c r="M2" s="5" t="s">
        <v>124</v>
      </c>
      <c r="N2" s="28" t="s">
        <v>546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286</v>
      </c>
      <c r="K3" s="7" t="s">
        <v>22</v>
      </c>
      <c r="L3" s="64" t="str">
        <f>IF(LogicCommon!G3="","",LogicCommon!G3)</f>
        <v/>
      </c>
      <c r="M3" s="68" t="s">
        <v>277</v>
      </c>
      <c r="N3" s="7"/>
      <c r="O3" s="7" t="s">
        <v>193</v>
      </c>
      <c r="P3" s="9" t="s">
        <v>194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285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140</v>
      </c>
      <c r="B6" s="66"/>
      <c r="C6" s="66"/>
      <c r="D6" s="4" t="s">
        <v>5</v>
      </c>
      <c r="E6" s="16" t="s">
        <v>346</v>
      </c>
      <c r="F6" s="16"/>
      <c r="G6" s="16"/>
      <c r="H6" s="16"/>
      <c r="I6" s="16"/>
      <c r="J6" s="16"/>
      <c r="K6" s="16"/>
      <c r="L6" s="72" t="s">
        <v>169</v>
      </c>
      <c r="M6" s="19"/>
      <c r="N6" s="19" t="s">
        <v>169</v>
      </c>
      <c r="O6" s="19"/>
      <c r="P6" s="19" t="s">
        <v>169</v>
      </c>
      <c r="Q6" s="19"/>
      <c r="R6" s="3" t="s">
        <v>169</v>
      </c>
      <c r="S6" s="4"/>
      <c r="T6" s="29"/>
      <c r="U6" s="29"/>
      <c r="V6" s="27"/>
    </row>
    <row r="7" spans="1:22" s="11" customFormat="1" x14ac:dyDescent="0.2">
      <c r="A7" s="30" t="s">
        <v>282</v>
      </c>
      <c r="B7" s="30"/>
      <c r="C7" s="30"/>
      <c r="D7" s="31"/>
      <c r="E7" s="31"/>
      <c r="F7" s="31"/>
      <c r="G7" s="31"/>
      <c r="H7" s="31"/>
      <c r="I7" s="31" t="s">
        <v>276</v>
      </c>
      <c r="J7" s="31"/>
      <c r="K7" s="33" t="s">
        <v>172</v>
      </c>
      <c r="L7" s="32" t="s">
        <v>284</v>
      </c>
      <c r="M7" s="33" t="s">
        <v>33</v>
      </c>
      <c r="N7" s="32" t="s">
        <v>283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33" t="s">
        <v>281</v>
      </c>
      <c r="L8" s="9" t="s">
        <v>548</v>
      </c>
      <c r="M8" s="33" t="s">
        <v>34</v>
      </c>
      <c r="N8" s="9" t="s">
        <v>152</v>
      </c>
      <c r="O8" s="33" t="s">
        <v>34</v>
      </c>
      <c r="P8" s="9"/>
      <c r="Q8" s="33" t="s">
        <v>34</v>
      </c>
      <c r="R8" s="9"/>
      <c r="S8" s="79"/>
      <c r="T8" s="80"/>
      <c r="U8" s="81" t="s">
        <v>586</v>
      </c>
      <c r="V8" s="52"/>
    </row>
    <row r="9" spans="1:22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33"/>
      <c r="O9" s="33"/>
      <c r="P9" s="33"/>
      <c r="Q9" s="33"/>
      <c r="R9" s="33"/>
      <c r="S9" s="81" t="s">
        <v>594</v>
      </c>
      <c r="T9" s="52"/>
      <c r="U9" s="81" t="s">
        <v>595</v>
      </c>
      <c r="V9" s="52"/>
    </row>
    <row r="10" spans="1:22" s="11" customFormat="1" ht="52" x14ac:dyDescent="0.2">
      <c r="A10" s="39" t="s">
        <v>170</v>
      </c>
      <c r="B10" s="40"/>
      <c r="C10" s="40"/>
      <c r="D10" s="41"/>
      <c r="E10" s="42"/>
      <c r="F10" s="42"/>
      <c r="G10" s="43"/>
      <c r="H10" s="43"/>
      <c r="I10" s="42"/>
      <c r="J10" s="42"/>
      <c r="K10" s="76" t="s">
        <v>592</v>
      </c>
      <c r="L10" s="76" t="s">
        <v>593</v>
      </c>
      <c r="M10" s="76" t="s">
        <v>592</v>
      </c>
      <c r="N10" s="76" t="s">
        <v>593</v>
      </c>
      <c r="O10" s="76" t="s">
        <v>592</v>
      </c>
      <c r="P10" s="76" t="s">
        <v>593</v>
      </c>
      <c r="Q10" s="76" t="s">
        <v>592</v>
      </c>
      <c r="R10" s="76" t="s">
        <v>593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280</v>
      </c>
      <c r="E11" s="34" t="s">
        <v>279</v>
      </c>
      <c r="F11" s="44"/>
      <c r="G11" s="28" t="s">
        <v>137</v>
      </c>
      <c r="H11" s="45" t="s">
        <v>429</v>
      </c>
      <c r="I11" s="46"/>
      <c r="J11" s="47"/>
      <c r="K11" s="48" t="s">
        <v>122</v>
      </c>
      <c r="L11" s="48"/>
      <c r="M11" s="48" t="s">
        <v>423</v>
      </c>
      <c r="N11" s="48"/>
      <c r="O11" s="48"/>
      <c r="P11" s="48"/>
      <c r="Q11" s="48"/>
      <c r="R11" s="48"/>
      <c r="S11" s="35"/>
      <c r="T11" s="36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50</v>
      </c>
      <c r="E12" s="50" t="s">
        <v>94</v>
      </c>
      <c r="F12" s="50"/>
      <c r="G12" s="51" t="s">
        <v>596</v>
      </c>
      <c r="H12" s="51" t="s">
        <v>428</v>
      </c>
      <c r="I12" s="9" t="s">
        <v>403</v>
      </c>
      <c r="J12" s="9"/>
      <c r="K12" s="9" t="s">
        <v>404</v>
      </c>
      <c r="L12" s="9"/>
      <c r="M12" s="9" t="s">
        <v>404</v>
      </c>
      <c r="N12" s="9"/>
      <c r="O12" s="9"/>
      <c r="P12" s="9"/>
      <c r="Q12" s="9"/>
      <c r="R12" s="9"/>
      <c r="S12" s="41"/>
      <c r="T12" s="52"/>
      <c r="U12" s="84"/>
      <c r="V12" s="85"/>
    </row>
    <row r="13" spans="1:22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609</v>
      </c>
      <c r="H13" s="51" t="s">
        <v>421</v>
      </c>
      <c r="I13" s="9" t="s">
        <v>403</v>
      </c>
      <c r="J13" s="9"/>
      <c r="K13" s="9" t="s">
        <v>404</v>
      </c>
      <c r="L13" s="9"/>
      <c r="M13" s="9"/>
      <c r="N13" s="9"/>
      <c r="O13" s="9"/>
      <c r="P13" s="9"/>
      <c r="Q13" s="9"/>
      <c r="R13" s="9"/>
      <c r="S13" s="41"/>
      <c r="T13" s="52"/>
      <c r="U13" s="84"/>
      <c r="V13" s="85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5"/>
      <c r="V15" s="55"/>
    </row>
    <row r="16" spans="1:22" s="11" customFormat="1" x14ac:dyDescent="0.2">
      <c r="A16" s="65"/>
      <c r="V16" s="55"/>
    </row>
    <row r="17" spans="1:22" s="11" customFormat="1" x14ac:dyDescent="0.2">
      <c r="A17" s="65"/>
      <c r="V17" s="55"/>
    </row>
    <row r="18" spans="1:22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4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153</v>
      </c>
      <c r="K2" s="7" t="s">
        <v>21</v>
      </c>
      <c r="L2" s="64" t="str">
        <f>IF(LogicCommon!G2="","",LogicCommon!G2)</f>
        <v>MC</v>
      </c>
      <c r="M2" s="5" t="s">
        <v>124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125</v>
      </c>
      <c r="K3" s="7" t="s">
        <v>22</v>
      </c>
      <c r="L3" s="64" t="str">
        <f>IF(LogicCommon!G3="","",LogicCommon!G3)</f>
        <v/>
      </c>
      <c r="M3" s="68" t="s">
        <v>126</v>
      </c>
      <c r="N3" s="7"/>
      <c r="O3" s="7" t="s">
        <v>193</v>
      </c>
      <c r="P3" s="9" t="s">
        <v>194</v>
      </c>
      <c r="Q3" s="4"/>
    </row>
    <row r="4" spans="1:17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127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140</v>
      </c>
      <c r="B6" s="66"/>
      <c r="C6" s="66"/>
      <c r="D6" s="4" t="s">
        <v>5</v>
      </c>
      <c r="E6" s="16" t="s">
        <v>347</v>
      </c>
      <c r="F6" s="16"/>
      <c r="G6" s="16"/>
      <c r="H6" s="16"/>
      <c r="I6" s="16"/>
      <c r="J6" s="16"/>
      <c r="K6" s="16"/>
      <c r="L6" s="72"/>
      <c r="M6" s="19" t="s">
        <v>169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128</v>
      </c>
      <c r="L7" s="33" t="s">
        <v>33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9" t="s">
        <v>139</v>
      </c>
      <c r="L8" s="33" t="s">
        <v>34</v>
      </c>
      <c r="M8" s="9"/>
      <c r="N8" s="79"/>
      <c r="O8" s="80"/>
      <c r="P8" s="81" t="s">
        <v>586</v>
      </c>
      <c r="Q8" s="52"/>
    </row>
    <row r="9" spans="1:17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81" t="s">
        <v>594</v>
      </c>
      <c r="O9" s="52"/>
      <c r="P9" s="81" t="s">
        <v>595</v>
      </c>
      <c r="Q9" s="52"/>
    </row>
    <row r="10" spans="1:17" s="11" customFormat="1" ht="52" x14ac:dyDescent="0.2">
      <c r="A10" s="39" t="s">
        <v>135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76" t="s">
        <v>592</v>
      </c>
      <c r="M10" s="76" t="s">
        <v>593</v>
      </c>
      <c r="N10" s="42"/>
      <c r="O10" s="42"/>
      <c r="P10" s="43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154</v>
      </c>
      <c r="E11" s="34" t="s">
        <v>32</v>
      </c>
      <c r="F11" s="44"/>
      <c r="G11" s="28" t="s">
        <v>248</v>
      </c>
      <c r="H11" s="45" t="s">
        <v>550</v>
      </c>
      <c r="I11" s="46"/>
      <c r="J11" s="47"/>
      <c r="K11" s="48"/>
      <c r="L11" s="48"/>
      <c r="M11" s="48"/>
      <c r="N11" s="35"/>
      <c r="O11" s="36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57</v>
      </c>
      <c r="E12" s="50" t="s">
        <v>100</v>
      </c>
      <c r="F12" s="50"/>
      <c r="G12" s="51" t="s">
        <v>612</v>
      </c>
      <c r="H12" s="51" t="s">
        <v>430</v>
      </c>
      <c r="I12" s="9" t="s">
        <v>403</v>
      </c>
      <c r="J12" s="9"/>
      <c r="K12" s="9" t="s">
        <v>404</v>
      </c>
      <c r="L12" s="9"/>
      <c r="M12" s="9"/>
      <c r="N12" s="41"/>
      <c r="O12" s="52"/>
      <c r="P12" s="84"/>
      <c r="Q12" s="85"/>
    </row>
    <row r="13" spans="1:17" s="11" customFormat="1" x14ac:dyDescent="0.2">
      <c r="A13" s="9">
        <v>10</v>
      </c>
      <c r="B13" s="9"/>
      <c r="C13" s="9"/>
      <c r="D13" s="9" t="s">
        <v>58</v>
      </c>
      <c r="E13" s="50" t="s">
        <v>101</v>
      </c>
      <c r="F13" s="50"/>
      <c r="G13" s="51" t="s">
        <v>613</v>
      </c>
      <c r="H13" s="51" t="s">
        <v>431</v>
      </c>
      <c r="I13" s="9" t="s">
        <v>403</v>
      </c>
      <c r="J13" s="9"/>
      <c r="K13" s="9" t="s">
        <v>404</v>
      </c>
      <c r="L13" s="9"/>
      <c r="M13" s="9"/>
      <c r="N13" s="41"/>
      <c r="O13" s="52"/>
      <c r="P13" s="84"/>
      <c r="Q13" s="85"/>
    </row>
    <row r="14" spans="1:17" s="11" customFormat="1" x14ac:dyDescent="0.2">
      <c r="A14" s="9">
        <v>10</v>
      </c>
      <c r="B14" s="9"/>
      <c r="C14" s="9"/>
      <c r="D14" s="9" t="s">
        <v>24</v>
      </c>
      <c r="E14" s="50" t="s">
        <v>25</v>
      </c>
      <c r="F14" s="50"/>
      <c r="G14" s="51" t="s">
        <v>605</v>
      </c>
      <c r="H14" s="51" t="s">
        <v>417</v>
      </c>
      <c r="I14" s="9" t="s">
        <v>403</v>
      </c>
      <c r="J14" s="9"/>
      <c r="K14" s="9"/>
      <c r="L14" s="9"/>
      <c r="M14" s="9"/>
      <c r="N14" s="41"/>
      <c r="O14" s="52"/>
      <c r="P14" s="84"/>
      <c r="Q14" s="85"/>
    </row>
    <row r="15" spans="1:17" s="11" customFormat="1" x14ac:dyDescent="0.2">
      <c r="A15" s="9">
        <v>10</v>
      </c>
      <c r="B15" s="9"/>
      <c r="C15" s="9"/>
      <c r="D15" s="9" t="s">
        <v>28</v>
      </c>
      <c r="E15" s="50" t="s">
        <v>29</v>
      </c>
      <c r="F15" s="50"/>
      <c r="G15" s="51" t="s">
        <v>606</v>
      </c>
      <c r="H15" s="51" t="s">
        <v>418</v>
      </c>
      <c r="I15" s="9" t="s">
        <v>403</v>
      </c>
      <c r="J15" s="9"/>
      <c r="K15" s="9"/>
      <c r="L15" s="9"/>
      <c r="M15" s="9"/>
      <c r="N15" s="41"/>
      <c r="O15" s="52"/>
      <c r="P15" s="84"/>
      <c r="Q15" s="85"/>
    </row>
    <row r="16" spans="1:17" s="11" customFormat="1" x14ac:dyDescent="0.2">
      <c r="A16" s="9">
        <v>10</v>
      </c>
      <c r="B16" s="9"/>
      <c r="C16" s="9"/>
      <c r="D16" s="9" t="s">
        <v>26</v>
      </c>
      <c r="E16" s="50" t="s">
        <v>27</v>
      </c>
      <c r="F16" s="50"/>
      <c r="G16" s="51" t="s">
        <v>607</v>
      </c>
      <c r="H16" s="51" t="s">
        <v>419</v>
      </c>
      <c r="I16" s="9" t="s">
        <v>403</v>
      </c>
      <c r="J16" s="9"/>
      <c r="K16" s="9"/>
      <c r="L16" s="9"/>
      <c r="M16" s="9"/>
      <c r="N16" s="41"/>
      <c r="O16" s="52"/>
      <c r="P16" s="84"/>
      <c r="Q16" s="85"/>
    </row>
    <row r="17" spans="1:17" s="11" customFormat="1" x14ac:dyDescent="0.2">
      <c r="A17" s="9">
        <v>10</v>
      </c>
      <c r="B17" s="9"/>
      <c r="C17" s="9"/>
      <c r="D17" s="9" t="s">
        <v>35</v>
      </c>
      <c r="E17" s="50" t="s">
        <v>30</v>
      </c>
      <c r="F17" s="50"/>
      <c r="G17" s="51" t="s">
        <v>608</v>
      </c>
      <c r="H17" s="51" t="s">
        <v>420</v>
      </c>
      <c r="I17" s="9" t="s">
        <v>403</v>
      </c>
      <c r="J17" s="9"/>
      <c r="K17" s="9"/>
      <c r="L17" s="9"/>
      <c r="M17" s="9"/>
      <c r="N17" s="41"/>
      <c r="O17" s="52"/>
      <c r="P17" s="84"/>
      <c r="Q17" s="85"/>
    </row>
    <row r="18" spans="1:17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609</v>
      </c>
      <c r="H18" s="51" t="s">
        <v>421</v>
      </c>
      <c r="I18" s="9" t="s">
        <v>403</v>
      </c>
      <c r="J18" s="9"/>
      <c r="K18" s="9"/>
      <c r="L18" s="9"/>
      <c r="M18" s="9"/>
      <c r="N18" s="41"/>
      <c r="O18" s="52"/>
      <c r="P18" s="84"/>
      <c r="Q18" s="85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5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155</v>
      </c>
      <c r="K2" s="7" t="s">
        <v>21</v>
      </c>
      <c r="L2" s="64" t="str">
        <f>IF(LogicCommon!G2="","",LogicCommon!G2)</f>
        <v>MC</v>
      </c>
      <c r="M2" s="5" t="s">
        <v>124</v>
      </c>
      <c r="N2" s="28" t="s">
        <v>545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129</v>
      </c>
      <c r="K3" s="7" t="s">
        <v>22</v>
      </c>
      <c r="L3" s="64" t="str">
        <f>IF(LogicCommon!G3="","",LogicCommon!G3)</f>
        <v/>
      </c>
      <c r="M3" s="68" t="s">
        <v>126</v>
      </c>
      <c r="N3" s="7"/>
      <c r="O3" s="7" t="s">
        <v>193</v>
      </c>
      <c r="P3" s="9" t="s">
        <v>194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31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140</v>
      </c>
      <c r="B6" s="66"/>
      <c r="C6" s="66"/>
      <c r="D6" s="4" t="s">
        <v>5</v>
      </c>
      <c r="E6" s="16" t="s">
        <v>348</v>
      </c>
      <c r="F6" s="16"/>
      <c r="G6" s="16"/>
      <c r="H6" s="16"/>
      <c r="I6" s="16"/>
      <c r="J6" s="16"/>
      <c r="K6" s="16"/>
      <c r="L6" s="72" t="s">
        <v>169</v>
      </c>
      <c r="M6" s="19"/>
      <c r="N6" s="19" t="s">
        <v>169</v>
      </c>
      <c r="O6" s="19"/>
      <c r="P6" s="19" t="s">
        <v>169</v>
      </c>
      <c r="Q6" s="19"/>
      <c r="R6" s="3" t="s">
        <v>169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130</v>
      </c>
      <c r="L7" s="32" t="s">
        <v>131</v>
      </c>
      <c r="M7" s="33" t="s">
        <v>33</v>
      </c>
      <c r="N7" s="32" t="s">
        <v>132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33" t="s">
        <v>134</v>
      </c>
      <c r="L8" s="9" t="s">
        <v>551</v>
      </c>
      <c r="M8" s="33" t="s">
        <v>34</v>
      </c>
      <c r="N8" s="9" t="s">
        <v>551</v>
      </c>
      <c r="O8" s="33" t="s">
        <v>34</v>
      </c>
      <c r="P8" s="9"/>
      <c r="Q8" s="33" t="s">
        <v>34</v>
      </c>
      <c r="R8" s="9"/>
      <c r="S8" s="79"/>
      <c r="T8" s="80"/>
      <c r="U8" s="81" t="s">
        <v>586</v>
      </c>
      <c r="V8" s="52"/>
    </row>
    <row r="9" spans="1:22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33"/>
      <c r="O9" s="33"/>
      <c r="P9" s="33"/>
      <c r="Q9" s="33"/>
      <c r="R9" s="33"/>
      <c r="S9" s="81" t="s">
        <v>594</v>
      </c>
      <c r="T9" s="52"/>
      <c r="U9" s="81" t="s">
        <v>595</v>
      </c>
      <c r="V9" s="52"/>
    </row>
    <row r="10" spans="1:22" s="11" customFormat="1" ht="52" x14ac:dyDescent="0.2">
      <c r="A10" s="39" t="s">
        <v>135</v>
      </c>
      <c r="B10" s="40"/>
      <c r="C10" s="40"/>
      <c r="D10" s="41"/>
      <c r="E10" s="42"/>
      <c r="F10" s="42"/>
      <c r="G10" s="43"/>
      <c r="H10" s="43"/>
      <c r="I10" s="42"/>
      <c r="J10" s="42"/>
      <c r="K10" s="76" t="s">
        <v>592</v>
      </c>
      <c r="L10" s="76" t="s">
        <v>593</v>
      </c>
      <c r="M10" s="76" t="s">
        <v>592</v>
      </c>
      <c r="N10" s="76" t="s">
        <v>593</v>
      </c>
      <c r="O10" s="76" t="s">
        <v>592</v>
      </c>
      <c r="P10" s="76" t="s">
        <v>593</v>
      </c>
      <c r="Q10" s="76" t="s">
        <v>592</v>
      </c>
      <c r="R10" s="76" t="s">
        <v>593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156</v>
      </c>
      <c r="E11" s="34" t="s">
        <v>136</v>
      </c>
      <c r="F11" s="44"/>
      <c r="G11" s="28" t="s">
        <v>137</v>
      </c>
      <c r="H11" s="45" t="s">
        <v>432</v>
      </c>
      <c r="I11" s="46"/>
      <c r="J11" s="47"/>
      <c r="K11" s="48" t="s">
        <v>122</v>
      </c>
      <c r="L11" s="48"/>
      <c r="M11" s="48" t="s">
        <v>423</v>
      </c>
      <c r="N11" s="48"/>
      <c r="O11" s="48"/>
      <c r="P11" s="48"/>
      <c r="Q11" s="48"/>
      <c r="R11" s="48"/>
      <c r="S11" s="35"/>
      <c r="T11" s="36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57</v>
      </c>
      <c r="E12" s="50" t="s">
        <v>100</v>
      </c>
      <c r="F12" s="50"/>
      <c r="G12" s="51" t="s">
        <v>612</v>
      </c>
      <c r="H12" s="51" t="s">
        <v>430</v>
      </c>
      <c r="I12" s="9" t="s">
        <v>403</v>
      </c>
      <c r="J12" s="9"/>
      <c r="K12" s="9" t="s">
        <v>404</v>
      </c>
      <c r="L12" s="9"/>
      <c r="M12" s="9" t="s">
        <v>404</v>
      </c>
      <c r="N12" s="9"/>
      <c r="O12" s="9"/>
      <c r="P12" s="9"/>
      <c r="Q12" s="9"/>
      <c r="R12" s="9"/>
      <c r="S12" s="41"/>
      <c r="T12" s="52"/>
      <c r="U12" s="84"/>
      <c r="V12" s="85"/>
    </row>
    <row r="13" spans="1:22" s="11" customFormat="1" x14ac:dyDescent="0.2">
      <c r="A13" s="9">
        <v>10</v>
      </c>
      <c r="B13" s="9"/>
      <c r="C13" s="9"/>
      <c r="D13" s="9" t="s">
        <v>58</v>
      </c>
      <c r="E13" s="50" t="s">
        <v>101</v>
      </c>
      <c r="F13" s="50"/>
      <c r="G13" s="51" t="s">
        <v>613</v>
      </c>
      <c r="H13" s="51" t="s">
        <v>431</v>
      </c>
      <c r="I13" s="9" t="s">
        <v>403</v>
      </c>
      <c r="J13" s="9"/>
      <c r="K13" s="9" t="s">
        <v>404</v>
      </c>
      <c r="L13" s="9"/>
      <c r="M13" s="9" t="s">
        <v>404</v>
      </c>
      <c r="N13" s="9"/>
      <c r="O13" s="9"/>
      <c r="P13" s="9"/>
      <c r="Q13" s="9"/>
      <c r="R13" s="9"/>
      <c r="S13" s="41"/>
      <c r="T13" s="52"/>
      <c r="U13" s="84"/>
      <c r="V13" s="85"/>
    </row>
    <row r="14" spans="1:22" s="11" customFormat="1" x14ac:dyDescent="0.2">
      <c r="A14" s="9">
        <v>10</v>
      </c>
      <c r="B14" s="9"/>
      <c r="C14" s="9"/>
      <c r="D14" s="9" t="s">
        <v>24</v>
      </c>
      <c r="E14" s="50" t="s">
        <v>25</v>
      </c>
      <c r="F14" s="50"/>
      <c r="G14" s="51" t="s">
        <v>605</v>
      </c>
      <c r="H14" s="51" t="s">
        <v>417</v>
      </c>
      <c r="I14" s="9" t="s">
        <v>403</v>
      </c>
      <c r="J14" s="9"/>
      <c r="K14" s="9" t="s">
        <v>404</v>
      </c>
      <c r="L14" s="9"/>
      <c r="M14" s="9" t="s">
        <v>404</v>
      </c>
      <c r="N14" s="9"/>
      <c r="O14" s="9"/>
      <c r="P14" s="9"/>
      <c r="Q14" s="9"/>
      <c r="R14" s="9"/>
      <c r="S14" s="41"/>
      <c r="T14" s="52"/>
      <c r="U14" s="84"/>
      <c r="V14" s="85"/>
    </row>
    <row r="15" spans="1:22" s="11" customFormat="1" x14ac:dyDescent="0.2">
      <c r="A15" s="9">
        <v>10</v>
      </c>
      <c r="B15" s="9"/>
      <c r="C15" s="9"/>
      <c r="D15" s="9" t="s">
        <v>28</v>
      </c>
      <c r="E15" s="50" t="s">
        <v>29</v>
      </c>
      <c r="F15" s="50"/>
      <c r="G15" s="51" t="s">
        <v>606</v>
      </c>
      <c r="H15" s="51" t="s">
        <v>418</v>
      </c>
      <c r="I15" s="9" t="s">
        <v>403</v>
      </c>
      <c r="J15" s="9"/>
      <c r="K15" s="9" t="s">
        <v>404</v>
      </c>
      <c r="L15" s="9"/>
      <c r="M15" s="9" t="s">
        <v>404</v>
      </c>
      <c r="N15" s="9"/>
      <c r="O15" s="9"/>
      <c r="P15" s="9"/>
      <c r="Q15" s="9"/>
      <c r="R15" s="9"/>
      <c r="S15" s="41"/>
      <c r="T15" s="52"/>
      <c r="U15" s="84"/>
      <c r="V15" s="85"/>
    </row>
    <row r="16" spans="1:22" s="11" customFormat="1" x14ac:dyDescent="0.2">
      <c r="A16" s="9">
        <v>10</v>
      </c>
      <c r="B16" s="9"/>
      <c r="C16" s="9"/>
      <c r="D16" s="9" t="s">
        <v>26</v>
      </c>
      <c r="E16" s="50" t="s">
        <v>27</v>
      </c>
      <c r="F16" s="50"/>
      <c r="G16" s="51" t="s">
        <v>607</v>
      </c>
      <c r="H16" s="51" t="s">
        <v>419</v>
      </c>
      <c r="I16" s="9" t="s">
        <v>403</v>
      </c>
      <c r="J16" s="9"/>
      <c r="K16" s="9" t="s">
        <v>404</v>
      </c>
      <c r="L16" s="9"/>
      <c r="M16" s="9" t="s">
        <v>404</v>
      </c>
      <c r="N16" s="9"/>
      <c r="O16" s="9"/>
      <c r="P16" s="9"/>
      <c r="Q16" s="9"/>
      <c r="R16" s="9"/>
      <c r="S16" s="41"/>
      <c r="T16" s="52"/>
      <c r="U16" s="84"/>
      <c r="V16" s="85"/>
    </row>
    <row r="17" spans="1:22" s="11" customFormat="1" x14ac:dyDescent="0.2">
      <c r="A17" s="9">
        <v>10</v>
      </c>
      <c r="B17" s="9"/>
      <c r="C17" s="9"/>
      <c r="D17" s="9" t="s">
        <v>35</v>
      </c>
      <c r="E17" s="50" t="s">
        <v>30</v>
      </c>
      <c r="F17" s="50"/>
      <c r="G17" s="51" t="s">
        <v>608</v>
      </c>
      <c r="H17" s="51" t="s">
        <v>420</v>
      </c>
      <c r="I17" s="9" t="s">
        <v>403</v>
      </c>
      <c r="J17" s="9"/>
      <c r="K17" s="9" t="s">
        <v>404</v>
      </c>
      <c r="L17" s="9"/>
      <c r="M17" s="9" t="s">
        <v>404</v>
      </c>
      <c r="N17" s="9"/>
      <c r="O17" s="9"/>
      <c r="P17" s="9"/>
      <c r="Q17" s="9"/>
      <c r="R17" s="9"/>
      <c r="S17" s="41"/>
      <c r="T17" s="52"/>
      <c r="U17" s="84"/>
      <c r="V17" s="85"/>
    </row>
    <row r="18" spans="1:22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609</v>
      </c>
      <c r="H18" s="51" t="s">
        <v>421</v>
      </c>
      <c r="I18" s="9" t="s">
        <v>403</v>
      </c>
      <c r="J18" s="9"/>
      <c r="K18" s="9" t="s">
        <v>404</v>
      </c>
      <c r="L18" s="9"/>
      <c r="M18" s="9" t="s">
        <v>404</v>
      </c>
      <c r="N18" s="9"/>
      <c r="O18" s="9"/>
      <c r="P18" s="9"/>
      <c r="Q18" s="9"/>
      <c r="R18" s="9"/>
      <c r="S18" s="41"/>
      <c r="T18" s="52"/>
      <c r="U18" s="84"/>
      <c r="V18" s="85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6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157</v>
      </c>
      <c r="K2" s="7" t="s">
        <v>21</v>
      </c>
      <c r="L2" s="64" t="str">
        <f>IF(LogicCommon!G2="","",LogicCommon!G2)</f>
        <v>MC</v>
      </c>
      <c r="M2" s="5" t="s">
        <v>124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125</v>
      </c>
      <c r="K3" s="7" t="s">
        <v>22</v>
      </c>
      <c r="L3" s="64" t="str">
        <f>IF(LogicCommon!G3="","",LogicCommon!G3)</f>
        <v/>
      </c>
      <c r="M3" s="68" t="s">
        <v>126</v>
      </c>
      <c r="N3" s="7"/>
      <c r="O3" s="7" t="s">
        <v>193</v>
      </c>
      <c r="P3" s="9" t="s">
        <v>194</v>
      </c>
      <c r="Q3" s="4"/>
    </row>
    <row r="4" spans="1:17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127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140</v>
      </c>
      <c r="B6" s="66"/>
      <c r="C6" s="66"/>
      <c r="D6" s="4" t="s">
        <v>5</v>
      </c>
      <c r="E6" s="16" t="s">
        <v>349</v>
      </c>
      <c r="F6" s="16"/>
      <c r="G6" s="16"/>
      <c r="H6" s="16"/>
      <c r="I6" s="16"/>
      <c r="J6" s="16"/>
      <c r="K6" s="16"/>
      <c r="L6" s="72"/>
      <c r="M6" s="19" t="s">
        <v>169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128</v>
      </c>
      <c r="L7" s="33" t="s">
        <v>33</v>
      </c>
      <c r="M7" s="32" t="s">
        <v>245</v>
      </c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9" t="s">
        <v>139</v>
      </c>
      <c r="L8" s="33" t="s">
        <v>34</v>
      </c>
      <c r="M8" s="9" t="s">
        <v>552</v>
      </c>
      <c r="N8" s="79"/>
      <c r="O8" s="80"/>
      <c r="P8" s="81" t="s">
        <v>586</v>
      </c>
      <c r="Q8" s="52"/>
    </row>
    <row r="9" spans="1:17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81" t="s">
        <v>594</v>
      </c>
      <c r="O9" s="52"/>
      <c r="P9" s="81" t="s">
        <v>595</v>
      </c>
      <c r="Q9" s="52"/>
    </row>
    <row r="10" spans="1:17" s="11" customFormat="1" ht="52" x14ac:dyDescent="0.2">
      <c r="A10" s="39" t="s">
        <v>135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76" t="s">
        <v>592</v>
      </c>
      <c r="M10" s="76" t="s">
        <v>593</v>
      </c>
      <c r="N10" s="42"/>
      <c r="O10" s="42"/>
      <c r="P10" s="43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158</v>
      </c>
      <c r="E11" s="34" t="s">
        <v>32</v>
      </c>
      <c r="F11" s="44"/>
      <c r="G11" s="28" t="s">
        <v>248</v>
      </c>
      <c r="H11" s="45" t="s">
        <v>433</v>
      </c>
      <c r="I11" s="46"/>
      <c r="J11" s="47"/>
      <c r="K11" s="48"/>
      <c r="L11" s="48" t="s">
        <v>423</v>
      </c>
      <c r="M11" s="48"/>
      <c r="N11" s="35"/>
      <c r="O11" s="36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57</v>
      </c>
      <c r="E12" s="50" t="s">
        <v>100</v>
      </c>
      <c r="F12" s="50"/>
      <c r="G12" s="51" t="s">
        <v>612</v>
      </c>
      <c r="H12" s="51" t="s">
        <v>430</v>
      </c>
      <c r="I12" s="9" t="s">
        <v>403</v>
      </c>
      <c r="J12" s="9"/>
      <c r="K12" s="9" t="s">
        <v>404</v>
      </c>
      <c r="L12" s="9" t="s">
        <v>404</v>
      </c>
      <c r="M12" s="9"/>
      <c r="N12" s="41"/>
      <c r="O12" s="52"/>
      <c r="P12" s="84"/>
      <c r="Q12" s="85"/>
    </row>
    <row r="13" spans="1:17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610</v>
      </c>
      <c r="H13" s="51" t="s">
        <v>425</v>
      </c>
      <c r="I13" s="9" t="s">
        <v>403</v>
      </c>
      <c r="J13" s="9"/>
      <c r="K13" s="9" t="s">
        <v>404</v>
      </c>
      <c r="L13" s="9"/>
      <c r="M13" s="9"/>
      <c r="N13" s="41"/>
      <c r="O13" s="52"/>
      <c r="P13" s="84"/>
      <c r="Q13" s="85"/>
    </row>
    <row r="14" spans="1:17" s="11" customFormat="1" x14ac:dyDescent="0.2">
      <c r="A14" s="9">
        <v>10</v>
      </c>
      <c r="B14" s="9"/>
      <c r="C14" s="9"/>
      <c r="D14" s="9" t="s">
        <v>58</v>
      </c>
      <c r="E14" s="50" t="s">
        <v>101</v>
      </c>
      <c r="F14" s="50"/>
      <c r="G14" s="51" t="s">
        <v>614</v>
      </c>
      <c r="H14" s="51" t="s">
        <v>434</v>
      </c>
      <c r="I14" s="9" t="s">
        <v>403</v>
      </c>
      <c r="J14" s="9"/>
      <c r="K14" s="9" t="s">
        <v>404</v>
      </c>
      <c r="L14" s="9"/>
      <c r="M14" s="9"/>
      <c r="N14" s="41"/>
      <c r="O14" s="52"/>
      <c r="P14" s="84"/>
      <c r="Q14" s="85"/>
    </row>
    <row r="15" spans="1:17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605</v>
      </c>
      <c r="H15" s="51" t="s">
        <v>417</v>
      </c>
      <c r="I15" s="9" t="s">
        <v>403</v>
      </c>
      <c r="J15" s="9"/>
      <c r="K15" s="9"/>
      <c r="L15" s="9"/>
      <c r="M15" s="9"/>
      <c r="N15" s="41"/>
      <c r="O15" s="52"/>
      <c r="P15" s="84"/>
      <c r="Q15" s="85"/>
    </row>
    <row r="16" spans="1:17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606</v>
      </c>
      <c r="H16" s="51" t="s">
        <v>418</v>
      </c>
      <c r="I16" s="9" t="s">
        <v>403</v>
      </c>
      <c r="J16" s="9"/>
      <c r="K16" s="9"/>
      <c r="L16" s="9"/>
      <c r="M16" s="9"/>
      <c r="N16" s="41"/>
      <c r="O16" s="52"/>
      <c r="P16" s="84"/>
      <c r="Q16" s="85"/>
    </row>
    <row r="17" spans="1:17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607</v>
      </c>
      <c r="H17" s="51" t="s">
        <v>419</v>
      </c>
      <c r="I17" s="9" t="s">
        <v>403</v>
      </c>
      <c r="J17" s="9"/>
      <c r="K17" s="9"/>
      <c r="L17" s="9"/>
      <c r="M17" s="9"/>
      <c r="N17" s="41"/>
      <c r="O17" s="52"/>
      <c r="P17" s="84"/>
      <c r="Q17" s="85"/>
    </row>
    <row r="18" spans="1:17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609</v>
      </c>
      <c r="H18" s="51" t="s">
        <v>421</v>
      </c>
      <c r="I18" s="9" t="s">
        <v>403</v>
      </c>
      <c r="J18" s="9"/>
      <c r="K18" s="9"/>
      <c r="L18" s="9"/>
      <c r="M18" s="9"/>
      <c r="N18" s="41"/>
      <c r="O18" s="52"/>
      <c r="P18" s="84"/>
      <c r="Q18" s="85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7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159</v>
      </c>
      <c r="K2" s="7" t="s">
        <v>21</v>
      </c>
      <c r="L2" s="64" t="str">
        <f>IF(LogicCommon!G2="","",LogicCommon!G2)</f>
        <v>MC</v>
      </c>
      <c r="M2" s="5" t="s">
        <v>124</v>
      </c>
      <c r="N2" s="28" t="s">
        <v>545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129</v>
      </c>
      <c r="K3" s="7" t="s">
        <v>22</v>
      </c>
      <c r="L3" s="64" t="str">
        <f>IF(LogicCommon!G3="","",LogicCommon!G3)</f>
        <v/>
      </c>
      <c r="M3" s="68" t="s">
        <v>126</v>
      </c>
      <c r="N3" s="7"/>
      <c r="O3" s="7" t="s">
        <v>193</v>
      </c>
      <c r="P3" s="9" t="s">
        <v>194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31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140</v>
      </c>
      <c r="B6" s="66"/>
      <c r="C6" s="66"/>
      <c r="D6" s="4" t="s">
        <v>5</v>
      </c>
      <c r="E6" s="16" t="s">
        <v>350</v>
      </c>
      <c r="F6" s="16"/>
      <c r="G6" s="16"/>
      <c r="H6" s="16"/>
      <c r="I6" s="16"/>
      <c r="J6" s="16"/>
      <c r="K6" s="16"/>
      <c r="L6" s="72" t="s">
        <v>169</v>
      </c>
      <c r="M6" s="19"/>
      <c r="N6" s="19" t="s">
        <v>169</v>
      </c>
      <c r="O6" s="19"/>
      <c r="P6" s="19" t="s">
        <v>169</v>
      </c>
      <c r="Q6" s="19"/>
      <c r="R6" s="3" t="s">
        <v>169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130</v>
      </c>
      <c r="L7" s="32" t="s">
        <v>131</v>
      </c>
      <c r="M7" s="33" t="s">
        <v>33</v>
      </c>
      <c r="N7" s="32" t="s">
        <v>132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33" t="s">
        <v>134</v>
      </c>
      <c r="L8" s="9" t="s">
        <v>161</v>
      </c>
      <c r="M8" s="33" t="s">
        <v>34</v>
      </c>
      <c r="N8" s="9" t="s">
        <v>161</v>
      </c>
      <c r="O8" s="33" t="s">
        <v>34</v>
      </c>
      <c r="P8" s="9"/>
      <c r="Q8" s="33" t="s">
        <v>34</v>
      </c>
      <c r="R8" s="9"/>
      <c r="S8" s="79"/>
      <c r="T8" s="80"/>
      <c r="U8" s="81" t="s">
        <v>586</v>
      </c>
      <c r="V8" s="52"/>
    </row>
    <row r="9" spans="1:22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33"/>
      <c r="O9" s="33"/>
      <c r="P9" s="33"/>
      <c r="Q9" s="33"/>
      <c r="R9" s="33"/>
      <c r="S9" s="81" t="s">
        <v>594</v>
      </c>
      <c r="T9" s="52"/>
      <c r="U9" s="81" t="s">
        <v>595</v>
      </c>
      <c r="V9" s="52"/>
    </row>
    <row r="10" spans="1:22" s="11" customFormat="1" ht="52" x14ac:dyDescent="0.2">
      <c r="A10" s="39" t="s">
        <v>135</v>
      </c>
      <c r="B10" s="40"/>
      <c r="C10" s="40"/>
      <c r="D10" s="41"/>
      <c r="E10" s="42"/>
      <c r="F10" s="42"/>
      <c r="G10" s="43"/>
      <c r="H10" s="43"/>
      <c r="I10" s="42"/>
      <c r="J10" s="42"/>
      <c r="K10" s="76" t="s">
        <v>592</v>
      </c>
      <c r="L10" s="76" t="s">
        <v>593</v>
      </c>
      <c r="M10" s="76" t="s">
        <v>592</v>
      </c>
      <c r="N10" s="76" t="s">
        <v>593</v>
      </c>
      <c r="O10" s="76" t="s">
        <v>592</v>
      </c>
      <c r="P10" s="76" t="s">
        <v>593</v>
      </c>
      <c r="Q10" s="76" t="s">
        <v>592</v>
      </c>
      <c r="R10" s="76" t="s">
        <v>593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160</v>
      </c>
      <c r="E11" s="34" t="s">
        <v>136</v>
      </c>
      <c r="F11" s="44"/>
      <c r="G11" s="28" t="s">
        <v>137</v>
      </c>
      <c r="H11" s="45" t="s">
        <v>435</v>
      </c>
      <c r="I11" s="46"/>
      <c r="J11" s="47"/>
      <c r="K11" s="48" t="s">
        <v>122</v>
      </c>
      <c r="L11" s="48"/>
      <c r="M11" s="48" t="s">
        <v>423</v>
      </c>
      <c r="N11" s="48"/>
      <c r="O11" s="48"/>
      <c r="P11" s="48"/>
      <c r="Q11" s="48"/>
      <c r="R11" s="48"/>
      <c r="S11" s="35"/>
      <c r="T11" s="36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57</v>
      </c>
      <c r="E12" s="50" t="s">
        <v>100</v>
      </c>
      <c r="F12" s="50"/>
      <c r="G12" s="51" t="s">
        <v>612</v>
      </c>
      <c r="H12" s="51" t="s">
        <v>430</v>
      </c>
      <c r="I12" s="9" t="s">
        <v>403</v>
      </c>
      <c r="J12" s="9"/>
      <c r="K12" s="9" t="s">
        <v>404</v>
      </c>
      <c r="L12" s="9"/>
      <c r="M12" s="9" t="s">
        <v>404</v>
      </c>
      <c r="N12" s="9"/>
      <c r="O12" s="9"/>
      <c r="P12" s="9"/>
      <c r="Q12" s="9"/>
      <c r="R12" s="9"/>
      <c r="S12" s="41"/>
      <c r="T12" s="52"/>
      <c r="U12" s="84"/>
      <c r="V12" s="85"/>
    </row>
    <row r="13" spans="1:22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610</v>
      </c>
      <c r="H13" s="51" t="s">
        <v>425</v>
      </c>
      <c r="I13" s="9" t="s">
        <v>403</v>
      </c>
      <c r="J13" s="9"/>
      <c r="K13" s="9" t="s">
        <v>404</v>
      </c>
      <c r="L13" s="9"/>
      <c r="M13" s="9" t="s">
        <v>404</v>
      </c>
      <c r="N13" s="9"/>
      <c r="O13" s="9"/>
      <c r="P13" s="9"/>
      <c r="Q13" s="9"/>
      <c r="R13" s="9"/>
      <c r="S13" s="41"/>
      <c r="T13" s="52"/>
      <c r="U13" s="84"/>
      <c r="V13" s="85"/>
    </row>
    <row r="14" spans="1:22" s="11" customFormat="1" x14ac:dyDescent="0.2">
      <c r="A14" s="9">
        <v>10</v>
      </c>
      <c r="B14" s="9"/>
      <c r="C14" s="9"/>
      <c r="D14" s="9" t="s">
        <v>58</v>
      </c>
      <c r="E14" s="50" t="s">
        <v>101</v>
      </c>
      <c r="F14" s="50"/>
      <c r="G14" s="51" t="s">
        <v>614</v>
      </c>
      <c r="H14" s="51" t="s">
        <v>434</v>
      </c>
      <c r="I14" s="9" t="s">
        <v>403</v>
      </c>
      <c r="J14" s="9"/>
      <c r="K14" s="9" t="s">
        <v>404</v>
      </c>
      <c r="L14" s="9"/>
      <c r="M14" s="9" t="s">
        <v>404</v>
      </c>
      <c r="N14" s="9"/>
      <c r="O14" s="9"/>
      <c r="P14" s="9"/>
      <c r="Q14" s="9"/>
      <c r="R14" s="9"/>
      <c r="S14" s="41"/>
      <c r="T14" s="52"/>
      <c r="U14" s="84"/>
      <c r="V14" s="85"/>
    </row>
    <row r="15" spans="1:22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605</v>
      </c>
      <c r="H15" s="51" t="s">
        <v>417</v>
      </c>
      <c r="I15" s="9" t="s">
        <v>403</v>
      </c>
      <c r="J15" s="9"/>
      <c r="K15" s="9" t="s">
        <v>404</v>
      </c>
      <c r="L15" s="9"/>
      <c r="M15" s="9" t="s">
        <v>404</v>
      </c>
      <c r="N15" s="9"/>
      <c r="O15" s="9"/>
      <c r="P15" s="9"/>
      <c r="Q15" s="9"/>
      <c r="R15" s="9"/>
      <c r="S15" s="41"/>
      <c r="T15" s="52"/>
      <c r="U15" s="84"/>
      <c r="V15" s="85"/>
    </row>
    <row r="16" spans="1:22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606</v>
      </c>
      <c r="H16" s="51" t="s">
        <v>418</v>
      </c>
      <c r="I16" s="9" t="s">
        <v>403</v>
      </c>
      <c r="J16" s="9"/>
      <c r="K16" s="9" t="s">
        <v>404</v>
      </c>
      <c r="L16" s="9"/>
      <c r="M16" s="9" t="s">
        <v>404</v>
      </c>
      <c r="N16" s="9"/>
      <c r="O16" s="9"/>
      <c r="P16" s="9"/>
      <c r="Q16" s="9"/>
      <c r="R16" s="9"/>
      <c r="S16" s="41"/>
      <c r="T16" s="52"/>
      <c r="U16" s="84"/>
      <c r="V16" s="85"/>
    </row>
    <row r="17" spans="1:22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607</v>
      </c>
      <c r="H17" s="51" t="s">
        <v>419</v>
      </c>
      <c r="I17" s="9" t="s">
        <v>403</v>
      </c>
      <c r="J17" s="9"/>
      <c r="K17" s="9" t="s">
        <v>404</v>
      </c>
      <c r="L17" s="9"/>
      <c r="M17" s="9" t="s">
        <v>404</v>
      </c>
      <c r="N17" s="9"/>
      <c r="O17" s="9"/>
      <c r="P17" s="9"/>
      <c r="Q17" s="9"/>
      <c r="R17" s="9"/>
      <c r="S17" s="41"/>
      <c r="T17" s="52"/>
      <c r="U17" s="84"/>
      <c r="V17" s="85"/>
    </row>
    <row r="18" spans="1:22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609</v>
      </c>
      <c r="H18" s="51" t="s">
        <v>421</v>
      </c>
      <c r="I18" s="9" t="s">
        <v>403</v>
      </c>
      <c r="J18" s="9"/>
      <c r="K18" s="9" t="s">
        <v>404</v>
      </c>
      <c r="L18" s="9"/>
      <c r="M18" s="9" t="s">
        <v>404</v>
      </c>
      <c r="N18" s="9"/>
      <c r="O18" s="9"/>
      <c r="P18" s="9"/>
      <c r="Q18" s="9"/>
      <c r="R18" s="9"/>
      <c r="S18" s="41"/>
      <c r="T18" s="52"/>
      <c r="U18" s="84"/>
      <c r="V18" s="85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293</v>
      </c>
      <c r="K2" s="7" t="s">
        <v>21</v>
      </c>
      <c r="L2" s="64" t="str">
        <f>IF(LogicCommon!G2="","",LogicCommon!G2)</f>
        <v>MC</v>
      </c>
      <c r="M2" s="5" t="s">
        <v>124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125</v>
      </c>
      <c r="K3" s="7" t="s">
        <v>22</v>
      </c>
      <c r="L3" s="64" t="str">
        <f>IF(LogicCommon!G3="","",LogicCommon!G3)</f>
        <v/>
      </c>
      <c r="M3" s="68" t="s">
        <v>292</v>
      </c>
      <c r="N3" s="7"/>
      <c r="O3" s="7" t="s">
        <v>193</v>
      </c>
      <c r="P3" s="9" t="s">
        <v>194</v>
      </c>
      <c r="Q3" s="4"/>
    </row>
    <row r="4" spans="1:17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127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140</v>
      </c>
      <c r="B6" s="66"/>
      <c r="C6" s="66"/>
      <c r="D6" s="4" t="s">
        <v>5</v>
      </c>
      <c r="E6" s="16" t="s">
        <v>351</v>
      </c>
      <c r="F6" s="16"/>
      <c r="G6" s="16"/>
      <c r="H6" s="16"/>
      <c r="I6" s="16"/>
      <c r="J6" s="16"/>
      <c r="K6" s="16"/>
      <c r="L6" s="72"/>
      <c r="M6" s="19" t="s">
        <v>169</v>
      </c>
      <c r="N6" s="19"/>
      <c r="O6" s="19"/>
      <c r="P6" s="19"/>
      <c r="Q6" s="19"/>
    </row>
    <row r="7" spans="1:17" s="11" customFormat="1" x14ac:dyDescent="0.2">
      <c r="A7" s="30" t="s">
        <v>282</v>
      </c>
      <c r="B7" s="30"/>
      <c r="C7" s="30"/>
      <c r="D7" s="31"/>
      <c r="E7" s="31"/>
      <c r="F7" s="31"/>
      <c r="G7" s="31"/>
      <c r="H7" s="31"/>
      <c r="I7" s="31" t="s">
        <v>276</v>
      </c>
      <c r="J7" s="31"/>
      <c r="K7" s="32" t="s">
        <v>291</v>
      </c>
      <c r="L7" s="33" t="s">
        <v>33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9" t="s">
        <v>290</v>
      </c>
      <c r="L8" s="33" t="s">
        <v>34</v>
      </c>
      <c r="M8" s="9"/>
      <c r="N8" s="79"/>
      <c r="O8" s="80"/>
      <c r="P8" s="81" t="s">
        <v>586</v>
      </c>
      <c r="Q8" s="52"/>
    </row>
    <row r="9" spans="1:17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81" t="s">
        <v>594</v>
      </c>
      <c r="O9" s="52"/>
      <c r="P9" s="81" t="s">
        <v>595</v>
      </c>
      <c r="Q9" s="52"/>
    </row>
    <row r="10" spans="1:17" s="11" customFormat="1" ht="52" x14ac:dyDescent="0.2">
      <c r="A10" s="39" t="s">
        <v>170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76" t="s">
        <v>592</v>
      </c>
      <c r="M10" s="76" t="s">
        <v>593</v>
      </c>
      <c r="N10" s="42"/>
      <c r="O10" s="42"/>
      <c r="P10" s="43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289</v>
      </c>
      <c r="E11" s="34" t="s">
        <v>32</v>
      </c>
      <c r="F11" s="44"/>
      <c r="G11" s="28"/>
      <c r="H11" s="45"/>
      <c r="I11" s="46"/>
      <c r="J11" s="47"/>
      <c r="K11" s="48"/>
      <c r="L11" s="48"/>
      <c r="M11" s="48"/>
      <c r="N11" s="35"/>
      <c r="O11" s="36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57</v>
      </c>
      <c r="E12" s="50" t="s">
        <v>100</v>
      </c>
      <c r="F12" s="50"/>
      <c r="G12" s="51" t="s">
        <v>615</v>
      </c>
      <c r="H12" s="51" t="s">
        <v>436</v>
      </c>
      <c r="I12" s="9" t="s">
        <v>403</v>
      </c>
      <c r="J12" s="9"/>
      <c r="K12" s="9" t="s">
        <v>404</v>
      </c>
      <c r="L12" s="9"/>
      <c r="M12" s="9"/>
      <c r="N12" s="41"/>
      <c r="O12" s="52"/>
      <c r="P12" s="84"/>
      <c r="Q12" s="85"/>
    </row>
    <row r="13" spans="1:17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609</v>
      </c>
      <c r="H13" s="51" t="s">
        <v>421</v>
      </c>
      <c r="I13" s="9" t="s">
        <v>403</v>
      </c>
      <c r="J13" s="9"/>
      <c r="K13" s="9"/>
      <c r="L13" s="9"/>
      <c r="M13" s="9"/>
      <c r="N13" s="41"/>
      <c r="O13" s="52"/>
      <c r="P13" s="84"/>
      <c r="Q13" s="85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5"/>
      <c r="Q15" s="55"/>
    </row>
    <row r="16" spans="1:17" s="11" customFormat="1" x14ac:dyDescent="0.2">
      <c r="A16" s="65"/>
      <c r="Q16" s="55"/>
    </row>
    <row r="17" spans="1:17" s="11" customFormat="1" x14ac:dyDescent="0.2">
      <c r="A17" s="65"/>
      <c r="Q17" s="55"/>
    </row>
    <row r="18" spans="1:17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V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297</v>
      </c>
      <c r="K2" s="7" t="s">
        <v>21</v>
      </c>
      <c r="L2" s="64" t="str">
        <f>IF(LogicCommon!G2="","",LogicCommon!G2)</f>
        <v>MC</v>
      </c>
      <c r="M2" s="5" t="s">
        <v>124</v>
      </c>
      <c r="N2" s="28" t="s">
        <v>546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296</v>
      </c>
      <c r="K3" s="7" t="s">
        <v>22</v>
      </c>
      <c r="L3" s="64" t="str">
        <f>IF(LogicCommon!G3="","",LogicCommon!G3)</f>
        <v/>
      </c>
      <c r="M3" s="68" t="s">
        <v>277</v>
      </c>
      <c r="N3" s="7"/>
      <c r="O3" s="7" t="s">
        <v>193</v>
      </c>
      <c r="P3" s="9" t="s">
        <v>194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285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65" t="s">
        <v>140</v>
      </c>
      <c r="B6" s="66"/>
      <c r="C6" s="66"/>
      <c r="D6" s="4" t="s">
        <v>5</v>
      </c>
      <c r="E6" s="16" t="s">
        <v>352</v>
      </c>
      <c r="F6" s="16"/>
      <c r="G6" s="16"/>
      <c r="H6" s="16"/>
      <c r="I6" s="16"/>
      <c r="J6" s="16"/>
      <c r="K6" s="16"/>
      <c r="L6" s="72" t="s">
        <v>169</v>
      </c>
      <c r="M6" s="19"/>
      <c r="N6" s="19" t="s">
        <v>169</v>
      </c>
      <c r="O6" s="19"/>
      <c r="P6" s="19" t="s">
        <v>169</v>
      </c>
      <c r="Q6" s="19"/>
      <c r="R6" s="3" t="s">
        <v>169</v>
      </c>
      <c r="S6" s="4"/>
      <c r="T6" s="29"/>
      <c r="U6" s="29"/>
      <c r="V6" s="27"/>
    </row>
    <row r="7" spans="1:22" s="11" customFormat="1" x14ac:dyDescent="0.2">
      <c r="A7" s="30" t="s">
        <v>274</v>
      </c>
      <c r="B7" s="30"/>
      <c r="C7" s="30"/>
      <c r="D7" s="31"/>
      <c r="E7" s="31"/>
      <c r="F7" s="31"/>
      <c r="G7" s="31"/>
      <c r="H7" s="31"/>
      <c r="I7" s="31" t="s">
        <v>276</v>
      </c>
      <c r="J7" s="31"/>
      <c r="K7" s="33" t="s">
        <v>172</v>
      </c>
      <c r="L7" s="32" t="s">
        <v>284</v>
      </c>
      <c r="M7" s="33" t="s">
        <v>33</v>
      </c>
      <c r="N7" s="32" t="s">
        <v>283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33" t="s">
        <v>295</v>
      </c>
      <c r="L8" s="9" t="s">
        <v>551</v>
      </c>
      <c r="M8" s="33" t="s">
        <v>34</v>
      </c>
      <c r="N8" s="9" t="s">
        <v>161</v>
      </c>
      <c r="O8" s="33" t="s">
        <v>34</v>
      </c>
      <c r="P8" s="9"/>
      <c r="Q8" s="33" t="s">
        <v>34</v>
      </c>
      <c r="R8" s="9"/>
      <c r="S8" s="79"/>
      <c r="T8" s="80"/>
      <c r="U8" s="81" t="s">
        <v>586</v>
      </c>
      <c r="V8" s="52"/>
    </row>
    <row r="9" spans="1:22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33"/>
      <c r="O9" s="33"/>
      <c r="P9" s="33"/>
      <c r="Q9" s="33"/>
      <c r="R9" s="33"/>
      <c r="S9" s="81" t="s">
        <v>594</v>
      </c>
      <c r="T9" s="52"/>
      <c r="U9" s="81" t="s">
        <v>595</v>
      </c>
      <c r="V9" s="52"/>
    </row>
    <row r="10" spans="1:22" s="11" customFormat="1" ht="52" x14ac:dyDescent="0.2">
      <c r="A10" s="39" t="s">
        <v>170</v>
      </c>
      <c r="B10" s="40"/>
      <c r="C10" s="40"/>
      <c r="D10" s="41"/>
      <c r="E10" s="42"/>
      <c r="F10" s="42"/>
      <c r="G10" s="43"/>
      <c r="H10" s="43"/>
      <c r="I10" s="42"/>
      <c r="J10" s="42"/>
      <c r="K10" s="76" t="s">
        <v>592</v>
      </c>
      <c r="L10" s="76" t="s">
        <v>593</v>
      </c>
      <c r="M10" s="76" t="s">
        <v>592</v>
      </c>
      <c r="N10" s="76" t="s">
        <v>593</v>
      </c>
      <c r="O10" s="76" t="s">
        <v>592</v>
      </c>
      <c r="P10" s="76" t="s">
        <v>593</v>
      </c>
      <c r="Q10" s="76" t="s">
        <v>592</v>
      </c>
      <c r="R10" s="76" t="s">
        <v>593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294</v>
      </c>
      <c r="E11" s="34" t="s">
        <v>279</v>
      </c>
      <c r="F11" s="44"/>
      <c r="G11" s="28" t="s">
        <v>137</v>
      </c>
      <c r="H11" s="45" t="s">
        <v>437</v>
      </c>
      <c r="I11" s="46"/>
      <c r="J11" s="47"/>
      <c r="K11" s="48" t="s">
        <v>122</v>
      </c>
      <c r="L11" s="48"/>
      <c r="M11" s="48" t="s">
        <v>423</v>
      </c>
      <c r="N11" s="48"/>
      <c r="O11" s="48"/>
      <c r="P11" s="48"/>
      <c r="Q11" s="48"/>
      <c r="R11" s="48"/>
      <c r="S11" s="35"/>
      <c r="T11" s="36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57</v>
      </c>
      <c r="E12" s="50" t="s">
        <v>100</v>
      </c>
      <c r="F12" s="50"/>
      <c r="G12" s="51" t="s">
        <v>615</v>
      </c>
      <c r="H12" s="51" t="s">
        <v>436</v>
      </c>
      <c r="I12" s="9" t="s">
        <v>403</v>
      </c>
      <c r="J12" s="9"/>
      <c r="K12" s="9" t="s">
        <v>404</v>
      </c>
      <c r="L12" s="9"/>
      <c r="M12" s="9" t="s">
        <v>404</v>
      </c>
      <c r="N12" s="9"/>
      <c r="O12" s="9"/>
      <c r="P12" s="9"/>
      <c r="Q12" s="9"/>
      <c r="R12" s="9"/>
      <c r="S12" s="41"/>
      <c r="T12" s="52"/>
      <c r="U12" s="84"/>
      <c r="V12" s="85"/>
    </row>
    <row r="13" spans="1:22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609</v>
      </c>
      <c r="H13" s="51" t="s">
        <v>421</v>
      </c>
      <c r="I13" s="9" t="s">
        <v>403</v>
      </c>
      <c r="J13" s="9"/>
      <c r="K13" s="9" t="s">
        <v>404</v>
      </c>
      <c r="L13" s="9"/>
      <c r="M13" s="9"/>
      <c r="N13" s="9"/>
      <c r="O13" s="9"/>
      <c r="P13" s="9"/>
      <c r="Q13" s="9"/>
      <c r="R13" s="9"/>
      <c r="S13" s="41"/>
      <c r="T13" s="52"/>
      <c r="U13" s="84"/>
      <c r="V13" s="85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5"/>
      <c r="V15" s="55"/>
    </row>
    <row r="16" spans="1:22" s="11" customFormat="1" x14ac:dyDescent="0.2">
      <c r="A16" s="65"/>
      <c r="V16" s="55"/>
    </row>
    <row r="17" spans="1:22" s="11" customFormat="1" x14ac:dyDescent="0.2">
      <c r="A17" s="65"/>
      <c r="V17" s="55"/>
    </row>
    <row r="18" spans="1:22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48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162</v>
      </c>
      <c r="K2" s="7" t="s">
        <v>21</v>
      </c>
      <c r="L2" s="64" t="str">
        <f>IF(LogicCommon!G2="","",LogicCommon!G2)</f>
        <v>MC</v>
      </c>
      <c r="M2" s="5" t="s">
        <v>124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125</v>
      </c>
      <c r="K3" s="7" t="s">
        <v>22</v>
      </c>
      <c r="L3" s="64" t="str">
        <f>IF(LogicCommon!G3="","",LogicCommon!G3)</f>
        <v/>
      </c>
      <c r="M3" s="68" t="s">
        <v>126</v>
      </c>
      <c r="N3" s="7"/>
      <c r="O3" s="7" t="s">
        <v>193</v>
      </c>
      <c r="P3" s="9" t="s">
        <v>194</v>
      </c>
      <c r="Q3" s="4"/>
    </row>
    <row r="4" spans="1:17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127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140</v>
      </c>
      <c r="B6" s="66"/>
      <c r="C6" s="66"/>
      <c r="D6" s="4" t="s">
        <v>5</v>
      </c>
      <c r="E6" s="16" t="s">
        <v>353</v>
      </c>
      <c r="F6" s="16"/>
      <c r="G6" s="16"/>
      <c r="H6" s="16"/>
      <c r="I6" s="16"/>
      <c r="J6" s="16"/>
      <c r="K6" s="16"/>
      <c r="L6" s="72"/>
      <c r="M6" s="19" t="s">
        <v>169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128</v>
      </c>
      <c r="L7" s="33" t="s">
        <v>33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9" t="s">
        <v>139</v>
      </c>
      <c r="L8" s="33" t="s">
        <v>34</v>
      </c>
      <c r="M8" s="9"/>
      <c r="N8" s="79"/>
      <c r="O8" s="80"/>
      <c r="P8" s="81" t="s">
        <v>586</v>
      </c>
      <c r="Q8" s="52"/>
    </row>
    <row r="9" spans="1:17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81" t="s">
        <v>594</v>
      </c>
      <c r="O9" s="52"/>
      <c r="P9" s="81" t="s">
        <v>595</v>
      </c>
      <c r="Q9" s="52"/>
    </row>
    <row r="10" spans="1:17" s="11" customFormat="1" ht="52" x14ac:dyDescent="0.2">
      <c r="A10" s="39" t="s">
        <v>135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76" t="s">
        <v>592</v>
      </c>
      <c r="M10" s="76" t="s">
        <v>593</v>
      </c>
      <c r="N10" s="42"/>
      <c r="O10" s="42"/>
      <c r="P10" s="43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163</v>
      </c>
      <c r="E11" s="34" t="s">
        <v>32</v>
      </c>
      <c r="F11" s="44"/>
      <c r="G11" s="28" t="s">
        <v>248</v>
      </c>
      <c r="H11" s="45" t="s">
        <v>553</v>
      </c>
      <c r="I11" s="46"/>
      <c r="J11" s="47"/>
      <c r="K11" s="48"/>
      <c r="L11" s="48"/>
      <c r="M11" s="48"/>
      <c r="N11" s="35"/>
      <c r="O11" s="36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48</v>
      </c>
      <c r="E12" s="50" t="s">
        <v>91</v>
      </c>
      <c r="F12" s="50"/>
      <c r="G12" s="51" t="s">
        <v>616</v>
      </c>
      <c r="H12" s="51" t="s">
        <v>438</v>
      </c>
      <c r="I12" s="9" t="s">
        <v>403</v>
      </c>
      <c r="J12" s="9"/>
      <c r="K12" s="9" t="s">
        <v>404</v>
      </c>
      <c r="L12" s="9"/>
      <c r="M12" s="9"/>
      <c r="N12" s="41"/>
      <c r="O12" s="52"/>
      <c r="P12" s="84"/>
      <c r="Q12" s="85"/>
    </row>
    <row r="13" spans="1:17" s="11" customFormat="1" x14ac:dyDescent="0.2">
      <c r="A13" s="9">
        <v>10</v>
      </c>
      <c r="B13" s="9"/>
      <c r="C13" s="9"/>
      <c r="D13" s="9" t="s">
        <v>49</v>
      </c>
      <c r="E13" s="50" t="s">
        <v>92</v>
      </c>
      <c r="F13" s="50"/>
      <c r="G13" s="51" t="s">
        <v>617</v>
      </c>
      <c r="H13" s="51" t="s">
        <v>439</v>
      </c>
      <c r="I13" s="9" t="s">
        <v>403</v>
      </c>
      <c r="J13" s="9"/>
      <c r="K13" s="9" t="s">
        <v>404</v>
      </c>
      <c r="L13" s="9"/>
      <c r="M13" s="9"/>
      <c r="N13" s="41"/>
      <c r="O13" s="52"/>
      <c r="P13" s="84"/>
      <c r="Q13" s="85"/>
    </row>
    <row r="14" spans="1:17" s="11" customFormat="1" x14ac:dyDescent="0.2">
      <c r="A14" s="9">
        <v>10</v>
      </c>
      <c r="B14" s="9"/>
      <c r="C14" s="9"/>
      <c r="D14" s="9" t="s">
        <v>24</v>
      </c>
      <c r="E14" s="50" t="s">
        <v>25</v>
      </c>
      <c r="F14" s="50"/>
      <c r="G14" s="51" t="s">
        <v>605</v>
      </c>
      <c r="H14" s="51" t="s">
        <v>417</v>
      </c>
      <c r="I14" s="9" t="s">
        <v>403</v>
      </c>
      <c r="J14" s="9"/>
      <c r="K14" s="9"/>
      <c r="L14" s="9"/>
      <c r="M14" s="9"/>
      <c r="N14" s="41"/>
      <c r="O14" s="52"/>
      <c r="P14" s="84"/>
      <c r="Q14" s="85"/>
    </row>
    <row r="15" spans="1:17" s="11" customFormat="1" x14ac:dyDescent="0.2">
      <c r="A15" s="9">
        <v>10</v>
      </c>
      <c r="B15" s="9"/>
      <c r="C15" s="9"/>
      <c r="D15" s="9" t="s">
        <v>28</v>
      </c>
      <c r="E15" s="50" t="s">
        <v>29</v>
      </c>
      <c r="F15" s="50"/>
      <c r="G15" s="51" t="s">
        <v>606</v>
      </c>
      <c r="H15" s="51" t="s">
        <v>418</v>
      </c>
      <c r="I15" s="9" t="s">
        <v>403</v>
      </c>
      <c r="J15" s="9"/>
      <c r="K15" s="9"/>
      <c r="L15" s="9"/>
      <c r="M15" s="9"/>
      <c r="N15" s="41"/>
      <c r="O15" s="52"/>
      <c r="P15" s="84"/>
      <c r="Q15" s="85"/>
    </row>
    <row r="16" spans="1:17" s="11" customFormat="1" x14ac:dyDescent="0.2">
      <c r="A16" s="9">
        <v>10</v>
      </c>
      <c r="B16" s="9"/>
      <c r="C16" s="9"/>
      <c r="D16" s="9" t="s">
        <v>26</v>
      </c>
      <c r="E16" s="50" t="s">
        <v>27</v>
      </c>
      <c r="F16" s="50"/>
      <c r="G16" s="51" t="s">
        <v>607</v>
      </c>
      <c r="H16" s="51" t="s">
        <v>419</v>
      </c>
      <c r="I16" s="9" t="s">
        <v>403</v>
      </c>
      <c r="J16" s="9"/>
      <c r="K16" s="9"/>
      <c r="L16" s="9"/>
      <c r="M16" s="9"/>
      <c r="N16" s="41"/>
      <c r="O16" s="52"/>
      <c r="P16" s="84"/>
      <c r="Q16" s="85"/>
    </row>
    <row r="17" spans="1:17" s="11" customFormat="1" x14ac:dyDescent="0.2">
      <c r="A17" s="9">
        <v>10</v>
      </c>
      <c r="B17" s="9"/>
      <c r="C17" s="9"/>
      <c r="D17" s="9" t="s">
        <v>35</v>
      </c>
      <c r="E17" s="50" t="s">
        <v>30</v>
      </c>
      <c r="F17" s="50"/>
      <c r="G17" s="51" t="s">
        <v>608</v>
      </c>
      <c r="H17" s="51" t="s">
        <v>420</v>
      </c>
      <c r="I17" s="9" t="s">
        <v>403</v>
      </c>
      <c r="J17" s="9"/>
      <c r="K17" s="9"/>
      <c r="L17" s="9"/>
      <c r="M17" s="9"/>
      <c r="N17" s="41"/>
      <c r="O17" s="52"/>
      <c r="P17" s="84"/>
      <c r="Q17" s="85"/>
    </row>
    <row r="18" spans="1:17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609</v>
      </c>
      <c r="H18" s="51" t="s">
        <v>421</v>
      </c>
      <c r="I18" s="9" t="s">
        <v>403</v>
      </c>
      <c r="J18" s="9"/>
      <c r="K18" s="9"/>
      <c r="L18" s="9"/>
      <c r="M18" s="9"/>
      <c r="N18" s="41"/>
      <c r="O18" s="52"/>
      <c r="P18" s="84"/>
      <c r="Q18" s="85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9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164</v>
      </c>
      <c r="K2" s="7" t="s">
        <v>21</v>
      </c>
      <c r="L2" s="64" t="str">
        <f>IF(LogicCommon!G2="","",LogicCommon!G2)</f>
        <v>MC</v>
      </c>
      <c r="M2" s="5" t="s">
        <v>124</v>
      </c>
      <c r="N2" s="28" t="s">
        <v>545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129</v>
      </c>
      <c r="K3" s="7" t="s">
        <v>22</v>
      </c>
      <c r="L3" s="64" t="str">
        <f>IF(LogicCommon!G3="","",LogicCommon!G3)</f>
        <v/>
      </c>
      <c r="M3" s="68" t="s">
        <v>126</v>
      </c>
      <c r="N3" s="7"/>
      <c r="O3" s="7" t="s">
        <v>193</v>
      </c>
      <c r="P3" s="9" t="s">
        <v>194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31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140</v>
      </c>
      <c r="B6" s="66"/>
      <c r="C6" s="66"/>
      <c r="D6" s="4" t="s">
        <v>5</v>
      </c>
      <c r="E6" s="16" t="s">
        <v>354</v>
      </c>
      <c r="F6" s="16"/>
      <c r="G6" s="16"/>
      <c r="H6" s="16"/>
      <c r="I6" s="16"/>
      <c r="J6" s="16"/>
      <c r="K6" s="16"/>
      <c r="L6" s="72" t="s">
        <v>169</v>
      </c>
      <c r="M6" s="19"/>
      <c r="N6" s="19" t="s">
        <v>169</v>
      </c>
      <c r="O6" s="19"/>
      <c r="P6" s="19" t="s">
        <v>169</v>
      </c>
      <c r="Q6" s="19"/>
      <c r="R6" s="3" t="s">
        <v>169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130</v>
      </c>
      <c r="L7" s="32" t="s">
        <v>131</v>
      </c>
      <c r="M7" s="33" t="s">
        <v>33</v>
      </c>
      <c r="N7" s="32" t="s">
        <v>132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33" t="s">
        <v>134</v>
      </c>
      <c r="L8" s="9" t="s">
        <v>554</v>
      </c>
      <c r="M8" s="33" t="s">
        <v>34</v>
      </c>
      <c r="N8" s="9" t="s">
        <v>554</v>
      </c>
      <c r="O8" s="33" t="s">
        <v>34</v>
      </c>
      <c r="P8" s="9"/>
      <c r="Q8" s="33" t="s">
        <v>34</v>
      </c>
      <c r="R8" s="9"/>
      <c r="S8" s="79"/>
      <c r="T8" s="80"/>
      <c r="U8" s="81" t="s">
        <v>586</v>
      </c>
      <c r="V8" s="52"/>
    </row>
    <row r="9" spans="1:22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33"/>
      <c r="O9" s="33"/>
      <c r="P9" s="33"/>
      <c r="Q9" s="33"/>
      <c r="R9" s="33"/>
      <c r="S9" s="81" t="s">
        <v>594</v>
      </c>
      <c r="T9" s="52"/>
      <c r="U9" s="81" t="s">
        <v>595</v>
      </c>
      <c r="V9" s="52"/>
    </row>
    <row r="10" spans="1:22" s="11" customFormat="1" ht="52" x14ac:dyDescent="0.2">
      <c r="A10" s="39" t="s">
        <v>135</v>
      </c>
      <c r="B10" s="40"/>
      <c r="C10" s="40"/>
      <c r="D10" s="41"/>
      <c r="E10" s="42"/>
      <c r="F10" s="42"/>
      <c r="G10" s="43"/>
      <c r="H10" s="43"/>
      <c r="I10" s="42"/>
      <c r="J10" s="42"/>
      <c r="K10" s="76" t="s">
        <v>592</v>
      </c>
      <c r="L10" s="76" t="s">
        <v>593</v>
      </c>
      <c r="M10" s="76" t="s">
        <v>592</v>
      </c>
      <c r="N10" s="76" t="s">
        <v>593</v>
      </c>
      <c r="O10" s="76" t="s">
        <v>592</v>
      </c>
      <c r="P10" s="76" t="s">
        <v>593</v>
      </c>
      <c r="Q10" s="76" t="s">
        <v>592</v>
      </c>
      <c r="R10" s="76" t="s">
        <v>593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165</v>
      </c>
      <c r="E11" s="34" t="s">
        <v>136</v>
      </c>
      <c r="F11" s="44"/>
      <c r="G11" s="28" t="s">
        <v>137</v>
      </c>
      <c r="H11" s="45" t="s">
        <v>440</v>
      </c>
      <c r="I11" s="46"/>
      <c r="J11" s="47"/>
      <c r="K11" s="48" t="s">
        <v>122</v>
      </c>
      <c r="L11" s="48"/>
      <c r="M11" s="48" t="s">
        <v>423</v>
      </c>
      <c r="N11" s="48"/>
      <c r="O11" s="48"/>
      <c r="P11" s="48"/>
      <c r="Q11" s="48"/>
      <c r="R11" s="48"/>
      <c r="S11" s="35"/>
      <c r="T11" s="36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48</v>
      </c>
      <c r="E12" s="50" t="s">
        <v>91</v>
      </c>
      <c r="F12" s="50"/>
      <c r="G12" s="51" t="s">
        <v>616</v>
      </c>
      <c r="H12" s="51" t="s">
        <v>438</v>
      </c>
      <c r="I12" s="9" t="s">
        <v>403</v>
      </c>
      <c r="J12" s="9"/>
      <c r="K12" s="9" t="s">
        <v>404</v>
      </c>
      <c r="L12" s="9"/>
      <c r="M12" s="9" t="s">
        <v>404</v>
      </c>
      <c r="N12" s="9"/>
      <c r="O12" s="9"/>
      <c r="P12" s="9"/>
      <c r="Q12" s="9"/>
      <c r="R12" s="9"/>
      <c r="S12" s="41"/>
      <c r="T12" s="52"/>
      <c r="U12" s="84"/>
      <c r="V12" s="85"/>
    </row>
    <row r="13" spans="1:22" s="11" customFormat="1" x14ac:dyDescent="0.2">
      <c r="A13" s="9">
        <v>10</v>
      </c>
      <c r="B13" s="9"/>
      <c r="C13" s="9"/>
      <c r="D13" s="9" t="s">
        <v>49</v>
      </c>
      <c r="E13" s="50" t="s">
        <v>92</v>
      </c>
      <c r="F13" s="50"/>
      <c r="G13" s="51" t="s">
        <v>617</v>
      </c>
      <c r="H13" s="51" t="s">
        <v>439</v>
      </c>
      <c r="I13" s="9" t="s">
        <v>403</v>
      </c>
      <c r="J13" s="9"/>
      <c r="K13" s="9" t="s">
        <v>404</v>
      </c>
      <c r="L13" s="9"/>
      <c r="M13" s="9" t="s">
        <v>404</v>
      </c>
      <c r="N13" s="9"/>
      <c r="O13" s="9"/>
      <c r="P13" s="9"/>
      <c r="Q13" s="9"/>
      <c r="R13" s="9"/>
      <c r="S13" s="41"/>
      <c r="T13" s="52"/>
      <c r="U13" s="84"/>
      <c r="V13" s="85"/>
    </row>
    <row r="14" spans="1:22" s="11" customFormat="1" x14ac:dyDescent="0.2">
      <c r="A14" s="9">
        <v>10</v>
      </c>
      <c r="B14" s="9"/>
      <c r="C14" s="9"/>
      <c r="D14" s="9" t="s">
        <v>24</v>
      </c>
      <c r="E14" s="50" t="s">
        <v>25</v>
      </c>
      <c r="F14" s="50"/>
      <c r="G14" s="51" t="s">
        <v>605</v>
      </c>
      <c r="H14" s="51" t="s">
        <v>417</v>
      </c>
      <c r="I14" s="9" t="s">
        <v>403</v>
      </c>
      <c r="J14" s="9"/>
      <c r="K14" s="9" t="s">
        <v>404</v>
      </c>
      <c r="L14" s="9"/>
      <c r="M14" s="9" t="s">
        <v>404</v>
      </c>
      <c r="N14" s="9"/>
      <c r="O14" s="9"/>
      <c r="P14" s="9"/>
      <c r="Q14" s="9"/>
      <c r="R14" s="9"/>
      <c r="S14" s="41"/>
      <c r="T14" s="52"/>
      <c r="U14" s="84"/>
      <c r="V14" s="85"/>
    </row>
    <row r="15" spans="1:22" s="11" customFormat="1" x14ac:dyDescent="0.2">
      <c r="A15" s="9">
        <v>10</v>
      </c>
      <c r="B15" s="9"/>
      <c r="C15" s="9"/>
      <c r="D15" s="9" t="s">
        <v>28</v>
      </c>
      <c r="E15" s="50" t="s">
        <v>29</v>
      </c>
      <c r="F15" s="50"/>
      <c r="G15" s="51" t="s">
        <v>606</v>
      </c>
      <c r="H15" s="51" t="s">
        <v>418</v>
      </c>
      <c r="I15" s="9" t="s">
        <v>403</v>
      </c>
      <c r="J15" s="9"/>
      <c r="K15" s="9" t="s">
        <v>404</v>
      </c>
      <c r="L15" s="9"/>
      <c r="M15" s="9" t="s">
        <v>404</v>
      </c>
      <c r="N15" s="9"/>
      <c r="O15" s="9"/>
      <c r="P15" s="9"/>
      <c r="Q15" s="9"/>
      <c r="R15" s="9"/>
      <c r="S15" s="41"/>
      <c r="T15" s="52"/>
      <c r="U15" s="84"/>
      <c r="V15" s="85"/>
    </row>
    <row r="16" spans="1:22" s="11" customFormat="1" x14ac:dyDescent="0.2">
      <c r="A16" s="9">
        <v>10</v>
      </c>
      <c r="B16" s="9"/>
      <c r="C16" s="9"/>
      <c r="D16" s="9" t="s">
        <v>26</v>
      </c>
      <c r="E16" s="50" t="s">
        <v>27</v>
      </c>
      <c r="F16" s="50"/>
      <c r="G16" s="51" t="s">
        <v>607</v>
      </c>
      <c r="H16" s="51" t="s">
        <v>419</v>
      </c>
      <c r="I16" s="9" t="s">
        <v>403</v>
      </c>
      <c r="J16" s="9"/>
      <c r="K16" s="9" t="s">
        <v>404</v>
      </c>
      <c r="L16" s="9"/>
      <c r="M16" s="9" t="s">
        <v>404</v>
      </c>
      <c r="N16" s="9"/>
      <c r="O16" s="9"/>
      <c r="P16" s="9"/>
      <c r="Q16" s="9"/>
      <c r="R16" s="9"/>
      <c r="S16" s="41"/>
      <c r="T16" s="52"/>
      <c r="U16" s="84"/>
      <c r="V16" s="85"/>
    </row>
    <row r="17" spans="1:22" s="11" customFormat="1" x14ac:dyDescent="0.2">
      <c r="A17" s="9">
        <v>10</v>
      </c>
      <c r="B17" s="9"/>
      <c r="C17" s="9"/>
      <c r="D17" s="9" t="s">
        <v>35</v>
      </c>
      <c r="E17" s="50" t="s">
        <v>30</v>
      </c>
      <c r="F17" s="50"/>
      <c r="G17" s="51" t="s">
        <v>608</v>
      </c>
      <c r="H17" s="51" t="s">
        <v>420</v>
      </c>
      <c r="I17" s="9" t="s">
        <v>403</v>
      </c>
      <c r="J17" s="9"/>
      <c r="K17" s="9" t="s">
        <v>404</v>
      </c>
      <c r="L17" s="9"/>
      <c r="M17" s="9" t="s">
        <v>404</v>
      </c>
      <c r="N17" s="9"/>
      <c r="O17" s="9"/>
      <c r="P17" s="9"/>
      <c r="Q17" s="9"/>
      <c r="R17" s="9"/>
      <c r="S17" s="41"/>
      <c r="T17" s="52"/>
      <c r="U17" s="84"/>
      <c r="V17" s="85"/>
    </row>
    <row r="18" spans="1:22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609</v>
      </c>
      <c r="H18" s="51" t="s">
        <v>421</v>
      </c>
      <c r="I18" s="9" t="s">
        <v>403</v>
      </c>
      <c r="J18" s="9"/>
      <c r="K18" s="9" t="s">
        <v>404</v>
      </c>
      <c r="L18" s="9"/>
      <c r="M18" s="9" t="s">
        <v>404</v>
      </c>
      <c r="N18" s="9"/>
      <c r="O18" s="9"/>
      <c r="P18" s="9"/>
      <c r="Q18" s="9"/>
      <c r="R18" s="9"/>
      <c r="S18" s="41"/>
      <c r="T18" s="52"/>
      <c r="U18" s="84"/>
      <c r="V18" s="85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50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166</v>
      </c>
      <c r="K2" s="7" t="s">
        <v>21</v>
      </c>
      <c r="L2" s="64" t="str">
        <f>IF(LogicCommon!G2="","",LogicCommon!G2)</f>
        <v>MC</v>
      </c>
      <c r="M2" s="5" t="s">
        <v>124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125</v>
      </c>
      <c r="K3" s="7" t="s">
        <v>22</v>
      </c>
      <c r="L3" s="64" t="str">
        <f>IF(LogicCommon!G3="","",LogicCommon!G3)</f>
        <v/>
      </c>
      <c r="M3" s="68" t="s">
        <v>126</v>
      </c>
      <c r="N3" s="7"/>
      <c r="O3" s="7" t="s">
        <v>193</v>
      </c>
      <c r="P3" s="9" t="s">
        <v>194</v>
      </c>
      <c r="Q3" s="4"/>
    </row>
    <row r="4" spans="1:17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127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140</v>
      </c>
      <c r="B6" s="66"/>
      <c r="C6" s="66"/>
      <c r="D6" s="4" t="s">
        <v>5</v>
      </c>
      <c r="E6" s="16" t="s">
        <v>355</v>
      </c>
      <c r="F6" s="16"/>
      <c r="G6" s="16"/>
      <c r="H6" s="16"/>
      <c r="I6" s="16"/>
      <c r="J6" s="16"/>
      <c r="K6" s="16"/>
      <c r="L6" s="72"/>
      <c r="M6" s="19" t="s">
        <v>169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128</v>
      </c>
      <c r="L7" s="33" t="s">
        <v>33</v>
      </c>
      <c r="M7" s="32" t="s">
        <v>245</v>
      </c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9" t="s">
        <v>139</v>
      </c>
      <c r="L8" s="33" t="s">
        <v>34</v>
      </c>
      <c r="M8" s="9" t="s">
        <v>555</v>
      </c>
      <c r="N8" s="79"/>
      <c r="O8" s="80"/>
      <c r="P8" s="81" t="s">
        <v>586</v>
      </c>
      <c r="Q8" s="52"/>
    </row>
    <row r="9" spans="1:17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81" t="s">
        <v>594</v>
      </c>
      <c r="O9" s="52"/>
      <c r="P9" s="81" t="s">
        <v>595</v>
      </c>
      <c r="Q9" s="52"/>
    </row>
    <row r="10" spans="1:17" s="11" customFormat="1" ht="52" x14ac:dyDescent="0.2">
      <c r="A10" s="39" t="s">
        <v>135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76" t="s">
        <v>592</v>
      </c>
      <c r="M10" s="76" t="s">
        <v>593</v>
      </c>
      <c r="N10" s="42"/>
      <c r="O10" s="42"/>
      <c r="P10" s="43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167</v>
      </c>
      <c r="E11" s="34" t="s">
        <v>32</v>
      </c>
      <c r="F11" s="44"/>
      <c r="G11" s="28" t="s">
        <v>248</v>
      </c>
      <c r="H11" s="45" t="s">
        <v>441</v>
      </c>
      <c r="I11" s="46"/>
      <c r="J11" s="47"/>
      <c r="K11" s="48"/>
      <c r="L11" s="48" t="s">
        <v>423</v>
      </c>
      <c r="M11" s="48"/>
      <c r="N11" s="35"/>
      <c r="O11" s="36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48</v>
      </c>
      <c r="E12" s="50" t="s">
        <v>91</v>
      </c>
      <c r="F12" s="50"/>
      <c r="G12" s="51" t="s">
        <v>616</v>
      </c>
      <c r="H12" s="51" t="s">
        <v>438</v>
      </c>
      <c r="I12" s="9" t="s">
        <v>403</v>
      </c>
      <c r="J12" s="9"/>
      <c r="K12" s="9" t="s">
        <v>404</v>
      </c>
      <c r="L12" s="9" t="s">
        <v>404</v>
      </c>
      <c r="M12" s="9"/>
      <c r="N12" s="41"/>
      <c r="O12" s="52"/>
      <c r="P12" s="84"/>
      <c r="Q12" s="85"/>
    </row>
    <row r="13" spans="1:17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610</v>
      </c>
      <c r="H13" s="51" t="s">
        <v>425</v>
      </c>
      <c r="I13" s="9" t="s">
        <v>403</v>
      </c>
      <c r="J13" s="9"/>
      <c r="K13" s="9" t="s">
        <v>404</v>
      </c>
      <c r="L13" s="9"/>
      <c r="M13" s="9"/>
      <c r="N13" s="41"/>
      <c r="O13" s="52"/>
      <c r="P13" s="84"/>
      <c r="Q13" s="85"/>
    </row>
    <row r="14" spans="1:17" s="11" customFormat="1" x14ac:dyDescent="0.2">
      <c r="A14" s="9">
        <v>10</v>
      </c>
      <c r="B14" s="9"/>
      <c r="C14" s="9"/>
      <c r="D14" s="9" t="s">
        <v>49</v>
      </c>
      <c r="E14" s="50" t="s">
        <v>92</v>
      </c>
      <c r="F14" s="50"/>
      <c r="G14" s="51" t="s">
        <v>618</v>
      </c>
      <c r="H14" s="51" t="s">
        <v>442</v>
      </c>
      <c r="I14" s="9" t="s">
        <v>403</v>
      </c>
      <c r="J14" s="9"/>
      <c r="K14" s="9" t="s">
        <v>404</v>
      </c>
      <c r="L14" s="9"/>
      <c r="M14" s="9"/>
      <c r="N14" s="41"/>
      <c r="O14" s="52"/>
      <c r="P14" s="84"/>
      <c r="Q14" s="85"/>
    </row>
    <row r="15" spans="1:17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605</v>
      </c>
      <c r="H15" s="51" t="s">
        <v>417</v>
      </c>
      <c r="I15" s="9" t="s">
        <v>403</v>
      </c>
      <c r="J15" s="9"/>
      <c r="K15" s="9"/>
      <c r="L15" s="9"/>
      <c r="M15" s="9"/>
      <c r="N15" s="41"/>
      <c r="O15" s="52"/>
      <c r="P15" s="84"/>
      <c r="Q15" s="85"/>
    </row>
    <row r="16" spans="1:17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606</v>
      </c>
      <c r="H16" s="51" t="s">
        <v>418</v>
      </c>
      <c r="I16" s="9" t="s">
        <v>403</v>
      </c>
      <c r="J16" s="9"/>
      <c r="K16" s="9"/>
      <c r="L16" s="9"/>
      <c r="M16" s="9"/>
      <c r="N16" s="41"/>
      <c r="O16" s="52"/>
      <c r="P16" s="84"/>
      <c r="Q16" s="85"/>
    </row>
    <row r="17" spans="1:17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607</v>
      </c>
      <c r="H17" s="51" t="s">
        <v>419</v>
      </c>
      <c r="I17" s="9" t="s">
        <v>403</v>
      </c>
      <c r="J17" s="9"/>
      <c r="K17" s="9"/>
      <c r="L17" s="9"/>
      <c r="M17" s="9"/>
      <c r="N17" s="41"/>
      <c r="O17" s="52"/>
      <c r="P17" s="84"/>
      <c r="Q17" s="85"/>
    </row>
    <row r="18" spans="1:17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609</v>
      </c>
      <c r="H18" s="51" t="s">
        <v>421</v>
      </c>
      <c r="I18" s="9" t="s">
        <v>403</v>
      </c>
      <c r="J18" s="9"/>
      <c r="K18" s="9"/>
      <c r="L18" s="9"/>
      <c r="M18" s="9"/>
      <c r="N18" s="41"/>
      <c r="O18" s="52"/>
      <c r="P18" s="84"/>
      <c r="Q18" s="85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51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175</v>
      </c>
      <c r="K2" s="7" t="s">
        <v>21</v>
      </c>
      <c r="L2" s="64" t="str">
        <f>IF(LogicCommon!G2="","",LogicCommon!G2)</f>
        <v>MC</v>
      </c>
      <c r="M2" s="5" t="s">
        <v>124</v>
      </c>
      <c r="N2" s="28" t="s">
        <v>545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129</v>
      </c>
      <c r="K3" s="7" t="s">
        <v>22</v>
      </c>
      <c r="L3" s="64" t="str">
        <f>IF(LogicCommon!G3="","",LogicCommon!G3)</f>
        <v/>
      </c>
      <c r="M3" s="68" t="s">
        <v>126</v>
      </c>
      <c r="N3" s="7"/>
      <c r="O3" s="7" t="s">
        <v>193</v>
      </c>
      <c r="P3" s="9" t="s">
        <v>194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31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140</v>
      </c>
      <c r="B6" s="66"/>
      <c r="C6" s="66"/>
      <c r="D6" s="4" t="s">
        <v>5</v>
      </c>
      <c r="E6" s="16" t="s">
        <v>356</v>
      </c>
      <c r="F6" s="16"/>
      <c r="G6" s="16"/>
      <c r="H6" s="16"/>
      <c r="I6" s="16"/>
      <c r="J6" s="16"/>
      <c r="K6" s="16"/>
      <c r="L6" s="72" t="s">
        <v>169</v>
      </c>
      <c r="M6" s="19"/>
      <c r="N6" s="19" t="s">
        <v>169</v>
      </c>
      <c r="O6" s="19"/>
      <c r="P6" s="19" t="s">
        <v>169</v>
      </c>
      <c r="Q6" s="19"/>
      <c r="R6" s="3" t="s">
        <v>169</v>
      </c>
      <c r="S6" s="4"/>
      <c r="T6" s="29"/>
      <c r="U6" s="29"/>
      <c r="V6" s="27"/>
    </row>
    <row r="7" spans="1:22" s="11" customFormat="1" x14ac:dyDescent="0.2">
      <c r="A7" s="30" t="s">
        <v>170</v>
      </c>
      <c r="B7" s="30"/>
      <c r="C7" s="30"/>
      <c r="D7" s="31"/>
      <c r="E7" s="31"/>
      <c r="F7" s="31"/>
      <c r="G7" s="31"/>
      <c r="H7" s="31"/>
      <c r="I7" s="31" t="s">
        <v>171</v>
      </c>
      <c r="J7" s="31"/>
      <c r="K7" s="33" t="s">
        <v>172</v>
      </c>
      <c r="L7" s="32" t="s">
        <v>173</v>
      </c>
      <c r="M7" s="33" t="s">
        <v>33</v>
      </c>
      <c r="N7" s="32" t="s">
        <v>174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33" t="s">
        <v>134</v>
      </c>
      <c r="L8" s="9" t="s">
        <v>177</v>
      </c>
      <c r="M8" s="33" t="s">
        <v>34</v>
      </c>
      <c r="N8" s="9" t="s">
        <v>177</v>
      </c>
      <c r="O8" s="33" t="s">
        <v>34</v>
      </c>
      <c r="P8" s="9"/>
      <c r="Q8" s="33" t="s">
        <v>34</v>
      </c>
      <c r="R8" s="9"/>
      <c r="S8" s="79"/>
      <c r="T8" s="80"/>
      <c r="U8" s="81" t="s">
        <v>586</v>
      </c>
      <c r="V8" s="52"/>
    </row>
    <row r="9" spans="1:22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33"/>
      <c r="O9" s="33"/>
      <c r="P9" s="33"/>
      <c r="Q9" s="33"/>
      <c r="R9" s="33"/>
      <c r="S9" s="81" t="s">
        <v>594</v>
      </c>
      <c r="T9" s="52"/>
      <c r="U9" s="81" t="s">
        <v>595</v>
      </c>
      <c r="V9" s="52"/>
    </row>
    <row r="10" spans="1:22" s="11" customFormat="1" ht="52" x14ac:dyDescent="0.2">
      <c r="A10" s="39" t="s">
        <v>135</v>
      </c>
      <c r="B10" s="40"/>
      <c r="C10" s="40"/>
      <c r="D10" s="41"/>
      <c r="E10" s="42"/>
      <c r="F10" s="42"/>
      <c r="G10" s="43"/>
      <c r="H10" s="43"/>
      <c r="I10" s="42"/>
      <c r="J10" s="42"/>
      <c r="K10" s="76" t="s">
        <v>592</v>
      </c>
      <c r="L10" s="76" t="s">
        <v>593</v>
      </c>
      <c r="M10" s="76" t="s">
        <v>592</v>
      </c>
      <c r="N10" s="76" t="s">
        <v>593</v>
      </c>
      <c r="O10" s="76" t="s">
        <v>592</v>
      </c>
      <c r="P10" s="76" t="s">
        <v>593</v>
      </c>
      <c r="Q10" s="76" t="s">
        <v>592</v>
      </c>
      <c r="R10" s="76" t="s">
        <v>593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176</v>
      </c>
      <c r="E11" s="34" t="s">
        <v>136</v>
      </c>
      <c r="F11" s="44"/>
      <c r="G11" s="28" t="s">
        <v>137</v>
      </c>
      <c r="H11" s="45" t="s">
        <v>443</v>
      </c>
      <c r="I11" s="46"/>
      <c r="J11" s="47"/>
      <c r="K11" s="48" t="s">
        <v>122</v>
      </c>
      <c r="L11" s="48"/>
      <c r="M11" s="48" t="s">
        <v>423</v>
      </c>
      <c r="N11" s="48"/>
      <c r="O11" s="48"/>
      <c r="P11" s="48"/>
      <c r="Q11" s="48"/>
      <c r="R11" s="48"/>
      <c r="S11" s="35"/>
      <c r="T11" s="36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48</v>
      </c>
      <c r="E12" s="50" t="s">
        <v>91</v>
      </c>
      <c r="F12" s="50"/>
      <c r="G12" s="51" t="s">
        <v>616</v>
      </c>
      <c r="H12" s="51" t="s">
        <v>438</v>
      </c>
      <c r="I12" s="9" t="s">
        <v>403</v>
      </c>
      <c r="J12" s="9"/>
      <c r="K12" s="9" t="s">
        <v>404</v>
      </c>
      <c r="L12" s="9"/>
      <c r="M12" s="9" t="s">
        <v>404</v>
      </c>
      <c r="N12" s="9"/>
      <c r="O12" s="9"/>
      <c r="P12" s="9"/>
      <c r="Q12" s="9"/>
      <c r="R12" s="9"/>
      <c r="S12" s="41"/>
      <c r="T12" s="52"/>
      <c r="U12" s="84"/>
      <c r="V12" s="85"/>
    </row>
    <row r="13" spans="1:22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610</v>
      </c>
      <c r="H13" s="51" t="s">
        <v>425</v>
      </c>
      <c r="I13" s="9" t="s">
        <v>403</v>
      </c>
      <c r="J13" s="9"/>
      <c r="K13" s="9" t="s">
        <v>404</v>
      </c>
      <c r="L13" s="9"/>
      <c r="M13" s="9" t="s">
        <v>404</v>
      </c>
      <c r="N13" s="9"/>
      <c r="O13" s="9"/>
      <c r="P13" s="9"/>
      <c r="Q13" s="9"/>
      <c r="R13" s="9"/>
      <c r="S13" s="41"/>
      <c r="T13" s="52"/>
      <c r="U13" s="84"/>
      <c r="V13" s="85"/>
    </row>
    <row r="14" spans="1:22" s="11" customFormat="1" x14ac:dyDescent="0.2">
      <c r="A14" s="9">
        <v>10</v>
      </c>
      <c r="B14" s="9"/>
      <c r="C14" s="9"/>
      <c r="D14" s="9" t="s">
        <v>49</v>
      </c>
      <c r="E14" s="50" t="s">
        <v>92</v>
      </c>
      <c r="F14" s="50"/>
      <c r="G14" s="51" t="s">
        <v>618</v>
      </c>
      <c r="H14" s="51" t="s">
        <v>442</v>
      </c>
      <c r="I14" s="9" t="s">
        <v>403</v>
      </c>
      <c r="J14" s="9"/>
      <c r="K14" s="9" t="s">
        <v>404</v>
      </c>
      <c r="L14" s="9"/>
      <c r="M14" s="9" t="s">
        <v>404</v>
      </c>
      <c r="N14" s="9"/>
      <c r="O14" s="9"/>
      <c r="P14" s="9"/>
      <c r="Q14" s="9"/>
      <c r="R14" s="9"/>
      <c r="S14" s="41"/>
      <c r="T14" s="52"/>
      <c r="U14" s="84"/>
      <c r="V14" s="85"/>
    </row>
    <row r="15" spans="1:22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605</v>
      </c>
      <c r="H15" s="51" t="s">
        <v>417</v>
      </c>
      <c r="I15" s="9" t="s">
        <v>403</v>
      </c>
      <c r="J15" s="9"/>
      <c r="K15" s="9" t="s">
        <v>404</v>
      </c>
      <c r="L15" s="9"/>
      <c r="M15" s="9" t="s">
        <v>404</v>
      </c>
      <c r="N15" s="9"/>
      <c r="O15" s="9"/>
      <c r="P15" s="9"/>
      <c r="Q15" s="9"/>
      <c r="R15" s="9"/>
      <c r="S15" s="41"/>
      <c r="T15" s="52"/>
      <c r="U15" s="84"/>
      <c r="V15" s="85"/>
    </row>
    <row r="16" spans="1:22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606</v>
      </c>
      <c r="H16" s="51" t="s">
        <v>418</v>
      </c>
      <c r="I16" s="9" t="s">
        <v>403</v>
      </c>
      <c r="J16" s="9"/>
      <c r="K16" s="9" t="s">
        <v>404</v>
      </c>
      <c r="L16" s="9"/>
      <c r="M16" s="9" t="s">
        <v>404</v>
      </c>
      <c r="N16" s="9"/>
      <c r="O16" s="9"/>
      <c r="P16" s="9"/>
      <c r="Q16" s="9"/>
      <c r="R16" s="9"/>
      <c r="S16" s="41"/>
      <c r="T16" s="52"/>
      <c r="U16" s="84"/>
      <c r="V16" s="85"/>
    </row>
    <row r="17" spans="1:22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607</v>
      </c>
      <c r="H17" s="51" t="s">
        <v>419</v>
      </c>
      <c r="I17" s="9" t="s">
        <v>403</v>
      </c>
      <c r="J17" s="9"/>
      <c r="K17" s="9" t="s">
        <v>404</v>
      </c>
      <c r="L17" s="9"/>
      <c r="M17" s="9" t="s">
        <v>404</v>
      </c>
      <c r="N17" s="9"/>
      <c r="O17" s="9"/>
      <c r="P17" s="9"/>
      <c r="Q17" s="9"/>
      <c r="R17" s="9"/>
      <c r="S17" s="41"/>
      <c r="T17" s="52"/>
      <c r="U17" s="84"/>
      <c r="V17" s="85"/>
    </row>
    <row r="18" spans="1:22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609</v>
      </c>
      <c r="H18" s="51" t="s">
        <v>421</v>
      </c>
      <c r="I18" s="9" t="s">
        <v>403</v>
      </c>
      <c r="J18" s="9"/>
      <c r="K18" s="9" t="s">
        <v>404</v>
      </c>
      <c r="L18" s="9"/>
      <c r="M18" s="9" t="s">
        <v>404</v>
      </c>
      <c r="N18" s="9"/>
      <c r="O18" s="9"/>
      <c r="P18" s="9"/>
      <c r="Q18" s="9"/>
      <c r="R18" s="9"/>
      <c r="S18" s="41"/>
      <c r="T18" s="52"/>
      <c r="U18" s="84"/>
      <c r="V18" s="85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299</v>
      </c>
      <c r="K2" s="7" t="s">
        <v>21</v>
      </c>
      <c r="L2" s="64" t="str">
        <f>IF(LogicCommon!G2="","",LogicCommon!G2)</f>
        <v>MC</v>
      </c>
      <c r="M2" s="5" t="s">
        <v>124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125</v>
      </c>
      <c r="K3" s="7" t="s">
        <v>22</v>
      </c>
      <c r="L3" s="64" t="str">
        <f>IF(LogicCommon!G3="","",LogicCommon!G3)</f>
        <v/>
      </c>
      <c r="M3" s="68" t="s">
        <v>277</v>
      </c>
      <c r="N3" s="7"/>
      <c r="O3" s="7" t="s">
        <v>193</v>
      </c>
      <c r="P3" s="9" t="s">
        <v>194</v>
      </c>
      <c r="Q3" s="4"/>
    </row>
    <row r="4" spans="1:17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127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140</v>
      </c>
      <c r="B6" s="66"/>
      <c r="C6" s="66"/>
      <c r="D6" s="4" t="s">
        <v>5</v>
      </c>
      <c r="E6" s="16" t="s">
        <v>357</v>
      </c>
      <c r="F6" s="16"/>
      <c r="G6" s="16"/>
      <c r="H6" s="16"/>
      <c r="I6" s="16"/>
      <c r="J6" s="16"/>
      <c r="K6" s="16"/>
      <c r="L6" s="72"/>
      <c r="M6" s="19" t="s">
        <v>169</v>
      </c>
      <c r="N6" s="19"/>
      <c r="O6" s="19"/>
      <c r="P6" s="19"/>
      <c r="Q6" s="19"/>
    </row>
    <row r="7" spans="1:17" s="11" customFormat="1" x14ac:dyDescent="0.2">
      <c r="A7" s="30" t="s">
        <v>170</v>
      </c>
      <c r="B7" s="30"/>
      <c r="C7" s="30"/>
      <c r="D7" s="31"/>
      <c r="E7" s="31"/>
      <c r="F7" s="31"/>
      <c r="G7" s="31"/>
      <c r="H7" s="31"/>
      <c r="I7" s="31" t="s">
        <v>171</v>
      </c>
      <c r="J7" s="31"/>
      <c r="K7" s="32" t="s">
        <v>275</v>
      </c>
      <c r="L7" s="33" t="s">
        <v>33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9" t="s">
        <v>273</v>
      </c>
      <c r="L8" s="33" t="s">
        <v>34</v>
      </c>
      <c r="M8" s="9"/>
      <c r="N8" s="79"/>
      <c r="O8" s="80"/>
      <c r="P8" s="81" t="s">
        <v>586</v>
      </c>
      <c r="Q8" s="52"/>
    </row>
    <row r="9" spans="1:17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81" t="s">
        <v>594</v>
      </c>
      <c r="O9" s="52"/>
      <c r="P9" s="81" t="s">
        <v>595</v>
      </c>
      <c r="Q9" s="52"/>
    </row>
    <row r="10" spans="1:17" s="11" customFormat="1" ht="52" x14ac:dyDescent="0.2">
      <c r="A10" s="39" t="s">
        <v>170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76" t="s">
        <v>592</v>
      </c>
      <c r="M10" s="76" t="s">
        <v>593</v>
      </c>
      <c r="N10" s="42"/>
      <c r="O10" s="42"/>
      <c r="P10" s="43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298</v>
      </c>
      <c r="E11" s="34" t="s">
        <v>32</v>
      </c>
      <c r="F11" s="44"/>
      <c r="G11" s="28"/>
      <c r="H11" s="45"/>
      <c r="I11" s="46"/>
      <c r="J11" s="47"/>
      <c r="K11" s="48"/>
      <c r="L11" s="48"/>
      <c r="M11" s="48"/>
      <c r="N11" s="35"/>
      <c r="O11" s="36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48</v>
      </c>
      <c r="E12" s="50" t="s">
        <v>91</v>
      </c>
      <c r="F12" s="50"/>
      <c r="G12" s="51" t="s">
        <v>619</v>
      </c>
      <c r="H12" s="51" t="s">
        <v>444</v>
      </c>
      <c r="I12" s="9" t="s">
        <v>403</v>
      </c>
      <c r="J12" s="9"/>
      <c r="K12" s="9" t="s">
        <v>404</v>
      </c>
      <c r="L12" s="9"/>
      <c r="M12" s="9"/>
      <c r="N12" s="41"/>
      <c r="O12" s="52"/>
      <c r="P12" s="84"/>
      <c r="Q12" s="85"/>
    </row>
    <row r="13" spans="1:17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609</v>
      </c>
      <c r="H13" s="51" t="s">
        <v>421</v>
      </c>
      <c r="I13" s="9" t="s">
        <v>403</v>
      </c>
      <c r="J13" s="9"/>
      <c r="K13" s="9"/>
      <c r="L13" s="9"/>
      <c r="M13" s="9"/>
      <c r="N13" s="41"/>
      <c r="O13" s="52"/>
      <c r="P13" s="84"/>
      <c r="Q13" s="85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5"/>
      <c r="Q15" s="55"/>
    </row>
    <row r="16" spans="1:17" s="11" customFormat="1" x14ac:dyDescent="0.2">
      <c r="A16" s="65"/>
      <c r="Q16" s="55"/>
    </row>
    <row r="17" spans="1:17" s="11" customFormat="1" x14ac:dyDescent="0.2">
      <c r="A17" s="65"/>
      <c r="Q17" s="55"/>
    </row>
    <row r="18" spans="1:17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V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301</v>
      </c>
      <c r="K2" s="7" t="s">
        <v>21</v>
      </c>
      <c r="L2" s="64" t="str">
        <f>IF(LogicCommon!G2="","",LogicCommon!G2)</f>
        <v>MC</v>
      </c>
      <c r="M2" s="5" t="s">
        <v>124</v>
      </c>
      <c r="N2" s="28" t="s">
        <v>546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296</v>
      </c>
      <c r="K3" s="7" t="s">
        <v>22</v>
      </c>
      <c r="L3" s="64" t="str">
        <f>IF(LogicCommon!G3="","",LogicCommon!G3)</f>
        <v/>
      </c>
      <c r="M3" s="68" t="s">
        <v>292</v>
      </c>
      <c r="N3" s="7"/>
      <c r="O3" s="7" t="s">
        <v>193</v>
      </c>
      <c r="P3" s="9" t="s">
        <v>194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285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140</v>
      </c>
      <c r="B6" s="66"/>
      <c r="C6" s="66"/>
      <c r="D6" s="4" t="s">
        <v>5</v>
      </c>
      <c r="E6" s="16" t="s">
        <v>358</v>
      </c>
      <c r="F6" s="16"/>
      <c r="G6" s="16"/>
      <c r="H6" s="16"/>
      <c r="I6" s="16"/>
      <c r="J6" s="16"/>
      <c r="K6" s="16"/>
      <c r="L6" s="72" t="s">
        <v>169</v>
      </c>
      <c r="M6" s="19"/>
      <c r="N6" s="19" t="s">
        <v>169</v>
      </c>
      <c r="O6" s="19"/>
      <c r="P6" s="19" t="s">
        <v>169</v>
      </c>
      <c r="Q6" s="19"/>
      <c r="R6" s="3" t="s">
        <v>169</v>
      </c>
      <c r="S6" s="4"/>
      <c r="T6" s="29"/>
      <c r="U6" s="29"/>
      <c r="V6" s="27"/>
    </row>
    <row r="7" spans="1:22" s="11" customFormat="1" x14ac:dyDescent="0.2">
      <c r="A7" s="30" t="s">
        <v>170</v>
      </c>
      <c r="B7" s="30"/>
      <c r="C7" s="30"/>
      <c r="D7" s="31"/>
      <c r="E7" s="31"/>
      <c r="F7" s="31"/>
      <c r="G7" s="31"/>
      <c r="H7" s="31"/>
      <c r="I7" s="31" t="s">
        <v>276</v>
      </c>
      <c r="J7" s="31"/>
      <c r="K7" s="33" t="s">
        <v>172</v>
      </c>
      <c r="L7" s="32" t="s">
        <v>284</v>
      </c>
      <c r="M7" s="33" t="s">
        <v>33</v>
      </c>
      <c r="N7" s="32" t="s">
        <v>283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33" t="s">
        <v>281</v>
      </c>
      <c r="L8" s="9" t="s">
        <v>554</v>
      </c>
      <c r="M8" s="33" t="s">
        <v>34</v>
      </c>
      <c r="N8" s="9" t="s">
        <v>177</v>
      </c>
      <c r="O8" s="33" t="s">
        <v>34</v>
      </c>
      <c r="P8" s="9"/>
      <c r="Q8" s="33" t="s">
        <v>34</v>
      </c>
      <c r="R8" s="9"/>
      <c r="S8" s="79"/>
      <c r="T8" s="80"/>
      <c r="U8" s="81" t="s">
        <v>586</v>
      </c>
      <c r="V8" s="52"/>
    </row>
    <row r="9" spans="1:22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33"/>
      <c r="O9" s="33"/>
      <c r="P9" s="33"/>
      <c r="Q9" s="33"/>
      <c r="R9" s="33"/>
      <c r="S9" s="81" t="s">
        <v>594</v>
      </c>
      <c r="T9" s="52"/>
      <c r="U9" s="81" t="s">
        <v>595</v>
      </c>
      <c r="V9" s="52"/>
    </row>
    <row r="10" spans="1:22" s="11" customFormat="1" ht="52" x14ac:dyDescent="0.2">
      <c r="A10" s="39" t="s">
        <v>274</v>
      </c>
      <c r="B10" s="40"/>
      <c r="C10" s="40"/>
      <c r="D10" s="41"/>
      <c r="E10" s="42"/>
      <c r="F10" s="42"/>
      <c r="G10" s="43"/>
      <c r="H10" s="43"/>
      <c r="I10" s="42"/>
      <c r="J10" s="42"/>
      <c r="K10" s="76" t="s">
        <v>592</v>
      </c>
      <c r="L10" s="76" t="s">
        <v>593</v>
      </c>
      <c r="M10" s="76" t="s">
        <v>592</v>
      </c>
      <c r="N10" s="76" t="s">
        <v>593</v>
      </c>
      <c r="O10" s="76" t="s">
        <v>592</v>
      </c>
      <c r="P10" s="76" t="s">
        <v>593</v>
      </c>
      <c r="Q10" s="76" t="s">
        <v>592</v>
      </c>
      <c r="R10" s="76" t="s">
        <v>593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300</v>
      </c>
      <c r="E11" s="34" t="s">
        <v>279</v>
      </c>
      <c r="F11" s="44"/>
      <c r="G11" s="28" t="s">
        <v>137</v>
      </c>
      <c r="H11" s="45" t="s">
        <v>445</v>
      </c>
      <c r="I11" s="46"/>
      <c r="J11" s="47"/>
      <c r="K11" s="48" t="s">
        <v>122</v>
      </c>
      <c r="L11" s="48"/>
      <c r="M11" s="48" t="s">
        <v>423</v>
      </c>
      <c r="N11" s="48"/>
      <c r="O11" s="48"/>
      <c r="P11" s="48"/>
      <c r="Q11" s="48"/>
      <c r="R11" s="48"/>
      <c r="S11" s="35"/>
      <c r="T11" s="36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48</v>
      </c>
      <c r="E12" s="50" t="s">
        <v>91</v>
      </c>
      <c r="F12" s="50"/>
      <c r="G12" s="51" t="s">
        <v>619</v>
      </c>
      <c r="H12" s="51" t="s">
        <v>444</v>
      </c>
      <c r="I12" s="9" t="s">
        <v>403</v>
      </c>
      <c r="J12" s="9"/>
      <c r="K12" s="9" t="s">
        <v>404</v>
      </c>
      <c r="L12" s="9"/>
      <c r="M12" s="9" t="s">
        <v>404</v>
      </c>
      <c r="N12" s="9"/>
      <c r="O12" s="9"/>
      <c r="P12" s="9"/>
      <c r="Q12" s="9"/>
      <c r="R12" s="9"/>
      <c r="S12" s="41"/>
      <c r="T12" s="52"/>
      <c r="U12" s="84"/>
      <c r="V12" s="85"/>
    </row>
    <row r="13" spans="1:22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609</v>
      </c>
      <c r="H13" s="51" t="s">
        <v>421</v>
      </c>
      <c r="I13" s="9" t="s">
        <v>403</v>
      </c>
      <c r="J13" s="9"/>
      <c r="K13" s="9" t="s">
        <v>404</v>
      </c>
      <c r="L13" s="9"/>
      <c r="M13" s="9"/>
      <c r="N13" s="9"/>
      <c r="O13" s="9"/>
      <c r="P13" s="9"/>
      <c r="Q13" s="9"/>
      <c r="R13" s="9"/>
      <c r="S13" s="41"/>
      <c r="T13" s="52"/>
      <c r="U13" s="84"/>
      <c r="V13" s="85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5"/>
      <c r="V15" s="55"/>
    </row>
    <row r="16" spans="1:22" s="11" customFormat="1" x14ac:dyDescent="0.2">
      <c r="A16" s="65"/>
      <c r="V16" s="55"/>
    </row>
    <row r="17" spans="1:22" s="11" customFormat="1" x14ac:dyDescent="0.2">
      <c r="A17" s="65"/>
      <c r="V17" s="55"/>
    </row>
    <row r="18" spans="1:22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52">
    <pageSetUpPr fitToPage="1"/>
  </sheetPr>
  <dimension ref="A1:R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8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178</v>
      </c>
      <c r="K2" s="7" t="s">
        <v>21</v>
      </c>
      <c r="L2" s="64" t="str">
        <f>IF(LogicCommon!G2="","",LogicCommon!G2)</f>
        <v>MC</v>
      </c>
      <c r="M2" s="5" t="s">
        <v>124</v>
      </c>
      <c r="N2" s="28" t="str">
        <f>L4 &amp; ".Checker"</f>
        <v>MA.MAUDL5010.Checker</v>
      </c>
      <c r="O2" s="7"/>
      <c r="P2" s="7"/>
      <c r="Q2" s="4"/>
      <c r="R2" s="4"/>
    </row>
    <row r="3" spans="1:18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125</v>
      </c>
      <c r="K3" s="7" t="s">
        <v>22</v>
      </c>
      <c r="L3" s="64" t="str">
        <f>IF(LogicCommon!G3="","",LogicCommon!G3)</f>
        <v/>
      </c>
      <c r="M3" s="68" t="s">
        <v>126</v>
      </c>
      <c r="N3" s="7"/>
      <c r="O3" s="7" t="s">
        <v>193</v>
      </c>
      <c r="P3" s="9" t="s">
        <v>194</v>
      </c>
      <c r="Q3" s="4"/>
      <c r="R3" s="4"/>
    </row>
    <row r="4" spans="1:18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127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4"/>
    </row>
    <row r="5" spans="1:18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4"/>
    </row>
    <row r="6" spans="1:18" s="11" customFormat="1" x14ac:dyDescent="0.2">
      <c r="A6" s="65" t="s">
        <v>140</v>
      </c>
      <c r="B6" s="66"/>
      <c r="C6" s="66"/>
      <c r="D6" s="4" t="s">
        <v>5</v>
      </c>
      <c r="E6" s="16" t="s">
        <v>359</v>
      </c>
      <c r="F6" s="16"/>
      <c r="G6" s="16"/>
      <c r="H6" s="16"/>
      <c r="I6" s="16"/>
      <c r="J6" s="16"/>
      <c r="K6" s="16"/>
      <c r="L6" s="72"/>
      <c r="M6" s="19"/>
      <c r="N6" s="19" t="s">
        <v>169</v>
      </c>
      <c r="O6" s="19"/>
      <c r="P6" s="19"/>
      <c r="Q6" s="19"/>
      <c r="R6" s="27"/>
    </row>
    <row r="7" spans="1:18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128</v>
      </c>
      <c r="L7" s="32" t="s">
        <v>128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9" t="s">
        <v>139</v>
      </c>
      <c r="L8" s="9" t="s">
        <v>246</v>
      </c>
      <c r="M8" s="33" t="s">
        <v>34</v>
      </c>
      <c r="N8" s="9"/>
      <c r="O8" s="79"/>
      <c r="P8" s="80"/>
      <c r="Q8" s="81" t="s">
        <v>586</v>
      </c>
      <c r="R8" s="52"/>
    </row>
    <row r="9" spans="1:18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33"/>
      <c r="O9" s="81" t="s">
        <v>594</v>
      </c>
      <c r="P9" s="52"/>
      <c r="Q9" s="81" t="s">
        <v>595</v>
      </c>
      <c r="R9" s="52"/>
    </row>
    <row r="10" spans="1:18" s="11" customFormat="1" ht="52" x14ac:dyDescent="0.2">
      <c r="A10" s="39" t="s">
        <v>135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76" t="s">
        <v>592</v>
      </c>
      <c r="N10" s="76" t="s">
        <v>593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179</v>
      </c>
      <c r="E11" s="34" t="s">
        <v>32</v>
      </c>
      <c r="F11" s="44"/>
      <c r="G11" s="28" t="s">
        <v>248</v>
      </c>
      <c r="H11" s="45" t="s">
        <v>556</v>
      </c>
      <c r="I11" s="46"/>
      <c r="J11" s="47"/>
      <c r="K11" s="48"/>
      <c r="L11" s="48"/>
      <c r="M11" s="48"/>
      <c r="N11" s="48"/>
      <c r="O11" s="35"/>
      <c r="P11" s="36"/>
      <c r="Q11" s="60"/>
      <c r="R11" s="49"/>
    </row>
    <row r="12" spans="1:18" s="11" customFormat="1" x14ac:dyDescent="0.2">
      <c r="A12" s="9">
        <v>10</v>
      </c>
      <c r="B12" s="9"/>
      <c r="C12" s="9"/>
      <c r="D12" s="9" t="s">
        <v>59</v>
      </c>
      <c r="E12" s="50" t="s">
        <v>102</v>
      </c>
      <c r="F12" s="50"/>
      <c r="G12" s="51" t="s">
        <v>620</v>
      </c>
      <c r="H12" s="51" t="s">
        <v>446</v>
      </c>
      <c r="I12" s="9" t="s">
        <v>403</v>
      </c>
      <c r="J12" s="9"/>
      <c r="K12" s="9" t="s">
        <v>404</v>
      </c>
      <c r="L12" s="9"/>
      <c r="M12" s="9"/>
      <c r="N12" s="9"/>
      <c r="O12" s="41"/>
      <c r="P12" s="52"/>
      <c r="Q12" s="84"/>
      <c r="R12" s="85"/>
    </row>
    <row r="13" spans="1:18" s="11" customFormat="1" x14ac:dyDescent="0.2">
      <c r="A13" s="9">
        <v>10</v>
      </c>
      <c r="B13" s="9"/>
      <c r="C13" s="9"/>
      <c r="D13" s="9" t="s">
        <v>60</v>
      </c>
      <c r="E13" s="50" t="s">
        <v>103</v>
      </c>
      <c r="F13" s="50"/>
      <c r="G13" s="51" t="s">
        <v>621</v>
      </c>
      <c r="H13" s="51" t="s">
        <v>447</v>
      </c>
      <c r="I13" s="9" t="s">
        <v>403</v>
      </c>
      <c r="J13" s="9"/>
      <c r="K13" s="9" t="s">
        <v>404</v>
      </c>
      <c r="L13" s="9"/>
      <c r="M13" s="9"/>
      <c r="N13" s="9"/>
      <c r="O13" s="41"/>
      <c r="P13" s="52"/>
      <c r="Q13" s="84"/>
      <c r="R13" s="85"/>
    </row>
    <row r="14" spans="1:18" s="11" customFormat="1" x14ac:dyDescent="0.2">
      <c r="A14" s="9">
        <v>10</v>
      </c>
      <c r="B14" s="9"/>
      <c r="C14" s="9"/>
      <c r="D14" s="9" t="s">
        <v>61</v>
      </c>
      <c r="E14" s="50" t="s">
        <v>104</v>
      </c>
      <c r="F14" s="50"/>
      <c r="G14" s="51" t="s">
        <v>622</v>
      </c>
      <c r="H14" s="51" t="s">
        <v>448</v>
      </c>
      <c r="I14" s="9" t="s">
        <v>403</v>
      </c>
      <c r="J14" s="9"/>
      <c r="K14" s="9"/>
      <c r="L14" s="9" t="s">
        <v>449</v>
      </c>
      <c r="M14" s="9"/>
      <c r="N14" s="9"/>
      <c r="O14" s="41"/>
      <c r="P14" s="52"/>
      <c r="Q14" s="84"/>
      <c r="R14" s="85"/>
    </row>
    <row r="15" spans="1:18" s="11" customFormat="1" x14ac:dyDescent="0.2">
      <c r="A15" s="9">
        <v>10</v>
      </c>
      <c r="B15" s="9"/>
      <c r="C15" s="9"/>
      <c r="D15" s="9" t="s">
        <v>62</v>
      </c>
      <c r="E15" s="50" t="s">
        <v>105</v>
      </c>
      <c r="F15" s="50"/>
      <c r="G15" s="51" t="s">
        <v>623</v>
      </c>
      <c r="H15" s="51" t="s">
        <v>450</v>
      </c>
      <c r="I15" s="9" t="s">
        <v>403</v>
      </c>
      <c r="J15" s="9"/>
      <c r="K15" s="9"/>
      <c r="L15" s="9" t="s">
        <v>451</v>
      </c>
      <c r="M15" s="9"/>
      <c r="N15" s="9"/>
      <c r="O15" s="41"/>
      <c r="P15" s="52"/>
      <c r="Q15" s="84"/>
      <c r="R15" s="85"/>
    </row>
    <row r="16" spans="1:18" s="11" customFormat="1" x14ac:dyDescent="0.2">
      <c r="A16" s="9">
        <v>10</v>
      </c>
      <c r="B16" s="9"/>
      <c r="C16" s="9"/>
      <c r="D16" s="9" t="s">
        <v>24</v>
      </c>
      <c r="E16" s="50" t="s">
        <v>25</v>
      </c>
      <c r="F16" s="50"/>
      <c r="G16" s="51" t="s">
        <v>605</v>
      </c>
      <c r="H16" s="51" t="s">
        <v>417</v>
      </c>
      <c r="I16" s="9" t="s">
        <v>403</v>
      </c>
      <c r="J16" s="9"/>
      <c r="K16" s="9"/>
      <c r="L16" s="9"/>
      <c r="M16" s="9"/>
      <c r="N16" s="9"/>
      <c r="O16" s="41"/>
      <c r="P16" s="52"/>
      <c r="Q16" s="84"/>
      <c r="R16" s="85"/>
    </row>
    <row r="17" spans="1:18" s="11" customFormat="1" x14ac:dyDescent="0.2">
      <c r="A17" s="9">
        <v>10</v>
      </c>
      <c r="B17" s="9"/>
      <c r="C17" s="9"/>
      <c r="D17" s="9" t="s">
        <v>28</v>
      </c>
      <c r="E17" s="50" t="s">
        <v>29</v>
      </c>
      <c r="F17" s="50"/>
      <c r="G17" s="51" t="s">
        <v>606</v>
      </c>
      <c r="H17" s="51" t="s">
        <v>418</v>
      </c>
      <c r="I17" s="9" t="s">
        <v>403</v>
      </c>
      <c r="J17" s="9"/>
      <c r="K17" s="9"/>
      <c r="L17" s="9"/>
      <c r="M17" s="9"/>
      <c r="N17" s="9"/>
      <c r="O17" s="41"/>
      <c r="P17" s="52"/>
      <c r="Q17" s="84"/>
      <c r="R17" s="85"/>
    </row>
    <row r="18" spans="1:18" s="11" customFormat="1" x14ac:dyDescent="0.2">
      <c r="A18" s="9">
        <v>10</v>
      </c>
      <c r="B18" s="9"/>
      <c r="C18" s="9"/>
      <c r="D18" s="9" t="s">
        <v>26</v>
      </c>
      <c r="E18" s="50" t="s">
        <v>27</v>
      </c>
      <c r="F18" s="50"/>
      <c r="G18" s="51" t="s">
        <v>607</v>
      </c>
      <c r="H18" s="51" t="s">
        <v>419</v>
      </c>
      <c r="I18" s="9" t="s">
        <v>403</v>
      </c>
      <c r="J18" s="9"/>
      <c r="K18" s="9"/>
      <c r="L18" s="9"/>
      <c r="M18" s="9"/>
      <c r="N18" s="9"/>
      <c r="O18" s="41"/>
      <c r="P18" s="52"/>
      <c r="Q18" s="84"/>
      <c r="R18" s="85"/>
    </row>
    <row r="19" spans="1:18" s="11" customFormat="1" x14ac:dyDescent="0.2">
      <c r="A19" s="9">
        <v>10</v>
      </c>
      <c r="B19" s="9"/>
      <c r="C19" s="9"/>
      <c r="D19" s="9" t="s">
        <v>35</v>
      </c>
      <c r="E19" s="50" t="s">
        <v>30</v>
      </c>
      <c r="F19" s="50"/>
      <c r="G19" s="51" t="s">
        <v>608</v>
      </c>
      <c r="H19" s="51" t="s">
        <v>420</v>
      </c>
      <c r="I19" s="9" t="s">
        <v>403</v>
      </c>
      <c r="J19" s="9"/>
      <c r="K19" s="9"/>
      <c r="L19" s="9"/>
      <c r="M19" s="9"/>
      <c r="N19" s="9"/>
      <c r="O19" s="41"/>
      <c r="P19" s="52"/>
      <c r="Q19" s="84"/>
      <c r="R19" s="85"/>
    </row>
    <row r="20" spans="1:18" s="11" customFormat="1" x14ac:dyDescent="0.2">
      <c r="A20" s="9">
        <v>10</v>
      </c>
      <c r="B20" s="9"/>
      <c r="C20" s="9"/>
      <c r="D20" s="9" t="s">
        <v>36</v>
      </c>
      <c r="E20" s="50" t="s">
        <v>37</v>
      </c>
      <c r="F20" s="50"/>
      <c r="G20" s="51" t="s">
        <v>609</v>
      </c>
      <c r="H20" s="51" t="s">
        <v>421</v>
      </c>
      <c r="I20" s="9" t="s">
        <v>403</v>
      </c>
      <c r="J20" s="9"/>
      <c r="K20" s="9"/>
      <c r="L20" s="9"/>
      <c r="M20" s="9"/>
      <c r="N20" s="9"/>
      <c r="O20" s="41"/>
      <c r="P20" s="52"/>
      <c r="Q20" s="84"/>
      <c r="R20" s="85"/>
    </row>
    <row r="21" spans="1:18" s="11" customFormat="1" x14ac:dyDescent="0.2">
      <c r="A21" s="53"/>
      <c r="B21" s="54"/>
      <c r="C21" s="54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4"/>
      <c r="P21" s="4"/>
      <c r="Q21" s="6"/>
      <c r="R21" s="23"/>
    </row>
    <row r="22" spans="1:18" s="11" customFormat="1" x14ac:dyDescent="0.2">
      <c r="A22" s="65"/>
      <c r="R22" s="55"/>
    </row>
    <row r="23" spans="1:18" s="11" customFormat="1" x14ac:dyDescent="0.2">
      <c r="A23" s="65"/>
      <c r="R23" s="55"/>
    </row>
    <row r="24" spans="1:18" s="11" customFormat="1" x14ac:dyDescent="0.2">
      <c r="A24" s="65"/>
      <c r="R24" s="55"/>
    </row>
    <row r="25" spans="1:18" s="11" customFormat="1" x14ac:dyDescent="0.2">
      <c r="A25" s="70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20"/>
    </row>
  </sheetData>
  <dataConsolidate/>
  <mergeCells count="9">
    <mergeCell ref="Q17:R17"/>
    <mergeCell ref="Q18:R18"/>
    <mergeCell ref="Q19:R19"/>
    <mergeCell ref="Q20:R20"/>
    <mergeCell ref="Q12:R12"/>
    <mergeCell ref="Q13:R13"/>
    <mergeCell ref="Q14:R14"/>
    <mergeCell ref="Q15:R15"/>
    <mergeCell ref="Q16:R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53">
    <pageSetUpPr fitToPage="1"/>
  </sheetPr>
  <dimension ref="A1:V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180</v>
      </c>
      <c r="K2" s="7" t="s">
        <v>21</v>
      </c>
      <c r="L2" s="64" t="str">
        <f>IF(LogicCommon!G2="","",LogicCommon!G2)</f>
        <v>MC</v>
      </c>
      <c r="M2" s="5" t="s">
        <v>124</v>
      </c>
      <c r="N2" s="28" t="s">
        <v>545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129</v>
      </c>
      <c r="K3" s="7" t="s">
        <v>22</v>
      </c>
      <c r="L3" s="64" t="str">
        <f>IF(LogicCommon!G3="","",LogicCommon!G3)</f>
        <v/>
      </c>
      <c r="M3" s="68" t="s">
        <v>126</v>
      </c>
      <c r="N3" s="7"/>
      <c r="O3" s="7" t="s">
        <v>193</v>
      </c>
      <c r="P3" s="9" t="s">
        <v>194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31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140</v>
      </c>
      <c r="B6" s="66"/>
      <c r="C6" s="66"/>
      <c r="D6" s="4" t="s">
        <v>5</v>
      </c>
      <c r="E6" s="16" t="s">
        <v>360</v>
      </c>
      <c r="F6" s="16"/>
      <c r="G6" s="16"/>
      <c r="H6" s="16"/>
      <c r="I6" s="16"/>
      <c r="J6" s="16"/>
      <c r="K6" s="16"/>
      <c r="L6" s="72" t="s">
        <v>169</v>
      </c>
      <c r="M6" s="19"/>
      <c r="N6" s="19" t="s">
        <v>169</v>
      </c>
      <c r="O6" s="19"/>
      <c r="P6" s="19" t="s">
        <v>169</v>
      </c>
      <c r="Q6" s="19"/>
      <c r="R6" s="3" t="s">
        <v>169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130</v>
      </c>
      <c r="L7" s="32" t="s">
        <v>131</v>
      </c>
      <c r="M7" s="33" t="s">
        <v>33</v>
      </c>
      <c r="N7" s="32" t="s">
        <v>132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33" t="s">
        <v>134</v>
      </c>
      <c r="L8" s="9" t="s">
        <v>557</v>
      </c>
      <c r="M8" s="33" t="s">
        <v>34</v>
      </c>
      <c r="N8" s="9" t="s">
        <v>557</v>
      </c>
      <c r="O8" s="33" t="s">
        <v>34</v>
      </c>
      <c r="P8" s="9"/>
      <c r="Q8" s="33" t="s">
        <v>34</v>
      </c>
      <c r="R8" s="9"/>
      <c r="S8" s="79"/>
      <c r="T8" s="80"/>
      <c r="U8" s="81" t="s">
        <v>586</v>
      </c>
      <c r="V8" s="52"/>
    </row>
    <row r="9" spans="1:22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33"/>
      <c r="O9" s="33"/>
      <c r="P9" s="33"/>
      <c r="Q9" s="33"/>
      <c r="R9" s="33"/>
      <c r="S9" s="81" t="s">
        <v>594</v>
      </c>
      <c r="T9" s="52"/>
      <c r="U9" s="81" t="s">
        <v>595</v>
      </c>
      <c r="V9" s="52"/>
    </row>
    <row r="10" spans="1:22" s="11" customFormat="1" ht="52" x14ac:dyDescent="0.2">
      <c r="A10" s="39" t="s">
        <v>135</v>
      </c>
      <c r="B10" s="40"/>
      <c r="C10" s="40"/>
      <c r="D10" s="41"/>
      <c r="E10" s="42"/>
      <c r="F10" s="42"/>
      <c r="G10" s="43"/>
      <c r="H10" s="43"/>
      <c r="I10" s="42"/>
      <c r="J10" s="42"/>
      <c r="K10" s="76" t="s">
        <v>592</v>
      </c>
      <c r="L10" s="76" t="s">
        <v>593</v>
      </c>
      <c r="M10" s="76" t="s">
        <v>592</v>
      </c>
      <c r="N10" s="76" t="s">
        <v>593</v>
      </c>
      <c r="O10" s="76" t="s">
        <v>592</v>
      </c>
      <c r="P10" s="76" t="s">
        <v>593</v>
      </c>
      <c r="Q10" s="76" t="s">
        <v>592</v>
      </c>
      <c r="R10" s="76" t="s">
        <v>593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181</v>
      </c>
      <c r="E11" s="34" t="s">
        <v>136</v>
      </c>
      <c r="F11" s="44"/>
      <c r="G11" s="28" t="s">
        <v>137</v>
      </c>
      <c r="H11" s="45" t="s">
        <v>452</v>
      </c>
      <c r="I11" s="46"/>
      <c r="J11" s="47"/>
      <c r="K11" s="48" t="s">
        <v>122</v>
      </c>
      <c r="L11" s="48"/>
      <c r="M11" s="48" t="s">
        <v>423</v>
      </c>
      <c r="N11" s="48"/>
      <c r="O11" s="48"/>
      <c r="P11" s="48"/>
      <c r="Q11" s="48"/>
      <c r="R11" s="48"/>
      <c r="S11" s="35"/>
      <c r="T11" s="36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59</v>
      </c>
      <c r="E12" s="50" t="s">
        <v>102</v>
      </c>
      <c r="F12" s="50"/>
      <c r="G12" s="51" t="s">
        <v>620</v>
      </c>
      <c r="H12" s="51" t="s">
        <v>446</v>
      </c>
      <c r="I12" s="9" t="s">
        <v>403</v>
      </c>
      <c r="J12" s="9"/>
      <c r="K12" s="9" t="s">
        <v>404</v>
      </c>
      <c r="L12" s="9"/>
      <c r="M12" s="9" t="s">
        <v>404</v>
      </c>
      <c r="N12" s="9"/>
      <c r="O12" s="9"/>
      <c r="P12" s="9"/>
      <c r="Q12" s="9"/>
      <c r="R12" s="9"/>
      <c r="S12" s="41"/>
      <c r="T12" s="52"/>
      <c r="U12" s="84"/>
      <c r="V12" s="85"/>
    </row>
    <row r="13" spans="1:22" s="11" customFormat="1" x14ac:dyDescent="0.2">
      <c r="A13" s="9">
        <v>10</v>
      </c>
      <c r="B13" s="9"/>
      <c r="C13" s="9"/>
      <c r="D13" s="9" t="s">
        <v>60</v>
      </c>
      <c r="E13" s="50" t="s">
        <v>103</v>
      </c>
      <c r="F13" s="50"/>
      <c r="G13" s="51" t="s">
        <v>621</v>
      </c>
      <c r="H13" s="51" t="s">
        <v>447</v>
      </c>
      <c r="I13" s="9" t="s">
        <v>403</v>
      </c>
      <c r="J13" s="9"/>
      <c r="K13" s="9" t="s">
        <v>404</v>
      </c>
      <c r="L13" s="9"/>
      <c r="M13" s="9" t="s">
        <v>404</v>
      </c>
      <c r="N13" s="9"/>
      <c r="O13" s="9"/>
      <c r="P13" s="9"/>
      <c r="Q13" s="9"/>
      <c r="R13" s="9"/>
      <c r="S13" s="41"/>
      <c r="T13" s="52"/>
      <c r="U13" s="84"/>
      <c r="V13" s="85"/>
    </row>
    <row r="14" spans="1:22" s="11" customFormat="1" x14ac:dyDescent="0.2">
      <c r="A14" s="9">
        <v>10</v>
      </c>
      <c r="B14" s="9"/>
      <c r="C14" s="9"/>
      <c r="D14" s="9" t="s">
        <v>61</v>
      </c>
      <c r="E14" s="50" t="s">
        <v>104</v>
      </c>
      <c r="F14" s="50"/>
      <c r="G14" s="51" t="s">
        <v>622</v>
      </c>
      <c r="H14" s="51" t="s">
        <v>448</v>
      </c>
      <c r="I14" s="9" t="s">
        <v>403</v>
      </c>
      <c r="J14" s="9"/>
      <c r="K14" s="9" t="s">
        <v>404</v>
      </c>
      <c r="L14" s="9"/>
      <c r="M14" s="9" t="s">
        <v>404</v>
      </c>
      <c r="N14" s="9"/>
      <c r="O14" s="9"/>
      <c r="P14" s="9"/>
      <c r="Q14" s="9"/>
      <c r="R14" s="9"/>
      <c r="S14" s="41"/>
      <c r="T14" s="52"/>
      <c r="U14" s="84"/>
      <c r="V14" s="85"/>
    </row>
    <row r="15" spans="1:22" s="11" customFormat="1" x14ac:dyDescent="0.2">
      <c r="A15" s="9">
        <v>10</v>
      </c>
      <c r="B15" s="9"/>
      <c r="C15" s="9"/>
      <c r="D15" s="9" t="s">
        <v>62</v>
      </c>
      <c r="E15" s="50" t="s">
        <v>105</v>
      </c>
      <c r="F15" s="50"/>
      <c r="G15" s="51" t="s">
        <v>623</v>
      </c>
      <c r="H15" s="51" t="s">
        <v>450</v>
      </c>
      <c r="I15" s="9" t="s">
        <v>403</v>
      </c>
      <c r="J15" s="9"/>
      <c r="K15" s="9" t="s">
        <v>404</v>
      </c>
      <c r="L15" s="9"/>
      <c r="M15" s="9" t="s">
        <v>404</v>
      </c>
      <c r="N15" s="9"/>
      <c r="O15" s="9"/>
      <c r="P15" s="9"/>
      <c r="Q15" s="9"/>
      <c r="R15" s="9"/>
      <c r="S15" s="41"/>
      <c r="T15" s="52"/>
      <c r="U15" s="84"/>
      <c r="V15" s="85"/>
    </row>
    <row r="16" spans="1:22" s="11" customFormat="1" x14ac:dyDescent="0.2">
      <c r="A16" s="9">
        <v>10</v>
      </c>
      <c r="B16" s="9"/>
      <c r="C16" s="9"/>
      <c r="D16" s="9" t="s">
        <v>24</v>
      </c>
      <c r="E16" s="50" t="s">
        <v>25</v>
      </c>
      <c r="F16" s="50"/>
      <c r="G16" s="51" t="s">
        <v>605</v>
      </c>
      <c r="H16" s="51" t="s">
        <v>417</v>
      </c>
      <c r="I16" s="9" t="s">
        <v>403</v>
      </c>
      <c r="J16" s="9"/>
      <c r="K16" s="9" t="s">
        <v>404</v>
      </c>
      <c r="L16" s="9"/>
      <c r="M16" s="9" t="s">
        <v>404</v>
      </c>
      <c r="N16" s="9"/>
      <c r="O16" s="9"/>
      <c r="P16" s="9"/>
      <c r="Q16" s="9"/>
      <c r="R16" s="9"/>
      <c r="S16" s="41"/>
      <c r="T16" s="52"/>
      <c r="U16" s="84"/>
      <c r="V16" s="85"/>
    </row>
    <row r="17" spans="1:22" s="11" customFormat="1" x14ac:dyDescent="0.2">
      <c r="A17" s="9">
        <v>10</v>
      </c>
      <c r="B17" s="9"/>
      <c r="C17" s="9"/>
      <c r="D17" s="9" t="s">
        <v>28</v>
      </c>
      <c r="E17" s="50" t="s">
        <v>29</v>
      </c>
      <c r="F17" s="50"/>
      <c r="G17" s="51" t="s">
        <v>606</v>
      </c>
      <c r="H17" s="51" t="s">
        <v>418</v>
      </c>
      <c r="I17" s="9" t="s">
        <v>403</v>
      </c>
      <c r="J17" s="9"/>
      <c r="K17" s="9" t="s">
        <v>404</v>
      </c>
      <c r="L17" s="9"/>
      <c r="M17" s="9" t="s">
        <v>404</v>
      </c>
      <c r="N17" s="9"/>
      <c r="O17" s="9"/>
      <c r="P17" s="9"/>
      <c r="Q17" s="9"/>
      <c r="R17" s="9"/>
      <c r="S17" s="41"/>
      <c r="T17" s="52"/>
      <c r="U17" s="84"/>
      <c r="V17" s="85"/>
    </row>
    <row r="18" spans="1:22" s="11" customFormat="1" x14ac:dyDescent="0.2">
      <c r="A18" s="9">
        <v>10</v>
      </c>
      <c r="B18" s="9"/>
      <c r="C18" s="9"/>
      <c r="D18" s="9" t="s">
        <v>26</v>
      </c>
      <c r="E18" s="50" t="s">
        <v>27</v>
      </c>
      <c r="F18" s="50"/>
      <c r="G18" s="51" t="s">
        <v>607</v>
      </c>
      <c r="H18" s="51" t="s">
        <v>419</v>
      </c>
      <c r="I18" s="9" t="s">
        <v>403</v>
      </c>
      <c r="J18" s="9"/>
      <c r="K18" s="9" t="s">
        <v>404</v>
      </c>
      <c r="L18" s="9"/>
      <c r="M18" s="9" t="s">
        <v>404</v>
      </c>
      <c r="N18" s="9"/>
      <c r="O18" s="9"/>
      <c r="P18" s="9"/>
      <c r="Q18" s="9"/>
      <c r="R18" s="9"/>
      <c r="S18" s="41"/>
      <c r="T18" s="52"/>
      <c r="U18" s="84"/>
      <c r="V18" s="85"/>
    </row>
    <row r="19" spans="1:22" s="11" customFormat="1" x14ac:dyDescent="0.2">
      <c r="A19" s="9">
        <v>10</v>
      </c>
      <c r="B19" s="9"/>
      <c r="C19" s="9"/>
      <c r="D19" s="9" t="s">
        <v>35</v>
      </c>
      <c r="E19" s="50" t="s">
        <v>30</v>
      </c>
      <c r="F19" s="50"/>
      <c r="G19" s="51" t="s">
        <v>608</v>
      </c>
      <c r="H19" s="51" t="s">
        <v>420</v>
      </c>
      <c r="I19" s="9" t="s">
        <v>403</v>
      </c>
      <c r="J19" s="9"/>
      <c r="K19" s="9" t="s">
        <v>404</v>
      </c>
      <c r="L19" s="9"/>
      <c r="M19" s="9" t="s">
        <v>404</v>
      </c>
      <c r="N19" s="9"/>
      <c r="O19" s="9"/>
      <c r="P19" s="9"/>
      <c r="Q19" s="9"/>
      <c r="R19" s="9"/>
      <c r="S19" s="41"/>
      <c r="T19" s="52"/>
      <c r="U19" s="84"/>
      <c r="V19" s="85"/>
    </row>
    <row r="20" spans="1:22" s="11" customFormat="1" x14ac:dyDescent="0.2">
      <c r="A20" s="9">
        <v>10</v>
      </c>
      <c r="B20" s="9"/>
      <c r="C20" s="9"/>
      <c r="D20" s="9" t="s">
        <v>36</v>
      </c>
      <c r="E20" s="50" t="s">
        <v>37</v>
      </c>
      <c r="F20" s="50"/>
      <c r="G20" s="51" t="s">
        <v>609</v>
      </c>
      <c r="H20" s="51" t="s">
        <v>421</v>
      </c>
      <c r="I20" s="9" t="s">
        <v>403</v>
      </c>
      <c r="J20" s="9"/>
      <c r="K20" s="9" t="s">
        <v>404</v>
      </c>
      <c r="L20" s="9"/>
      <c r="M20" s="9" t="s">
        <v>404</v>
      </c>
      <c r="N20" s="9"/>
      <c r="O20" s="9"/>
      <c r="P20" s="9"/>
      <c r="Q20" s="9"/>
      <c r="R20" s="9"/>
      <c r="S20" s="41"/>
      <c r="T20" s="52"/>
      <c r="U20" s="84"/>
      <c r="V20" s="85"/>
    </row>
    <row r="21" spans="1:22" s="11" customFormat="1" x14ac:dyDescent="0.2">
      <c r="A21" s="53"/>
      <c r="B21" s="54"/>
      <c r="C21" s="54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4"/>
      <c r="T21" s="4"/>
      <c r="U21" s="6"/>
      <c r="V21" s="23"/>
    </row>
    <row r="22" spans="1:22" s="11" customFormat="1" x14ac:dyDescent="0.2">
      <c r="A22" s="65"/>
      <c r="V22" s="55"/>
    </row>
    <row r="23" spans="1:22" s="11" customFormat="1" x14ac:dyDescent="0.2">
      <c r="A23" s="65"/>
      <c r="V23" s="55"/>
    </row>
    <row r="24" spans="1:22" s="11" customFormat="1" x14ac:dyDescent="0.2">
      <c r="A24" s="65"/>
      <c r="V24" s="55"/>
    </row>
    <row r="25" spans="1:22" s="11" customFormat="1" x14ac:dyDescent="0.2">
      <c r="A25" s="70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20"/>
    </row>
  </sheetData>
  <dataConsolidate/>
  <mergeCells count="9">
    <mergeCell ref="U17:V17"/>
    <mergeCell ref="U18:V18"/>
    <mergeCell ref="U19:V19"/>
    <mergeCell ref="U20:V20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54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182</v>
      </c>
      <c r="K2" s="7" t="s">
        <v>21</v>
      </c>
      <c r="L2" s="64" t="str">
        <f>IF(LogicCommon!G2="","",LogicCommon!G2)</f>
        <v>MC</v>
      </c>
      <c r="M2" s="5" t="s">
        <v>124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125</v>
      </c>
      <c r="K3" s="7" t="s">
        <v>22</v>
      </c>
      <c r="L3" s="64" t="str">
        <f>IF(LogicCommon!G3="","",LogicCommon!G3)</f>
        <v/>
      </c>
      <c r="M3" s="68" t="s">
        <v>126</v>
      </c>
      <c r="N3" s="7"/>
      <c r="O3" s="7" t="s">
        <v>193</v>
      </c>
      <c r="P3" s="9" t="s">
        <v>194</v>
      </c>
      <c r="Q3" s="4"/>
    </row>
    <row r="4" spans="1:17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127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140</v>
      </c>
      <c r="B6" s="66"/>
      <c r="C6" s="66"/>
      <c r="D6" s="4" t="s">
        <v>5</v>
      </c>
      <c r="E6" s="16" t="s">
        <v>361</v>
      </c>
      <c r="F6" s="16"/>
      <c r="G6" s="16"/>
      <c r="H6" s="16"/>
      <c r="I6" s="16"/>
      <c r="J6" s="16"/>
      <c r="K6" s="16"/>
      <c r="L6" s="72"/>
      <c r="M6" s="19" t="s">
        <v>169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128</v>
      </c>
      <c r="L7" s="33" t="s">
        <v>33</v>
      </c>
      <c r="M7" s="32" t="s">
        <v>245</v>
      </c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9" t="s">
        <v>139</v>
      </c>
      <c r="L8" s="33" t="s">
        <v>34</v>
      </c>
      <c r="M8" s="9" t="s">
        <v>558</v>
      </c>
      <c r="N8" s="79"/>
      <c r="O8" s="80"/>
      <c r="P8" s="81" t="s">
        <v>586</v>
      </c>
      <c r="Q8" s="52"/>
    </row>
    <row r="9" spans="1:17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81" t="s">
        <v>594</v>
      </c>
      <c r="O9" s="52"/>
      <c r="P9" s="81" t="s">
        <v>595</v>
      </c>
      <c r="Q9" s="52"/>
    </row>
    <row r="10" spans="1:17" s="11" customFormat="1" ht="52" x14ac:dyDescent="0.2">
      <c r="A10" s="39" t="s">
        <v>135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76" t="s">
        <v>592</v>
      </c>
      <c r="M10" s="76" t="s">
        <v>593</v>
      </c>
      <c r="N10" s="42"/>
      <c r="O10" s="42"/>
      <c r="P10" s="43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183</v>
      </c>
      <c r="E11" s="34" t="s">
        <v>32</v>
      </c>
      <c r="F11" s="44"/>
      <c r="G11" s="28" t="s">
        <v>248</v>
      </c>
      <c r="H11" s="45" t="s">
        <v>453</v>
      </c>
      <c r="I11" s="46"/>
      <c r="J11" s="47"/>
      <c r="K11" s="48"/>
      <c r="L11" s="48" t="s">
        <v>423</v>
      </c>
      <c r="M11" s="48"/>
      <c r="N11" s="35"/>
      <c r="O11" s="36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59</v>
      </c>
      <c r="E12" s="50" t="s">
        <v>102</v>
      </c>
      <c r="F12" s="50"/>
      <c r="G12" s="51" t="s">
        <v>620</v>
      </c>
      <c r="H12" s="51" t="s">
        <v>446</v>
      </c>
      <c r="I12" s="9" t="s">
        <v>403</v>
      </c>
      <c r="J12" s="9"/>
      <c r="K12" s="9" t="s">
        <v>404</v>
      </c>
      <c r="L12" s="9" t="s">
        <v>404</v>
      </c>
      <c r="M12" s="9"/>
      <c r="N12" s="41"/>
      <c r="O12" s="52"/>
      <c r="P12" s="84"/>
      <c r="Q12" s="85"/>
    </row>
    <row r="13" spans="1:17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610</v>
      </c>
      <c r="H13" s="51" t="s">
        <v>425</v>
      </c>
      <c r="I13" s="9" t="s">
        <v>403</v>
      </c>
      <c r="J13" s="9"/>
      <c r="K13" s="9" t="s">
        <v>404</v>
      </c>
      <c r="L13" s="9"/>
      <c r="M13" s="9"/>
      <c r="N13" s="41"/>
      <c r="O13" s="52"/>
      <c r="P13" s="84"/>
      <c r="Q13" s="85"/>
    </row>
    <row r="14" spans="1:17" s="11" customFormat="1" x14ac:dyDescent="0.2">
      <c r="A14" s="9">
        <v>10</v>
      </c>
      <c r="B14" s="9"/>
      <c r="C14" s="9"/>
      <c r="D14" s="9" t="s">
        <v>60</v>
      </c>
      <c r="E14" s="50" t="s">
        <v>103</v>
      </c>
      <c r="F14" s="50"/>
      <c r="G14" s="51" t="s">
        <v>624</v>
      </c>
      <c r="H14" s="51" t="s">
        <v>454</v>
      </c>
      <c r="I14" s="9" t="s">
        <v>403</v>
      </c>
      <c r="J14" s="9"/>
      <c r="K14" s="9" t="s">
        <v>404</v>
      </c>
      <c r="L14" s="9"/>
      <c r="M14" s="9"/>
      <c r="N14" s="41"/>
      <c r="O14" s="52"/>
      <c r="P14" s="84"/>
      <c r="Q14" s="85"/>
    </row>
    <row r="15" spans="1:17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605</v>
      </c>
      <c r="H15" s="51" t="s">
        <v>417</v>
      </c>
      <c r="I15" s="9" t="s">
        <v>403</v>
      </c>
      <c r="J15" s="9"/>
      <c r="K15" s="9"/>
      <c r="L15" s="9"/>
      <c r="M15" s="9"/>
      <c r="N15" s="41"/>
      <c r="O15" s="52"/>
      <c r="P15" s="84"/>
      <c r="Q15" s="85"/>
    </row>
    <row r="16" spans="1:17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606</v>
      </c>
      <c r="H16" s="51" t="s">
        <v>418</v>
      </c>
      <c r="I16" s="9" t="s">
        <v>403</v>
      </c>
      <c r="J16" s="9"/>
      <c r="K16" s="9"/>
      <c r="L16" s="9"/>
      <c r="M16" s="9"/>
      <c r="N16" s="41"/>
      <c r="O16" s="52"/>
      <c r="P16" s="84"/>
      <c r="Q16" s="85"/>
    </row>
    <row r="17" spans="1:17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607</v>
      </c>
      <c r="H17" s="51" t="s">
        <v>419</v>
      </c>
      <c r="I17" s="9" t="s">
        <v>403</v>
      </c>
      <c r="J17" s="9"/>
      <c r="K17" s="9"/>
      <c r="L17" s="9"/>
      <c r="M17" s="9"/>
      <c r="N17" s="41"/>
      <c r="O17" s="52"/>
      <c r="P17" s="84"/>
      <c r="Q17" s="85"/>
    </row>
    <row r="18" spans="1:17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609</v>
      </c>
      <c r="H18" s="51" t="s">
        <v>421</v>
      </c>
      <c r="I18" s="9" t="s">
        <v>403</v>
      </c>
      <c r="J18" s="9"/>
      <c r="K18" s="9"/>
      <c r="L18" s="9"/>
      <c r="M18" s="9"/>
      <c r="N18" s="41"/>
      <c r="O18" s="52"/>
      <c r="P18" s="84"/>
      <c r="Q18" s="85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55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184</v>
      </c>
      <c r="K2" s="7" t="s">
        <v>21</v>
      </c>
      <c r="L2" s="64" t="str">
        <f>IF(LogicCommon!G2="","",LogicCommon!G2)</f>
        <v>MC</v>
      </c>
      <c r="M2" s="5" t="s">
        <v>124</v>
      </c>
      <c r="N2" s="28" t="s">
        <v>545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129</v>
      </c>
      <c r="K3" s="7" t="s">
        <v>22</v>
      </c>
      <c r="L3" s="64" t="str">
        <f>IF(LogicCommon!G3="","",LogicCommon!G3)</f>
        <v/>
      </c>
      <c r="M3" s="68" t="s">
        <v>126</v>
      </c>
      <c r="N3" s="7"/>
      <c r="O3" s="7" t="s">
        <v>193</v>
      </c>
      <c r="P3" s="9" t="s">
        <v>194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31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140</v>
      </c>
      <c r="B6" s="66"/>
      <c r="C6" s="66"/>
      <c r="D6" s="4" t="s">
        <v>5</v>
      </c>
      <c r="E6" s="16" t="s">
        <v>362</v>
      </c>
      <c r="F6" s="16"/>
      <c r="G6" s="16"/>
      <c r="H6" s="16"/>
      <c r="I6" s="16"/>
      <c r="J6" s="16"/>
      <c r="K6" s="16"/>
      <c r="L6" s="72" t="s">
        <v>169</v>
      </c>
      <c r="M6" s="19"/>
      <c r="N6" s="19" t="s">
        <v>169</v>
      </c>
      <c r="O6" s="19"/>
      <c r="P6" s="19" t="s">
        <v>169</v>
      </c>
      <c r="Q6" s="19"/>
      <c r="R6" s="3" t="s">
        <v>169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130</v>
      </c>
      <c r="L7" s="32" t="s">
        <v>131</v>
      </c>
      <c r="M7" s="33" t="s">
        <v>33</v>
      </c>
      <c r="N7" s="32" t="s">
        <v>132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33" t="s">
        <v>134</v>
      </c>
      <c r="L8" s="9" t="s">
        <v>186</v>
      </c>
      <c r="M8" s="33" t="s">
        <v>34</v>
      </c>
      <c r="N8" s="9" t="s">
        <v>186</v>
      </c>
      <c r="O8" s="33" t="s">
        <v>34</v>
      </c>
      <c r="P8" s="9"/>
      <c r="Q8" s="33" t="s">
        <v>34</v>
      </c>
      <c r="R8" s="9"/>
      <c r="S8" s="79"/>
      <c r="T8" s="80"/>
      <c r="U8" s="81" t="s">
        <v>586</v>
      </c>
      <c r="V8" s="52"/>
    </row>
    <row r="9" spans="1:22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33"/>
      <c r="O9" s="33"/>
      <c r="P9" s="33"/>
      <c r="Q9" s="33"/>
      <c r="R9" s="33"/>
      <c r="S9" s="81" t="s">
        <v>594</v>
      </c>
      <c r="T9" s="52"/>
      <c r="U9" s="81" t="s">
        <v>595</v>
      </c>
      <c r="V9" s="52"/>
    </row>
    <row r="10" spans="1:22" s="11" customFormat="1" ht="52" x14ac:dyDescent="0.2">
      <c r="A10" s="39" t="s">
        <v>135</v>
      </c>
      <c r="B10" s="40"/>
      <c r="C10" s="40"/>
      <c r="D10" s="41"/>
      <c r="E10" s="42"/>
      <c r="F10" s="42"/>
      <c r="G10" s="43"/>
      <c r="H10" s="43"/>
      <c r="I10" s="42"/>
      <c r="J10" s="42"/>
      <c r="K10" s="76" t="s">
        <v>592</v>
      </c>
      <c r="L10" s="76" t="s">
        <v>593</v>
      </c>
      <c r="M10" s="76" t="s">
        <v>592</v>
      </c>
      <c r="N10" s="76" t="s">
        <v>593</v>
      </c>
      <c r="O10" s="76" t="s">
        <v>592</v>
      </c>
      <c r="P10" s="76" t="s">
        <v>593</v>
      </c>
      <c r="Q10" s="76" t="s">
        <v>592</v>
      </c>
      <c r="R10" s="76" t="s">
        <v>593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185</v>
      </c>
      <c r="E11" s="34" t="s">
        <v>136</v>
      </c>
      <c r="F11" s="44"/>
      <c r="G11" s="28" t="s">
        <v>137</v>
      </c>
      <c r="H11" s="45" t="s">
        <v>455</v>
      </c>
      <c r="I11" s="46"/>
      <c r="J11" s="47"/>
      <c r="K11" s="48" t="s">
        <v>122</v>
      </c>
      <c r="L11" s="48"/>
      <c r="M11" s="48" t="s">
        <v>423</v>
      </c>
      <c r="N11" s="48"/>
      <c r="O11" s="48"/>
      <c r="P11" s="48"/>
      <c r="Q11" s="48"/>
      <c r="R11" s="48"/>
      <c r="S11" s="35"/>
      <c r="T11" s="36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59</v>
      </c>
      <c r="E12" s="50" t="s">
        <v>102</v>
      </c>
      <c r="F12" s="50"/>
      <c r="G12" s="51" t="s">
        <v>620</v>
      </c>
      <c r="H12" s="51" t="s">
        <v>446</v>
      </c>
      <c r="I12" s="9" t="s">
        <v>403</v>
      </c>
      <c r="J12" s="9"/>
      <c r="K12" s="9" t="s">
        <v>404</v>
      </c>
      <c r="L12" s="9"/>
      <c r="M12" s="9" t="s">
        <v>404</v>
      </c>
      <c r="N12" s="9"/>
      <c r="O12" s="9"/>
      <c r="P12" s="9"/>
      <c r="Q12" s="9"/>
      <c r="R12" s="9"/>
      <c r="S12" s="41"/>
      <c r="T12" s="52"/>
      <c r="U12" s="84"/>
      <c r="V12" s="85"/>
    </row>
    <row r="13" spans="1:22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610</v>
      </c>
      <c r="H13" s="51" t="s">
        <v>425</v>
      </c>
      <c r="I13" s="9" t="s">
        <v>403</v>
      </c>
      <c r="J13" s="9"/>
      <c r="K13" s="9" t="s">
        <v>404</v>
      </c>
      <c r="L13" s="9"/>
      <c r="M13" s="9" t="s">
        <v>404</v>
      </c>
      <c r="N13" s="9"/>
      <c r="O13" s="9"/>
      <c r="P13" s="9"/>
      <c r="Q13" s="9"/>
      <c r="R13" s="9"/>
      <c r="S13" s="41"/>
      <c r="T13" s="52"/>
      <c r="U13" s="84"/>
      <c r="V13" s="85"/>
    </row>
    <row r="14" spans="1:22" s="11" customFormat="1" x14ac:dyDescent="0.2">
      <c r="A14" s="9">
        <v>10</v>
      </c>
      <c r="B14" s="9"/>
      <c r="C14" s="9"/>
      <c r="D14" s="9" t="s">
        <v>60</v>
      </c>
      <c r="E14" s="50" t="s">
        <v>103</v>
      </c>
      <c r="F14" s="50"/>
      <c r="G14" s="51" t="s">
        <v>624</v>
      </c>
      <c r="H14" s="51" t="s">
        <v>454</v>
      </c>
      <c r="I14" s="9" t="s">
        <v>403</v>
      </c>
      <c r="J14" s="9"/>
      <c r="K14" s="9" t="s">
        <v>404</v>
      </c>
      <c r="L14" s="9"/>
      <c r="M14" s="9" t="s">
        <v>404</v>
      </c>
      <c r="N14" s="9"/>
      <c r="O14" s="9"/>
      <c r="P14" s="9"/>
      <c r="Q14" s="9"/>
      <c r="R14" s="9"/>
      <c r="S14" s="41"/>
      <c r="T14" s="52"/>
      <c r="U14" s="84"/>
      <c r="V14" s="85"/>
    </row>
    <row r="15" spans="1:22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605</v>
      </c>
      <c r="H15" s="51" t="s">
        <v>417</v>
      </c>
      <c r="I15" s="9" t="s">
        <v>403</v>
      </c>
      <c r="J15" s="9"/>
      <c r="K15" s="9" t="s">
        <v>404</v>
      </c>
      <c r="L15" s="9"/>
      <c r="M15" s="9" t="s">
        <v>404</v>
      </c>
      <c r="N15" s="9"/>
      <c r="O15" s="9"/>
      <c r="P15" s="9"/>
      <c r="Q15" s="9"/>
      <c r="R15" s="9"/>
      <c r="S15" s="41"/>
      <c r="T15" s="52"/>
      <c r="U15" s="84"/>
      <c r="V15" s="85"/>
    </row>
    <row r="16" spans="1:22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606</v>
      </c>
      <c r="H16" s="51" t="s">
        <v>418</v>
      </c>
      <c r="I16" s="9" t="s">
        <v>403</v>
      </c>
      <c r="J16" s="9"/>
      <c r="K16" s="9" t="s">
        <v>404</v>
      </c>
      <c r="L16" s="9"/>
      <c r="M16" s="9" t="s">
        <v>404</v>
      </c>
      <c r="N16" s="9"/>
      <c r="O16" s="9"/>
      <c r="P16" s="9"/>
      <c r="Q16" s="9"/>
      <c r="R16" s="9"/>
      <c r="S16" s="41"/>
      <c r="T16" s="52"/>
      <c r="U16" s="84"/>
      <c r="V16" s="85"/>
    </row>
    <row r="17" spans="1:22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607</v>
      </c>
      <c r="H17" s="51" t="s">
        <v>419</v>
      </c>
      <c r="I17" s="9" t="s">
        <v>403</v>
      </c>
      <c r="J17" s="9"/>
      <c r="K17" s="9" t="s">
        <v>404</v>
      </c>
      <c r="L17" s="9"/>
      <c r="M17" s="9" t="s">
        <v>404</v>
      </c>
      <c r="N17" s="9"/>
      <c r="O17" s="9"/>
      <c r="P17" s="9"/>
      <c r="Q17" s="9"/>
      <c r="R17" s="9"/>
      <c r="S17" s="41"/>
      <c r="T17" s="52"/>
      <c r="U17" s="84"/>
      <c r="V17" s="85"/>
    </row>
    <row r="18" spans="1:22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609</v>
      </c>
      <c r="H18" s="51" t="s">
        <v>421</v>
      </c>
      <c r="I18" s="9" t="s">
        <v>403</v>
      </c>
      <c r="J18" s="9"/>
      <c r="K18" s="9" t="s">
        <v>404</v>
      </c>
      <c r="L18" s="9"/>
      <c r="M18" s="9" t="s">
        <v>404</v>
      </c>
      <c r="N18" s="9"/>
      <c r="O18" s="9"/>
      <c r="P18" s="9"/>
      <c r="Q18" s="9"/>
      <c r="R18" s="9"/>
      <c r="S18" s="41"/>
      <c r="T18" s="52"/>
      <c r="U18" s="84"/>
      <c r="V18" s="85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303</v>
      </c>
      <c r="K2" s="7" t="s">
        <v>21</v>
      </c>
      <c r="L2" s="64" t="str">
        <f>IF(LogicCommon!G2="","",LogicCommon!G2)</f>
        <v>MC</v>
      </c>
      <c r="M2" s="5" t="s">
        <v>124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125</v>
      </c>
      <c r="K3" s="7" t="s">
        <v>22</v>
      </c>
      <c r="L3" s="64" t="str">
        <f>IF(LogicCommon!G3="","",LogicCommon!G3)</f>
        <v/>
      </c>
      <c r="M3" s="68" t="s">
        <v>277</v>
      </c>
      <c r="N3" s="7"/>
      <c r="O3" s="7" t="s">
        <v>193</v>
      </c>
      <c r="P3" s="9" t="s">
        <v>194</v>
      </c>
      <c r="Q3" s="4"/>
    </row>
    <row r="4" spans="1:17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127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140</v>
      </c>
      <c r="B6" s="66"/>
      <c r="C6" s="66"/>
      <c r="D6" s="4" t="s">
        <v>5</v>
      </c>
      <c r="E6" s="16" t="s">
        <v>363</v>
      </c>
      <c r="F6" s="16"/>
      <c r="G6" s="16"/>
      <c r="H6" s="16"/>
      <c r="I6" s="16"/>
      <c r="J6" s="16"/>
      <c r="K6" s="16"/>
      <c r="L6" s="72"/>
      <c r="M6" s="19" t="s">
        <v>169</v>
      </c>
      <c r="N6" s="19"/>
      <c r="O6" s="19"/>
      <c r="P6" s="19"/>
      <c r="Q6" s="19"/>
    </row>
    <row r="7" spans="1:17" s="11" customFormat="1" x14ac:dyDescent="0.2">
      <c r="A7" s="30" t="s">
        <v>170</v>
      </c>
      <c r="B7" s="30"/>
      <c r="C7" s="30"/>
      <c r="D7" s="31"/>
      <c r="E7" s="31"/>
      <c r="F7" s="31"/>
      <c r="G7" s="31"/>
      <c r="H7" s="31"/>
      <c r="I7" s="31" t="s">
        <v>171</v>
      </c>
      <c r="J7" s="31"/>
      <c r="K7" s="32" t="s">
        <v>275</v>
      </c>
      <c r="L7" s="33" t="s">
        <v>33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9" t="s">
        <v>290</v>
      </c>
      <c r="L8" s="33" t="s">
        <v>34</v>
      </c>
      <c r="M8" s="9"/>
      <c r="N8" s="79"/>
      <c r="O8" s="80"/>
      <c r="P8" s="81" t="s">
        <v>586</v>
      </c>
      <c r="Q8" s="52"/>
    </row>
    <row r="9" spans="1:17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81" t="s">
        <v>594</v>
      </c>
      <c r="O9" s="52"/>
      <c r="P9" s="81" t="s">
        <v>595</v>
      </c>
      <c r="Q9" s="52"/>
    </row>
    <row r="10" spans="1:17" s="11" customFormat="1" ht="52" x14ac:dyDescent="0.2">
      <c r="A10" s="39" t="s">
        <v>170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76" t="s">
        <v>592</v>
      </c>
      <c r="M10" s="76" t="s">
        <v>593</v>
      </c>
      <c r="N10" s="42"/>
      <c r="O10" s="42"/>
      <c r="P10" s="43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302</v>
      </c>
      <c r="E11" s="34" t="s">
        <v>32</v>
      </c>
      <c r="F11" s="44"/>
      <c r="G11" s="28"/>
      <c r="H11" s="45"/>
      <c r="I11" s="46"/>
      <c r="J11" s="47"/>
      <c r="K11" s="48"/>
      <c r="L11" s="48"/>
      <c r="M11" s="48"/>
      <c r="N11" s="35"/>
      <c r="O11" s="36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59</v>
      </c>
      <c r="E12" s="50" t="s">
        <v>102</v>
      </c>
      <c r="F12" s="50"/>
      <c r="G12" s="51" t="s">
        <v>620</v>
      </c>
      <c r="H12" s="51" t="s">
        <v>456</v>
      </c>
      <c r="I12" s="9" t="s">
        <v>403</v>
      </c>
      <c r="J12" s="9"/>
      <c r="K12" s="9" t="s">
        <v>404</v>
      </c>
      <c r="L12" s="9"/>
      <c r="M12" s="9"/>
      <c r="N12" s="41"/>
      <c r="O12" s="52"/>
      <c r="P12" s="84"/>
      <c r="Q12" s="85"/>
    </row>
    <row r="13" spans="1:17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609</v>
      </c>
      <c r="H13" s="51" t="s">
        <v>421</v>
      </c>
      <c r="I13" s="9" t="s">
        <v>403</v>
      </c>
      <c r="J13" s="9"/>
      <c r="K13" s="9"/>
      <c r="L13" s="9"/>
      <c r="M13" s="9"/>
      <c r="N13" s="41"/>
      <c r="O13" s="52"/>
      <c r="P13" s="84"/>
      <c r="Q13" s="85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5"/>
      <c r="Q15" s="55"/>
    </row>
    <row r="16" spans="1:17" s="11" customFormat="1" x14ac:dyDescent="0.2">
      <c r="A16" s="65"/>
      <c r="Q16" s="55"/>
    </row>
    <row r="17" spans="1:17" s="11" customFormat="1" x14ac:dyDescent="0.2">
      <c r="A17" s="65"/>
      <c r="Q17" s="55"/>
    </row>
    <row r="18" spans="1:17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V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306</v>
      </c>
      <c r="K2" s="7" t="s">
        <v>21</v>
      </c>
      <c r="L2" s="64" t="str">
        <f>IF(LogicCommon!G2="","",LogicCommon!G2)</f>
        <v>MC</v>
      </c>
      <c r="M2" s="5" t="s">
        <v>124</v>
      </c>
      <c r="N2" s="28" t="s">
        <v>546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296</v>
      </c>
      <c r="K3" s="7" t="s">
        <v>22</v>
      </c>
      <c r="L3" s="64" t="str">
        <f>IF(LogicCommon!G3="","",LogicCommon!G3)</f>
        <v/>
      </c>
      <c r="M3" s="68" t="s">
        <v>292</v>
      </c>
      <c r="N3" s="7"/>
      <c r="O3" s="7" t="s">
        <v>193</v>
      </c>
      <c r="P3" s="9" t="s">
        <v>194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285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140</v>
      </c>
      <c r="B6" s="66"/>
      <c r="C6" s="66"/>
      <c r="D6" s="4" t="s">
        <v>5</v>
      </c>
      <c r="E6" s="16" t="s">
        <v>364</v>
      </c>
      <c r="F6" s="16"/>
      <c r="G6" s="16"/>
      <c r="H6" s="16"/>
      <c r="I6" s="16"/>
      <c r="J6" s="16"/>
      <c r="K6" s="16"/>
      <c r="L6" s="72" t="s">
        <v>169</v>
      </c>
      <c r="M6" s="19"/>
      <c r="N6" s="19" t="s">
        <v>169</v>
      </c>
      <c r="O6" s="19"/>
      <c r="P6" s="19" t="s">
        <v>169</v>
      </c>
      <c r="Q6" s="19"/>
      <c r="R6" s="3" t="s">
        <v>169</v>
      </c>
      <c r="S6" s="4"/>
      <c r="T6" s="29"/>
      <c r="U6" s="29"/>
      <c r="V6" s="27"/>
    </row>
    <row r="7" spans="1:22" s="11" customFormat="1" x14ac:dyDescent="0.2">
      <c r="A7" s="30" t="s">
        <v>170</v>
      </c>
      <c r="B7" s="30"/>
      <c r="C7" s="30"/>
      <c r="D7" s="31"/>
      <c r="E7" s="31"/>
      <c r="F7" s="31"/>
      <c r="G7" s="31"/>
      <c r="H7" s="31"/>
      <c r="I7" s="31" t="s">
        <v>276</v>
      </c>
      <c r="J7" s="31"/>
      <c r="K7" s="33" t="s">
        <v>305</v>
      </c>
      <c r="L7" s="32" t="s">
        <v>284</v>
      </c>
      <c r="M7" s="33" t="s">
        <v>33</v>
      </c>
      <c r="N7" s="32" t="s">
        <v>283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33" t="s">
        <v>295</v>
      </c>
      <c r="L8" s="9" t="s">
        <v>557</v>
      </c>
      <c r="M8" s="33" t="s">
        <v>34</v>
      </c>
      <c r="N8" s="9" t="s">
        <v>186</v>
      </c>
      <c r="O8" s="33" t="s">
        <v>34</v>
      </c>
      <c r="P8" s="9"/>
      <c r="Q8" s="33" t="s">
        <v>34</v>
      </c>
      <c r="R8" s="9"/>
      <c r="S8" s="79"/>
      <c r="T8" s="80"/>
      <c r="U8" s="81" t="s">
        <v>586</v>
      </c>
      <c r="V8" s="52"/>
    </row>
    <row r="9" spans="1:22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33"/>
      <c r="O9" s="33"/>
      <c r="P9" s="33"/>
      <c r="Q9" s="33"/>
      <c r="R9" s="33"/>
      <c r="S9" s="81" t="s">
        <v>594</v>
      </c>
      <c r="T9" s="52"/>
      <c r="U9" s="81" t="s">
        <v>595</v>
      </c>
      <c r="V9" s="52"/>
    </row>
    <row r="10" spans="1:22" s="11" customFormat="1" ht="52" x14ac:dyDescent="0.2">
      <c r="A10" s="39" t="s">
        <v>170</v>
      </c>
      <c r="B10" s="40"/>
      <c r="C10" s="40"/>
      <c r="D10" s="41"/>
      <c r="E10" s="42"/>
      <c r="F10" s="42"/>
      <c r="G10" s="43"/>
      <c r="H10" s="43"/>
      <c r="I10" s="42"/>
      <c r="J10" s="42"/>
      <c r="K10" s="76" t="s">
        <v>592</v>
      </c>
      <c r="L10" s="76" t="s">
        <v>593</v>
      </c>
      <c r="M10" s="76" t="s">
        <v>592</v>
      </c>
      <c r="N10" s="76" t="s">
        <v>593</v>
      </c>
      <c r="O10" s="76" t="s">
        <v>592</v>
      </c>
      <c r="P10" s="76" t="s">
        <v>593</v>
      </c>
      <c r="Q10" s="76" t="s">
        <v>592</v>
      </c>
      <c r="R10" s="76" t="s">
        <v>593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304</v>
      </c>
      <c r="E11" s="34" t="s">
        <v>288</v>
      </c>
      <c r="F11" s="44"/>
      <c r="G11" s="28" t="s">
        <v>137</v>
      </c>
      <c r="H11" s="45" t="s">
        <v>457</v>
      </c>
      <c r="I11" s="46"/>
      <c r="J11" s="47"/>
      <c r="K11" s="48" t="s">
        <v>122</v>
      </c>
      <c r="L11" s="48"/>
      <c r="M11" s="48" t="s">
        <v>423</v>
      </c>
      <c r="N11" s="48"/>
      <c r="O11" s="48"/>
      <c r="P11" s="48"/>
      <c r="Q11" s="48"/>
      <c r="R11" s="48"/>
      <c r="S11" s="35"/>
      <c r="T11" s="36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59</v>
      </c>
      <c r="E12" s="50" t="s">
        <v>102</v>
      </c>
      <c r="F12" s="50"/>
      <c r="G12" s="51" t="s">
        <v>620</v>
      </c>
      <c r="H12" s="51" t="s">
        <v>456</v>
      </c>
      <c r="I12" s="9" t="s">
        <v>403</v>
      </c>
      <c r="J12" s="9"/>
      <c r="K12" s="9" t="s">
        <v>404</v>
      </c>
      <c r="L12" s="9"/>
      <c r="M12" s="9" t="s">
        <v>404</v>
      </c>
      <c r="N12" s="9"/>
      <c r="O12" s="9"/>
      <c r="P12" s="9"/>
      <c r="Q12" s="9"/>
      <c r="R12" s="9"/>
      <c r="S12" s="41"/>
      <c r="T12" s="52"/>
      <c r="U12" s="84"/>
      <c r="V12" s="85"/>
    </row>
    <row r="13" spans="1:22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609</v>
      </c>
      <c r="H13" s="51" t="s">
        <v>421</v>
      </c>
      <c r="I13" s="9" t="s">
        <v>403</v>
      </c>
      <c r="J13" s="9"/>
      <c r="K13" s="9" t="s">
        <v>404</v>
      </c>
      <c r="L13" s="9"/>
      <c r="M13" s="9"/>
      <c r="N13" s="9"/>
      <c r="O13" s="9"/>
      <c r="P13" s="9"/>
      <c r="Q13" s="9"/>
      <c r="R13" s="9"/>
      <c r="S13" s="41"/>
      <c r="T13" s="52"/>
      <c r="U13" s="84"/>
      <c r="V13" s="85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5"/>
      <c r="V15" s="55"/>
    </row>
    <row r="16" spans="1:22" s="11" customFormat="1" x14ac:dyDescent="0.2">
      <c r="A16" s="65"/>
      <c r="V16" s="55"/>
    </row>
    <row r="17" spans="1:22" s="11" customFormat="1" x14ac:dyDescent="0.2">
      <c r="A17" s="65"/>
      <c r="V17" s="55"/>
    </row>
    <row r="18" spans="1:22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56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187</v>
      </c>
      <c r="K2" s="7" t="s">
        <v>21</v>
      </c>
      <c r="L2" s="64" t="str">
        <f>IF(LogicCommon!G2="","",LogicCommon!G2)</f>
        <v>MC</v>
      </c>
      <c r="M2" s="5" t="s">
        <v>124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125</v>
      </c>
      <c r="K3" s="7" t="s">
        <v>22</v>
      </c>
      <c r="L3" s="64" t="str">
        <f>IF(LogicCommon!G3="","",LogicCommon!G3)</f>
        <v/>
      </c>
      <c r="M3" s="68" t="s">
        <v>126</v>
      </c>
      <c r="N3" s="7"/>
      <c r="O3" s="7" t="s">
        <v>193</v>
      </c>
      <c r="P3" s="9" t="s">
        <v>194</v>
      </c>
      <c r="Q3" s="4"/>
    </row>
    <row r="4" spans="1:17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127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140</v>
      </c>
      <c r="B6" s="66"/>
      <c r="C6" s="66"/>
      <c r="D6" s="4" t="s">
        <v>5</v>
      </c>
      <c r="E6" s="16" t="s">
        <v>365</v>
      </c>
      <c r="F6" s="16"/>
      <c r="G6" s="16"/>
      <c r="H6" s="16"/>
      <c r="I6" s="16"/>
      <c r="J6" s="16"/>
      <c r="K6" s="16"/>
      <c r="L6" s="72"/>
      <c r="M6" s="19" t="s">
        <v>169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128</v>
      </c>
      <c r="L7" s="33" t="s">
        <v>33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9" t="s">
        <v>139</v>
      </c>
      <c r="L8" s="33" t="s">
        <v>34</v>
      </c>
      <c r="M8" s="9"/>
      <c r="N8" s="79"/>
      <c r="O8" s="80"/>
      <c r="P8" s="81" t="s">
        <v>586</v>
      </c>
      <c r="Q8" s="52"/>
    </row>
    <row r="9" spans="1:17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81" t="s">
        <v>594</v>
      </c>
      <c r="O9" s="52"/>
      <c r="P9" s="81" t="s">
        <v>595</v>
      </c>
      <c r="Q9" s="52"/>
    </row>
    <row r="10" spans="1:17" s="11" customFormat="1" ht="52" x14ac:dyDescent="0.2">
      <c r="A10" s="39" t="s">
        <v>135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76" t="s">
        <v>592</v>
      </c>
      <c r="M10" s="76" t="s">
        <v>593</v>
      </c>
      <c r="N10" s="42"/>
      <c r="O10" s="42"/>
      <c r="P10" s="43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188</v>
      </c>
      <c r="E11" s="34" t="s">
        <v>32</v>
      </c>
      <c r="F11" s="44"/>
      <c r="G11" s="28" t="s">
        <v>248</v>
      </c>
      <c r="H11" s="45" t="s">
        <v>559</v>
      </c>
      <c r="I11" s="46"/>
      <c r="J11" s="47"/>
      <c r="K11" s="48"/>
      <c r="L11" s="48"/>
      <c r="M11" s="48"/>
      <c r="N11" s="35"/>
      <c r="O11" s="36"/>
      <c r="P11" s="60"/>
      <c r="Q11" s="49"/>
    </row>
    <row r="12" spans="1:17" s="11" customFormat="1" ht="26" x14ac:dyDescent="0.2">
      <c r="A12" s="9">
        <v>10</v>
      </c>
      <c r="B12" s="9"/>
      <c r="C12" s="9"/>
      <c r="D12" s="9" t="s">
        <v>63</v>
      </c>
      <c r="E12" s="50" t="s">
        <v>106</v>
      </c>
      <c r="F12" s="50"/>
      <c r="G12" s="51" t="s">
        <v>625</v>
      </c>
      <c r="H12" s="51" t="s">
        <v>458</v>
      </c>
      <c r="I12" s="9" t="s">
        <v>403</v>
      </c>
      <c r="J12" s="9"/>
      <c r="K12" s="9" t="s">
        <v>404</v>
      </c>
      <c r="L12" s="9"/>
      <c r="M12" s="9"/>
      <c r="N12" s="41"/>
      <c r="O12" s="52"/>
      <c r="P12" s="84"/>
      <c r="Q12" s="85"/>
    </row>
    <row r="13" spans="1:17" s="11" customFormat="1" ht="26" x14ac:dyDescent="0.2">
      <c r="A13" s="9">
        <v>10</v>
      </c>
      <c r="B13" s="9"/>
      <c r="C13" s="9"/>
      <c r="D13" s="9" t="s">
        <v>64</v>
      </c>
      <c r="E13" s="50" t="s">
        <v>107</v>
      </c>
      <c r="F13" s="50"/>
      <c r="G13" s="51" t="s">
        <v>626</v>
      </c>
      <c r="H13" s="51" t="s">
        <v>459</v>
      </c>
      <c r="I13" s="9" t="s">
        <v>403</v>
      </c>
      <c r="J13" s="9"/>
      <c r="K13" s="9" t="s">
        <v>404</v>
      </c>
      <c r="L13" s="9"/>
      <c r="M13" s="9"/>
      <c r="N13" s="41"/>
      <c r="O13" s="52"/>
      <c r="P13" s="84"/>
      <c r="Q13" s="85"/>
    </row>
    <row r="14" spans="1:17" s="11" customFormat="1" x14ac:dyDescent="0.2">
      <c r="A14" s="9">
        <v>10</v>
      </c>
      <c r="B14" s="9"/>
      <c r="C14" s="9"/>
      <c r="D14" s="9" t="s">
        <v>24</v>
      </c>
      <c r="E14" s="50" t="s">
        <v>25</v>
      </c>
      <c r="F14" s="50"/>
      <c r="G14" s="51" t="s">
        <v>605</v>
      </c>
      <c r="H14" s="51" t="s">
        <v>417</v>
      </c>
      <c r="I14" s="9" t="s">
        <v>403</v>
      </c>
      <c r="J14" s="9"/>
      <c r="K14" s="9"/>
      <c r="L14" s="9"/>
      <c r="M14" s="9"/>
      <c r="N14" s="41"/>
      <c r="O14" s="52"/>
      <c r="P14" s="84"/>
      <c r="Q14" s="85"/>
    </row>
    <row r="15" spans="1:17" s="11" customFormat="1" x14ac:dyDescent="0.2">
      <c r="A15" s="9">
        <v>10</v>
      </c>
      <c r="B15" s="9"/>
      <c r="C15" s="9"/>
      <c r="D15" s="9" t="s">
        <v>28</v>
      </c>
      <c r="E15" s="50" t="s">
        <v>29</v>
      </c>
      <c r="F15" s="50"/>
      <c r="G15" s="51" t="s">
        <v>606</v>
      </c>
      <c r="H15" s="51" t="s">
        <v>418</v>
      </c>
      <c r="I15" s="9" t="s">
        <v>403</v>
      </c>
      <c r="J15" s="9"/>
      <c r="K15" s="9"/>
      <c r="L15" s="9"/>
      <c r="M15" s="9"/>
      <c r="N15" s="41"/>
      <c r="O15" s="52"/>
      <c r="P15" s="84"/>
      <c r="Q15" s="85"/>
    </row>
    <row r="16" spans="1:17" s="11" customFormat="1" x14ac:dyDescent="0.2">
      <c r="A16" s="9">
        <v>10</v>
      </c>
      <c r="B16" s="9"/>
      <c r="C16" s="9"/>
      <c r="D16" s="9" t="s">
        <v>26</v>
      </c>
      <c r="E16" s="50" t="s">
        <v>27</v>
      </c>
      <c r="F16" s="50"/>
      <c r="G16" s="51" t="s">
        <v>607</v>
      </c>
      <c r="H16" s="51" t="s">
        <v>419</v>
      </c>
      <c r="I16" s="9" t="s">
        <v>403</v>
      </c>
      <c r="J16" s="9"/>
      <c r="K16" s="9"/>
      <c r="L16" s="9"/>
      <c r="M16" s="9"/>
      <c r="N16" s="41"/>
      <c r="O16" s="52"/>
      <c r="P16" s="84"/>
      <c r="Q16" s="85"/>
    </row>
    <row r="17" spans="1:17" s="11" customFormat="1" x14ac:dyDescent="0.2">
      <c r="A17" s="9">
        <v>10</v>
      </c>
      <c r="B17" s="9"/>
      <c r="C17" s="9"/>
      <c r="D17" s="9" t="s">
        <v>35</v>
      </c>
      <c r="E17" s="50" t="s">
        <v>30</v>
      </c>
      <c r="F17" s="50"/>
      <c r="G17" s="51" t="s">
        <v>608</v>
      </c>
      <c r="H17" s="51" t="s">
        <v>420</v>
      </c>
      <c r="I17" s="9" t="s">
        <v>403</v>
      </c>
      <c r="J17" s="9"/>
      <c r="K17" s="9"/>
      <c r="L17" s="9"/>
      <c r="M17" s="9"/>
      <c r="N17" s="41"/>
      <c r="O17" s="52"/>
      <c r="P17" s="84"/>
      <c r="Q17" s="85"/>
    </row>
    <row r="18" spans="1:17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609</v>
      </c>
      <c r="H18" s="51" t="s">
        <v>421</v>
      </c>
      <c r="I18" s="9" t="s">
        <v>403</v>
      </c>
      <c r="J18" s="9"/>
      <c r="K18" s="9"/>
      <c r="L18" s="9"/>
      <c r="M18" s="9"/>
      <c r="N18" s="41"/>
      <c r="O18" s="52"/>
      <c r="P18" s="84"/>
      <c r="Q18" s="85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57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189</v>
      </c>
      <c r="K2" s="7" t="s">
        <v>21</v>
      </c>
      <c r="L2" s="64" t="str">
        <f>IF(LogicCommon!G2="","",LogicCommon!G2)</f>
        <v>MC</v>
      </c>
      <c r="M2" s="5" t="s">
        <v>124</v>
      </c>
      <c r="N2" s="28" t="s">
        <v>545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129</v>
      </c>
      <c r="K3" s="7" t="s">
        <v>22</v>
      </c>
      <c r="L3" s="64" t="str">
        <f>IF(LogicCommon!G3="","",LogicCommon!G3)</f>
        <v/>
      </c>
      <c r="M3" s="68" t="s">
        <v>126</v>
      </c>
      <c r="N3" s="7"/>
      <c r="O3" s="7" t="s">
        <v>193</v>
      </c>
      <c r="P3" s="9" t="s">
        <v>194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31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140</v>
      </c>
      <c r="B6" s="66"/>
      <c r="C6" s="66"/>
      <c r="D6" s="4" t="s">
        <v>5</v>
      </c>
      <c r="E6" s="16" t="s">
        <v>366</v>
      </c>
      <c r="F6" s="16"/>
      <c r="G6" s="16"/>
      <c r="H6" s="16"/>
      <c r="I6" s="16"/>
      <c r="J6" s="16"/>
      <c r="K6" s="16"/>
      <c r="L6" s="72" t="s">
        <v>169</v>
      </c>
      <c r="M6" s="19"/>
      <c r="N6" s="19" t="s">
        <v>169</v>
      </c>
      <c r="O6" s="19"/>
      <c r="P6" s="19" t="s">
        <v>169</v>
      </c>
      <c r="Q6" s="19"/>
      <c r="R6" s="3" t="s">
        <v>169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130</v>
      </c>
      <c r="L7" s="32" t="s">
        <v>131</v>
      </c>
      <c r="M7" s="33" t="s">
        <v>33</v>
      </c>
      <c r="N7" s="32" t="s">
        <v>132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33" t="s">
        <v>134</v>
      </c>
      <c r="L8" s="9" t="s">
        <v>560</v>
      </c>
      <c r="M8" s="33" t="s">
        <v>34</v>
      </c>
      <c r="N8" s="9" t="s">
        <v>560</v>
      </c>
      <c r="O8" s="33" t="s">
        <v>34</v>
      </c>
      <c r="P8" s="9"/>
      <c r="Q8" s="33" t="s">
        <v>34</v>
      </c>
      <c r="R8" s="9"/>
      <c r="S8" s="79"/>
      <c r="T8" s="80"/>
      <c r="U8" s="81" t="s">
        <v>586</v>
      </c>
      <c r="V8" s="52"/>
    </row>
    <row r="9" spans="1:22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33"/>
      <c r="O9" s="33"/>
      <c r="P9" s="33"/>
      <c r="Q9" s="33"/>
      <c r="R9" s="33"/>
      <c r="S9" s="81" t="s">
        <v>594</v>
      </c>
      <c r="T9" s="52"/>
      <c r="U9" s="81" t="s">
        <v>595</v>
      </c>
      <c r="V9" s="52"/>
    </row>
    <row r="10" spans="1:22" s="11" customFormat="1" ht="52" x14ac:dyDescent="0.2">
      <c r="A10" s="39" t="s">
        <v>135</v>
      </c>
      <c r="B10" s="40"/>
      <c r="C10" s="40"/>
      <c r="D10" s="41"/>
      <c r="E10" s="42"/>
      <c r="F10" s="42"/>
      <c r="G10" s="43"/>
      <c r="H10" s="43"/>
      <c r="I10" s="42"/>
      <c r="J10" s="42"/>
      <c r="K10" s="76" t="s">
        <v>592</v>
      </c>
      <c r="L10" s="76" t="s">
        <v>593</v>
      </c>
      <c r="M10" s="76" t="s">
        <v>592</v>
      </c>
      <c r="N10" s="76" t="s">
        <v>593</v>
      </c>
      <c r="O10" s="76" t="s">
        <v>592</v>
      </c>
      <c r="P10" s="76" t="s">
        <v>593</v>
      </c>
      <c r="Q10" s="76" t="s">
        <v>592</v>
      </c>
      <c r="R10" s="76" t="s">
        <v>593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190</v>
      </c>
      <c r="E11" s="34" t="s">
        <v>136</v>
      </c>
      <c r="F11" s="44"/>
      <c r="G11" s="28" t="s">
        <v>137</v>
      </c>
      <c r="H11" s="45" t="s">
        <v>460</v>
      </c>
      <c r="I11" s="46"/>
      <c r="J11" s="47"/>
      <c r="K11" s="48" t="s">
        <v>122</v>
      </c>
      <c r="L11" s="48"/>
      <c r="M11" s="48" t="s">
        <v>423</v>
      </c>
      <c r="N11" s="48"/>
      <c r="O11" s="48"/>
      <c r="P11" s="48"/>
      <c r="Q11" s="48"/>
      <c r="R11" s="48"/>
      <c r="S11" s="35"/>
      <c r="T11" s="36"/>
      <c r="U11" s="60"/>
      <c r="V11" s="49"/>
    </row>
    <row r="12" spans="1:22" s="11" customFormat="1" ht="26" x14ac:dyDescent="0.2">
      <c r="A12" s="9">
        <v>10</v>
      </c>
      <c r="B12" s="9"/>
      <c r="C12" s="9"/>
      <c r="D12" s="9" t="s">
        <v>63</v>
      </c>
      <c r="E12" s="50" t="s">
        <v>106</v>
      </c>
      <c r="F12" s="50"/>
      <c r="G12" s="51" t="s">
        <v>625</v>
      </c>
      <c r="H12" s="51" t="s">
        <v>458</v>
      </c>
      <c r="I12" s="9" t="s">
        <v>403</v>
      </c>
      <c r="J12" s="9"/>
      <c r="K12" s="9" t="s">
        <v>404</v>
      </c>
      <c r="L12" s="9"/>
      <c r="M12" s="9" t="s">
        <v>404</v>
      </c>
      <c r="N12" s="9"/>
      <c r="O12" s="9"/>
      <c r="P12" s="9"/>
      <c r="Q12" s="9"/>
      <c r="R12" s="9"/>
      <c r="S12" s="41"/>
      <c r="T12" s="52"/>
      <c r="U12" s="84"/>
      <c r="V12" s="85"/>
    </row>
    <row r="13" spans="1:22" s="11" customFormat="1" ht="26" x14ac:dyDescent="0.2">
      <c r="A13" s="9">
        <v>10</v>
      </c>
      <c r="B13" s="9"/>
      <c r="C13" s="9"/>
      <c r="D13" s="9" t="s">
        <v>64</v>
      </c>
      <c r="E13" s="50" t="s">
        <v>107</v>
      </c>
      <c r="F13" s="50"/>
      <c r="G13" s="51" t="s">
        <v>626</v>
      </c>
      <c r="H13" s="51" t="s">
        <v>459</v>
      </c>
      <c r="I13" s="9" t="s">
        <v>403</v>
      </c>
      <c r="J13" s="9"/>
      <c r="K13" s="9" t="s">
        <v>404</v>
      </c>
      <c r="L13" s="9"/>
      <c r="M13" s="9" t="s">
        <v>404</v>
      </c>
      <c r="N13" s="9"/>
      <c r="O13" s="9"/>
      <c r="P13" s="9"/>
      <c r="Q13" s="9"/>
      <c r="R13" s="9"/>
      <c r="S13" s="41"/>
      <c r="T13" s="52"/>
      <c r="U13" s="84"/>
      <c r="V13" s="85"/>
    </row>
    <row r="14" spans="1:22" s="11" customFormat="1" x14ac:dyDescent="0.2">
      <c r="A14" s="9">
        <v>10</v>
      </c>
      <c r="B14" s="9"/>
      <c r="C14" s="9"/>
      <c r="D14" s="9" t="s">
        <v>24</v>
      </c>
      <c r="E14" s="50" t="s">
        <v>25</v>
      </c>
      <c r="F14" s="50"/>
      <c r="G14" s="51" t="s">
        <v>605</v>
      </c>
      <c r="H14" s="51" t="s">
        <v>417</v>
      </c>
      <c r="I14" s="9" t="s">
        <v>403</v>
      </c>
      <c r="J14" s="9"/>
      <c r="K14" s="9" t="s">
        <v>404</v>
      </c>
      <c r="L14" s="9"/>
      <c r="M14" s="9" t="s">
        <v>404</v>
      </c>
      <c r="N14" s="9"/>
      <c r="O14" s="9"/>
      <c r="P14" s="9"/>
      <c r="Q14" s="9"/>
      <c r="R14" s="9"/>
      <c r="S14" s="41"/>
      <c r="T14" s="52"/>
      <c r="U14" s="84"/>
      <c r="V14" s="85"/>
    </row>
    <row r="15" spans="1:22" s="11" customFormat="1" x14ac:dyDescent="0.2">
      <c r="A15" s="9">
        <v>10</v>
      </c>
      <c r="B15" s="9"/>
      <c r="C15" s="9"/>
      <c r="D15" s="9" t="s">
        <v>28</v>
      </c>
      <c r="E15" s="50" t="s">
        <v>29</v>
      </c>
      <c r="F15" s="50"/>
      <c r="G15" s="51" t="s">
        <v>606</v>
      </c>
      <c r="H15" s="51" t="s">
        <v>418</v>
      </c>
      <c r="I15" s="9" t="s">
        <v>403</v>
      </c>
      <c r="J15" s="9"/>
      <c r="K15" s="9" t="s">
        <v>404</v>
      </c>
      <c r="L15" s="9"/>
      <c r="M15" s="9" t="s">
        <v>404</v>
      </c>
      <c r="N15" s="9"/>
      <c r="O15" s="9"/>
      <c r="P15" s="9"/>
      <c r="Q15" s="9"/>
      <c r="R15" s="9"/>
      <c r="S15" s="41"/>
      <c r="T15" s="52"/>
      <c r="U15" s="84"/>
      <c r="V15" s="85"/>
    </row>
    <row r="16" spans="1:22" s="11" customFormat="1" x14ac:dyDescent="0.2">
      <c r="A16" s="9">
        <v>10</v>
      </c>
      <c r="B16" s="9"/>
      <c r="C16" s="9"/>
      <c r="D16" s="9" t="s">
        <v>26</v>
      </c>
      <c r="E16" s="50" t="s">
        <v>27</v>
      </c>
      <c r="F16" s="50"/>
      <c r="G16" s="51" t="s">
        <v>607</v>
      </c>
      <c r="H16" s="51" t="s">
        <v>419</v>
      </c>
      <c r="I16" s="9" t="s">
        <v>403</v>
      </c>
      <c r="J16" s="9"/>
      <c r="K16" s="9" t="s">
        <v>404</v>
      </c>
      <c r="L16" s="9"/>
      <c r="M16" s="9" t="s">
        <v>404</v>
      </c>
      <c r="N16" s="9"/>
      <c r="O16" s="9"/>
      <c r="P16" s="9"/>
      <c r="Q16" s="9"/>
      <c r="R16" s="9"/>
      <c r="S16" s="41"/>
      <c r="T16" s="52"/>
      <c r="U16" s="84"/>
      <c r="V16" s="85"/>
    </row>
    <row r="17" spans="1:22" s="11" customFormat="1" x14ac:dyDescent="0.2">
      <c r="A17" s="9">
        <v>10</v>
      </c>
      <c r="B17" s="9"/>
      <c r="C17" s="9"/>
      <c r="D17" s="9" t="s">
        <v>35</v>
      </c>
      <c r="E17" s="50" t="s">
        <v>30</v>
      </c>
      <c r="F17" s="50"/>
      <c r="G17" s="51" t="s">
        <v>608</v>
      </c>
      <c r="H17" s="51" t="s">
        <v>420</v>
      </c>
      <c r="I17" s="9" t="s">
        <v>403</v>
      </c>
      <c r="J17" s="9"/>
      <c r="K17" s="9" t="s">
        <v>404</v>
      </c>
      <c r="L17" s="9"/>
      <c r="M17" s="9" t="s">
        <v>404</v>
      </c>
      <c r="N17" s="9"/>
      <c r="O17" s="9"/>
      <c r="P17" s="9"/>
      <c r="Q17" s="9"/>
      <c r="R17" s="9"/>
      <c r="S17" s="41"/>
      <c r="T17" s="52"/>
      <c r="U17" s="84"/>
      <c r="V17" s="85"/>
    </row>
    <row r="18" spans="1:22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609</v>
      </c>
      <c r="H18" s="51" t="s">
        <v>421</v>
      </c>
      <c r="I18" s="9" t="s">
        <v>403</v>
      </c>
      <c r="J18" s="9"/>
      <c r="K18" s="9" t="s">
        <v>404</v>
      </c>
      <c r="L18" s="9"/>
      <c r="M18" s="9" t="s">
        <v>404</v>
      </c>
      <c r="N18" s="9"/>
      <c r="O18" s="9"/>
      <c r="P18" s="9"/>
      <c r="Q18" s="9"/>
      <c r="R18" s="9"/>
      <c r="S18" s="41"/>
      <c r="T18" s="52"/>
      <c r="U18" s="84"/>
      <c r="V18" s="85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58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195</v>
      </c>
      <c r="K2" s="7" t="s">
        <v>21</v>
      </c>
      <c r="L2" s="64" t="str">
        <f>IF(LogicCommon!G2="","",LogicCommon!G2)</f>
        <v>MC</v>
      </c>
      <c r="M2" s="5" t="s">
        <v>124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125</v>
      </c>
      <c r="K3" s="7" t="s">
        <v>22</v>
      </c>
      <c r="L3" s="64" t="str">
        <f>IF(LogicCommon!G3="","",LogicCommon!G3)</f>
        <v/>
      </c>
      <c r="M3" s="68" t="s">
        <v>192</v>
      </c>
      <c r="N3" s="7"/>
      <c r="O3" s="7" t="s">
        <v>193</v>
      </c>
      <c r="P3" s="9" t="s">
        <v>194</v>
      </c>
      <c r="Q3" s="4"/>
    </row>
    <row r="4" spans="1:17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127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140</v>
      </c>
      <c r="B6" s="66"/>
      <c r="C6" s="66"/>
      <c r="D6" s="4" t="s">
        <v>5</v>
      </c>
      <c r="E6" s="16" t="s">
        <v>367</v>
      </c>
      <c r="F6" s="16"/>
      <c r="G6" s="16"/>
      <c r="H6" s="16"/>
      <c r="I6" s="16"/>
      <c r="J6" s="16"/>
      <c r="K6" s="16"/>
      <c r="L6" s="72"/>
      <c r="M6" s="19" t="s">
        <v>169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128</v>
      </c>
      <c r="L7" s="33" t="s">
        <v>33</v>
      </c>
      <c r="M7" s="32" t="s">
        <v>245</v>
      </c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9" t="s">
        <v>139</v>
      </c>
      <c r="L8" s="33" t="s">
        <v>34</v>
      </c>
      <c r="M8" s="9" t="s">
        <v>561</v>
      </c>
      <c r="N8" s="79"/>
      <c r="O8" s="80"/>
      <c r="P8" s="81" t="s">
        <v>586</v>
      </c>
      <c r="Q8" s="52"/>
    </row>
    <row r="9" spans="1:17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81" t="s">
        <v>594</v>
      </c>
      <c r="O9" s="52"/>
      <c r="P9" s="81" t="s">
        <v>595</v>
      </c>
      <c r="Q9" s="52"/>
    </row>
    <row r="10" spans="1:17" s="11" customFormat="1" ht="52" x14ac:dyDescent="0.2">
      <c r="A10" s="39" t="s">
        <v>135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76" t="s">
        <v>592</v>
      </c>
      <c r="M10" s="76" t="s">
        <v>593</v>
      </c>
      <c r="N10" s="42"/>
      <c r="O10" s="42"/>
      <c r="P10" s="43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196</v>
      </c>
      <c r="E11" s="34" t="s">
        <v>32</v>
      </c>
      <c r="F11" s="44"/>
      <c r="G11" s="28" t="s">
        <v>248</v>
      </c>
      <c r="H11" s="45" t="s">
        <v>461</v>
      </c>
      <c r="I11" s="46"/>
      <c r="J11" s="47"/>
      <c r="K11" s="48"/>
      <c r="L11" s="48" t="s">
        <v>423</v>
      </c>
      <c r="M11" s="48"/>
      <c r="N11" s="35"/>
      <c r="O11" s="36"/>
      <c r="P11" s="60"/>
      <c r="Q11" s="49"/>
    </row>
    <row r="12" spans="1:17" s="11" customFormat="1" ht="26" x14ac:dyDescent="0.2">
      <c r="A12" s="9">
        <v>10</v>
      </c>
      <c r="B12" s="9"/>
      <c r="C12" s="9"/>
      <c r="D12" s="9" t="s">
        <v>63</v>
      </c>
      <c r="E12" s="50" t="s">
        <v>106</v>
      </c>
      <c r="F12" s="50"/>
      <c r="G12" s="51" t="s">
        <v>625</v>
      </c>
      <c r="H12" s="51" t="s">
        <v>458</v>
      </c>
      <c r="I12" s="9" t="s">
        <v>403</v>
      </c>
      <c r="J12" s="9"/>
      <c r="K12" s="9" t="s">
        <v>404</v>
      </c>
      <c r="L12" s="9" t="s">
        <v>404</v>
      </c>
      <c r="M12" s="9"/>
      <c r="N12" s="41"/>
      <c r="O12" s="52"/>
      <c r="P12" s="84"/>
      <c r="Q12" s="85"/>
    </row>
    <row r="13" spans="1:17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610</v>
      </c>
      <c r="H13" s="51" t="s">
        <v>425</v>
      </c>
      <c r="I13" s="9" t="s">
        <v>403</v>
      </c>
      <c r="J13" s="9"/>
      <c r="K13" s="9" t="s">
        <v>404</v>
      </c>
      <c r="L13" s="9"/>
      <c r="M13" s="9"/>
      <c r="N13" s="41"/>
      <c r="O13" s="52"/>
      <c r="P13" s="84"/>
      <c r="Q13" s="85"/>
    </row>
    <row r="14" spans="1:17" s="11" customFormat="1" ht="26" x14ac:dyDescent="0.2">
      <c r="A14" s="9">
        <v>10</v>
      </c>
      <c r="B14" s="9"/>
      <c r="C14" s="9"/>
      <c r="D14" s="9" t="s">
        <v>64</v>
      </c>
      <c r="E14" s="50" t="s">
        <v>107</v>
      </c>
      <c r="F14" s="50"/>
      <c r="G14" s="51" t="s">
        <v>627</v>
      </c>
      <c r="H14" s="51" t="s">
        <v>462</v>
      </c>
      <c r="I14" s="9" t="s">
        <v>403</v>
      </c>
      <c r="J14" s="9"/>
      <c r="K14" s="9" t="s">
        <v>404</v>
      </c>
      <c r="L14" s="9"/>
      <c r="M14" s="9"/>
      <c r="N14" s="41"/>
      <c r="O14" s="52"/>
      <c r="P14" s="84"/>
      <c r="Q14" s="85"/>
    </row>
    <row r="15" spans="1:17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605</v>
      </c>
      <c r="H15" s="51" t="s">
        <v>417</v>
      </c>
      <c r="I15" s="9" t="s">
        <v>403</v>
      </c>
      <c r="J15" s="9"/>
      <c r="K15" s="9"/>
      <c r="L15" s="9"/>
      <c r="M15" s="9"/>
      <c r="N15" s="41"/>
      <c r="O15" s="52"/>
      <c r="P15" s="84"/>
      <c r="Q15" s="85"/>
    </row>
    <row r="16" spans="1:17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606</v>
      </c>
      <c r="H16" s="51" t="s">
        <v>418</v>
      </c>
      <c r="I16" s="9" t="s">
        <v>403</v>
      </c>
      <c r="J16" s="9"/>
      <c r="K16" s="9"/>
      <c r="L16" s="9"/>
      <c r="M16" s="9"/>
      <c r="N16" s="41"/>
      <c r="O16" s="52"/>
      <c r="P16" s="84"/>
      <c r="Q16" s="85"/>
    </row>
    <row r="17" spans="1:17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607</v>
      </c>
      <c r="H17" s="51" t="s">
        <v>419</v>
      </c>
      <c r="I17" s="9" t="s">
        <v>403</v>
      </c>
      <c r="J17" s="9"/>
      <c r="K17" s="9"/>
      <c r="L17" s="9"/>
      <c r="M17" s="9"/>
      <c r="N17" s="41"/>
      <c r="O17" s="52"/>
      <c r="P17" s="84"/>
      <c r="Q17" s="85"/>
    </row>
    <row r="18" spans="1:17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609</v>
      </c>
      <c r="H18" s="51" t="s">
        <v>421</v>
      </c>
      <c r="I18" s="9" t="s">
        <v>403</v>
      </c>
      <c r="J18" s="9"/>
      <c r="K18" s="9"/>
      <c r="L18" s="9"/>
      <c r="M18" s="9"/>
      <c r="N18" s="41"/>
      <c r="O18" s="52"/>
      <c r="P18" s="84"/>
      <c r="Q18" s="85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59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197</v>
      </c>
      <c r="K2" s="7" t="s">
        <v>21</v>
      </c>
      <c r="L2" s="64" t="str">
        <f>IF(LogicCommon!G2="","",LogicCommon!G2)</f>
        <v>MC</v>
      </c>
      <c r="M2" s="5" t="s">
        <v>124</v>
      </c>
      <c r="N2" s="28" t="s">
        <v>545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129</v>
      </c>
      <c r="K3" s="7" t="s">
        <v>22</v>
      </c>
      <c r="L3" s="64" t="str">
        <f>IF(LogicCommon!G3="","",LogicCommon!G3)</f>
        <v/>
      </c>
      <c r="M3" s="68" t="s">
        <v>126</v>
      </c>
      <c r="N3" s="7"/>
      <c r="O3" s="7" t="s">
        <v>193</v>
      </c>
      <c r="P3" s="9" t="s">
        <v>194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31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140</v>
      </c>
      <c r="B6" s="66"/>
      <c r="C6" s="66"/>
      <c r="D6" s="4" t="s">
        <v>5</v>
      </c>
      <c r="E6" s="16" t="s">
        <v>368</v>
      </c>
      <c r="F6" s="16"/>
      <c r="G6" s="16"/>
      <c r="H6" s="16"/>
      <c r="I6" s="16"/>
      <c r="J6" s="16"/>
      <c r="K6" s="16"/>
      <c r="L6" s="72" t="s">
        <v>169</v>
      </c>
      <c r="M6" s="19"/>
      <c r="N6" s="19" t="s">
        <v>169</v>
      </c>
      <c r="O6" s="19"/>
      <c r="P6" s="19" t="s">
        <v>169</v>
      </c>
      <c r="Q6" s="19"/>
      <c r="R6" s="3" t="s">
        <v>169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130</v>
      </c>
      <c r="L7" s="32" t="s">
        <v>131</v>
      </c>
      <c r="M7" s="33" t="s">
        <v>33</v>
      </c>
      <c r="N7" s="32" t="s">
        <v>132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33" t="s">
        <v>134</v>
      </c>
      <c r="L8" s="9" t="s">
        <v>199</v>
      </c>
      <c r="M8" s="33" t="s">
        <v>34</v>
      </c>
      <c r="N8" s="9" t="s">
        <v>199</v>
      </c>
      <c r="O8" s="33" t="s">
        <v>34</v>
      </c>
      <c r="P8" s="9"/>
      <c r="Q8" s="33" t="s">
        <v>34</v>
      </c>
      <c r="R8" s="9"/>
      <c r="S8" s="79"/>
      <c r="T8" s="80"/>
      <c r="U8" s="81" t="s">
        <v>586</v>
      </c>
      <c r="V8" s="52"/>
    </row>
    <row r="9" spans="1:22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33"/>
      <c r="O9" s="33"/>
      <c r="P9" s="33"/>
      <c r="Q9" s="33"/>
      <c r="R9" s="33"/>
      <c r="S9" s="81" t="s">
        <v>594</v>
      </c>
      <c r="T9" s="52"/>
      <c r="U9" s="81" t="s">
        <v>595</v>
      </c>
      <c r="V9" s="52"/>
    </row>
    <row r="10" spans="1:22" s="11" customFormat="1" ht="52" x14ac:dyDescent="0.2">
      <c r="A10" s="39" t="s">
        <v>135</v>
      </c>
      <c r="B10" s="40"/>
      <c r="C10" s="40"/>
      <c r="D10" s="41"/>
      <c r="E10" s="42"/>
      <c r="F10" s="42"/>
      <c r="G10" s="43"/>
      <c r="H10" s="43"/>
      <c r="I10" s="42"/>
      <c r="J10" s="42"/>
      <c r="K10" s="76" t="s">
        <v>592</v>
      </c>
      <c r="L10" s="76" t="s">
        <v>593</v>
      </c>
      <c r="M10" s="76" t="s">
        <v>592</v>
      </c>
      <c r="N10" s="76" t="s">
        <v>593</v>
      </c>
      <c r="O10" s="76" t="s">
        <v>592</v>
      </c>
      <c r="P10" s="76" t="s">
        <v>593</v>
      </c>
      <c r="Q10" s="76" t="s">
        <v>592</v>
      </c>
      <c r="R10" s="76" t="s">
        <v>593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198</v>
      </c>
      <c r="E11" s="34" t="s">
        <v>136</v>
      </c>
      <c r="F11" s="44"/>
      <c r="G11" s="28" t="s">
        <v>137</v>
      </c>
      <c r="H11" s="45" t="s">
        <v>463</v>
      </c>
      <c r="I11" s="46"/>
      <c r="J11" s="47"/>
      <c r="K11" s="48" t="s">
        <v>122</v>
      </c>
      <c r="L11" s="48"/>
      <c r="M11" s="48" t="s">
        <v>423</v>
      </c>
      <c r="N11" s="48"/>
      <c r="O11" s="48"/>
      <c r="P11" s="48"/>
      <c r="Q11" s="48"/>
      <c r="R11" s="48"/>
      <c r="S11" s="35"/>
      <c r="T11" s="36"/>
      <c r="U11" s="60"/>
      <c r="V11" s="49"/>
    </row>
    <row r="12" spans="1:22" s="11" customFormat="1" ht="26" x14ac:dyDescent="0.2">
      <c r="A12" s="9">
        <v>10</v>
      </c>
      <c r="B12" s="9"/>
      <c r="C12" s="9"/>
      <c r="D12" s="9" t="s">
        <v>63</v>
      </c>
      <c r="E12" s="50" t="s">
        <v>106</v>
      </c>
      <c r="F12" s="50"/>
      <c r="G12" s="51" t="s">
        <v>625</v>
      </c>
      <c r="H12" s="51" t="s">
        <v>458</v>
      </c>
      <c r="I12" s="9" t="s">
        <v>403</v>
      </c>
      <c r="J12" s="9"/>
      <c r="K12" s="9" t="s">
        <v>404</v>
      </c>
      <c r="L12" s="9"/>
      <c r="M12" s="9" t="s">
        <v>404</v>
      </c>
      <c r="N12" s="9"/>
      <c r="O12" s="9"/>
      <c r="P12" s="9"/>
      <c r="Q12" s="9"/>
      <c r="R12" s="9"/>
      <c r="S12" s="41"/>
      <c r="T12" s="52"/>
      <c r="U12" s="84"/>
      <c r="V12" s="85"/>
    </row>
    <row r="13" spans="1:22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610</v>
      </c>
      <c r="H13" s="51" t="s">
        <v>425</v>
      </c>
      <c r="I13" s="9" t="s">
        <v>403</v>
      </c>
      <c r="J13" s="9"/>
      <c r="K13" s="9" t="s">
        <v>404</v>
      </c>
      <c r="L13" s="9"/>
      <c r="M13" s="9" t="s">
        <v>404</v>
      </c>
      <c r="N13" s="9"/>
      <c r="O13" s="9"/>
      <c r="P13" s="9"/>
      <c r="Q13" s="9"/>
      <c r="R13" s="9"/>
      <c r="S13" s="41"/>
      <c r="T13" s="52"/>
      <c r="U13" s="84"/>
      <c r="V13" s="85"/>
    </row>
    <row r="14" spans="1:22" s="11" customFormat="1" ht="26" x14ac:dyDescent="0.2">
      <c r="A14" s="9">
        <v>10</v>
      </c>
      <c r="B14" s="9"/>
      <c r="C14" s="9"/>
      <c r="D14" s="9" t="s">
        <v>64</v>
      </c>
      <c r="E14" s="50" t="s">
        <v>107</v>
      </c>
      <c r="F14" s="50"/>
      <c r="G14" s="51" t="s">
        <v>627</v>
      </c>
      <c r="H14" s="51" t="s">
        <v>462</v>
      </c>
      <c r="I14" s="9" t="s">
        <v>403</v>
      </c>
      <c r="J14" s="9"/>
      <c r="K14" s="9" t="s">
        <v>404</v>
      </c>
      <c r="L14" s="9"/>
      <c r="M14" s="9" t="s">
        <v>404</v>
      </c>
      <c r="N14" s="9"/>
      <c r="O14" s="9"/>
      <c r="P14" s="9"/>
      <c r="Q14" s="9"/>
      <c r="R14" s="9"/>
      <c r="S14" s="41"/>
      <c r="T14" s="52"/>
      <c r="U14" s="84"/>
      <c r="V14" s="85"/>
    </row>
    <row r="15" spans="1:22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605</v>
      </c>
      <c r="H15" s="51" t="s">
        <v>417</v>
      </c>
      <c r="I15" s="9" t="s">
        <v>403</v>
      </c>
      <c r="J15" s="9"/>
      <c r="K15" s="9" t="s">
        <v>404</v>
      </c>
      <c r="L15" s="9"/>
      <c r="M15" s="9" t="s">
        <v>404</v>
      </c>
      <c r="N15" s="9"/>
      <c r="O15" s="9"/>
      <c r="P15" s="9"/>
      <c r="Q15" s="9"/>
      <c r="R15" s="9"/>
      <c r="S15" s="41"/>
      <c r="T15" s="52"/>
      <c r="U15" s="84"/>
      <c r="V15" s="85"/>
    </row>
    <row r="16" spans="1:22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606</v>
      </c>
      <c r="H16" s="51" t="s">
        <v>418</v>
      </c>
      <c r="I16" s="9" t="s">
        <v>403</v>
      </c>
      <c r="J16" s="9"/>
      <c r="K16" s="9" t="s">
        <v>404</v>
      </c>
      <c r="L16" s="9"/>
      <c r="M16" s="9" t="s">
        <v>404</v>
      </c>
      <c r="N16" s="9"/>
      <c r="O16" s="9"/>
      <c r="P16" s="9"/>
      <c r="Q16" s="9"/>
      <c r="R16" s="9"/>
      <c r="S16" s="41"/>
      <c r="T16" s="52"/>
      <c r="U16" s="84"/>
      <c r="V16" s="85"/>
    </row>
    <row r="17" spans="1:22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607</v>
      </c>
      <c r="H17" s="51" t="s">
        <v>419</v>
      </c>
      <c r="I17" s="9" t="s">
        <v>403</v>
      </c>
      <c r="J17" s="9"/>
      <c r="K17" s="9" t="s">
        <v>404</v>
      </c>
      <c r="L17" s="9"/>
      <c r="M17" s="9" t="s">
        <v>404</v>
      </c>
      <c r="N17" s="9"/>
      <c r="O17" s="9"/>
      <c r="P17" s="9"/>
      <c r="Q17" s="9"/>
      <c r="R17" s="9"/>
      <c r="S17" s="41"/>
      <c r="T17" s="52"/>
      <c r="U17" s="84"/>
      <c r="V17" s="85"/>
    </row>
    <row r="18" spans="1:22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609</v>
      </c>
      <c r="H18" s="51" t="s">
        <v>421</v>
      </c>
      <c r="I18" s="9" t="s">
        <v>403</v>
      </c>
      <c r="J18" s="9"/>
      <c r="K18" s="9" t="s">
        <v>404</v>
      </c>
      <c r="L18" s="9"/>
      <c r="M18" s="9" t="s">
        <v>404</v>
      </c>
      <c r="N18" s="9"/>
      <c r="O18" s="9"/>
      <c r="P18" s="9"/>
      <c r="Q18" s="9"/>
      <c r="R18" s="9"/>
      <c r="S18" s="41"/>
      <c r="T18" s="52"/>
      <c r="U18" s="84"/>
      <c r="V18" s="85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308</v>
      </c>
      <c r="K2" s="7" t="s">
        <v>21</v>
      </c>
      <c r="L2" s="64" t="str">
        <f>IF(LogicCommon!G2="","",LogicCommon!G2)</f>
        <v>MC</v>
      </c>
      <c r="M2" s="5" t="s">
        <v>124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125</v>
      </c>
      <c r="K3" s="7" t="s">
        <v>22</v>
      </c>
      <c r="L3" s="64" t="str">
        <f>IF(LogicCommon!G3="","",LogicCommon!G3)</f>
        <v/>
      </c>
      <c r="M3" s="68" t="s">
        <v>277</v>
      </c>
      <c r="N3" s="7"/>
      <c r="O3" s="7" t="s">
        <v>193</v>
      </c>
      <c r="P3" s="9" t="s">
        <v>194</v>
      </c>
      <c r="Q3" s="4"/>
    </row>
    <row r="4" spans="1:17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127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140</v>
      </c>
      <c r="B6" s="66"/>
      <c r="C6" s="66"/>
      <c r="D6" s="4" t="s">
        <v>5</v>
      </c>
      <c r="E6" s="16" t="s">
        <v>369</v>
      </c>
      <c r="F6" s="16"/>
      <c r="G6" s="16"/>
      <c r="H6" s="16"/>
      <c r="I6" s="16"/>
      <c r="J6" s="16"/>
      <c r="K6" s="16"/>
      <c r="L6" s="72"/>
      <c r="M6" s="19" t="s">
        <v>169</v>
      </c>
      <c r="N6" s="19"/>
      <c r="O6" s="19"/>
      <c r="P6" s="19"/>
      <c r="Q6" s="19"/>
    </row>
    <row r="7" spans="1:17" s="11" customFormat="1" x14ac:dyDescent="0.2">
      <c r="A7" s="30" t="s">
        <v>170</v>
      </c>
      <c r="B7" s="30"/>
      <c r="C7" s="30"/>
      <c r="D7" s="31"/>
      <c r="E7" s="31"/>
      <c r="F7" s="31"/>
      <c r="G7" s="31"/>
      <c r="H7" s="31"/>
      <c r="I7" s="31" t="s">
        <v>171</v>
      </c>
      <c r="J7" s="31"/>
      <c r="K7" s="32" t="s">
        <v>275</v>
      </c>
      <c r="L7" s="33" t="s">
        <v>33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9" t="s">
        <v>273</v>
      </c>
      <c r="L8" s="33" t="s">
        <v>34</v>
      </c>
      <c r="M8" s="9"/>
      <c r="N8" s="79"/>
      <c r="O8" s="80"/>
      <c r="P8" s="81" t="s">
        <v>586</v>
      </c>
      <c r="Q8" s="52"/>
    </row>
    <row r="9" spans="1:17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81" t="s">
        <v>594</v>
      </c>
      <c r="O9" s="52"/>
      <c r="P9" s="81" t="s">
        <v>595</v>
      </c>
      <c r="Q9" s="52"/>
    </row>
    <row r="10" spans="1:17" s="11" customFormat="1" ht="52" x14ac:dyDescent="0.2">
      <c r="A10" s="39" t="s">
        <v>170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76" t="s">
        <v>592</v>
      </c>
      <c r="M10" s="76" t="s">
        <v>593</v>
      </c>
      <c r="N10" s="42"/>
      <c r="O10" s="42"/>
      <c r="P10" s="43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307</v>
      </c>
      <c r="E11" s="34" t="s">
        <v>32</v>
      </c>
      <c r="F11" s="44"/>
      <c r="G11" s="28"/>
      <c r="H11" s="45"/>
      <c r="I11" s="46"/>
      <c r="J11" s="47"/>
      <c r="K11" s="48"/>
      <c r="L11" s="48"/>
      <c r="M11" s="48"/>
      <c r="N11" s="35"/>
      <c r="O11" s="36"/>
      <c r="P11" s="60"/>
      <c r="Q11" s="49"/>
    </row>
    <row r="12" spans="1:17" s="11" customFormat="1" ht="26" x14ac:dyDescent="0.2">
      <c r="A12" s="9">
        <v>10</v>
      </c>
      <c r="B12" s="9"/>
      <c r="C12" s="9"/>
      <c r="D12" s="9" t="s">
        <v>63</v>
      </c>
      <c r="E12" s="50" t="s">
        <v>106</v>
      </c>
      <c r="F12" s="50"/>
      <c r="G12" s="51" t="s">
        <v>625</v>
      </c>
      <c r="H12" s="51" t="s">
        <v>464</v>
      </c>
      <c r="I12" s="9" t="s">
        <v>403</v>
      </c>
      <c r="J12" s="9"/>
      <c r="K12" s="9" t="s">
        <v>404</v>
      </c>
      <c r="L12" s="9"/>
      <c r="M12" s="9"/>
      <c r="N12" s="41"/>
      <c r="O12" s="52"/>
      <c r="P12" s="84"/>
      <c r="Q12" s="85"/>
    </row>
    <row r="13" spans="1:17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609</v>
      </c>
      <c r="H13" s="51" t="s">
        <v>421</v>
      </c>
      <c r="I13" s="9" t="s">
        <v>403</v>
      </c>
      <c r="J13" s="9"/>
      <c r="K13" s="9"/>
      <c r="L13" s="9"/>
      <c r="M13" s="9"/>
      <c r="N13" s="41"/>
      <c r="O13" s="52"/>
      <c r="P13" s="84"/>
      <c r="Q13" s="85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5"/>
      <c r="Q15" s="55"/>
    </row>
    <row r="16" spans="1:17" s="11" customFormat="1" x14ac:dyDescent="0.2">
      <c r="A16" s="65"/>
      <c r="Q16" s="55"/>
    </row>
    <row r="17" spans="1:17" s="11" customFormat="1" x14ac:dyDescent="0.2">
      <c r="A17" s="65"/>
      <c r="Q17" s="55"/>
    </row>
    <row r="18" spans="1:17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V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312</v>
      </c>
      <c r="K2" s="7" t="s">
        <v>21</v>
      </c>
      <c r="L2" s="64" t="str">
        <f>IF(LogicCommon!G2="","",LogicCommon!G2)</f>
        <v>MC</v>
      </c>
      <c r="M2" s="5" t="s">
        <v>124</v>
      </c>
      <c r="N2" s="28" t="s">
        <v>546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286</v>
      </c>
      <c r="K3" s="7" t="s">
        <v>22</v>
      </c>
      <c r="L3" s="64" t="str">
        <f>IF(LogicCommon!G3="","",LogicCommon!G3)</f>
        <v/>
      </c>
      <c r="M3" s="68" t="s">
        <v>311</v>
      </c>
      <c r="N3" s="7"/>
      <c r="O3" s="7" t="s">
        <v>193</v>
      </c>
      <c r="P3" s="9" t="s">
        <v>194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285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140</v>
      </c>
      <c r="B6" s="66"/>
      <c r="C6" s="66"/>
      <c r="D6" s="4" t="s">
        <v>5</v>
      </c>
      <c r="E6" s="16" t="s">
        <v>370</v>
      </c>
      <c r="F6" s="16"/>
      <c r="G6" s="16"/>
      <c r="H6" s="16"/>
      <c r="I6" s="16"/>
      <c r="J6" s="16"/>
      <c r="K6" s="16"/>
      <c r="L6" s="72" t="s">
        <v>169</v>
      </c>
      <c r="M6" s="19"/>
      <c r="N6" s="19" t="s">
        <v>169</v>
      </c>
      <c r="O6" s="19"/>
      <c r="P6" s="19" t="s">
        <v>169</v>
      </c>
      <c r="Q6" s="19"/>
      <c r="R6" s="3" t="s">
        <v>169</v>
      </c>
      <c r="S6" s="4"/>
      <c r="T6" s="29"/>
      <c r="U6" s="29"/>
      <c r="V6" s="27"/>
    </row>
    <row r="7" spans="1:22" s="11" customFormat="1" x14ac:dyDescent="0.2">
      <c r="A7" s="30" t="s">
        <v>282</v>
      </c>
      <c r="B7" s="30"/>
      <c r="C7" s="30"/>
      <c r="D7" s="31"/>
      <c r="E7" s="31"/>
      <c r="F7" s="31"/>
      <c r="G7" s="31"/>
      <c r="H7" s="31"/>
      <c r="I7" s="31" t="s">
        <v>276</v>
      </c>
      <c r="J7" s="31"/>
      <c r="K7" s="33" t="s">
        <v>310</v>
      </c>
      <c r="L7" s="32" t="s">
        <v>284</v>
      </c>
      <c r="M7" s="33" t="s">
        <v>33</v>
      </c>
      <c r="N7" s="32" t="s">
        <v>283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33" t="s">
        <v>281</v>
      </c>
      <c r="L8" s="9" t="s">
        <v>560</v>
      </c>
      <c r="M8" s="33" t="s">
        <v>34</v>
      </c>
      <c r="N8" s="9" t="s">
        <v>199</v>
      </c>
      <c r="O8" s="33" t="s">
        <v>34</v>
      </c>
      <c r="P8" s="9"/>
      <c r="Q8" s="33" t="s">
        <v>34</v>
      </c>
      <c r="R8" s="9"/>
      <c r="S8" s="79"/>
      <c r="T8" s="80"/>
      <c r="U8" s="81" t="s">
        <v>586</v>
      </c>
      <c r="V8" s="52"/>
    </row>
    <row r="9" spans="1:22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33"/>
      <c r="O9" s="33"/>
      <c r="P9" s="33"/>
      <c r="Q9" s="33"/>
      <c r="R9" s="33"/>
      <c r="S9" s="81" t="s">
        <v>594</v>
      </c>
      <c r="T9" s="52"/>
      <c r="U9" s="81" t="s">
        <v>595</v>
      </c>
      <c r="V9" s="52"/>
    </row>
    <row r="10" spans="1:22" s="11" customFormat="1" ht="52" x14ac:dyDescent="0.2">
      <c r="A10" s="39" t="s">
        <v>170</v>
      </c>
      <c r="B10" s="40"/>
      <c r="C10" s="40"/>
      <c r="D10" s="41"/>
      <c r="E10" s="42"/>
      <c r="F10" s="42"/>
      <c r="G10" s="43"/>
      <c r="H10" s="43"/>
      <c r="I10" s="42"/>
      <c r="J10" s="42"/>
      <c r="K10" s="76" t="s">
        <v>592</v>
      </c>
      <c r="L10" s="76" t="s">
        <v>593</v>
      </c>
      <c r="M10" s="76" t="s">
        <v>592</v>
      </c>
      <c r="N10" s="76" t="s">
        <v>593</v>
      </c>
      <c r="O10" s="76" t="s">
        <v>592</v>
      </c>
      <c r="P10" s="76" t="s">
        <v>593</v>
      </c>
      <c r="Q10" s="76" t="s">
        <v>592</v>
      </c>
      <c r="R10" s="76" t="s">
        <v>593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309</v>
      </c>
      <c r="E11" s="34" t="s">
        <v>279</v>
      </c>
      <c r="F11" s="44"/>
      <c r="G11" s="28" t="s">
        <v>137</v>
      </c>
      <c r="H11" s="45" t="s">
        <v>465</v>
      </c>
      <c r="I11" s="46"/>
      <c r="J11" s="47"/>
      <c r="K11" s="48" t="s">
        <v>122</v>
      </c>
      <c r="L11" s="48"/>
      <c r="M11" s="48" t="s">
        <v>423</v>
      </c>
      <c r="N11" s="48"/>
      <c r="O11" s="48"/>
      <c r="P11" s="48"/>
      <c r="Q11" s="48"/>
      <c r="R11" s="48"/>
      <c r="S11" s="35"/>
      <c r="T11" s="36"/>
      <c r="U11" s="60"/>
      <c r="V11" s="49"/>
    </row>
    <row r="12" spans="1:22" s="11" customFormat="1" ht="26" x14ac:dyDescent="0.2">
      <c r="A12" s="9">
        <v>10</v>
      </c>
      <c r="B12" s="9"/>
      <c r="C12" s="9"/>
      <c r="D12" s="9" t="s">
        <v>63</v>
      </c>
      <c r="E12" s="50" t="s">
        <v>106</v>
      </c>
      <c r="F12" s="50"/>
      <c r="G12" s="51" t="s">
        <v>625</v>
      </c>
      <c r="H12" s="51" t="s">
        <v>464</v>
      </c>
      <c r="I12" s="9" t="s">
        <v>403</v>
      </c>
      <c r="J12" s="9"/>
      <c r="K12" s="9" t="s">
        <v>404</v>
      </c>
      <c r="L12" s="9"/>
      <c r="M12" s="9" t="s">
        <v>404</v>
      </c>
      <c r="N12" s="9"/>
      <c r="O12" s="9"/>
      <c r="P12" s="9"/>
      <c r="Q12" s="9"/>
      <c r="R12" s="9"/>
      <c r="S12" s="41"/>
      <c r="T12" s="52"/>
      <c r="U12" s="84"/>
      <c r="V12" s="85"/>
    </row>
    <row r="13" spans="1:22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609</v>
      </c>
      <c r="H13" s="51" t="s">
        <v>421</v>
      </c>
      <c r="I13" s="9" t="s">
        <v>403</v>
      </c>
      <c r="J13" s="9"/>
      <c r="K13" s="9" t="s">
        <v>404</v>
      </c>
      <c r="L13" s="9"/>
      <c r="M13" s="9"/>
      <c r="N13" s="9"/>
      <c r="O13" s="9"/>
      <c r="P13" s="9"/>
      <c r="Q13" s="9"/>
      <c r="R13" s="9"/>
      <c r="S13" s="41"/>
      <c r="T13" s="52"/>
      <c r="U13" s="84"/>
      <c r="V13" s="85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5"/>
      <c r="V15" s="55"/>
    </row>
    <row r="16" spans="1:22" s="11" customFormat="1" x14ac:dyDescent="0.2">
      <c r="A16" s="65"/>
      <c r="V16" s="55"/>
    </row>
    <row r="17" spans="1:22" s="11" customFormat="1" x14ac:dyDescent="0.2">
      <c r="A17" s="65"/>
      <c r="V17" s="55"/>
    </row>
    <row r="18" spans="1:22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60">
    <pageSetUpPr fitToPage="1"/>
  </sheetPr>
  <dimension ref="A1:R2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8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200</v>
      </c>
      <c r="K2" s="7" t="s">
        <v>21</v>
      </c>
      <c r="L2" s="64" t="str">
        <f>IF(LogicCommon!G2="","",LogicCommon!G2)</f>
        <v>MC</v>
      </c>
      <c r="M2" s="5" t="s">
        <v>124</v>
      </c>
      <c r="N2" s="28" t="str">
        <f>L4 &amp; ".Checker"</f>
        <v>MA.MAUDL5010.Checker</v>
      </c>
      <c r="O2" s="7"/>
      <c r="P2" s="7"/>
      <c r="Q2" s="4"/>
      <c r="R2" s="4"/>
    </row>
    <row r="3" spans="1:18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125</v>
      </c>
      <c r="K3" s="7" t="s">
        <v>22</v>
      </c>
      <c r="L3" s="64" t="str">
        <f>IF(LogicCommon!G3="","",LogicCommon!G3)</f>
        <v/>
      </c>
      <c r="M3" s="68" t="s">
        <v>126</v>
      </c>
      <c r="N3" s="7"/>
      <c r="O3" s="7" t="s">
        <v>193</v>
      </c>
      <c r="P3" s="9" t="s">
        <v>194</v>
      </c>
      <c r="Q3" s="4"/>
      <c r="R3" s="4"/>
    </row>
    <row r="4" spans="1:18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127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4"/>
    </row>
    <row r="5" spans="1:18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4"/>
    </row>
    <row r="6" spans="1:18" s="11" customFormat="1" x14ac:dyDescent="0.2">
      <c r="A6" s="65" t="s">
        <v>140</v>
      </c>
      <c r="B6" s="66"/>
      <c r="C6" s="66"/>
      <c r="D6" s="4" t="s">
        <v>5</v>
      </c>
      <c r="E6" s="16" t="s">
        <v>371</v>
      </c>
      <c r="F6" s="16"/>
      <c r="G6" s="16"/>
      <c r="H6" s="16"/>
      <c r="I6" s="16"/>
      <c r="J6" s="16"/>
      <c r="K6" s="16"/>
      <c r="L6" s="72"/>
      <c r="M6" s="19"/>
      <c r="N6" s="19" t="s">
        <v>169</v>
      </c>
      <c r="O6" s="19"/>
      <c r="P6" s="19"/>
      <c r="Q6" s="19"/>
      <c r="R6" s="27"/>
    </row>
    <row r="7" spans="1:18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128</v>
      </c>
      <c r="L7" s="32" t="s">
        <v>128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9" t="s">
        <v>139</v>
      </c>
      <c r="L8" s="9" t="s">
        <v>246</v>
      </c>
      <c r="M8" s="33" t="s">
        <v>34</v>
      </c>
      <c r="N8" s="9"/>
      <c r="O8" s="79"/>
      <c r="P8" s="80"/>
      <c r="Q8" s="81" t="s">
        <v>586</v>
      </c>
      <c r="R8" s="52"/>
    </row>
    <row r="9" spans="1:18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33"/>
      <c r="O9" s="81" t="s">
        <v>594</v>
      </c>
      <c r="P9" s="52"/>
      <c r="Q9" s="81" t="s">
        <v>595</v>
      </c>
      <c r="R9" s="52"/>
    </row>
    <row r="10" spans="1:18" s="11" customFormat="1" ht="52" x14ac:dyDescent="0.2">
      <c r="A10" s="39" t="s">
        <v>135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76" t="s">
        <v>592</v>
      </c>
      <c r="N10" s="76" t="s">
        <v>593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201</v>
      </c>
      <c r="E11" s="34" t="s">
        <v>32</v>
      </c>
      <c r="F11" s="44"/>
      <c r="G11" s="28" t="s">
        <v>248</v>
      </c>
      <c r="H11" s="45" t="s">
        <v>562</v>
      </c>
      <c r="I11" s="46"/>
      <c r="J11" s="47"/>
      <c r="K11" s="48"/>
      <c r="L11" s="48"/>
      <c r="M11" s="48"/>
      <c r="N11" s="48"/>
      <c r="O11" s="35"/>
      <c r="P11" s="36"/>
      <c r="Q11" s="60"/>
      <c r="R11" s="49"/>
    </row>
    <row r="12" spans="1:18" s="11" customFormat="1" x14ac:dyDescent="0.2">
      <c r="A12" s="9">
        <v>10</v>
      </c>
      <c r="B12" s="9"/>
      <c r="C12" s="9"/>
      <c r="D12" s="9" t="s">
        <v>65</v>
      </c>
      <c r="E12" s="50" t="s">
        <v>249</v>
      </c>
      <c r="F12" s="50"/>
      <c r="G12" s="51" t="s">
        <v>628</v>
      </c>
      <c r="H12" s="51" t="s">
        <v>466</v>
      </c>
      <c r="I12" s="9" t="s">
        <v>403</v>
      </c>
      <c r="J12" s="9"/>
      <c r="K12" s="9" t="s">
        <v>404</v>
      </c>
      <c r="L12" s="9"/>
      <c r="M12" s="9"/>
      <c r="N12" s="9"/>
      <c r="O12" s="41"/>
      <c r="P12" s="52"/>
      <c r="Q12" s="84"/>
      <c r="R12" s="85"/>
    </row>
    <row r="13" spans="1:18" s="11" customFormat="1" ht="26" x14ac:dyDescent="0.2">
      <c r="A13" s="9">
        <v>10</v>
      </c>
      <c r="B13" s="9"/>
      <c r="C13" s="9"/>
      <c r="D13" s="9" t="s">
        <v>66</v>
      </c>
      <c r="E13" s="50" t="s">
        <v>250</v>
      </c>
      <c r="F13" s="50"/>
      <c r="G13" s="51" t="s">
        <v>629</v>
      </c>
      <c r="H13" s="51" t="s">
        <v>467</v>
      </c>
      <c r="I13" s="9" t="s">
        <v>403</v>
      </c>
      <c r="J13" s="9"/>
      <c r="K13" s="9" t="s">
        <v>404</v>
      </c>
      <c r="L13" s="9"/>
      <c r="M13" s="9"/>
      <c r="N13" s="9"/>
      <c r="O13" s="41"/>
      <c r="P13" s="52"/>
      <c r="Q13" s="84"/>
      <c r="R13" s="85"/>
    </row>
    <row r="14" spans="1:18" s="11" customFormat="1" x14ac:dyDescent="0.2">
      <c r="A14" s="9">
        <v>10</v>
      </c>
      <c r="B14" s="9"/>
      <c r="C14" s="9"/>
      <c r="D14" s="9" t="s">
        <v>202</v>
      </c>
      <c r="E14" s="50" t="s">
        <v>104</v>
      </c>
      <c r="F14" s="50"/>
      <c r="G14" s="51" t="s">
        <v>622</v>
      </c>
      <c r="H14" s="51" t="s">
        <v>448</v>
      </c>
      <c r="I14" s="9" t="s">
        <v>403</v>
      </c>
      <c r="J14" s="9"/>
      <c r="K14" s="9"/>
      <c r="L14" s="9" t="s">
        <v>449</v>
      </c>
      <c r="M14" s="9"/>
      <c r="N14" s="9"/>
      <c r="O14" s="41"/>
      <c r="P14" s="52"/>
      <c r="Q14" s="84"/>
      <c r="R14" s="85"/>
    </row>
    <row r="15" spans="1:18" s="11" customFormat="1" x14ac:dyDescent="0.2">
      <c r="A15" s="9">
        <v>10</v>
      </c>
      <c r="B15" s="9"/>
      <c r="C15" s="9"/>
      <c r="D15" s="9" t="s">
        <v>203</v>
      </c>
      <c r="E15" s="50" t="s">
        <v>105</v>
      </c>
      <c r="F15" s="50"/>
      <c r="G15" s="51" t="s">
        <v>623</v>
      </c>
      <c r="H15" s="51" t="s">
        <v>450</v>
      </c>
      <c r="I15" s="9" t="s">
        <v>403</v>
      </c>
      <c r="J15" s="9"/>
      <c r="K15" s="9"/>
      <c r="L15" s="9" t="s">
        <v>451</v>
      </c>
      <c r="M15" s="9"/>
      <c r="N15" s="9"/>
      <c r="O15" s="41"/>
      <c r="P15" s="52"/>
      <c r="Q15" s="84"/>
      <c r="R15" s="85"/>
    </row>
    <row r="16" spans="1:18" s="11" customFormat="1" x14ac:dyDescent="0.2">
      <c r="A16" s="9">
        <v>10</v>
      </c>
      <c r="B16" s="9"/>
      <c r="C16" s="9"/>
      <c r="D16" s="9" t="s">
        <v>67</v>
      </c>
      <c r="E16" s="50" t="s">
        <v>30</v>
      </c>
      <c r="F16" s="50"/>
      <c r="G16" s="51" t="s">
        <v>630</v>
      </c>
      <c r="H16" s="51" t="s">
        <v>468</v>
      </c>
      <c r="I16" s="9" t="s">
        <v>403</v>
      </c>
      <c r="J16" s="9"/>
      <c r="K16" s="9" t="s">
        <v>404</v>
      </c>
      <c r="L16" s="9"/>
      <c r="M16" s="9"/>
      <c r="N16" s="9"/>
      <c r="O16" s="41"/>
      <c r="P16" s="52"/>
      <c r="Q16" s="84"/>
      <c r="R16" s="85"/>
    </row>
    <row r="17" spans="1:18" s="11" customFormat="1" x14ac:dyDescent="0.2">
      <c r="A17" s="9">
        <v>10</v>
      </c>
      <c r="B17" s="9"/>
      <c r="C17" s="9"/>
      <c r="D17" s="9" t="s">
        <v>68</v>
      </c>
      <c r="E17" s="50" t="s">
        <v>30</v>
      </c>
      <c r="F17" s="50"/>
      <c r="G17" s="51" t="s">
        <v>631</v>
      </c>
      <c r="H17" s="51" t="s">
        <v>469</v>
      </c>
      <c r="I17" s="9" t="s">
        <v>403</v>
      </c>
      <c r="J17" s="9"/>
      <c r="K17" s="9" t="s">
        <v>404</v>
      </c>
      <c r="L17" s="9"/>
      <c r="M17" s="9"/>
      <c r="N17" s="9"/>
      <c r="O17" s="41"/>
      <c r="P17" s="52"/>
      <c r="Q17" s="84"/>
      <c r="R17" s="85"/>
    </row>
    <row r="18" spans="1:18" s="11" customFormat="1" x14ac:dyDescent="0.2">
      <c r="A18" s="9">
        <v>10</v>
      </c>
      <c r="B18" s="9"/>
      <c r="C18" s="9"/>
      <c r="D18" s="9" t="s">
        <v>24</v>
      </c>
      <c r="E18" s="50" t="s">
        <v>25</v>
      </c>
      <c r="F18" s="50"/>
      <c r="G18" s="51" t="s">
        <v>605</v>
      </c>
      <c r="H18" s="51" t="s">
        <v>417</v>
      </c>
      <c r="I18" s="9" t="s">
        <v>403</v>
      </c>
      <c r="J18" s="9"/>
      <c r="K18" s="9"/>
      <c r="L18" s="9"/>
      <c r="M18" s="9"/>
      <c r="N18" s="9"/>
      <c r="O18" s="41"/>
      <c r="P18" s="52"/>
      <c r="Q18" s="84"/>
      <c r="R18" s="85"/>
    </row>
    <row r="19" spans="1:18" s="11" customFormat="1" x14ac:dyDescent="0.2">
      <c r="A19" s="9">
        <v>10</v>
      </c>
      <c r="B19" s="9"/>
      <c r="C19" s="9"/>
      <c r="D19" s="9" t="s">
        <v>28</v>
      </c>
      <c r="E19" s="50" t="s">
        <v>29</v>
      </c>
      <c r="F19" s="50"/>
      <c r="G19" s="51" t="s">
        <v>606</v>
      </c>
      <c r="H19" s="51" t="s">
        <v>418</v>
      </c>
      <c r="I19" s="9" t="s">
        <v>403</v>
      </c>
      <c r="J19" s="9"/>
      <c r="K19" s="9"/>
      <c r="L19" s="9"/>
      <c r="M19" s="9"/>
      <c r="N19" s="9"/>
      <c r="O19" s="41"/>
      <c r="P19" s="52"/>
      <c r="Q19" s="84"/>
      <c r="R19" s="85"/>
    </row>
    <row r="20" spans="1:18" s="11" customFormat="1" x14ac:dyDescent="0.2">
      <c r="A20" s="9">
        <v>10</v>
      </c>
      <c r="B20" s="9"/>
      <c r="C20" s="9"/>
      <c r="D20" s="9" t="s">
        <v>26</v>
      </c>
      <c r="E20" s="50" t="s">
        <v>27</v>
      </c>
      <c r="F20" s="50"/>
      <c r="G20" s="51" t="s">
        <v>607</v>
      </c>
      <c r="H20" s="51" t="s">
        <v>419</v>
      </c>
      <c r="I20" s="9" t="s">
        <v>403</v>
      </c>
      <c r="J20" s="9"/>
      <c r="K20" s="9"/>
      <c r="L20" s="9"/>
      <c r="M20" s="9"/>
      <c r="N20" s="9"/>
      <c r="O20" s="41"/>
      <c r="P20" s="52"/>
      <c r="Q20" s="84"/>
      <c r="R20" s="85"/>
    </row>
    <row r="21" spans="1:18" s="11" customFormat="1" x14ac:dyDescent="0.2">
      <c r="A21" s="9">
        <v>10</v>
      </c>
      <c r="B21" s="9"/>
      <c r="C21" s="9"/>
      <c r="D21" s="9" t="s">
        <v>35</v>
      </c>
      <c r="E21" s="50" t="s">
        <v>30</v>
      </c>
      <c r="F21" s="50"/>
      <c r="G21" s="51" t="s">
        <v>608</v>
      </c>
      <c r="H21" s="51" t="s">
        <v>420</v>
      </c>
      <c r="I21" s="9" t="s">
        <v>403</v>
      </c>
      <c r="J21" s="9"/>
      <c r="K21" s="9"/>
      <c r="L21" s="9"/>
      <c r="M21" s="9"/>
      <c r="N21" s="9"/>
      <c r="O21" s="41"/>
      <c r="P21" s="52"/>
      <c r="Q21" s="84"/>
      <c r="R21" s="85"/>
    </row>
    <row r="22" spans="1:18" s="11" customFormat="1" x14ac:dyDescent="0.2">
      <c r="A22" s="9">
        <v>10</v>
      </c>
      <c r="B22" s="9"/>
      <c r="C22" s="9"/>
      <c r="D22" s="9" t="s">
        <v>36</v>
      </c>
      <c r="E22" s="50" t="s">
        <v>37</v>
      </c>
      <c r="F22" s="50"/>
      <c r="G22" s="51" t="s">
        <v>609</v>
      </c>
      <c r="H22" s="51" t="s">
        <v>421</v>
      </c>
      <c r="I22" s="9" t="s">
        <v>403</v>
      </c>
      <c r="J22" s="9"/>
      <c r="K22" s="9"/>
      <c r="L22" s="9"/>
      <c r="M22" s="9"/>
      <c r="N22" s="9"/>
      <c r="O22" s="41"/>
      <c r="P22" s="52"/>
      <c r="Q22" s="84"/>
      <c r="R22" s="85"/>
    </row>
    <row r="23" spans="1:18" s="11" customFormat="1" x14ac:dyDescent="0.2">
      <c r="A23" s="53"/>
      <c r="B23" s="54"/>
      <c r="C23" s="54"/>
      <c r="D23" s="27" t="s">
        <v>1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4"/>
      <c r="P23" s="4"/>
      <c r="Q23" s="6"/>
      <c r="R23" s="23"/>
    </row>
    <row r="24" spans="1:18" s="11" customFormat="1" x14ac:dyDescent="0.2">
      <c r="A24" s="65"/>
      <c r="R24" s="55"/>
    </row>
    <row r="25" spans="1:18" s="11" customFormat="1" x14ac:dyDescent="0.2">
      <c r="A25" s="65"/>
      <c r="R25" s="55"/>
    </row>
    <row r="26" spans="1:18" s="11" customFormat="1" x14ac:dyDescent="0.2">
      <c r="A26" s="65"/>
      <c r="R26" s="55"/>
    </row>
    <row r="27" spans="1:18" s="11" customFormat="1" x14ac:dyDescent="0.2">
      <c r="A27" s="70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20"/>
    </row>
  </sheetData>
  <dataConsolidate/>
  <mergeCells count="11">
    <mergeCell ref="Q22:R22"/>
    <mergeCell ref="Q12:R12"/>
    <mergeCell ref="Q13:R13"/>
    <mergeCell ref="Q14:R14"/>
    <mergeCell ref="Q15:R15"/>
    <mergeCell ref="Q16:R16"/>
    <mergeCell ref="Q17:R17"/>
    <mergeCell ref="Q18:R18"/>
    <mergeCell ref="Q19:R19"/>
    <mergeCell ref="Q20:R20"/>
    <mergeCell ref="Q21:R21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61">
    <pageSetUpPr fitToPage="1"/>
  </sheetPr>
  <dimension ref="A1:V2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204</v>
      </c>
      <c r="K2" s="7" t="s">
        <v>21</v>
      </c>
      <c r="L2" s="64" t="str">
        <f>IF(LogicCommon!G2="","",LogicCommon!G2)</f>
        <v>MC</v>
      </c>
      <c r="M2" s="5" t="s">
        <v>124</v>
      </c>
      <c r="N2" s="28" t="s">
        <v>545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129</v>
      </c>
      <c r="K3" s="7" t="s">
        <v>22</v>
      </c>
      <c r="L3" s="64" t="str">
        <f>IF(LogicCommon!G3="","",LogicCommon!G3)</f>
        <v/>
      </c>
      <c r="M3" s="68" t="s">
        <v>126</v>
      </c>
      <c r="N3" s="7"/>
      <c r="O3" s="7" t="s">
        <v>193</v>
      </c>
      <c r="P3" s="9" t="s">
        <v>194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31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140</v>
      </c>
      <c r="B6" s="66"/>
      <c r="C6" s="66"/>
      <c r="D6" s="4" t="s">
        <v>5</v>
      </c>
      <c r="E6" s="16" t="s">
        <v>372</v>
      </c>
      <c r="F6" s="16"/>
      <c r="G6" s="16"/>
      <c r="H6" s="16"/>
      <c r="I6" s="16"/>
      <c r="J6" s="16"/>
      <c r="K6" s="16"/>
      <c r="L6" s="72" t="s">
        <v>169</v>
      </c>
      <c r="M6" s="19"/>
      <c r="N6" s="19" t="s">
        <v>169</v>
      </c>
      <c r="O6" s="19"/>
      <c r="P6" s="19" t="s">
        <v>169</v>
      </c>
      <c r="Q6" s="19"/>
      <c r="R6" s="3" t="s">
        <v>169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130</v>
      </c>
      <c r="L7" s="32" t="s">
        <v>131</v>
      </c>
      <c r="M7" s="33" t="s">
        <v>33</v>
      </c>
      <c r="N7" s="32" t="s">
        <v>132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33" t="s">
        <v>134</v>
      </c>
      <c r="L8" s="9" t="s">
        <v>563</v>
      </c>
      <c r="M8" s="33" t="s">
        <v>34</v>
      </c>
      <c r="N8" s="9" t="s">
        <v>563</v>
      </c>
      <c r="O8" s="33" t="s">
        <v>34</v>
      </c>
      <c r="P8" s="9"/>
      <c r="Q8" s="33" t="s">
        <v>34</v>
      </c>
      <c r="R8" s="9"/>
      <c r="S8" s="79"/>
      <c r="T8" s="80"/>
      <c r="U8" s="81" t="s">
        <v>586</v>
      </c>
      <c r="V8" s="52"/>
    </row>
    <row r="9" spans="1:22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33"/>
      <c r="O9" s="33"/>
      <c r="P9" s="33"/>
      <c r="Q9" s="33"/>
      <c r="R9" s="33"/>
      <c r="S9" s="81" t="s">
        <v>594</v>
      </c>
      <c r="T9" s="52"/>
      <c r="U9" s="81" t="s">
        <v>595</v>
      </c>
      <c r="V9" s="52"/>
    </row>
    <row r="10" spans="1:22" s="11" customFormat="1" ht="52" x14ac:dyDescent="0.2">
      <c r="A10" s="39" t="s">
        <v>135</v>
      </c>
      <c r="B10" s="40"/>
      <c r="C10" s="40"/>
      <c r="D10" s="41"/>
      <c r="E10" s="42"/>
      <c r="F10" s="42"/>
      <c r="G10" s="43"/>
      <c r="H10" s="43"/>
      <c r="I10" s="42"/>
      <c r="J10" s="42"/>
      <c r="K10" s="76" t="s">
        <v>592</v>
      </c>
      <c r="L10" s="76" t="s">
        <v>593</v>
      </c>
      <c r="M10" s="76" t="s">
        <v>592</v>
      </c>
      <c r="N10" s="76" t="s">
        <v>593</v>
      </c>
      <c r="O10" s="76" t="s">
        <v>592</v>
      </c>
      <c r="P10" s="76" t="s">
        <v>593</v>
      </c>
      <c r="Q10" s="76" t="s">
        <v>592</v>
      </c>
      <c r="R10" s="76" t="s">
        <v>593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205</v>
      </c>
      <c r="E11" s="34" t="s">
        <v>136</v>
      </c>
      <c r="F11" s="44"/>
      <c r="G11" s="28" t="s">
        <v>137</v>
      </c>
      <c r="H11" s="45" t="s">
        <v>470</v>
      </c>
      <c r="I11" s="46"/>
      <c r="J11" s="47"/>
      <c r="K11" s="48" t="s">
        <v>122</v>
      </c>
      <c r="L11" s="48"/>
      <c r="M11" s="48" t="s">
        <v>423</v>
      </c>
      <c r="N11" s="48"/>
      <c r="O11" s="48"/>
      <c r="P11" s="48"/>
      <c r="Q11" s="48"/>
      <c r="R11" s="48"/>
      <c r="S11" s="35"/>
      <c r="T11" s="36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65</v>
      </c>
      <c r="E12" s="50" t="s">
        <v>251</v>
      </c>
      <c r="F12" s="50"/>
      <c r="G12" s="51" t="s">
        <v>628</v>
      </c>
      <c r="H12" s="51" t="s">
        <v>466</v>
      </c>
      <c r="I12" s="9" t="s">
        <v>403</v>
      </c>
      <c r="J12" s="9"/>
      <c r="K12" s="9" t="s">
        <v>404</v>
      </c>
      <c r="L12" s="9"/>
      <c r="M12" s="9" t="s">
        <v>404</v>
      </c>
      <c r="N12" s="9"/>
      <c r="O12" s="9"/>
      <c r="P12" s="9"/>
      <c r="Q12" s="9"/>
      <c r="R12" s="9"/>
      <c r="S12" s="41"/>
      <c r="T12" s="52"/>
      <c r="U12" s="84"/>
      <c r="V12" s="85"/>
    </row>
    <row r="13" spans="1:22" s="11" customFormat="1" ht="26" x14ac:dyDescent="0.2">
      <c r="A13" s="9">
        <v>10</v>
      </c>
      <c r="B13" s="9"/>
      <c r="C13" s="9"/>
      <c r="D13" s="9" t="s">
        <v>66</v>
      </c>
      <c r="E13" s="50" t="s">
        <v>252</v>
      </c>
      <c r="F13" s="50"/>
      <c r="G13" s="51" t="s">
        <v>629</v>
      </c>
      <c r="H13" s="51" t="s">
        <v>467</v>
      </c>
      <c r="I13" s="9" t="s">
        <v>403</v>
      </c>
      <c r="J13" s="9"/>
      <c r="K13" s="9" t="s">
        <v>404</v>
      </c>
      <c r="L13" s="9"/>
      <c r="M13" s="9" t="s">
        <v>404</v>
      </c>
      <c r="N13" s="9"/>
      <c r="O13" s="9"/>
      <c r="P13" s="9"/>
      <c r="Q13" s="9"/>
      <c r="R13" s="9"/>
      <c r="S13" s="41"/>
      <c r="T13" s="52"/>
      <c r="U13" s="84"/>
      <c r="V13" s="85"/>
    </row>
    <row r="14" spans="1:22" s="11" customFormat="1" x14ac:dyDescent="0.2">
      <c r="A14" s="9">
        <v>10</v>
      </c>
      <c r="B14" s="9"/>
      <c r="C14" s="9"/>
      <c r="D14" s="9" t="s">
        <v>202</v>
      </c>
      <c r="E14" s="50" t="s">
        <v>104</v>
      </c>
      <c r="F14" s="50"/>
      <c r="G14" s="51" t="s">
        <v>622</v>
      </c>
      <c r="H14" s="51" t="s">
        <v>448</v>
      </c>
      <c r="I14" s="9" t="s">
        <v>403</v>
      </c>
      <c r="J14" s="9"/>
      <c r="K14" s="9" t="s">
        <v>404</v>
      </c>
      <c r="L14" s="9"/>
      <c r="M14" s="9" t="s">
        <v>404</v>
      </c>
      <c r="N14" s="9"/>
      <c r="O14" s="9"/>
      <c r="P14" s="9"/>
      <c r="Q14" s="9"/>
      <c r="R14" s="9"/>
      <c r="S14" s="41"/>
      <c r="T14" s="52"/>
      <c r="U14" s="84"/>
      <c r="V14" s="85"/>
    </row>
    <row r="15" spans="1:22" s="11" customFormat="1" x14ac:dyDescent="0.2">
      <c r="A15" s="9">
        <v>10</v>
      </c>
      <c r="B15" s="9"/>
      <c r="C15" s="9"/>
      <c r="D15" s="9" t="s">
        <v>203</v>
      </c>
      <c r="E15" s="50" t="s">
        <v>105</v>
      </c>
      <c r="F15" s="50"/>
      <c r="G15" s="51" t="s">
        <v>623</v>
      </c>
      <c r="H15" s="51" t="s">
        <v>450</v>
      </c>
      <c r="I15" s="9" t="s">
        <v>403</v>
      </c>
      <c r="J15" s="9"/>
      <c r="K15" s="9" t="s">
        <v>404</v>
      </c>
      <c r="L15" s="9"/>
      <c r="M15" s="9" t="s">
        <v>404</v>
      </c>
      <c r="N15" s="9"/>
      <c r="O15" s="9"/>
      <c r="P15" s="9"/>
      <c r="Q15" s="9"/>
      <c r="R15" s="9"/>
      <c r="S15" s="41"/>
      <c r="T15" s="52"/>
      <c r="U15" s="84"/>
      <c r="V15" s="85"/>
    </row>
    <row r="16" spans="1:22" s="11" customFormat="1" x14ac:dyDescent="0.2">
      <c r="A16" s="9">
        <v>10</v>
      </c>
      <c r="B16" s="9"/>
      <c r="C16" s="9"/>
      <c r="D16" s="9" t="s">
        <v>67</v>
      </c>
      <c r="E16" s="50" t="s">
        <v>30</v>
      </c>
      <c r="F16" s="50"/>
      <c r="G16" s="51" t="s">
        <v>630</v>
      </c>
      <c r="H16" s="51" t="s">
        <v>468</v>
      </c>
      <c r="I16" s="9" t="s">
        <v>403</v>
      </c>
      <c r="J16" s="9"/>
      <c r="K16" s="9" t="s">
        <v>404</v>
      </c>
      <c r="L16" s="9"/>
      <c r="M16" s="9" t="s">
        <v>404</v>
      </c>
      <c r="N16" s="9"/>
      <c r="O16" s="9"/>
      <c r="P16" s="9"/>
      <c r="Q16" s="9"/>
      <c r="R16" s="9"/>
      <c r="S16" s="41"/>
      <c r="T16" s="52"/>
      <c r="U16" s="84"/>
      <c r="V16" s="85"/>
    </row>
    <row r="17" spans="1:22" s="11" customFormat="1" x14ac:dyDescent="0.2">
      <c r="A17" s="9">
        <v>10</v>
      </c>
      <c r="B17" s="9"/>
      <c r="C17" s="9"/>
      <c r="D17" s="9" t="s">
        <v>68</v>
      </c>
      <c r="E17" s="50" t="s">
        <v>30</v>
      </c>
      <c r="F17" s="50"/>
      <c r="G17" s="51" t="s">
        <v>631</v>
      </c>
      <c r="H17" s="51" t="s">
        <v>469</v>
      </c>
      <c r="I17" s="9" t="s">
        <v>403</v>
      </c>
      <c r="J17" s="9"/>
      <c r="K17" s="9" t="s">
        <v>404</v>
      </c>
      <c r="L17" s="9"/>
      <c r="M17" s="9" t="s">
        <v>404</v>
      </c>
      <c r="N17" s="9"/>
      <c r="O17" s="9"/>
      <c r="P17" s="9"/>
      <c r="Q17" s="9"/>
      <c r="R17" s="9"/>
      <c r="S17" s="41"/>
      <c r="T17" s="52"/>
      <c r="U17" s="84"/>
      <c r="V17" s="85"/>
    </row>
    <row r="18" spans="1:22" s="11" customFormat="1" x14ac:dyDescent="0.2">
      <c r="A18" s="9">
        <v>10</v>
      </c>
      <c r="B18" s="9"/>
      <c r="C18" s="9"/>
      <c r="D18" s="9" t="s">
        <v>24</v>
      </c>
      <c r="E18" s="50" t="s">
        <v>25</v>
      </c>
      <c r="F18" s="50"/>
      <c r="G18" s="51" t="s">
        <v>605</v>
      </c>
      <c r="H18" s="51" t="s">
        <v>417</v>
      </c>
      <c r="I18" s="9" t="s">
        <v>403</v>
      </c>
      <c r="J18" s="9"/>
      <c r="K18" s="9" t="s">
        <v>404</v>
      </c>
      <c r="L18" s="9"/>
      <c r="M18" s="9" t="s">
        <v>404</v>
      </c>
      <c r="N18" s="9"/>
      <c r="O18" s="9"/>
      <c r="P18" s="9"/>
      <c r="Q18" s="9"/>
      <c r="R18" s="9"/>
      <c r="S18" s="41"/>
      <c r="T18" s="52"/>
      <c r="U18" s="84"/>
      <c r="V18" s="85"/>
    </row>
    <row r="19" spans="1:22" s="11" customFormat="1" x14ac:dyDescent="0.2">
      <c r="A19" s="9">
        <v>10</v>
      </c>
      <c r="B19" s="9"/>
      <c r="C19" s="9"/>
      <c r="D19" s="9" t="s">
        <v>28</v>
      </c>
      <c r="E19" s="50" t="s">
        <v>29</v>
      </c>
      <c r="F19" s="50"/>
      <c r="G19" s="51" t="s">
        <v>606</v>
      </c>
      <c r="H19" s="51" t="s">
        <v>418</v>
      </c>
      <c r="I19" s="9" t="s">
        <v>403</v>
      </c>
      <c r="J19" s="9"/>
      <c r="K19" s="9" t="s">
        <v>404</v>
      </c>
      <c r="L19" s="9"/>
      <c r="M19" s="9" t="s">
        <v>404</v>
      </c>
      <c r="N19" s="9"/>
      <c r="O19" s="9"/>
      <c r="P19" s="9"/>
      <c r="Q19" s="9"/>
      <c r="R19" s="9"/>
      <c r="S19" s="41"/>
      <c r="T19" s="52"/>
      <c r="U19" s="84"/>
      <c r="V19" s="85"/>
    </row>
    <row r="20" spans="1:22" s="11" customFormat="1" x14ac:dyDescent="0.2">
      <c r="A20" s="9">
        <v>10</v>
      </c>
      <c r="B20" s="9"/>
      <c r="C20" s="9"/>
      <c r="D20" s="9" t="s">
        <v>26</v>
      </c>
      <c r="E20" s="50" t="s">
        <v>27</v>
      </c>
      <c r="F20" s="50"/>
      <c r="G20" s="51" t="s">
        <v>607</v>
      </c>
      <c r="H20" s="51" t="s">
        <v>419</v>
      </c>
      <c r="I20" s="9" t="s">
        <v>403</v>
      </c>
      <c r="J20" s="9"/>
      <c r="K20" s="9" t="s">
        <v>404</v>
      </c>
      <c r="L20" s="9"/>
      <c r="M20" s="9" t="s">
        <v>404</v>
      </c>
      <c r="N20" s="9"/>
      <c r="O20" s="9"/>
      <c r="P20" s="9"/>
      <c r="Q20" s="9"/>
      <c r="R20" s="9"/>
      <c r="S20" s="41"/>
      <c r="T20" s="52"/>
      <c r="U20" s="84"/>
      <c r="V20" s="85"/>
    </row>
    <row r="21" spans="1:22" s="11" customFormat="1" x14ac:dyDescent="0.2">
      <c r="A21" s="9">
        <v>10</v>
      </c>
      <c r="B21" s="9"/>
      <c r="C21" s="9"/>
      <c r="D21" s="9" t="s">
        <v>35</v>
      </c>
      <c r="E21" s="50" t="s">
        <v>30</v>
      </c>
      <c r="F21" s="50"/>
      <c r="G21" s="51" t="s">
        <v>608</v>
      </c>
      <c r="H21" s="51" t="s">
        <v>420</v>
      </c>
      <c r="I21" s="9" t="s">
        <v>403</v>
      </c>
      <c r="J21" s="9"/>
      <c r="K21" s="9" t="s">
        <v>404</v>
      </c>
      <c r="L21" s="9"/>
      <c r="M21" s="9" t="s">
        <v>404</v>
      </c>
      <c r="N21" s="9"/>
      <c r="O21" s="9"/>
      <c r="P21" s="9"/>
      <c r="Q21" s="9"/>
      <c r="R21" s="9"/>
      <c r="S21" s="41"/>
      <c r="T21" s="52"/>
      <c r="U21" s="84"/>
      <c r="V21" s="85"/>
    </row>
    <row r="22" spans="1:22" s="11" customFormat="1" x14ac:dyDescent="0.2">
      <c r="A22" s="9">
        <v>10</v>
      </c>
      <c r="B22" s="9"/>
      <c r="C22" s="9"/>
      <c r="D22" s="9" t="s">
        <v>36</v>
      </c>
      <c r="E22" s="50" t="s">
        <v>37</v>
      </c>
      <c r="F22" s="50"/>
      <c r="G22" s="51" t="s">
        <v>609</v>
      </c>
      <c r="H22" s="51" t="s">
        <v>421</v>
      </c>
      <c r="I22" s="9" t="s">
        <v>403</v>
      </c>
      <c r="J22" s="9"/>
      <c r="K22" s="9" t="s">
        <v>404</v>
      </c>
      <c r="L22" s="9"/>
      <c r="M22" s="9" t="s">
        <v>404</v>
      </c>
      <c r="N22" s="9"/>
      <c r="O22" s="9"/>
      <c r="P22" s="9"/>
      <c r="Q22" s="9"/>
      <c r="R22" s="9"/>
      <c r="S22" s="41"/>
      <c r="T22" s="52"/>
      <c r="U22" s="84"/>
      <c r="V22" s="85"/>
    </row>
    <row r="23" spans="1:22" s="11" customFormat="1" x14ac:dyDescent="0.2">
      <c r="A23" s="53"/>
      <c r="B23" s="54"/>
      <c r="C23" s="54"/>
      <c r="D23" s="27" t="s">
        <v>1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4"/>
      <c r="T23" s="4"/>
      <c r="U23" s="6"/>
      <c r="V23" s="23"/>
    </row>
    <row r="24" spans="1:22" s="11" customFormat="1" x14ac:dyDescent="0.2">
      <c r="A24" s="65"/>
      <c r="V24" s="55"/>
    </row>
    <row r="25" spans="1:22" s="11" customFormat="1" x14ac:dyDescent="0.2">
      <c r="A25" s="65"/>
      <c r="V25" s="55"/>
    </row>
    <row r="26" spans="1:22" s="11" customFormat="1" x14ac:dyDescent="0.2">
      <c r="A26" s="65"/>
      <c r="V26" s="55"/>
    </row>
    <row r="27" spans="1:22" s="11" customFormat="1" x14ac:dyDescent="0.2">
      <c r="A27" s="70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20"/>
    </row>
  </sheetData>
  <dataConsolidate/>
  <mergeCells count="11">
    <mergeCell ref="U22:V22"/>
    <mergeCell ref="U12:V12"/>
    <mergeCell ref="U13:V13"/>
    <mergeCell ref="U14:V14"/>
    <mergeCell ref="U15:V15"/>
    <mergeCell ref="U16:V16"/>
    <mergeCell ref="U17:V17"/>
    <mergeCell ref="U18:V18"/>
    <mergeCell ref="U19:V19"/>
    <mergeCell ref="U20:V20"/>
    <mergeCell ref="U21:V21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62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206</v>
      </c>
      <c r="K2" s="7" t="s">
        <v>21</v>
      </c>
      <c r="L2" s="64" t="str">
        <f>IF(LogicCommon!G2="","",LogicCommon!G2)</f>
        <v>MC</v>
      </c>
      <c r="M2" s="5" t="s">
        <v>124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125</v>
      </c>
      <c r="K3" s="7" t="s">
        <v>22</v>
      </c>
      <c r="L3" s="64" t="str">
        <f>IF(LogicCommon!G3="","",LogicCommon!G3)</f>
        <v/>
      </c>
      <c r="M3" s="68" t="s">
        <v>126</v>
      </c>
      <c r="N3" s="7"/>
      <c r="O3" s="7" t="s">
        <v>193</v>
      </c>
      <c r="P3" s="9" t="s">
        <v>194</v>
      </c>
      <c r="Q3" s="4"/>
    </row>
    <row r="4" spans="1:17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127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140</v>
      </c>
      <c r="B6" s="66"/>
      <c r="C6" s="66"/>
      <c r="D6" s="4" t="s">
        <v>5</v>
      </c>
      <c r="E6" s="16" t="s">
        <v>373</v>
      </c>
      <c r="F6" s="16"/>
      <c r="G6" s="16"/>
      <c r="H6" s="16"/>
      <c r="I6" s="16"/>
      <c r="J6" s="16"/>
      <c r="K6" s="16"/>
      <c r="L6" s="72"/>
      <c r="M6" s="19" t="s">
        <v>169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128</v>
      </c>
      <c r="L7" s="33" t="s">
        <v>33</v>
      </c>
      <c r="M7" s="32" t="s">
        <v>245</v>
      </c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9" t="s">
        <v>139</v>
      </c>
      <c r="L8" s="33" t="s">
        <v>34</v>
      </c>
      <c r="M8" s="9" t="s">
        <v>564</v>
      </c>
      <c r="N8" s="79"/>
      <c r="O8" s="80"/>
      <c r="P8" s="81" t="s">
        <v>586</v>
      </c>
      <c r="Q8" s="52"/>
    </row>
    <row r="9" spans="1:17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81" t="s">
        <v>594</v>
      </c>
      <c r="O9" s="52"/>
      <c r="P9" s="81" t="s">
        <v>595</v>
      </c>
      <c r="Q9" s="52"/>
    </row>
    <row r="10" spans="1:17" s="11" customFormat="1" ht="52" x14ac:dyDescent="0.2">
      <c r="A10" s="39" t="s">
        <v>135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76" t="s">
        <v>592</v>
      </c>
      <c r="M10" s="76" t="s">
        <v>593</v>
      </c>
      <c r="N10" s="42"/>
      <c r="O10" s="42"/>
      <c r="P10" s="43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207</v>
      </c>
      <c r="E11" s="34" t="s">
        <v>32</v>
      </c>
      <c r="F11" s="44"/>
      <c r="G11" s="28" t="s">
        <v>248</v>
      </c>
      <c r="H11" s="45" t="s">
        <v>471</v>
      </c>
      <c r="I11" s="46"/>
      <c r="J11" s="47"/>
      <c r="K11" s="48"/>
      <c r="L11" s="48" t="s">
        <v>423</v>
      </c>
      <c r="M11" s="48"/>
      <c r="N11" s="35"/>
      <c r="O11" s="36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65</v>
      </c>
      <c r="E12" s="50" t="s">
        <v>249</v>
      </c>
      <c r="F12" s="50"/>
      <c r="G12" s="51" t="s">
        <v>628</v>
      </c>
      <c r="H12" s="51" t="s">
        <v>466</v>
      </c>
      <c r="I12" s="9" t="s">
        <v>403</v>
      </c>
      <c r="J12" s="9"/>
      <c r="K12" s="9" t="s">
        <v>404</v>
      </c>
      <c r="L12" s="9" t="s">
        <v>404</v>
      </c>
      <c r="M12" s="9"/>
      <c r="N12" s="41"/>
      <c r="O12" s="52"/>
      <c r="P12" s="84"/>
      <c r="Q12" s="85"/>
    </row>
    <row r="13" spans="1:17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610</v>
      </c>
      <c r="H13" s="51" t="s">
        <v>425</v>
      </c>
      <c r="I13" s="9" t="s">
        <v>403</v>
      </c>
      <c r="J13" s="9"/>
      <c r="K13" s="9" t="s">
        <v>404</v>
      </c>
      <c r="L13" s="9"/>
      <c r="M13" s="9"/>
      <c r="N13" s="41"/>
      <c r="O13" s="52"/>
      <c r="P13" s="84"/>
      <c r="Q13" s="85"/>
    </row>
    <row r="14" spans="1:17" s="11" customFormat="1" x14ac:dyDescent="0.2">
      <c r="A14" s="9">
        <v>10</v>
      </c>
      <c r="B14" s="9"/>
      <c r="C14" s="9"/>
      <c r="D14" s="9" t="s">
        <v>66</v>
      </c>
      <c r="E14" s="50" t="s">
        <v>250</v>
      </c>
      <c r="F14" s="50"/>
      <c r="G14" s="51" t="s">
        <v>632</v>
      </c>
      <c r="H14" s="51" t="s">
        <v>472</v>
      </c>
      <c r="I14" s="9" t="s">
        <v>403</v>
      </c>
      <c r="J14" s="9"/>
      <c r="K14" s="9" t="s">
        <v>404</v>
      </c>
      <c r="L14" s="9"/>
      <c r="M14" s="9"/>
      <c r="N14" s="41"/>
      <c r="O14" s="52"/>
      <c r="P14" s="84"/>
      <c r="Q14" s="85"/>
    </row>
    <row r="15" spans="1:17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605</v>
      </c>
      <c r="H15" s="51" t="s">
        <v>417</v>
      </c>
      <c r="I15" s="9" t="s">
        <v>403</v>
      </c>
      <c r="J15" s="9"/>
      <c r="K15" s="9"/>
      <c r="L15" s="9"/>
      <c r="M15" s="9"/>
      <c r="N15" s="41"/>
      <c r="O15" s="52"/>
      <c r="P15" s="84"/>
      <c r="Q15" s="85"/>
    </row>
    <row r="16" spans="1:17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606</v>
      </c>
      <c r="H16" s="51" t="s">
        <v>418</v>
      </c>
      <c r="I16" s="9" t="s">
        <v>403</v>
      </c>
      <c r="J16" s="9"/>
      <c r="K16" s="9"/>
      <c r="L16" s="9"/>
      <c r="M16" s="9"/>
      <c r="N16" s="41"/>
      <c r="O16" s="52"/>
      <c r="P16" s="84"/>
      <c r="Q16" s="85"/>
    </row>
    <row r="17" spans="1:17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607</v>
      </c>
      <c r="H17" s="51" t="s">
        <v>419</v>
      </c>
      <c r="I17" s="9" t="s">
        <v>403</v>
      </c>
      <c r="J17" s="9"/>
      <c r="K17" s="9"/>
      <c r="L17" s="9"/>
      <c r="M17" s="9"/>
      <c r="N17" s="41"/>
      <c r="O17" s="52"/>
      <c r="P17" s="84"/>
      <c r="Q17" s="85"/>
    </row>
    <row r="18" spans="1:17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609</v>
      </c>
      <c r="H18" s="51" t="s">
        <v>421</v>
      </c>
      <c r="I18" s="9" t="s">
        <v>403</v>
      </c>
      <c r="J18" s="9"/>
      <c r="K18" s="9"/>
      <c r="L18" s="9"/>
      <c r="M18" s="9"/>
      <c r="N18" s="41"/>
      <c r="O18" s="52"/>
      <c r="P18" s="84"/>
      <c r="Q18" s="85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63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208</v>
      </c>
      <c r="K2" s="7" t="s">
        <v>21</v>
      </c>
      <c r="L2" s="64" t="str">
        <f>IF(LogicCommon!G2="","",LogicCommon!G2)</f>
        <v>MC</v>
      </c>
      <c r="M2" s="5" t="s">
        <v>124</v>
      </c>
      <c r="N2" s="28" t="s">
        <v>545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129</v>
      </c>
      <c r="K3" s="7" t="s">
        <v>22</v>
      </c>
      <c r="L3" s="64" t="str">
        <f>IF(LogicCommon!G3="","",LogicCommon!G3)</f>
        <v/>
      </c>
      <c r="M3" s="68" t="s">
        <v>126</v>
      </c>
      <c r="N3" s="7"/>
      <c r="O3" s="7" t="s">
        <v>193</v>
      </c>
      <c r="P3" s="9" t="s">
        <v>194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31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140</v>
      </c>
      <c r="B6" s="66"/>
      <c r="C6" s="66"/>
      <c r="D6" s="4" t="s">
        <v>5</v>
      </c>
      <c r="E6" s="16" t="s">
        <v>374</v>
      </c>
      <c r="F6" s="16"/>
      <c r="G6" s="16"/>
      <c r="H6" s="16"/>
      <c r="I6" s="16"/>
      <c r="J6" s="16"/>
      <c r="K6" s="16"/>
      <c r="L6" s="72" t="s">
        <v>169</v>
      </c>
      <c r="M6" s="19"/>
      <c r="N6" s="19" t="s">
        <v>169</v>
      </c>
      <c r="O6" s="19"/>
      <c r="P6" s="19" t="s">
        <v>169</v>
      </c>
      <c r="Q6" s="19"/>
      <c r="R6" s="3" t="s">
        <v>169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130</v>
      </c>
      <c r="L7" s="32" t="s">
        <v>131</v>
      </c>
      <c r="M7" s="33" t="s">
        <v>33</v>
      </c>
      <c r="N7" s="32" t="s">
        <v>132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33" t="s">
        <v>134</v>
      </c>
      <c r="L8" s="9" t="s">
        <v>210</v>
      </c>
      <c r="M8" s="33" t="s">
        <v>34</v>
      </c>
      <c r="N8" s="9" t="s">
        <v>210</v>
      </c>
      <c r="O8" s="33" t="s">
        <v>34</v>
      </c>
      <c r="P8" s="9"/>
      <c r="Q8" s="33" t="s">
        <v>34</v>
      </c>
      <c r="R8" s="9"/>
      <c r="S8" s="79"/>
      <c r="T8" s="80"/>
      <c r="U8" s="81" t="s">
        <v>586</v>
      </c>
      <c r="V8" s="52"/>
    </row>
    <row r="9" spans="1:22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33"/>
      <c r="O9" s="33"/>
      <c r="P9" s="33"/>
      <c r="Q9" s="33"/>
      <c r="R9" s="33"/>
      <c r="S9" s="81" t="s">
        <v>594</v>
      </c>
      <c r="T9" s="52"/>
      <c r="U9" s="81" t="s">
        <v>595</v>
      </c>
      <c r="V9" s="52"/>
    </row>
    <row r="10" spans="1:22" s="11" customFormat="1" ht="52" x14ac:dyDescent="0.2">
      <c r="A10" s="39" t="s">
        <v>135</v>
      </c>
      <c r="B10" s="40"/>
      <c r="C10" s="40"/>
      <c r="D10" s="41"/>
      <c r="E10" s="42"/>
      <c r="F10" s="42"/>
      <c r="G10" s="43"/>
      <c r="H10" s="43"/>
      <c r="I10" s="42"/>
      <c r="J10" s="42"/>
      <c r="K10" s="76" t="s">
        <v>592</v>
      </c>
      <c r="L10" s="76" t="s">
        <v>593</v>
      </c>
      <c r="M10" s="76" t="s">
        <v>592</v>
      </c>
      <c r="N10" s="76" t="s">
        <v>593</v>
      </c>
      <c r="O10" s="76" t="s">
        <v>592</v>
      </c>
      <c r="P10" s="76" t="s">
        <v>593</v>
      </c>
      <c r="Q10" s="76" t="s">
        <v>592</v>
      </c>
      <c r="R10" s="76" t="s">
        <v>593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209</v>
      </c>
      <c r="E11" s="34" t="s">
        <v>136</v>
      </c>
      <c r="F11" s="44"/>
      <c r="G11" s="28" t="s">
        <v>137</v>
      </c>
      <c r="H11" s="45" t="s">
        <v>473</v>
      </c>
      <c r="I11" s="46"/>
      <c r="J11" s="47"/>
      <c r="K11" s="48" t="s">
        <v>122</v>
      </c>
      <c r="L11" s="48"/>
      <c r="M11" s="48" t="s">
        <v>423</v>
      </c>
      <c r="N11" s="48"/>
      <c r="O11" s="48"/>
      <c r="P11" s="48"/>
      <c r="Q11" s="48"/>
      <c r="R11" s="48"/>
      <c r="S11" s="35"/>
      <c r="T11" s="36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65</v>
      </c>
      <c r="E12" s="50" t="s">
        <v>249</v>
      </c>
      <c r="F12" s="50"/>
      <c r="G12" s="51" t="s">
        <v>628</v>
      </c>
      <c r="H12" s="51" t="s">
        <v>466</v>
      </c>
      <c r="I12" s="9" t="s">
        <v>403</v>
      </c>
      <c r="J12" s="9"/>
      <c r="K12" s="9" t="s">
        <v>404</v>
      </c>
      <c r="L12" s="9"/>
      <c r="M12" s="9" t="s">
        <v>404</v>
      </c>
      <c r="N12" s="9"/>
      <c r="O12" s="9"/>
      <c r="P12" s="9"/>
      <c r="Q12" s="9"/>
      <c r="R12" s="9"/>
      <c r="S12" s="41"/>
      <c r="T12" s="52"/>
      <c r="U12" s="84"/>
      <c r="V12" s="85"/>
    </row>
    <row r="13" spans="1:22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610</v>
      </c>
      <c r="H13" s="51" t="s">
        <v>425</v>
      </c>
      <c r="I13" s="9" t="s">
        <v>403</v>
      </c>
      <c r="J13" s="9"/>
      <c r="K13" s="9" t="s">
        <v>404</v>
      </c>
      <c r="L13" s="9"/>
      <c r="M13" s="9" t="s">
        <v>404</v>
      </c>
      <c r="N13" s="9"/>
      <c r="O13" s="9"/>
      <c r="P13" s="9"/>
      <c r="Q13" s="9"/>
      <c r="R13" s="9"/>
      <c r="S13" s="41"/>
      <c r="T13" s="52"/>
      <c r="U13" s="84"/>
      <c r="V13" s="85"/>
    </row>
    <row r="14" spans="1:22" s="11" customFormat="1" x14ac:dyDescent="0.2">
      <c r="A14" s="9">
        <v>10</v>
      </c>
      <c r="B14" s="9"/>
      <c r="C14" s="9"/>
      <c r="D14" s="9" t="s">
        <v>66</v>
      </c>
      <c r="E14" s="50" t="s">
        <v>250</v>
      </c>
      <c r="F14" s="50"/>
      <c r="G14" s="51" t="s">
        <v>632</v>
      </c>
      <c r="H14" s="51" t="s">
        <v>472</v>
      </c>
      <c r="I14" s="9" t="s">
        <v>403</v>
      </c>
      <c r="J14" s="9"/>
      <c r="K14" s="9" t="s">
        <v>404</v>
      </c>
      <c r="L14" s="9"/>
      <c r="M14" s="9" t="s">
        <v>404</v>
      </c>
      <c r="N14" s="9"/>
      <c r="O14" s="9"/>
      <c r="P14" s="9"/>
      <c r="Q14" s="9"/>
      <c r="R14" s="9"/>
      <c r="S14" s="41"/>
      <c r="T14" s="52"/>
      <c r="U14" s="84"/>
      <c r="V14" s="85"/>
    </row>
    <row r="15" spans="1:22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605</v>
      </c>
      <c r="H15" s="51" t="s">
        <v>417</v>
      </c>
      <c r="I15" s="9" t="s">
        <v>403</v>
      </c>
      <c r="J15" s="9"/>
      <c r="K15" s="9" t="s">
        <v>404</v>
      </c>
      <c r="L15" s="9"/>
      <c r="M15" s="9" t="s">
        <v>404</v>
      </c>
      <c r="N15" s="9"/>
      <c r="O15" s="9"/>
      <c r="P15" s="9"/>
      <c r="Q15" s="9"/>
      <c r="R15" s="9"/>
      <c r="S15" s="41"/>
      <c r="T15" s="52"/>
      <c r="U15" s="84"/>
      <c r="V15" s="85"/>
    </row>
    <row r="16" spans="1:22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606</v>
      </c>
      <c r="H16" s="51" t="s">
        <v>418</v>
      </c>
      <c r="I16" s="9" t="s">
        <v>403</v>
      </c>
      <c r="J16" s="9"/>
      <c r="K16" s="9" t="s">
        <v>404</v>
      </c>
      <c r="L16" s="9"/>
      <c r="M16" s="9" t="s">
        <v>404</v>
      </c>
      <c r="N16" s="9"/>
      <c r="O16" s="9"/>
      <c r="P16" s="9"/>
      <c r="Q16" s="9"/>
      <c r="R16" s="9"/>
      <c r="S16" s="41"/>
      <c r="T16" s="52"/>
      <c r="U16" s="84"/>
      <c r="V16" s="85"/>
    </row>
    <row r="17" spans="1:22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607</v>
      </c>
      <c r="H17" s="51" t="s">
        <v>419</v>
      </c>
      <c r="I17" s="9" t="s">
        <v>403</v>
      </c>
      <c r="J17" s="9"/>
      <c r="K17" s="9" t="s">
        <v>404</v>
      </c>
      <c r="L17" s="9"/>
      <c r="M17" s="9" t="s">
        <v>404</v>
      </c>
      <c r="N17" s="9"/>
      <c r="O17" s="9"/>
      <c r="P17" s="9"/>
      <c r="Q17" s="9"/>
      <c r="R17" s="9"/>
      <c r="S17" s="41"/>
      <c r="T17" s="52"/>
      <c r="U17" s="84"/>
      <c r="V17" s="85"/>
    </row>
    <row r="18" spans="1:22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609</v>
      </c>
      <c r="H18" s="51" t="s">
        <v>421</v>
      </c>
      <c r="I18" s="9" t="s">
        <v>403</v>
      </c>
      <c r="J18" s="9"/>
      <c r="K18" s="9" t="s">
        <v>404</v>
      </c>
      <c r="L18" s="9"/>
      <c r="M18" s="9" t="s">
        <v>404</v>
      </c>
      <c r="N18" s="9"/>
      <c r="O18" s="9"/>
      <c r="P18" s="9"/>
      <c r="Q18" s="9"/>
      <c r="R18" s="9"/>
      <c r="S18" s="41"/>
      <c r="T18" s="52"/>
      <c r="U18" s="84"/>
      <c r="V18" s="85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317</v>
      </c>
      <c r="K2" s="7" t="s">
        <v>21</v>
      </c>
      <c r="L2" s="64" t="str">
        <f>IF(LogicCommon!G2="","",LogicCommon!G2)</f>
        <v>MC</v>
      </c>
      <c r="M2" s="5" t="s">
        <v>124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125</v>
      </c>
      <c r="K3" s="7" t="s">
        <v>22</v>
      </c>
      <c r="L3" s="64" t="str">
        <f>IF(LogicCommon!G3="","",LogicCommon!G3)</f>
        <v/>
      </c>
      <c r="M3" s="68" t="s">
        <v>292</v>
      </c>
      <c r="N3" s="7"/>
      <c r="O3" s="7" t="s">
        <v>193</v>
      </c>
      <c r="P3" s="9" t="s">
        <v>194</v>
      </c>
      <c r="Q3" s="4"/>
    </row>
    <row r="4" spans="1:17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127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140</v>
      </c>
      <c r="B6" s="66"/>
      <c r="C6" s="66"/>
      <c r="D6" s="4" t="s">
        <v>5</v>
      </c>
      <c r="E6" s="16" t="s">
        <v>375</v>
      </c>
      <c r="F6" s="16"/>
      <c r="G6" s="16"/>
      <c r="H6" s="16"/>
      <c r="I6" s="16"/>
      <c r="J6" s="16"/>
      <c r="K6" s="16"/>
      <c r="L6" s="72"/>
      <c r="M6" s="19" t="s">
        <v>169</v>
      </c>
      <c r="N6" s="19"/>
      <c r="O6" s="19"/>
      <c r="P6" s="19"/>
      <c r="Q6" s="19"/>
    </row>
    <row r="7" spans="1:17" s="11" customFormat="1" x14ac:dyDescent="0.2">
      <c r="A7" s="30" t="s">
        <v>282</v>
      </c>
      <c r="B7" s="30"/>
      <c r="C7" s="30"/>
      <c r="D7" s="31"/>
      <c r="E7" s="31"/>
      <c r="F7" s="31"/>
      <c r="G7" s="31"/>
      <c r="H7" s="31"/>
      <c r="I7" s="31" t="s">
        <v>171</v>
      </c>
      <c r="J7" s="31"/>
      <c r="K7" s="32" t="s">
        <v>316</v>
      </c>
      <c r="L7" s="33" t="s">
        <v>33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9" t="s">
        <v>273</v>
      </c>
      <c r="L8" s="33" t="s">
        <v>34</v>
      </c>
      <c r="M8" s="9"/>
      <c r="N8" s="79"/>
      <c r="O8" s="80"/>
      <c r="P8" s="81" t="s">
        <v>586</v>
      </c>
      <c r="Q8" s="52"/>
    </row>
    <row r="9" spans="1:17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81" t="s">
        <v>594</v>
      </c>
      <c r="O9" s="52"/>
      <c r="P9" s="81" t="s">
        <v>595</v>
      </c>
      <c r="Q9" s="52"/>
    </row>
    <row r="10" spans="1:17" s="11" customFormat="1" ht="52" x14ac:dyDescent="0.2">
      <c r="A10" s="39" t="s">
        <v>274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76" t="s">
        <v>592</v>
      </c>
      <c r="M10" s="76" t="s">
        <v>593</v>
      </c>
      <c r="N10" s="42"/>
      <c r="O10" s="42"/>
      <c r="P10" s="43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315</v>
      </c>
      <c r="E11" s="34" t="s">
        <v>32</v>
      </c>
      <c r="F11" s="44"/>
      <c r="G11" s="28"/>
      <c r="H11" s="45"/>
      <c r="I11" s="46"/>
      <c r="J11" s="47"/>
      <c r="K11" s="48"/>
      <c r="L11" s="48"/>
      <c r="M11" s="48"/>
      <c r="N11" s="35"/>
      <c r="O11" s="36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65</v>
      </c>
      <c r="E12" s="50" t="s">
        <v>314</v>
      </c>
      <c r="F12" s="50"/>
      <c r="G12" s="51" t="s">
        <v>628</v>
      </c>
      <c r="H12" s="51" t="s">
        <v>474</v>
      </c>
      <c r="I12" s="9" t="s">
        <v>403</v>
      </c>
      <c r="J12" s="9"/>
      <c r="K12" s="9" t="s">
        <v>404</v>
      </c>
      <c r="L12" s="9"/>
      <c r="M12" s="9"/>
      <c r="N12" s="41"/>
      <c r="O12" s="52"/>
      <c r="P12" s="84"/>
      <c r="Q12" s="85"/>
    </row>
    <row r="13" spans="1:17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609</v>
      </c>
      <c r="H13" s="51" t="s">
        <v>421</v>
      </c>
      <c r="I13" s="9" t="s">
        <v>403</v>
      </c>
      <c r="J13" s="9"/>
      <c r="K13" s="9"/>
      <c r="L13" s="9"/>
      <c r="M13" s="9"/>
      <c r="N13" s="41"/>
      <c r="O13" s="52"/>
      <c r="P13" s="84"/>
      <c r="Q13" s="85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5"/>
      <c r="Q15" s="55"/>
    </row>
    <row r="16" spans="1:17" s="11" customFormat="1" x14ac:dyDescent="0.2">
      <c r="A16" s="65"/>
      <c r="Q16" s="55"/>
    </row>
    <row r="17" spans="1:17" s="11" customFormat="1" x14ac:dyDescent="0.2">
      <c r="A17" s="65"/>
      <c r="Q17" s="55"/>
    </row>
    <row r="18" spans="1:17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V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319</v>
      </c>
      <c r="K2" s="7" t="s">
        <v>21</v>
      </c>
      <c r="L2" s="64" t="str">
        <f>IF(LogicCommon!G2="","",LogicCommon!G2)</f>
        <v>MC</v>
      </c>
      <c r="M2" s="5" t="s">
        <v>124</v>
      </c>
      <c r="N2" s="28" t="s">
        <v>546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286</v>
      </c>
      <c r="K3" s="7" t="s">
        <v>22</v>
      </c>
      <c r="L3" s="64" t="str">
        <f>IF(LogicCommon!G3="","",LogicCommon!G3)</f>
        <v/>
      </c>
      <c r="M3" s="68" t="s">
        <v>277</v>
      </c>
      <c r="N3" s="7"/>
      <c r="O3" s="7" t="s">
        <v>193</v>
      </c>
      <c r="P3" s="9" t="s">
        <v>194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285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140</v>
      </c>
      <c r="B6" s="66"/>
      <c r="C6" s="66"/>
      <c r="D6" s="4" t="s">
        <v>5</v>
      </c>
      <c r="E6" s="16" t="s">
        <v>376</v>
      </c>
      <c r="F6" s="16"/>
      <c r="G6" s="16"/>
      <c r="H6" s="16"/>
      <c r="I6" s="16"/>
      <c r="J6" s="16"/>
      <c r="K6" s="16"/>
      <c r="L6" s="72" t="s">
        <v>169</v>
      </c>
      <c r="M6" s="19"/>
      <c r="N6" s="19" t="s">
        <v>169</v>
      </c>
      <c r="O6" s="19"/>
      <c r="P6" s="19" t="s">
        <v>169</v>
      </c>
      <c r="Q6" s="19"/>
      <c r="R6" s="3" t="s">
        <v>169</v>
      </c>
      <c r="S6" s="4"/>
      <c r="T6" s="29"/>
      <c r="U6" s="29"/>
      <c r="V6" s="27"/>
    </row>
    <row r="7" spans="1:22" s="11" customFormat="1" x14ac:dyDescent="0.2">
      <c r="A7" s="30" t="s">
        <v>274</v>
      </c>
      <c r="B7" s="30"/>
      <c r="C7" s="30"/>
      <c r="D7" s="31"/>
      <c r="E7" s="31"/>
      <c r="F7" s="31"/>
      <c r="G7" s="31"/>
      <c r="H7" s="31"/>
      <c r="I7" s="31" t="s">
        <v>276</v>
      </c>
      <c r="J7" s="31"/>
      <c r="K7" s="33" t="s">
        <v>172</v>
      </c>
      <c r="L7" s="32" t="s">
        <v>284</v>
      </c>
      <c r="M7" s="33" t="s">
        <v>33</v>
      </c>
      <c r="N7" s="32" t="s">
        <v>283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33" t="s">
        <v>295</v>
      </c>
      <c r="L8" s="9" t="s">
        <v>563</v>
      </c>
      <c r="M8" s="33" t="s">
        <v>34</v>
      </c>
      <c r="N8" s="9" t="s">
        <v>210</v>
      </c>
      <c r="O8" s="33" t="s">
        <v>34</v>
      </c>
      <c r="P8" s="9"/>
      <c r="Q8" s="33" t="s">
        <v>34</v>
      </c>
      <c r="R8" s="9"/>
      <c r="S8" s="79"/>
      <c r="T8" s="80"/>
      <c r="U8" s="81" t="s">
        <v>586</v>
      </c>
      <c r="V8" s="52"/>
    </row>
    <row r="9" spans="1:22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33"/>
      <c r="O9" s="33"/>
      <c r="P9" s="33"/>
      <c r="Q9" s="33"/>
      <c r="R9" s="33"/>
      <c r="S9" s="81" t="s">
        <v>594</v>
      </c>
      <c r="T9" s="52"/>
      <c r="U9" s="81" t="s">
        <v>595</v>
      </c>
      <c r="V9" s="52"/>
    </row>
    <row r="10" spans="1:22" s="11" customFormat="1" ht="52" x14ac:dyDescent="0.2">
      <c r="A10" s="39" t="s">
        <v>170</v>
      </c>
      <c r="B10" s="40"/>
      <c r="C10" s="40"/>
      <c r="D10" s="41"/>
      <c r="E10" s="42"/>
      <c r="F10" s="42"/>
      <c r="G10" s="43"/>
      <c r="H10" s="43"/>
      <c r="I10" s="42"/>
      <c r="J10" s="42"/>
      <c r="K10" s="76" t="s">
        <v>592</v>
      </c>
      <c r="L10" s="76" t="s">
        <v>593</v>
      </c>
      <c r="M10" s="76" t="s">
        <v>592</v>
      </c>
      <c r="N10" s="76" t="s">
        <v>593</v>
      </c>
      <c r="O10" s="76" t="s">
        <v>592</v>
      </c>
      <c r="P10" s="76" t="s">
        <v>593</v>
      </c>
      <c r="Q10" s="76" t="s">
        <v>592</v>
      </c>
      <c r="R10" s="76" t="s">
        <v>593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318</v>
      </c>
      <c r="E11" s="34" t="s">
        <v>288</v>
      </c>
      <c r="F11" s="44"/>
      <c r="G11" s="28" t="s">
        <v>137</v>
      </c>
      <c r="H11" s="45" t="s">
        <v>475</v>
      </c>
      <c r="I11" s="46"/>
      <c r="J11" s="47"/>
      <c r="K11" s="48" t="s">
        <v>122</v>
      </c>
      <c r="L11" s="48"/>
      <c r="M11" s="48" t="s">
        <v>423</v>
      </c>
      <c r="N11" s="48"/>
      <c r="O11" s="48"/>
      <c r="P11" s="48"/>
      <c r="Q11" s="48"/>
      <c r="R11" s="48"/>
      <c r="S11" s="35"/>
      <c r="T11" s="36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65</v>
      </c>
      <c r="E12" s="50" t="s">
        <v>313</v>
      </c>
      <c r="F12" s="50"/>
      <c r="G12" s="51" t="s">
        <v>628</v>
      </c>
      <c r="H12" s="51" t="s">
        <v>474</v>
      </c>
      <c r="I12" s="9" t="s">
        <v>403</v>
      </c>
      <c r="J12" s="9"/>
      <c r="K12" s="9" t="s">
        <v>404</v>
      </c>
      <c r="L12" s="9"/>
      <c r="M12" s="9" t="s">
        <v>404</v>
      </c>
      <c r="N12" s="9"/>
      <c r="O12" s="9"/>
      <c r="P12" s="9"/>
      <c r="Q12" s="9"/>
      <c r="R12" s="9"/>
      <c r="S12" s="41"/>
      <c r="T12" s="52"/>
      <c r="U12" s="84"/>
      <c r="V12" s="85"/>
    </row>
    <row r="13" spans="1:22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609</v>
      </c>
      <c r="H13" s="51" t="s">
        <v>421</v>
      </c>
      <c r="I13" s="9" t="s">
        <v>403</v>
      </c>
      <c r="J13" s="9"/>
      <c r="K13" s="9" t="s">
        <v>404</v>
      </c>
      <c r="L13" s="9"/>
      <c r="M13" s="9"/>
      <c r="N13" s="9"/>
      <c r="O13" s="9"/>
      <c r="P13" s="9"/>
      <c r="Q13" s="9"/>
      <c r="R13" s="9"/>
      <c r="S13" s="41"/>
      <c r="T13" s="52"/>
      <c r="U13" s="84"/>
      <c r="V13" s="85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5"/>
      <c r="V15" s="55"/>
    </row>
    <row r="16" spans="1:22" s="11" customFormat="1" x14ac:dyDescent="0.2">
      <c r="A16" s="65"/>
      <c r="V16" s="55"/>
    </row>
    <row r="17" spans="1:22" s="11" customFormat="1" x14ac:dyDescent="0.2">
      <c r="A17" s="65"/>
      <c r="V17" s="55"/>
    </row>
    <row r="18" spans="1:22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68">
    <pageSetUpPr fitToPage="1"/>
  </sheetPr>
  <dimension ref="A1:U3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9.453125" style="29" customWidth="1"/>
    <col min="12" max="12" width="21.179687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11.08984375" style="27" customWidth="1"/>
    <col min="20" max="20" width="15.81640625" style="27" customWidth="1"/>
    <col min="21" max="23" width="11.08984375" style="27" customWidth="1"/>
    <col min="24" max="24" width="20.453125" style="27" bestFit="1" customWidth="1"/>
    <col min="25" max="25" width="9" style="27"/>
    <col min="26" max="26" width="13.90625" style="27" bestFit="1" customWidth="1"/>
    <col min="27" max="16384" width="9" style="27"/>
  </cols>
  <sheetData>
    <row r="1" spans="1:21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4"/>
      <c r="U1" s="27"/>
    </row>
    <row r="2" spans="1:21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211</v>
      </c>
      <c r="K2" s="7" t="s">
        <v>21</v>
      </c>
      <c r="L2" s="64" t="str">
        <f>IF(LogicCommon!G2="","",LogicCommon!G2)</f>
        <v>MC</v>
      </c>
      <c r="M2" s="5" t="s">
        <v>124</v>
      </c>
      <c r="N2" s="28" t="str">
        <f>L4 &amp; ".Checker"</f>
        <v>MA.MAUDL5010.Checker</v>
      </c>
      <c r="O2" s="7"/>
      <c r="P2" s="7"/>
      <c r="Q2" s="4"/>
      <c r="R2" s="4"/>
      <c r="S2" s="27"/>
      <c r="T2" s="4"/>
      <c r="U2" s="27"/>
    </row>
    <row r="3" spans="1:21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125</v>
      </c>
      <c r="K3" s="7" t="s">
        <v>22</v>
      </c>
      <c r="L3" s="64" t="str">
        <f>IF(LogicCommon!G3="","",LogicCommon!G3)</f>
        <v/>
      </c>
      <c r="M3" s="68" t="s">
        <v>126</v>
      </c>
      <c r="N3" s="7"/>
      <c r="O3" s="7" t="s">
        <v>193</v>
      </c>
      <c r="P3" s="9" t="s">
        <v>194</v>
      </c>
      <c r="Q3" s="4"/>
      <c r="R3" s="4"/>
      <c r="S3" s="27"/>
      <c r="T3" s="4"/>
      <c r="U3" s="27"/>
    </row>
    <row r="4" spans="1:21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127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4"/>
      <c r="S4" s="27"/>
      <c r="T4" s="4"/>
      <c r="U4" s="27"/>
    </row>
    <row r="5" spans="1:21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4"/>
      <c r="S5" s="27"/>
      <c r="T5" s="4"/>
      <c r="U5" s="27"/>
    </row>
    <row r="6" spans="1:21" s="11" customFormat="1" x14ac:dyDescent="0.2">
      <c r="A6" s="65" t="s">
        <v>140</v>
      </c>
      <c r="B6" s="66"/>
      <c r="C6" s="66"/>
      <c r="D6" s="4" t="s">
        <v>5</v>
      </c>
      <c r="E6" s="16" t="s">
        <v>377</v>
      </c>
      <c r="F6" s="16"/>
      <c r="G6" s="16"/>
      <c r="H6" s="16"/>
      <c r="I6" s="16"/>
      <c r="J6" s="16"/>
      <c r="K6" s="16"/>
      <c r="L6" s="72"/>
      <c r="M6" s="19"/>
      <c r="N6" s="19"/>
      <c r="O6" s="19"/>
      <c r="P6" s="19"/>
      <c r="Q6" s="19" t="s">
        <v>169</v>
      </c>
      <c r="R6" s="4"/>
      <c r="S6" s="29"/>
      <c r="T6" s="29"/>
      <c r="U6" s="27"/>
    </row>
    <row r="7" spans="1:21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128</v>
      </c>
      <c r="L7" s="32" t="s">
        <v>121</v>
      </c>
      <c r="M7" s="32" t="s">
        <v>121</v>
      </c>
      <c r="N7" s="32" t="s">
        <v>121</v>
      </c>
      <c r="O7" s="32" t="s">
        <v>128</v>
      </c>
      <c r="P7" s="33" t="s">
        <v>33</v>
      </c>
      <c r="Q7" s="32"/>
      <c r="R7" s="29"/>
      <c r="S7" s="29"/>
      <c r="T7" s="29"/>
      <c r="U7" s="29"/>
    </row>
    <row r="8" spans="1:21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9" t="s">
        <v>139</v>
      </c>
      <c r="L8" s="9" t="s">
        <v>247</v>
      </c>
      <c r="M8" s="9" t="s">
        <v>258</v>
      </c>
      <c r="N8" s="9" t="s">
        <v>259</v>
      </c>
      <c r="O8" s="9" t="s">
        <v>256</v>
      </c>
      <c r="P8" s="33" t="s">
        <v>34</v>
      </c>
      <c r="Q8" s="9"/>
      <c r="R8" s="79"/>
      <c r="S8" s="80"/>
      <c r="T8" s="81" t="s">
        <v>586</v>
      </c>
      <c r="U8" s="52"/>
    </row>
    <row r="9" spans="1:21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33"/>
      <c r="O9" s="33"/>
      <c r="P9" s="33"/>
      <c r="Q9" s="33"/>
      <c r="R9" s="81" t="s">
        <v>594</v>
      </c>
      <c r="S9" s="52"/>
      <c r="T9" s="81" t="s">
        <v>595</v>
      </c>
      <c r="U9" s="52"/>
    </row>
    <row r="10" spans="1:21" s="11" customFormat="1" ht="39" x14ac:dyDescent="0.2">
      <c r="A10" s="39" t="s">
        <v>135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76" t="s">
        <v>592</v>
      </c>
      <c r="Q10" s="76" t="s">
        <v>593</v>
      </c>
      <c r="R10" s="42"/>
      <c r="S10" s="42"/>
      <c r="T10" s="43"/>
      <c r="U10" s="36"/>
    </row>
    <row r="11" spans="1:21" s="11" customFormat="1" x14ac:dyDescent="0.2">
      <c r="A11" s="9">
        <v>10</v>
      </c>
      <c r="B11" s="37" t="s">
        <v>0</v>
      </c>
      <c r="C11" s="38"/>
      <c r="D11" s="28" t="s">
        <v>212</v>
      </c>
      <c r="E11" s="34" t="s">
        <v>32</v>
      </c>
      <c r="F11" s="44"/>
      <c r="G11" s="28" t="s">
        <v>248</v>
      </c>
      <c r="H11" s="45" t="s">
        <v>565</v>
      </c>
      <c r="I11" s="46"/>
      <c r="J11" s="47"/>
      <c r="K11" s="48"/>
      <c r="L11" s="48"/>
      <c r="M11" s="48"/>
      <c r="N11" s="48"/>
      <c r="O11" s="48"/>
      <c r="P11" s="48"/>
      <c r="Q11" s="48"/>
      <c r="R11" s="35"/>
      <c r="S11" s="36"/>
      <c r="T11" s="60"/>
      <c r="U11" s="49"/>
    </row>
    <row r="12" spans="1:21" s="11" customFormat="1" ht="26" x14ac:dyDescent="0.2">
      <c r="A12" s="9">
        <v>10</v>
      </c>
      <c r="B12" s="9"/>
      <c r="C12" s="9"/>
      <c r="D12" s="9" t="s">
        <v>69</v>
      </c>
      <c r="E12" s="50" t="s">
        <v>108</v>
      </c>
      <c r="F12" s="50"/>
      <c r="G12" s="51" t="s">
        <v>633</v>
      </c>
      <c r="H12" s="51" t="s">
        <v>476</v>
      </c>
      <c r="I12" s="9" t="s">
        <v>403</v>
      </c>
      <c r="J12" s="9"/>
      <c r="K12" s="9" t="s">
        <v>404</v>
      </c>
      <c r="L12" s="9"/>
      <c r="M12" s="9"/>
      <c r="N12" s="9"/>
      <c r="O12" s="9"/>
      <c r="P12" s="9"/>
      <c r="Q12" s="9"/>
      <c r="R12" s="41"/>
      <c r="S12" s="52"/>
      <c r="T12" s="84"/>
      <c r="U12" s="85"/>
    </row>
    <row r="13" spans="1:21" s="11" customFormat="1" ht="26" x14ac:dyDescent="0.2">
      <c r="A13" s="9">
        <v>10</v>
      </c>
      <c r="B13" s="9"/>
      <c r="C13" s="9"/>
      <c r="D13" s="9" t="s">
        <v>70</v>
      </c>
      <c r="E13" s="50" t="s">
        <v>109</v>
      </c>
      <c r="F13" s="50"/>
      <c r="G13" s="51" t="s">
        <v>634</v>
      </c>
      <c r="H13" s="51" t="s">
        <v>477</v>
      </c>
      <c r="I13" s="9" t="s">
        <v>403</v>
      </c>
      <c r="J13" s="9"/>
      <c r="K13" s="9" t="s">
        <v>404</v>
      </c>
      <c r="L13" s="9"/>
      <c r="M13" s="9"/>
      <c r="N13" s="9"/>
      <c r="O13" s="9"/>
      <c r="P13" s="9"/>
      <c r="Q13" s="9"/>
      <c r="R13" s="41"/>
      <c r="S13" s="52"/>
      <c r="T13" s="84"/>
      <c r="U13" s="85"/>
    </row>
    <row r="14" spans="1:21" s="11" customFormat="1" x14ac:dyDescent="0.2">
      <c r="A14" s="9">
        <v>10</v>
      </c>
      <c r="B14" s="9"/>
      <c r="C14" s="9"/>
      <c r="D14" s="9" t="s">
        <v>71</v>
      </c>
      <c r="E14" s="50" t="s">
        <v>30</v>
      </c>
      <c r="F14" s="50"/>
      <c r="G14" s="51" t="s">
        <v>635</v>
      </c>
      <c r="H14" s="51" t="s">
        <v>478</v>
      </c>
      <c r="I14" s="9" t="s">
        <v>403</v>
      </c>
      <c r="J14" s="9"/>
      <c r="K14" s="9"/>
      <c r="L14" s="9"/>
      <c r="M14" s="9"/>
      <c r="N14" s="9"/>
      <c r="O14" s="9"/>
      <c r="P14" s="9"/>
      <c r="Q14" s="9"/>
      <c r="R14" s="41"/>
      <c r="S14" s="52"/>
      <c r="T14" s="84"/>
      <c r="U14" s="85"/>
    </row>
    <row r="15" spans="1:21" s="11" customFormat="1" x14ac:dyDescent="0.2">
      <c r="A15" s="9">
        <v>10</v>
      </c>
      <c r="B15" s="9"/>
      <c r="C15" s="9"/>
      <c r="D15" s="9" t="s">
        <v>72</v>
      </c>
      <c r="E15" s="50" t="s">
        <v>110</v>
      </c>
      <c r="F15" s="50"/>
      <c r="G15" s="51" t="s">
        <v>636</v>
      </c>
      <c r="H15" s="51" t="s">
        <v>479</v>
      </c>
      <c r="I15" s="9" t="s">
        <v>403</v>
      </c>
      <c r="J15" s="9"/>
      <c r="K15" s="9"/>
      <c r="L15" s="9"/>
      <c r="M15" s="9"/>
      <c r="N15" s="9"/>
      <c r="O15" s="9" t="s">
        <v>480</v>
      </c>
      <c r="P15" s="9"/>
      <c r="Q15" s="9"/>
      <c r="R15" s="41"/>
      <c r="S15" s="52"/>
      <c r="T15" s="84"/>
      <c r="U15" s="85"/>
    </row>
    <row r="16" spans="1:21" s="11" customFormat="1" x14ac:dyDescent="0.2">
      <c r="A16" s="9">
        <v>10</v>
      </c>
      <c r="B16" s="9"/>
      <c r="C16" s="9"/>
      <c r="D16" s="9" t="s">
        <v>73</v>
      </c>
      <c r="E16" s="50" t="s">
        <v>111</v>
      </c>
      <c r="F16" s="50"/>
      <c r="G16" s="51" t="s">
        <v>637</v>
      </c>
      <c r="H16" s="51" t="s">
        <v>481</v>
      </c>
      <c r="I16" s="9" t="s">
        <v>403</v>
      </c>
      <c r="J16" s="9"/>
      <c r="K16" s="9"/>
      <c r="L16" s="9"/>
      <c r="M16" s="9"/>
      <c r="N16" s="9"/>
      <c r="O16" s="9"/>
      <c r="P16" s="9"/>
      <c r="Q16" s="9"/>
      <c r="R16" s="41"/>
      <c r="S16" s="52"/>
      <c r="T16" s="84"/>
      <c r="U16" s="85"/>
    </row>
    <row r="17" spans="1:21" s="11" customFormat="1" x14ac:dyDescent="0.2">
      <c r="A17" s="9">
        <v>10</v>
      </c>
      <c r="B17" s="9"/>
      <c r="C17" s="9"/>
      <c r="D17" s="9" t="s">
        <v>42</v>
      </c>
      <c r="E17" s="50" t="s">
        <v>45</v>
      </c>
      <c r="F17" s="50"/>
      <c r="G17" s="51" t="s">
        <v>638</v>
      </c>
      <c r="H17" s="51" t="s">
        <v>482</v>
      </c>
      <c r="I17" s="9" t="s">
        <v>403</v>
      </c>
      <c r="J17" s="9"/>
      <c r="K17" s="9"/>
      <c r="L17" s="9"/>
      <c r="M17" s="9"/>
      <c r="N17" s="9"/>
      <c r="O17" s="9"/>
      <c r="P17" s="9"/>
      <c r="Q17" s="9"/>
      <c r="R17" s="41"/>
      <c r="S17" s="52"/>
      <c r="T17" s="84"/>
      <c r="U17" s="85"/>
    </row>
    <row r="18" spans="1:21" s="11" customFormat="1" x14ac:dyDescent="0.2">
      <c r="A18" s="9">
        <v>10</v>
      </c>
      <c r="B18" s="9"/>
      <c r="C18" s="9"/>
      <c r="D18" s="9" t="s">
        <v>43</v>
      </c>
      <c r="E18" s="50" t="s">
        <v>46</v>
      </c>
      <c r="F18" s="50"/>
      <c r="G18" s="51" t="s">
        <v>639</v>
      </c>
      <c r="H18" s="51" t="s">
        <v>483</v>
      </c>
      <c r="I18" s="9" t="s">
        <v>403</v>
      </c>
      <c r="J18" s="9"/>
      <c r="K18" s="9"/>
      <c r="L18" s="9"/>
      <c r="M18" s="9"/>
      <c r="N18" s="9"/>
      <c r="O18" s="9"/>
      <c r="P18" s="9"/>
      <c r="Q18" s="9"/>
      <c r="R18" s="41"/>
      <c r="S18" s="52"/>
      <c r="T18" s="84"/>
      <c r="U18" s="85"/>
    </row>
    <row r="19" spans="1:21" s="11" customFormat="1" x14ac:dyDescent="0.2">
      <c r="A19" s="9">
        <v>10</v>
      </c>
      <c r="B19" s="9"/>
      <c r="C19" s="9"/>
      <c r="D19" s="9" t="s">
        <v>44</v>
      </c>
      <c r="E19" s="50" t="s">
        <v>47</v>
      </c>
      <c r="F19" s="50"/>
      <c r="G19" s="51" t="s">
        <v>640</v>
      </c>
      <c r="H19" s="51" t="s">
        <v>484</v>
      </c>
      <c r="I19" s="9" t="s">
        <v>403</v>
      </c>
      <c r="J19" s="9"/>
      <c r="K19" s="9"/>
      <c r="L19" s="9"/>
      <c r="M19" s="9"/>
      <c r="N19" s="9"/>
      <c r="O19" s="9"/>
      <c r="P19" s="9"/>
      <c r="Q19" s="9"/>
      <c r="R19" s="41"/>
      <c r="S19" s="52"/>
      <c r="T19" s="84"/>
      <c r="U19" s="85"/>
    </row>
    <row r="20" spans="1:21" s="11" customFormat="1" x14ac:dyDescent="0.2">
      <c r="A20" s="9">
        <v>10</v>
      </c>
      <c r="B20" s="9"/>
      <c r="C20" s="9"/>
      <c r="D20" s="9" t="s">
        <v>74</v>
      </c>
      <c r="E20" s="50" t="s">
        <v>112</v>
      </c>
      <c r="F20" s="50"/>
      <c r="G20" s="51" t="s">
        <v>641</v>
      </c>
      <c r="H20" s="51" t="s">
        <v>485</v>
      </c>
      <c r="I20" s="9" t="s">
        <v>403</v>
      </c>
      <c r="J20" s="9"/>
      <c r="K20" s="9"/>
      <c r="L20" s="9"/>
      <c r="M20" s="9"/>
      <c r="N20" s="9"/>
      <c r="O20" s="9" t="s">
        <v>486</v>
      </c>
      <c r="P20" s="9"/>
      <c r="Q20" s="9"/>
      <c r="R20" s="41"/>
      <c r="S20" s="52"/>
      <c r="T20" s="84"/>
      <c r="U20" s="85"/>
    </row>
    <row r="21" spans="1:21" s="11" customFormat="1" x14ac:dyDescent="0.2">
      <c r="A21" s="9">
        <v>10</v>
      </c>
      <c r="B21" s="9"/>
      <c r="C21" s="9"/>
      <c r="D21" s="9" t="s">
        <v>75</v>
      </c>
      <c r="E21" s="50" t="s">
        <v>112</v>
      </c>
      <c r="F21" s="50"/>
      <c r="G21" s="51" t="s">
        <v>642</v>
      </c>
      <c r="H21" s="51" t="s">
        <v>487</v>
      </c>
      <c r="I21" s="9" t="s">
        <v>403</v>
      </c>
      <c r="J21" s="9"/>
      <c r="K21" s="9"/>
      <c r="L21" s="9"/>
      <c r="M21" s="9"/>
      <c r="N21" s="9"/>
      <c r="O21" s="9" t="s">
        <v>486</v>
      </c>
      <c r="P21" s="9"/>
      <c r="Q21" s="9"/>
      <c r="R21" s="41"/>
      <c r="S21" s="52"/>
      <c r="T21" s="84"/>
      <c r="U21" s="85"/>
    </row>
    <row r="22" spans="1:21" s="11" customFormat="1" ht="26" x14ac:dyDescent="0.2">
      <c r="A22" s="9">
        <v>10</v>
      </c>
      <c r="B22" s="9"/>
      <c r="C22" s="9"/>
      <c r="D22" s="9" t="s">
        <v>76</v>
      </c>
      <c r="E22" s="50" t="s">
        <v>113</v>
      </c>
      <c r="F22" s="50"/>
      <c r="G22" s="51" t="s">
        <v>643</v>
      </c>
      <c r="H22" s="51" t="s">
        <v>488</v>
      </c>
      <c r="I22" s="9" t="s">
        <v>403</v>
      </c>
      <c r="J22" s="9"/>
      <c r="K22" s="9"/>
      <c r="L22" s="9" t="s">
        <v>489</v>
      </c>
      <c r="M22" s="9"/>
      <c r="N22" s="9"/>
      <c r="O22" s="9"/>
      <c r="P22" s="9"/>
      <c r="Q22" s="9"/>
      <c r="R22" s="41"/>
      <c r="S22" s="52"/>
      <c r="T22" s="84"/>
      <c r="U22" s="85"/>
    </row>
    <row r="23" spans="1:21" s="11" customFormat="1" ht="26" x14ac:dyDescent="0.2">
      <c r="A23" s="9">
        <v>10</v>
      </c>
      <c r="B23" s="9"/>
      <c r="C23" s="9"/>
      <c r="D23" s="9" t="s">
        <v>77</v>
      </c>
      <c r="E23" s="50" t="s">
        <v>115</v>
      </c>
      <c r="F23" s="50"/>
      <c r="G23" s="51" t="s">
        <v>644</v>
      </c>
      <c r="H23" s="51" t="s">
        <v>490</v>
      </c>
      <c r="I23" s="9" t="s">
        <v>403</v>
      </c>
      <c r="J23" s="9"/>
      <c r="K23" s="9"/>
      <c r="L23" s="9" t="s">
        <v>491</v>
      </c>
      <c r="M23" s="9"/>
      <c r="N23" s="9"/>
      <c r="O23" s="9"/>
      <c r="P23" s="9"/>
      <c r="Q23" s="9"/>
      <c r="R23" s="41"/>
      <c r="S23" s="52"/>
      <c r="T23" s="84"/>
      <c r="U23" s="85"/>
    </row>
    <row r="24" spans="1:21" s="11" customFormat="1" x14ac:dyDescent="0.2">
      <c r="A24" s="9">
        <v>10</v>
      </c>
      <c r="B24" s="9"/>
      <c r="C24" s="9"/>
      <c r="D24" s="9" t="s">
        <v>78</v>
      </c>
      <c r="E24" s="50" t="s">
        <v>117</v>
      </c>
      <c r="F24" s="50"/>
      <c r="G24" s="51" t="s">
        <v>645</v>
      </c>
      <c r="H24" s="51" t="s">
        <v>492</v>
      </c>
      <c r="I24" s="9" t="s">
        <v>403</v>
      </c>
      <c r="J24" s="9"/>
      <c r="K24" s="9"/>
      <c r="L24" s="9" t="s">
        <v>493</v>
      </c>
      <c r="M24" s="73" t="s">
        <v>581</v>
      </c>
      <c r="N24" s="9" t="s">
        <v>494</v>
      </c>
      <c r="O24" s="9"/>
      <c r="P24" s="9"/>
      <c r="Q24" s="9"/>
      <c r="R24" s="41"/>
      <c r="S24" s="52"/>
      <c r="T24" s="84"/>
      <c r="U24" s="85"/>
    </row>
    <row r="25" spans="1:21" s="11" customFormat="1" x14ac:dyDescent="0.2">
      <c r="A25" s="9">
        <v>10</v>
      </c>
      <c r="B25" s="9"/>
      <c r="C25" s="9"/>
      <c r="D25" s="9" t="s">
        <v>79</v>
      </c>
      <c r="E25" s="50" t="s">
        <v>91</v>
      </c>
      <c r="F25" s="50"/>
      <c r="G25" s="51" t="s">
        <v>616</v>
      </c>
      <c r="H25" s="51" t="s">
        <v>438</v>
      </c>
      <c r="I25" s="9" t="s">
        <v>403</v>
      </c>
      <c r="J25" s="9"/>
      <c r="K25" s="9"/>
      <c r="L25" s="9" t="s">
        <v>495</v>
      </c>
      <c r="M25" s="9"/>
      <c r="N25" s="9"/>
      <c r="O25" s="9"/>
      <c r="P25" s="9"/>
      <c r="Q25" s="9"/>
      <c r="R25" s="41"/>
      <c r="S25" s="52"/>
      <c r="T25" s="84"/>
      <c r="U25" s="85"/>
    </row>
    <row r="26" spans="1:21" s="11" customFormat="1" x14ac:dyDescent="0.2">
      <c r="A26" s="9">
        <v>10</v>
      </c>
      <c r="B26" s="9"/>
      <c r="C26" s="9"/>
      <c r="D26" s="9" t="s">
        <v>24</v>
      </c>
      <c r="E26" s="50" t="s">
        <v>25</v>
      </c>
      <c r="F26" s="50"/>
      <c r="G26" s="51" t="s">
        <v>605</v>
      </c>
      <c r="H26" s="51" t="s">
        <v>417</v>
      </c>
      <c r="I26" s="9" t="s">
        <v>403</v>
      </c>
      <c r="J26" s="9"/>
      <c r="K26" s="9"/>
      <c r="L26" s="9"/>
      <c r="M26" s="9"/>
      <c r="N26" s="9"/>
      <c r="O26" s="9"/>
      <c r="P26" s="9"/>
      <c r="Q26" s="9"/>
      <c r="R26" s="41"/>
      <c r="S26" s="52"/>
      <c r="T26" s="84"/>
      <c r="U26" s="85"/>
    </row>
    <row r="27" spans="1:21" s="11" customFormat="1" x14ac:dyDescent="0.2">
      <c r="A27" s="9">
        <v>10</v>
      </c>
      <c r="B27" s="9"/>
      <c r="C27" s="9"/>
      <c r="D27" s="9" t="s">
        <v>28</v>
      </c>
      <c r="E27" s="50" t="s">
        <v>29</v>
      </c>
      <c r="F27" s="50"/>
      <c r="G27" s="51" t="s">
        <v>606</v>
      </c>
      <c r="H27" s="51" t="s">
        <v>418</v>
      </c>
      <c r="I27" s="9" t="s">
        <v>403</v>
      </c>
      <c r="J27" s="9"/>
      <c r="K27" s="9"/>
      <c r="L27" s="9"/>
      <c r="M27" s="9"/>
      <c r="N27" s="9"/>
      <c r="O27" s="9"/>
      <c r="P27" s="9"/>
      <c r="Q27" s="9"/>
      <c r="R27" s="41"/>
      <c r="S27" s="52"/>
      <c r="T27" s="84"/>
      <c r="U27" s="85"/>
    </row>
    <row r="28" spans="1:21" s="11" customFormat="1" x14ac:dyDescent="0.2">
      <c r="A28" s="9">
        <v>10</v>
      </c>
      <c r="B28" s="9"/>
      <c r="C28" s="9"/>
      <c r="D28" s="9" t="s">
        <v>26</v>
      </c>
      <c r="E28" s="50" t="s">
        <v>27</v>
      </c>
      <c r="F28" s="50"/>
      <c r="G28" s="51" t="s">
        <v>607</v>
      </c>
      <c r="H28" s="51" t="s">
        <v>419</v>
      </c>
      <c r="I28" s="9" t="s">
        <v>403</v>
      </c>
      <c r="J28" s="9"/>
      <c r="K28" s="9"/>
      <c r="L28" s="9"/>
      <c r="M28" s="9"/>
      <c r="N28" s="9"/>
      <c r="O28" s="9"/>
      <c r="P28" s="9"/>
      <c r="Q28" s="9"/>
      <c r="R28" s="41"/>
      <c r="S28" s="52"/>
      <c r="T28" s="84"/>
      <c r="U28" s="85"/>
    </row>
    <row r="29" spans="1:21" s="11" customFormat="1" x14ac:dyDescent="0.2">
      <c r="A29" s="9">
        <v>10</v>
      </c>
      <c r="B29" s="9"/>
      <c r="C29" s="9"/>
      <c r="D29" s="9" t="s">
        <v>35</v>
      </c>
      <c r="E29" s="50" t="s">
        <v>30</v>
      </c>
      <c r="F29" s="50"/>
      <c r="G29" s="51" t="s">
        <v>608</v>
      </c>
      <c r="H29" s="51" t="s">
        <v>420</v>
      </c>
      <c r="I29" s="9" t="s">
        <v>403</v>
      </c>
      <c r="J29" s="9"/>
      <c r="K29" s="9"/>
      <c r="L29" s="9"/>
      <c r="M29" s="9"/>
      <c r="N29" s="9"/>
      <c r="O29" s="9"/>
      <c r="P29" s="9"/>
      <c r="Q29" s="9"/>
      <c r="R29" s="41"/>
      <c r="S29" s="52"/>
      <c r="T29" s="84"/>
      <c r="U29" s="85"/>
    </row>
    <row r="30" spans="1:21" s="11" customFormat="1" x14ac:dyDescent="0.2">
      <c r="A30" s="9">
        <v>10</v>
      </c>
      <c r="B30" s="9"/>
      <c r="C30" s="9"/>
      <c r="D30" s="9" t="s">
        <v>36</v>
      </c>
      <c r="E30" s="50" t="s">
        <v>37</v>
      </c>
      <c r="F30" s="50"/>
      <c r="G30" s="51" t="s">
        <v>609</v>
      </c>
      <c r="H30" s="51" t="s">
        <v>421</v>
      </c>
      <c r="I30" s="9" t="s">
        <v>403</v>
      </c>
      <c r="J30" s="9"/>
      <c r="K30" s="9"/>
      <c r="L30" s="9"/>
      <c r="M30" s="9"/>
      <c r="N30" s="9"/>
      <c r="O30" s="9"/>
      <c r="P30" s="9"/>
      <c r="Q30" s="9"/>
      <c r="R30" s="41"/>
      <c r="S30" s="52"/>
      <c r="T30" s="84"/>
      <c r="U30" s="85"/>
    </row>
    <row r="31" spans="1:21" s="11" customFormat="1" x14ac:dyDescent="0.2">
      <c r="A31" s="53"/>
      <c r="B31" s="54"/>
      <c r="C31" s="54"/>
      <c r="D31" s="27" t="s">
        <v>1</v>
      </c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4"/>
      <c r="S31" s="4"/>
      <c r="T31" s="6"/>
      <c r="U31" s="23"/>
    </row>
    <row r="32" spans="1:21" s="11" customFormat="1" x14ac:dyDescent="0.2">
      <c r="A32" s="65"/>
      <c r="U32" s="55"/>
    </row>
    <row r="33" spans="1:21" s="11" customFormat="1" x14ac:dyDescent="0.2">
      <c r="A33" s="65"/>
      <c r="U33" s="55"/>
    </row>
    <row r="34" spans="1:21" s="11" customFormat="1" x14ac:dyDescent="0.2">
      <c r="A34" s="65"/>
      <c r="U34" s="55"/>
    </row>
    <row r="35" spans="1:21" s="11" customFormat="1" x14ac:dyDescent="0.2">
      <c r="A35" s="70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20"/>
    </row>
  </sheetData>
  <dataConsolidate/>
  <mergeCells count="19">
    <mergeCell ref="T17:U17"/>
    <mergeCell ref="T18:U18"/>
    <mergeCell ref="T19:U19"/>
    <mergeCell ref="T20:U20"/>
    <mergeCell ref="T21:U21"/>
    <mergeCell ref="T12:U12"/>
    <mergeCell ref="T13:U13"/>
    <mergeCell ref="T14:U14"/>
    <mergeCell ref="T15:U15"/>
    <mergeCell ref="T16:U16"/>
    <mergeCell ref="T22:U22"/>
    <mergeCell ref="T29:U29"/>
    <mergeCell ref="T30:U30"/>
    <mergeCell ref="T23:U23"/>
    <mergeCell ref="T24:U24"/>
    <mergeCell ref="T25:U25"/>
    <mergeCell ref="T26:U26"/>
    <mergeCell ref="T27:U27"/>
    <mergeCell ref="T28:U28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69">
    <pageSetUpPr fitToPage="1"/>
  </sheetPr>
  <dimension ref="A1:V3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213</v>
      </c>
      <c r="K2" s="7" t="s">
        <v>21</v>
      </c>
      <c r="L2" s="64" t="str">
        <f>IF(LogicCommon!G2="","",LogicCommon!G2)</f>
        <v>MC</v>
      </c>
      <c r="M2" s="5" t="s">
        <v>124</v>
      </c>
      <c r="N2" s="28" t="s">
        <v>545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129</v>
      </c>
      <c r="K3" s="7" t="s">
        <v>22</v>
      </c>
      <c r="L3" s="64" t="str">
        <f>IF(LogicCommon!G3="","",LogicCommon!G3)</f>
        <v/>
      </c>
      <c r="M3" s="68" t="s">
        <v>126</v>
      </c>
      <c r="N3" s="7"/>
      <c r="O3" s="7" t="s">
        <v>193</v>
      </c>
      <c r="P3" s="9" t="s">
        <v>194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31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140</v>
      </c>
      <c r="B6" s="66"/>
      <c r="C6" s="66"/>
      <c r="D6" s="4" t="s">
        <v>5</v>
      </c>
      <c r="E6" s="16" t="s">
        <v>378</v>
      </c>
      <c r="F6" s="16"/>
      <c r="G6" s="16"/>
      <c r="H6" s="16"/>
      <c r="I6" s="16"/>
      <c r="J6" s="16"/>
      <c r="K6" s="16"/>
      <c r="L6" s="72" t="s">
        <v>169</v>
      </c>
      <c r="M6" s="19"/>
      <c r="N6" s="19" t="s">
        <v>169</v>
      </c>
      <c r="O6" s="19"/>
      <c r="P6" s="19" t="s">
        <v>169</v>
      </c>
      <c r="Q6" s="19"/>
      <c r="R6" s="3" t="s">
        <v>169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130</v>
      </c>
      <c r="L7" s="32" t="s">
        <v>131</v>
      </c>
      <c r="M7" s="33" t="s">
        <v>33</v>
      </c>
      <c r="N7" s="32" t="s">
        <v>132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33" t="s">
        <v>134</v>
      </c>
      <c r="L8" s="9" t="s">
        <v>566</v>
      </c>
      <c r="M8" s="33" t="s">
        <v>34</v>
      </c>
      <c r="N8" s="9" t="s">
        <v>566</v>
      </c>
      <c r="O8" s="33" t="s">
        <v>34</v>
      </c>
      <c r="P8" s="9"/>
      <c r="Q8" s="33" t="s">
        <v>34</v>
      </c>
      <c r="R8" s="9"/>
      <c r="S8" s="79"/>
      <c r="T8" s="80"/>
      <c r="U8" s="81" t="s">
        <v>586</v>
      </c>
      <c r="V8" s="52"/>
    </row>
    <row r="9" spans="1:22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33"/>
      <c r="O9" s="33"/>
      <c r="P9" s="33"/>
      <c r="Q9" s="33"/>
      <c r="R9" s="33"/>
      <c r="S9" s="81" t="s">
        <v>594</v>
      </c>
      <c r="T9" s="52"/>
      <c r="U9" s="81" t="s">
        <v>595</v>
      </c>
      <c r="V9" s="52"/>
    </row>
    <row r="10" spans="1:22" s="11" customFormat="1" ht="52" x14ac:dyDescent="0.2">
      <c r="A10" s="39" t="s">
        <v>135</v>
      </c>
      <c r="B10" s="40"/>
      <c r="C10" s="40"/>
      <c r="D10" s="41"/>
      <c r="E10" s="42"/>
      <c r="F10" s="42"/>
      <c r="G10" s="43"/>
      <c r="H10" s="43"/>
      <c r="I10" s="42"/>
      <c r="J10" s="42"/>
      <c r="K10" s="76" t="s">
        <v>592</v>
      </c>
      <c r="L10" s="76" t="s">
        <v>593</v>
      </c>
      <c r="M10" s="76" t="s">
        <v>592</v>
      </c>
      <c r="N10" s="76" t="s">
        <v>593</v>
      </c>
      <c r="O10" s="76" t="s">
        <v>592</v>
      </c>
      <c r="P10" s="76" t="s">
        <v>593</v>
      </c>
      <c r="Q10" s="76" t="s">
        <v>592</v>
      </c>
      <c r="R10" s="76" t="s">
        <v>593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214</v>
      </c>
      <c r="E11" s="34" t="s">
        <v>136</v>
      </c>
      <c r="F11" s="44"/>
      <c r="G11" s="28" t="s">
        <v>137</v>
      </c>
      <c r="H11" s="45" t="s">
        <v>496</v>
      </c>
      <c r="I11" s="46"/>
      <c r="J11" s="47"/>
      <c r="K11" s="48" t="s">
        <v>122</v>
      </c>
      <c r="L11" s="48"/>
      <c r="M11" s="48" t="s">
        <v>423</v>
      </c>
      <c r="N11" s="48"/>
      <c r="O11" s="48"/>
      <c r="P11" s="48"/>
      <c r="Q11" s="48"/>
      <c r="R11" s="48"/>
      <c r="S11" s="35"/>
      <c r="T11" s="36"/>
      <c r="U11" s="60"/>
      <c r="V11" s="49"/>
    </row>
    <row r="12" spans="1:22" s="11" customFormat="1" ht="26" x14ac:dyDescent="0.2">
      <c r="A12" s="9">
        <v>10</v>
      </c>
      <c r="B12" s="9"/>
      <c r="C12" s="9"/>
      <c r="D12" s="9" t="s">
        <v>69</v>
      </c>
      <c r="E12" s="50" t="s">
        <v>108</v>
      </c>
      <c r="F12" s="50"/>
      <c r="G12" s="51" t="s">
        <v>633</v>
      </c>
      <c r="H12" s="51" t="s">
        <v>476</v>
      </c>
      <c r="I12" s="9" t="s">
        <v>403</v>
      </c>
      <c r="J12" s="9"/>
      <c r="K12" s="9" t="s">
        <v>404</v>
      </c>
      <c r="L12" s="9"/>
      <c r="M12" s="9" t="s">
        <v>404</v>
      </c>
      <c r="N12" s="9"/>
      <c r="O12" s="9"/>
      <c r="P12" s="9"/>
      <c r="Q12" s="9"/>
      <c r="R12" s="9"/>
      <c r="S12" s="41"/>
      <c r="T12" s="52"/>
      <c r="U12" s="84"/>
      <c r="V12" s="85"/>
    </row>
    <row r="13" spans="1:22" s="11" customFormat="1" ht="26" x14ac:dyDescent="0.2">
      <c r="A13" s="9">
        <v>10</v>
      </c>
      <c r="B13" s="9"/>
      <c r="C13" s="9"/>
      <c r="D13" s="9" t="s">
        <v>70</v>
      </c>
      <c r="E13" s="50" t="s">
        <v>109</v>
      </c>
      <c r="F13" s="50"/>
      <c r="G13" s="51" t="s">
        <v>634</v>
      </c>
      <c r="H13" s="51" t="s">
        <v>477</v>
      </c>
      <c r="I13" s="9" t="s">
        <v>403</v>
      </c>
      <c r="J13" s="9"/>
      <c r="K13" s="9" t="s">
        <v>404</v>
      </c>
      <c r="L13" s="9"/>
      <c r="M13" s="9" t="s">
        <v>404</v>
      </c>
      <c r="N13" s="9"/>
      <c r="O13" s="9"/>
      <c r="P13" s="9"/>
      <c r="Q13" s="9"/>
      <c r="R13" s="9"/>
      <c r="S13" s="41"/>
      <c r="T13" s="52"/>
      <c r="U13" s="84"/>
      <c r="V13" s="85"/>
    </row>
    <row r="14" spans="1:22" s="11" customFormat="1" x14ac:dyDescent="0.2">
      <c r="A14" s="9">
        <v>10</v>
      </c>
      <c r="B14" s="9"/>
      <c r="C14" s="9"/>
      <c r="D14" s="9" t="s">
        <v>71</v>
      </c>
      <c r="E14" s="50" t="s">
        <v>30</v>
      </c>
      <c r="F14" s="50"/>
      <c r="G14" s="51" t="s">
        <v>635</v>
      </c>
      <c r="H14" s="51" t="s">
        <v>478</v>
      </c>
      <c r="I14" s="9" t="s">
        <v>403</v>
      </c>
      <c r="J14" s="9"/>
      <c r="K14" s="9" t="s">
        <v>404</v>
      </c>
      <c r="L14" s="9"/>
      <c r="M14" s="9" t="s">
        <v>404</v>
      </c>
      <c r="N14" s="9"/>
      <c r="O14" s="9"/>
      <c r="P14" s="9"/>
      <c r="Q14" s="9"/>
      <c r="R14" s="9"/>
      <c r="S14" s="41"/>
      <c r="T14" s="52"/>
      <c r="U14" s="84"/>
      <c r="V14" s="85"/>
    </row>
    <row r="15" spans="1:22" s="11" customFormat="1" x14ac:dyDescent="0.2">
      <c r="A15" s="9">
        <v>10</v>
      </c>
      <c r="B15" s="9"/>
      <c r="C15" s="9"/>
      <c r="D15" s="9" t="s">
        <v>72</v>
      </c>
      <c r="E15" s="50" t="s">
        <v>110</v>
      </c>
      <c r="F15" s="50"/>
      <c r="G15" s="51" t="s">
        <v>636</v>
      </c>
      <c r="H15" s="51" t="s">
        <v>479</v>
      </c>
      <c r="I15" s="9" t="s">
        <v>403</v>
      </c>
      <c r="J15" s="9"/>
      <c r="K15" s="9" t="s">
        <v>404</v>
      </c>
      <c r="L15" s="9"/>
      <c r="M15" s="9" t="s">
        <v>404</v>
      </c>
      <c r="N15" s="9"/>
      <c r="O15" s="9"/>
      <c r="P15" s="9"/>
      <c r="Q15" s="9"/>
      <c r="R15" s="9"/>
      <c r="S15" s="41"/>
      <c r="T15" s="52"/>
      <c r="U15" s="84"/>
      <c r="V15" s="85"/>
    </row>
    <row r="16" spans="1:22" s="11" customFormat="1" x14ac:dyDescent="0.2">
      <c r="A16" s="9">
        <v>10</v>
      </c>
      <c r="B16" s="9"/>
      <c r="C16" s="9"/>
      <c r="D16" s="9" t="s">
        <v>73</v>
      </c>
      <c r="E16" s="50" t="s">
        <v>111</v>
      </c>
      <c r="F16" s="50"/>
      <c r="G16" s="51" t="s">
        <v>637</v>
      </c>
      <c r="H16" s="51" t="s">
        <v>481</v>
      </c>
      <c r="I16" s="9" t="s">
        <v>403</v>
      </c>
      <c r="J16" s="9"/>
      <c r="K16" s="9" t="s">
        <v>404</v>
      </c>
      <c r="L16" s="9"/>
      <c r="M16" s="9" t="s">
        <v>404</v>
      </c>
      <c r="N16" s="9"/>
      <c r="O16" s="9"/>
      <c r="P16" s="9"/>
      <c r="Q16" s="9"/>
      <c r="R16" s="9"/>
      <c r="S16" s="41"/>
      <c r="T16" s="52"/>
      <c r="U16" s="84"/>
      <c r="V16" s="85"/>
    </row>
    <row r="17" spans="1:22" s="11" customFormat="1" x14ac:dyDescent="0.2">
      <c r="A17" s="9">
        <v>10</v>
      </c>
      <c r="B17" s="9"/>
      <c r="C17" s="9"/>
      <c r="D17" s="9" t="s">
        <v>42</v>
      </c>
      <c r="E17" s="50" t="s">
        <v>45</v>
      </c>
      <c r="F17" s="50"/>
      <c r="G17" s="51" t="s">
        <v>638</v>
      </c>
      <c r="H17" s="51" t="s">
        <v>482</v>
      </c>
      <c r="I17" s="9" t="s">
        <v>403</v>
      </c>
      <c r="J17" s="9"/>
      <c r="K17" s="9" t="s">
        <v>404</v>
      </c>
      <c r="L17" s="9"/>
      <c r="M17" s="9" t="s">
        <v>404</v>
      </c>
      <c r="N17" s="9"/>
      <c r="O17" s="9"/>
      <c r="P17" s="9"/>
      <c r="Q17" s="9"/>
      <c r="R17" s="9"/>
      <c r="S17" s="41"/>
      <c r="T17" s="52"/>
      <c r="U17" s="84"/>
      <c r="V17" s="85"/>
    </row>
    <row r="18" spans="1:22" s="11" customFormat="1" x14ac:dyDescent="0.2">
      <c r="A18" s="9">
        <v>10</v>
      </c>
      <c r="B18" s="9"/>
      <c r="C18" s="9"/>
      <c r="D18" s="9" t="s">
        <v>43</v>
      </c>
      <c r="E18" s="50" t="s">
        <v>46</v>
      </c>
      <c r="F18" s="50"/>
      <c r="G18" s="51" t="s">
        <v>639</v>
      </c>
      <c r="H18" s="51" t="s">
        <v>483</v>
      </c>
      <c r="I18" s="9" t="s">
        <v>403</v>
      </c>
      <c r="J18" s="9"/>
      <c r="K18" s="9" t="s">
        <v>404</v>
      </c>
      <c r="L18" s="9"/>
      <c r="M18" s="9" t="s">
        <v>404</v>
      </c>
      <c r="N18" s="9"/>
      <c r="O18" s="9"/>
      <c r="P18" s="9"/>
      <c r="Q18" s="9"/>
      <c r="R18" s="9"/>
      <c r="S18" s="41"/>
      <c r="T18" s="52"/>
      <c r="U18" s="84"/>
      <c r="V18" s="85"/>
    </row>
    <row r="19" spans="1:22" s="11" customFormat="1" x14ac:dyDescent="0.2">
      <c r="A19" s="9">
        <v>10</v>
      </c>
      <c r="B19" s="9"/>
      <c r="C19" s="9"/>
      <c r="D19" s="9" t="s">
        <v>44</v>
      </c>
      <c r="E19" s="50" t="s">
        <v>47</v>
      </c>
      <c r="F19" s="50"/>
      <c r="G19" s="51" t="s">
        <v>640</v>
      </c>
      <c r="H19" s="51" t="s">
        <v>484</v>
      </c>
      <c r="I19" s="9" t="s">
        <v>403</v>
      </c>
      <c r="J19" s="9"/>
      <c r="K19" s="9" t="s">
        <v>404</v>
      </c>
      <c r="L19" s="9"/>
      <c r="M19" s="9" t="s">
        <v>404</v>
      </c>
      <c r="N19" s="9"/>
      <c r="O19" s="9"/>
      <c r="P19" s="9"/>
      <c r="Q19" s="9"/>
      <c r="R19" s="9"/>
      <c r="S19" s="41"/>
      <c r="T19" s="52"/>
      <c r="U19" s="84"/>
      <c r="V19" s="85"/>
    </row>
    <row r="20" spans="1:22" s="11" customFormat="1" x14ac:dyDescent="0.2">
      <c r="A20" s="9">
        <v>10</v>
      </c>
      <c r="B20" s="9"/>
      <c r="C20" s="9"/>
      <c r="D20" s="9" t="s">
        <v>74</v>
      </c>
      <c r="E20" s="50" t="s">
        <v>112</v>
      </c>
      <c r="F20" s="50"/>
      <c r="G20" s="51" t="s">
        <v>641</v>
      </c>
      <c r="H20" s="51" t="s">
        <v>485</v>
      </c>
      <c r="I20" s="9" t="s">
        <v>403</v>
      </c>
      <c r="J20" s="9"/>
      <c r="K20" s="9" t="s">
        <v>404</v>
      </c>
      <c r="L20" s="9"/>
      <c r="M20" s="9" t="s">
        <v>404</v>
      </c>
      <c r="N20" s="9"/>
      <c r="O20" s="9"/>
      <c r="P20" s="9"/>
      <c r="Q20" s="9"/>
      <c r="R20" s="9"/>
      <c r="S20" s="41"/>
      <c r="T20" s="52"/>
      <c r="U20" s="84"/>
      <c r="V20" s="85"/>
    </row>
    <row r="21" spans="1:22" s="11" customFormat="1" x14ac:dyDescent="0.2">
      <c r="A21" s="9">
        <v>10</v>
      </c>
      <c r="B21" s="9"/>
      <c r="C21" s="9"/>
      <c r="D21" s="9" t="s">
        <v>75</v>
      </c>
      <c r="E21" s="50" t="s">
        <v>112</v>
      </c>
      <c r="F21" s="50"/>
      <c r="G21" s="51" t="s">
        <v>642</v>
      </c>
      <c r="H21" s="51" t="s">
        <v>487</v>
      </c>
      <c r="I21" s="9" t="s">
        <v>403</v>
      </c>
      <c r="J21" s="9"/>
      <c r="K21" s="9" t="s">
        <v>404</v>
      </c>
      <c r="L21" s="9"/>
      <c r="M21" s="9" t="s">
        <v>404</v>
      </c>
      <c r="N21" s="9"/>
      <c r="O21" s="9"/>
      <c r="P21" s="9"/>
      <c r="Q21" s="9"/>
      <c r="R21" s="9"/>
      <c r="S21" s="41"/>
      <c r="T21" s="52"/>
      <c r="U21" s="84"/>
      <c r="V21" s="85"/>
    </row>
    <row r="22" spans="1:22" s="11" customFormat="1" x14ac:dyDescent="0.2">
      <c r="A22" s="9">
        <v>10</v>
      </c>
      <c r="B22" s="9"/>
      <c r="C22" s="9"/>
      <c r="D22" s="9" t="s">
        <v>76</v>
      </c>
      <c r="E22" s="50" t="s">
        <v>113</v>
      </c>
      <c r="F22" s="50"/>
      <c r="G22" s="51" t="s">
        <v>643</v>
      </c>
      <c r="H22" s="51" t="s">
        <v>488</v>
      </c>
      <c r="I22" s="9" t="s">
        <v>403</v>
      </c>
      <c r="J22" s="9"/>
      <c r="K22" s="9" t="s">
        <v>404</v>
      </c>
      <c r="L22" s="9"/>
      <c r="M22" s="9" t="s">
        <v>404</v>
      </c>
      <c r="N22" s="9"/>
      <c r="O22" s="9"/>
      <c r="P22" s="9"/>
      <c r="Q22" s="9"/>
      <c r="R22" s="9"/>
      <c r="S22" s="41"/>
      <c r="T22" s="52"/>
      <c r="U22" s="84"/>
      <c r="V22" s="85"/>
    </row>
    <row r="23" spans="1:22" s="11" customFormat="1" ht="26" x14ac:dyDescent="0.2">
      <c r="A23" s="9">
        <v>10</v>
      </c>
      <c r="B23" s="9"/>
      <c r="C23" s="9"/>
      <c r="D23" s="9" t="s">
        <v>77</v>
      </c>
      <c r="E23" s="50" t="s">
        <v>115</v>
      </c>
      <c r="F23" s="50"/>
      <c r="G23" s="51" t="s">
        <v>644</v>
      </c>
      <c r="H23" s="51" t="s">
        <v>490</v>
      </c>
      <c r="I23" s="9" t="s">
        <v>403</v>
      </c>
      <c r="J23" s="9"/>
      <c r="K23" s="9" t="s">
        <v>404</v>
      </c>
      <c r="L23" s="9"/>
      <c r="M23" s="9" t="s">
        <v>404</v>
      </c>
      <c r="N23" s="9"/>
      <c r="O23" s="9"/>
      <c r="P23" s="9"/>
      <c r="Q23" s="9"/>
      <c r="R23" s="9"/>
      <c r="S23" s="41"/>
      <c r="T23" s="52"/>
      <c r="U23" s="84"/>
      <c r="V23" s="85"/>
    </row>
    <row r="24" spans="1:22" s="11" customFormat="1" x14ac:dyDescent="0.2">
      <c r="A24" s="9">
        <v>10</v>
      </c>
      <c r="B24" s="9"/>
      <c r="C24" s="9"/>
      <c r="D24" s="9" t="s">
        <v>78</v>
      </c>
      <c r="E24" s="50" t="s">
        <v>117</v>
      </c>
      <c r="F24" s="50"/>
      <c r="G24" s="51" t="s">
        <v>645</v>
      </c>
      <c r="H24" s="51" t="s">
        <v>492</v>
      </c>
      <c r="I24" s="9" t="s">
        <v>403</v>
      </c>
      <c r="J24" s="9"/>
      <c r="K24" s="9" t="s">
        <v>404</v>
      </c>
      <c r="L24" s="9"/>
      <c r="M24" s="9" t="s">
        <v>404</v>
      </c>
      <c r="N24" s="9"/>
      <c r="O24" s="9"/>
      <c r="P24" s="9"/>
      <c r="Q24" s="9"/>
      <c r="R24" s="9"/>
      <c r="S24" s="41"/>
      <c r="T24" s="52"/>
      <c r="U24" s="84"/>
      <c r="V24" s="85"/>
    </row>
    <row r="25" spans="1:22" s="11" customFormat="1" x14ac:dyDescent="0.2">
      <c r="A25" s="9">
        <v>10</v>
      </c>
      <c r="B25" s="9"/>
      <c r="C25" s="9"/>
      <c r="D25" s="9" t="s">
        <v>79</v>
      </c>
      <c r="E25" s="50" t="s">
        <v>91</v>
      </c>
      <c r="F25" s="50"/>
      <c r="G25" s="51" t="s">
        <v>616</v>
      </c>
      <c r="H25" s="51" t="s">
        <v>438</v>
      </c>
      <c r="I25" s="9" t="s">
        <v>403</v>
      </c>
      <c r="J25" s="9"/>
      <c r="K25" s="9" t="s">
        <v>404</v>
      </c>
      <c r="L25" s="9"/>
      <c r="M25" s="9" t="s">
        <v>404</v>
      </c>
      <c r="N25" s="9"/>
      <c r="O25" s="9"/>
      <c r="P25" s="9"/>
      <c r="Q25" s="9"/>
      <c r="R25" s="9"/>
      <c r="S25" s="41"/>
      <c r="T25" s="52"/>
      <c r="U25" s="84"/>
      <c r="V25" s="85"/>
    </row>
    <row r="26" spans="1:22" s="11" customFormat="1" x14ac:dyDescent="0.2">
      <c r="A26" s="9">
        <v>10</v>
      </c>
      <c r="B26" s="9"/>
      <c r="C26" s="9"/>
      <c r="D26" s="9" t="s">
        <v>24</v>
      </c>
      <c r="E26" s="50" t="s">
        <v>25</v>
      </c>
      <c r="F26" s="50"/>
      <c r="G26" s="51" t="s">
        <v>605</v>
      </c>
      <c r="H26" s="51" t="s">
        <v>417</v>
      </c>
      <c r="I26" s="9" t="s">
        <v>403</v>
      </c>
      <c r="J26" s="9"/>
      <c r="K26" s="9" t="s">
        <v>404</v>
      </c>
      <c r="L26" s="9"/>
      <c r="M26" s="9" t="s">
        <v>404</v>
      </c>
      <c r="N26" s="9"/>
      <c r="O26" s="9"/>
      <c r="P26" s="9"/>
      <c r="Q26" s="9"/>
      <c r="R26" s="9"/>
      <c r="S26" s="41"/>
      <c r="T26" s="52"/>
      <c r="U26" s="84"/>
      <c r="V26" s="85"/>
    </row>
    <row r="27" spans="1:22" s="11" customFormat="1" x14ac:dyDescent="0.2">
      <c r="A27" s="9">
        <v>10</v>
      </c>
      <c r="B27" s="9"/>
      <c r="C27" s="9"/>
      <c r="D27" s="9" t="s">
        <v>28</v>
      </c>
      <c r="E27" s="50" t="s">
        <v>29</v>
      </c>
      <c r="F27" s="50"/>
      <c r="G27" s="51" t="s">
        <v>606</v>
      </c>
      <c r="H27" s="51" t="s">
        <v>418</v>
      </c>
      <c r="I27" s="9" t="s">
        <v>403</v>
      </c>
      <c r="J27" s="9"/>
      <c r="K27" s="9" t="s">
        <v>404</v>
      </c>
      <c r="L27" s="9"/>
      <c r="M27" s="9" t="s">
        <v>404</v>
      </c>
      <c r="N27" s="9"/>
      <c r="O27" s="9"/>
      <c r="P27" s="9"/>
      <c r="Q27" s="9"/>
      <c r="R27" s="9"/>
      <c r="S27" s="41"/>
      <c r="T27" s="52"/>
      <c r="U27" s="84"/>
      <c r="V27" s="85"/>
    </row>
    <row r="28" spans="1:22" s="11" customFormat="1" x14ac:dyDescent="0.2">
      <c r="A28" s="9">
        <v>10</v>
      </c>
      <c r="B28" s="9"/>
      <c r="C28" s="9"/>
      <c r="D28" s="9" t="s">
        <v>26</v>
      </c>
      <c r="E28" s="50" t="s">
        <v>27</v>
      </c>
      <c r="F28" s="50"/>
      <c r="G28" s="51" t="s">
        <v>607</v>
      </c>
      <c r="H28" s="51" t="s">
        <v>419</v>
      </c>
      <c r="I28" s="9" t="s">
        <v>403</v>
      </c>
      <c r="J28" s="9"/>
      <c r="K28" s="9" t="s">
        <v>404</v>
      </c>
      <c r="L28" s="9"/>
      <c r="M28" s="9" t="s">
        <v>404</v>
      </c>
      <c r="N28" s="9"/>
      <c r="O28" s="9"/>
      <c r="P28" s="9"/>
      <c r="Q28" s="9"/>
      <c r="R28" s="9"/>
      <c r="S28" s="41"/>
      <c r="T28" s="52"/>
      <c r="U28" s="84"/>
      <c r="V28" s="85"/>
    </row>
    <row r="29" spans="1:22" s="11" customFormat="1" x14ac:dyDescent="0.2">
      <c r="A29" s="9">
        <v>10</v>
      </c>
      <c r="B29" s="9"/>
      <c r="C29" s="9"/>
      <c r="D29" s="9" t="s">
        <v>35</v>
      </c>
      <c r="E29" s="50" t="s">
        <v>30</v>
      </c>
      <c r="F29" s="50"/>
      <c r="G29" s="51" t="s">
        <v>608</v>
      </c>
      <c r="H29" s="51" t="s">
        <v>420</v>
      </c>
      <c r="I29" s="9" t="s">
        <v>403</v>
      </c>
      <c r="J29" s="9"/>
      <c r="K29" s="9" t="s">
        <v>404</v>
      </c>
      <c r="L29" s="9"/>
      <c r="M29" s="9" t="s">
        <v>404</v>
      </c>
      <c r="N29" s="9"/>
      <c r="O29" s="9"/>
      <c r="P29" s="9"/>
      <c r="Q29" s="9"/>
      <c r="R29" s="9"/>
      <c r="S29" s="41"/>
      <c r="T29" s="52"/>
      <c r="U29" s="84"/>
      <c r="V29" s="85"/>
    </row>
    <row r="30" spans="1:22" s="11" customFormat="1" x14ac:dyDescent="0.2">
      <c r="A30" s="9">
        <v>10</v>
      </c>
      <c r="B30" s="9"/>
      <c r="C30" s="9"/>
      <c r="D30" s="9" t="s">
        <v>36</v>
      </c>
      <c r="E30" s="50" t="s">
        <v>37</v>
      </c>
      <c r="F30" s="50"/>
      <c r="G30" s="51" t="s">
        <v>609</v>
      </c>
      <c r="H30" s="51" t="s">
        <v>421</v>
      </c>
      <c r="I30" s="9" t="s">
        <v>403</v>
      </c>
      <c r="J30" s="9"/>
      <c r="K30" s="9" t="s">
        <v>404</v>
      </c>
      <c r="L30" s="9"/>
      <c r="M30" s="9" t="s">
        <v>404</v>
      </c>
      <c r="N30" s="9"/>
      <c r="O30" s="9"/>
      <c r="P30" s="9"/>
      <c r="Q30" s="9"/>
      <c r="R30" s="9"/>
      <c r="S30" s="41"/>
      <c r="T30" s="52"/>
      <c r="U30" s="84"/>
      <c r="V30" s="85"/>
    </row>
    <row r="31" spans="1:22" s="11" customFormat="1" x14ac:dyDescent="0.2">
      <c r="A31" s="53"/>
      <c r="B31" s="54"/>
      <c r="C31" s="54"/>
      <c r="D31" s="27" t="s">
        <v>1</v>
      </c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4"/>
      <c r="T31" s="4"/>
      <c r="U31" s="6"/>
      <c r="V31" s="23"/>
    </row>
    <row r="32" spans="1:22" s="11" customFormat="1" x14ac:dyDescent="0.2">
      <c r="A32" s="65"/>
      <c r="V32" s="55"/>
    </row>
    <row r="33" spans="1:22" s="11" customFormat="1" x14ac:dyDescent="0.2">
      <c r="A33" s="65"/>
      <c r="V33" s="55"/>
    </row>
    <row r="34" spans="1:22" s="11" customFormat="1" x14ac:dyDescent="0.2">
      <c r="A34" s="65"/>
      <c r="V34" s="55"/>
    </row>
    <row r="35" spans="1:22" s="11" customFormat="1" x14ac:dyDescent="0.2">
      <c r="A35" s="70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20"/>
    </row>
  </sheetData>
  <dataConsolidate/>
  <mergeCells count="19">
    <mergeCell ref="U29:V29"/>
    <mergeCell ref="U30:V30"/>
    <mergeCell ref="U23:V23"/>
    <mergeCell ref="U24:V24"/>
    <mergeCell ref="U25:V25"/>
    <mergeCell ref="U26:V26"/>
    <mergeCell ref="U27:V27"/>
    <mergeCell ref="U28:V28"/>
    <mergeCell ref="U22:V22"/>
    <mergeCell ref="U12:V12"/>
    <mergeCell ref="U13:V13"/>
    <mergeCell ref="U14:V14"/>
    <mergeCell ref="U15:V15"/>
    <mergeCell ref="U16:V16"/>
    <mergeCell ref="U17:V17"/>
    <mergeCell ref="U18:V18"/>
    <mergeCell ref="U19:V19"/>
    <mergeCell ref="U20:V20"/>
    <mergeCell ref="U21:V21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70">
    <pageSetUpPr fitToPage="1"/>
  </sheetPr>
  <dimension ref="A1:R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8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215</v>
      </c>
      <c r="K2" s="7" t="s">
        <v>21</v>
      </c>
      <c r="L2" s="64" t="str">
        <f>IF(LogicCommon!G2="","",LogicCommon!G2)</f>
        <v>MC</v>
      </c>
      <c r="M2" s="5" t="s">
        <v>124</v>
      </c>
      <c r="N2" s="28" t="str">
        <f>L4 &amp; ".Checker"</f>
        <v>MA.MAUDL5010.Checker</v>
      </c>
      <c r="O2" s="7"/>
      <c r="P2" s="7"/>
      <c r="Q2" s="4"/>
      <c r="R2" s="4"/>
    </row>
    <row r="3" spans="1:18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125</v>
      </c>
      <c r="K3" s="7" t="s">
        <v>22</v>
      </c>
      <c r="L3" s="64" t="str">
        <f>IF(LogicCommon!G3="","",LogicCommon!G3)</f>
        <v/>
      </c>
      <c r="M3" s="68" t="s">
        <v>126</v>
      </c>
      <c r="N3" s="7"/>
      <c r="O3" s="7" t="s">
        <v>193</v>
      </c>
      <c r="P3" s="9" t="s">
        <v>194</v>
      </c>
      <c r="Q3" s="4"/>
      <c r="R3" s="4"/>
    </row>
    <row r="4" spans="1:18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127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4"/>
    </row>
    <row r="5" spans="1:18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4"/>
    </row>
    <row r="6" spans="1:18" s="11" customFormat="1" x14ac:dyDescent="0.2">
      <c r="A6" s="65" t="s">
        <v>140</v>
      </c>
      <c r="B6" s="66"/>
      <c r="C6" s="66"/>
      <c r="D6" s="4" t="s">
        <v>5</v>
      </c>
      <c r="E6" s="16" t="s">
        <v>379</v>
      </c>
      <c r="F6" s="16"/>
      <c r="G6" s="16"/>
      <c r="H6" s="16"/>
      <c r="I6" s="16"/>
      <c r="J6" s="16"/>
      <c r="K6" s="16"/>
      <c r="L6" s="72"/>
      <c r="M6" s="19"/>
      <c r="N6" s="19" t="s">
        <v>169</v>
      </c>
      <c r="O6" s="19"/>
      <c r="P6" s="19"/>
      <c r="Q6" s="19"/>
      <c r="R6" s="27"/>
    </row>
    <row r="7" spans="1:18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128</v>
      </c>
      <c r="L7" s="32" t="s">
        <v>138</v>
      </c>
      <c r="M7" s="33" t="s">
        <v>33</v>
      </c>
      <c r="N7" s="32" t="s">
        <v>245</v>
      </c>
      <c r="O7" s="29"/>
      <c r="P7" s="29"/>
      <c r="Q7" s="29"/>
      <c r="R7" s="29"/>
    </row>
    <row r="8" spans="1:18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9" t="s">
        <v>139</v>
      </c>
      <c r="L8" s="9" t="s">
        <v>256</v>
      </c>
      <c r="M8" s="33" t="s">
        <v>34</v>
      </c>
      <c r="N8" s="9" t="s">
        <v>567</v>
      </c>
      <c r="O8" s="79"/>
      <c r="P8" s="80"/>
      <c r="Q8" s="81" t="s">
        <v>586</v>
      </c>
      <c r="R8" s="52"/>
    </row>
    <row r="9" spans="1:18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33"/>
      <c r="O9" s="81" t="s">
        <v>594</v>
      </c>
      <c r="P9" s="52"/>
      <c r="Q9" s="81" t="s">
        <v>595</v>
      </c>
      <c r="R9" s="52"/>
    </row>
    <row r="10" spans="1:18" s="11" customFormat="1" ht="52" x14ac:dyDescent="0.2">
      <c r="A10" s="39" t="s">
        <v>135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76" t="s">
        <v>592</v>
      </c>
      <c r="N10" s="76" t="s">
        <v>593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216</v>
      </c>
      <c r="E11" s="34" t="s">
        <v>32</v>
      </c>
      <c r="F11" s="44"/>
      <c r="G11" s="28" t="s">
        <v>248</v>
      </c>
      <c r="H11" s="45" t="s">
        <v>497</v>
      </c>
      <c r="I11" s="46"/>
      <c r="J11" s="47"/>
      <c r="K11" s="48"/>
      <c r="L11" s="48"/>
      <c r="M11" s="48" t="s">
        <v>423</v>
      </c>
      <c r="N11" s="48"/>
      <c r="O11" s="35"/>
      <c r="P11" s="36"/>
      <c r="Q11" s="60"/>
      <c r="R11" s="49"/>
    </row>
    <row r="12" spans="1:18" s="11" customFormat="1" ht="26" x14ac:dyDescent="0.2">
      <c r="A12" s="9">
        <v>10</v>
      </c>
      <c r="B12" s="9"/>
      <c r="C12" s="9"/>
      <c r="D12" s="9" t="s">
        <v>69</v>
      </c>
      <c r="E12" s="50" t="s">
        <v>108</v>
      </c>
      <c r="F12" s="50"/>
      <c r="G12" s="51" t="s">
        <v>633</v>
      </c>
      <c r="H12" s="51" t="s">
        <v>476</v>
      </c>
      <c r="I12" s="9" t="s">
        <v>403</v>
      </c>
      <c r="J12" s="9"/>
      <c r="K12" s="9" t="s">
        <v>404</v>
      </c>
      <c r="L12" s="9"/>
      <c r="M12" s="9" t="s">
        <v>404</v>
      </c>
      <c r="N12" s="9"/>
      <c r="O12" s="41"/>
      <c r="P12" s="52"/>
      <c r="Q12" s="84"/>
      <c r="R12" s="85"/>
    </row>
    <row r="13" spans="1:18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610</v>
      </c>
      <c r="H13" s="51" t="s">
        <v>425</v>
      </c>
      <c r="I13" s="9" t="s">
        <v>403</v>
      </c>
      <c r="J13" s="9"/>
      <c r="K13" s="9" t="s">
        <v>404</v>
      </c>
      <c r="L13" s="9"/>
      <c r="M13" s="9"/>
      <c r="N13" s="9"/>
      <c r="O13" s="41"/>
      <c r="P13" s="52"/>
      <c r="Q13" s="84"/>
      <c r="R13" s="85"/>
    </row>
    <row r="14" spans="1:18" s="11" customFormat="1" ht="26" x14ac:dyDescent="0.2">
      <c r="A14" s="9">
        <v>10</v>
      </c>
      <c r="B14" s="9"/>
      <c r="C14" s="9"/>
      <c r="D14" s="9" t="s">
        <v>70</v>
      </c>
      <c r="E14" s="50" t="s">
        <v>109</v>
      </c>
      <c r="F14" s="50"/>
      <c r="G14" s="51" t="s">
        <v>646</v>
      </c>
      <c r="H14" s="51" t="s">
        <v>498</v>
      </c>
      <c r="I14" s="9" t="s">
        <v>403</v>
      </c>
      <c r="J14" s="9"/>
      <c r="K14" s="9" t="s">
        <v>404</v>
      </c>
      <c r="L14" s="9"/>
      <c r="M14" s="9"/>
      <c r="N14" s="9"/>
      <c r="O14" s="41"/>
      <c r="P14" s="52"/>
      <c r="Q14" s="84"/>
      <c r="R14" s="85"/>
    </row>
    <row r="15" spans="1:18" s="11" customFormat="1" x14ac:dyDescent="0.2">
      <c r="A15" s="9">
        <v>10</v>
      </c>
      <c r="B15" s="9"/>
      <c r="C15" s="9"/>
      <c r="D15" s="9" t="s">
        <v>72</v>
      </c>
      <c r="E15" s="50" t="s">
        <v>110</v>
      </c>
      <c r="F15" s="50"/>
      <c r="G15" s="51" t="s">
        <v>636</v>
      </c>
      <c r="H15" s="51" t="s">
        <v>479</v>
      </c>
      <c r="I15" s="9" t="s">
        <v>403</v>
      </c>
      <c r="J15" s="9"/>
      <c r="K15" s="9"/>
      <c r="L15" s="9" t="s">
        <v>480</v>
      </c>
      <c r="M15" s="9"/>
      <c r="N15" s="9"/>
      <c r="O15" s="41"/>
      <c r="P15" s="52"/>
      <c r="Q15" s="84"/>
      <c r="R15" s="85"/>
    </row>
    <row r="16" spans="1:18" s="11" customFormat="1" x14ac:dyDescent="0.2">
      <c r="A16" s="9">
        <v>10</v>
      </c>
      <c r="B16" s="9"/>
      <c r="C16" s="9"/>
      <c r="D16" s="9" t="s">
        <v>73</v>
      </c>
      <c r="E16" s="50" t="s">
        <v>111</v>
      </c>
      <c r="F16" s="50"/>
      <c r="G16" s="51" t="s">
        <v>637</v>
      </c>
      <c r="H16" s="51" t="s">
        <v>481</v>
      </c>
      <c r="I16" s="9" t="s">
        <v>403</v>
      </c>
      <c r="J16" s="9"/>
      <c r="K16" s="9"/>
      <c r="L16" s="9"/>
      <c r="M16" s="9"/>
      <c r="N16" s="9"/>
      <c r="O16" s="41"/>
      <c r="P16" s="52"/>
      <c r="Q16" s="84"/>
      <c r="R16" s="85"/>
    </row>
    <row r="17" spans="1:18" s="11" customFormat="1" x14ac:dyDescent="0.2">
      <c r="A17" s="9">
        <v>10</v>
      </c>
      <c r="B17" s="9"/>
      <c r="C17" s="9"/>
      <c r="D17" s="9" t="s">
        <v>42</v>
      </c>
      <c r="E17" s="50" t="s">
        <v>45</v>
      </c>
      <c r="F17" s="50"/>
      <c r="G17" s="51" t="s">
        <v>638</v>
      </c>
      <c r="H17" s="51" t="s">
        <v>482</v>
      </c>
      <c r="I17" s="9" t="s">
        <v>403</v>
      </c>
      <c r="J17" s="9"/>
      <c r="K17" s="9"/>
      <c r="L17" s="9"/>
      <c r="M17" s="9"/>
      <c r="N17" s="9"/>
      <c r="O17" s="41"/>
      <c r="P17" s="52"/>
      <c r="Q17" s="84"/>
      <c r="R17" s="85"/>
    </row>
    <row r="18" spans="1:18" s="11" customFormat="1" x14ac:dyDescent="0.2">
      <c r="A18" s="9">
        <v>10</v>
      </c>
      <c r="B18" s="9"/>
      <c r="C18" s="9"/>
      <c r="D18" s="9" t="s">
        <v>43</v>
      </c>
      <c r="E18" s="50" t="s">
        <v>46</v>
      </c>
      <c r="F18" s="50"/>
      <c r="G18" s="51" t="s">
        <v>639</v>
      </c>
      <c r="H18" s="51" t="s">
        <v>483</v>
      </c>
      <c r="I18" s="9" t="s">
        <v>403</v>
      </c>
      <c r="J18" s="9"/>
      <c r="K18" s="9"/>
      <c r="L18" s="9"/>
      <c r="M18" s="9"/>
      <c r="N18" s="9"/>
      <c r="O18" s="41"/>
      <c r="P18" s="52"/>
      <c r="Q18" s="84"/>
      <c r="R18" s="85"/>
    </row>
    <row r="19" spans="1:18" s="11" customFormat="1" x14ac:dyDescent="0.2">
      <c r="A19" s="9">
        <v>10</v>
      </c>
      <c r="B19" s="9"/>
      <c r="C19" s="9"/>
      <c r="D19" s="9" t="s">
        <v>44</v>
      </c>
      <c r="E19" s="50" t="s">
        <v>47</v>
      </c>
      <c r="F19" s="50"/>
      <c r="G19" s="51" t="s">
        <v>640</v>
      </c>
      <c r="H19" s="51" t="s">
        <v>484</v>
      </c>
      <c r="I19" s="9" t="s">
        <v>403</v>
      </c>
      <c r="J19" s="9"/>
      <c r="K19" s="9"/>
      <c r="L19" s="9"/>
      <c r="M19" s="9"/>
      <c r="N19" s="9"/>
      <c r="O19" s="41"/>
      <c r="P19" s="52"/>
      <c r="Q19" s="84"/>
      <c r="R19" s="85"/>
    </row>
    <row r="20" spans="1:18" s="11" customFormat="1" x14ac:dyDescent="0.2">
      <c r="A20" s="9">
        <v>10</v>
      </c>
      <c r="B20" s="9"/>
      <c r="C20" s="9"/>
      <c r="D20" s="9" t="s">
        <v>74</v>
      </c>
      <c r="E20" s="50" t="s">
        <v>112</v>
      </c>
      <c r="F20" s="50"/>
      <c r="G20" s="51" t="s">
        <v>641</v>
      </c>
      <c r="H20" s="51" t="s">
        <v>485</v>
      </c>
      <c r="I20" s="9" t="s">
        <v>403</v>
      </c>
      <c r="J20" s="9"/>
      <c r="K20" s="9"/>
      <c r="L20" s="9" t="s">
        <v>486</v>
      </c>
      <c r="M20" s="9"/>
      <c r="N20" s="9"/>
      <c r="O20" s="41"/>
      <c r="P20" s="52"/>
      <c r="Q20" s="84"/>
      <c r="R20" s="85"/>
    </row>
    <row r="21" spans="1:18" s="11" customFormat="1" x14ac:dyDescent="0.2">
      <c r="A21" s="9">
        <v>10</v>
      </c>
      <c r="B21" s="9"/>
      <c r="C21" s="9"/>
      <c r="D21" s="9" t="s">
        <v>75</v>
      </c>
      <c r="E21" s="50" t="s">
        <v>112</v>
      </c>
      <c r="F21" s="50"/>
      <c r="G21" s="51" t="s">
        <v>642</v>
      </c>
      <c r="H21" s="51" t="s">
        <v>487</v>
      </c>
      <c r="I21" s="9" t="s">
        <v>403</v>
      </c>
      <c r="J21" s="9"/>
      <c r="K21" s="9"/>
      <c r="L21" s="9" t="s">
        <v>486</v>
      </c>
      <c r="M21" s="9"/>
      <c r="N21" s="9"/>
      <c r="O21" s="41"/>
      <c r="P21" s="52"/>
      <c r="Q21" s="84"/>
      <c r="R21" s="85"/>
    </row>
    <row r="22" spans="1:18" s="11" customFormat="1" x14ac:dyDescent="0.2">
      <c r="A22" s="9">
        <v>10</v>
      </c>
      <c r="B22" s="9"/>
      <c r="C22" s="9"/>
      <c r="D22" s="9" t="s">
        <v>24</v>
      </c>
      <c r="E22" s="50" t="s">
        <v>25</v>
      </c>
      <c r="F22" s="50"/>
      <c r="G22" s="51" t="s">
        <v>605</v>
      </c>
      <c r="H22" s="51" t="s">
        <v>417</v>
      </c>
      <c r="I22" s="9" t="s">
        <v>403</v>
      </c>
      <c r="J22" s="9"/>
      <c r="K22" s="9"/>
      <c r="L22" s="9"/>
      <c r="M22" s="9"/>
      <c r="N22" s="9"/>
      <c r="O22" s="41"/>
      <c r="P22" s="52"/>
      <c r="Q22" s="84"/>
      <c r="R22" s="85"/>
    </row>
    <row r="23" spans="1:18" s="11" customFormat="1" x14ac:dyDescent="0.2">
      <c r="A23" s="9">
        <v>10</v>
      </c>
      <c r="B23" s="9"/>
      <c r="C23" s="9"/>
      <c r="D23" s="9" t="s">
        <v>28</v>
      </c>
      <c r="E23" s="50" t="s">
        <v>29</v>
      </c>
      <c r="F23" s="50"/>
      <c r="G23" s="51" t="s">
        <v>606</v>
      </c>
      <c r="H23" s="51" t="s">
        <v>418</v>
      </c>
      <c r="I23" s="9" t="s">
        <v>403</v>
      </c>
      <c r="J23" s="9"/>
      <c r="K23" s="9"/>
      <c r="L23" s="9"/>
      <c r="M23" s="9"/>
      <c r="N23" s="9"/>
      <c r="O23" s="41"/>
      <c r="P23" s="52"/>
      <c r="Q23" s="84"/>
      <c r="R23" s="85"/>
    </row>
    <row r="24" spans="1:18" s="11" customFormat="1" x14ac:dyDescent="0.2">
      <c r="A24" s="9">
        <v>10</v>
      </c>
      <c r="B24" s="9"/>
      <c r="C24" s="9"/>
      <c r="D24" s="9" t="s">
        <v>26</v>
      </c>
      <c r="E24" s="50" t="s">
        <v>27</v>
      </c>
      <c r="F24" s="50"/>
      <c r="G24" s="51" t="s">
        <v>607</v>
      </c>
      <c r="H24" s="51" t="s">
        <v>419</v>
      </c>
      <c r="I24" s="9" t="s">
        <v>403</v>
      </c>
      <c r="J24" s="9"/>
      <c r="K24" s="9"/>
      <c r="L24" s="9"/>
      <c r="M24" s="9"/>
      <c r="N24" s="9"/>
      <c r="O24" s="41"/>
      <c r="P24" s="52"/>
      <c r="Q24" s="84"/>
      <c r="R24" s="85"/>
    </row>
    <row r="25" spans="1:18" s="11" customFormat="1" x14ac:dyDescent="0.2">
      <c r="A25" s="9">
        <v>10</v>
      </c>
      <c r="B25" s="9"/>
      <c r="C25" s="9"/>
      <c r="D25" s="9" t="s">
        <v>36</v>
      </c>
      <c r="E25" s="50" t="s">
        <v>37</v>
      </c>
      <c r="F25" s="50"/>
      <c r="G25" s="51" t="s">
        <v>609</v>
      </c>
      <c r="H25" s="51" t="s">
        <v>421</v>
      </c>
      <c r="I25" s="9" t="s">
        <v>403</v>
      </c>
      <c r="J25" s="9"/>
      <c r="K25" s="9"/>
      <c r="L25" s="9"/>
      <c r="M25" s="9"/>
      <c r="N25" s="9"/>
      <c r="O25" s="41"/>
      <c r="P25" s="52"/>
      <c r="Q25" s="84"/>
      <c r="R25" s="85"/>
    </row>
    <row r="26" spans="1:18" s="11" customFormat="1" x14ac:dyDescent="0.2">
      <c r="A26" s="53"/>
      <c r="B26" s="54"/>
      <c r="C26" s="54"/>
      <c r="D26" s="27" t="s">
        <v>1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4"/>
      <c r="P26" s="4"/>
      <c r="Q26" s="6"/>
      <c r="R26" s="23"/>
    </row>
    <row r="27" spans="1:18" s="11" customFormat="1" x14ac:dyDescent="0.2">
      <c r="A27" s="65"/>
      <c r="R27" s="55"/>
    </row>
    <row r="28" spans="1:18" s="11" customFormat="1" x14ac:dyDescent="0.2">
      <c r="A28" s="65"/>
      <c r="R28" s="55"/>
    </row>
    <row r="29" spans="1:18" s="11" customFormat="1" x14ac:dyDescent="0.2">
      <c r="A29" s="65"/>
      <c r="R29" s="55"/>
    </row>
    <row r="30" spans="1:18" s="11" customFormat="1" x14ac:dyDescent="0.2">
      <c r="A30" s="70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20"/>
    </row>
  </sheetData>
  <dataConsolidate/>
  <mergeCells count="14">
    <mergeCell ref="Q24:R24"/>
    <mergeCell ref="Q25:R25"/>
    <mergeCell ref="Q12:R12"/>
    <mergeCell ref="Q13:R13"/>
    <mergeCell ref="Q14:R14"/>
    <mergeCell ref="Q22:R22"/>
    <mergeCell ref="Q23:R23"/>
    <mergeCell ref="Q15:R15"/>
    <mergeCell ref="Q16:R16"/>
    <mergeCell ref="Q17:R17"/>
    <mergeCell ref="Q18:R18"/>
    <mergeCell ref="Q19:R19"/>
    <mergeCell ref="Q20:R20"/>
    <mergeCell ref="Q21:R21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71">
    <pageSetUpPr fitToPage="1"/>
  </sheetPr>
  <dimension ref="A1:V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217</v>
      </c>
      <c r="K2" s="7" t="s">
        <v>21</v>
      </c>
      <c r="L2" s="64" t="str">
        <f>IF(LogicCommon!G2="","",LogicCommon!G2)</f>
        <v>MC</v>
      </c>
      <c r="M2" s="5" t="s">
        <v>124</v>
      </c>
      <c r="N2" s="28" t="s">
        <v>545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129</v>
      </c>
      <c r="K3" s="7" t="s">
        <v>22</v>
      </c>
      <c r="L3" s="64" t="str">
        <f>IF(LogicCommon!G3="","",LogicCommon!G3)</f>
        <v/>
      </c>
      <c r="M3" s="68" t="s">
        <v>126</v>
      </c>
      <c r="N3" s="7"/>
      <c r="O3" s="7" t="s">
        <v>193</v>
      </c>
      <c r="P3" s="9" t="s">
        <v>194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31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140</v>
      </c>
      <c r="B6" s="66"/>
      <c r="C6" s="66"/>
      <c r="D6" s="4" t="s">
        <v>5</v>
      </c>
      <c r="E6" s="16" t="s">
        <v>380</v>
      </c>
      <c r="F6" s="16"/>
      <c r="G6" s="16"/>
      <c r="H6" s="16"/>
      <c r="I6" s="16"/>
      <c r="J6" s="16"/>
      <c r="K6" s="16"/>
      <c r="L6" s="72" t="s">
        <v>169</v>
      </c>
      <c r="M6" s="19"/>
      <c r="N6" s="19" t="s">
        <v>169</v>
      </c>
      <c r="O6" s="19"/>
      <c r="P6" s="19" t="s">
        <v>169</v>
      </c>
      <c r="Q6" s="19"/>
      <c r="R6" s="3" t="s">
        <v>169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130</v>
      </c>
      <c r="L7" s="32" t="s">
        <v>131</v>
      </c>
      <c r="M7" s="33" t="s">
        <v>33</v>
      </c>
      <c r="N7" s="32" t="s">
        <v>132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33" t="s">
        <v>134</v>
      </c>
      <c r="L8" s="9" t="s">
        <v>219</v>
      </c>
      <c r="M8" s="33" t="s">
        <v>34</v>
      </c>
      <c r="N8" s="9" t="s">
        <v>219</v>
      </c>
      <c r="O8" s="33" t="s">
        <v>34</v>
      </c>
      <c r="P8" s="9"/>
      <c r="Q8" s="33" t="s">
        <v>34</v>
      </c>
      <c r="R8" s="9"/>
      <c r="S8" s="79"/>
      <c r="T8" s="80"/>
      <c r="U8" s="81" t="s">
        <v>586</v>
      </c>
      <c r="V8" s="52"/>
    </row>
    <row r="9" spans="1:22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33"/>
      <c r="O9" s="33"/>
      <c r="P9" s="33"/>
      <c r="Q9" s="33"/>
      <c r="R9" s="33"/>
      <c r="S9" s="81" t="s">
        <v>594</v>
      </c>
      <c r="T9" s="52"/>
      <c r="U9" s="81" t="s">
        <v>595</v>
      </c>
      <c r="V9" s="52"/>
    </row>
    <row r="10" spans="1:22" s="11" customFormat="1" ht="52" x14ac:dyDescent="0.2">
      <c r="A10" s="39" t="s">
        <v>135</v>
      </c>
      <c r="B10" s="40"/>
      <c r="C10" s="40"/>
      <c r="D10" s="41"/>
      <c r="E10" s="42"/>
      <c r="F10" s="42"/>
      <c r="G10" s="43"/>
      <c r="H10" s="43"/>
      <c r="I10" s="42"/>
      <c r="J10" s="42"/>
      <c r="K10" s="76" t="s">
        <v>592</v>
      </c>
      <c r="L10" s="76" t="s">
        <v>593</v>
      </c>
      <c r="M10" s="76" t="s">
        <v>592</v>
      </c>
      <c r="N10" s="76" t="s">
        <v>593</v>
      </c>
      <c r="O10" s="76" t="s">
        <v>592</v>
      </c>
      <c r="P10" s="76" t="s">
        <v>593</v>
      </c>
      <c r="Q10" s="76" t="s">
        <v>592</v>
      </c>
      <c r="R10" s="76" t="s">
        <v>593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218</v>
      </c>
      <c r="E11" s="34" t="s">
        <v>136</v>
      </c>
      <c r="F11" s="44"/>
      <c r="G11" s="28" t="s">
        <v>137</v>
      </c>
      <c r="H11" s="45" t="s">
        <v>499</v>
      </c>
      <c r="I11" s="46"/>
      <c r="J11" s="47"/>
      <c r="K11" s="48" t="s">
        <v>122</v>
      </c>
      <c r="L11" s="48"/>
      <c r="M11" s="48" t="s">
        <v>423</v>
      </c>
      <c r="N11" s="48"/>
      <c r="O11" s="48"/>
      <c r="P11" s="48"/>
      <c r="Q11" s="48"/>
      <c r="R11" s="48"/>
      <c r="S11" s="35"/>
      <c r="T11" s="36"/>
      <c r="U11" s="60"/>
      <c r="V11" s="49"/>
    </row>
    <row r="12" spans="1:22" s="11" customFormat="1" ht="26" x14ac:dyDescent="0.2">
      <c r="A12" s="9">
        <v>10</v>
      </c>
      <c r="B12" s="9"/>
      <c r="C12" s="9"/>
      <c r="D12" s="9" t="s">
        <v>69</v>
      </c>
      <c r="E12" s="50" t="s">
        <v>108</v>
      </c>
      <c r="F12" s="50"/>
      <c r="G12" s="51" t="s">
        <v>633</v>
      </c>
      <c r="H12" s="51" t="s">
        <v>476</v>
      </c>
      <c r="I12" s="9" t="s">
        <v>403</v>
      </c>
      <c r="J12" s="9"/>
      <c r="K12" s="9" t="s">
        <v>404</v>
      </c>
      <c r="L12" s="9"/>
      <c r="M12" s="9" t="s">
        <v>404</v>
      </c>
      <c r="N12" s="9"/>
      <c r="O12" s="9"/>
      <c r="P12" s="9"/>
      <c r="Q12" s="9"/>
      <c r="R12" s="9"/>
      <c r="S12" s="41"/>
      <c r="T12" s="52"/>
      <c r="U12" s="84"/>
      <c r="V12" s="85"/>
    </row>
    <row r="13" spans="1:22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610</v>
      </c>
      <c r="H13" s="51" t="s">
        <v>425</v>
      </c>
      <c r="I13" s="9" t="s">
        <v>403</v>
      </c>
      <c r="J13" s="9"/>
      <c r="K13" s="9" t="s">
        <v>404</v>
      </c>
      <c r="L13" s="9"/>
      <c r="M13" s="9" t="s">
        <v>404</v>
      </c>
      <c r="N13" s="9"/>
      <c r="O13" s="9"/>
      <c r="P13" s="9"/>
      <c r="Q13" s="9"/>
      <c r="R13" s="9"/>
      <c r="S13" s="41"/>
      <c r="T13" s="52"/>
      <c r="U13" s="84"/>
      <c r="V13" s="85"/>
    </row>
    <row r="14" spans="1:22" s="11" customFormat="1" ht="26" x14ac:dyDescent="0.2">
      <c r="A14" s="9">
        <v>10</v>
      </c>
      <c r="B14" s="9"/>
      <c r="C14" s="9"/>
      <c r="D14" s="9" t="s">
        <v>70</v>
      </c>
      <c r="E14" s="50" t="s">
        <v>109</v>
      </c>
      <c r="F14" s="50"/>
      <c r="G14" s="51" t="s">
        <v>646</v>
      </c>
      <c r="H14" s="51" t="s">
        <v>498</v>
      </c>
      <c r="I14" s="9" t="s">
        <v>403</v>
      </c>
      <c r="J14" s="9"/>
      <c r="K14" s="9" t="s">
        <v>404</v>
      </c>
      <c r="L14" s="9"/>
      <c r="M14" s="9" t="s">
        <v>404</v>
      </c>
      <c r="N14" s="9"/>
      <c r="O14" s="9"/>
      <c r="P14" s="9"/>
      <c r="Q14" s="9"/>
      <c r="R14" s="9"/>
      <c r="S14" s="41"/>
      <c r="T14" s="52"/>
      <c r="U14" s="84"/>
      <c r="V14" s="85"/>
    </row>
    <row r="15" spans="1:22" s="11" customFormat="1" x14ac:dyDescent="0.2">
      <c r="A15" s="9">
        <v>10</v>
      </c>
      <c r="B15" s="9"/>
      <c r="C15" s="9"/>
      <c r="D15" s="9" t="s">
        <v>72</v>
      </c>
      <c r="E15" s="50" t="s">
        <v>110</v>
      </c>
      <c r="F15" s="50"/>
      <c r="G15" s="51" t="s">
        <v>636</v>
      </c>
      <c r="H15" s="51" t="s">
        <v>479</v>
      </c>
      <c r="I15" s="9" t="s">
        <v>403</v>
      </c>
      <c r="J15" s="9"/>
      <c r="K15" s="9" t="s">
        <v>404</v>
      </c>
      <c r="L15" s="9"/>
      <c r="M15" s="9" t="s">
        <v>404</v>
      </c>
      <c r="N15" s="9"/>
      <c r="O15" s="9"/>
      <c r="P15" s="9"/>
      <c r="Q15" s="9"/>
      <c r="R15" s="9"/>
      <c r="S15" s="41"/>
      <c r="T15" s="52"/>
      <c r="U15" s="84"/>
      <c r="V15" s="85"/>
    </row>
    <row r="16" spans="1:22" s="11" customFormat="1" x14ac:dyDescent="0.2">
      <c r="A16" s="9">
        <v>10</v>
      </c>
      <c r="B16" s="9"/>
      <c r="C16" s="9"/>
      <c r="D16" s="9" t="s">
        <v>73</v>
      </c>
      <c r="E16" s="50" t="s">
        <v>111</v>
      </c>
      <c r="F16" s="50"/>
      <c r="G16" s="51" t="s">
        <v>637</v>
      </c>
      <c r="H16" s="51" t="s">
        <v>481</v>
      </c>
      <c r="I16" s="9" t="s">
        <v>403</v>
      </c>
      <c r="J16" s="9"/>
      <c r="K16" s="9" t="s">
        <v>404</v>
      </c>
      <c r="L16" s="9"/>
      <c r="M16" s="9" t="s">
        <v>404</v>
      </c>
      <c r="N16" s="9"/>
      <c r="O16" s="9"/>
      <c r="P16" s="9"/>
      <c r="Q16" s="9"/>
      <c r="R16" s="9"/>
      <c r="S16" s="41"/>
      <c r="T16" s="52"/>
      <c r="U16" s="84"/>
      <c r="V16" s="85"/>
    </row>
    <row r="17" spans="1:22" s="11" customFormat="1" x14ac:dyDescent="0.2">
      <c r="A17" s="9">
        <v>10</v>
      </c>
      <c r="B17" s="9"/>
      <c r="C17" s="9"/>
      <c r="D17" s="9" t="s">
        <v>42</v>
      </c>
      <c r="E17" s="50" t="s">
        <v>45</v>
      </c>
      <c r="F17" s="50"/>
      <c r="G17" s="51" t="s">
        <v>638</v>
      </c>
      <c r="H17" s="51" t="s">
        <v>482</v>
      </c>
      <c r="I17" s="9" t="s">
        <v>403</v>
      </c>
      <c r="J17" s="9"/>
      <c r="K17" s="9" t="s">
        <v>404</v>
      </c>
      <c r="L17" s="9"/>
      <c r="M17" s="9" t="s">
        <v>404</v>
      </c>
      <c r="N17" s="9"/>
      <c r="O17" s="9"/>
      <c r="P17" s="9"/>
      <c r="Q17" s="9"/>
      <c r="R17" s="9"/>
      <c r="S17" s="41"/>
      <c r="T17" s="52"/>
      <c r="U17" s="84"/>
      <c r="V17" s="85"/>
    </row>
    <row r="18" spans="1:22" s="11" customFormat="1" x14ac:dyDescent="0.2">
      <c r="A18" s="9">
        <v>10</v>
      </c>
      <c r="B18" s="9"/>
      <c r="C18" s="9"/>
      <c r="D18" s="9" t="s">
        <v>43</v>
      </c>
      <c r="E18" s="50" t="s">
        <v>46</v>
      </c>
      <c r="F18" s="50"/>
      <c r="G18" s="51" t="s">
        <v>639</v>
      </c>
      <c r="H18" s="51" t="s">
        <v>483</v>
      </c>
      <c r="I18" s="9" t="s">
        <v>403</v>
      </c>
      <c r="J18" s="9"/>
      <c r="K18" s="9" t="s">
        <v>404</v>
      </c>
      <c r="L18" s="9"/>
      <c r="M18" s="9" t="s">
        <v>404</v>
      </c>
      <c r="N18" s="9"/>
      <c r="O18" s="9"/>
      <c r="P18" s="9"/>
      <c r="Q18" s="9"/>
      <c r="R18" s="9"/>
      <c r="S18" s="41"/>
      <c r="T18" s="52"/>
      <c r="U18" s="84"/>
      <c r="V18" s="85"/>
    </row>
    <row r="19" spans="1:22" s="11" customFormat="1" x14ac:dyDescent="0.2">
      <c r="A19" s="9">
        <v>10</v>
      </c>
      <c r="B19" s="9"/>
      <c r="C19" s="9"/>
      <c r="D19" s="9" t="s">
        <v>44</v>
      </c>
      <c r="E19" s="50" t="s">
        <v>47</v>
      </c>
      <c r="F19" s="50"/>
      <c r="G19" s="51" t="s">
        <v>640</v>
      </c>
      <c r="H19" s="51" t="s">
        <v>484</v>
      </c>
      <c r="I19" s="9" t="s">
        <v>403</v>
      </c>
      <c r="J19" s="9"/>
      <c r="K19" s="9" t="s">
        <v>404</v>
      </c>
      <c r="L19" s="9"/>
      <c r="M19" s="9" t="s">
        <v>404</v>
      </c>
      <c r="N19" s="9"/>
      <c r="O19" s="9"/>
      <c r="P19" s="9"/>
      <c r="Q19" s="9"/>
      <c r="R19" s="9"/>
      <c r="S19" s="41"/>
      <c r="T19" s="52"/>
      <c r="U19" s="84"/>
      <c r="V19" s="85"/>
    </row>
    <row r="20" spans="1:22" s="11" customFormat="1" x14ac:dyDescent="0.2">
      <c r="A20" s="9">
        <v>10</v>
      </c>
      <c r="B20" s="9"/>
      <c r="C20" s="9"/>
      <c r="D20" s="9" t="s">
        <v>74</v>
      </c>
      <c r="E20" s="50" t="s">
        <v>112</v>
      </c>
      <c r="F20" s="50"/>
      <c r="G20" s="51" t="s">
        <v>641</v>
      </c>
      <c r="H20" s="51" t="s">
        <v>485</v>
      </c>
      <c r="I20" s="9" t="s">
        <v>403</v>
      </c>
      <c r="J20" s="9"/>
      <c r="K20" s="9" t="s">
        <v>404</v>
      </c>
      <c r="L20" s="9"/>
      <c r="M20" s="9" t="s">
        <v>404</v>
      </c>
      <c r="N20" s="9"/>
      <c r="O20" s="9"/>
      <c r="P20" s="9"/>
      <c r="Q20" s="9"/>
      <c r="R20" s="9"/>
      <c r="S20" s="41"/>
      <c r="T20" s="52"/>
      <c r="U20" s="84"/>
      <c r="V20" s="85"/>
    </row>
    <row r="21" spans="1:22" s="11" customFormat="1" x14ac:dyDescent="0.2">
      <c r="A21" s="9">
        <v>10</v>
      </c>
      <c r="B21" s="9"/>
      <c r="C21" s="9"/>
      <c r="D21" s="9" t="s">
        <v>75</v>
      </c>
      <c r="E21" s="50" t="s">
        <v>112</v>
      </c>
      <c r="F21" s="50"/>
      <c r="G21" s="51" t="s">
        <v>642</v>
      </c>
      <c r="H21" s="51" t="s">
        <v>487</v>
      </c>
      <c r="I21" s="9" t="s">
        <v>403</v>
      </c>
      <c r="J21" s="9"/>
      <c r="K21" s="9" t="s">
        <v>404</v>
      </c>
      <c r="L21" s="9"/>
      <c r="M21" s="9" t="s">
        <v>404</v>
      </c>
      <c r="N21" s="9"/>
      <c r="O21" s="9"/>
      <c r="P21" s="9"/>
      <c r="Q21" s="9"/>
      <c r="R21" s="9"/>
      <c r="S21" s="41"/>
      <c r="T21" s="52"/>
      <c r="U21" s="84"/>
      <c r="V21" s="85"/>
    </row>
    <row r="22" spans="1:22" s="11" customFormat="1" x14ac:dyDescent="0.2">
      <c r="A22" s="9">
        <v>10</v>
      </c>
      <c r="B22" s="9"/>
      <c r="C22" s="9"/>
      <c r="D22" s="9" t="s">
        <v>24</v>
      </c>
      <c r="E22" s="50" t="s">
        <v>25</v>
      </c>
      <c r="F22" s="50"/>
      <c r="G22" s="51" t="s">
        <v>605</v>
      </c>
      <c r="H22" s="51" t="s">
        <v>417</v>
      </c>
      <c r="I22" s="9" t="s">
        <v>403</v>
      </c>
      <c r="J22" s="9"/>
      <c r="K22" s="9" t="s">
        <v>404</v>
      </c>
      <c r="L22" s="9"/>
      <c r="M22" s="9" t="s">
        <v>404</v>
      </c>
      <c r="N22" s="9"/>
      <c r="O22" s="9"/>
      <c r="P22" s="9"/>
      <c r="Q22" s="9"/>
      <c r="R22" s="9"/>
      <c r="S22" s="41"/>
      <c r="T22" s="52"/>
      <c r="U22" s="84"/>
      <c r="V22" s="85"/>
    </row>
    <row r="23" spans="1:22" s="11" customFormat="1" x14ac:dyDescent="0.2">
      <c r="A23" s="9">
        <v>10</v>
      </c>
      <c r="B23" s="9"/>
      <c r="C23" s="9"/>
      <c r="D23" s="9" t="s">
        <v>28</v>
      </c>
      <c r="E23" s="50" t="s">
        <v>29</v>
      </c>
      <c r="F23" s="50"/>
      <c r="G23" s="51" t="s">
        <v>606</v>
      </c>
      <c r="H23" s="51" t="s">
        <v>418</v>
      </c>
      <c r="I23" s="9" t="s">
        <v>403</v>
      </c>
      <c r="J23" s="9"/>
      <c r="K23" s="9" t="s">
        <v>404</v>
      </c>
      <c r="L23" s="9"/>
      <c r="M23" s="9" t="s">
        <v>404</v>
      </c>
      <c r="N23" s="9"/>
      <c r="O23" s="9"/>
      <c r="P23" s="9"/>
      <c r="Q23" s="9"/>
      <c r="R23" s="9"/>
      <c r="S23" s="41"/>
      <c r="T23" s="52"/>
      <c r="U23" s="84"/>
      <c r="V23" s="85"/>
    </row>
    <row r="24" spans="1:22" s="11" customFormat="1" x14ac:dyDescent="0.2">
      <c r="A24" s="9">
        <v>10</v>
      </c>
      <c r="B24" s="9"/>
      <c r="C24" s="9"/>
      <c r="D24" s="9" t="s">
        <v>26</v>
      </c>
      <c r="E24" s="50" t="s">
        <v>27</v>
      </c>
      <c r="F24" s="50"/>
      <c r="G24" s="51" t="s">
        <v>607</v>
      </c>
      <c r="H24" s="51" t="s">
        <v>419</v>
      </c>
      <c r="I24" s="9" t="s">
        <v>403</v>
      </c>
      <c r="J24" s="9"/>
      <c r="K24" s="9" t="s">
        <v>404</v>
      </c>
      <c r="L24" s="9"/>
      <c r="M24" s="9" t="s">
        <v>404</v>
      </c>
      <c r="N24" s="9"/>
      <c r="O24" s="9"/>
      <c r="P24" s="9"/>
      <c r="Q24" s="9"/>
      <c r="R24" s="9"/>
      <c r="S24" s="41"/>
      <c r="T24" s="52"/>
      <c r="U24" s="84"/>
      <c r="V24" s="85"/>
    </row>
    <row r="25" spans="1:22" s="11" customFormat="1" x14ac:dyDescent="0.2">
      <c r="A25" s="9">
        <v>10</v>
      </c>
      <c r="B25" s="9"/>
      <c r="C25" s="9"/>
      <c r="D25" s="9" t="s">
        <v>36</v>
      </c>
      <c r="E25" s="50" t="s">
        <v>37</v>
      </c>
      <c r="F25" s="50"/>
      <c r="G25" s="51" t="s">
        <v>609</v>
      </c>
      <c r="H25" s="51" t="s">
        <v>421</v>
      </c>
      <c r="I25" s="9" t="s">
        <v>403</v>
      </c>
      <c r="J25" s="9"/>
      <c r="K25" s="9" t="s">
        <v>404</v>
      </c>
      <c r="L25" s="9"/>
      <c r="M25" s="9" t="s">
        <v>404</v>
      </c>
      <c r="N25" s="9"/>
      <c r="O25" s="9"/>
      <c r="P25" s="9"/>
      <c r="Q25" s="9"/>
      <c r="R25" s="9"/>
      <c r="S25" s="41"/>
      <c r="T25" s="52"/>
      <c r="U25" s="84"/>
      <c r="V25" s="85"/>
    </row>
    <row r="26" spans="1:22" s="11" customFormat="1" x14ac:dyDescent="0.2">
      <c r="A26" s="53"/>
      <c r="B26" s="54"/>
      <c r="C26" s="54"/>
      <c r="D26" s="27" t="s">
        <v>1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4"/>
      <c r="T26" s="4"/>
      <c r="U26" s="6"/>
      <c r="V26" s="23"/>
    </row>
    <row r="27" spans="1:22" s="11" customFormat="1" x14ac:dyDescent="0.2">
      <c r="A27" s="65"/>
      <c r="V27" s="55"/>
    </row>
    <row r="28" spans="1:22" s="11" customFormat="1" x14ac:dyDescent="0.2">
      <c r="A28" s="65"/>
      <c r="V28" s="55"/>
    </row>
    <row r="29" spans="1:22" s="11" customFormat="1" x14ac:dyDescent="0.2">
      <c r="A29" s="65"/>
      <c r="V29" s="55"/>
    </row>
    <row r="30" spans="1:22" s="11" customFormat="1" x14ac:dyDescent="0.2">
      <c r="A30" s="70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20"/>
    </row>
  </sheetData>
  <dataConsolidate/>
  <mergeCells count="14">
    <mergeCell ref="U24:V24"/>
    <mergeCell ref="U25:V25"/>
    <mergeCell ref="U12:V12"/>
    <mergeCell ref="U13:V13"/>
    <mergeCell ref="U14:V14"/>
    <mergeCell ref="U22:V22"/>
    <mergeCell ref="U23:V23"/>
    <mergeCell ref="U15:V15"/>
    <mergeCell ref="U16:V16"/>
    <mergeCell ref="U17:V17"/>
    <mergeCell ref="U18:V18"/>
    <mergeCell ref="U19:V19"/>
    <mergeCell ref="U20:V20"/>
    <mergeCell ref="U21:V21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321</v>
      </c>
      <c r="K2" s="7" t="s">
        <v>21</v>
      </c>
      <c r="L2" s="64" t="str">
        <f>IF(LogicCommon!G2="","",LogicCommon!G2)</f>
        <v>MC</v>
      </c>
      <c r="M2" s="5" t="s">
        <v>124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125</v>
      </c>
      <c r="K3" s="7" t="s">
        <v>22</v>
      </c>
      <c r="L3" s="64" t="str">
        <f>IF(LogicCommon!G3="","",LogicCommon!G3)</f>
        <v/>
      </c>
      <c r="M3" s="68" t="s">
        <v>277</v>
      </c>
      <c r="N3" s="7"/>
      <c r="O3" s="7" t="s">
        <v>193</v>
      </c>
      <c r="P3" s="9" t="s">
        <v>194</v>
      </c>
      <c r="Q3" s="4"/>
    </row>
    <row r="4" spans="1:17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127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140</v>
      </c>
      <c r="B6" s="66"/>
      <c r="C6" s="66"/>
      <c r="D6" s="4" t="s">
        <v>5</v>
      </c>
      <c r="E6" s="16" t="s">
        <v>381</v>
      </c>
      <c r="F6" s="16"/>
      <c r="G6" s="16"/>
      <c r="H6" s="16"/>
      <c r="I6" s="16"/>
      <c r="J6" s="16"/>
      <c r="K6" s="16"/>
      <c r="L6" s="72"/>
      <c r="M6" s="19" t="s">
        <v>169</v>
      </c>
      <c r="N6" s="19"/>
      <c r="O6" s="19"/>
      <c r="P6" s="19"/>
      <c r="Q6" s="19"/>
    </row>
    <row r="7" spans="1:17" s="11" customFormat="1" x14ac:dyDescent="0.2">
      <c r="A7" s="30" t="s">
        <v>170</v>
      </c>
      <c r="B7" s="30"/>
      <c r="C7" s="30"/>
      <c r="D7" s="31"/>
      <c r="E7" s="31"/>
      <c r="F7" s="31"/>
      <c r="G7" s="31"/>
      <c r="H7" s="31"/>
      <c r="I7" s="31" t="s">
        <v>171</v>
      </c>
      <c r="J7" s="31"/>
      <c r="K7" s="32" t="s">
        <v>275</v>
      </c>
      <c r="L7" s="33" t="s">
        <v>33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9" t="s">
        <v>273</v>
      </c>
      <c r="L8" s="33" t="s">
        <v>34</v>
      </c>
      <c r="M8" s="9"/>
      <c r="N8" s="79"/>
      <c r="O8" s="80"/>
      <c r="P8" s="81" t="s">
        <v>586</v>
      </c>
      <c r="Q8" s="52"/>
    </row>
    <row r="9" spans="1:17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81" t="s">
        <v>594</v>
      </c>
      <c r="O9" s="52"/>
      <c r="P9" s="81" t="s">
        <v>595</v>
      </c>
      <c r="Q9" s="52"/>
    </row>
    <row r="10" spans="1:17" s="11" customFormat="1" ht="52" x14ac:dyDescent="0.2">
      <c r="A10" s="39" t="s">
        <v>170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76" t="s">
        <v>592</v>
      </c>
      <c r="M10" s="76" t="s">
        <v>593</v>
      </c>
      <c r="N10" s="42"/>
      <c r="O10" s="42"/>
      <c r="P10" s="43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320</v>
      </c>
      <c r="E11" s="34" t="s">
        <v>32</v>
      </c>
      <c r="F11" s="44"/>
      <c r="G11" s="28"/>
      <c r="H11" s="45"/>
      <c r="I11" s="46"/>
      <c r="J11" s="47"/>
      <c r="K11" s="48"/>
      <c r="L11" s="48"/>
      <c r="M11" s="48"/>
      <c r="N11" s="35"/>
      <c r="O11" s="36"/>
      <c r="P11" s="60"/>
      <c r="Q11" s="49"/>
    </row>
    <row r="12" spans="1:17" s="11" customFormat="1" ht="26" x14ac:dyDescent="0.2">
      <c r="A12" s="9">
        <v>10</v>
      </c>
      <c r="B12" s="9"/>
      <c r="C12" s="9"/>
      <c r="D12" s="9" t="s">
        <v>69</v>
      </c>
      <c r="E12" s="50" t="s">
        <v>108</v>
      </c>
      <c r="F12" s="50"/>
      <c r="G12" s="51" t="s">
        <v>633</v>
      </c>
      <c r="H12" s="51" t="s">
        <v>500</v>
      </c>
      <c r="I12" s="9" t="s">
        <v>403</v>
      </c>
      <c r="J12" s="9"/>
      <c r="K12" s="9" t="s">
        <v>404</v>
      </c>
      <c r="L12" s="9"/>
      <c r="M12" s="9"/>
      <c r="N12" s="41"/>
      <c r="O12" s="52"/>
      <c r="P12" s="84"/>
      <c r="Q12" s="85"/>
    </row>
    <row r="13" spans="1:17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609</v>
      </c>
      <c r="H13" s="51" t="s">
        <v>421</v>
      </c>
      <c r="I13" s="9" t="s">
        <v>403</v>
      </c>
      <c r="J13" s="9"/>
      <c r="K13" s="9"/>
      <c r="L13" s="9"/>
      <c r="M13" s="9"/>
      <c r="N13" s="41"/>
      <c r="O13" s="52"/>
      <c r="P13" s="84"/>
      <c r="Q13" s="85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5"/>
      <c r="Q15" s="55"/>
    </row>
    <row r="16" spans="1:17" s="11" customFormat="1" x14ac:dyDescent="0.2">
      <c r="A16" s="65"/>
      <c r="Q16" s="55"/>
    </row>
    <row r="17" spans="1:17" s="11" customFormat="1" x14ac:dyDescent="0.2">
      <c r="A17" s="65"/>
      <c r="Q17" s="55"/>
    </row>
    <row r="18" spans="1:17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V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324</v>
      </c>
      <c r="K2" s="7" t="s">
        <v>21</v>
      </c>
      <c r="L2" s="64" t="str">
        <f>IF(LogicCommon!G2="","",LogicCommon!G2)</f>
        <v>MC</v>
      </c>
      <c r="M2" s="5" t="s">
        <v>124</v>
      </c>
      <c r="N2" s="28" t="s">
        <v>546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323</v>
      </c>
      <c r="K3" s="7" t="s">
        <v>22</v>
      </c>
      <c r="L3" s="64" t="str">
        <f>IF(LogicCommon!G3="","",LogicCommon!G3)</f>
        <v/>
      </c>
      <c r="M3" s="68" t="s">
        <v>277</v>
      </c>
      <c r="N3" s="7"/>
      <c r="O3" s="7" t="s">
        <v>193</v>
      </c>
      <c r="P3" s="9" t="s">
        <v>194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285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140</v>
      </c>
      <c r="B6" s="66"/>
      <c r="C6" s="66"/>
      <c r="D6" s="4" t="s">
        <v>5</v>
      </c>
      <c r="E6" s="16" t="s">
        <v>382</v>
      </c>
      <c r="F6" s="16"/>
      <c r="G6" s="16"/>
      <c r="H6" s="16"/>
      <c r="I6" s="16"/>
      <c r="J6" s="16"/>
      <c r="K6" s="16"/>
      <c r="L6" s="72" t="s">
        <v>169</v>
      </c>
      <c r="M6" s="19"/>
      <c r="N6" s="19" t="s">
        <v>169</v>
      </c>
      <c r="O6" s="19"/>
      <c r="P6" s="19" t="s">
        <v>169</v>
      </c>
      <c r="Q6" s="19"/>
      <c r="R6" s="3" t="s">
        <v>169</v>
      </c>
      <c r="S6" s="4"/>
      <c r="T6" s="29"/>
      <c r="U6" s="29"/>
      <c r="V6" s="27"/>
    </row>
    <row r="7" spans="1:22" s="11" customFormat="1" x14ac:dyDescent="0.2">
      <c r="A7" s="30" t="s">
        <v>282</v>
      </c>
      <c r="B7" s="30"/>
      <c r="C7" s="30"/>
      <c r="D7" s="31"/>
      <c r="E7" s="31"/>
      <c r="F7" s="31"/>
      <c r="G7" s="31"/>
      <c r="H7" s="31"/>
      <c r="I7" s="31" t="s">
        <v>171</v>
      </c>
      <c r="J7" s="31"/>
      <c r="K7" s="33" t="s">
        <v>310</v>
      </c>
      <c r="L7" s="32" t="s">
        <v>284</v>
      </c>
      <c r="M7" s="33" t="s">
        <v>33</v>
      </c>
      <c r="N7" s="32" t="s">
        <v>283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33" t="s">
        <v>281</v>
      </c>
      <c r="L8" s="9" t="s">
        <v>566</v>
      </c>
      <c r="M8" s="33" t="s">
        <v>34</v>
      </c>
      <c r="N8" s="9" t="s">
        <v>219</v>
      </c>
      <c r="O8" s="33" t="s">
        <v>34</v>
      </c>
      <c r="P8" s="9"/>
      <c r="Q8" s="33" t="s">
        <v>34</v>
      </c>
      <c r="R8" s="9"/>
      <c r="S8" s="79"/>
      <c r="T8" s="80"/>
      <c r="U8" s="81" t="s">
        <v>586</v>
      </c>
      <c r="V8" s="52"/>
    </row>
    <row r="9" spans="1:22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33"/>
      <c r="O9" s="33"/>
      <c r="P9" s="33"/>
      <c r="Q9" s="33"/>
      <c r="R9" s="33"/>
      <c r="S9" s="81" t="s">
        <v>594</v>
      </c>
      <c r="T9" s="52"/>
      <c r="U9" s="81" t="s">
        <v>595</v>
      </c>
      <c r="V9" s="52"/>
    </row>
    <row r="10" spans="1:22" s="11" customFormat="1" ht="52" x14ac:dyDescent="0.2">
      <c r="A10" s="39" t="s">
        <v>170</v>
      </c>
      <c r="B10" s="40"/>
      <c r="C10" s="40"/>
      <c r="D10" s="41"/>
      <c r="E10" s="42"/>
      <c r="F10" s="42"/>
      <c r="G10" s="43"/>
      <c r="H10" s="43"/>
      <c r="I10" s="42"/>
      <c r="J10" s="42"/>
      <c r="K10" s="76" t="s">
        <v>592</v>
      </c>
      <c r="L10" s="76" t="s">
        <v>593</v>
      </c>
      <c r="M10" s="76" t="s">
        <v>592</v>
      </c>
      <c r="N10" s="76" t="s">
        <v>593</v>
      </c>
      <c r="O10" s="76" t="s">
        <v>592</v>
      </c>
      <c r="P10" s="76" t="s">
        <v>593</v>
      </c>
      <c r="Q10" s="76" t="s">
        <v>592</v>
      </c>
      <c r="R10" s="76" t="s">
        <v>593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322</v>
      </c>
      <c r="E11" s="34" t="s">
        <v>279</v>
      </c>
      <c r="F11" s="44"/>
      <c r="G11" s="28" t="s">
        <v>137</v>
      </c>
      <c r="H11" s="45" t="s">
        <v>501</v>
      </c>
      <c r="I11" s="46"/>
      <c r="J11" s="47"/>
      <c r="K11" s="48" t="s">
        <v>122</v>
      </c>
      <c r="L11" s="48"/>
      <c r="M11" s="48" t="s">
        <v>423</v>
      </c>
      <c r="N11" s="48"/>
      <c r="O11" s="48"/>
      <c r="P11" s="48"/>
      <c r="Q11" s="48"/>
      <c r="R11" s="48"/>
      <c r="S11" s="35"/>
      <c r="T11" s="36"/>
      <c r="U11" s="60"/>
      <c r="V11" s="49"/>
    </row>
    <row r="12" spans="1:22" s="11" customFormat="1" ht="26" x14ac:dyDescent="0.2">
      <c r="A12" s="9">
        <v>10</v>
      </c>
      <c r="B12" s="9"/>
      <c r="C12" s="9"/>
      <c r="D12" s="9" t="s">
        <v>69</v>
      </c>
      <c r="E12" s="50" t="s">
        <v>108</v>
      </c>
      <c r="F12" s="50"/>
      <c r="G12" s="51" t="s">
        <v>633</v>
      </c>
      <c r="H12" s="51" t="s">
        <v>500</v>
      </c>
      <c r="I12" s="9" t="s">
        <v>403</v>
      </c>
      <c r="J12" s="9"/>
      <c r="K12" s="9" t="s">
        <v>404</v>
      </c>
      <c r="L12" s="9"/>
      <c r="M12" s="9" t="s">
        <v>404</v>
      </c>
      <c r="N12" s="9"/>
      <c r="O12" s="9"/>
      <c r="P12" s="9"/>
      <c r="Q12" s="9"/>
      <c r="R12" s="9"/>
      <c r="S12" s="41"/>
      <c r="T12" s="52"/>
      <c r="U12" s="84"/>
      <c r="V12" s="85"/>
    </row>
    <row r="13" spans="1:22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609</v>
      </c>
      <c r="H13" s="51" t="s">
        <v>421</v>
      </c>
      <c r="I13" s="9" t="s">
        <v>403</v>
      </c>
      <c r="J13" s="9"/>
      <c r="K13" s="9" t="s">
        <v>404</v>
      </c>
      <c r="L13" s="9"/>
      <c r="M13" s="9"/>
      <c r="N13" s="9"/>
      <c r="O13" s="9"/>
      <c r="P13" s="9"/>
      <c r="Q13" s="9"/>
      <c r="R13" s="9"/>
      <c r="S13" s="41"/>
      <c r="T13" s="52"/>
      <c r="U13" s="84"/>
      <c r="V13" s="85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5"/>
      <c r="V15" s="55"/>
    </row>
    <row r="16" spans="1:22" s="11" customFormat="1" x14ac:dyDescent="0.2">
      <c r="A16" s="65"/>
      <c r="V16" s="55"/>
    </row>
    <row r="17" spans="1:22" s="11" customFormat="1" x14ac:dyDescent="0.2">
      <c r="A17" s="65"/>
      <c r="V17" s="55"/>
    </row>
    <row r="18" spans="1:22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72">
    <pageSetUpPr fitToPage="1"/>
  </sheetPr>
  <dimension ref="A1:R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20.453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8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220</v>
      </c>
      <c r="K2" s="7" t="s">
        <v>21</v>
      </c>
      <c r="L2" s="64" t="str">
        <f>IF(LogicCommon!G2="","",LogicCommon!G2)</f>
        <v>MC</v>
      </c>
      <c r="M2" s="5" t="s">
        <v>124</v>
      </c>
      <c r="N2" s="28" t="str">
        <f>L4 &amp; ".Checker"</f>
        <v>MA.MAUDL5010.Checker</v>
      </c>
      <c r="O2" s="7"/>
      <c r="P2" s="7"/>
      <c r="Q2" s="4"/>
      <c r="R2" s="4"/>
    </row>
    <row r="3" spans="1:18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125</v>
      </c>
      <c r="K3" s="7" t="s">
        <v>22</v>
      </c>
      <c r="L3" s="64" t="str">
        <f>IF(LogicCommon!G3="","",LogicCommon!G3)</f>
        <v/>
      </c>
      <c r="M3" s="68" t="s">
        <v>126</v>
      </c>
      <c r="N3" s="7"/>
      <c r="O3" s="7" t="s">
        <v>193</v>
      </c>
      <c r="P3" s="9" t="s">
        <v>194</v>
      </c>
      <c r="Q3" s="4"/>
      <c r="R3" s="4"/>
    </row>
    <row r="4" spans="1:18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127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4"/>
    </row>
    <row r="5" spans="1:18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4"/>
    </row>
    <row r="6" spans="1:18" s="11" customFormat="1" x14ac:dyDescent="0.2">
      <c r="A6" s="65" t="s">
        <v>140</v>
      </c>
      <c r="B6" s="66"/>
      <c r="C6" s="66"/>
      <c r="D6" s="4" t="s">
        <v>5</v>
      </c>
      <c r="E6" s="16" t="s">
        <v>383</v>
      </c>
      <c r="F6" s="16"/>
      <c r="G6" s="16"/>
      <c r="H6" s="16"/>
      <c r="I6" s="16"/>
      <c r="J6" s="16"/>
      <c r="K6" s="16"/>
      <c r="L6" s="72"/>
      <c r="M6" s="19"/>
      <c r="N6" s="19" t="s">
        <v>169</v>
      </c>
      <c r="O6" s="19"/>
      <c r="P6" s="19"/>
      <c r="Q6" s="19"/>
      <c r="R6" s="27"/>
    </row>
    <row r="7" spans="1:18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128</v>
      </c>
      <c r="L7" s="32" t="s">
        <v>253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9" t="s">
        <v>139</v>
      </c>
      <c r="L8" s="9" t="s">
        <v>257</v>
      </c>
      <c r="M8" s="33" t="s">
        <v>34</v>
      </c>
      <c r="N8" s="9"/>
      <c r="O8" s="79"/>
      <c r="P8" s="80"/>
      <c r="Q8" s="81" t="s">
        <v>586</v>
      </c>
      <c r="R8" s="52"/>
    </row>
    <row r="9" spans="1:18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33"/>
      <c r="O9" s="81" t="s">
        <v>594</v>
      </c>
      <c r="P9" s="52"/>
      <c r="Q9" s="81" t="s">
        <v>595</v>
      </c>
      <c r="R9" s="52"/>
    </row>
    <row r="10" spans="1:18" s="11" customFormat="1" ht="52" x14ac:dyDescent="0.2">
      <c r="A10" s="39" t="s">
        <v>135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76" t="s">
        <v>592</v>
      </c>
      <c r="N10" s="76" t="s">
        <v>593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221</v>
      </c>
      <c r="E11" s="34" t="s">
        <v>32</v>
      </c>
      <c r="F11" s="44"/>
      <c r="G11" s="28" t="s">
        <v>248</v>
      </c>
      <c r="H11" s="45" t="s">
        <v>568</v>
      </c>
      <c r="I11" s="46"/>
      <c r="J11" s="47"/>
      <c r="K11" s="48"/>
      <c r="L11" s="48"/>
      <c r="M11" s="48"/>
      <c r="N11" s="48"/>
      <c r="O11" s="35"/>
      <c r="P11" s="36"/>
      <c r="Q11" s="60"/>
      <c r="R11" s="49"/>
    </row>
    <row r="12" spans="1:18" s="11" customFormat="1" ht="26" x14ac:dyDescent="0.2">
      <c r="A12" s="9">
        <v>10</v>
      </c>
      <c r="B12" s="9"/>
      <c r="C12" s="9"/>
      <c r="D12" s="9" t="s">
        <v>80</v>
      </c>
      <c r="E12" s="50" t="s">
        <v>113</v>
      </c>
      <c r="F12" s="50"/>
      <c r="G12" s="51" t="s">
        <v>643</v>
      </c>
      <c r="H12" s="51" t="s">
        <v>488</v>
      </c>
      <c r="I12" s="9" t="s">
        <v>403</v>
      </c>
      <c r="J12" s="9"/>
      <c r="K12" s="9" t="s">
        <v>404</v>
      </c>
      <c r="L12" s="9"/>
      <c r="M12" s="9"/>
      <c r="N12" s="9"/>
      <c r="O12" s="41"/>
      <c r="P12" s="52"/>
      <c r="Q12" s="84"/>
      <c r="R12" s="85"/>
    </row>
    <row r="13" spans="1:18" s="11" customFormat="1" ht="26" x14ac:dyDescent="0.2">
      <c r="A13" s="9">
        <v>10</v>
      </c>
      <c r="B13" s="9"/>
      <c r="C13" s="9"/>
      <c r="D13" s="9" t="s">
        <v>81</v>
      </c>
      <c r="E13" s="50" t="s">
        <v>114</v>
      </c>
      <c r="F13" s="50"/>
      <c r="G13" s="51" t="s">
        <v>647</v>
      </c>
      <c r="H13" s="51" t="s">
        <v>502</v>
      </c>
      <c r="I13" s="9" t="s">
        <v>403</v>
      </c>
      <c r="J13" s="9"/>
      <c r="K13" s="9" t="s">
        <v>404</v>
      </c>
      <c r="L13" s="9"/>
      <c r="M13" s="9"/>
      <c r="N13" s="9"/>
      <c r="O13" s="41"/>
      <c r="P13" s="52"/>
      <c r="Q13" s="84"/>
      <c r="R13" s="85"/>
    </row>
    <row r="14" spans="1:18" s="11" customFormat="1" ht="26" x14ac:dyDescent="0.2">
      <c r="A14" s="9">
        <v>10</v>
      </c>
      <c r="B14" s="9"/>
      <c r="C14" s="9"/>
      <c r="D14" s="9" t="s">
        <v>254</v>
      </c>
      <c r="E14" s="50" t="s">
        <v>255</v>
      </c>
      <c r="F14" s="50"/>
      <c r="G14" s="51" t="s">
        <v>648</v>
      </c>
      <c r="H14" s="51" t="s">
        <v>503</v>
      </c>
      <c r="I14" s="9" t="s">
        <v>403</v>
      </c>
      <c r="J14" s="9"/>
      <c r="K14" s="9" t="s">
        <v>404</v>
      </c>
      <c r="L14" s="9" t="s">
        <v>504</v>
      </c>
      <c r="M14" s="9"/>
      <c r="N14" s="9"/>
      <c r="O14" s="41"/>
      <c r="P14" s="52"/>
      <c r="Q14" s="84"/>
      <c r="R14" s="85"/>
    </row>
    <row r="15" spans="1:18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605</v>
      </c>
      <c r="H15" s="51" t="s">
        <v>417</v>
      </c>
      <c r="I15" s="9" t="s">
        <v>403</v>
      </c>
      <c r="J15" s="9"/>
      <c r="K15" s="9"/>
      <c r="L15" s="9"/>
      <c r="M15" s="9"/>
      <c r="N15" s="9"/>
      <c r="O15" s="41"/>
      <c r="P15" s="52"/>
      <c r="Q15" s="84"/>
      <c r="R15" s="85"/>
    </row>
    <row r="16" spans="1:18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606</v>
      </c>
      <c r="H16" s="51" t="s">
        <v>418</v>
      </c>
      <c r="I16" s="9" t="s">
        <v>403</v>
      </c>
      <c r="J16" s="9"/>
      <c r="K16" s="9"/>
      <c r="L16" s="9"/>
      <c r="M16" s="9"/>
      <c r="N16" s="9"/>
      <c r="O16" s="41"/>
      <c r="P16" s="52"/>
      <c r="Q16" s="84"/>
      <c r="R16" s="85"/>
    </row>
    <row r="17" spans="1:18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607</v>
      </c>
      <c r="H17" s="51" t="s">
        <v>419</v>
      </c>
      <c r="I17" s="9" t="s">
        <v>403</v>
      </c>
      <c r="J17" s="9"/>
      <c r="K17" s="9"/>
      <c r="L17" s="9"/>
      <c r="M17" s="9"/>
      <c r="N17" s="9"/>
      <c r="O17" s="41"/>
      <c r="P17" s="52"/>
      <c r="Q17" s="84"/>
      <c r="R17" s="85"/>
    </row>
    <row r="18" spans="1:18" s="11" customFormat="1" x14ac:dyDescent="0.2">
      <c r="A18" s="9">
        <v>10</v>
      </c>
      <c r="B18" s="9"/>
      <c r="C18" s="9"/>
      <c r="D18" s="9" t="s">
        <v>35</v>
      </c>
      <c r="E18" s="50" t="s">
        <v>30</v>
      </c>
      <c r="F18" s="50"/>
      <c r="G18" s="51" t="s">
        <v>608</v>
      </c>
      <c r="H18" s="51" t="s">
        <v>420</v>
      </c>
      <c r="I18" s="9" t="s">
        <v>403</v>
      </c>
      <c r="J18" s="9"/>
      <c r="K18" s="9"/>
      <c r="L18" s="9"/>
      <c r="M18" s="9"/>
      <c r="N18" s="9"/>
      <c r="O18" s="41"/>
      <c r="P18" s="52"/>
      <c r="Q18" s="84"/>
      <c r="R18" s="85"/>
    </row>
    <row r="19" spans="1:18" s="11" customFormat="1" x14ac:dyDescent="0.2">
      <c r="A19" s="9">
        <v>10</v>
      </c>
      <c r="B19" s="9"/>
      <c r="C19" s="9"/>
      <c r="D19" s="9" t="s">
        <v>36</v>
      </c>
      <c r="E19" s="50" t="s">
        <v>37</v>
      </c>
      <c r="F19" s="50"/>
      <c r="G19" s="51" t="s">
        <v>609</v>
      </c>
      <c r="H19" s="51" t="s">
        <v>421</v>
      </c>
      <c r="I19" s="9" t="s">
        <v>403</v>
      </c>
      <c r="J19" s="9"/>
      <c r="K19" s="9"/>
      <c r="L19" s="9"/>
      <c r="M19" s="9"/>
      <c r="N19" s="9"/>
      <c r="O19" s="41"/>
      <c r="P19" s="52"/>
      <c r="Q19" s="84"/>
      <c r="R19" s="85"/>
    </row>
    <row r="20" spans="1:18" s="11" customFormat="1" x14ac:dyDescent="0.2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4"/>
      <c r="P20" s="4"/>
      <c r="Q20" s="6"/>
      <c r="R20" s="23"/>
    </row>
    <row r="21" spans="1:18" s="11" customFormat="1" x14ac:dyDescent="0.2">
      <c r="A21" s="65"/>
      <c r="R21" s="55"/>
    </row>
    <row r="22" spans="1:18" s="11" customFormat="1" x14ac:dyDescent="0.2">
      <c r="A22" s="65"/>
      <c r="R22" s="55"/>
    </row>
    <row r="23" spans="1:18" s="11" customFormat="1" x14ac:dyDescent="0.2">
      <c r="A23" s="65"/>
      <c r="R23" s="55"/>
    </row>
    <row r="24" spans="1:18" s="11" customFormat="1" x14ac:dyDescent="0.2">
      <c r="A24" s="70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20"/>
    </row>
  </sheetData>
  <dataConsolidate/>
  <mergeCells count="8">
    <mergeCell ref="Q18:R18"/>
    <mergeCell ref="Q19:R19"/>
    <mergeCell ref="Q12:R12"/>
    <mergeCell ref="Q13:R13"/>
    <mergeCell ref="Q15:R15"/>
    <mergeCell ref="Q16:R16"/>
    <mergeCell ref="Q17:R17"/>
    <mergeCell ref="Q14:R14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73">
    <pageSetUpPr fitToPage="1"/>
  </sheetPr>
  <dimension ref="A1:V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222</v>
      </c>
      <c r="K2" s="7" t="s">
        <v>21</v>
      </c>
      <c r="L2" s="64" t="str">
        <f>IF(LogicCommon!G2="","",LogicCommon!G2)</f>
        <v>MC</v>
      </c>
      <c r="M2" s="5" t="s">
        <v>124</v>
      </c>
      <c r="N2" s="28" t="s">
        <v>545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129</v>
      </c>
      <c r="K3" s="7" t="s">
        <v>22</v>
      </c>
      <c r="L3" s="64" t="str">
        <f>IF(LogicCommon!G3="","",LogicCommon!G3)</f>
        <v/>
      </c>
      <c r="M3" s="68" t="s">
        <v>126</v>
      </c>
      <c r="N3" s="7"/>
      <c r="O3" s="7" t="s">
        <v>193</v>
      </c>
      <c r="P3" s="9" t="s">
        <v>194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31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140</v>
      </c>
      <c r="B6" s="66"/>
      <c r="C6" s="66"/>
      <c r="D6" s="4" t="s">
        <v>5</v>
      </c>
      <c r="E6" s="16" t="s">
        <v>384</v>
      </c>
      <c r="F6" s="16"/>
      <c r="G6" s="16"/>
      <c r="H6" s="16"/>
      <c r="I6" s="16"/>
      <c r="J6" s="16"/>
      <c r="K6" s="16"/>
      <c r="L6" s="72" t="s">
        <v>169</v>
      </c>
      <c r="M6" s="19"/>
      <c r="N6" s="19" t="s">
        <v>169</v>
      </c>
      <c r="O6" s="19"/>
      <c r="P6" s="19" t="s">
        <v>169</v>
      </c>
      <c r="Q6" s="19"/>
      <c r="R6" s="3" t="s">
        <v>169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130</v>
      </c>
      <c r="L7" s="32" t="s">
        <v>131</v>
      </c>
      <c r="M7" s="33" t="s">
        <v>33</v>
      </c>
      <c r="N7" s="32" t="s">
        <v>132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33" t="s">
        <v>134</v>
      </c>
      <c r="L8" s="9" t="s">
        <v>569</v>
      </c>
      <c r="M8" s="33" t="s">
        <v>34</v>
      </c>
      <c r="N8" s="9" t="s">
        <v>569</v>
      </c>
      <c r="O8" s="33" t="s">
        <v>34</v>
      </c>
      <c r="P8" s="9"/>
      <c r="Q8" s="33" t="s">
        <v>34</v>
      </c>
      <c r="R8" s="9"/>
      <c r="S8" s="79"/>
      <c r="T8" s="80"/>
      <c r="U8" s="81" t="s">
        <v>586</v>
      </c>
      <c r="V8" s="52"/>
    </row>
    <row r="9" spans="1:22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33"/>
      <c r="O9" s="33"/>
      <c r="P9" s="33"/>
      <c r="Q9" s="33"/>
      <c r="R9" s="33"/>
      <c r="S9" s="81" t="s">
        <v>594</v>
      </c>
      <c r="T9" s="52"/>
      <c r="U9" s="81" t="s">
        <v>595</v>
      </c>
      <c r="V9" s="52"/>
    </row>
    <row r="10" spans="1:22" s="11" customFormat="1" ht="52" x14ac:dyDescent="0.2">
      <c r="A10" s="39" t="s">
        <v>135</v>
      </c>
      <c r="B10" s="40"/>
      <c r="C10" s="40"/>
      <c r="D10" s="41"/>
      <c r="E10" s="42"/>
      <c r="F10" s="42"/>
      <c r="G10" s="43"/>
      <c r="H10" s="43"/>
      <c r="I10" s="42"/>
      <c r="J10" s="42"/>
      <c r="K10" s="76" t="s">
        <v>592</v>
      </c>
      <c r="L10" s="76" t="s">
        <v>593</v>
      </c>
      <c r="M10" s="76" t="s">
        <v>592</v>
      </c>
      <c r="N10" s="76" t="s">
        <v>593</v>
      </c>
      <c r="O10" s="76" t="s">
        <v>592</v>
      </c>
      <c r="P10" s="76" t="s">
        <v>593</v>
      </c>
      <c r="Q10" s="76" t="s">
        <v>592</v>
      </c>
      <c r="R10" s="76" t="s">
        <v>593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223</v>
      </c>
      <c r="E11" s="34" t="s">
        <v>136</v>
      </c>
      <c r="F11" s="44"/>
      <c r="G11" s="28" t="s">
        <v>137</v>
      </c>
      <c r="H11" s="45" t="s">
        <v>505</v>
      </c>
      <c r="I11" s="46"/>
      <c r="J11" s="47"/>
      <c r="K11" s="48" t="s">
        <v>122</v>
      </c>
      <c r="L11" s="48"/>
      <c r="M11" s="48" t="s">
        <v>423</v>
      </c>
      <c r="N11" s="48"/>
      <c r="O11" s="48"/>
      <c r="P11" s="48"/>
      <c r="Q11" s="48"/>
      <c r="R11" s="48"/>
      <c r="S11" s="35"/>
      <c r="T11" s="36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80</v>
      </c>
      <c r="E12" s="50" t="s">
        <v>113</v>
      </c>
      <c r="F12" s="50"/>
      <c r="G12" s="51" t="s">
        <v>643</v>
      </c>
      <c r="H12" s="51" t="s">
        <v>488</v>
      </c>
      <c r="I12" s="9" t="s">
        <v>403</v>
      </c>
      <c r="J12" s="9"/>
      <c r="K12" s="9" t="s">
        <v>404</v>
      </c>
      <c r="L12" s="9"/>
      <c r="M12" s="9" t="s">
        <v>404</v>
      </c>
      <c r="N12" s="9"/>
      <c r="O12" s="9"/>
      <c r="P12" s="9"/>
      <c r="Q12" s="9"/>
      <c r="R12" s="9"/>
      <c r="S12" s="41"/>
      <c r="T12" s="52"/>
      <c r="U12" s="84"/>
      <c r="V12" s="85"/>
    </row>
    <row r="13" spans="1:22" s="11" customFormat="1" ht="26" x14ac:dyDescent="0.2">
      <c r="A13" s="9">
        <v>10</v>
      </c>
      <c r="B13" s="9"/>
      <c r="C13" s="9"/>
      <c r="D13" s="9" t="s">
        <v>81</v>
      </c>
      <c r="E13" s="50" t="s">
        <v>114</v>
      </c>
      <c r="F13" s="50"/>
      <c r="G13" s="51" t="s">
        <v>647</v>
      </c>
      <c r="H13" s="51" t="s">
        <v>502</v>
      </c>
      <c r="I13" s="9" t="s">
        <v>403</v>
      </c>
      <c r="J13" s="9"/>
      <c r="K13" s="9" t="s">
        <v>404</v>
      </c>
      <c r="L13" s="9"/>
      <c r="M13" s="9" t="s">
        <v>404</v>
      </c>
      <c r="N13" s="9"/>
      <c r="O13" s="9"/>
      <c r="P13" s="9"/>
      <c r="Q13" s="9"/>
      <c r="R13" s="9"/>
      <c r="S13" s="41"/>
      <c r="T13" s="52"/>
      <c r="U13" s="84"/>
      <c r="V13" s="85"/>
    </row>
    <row r="14" spans="1:22" s="11" customFormat="1" x14ac:dyDescent="0.2">
      <c r="A14" s="9">
        <v>10</v>
      </c>
      <c r="B14" s="9"/>
      <c r="C14" s="9"/>
      <c r="D14" s="9" t="s">
        <v>254</v>
      </c>
      <c r="E14" s="50" t="s">
        <v>255</v>
      </c>
      <c r="F14" s="50"/>
      <c r="G14" s="51" t="s">
        <v>648</v>
      </c>
      <c r="H14" s="51" t="s">
        <v>503</v>
      </c>
      <c r="I14" s="9" t="s">
        <v>403</v>
      </c>
      <c r="J14" s="9"/>
      <c r="K14" s="9" t="s">
        <v>404</v>
      </c>
      <c r="L14" s="9"/>
      <c r="M14" s="9" t="s">
        <v>404</v>
      </c>
      <c r="N14" s="9"/>
      <c r="O14" s="9"/>
      <c r="P14" s="9"/>
      <c r="Q14" s="9"/>
      <c r="R14" s="9"/>
      <c r="S14" s="41"/>
      <c r="T14" s="52"/>
      <c r="U14" s="84"/>
      <c r="V14" s="85"/>
    </row>
    <row r="15" spans="1:22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605</v>
      </c>
      <c r="H15" s="51" t="s">
        <v>417</v>
      </c>
      <c r="I15" s="9" t="s">
        <v>403</v>
      </c>
      <c r="J15" s="9"/>
      <c r="K15" s="9" t="s">
        <v>404</v>
      </c>
      <c r="L15" s="9"/>
      <c r="M15" s="9" t="s">
        <v>404</v>
      </c>
      <c r="N15" s="9"/>
      <c r="O15" s="9"/>
      <c r="P15" s="9"/>
      <c r="Q15" s="9"/>
      <c r="R15" s="9"/>
      <c r="S15" s="41"/>
      <c r="T15" s="52"/>
      <c r="U15" s="84"/>
      <c r="V15" s="85"/>
    </row>
    <row r="16" spans="1:22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606</v>
      </c>
      <c r="H16" s="51" t="s">
        <v>418</v>
      </c>
      <c r="I16" s="9" t="s">
        <v>403</v>
      </c>
      <c r="J16" s="9"/>
      <c r="K16" s="9" t="s">
        <v>404</v>
      </c>
      <c r="L16" s="9"/>
      <c r="M16" s="9" t="s">
        <v>404</v>
      </c>
      <c r="N16" s="9"/>
      <c r="O16" s="9"/>
      <c r="P16" s="9"/>
      <c r="Q16" s="9"/>
      <c r="R16" s="9"/>
      <c r="S16" s="41"/>
      <c r="T16" s="52"/>
      <c r="U16" s="84"/>
      <c r="V16" s="85"/>
    </row>
    <row r="17" spans="1:22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607</v>
      </c>
      <c r="H17" s="51" t="s">
        <v>419</v>
      </c>
      <c r="I17" s="9" t="s">
        <v>403</v>
      </c>
      <c r="J17" s="9"/>
      <c r="K17" s="9" t="s">
        <v>404</v>
      </c>
      <c r="L17" s="9"/>
      <c r="M17" s="9" t="s">
        <v>404</v>
      </c>
      <c r="N17" s="9"/>
      <c r="O17" s="9"/>
      <c r="P17" s="9"/>
      <c r="Q17" s="9"/>
      <c r="R17" s="9"/>
      <c r="S17" s="41"/>
      <c r="T17" s="52"/>
      <c r="U17" s="84"/>
      <c r="V17" s="85"/>
    </row>
    <row r="18" spans="1:22" s="11" customFormat="1" x14ac:dyDescent="0.2">
      <c r="A18" s="9">
        <v>10</v>
      </c>
      <c r="B18" s="9"/>
      <c r="C18" s="9"/>
      <c r="D18" s="9" t="s">
        <v>35</v>
      </c>
      <c r="E18" s="50" t="s">
        <v>30</v>
      </c>
      <c r="F18" s="50"/>
      <c r="G18" s="51" t="s">
        <v>608</v>
      </c>
      <c r="H18" s="51" t="s">
        <v>420</v>
      </c>
      <c r="I18" s="9" t="s">
        <v>403</v>
      </c>
      <c r="J18" s="9"/>
      <c r="K18" s="9" t="s">
        <v>404</v>
      </c>
      <c r="L18" s="9"/>
      <c r="M18" s="9" t="s">
        <v>404</v>
      </c>
      <c r="N18" s="9"/>
      <c r="O18" s="9"/>
      <c r="P18" s="9"/>
      <c r="Q18" s="9"/>
      <c r="R18" s="9"/>
      <c r="S18" s="41"/>
      <c r="T18" s="52"/>
      <c r="U18" s="84"/>
      <c r="V18" s="85"/>
    </row>
    <row r="19" spans="1:22" s="11" customFormat="1" x14ac:dyDescent="0.2">
      <c r="A19" s="9">
        <v>10</v>
      </c>
      <c r="B19" s="9"/>
      <c r="C19" s="9"/>
      <c r="D19" s="9" t="s">
        <v>36</v>
      </c>
      <c r="E19" s="50" t="s">
        <v>37</v>
      </c>
      <c r="F19" s="50"/>
      <c r="G19" s="51" t="s">
        <v>609</v>
      </c>
      <c r="H19" s="51" t="s">
        <v>421</v>
      </c>
      <c r="I19" s="9" t="s">
        <v>403</v>
      </c>
      <c r="J19" s="9"/>
      <c r="K19" s="9" t="s">
        <v>404</v>
      </c>
      <c r="L19" s="9"/>
      <c r="M19" s="9" t="s">
        <v>404</v>
      </c>
      <c r="N19" s="9"/>
      <c r="O19" s="9"/>
      <c r="P19" s="9"/>
      <c r="Q19" s="9"/>
      <c r="R19" s="9"/>
      <c r="S19" s="41"/>
      <c r="T19" s="52"/>
      <c r="U19" s="84"/>
      <c r="V19" s="85"/>
    </row>
    <row r="20" spans="1:22" s="11" customFormat="1" x14ac:dyDescent="0.2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65"/>
      <c r="V23" s="55"/>
    </row>
    <row r="24" spans="1:22" s="11" customFormat="1" x14ac:dyDescent="0.2">
      <c r="A24" s="70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8">
    <mergeCell ref="U18:V18"/>
    <mergeCell ref="U19:V19"/>
    <mergeCell ref="U12:V12"/>
    <mergeCell ref="U13:V13"/>
    <mergeCell ref="U15:V15"/>
    <mergeCell ref="U16:V16"/>
    <mergeCell ref="U17:V17"/>
    <mergeCell ref="U14:V14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74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224</v>
      </c>
      <c r="K2" s="7" t="s">
        <v>21</v>
      </c>
      <c r="L2" s="64" t="str">
        <f>IF(LogicCommon!G2="","",LogicCommon!G2)</f>
        <v>MC</v>
      </c>
      <c r="M2" s="5" t="s">
        <v>124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125</v>
      </c>
      <c r="K3" s="7" t="s">
        <v>22</v>
      </c>
      <c r="L3" s="64" t="str">
        <f>IF(LogicCommon!G3="","",LogicCommon!G3)</f>
        <v/>
      </c>
      <c r="M3" s="68" t="s">
        <v>126</v>
      </c>
      <c r="N3" s="7"/>
      <c r="O3" s="7" t="s">
        <v>193</v>
      </c>
      <c r="P3" s="9" t="s">
        <v>194</v>
      </c>
      <c r="Q3" s="4"/>
    </row>
    <row r="4" spans="1:17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127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140</v>
      </c>
      <c r="B6" s="66"/>
      <c r="C6" s="66"/>
      <c r="D6" s="4" t="s">
        <v>5</v>
      </c>
      <c r="E6" s="16" t="s">
        <v>385</v>
      </c>
      <c r="F6" s="16"/>
      <c r="G6" s="16"/>
      <c r="H6" s="16"/>
      <c r="I6" s="16"/>
      <c r="J6" s="16"/>
      <c r="K6" s="16"/>
      <c r="L6" s="72"/>
      <c r="M6" s="19" t="s">
        <v>169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128</v>
      </c>
      <c r="L7" s="33" t="s">
        <v>33</v>
      </c>
      <c r="M7" s="32" t="s">
        <v>245</v>
      </c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9" t="s">
        <v>139</v>
      </c>
      <c r="L8" s="33" t="s">
        <v>34</v>
      </c>
      <c r="M8" s="9" t="s">
        <v>570</v>
      </c>
      <c r="N8" s="79"/>
      <c r="O8" s="80"/>
      <c r="P8" s="81" t="s">
        <v>586</v>
      </c>
      <c r="Q8" s="52"/>
    </row>
    <row r="9" spans="1:17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81" t="s">
        <v>594</v>
      </c>
      <c r="O9" s="52"/>
      <c r="P9" s="81" t="s">
        <v>595</v>
      </c>
      <c r="Q9" s="52"/>
    </row>
    <row r="10" spans="1:17" s="11" customFormat="1" ht="52" x14ac:dyDescent="0.2">
      <c r="A10" s="39" t="s">
        <v>135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76" t="s">
        <v>592</v>
      </c>
      <c r="M10" s="76" t="s">
        <v>593</v>
      </c>
      <c r="N10" s="42"/>
      <c r="O10" s="42"/>
      <c r="P10" s="43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225</v>
      </c>
      <c r="E11" s="34" t="s">
        <v>32</v>
      </c>
      <c r="F11" s="44"/>
      <c r="G11" s="28" t="s">
        <v>248</v>
      </c>
      <c r="H11" s="45" t="s">
        <v>506</v>
      </c>
      <c r="I11" s="46"/>
      <c r="J11" s="47"/>
      <c r="K11" s="48"/>
      <c r="L11" s="48" t="s">
        <v>423</v>
      </c>
      <c r="M11" s="48"/>
      <c r="N11" s="35"/>
      <c r="O11" s="36"/>
      <c r="P11" s="60"/>
      <c r="Q11" s="49"/>
    </row>
    <row r="12" spans="1:17" s="11" customFormat="1" ht="26" x14ac:dyDescent="0.2">
      <c r="A12" s="9">
        <v>10</v>
      </c>
      <c r="B12" s="9"/>
      <c r="C12" s="9"/>
      <c r="D12" s="9" t="s">
        <v>80</v>
      </c>
      <c r="E12" s="50" t="s">
        <v>113</v>
      </c>
      <c r="F12" s="50"/>
      <c r="G12" s="51" t="s">
        <v>643</v>
      </c>
      <c r="H12" s="51" t="s">
        <v>488</v>
      </c>
      <c r="I12" s="9" t="s">
        <v>403</v>
      </c>
      <c r="J12" s="9"/>
      <c r="K12" s="9" t="s">
        <v>404</v>
      </c>
      <c r="L12" s="9" t="s">
        <v>404</v>
      </c>
      <c r="M12" s="9"/>
      <c r="N12" s="41"/>
      <c r="O12" s="52"/>
      <c r="P12" s="84"/>
      <c r="Q12" s="85"/>
    </row>
    <row r="13" spans="1:17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610</v>
      </c>
      <c r="H13" s="51" t="s">
        <v>425</v>
      </c>
      <c r="I13" s="9" t="s">
        <v>403</v>
      </c>
      <c r="J13" s="9"/>
      <c r="K13" s="9" t="s">
        <v>404</v>
      </c>
      <c r="L13" s="9"/>
      <c r="M13" s="9"/>
      <c r="N13" s="41"/>
      <c r="O13" s="52"/>
      <c r="P13" s="84"/>
      <c r="Q13" s="85"/>
    </row>
    <row r="14" spans="1:17" s="11" customFormat="1" x14ac:dyDescent="0.2">
      <c r="A14" s="9">
        <v>10</v>
      </c>
      <c r="B14" s="9"/>
      <c r="C14" s="9"/>
      <c r="D14" s="9" t="s">
        <v>81</v>
      </c>
      <c r="E14" s="50" t="s">
        <v>114</v>
      </c>
      <c r="F14" s="50"/>
      <c r="G14" s="51" t="s">
        <v>649</v>
      </c>
      <c r="H14" s="51" t="s">
        <v>507</v>
      </c>
      <c r="I14" s="9" t="s">
        <v>403</v>
      </c>
      <c r="J14" s="9"/>
      <c r="K14" s="9" t="s">
        <v>404</v>
      </c>
      <c r="L14" s="9"/>
      <c r="M14" s="9"/>
      <c r="N14" s="41"/>
      <c r="O14" s="52"/>
      <c r="P14" s="84"/>
      <c r="Q14" s="85"/>
    </row>
    <row r="15" spans="1:17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605</v>
      </c>
      <c r="H15" s="51" t="s">
        <v>417</v>
      </c>
      <c r="I15" s="9" t="s">
        <v>403</v>
      </c>
      <c r="J15" s="9"/>
      <c r="K15" s="9"/>
      <c r="L15" s="9"/>
      <c r="M15" s="9"/>
      <c r="N15" s="41"/>
      <c r="O15" s="52"/>
      <c r="P15" s="84"/>
      <c r="Q15" s="85"/>
    </row>
    <row r="16" spans="1:17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606</v>
      </c>
      <c r="H16" s="51" t="s">
        <v>418</v>
      </c>
      <c r="I16" s="9" t="s">
        <v>403</v>
      </c>
      <c r="J16" s="9"/>
      <c r="K16" s="9"/>
      <c r="L16" s="9"/>
      <c r="M16" s="9"/>
      <c r="N16" s="41"/>
      <c r="O16" s="52"/>
      <c r="P16" s="84"/>
      <c r="Q16" s="85"/>
    </row>
    <row r="17" spans="1:17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607</v>
      </c>
      <c r="H17" s="51" t="s">
        <v>419</v>
      </c>
      <c r="I17" s="9" t="s">
        <v>403</v>
      </c>
      <c r="J17" s="9"/>
      <c r="K17" s="9"/>
      <c r="L17" s="9"/>
      <c r="M17" s="9"/>
      <c r="N17" s="41"/>
      <c r="O17" s="52"/>
      <c r="P17" s="84"/>
      <c r="Q17" s="85"/>
    </row>
    <row r="18" spans="1:17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609</v>
      </c>
      <c r="H18" s="51" t="s">
        <v>421</v>
      </c>
      <c r="I18" s="9" t="s">
        <v>403</v>
      </c>
      <c r="J18" s="9"/>
      <c r="K18" s="9"/>
      <c r="L18" s="9"/>
      <c r="M18" s="9"/>
      <c r="N18" s="41"/>
      <c r="O18" s="52"/>
      <c r="P18" s="84"/>
      <c r="Q18" s="85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75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226</v>
      </c>
      <c r="K2" s="7" t="s">
        <v>21</v>
      </c>
      <c r="L2" s="64" t="str">
        <f>IF(LogicCommon!G2="","",LogicCommon!G2)</f>
        <v>MC</v>
      </c>
      <c r="M2" s="5" t="s">
        <v>124</v>
      </c>
      <c r="N2" s="28" t="s">
        <v>545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129</v>
      </c>
      <c r="K3" s="7" t="s">
        <v>22</v>
      </c>
      <c r="L3" s="64" t="str">
        <f>IF(LogicCommon!G3="","",LogicCommon!G3)</f>
        <v/>
      </c>
      <c r="M3" s="68" t="s">
        <v>126</v>
      </c>
      <c r="N3" s="7"/>
      <c r="O3" s="7" t="s">
        <v>193</v>
      </c>
      <c r="P3" s="9" t="s">
        <v>194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31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140</v>
      </c>
      <c r="B6" s="66"/>
      <c r="C6" s="66"/>
      <c r="D6" s="4" t="s">
        <v>5</v>
      </c>
      <c r="E6" s="16" t="s">
        <v>386</v>
      </c>
      <c r="F6" s="16"/>
      <c r="G6" s="16"/>
      <c r="H6" s="16"/>
      <c r="I6" s="16"/>
      <c r="J6" s="16"/>
      <c r="K6" s="16"/>
      <c r="L6" s="72" t="s">
        <v>169</v>
      </c>
      <c r="M6" s="19"/>
      <c r="N6" s="19" t="s">
        <v>169</v>
      </c>
      <c r="O6" s="19"/>
      <c r="P6" s="19" t="s">
        <v>169</v>
      </c>
      <c r="Q6" s="19"/>
      <c r="R6" s="3" t="s">
        <v>169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130</v>
      </c>
      <c r="L7" s="32" t="s">
        <v>131</v>
      </c>
      <c r="M7" s="33" t="s">
        <v>33</v>
      </c>
      <c r="N7" s="32" t="s">
        <v>132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33" t="s">
        <v>134</v>
      </c>
      <c r="L8" s="9" t="s">
        <v>228</v>
      </c>
      <c r="M8" s="33" t="s">
        <v>34</v>
      </c>
      <c r="N8" s="9" t="s">
        <v>228</v>
      </c>
      <c r="O8" s="33" t="s">
        <v>34</v>
      </c>
      <c r="P8" s="9"/>
      <c r="Q8" s="33" t="s">
        <v>34</v>
      </c>
      <c r="R8" s="9"/>
      <c r="S8" s="79"/>
      <c r="T8" s="80"/>
      <c r="U8" s="81" t="s">
        <v>586</v>
      </c>
      <c r="V8" s="52"/>
    </row>
    <row r="9" spans="1:22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33"/>
      <c r="O9" s="33"/>
      <c r="P9" s="33"/>
      <c r="Q9" s="33"/>
      <c r="R9" s="33"/>
      <c r="S9" s="81" t="s">
        <v>594</v>
      </c>
      <c r="T9" s="52"/>
      <c r="U9" s="81" t="s">
        <v>595</v>
      </c>
      <c r="V9" s="52"/>
    </row>
    <row r="10" spans="1:22" s="11" customFormat="1" ht="52" x14ac:dyDescent="0.2">
      <c r="A10" s="39" t="s">
        <v>135</v>
      </c>
      <c r="B10" s="40"/>
      <c r="C10" s="40"/>
      <c r="D10" s="41"/>
      <c r="E10" s="42"/>
      <c r="F10" s="42"/>
      <c r="G10" s="43"/>
      <c r="H10" s="43"/>
      <c r="I10" s="42"/>
      <c r="J10" s="42"/>
      <c r="K10" s="76" t="s">
        <v>592</v>
      </c>
      <c r="L10" s="76" t="s">
        <v>593</v>
      </c>
      <c r="M10" s="76" t="s">
        <v>592</v>
      </c>
      <c r="N10" s="76" t="s">
        <v>593</v>
      </c>
      <c r="O10" s="76" t="s">
        <v>592</v>
      </c>
      <c r="P10" s="76" t="s">
        <v>593</v>
      </c>
      <c r="Q10" s="76" t="s">
        <v>592</v>
      </c>
      <c r="R10" s="76" t="s">
        <v>593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227</v>
      </c>
      <c r="E11" s="34" t="s">
        <v>136</v>
      </c>
      <c r="F11" s="44"/>
      <c r="G11" s="28" t="s">
        <v>137</v>
      </c>
      <c r="H11" s="45" t="s">
        <v>508</v>
      </c>
      <c r="I11" s="46"/>
      <c r="J11" s="47"/>
      <c r="K11" s="48" t="s">
        <v>122</v>
      </c>
      <c r="L11" s="48"/>
      <c r="M11" s="48" t="s">
        <v>423</v>
      </c>
      <c r="N11" s="48"/>
      <c r="O11" s="48"/>
      <c r="P11" s="48"/>
      <c r="Q11" s="48"/>
      <c r="R11" s="48"/>
      <c r="S11" s="35"/>
      <c r="T11" s="36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80</v>
      </c>
      <c r="E12" s="50" t="s">
        <v>113</v>
      </c>
      <c r="F12" s="50"/>
      <c r="G12" s="51" t="s">
        <v>643</v>
      </c>
      <c r="H12" s="51" t="s">
        <v>488</v>
      </c>
      <c r="I12" s="9" t="s">
        <v>403</v>
      </c>
      <c r="J12" s="9"/>
      <c r="K12" s="9" t="s">
        <v>404</v>
      </c>
      <c r="L12" s="9"/>
      <c r="M12" s="9" t="s">
        <v>404</v>
      </c>
      <c r="N12" s="9"/>
      <c r="O12" s="9"/>
      <c r="P12" s="9"/>
      <c r="Q12" s="9"/>
      <c r="R12" s="9"/>
      <c r="S12" s="41"/>
      <c r="T12" s="52"/>
      <c r="U12" s="84"/>
      <c r="V12" s="85"/>
    </row>
    <row r="13" spans="1:22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610</v>
      </c>
      <c r="H13" s="51" t="s">
        <v>425</v>
      </c>
      <c r="I13" s="9" t="s">
        <v>403</v>
      </c>
      <c r="J13" s="9"/>
      <c r="K13" s="9" t="s">
        <v>404</v>
      </c>
      <c r="L13" s="9"/>
      <c r="M13" s="9" t="s">
        <v>404</v>
      </c>
      <c r="N13" s="9"/>
      <c r="O13" s="9"/>
      <c r="P13" s="9"/>
      <c r="Q13" s="9"/>
      <c r="R13" s="9"/>
      <c r="S13" s="41"/>
      <c r="T13" s="52"/>
      <c r="U13" s="84"/>
      <c r="V13" s="85"/>
    </row>
    <row r="14" spans="1:22" s="11" customFormat="1" x14ac:dyDescent="0.2">
      <c r="A14" s="9">
        <v>10</v>
      </c>
      <c r="B14" s="9"/>
      <c r="C14" s="9"/>
      <c r="D14" s="9" t="s">
        <v>81</v>
      </c>
      <c r="E14" s="50" t="s">
        <v>114</v>
      </c>
      <c r="F14" s="50"/>
      <c r="G14" s="51" t="s">
        <v>649</v>
      </c>
      <c r="H14" s="51" t="s">
        <v>507</v>
      </c>
      <c r="I14" s="9" t="s">
        <v>403</v>
      </c>
      <c r="J14" s="9"/>
      <c r="K14" s="9" t="s">
        <v>404</v>
      </c>
      <c r="L14" s="9"/>
      <c r="M14" s="9" t="s">
        <v>404</v>
      </c>
      <c r="N14" s="9"/>
      <c r="O14" s="9"/>
      <c r="P14" s="9"/>
      <c r="Q14" s="9"/>
      <c r="R14" s="9"/>
      <c r="S14" s="41"/>
      <c r="T14" s="52"/>
      <c r="U14" s="84"/>
      <c r="V14" s="85"/>
    </row>
    <row r="15" spans="1:22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605</v>
      </c>
      <c r="H15" s="51" t="s">
        <v>417</v>
      </c>
      <c r="I15" s="9" t="s">
        <v>403</v>
      </c>
      <c r="J15" s="9"/>
      <c r="K15" s="9" t="s">
        <v>404</v>
      </c>
      <c r="L15" s="9"/>
      <c r="M15" s="9" t="s">
        <v>404</v>
      </c>
      <c r="N15" s="9"/>
      <c r="O15" s="9"/>
      <c r="P15" s="9"/>
      <c r="Q15" s="9"/>
      <c r="R15" s="9"/>
      <c r="S15" s="41"/>
      <c r="T15" s="52"/>
      <c r="U15" s="84"/>
      <c r="V15" s="85"/>
    </row>
    <row r="16" spans="1:22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606</v>
      </c>
      <c r="H16" s="51" t="s">
        <v>418</v>
      </c>
      <c r="I16" s="9" t="s">
        <v>403</v>
      </c>
      <c r="J16" s="9"/>
      <c r="K16" s="9" t="s">
        <v>404</v>
      </c>
      <c r="L16" s="9"/>
      <c r="M16" s="9" t="s">
        <v>404</v>
      </c>
      <c r="N16" s="9"/>
      <c r="O16" s="9"/>
      <c r="P16" s="9"/>
      <c r="Q16" s="9"/>
      <c r="R16" s="9"/>
      <c r="S16" s="41"/>
      <c r="T16" s="52"/>
      <c r="U16" s="84"/>
      <c r="V16" s="85"/>
    </row>
    <row r="17" spans="1:22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607</v>
      </c>
      <c r="H17" s="51" t="s">
        <v>419</v>
      </c>
      <c r="I17" s="9" t="s">
        <v>403</v>
      </c>
      <c r="J17" s="9"/>
      <c r="K17" s="9" t="s">
        <v>404</v>
      </c>
      <c r="L17" s="9"/>
      <c r="M17" s="9" t="s">
        <v>404</v>
      </c>
      <c r="N17" s="9"/>
      <c r="O17" s="9"/>
      <c r="P17" s="9"/>
      <c r="Q17" s="9"/>
      <c r="R17" s="9"/>
      <c r="S17" s="41"/>
      <c r="T17" s="52"/>
      <c r="U17" s="84"/>
      <c r="V17" s="85"/>
    </row>
    <row r="18" spans="1:22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609</v>
      </c>
      <c r="H18" s="51" t="s">
        <v>421</v>
      </c>
      <c r="I18" s="9" t="s">
        <v>403</v>
      </c>
      <c r="J18" s="9"/>
      <c r="K18" s="9" t="s">
        <v>404</v>
      </c>
      <c r="L18" s="9"/>
      <c r="M18" s="9" t="s">
        <v>404</v>
      </c>
      <c r="N18" s="9"/>
      <c r="O18" s="9"/>
      <c r="P18" s="9"/>
      <c r="Q18" s="9"/>
      <c r="R18" s="9"/>
      <c r="S18" s="41"/>
      <c r="T18" s="52"/>
      <c r="U18" s="84"/>
      <c r="V18" s="85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326</v>
      </c>
      <c r="K2" s="7" t="s">
        <v>21</v>
      </c>
      <c r="L2" s="64" t="str">
        <f>IF(LogicCommon!G2="","",LogicCommon!G2)</f>
        <v>MC</v>
      </c>
      <c r="M2" s="5" t="s">
        <v>124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125</v>
      </c>
      <c r="K3" s="7" t="s">
        <v>22</v>
      </c>
      <c r="L3" s="64" t="str">
        <f>IF(LogicCommon!G3="","",LogicCommon!G3)</f>
        <v/>
      </c>
      <c r="M3" s="68" t="s">
        <v>277</v>
      </c>
      <c r="N3" s="7"/>
      <c r="O3" s="7" t="s">
        <v>193</v>
      </c>
      <c r="P3" s="9" t="s">
        <v>194</v>
      </c>
      <c r="Q3" s="4"/>
    </row>
    <row r="4" spans="1:17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127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140</v>
      </c>
      <c r="B6" s="66"/>
      <c r="C6" s="66"/>
      <c r="D6" s="4" t="s">
        <v>5</v>
      </c>
      <c r="E6" s="16" t="s">
        <v>387</v>
      </c>
      <c r="F6" s="16"/>
      <c r="G6" s="16"/>
      <c r="H6" s="16"/>
      <c r="I6" s="16"/>
      <c r="J6" s="16"/>
      <c r="K6" s="16"/>
      <c r="L6" s="72"/>
      <c r="M6" s="19" t="s">
        <v>169</v>
      </c>
      <c r="N6" s="19"/>
      <c r="O6" s="19"/>
      <c r="P6" s="19"/>
      <c r="Q6" s="19"/>
    </row>
    <row r="7" spans="1:17" s="11" customFormat="1" x14ac:dyDescent="0.2">
      <c r="A7" s="30" t="s">
        <v>282</v>
      </c>
      <c r="B7" s="30"/>
      <c r="C7" s="30"/>
      <c r="D7" s="31"/>
      <c r="E7" s="31"/>
      <c r="F7" s="31"/>
      <c r="G7" s="31"/>
      <c r="H7" s="31"/>
      <c r="I7" s="31" t="s">
        <v>276</v>
      </c>
      <c r="J7" s="31"/>
      <c r="K7" s="32" t="s">
        <v>291</v>
      </c>
      <c r="L7" s="33" t="s">
        <v>33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9" t="s">
        <v>290</v>
      </c>
      <c r="L8" s="33" t="s">
        <v>34</v>
      </c>
      <c r="M8" s="9"/>
      <c r="N8" s="79"/>
      <c r="O8" s="80"/>
      <c r="P8" s="81" t="s">
        <v>586</v>
      </c>
      <c r="Q8" s="52"/>
    </row>
    <row r="9" spans="1:17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81" t="s">
        <v>594</v>
      </c>
      <c r="O9" s="52"/>
      <c r="P9" s="81" t="s">
        <v>595</v>
      </c>
      <c r="Q9" s="52"/>
    </row>
    <row r="10" spans="1:17" s="11" customFormat="1" ht="52" x14ac:dyDescent="0.2">
      <c r="A10" s="39" t="s">
        <v>274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76" t="s">
        <v>592</v>
      </c>
      <c r="M10" s="76" t="s">
        <v>593</v>
      </c>
      <c r="N10" s="42"/>
      <c r="O10" s="42"/>
      <c r="P10" s="43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325</v>
      </c>
      <c r="E11" s="34" t="s">
        <v>32</v>
      </c>
      <c r="F11" s="44"/>
      <c r="G11" s="28"/>
      <c r="H11" s="45"/>
      <c r="I11" s="46"/>
      <c r="J11" s="47"/>
      <c r="K11" s="48"/>
      <c r="L11" s="48"/>
      <c r="M11" s="48"/>
      <c r="N11" s="35"/>
      <c r="O11" s="36"/>
      <c r="P11" s="60"/>
      <c r="Q11" s="49"/>
    </row>
    <row r="12" spans="1:17" s="11" customFormat="1" ht="26" x14ac:dyDescent="0.2">
      <c r="A12" s="9">
        <v>10</v>
      </c>
      <c r="B12" s="9"/>
      <c r="C12" s="9"/>
      <c r="D12" s="9" t="s">
        <v>80</v>
      </c>
      <c r="E12" s="50" t="s">
        <v>113</v>
      </c>
      <c r="F12" s="50"/>
      <c r="G12" s="51" t="s">
        <v>643</v>
      </c>
      <c r="H12" s="51" t="s">
        <v>509</v>
      </c>
      <c r="I12" s="9" t="s">
        <v>403</v>
      </c>
      <c r="J12" s="9"/>
      <c r="K12" s="9" t="s">
        <v>404</v>
      </c>
      <c r="L12" s="9"/>
      <c r="M12" s="9"/>
      <c r="N12" s="41"/>
      <c r="O12" s="52"/>
      <c r="P12" s="84"/>
      <c r="Q12" s="85"/>
    </row>
    <row r="13" spans="1:17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609</v>
      </c>
      <c r="H13" s="51" t="s">
        <v>421</v>
      </c>
      <c r="I13" s="9" t="s">
        <v>403</v>
      </c>
      <c r="J13" s="9"/>
      <c r="K13" s="9"/>
      <c r="L13" s="9"/>
      <c r="M13" s="9"/>
      <c r="N13" s="41"/>
      <c r="O13" s="52"/>
      <c r="P13" s="84"/>
      <c r="Q13" s="85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5"/>
      <c r="Q15" s="55"/>
    </row>
    <row r="16" spans="1:17" s="11" customFormat="1" x14ac:dyDescent="0.2">
      <c r="A16" s="65"/>
      <c r="Q16" s="55"/>
    </row>
    <row r="17" spans="1:17" s="11" customFormat="1" x14ac:dyDescent="0.2">
      <c r="A17" s="65"/>
      <c r="Q17" s="55"/>
    </row>
    <row r="18" spans="1:17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V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328</v>
      </c>
      <c r="K2" s="7" t="s">
        <v>21</v>
      </c>
      <c r="L2" s="64" t="str">
        <f>IF(LogicCommon!G2="","",LogicCommon!G2)</f>
        <v>MC</v>
      </c>
      <c r="M2" s="5" t="s">
        <v>124</v>
      </c>
      <c r="N2" s="28" t="s">
        <v>546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296</v>
      </c>
      <c r="K3" s="7" t="s">
        <v>22</v>
      </c>
      <c r="L3" s="64" t="str">
        <f>IF(LogicCommon!G3="","",LogicCommon!G3)</f>
        <v/>
      </c>
      <c r="M3" s="68" t="s">
        <v>292</v>
      </c>
      <c r="N3" s="7"/>
      <c r="O3" s="7" t="s">
        <v>193</v>
      </c>
      <c r="P3" s="9" t="s">
        <v>194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285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140</v>
      </c>
      <c r="B6" s="66"/>
      <c r="C6" s="66"/>
      <c r="D6" s="4" t="s">
        <v>5</v>
      </c>
      <c r="E6" s="16" t="s">
        <v>388</v>
      </c>
      <c r="F6" s="16"/>
      <c r="G6" s="16"/>
      <c r="H6" s="16"/>
      <c r="I6" s="16"/>
      <c r="J6" s="16"/>
      <c r="K6" s="16"/>
      <c r="L6" s="72" t="s">
        <v>169</v>
      </c>
      <c r="M6" s="19"/>
      <c r="N6" s="19" t="s">
        <v>169</v>
      </c>
      <c r="O6" s="19"/>
      <c r="P6" s="19" t="s">
        <v>169</v>
      </c>
      <c r="Q6" s="19"/>
      <c r="R6" s="3" t="s">
        <v>169</v>
      </c>
      <c r="S6" s="4"/>
      <c r="T6" s="29"/>
      <c r="U6" s="29"/>
      <c r="V6" s="27"/>
    </row>
    <row r="7" spans="1:22" s="11" customFormat="1" x14ac:dyDescent="0.2">
      <c r="A7" s="30" t="s">
        <v>282</v>
      </c>
      <c r="B7" s="30"/>
      <c r="C7" s="30"/>
      <c r="D7" s="31"/>
      <c r="E7" s="31"/>
      <c r="F7" s="31"/>
      <c r="G7" s="31"/>
      <c r="H7" s="31"/>
      <c r="I7" s="31" t="s">
        <v>276</v>
      </c>
      <c r="J7" s="31"/>
      <c r="K7" s="33" t="s">
        <v>305</v>
      </c>
      <c r="L7" s="32" t="s">
        <v>284</v>
      </c>
      <c r="M7" s="33" t="s">
        <v>33</v>
      </c>
      <c r="N7" s="32" t="s">
        <v>283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33" t="s">
        <v>295</v>
      </c>
      <c r="L8" s="9" t="s">
        <v>569</v>
      </c>
      <c r="M8" s="33" t="s">
        <v>34</v>
      </c>
      <c r="N8" s="9" t="s">
        <v>228</v>
      </c>
      <c r="O8" s="33" t="s">
        <v>34</v>
      </c>
      <c r="P8" s="9"/>
      <c r="Q8" s="33" t="s">
        <v>34</v>
      </c>
      <c r="R8" s="9"/>
      <c r="S8" s="79"/>
      <c r="T8" s="80"/>
      <c r="U8" s="81" t="s">
        <v>586</v>
      </c>
      <c r="V8" s="52"/>
    </row>
    <row r="9" spans="1:22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33"/>
      <c r="O9" s="33"/>
      <c r="P9" s="33"/>
      <c r="Q9" s="33"/>
      <c r="R9" s="33"/>
      <c r="S9" s="81" t="s">
        <v>594</v>
      </c>
      <c r="T9" s="52"/>
      <c r="U9" s="81" t="s">
        <v>595</v>
      </c>
      <c r="V9" s="52"/>
    </row>
    <row r="10" spans="1:22" s="11" customFormat="1" ht="52" x14ac:dyDescent="0.2">
      <c r="A10" s="39" t="s">
        <v>170</v>
      </c>
      <c r="B10" s="40"/>
      <c r="C10" s="40"/>
      <c r="D10" s="41"/>
      <c r="E10" s="42"/>
      <c r="F10" s="42"/>
      <c r="G10" s="43"/>
      <c r="H10" s="43"/>
      <c r="I10" s="42"/>
      <c r="J10" s="42"/>
      <c r="K10" s="76" t="s">
        <v>592</v>
      </c>
      <c r="L10" s="76" t="s">
        <v>593</v>
      </c>
      <c r="M10" s="76" t="s">
        <v>592</v>
      </c>
      <c r="N10" s="76" t="s">
        <v>593</v>
      </c>
      <c r="O10" s="76" t="s">
        <v>592</v>
      </c>
      <c r="P10" s="76" t="s">
        <v>593</v>
      </c>
      <c r="Q10" s="76" t="s">
        <v>592</v>
      </c>
      <c r="R10" s="76" t="s">
        <v>593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327</v>
      </c>
      <c r="E11" s="34" t="s">
        <v>279</v>
      </c>
      <c r="F11" s="44"/>
      <c r="G11" s="28" t="s">
        <v>137</v>
      </c>
      <c r="H11" s="45" t="s">
        <v>510</v>
      </c>
      <c r="I11" s="46"/>
      <c r="J11" s="47"/>
      <c r="K11" s="48" t="s">
        <v>122</v>
      </c>
      <c r="L11" s="48"/>
      <c r="M11" s="48" t="s">
        <v>423</v>
      </c>
      <c r="N11" s="48"/>
      <c r="O11" s="48"/>
      <c r="P11" s="48"/>
      <c r="Q11" s="48"/>
      <c r="R11" s="48"/>
      <c r="S11" s="35"/>
      <c r="T11" s="36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80</v>
      </c>
      <c r="E12" s="50" t="s">
        <v>113</v>
      </c>
      <c r="F12" s="50"/>
      <c r="G12" s="51" t="s">
        <v>643</v>
      </c>
      <c r="H12" s="51" t="s">
        <v>509</v>
      </c>
      <c r="I12" s="9" t="s">
        <v>403</v>
      </c>
      <c r="J12" s="9"/>
      <c r="K12" s="9" t="s">
        <v>404</v>
      </c>
      <c r="L12" s="9"/>
      <c r="M12" s="9" t="s">
        <v>404</v>
      </c>
      <c r="N12" s="9"/>
      <c r="O12" s="9"/>
      <c r="P12" s="9"/>
      <c r="Q12" s="9"/>
      <c r="R12" s="9"/>
      <c r="S12" s="41"/>
      <c r="T12" s="52"/>
      <c r="U12" s="84"/>
      <c r="V12" s="85"/>
    </row>
    <row r="13" spans="1:22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609</v>
      </c>
      <c r="H13" s="51" t="s">
        <v>421</v>
      </c>
      <c r="I13" s="9" t="s">
        <v>403</v>
      </c>
      <c r="J13" s="9"/>
      <c r="K13" s="9" t="s">
        <v>404</v>
      </c>
      <c r="L13" s="9"/>
      <c r="M13" s="9"/>
      <c r="N13" s="9"/>
      <c r="O13" s="9"/>
      <c r="P13" s="9"/>
      <c r="Q13" s="9"/>
      <c r="R13" s="9"/>
      <c r="S13" s="41"/>
      <c r="T13" s="52"/>
      <c r="U13" s="84"/>
      <c r="V13" s="85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5"/>
      <c r="V15" s="55"/>
    </row>
    <row r="16" spans="1:22" s="11" customFormat="1" x14ac:dyDescent="0.2">
      <c r="A16" s="65"/>
      <c r="V16" s="55"/>
    </row>
    <row r="17" spans="1:22" s="11" customFormat="1" x14ac:dyDescent="0.2">
      <c r="A17" s="65"/>
      <c r="V17" s="55"/>
    </row>
    <row r="18" spans="1:22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76">
    <pageSetUpPr fitToPage="1"/>
  </sheetPr>
  <dimension ref="A1:R3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2.90625" style="29" bestFit="1" customWidth="1"/>
    <col min="9" max="10" width="15.81640625" style="29" customWidth="1"/>
    <col min="11" max="11" width="8.6328125" style="29" customWidth="1"/>
    <col min="12" max="12" width="19.3632812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8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229</v>
      </c>
      <c r="K2" s="7" t="s">
        <v>21</v>
      </c>
      <c r="L2" s="64" t="str">
        <f>IF(LogicCommon!G2="","",LogicCommon!G2)</f>
        <v>MC</v>
      </c>
      <c r="M2" s="5" t="s">
        <v>124</v>
      </c>
      <c r="N2" s="28" t="str">
        <f>L4 &amp; ".Checker"</f>
        <v>MA.MAUDL5010.Checker</v>
      </c>
      <c r="O2" s="7"/>
      <c r="P2" s="7"/>
      <c r="Q2" s="4"/>
      <c r="R2" s="4"/>
    </row>
    <row r="3" spans="1:18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125</v>
      </c>
      <c r="K3" s="7" t="s">
        <v>22</v>
      </c>
      <c r="L3" s="64" t="str">
        <f>IF(LogicCommon!G3="","",LogicCommon!G3)</f>
        <v/>
      </c>
      <c r="M3" s="68" t="s">
        <v>126</v>
      </c>
      <c r="N3" s="7"/>
      <c r="O3" s="7" t="s">
        <v>193</v>
      </c>
      <c r="P3" s="9" t="s">
        <v>194</v>
      </c>
      <c r="Q3" s="4"/>
      <c r="R3" s="4"/>
    </row>
    <row r="4" spans="1:18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127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4"/>
    </row>
    <row r="5" spans="1:18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4"/>
    </row>
    <row r="6" spans="1:18" s="11" customFormat="1" x14ac:dyDescent="0.2">
      <c r="A6" s="65" t="s">
        <v>140</v>
      </c>
      <c r="B6" s="66"/>
      <c r="C6" s="66"/>
      <c r="D6" s="4" t="s">
        <v>5</v>
      </c>
      <c r="E6" s="16" t="s">
        <v>389</v>
      </c>
      <c r="F6" s="16"/>
      <c r="G6" s="16"/>
      <c r="H6" s="16"/>
      <c r="I6" s="16"/>
      <c r="J6" s="16"/>
      <c r="K6" s="16"/>
      <c r="L6" s="72"/>
      <c r="M6" s="19"/>
      <c r="N6" s="19" t="s">
        <v>169</v>
      </c>
      <c r="O6" s="19"/>
      <c r="P6" s="19"/>
      <c r="Q6" s="19"/>
      <c r="R6" s="27"/>
    </row>
    <row r="7" spans="1:18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128</v>
      </c>
      <c r="L7" s="32" t="s">
        <v>121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9" t="s">
        <v>139</v>
      </c>
      <c r="L8" s="9" t="s">
        <v>247</v>
      </c>
      <c r="M8" s="33" t="s">
        <v>34</v>
      </c>
      <c r="N8" s="9"/>
      <c r="O8" s="79"/>
      <c r="P8" s="80"/>
      <c r="Q8" s="81" t="s">
        <v>586</v>
      </c>
      <c r="R8" s="52"/>
    </row>
    <row r="9" spans="1:18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33"/>
      <c r="O9" s="81" t="s">
        <v>594</v>
      </c>
      <c r="P9" s="52"/>
      <c r="Q9" s="81" t="s">
        <v>595</v>
      </c>
      <c r="R9" s="52"/>
    </row>
    <row r="10" spans="1:18" s="11" customFormat="1" ht="52" x14ac:dyDescent="0.2">
      <c r="A10" s="39" t="s">
        <v>135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76" t="s">
        <v>592</v>
      </c>
      <c r="N10" s="76" t="s">
        <v>593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539</v>
      </c>
      <c r="E11" s="34" t="s">
        <v>32</v>
      </c>
      <c r="F11" s="44"/>
      <c r="G11" s="28" t="s">
        <v>248</v>
      </c>
      <c r="H11" s="45" t="s">
        <v>571</v>
      </c>
      <c r="I11" s="46"/>
      <c r="J11" s="47"/>
      <c r="K11" s="48"/>
      <c r="L11" s="48"/>
      <c r="M11" s="48"/>
      <c r="N11" s="48"/>
      <c r="O11" s="35"/>
      <c r="P11" s="36"/>
      <c r="Q11" s="60"/>
      <c r="R11" s="49"/>
    </row>
    <row r="12" spans="1:18" s="11" customFormat="1" x14ac:dyDescent="0.2">
      <c r="A12" s="9">
        <v>10</v>
      </c>
      <c r="B12" s="9"/>
      <c r="C12" s="9"/>
      <c r="D12" s="9" t="s">
        <v>82</v>
      </c>
      <c r="E12" s="50" t="s">
        <v>117</v>
      </c>
      <c r="F12" s="50"/>
      <c r="G12" s="51" t="s">
        <v>645</v>
      </c>
      <c r="H12" s="51" t="s">
        <v>492</v>
      </c>
      <c r="I12" s="9" t="s">
        <v>403</v>
      </c>
      <c r="J12" s="9"/>
      <c r="K12" s="9" t="s">
        <v>404</v>
      </c>
      <c r="L12" s="9"/>
      <c r="M12" s="9"/>
      <c r="N12" s="9"/>
      <c r="O12" s="41"/>
      <c r="P12" s="52"/>
      <c r="Q12" s="84"/>
      <c r="R12" s="85"/>
    </row>
    <row r="13" spans="1:18" s="11" customFormat="1" ht="26" x14ac:dyDescent="0.2">
      <c r="A13" s="9">
        <v>10</v>
      </c>
      <c r="B13" s="9"/>
      <c r="C13" s="9"/>
      <c r="D13" s="9" t="s">
        <v>83</v>
      </c>
      <c r="E13" s="50" t="s">
        <v>118</v>
      </c>
      <c r="F13" s="50"/>
      <c r="G13" s="51" t="s">
        <v>650</v>
      </c>
      <c r="H13" s="51" t="s">
        <v>511</v>
      </c>
      <c r="I13" s="9" t="s">
        <v>403</v>
      </c>
      <c r="J13" s="9"/>
      <c r="K13" s="9" t="s">
        <v>404</v>
      </c>
      <c r="L13" s="9"/>
      <c r="M13" s="9"/>
      <c r="N13" s="9"/>
      <c r="O13" s="41"/>
      <c r="P13" s="52"/>
      <c r="Q13" s="84"/>
      <c r="R13" s="85"/>
    </row>
    <row r="14" spans="1:18" s="11" customFormat="1" x14ac:dyDescent="0.2">
      <c r="A14" s="9">
        <v>10</v>
      </c>
      <c r="B14" s="9"/>
      <c r="C14" s="9"/>
      <c r="D14" s="9" t="s">
        <v>84</v>
      </c>
      <c r="E14" s="50" t="s">
        <v>30</v>
      </c>
      <c r="F14" s="50"/>
      <c r="G14" s="51" t="s">
        <v>651</v>
      </c>
      <c r="H14" s="51" t="s">
        <v>512</v>
      </c>
      <c r="I14" s="9" t="s">
        <v>403</v>
      </c>
      <c r="J14" s="9"/>
      <c r="K14" s="9"/>
      <c r="L14" s="9"/>
      <c r="M14" s="9"/>
      <c r="N14" s="9"/>
      <c r="O14" s="41"/>
      <c r="P14" s="52"/>
      <c r="Q14" s="84"/>
      <c r="R14" s="85"/>
    </row>
    <row r="15" spans="1:18" s="11" customFormat="1" x14ac:dyDescent="0.2">
      <c r="A15" s="9">
        <v>10</v>
      </c>
      <c r="B15" s="9"/>
      <c r="C15" s="9"/>
      <c r="D15" s="9" t="s">
        <v>254</v>
      </c>
      <c r="E15" s="50" t="s">
        <v>255</v>
      </c>
      <c r="F15" s="50"/>
      <c r="G15" s="51" t="s">
        <v>648</v>
      </c>
      <c r="H15" s="51" t="s">
        <v>503</v>
      </c>
      <c r="I15" s="9" t="s">
        <v>403</v>
      </c>
      <c r="J15" s="9"/>
      <c r="K15" s="9"/>
      <c r="L15" s="9" t="s">
        <v>504</v>
      </c>
      <c r="M15" s="9"/>
      <c r="N15" s="9"/>
      <c r="O15" s="41"/>
      <c r="P15" s="52"/>
      <c r="Q15" s="84"/>
      <c r="R15" s="85"/>
    </row>
    <row r="16" spans="1:18" s="11" customFormat="1" x14ac:dyDescent="0.2">
      <c r="A16" s="9">
        <v>10</v>
      </c>
      <c r="B16" s="9"/>
      <c r="C16" s="9"/>
      <c r="D16" s="9" t="s">
        <v>535</v>
      </c>
      <c r="E16" s="50" t="s">
        <v>30</v>
      </c>
      <c r="F16" s="50"/>
      <c r="G16" s="51" t="s">
        <v>652</v>
      </c>
      <c r="H16" s="51" t="s">
        <v>513</v>
      </c>
      <c r="I16" s="9" t="s">
        <v>403</v>
      </c>
      <c r="J16" s="9"/>
      <c r="K16" s="9"/>
      <c r="L16" s="9"/>
      <c r="M16" s="9"/>
      <c r="N16" s="9"/>
      <c r="O16" s="41"/>
      <c r="P16" s="52"/>
      <c r="Q16" s="84"/>
      <c r="R16" s="85"/>
    </row>
    <row r="17" spans="1:18" s="11" customFormat="1" x14ac:dyDescent="0.2">
      <c r="A17" s="9">
        <v>10</v>
      </c>
      <c r="B17" s="9"/>
      <c r="C17" s="9"/>
      <c r="D17" s="9" t="s">
        <v>86</v>
      </c>
      <c r="E17" s="50" t="s">
        <v>30</v>
      </c>
      <c r="F17" s="50"/>
      <c r="G17" s="51" t="s">
        <v>653</v>
      </c>
      <c r="H17" s="51" t="s">
        <v>514</v>
      </c>
      <c r="I17" s="9" t="s">
        <v>403</v>
      </c>
      <c r="J17" s="9"/>
      <c r="K17" s="9"/>
      <c r="L17" s="9"/>
      <c r="M17" s="9"/>
      <c r="N17" s="9"/>
      <c r="O17" s="41"/>
      <c r="P17" s="52"/>
      <c r="Q17" s="84"/>
      <c r="R17" s="85"/>
    </row>
    <row r="18" spans="1:18" s="11" customFormat="1" x14ac:dyDescent="0.2">
      <c r="A18" s="9">
        <v>10</v>
      </c>
      <c r="B18" s="9"/>
      <c r="C18" s="9"/>
      <c r="D18" s="9" t="s">
        <v>87</v>
      </c>
      <c r="E18" s="50" t="s">
        <v>30</v>
      </c>
      <c r="F18" s="50"/>
      <c r="G18" s="51" t="s">
        <v>654</v>
      </c>
      <c r="H18" s="51" t="s">
        <v>515</v>
      </c>
      <c r="I18" s="9" t="s">
        <v>403</v>
      </c>
      <c r="J18" s="9"/>
      <c r="K18" s="9"/>
      <c r="L18" s="9"/>
      <c r="M18" s="9"/>
      <c r="N18" s="9"/>
      <c r="O18" s="41"/>
      <c r="P18" s="52"/>
      <c r="Q18" s="84"/>
      <c r="R18" s="85"/>
    </row>
    <row r="19" spans="1:18" s="11" customFormat="1" x14ac:dyDescent="0.2">
      <c r="A19" s="9">
        <v>10</v>
      </c>
      <c r="B19" s="9"/>
      <c r="C19" s="9"/>
      <c r="D19" s="9" t="s">
        <v>533</v>
      </c>
      <c r="E19" s="50" t="s">
        <v>30</v>
      </c>
      <c r="F19" s="50"/>
      <c r="G19" s="51" t="s">
        <v>655</v>
      </c>
      <c r="H19" s="51" t="s">
        <v>532</v>
      </c>
      <c r="I19" s="9" t="s">
        <v>403</v>
      </c>
      <c r="J19" s="9"/>
      <c r="K19" s="9"/>
      <c r="L19" s="9"/>
      <c r="M19" s="9"/>
      <c r="N19" s="9"/>
      <c r="O19" s="41"/>
      <c r="P19" s="52"/>
      <c r="Q19" s="84"/>
      <c r="R19" s="85"/>
    </row>
    <row r="20" spans="1:18" s="11" customFormat="1" x14ac:dyDescent="0.2">
      <c r="A20" s="9">
        <v>10</v>
      </c>
      <c r="B20" s="9"/>
      <c r="C20" s="9"/>
      <c r="D20" s="9" t="s">
        <v>120</v>
      </c>
      <c r="E20" s="50" t="s">
        <v>91</v>
      </c>
      <c r="F20" s="50"/>
      <c r="G20" s="51" t="s">
        <v>616</v>
      </c>
      <c r="H20" s="51" t="s">
        <v>517</v>
      </c>
      <c r="I20" s="9" t="s">
        <v>403</v>
      </c>
      <c r="J20" s="9"/>
      <c r="K20" s="9"/>
      <c r="L20" s="9" t="s">
        <v>495</v>
      </c>
      <c r="M20" s="9"/>
      <c r="N20" s="9"/>
      <c r="O20" s="41"/>
      <c r="P20" s="52"/>
      <c r="Q20" s="84"/>
      <c r="R20" s="85"/>
    </row>
    <row r="21" spans="1:18" s="11" customFormat="1" x14ac:dyDescent="0.2">
      <c r="A21" s="9">
        <v>10</v>
      </c>
      <c r="B21" s="9"/>
      <c r="C21" s="9"/>
      <c r="D21" s="9" t="s">
        <v>536</v>
      </c>
      <c r="E21" s="50" t="s">
        <v>537</v>
      </c>
      <c r="F21" s="50"/>
      <c r="G21" s="51" t="s">
        <v>656</v>
      </c>
      <c r="H21" s="51" t="s">
        <v>578</v>
      </c>
      <c r="I21" s="9" t="s">
        <v>403</v>
      </c>
      <c r="J21" s="9"/>
      <c r="K21" s="9"/>
      <c r="L21" s="9" t="s">
        <v>538</v>
      </c>
      <c r="M21" s="9"/>
      <c r="N21" s="9"/>
      <c r="O21" s="41"/>
      <c r="P21" s="52"/>
      <c r="Q21" s="84"/>
      <c r="R21" s="85"/>
    </row>
    <row r="22" spans="1:18" s="11" customFormat="1" x14ac:dyDescent="0.2">
      <c r="A22" s="9">
        <v>10</v>
      </c>
      <c r="B22" s="9"/>
      <c r="C22" s="9"/>
      <c r="D22" s="9" t="s">
        <v>540</v>
      </c>
      <c r="E22" s="50" t="s">
        <v>541</v>
      </c>
      <c r="F22" s="50"/>
      <c r="G22" s="51" t="s">
        <v>657</v>
      </c>
      <c r="H22" s="51" t="s">
        <v>579</v>
      </c>
      <c r="I22" s="9" t="s">
        <v>403</v>
      </c>
      <c r="J22" s="9"/>
      <c r="K22" s="9"/>
      <c r="L22" s="9"/>
      <c r="M22" s="9"/>
      <c r="N22" s="9"/>
      <c r="O22" s="41"/>
      <c r="P22" s="52"/>
      <c r="Q22" s="84"/>
      <c r="R22" s="85"/>
    </row>
    <row r="23" spans="1:18" s="11" customFormat="1" x14ac:dyDescent="0.2">
      <c r="A23" s="9">
        <v>10</v>
      </c>
      <c r="B23" s="9"/>
      <c r="C23" s="9"/>
      <c r="D23" s="9" t="s">
        <v>542</v>
      </c>
      <c r="E23" s="50" t="s">
        <v>541</v>
      </c>
      <c r="F23" s="50"/>
      <c r="G23" s="51" t="s">
        <v>658</v>
      </c>
      <c r="H23" s="51" t="s">
        <v>580</v>
      </c>
      <c r="I23" s="9" t="s">
        <v>403</v>
      </c>
      <c r="J23" s="9"/>
      <c r="K23" s="9"/>
      <c r="L23" s="9"/>
      <c r="M23" s="9"/>
      <c r="N23" s="9"/>
      <c r="O23" s="41"/>
      <c r="P23" s="52"/>
      <c r="Q23" s="84"/>
      <c r="R23" s="85"/>
    </row>
    <row r="24" spans="1:18" s="11" customFormat="1" x14ac:dyDescent="0.2">
      <c r="A24" s="9">
        <v>10</v>
      </c>
      <c r="B24" s="9"/>
      <c r="C24" s="9"/>
      <c r="D24" s="9" t="s">
        <v>24</v>
      </c>
      <c r="E24" s="50" t="s">
        <v>25</v>
      </c>
      <c r="F24" s="50"/>
      <c r="G24" s="51" t="s">
        <v>605</v>
      </c>
      <c r="H24" s="51" t="s">
        <v>543</v>
      </c>
      <c r="I24" s="9" t="s">
        <v>403</v>
      </c>
      <c r="J24" s="9"/>
      <c r="K24" s="9"/>
      <c r="L24" s="9"/>
      <c r="M24" s="9"/>
      <c r="N24" s="9"/>
      <c r="O24" s="41"/>
      <c r="P24" s="52"/>
      <c r="Q24" s="84"/>
      <c r="R24" s="85"/>
    </row>
    <row r="25" spans="1:18" s="11" customFormat="1" x14ac:dyDescent="0.2">
      <c r="A25" s="9">
        <v>10</v>
      </c>
      <c r="B25" s="9"/>
      <c r="C25" s="9"/>
      <c r="D25" s="9" t="s">
        <v>28</v>
      </c>
      <c r="E25" s="50" t="s">
        <v>29</v>
      </c>
      <c r="F25" s="50"/>
      <c r="G25" s="51" t="s">
        <v>606</v>
      </c>
      <c r="H25" s="51" t="s">
        <v>418</v>
      </c>
      <c r="I25" s="9" t="s">
        <v>403</v>
      </c>
      <c r="J25" s="9"/>
      <c r="K25" s="9"/>
      <c r="L25" s="9"/>
      <c r="M25" s="9"/>
      <c r="N25" s="9"/>
      <c r="O25" s="41"/>
      <c r="P25" s="52"/>
      <c r="Q25" s="84"/>
      <c r="R25" s="85"/>
    </row>
    <row r="26" spans="1:18" s="11" customFormat="1" x14ac:dyDescent="0.2">
      <c r="A26" s="9">
        <v>10</v>
      </c>
      <c r="B26" s="9"/>
      <c r="C26" s="9"/>
      <c r="D26" s="9" t="s">
        <v>26</v>
      </c>
      <c r="E26" s="50" t="s">
        <v>27</v>
      </c>
      <c r="F26" s="50"/>
      <c r="G26" s="51" t="s">
        <v>607</v>
      </c>
      <c r="H26" s="51" t="s">
        <v>419</v>
      </c>
      <c r="I26" s="9" t="s">
        <v>403</v>
      </c>
      <c r="J26" s="9"/>
      <c r="K26" s="9"/>
      <c r="L26" s="9"/>
      <c r="M26" s="9"/>
      <c r="N26" s="9"/>
      <c r="O26" s="41"/>
      <c r="P26" s="52"/>
      <c r="Q26" s="84"/>
      <c r="R26" s="85"/>
    </row>
    <row r="27" spans="1:18" s="11" customFormat="1" x14ac:dyDescent="0.2">
      <c r="A27" s="9">
        <v>10</v>
      </c>
      <c r="B27" s="9"/>
      <c r="C27" s="9"/>
      <c r="D27" s="9" t="s">
        <v>35</v>
      </c>
      <c r="E27" s="50" t="s">
        <v>30</v>
      </c>
      <c r="F27" s="50"/>
      <c r="G27" s="51" t="s">
        <v>608</v>
      </c>
      <c r="H27" s="51" t="s">
        <v>420</v>
      </c>
      <c r="I27" s="9" t="s">
        <v>403</v>
      </c>
      <c r="J27" s="9"/>
      <c r="K27" s="9"/>
      <c r="L27" s="9"/>
      <c r="M27" s="9"/>
      <c r="N27" s="9"/>
      <c r="O27" s="41"/>
      <c r="P27" s="52"/>
      <c r="Q27" s="84"/>
      <c r="R27" s="85"/>
    </row>
    <row r="28" spans="1:18" s="11" customFormat="1" x14ac:dyDescent="0.2">
      <c r="A28" s="9">
        <v>10</v>
      </c>
      <c r="B28" s="9"/>
      <c r="C28" s="9"/>
      <c r="D28" s="9" t="s">
        <v>36</v>
      </c>
      <c r="E28" s="50" t="s">
        <v>37</v>
      </c>
      <c r="F28" s="50"/>
      <c r="G28" s="51" t="s">
        <v>609</v>
      </c>
      <c r="H28" s="51" t="s">
        <v>421</v>
      </c>
      <c r="I28" s="9" t="s">
        <v>403</v>
      </c>
      <c r="J28" s="9"/>
      <c r="K28" s="9"/>
      <c r="L28" s="9"/>
      <c r="M28" s="9"/>
      <c r="N28" s="9"/>
      <c r="O28" s="41"/>
      <c r="P28" s="52"/>
      <c r="Q28" s="84"/>
      <c r="R28" s="85"/>
    </row>
    <row r="29" spans="1:18" s="11" customFormat="1" x14ac:dyDescent="0.2">
      <c r="A29" s="53"/>
      <c r="B29" s="54"/>
      <c r="C29" s="54"/>
      <c r="D29" s="27" t="s">
        <v>1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4"/>
      <c r="P29" s="4"/>
      <c r="Q29" s="6"/>
      <c r="R29" s="23"/>
    </row>
    <row r="30" spans="1:18" s="11" customFormat="1" x14ac:dyDescent="0.2">
      <c r="A30" s="65"/>
      <c r="R30" s="55"/>
    </row>
    <row r="31" spans="1:18" s="11" customFormat="1" x14ac:dyDescent="0.2">
      <c r="A31" s="65"/>
      <c r="R31" s="55"/>
    </row>
    <row r="32" spans="1:18" s="11" customFormat="1" x14ac:dyDescent="0.2">
      <c r="A32" s="65"/>
      <c r="R32" s="55"/>
    </row>
    <row r="33" spans="1:18" s="11" customFormat="1" x14ac:dyDescent="0.2">
      <c r="A33" s="70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20"/>
    </row>
  </sheetData>
  <dataConsolidate/>
  <mergeCells count="17">
    <mergeCell ref="Q28:R28"/>
    <mergeCell ref="Q18:R18"/>
    <mergeCell ref="Q20:R20"/>
    <mergeCell ref="Q24:R24"/>
    <mergeCell ref="Q25:R25"/>
    <mergeCell ref="Q26:R26"/>
    <mergeCell ref="Q27:R27"/>
    <mergeCell ref="Q19:R19"/>
    <mergeCell ref="Q21:R21"/>
    <mergeCell ref="Q22:R22"/>
    <mergeCell ref="Q23:R23"/>
    <mergeCell ref="Q12:R12"/>
    <mergeCell ref="Q13:R13"/>
    <mergeCell ref="Q14:R14"/>
    <mergeCell ref="Q16:R16"/>
    <mergeCell ref="Q17:R17"/>
    <mergeCell ref="Q15:R15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77">
    <pageSetUpPr fitToPage="1"/>
  </sheetPr>
  <dimension ref="A1:V3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230</v>
      </c>
      <c r="K2" s="7" t="s">
        <v>21</v>
      </c>
      <c r="L2" s="64" t="str">
        <f>IF(LogicCommon!G2="","",LogicCommon!G2)</f>
        <v>MC</v>
      </c>
      <c r="M2" s="5" t="s">
        <v>124</v>
      </c>
      <c r="N2" s="28" t="s">
        <v>545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129</v>
      </c>
      <c r="K3" s="7" t="s">
        <v>22</v>
      </c>
      <c r="L3" s="64" t="str">
        <f>IF(LogicCommon!G3="","",LogicCommon!G3)</f>
        <v/>
      </c>
      <c r="M3" s="68" t="s">
        <v>126</v>
      </c>
      <c r="N3" s="7"/>
      <c r="O3" s="7" t="s">
        <v>193</v>
      </c>
      <c r="P3" s="9" t="s">
        <v>194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31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140</v>
      </c>
      <c r="B6" s="66"/>
      <c r="C6" s="66"/>
      <c r="D6" s="4" t="s">
        <v>5</v>
      </c>
      <c r="E6" s="16" t="s">
        <v>390</v>
      </c>
      <c r="F6" s="16"/>
      <c r="G6" s="16"/>
      <c r="H6" s="16"/>
      <c r="I6" s="16"/>
      <c r="J6" s="16"/>
      <c r="K6" s="16"/>
      <c r="L6" s="72" t="s">
        <v>169</v>
      </c>
      <c r="M6" s="19"/>
      <c r="N6" s="19" t="s">
        <v>169</v>
      </c>
      <c r="O6" s="19"/>
      <c r="P6" s="19" t="s">
        <v>169</v>
      </c>
      <c r="Q6" s="19"/>
      <c r="R6" s="3" t="s">
        <v>169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130</v>
      </c>
      <c r="L7" s="32" t="s">
        <v>131</v>
      </c>
      <c r="M7" s="33" t="s">
        <v>33</v>
      </c>
      <c r="N7" s="32" t="s">
        <v>132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33" t="s">
        <v>134</v>
      </c>
      <c r="L8" s="9" t="s">
        <v>572</v>
      </c>
      <c r="M8" s="33" t="s">
        <v>34</v>
      </c>
      <c r="N8" s="9" t="s">
        <v>573</v>
      </c>
      <c r="O8" s="33" t="s">
        <v>34</v>
      </c>
      <c r="P8" s="9"/>
      <c r="Q8" s="33" t="s">
        <v>34</v>
      </c>
      <c r="R8" s="9"/>
      <c r="S8" s="79"/>
      <c r="T8" s="80"/>
      <c r="U8" s="81" t="s">
        <v>586</v>
      </c>
      <c r="V8" s="52"/>
    </row>
    <row r="9" spans="1:22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33"/>
      <c r="O9" s="33"/>
      <c r="P9" s="33"/>
      <c r="Q9" s="33"/>
      <c r="R9" s="33"/>
      <c r="S9" s="81" t="s">
        <v>594</v>
      </c>
      <c r="T9" s="52"/>
      <c r="U9" s="81" t="s">
        <v>595</v>
      </c>
      <c r="V9" s="52"/>
    </row>
    <row r="10" spans="1:22" s="11" customFormat="1" ht="52" x14ac:dyDescent="0.2">
      <c r="A10" s="39" t="s">
        <v>135</v>
      </c>
      <c r="B10" s="40"/>
      <c r="C10" s="40"/>
      <c r="D10" s="41"/>
      <c r="E10" s="42"/>
      <c r="F10" s="42"/>
      <c r="G10" s="43"/>
      <c r="H10" s="43"/>
      <c r="I10" s="42"/>
      <c r="J10" s="42"/>
      <c r="K10" s="76" t="s">
        <v>592</v>
      </c>
      <c r="L10" s="76" t="s">
        <v>593</v>
      </c>
      <c r="M10" s="76" t="s">
        <v>592</v>
      </c>
      <c r="N10" s="76" t="s">
        <v>593</v>
      </c>
      <c r="O10" s="76" t="s">
        <v>592</v>
      </c>
      <c r="P10" s="76" t="s">
        <v>593</v>
      </c>
      <c r="Q10" s="76" t="s">
        <v>592</v>
      </c>
      <c r="R10" s="76" t="s">
        <v>593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534</v>
      </c>
      <c r="E11" s="34" t="s">
        <v>136</v>
      </c>
      <c r="F11" s="44"/>
      <c r="G11" s="28" t="s">
        <v>137</v>
      </c>
      <c r="H11" s="45" t="s">
        <v>516</v>
      </c>
      <c r="I11" s="46"/>
      <c r="J11" s="47"/>
      <c r="K11" s="48" t="s">
        <v>122</v>
      </c>
      <c r="L11" s="48"/>
      <c r="M11" s="48" t="s">
        <v>423</v>
      </c>
      <c r="N11" s="48"/>
      <c r="O11" s="48"/>
      <c r="P11" s="48"/>
      <c r="Q11" s="48"/>
      <c r="R11" s="48"/>
      <c r="S11" s="35"/>
      <c r="T11" s="36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82</v>
      </c>
      <c r="E12" s="50" t="s">
        <v>117</v>
      </c>
      <c r="F12" s="50"/>
      <c r="G12" s="51" t="s">
        <v>645</v>
      </c>
      <c r="H12" s="51" t="s">
        <v>492</v>
      </c>
      <c r="I12" s="9" t="s">
        <v>403</v>
      </c>
      <c r="J12" s="9"/>
      <c r="K12" s="9" t="s">
        <v>404</v>
      </c>
      <c r="L12" s="9"/>
      <c r="M12" s="9" t="s">
        <v>404</v>
      </c>
      <c r="N12" s="9"/>
      <c r="O12" s="9"/>
      <c r="P12" s="9"/>
      <c r="Q12" s="9"/>
      <c r="R12" s="9"/>
      <c r="S12" s="41"/>
      <c r="T12" s="52"/>
      <c r="U12" s="84"/>
      <c r="V12" s="85"/>
    </row>
    <row r="13" spans="1:22" s="11" customFormat="1" ht="26" x14ac:dyDescent="0.2">
      <c r="A13" s="9">
        <v>10</v>
      </c>
      <c r="B13" s="9"/>
      <c r="C13" s="9"/>
      <c r="D13" s="9" t="s">
        <v>83</v>
      </c>
      <c r="E13" s="50" t="s">
        <v>118</v>
      </c>
      <c r="F13" s="50"/>
      <c r="G13" s="51" t="s">
        <v>650</v>
      </c>
      <c r="H13" s="51" t="s">
        <v>511</v>
      </c>
      <c r="I13" s="9" t="s">
        <v>403</v>
      </c>
      <c r="J13" s="9"/>
      <c r="K13" s="9" t="s">
        <v>404</v>
      </c>
      <c r="L13" s="9"/>
      <c r="M13" s="9" t="s">
        <v>404</v>
      </c>
      <c r="N13" s="9"/>
      <c r="O13" s="9"/>
      <c r="P13" s="9"/>
      <c r="Q13" s="9"/>
      <c r="R13" s="9"/>
      <c r="S13" s="41"/>
      <c r="T13" s="52"/>
      <c r="U13" s="84"/>
      <c r="V13" s="85"/>
    </row>
    <row r="14" spans="1:22" s="11" customFormat="1" x14ac:dyDescent="0.2">
      <c r="A14" s="9">
        <v>10</v>
      </c>
      <c r="B14" s="9"/>
      <c r="C14" s="9"/>
      <c r="D14" s="9" t="s">
        <v>84</v>
      </c>
      <c r="E14" s="50" t="s">
        <v>30</v>
      </c>
      <c r="F14" s="50"/>
      <c r="G14" s="51" t="s">
        <v>651</v>
      </c>
      <c r="H14" s="51" t="s">
        <v>512</v>
      </c>
      <c r="I14" s="9" t="s">
        <v>403</v>
      </c>
      <c r="J14" s="9"/>
      <c r="K14" s="9" t="s">
        <v>404</v>
      </c>
      <c r="L14" s="9"/>
      <c r="M14" s="9" t="s">
        <v>404</v>
      </c>
      <c r="N14" s="9"/>
      <c r="O14" s="9"/>
      <c r="P14" s="9"/>
      <c r="Q14" s="9"/>
      <c r="R14" s="9"/>
      <c r="S14" s="41"/>
      <c r="T14" s="52"/>
      <c r="U14" s="84"/>
      <c r="V14" s="85"/>
    </row>
    <row r="15" spans="1:22" s="11" customFormat="1" x14ac:dyDescent="0.2">
      <c r="A15" s="9">
        <v>10</v>
      </c>
      <c r="B15" s="9"/>
      <c r="C15" s="9"/>
      <c r="D15" s="9" t="s">
        <v>254</v>
      </c>
      <c r="E15" s="50" t="s">
        <v>255</v>
      </c>
      <c r="F15" s="50"/>
      <c r="G15" s="51" t="s">
        <v>648</v>
      </c>
      <c r="H15" s="51" t="s">
        <v>503</v>
      </c>
      <c r="I15" s="9" t="s">
        <v>403</v>
      </c>
      <c r="J15" s="9"/>
      <c r="K15" s="9" t="s">
        <v>404</v>
      </c>
      <c r="L15" s="9"/>
      <c r="M15" s="9" t="s">
        <v>404</v>
      </c>
      <c r="N15" s="9"/>
      <c r="O15" s="9"/>
      <c r="P15" s="9"/>
      <c r="Q15" s="9"/>
      <c r="R15" s="9"/>
      <c r="S15" s="41"/>
      <c r="T15" s="52"/>
      <c r="U15" s="84"/>
      <c r="V15" s="85"/>
    </row>
    <row r="16" spans="1:22" s="11" customFormat="1" x14ac:dyDescent="0.2">
      <c r="A16" s="9">
        <v>10</v>
      </c>
      <c r="B16" s="9"/>
      <c r="C16" s="9"/>
      <c r="D16" s="9" t="s">
        <v>85</v>
      </c>
      <c r="E16" s="50" t="s">
        <v>30</v>
      </c>
      <c r="F16" s="50"/>
      <c r="G16" s="51" t="s">
        <v>652</v>
      </c>
      <c r="H16" s="51" t="s">
        <v>513</v>
      </c>
      <c r="I16" s="9" t="s">
        <v>403</v>
      </c>
      <c r="J16" s="9"/>
      <c r="K16" s="9" t="s">
        <v>404</v>
      </c>
      <c r="L16" s="9"/>
      <c r="M16" s="9" t="s">
        <v>404</v>
      </c>
      <c r="N16" s="9"/>
      <c r="O16" s="9"/>
      <c r="P16" s="9"/>
      <c r="Q16" s="9"/>
      <c r="R16" s="9"/>
      <c r="S16" s="41"/>
      <c r="T16" s="52"/>
      <c r="U16" s="84"/>
      <c r="V16" s="85"/>
    </row>
    <row r="17" spans="1:22" s="11" customFormat="1" x14ac:dyDescent="0.2">
      <c r="A17" s="9">
        <v>10</v>
      </c>
      <c r="B17" s="9"/>
      <c r="C17" s="9"/>
      <c r="D17" s="9" t="s">
        <v>86</v>
      </c>
      <c r="E17" s="50" t="s">
        <v>30</v>
      </c>
      <c r="F17" s="50"/>
      <c r="G17" s="51" t="s">
        <v>653</v>
      </c>
      <c r="H17" s="51" t="s">
        <v>514</v>
      </c>
      <c r="I17" s="9" t="s">
        <v>403</v>
      </c>
      <c r="J17" s="9"/>
      <c r="K17" s="9" t="s">
        <v>404</v>
      </c>
      <c r="L17" s="9"/>
      <c r="M17" s="9" t="s">
        <v>404</v>
      </c>
      <c r="N17" s="9"/>
      <c r="O17" s="9"/>
      <c r="P17" s="9"/>
      <c r="Q17" s="9"/>
      <c r="R17" s="9"/>
      <c r="S17" s="41"/>
      <c r="T17" s="52"/>
      <c r="U17" s="84"/>
      <c r="V17" s="85"/>
    </row>
    <row r="18" spans="1:22" s="11" customFormat="1" x14ac:dyDescent="0.2">
      <c r="A18" s="9">
        <v>10</v>
      </c>
      <c r="B18" s="9"/>
      <c r="C18" s="9"/>
      <c r="D18" s="9" t="s">
        <v>87</v>
      </c>
      <c r="E18" s="50" t="s">
        <v>30</v>
      </c>
      <c r="F18" s="50"/>
      <c r="G18" s="51" t="s">
        <v>654</v>
      </c>
      <c r="H18" s="51" t="s">
        <v>515</v>
      </c>
      <c r="I18" s="9" t="s">
        <v>403</v>
      </c>
      <c r="J18" s="9"/>
      <c r="K18" s="9" t="s">
        <v>404</v>
      </c>
      <c r="L18" s="9"/>
      <c r="M18" s="9" t="s">
        <v>404</v>
      </c>
      <c r="N18" s="9"/>
      <c r="O18" s="9"/>
      <c r="P18" s="9"/>
      <c r="Q18" s="9"/>
      <c r="R18" s="9"/>
      <c r="S18" s="41"/>
      <c r="T18" s="52"/>
      <c r="U18" s="84"/>
      <c r="V18" s="85"/>
    </row>
    <row r="19" spans="1:22" s="11" customFormat="1" x14ac:dyDescent="0.2">
      <c r="A19" s="9">
        <v>10</v>
      </c>
      <c r="B19" s="9"/>
      <c r="C19" s="9"/>
      <c r="D19" s="9" t="s">
        <v>531</v>
      </c>
      <c r="E19" s="50" t="s">
        <v>30</v>
      </c>
      <c r="F19" s="50"/>
      <c r="G19" s="51" t="s">
        <v>655</v>
      </c>
      <c r="H19" s="51" t="s">
        <v>532</v>
      </c>
      <c r="I19" s="9" t="s">
        <v>403</v>
      </c>
      <c r="J19" s="9"/>
      <c r="K19" s="9" t="s">
        <v>404</v>
      </c>
      <c r="L19" s="9"/>
      <c r="M19" s="9" t="s">
        <v>404</v>
      </c>
      <c r="N19" s="9"/>
      <c r="O19" s="9"/>
      <c r="P19" s="9"/>
      <c r="Q19" s="9"/>
      <c r="R19" s="9"/>
      <c r="S19" s="41"/>
      <c r="T19" s="52"/>
      <c r="U19" s="84"/>
      <c r="V19" s="85"/>
    </row>
    <row r="20" spans="1:22" s="11" customFormat="1" x14ac:dyDescent="0.2">
      <c r="A20" s="9">
        <v>10</v>
      </c>
      <c r="B20" s="9"/>
      <c r="C20" s="9"/>
      <c r="D20" s="9" t="s">
        <v>120</v>
      </c>
      <c r="E20" s="50" t="s">
        <v>91</v>
      </c>
      <c r="F20" s="50"/>
      <c r="G20" s="51" t="s">
        <v>616</v>
      </c>
      <c r="H20" s="51" t="s">
        <v>517</v>
      </c>
      <c r="I20" s="9" t="s">
        <v>403</v>
      </c>
      <c r="J20" s="9"/>
      <c r="K20" s="9" t="s">
        <v>404</v>
      </c>
      <c r="L20" s="9"/>
      <c r="M20" s="9" t="s">
        <v>404</v>
      </c>
      <c r="N20" s="9"/>
      <c r="O20" s="9"/>
      <c r="P20" s="9"/>
      <c r="Q20" s="9"/>
      <c r="R20" s="9"/>
      <c r="S20" s="41"/>
      <c r="T20" s="52"/>
      <c r="U20" s="84"/>
      <c r="V20" s="85"/>
    </row>
    <row r="21" spans="1:22" s="11" customFormat="1" x14ac:dyDescent="0.2">
      <c r="A21" s="9">
        <v>10</v>
      </c>
      <c r="B21" s="9"/>
      <c r="C21" s="9"/>
      <c r="D21" s="9" t="s">
        <v>536</v>
      </c>
      <c r="E21" s="50" t="s">
        <v>537</v>
      </c>
      <c r="F21" s="50"/>
      <c r="G21" s="51" t="s">
        <v>656</v>
      </c>
      <c r="H21" s="51" t="s">
        <v>578</v>
      </c>
      <c r="I21" s="9" t="s">
        <v>403</v>
      </c>
      <c r="J21" s="9"/>
      <c r="K21" s="9" t="s">
        <v>404</v>
      </c>
      <c r="L21" s="9"/>
      <c r="M21" s="9" t="s">
        <v>404</v>
      </c>
      <c r="N21" s="9"/>
      <c r="O21" s="9"/>
      <c r="P21" s="9"/>
      <c r="Q21" s="9"/>
      <c r="R21" s="9"/>
      <c r="S21" s="41"/>
      <c r="T21" s="52"/>
      <c r="U21" s="84"/>
      <c r="V21" s="85"/>
    </row>
    <row r="22" spans="1:22" s="11" customFormat="1" x14ac:dyDescent="0.2">
      <c r="A22" s="9">
        <v>10</v>
      </c>
      <c r="B22" s="9"/>
      <c r="C22" s="9"/>
      <c r="D22" s="9" t="s">
        <v>540</v>
      </c>
      <c r="E22" s="50" t="s">
        <v>541</v>
      </c>
      <c r="F22" s="50"/>
      <c r="G22" s="51" t="s">
        <v>657</v>
      </c>
      <c r="H22" s="51" t="s">
        <v>579</v>
      </c>
      <c r="I22" s="9" t="s">
        <v>403</v>
      </c>
      <c r="J22" s="9"/>
      <c r="K22" s="9" t="s">
        <v>404</v>
      </c>
      <c r="L22" s="9"/>
      <c r="M22" s="9" t="s">
        <v>404</v>
      </c>
      <c r="N22" s="9"/>
      <c r="O22" s="9"/>
      <c r="P22" s="9"/>
      <c r="Q22" s="9"/>
      <c r="R22" s="9"/>
      <c r="S22" s="41"/>
      <c r="T22" s="52"/>
      <c r="U22" s="84"/>
      <c r="V22" s="85"/>
    </row>
    <row r="23" spans="1:22" s="11" customFormat="1" x14ac:dyDescent="0.2">
      <c r="A23" s="9">
        <v>10</v>
      </c>
      <c r="B23" s="9"/>
      <c r="C23" s="9"/>
      <c r="D23" s="9" t="s">
        <v>542</v>
      </c>
      <c r="E23" s="50" t="s">
        <v>541</v>
      </c>
      <c r="F23" s="50"/>
      <c r="G23" s="51" t="s">
        <v>658</v>
      </c>
      <c r="H23" s="51" t="s">
        <v>580</v>
      </c>
      <c r="I23" s="9" t="s">
        <v>403</v>
      </c>
      <c r="J23" s="9"/>
      <c r="K23" s="9" t="s">
        <v>404</v>
      </c>
      <c r="L23" s="9"/>
      <c r="M23" s="9" t="s">
        <v>404</v>
      </c>
      <c r="N23" s="9"/>
      <c r="O23" s="9"/>
      <c r="P23" s="9"/>
      <c r="Q23" s="9"/>
      <c r="R23" s="9"/>
      <c r="S23" s="41"/>
      <c r="T23" s="52"/>
      <c r="U23" s="84"/>
      <c r="V23" s="85"/>
    </row>
    <row r="24" spans="1:22" s="11" customFormat="1" x14ac:dyDescent="0.2">
      <c r="A24" s="9">
        <v>10</v>
      </c>
      <c r="B24" s="9"/>
      <c r="C24" s="9"/>
      <c r="D24" s="9" t="s">
        <v>24</v>
      </c>
      <c r="E24" s="50" t="s">
        <v>25</v>
      </c>
      <c r="F24" s="50"/>
      <c r="G24" s="51" t="s">
        <v>605</v>
      </c>
      <c r="H24" s="51" t="s">
        <v>417</v>
      </c>
      <c r="I24" s="9" t="s">
        <v>403</v>
      </c>
      <c r="J24" s="9"/>
      <c r="K24" s="9" t="s">
        <v>404</v>
      </c>
      <c r="L24" s="9"/>
      <c r="M24" s="9" t="s">
        <v>404</v>
      </c>
      <c r="N24" s="9"/>
      <c r="O24" s="9"/>
      <c r="P24" s="9"/>
      <c r="Q24" s="9"/>
      <c r="R24" s="9"/>
      <c r="S24" s="41"/>
      <c r="T24" s="52"/>
      <c r="U24" s="84"/>
      <c r="V24" s="85"/>
    </row>
    <row r="25" spans="1:22" s="11" customFormat="1" x14ac:dyDescent="0.2">
      <c r="A25" s="9">
        <v>10</v>
      </c>
      <c r="B25" s="9"/>
      <c r="C25" s="9"/>
      <c r="D25" s="9" t="s">
        <v>28</v>
      </c>
      <c r="E25" s="50" t="s">
        <v>29</v>
      </c>
      <c r="F25" s="50"/>
      <c r="G25" s="51" t="s">
        <v>606</v>
      </c>
      <c r="H25" s="51" t="s">
        <v>418</v>
      </c>
      <c r="I25" s="9" t="s">
        <v>403</v>
      </c>
      <c r="J25" s="9"/>
      <c r="K25" s="9" t="s">
        <v>404</v>
      </c>
      <c r="L25" s="9"/>
      <c r="M25" s="9" t="s">
        <v>404</v>
      </c>
      <c r="N25" s="9"/>
      <c r="O25" s="9"/>
      <c r="P25" s="9"/>
      <c r="Q25" s="9"/>
      <c r="R25" s="9"/>
      <c r="S25" s="41"/>
      <c r="T25" s="52"/>
      <c r="U25" s="84"/>
      <c r="V25" s="85"/>
    </row>
    <row r="26" spans="1:22" s="11" customFormat="1" x14ac:dyDescent="0.2">
      <c r="A26" s="9">
        <v>10</v>
      </c>
      <c r="B26" s="9"/>
      <c r="C26" s="9"/>
      <c r="D26" s="9" t="s">
        <v>26</v>
      </c>
      <c r="E26" s="50" t="s">
        <v>27</v>
      </c>
      <c r="F26" s="50"/>
      <c r="G26" s="51" t="s">
        <v>607</v>
      </c>
      <c r="H26" s="51" t="s">
        <v>419</v>
      </c>
      <c r="I26" s="9" t="s">
        <v>403</v>
      </c>
      <c r="J26" s="9"/>
      <c r="K26" s="9" t="s">
        <v>404</v>
      </c>
      <c r="L26" s="9"/>
      <c r="M26" s="9" t="s">
        <v>404</v>
      </c>
      <c r="N26" s="9"/>
      <c r="O26" s="9"/>
      <c r="P26" s="9"/>
      <c r="Q26" s="9"/>
      <c r="R26" s="9"/>
      <c r="S26" s="41"/>
      <c r="T26" s="52"/>
      <c r="U26" s="84"/>
      <c r="V26" s="85"/>
    </row>
    <row r="27" spans="1:22" s="11" customFormat="1" x14ac:dyDescent="0.2">
      <c r="A27" s="9">
        <v>10</v>
      </c>
      <c r="B27" s="9"/>
      <c r="C27" s="9"/>
      <c r="D27" s="9" t="s">
        <v>35</v>
      </c>
      <c r="E27" s="50" t="s">
        <v>30</v>
      </c>
      <c r="F27" s="50"/>
      <c r="G27" s="51" t="s">
        <v>608</v>
      </c>
      <c r="H27" s="51" t="s">
        <v>420</v>
      </c>
      <c r="I27" s="9" t="s">
        <v>403</v>
      </c>
      <c r="J27" s="9"/>
      <c r="K27" s="9" t="s">
        <v>404</v>
      </c>
      <c r="L27" s="9"/>
      <c r="M27" s="9" t="s">
        <v>404</v>
      </c>
      <c r="N27" s="9"/>
      <c r="O27" s="9"/>
      <c r="P27" s="9"/>
      <c r="Q27" s="9"/>
      <c r="R27" s="9"/>
      <c r="S27" s="41"/>
      <c r="T27" s="52"/>
      <c r="U27" s="84"/>
      <c r="V27" s="85"/>
    </row>
    <row r="28" spans="1:22" s="11" customFormat="1" x14ac:dyDescent="0.2">
      <c r="A28" s="9">
        <v>10</v>
      </c>
      <c r="B28" s="9"/>
      <c r="C28" s="9"/>
      <c r="D28" s="9" t="s">
        <v>36</v>
      </c>
      <c r="E28" s="50" t="s">
        <v>37</v>
      </c>
      <c r="F28" s="50"/>
      <c r="G28" s="51" t="s">
        <v>609</v>
      </c>
      <c r="H28" s="51" t="s">
        <v>421</v>
      </c>
      <c r="I28" s="9" t="s">
        <v>403</v>
      </c>
      <c r="J28" s="9"/>
      <c r="K28" s="9" t="s">
        <v>404</v>
      </c>
      <c r="L28" s="9"/>
      <c r="M28" s="9" t="s">
        <v>404</v>
      </c>
      <c r="N28" s="9"/>
      <c r="O28" s="9"/>
      <c r="P28" s="9"/>
      <c r="Q28" s="9"/>
      <c r="R28" s="9"/>
      <c r="S28" s="41"/>
      <c r="T28" s="52"/>
      <c r="U28" s="84"/>
      <c r="V28" s="85"/>
    </row>
    <row r="29" spans="1:22" s="11" customFormat="1" x14ac:dyDescent="0.2">
      <c r="A29" s="53"/>
      <c r="B29" s="54"/>
      <c r="C29" s="54"/>
      <c r="D29" s="27" t="s">
        <v>1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4"/>
      <c r="T29" s="4"/>
      <c r="U29" s="6"/>
      <c r="V29" s="23"/>
    </row>
    <row r="30" spans="1:22" s="11" customFormat="1" x14ac:dyDescent="0.2">
      <c r="A30" s="65"/>
      <c r="V30" s="55"/>
    </row>
    <row r="31" spans="1:22" s="11" customFormat="1" x14ac:dyDescent="0.2">
      <c r="A31" s="65"/>
      <c r="V31" s="55"/>
    </row>
    <row r="32" spans="1:22" s="11" customFormat="1" x14ac:dyDescent="0.2">
      <c r="A32" s="65"/>
      <c r="V32" s="55"/>
    </row>
    <row r="33" spans="1:22" s="11" customFormat="1" x14ac:dyDescent="0.2">
      <c r="A33" s="70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20"/>
    </row>
  </sheetData>
  <dataConsolidate/>
  <mergeCells count="17">
    <mergeCell ref="U28:V28"/>
    <mergeCell ref="U18:V18"/>
    <mergeCell ref="U20:V20"/>
    <mergeCell ref="U24:V24"/>
    <mergeCell ref="U25:V25"/>
    <mergeCell ref="U26:V26"/>
    <mergeCell ref="U27:V27"/>
    <mergeCell ref="U19:V19"/>
    <mergeCell ref="U21:V21"/>
    <mergeCell ref="U22:V22"/>
    <mergeCell ref="U23:V23"/>
    <mergeCell ref="U12:V12"/>
    <mergeCell ref="U13:V13"/>
    <mergeCell ref="U14:V14"/>
    <mergeCell ref="U16:V16"/>
    <mergeCell ref="U17:V17"/>
    <mergeCell ref="U15:V15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78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231</v>
      </c>
      <c r="K2" s="7" t="s">
        <v>21</v>
      </c>
      <c r="L2" s="64" t="str">
        <f>IF(LogicCommon!G2="","",LogicCommon!G2)</f>
        <v>MC</v>
      </c>
      <c r="M2" s="5" t="s">
        <v>124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125</v>
      </c>
      <c r="K3" s="7" t="s">
        <v>22</v>
      </c>
      <c r="L3" s="64" t="str">
        <f>IF(LogicCommon!G3="","",LogicCommon!G3)</f>
        <v/>
      </c>
      <c r="M3" s="68" t="s">
        <v>126</v>
      </c>
      <c r="N3" s="7"/>
      <c r="O3" s="7" t="s">
        <v>193</v>
      </c>
      <c r="P3" s="9" t="s">
        <v>194</v>
      </c>
      <c r="Q3" s="4"/>
    </row>
    <row r="4" spans="1:17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127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140</v>
      </c>
      <c r="B6" s="66"/>
      <c r="C6" s="66"/>
      <c r="D6" s="4" t="s">
        <v>5</v>
      </c>
      <c r="E6" s="16" t="s">
        <v>391</v>
      </c>
      <c r="F6" s="16"/>
      <c r="G6" s="16"/>
      <c r="H6" s="16"/>
      <c r="I6" s="16"/>
      <c r="J6" s="16"/>
      <c r="K6" s="16"/>
      <c r="L6" s="72"/>
      <c r="M6" s="19" t="s">
        <v>169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128</v>
      </c>
      <c r="L7" s="33" t="s">
        <v>33</v>
      </c>
      <c r="M7" s="32" t="s">
        <v>245</v>
      </c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9" t="s">
        <v>139</v>
      </c>
      <c r="L8" s="33" t="s">
        <v>34</v>
      </c>
      <c r="M8" s="9" t="s">
        <v>574</v>
      </c>
      <c r="N8" s="79"/>
      <c r="O8" s="80"/>
      <c r="P8" s="81" t="s">
        <v>586</v>
      </c>
      <c r="Q8" s="52"/>
    </row>
    <row r="9" spans="1:17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81" t="s">
        <v>594</v>
      </c>
      <c r="O9" s="52"/>
      <c r="P9" s="81" t="s">
        <v>595</v>
      </c>
      <c r="Q9" s="52"/>
    </row>
    <row r="10" spans="1:17" s="11" customFormat="1" ht="52" x14ac:dyDescent="0.2">
      <c r="A10" s="39" t="s">
        <v>135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76" t="s">
        <v>592</v>
      </c>
      <c r="M10" s="76" t="s">
        <v>593</v>
      </c>
      <c r="N10" s="42"/>
      <c r="O10" s="42"/>
      <c r="P10" s="43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232</v>
      </c>
      <c r="E11" s="34" t="s">
        <v>32</v>
      </c>
      <c r="F11" s="44"/>
      <c r="G11" s="28" t="s">
        <v>248</v>
      </c>
      <c r="H11" s="45" t="s">
        <v>518</v>
      </c>
      <c r="I11" s="46"/>
      <c r="J11" s="47"/>
      <c r="K11" s="48"/>
      <c r="L11" s="48" t="s">
        <v>423</v>
      </c>
      <c r="M11" s="48"/>
      <c r="N11" s="35"/>
      <c r="O11" s="36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82</v>
      </c>
      <c r="E12" s="50" t="s">
        <v>117</v>
      </c>
      <c r="F12" s="50"/>
      <c r="G12" s="51" t="s">
        <v>645</v>
      </c>
      <c r="H12" s="51" t="s">
        <v>492</v>
      </c>
      <c r="I12" s="9" t="s">
        <v>403</v>
      </c>
      <c r="J12" s="9"/>
      <c r="K12" s="9" t="s">
        <v>404</v>
      </c>
      <c r="L12" s="9" t="s">
        <v>404</v>
      </c>
      <c r="M12" s="9"/>
      <c r="N12" s="41"/>
      <c r="O12" s="52"/>
      <c r="P12" s="84"/>
      <c r="Q12" s="85"/>
    </row>
    <row r="13" spans="1:17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610</v>
      </c>
      <c r="H13" s="51" t="s">
        <v>425</v>
      </c>
      <c r="I13" s="9" t="s">
        <v>403</v>
      </c>
      <c r="J13" s="9"/>
      <c r="K13" s="9" t="s">
        <v>404</v>
      </c>
      <c r="L13" s="9"/>
      <c r="M13" s="9"/>
      <c r="N13" s="41"/>
      <c r="O13" s="52"/>
      <c r="P13" s="84"/>
      <c r="Q13" s="85"/>
    </row>
    <row r="14" spans="1:17" s="11" customFormat="1" x14ac:dyDescent="0.2">
      <c r="A14" s="9">
        <v>10</v>
      </c>
      <c r="B14" s="9"/>
      <c r="C14" s="9"/>
      <c r="D14" s="9" t="s">
        <v>83</v>
      </c>
      <c r="E14" s="50" t="s">
        <v>118</v>
      </c>
      <c r="F14" s="50"/>
      <c r="G14" s="51" t="s">
        <v>659</v>
      </c>
      <c r="H14" s="51" t="s">
        <v>519</v>
      </c>
      <c r="I14" s="9" t="s">
        <v>403</v>
      </c>
      <c r="J14" s="9"/>
      <c r="K14" s="9" t="s">
        <v>404</v>
      </c>
      <c r="L14" s="9"/>
      <c r="M14" s="9"/>
      <c r="N14" s="41"/>
      <c r="O14" s="52"/>
      <c r="P14" s="84"/>
      <c r="Q14" s="85"/>
    </row>
    <row r="15" spans="1:17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605</v>
      </c>
      <c r="H15" s="51" t="s">
        <v>417</v>
      </c>
      <c r="I15" s="9" t="s">
        <v>403</v>
      </c>
      <c r="J15" s="9"/>
      <c r="K15" s="9"/>
      <c r="L15" s="9"/>
      <c r="M15" s="9"/>
      <c r="N15" s="41"/>
      <c r="O15" s="52"/>
      <c r="P15" s="84"/>
      <c r="Q15" s="85"/>
    </row>
    <row r="16" spans="1:17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606</v>
      </c>
      <c r="H16" s="51" t="s">
        <v>418</v>
      </c>
      <c r="I16" s="9" t="s">
        <v>403</v>
      </c>
      <c r="J16" s="9"/>
      <c r="K16" s="9"/>
      <c r="L16" s="9"/>
      <c r="M16" s="9"/>
      <c r="N16" s="41"/>
      <c r="O16" s="52"/>
      <c r="P16" s="84"/>
      <c r="Q16" s="85"/>
    </row>
    <row r="17" spans="1:17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607</v>
      </c>
      <c r="H17" s="51" t="s">
        <v>419</v>
      </c>
      <c r="I17" s="9" t="s">
        <v>403</v>
      </c>
      <c r="J17" s="9"/>
      <c r="K17" s="9"/>
      <c r="L17" s="9"/>
      <c r="M17" s="9"/>
      <c r="N17" s="41"/>
      <c r="O17" s="52"/>
      <c r="P17" s="84"/>
      <c r="Q17" s="85"/>
    </row>
    <row r="18" spans="1:17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609</v>
      </c>
      <c r="H18" s="51" t="s">
        <v>421</v>
      </c>
      <c r="I18" s="9" t="s">
        <v>403</v>
      </c>
      <c r="J18" s="9"/>
      <c r="K18" s="9"/>
      <c r="L18" s="9"/>
      <c r="M18" s="9"/>
      <c r="N18" s="41"/>
      <c r="O18" s="52"/>
      <c r="P18" s="84"/>
      <c r="Q18" s="85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79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233</v>
      </c>
      <c r="K2" s="7" t="s">
        <v>21</v>
      </c>
      <c r="L2" s="64" t="str">
        <f>IF(LogicCommon!G2="","",LogicCommon!G2)</f>
        <v>MC</v>
      </c>
      <c r="M2" s="5" t="s">
        <v>124</v>
      </c>
      <c r="N2" s="28" t="s">
        <v>545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129</v>
      </c>
      <c r="K3" s="7" t="s">
        <v>22</v>
      </c>
      <c r="L3" s="64" t="str">
        <f>IF(LogicCommon!G3="","",LogicCommon!G3)</f>
        <v/>
      </c>
      <c r="M3" s="68" t="s">
        <v>126</v>
      </c>
      <c r="N3" s="7"/>
      <c r="O3" s="7" t="s">
        <v>193</v>
      </c>
      <c r="P3" s="9" t="s">
        <v>194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31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140</v>
      </c>
      <c r="B6" s="66"/>
      <c r="C6" s="66"/>
      <c r="D6" s="4" t="s">
        <v>5</v>
      </c>
      <c r="E6" s="16" t="s">
        <v>392</v>
      </c>
      <c r="F6" s="16"/>
      <c r="G6" s="16"/>
      <c r="H6" s="16"/>
      <c r="I6" s="16"/>
      <c r="J6" s="16"/>
      <c r="K6" s="16"/>
      <c r="L6" s="72" t="s">
        <v>169</v>
      </c>
      <c r="M6" s="19"/>
      <c r="N6" s="19" t="s">
        <v>169</v>
      </c>
      <c r="O6" s="19"/>
      <c r="P6" s="19" t="s">
        <v>169</v>
      </c>
      <c r="Q6" s="19"/>
      <c r="R6" s="3" t="s">
        <v>169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130</v>
      </c>
      <c r="L7" s="32" t="s">
        <v>131</v>
      </c>
      <c r="M7" s="33" t="s">
        <v>33</v>
      </c>
      <c r="N7" s="32" t="s">
        <v>132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33" t="s">
        <v>134</v>
      </c>
      <c r="L8" s="9" t="s">
        <v>235</v>
      </c>
      <c r="M8" s="33" t="s">
        <v>34</v>
      </c>
      <c r="N8" s="9" t="s">
        <v>235</v>
      </c>
      <c r="O8" s="33" t="s">
        <v>34</v>
      </c>
      <c r="P8" s="9"/>
      <c r="Q8" s="33" t="s">
        <v>34</v>
      </c>
      <c r="R8" s="9"/>
      <c r="S8" s="79"/>
      <c r="T8" s="80"/>
      <c r="U8" s="81" t="s">
        <v>586</v>
      </c>
      <c r="V8" s="52"/>
    </row>
    <row r="9" spans="1:22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33"/>
      <c r="O9" s="33"/>
      <c r="P9" s="33"/>
      <c r="Q9" s="33"/>
      <c r="R9" s="33"/>
      <c r="S9" s="81" t="s">
        <v>594</v>
      </c>
      <c r="T9" s="52"/>
      <c r="U9" s="81" t="s">
        <v>595</v>
      </c>
      <c r="V9" s="52"/>
    </row>
    <row r="10" spans="1:22" s="11" customFormat="1" ht="52" x14ac:dyDescent="0.2">
      <c r="A10" s="39" t="s">
        <v>135</v>
      </c>
      <c r="B10" s="40"/>
      <c r="C10" s="40"/>
      <c r="D10" s="41"/>
      <c r="E10" s="42"/>
      <c r="F10" s="42"/>
      <c r="G10" s="43"/>
      <c r="H10" s="43"/>
      <c r="I10" s="42"/>
      <c r="J10" s="42"/>
      <c r="K10" s="76" t="s">
        <v>592</v>
      </c>
      <c r="L10" s="76" t="s">
        <v>593</v>
      </c>
      <c r="M10" s="76" t="s">
        <v>592</v>
      </c>
      <c r="N10" s="76" t="s">
        <v>593</v>
      </c>
      <c r="O10" s="76" t="s">
        <v>592</v>
      </c>
      <c r="P10" s="76" t="s">
        <v>593</v>
      </c>
      <c r="Q10" s="76" t="s">
        <v>592</v>
      </c>
      <c r="R10" s="76" t="s">
        <v>593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234</v>
      </c>
      <c r="E11" s="34" t="s">
        <v>136</v>
      </c>
      <c r="F11" s="44"/>
      <c r="G11" s="28" t="s">
        <v>137</v>
      </c>
      <c r="H11" s="45" t="s">
        <v>520</v>
      </c>
      <c r="I11" s="46"/>
      <c r="J11" s="47"/>
      <c r="K11" s="48" t="s">
        <v>122</v>
      </c>
      <c r="L11" s="48"/>
      <c r="M11" s="48" t="s">
        <v>423</v>
      </c>
      <c r="N11" s="48"/>
      <c r="O11" s="48"/>
      <c r="P11" s="48"/>
      <c r="Q11" s="48"/>
      <c r="R11" s="48"/>
      <c r="S11" s="35"/>
      <c r="T11" s="36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82</v>
      </c>
      <c r="E12" s="50" t="s">
        <v>117</v>
      </c>
      <c r="F12" s="50"/>
      <c r="G12" s="51" t="s">
        <v>645</v>
      </c>
      <c r="H12" s="51" t="s">
        <v>492</v>
      </c>
      <c r="I12" s="9" t="s">
        <v>403</v>
      </c>
      <c r="J12" s="9"/>
      <c r="K12" s="9" t="s">
        <v>404</v>
      </c>
      <c r="L12" s="9"/>
      <c r="M12" s="9" t="s">
        <v>404</v>
      </c>
      <c r="N12" s="9"/>
      <c r="O12" s="9"/>
      <c r="P12" s="9"/>
      <c r="Q12" s="9"/>
      <c r="R12" s="9"/>
      <c r="S12" s="41"/>
      <c r="T12" s="52"/>
      <c r="U12" s="84"/>
      <c r="V12" s="85"/>
    </row>
    <row r="13" spans="1:22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610</v>
      </c>
      <c r="H13" s="51" t="s">
        <v>425</v>
      </c>
      <c r="I13" s="9" t="s">
        <v>403</v>
      </c>
      <c r="J13" s="9"/>
      <c r="K13" s="9" t="s">
        <v>404</v>
      </c>
      <c r="L13" s="9"/>
      <c r="M13" s="9" t="s">
        <v>404</v>
      </c>
      <c r="N13" s="9"/>
      <c r="O13" s="9"/>
      <c r="P13" s="9"/>
      <c r="Q13" s="9"/>
      <c r="R13" s="9"/>
      <c r="S13" s="41"/>
      <c r="T13" s="52"/>
      <c r="U13" s="84"/>
      <c r="V13" s="85"/>
    </row>
    <row r="14" spans="1:22" s="11" customFormat="1" x14ac:dyDescent="0.2">
      <c r="A14" s="9">
        <v>10</v>
      </c>
      <c r="B14" s="9"/>
      <c r="C14" s="9"/>
      <c r="D14" s="9" t="s">
        <v>83</v>
      </c>
      <c r="E14" s="50" t="s">
        <v>118</v>
      </c>
      <c r="F14" s="50"/>
      <c r="G14" s="51" t="s">
        <v>659</v>
      </c>
      <c r="H14" s="51" t="s">
        <v>519</v>
      </c>
      <c r="I14" s="9" t="s">
        <v>403</v>
      </c>
      <c r="J14" s="9"/>
      <c r="K14" s="9" t="s">
        <v>404</v>
      </c>
      <c r="L14" s="9"/>
      <c r="M14" s="9" t="s">
        <v>404</v>
      </c>
      <c r="N14" s="9"/>
      <c r="O14" s="9"/>
      <c r="P14" s="9"/>
      <c r="Q14" s="9"/>
      <c r="R14" s="9"/>
      <c r="S14" s="41"/>
      <c r="T14" s="52"/>
      <c r="U14" s="84"/>
      <c r="V14" s="85"/>
    </row>
    <row r="15" spans="1:22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605</v>
      </c>
      <c r="H15" s="51" t="s">
        <v>417</v>
      </c>
      <c r="I15" s="9" t="s">
        <v>403</v>
      </c>
      <c r="J15" s="9"/>
      <c r="K15" s="9" t="s">
        <v>404</v>
      </c>
      <c r="L15" s="9"/>
      <c r="M15" s="9" t="s">
        <v>404</v>
      </c>
      <c r="N15" s="9"/>
      <c r="O15" s="9"/>
      <c r="P15" s="9"/>
      <c r="Q15" s="9"/>
      <c r="R15" s="9"/>
      <c r="S15" s="41"/>
      <c r="T15" s="52"/>
      <c r="U15" s="84"/>
      <c r="V15" s="85"/>
    </row>
    <row r="16" spans="1:22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606</v>
      </c>
      <c r="H16" s="51" t="s">
        <v>418</v>
      </c>
      <c r="I16" s="9" t="s">
        <v>403</v>
      </c>
      <c r="J16" s="9"/>
      <c r="K16" s="9" t="s">
        <v>404</v>
      </c>
      <c r="L16" s="9"/>
      <c r="M16" s="9" t="s">
        <v>404</v>
      </c>
      <c r="N16" s="9"/>
      <c r="O16" s="9"/>
      <c r="P16" s="9"/>
      <c r="Q16" s="9"/>
      <c r="R16" s="9"/>
      <c r="S16" s="41"/>
      <c r="T16" s="52"/>
      <c r="U16" s="84"/>
      <c r="V16" s="85"/>
    </row>
    <row r="17" spans="1:22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607</v>
      </c>
      <c r="H17" s="51" t="s">
        <v>419</v>
      </c>
      <c r="I17" s="9" t="s">
        <v>403</v>
      </c>
      <c r="J17" s="9"/>
      <c r="K17" s="9" t="s">
        <v>404</v>
      </c>
      <c r="L17" s="9"/>
      <c r="M17" s="9" t="s">
        <v>404</v>
      </c>
      <c r="N17" s="9"/>
      <c r="O17" s="9"/>
      <c r="P17" s="9"/>
      <c r="Q17" s="9"/>
      <c r="R17" s="9"/>
      <c r="S17" s="41"/>
      <c r="T17" s="52"/>
      <c r="U17" s="84"/>
      <c r="V17" s="85"/>
    </row>
    <row r="18" spans="1:22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609</v>
      </c>
      <c r="H18" s="51" t="s">
        <v>421</v>
      </c>
      <c r="I18" s="9" t="s">
        <v>403</v>
      </c>
      <c r="J18" s="9"/>
      <c r="K18" s="9" t="s">
        <v>404</v>
      </c>
      <c r="L18" s="9"/>
      <c r="M18" s="9" t="s">
        <v>404</v>
      </c>
      <c r="N18" s="9"/>
      <c r="O18" s="9"/>
      <c r="P18" s="9"/>
      <c r="Q18" s="9"/>
      <c r="R18" s="9"/>
      <c r="S18" s="41"/>
      <c r="T18" s="52"/>
      <c r="U18" s="84"/>
      <c r="V18" s="85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330</v>
      </c>
      <c r="K2" s="7" t="s">
        <v>21</v>
      </c>
      <c r="L2" s="64" t="str">
        <f>IF(LogicCommon!G2="","",LogicCommon!G2)</f>
        <v>MC</v>
      </c>
      <c r="M2" s="5" t="s">
        <v>124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125</v>
      </c>
      <c r="K3" s="7" t="s">
        <v>22</v>
      </c>
      <c r="L3" s="64" t="str">
        <f>IF(LogicCommon!G3="","",LogicCommon!G3)</f>
        <v/>
      </c>
      <c r="M3" s="68" t="s">
        <v>277</v>
      </c>
      <c r="N3" s="7"/>
      <c r="O3" s="7" t="s">
        <v>193</v>
      </c>
      <c r="P3" s="9" t="s">
        <v>194</v>
      </c>
      <c r="Q3" s="4"/>
    </row>
    <row r="4" spans="1:17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127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140</v>
      </c>
      <c r="B6" s="66"/>
      <c r="C6" s="66"/>
      <c r="D6" s="4" t="s">
        <v>5</v>
      </c>
      <c r="E6" s="16" t="s">
        <v>393</v>
      </c>
      <c r="F6" s="16"/>
      <c r="G6" s="16"/>
      <c r="H6" s="16"/>
      <c r="I6" s="16"/>
      <c r="J6" s="16"/>
      <c r="K6" s="16"/>
      <c r="L6" s="72"/>
      <c r="M6" s="19" t="s">
        <v>169</v>
      </c>
      <c r="N6" s="19"/>
      <c r="O6" s="19"/>
      <c r="P6" s="19"/>
      <c r="Q6" s="19"/>
    </row>
    <row r="7" spans="1:17" s="11" customFormat="1" x14ac:dyDescent="0.2">
      <c r="A7" s="30" t="s">
        <v>170</v>
      </c>
      <c r="B7" s="30"/>
      <c r="C7" s="30"/>
      <c r="D7" s="31"/>
      <c r="E7" s="31"/>
      <c r="F7" s="31"/>
      <c r="G7" s="31"/>
      <c r="H7" s="31"/>
      <c r="I7" s="31" t="s">
        <v>171</v>
      </c>
      <c r="J7" s="31"/>
      <c r="K7" s="32" t="s">
        <v>275</v>
      </c>
      <c r="L7" s="33" t="s">
        <v>33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9" t="s">
        <v>273</v>
      </c>
      <c r="L8" s="33" t="s">
        <v>34</v>
      </c>
      <c r="M8" s="9"/>
      <c r="N8" s="79"/>
      <c r="O8" s="80"/>
      <c r="P8" s="81" t="s">
        <v>586</v>
      </c>
      <c r="Q8" s="52"/>
    </row>
    <row r="9" spans="1:17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81" t="s">
        <v>594</v>
      </c>
      <c r="O9" s="52"/>
      <c r="P9" s="81" t="s">
        <v>595</v>
      </c>
      <c r="Q9" s="52"/>
    </row>
    <row r="10" spans="1:17" s="11" customFormat="1" ht="52" x14ac:dyDescent="0.2">
      <c r="A10" s="39" t="s">
        <v>170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76" t="s">
        <v>592</v>
      </c>
      <c r="M10" s="76" t="s">
        <v>593</v>
      </c>
      <c r="N10" s="42"/>
      <c r="O10" s="42"/>
      <c r="P10" s="43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329</v>
      </c>
      <c r="E11" s="34" t="s">
        <v>32</v>
      </c>
      <c r="F11" s="44"/>
      <c r="G11" s="28"/>
      <c r="H11" s="45"/>
      <c r="I11" s="46"/>
      <c r="J11" s="47"/>
      <c r="K11" s="48"/>
      <c r="L11" s="48"/>
      <c r="M11" s="48"/>
      <c r="N11" s="35"/>
      <c r="O11" s="36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82</v>
      </c>
      <c r="E12" s="50" t="s">
        <v>117</v>
      </c>
      <c r="F12" s="50"/>
      <c r="G12" s="51" t="s">
        <v>645</v>
      </c>
      <c r="H12" s="51" t="s">
        <v>521</v>
      </c>
      <c r="I12" s="9" t="s">
        <v>403</v>
      </c>
      <c r="J12" s="9"/>
      <c r="K12" s="9" t="s">
        <v>404</v>
      </c>
      <c r="L12" s="9"/>
      <c r="M12" s="9"/>
      <c r="N12" s="41"/>
      <c r="O12" s="52"/>
      <c r="P12" s="84"/>
      <c r="Q12" s="85"/>
    </row>
    <row r="13" spans="1:17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609</v>
      </c>
      <c r="H13" s="51" t="s">
        <v>421</v>
      </c>
      <c r="I13" s="9" t="s">
        <v>403</v>
      </c>
      <c r="J13" s="9"/>
      <c r="K13" s="9"/>
      <c r="L13" s="9"/>
      <c r="M13" s="9"/>
      <c r="N13" s="41"/>
      <c r="O13" s="52"/>
      <c r="P13" s="84"/>
      <c r="Q13" s="85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5"/>
      <c r="Q15" s="55"/>
    </row>
    <row r="16" spans="1:17" s="11" customFormat="1" x14ac:dyDescent="0.2">
      <c r="A16" s="65"/>
      <c r="Q16" s="55"/>
    </row>
    <row r="17" spans="1:17" s="11" customFormat="1" x14ac:dyDescent="0.2">
      <c r="A17" s="65"/>
      <c r="Q17" s="55"/>
    </row>
    <row r="18" spans="1:17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V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334</v>
      </c>
      <c r="K2" s="7" t="s">
        <v>21</v>
      </c>
      <c r="L2" s="64" t="str">
        <f>IF(LogicCommon!G2="","",LogicCommon!G2)</f>
        <v>MC</v>
      </c>
      <c r="M2" s="5" t="s">
        <v>124</v>
      </c>
      <c r="N2" s="28" t="s">
        <v>546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286</v>
      </c>
      <c r="K3" s="7" t="s">
        <v>22</v>
      </c>
      <c r="L3" s="64" t="str">
        <f>IF(LogicCommon!G3="","",LogicCommon!G3)</f>
        <v/>
      </c>
      <c r="M3" s="68" t="s">
        <v>333</v>
      </c>
      <c r="N3" s="7"/>
      <c r="O3" s="7" t="s">
        <v>193</v>
      </c>
      <c r="P3" s="9" t="s">
        <v>194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285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140</v>
      </c>
      <c r="B6" s="66"/>
      <c r="C6" s="66"/>
      <c r="D6" s="4" t="s">
        <v>5</v>
      </c>
      <c r="E6" s="16" t="s">
        <v>394</v>
      </c>
      <c r="F6" s="16"/>
      <c r="G6" s="16"/>
      <c r="H6" s="16"/>
      <c r="I6" s="16"/>
      <c r="J6" s="16"/>
      <c r="K6" s="16"/>
      <c r="L6" s="72" t="s">
        <v>169</v>
      </c>
      <c r="M6" s="19"/>
      <c r="N6" s="19" t="s">
        <v>169</v>
      </c>
      <c r="O6" s="19"/>
      <c r="P6" s="19" t="s">
        <v>169</v>
      </c>
      <c r="Q6" s="19"/>
      <c r="R6" s="3" t="s">
        <v>169</v>
      </c>
      <c r="S6" s="4"/>
      <c r="T6" s="29"/>
      <c r="U6" s="29"/>
      <c r="V6" s="27"/>
    </row>
    <row r="7" spans="1:22" s="11" customFormat="1" x14ac:dyDescent="0.2">
      <c r="A7" s="30" t="s">
        <v>170</v>
      </c>
      <c r="B7" s="30"/>
      <c r="C7" s="30"/>
      <c r="D7" s="31"/>
      <c r="E7" s="31"/>
      <c r="F7" s="31"/>
      <c r="G7" s="31"/>
      <c r="H7" s="31"/>
      <c r="I7" s="31" t="s">
        <v>332</v>
      </c>
      <c r="J7" s="31"/>
      <c r="K7" s="33" t="s">
        <v>172</v>
      </c>
      <c r="L7" s="32" t="s">
        <v>284</v>
      </c>
      <c r="M7" s="33" t="s">
        <v>33</v>
      </c>
      <c r="N7" s="32" t="s">
        <v>283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33" t="s">
        <v>281</v>
      </c>
      <c r="L8" s="9" t="s">
        <v>573</v>
      </c>
      <c r="M8" s="33" t="s">
        <v>34</v>
      </c>
      <c r="N8" s="9" t="s">
        <v>235</v>
      </c>
      <c r="O8" s="33" t="s">
        <v>34</v>
      </c>
      <c r="P8" s="9"/>
      <c r="Q8" s="33" t="s">
        <v>34</v>
      </c>
      <c r="R8" s="9"/>
      <c r="S8" s="79"/>
      <c r="T8" s="80"/>
      <c r="U8" s="81" t="s">
        <v>586</v>
      </c>
      <c r="V8" s="52"/>
    </row>
    <row r="9" spans="1:22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33"/>
      <c r="O9" s="33"/>
      <c r="P9" s="33"/>
      <c r="Q9" s="33"/>
      <c r="R9" s="33"/>
      <c r="S9" s="81" t="s">
        <v>594</v>
      </c>
      <c r="T9" s="52"/>
      <c r="U9" s="81" t="s">
        <v>595</v>
      </c>
      <c r="V9" s="52"/>
    </row>
    <row r="10" spans="1:22" s="11" customFormat="1" ht="52" x14ac:dyDescent="0.2">
      <c r="A10" s="39" t="s">
        <v>170</v>
      </c>
      <c r="B10" s="40"/>
      <c r="C10" s="40"/>
      <c r="D10" s="41"/>
      <c r="E10" s="42"/>
      <c r="F10" s="42"/>
      <c r="G10" s="43"/>
      <c r="H10" s="43"/>
      <c r="I10" s="42"/>
      <c r="J10" s="42"/>
      <c r="K10" s="76" t="s">
        <v>592</v>
      </c>
      <c r="L10" s="76" t="s">
        <v>593</v>
      </c>
      <c r="M10" s="76" t="s">
        <v>592</v>
      </c>
      <c r="N10" s="76" t="s">
        <v>593</v>
      </c>
      <c r="O10" s="76" t="s">
        <v>592</v>
      </c>
      <c r="P10" s="76" t="s">
        <v>593</v>
      </c>
      <c r="Q10" s="76" t="s">
        <v>592</v>
      </c>
      <c r="R10" s="76" t="s">
        <v>593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331</v>
      </c>
      <c r="E11" s="34" t="s">
        <v>279</v>
      </c>
      <c r="F11" s="44"/>
      <c r="G11" s="28" t="s">
        <v>137</v>
      </c>
      <c r="H11" s="45" t="s">
        <v>522</v>
      </c>
      <c r="I11" s="46"/>
      <c r="J11" s="47"/>
      <c r="K11" s="48" t="s">
        <v>122</v>
      </c>
      <c r="L11" s="48"/>
      <c r="M11" s="48" t="s">
        <v>423</v>
      </c>
      <c r="N11" s="48"/>
      <c r="O11" s="48"/>
      <c r="P11" s="48"/>
      <c r="Q11" s="48"/>
      <c r="R11" s="48"/>
      <c r="S11" s="35"/>
      <c r="T11" s="36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82</v>
      </c>
      <c r="E12" s="50" t="s">
        <v>117</v>
      </c>
      <c r="F12" s="50"/>
      <c r="G12" s="51" t="s">
        <v>645</v>
      </c>
      <c r="H12" s="51" t="s">
        <v>521</v>
      </c>
      <c r="I12" s="9" t="s">
        <v>403</v>
      </c>
      <c r="J12" s="9"/>
      <c r="K12" s="9" t="s">
        <v>404</v>
      </c>
      <c r="L12" s="9"/>
      <c r="M12" s="9" t="s">
        <v>404</v>
      </c>
      <c r="N12" s="9"/>
      <c r="O12" s="9"/>
      <c r="P12" s="9"/>
      <c r="Q12" s="9"/>
      <c r="R12" s="9"/>
      <c r="S12" s="41"/>
      <c r="T12" s="52"/>
      <c r="U12" s="84"/>
      <c r="V12" s="85"/>
    </row>
    <row r="13" spans="1:22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609</v>
      </c>
      <c r="H13" s="51" t="s">
        <v>421</v>
      </c>
      <c r="I13" s="9" t="s">
        <v>403</v>
      </c>
      <c r="J13" s="9"/>
      <c r="K13" s="9" t="s">
        <v>404</v>
      </c>
      <c r="L13" s="9"/>
      <c r="M13" s="9"/>
      <c r="N13" s="9"/>
      <c r="O13" s="9"/>
      <c r="P13" s="9"/>
      <c r="Q13" s="9"/>
      <c r="R13" s="9"/>
      <c r="S13" s="41"/>
      <c r="T13" s="52"/>
      <c r="U13" s="84"/>
      <c r="V13" s="85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5"/>
      <c r="V15" s="55"/>
    </row>
    <row r="16" spans="1:22" s="11" customFormat="1" x14ac:dyDescent="0.2">
      <c r="A16" s="65"/>
      <c r="V16" s="55"/>
    </row>
    <row r="17" spans="1:22" s="11" customFormat="1" x14ac:dyDescent="0.2">
      <c r="A17" s="65"/>
      <c r="V17" s="55"/>
    </row>
    <row r="18" spans="1:22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80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236</v>
      </c>
      <c r="K2" s="7" t="s">
        <v>21</v>
      </c>
      <c r="L2" s="64" t="str">
        <f>IF(LogicCommon!G2="","",LogicCommon!G2)</f>
        <v>MC</v>
      </c>
      <c r="M2" s="5" t="s">
        <v>124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125</v>
      </c>
      <c r="K3" s="7" t="s">
        <v>22</v>
      </c>
      <c r="L3" s="64" t="str">
        <f>IF(LogicCommon!G3="","",LogicCommon!G3)</f>
        <v/>
      </c>
      <c r="M3" s="68" t="s">
        <v>126</v>
      </c>
      <c r="N3" s="7"/>
      <c r="O3" s="7" t="s">
        <v>193</v>
      </c>
      <c r="P3" s="9" t="s">
        <v>194</v>
      </c>
      <c r="Q3" s="4"/>
    </row>
    <row r="4" spans="1:17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127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140</v>
      </c>
      <c r="B6" s="66"/>
      <c r="C6" s="66"/>
      <c r="D6" s="4" t="s">
        <v>5</v>
      </c>
      <c r="E6" s="16" t="s">
        <v>395</v>
      </c>
      <c r="F6" s="16"/>
      <c r="G6" s="16"/>
      <c r="H6" s="16"/>
      <c r="I6" s="16"/>
      <c r="J6" s="16"/>
      <c r="K6" s="16"/>
      <c r="L6" s="72"/>
      <c r="M6" s="19" t="s">
        <v>169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128</v>
      </c>
      <c r="L7" s="33" t="s">
        <v>33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9" t="s">
        <v>139</v>
      </c>
      <c r="L8" s="33" t="s">
        <v>34</v>
      </c>
      <c r="M8" s="9"/>
      <c r="N8" s="79"/>
      <c r="O8" s="80"/>
      <c r="P8" s="81" t="s">
        <v>586</v>
      </c>
      <c r="Q8" s="52"/>
    </row>
    <row r="9" spans="1:17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81" t="s">
        <v>594</v>
      </c>
      <c r="O9" s="52"/>
      <c r="P9" s="81" t="s">
        <v>595</v>
      </c>
      <c r="Q9" s="52"/>
    </row>
    <row r="10" spans="1:17" s="11" customFormat="1" ht="52" x14ac:dyDescent="0.2">
      <c r="A10" s="39" t="s">
        <v>135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76" t="s">
        <v>592</v>
      </c>
      <c r="M10" s="76" t="s">
        <v>593</v>
      </c>
      <c r="N10" s="42"/>
      <c r="O10" s="42"/>
      <c r="P10" s="43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237</v>
      </c>
      <c r="E11" s="34" t="s">
        <v>32</v>
      </c>
      <c r="F11" s="44"/>
      <c r="G11" s="28" t="s">
        <v>248</v>
      </c>
      <c r="H11" s="45" t="s">
        <v>575</v>
      </c>
      <c r="I11" s="46"/>
      <c r="J11" s="47"/>
      <c r="K11" s="48"/>
      <c r="L11" s="48"/>
      <c r="M11" s="48"/>
      <c r="N11" s="35"/>
      <c r="O11" s="36"/>
      <c r="P11" s="60"/>
      <c r="Q11" s="49"/>
    </row>
    <row r="12" spans="1:17" s="11" customFormat="1" ht="26" x14ac:dyDescent="0.2">
      <c r="A12" s="9">
        <v>10</v>
      </c>
      <c r="B12" s="9"/>
      <c r="C12" s="9"/>
      <c r="D12" s="9" t="s">
        <v>88</v>
      </c>
      <c r="E12" s="50" t="s">
        <v>115</v>
      </c>
      <c r="F12" s="50"/>
      <c r="G12" s="51" t="s">
        <v>644</v>
      </c>
      <c r="H12" s="51" t="s">
        <v>490</v>
      </c>
      <c r="I12" s="9" t="s">
        <v>403</v>
      </c>
      <c r="J12" s="9"/>
      <c r="K12" s="9" t="s">
        <v>404</v>
      </c>
      <c r="L12" s="9"/>
      <c r="M12" s="9"/>
      <c r="N12" s="41"/>
      <c r="O12" s="52"/>
      <c r="P12" s="84"/>
      <c r="Q12" s="85"/>
    </row>
    <row r="13" spans="1:17" s="11" customFormat="1" ht="26" x14ac:dyDescent="0.2">
      <c r="A13" s="9">
        <v>10</v>
      </c>
      <c r="B13" s="9"/>
      <c r="C13" s="9"/>
      <c r="D13" s="9" t="s">
        <v>89</v>
      </c>
      <c r="E13" s="50" t="s">
        <v>116</v>
      </c>
      <c r="F13" s="50"/>
      <c r="G13" s="51" t="s">
        <v>660</v>
      </c>
      <c r="H13" s="51" t="s">
        <v>523</v>
      </c>
      <c r="I13" s="9" t="s">
        <v>403</v>
      </c>
      <c r="J13" s="9"/>
      <c r="K13" s="9" t="s">
        <v>404</v>
      </c>
      <c r="L13" s="9"/>
      <c r="M13" s="9"/>
      <c r="N13" s="41"/>
      <c r="O13" s="52"/>
      <c r="P13" s="84"/>
      <c r="Q13" s="85"/>
    </row>
    <row r="14" spans="1:17" s="11" customFormat="1" x14ac:dyDescent="0.2">
      <c r="A14" s="9">
        <v>10</v>
      </c>
      <c r="B14" s="9"/>
      <c r="C14" s="9"/>
      <c r="D14" s="9" t="s">
        <v>24</v>
      </c>
      <c r="E14" s="50" t="s">
        <v>25</v>
      </c>
      <c r="F14" s="50"/>
      <c r="G14" s="51" t="s">
        <v>605</v>
      </c>
      <c r="H14" s="51" t="s">
        <v>417</v>
      </c>
      <c r="I14" s="9" t="s">
        <v>403</v>
      </c>
      <c r="J14" s="9"/>
      <c r="K14" s="9"/>
      <c r="L14" s="9"/>
      <c r="M14" s="9"/>
      <c r="N14" s="41"/>
      <c r="O14" s="52"/>
      <c r="P14" s="84"/>
      <c r="Q14" s="85"/>
    </row>
    <row r="15" spans="1:17" s="11" customFormat="1" x14ac:dyDescent="0.2">
      <c r="A15" s="9">
        <v>10</v>
      </c>
      <c r="B15" s="9"/>
      <c r="C15" s="9"/>
      <c r="D15" s="9" t="s">
        <v>28</v>
      </c>
      <c r="E15" s="50" t="s">
        <v>29</v>
      </c>
      <c r="F15" s="50"/>
      <c r="G15" s="51" t="s">
        <v>606</v>
      </c>
      <c r="H15" s="51" t="s">
        <v>418</v>
      </c>
      <c r="I15" s="9" t="s">
        <v>403</v>
      </c>
      <c r="J15" s="9"/>
      <c r="K15" s="9"/>
      <c r="L15" s="9"/>
      <c r="M15" s="9"/>
      <c r="N15" s="41"/>
      <c r="O15" s="52"/>
      <c r="P15" s="84"/>
      <c r="Q15" s="85"/>
    </row>
    <row r="16" spans="1:17" s="11" customFormat="1" x14ac:dyDescent="0.2">
      <c r="A16" s="9">
        <v>10</v>
      </c>
      <c r="B16" s="9"/>
      <c r="C16" s="9"/>
      <c r="D16" s="9" t="s">
        <v>26</v>
      </c>
      <c r="E16" s="50" t="s">
        <v>27</v>
      </c>
      <c r="F16" s="50"/>
      <c r="G16" s="51" t="s">
        <v>607</v>
      </c>
      <c r="H16" s="51" t="s">
        <v>419</v>
      </c>
      <c r="I16" s="9" t="s">
        <v>403</v>
      </c>
      <c r="J16" s="9"/>
      <c r="K16" s="9"/>
      <c r="L16" s="9"/>
      <c r="M16" s="9"/>
      <c r="N16" s="41"/>
      <c r="O16" s="52"/>
      <c r="P16" s="84"/>
      <c r="Q16" s="85"/>
    </row>
    <row r="17" spans="1:17" s="11" customFormat="1" x14ac:dyDescent="0.2">
      <c r="A17" s="9">
        <v>10</v>
      </c>
      <c r="B17" s="9"/>
      <c r="C17" s="9"/>
      <c r="D17" s="9" t="s">
        <v>35</v>
      </c>
      <c r="E17" s="50" t="s">
        <v>30</v>
      </c>
      <c r="F17" s="50"/>
      <c r="G17" s="51" t="s">
        <v>608</v>
      </c>
      <c r="H17" s="51" t="s">
        <v>420</v>
      </c>
      <c r="I17" s="9" t="s">
        <v>403</v>
      </c>
      <c r="J17" s="9"/>
      <c r="K17" s="9"/>
      <c r="L17" s="9"/>
      <c r="M17" s="9"/>
      <c r="N17" s="41"/>
      <c r="O17" s="52"/>
      <c r="P17" s="84"/>
      <c r="Q17" s="85"/>
    </row>
    <row r="18" spans="1:17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609</v>
      </c>
      <c r="H18" s="51" t="s">
        <v>421</v>
      </c>
      <c r="I18" s="9" t="s">
        <v>403</v>
      </c>
      <c r="J18" s="9"/>
      <c r="K18" s="9"/>
      <c r="L18" s="9"/>
      <c r="M18" s="9"/>
      <c r="N18" s="41"/>
      <c r="O18" s="52"/>
      <c r="P18" s="84"/>
      <c r="Q18" s="85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81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238</v>
      </c>
      <c r="K2" s="7" t="s">
        <v>21</v>
      </c>
      <c r="L2" s="64" t="str">
        <f>IF(LogicCommon!G2="","",LogicCommon!G2)</f>
        <v>MC</v>
      </c>
      <c r="M2" s="5" t="s">
        <v>124</v>
      </c>
      <c r="N2" s="28" t="s">
        <v>545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129</v>
      </c>
      <c r="K3" s="7" t="s">
        <v>22</v>
      </c>
      <c r="L3" s="64" t="str">
        <f>IF(LogicCommon!G3="","",LogicCommon!G3)</f>
        <v/>
      </c>
      <c r="M3" s="68" t="s">
        <v>126</v>
      </c>
      <c r="N3" s="7"/>
      <c r="O3" s="7" t="s">
        <v>193</v>
      </c>
      <c r="P3" s="9" t="s">
        <v>194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31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140</v>
      </c>
      <c r="B6" s="66"/>
      <c r="C6" s="66"/>
      <c r="D6" s="4" t="s">
        <v>5</v>
      </c>
      <c r="E6" s="16" t="s">
        <v>396</v>
      </c>
      <c r="F6" s="16"/>
      <c r="G6" s="16"/>
      <c r="H6" s="16"/>
      <c r="I6" s="16"/>
      <c r="J6" s="16"/>
      <c r="K6" s="16"/>
      <c r="L6" s="72" t="s">
        <v>169</v>
      </c>
      <c r="M6" s="19"/>
      <c r="N6" s="19" t="s">
        <v>169</v>
      </c>
      <c r="O6" s="19"/>
      <c r="P6" s="19" t="s">
        <v>169</v>
      </c>
      <c r="Q6" s="19"/>
      <c r="R6" s="3" t="s">
        <v>169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130</v>
      </c>
      <c r="L7" s="32" t="s">
        <v>131</v>
      </c>
      <c r="M7" s="33" t="s">
        <v>33</v>
      </c>
      <c r="N7" s="32" t="s">
        <v>132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33" t="s">
        <v>134</v>
      </c>
      <c r="L8" s="9" t="s">
        <v>576</v>
      </c>
      <c r="M8" s="33" t="s">
        <v>34</v>
      </c>
      <c r="N8" s="9" t="s">
        <v>576</v>
      </c>
      <c r="O8" s="33" t="s">
        <v>34</v>
      </c>
      <c r="P8" s="9"/>
      <c r="Q8" s="33" t="s">
        <v>34</v>
      </c>
      <c r="R8" s="9"/>
      <c r="S8" s="79"/>
      <c r="T8" s="80"/>
      <c r="U8" s="81" t="s">
        <v>586</v>
      </c>
      <c r="V8" s="52"/>
    </row>
    <row r="9" spans="1:22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33"/>
      <c r="O9" s="33"/>
      <c r="P9" s="33"/>
      <c r="Q9" s="33"/>
      <c r="R9" s="33"/>
      <c r="S9" s="81" t="s">
        <v>594</v>
      </c>
      <c r="T9" s="52"/>
      <c r="U9" s="81" t="s">
        <v>595</v>
      </c>
      <c r="V9" s="52"/>
    </row>
    <row r="10" spans="1:22" s="11" customFormat="1" ht="52" x14ac:dyDescent="0.2">
      <c r="A10" s="39" t="s">
        <v>135</v>
      </c>
      <c r="B10" s="40"/>
      <c r="C10" s="40"/>
      <c r="D10" s="41"/>
      <c r="E10" s="42"/>
      <c r="F10" s="42"/>
      <c r="G10" s="43"/>
      <c r="H10" s="43"/>
      <c r="I10" s="42"/>
      <c r="J10" s="42"/>
      <c r="K10" s="76" t="s">
        <v>592</v>
      </c>
      <c r="L10" s="76" t="s">
        <v>593</v>
      </c>
      <c r="M10" s="76" t="s">
        <v>592</v>
      </c>
      <c r="N10" s="76" t="s">
        <v>593</v>
      </c>
      <c r="O10" s="76" t="s">
        <v>592</v>
      </c>
      <c r="P10" s="76" t="s">
        <v>593</v>
      </c>
      <c r="Q10" s="76" t="s">
        <v>592</v>
      </c>
      <c r="R10" s="76" t="s">
        <v>593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239</v>
      </c>
      <c r="E11" s="34" t="s">
        <v>136</v>
      </c>
      <c r="F11" s="44"/>
      <c r="G11" s="28" t="s">
        <v>137</v>
      </c>
      <c r="H11" s="45" t="s">
        <v>524</v>
      </c>
      <c r="I11" s="46"/>
      <c r="J11" s="47"/>
      <c r="K11" s="48" t="s">
        <v>122</v>
      </c>
      <c r="L11" s="48"/>
      <c r="M11" s="48" t="s">
        <v>423</v>
      </c>
      <c r="N11" s="48"/>
      <c r="O11" s="48"/>
      <c r="P11" s="48"/>
      <c r="Q11" s="48"/>
      <c r="R11" s="48"/>
      <c r="S11" s="35"/>
      <c r="T11" s="36"/>
      <c r="U11" s="60"/>
      <c r="V11" s="49"/>
    </row>
    <row r="12" spans="1:22" s="11" customFormat="1" ht="26" x14ac:dyDescent="0.2">
      <c r="A12" s="9">
        <v>10</v>
      </c>
      <c r="B12" s="9"/>
      <c r="C12" s="9"/>
      <c r="D12" s="9" t="s">
        <v>88</v>
      </c>
      <c r="E12" s="50" t="s">
        <v>115</v>
      </c>
      <c r="F12" s="50"/>
      <c r="G12" s="51" t="s">
        <v>644</v>
      </c>
      <c r="H12" s="51" t="s">
        <v>490</v>
      </c>
      <c r="I12" s="9" t="s">
        <v>403</v>
      </c>
      <c r="J12" s="9"/>
      <c r="K12" s="9" t="s">
        <v>404</v>
      </c>
      <c r="L12" s="9"/>
      <c r="M12" s="9" t="s">
        <v>404</v>
      </c>
      <c r="N12" s="9"/>
      <c r="O12" s="9"/>
      <c r="P12" s="9"/>
      <c r="Q12" s="9"/>
      <c r="R12" s="9"/>
      <c r="S12" s="41"/>
      <c r="T12" s="52"/>
      <c r="U12" s="84"/>
      <c r="V12" s="85"/>
    </row>
    <row r="13" spans="1:22" s="11" customFormat="1" ht="26" x14ac:dyDescent="0.2">
      <c r="A13" s="9">
        <v>10</v>
      </c>
      <c r="B13" s="9"/>
      <c r="C13" s="9"/>
      <c r="D13" s="9" t="s">
        <v>89</v>
      </c>
      <c r="E13" s="50" t="s">
        <v>116</v>
      </c>
      <c r="F13" s="50"/>
      <c r="G13" s="51" t="s">
        <v>660</v>
      </c>
      <c r="H13" s="51" t="s">
        <v>523</v>
      </c>
      <c r="I13" s="9" t="s">
        <v>403</v>
      </c>
      <c r="J13" s="9"/>
      <c r="K13" s="9" t="s">
        <v>404</v>
      </c>
      <c r="L13" s="9"/>
      <c r="M13" s="9" t="s">
        <v>404</v>
      </c>
      <c r="N13" s="9"/>
      <c r="O13" s="9"/>
      <c r="P13" s="9"/>
      <c r="Q13" s="9"/>
      <c r="R13" s="9"/>
      <c r="S13" s="41"/>
      <c r="T13" s="52"/>
      <c r="U13" s="84"/>
      <c r="V13" s="85"/>
    </row>
    <row r="14" spans="1:22" s="11" customFormat="1" x14ac:dyDescent="0.2">
      <c r="A14" s="9">
        <v>10</v>
      </c>
      <c r="B14" s="9"/>
      <c r="C14" s="9"/>
      <c r="D14" s="9" t="s">
        <v>24</v>
      </c>
      <c r="E14" s="50" t="s">
        <v>25</v>
      </c>
      <c r="F14" s="50"/>
      <c r="G14" s="51" t="s">
        <v>605</v>
      </c>
      <c r="H14" s="51" t="s">
        <v>417</v>
      </c>
      <c r="I14" s="9" t="s">
        <v>403</v>
      </c>
      <c r="J14" s="9"/>
      <c r="K14" s="9" t="s">
        <v>404</v>
      </c>
      <c r="L14" s="9"/>
      <c r="M14" s="9" t="s">
        <v>404</v>
      </c>
      <c r="N14" s="9"/>
      <c r="O14" s="9"/>
      <c r="P14" s="9"/>
      <c r="Q14" s="9"/>
      <c r="R14" s="9"/>
      <c r="S14" s="41"/>
      <c r="T14" s="52"/>
      <c r="U14" s="84"/>
      <c r="V14" s="85"/>
    </row>
    <row r="15" spans="1:22" s="11" customFormat="1" x14ac:dyDescent="0.2">
      <c r="A15" s="9">
        <v>10</v>
      </c>
      <c r="B15" s="9"/>
      <c r="C15" s="9"/>
      <c r="D15" s="9" t="s">
        <v>28</v>
      </c>
      <c r="E15" s="50" t="s">
        <v>29</v>
      </c>
      <c r="F15" s="50"/>
      <c r="G15" s="51" t="s">
        <v>606</v>
      </c>
      <c r="H15" s="51" t="s">
        <v>418</v>
      </c>
      <c r="I15" s="9" t="s">
        <v>403</v>
      </c>
      <c r="J15" s="9"/>
      <c r="K15" s="9" t="s">
        <v>404</v>
      </c>
      <c r="L15" s="9"/>
      <c r="M15" s="9" t="s">
        <v>404</v>
      </c>
      <c r="N15" s="9"/>
      <c r="O15" s="9"/>
      <c r="P15" s="9"/>
      <c r="Q15" s="9"/>
      <c r="R15" s="9"/>
      <c r="S15" s="41"/>
      <c r="T15" s="52"/>
      <c r="U15" s="84"/>
      <c r="V15" s="85"/>
    </row>
    <row r="16" spans="1:22" s="11" customFormat="1" x14ac:dyDescent="0.2">
      <c r="A16" s="9">
        <v>10</v>
      </c>
      <c r="B16" s="9"/>
      <c r="C16" s="9"/>
      <c r="D16" s="9" t="s">
        <v>26</v>
      </c>
      <c r="E16" s="50" t="s">
        <v>27</v>
      </c>
      <c r="F16" s="50"/>
      <c r="G16" s="51" t="s">
        <v>607</v>
      </c>
      <c r="H16" s="51" t="s">
        <v>419</v>
      </c>
      <c r="I16" s="9" t="s">
        <v>403</v>
      </c>
      <c r="J16" s="9"/>
      <c r="K16" s="9" t="s">
        <v>404</v>
      </c>
      <c r="L16" s="9"/>
      <c r="M16" s="9" t="s">
        <v>404</v>
      </c>
      <c r="N16" s="9"/>
      <c r="O16" s="9"/>
      <c r="P16" s="9"/>
      <c r="Q16" s="9"/>
      <c r="R16" s="9"/>
      <c r="S16" s="41"/>
      <c r="T16" s="52"/>
      <c r="U16" s="84"/>
      <c r="V16" s="85"/>
    </row>
    <row r="17" spans="1:22" s="11" customFormat="1" x14ac:dyDescent="0.2">
      <c r="A17" s="9">
        <v>10</v>
      </c>
      <c r="B17" s="9"/>
      <c r="C17" s="9"/>
      <c r="D17" s="9" t="s">
        <v>35</v>
      </c>
      <c r="E17" s="50" t="s">
        <v>30</v>
      </c>
      <c r="F17" s="50"/>
      <c r="G17" s="51" t="s">
        <v>608</v>
      </c>
      <c r="H17" s="51" t="s">
        <v>420</v>
      </c>
      <c r="I17" s="9" t="s">
        <v>403</v>
      </c>
      <c r="J17" s="9"/>
      <c r="K17" s="9" t="s">
        <v>404</v>
      </c>
      <c r="L17" s="9"/>
      <c r="M17" s="9" t="s">
        <v>404</v>
      </c>
      <c r="N17" s="9"/>
      <c r="O17" s="9"/>
      <c r="P17" s="9"/>
      <c r="Q17" s="9"/>
      <c r="R17" s="9"/>
      <c r="S17" s="41"/>
      <c r="T17" s="52"/>
      <c r="U17" s="84"/>
      <c r="V17" s="85"/>
    </row>
    <row r="18" spans="1:22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609</v>
      </c>
      <c r="H18" s="51" t="s">
        <v>421</v>
      </c>
      <c r="I18" s="9" t="s">
        <v>403</v>
      </c>
      <c r="J18" s="9"/>
      <c r="K18" s="9" t="s">
        <v>404</v>
      </c>
      <c r="L18" s="9"/>
      <c r="M18" s="9" t="s">
        <v>404</v>
      </c>
      <c r="N18" s="9"/>
      <c r="O18" s="9"/>
      <c r="P18" s="9"/>
      <c r="Q18" s="9"/>
      <c r="R18" s="9"/>
      <c r="S18" s="41"/>
      <c r="T18" s="52"/>
      <c r="U18" s="84"/>
      <c r="V18" s="85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82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240</v>
      </c>
      <c r="K2" s="7" t="s">
        <v>21</v>
      </c>
      <c r="L2" s="64" t="str">
        <f>IF(LogicCommon!G2="","",LogicCommon!G2)</f>
        <v>MC</v>
      </c>
      <c r="M2" s="5" t="s">
        <v>124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125</v>
      </c>
      <c r="K3" s="7" t="s">
        <v>22</v>
      </c>
      <c r="L3" s="64" t="str">
        <f>IF(LogicCommon!G3="","",LogicCommon!G3)</f>
        <v/>
      </c>
      <c r="M3" s="68" t="s">
        <v>126</v>
      </c>
      <c r="N3" s="7"/>
      <c r="O3" s="7" t="s">
        <v>193</v>
      </c>
      <c r="P3" s="9" t="s">
        <v>194</v>
      </c>
      <c r="Q3" s="4"/>
    </row>
    <row r="4" spans="1:17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127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140</v>
      </c>
      <c r="B6" s="66"/>
      <c r="C6" s="66"/>
      <c r="D6" s="4" t="s">
        <v>5</v>
      </c>
      <c r="E6" s="16" t="s">
        <v>397</v>
      </c>
      <c r="F6" s="16"/>
      <c r="G6" s="16"/>
      <c r="H6" s="16"/>
      <c r="I6" s="16"/>
      <c r="J6" s="16"/>
      <c r="K6" s="16"/>
      <c r="L6" s="72"/>
      <c r="M6" s="19" t="s">
        <v>169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128</v>
      </c>
      <c r="L7" s="33" t="s">
        <v>33</v>
      </c>
      <c r="M7" s="32" t="s">
        <v>245</v>
      </c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9" t="s">
        <v>139</v>
      </c>
      <c r="L8" s="33" t="s">
        <v>34</v>
      </c>
      <c r="M8" s="9" t="s">
        <v>577</v>
      </c>
      <c r="N8" s="79"/>
      <c r="O8" s="80"/>
      <c r="P8" s="81" t="s">
        <v>586</v>
      </c>
      <c r="Q8" s="52"/>
    </row>
    <row r="9" spans="1:17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81" t="s">
        <v>594</v>
      </c>
      <c r="O9" s="52"/>
      <c r="P9" s="81" t="s">
        <v>595</v>
      </c>
      <c r="Q9" s="52"/>
    </row>
    <row r="10" spans="1:17" s="11" customFormat="1" ht="52" x14ac:dyDescent="0.2">
      <c r="A10" s="39" t="s">
        <v>135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76" t="s">
        <v>592</v>
      </c>
      <c r="M10" s="76" t="s">
        <v>593</v>
      </c>
      <c r="N10" s="42"/>
      <c r="O10" s="42"/>
      <c r="P10" s="43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241</v>
      </c>
      <c r="E11" s="34" t="s">
        <v>32</v>
      </c>
      <c r="F11" s="44"/>
      <c r="G11" s="28" t="s">
        <v>248</v>
      </c>
      <c r="H11" s="45" t="s">
        <v>525</v>
      </c>
      <c r="I11" s="46"/>
      <c r="J11" s="47"/>
      <c r="K11" s="48"/>
      <c r="L11" s="48" t="s">
        <v>423</v>
      </c>
      <c r="M11" s="48"/>
      <c r="N11" s="35"/>
      <c r="O11" s="36"/>
      <c r="P11" s="60"/>
      <c r="Q11" s="49"/>
    </row>
    <row r="12" spans="1:17" s="11" customFormat="1" ht="26" x14ac:dyDescent="0.2">
      <c r="A12" s="9">
        <v>10</v>
      </c>
      <c r="B12" s="9"/>
      <c r="C12" s="9"/>
      <c r="D12" s="9" t="s">
        <v>88</v>
      </c>
      <c r="E12" s="50" t="s">
        <v>115</v>
      </c>
      <c r="F12" s="50"/>
      <c r="G12" s="51" t="s">
        <v>644</v>
      </c>
      <c r="H12" s="51" t="s">
        <v>490</v>
      </c>
      <c r="I12" s="9" t="s">
        <v>403</v>
      </c>
      <c r="J12" s="9"/>
      <c r="K12" s="9" t="s">
        <v>404</v>
      </c>
      <c r="L12" s="9" t="s">
        <v>404</v>
      </c>
      <c r="M12" s="9"/>
      <c r="N12" s="41"/>
      <c r="O12" s="52"/>
      <c r="P12" s="84"/>
      <c r="Q12" s="85"/>
    </row>
    <row r="13" spans="1:17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610</v>
      </c>
      <c r="H13" s="51" t="s">
        <v>425</v>
      </c>
      <c r="I13" s="9" t="s">
        <v>403</v>
      </c>
      <c r="J13" s="9"/>
      <c r="K13" s="9" t="s">
        <v>404</v>
      </c>
      <c r="L13" s="9"/>
      <c r="M13" s="9"/>
      <c r="N13" s="41"/>
      <c r="O13" s="52"/>
      <c r="P13" s="84"/>
      <c r="Q13" s="85"/>
    </row>
    <row r="14" spans="1:17" s="11" customFormat="1" ht="26" x14ac:dyDescent="0.2">
      <c r="A14" s="9">
        <v>10</v>
      </c>
      <c r="B14" s="9"/>
      <c r="C14" s="9"/>
      <c r="D14" s="9" t="s">
        <v>89</v>
      </c>
      <c r="E14" s="50" t="s">
        <v>116</v>
      </c>
      <c r="F14" s="50"/>
      <c r="G14" s="51" t="s">
        <v>661</v>
      </c>
      <c r="H14" s="51" t="s">
        <v>526</v>
      </c>
      <c r="I14" s="9" t="s">
        <v>403</v>
      </c>
      <c r="J14" s="9"/>
      <c r="K14" s="9" t="s">
        <v>404</v>
      </c>
      <c r="L14" s="9"/>
      <c r="M14" s="9"/>
      <c r="N14" s="41"/>
      <c r="O14" s="52"/>
      <c r="P14" s="84"/>
      <c r="Q14" s="85"/>
    </row>
    <row r="15" spans="1:17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605</v>
      </c>
      <c r="H15" s="51" t="s">
        <v>417</v>
      </c>
      <c r="I15" s="9" t="s">
        <v>403</v>
      </c>
      <c r="J15" s="9"/>
      <c r="K15" s="9"/>
      <c r="L15" s="9"/>
      <c r="M15" s="9"/>
      <c r="N15" s="41"/>
      <c r="O15" s="52"/>
      <c r="P15" s="84"/>
      <c r="Q15" s="85"/>
    </row>
    <row r="16" spans="1:17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606</v>
      </c>
      <c r="H16" s="51" t="s">
        <v>418</v>
      </c>
      <c r="I16" s="9" t="s">
        <v>403</v>
      </c>
      <c r="J16" s="9"/>
      <c r="K16" s="9"/>
      <c r="L16" s="9"/>
      <c r="M16" s="9"/>
      <c r="N16" s="41"/>
      <c r="O16" s="52"/>
      <c r="P16" s="84"/>
      <c r="Q16" s="85"/>
    </row>
    <row r="17" spans="1:17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607</v>
      </c>
      <c r="H17" s="51" t="s">
        <v>419</v>
      </c>
      <c r="I17" s="9" t="s">
        <v>403</v>
      </c>
      <c r="J17" s="9"/>
      <c r="K17" s="9"/>
      <c r="L17" s="9"/>
      <c r="M17" s="9"/>
      <c r="N17" s="41"/>
      <c r="O17" s="52"/>
      <c r="P17" s="84"/>
      <c r="Q17" s="85"/>
    </row>
    <row r="18" spans="1:17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609</v>
      </c>
      <c r="H18" s="51" t="s">
        <v>421</v>
      </c>
      <c r="I18" s="9" t="s">
        <v>403</v>
      </c>
      <c r="J18" s="9"/>
      <c r="K18" s="9"/>
      <c r="L18" s="9"/>
      <c r="M18" s="9"/>
      <c r="N18" s="41"/>
      <c r="O18" s="52"/>
      <c r="P18" s="84"/>
      <c r="Q18" s="85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83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242</v>
      </c>
      <c r="K2" s="7" t="s">
        <v>21</v>
      </c>
      <c r="L2" s="64" t="str">
        <f>IF(LogicCommon!G2="","",LogicCommon!G2)</f>
        <v>MC</v>
      </c>
      <c r="M2" s="5" t="s">
        <v>124</v>
      </c>
      <c r="N2" s="28" t="s">
        <v>545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129</v>
      </c>
      <c r="K3" s="7" t="s">
        <v>22</v>
      </c>
      <c r="L3" s="64" t="str">
        <f>IF(LogicCommon!G3="","",LogicCommon!G3)</f>
        <v/>
      </c>
      <c r="M3" s="68" t="s">
        <v>126</v>
      </c>
      <c r="N3" s="7"/>
      <c r="O3" s="7" t="s">
        <v>193</v>
      </c>
      <c r="P3" s="9" t="s">
        <v>194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31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140</v>
      </c>
      <c r="B6" s="66"/>
      <c r="C6" s="66"/>
      <c r="D6" s="4" t="s">
        <v>5</v>
      </c>
      <c r="E6" s="16" t="s">
        <v>398</v>
      </c>
      <c r="F6" s="16"/>
      <c r="G6" s="16"/>
      <c r="H6" s="16"/>
      <c r="I6" s="16"/>
      <c r="J6" s="16"/>
      <c r="K6" s="16"/>
      <c r="L6" s="72" t="s">
        <v>169</v>
      </c>
      <c r="M6" s="19"/>
      <c r="N6" s="19" t="s">
        <v>169</v>
      </c>
      <c r="O6" s="19"/>
      <c r="P6" s="19" t="s">
        <v>169</v>
      </c>
      <c r="Q6" s="19"/>
      <c r="R6" s="3" t="s">
        <v>169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130</v>
      </c>
      <c r="L7" s="32" t="s">
        <v>131</v>
      </c>
      <c r="M7" s="33" t="s">
        <v>33</v>
      </c>
      <c r="N7" s="32" t="s">
        <v>132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33" t="s">
        <v>134</v>
      </c>
      <c r="L8" s="9" t="s">
        <v>244</v>
      </c>
      <c r="M8" s="33" t="s">
        <v>34</v>
      </c>
      <c r="N8" s="9" t="s">
        <v>244</v>
      </c>
      <c r="O8" s="33" t="s">
        <v>34</v>
      </c>
      <c r="P8" s="9"/>
      <c r="Q8" s="33" t="s">
        <v>34</v>
      </c>
      <c r="R8" s="9"/>
      <c r="S8" s="79"/>
      <c r="T8" s="80"/>
      <c r="U8" s="81" t="s">
        <v>586</v>
      </c>
      <c r="V8" s="52"/>
    </row>
    <row r="9" spans="1:22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33"/>
      <c r="O9" s="33"/>
      <c r="P9" s="33"/>
      <c r="Q9" s="33"/>
      <c r="R9" s="33"/>
      <c r="S9" s="81" t="s">
        <v>594</v>
      </c>
      <c r="T9" s="52"/>
      <c r="U9" s="81" t="s">
        <v>595</v>
      </c>
      <c r="V9" s="52"/>
    </row>
    <row r="10" spans="1:22" s="11" customFormat="1" ht="52" x14ac:dyDescent="0.2">
      <c r="A10" s="39" t="s">
        <v>135</v>
      </c>
      <c r="B10" s="40"/>
      <c r="C10" s="40"/>
      <c r="D10" s="41"/>
      <c r="E10" s="42"/>
      <c r="F10" s="42"/>
      <c r="G10" s="43"/>
      <c r="H10" s="43"/>
      <c r="I10" s="42"/>
      <c r="J10" s="42"/>
      <c r="K10" s="76" t="s">
        <v>592</v>
      </c>
      <c r="L10" s="76" t="s">
        <v>593</v>
      </c>
      <c r="M10" s="76" t="s">
        <v>592</v>
      </c>
      <c r="N10" s="76" t="s">
        <v>593</v>
      </c>
      <c r="O10" s="76" t="s">
        <v>592</v>
      </c>
      <c r="P10" s="76" t="s">
        <v>593</v>
      </c>
      <c r="Q10" s="76" t="s">
        <v>592</v>
      </c>
      <c r="R10" s="76" t="s">
        <v>593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243</v>
      </c>
      <c r="E11" s="34" t="s">
        <v>136</v>
      </c>
      <c r="F11" s="44"/>
      <c r="G11" s="28" t="s">
        <v>137</v>
      </c>
      <c r="H11" s="45" t="s">
        <v>527</v>
      </c>
      <c r="I11" s="46"/>
      <c r="J11" s="47"/>
      <c r="K11" s="48" t="s">
        <v>122</v>
      </c>
      <c r="L11" s="48"/>
      <c r="M11" s="48" t="s">
        <v>423</v>
      </c>
      <c r="N11" s="48"/>
      <c r="O11" s="48"/>
      <c r="P11" s="48"/>
      <c r="Q11" s="48"/>
      <c r="R11" s="48"/>
      <c r="S11" s="35"/>
      <c r="T11" s="36"/>
      <c r="U11" s="60"/>
      <c r="V11" s="49"/>
    </row>
    <row r="12" spans="1:22" s="11" customFormat="1" ht="26" x14ac:dyDescent="0.2">
      <c r="A12" s="9">
        <v>10</v>
      </c>
      <c r="B12" s="9"/>
      <c r="C12" s="9"/>
      <c r="D12" s="9" t="s">
        <v>88</v>
      </c>
      <c r="E12" s="50" t="s">
        <v>115</v>
      </c>
      <c r="F12" s="50"/>
      <c r="G12" s="51" t="s">
        <v>644</v>
      </c>
      <c r="H12" s="51" t="s">
        <v>490</v>
      </c>
      <c r="I12" s="9" t="s">
        <v>403</v>
      </c>
      <c r="J12" s="9"/>
      <c r="K12" s="9" t="s">
        <v>404</v>
      </c>
      <c r="L12" s="9"/>
      <c r="M12" s="9" t="s">
        <v>404</v>
      </c>
      <c r="N12" s="9"/>
      <c r="O12" s="9"/>
      <c r="P12" s="9"/>
      <c r="Q12" s="9"/>
      <c r="R12" s="9"/>
      <c r="S12" s="41"/>
      <c r="T12" s="52"/>
      <c r="U12" s="84"/>
      <c r="V12" s="85"/>
    </row>
    <row r="13" spans="1:22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610</v>
      </c>
      <c r="H13" s="51" t="s">
        <v>425</v>
      </c>
      <c r="I13" s="9" t="s">
        <v>403</v>
      </c>
      <c r="J13" s="9"/>
      <c r="K13" s="9" t="s">
        <v>404</v>
      </c>
      <c r="L13" s="9"/>
      <c r="M13" s="9" t="s">
        <v>404</v>
      </c>
      <c r="N13" s="9"/>
      <c r="O13" s="9"/>
      <c r="P13" s="9"/>
      <c r="Q13" s="9"/>
      <c r="R13" s="9"/>
      <c r="S13" s="41"/>
      <c r="T13" s="52"/>
      <c r="U13" s="84"/>
      <c r="V13" s="85"/>
    </row>
    <row r="14" spans="1:22" s="11" customFormat="1" ht="26" x14ac:dyDescent="0.2">
      <c r="A14" s="9">
        <v>10</v>
      </c>
      <c r="B14" s="9"/>
      <c r="C14" s="9"/>
      <c r="D14" s="9" t="s">
        <v>89</v>
      </c>
      <c r="E14" s="50" t="s">
        <v>116</v>
      </c>
      <c r="F14" s="50"/>
      <c r="G14" s="51" t="s">
        <v>661</v>
      </c>
      <c r="H14" s="51" t="s">
        <v>526</v>
      </c>
      <c r="I14" s="9" t="s">
        <v>403</v>
      </c>
      <c r="J14" s="9"/>
      <c r="K14" s="9" t="s">
        <v>404</v>
      </c>
      <c r="L14" s="9"/>
      <c r="M14" s="9" t="s">
        <v>404</v>
      </c>
      <c r="N14" s="9"/>
      <c r="O14" s="9"/>
      <c r="P14" s="9"/>
      <c r="Q14" s="9"/>
      <c r="R14" s="9"/>
      <c r="S14" s="41"/>
      <c r="T14" s="52"/>
      <c r="U14" s="84"/>
      <c r="V14" s="85"/>
    </row>
    <row r="15" spans="1:22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605</v>
      </c>
      <c r="H15" s="51" t="s">
        <v>417</v>
      </c>
      <c r="I15" s="9" t="s">
        <v>403</v>
      </c>
      <c r="J15" s="9"/>
      <c r="K15" s="9" t="s">
        <v>404</v>
      </c>
      <c r="L15" s="9"/>
      <c r="M15" s="9" t="s">
        <v>404</v>
      </c>
      <c r="N15" s="9"/>
      <c r="O15" s="9"/>
      <c r="P15" s="9"/>
      <c r="Q15" s="9"/>
      <c r="R15" s="9"/>
      <c r="S15" s="41"/>
      <c r="T15" s="52"/>
      <c r="U15" s="84"/>
      <c r="V15" s="85"/>
    </row>
    <row r="16" spans="1:22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606</v>
      </c>
      <c r="H16" s="51" t="s">
        <v>418</v>
      </c>
      <c r="I16" s="9" t="s">
        <v>403</v>
      </c>
      <c r="J16" s="9"/>
      <c r="K16" s="9" t="s">
        <v>404</v>
      </c>
      <c r="L16" s="9"/>
      <c r="M16" s="9" t="s">
        <v>404</v>
      </c>
      <c r="N16" s="9"/>
      <c r="O16" s="9"/>
      <c r="P16" s="9"/>
      <c r="Q16" s="9"/>
      <c r="R16" s="9"/>
      <c r="S16" s="41"/>
      <c r="T16" s="52"/>
      <c r="U16" s="84"/>
      <c r="V16" s="85"/>
    </row>
    <row r="17" spans="1:22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607</v>
      </c>
      <c r="H17" s="51" t="s">
        <v>419</v>
      </c>
      <c r="I17" s="9" t="s">
        <v>403</v>
      </c>
      <c r="J17" s="9"/>
      <c r="K17" s="9" t="s">
        <v>404</v>
      </c>
      <c r="L17" s="9"/>
      <c r="M17" s="9" t="s">
        <v>404</v>
      </c>
      <c r="N17" s="9"/>
      <c r="O17" s="9"/>
      <c r="P17" s="9"/>
      <c r="Q17" s="9"/>
      <c r="R17" s="9"/>
      <c r="S17" s="41"/>
      <c r="T17" s="52"/>
      <c r="U17" s="84"/>
      <c r="V17" s="85"/>
    </row>
    <row r="18" spans="1:22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609</v>
      </c>
      <c r="H18" s="51" t="s">
        <v>421</v>
      </c>
      <c r="I18" s="9" t="s">
        <v>403</v>
      </c>
      <c r="J18" s="9"/>
      <c r="K18" s="9" t="s">
        <v>404</v>
      </c>
      <c r="L18" s="9"/>
      <c r="M18" s="9" t="s">
        <v>404</v>
      </c>
      <c r="N18" s="9"/>
      <c r="O18" s="9"/>
      <c r="P18" s="9"/>
      <c r="Q18" s="9"/>
      <c r="R18" s="9"/>
      <c r="S18" s="41"/>
      <c r="T18" s="52"/>
      <c r="U18" s="84"/>
      <c r="V18" s="85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336</v>
      </c>
      <c r="K2" s="7" t="s">
        <v>21</v>
      </c>
      <c r="L2" s="64" t="str">
        <f>IF(LogicCommon!G2="","",LogicCommon!G2)</f>
        <v>MC</v>
      </c>
      <c r="M2" s="5" t="s">
        <v>124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125</v>
      </c>
      <c r="K3" s="7" t="s">
        <v>22</v>
      </c>
      <c r="L3" s="64" t="str">
        <f>IF(LogicCommon!G3="","",LogicCommon!G3)</f>
        <v/>
      </c>
      <c r="M3" s="68" t="s">
        <v>292</v>
      </c>
      <c r="N3" s="7"/>
      <c r="O3" s="7" t="s">
        <v>193</v>
      </c>
      <c r="P3" s="9" t="s">
        <v>194</v>
      </c>
      <c r="Q3" s="4"/>
    </row>
    <row r="4" spans="1:17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127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140</v>
      </c>
      <c r="B6" s="66"/>
      <c r="C6" s="66"/>
      <c r="D6" s="4" t="s">
        <v>5</v>
      </c>
      <c r="E6" s="16" t="s">
        <v>399</v>
      </c>
      <c r="F6" s="16"/>
      <c r="G6" s="16"/>
      <c r="H6" s="16"/>
      <c r="I6" s="16"/>
      <c r="J6" s="16"/>
      <c r="K6" s="16"/>
      <c r="L6" s="72"/>
      <c r="M6" s="19" t="s">
        <v>169</v>
      </c>
      <c r="N6" s="19"/>
      <c r="O6" s="19"/>
      <c r="P6" s="19"/>
      <c r="Q6" s="19"/>
    </row>
    <row r="7" spans="1:17" s="11" customFormat="1" x14ac:dyDescent="0.2">
      <c r="A7" s="30" t="s">
        <v>170</v>
      </c>
      <c r="B7" s="30"/>
      <c r="C7" s="30"/>
      <c r="D7" s="31"/>
      <c r="E7" s="31"/>
      <c r="F7" s="31"/>
      <c r="G7" s="31"/>
      <c r="H7" s="31"/>
      <c r="I7" s="31" t="s">
        <v>276</v>
      </c>
      <c r="J7" s="31"/>
      <c r="K7" s="32" t="s">
        <v>316</v>
      </c>
      <c r="L7" s="33" t="s">
        <v>33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9" t="s">
        <v>273</v>
      </c>
      <c r="L8" s="33" t="s">
        <v>34</v>
      </c>
      <c r="M8" s="9"/>
      <c r="N8" s="79"/>
      <c r="O8" s="80"/>
      <c r="P8" s="81" t="s">
        <v>586</v>
      </c>
      <c r="Q8" s="52"/>
    </row>
    <row r="9" spans="1:17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81" t="s">
        <v>594</v>
      </c>
      <c r="O9" s="52"/>
      <c r="P9" s="81" t="s">
        <v>595</v>
      </c>
      <c r="Q9" s="52"/>
    </row>
    <row r="10" spans="1:17" s="11" customFormat="1" ht="52" x14ac:dyDescent="0.2">
      <c r="A10" s="39" t="s">
        <v>170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76" t="s">
        <v>592</v>
      </c>
      <c r="M10" s="76" t="s">
        <v>593</v>
      </c>
      <c r="N10" s="42"/>
      <c r="O10" s="42"/>
      <c r="P10" s="43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335</v>
      </c>
      <c r="E11" s="34" t="s">
        <v>32</v>
      </c>
      <c r="F11" s="44"/>
      <c r="G11" s="28"/>
      <c r="H11" s="45"/>
      <c r="I11" s="46"/>
      <c r="J11" s="47"/>
      <c r="K11" s="48"/>
      <c r="L11" s="48"/>
      <c r="M11" s="48"/>
      <c r="N11" s="35"/>
      <c r="O11" s="36"/>
      <c r="P11" s="60"/>
      <c r="Q11" s="49"/>
    </row>
    <row r="12" spans="1:17" s="11" customFormat="1" ht="26" x14ac:dyDescent="0.2">
      <c r="A12" s="9">
        <v>10</v>
      </c>
      <c r="B12" s="9"/>
      <c r="C12" s="9"/>
      <c r="D12" s="9" t="s">
        <v>88</v>
      </c>
      <c r="E12" s="50" t="s">
        <v>115</v>
      </c>
      <c r="F12" s="50"/>
      <c r="G12" s="51" t="s">
        <v>644</v>
      </c>
      <c r="H12" s="51" t="s">
        <v>528</v>
      </c>
      <c r="I12" s="9" t="s">
        <v>403</v>
      </c>
      <c r="J12" s="9"/>
      <c r="K12" s="9" t="s">
        <v>404</v>
      </c>
      <c r="L12" s="9"/>
      <c r="M12" s="9"/>
      <c r="N12" s="41"/>
      <c r="O12" s="52"/>
      <c r="P12" s="84"/>
      <c r="Q12" s="85"/>
    </row>
    <row r="13" spans="1:17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609</v>
      </c>
      <c r="H13" s="51" t="s">
        <v>421</v>
      </c>
      <c r="I13" s="9" t="s">
        <v>403</v>
      </c>
      <c r="J13" s="9"/>
      <c r="K13" s="9"/>
      <c r="L13" s="9"/>
      <c r="M13" s="9"/>
      <c r="N13" s="41"/>
      <c r="O13" s="52"/>
      <c r="P13" s="84"/>
      <c r="Q13" s="85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5"/>
      <c r="Q15" s="55"/>
    </row>
    <row r="16" spans="1:17" s="11" customFormat="1" x14ac:dyDescent="0.2">
      <c r="A16" s="65"/>
      <c r="Q16" s="55"/>
    </row>
    <row r="17" spans="1:17" s="11" customFormat="1" x14ac:dyDescent="0.2">
      <c r="A17" s="65"/>
      <c r="Q17" s="55"/>
    </row>
    <row r="18" spans="1:17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V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140</v>
      </c>
      <c r="B1" s="61" t="s">
        <v>140</v>
      </c>
      <c r="C1" s="61"/>
      <c r="D1" s="1" t="s">
        <v>122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140</v>
      </c>
      <c r="B2" s="63"/>
      <c r="C2" s="63"/>
      <c r="D2" s="74" t="s">
        <v>582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MABCL0032</v>
      </c>
      <c r="I2" s="7" t="s">
        <v>123</v>
      </c>
      <c r="J2" s="9" t="s">
        <v>340</v>
      </c>
      <c r="K2" s="7" t="s">
        <v>21</v>
      </c>
      <c r="L2" s="64" t="str">
        <f>IF(LogicCommon!G2="","",LogicCommon!G2)</f>
        <v>MC</v>
      </c>
      <c r="M2" s="5" t="s">
        <v>124</v>
      </c>
      <c r="N2" s="28" t="s">
        <v>546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191</v>
      </c>
      <c r="J3" s="9" t="s">
        <v>286</v>
      </c>
      <c r="K3" s="7" t="s">
        <v>22</v>
      </c>
      <c r="L3" s="64" t="str">
        <f>IF(LogicCommon!G3="","",LogicCommon!G3)</f>
        <v/>
      </c>
      <c r="M3" s="68" t="s">
        <v>277</v>
      </c>
      <c r="N3" s="7"/>
      <c r="O3" s="7" t="s">
        <v>193</v>
      </c>
      <c r="P3" s="9" t="s">
        <v>194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140</v>
      </c>
      <c r="B4" s="66"/>
      <c r="C4" s="66"/>
      <c r="D4" s="4"/>
      <c r="E4" s="7" t="s">
        <v>7</v>
      </c>
      <c r="F4" s="10" t="s">
        <v>530</v>
      </c>
      <c r="G4" s="7" t="s">
        <v>10</v>
      </c>
      <c r="H4" s="64" t="str">
        <f>IF(LogicCommon!E4="","",LogicCommon!E4)</f>
        <v>マルチマスタ登録</v>
      </c>
      <c r="I4" s="7" t="s">
        <v>168</v>
      </c>
      <c r="J4" s="9" t="s">
        <v>285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140</v>
      </c>
      <c r="B5" s="61"/>
      <c r="C5" s="61"/>
      <c r="D5" s="26"/>
      <c r="E5" s="7" t="s">
        <v>141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140</v>
      </c>
      <c r="B6" s="66"/>
      <c r="C6" s="66"/>
      <c r="D6" s="4" t="s">
        <v>5</v>
      </c>
      <c r="E6" s="16" t="s">
        <v>400</v>
      </c>
      <c r="F6" s="16"/>
      <c r="G6" s="16"/>
      <c r="H6" s="16"/>
      <c r="I6" s="16"/>
      <c r="J6" s="16"/>
      <c r="K6" s="16"/>
      <c r="L6" s="72" t="s">
        <v>169</v>
      </c>
      <c r="M6" s="19"/>
      <c r="N6" s="19" t="s">
        <v>169</v>
      </c>
      <c r="O6" s="19"/>
      <c r="P6" s="19" t="s">
        <v>169</v>
      </c>
      <c r="Q6" s="19"/>
      <c r="R6" s="3" t="s">
        <v>169</v>
      </c>
      <c r="S6" s="4"/>
      <c r="T6" s="29"/>
      <c r="U6" s="29"/>
      <c r="V6" s="27"/>
    </row>
    <row r="7" spans="1:22" s="11" customFormat="1" x14ac:dyDescent="0.2">
      <c r="A7" s="30" t="s">
        <v>170</v>
      </c>
      <c r="B7" s="30"/>
      <c r="C7" s="30"/>
      <c r="D7" s="31"/>
      <c r="E7" s="31"/>
      <c r="F7" s="31"/>
      <c r="G7" s="31"/>
      <c r="H7" s="31"/>
      <c r="I7" s="31" t="s">
        <v>276</v>
      </c>
      <c r="J7" s="31"/>
      <c r="K7" s="33" t="s">
        <v>305</v>
      </c>
      <c r="L7" s="32" t="s">
        <v>284</v>
      </c>
      <c r="M7" s="33" t="s">
        <v>33</v>
      </c>
      <c r="N7" s="32" t="s">
        <v>283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7"/>
      <c r="C8" s="78"/>
      <c r="D8" s="75" t="s">
        <v>583</v>
      </c>
      <c r="E8" s="75" t="s">
        <v>584</v>
      </c>
      <c r="F8" s="72"/>
      <c r="G8" s="75" t="s">
        <v>133</v>
      </c>
      <c r="H8" s="75" t="s">
        <v>585</v>
      </c>
      <c r="I8" s="72"/>
      <c r="J8" s="3"/>
      <c r="K8" s="33" t="s">
        <v>281</v>
      </c>
      <c r="L8" s="9" t="s">
        <v>576</v>
      </c>
      <c r="M8" s="33" t="s">
        <v>34</v>
      </c>
      <c r="N8" s="9" t="s">
        <v>244</v>
      </c>
      <c r="O8" s="33" t="s">
        <v>34</v>
      </c>
      <c r="P8" s="9"/>
      <c r="Q8" s="33" t="s">
        <v>34</v>
      </c>
      <c r="R8" s="9"/>
      <c r="S8" s="79"/>
      <c r="T8" s="80"/>
      <c r="U8" s="81" t="s">
        <v>586</v>
      </c>
      <c r="V8" s="52"/>
    </row>
    <row r="9" spans="1:22" s="11" customFormat="1" ht="60" customHeight="1" x14ac:dyDescent="0.2">
      <c r="A9" s="9" t="s">
        <v>13</v>
      </c>
      <c r="B9" s="37"/>
      <c r="C9" s="38"/>
      <c r="D9" s="75" t="s">
        <v>587</v>
      </c>
      <c r="E9" s="82" t="s">
        <v>588</v>
      </c>
      <c r="F9" s="75" t="s">
        <v>589</v>
      </c>
      <c r="G9" s="75" t="s">
        <v>590</v>
      </c>
      <c r="H9" s="75" t="s">
        <v>591</v>
      </c>
      <c r="I9" s="83" t="s">
        <v>592</v>
      </c>
      <c r="J9" s="75" t="s">
        <v>593</v>
      </c>
      <c r="K9" s="33"/>
      <c r="L9" s="33"/>
      <c r="M9" s="33"/>
      <c r="N9" s="33"/>
      <c r="O9" s="33"/>
      <c r="P9" s="33"/>
      <c r="Q9" s="33"/>
      <c r="R9" s="33"/>
      <c r="S9" s="81" t="s">
        <v>594</v>
      </c>
      <c r="T9" s="52"/>
      <c r="U9" s="81" t="s">
        <v>595</v>
      </c>
      <c r="V9" s="52"/>
    </row>
    <row r="10" spans="1:22" s="11" customFormat="1" ht="52" x14ac:dyDescent="0.2">
      <c r="A10" s="39" t="s">
        <v>339</v>
      </c>
      <c r="B10" s="40"/>
      <c r="C10" s="40"/>
      <c r="D10" s="41"/>
      <c r="E10" s="42"/>
      <c r="F10" s="42"/>
      <c r="G10" s="43"/>
      <c r="H10" s="43"/>
      <c r="I10" s="42"/>
      <c r="J10" s="42"/>
      <c r="K10" s="76" t="s">
        <v>592</v>
      </c>
      <c r="L10" s="76" t="s">
        <v>593</v>
      </c>
      <c r="M10" s="76" t="s">
        <v>592</v>
      </c>
      <c r="N10" s="76" t="s">
        <v>593</v>
      </c>
      <c r="O10" s="76" t="s">
        <v>592</v>
      </c>
      <c r="P10" s="76" t="s">
        <v>593</v>
      </c>
      <c r="Q10" s="76" t="s">
        <v>592</v>
      </c>
      <c r="R10" s="76" t="s">
        <v>593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338</v>
      </c>
      <c r="E11" s="34" t="s">
        <v>337</v>
      </c>
      <c r="F11" s="44"/>
      <c r="G11" s="28" t="s">
        <v>137</v>
      </c>
      <c r="H11" s="45" t="s">
        <v>529</v>
      </c>
      <c r="I11" s="46"/>
      <c r="J11" s="47"/>
      <c r="K11" s="48" t="s">
        <v>122</v>
      </c>
      <c r="L11" s="48"/>
      <c r="M11" s="48" t="s">
        <v>423</v>
      </c>
      <c r="N11" s="48"/>
      <c r="O11" s="48"/>
      <c r="P11" s="48"/>
      <c r="Q11" s="48"/>
      <c r="R11" s="48"/>
      <c r="S11" s="35"/>
      <c r="T11" s="36"/>
      <c r="U11" s="60"/>
      <c r="V11" s="49"/>
    </row>
    <row r="12" spans="1:22" s="11" customFormat="1" ht="26" x14ac:dyDescent="0.2">
      <c r="A12" s="9">
        <v>10</v>
      </c>
      <c r="B12" s="9"/>
      <c r="C12" s="9"/>
      <c r="D12" s="9" t="s">
        <v>88</v>
      </c>
      <c r="E12" s="50" t="s">
        <v>115</v>
      </c>
      <c r="F12" s="50"/>
      <c r="G12" s="51" t="s">
        <v>644</v>
      </c>
      <c r="H12" s="51" t="s">
        <v>528</v>
      </c>
      <c r="I12" s="9" t="s">
        <v>403</v>
      </c>
      <c r="J12" s="9"/>
      <c r="K12" s="9" t="s">
        <v>404</v>
      </c>
      <c r="L12" s="9"/>
      <c r="M12" s="9" t="s">
        <v>404</v>
      </c>
      <c r="N12" s="9"/>
      <c r="O12" s="9"/>
      <c r="P12" s="9"/>
      <c r="Q12" s="9"/>
      <c r="R12" s="9"/>
      <c r="S12" s="41"/>
      <c r="T12" s="52"/>
      <c r="U12" s="84"/>
      <c r="V12" s="85"/>
    </row>
    <row r="13" spans="1:22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609</v>
      </c>
      <c r="H13" s="51" t="s">
        <v>421</v>
      </c>
      <c r="I13" s="9" t="s">
        <v>403</v>
      </c>
      <c r="J13" s="9"/>
      <c r="K13" s="9" t="s">
        <v>404</v>
      </c>
      <c r="L13" s="9"/>
      <c r="M13" s="9"/>
      <c r="N13" s="9"/>
      <c r="O13" s="9"/>
      <c r="P13" s="9"/>
      <c r="Q13" s="9"/>
      <c r="R13" s="9"/>
      <c r="S13" s="41"/>
      <c r="T13" s="52"/>
      <c r="U13" s="84"/>
      <c r="V13" s="85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5"/>
      <c r="V15" s="55"/>
    </row>
    <row r="16" spans="1:22" s="11" customFormat="1" x14ac:dyDescent="0.2">
      <c r="A16" s="65"/>
      <c r="V16" s="55"/>
    </row>
    <row r="17" spans="1:22" s="11" customFormat="1" x14ac:dyDescent="0.2">
      <c r="A17" s="65"/>
      <c r="V17" s="55"/>
    </row>
    <row r="18" spans="1:22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56" customWidth="1"/>
    <col min="43" max="44" width="2.08984375" style="58" customWidth="1"/>
    <col min="45" max="71" width="2.08984375" style="56" customWidth="1"/>
    <col min="72" max="16384" width="9" style="56"/>
  </cols>
  <sheetData>
    <row r="1" spans="1:57" ht="38.25" customHeight="1" thickBot="1" x14ac:dyDescent="0.25">
      <c r="A1" s="89" t="s">
        <v>14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1"/>
    </row>
    <row r="2" spans="1:57" ht="12" customHeight="1" thickBot="1" x14ac:dyDescent="0.2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</row>
    <row r="3" spans="1:57" ht="15" customHeight="1" thickBot="1" x14ac:dyDescent="0.25">
      <c r="A3" s="123" t="s">
        <v>15</v>
      </c>
      <c r="B3" s="93"/>
      <c r="C3" s="93"/>
      <c r="D3" s="93"/>
      <c r="E3" s="93"/>
      <c r="F3" s="93"/>
      <c r="G3" s="94"/>
      <c r="H3" s="92" t="s">
        <v>16</v>
      </c>
      <c r="I3" s="93"/>
      <c r="J3" s="93"/>
      <c r="K3" s="93"/>
      <c r="L3" s="93"/>
      <c r="M3" s="93"/>
      <c r="N3" s="94"/>
      <c r="O3" s="92" t="s">
        <v>17</v>
      </c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6"/>
      <c r="AQ3" s="92" t="s">
        <v>18</v>
      </c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8"/>
    </row>
    <row r="4" spans="1:57" ht="15" customHeight="1" x14ac:dyDescent="0.2">
      <c r="A4" s="124">
        <v>1</v>
      </c>
      <c r="B4" s="125"/>
      <c r="C4" s="125"/>
      <c r="D4" s="125"/>
      <c r="E4" s="125"/>
      <c r="F4" s="125"/>
      <c r="G4" s="126"/>
      <c r="H4" s="116"/>
      <c r="I4" s="117"/>
      <c r="J4" s="117"/>
      <c r="K4" s="117"/>
      <c r="L4" s="117"/>
      <c r="M4" s="117"/>
      <c r="N4" s="118"/>
      <c r="O4" s="116" t="s">
        <v>19</v>
      </c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20"/>
      <c r="AQ4" s="121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22"/>
    </row>
    <row r="5" spans="1:57" ht="15" customHeight="1" x14ac:dyDescent="0.2">
      <c r="A5" s="99">
        <v>1.1000000000000001</v>
      </c>
      <c r="B5" s="100"/>
      <c r="C5" s="100"/>
      <c r="D5" s="100"/>
      <c r="E5" s="100"/>
      <c r="F5" s="100"/>
      <c r="G5" s="101"/>
      <c r="H5" s="102"/>
      <c r="I5" s="103"/>
      <c r="J5" s="103"/>
      <c r="K5" s="103"/>
      <c r="L5" s="103"/>
      <c r="M5" s="103"/>
      <c r="N5" s="104"/>
      <c r="O5" s="127" t="s">
        <v>662</v>
      </c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28"/>
      <c r="AG5" s="128"/>
      <c r="AH5" s="128"/>
      <c r="AI5" s="128"/>
      <c r="AJ5" s="128"/>
      <c r="AK5" s="128"/>
      <c r="AL5" s="128"/>
      <c r="AM5" s="128"/>
      <c r="AN5" s="128"/>
      <c r="AO5" s="128"/>
      <c r="AP5" s="129"/>
      <c r="AQ5" s="130" t="s">
        <v>663</v>
      </c>
      <c r="AR5" s="131"/>
      <c r="AS5" s="131"/>
      <c r="AT5" s="131"/>
      <c r="AU5" s="131"/>
      <c r="AV5" s="131"/>
      <c r="AW5" s="131"/>
      <c r="AX5" s="131"/>
      <c r="AY5" s="131"/>
      <c r="AZ5" s="131"/>
      <c r="BA5" s="131"/>
      <c r="BB5" s="131"/>
      <c r="BC5" s="131"/>
      <c r="BD5" s="131"/>
      <c r="BE5" s="132"/>
    </row>
    <row r="6" spans="1:57" ht="15" customHeight="1" x14ac:dyDescent="0.2">
      <c r="A6" s="99"/>
      <c r="B6" s="100"/>
      <c r="C6" s="100"/>
      <c r="D6" s="100"/>
      <c r="E6" s="100"/>
      <c r="F6" s="100"/>
      <c r="G6" s="101"/>
      <c r="H6" s="102"/>
      <c r="I6" s="103"/>
      <c r="J6" s="103"/>
      <c r="K6" s="103"/>
      <c r="L6" s="103"/>
      <c r="M6" s="103"/>
      <c r="N6" s="104"/>
      <c r="O6" s="102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4"/>
      <c r="AQ6" s="107"/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8"/>
    </row>
    <row r="7" spans="1:57" ht="15" customHeight="1" x14ac:dyDescent="0.2">
      <c r="A7" s="99"/>
      <c r="B7" s="100"/>
      <c r="C7" s="100"/>
      <c r="D7" s="100"/>
      <c r="E7" s="100"/>
      <c r="F7" s="100"/>
      <c r="G7" s="101"/>
      <c r="H7" s="102"/>
      <c r="I7" s="103"/>
      <c r="J7" s="103"/>
      <c r="K7" s="103"/>
      <c r="L7" s="103"/>
      <c r="M7" s="103"/>
      <c r="N7" s="104"/>
      <c r="O7" s="102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4"/>
      <c r="AQ7" s="107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8"/>
    </row>
    <row r="8" spans="1:57" ht="15" customHeight="1" x14ac:dyDescent="0.2">
      <c r="A8" s="99"/>
      <c r="B8" s="100"/>
      <c r="C8" s="100"/>
      <c r="D8" s="100"/>
      <c r="E8" s="100"/>
      <c r="F8" s="100"/>
      <c r="G8" s="101"/>
      <c r="H8" s="102"/>
      <c r="I8" s="103"/>
      <c r="J8" s="103"/>
      <c r="K8" s="103"/>
      <c r="L8" s="103"/>
      <c r="M8" s="103"/>
      <c r="N8" s="104"/>
      <c r="O8" s="102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4"/>
      <c r="AQ8" s="107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8"/>
    </row>
    <row r="9" spans="1:57" ht="15" customHeight="1" x14ac:dyDescent="0.2">
      <c r="A9" s="99"/>
      <c r="B9" s="100"/>
      <c r="C9" s="100"/>
      <c r="D9" s="100"/>
      <c r="E9" s="100"/>
      <c r="F9" s="100"/>
      <c r="G9" s="101"/>
      <c r="H9" s="102"/>
      <c r="I9" s="103"/>
      <c r="J9" s="103"/>
      <c r="K9" s="103"/>
      <c r="L9" s="103"/>
      <c r="M9" s="103"/>
      <c r="N9" s="104"/>
      <c r="O9" s="102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4"/>
      <c r="AQ9" s="107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8"/>
    </row>
    <row r="10" spans="1:57" ht="15" customHeight="1" x14ac:dyDescent="0.2">
      <c r="A10" s="99"/>
      <c r="B10" s="100"/>
      <c r="C10" s="100"/>
      <c r="D10" s="100"/>
      <c r="E10" s="100"/>
      <c r="F10" s="100"/>
      <c r="G10" s="101"/>
      <c r="H10" s="102"/>
      <c r="I10" s="103"/>
      <c r="J10" s="103"/>
      <c r="K10" s="103"/>
      <c r="L10" s="103"/>
      <c r="M10" s="103"/>
      <c r="N10" s="104"/>
      <c r="O10" s="102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6"/>
      <c r="AQ10" s="107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8"/>
    </row>
    <row r="11" spans="1:57" ht="15" customHeight="1" x14ac:dyDescent="0.2">
      <c r="A11" s="99"/>
      <c r="B11" s="100"/>
      <c r="C11" s="100"/>
      <c r="D11" s="100"/>
      <c r="E11" s="100"/>
      <c r="F11" s="100"/>
      <c r="G11" s="101"/>
      <c r="H11" s="102"/>
      <c r="I11" s="103"/>
      <c r="J11" s="103"/>
      <c r="K11" s="103"/>
      <c r="L11" s="103"/>
      <c r="M11" s="103"/>
      <c r="N11" s="104"/>
      <c r="O11" s="102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6"/>
      <c r="AQ11" s="107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8"/>
    </row>
    <row r="12" spans="1:57" ht="15" customHeight="1" x14ac:dyDescent="0.2">
      <c r="A12" s="99"/>
      <c r="B12" s="100"/>
      <c r="C12" s="100"/>
      <c r="D12" s="100"/>
      <c r="E12" s="100"/>
      <c r="F12" s="100"/>
      <c r="G12" s="101"/>
      <c r="H12" s="102"/>
      <c r="I12" s="103"/>
      <c r="J12" s="103"/>
      <c r="K12" s="103"/>
      <c r="L12" s="103"/>
      <c r="M12" s="103"/>
      <c r="N12" s="104"/>
      <c r="O12" s="102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6"/>
      <c r="AQ12" s="107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  <c r="BE12" s="108"/>
    </row>
    <row r="13" spans="1:57" ht="15" customHeight="1" x14ac:dyDescent="0.2">
      <c r="A13" s="99"/>
      <c r="B13" s="100"/>
      <c r="C13" s="100"/>
      <c r="D13" s="100"/>
      <c r="E13" s="100"/>
      <c r="F13" s="100"/>
      <c r="G13" s="101"/>
      <c r="H13" s="102"/>
      <c r="I13" s="103"/>
      <c r="J13" s="103"/>
      <c r="K13" s="103"/>
      <c r="L13" s="103"/>
      <c r="M13" s="103"/>
      <c r="N13" s="104"/>
      <c r="O13" s="102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6"/>
      <c r="AQ13" s="107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  <c r="BD13" s="105"/>
      <c r="BE13" s="108"/>
    </row>
    <row r="14" spans="1:57" ht="15" customHeight="1" x14ac:dyDescent="0.2">
      <c r="A14" s="99"/>
      <c r="B14" s="100"/>
      <c r="C14" s="100"/>
      <c r="D14" s="100"/>
      <c r="E14" s="100"/>
      <c r="F14" s="100"/>
      <c r="G14" s="101"/>
      <c r="H14" s="102"/>
      <c r="I14" s="103"/>
      <c r="J14" s="103"/>
      <c r="K14" s="103"/>
      <c r="L14" s="103"/>
      <c r="M14" s="103"/>
      <c r="N14" s="104"/>
      <c r="O14" s="102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6"/>
      <c r="AQ14" s="107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8"/>
    </row>
    <row r="15" spans="1:57" ht="15" customHeight="1" x14ac:dyDescent="0.2">
      <c r="A15" s="99"/>
      <c r="B15" s="100"/>
      <c r="C15" s="100"/>
      <c r="D15" s="100"/>
      <c r="E15" s="100"/>
      <c r="F15" s="100"/>
      <c r="G15" s="101"/>
      <c r="H15" s="102"/>
      <c r="I15" s="103"/>
      <c r="J15" s="103"/>
      <c r="K15" s="103"/>
      <c r="L15" s="103"/>
      <c r="M15" s="103"/>
      <c r="N15" s="104"/>
      <c r="O15" s="102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6"/>
      <c r="AQ15" s="107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8"/>
    </row>
    <row r="16" spans="1:57" ht="15" customHeight="1" x14ac:dyDescent="0.2">
      <c r="A16" s="99"/>
      <c r="B16" s="100"/>
      <c r="C16" s="100"/>
      <c r="D16" s="100"/>
      <c r="E16" s="100"/>
      <c r="F16" s="100"/>
      <c r="G16" s="101"/>
      <c r="H16" s="102"/>
      <c r="I16" s="103"/>
      <c r="J16" s="103"/>
      <c r="K16" s="103"/>
      <c r="L16" s="103"/>
      <c r="M16" s="103"/>
      <c r="N16" s="104"/>
      <c r="O16" s="102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6"/>
      <c r="AQ16" s="107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8"/>
    </row>
    <row r="17" spans="1:57" ht="15" customHeight="1" x14ac:dyDescent="0.2">
      <c r="A17" s="99"/>
      <c r="B17" s="100"/>
      <c r="C17" s="100"/>
      <c r="D17" s="100"/>
      <c r="E17" s="100"/>
      <c r="F17" s="100"/>
      <c r="G17" s="101"/>
      <c r="H17" s="102"/>
      <c r="I17" s="103"/>
      <c r="J17" s="103"/>
      <c r="K17" s="103"/>
      <c r="L17" s="103"/>
      <c r="M17" s="103"/>
      <c r="N17" s="104"/>
      <c r="O17" s="102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6"/>
      <c r="AQ17" s="107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  <c r="BE17" s="108"/>
    </row>
    <row r="18" spans="1:57" ht="15" customHeight="1" x14ac:dyDescent="0.2">
      <c r="A18" s="99"/>
      <c r="B18" s="100"/>
      <c r="C18" s="100"/>
      <c r="D18" s="100"/>
      <c r="E18" s="100"/>
      <c r="F18" s="100"/>
      <c r="G18" s="101"/>
      <c r="H18" s="102"/>
      <c r="I18" s="103"/>
      <c r="J18" s="103"/>
      <c r="K18" s="103"/>
      <c r="L18" s="103"/>
      <c r="M18" s="103"/>
      <c r="N18" s="104"/>
      <c r="O18" s="102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6"/>
      <c r="AQ18" s="107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  <c r="BE18" s="108"/>
    </row>
    <row r="19" spans="1:57" ht="15" customHeight="1" x14ac:dyDescent="0.2">
      <c r="A19" s="99"/>
      <c r="B19" s="100"/>
      <c r="C19" s="100"/>
      <c r="D19" s="100"/>
      <c r="E19" s="100"/>
      <c r="F19" s="100"/>
      <c r="G19" s="101"/>
      <c r="H19" s="102"/>
      <c r="I19" s="103"/>
      <c r="J19" s="103"/>
      <c r="K19" s="103"/>
      <c r="L19" s="103"/>
      <c r="M19" s="103"/>
      <c r="N19" s="104"/>
      <c r="O19" s="102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6"/>
      <c r="AQ19" s="107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8"/>
    </row>
    <row r="20" spans="1:57" ht="15" customHeight="1" x14ac:dyDescent="0.2">
      <c r="A20" s="99"/>
      <c r="B20" s="100"/>
      <c r="C20" s="100"/>
      <c r="D20" s="100"/>
      <c r="E20" s="100"/>
      <c r="F20" s="100"/>
      <c r="G20" s="101"/>
      <c r="H20" s="102"/>
      <c r="I20" s="103"/>
      <c r="J20" s="103"/>
      <c r="K20" s="103"/>
      <c r="L20" s="103"/>
      <c r="M20" s="103"/>
      <c r="N20" s="104"/>
      <c r="O20" s="102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05"/>
      <c r="AP20" s="106"/>
      <c r="AQ20" s="107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  <c r="BE20" s="108"/>
    </row>
    <row r="21" spans="1:57" ht="15" customHeight="1" x14ac:dyDescent="0.2">
      <c r="A21" s="99"/>
      <c r="B21" s="100"/>
      <c r="C21" s="100"/>
      <c r="D21" s="100"/>
      <c r="E21" s="100"/>
      <c r="F21" s="100"/>
      <c r="G21" s="101"/>
      <c r="H21" s="102"/>
      <c r="I21" s="103"/>
      <c r="J21" s="103"/>
      <c r="K21" s="103"/>
      <c r="L21" s="103"/>
      <c r="M21" s="103"/>
      <c r="N21" s="104"/>
      <c r="O21" s="102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6"/>
      <c r="AQ21" s="107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8"/>
    </row>
    <row r="22" spans="1:57" ht="15" customHeight="1" x14ac:dyDescent="0.2">
      <c r="A22" s="99"/>
      <c r="B22" s="100"/>
      <c r="C22" s="100"/>
      <c r="D22" s="100"/>
      <c r="E22" s="100"/>
      <c r="F22" s="100"/>
      <c r="G22" s="101"/>
      <c r="H22" s="102"/>
      <c r="I22" s="103"/>
      <c r="J22" s="103"/>
      <c r="K22" s="103"/>
      <c r="L22" s="103"/>
      <c r="M22" s="103"/>
      <c r="N22" s="104"/>
      <c r="O22" s="102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6"/>
      <c r="AQ22" s="107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8"/>
    </row>
    <row r="23" spans="1:57" ht="15" customHeight="1" x14ac:dyDescent="0.2">
      <c r="A23" s="99"/>
      <c r="B23" s="100"/>
      <c r="C23" s="100"/>
      <c r="D23" s="100"/>
      <c r="E23" s="100"/>
      <c r="F23" s="100"/>
      <c r="G23" s="101"/>
      <c r="H23" s="102"/>
      <c r="I23" s="103"/>
      <c r="J23" s="103"/>
      <c r="K23" s="103"/>
      <c r="L23" s="103"/>
      <c r="M23" s="103"/>
      <c r="N23" s="104"/>
      <c r="O23" s="102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6"/>
      <c r="AQ23" s="107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/>
      <c r="BD23" s="105"/>
      <c r="BE23" s="108"/>
    </row>
    <row r="24" spans="1:57" ht="15" customHeight="1" x14ac:dyDescent="0.2">
      <c r="A24" s="99"/>
      <c r="B24" s="100"/>
      <c r="C24" s="100"/>
      <c r="D24" s="100"/>
      <c r="E24" s="100"/>
      <c r="F24" s="100"/>
      <c r="G24" s="101"/>
      <c r="H24" s="102"/>
      <c r="I24" s="103"/>
      <c r="J24" s="103"/>
      <c r="K24" s="103"/>
      <c r="L24" s="103"/>
      <c r="M24" s="103"/>
      <c r="N24" s="104"/>
      <c r="O24" s="102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6"/>
      <c r="AQ24" s="107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8"/>
    </row>
    <row r="25" spans="1:57" ht="15" customHeight="1" x14ac:dyDescent="0.2">
      <c r="A25" s="99"/>
      <c r="B25" s="100"/>
      <c r="C25" s="100"/>
      <c r="D25" s="100"/>
      <c r="E25" s="100"/>
      <c r="F25" s="100"/>
      <c r="G25" s="101"/>
      <c r="H25" s="102"/>
      <c r="I25" s="103"/>
      <c r="J25" s="103"/>
      <c r="K25" s="103"/>
      <c r="L25" s="103"/>
      <c r="M25" s="103"/>
      <c r="N25" s="104"/>
      <c r="O25" s="102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6"/>
      <c r="AQ25" s="107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8"/>
    </row>
    <row r="26" spans="1:57" ht="15" customHeight="1" x14ac:dyDescent="0.2">
      <c r="A26" s="99"/>
      <c r="B26" s="100"/>
      <c r="C26" s="100"/>
      <c r="D26" s="100"/>
      <c r="E26" s="100"/>
      <c r="F26" s="100"/>
      <c r="G26" s="101"/>
      <c r="H26" s="102"/>
      <c r="I26" s="103"/>
      <c r="J26" s="103"/>
      <c r="K26" s="103"/>
      <c r="L26" s="103"/>
      <c r="M26" s="103"/>
      <c r="N26" s="104"/>
      <c r="O26" s="102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106"/>
      <c r="AQ26" s="107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8"/>
    </row>
    <row r="27" spans="1:57" ht="15" customHeight="1" x14ac:dyDescent="0.2">
      <c r="A27" s="99"/>
      <c r="B27" s="100"/>
      <c r="C27" s="100"/>
      <c r="D27" s="100"/>
      <c r="E27" s="100"/>
      <c r="F27" s="100"/>
      <c r="G27" s="101"/>
      <c r="H27" s="102"/>
      <c r="I27" s="103"/>
      <c r="J27" s="103"/>
      <c r="K27" s="103"/>
      <c r="L27" s="103"/>
      <c r="M27" s="103"/>
      <c r="N27" s="104"/>
      <c r="O27" s="102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106"/>
      <c r="AQ27" s="107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8"/>
    </row>
    <row r="28" spans="1:57" ht="15" customHeight="1" x14ac:dyDescent="0.2">
      <c r="A28" s="99"/>
      <c r="B28" s="100"/>
      <c r="C28" s="100"/>
      <c r="D28" s="100"/>
      <c r="E28" s="100"/>
      <c r="F28" s="100"/>
      <c r="G28" s="101"/>
      <c r="H28" s="102"/>
      <c r="I28" s="103"/>
      <c r="J28" s="103"/>
      <c r="K28" s="103"/>
      <c r="L28" s="103"/>
      <c r="M28" s="103"/>
      <c r="N28" s="104"/>
      <c r="O28" s="102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6"/>
      <c r="AQ28" s="107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8"/>
    </row>
    <row r="29" spans="1:57" ht="15" customHeight="1" x14ac:dyDescent="0.2">
      <c r="A29" s="99"/>
      <c r="B29" s="100"/>
      <c r="C29" s="100"/>
      <c r="D29" s="100"/>
      <c r="E29" s="100"/>
      <c r="F29" s="100"/>
      <c r="G29" s="101"/>
      <c r="H29" s="102"/>
      <c r="I29" s="103"/>
      <c r="J29" s="103"/>
      <c r="K29" s="103"/>
      <c r="L29" s="103"/>
      <c r="M29" s="103"/>
      <c r="N29" s="104"/>
      <c r="O29" s="102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6"/>
      <c r="AQ29" s="107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5"/>
      <c r="BE29" s="108"/>
    </row>
    <row r="30" spans="1:57" ht="15" customHeight="1" x14ac:dyDescent="0.2">
      <c r="A30" s="99"/>
      <c r="B30" s="100"/>
      <c r="C30" s="100"/>
      <c r="D30" s="100"/>
      <c r="E30" s="100"/>
      <c r="F30" s="100"/>
      <c r="G30" s="101"/>
      <c r="H30" s="102"/>
      <c r="I30" s="103"/>
      <c r="J30" s="103"/>
      <c r="K30" s="103"/>
      <c r="L30" s="103"/>
      <c r="M30" s="103"/>
      <c r="N30" s="104"/>
      <c r="O30" s="102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105"/>
      <c r="AO30" s="105"/>
      <c r="AP30" s="106"/>
      <c r="AQ30" s="107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8"/>
    </row>
    <row r="31" spans="1:57" ht="15" customHeight="1" x14ac:dyDescent="0.2">
      <c r="A31" s="99"/>
      <c r="B31" s="100"/>
      <c r="C31" s="100"/>
      <c r="D31" s="100"/>
      <c r="E31" s="100"/>
      <c r="F31" s="100"/>
      <c r="G31" s="101"/>
      <c r="H31" s="102"/>
      <c r="I31" s="103"/>
      <c r="J31" s="103"/>
      <c r="K31" s="103"/>
      <c r="L31" s="103"/>
      <c r="M31" s="103"/>
      <c r="N31" s="104"/>
      <c r="O31" s="102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6"/>
      <c r="AQ31" s="107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8"/>
    </row>
    <row r="32" spans="1:57" ht="15" customHeight="1" x14ac:dyDescent="0.2">
      <c r="A32" s="99"/>
      <c r="B32" s="100"/>
      <c r="C32" s="100"/>
      <c r="D32" s="100"/>
      <c r="E32" s="100"/>
      <c r="F32" s="100"/>
      <c r="G32" s="101"/>
      <c r="H32" s="102"/>
      <c r="I32" s="103"/>
      <c r="J32" s="103"/>
      <c r="K32" s="103"/>
      <c r="L32" s="103"/>
      <c r="M32" s="103"/>
      <c r="N32" s="104"/>
      <c r="O32" s="102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6"/>
      <c r="AQ32" s="107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8"/>
    </row>
    <row r="33" spans="1:57" ht="15" customHeight="1" x14ac:dyDescent="0.2">
      <c r="A33" s="99"/>
      <c r="B33" s="100"/>
      <c r="C33" s="100"/>
      <c r="D33" s="100"/>
      <c r="E33" s="100"/>
      <c r="F33" s="100"/>
      <c r="G33" s="101"/>
      <c r="H33" s="102"/>
      <c r="I33" s="103"/>
      <c r="J33" s="103"/>
      <c r="K33" s="103"/>
      <c r="L33" s="103"/>
      <c r="M33" s="103"/>
      <c r="N33" s="104"/>
      <c r="O33" s="102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6"/>
      <c r="AQ33" s="107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8"/>
    </row>
    <row r="34" spans="1:57" ht="15" customHeight="1" x14ac:dyDescent="0.2">
      <c r="A34" s="99"/>
      <c r="B34" s="100"/>
      <c r="C34" s="100"/>
      <c r="D34" s="100"/>
      <c r="E34" s="100"/>
      <c r="F34" s="100"/>
      <c r="G34" s="101"/>
      <c r="H34" s="102"/>
      <c r="I34" s="103"/>
      <c r="J34" s="103"/>
      <c r="K34" s="103"/>
      <c r="L34" s="103"/>
      <c r="M34" s="103"/>
      <c r="N34" s="104"/>
      <c r="O34" s="102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6"/>
      <c r="AQ34" s="107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8"/>
    </row>
    <row r="35" spans="1:57" ht="15" customHeight="1" thickBot="1" x14ac:dyDescent="0.25">
      <c r="A35" s="86"/>
      <c r="B35" s="87"/>
      <c r="C35" s="87"/>
      <c r="D35" s="87"/>
      <c r="E35" s="87"/>
      <c r="F35" s="87"/>
      <c r="G35" s="88"/>
      <c r="H35" s="109"/>
      <c r="I35" s="110"/>
      <c r="J35" s="110"/>
      <c r="K35" s="110"/>
      <c r="L35" s="110"/>
      <c r="M35" s="110"/>
      <c r="N35" s="111"/>
      <c r="O35" s="109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3"/>
      <c r="AQ35" s="114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2"/>
      <c r="BE35" s="115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62</vt:i4>
      </vt:variant>
    </vt:vector>
  </HeadingPairs>
  <TitlesOfParts>
    <vt:vector size="62" baseType="lpstr">
      <vt:lpstr>LogicCommon</vt:lpstr>
      <vt:lpstr>BankAc_UpdChk01</vt:lpstr>
      <vt:lpstr>BankAc_Upd01</vt:lpstr>
      <vt:lpstr>BankAcLcl_UpdChk01</vt:lpstr>
      <vt:lpstr>BankAcLcl_Upd01</vt:lpstr>
      <vt:lpstr>BankAc_DelChk01</vt:lpstr>
      <vt:lpstr>BankAc_Del01</vt:lpstr>
      <vt:lpstr>Xrate_UpdChk01</vt:lpstr>
      <vt:lpstr>Xrate_Upd01</vt:lpstr>
      <vt:lpstr>XrateLcl_UpdChk01</vt:lpstr>
      <vt:lpstr>XrateLcl_Upd01</vt:lpstr>
      <vt:lpstr>Xrate_DelChk01</vt:lpstr>
      <vt:lpstr>Xrate_Del01</vt:lpstr>
      <vt:lpstr>CalBase_UpdChk01</vt:lpstr>
      <vt:lpstr>CalBase_Upd01</vt:lpstr>
      <vt:lpstr>CalBaseLcl_UpdChk01</vt:lpstr>
      <vt:lpstr>CalBaseLcl_Upd01</vt:lpstr>
      <vt:lpstr>CalBase_DelChk01</vt:lpstr>
      <vt:lpstr>CalBase_Del01</vt:lpstr>
      <vt:lpstr>ItmJnl_UpdChk01</vt:lpstr>
      <vt:lpstr>ItmJnl_Upd01</vt:lpstr>
      <vt:lpstr>ItmJnlLcl_UpdChk01</vt:lpstr>
      <vt:lpstr>ItmJnlLcl_Upd01</vt:lpstr>
      <vt:lpstr>ItmJnl_DelChk01</vt:lpstr>
      <vt:lpstr>ItmJnl_Del01</vt:lpstr>
      <vt:lpstr>AcItmGrp_UpdChk01</vt:lpstr>
      <vt:lpstr>AcItmGrp_Upd01</vt:lpstr>
      <vt:lpstr>AcItmGrpLcl_UpdChk01</vt:lpstr>
      <vt:lpstr>AcItmGrpLcl_Upd01</vt:lpstr>
      <vt:lpstr>AcItmGrp_DelChk01</vt:lpstr>
      <vt:lpstr>AcItmGrp_Del01</vt:lpstr>
      <vt:lpstr>AcRsn_UpdChk01</vt:lpstr>
      <vt:lpstr>AcRsn_Upd01</vt:lpstr>
      <vt:lpstr>AcRsnLcl_UpdChk01</vt:lpstr>
      <vt:lpstr>AcRsnLcl_Upd01</vt:lpstr>
      <vt:lpstr>AcRsn_DelChk01</vt:lpstr>
      <vt:lpstr>AcRsn_Del01</vt:lpstr>
      <vt:lpstr>Site_UpdChk01</vt:lpstr>
      <vt:lpstr>Site_Upd01</vt:lpstr>
      <vt:lpstr>SiteLcl_UpdChk01</vt:lpstr>
      <vt:lpstr>SiteLcl_Upd01</vt:lpstr>
      <vt:lpstr>Site_DelChk01</vt:lpstr>
      <vt:lpstr>Site_Del01</vt:lpstr>
      <vt:lpstr>LocGrp_UpdChk01</vt:lpstr>
      <vt:lpstr>LocGrp_Upd01</vt:lpstr>
      <vt:lpstr>LocGrpLcl_UpdChk01</vt:lpstr>
      <vt:lpstr>LocGrpLcl_Upd01</vt:lpstr>
      <vt:lpstr>LocGrp_DelChk01</vt:lpstr>
      <vt:lpstr>LocGrp_Del01</vt:lpstr>
      <vt:lpstr>LgGrp_UpdChk01</vt:lpstr>
      <vt:lpstr>LgGrp_Upd01</vt:lpstr>
      <vt:lpstr>LgGrpLcl_UpdChk01</vt:lpstr>
      <vt:lpstr>LgGrpLcl_Upd01</vt:lpstr>
      <vt:lpstr>LgGrp_DelChk01</vt:lpstr>
      <vt:lpstr>LgGrp_Del01</vt:lpstr>
      <vt:lpstr>AllocGrp_UpdChk01</vt:lpstr>
      <vt:lpstr>AllocGrp_Upd01</vt:lpstr>
      <vt:lpstr>AllocGrpLcl_UpdChk01</vt:lpstr>
      <vt:lpstr>AllocGrpLcl_Upd01</vt:lpstr>
      <vt:lpstr>AllocGrp_DelChk01</vt:lpstr>
      <vt:lpstr>AllocGrp_Del01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2016-02-18T07:23:43Z</cp:lastPrinted>
  <dcterms:created xsi:type="dcterms:W3CDTF">2000-04-01T00:00:00Z</dcterms:created>
  <dcterms:modified xsi:type="dcterms:W3CDTF">2026-03-27T05:42:17Z</dcterms:modified>
  <cp:category/>
</cp:coreProperties>
</file>