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DA21E13A-2634-4358-8722-67E0AB06610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1" i="1" l="1"/>
  <c r="F3" i="1" l="1"/>
  <c r="F2" i="1"/>
  <c r="AJ8" i="1" l="1"/>
  <c r="AH8" i="1"/>
  <c r="AF8" i="1"/>
  <c r="AL8" i="1"/>
</calcChain>
</file>

<file path=xl/sharedStrings.xml><?xml version="1.0" encoding="utf-8"?>
<sst xmlns="http://schemas.openxmlformats.org/spreadsheetml/2006/main" count="1797" uniqueCount="655">
  <si>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</si>
  <si>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</si>
  <si>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</si>
  <si>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</si>
  <si>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</si>
  <si>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</si>
  <si>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</si>
  <si>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</si>
  <si>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</si>
  <si>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</si>
  <si>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</si>
  <si>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</si>
  <si>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</si>
  <si>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L</t>
    <phoneticPr fontId="2"/>
  </si>
  <si>
    <t>行追加</t>
    <phoneticPr fontId="2"/>
  </si>
  <si>
    <t>$image.INSERT_RECORD$</t>
    <phoneticPr fontId="2"/>
  </si>
  <si>
    <t>B</t>
    <phoneticPr fontId="2"/>
  </si>
  <si>
    <t>D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</si>
  <si>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</si>
  <si>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</si>
  <si>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</si>
  <si>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</si>
  <si>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</si>
  <si>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</si>
  <si>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</si>
  <si>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</si>
  <si>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</si>
  <si>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</si>
  <si>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</si>
  <si>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</si>
  <si>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</si>
  <si>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</si>
  <si>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</si>
  <si>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</si>
  <si>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</si>
  <si>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</si>
  <si>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</si>
  <si>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</si>
  <si>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</si>
  <si>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</si>
  <si>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</si>
  <si>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</si>
  <si>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</si>
  <si>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</si>
  <si>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</si>
  <si>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</si>
  <si>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</si>
  <si>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*</t>
    <phoneticPr fontId="2"/>
  </si>
  <si>
    <t>EastBtn</t>
    <phoneticPr fontId="2"/>
  </si>
  <si>
    <t>R</t>
    <phoneticPr fontId="2"/>
  </si>
  <si>
    <t>SE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</si>
  <si>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</si>
  <si>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</si>
  <si>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</si>
  <si>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</si>
  <si>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</si>
  <si>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</si>
  <si>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</si>
  <si>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</si>
  <si>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</si>
  <si>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</si>
  <si>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</si>
  <si>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</si>
  <si>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DEL</t>
    <phoneticPr fontId="2"/>
  </si>
  <si>
    <t>FIX</t>
    <phoneticPr fontId="2"/>
  </si>
  <si>
    <t>ins_ts</t>
    <phoneticPr fontId="2"/>
  </si>
  <si>
    <t>Btn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</si>
  <si>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</si>
  <si>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</si>
  <si>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</si>
  <si>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</si>
  <si>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</si>
  <si>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</si>
  <si>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</si>
  <si>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</si>
  <si>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</si>
  <si>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</si>
  <si>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</si>
  <si>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E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</si>
  <si>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</si>
  <si>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</si>
  <si>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</si>
  <si>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dt_p@Tab1</t>
  </si>
  <si>
    <t>dt_p.st_dt_fr#</t>
  </si>
  <si>
    <t>dt_p.st_dt_to#</t>
  </si>
  <si>
    <t>dt_p.end_dt_fr#</t>
  </si>
  <si>
    <t>dt_p.end_dt_to#</t>
  </si>
  <si>
    <t>dt_p</t>
  </si>
  <si>
    <t>mcframe.clientMAUD.MAUDP1010.MAUDP_RLStEndDupChecker</t>
  </si>
  <si>
    <t>dt_p.st_dt#</t>
  </si>
  <si>
    <t>st_dt</t>
  </si>
  <si>
    <t>dt_p.end_dt#</t>
  </si>
  <si>
    <t>end_dt</t>
  </si>
  <si>
    <t>ＷＧ</t>
  </si>
  <si>
    <t>品目</t>
  </si>
  <si>
    <t>枝番１</t>
  </si>
  <si>
    <t>枝番２</t>
  </si>
  <si>
    <t>枝番３</t>
  </si>
  <si>
    <t>品名</t>
  </si>
  <si>
    <t>場所</t>
    <rPh sb="0" eb="2">
      <t>バショ</t>
    </rPh>
    <phoneticPr fontId="4"/>
  </si>
  <si>
    <t>場所名</t>
    <rPh sb="0" eb="2">
      <t>バショ</t>
    </rPh>
    <rPh sb="2" eb="3">
      <t>メイ</t>
    </rPh>
    <phoneticPr fontId="4"/>
  </si>
  <si>
    <t>工程名</t>
    <rPh sb="0" eb="2">
      <t>コウテイ</t>
    </rPh>
    <rPh sb="2" eb="3">
      <t>メイ</t>
    </rPh>
    <phoneticPr fontId="4"/>
  </si>
  <si>
    <t>品目ＣＤ</t>
    <phoneticPr fontId="2"/>
  </si>
  <si>
    <t>場所ＣＤ</t>
    <rPh sb="0" eb="2">
      <t>バショ</t>
    </rPh>
    <phoneticPr fontId="4"/>
  </si>
  <si>
    <t>場所</t>
    <rPh sb="0" eb="2">
      <t>バショ</t>
    </rPh>
    <phoneticPr fontId="5"/>
  </si>
  <si>
    <t>場所名</t>
    <rPh sb="2" eb="3">
      <t>メイ</t>
    </rPh>
    <phoneticPr fontId="4"/>
  </si>
  <si>
    <t>工程パタン</t>
    <rPh sb="0" eb="2">
      <t>コウテイ</t>
    </rPh>
    <phoneticPr fontId="5"/>
  </si>
  <si>
    <t>工程</t>
    <rPh sb="0" eb="2">
      <t>コウテイ</t>
    </rPh>
    <phoneticPr fontId="5"/>
  </si>
  <si>
    <t>工程名</t>
    <rPh sb="2" eb="3">
      <t>メイ</t>
    </rPh>
    <phoneticPr fontId="4"/>
  </si>
  <si>
    <t>工程連番</t>
    <rPh sb="0" eb="2">
      <t>コウテイ</t>
    </rPh>
    <rPh sb="2" eb="3">
      <t>レン</t>
    </rPh>
    <rPh sb="3" eb="4">
      <t>バン</t>
    </rPh>
    <phoneticPr fontId="5"/>
  </si>
  <si>
    <t>場所ＣＤ</t>
    <rPh sb="0" eb="2">
      <t>バショ</t>
    </rPh>
    <phoneticPr fontId="5"/>
  </si>
  <si>
    <t>原価対象外</t>
    <rPh sb="0" eb="2">
      <t>ゲンカ</t>
    </rPh>
    <phoneticPr fontId="5"/>
  </si>
  <si>
    <t>工程ＣＤ</t>
    <rPh sb="0" eb="2">
      <t>コウテイ</t>
    </rPh>
    <phoneticPr fontId="5"/>
  </si>
  <si>
    <t>工程ＣＤ</t>
    <rPh sb="0" eb="2">
      <t>コウテイ</t>
    </rPh>
    <phoneticPr fontId="4"/>
  </si>
  <si>
    <t>@</t>
    <phoneticPr fontId="2"/>
  </si>
  <si>
    <t>loc_cd</t>
  </si>
  <si>
    <t>not_cost_flg</t>
  </si>
  <si>
    <t>loc_nm</t>
  </si>
  <si>
    <t>#MA.OPER_NM</t>
    <phoneticPr fontId="2"/>
  </si>
  <si>
    <t>#MA.WG_NM</t>
    <phoneticPr fontId="2"/>
  </si>
  <si>
    <t>C2A</t>
    <phoneticPr fontId="2"/>
  </si>
  <si>
    <t>FA</t>
    <phoneticPr fontId="2"/>
  </si>
  <si>
    <t>C</t>
    <phoneticPr fontId="2"/>
  </si>
  <si>
    <t>Key</t>
    <phoneticPr fontId="2"/>
  </si>
  <si>
    <t>CndTab</t>
  </si>
  <si>
    <t>tab1</t>
  </si>
  <si>
    <t>Tab1</t>
  </si>
  <si>
    <t>tab2</t>
  </si>
  <si>
    <t>Tab2</t>
  </si>
  <si>
    <t>検索</t>
  </si>
  <si>
    <t>wg_cd@Tab1</t>
  </si>
  <si>
    <t>wg_nm@Tab1</t>
  </si>
  <si>
    <t>loc_cd@Tab1</t>
  </si>
  <si>
    <t>loc_nm@Tab1</t>
  </si>
  <si>
    <t>oper_cd@Tab1</t>
  </si>
  <si>
    <t>oper_nm@Tab1</t>
  </si>
  <si>
    <t>del_flg_lab@Tab1</t>
  </si>
  <si>
    <t>off_del_flg@Tab1</t>
  </si>
  <si>
    <t>on_del_flg@Tab1</t>
  </si>
  <si>
    <t>memo1@Tab1</t>
  </si>
  <si>
    <t>memo2@Tab1</t>
  </si>
  <si>
    <t>memo3@Tab1</t>
  </si>
  <si>
    <t>品目分類１</t>
  </si>
  <si>
    <t>品目分類２</t>
  </si>
  <si>
    <t>品目分類３</t>
  </si>
  <si>
    <t>品目分類４</t>
  </si>
  <si>
    <t>品目分類５</t>
  </si>
  <si>
    <t>品目分類６</t>
  </si>
  <si>
    <t>品目分類７</t>
  </si>
  <si>
    <t>品目分類８</t>
  </si>
  <si>
    <t>品目分類９</t>
  </si>
  <si>
    <t>品目分類１０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</si>
  <si>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</si>
  <si>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</si>
  <si>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</si>
  <si>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</si>
  <si>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</si>
  <si>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</si>
  <si>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</si>
  <si>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</si>
  <si>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</si>
  <si>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</si>
  <si>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</si>
  <si>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</si>
  <si>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</si>
  <si>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</si>
  <si>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</si>
  <si>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</si>
  <si>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</si>
  <si>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</si>
  <si>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</si>
  <si>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</si>
  <si>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品目分類ＣＤ１</t>
  </si>
  <si>
    <t>品目分類名１</t>
  </si>
  <si>
    <t>品目分類ＣＤ２</t>
  </si>
  <si>
    <t>品目分類名２</t>
  </si>
  <si>
    <t>品目分類ＣＤ３</t>
  </si>
  <si>
    <t>品目分類名３</t>
  </si>
  <si>
    <t>品目分類ＣＤ４</t>
  </si>
  <si>
    <t>品目分類名４</t>
  </si>
  <si>
    <t>品目分類ＣＤ５</t>
  </si>
  <si>
    <t>品目分類名５</t>
  </si>
  <si>
    <t>品目分類ＣＤ６</t>
  </si>
  <si>
    <t>品目分類名６</t>
  </si>
  <si>
    <t>品目分類ＣＤ７</t>
  </si>
  <si>
    <t>品目分類名７</t>
  </si>
  <si>
    <t>品目分類ＣＤ８</t>
  </si>
  <si>
    <t>品目分類名８</t>
  </si>
  <si>
    <t>品目分類ＣＤ９</t>
  </si>
  <si>
    <t>品目分類名９</t>
  </si>
  <si>
    <t>品目分類ＣＤ１０</t>
  </si>
  <si>
    <t>品目分類名１０</t>
  </si>
  <si>
    <t>correct_dup_dt</t>
  </si>
  <si>
    <t>重複期間補正</t>
  </si>
  <si>
    <t>Sprt01_Dtl</t>
    <phoneticPr fontId="2"/>
  </si>
  <si>
    <t>適用開始日</t>
  </si>
  <si>
    <t>適用終了日</t>
  </si>
  <si>
    <t>upd_dt</t>
  </si>
  <si>
    <t>適用日反映</t>
  </si>
  <si>
    <t>loc_nm</t>
    <phoneticPr fontId="2"/>
  </si>
  <si>
    <t>LIST_OUT_BASE</t>
    <phoneticPr fontId="2"/>
  </si>
  <si>
    <t>itm_grp_nm</t>
    <phoneticPr fontId="2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</si>
  <si>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</si>
  <si>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</si>
  <si>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</si>
  <si>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</si>
  <si>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itm_p</t>
    <phoneticPr fontId="9"/>
  </si>
  <si>
    <t>itm_p.itm_cd#</t>
    <phoneticPr fontId="2"/>
  </si>
  <si>
    <t>itm_p.itm_sub1#</t>
    <phoneticPr fontId="9"/>
  </si>
  <si>
    <t>itm_p.itm_sub2#</t>
    <phoneticPr fontId="9"/>
  </si>
  <si>
    <t>itm_p.itm_sub3#</t>
    <phoneticPr fontId="9"/>
  </si>
  <si>
    <t>itm_p.itm_nm#</t>
    <phoneticPr fontId="2"/>
  </si>
  <si>
    <t>wg_nm</t>
    <phoneticPr fontId="2"/>
  </si>
  <si>
    <t>ＷＧ</t>
    <phoneticPr fontId="2"/>
  </si>
  <si>
    <t>#MA.FCM_USR_NM</t>
    <phoneticPr fontId="2"/>
  </si>
  <si>
    <t>wg_cd</t>
    <phoneticPr fontId="2"/>
  </si>
  <si>
    <t>itm_p@Tab1</t>
  </si>
  <si>
    <t>itm_p.itm_cd#</t>
    <phoneticPr fontId="2"/>
  </si>
  <si>
    <t>itm_p.itm_sub1#</t>
    <phoneticPr fontId="2"/>
  </si>
  <si>
    <t>itm_p.itm_sub3#</t>
    <phoneticPr fontId="2"/>
  </si>
  <si>
    <t>itm_p.itm_nm#</t>
    <phoneticPr fontId="2"/>
  </si>
  <si>
    <t>ワーキンググループＣＤ</t>
    <phoneticPr fontId="2"/>
  </si>
  <si>
    <t>ワーキンググループ名</t>
    <rPh sb="9" eb="10">
      <t>メイ</t>
    </rPh>
    <phoneticPr fontId="4"/>
  </si>
  <si>
    <t>ＷＧ名</t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</si>
  <si>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</si>
  <si>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</si>
  <si>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itm_typ_p@Tab1</t>
    <phoneticPr fontId="2"/>
  </si>
  <si>
    <t>itm_typ_p.itm_typ#par_itm_typ</t>
    <phoneticPr fontId="2"/>
  </si>
  <si>
    <t>itm_typ_p.itm_typ_nm#par_itm_typ_nm</t>
    <phoneticPr fontId="2"/>
  </si>
  <si>
    <t>itm_typ_p.itm_typ_d_cd#par_itm_typ_d_cd</t>
    <phoneticPr fontId="2"/>
  </si>
  <si>
    <t>itm_typ_p.itm_typ_d_nm#par_itm_typ_d_nm</t>
    <phoneticPr fontId="2"/>
  </si>
  <si>
    <t>LIST_IN</t>
  </si>
  <si>
    <t>LIST_IN_BASE</t>
  </si>
  <si>
    <t>論理削除.オフ</t>
    <phoneticPr fontId="2"/>
  </si>
  <si>
    <t>オフ</t>
    <phoneticPr fontId="2"/>
  </si>
  <si>
    <t>論理削除.オン</t>
    <phoneticPr fontId="2"/>
  </si>
  <si>
    <t>オン</t>
    <phoneticPr fontId="2"/>
  </si>
  <si>
    <t>Top</t>
  </si>
  <si>
    <t>fold</t>
  </si>
  <si>
    <t>ctrl</t>
  </si>
  <si>
    <t>Fold</t>
  </si>
  <si>
    <t>cnd</t>
  </si>
  <si>
    <t>N</t>
    <phoneticPr fontId="2"/>
  </si>
  <si>
    <t>CT+</t>
    <phoneticPr fontId="2"/>
  </si>
  <si>
    <t>Ctrl</t>
  </si>
  <si>
    <t>BulkSet</t>
    <phoneticPr fontId="2"/>
  </si>
  <si>
    <t>CBC</t>
    <phoneticPr fontId="2"/>
  </si>
  <si>
    <t>ENABLE_SRCH</t>
    <phoneticPr fontId="2"/>
  </si>
  <si>
    <t>MABSP0110</t>
    <phoneticPr fontId="2"/>
  </si>
  <si>
    <t>MABSP_OperWkCostReg</t>
    <phoneticPr fontId="2"/>
  </si>
  <si>
    <t>工程工数マスタ登録</t>
    <rPh sb="0" eb="2">
      <t>コウテイ</t>
    </rPh>
    <rPh sb="2" eb="4">
      <t>コウスウ</t>
    </rPh>
    <phoneticPr fontId="2"/>
  </si>
  <si>
    <t>工程工数マスタの検索、更新、削除を行います。</t>
    <rPh sb="0" eb="2">
      <t>コウテイ</t>
    </rPh>
    <rPh sb="2" eb="4">
      <t>コウスウ</t>
    </rPh>
    <rPh sb="14" eb="16">
      <t>サクジョ</t>
    </rPh>
    <phoneticPr fontId="2"/>
  </si>
  <si>
    <t>工数管理ＣＤ</t>
    <rPh sb="0" eb="2">
      <t>コウスウ</t>
    </rPh>
    <rPh sb="2" eb="4">
      <t>カンリ</t>
    </rPh>
    <phoneticPr fontId="4"/>
  </si>
  <si>
    <t>工数管理名</t>
    <rPh sb="0" eb="2">
      <t>コウスウ</t>
    </rPh>
    <rPh sb="2" eb="4">
      <t>カンリ</t>
    </rPh>
    <rPh sb="4" eb="5">
      <t>メイ</t>
    </rPh>
    <phoneticPr fontId="4"/>
  </si>
  <si>
    <t>工程</t>
    <rPh sb="0" eb="2">
      <t>コウテイ</t>
    </rPh>
    <phoneticPr fontId="2"/>
  </si>
  <si>
    <t>工数管理</t>
    <rPh sb="0" eb="2">
      <t>コウスウ</t>
    </rPh>
    <rPh sb="2" eb="4">
      <t>カンリ</t>
    </rPh>
    <phoneticPr fontId="2"/>
  </si>
  <si>
    <t>MA.MAUAP0010.WkCost</t>
    <phoneticPr fontId="2"/>
  </si>
  <si>
    <t>工数管理ＣＤ</t>
    <rPh sb="0" eb="2">
      <t>コウスウ</t>
    </rPh>
    <rPh sb="2" eb="4">
      <t>カンリ</t>
    </rPh>
    <phoneticPr fontId="5"/>
  </si>
  <si>
    <t>工数管理</t>
    <rPh sb="0" eb="2">
      <t>コウスウ</t>
    </rPh>
    <rPh sb="2" eb="4">
      <t>カンリ</t>
    </rPh>
    <phoneticPr fontId="5"/>
  </si>
  <si>
    <t>工数（固定）</t>
    <rPh sb="0" eb="2">
      <t>コウスウ</t>
    </rPh>
    <rPh sb="3" eb="5">
      <t>コテイ</t>
    </rPh>
    <phoneticPr fontId="5"/>
  </si>
  <si>
    <t>工数（数量依存）</t>
    <rPh sb="0" eb="2">
      <t>コウスウ</t>
    </rPh>
    <rPh sb="3" eb="5">
      <t>スウリョウ</t>
    </rPh>
    <rPh sb="5" eb="7">
      <t>イゾン</t>
    </rPh>
    <phoneticPr fontId="5"/>
  </si>
  <si>
    <t>基準数量</t>
    <rPh sb="0" eb="2">
      <t>キジュン</t>
    </rPh>
    <rPh sb="2" eb="4">
      <t>スウリョウ</t>
    </rPh>
    <phoneticPr fontId="2"/>
  </si>
  <si>
    <t>基準単位ＣＤ</t>
    <rPh sb="0" eb="2">
      <t>キジュン</t>
    </rPh>
    <rPh sb="2" eb="4">
      <t>タンイ</t>
    </rPh>
    <phoneticPr fontId="6"/>
  </si>
  <si>
    <t>基準単位名</t>
    <rPh sb="0" eb="2">
      <t>キジュン</t>
    </rPh>
    <rPh sb="2" eb="4">
      <t>タンイ</t>
    </rPh>
    <rPh sb="4" eb="5">
      <t>メイ</t>
    </rPh>
    <phoneticPr fontId="5"/>
  </si>
  <si>
    <t>基準単位</t>
    <rPh sb="0" eb="2">
      <t>キジュン</t>
    </rPh>
    <rPh sb="2" eb="4">
      <t>タンイ</t>
    </rPh>
    <phoneticPr fontId="2"/>
  </si>
  <si>
    <t>RO</t>
    <phoneticPr fontId="2"/>
  </si>
  <si>
    <t>F</t>
    <phoneticPr fontId="2"/>
  </si>
  <si>
    <t>表示順</t>
    <rPh sb="0" eb="2">
      <t>ヒョウジ</t>
    </rPh>
    <rPh sb="2" eb="3">
      <t>ジュン</t>
    </rPh>
    <phoneticPr fontId="5"/>
  </si>
  <si>
    <t>自動工数計算</t>
    <rPh sb="0" eb="2">
      <t>ジドウ</t>
    </rPh>
    <rPh sb="2" eb="4">
      <t>コウスウ</t>
    </rPh>
    <rPh sb="4" eb="6">
      <t>ケイサン</t>
    </rPh>
    <phoneticPr fontId="5"/>
  </si>
  <si>
    <t>工数管理単位名</t>
    <rPh sb="0" eb="2">
      <t>コウスウ</t>
    </rPh>
    <rPh sb="2" eb="4">
      <t>カンリ</t>
    </rPh>
    <rPh sb="4" eb="6">
      <t>タンイ</t>
    </rPh>
    <rPh sb="6" eb="7">
      <t>メイ</t>
    </rPh>
    <phoneticPr fontId="4"/>
  </si>
  <si>
    <t>工数管理単位小数部有効桁数</t>
    <rPh sb="0" eb="2">
      <t>コウスウ</t>
    </rPh>
    <rPh sb="2" eb="4">
      <t>カンリ</t>
    </rPh>
    <rPh sb="4" eb="6">
      <t>タンイ</t>
    </rPh>
    <rPh sb="6" eb="9">
      <t>ショウスウブ</t>
    </rPh>
    <rPh sb="9" eb="11">
      <t>ユウコウ</t>
    </rPh>
    <rPh sb="11" eb="13">
      <t>ケタスウ</t>
    </rPh>
    <phoneticPr fontId="4"/>
  </si>
  <si>
    <t>工数管理単位端数処理区分</t>
    <rPh sb="0" eb="2">
      <t>コウスウ</t>
    </rPh>
    <rPh sb="2" eb="4">
      <t>カンリ</t>
    </rPh>
    <rPh sb="4" eb="6">
      <t>タンイ</t>
    </rPh>
    <rPh sb="6" eb="8">
      <t>ハスウ</t>
    </rPh>
    <rPh sb="8" eb="10">
      <t>ショリ</t>
    </rPh>
    <rPh sb="10" eb="12">
      <t>クブン</t>
    </rPh>
    <phoneticPr fontId="4"/>
  </si>
  <si>
    <t>wk_cost_nm;wk_cost_unit_nm;wk_cost_unit_dec_place;wk_cost_unit_rnd_typ</t>
    <phoneticPr fontId="2"/>
  </si>
  <si>
    <t>qty_p</t>
    <phoneticPr fontId="2"/>
  </si>
  <si>
    <t>qty_p.qty#base_qty</t>
    <phoneticPr fontId="2"/>
  </si>
  <si>
    <t>itm_typ</t>
  </si>
  <si>
    <t>品目区分</t>
    <rPh sb="0" eb="2">
      <t>ヒンモク</t>
    </rPh>
    <rPh sb="2" eb="4">
      <t>クブン</t>
    </rPh>
    <phoneticPr fontId="3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</si>
  <si>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</si>
  <si>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3"/>
  </si>
  <si>
    <t>itm_typ_d_cd</t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</si>
  <si>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</si>
  <si>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</si>
  <si>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itm_typ_d_nm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</si>
  <si>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</si>
  <si>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itm_nm;itm_sub1;itm_sub2;itm_sub3;itm_typ;itm_typ_nm;itm_typ_d_cd;itm_typ_d_nm;unit_cd;unit_nm;dec_place</t>
    <phoneticPr fontId="2"/>
  </si>
  <si>
    <t>itm_nm;itm_sub3;itm_typ;itm_typ_nm;itm_typ_d_cd;itm_typ_d_nm;unit_cd;unit_nm;dec_place</t>
    <phoneticPr fontId="2"/>
  </si>
  <si>
    <t>itm_nm;itm_typ;itm_typ_nm;itm_typ_d_cd;itm_typ_d_nm;unit_cd;unit_nm;dec_place</t>
    <phoneticPr fontId="2"/>
  </si>
  <si>
    <t>品目分類</t>
    <phoneticPr fontId="2"/>
  </si>
  <si>
    <t>oper_ptn</t>
    <phoneticPr fontId="2"/>
  </si>
  <si>
    <t>oper_seq</t>
    <phoneticPr fontId="2"/>
  </si>
  <si>
    <t>UPD,登録・訂正する,0;DEL,削除する（管理者）,1;REF,参照する,3</t>
    <rPh sb="34" eb="36">
      <t>サンショウ</t>
    </rPh>
    <phoneticPr fontId="2"/>
  </si>
  <si>
    <t>oper_cd</t>
    <phoneticPr fontId="2"/>
  </si>
  <si>
    <t>oper_nm</t>
    <phoneticPr fontId="2"/>
  </si>
  <si>
    <t>wk_cost_unit_rnd_typ</t>
    <phoneticPr fontId="2"/>
  </si>
  <si>
    <t>wk_cost_unit_dec_place</t>
    <phoneticPr fontId="2"/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</si>
  <si>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</si>
  <si>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</si>
  <si>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</si>
  <si>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</si>
  <si>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</si>
  <si>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</si>
  <si>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</si>
  <si>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</si>
  <si>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</si>
  <si>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</si>
  <si>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</si>
  <si>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</si>
  <si>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nullval_wg_cd</t>
    <phoneticPr fontId="2"/>
  </si>
  <si>
    <t>ＷＧ（場所）</t>
    <phoneticPr fontId="2"/>
  </si>
  <si>
    <t>ワーキンググループ（場所）</t>
    <rPh sb="10" eb="12">
      <t>バショ</t>
    </rPh>
    <phoneticPr fontId="2"/>
  </si>
  <si>
    <t>品目小数部有効桁数</t>
    <rPh sb="0" eb="2">
      <t>ヒンモク</t>
    </rPh>
    <rPh sb="2" eb="5">
      <t>ショウスウブ</t>
    </rPh>
    <rPh sb="5" eb="7">
      <t>ユウコウ</t>
    </rPh>
    <rPh sb="7" eb="9">
      <t>ケタスウ</t>
    </rPh>
    <phoneticPr fontId="4"/>
  </si>
  <si>
    <t>itm_nm;itm_sub2;itm_sub3;itm_typ;itm_typ_nm;itm_typ_d_cd;itm_typ_d_nm;base_unit_cd;base_unit_nm;itm_dec_place</t>
    <phoneticPr fontId="2"/>
  </si>
  <si>
    <t>itm_dec_place</t>
    <phoneticPr fontId="2"/>
  </si>
  <si>
    <t>C2</t>
    <phoneticPr fontId="2"/>
  </si>
  <si>
    <t>ACType :</t>
    <phoneticPr fontId="2"/>
  </si>
  <si>
    <t>ScreenType :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</si>
  <si>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</si>
  <si>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</si>
  <si>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</si>
  <si>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</si>
  <si>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</si>
  <si>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</si>
  <si>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</si>
  <si>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</si>
  <si>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</si>
  <si>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</si>
  <si>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</si>
  <si>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</si>
  <si>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</si>
  <si>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</si>
  <si>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概要：</t>
    <phoneticPr fontId="2"/>
  </si>
  <si>
    <t>K</t>
    <phoneticPr fontId="7"/>
  </si>
  <si>
    <t>M</t>
    <phoneticPr fontId="2"/>
  </si>
  <si>
    <t>REF</t>
    <phoneticPr fontId="2"/>
  </si>
  <si>
    <t>o</t>
    <phoneticPr fontId="2"/>
  </si>
  <si>
    <t>000000</t>
    <phoneticPr fontId="2"/>
  </si>
  <si>
    <t>S</t>
    <phoneticPr fontId="2"/>
  </si>
  <si>
    <t>NW</t>
    <phoneticPr fontId="2"/>
  </si>
  <si>
    <t>$fit$</t>
    <phoneticPr fontId="2"/>
  </si>
  <si>
    <t>NWXC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</si>
  <si>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</si>
  <si>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</si>
  <si>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</si>
  <si>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</si>
  <si>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CndTab</t>
    <phoneticPr fontId="2"/>
  </si>
  <si>
    <t>TAB</t>
    <phoneticPr fontId="2"/>
  </si>
  <si>
    <t>Tab1</t>
    <phoneticPr fontId="2"/>
  </si>
  <si>
    <t>Tab2</t>
    <phoneticPr fontId="2"/>
  </si>
  <si>
    <t>Srch01_Cnd</t>
    <phoneticPr fontId="2"/>
  </si>
  <si>
    <t>#MA.FLG</t>
    <phoneticPr fontId="2"/>
  </si>
  <si>
    <t>K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</si>
  <si>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</si>
  <si>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</si>
  <si>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</si>
  <si>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</si>
  <si>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</si>
  <si>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</si>
  <si>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</si>
  <si>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</si>
  <si>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</si>
  <si>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</si>
  <si>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MA.MAUAP0010.MfgWg</t>
    <phoneticPr fontId="2"/>
  </si>
  <si>
    <t>MA.MAUBP0100.ItmTyp</t>
    <phoneticPr fontId="2"/>
  </si>
  <si>
    <t>itm_typ</t>
    <phoneticPr fontId="2"/>
  </si>
  <si>
    <t>itm_typ_d_cd</t>
    <phoneticPr fontId="2"/>
  </si>
  <si>
    <t>itm_typ_d_nm</t>
    <phoneticPr fontId="2"/>
  </si>
  <si>
    <t>MA.MAUBP0030.Itm</t>
    <phoneticPr fontId="2"/>
  </si>
  <si>
    <t>MA.MAUAP0010.Itm</t>
    <phoneticPr fontId="2"/>
  </si>
  <si>
    <t>MAC_ITM_IS_SRCH_TYP.ASSET1</t>
    <phoneticPr fontId="2"/>
  </si>
  <si>
    <t>itm_is_srch_typ</t>
    <phoneticPr fontId="2"/>
  </si>
  <si>
    <t>itm_cd</t>
    <phoneticPr fontId="2"/>
  </si>
  <si>
    <t>MA.MAUAP0010.ItmSub1</t>
    <phoneticPr fontId="2"/>
  </si>
  <si>
    <t>MAC_ITM_IS_SRCH_TYP.ASSET1;itm_cd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</si>
  <si>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</si>
  <si>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</si>
  <si>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</si>
  <si>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</si>
  <si>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</si>
  <si>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</si>
  <si>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MAC_ITM_IS_SRCH_TYP.ASSET1;itm_cd;itm_sub1;itm_sub2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</si>
  <si>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</si>
  <si>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</si>
  <si>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</si>
  <si>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#MA.LOC_CD</t>
    <phoneticPr fontId="2"/>
  </si>
  <si>
    <t>FFA</t>
    <phoneticPr fontId="2"/>
  </si>
  <si>
    <t>MA.MAUAP0010.Loc</t>
    <phoneticPr fontId="2"/>
  </si>
  <si>
    <t>MAC_LOC_IS_SRCH_TYP.MFG_WG_HOUSE</t>
    <phoneticPr fontId="2"/>
  </si>
  <si>
    <t>loc_is_srch_typ</t>
    <phoneticPr fontId="2"/>
  </si>
  <si>
    <t>#MA.LOC_NM</t>
    <phoneticPr fontId="2"/>
  </si>
  <si>
    <t>#MA.OPER_CD</t>
    <phoneticPr fontId="2"/>
  </si>
  <si>
    <t>MA.MAUAP0010.Oper</t>
    <phoneticPr fontId="2"/>
  </si>
  <si>
    <t>#MA.WK_COST_CD</t>
    <phoneticPr fontId="2"/>
  </si>
  <si>
    <t>wk_cost_nm</t>
    <phoneticPr fontId="2"/>
  </si>
  <si>
    <t>#MA.WK_COST_NM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</si>
  <si>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</si>
  <si>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</si>
  <si>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</si>
  <si>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</si>
  <si>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#MA.ITM_GRP_CD</t>
    <phoneticPr fontId="2"/>
  </si>
  <si>
    <t>MA.MAUAP0010.ItmGrp1</t>
    <phoneticPr fontId="2"/>
  </si>
  <si>
    <t>itm_grp_nm1</t>
    <phoneticPr fontId="2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</si>
  <si>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</si>
  <si>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</si>
  <si>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</si>
  <si>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</si>
  <si>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</si>
  <si>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</si>
  <si>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</si>
  <si>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</si>
  <si>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</si>
  <si>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</si>
  <si>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</si>
  <si>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</si>
  <si>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</si>
  <si>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</si>
  <si>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</si>
  <si>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</si>
  <si>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</si>
  <si>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</si>
  <si>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</si>
  <si>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$</t>
    <phoneticPr fontId="2"/>
  </si>
  <si>
    <t>NV</t>
    <phoneticPr fontId="2"/>
  </si>
  <si>
    <t>FX.FXBAP0130</t>
    <phoneticPr fontId="2"/>
  </si>
  <si>
    <t>0,0</t>
    <phoneticPr fontId="2"/>
  </si>
  <si>
    <t>AB</t>
    <phoneticPr fontId="2"/>
  </si>
  <si>
    <t>F1</t>
    <phoneticPr fontId="2"/>
  </si>
  <si>
    <t>I</t>
    <phoneticPr fontId="2"/>
  </si>
  <si>
    <t>CBN</t>
    <phoneticPr fontId="2"/>
  </si>
  <si>
    <t>#MA.DT</t>
    <phoneticPr fontId="2"/>
  </si>
  <si>
    <t>F7</t>
    <phoneticPr fontId="2"/>
  </si>
  <si>
    <t>TBL</t>
    <phoneticPr fontId="2"/>
  </si>
  <si>
    <t>Srch01_Rslt</t>
    <phoneticPr fontId="2"/>
  </si>
  <si>
    <t>Upd01_Dtl</t>
    <phoneticPr fontId="2"/>
  </si>
  <si>
    <t>Del01_Dtl</t>
    <phoneticPr fontId="2"/>
  </si>
  <si>
    <t>CM</t>
    <phoneticPr fontId="2"/>
  </si>
  <si>
    <t>MA.MAUBP5030.Itm</t>
    <phoneticPr fontId="9"/>
  </si>
  <si>
    <t>REQUIRED</t>
    <phoneticPr fontId="2"/>
  </si>
  <si>
    <t>READ_ONLY</t>
    <phoneticPr fontId="2"/>
  </si>
  <si>
    <t>itm_nm;itm_sub1;itm_sub2;itm_sub3;itm_typ;itm_typ_nm;itm_typ_d_cd;itm_typ_d_nm;base_unit_cd;base_unit_nm;itm_dec_place</t>
    <phoneticPr fontId="2"/>
  </si>
  <si>
    <t>itm_nm;itm_sub2;itm_sub3;itm_typ;itm_typ_nm;itm_typ_d_cd;itm_typ_d_nm;unit_cd;unit_nm;dec_place</t>
    <phoneticPr fontId="2"/>
  </si>
  <si>
    <t>itm_sub1</t>
    <phoneticPr fontId="9"/>
  </si>
  <si>
    <t>itm_nm;itm_sub3;itm_typ;itm_typ_nm;itm_typ_d_cd;itm_typ_d_nm;base_unit_cd;base_unit_nm;itm_dec_place</t>
    <phoneticPr fontId="2"/>
  </si>
  <si>
    <t>itm_sub2</t>
    <phoneticPr fontId="9"/>
  </si>
  <si>
    <t>itm_nm;itm_typ;itm_typ_nm;itm_typ_d_cd;itm_typ_d_nm;base_unit_cd;base_unit_nm;itm_dec_place</t>
    <phoneticPr fontId="2"/>
  </si>
  <si>
    <t>itm_sub3</t>
    <phoneticPr fontId="9"/>
  </si>
  <si>
    <t>#MA.ITM_TYP</t>
    <phoneticPr fontId="2"/>
  </si>
  <si>
    <t>MA.MAUAP0010.ItmTyp</t>
    <phoneticPr fontId="2"/>
  </si>
  <si>
    <t>itm_typ_nm</t>
    <phoneticPr fontId="2"/>
  </si>
  <si>
    <t>#MA.ITM_TYP_NM</t>
    <phoneticPr fontId="2"/>
  </si>
  <si>
    <t>#MA.ITM_TYP_D_CD</t>
    <phoneticPr fontId="2"/>
  </si>
  <si>
    <t>#MA.ITM_TYP_D_NM</t>
    <phoneticPr fontId="2"/>
  </si>
  <si>
    <t>loc_nm;wg_cd;wg_nm</t>
    <phoneticPr fontId="2"/>
  </si>
  <si>
    <t>MAC_LOC_IS_SRCH_TYP.MFG_WG_HOUSE;true</t>
    <phoneticPr fontId="2"/>
  </si>
  <si>
    <t>loc_is_srch_typ;wr_flg</t>
    <phoneticPr fontId="2"/>
  </si>
  <si>
    <t>#MA.OPER_PTN</t>
    <phoneticPr fontId="2"/>
  </si>
  <si>
    <t>MA.MAUAP0010.ItmOper</t>
    <phoneticPr fontId="2"/>
  </si>
  <si>
    <t>#MA.OPER_SEQ</t>
    <phoneticPr fontId="2"/>
  </si>
  <si>
    <t>wk_cost_nm;wk_cost_unit_nm;dec_place;rnd_typ</t>
    <phoneticPr fontId="2"/>
  </si>
  <si>
    <t>#MA.WK_COST_UNIT_NM</t>
    <phoneticPr fontId="2"/>
  </si>
  <si>
    <t>#MA.DEC_PLACE</t>
    <phoneticPr fontId="2"/>
  </si>
  <si>
    <t>#MA.RND_TYP</t>
    <phoneticPr fontId="2"/>
  </si>
  <si>
    <t>MA.MAUBP5010.Dt</t>
    <phoneticPr fontId="2"/>
  </si>
  <si>
    <t>st_dt_key</t>
    <phoneticPr fontId="2"/>
  </si>
  <si>
    <t>st_dt</t>
    <phoneticPr fontId="2"/>
  </si>
  <si>
    <t>end_dt</t>
    <phoneticPr fontId="2"/>
  </si>
  <si>
    <t>#MA.WK_COST_QTY</t>
    <phoneticPr fontId="2"/>
  </si>
  <si>
    <t>MA.MAUBP5040.Qty</t>
    <phoneticPr fontId="2"/>
  </si>
  <si>
    <t>base_qty</t>
    <phoneticPr fontId="2"/>
  </si>
  <si>
    <t>#MA.UNIT_CD</t>
    <phoneticPr fontId="2"/>
  </si>
  <si>
    <t>#MA.UNIT_NM</t>
    <phoneticPr fontId="2"/>
  </si>
  <si>
    <t>#MA.INT</t>
    <phoneticPr fontId="2"/>
  </si>
  <si>
    <t>#MA.FCM_USR_ID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</si>
  <si>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</si>
  <si>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</si>
  <si>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</si>
  <si>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</si>
  <si>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</si>
  <si>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</si>
  <si>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</si>
  <si>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</si>
  <si>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</si>
  <si>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</si>
  <si>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</si>
  <si>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</si>
  <si>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</si>
  <si>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</si>
  <si>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</si>
  <si>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</si>
  <si>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</si>
  <si>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</si>
  <si>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</si>
  <si>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</si>
  <si>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</si>
  <si>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</si>
  <si>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</si>
  <si>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</si>
  <si>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</si>
  <si>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</si>
  <si>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</si>
  <si>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</si>
  <si>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</si>
  <si>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</si>
  <si>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7"/>
  </si>
  <si>
    <t>Method/Target</t>
    <phoneticPr fontId="2"/>
  </si>
  <si>
    <t>Out</t>
    <phoneticPr fontId="2"/>
  </si>
  <si>
    <t>Version</t>
    <phoneticPr fontId="2"/>
  </si>
  <si>
    <t>Cnd</t>
    <phoneticPr fontId="2"/>
  </si>
  <si>
    <t>wk_cost_cd@Tab1</t>
    <phoneticPr fontId="2"/>
  </si>
  <si>
    <t>wk_cost_nm@Tab1</t>
    <phoneticPr fontId="2"/>
  </si>
  <si>
    <t>Dtl</t>
    <phoneticPr fontId="2"/>
  </si>
  <si>
    <t>wk_cost_cd</t>
    <phoneticPr fontId="2"/>
  </si>
  <si>
    <t>wk_cost_unit_nm</t>
    <phoneticPr fontId="2"/>
  </si>
  <si>
    <t>dt_p.st_dt_key#</t>
  </si>
  <si>
    <t>fxd_wk_cost</t>
    <phoneticPr fontId="2"/>
  </si>
  <si>
    <t>wk_cost</t>
    <phoneticPr fontId="2"/>
  </si>
  <si>
    <t>base_unit_cd</t>
    <phoneticPr fontId="2"/>
  </si>
  <si>
    <t>base_unit_nm</t>
    <phoneticPr fontId="2"/>
  </si>
  <si>
    <t>wk_cost_calc_flg</t>
    <phoneticPr fontId="2"/>
  </si>
  <si>
    <t>disp_seq</t>
    <phoneticPr fontId="2"/>
  </si>
  <si>
    <t>radd</t>
    <phoneticPr fontId="2"/>
  </si>
  <si>
    <t>rdel</t>
    <phoneticPr fontId="2"/>
  </si>
  <si>
    <t>rcopy</t>
    <phoneticPr fontId="2"/>
  </si>
  <si>
    <t>upd_cmn</t>
    <phoneticPr fontId="2"/>
  </si>
  <si>
    <t>upd_wg</t>
    <phoneticPr fontId="2"/>
  </si>
  <si>
    <t>del_cmn@EastBtn</t>
    <phoneticPr fontId="2"/>
  </si>
  <si>
    <t>del_wg@EastBtn</t>
    <phoneticPr fontId="2"/>
  </si>
  <si>
    <t>詳細 :</t>
    <rPh sb="0" eb="2">
      <t>ショウサイ</t>
    </rPh>
    <phoneticPr fontId="2"/>
  </si>
  <si>
    <t>MAC_ITM_IS_SRCH_TYP.ASSET1;itm_cd;itm_sub1</t>
    <phoneticPr fontId="2"/>
  </si>
  <si>
    <t>itm_p.itm_sub2#</t>
    <phoneticPr fontId="2"/>
  </si>
  <si>
    <t>SF</t>
    <phoneticPr fontId="2"/>
  </si>
  <si>
    <t>DISP_CTL</t>
    <phoneticPr fontId="2"/>
  </si>
  <si>
    <t>WG</t>
    <phoneticPr fontId="2"/>
  </si>
  <si>
    <t>MA.MABSL0110.Sprt01</t>
    <phoneticPr fontId="2"/>
  </si>
  <si>
    <t>MA.MABSL0110.Upd01</t>
    <phoneticPr fontId="2"/>
  </si>
  <si>
    <t>MA.MABSL0110.Del01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</si>
  <si>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</si>
  <si>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</si>
  <si>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</si>
  <si>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</si>
  <si>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</si>
  <si>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</si>
  <si>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</si>
  <si>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</si>
  <si>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</si>
  <si>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</si>
  <si>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</si>
  <si>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</si>
  <si>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</si>
  <si>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</si>
  <si>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7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</si>
  <si>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</si>
  <si>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</si>
  <si>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</si>
  <si>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</si>
  <si>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</si>
  <si>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</si>
  <si>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</si>
  <si>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</si>
  <si>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</si>
  <si>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</si>
  <si>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</si>
  <si>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Item classification</t>
  </si>
  <si>
    <t>UPD,Create/Modify,0;DEL,Delete (Administrator),1;REF,View,3</t>
  </si>
  <si>
    <t>Common</t>
  </si>
  <si>
    <t>WG (Location)</t>
  </si>
  <si>
    <t>WG cd.</t>
  </si>
  <si>
    <t>WG name</t>
  </si>
  <si>
    <t>Location cd.</t>
  </si>
  <si>
    <t>Location name</t>
  </si>
  <si>
    <t>Operation cd.</t>
  </si>
  <si>
    <t>Operation name</t>
  </si>
  <si>
    <t>Work element cd.</t>
  </si>
  <si>
    <t>Work element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</si>
  <si>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</si>
  <si>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</si>
  <si>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</si>
  <si>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</si>
  <si>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</si>
  <si>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</si>
  <si>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</si>
  <si>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</si>
  <si>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</si>
  <si>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</si>
  <si>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</si>
  <si>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</si>
  <si>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</si>
  <si>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</si>
  <si>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</si>
  <si>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</si>
  <si>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</si>
  <si>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</si>
  <si>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</si>
  <si>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</si>
  <si>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</si>
  <si>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</si>
  <si>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</si>
  <si>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</si>
  <si>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</si>
  <si>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</si>
  <si>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</si>
  <si>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</si>
  <si>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Application start date</t>
  </si>
  <si>
    <t>Application end date</t>
  </si>
  <si>
    <t>Applied date update</t>
  </si>
  <si>
    <t>Select</t>
  </si>
  <si>
    <t>Item cd.</t>
  </si>
  <si>
    <t>Branch No. 1</t>
  </si>
  <si>
    <t>Branch No. 2</t>
  </si>
  <si>
    <t>Branch No. 3</t>
  </si>
  <si>
    <t>Item name</t>
  </si>
  <si>
    <t>Item type</t>
  </si>
  <si>
    <t>Item type name</t>
  </si>
  <si>
    <t>Item type details cd.</t>
  </si>
  <si>
    <t>Item type details name</t>
  </si>
  <si>
    <t>Operation pattern</t>
  </si>
  <si>
    <t>Operation sequence number</t>
  </si>
  <si>
    <t>Work element unit name</t>
  </si>
  <si>
    <t>Work element unit number of decimal places</t>
  </si>
  <si>
    <t>Work element unit rounding type</t>
  </si>
  <si>
    <t>Man-hour (Constant)</t>
  </si>
  <si>
    <t>Man-hour (Qty.-dependent)</t>
  </si>
  <si>
    <t>Base qty.</t>
  </si>
  <si>
    <t>Base unit cd.</t>
  </si>
  <si>
    <t>Base unit name</t>
  </si>
  <si>
    <t>Item number of decimal places</t>
  </si>
  <si>
    <t>Auto-calculate man-hour</t>
  </si>
  <si>
    <t>Display order</t>
  </si>
  <si>
    <t>Not costing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</si>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</sst>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2" borderId="34" xfId="0" applyFont="1" applyFill="1" applyBorder="1">
      <alignment vertical="top" wrapText="1"/>
    </xf>
    <xf numFmtId="0" fontId="10" fillId="2" borderId="34" xfId="0" applyFont="1" applyFill="1" applyBorder="1" applyAlignment="1">
      <alignment vertical="top"/>
    </xf>
    <xf numFmtId="0" fontId="10" fillId="2" borderId="35" xfId="0" applyFont="1" applyFill="1" applyBorder="1" applyAlignment="1">
      <alignment vertical="top"/>
    </xf>
    <xf numFmtId="0" fontId="10" fillId="0" borderId="36" xfId="0" applyFont="1" applyBorder="1">
      <alignment vertical="top" wrapText="1"/>
    </xf>
    <xf numFmtId="0" fontId="10" fillId="3" borderId="34" xfId="0" applyFont="1" applyFill="1" applyBorder="1" applyAlignment="1">
      <alignment vertical="top"/>
    </xf>
    <xf numFmtId="0" fontId="10" fillId="0" borderId="10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7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9" xfId="0" applyFont="1" applyBorder="1" applyAlignment="1">
      <alignment vertical="top"/>
    </xf>
    <xf numFmtId="0" fontId="10" fillId="2" borderId="40" xfId="0" applyFont="1" applyFill="1" applyBorder="1" applyAlignment="1">
      <alignment vertical="top"/>
    </xf>
    <xf numFmtId="0" fontId="10" fillId="2" borderId="41" xfId="0" applyFont="1" applyFill="1" applyBorder="1" applyAlignment="1">
      <alignment vertical="top"/>
    </xf>
    <xf numFmtId="0" fontId="10" fillId="0" borderId="42" xfId="0" applyFont="1" applyBorder="1" applyAlignment="1">
      <alignment vertical="top"/>
    </xf>
    <xf numFmtId="0" fontId="10" fillId="3" borderId="40" xfId="0" applyFont="1" applyFill="1" applyBorder="1" applyAlignment="1">
      <alignment vertical="top"/>
    </xf>
    <xf numFmtId="0" fontId="10" fillId="0" borderId="43" xfId="0" applyFont="1" applyBorder="1" applyAlignment="1">
      <alignment vertical="top"/>
    </xf>
    <xf numFmtId="0" fontId="10" fillId="3" borderId="34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2" borderId="4" xfId="0" applyFont="1" applyFill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35" xfId="0" applyFont="1" applyBorder="1">
      <alignment vertical="top" wrapText="1"/>
    </xf>
    <xf numFmtId="3" fontId="10" fillId="2" borderId="34" xfId="0" applyNumberFormat="1" applyFont="1" applyFill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0" borderId="9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0" borderId="33" xfId="0" applyFont="1" applyBorder="1">
      <alignment vertical="top" wrapText="1"/>
    </xf>
    <xf numFmtId="0" fontId="10" fillId="3" borderId="5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13" xfId="0" applyFont="1" applyBorder="1">
      <alignment vertical="top" wrapText="1"/>
    </xf>
    <xf numFmtId="0" fontId="10" fillId="2" borderId="40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4" borderId="34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6" xfId="0" applyFont="1" applyBorder="1">
      <alignment vertical="top" wrapText="1"/>
    </xf>
    <xf numFmtId="0" fontId="12" fillId="0" borderId="21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3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177" fontId="12" fillId="0" borderId="17" xfId="0" applyNumberFormat="1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36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177" fontId="12" fillId="0" borderId="27" xfId="0" applyNumberFormat="1" applyFont="1" applyBorder="1" applyAlignment="1">
      <alignment horizontal="center" vertical="center"/>
    </xf>
    <xf numFmtId="177" fontId="12" fillId="0" borderId="24" xfId="0" applyNumberFormat="1" applyFont="1" applyBorder="1" applyAlignment="1">
      <alignment horizontal="center" vertical="center"/>
    </xf>
    <xf numFmtId="177" fontId="12" fillId="0" borderId="25" xfId="0" applyNumberFormat="1" applyFont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3" fillId="3" borderId="3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7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1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4" xfId="0" applyFont="1" applyFill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通貨" xfId="5" builtinId="7" hidden="1"/>
    <cellStyle name="標準" xfId="0" builtinId="0"/>
    <cellStyle name="標準 3 4 2 2 5 2 2 4" xfId="3" xr:uid="{00000000-0005-0000-0000-0000103E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75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5.36328125" style="4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9.36328125" style="4" customWidth="1"/>
    <col min="20" max="20" width="18.36328125" style="4" customWidth="1"/>
    <col min="21" max="21" width="29.36328125" style="4" customWidth="1"/>
    <col min="22" max="22" width="21.81640625" style="4" customWidth="1"/>
    <col min="23" max="23" width="21.3632812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10</v>
      </c>
      <c r="B1" s="29" t="s">
        <v>10</v>
      </c>
      <c r="C1" s="29"/>
      <c r="D1" s="16" t="s">
        <v>317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0" t="s">
        <v>10</v>
      </c>
      <c r="B2" s="31"/>
      <c r="C2" s="31"/>
      <c r="D2" s="32" t="s">
        <v>535</v>
      </c>
      <c r="E2" s="33" t="s">
        <v>318</v>
      </c>
      <c r="F2" s="10" t="str">
        <f>LEFT(I2,2)</f>
        <v>MA</v>
      </c>
      <c r="G2" s="105" t="s">
        <v>319</v>
      </c>
      <c r="H2" s="110"/>
      <c r="I2" s="111" t="s">
        <v>248</v>
      </c>
      <c r="J2" s="112"/>
      <c r="K2" s="108" t="s">
        <v>320</v>
      </c>
      <c r="L2" s="108"/>
      <c r="M2" s="108"/>
      <c r="N2" s="108"/>
      <c r="O2" s="105"/>
      <c r="P2" s="35"/>
      <c r="Q2" s="10" t="s">
        <v>493</v>
      </c>
      <c r="R2" s="33" t="s">
        <v>321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2"/>
    </row>
    <row r="3" spans="1:42" s="1" customFormat="1" x14ac:dyDescent="0.2">
      <c r="A3" s="39" t="s">
        <v>10</v>
      </c>
      <c r="B3" s="40"/>
      <c r="C3" s="40"/>
      <c r="E3" s="33" t="s">
        <v>322</v>
      </c>
      <c r="F3" s="10" t="str">
        <f>LEFT(I2,4)</f>
        <v>MABS</v>
      </c>
      <c r="G3" s="105" t="s">
        <v>323</v>
      </c>
      <c r="H3" s="110"/>
      <c r="I3" s="111" t="s">
        <v>249</v>
      </c>
      <c r="J3" s="112"/>
      <c r="K3" s="108" t="s">
        <v>324</v>
      </c>
      <c r="L3" s="108"/>
      <c r="M3" s="108"/>
      <c r="N3" s="108"/>
      <c r="O3" s="105"/>
      <c r="P3" s="35"/>
      <c r="Q3" s="10"/>
      <c r="R3" s="33" t="s">
        <v>325</v>
      </c>
      <c r="S3" s="10" t="s">
        <v>494</v>
      </c>
      <c r="T3" s="10"/>
      <c r="AP3" s="15"/>
    </row>
    <row r="4" spans="1:42" s="1" customFormat="1" x14ac:dyDescent="0.2">
      <c r="A4" s="39" t="s">
        <v>10</v>
      </c>
      <c r="B4" s="40"/>
      <c r="C4" s="40"/>
      <c r="D4" s="15"/>
      <c r="E4" s="33" t="s">
        <v>326</v>
      </c>
      <c r="F4" s="10" t="s">
        <v>11</v>
      </c>
      <c r="G4" s="105" t="s">
        <v>327</v>
      </c>
      <c r="H4" s="110"/>
      <c r="I4" s="111" t="s">
        <v>250</v>
      </c>
      <c r="J4" s="112"/>
      <c r="K4" s="108" t="s">
        <v>328</v>
      </c>
      <c r="L4" s="108"/>
      <c r="M4" s="108"/>
      <c r="N4" s="108"/>
      <c r="O4" s="105"/>
      <c r="P4" s="35"/>
      <c r="Q4" s="10" t="s">
        <v>329</v>
      </c>
      <c r="R4" s="33"/>
      <c r="S4" s="33"/>
      <c r="T4" s="41"/>
      <c r="AP4" s="15"/>
    </row>
    <row r="5" spans="1:42" s="1" customFormat="1" x14ac:dyDescent="0.2">
      <c r="A5" s="42" t="s">
        <v>10</v>
      </c>
      <c r="B5" s="29"/>
      <c r="C5" s="29"/>
      <c r="D5" s="43"/>
      <c r="E5" s="33" t="s">
        <v>314</v>
      </c>
      <c r="F5" s="10" t="s">
        <v>1</v>
      </c>
      <c r="G5" s="105" t="s">
        <v>315</v>
      </c>
      <c r="H5" s="110"/>
      <c r="I5" s="113"/>
      <c r="J5" s="113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3"/>
    </row>
    <row r="6" spans="1:42" s="1" customFormat="1" ht="13.5" customHeight="1" x14ac:dyDescent="0.2">
      <c r="A6" s="39" t="s">
        <v>10</v>
      </c>
      <c r="B6" s="40"/>
      <c r="C6" s="40"/>
      <c r="D6" s="1" t="s">
        <v>330</v>
      </c>
      <c r="E6" s="109" t="s">
        <v>251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P6" s="45"/>
    </row>
    <row r="7" spans="1:42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331</v>
      </c>
      <c r="V7" s="10" t="s">
        <v>331</v>
      </c>
      <c r="W7" s="10" t="s">
        <v>331</v>
      </c>
      <c r="X7" s="10" t="s">
        <v>331</v>
      </c>
      <c r="Y7" s="5"/>
      <c r="Z7" s="10" t="s">
        <v>332</v>
      </c>
      <c r="AA7" s="10" t="s">
        <v>332</v>
      </c>
      <c r="AB7" s="10" t="s">
        <v>332</v>
      </c>
      <c r="AC7" s="10" t="s">
        <v>332</v>
      </c>
      <c r="AD7" s="6"/>
      <c r="AE7" s="33" t="s">
        <v>334</v>
      </c>
      <c r="AF7" s="10" t="s">
        <v>79</v>
      </c>
      <c r="AG7" s="33" t="s">
        <v>334</v>
      </c>
      <c r="AH7" s="10" t="s">
        <v>88</v>
      </c>
      <c r="AI7" s="33" t="s">
        <v>334</v>
      </c>
      <c r="AJ7" s="10" t="s">
        <v>80</v>
      </c>
      <c r="AK7" s="33" t="s">
        <v>334</v>
      </c>
      <c r="AL7" s="10" t="s">
        <v>81</v>
      </c>
      <c r="AM7" s="33" t="s">
        <v>334</v>
      </c>
      <c r="AN7" s="10"/>
      <c r="AO7" s="4"/>
      <c r="AP7" s="22"/>
    </row>
    <row r="8" spans="1:42" s="1" customFormat="1" ht="60" customHeight="1" x14ac:dyDescent="0.2">
      <c r="A8" s="10" t="s">
        <v>12</v>
      </c>
      <c r="B8" s="10"/>
      <c r="C8" s="10"/>
      <c r="D8" s="33" t="s">
        <v>536</v>
      </c>
      <c r="E8" s="33" t="s">
        <v>495</v>
      </c>
      <c r="F8" s="33" t="s">
        <v>537</v>
      </c>
      <c r="G8" s="13" t="s">
        <v>538</v>
      </c>
      <c r="H8" s="33"/>
      <c r="I8" s="33" t="s">
        <v>539</v>
      </c>
      <c r="J8" s="33" t="s">
        <v>540</v>
      </c>
      <c r="K8" s="33" t="s">
        <v>541</v>
      </c>
      <c r="L8" s="33" t="s">
        <v>542</v>
      </c>
      <c r="M8" s="33" t="s">
        <v>496</v>
      </c>
      <c r="N8" s="33" t="s">
        <v>497</v>
      </c>
      <c r="O8" s="33" t="s">
        <v>498</v>
      </c>
      <c r="P8" s="33" t="s">
        <v>499</v>
      </c>
      <c r="Q8" s="105" t="s">
        <v>543</v>
      </c>
      <c r="R8" s="106"/>
      <c r="S8" s="107"/>
      <c r="T8" s="37" t="s">
        <v>544</v>
      </c>
      <c r="U8" s="10" t="s">
        <v>200</v>
      </c>
      <c r="V8" s="10" t="s">
        <v>231</v>
      </c>
      <c r="W8" s="10" t="s">
        <v>232</v>
      </c>
      <c r="X8" s="10" t="s">
        <v>530</v>
      </c>
      <c r="Y8" s="5"/>
      <c r="Z8" s="10" t="s">
        <v>500</v>
      </c>
      <c r="AA8" s="10" t="s">
        <v>64</v>
      </c>
      <c r="AB8" s="10" t="s">
        <v>63</v>
      </c>
      <c r="AC8" s="10" t="s">
        <v>333</v>
      </c>
      <c r="AD8" s="5"/>
      <c r="AE8" s="33" t="s">
        <v>501</v>
      </c>
      <c r="AF8" s="10" t="str">
        <f>F2&amp;"."&amp;F3&amp;"L"&amp;RIGHT(I2,4)&amp;".Srch01"</f>
        <v>MA.MABSL0110.Srch01</v>
      </c>
      <c r="AG8" s="33" t="s">
        <v>501</v>
      </c>
      <c r="AH8" s="10" t="str">
        <f>F2&amp;"."&amp;F3&amp;"L"&amp;RIGHT(I2,4)&amp;".Sprt01"</f>
        <v>MA.MABSL0110.Sprt01</v>
      </c>
      <c r="AI8" s="33" t="s">
        <v>501</v>
      </c>
      <c r="AJ8" s="10" t="str">
        <f>F2&amp;"."&amp;F3&amp;"L"&amp;RIGHT(I2,4)&amp;".Upd01"</f>
        <v>MA.MABSL0110.Upd01</v>
      </c>
      <c r="AK8" s="33" t="s">
        <v>501</v>
      </c>
      <c r="AL8" s="10" t="str">
        <f>F2&amp;"."&amp;F3&amp;"L"&amp;RIGHT(I2,4)&amp;".Del01"</f>
        <v>MA.MABSL0110.Del01</v>
      </c>
      <c r="AM8" s="33" t="s">
        <v>501</v>
      </c>
      <c r="AN8" s="10"/>
      <c r="AO8" s="6"/>
      <c r="AP8" s="52" t="s">
        <v>556</v>
      </c>
    </row>
    <row r="9" spans="1:42" s="1" customFormat="1" ht="60" customHeight="1" x14ac:dyDescent="0.2">
      <c r="A9" s="10" t="s">
        <v>12</v>
      </c>
      <c r="B9" s="10"/>
      <c r="C9" s="10"/>
      <c r="D9" s="33" t="s">
        <v>545</v>
      </c>
      <c r="E9" s="13" t="s">
        <v>546</v>
      </c>
      <c r="F9" s="34" t="s">
        <v>547</v>
      </c>
      <c r="G9" s="34" t="s">
        <v>548</v>
      </c>
      <c r="H9" s="34" t="s">
        <v>549</v>
      </c>
      <c r="I9" s="33" t="s">
        <v>550</v>
      </c>
      <c r="J9" s="34" t="s">
        <v>502</v>
      </c>
      <c r="K9" s="34" t="s">
        <v>551</v>
      </c>
      <c r="L9" s="33" t="s">
        <v>552</v>
      </c>
      <c r="M9" s="33" t="s">
        <v>553</v>
      </c>
      <c r="N9" s="33" t="s">
        <v>554</v>
      </c>
      <c r="O9" s="33" t="s">
        <v>123</v>
      </c>
      <c r="P9" s="33" t="s">
        <v>499</v>
      </c>
      <c r="Q9" s="33" t="s">
        <v>503</v>
      </c>
      <c r="R9" s="33" t="s">
        <v>316</v>
      </c>
      <c r="S9" s="33" t="s">
        <v>504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33" t="s">
        <v>505</v>
      </c>
      <c r="AF9" s="10" t="s">
        <v>335</v>
      </c>
      <c r="AG9" s="33" t="s">
        <v>505</v>
      </c>
      <c r="AH9" s="10" t="s">
        <v>335</v>
      </c>
      <c r="AI9" s="33" t="s">
        <v>505</v>
      </c>
      <c r="AJ9" s="10" t="s">
        <v>335</v>
      </c>
      <c r="AK9" s="33" t="s">
        <v>505</v>
      </c>
      <c r="AL9" s="10" t="s">
        <v>335</v>
      </c>
      <c r="AM9" s="33" t="s">
        <v>505</v>
      </c>
      <c r="AN9" s="10"/>
      <c r="AO9" s="51" t="s">
        <v>555</v>
      </c>
      <c r="AP9" s="52" t="s">
        <v>557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651</v>
      </c>
      <c r="AF10" s="33" t="s">
        <v>652</v>
      </c>
      <c r="AG10" s="33" t="s">
        <v>651</v>
      </c>
      <c r="AH10" s="33" t="s">
        <v>652</v>
      </c>
      <c r="AI10" s="33" t="s">
        <v>651</v>
      </c>
      <c r="AJ10" s="33" t="s">
        <v>652</v>
      </c>
      <c r="AK10" s="33" t="s">
        <v>651</v>
      </c>
      <c r="AL10" s="33" t="s">
        <v>652</v>
      </c>
      <c r="AM10" s="33" t="s">
        <v>651</v>
      </c>
      <c r="AN10" s="33" t="s">
        <v>652</v>
      </c>
      <c r="AO10" s="9"/>
      <c r="AP10" s="8"/>
    </row>
    <row r="11" spans="1:42" s="1" customFormat="1" ht="26" x14ac:dyDescent="0.2">
      <c r="A11" s="47">
        <v>10</v>
      </c>
      <c r="B11" s="23" t="s">
        <v>0</v>
      </c>
      <c r="C11" s="23"/>
      <c r="D11" s="23" t="s">
        <v>73</v>
      </c>
      <c r="E11" s="24"/>
      <c r="F11" s="23"/>
      <c r="G11" s="23" t="s">
        <v>74</v>
      </c>
      <c r="H11" s="23"/>
      <c r="I11" s="23" t="s">
        <v>49</v>
      </c>
      <c r="J11" s="47" t="s">
        <v>558</v>
      </c>
      <c r="K11" s="23" t="s">
        <v>242</v>
      </c>
      <c r="L11" s="23" t="s">
        <v>336</v>
      </c>
      <c r="M11" s="23" t="s">
        <v>337</v>
      </c>
      <c r="N11" s="23" t="s">
        <v>338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6"/>
    </row>
    <row r="12" spans="1:42" s="1" customFormat="1" ht="52" x14ac:dyDescent="0.2">
      <c r="A12" s="39"/>
      <c r="AE12" s="33" t="s">
        <v>651</v>
      </c>
      <c r="AF12" s="33" t="s">
        <v>652</v>
      </c>
      <c r="AG12" s="33" t="s">
        <v>651</v>
      </c>
      <c r="AH12" s="33" t="s">
        <v>652</v>
      </c>
      <c r="AI12" s="33" t="s">
        <v>651</v>
      </c>
      <c r="AJ12" s="33" t="s">
        <v>652</v>
      </c>
      <c r="AK12" s="33" t="s">
        <v>651</v>
      </c>
      <c r="AL12" s="33" t="s">
        <v>652</v>
      </c>
      <c r="AM12" s="33" t="s">
        <v>651</v>
      </c>
      <c r="AN12" s="33" t="s">
        <v>652</v>
      </c>
      <c r="AP12" s="15"/>
    </row>
    <row r="13" spans="1:42" s="1" customFormat="1" x14ac:dyDescent="0.2">
      <c r="A13" s="47">
        <v>20</v>
      </c>
      <c r="B13" s="23" t="s">
        <v>0</v>
      </c>
      <c r="C13" s="23"/>
      <c r="D13" s="23" t="s">
        <v>295</v>
      </c>
      <c r="E13" s="24"/>
      <c r="F13" s="23"/>
      <c r="G13" s="23" t="s">
        <v>296</v>
      </c>
      <c r="H13" s="23"/>
      <c r="I13" s="23" t="s">
        <v>49</v>
      </c>
      <c r="J13" s="47" t="s">
        <v>559</v>
      </c>
      <c r="K13" s="23" t="s">
        <v>242</v>
      </c>
      <c r="L13" s="23" t="s">
        <v>336</v>
      </c>
      <c r="M13" s="23" t="s">
        <v>339</v>
      </c>
      <c r="N13" s="23" t="s">
        <v>338</v>
      </c>
      <c r="O13" s="23"/>
      <c r="P13" s="23"/>
      <c r="Q13" s="25"/>
      <c r="R13" s="25"/>
      <c r="S13" s="25"/>
      <c r="T13" s="25"/>
      <c r="U13" s="25"/>
      <c r="V13" s="25"/>
      <c r="W13" s="25"/>
      <c r="X13" s="25"/>
      <c r="Y13" s="49"/>
      <c r="Z13" s="25"/>
      <c r="AA13" s="25"/>
      <c r="AB13" s="25"/>
      <c r="AC13" s="25"/>
      <c r="AD13" s="49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9"/>
      <c r="AP13" s="26"/>
    </row>
    <row r="14" spans="1:42" s="1" customFormat="1" ht="52" x14ac:dyDescent="0.2">
      <c r="A14" s="39"/>
      <c r="AE14" s="33" t="s">
        <v>651</v>
      </c>
      <c r="AF14" s="33" t="s">
        <v>652</v>
      </c>
      <c r="AG14" s="33" t="s">
        <v>651</v>
      </c>
      <c r="AH14" s="33" t="s">
        <v>652</v>
      </c>
      <c r="AI14" s="33" t="s">
        <v>651</v>
      </c>
      <c r="AJ14" s="33" t="s">
        <v>652</v>
      </c>
      <c r="AK14" s="33" t="s">
        <v>651</v>
      </c>
      <c r="AL14" s="33" t="s">
        <v>652</v>
      </c>
      <c r="AM14" s="33" t="s">
        <v>651</v>
      </c>
      <c r="AN14" s="33" t="s">
        <v>652</v>
      </c>
      <c r="AP14" s="15"/>
    </row>
    <row r="15" spans="1:42" s="1" customFormat="1" x14ac:dyDescent="0.2">
      <c r="A15" s="10">
        <v>30</v>
      </c>
      <c r="B15" s="11" t="s">
        <v>0</v>
      </c>
      <c r="C15" s="11"/>
      <c r="D15" s="11" t="s">
        <v>237</v>
      </c>
      <c r="E15" s="12"/>
      <c r="F15" s="11"/>
      <c r="G15" s="11"/>
      <c r="H15" s="11"/>
      <c r="I15" s="11" t="s">
        <v>49</v>
      </c>
      <c r="J15" s="11"/>
      <c r="K15" s="11" t="s">
        <v>242</v>
      </c>
      <c r="L15" s="11"/>
      <c r="M15" s="11" t="s">
        <v>243</v>
      </c>
      <c r="N15" s="11"/>
      <c r="O15" s="11" t="s">
        <v>340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6"/>
      <c r="AP15" s="14"/>
    </row>
    <row r="16" spans="1:42" s="1" customFormat="1" x14ac:dyDescent="0.2">
      <c r="A16" s="10">
        <v>30</v>
      </c>
      <c r="B16" s="10"/>
      <c r="C16" s="10"/>
      <c r="D16" s="10" t="s">
        <v>238</v>
      </c>
      <c r="E16" s="28"/>
      <c r="F16" s="10"/>
      <c r="G16" s="10"/>
      <c r="H16" s="10"/>
      <c r="I16" s="10"/>
      <c r="J16" s="10"/>
      <c r="K16" s="10" t="s">
        <v>341</v>
      </c>
      <c r="L16" s="10"/>
      <c r="M16" s="10"/>
      <c r="N16" s="10"/>
      <c r="O16" s="10" t="s">
        <v>342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P16" s="14"/>
    </row>
    <row r="17" spans="1:42" s="1" customFormat="1" x14ac:dyDescent="0.2">
      <c r="A17" s="10">
        <v>30</v>
      </c>
      <c r="B17" s="10"/>
      <c r="C17" s="10"/>
      <c r="D17" s="10" t="s">
        <v>239</v>
      </c>
      <c r="E17" s="28"/>
      <c r="F17" s="10"/>
      <c r="G17" s="10"/>
      <c r="H17" s="10"/>
      <c r="I17" s="10"/>
      <c r="J17" s="10"/>
      <c r="K17" s="10" t="s">
        <v>341</v>
      </c>
      <c r="L17" s="10"/>
      <c r="M17" s="10"/>
      <c r="N17" s="10"/>
      <c r="O17" s="10" t="s">
        <v>343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ht="52" x14ac:dyDescent="0.2">
      <c r="A18" s="39"/>
      <c r="AE18" s="33" t="s">
        <v>651</v>
      </c>
      <c r="AF18" s="33" t="s">
        <v>652</v>
      </c>
      <c r="AG18" s="33" t="s">
        <v>651</v>
      </c>
      <c r="AH18" s="33" t="s">
        <v>652</v>
      </c>
      <c r="AI18" s="33" t="s">
        <v>651</v>
      </c>
      <c r="AJ18" s="33" t="s">
        <v>652</v>
      </c>
      <c r="AK18" s="33" t="s">
        <v>651</v>
      </c>
      <c r="AL18" s="33" t="s">
        <v>652</v>
      </c>
      <c r="AM18" s="33" t="s">
        <v>651</v>
      </c>
      <c r="AN18" s="33" t="s">
        <v>652</v>
      </c>
      <c r="AP18" s="15"/>
    </row>
    <row r="19" spans="1:42" s="1" customFormat="1" x14ac:dyDescent="0.2">
      <c r="A19" s="10">
        <v>40</v>
      </c>
      <c r="B19" s="11" t="s">
        <v>0</v>
      </c>
      <c r="C19" s="11"/>
      <c r="D19" s="11" t="s">
        <v>240</v>
      </c>
      <c r="E19" s="12"/>
      <c r="F19" s="11"/>
      <c r="G19" s="11"/>
      <c r="H19" s="11"/>
      <c r="I19" s="11" t="s">
        <v>49</v>
      </c>
      <c r="J19" s="11"/>
      <c r="K19" s="11" t="s">
        <v>242</v>
      </c>
      <c r="L19" s="11"/>
      <c r="M19" s="11" t="s">
        <v>122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6"/>
      <c r="AP19" s="14"/>
    </row>
    <row r="20" spans="1:42" s="1" customFormat="1" x14ac:dyDescent="0.2">
      <c r="A20" s="10">
        <v>40</v>
      </c>
      <c r="B20" s="10"/>
      <c r="C20" s="10"/>
      <c r="D20" s="10" t="s">
        <v>241</v>
      </c>
      <c r="E20" s="28"/>
      <c r="F20" s="10"/>
      <c r="G20" s="10"/>
      <c r="H20" s="10"/>
      <c r="I20" s="10"/>
      <c r="J20" s="10"/>
      <c r="K20" s="10" t="s">
        <v>341</v>
      </c>
      <c r="L20" s="10"/>
      <c r="M20" s="10"/>
      <c r="N20" s="10"/>
      <c r="O20" s="10" t="s">
        <v>344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P20" s="14"/>
    </row>
    <row r="21" spans="1:42" s="1" customFormat="1" ht="52" x14ac:dyDescent="0.2">
      <c r="A21" s="39"/>
      <c r="AE21" s="33" t="s">
        <v>651</v>
      </c>
      <c r="AF21" s="33" t="s">
        <v>652</v>
      </c>
      <c r="AG21" s="33" t="s">
        <v>651</v>
      </c>
      <c r="AH21" s="33" t="s">
        <v>652</v>
      </c>
      <c r="AI21" s="33" t="s">
        <v>651</v>
      </c>
      <c r="AJ21" s="33" t="s">
        <v>652</v>
      </c>
      <c r="AK21" s="33" t="s">
        <v>651</v>
      </c>
      <c r="AL21" s="33" t="s">
        <v>652</v>
      </c>
      <c r="AM21" s="33" t="s">
        <v>651</v>
      </c>
      <c r="AN21" s="33" t="s">
        <v>652</v>
      </c>
      <c r="AP21" s="15"/>
    </row>
    <row r="22" spans="1:42" s="1" customFormat="1" x14ac:dyDescent="0.2">
      <c r="A22" s="10">
        <v>50</v>
      </c>
      <c r="B22" s="11" t="s">
        <v>0</v>
      </c>
      <c r="C22" s="11"/>
      <c r="D22" s="11" t="s">
        <v>124</v>
      </c>
      <c r="E22" s="12"/>
      <c r="F22" s="11"/>
      <c r="G22" s="11"/>
      <c r="H22" s="11"/>
      <c r="I22" s="11" t="s">
        <v>13</v>
      </c>
      <c r="J22" s="11"/>
      <c r="K22" s="11" t="s">
        <v>345</v>
      </c>
      <c r="L22" s="11" t="s">
        <v>336</v>
      </c>
      <c r="M22" s="11" t="s">
        <v>242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6"/>
      <c r="AP22" s="14"/>
    </row>
    <row r="23" spans="1:42" s="1" customFormat="1" x14ac:dyDescent="0.2">
      <c r="A23" s="10">
        <v>50</v>
      </c>
      <c r="B23" s="10"/>
      <c r="C23" s="10"/>
      <c r="D23" s="10" t="s">
        <v>125</v>
      </c>
      <c r="E23" s="28" t="s">
        <v>560</v>
      </c>
      <c r="F23" s="10" t="s">
        <v>129</v>
      </c>
      <c r="G23" s="10" t="s">
        <v>1</v>
      </c>
      <c r="H23" s="10"/>
      <c r="I23" s="10"/>
      <c r="J23" s="10"/>
      <c r="K23" s="10" t="s">
        <v>341</v>
      </c>
      <c r="L23" s="10"/>
      <c r="M23" s="10"/>
      <c r="N23" s="10"/>
      <c r="O23" s="10" t="s">
        <v>346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P23" s="14"/>
    </row>
    <row r="24" spans="1:42" s="1" customFormat="1" x14ac:dyDescent="0.2">
      <c r="A24" s="10">
        <v>50</v>
      </c>
      <c r="B24" s="10"/>
      <c r="C24" s="10"/>
      <c r="D24" s="10" t="s">
        <v>127</v>
      </c>
      <c r="E24" s="28" t="s">
        <v>561</v>
      </c>
      <c r="F24" s="10" t="s">
        <v>287</v>
      </c>
      <c r="G24" s="10" t="s">
        <v>1</v>
      </c>
      <c r="H24" s="10"/>
      <c r="I24" s="10"/>
      <c r="J24" s="10"/>
      <c r="K24" s="10" t="s">
        <v>341</v>
      </c>
      <c r="L24" s="10"/>
      <c r="M24" s="10"/>
      <c r="N24" s="10"/>
      <c r="O24" s="10" t="s">
        <v>347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P24" s="14"/>
    </row>
    <row r="25" spans="1:42" s="1" customFormat="1" ht="52" x14ac:dyDescent="0.2">
      <c r="A25" s="39"/>
      <c r="AE25" s="33" t="s">
        <v>651</v>
      </c>
      <c r="AF25" s="33" t="s">
        <v>652</v>
      </c>
      <c r="AG25" s="33" t="s">
        <v>651</v>
      </c>
      <c r="AH25" s="33" t="s">
        <v>652</v>
      </c>
      <c r="AI25" s="33" t="s">
        <v>651</v>
      </c>
      <c r="AJ25" s="33" t="s">
        <v>652</v>
      </c>
      <c r="AK25" s="33" t="s">
        <v>651</v>
      </c>
      <c r="AL25" s="33" t="s">
        <v>652</v>
      </c>
      <c r="AM25" s="33" t="s">
        <v>651</v>
      </c>
      <c r="AN25" s="33" t="s">
        <v>652</v>
      </c>
      <c r="AP25" s="15"/>
    </row>
    <row r="26" spans="1:42" s="1" customFormat="1" x14ac:dyDescent="0.2">
      <c r="A26" s="10">
        <v>60</v>
      </c>
      <c r="B26" s="11" t="s">
        <v>0</v>
      </c>
      <c r="C26" s="11"/>
      <c r="D26" s="11" t="s">
        <v>506</v>
      </c>
      <c r="E26" s="12"/>
      <c r="F26" s="11"/>
      <c r="G26" s="11"/>
      <c r="H26" s="11"/>
      <c r="I26" s="11" t="s">
        <v>49</v>
      </c>
      <c r="J26" s="11"/>
      <c r="K26" s="11" t="s">
        <v>242</v>
      </c>
      <c r="L26" s="11" t="s">
        <v>336</v>
      </c>
      <c r="M26" s="11" t="s">
        <v>242</v>
      </c>
      <c r="N26" s="11"/>
      <c r="O26" s="11"/>
      <c r="P26" s="11"/>
      <c r="Q26" s="17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6"/>
      <c r="AE26" s="10" t="s">
        <v>348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6"/>
      <c r="AP26" s="14"/>
    </row>
    <row r="27" spans="1:42" s="1" customFormat="1" ht="39" x14ac:dyDescent="0.2">
      <c r="A27" s="10">
        <v>60</v>
      </c>
      <c r="B27" s="10"/>
      <c r="C27" s="10"/>
      <c r="D27" s="10" t="s">
        <v>75</v>
      </c>
      <c r="E27" s="28" t="s">
        <v>562</v>
      </c>
      <c r="F27" s="10" t="s">
        <v>290</v>
      </c>
      <c r="G27" s="10" t="s">
        <v>8</v>
      </c>
      <c r="H27" s="10"/>
      <c r="I27" s="10" t="s">
        <v>122</v>
      </c>
      <c r="J27" s="10"/>
      <c r="K27" s="10" t="s">
        <v>49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49</v>
      </c>
      <c r="AA27" s="10" t="s">
        <v>49</v>
      </c>
      <c r="AB27" s="10" t="s">
        <v>49</v>
      </c>
      <c r="AC27" s="10" t="s">
        <v>49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ht="26" x14ac:dyDescent="0.2">
      <c r="A28" s="10">
        <v>60</v>
      </c>
      <c r="B28" s="10"/>
      <c r="C28" s="10"/>
      <c r="D28" s="10" t="s">
        <v>297</v>
      </c>
      <c r="E28" s="28" t="s">
        <v>563</v>
      </c>
      <c r="F28" s="10" t="s">
        <v>298</v>
      </c>
      <c r="G28" s="10" t="s">
        <v>1</v>
      </c>
      <c r="H28" s="10"/>
      <c r="I28" s="10" t="s">
        <v>349</v>
      </c>
      <c r="J28" s="10"/>
      <c r="K28" s="10" t="s">
        <v>350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265</v>
      </c>
      <c r="AA28" s="10" t="s">
        <v>265</v>
      </c>
      <c r="AB28" s="10" t="s">
        <v>265</v>
      </c>
      <c r="AC28" s="10" t="s">
        <v>265</v>
      </c>
      <c r="AE28" s="10" t="s">
        <v>78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ht="26" x14ac:dyDescent="0.2">
      <c r="A29" s="10">
        <v>60</v>
      </c>
      <c r="B29" s="10"/>
      <c r="C29" s="10"/>
      <c r="D29" s="10" t="s">
        <v>299</v>
      </c>
      <c r="E29" s="28" t="s">
        <v>564</v>
      </c>
      <c r="F29" s="10" t="s">
        <v>309</v>
      </c>
      <c r="G29" s="10" t="s">
        <v>308</v>
      </c>
      <c r="H29" s="10"/>
      <c r="I29" s="10" t="s">
        <v>349</v>
      </c>
      <c r="J29" s="10"/>
      <c r="K29" s="10" t="s">
        <v>350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265</v>
      </c>
      <c r="AA29" s="10" t="s">
        <v>265</v>
      </c>
      <c r="AB29" s="10" t="s">
        <v>265</v>
      </c>
      <c r="AC29" s="10" t="s">
        <v>265</v>
      </c>
      <c r="AE29" s="10" t="s">
        <v>78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ht="26" x14ac:dyDescent="0.2">
      <c r="A30" s="50">
        <v>60</v>
      </c>
      <c r="B30" s="50"/>
      <c r="C30" s="50"/>
      <c r="D30" s="50" t="s">
        <v>82</v>
      </c>
      <c r="E30" s="50"/>
      <c r="F30" s="50"/>
      <c r="G30" s="50"/>
      <c r="H30" s="50"/>
      <c r="I30" s="50" t="s">
        <v>49</v>
      </c>
      <c r="J30" s="50"/>
      <c r="K30" s="50" t="s">
        <v>351</v>
      </c>
      <c r="L30" s="50" t="s">
        <v>352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 t="s">
        <v>353</v>
      </c>
      <c r="AA30" s="50" t="s">
        <v>353</v>
      </c>
      <c r="AB30" s="50" t="s">
        <v>353</v>
      </c>
      <c r="AC30" s="50" t="s">
        <v>353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</row>
    <row r="31" spans="1:42" s="1" customFormat="1" x14ac:dyDescent="0.2">
      <c r="A31" s="50">
        <v>60</v>
      </c>
      <c r="B31" s="10"/>
      <c r="C31" s="10"/>
      <c r="D31" s="10" t="s">
        <v>83</v>
      </c>
      <c r="E31" s="28"/>
      <c r="F31" s="10"/>
      <c r="G31" s="10"/>
      <c r="H31" s="10"/>
      <c r="I31" s="10" t="s">
        <v>354</v>
      </c>
      <c r="J31" s="10"/>
      <c r="K31" s="10" t="s">
        <v>355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356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50">
        <v>60</v>
      </c>
      <c r="B32" s="10"/>
      <c r="C32" s="10"/>
      <c r="D32" s="10" t="s">
        <v>84</v>
      </c>
      <c r="E32" s="28"/>
      <c r="F32" s="10"/>
      <c r="G32" s="10"/>
      <c r="H32" s="10"/>
      <c r="I32" s="10" t="s">
        <v>354</v>
      </c>
      <c r="J32" s="10"/>
      <c r="K32" s="10" t="s">
        <v>355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357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ht="26" x14ac:dyDescent="0.2">
      <c r="A33" s="50">
        <v>60</v>
      </c>
      <c r="B33" s="10"/>
      <c r="C33" s="10"/>
      <c r="D33" s="10" t="s">
        <v>85</v>
      </c>
      <c r="E33" s="28"/>
      <c r="F33" s="10"/>
      <c r="G33" s="10"/>
      <c r="H33" s="10"/>
      <c r="I33" s="10" t="s">
        <v>354</v>
      </c>
      <c r="J33" s="10"/>
      <c r="K33" s="10" t="s">
        <v>355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358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ht="26" x14ac:dyDescent="0.2">
      <c r="A34" s="50">
        <v>60</v>
      </c>
      <c r="B34" s="10"/>
      <c r="C34" s="10"/>
      <c r="D34" s="10" t="s">
        <v>86</v>
      </c>
      <c r="E34" s="28"/>
      <c r="F34" s="10"/>
      <c r="G34" s="10"/>
      <c r="H34" s="10"/>
      <c r="I34" s="10" t="s">
        <v>354</v>
      </c>
      <c r="J34" s="10"/>
      <c r="K34" s="10" t="s">
        <v>355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359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ht="26" x14ac:dyDescent="0.2">
      <c r="A35" s="10">
        <v>60</v>
      </c>
      <c r="B35" s="10"/>
      <c r="C35" s="10"/>
      <c r="D35" s="10" t="s">
        <v>130</v>
      </c>
      <c r="E35" s="28" t="s">
        <v>565</v>
      </c>
      <c r="F35" s="10" t="s">
        <v>221</v>
      </c>
      <c r="G35" s="10" t="s">
        <v>93</v>
      </c>
      <c r="H35" s="10"/>
      <c r="I35" s="10" t="s">
        <v>360</v>
      </c>
      <c r="J35" s="10"/>
      <c r="K35" s="10" t="s">
        <v>120</v>
      </c>
      <c r="L35" s="10"/>
      <c r="M35" s="10"/>
      <c r="N35" s="10"/>
      <c r="O35" s="10"/>
      <c r="P35" s="10"/>
      <c r="Q35" s="10" t="s">
        <v>361</v>
      </c>
      <c r="R35" s="10"/>
      <c r="S35" s="10" t="s">
        <v>212</v>
      </c>
      <c r="T35" s="10"/>
      <c r="U35" s="10"/>
      <c r="V35" s="10"/>
      <c r="W35" s="10"/>
      <c r="X35" s="10" t="s">
        <v>531</v>
      </c>
      <c r="Z35" s="10" t="s">
        <v>78</v>
      </c>
      <c r="AA35" s="10" t="s">
        <v>78</v>
      </c>
      <c r="AB35" s="10" t="s">
        <v>78</v>
      </c>
      <c r="AC35" s="10" t="s">
        <v>78</v>
      </c>
      <c r="AE35" s="10" t="s">
        <v>78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60</v>
      </c>
      <c r="B36" s="10"/>
      <c r="C36" s="10"/>
      <c r="D36" s="10" t="s">
        <v>131</v>
      </c>
      <c r="E36" s="28" t="s">
        <v>566</v>
      </c>
      <c r="F36" s="10" t="s">
        <v>222</v>
      </c>
      <c r="G36" s="10"/>
      <c r="H36" s="10"/>
      <c r="I36" s="10" t="s">
        <v>119</v>
      </c>
      <c r="J36" s="10"/>
      <c r="K36" s="10" t="s">
        <v>121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 t="s">
        <v>531</v>
      </c>
      <c r="Z36" s="10" t="s">
        <v>78</v>
      </c>
      <c r="AA36" s="10" t="s">
        <v>78</v>
      </c>
      <c r="AB36" s="10" t="s">
        <v>78</v>
      </c>
      <c r="AC36" s="10" t="s">
        <v>78</v>
      </c>
      <c r="AE36" s="10" t="s">
        <v>78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ht="26" x14ac:dyDescent="0.2">
      <c r="A37" s="50">
        <v>60</v>
      </c>
      <c r="B37" s="50"/>
      <c r="C37" s="50"/>
      <c r="D37" s="50" t="s">
        <v>226</v>
      </c>
      <c r="E37" s="50"/>
      <c r="F37" s="50"/>
      <c r="G37" s="50"/>
      <c r="H37" s="50"/>
      <c r="I37" s="50" t="s">
        <v>49</v>
      </c>
      <c r="J37" s="50"/>
      <c r="K37" s="50" t="s">
        <v>351</v>
      </c>
      <c r="L37" s="50" t="s">
        <v>362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 t="s">
        <v>353</v>
      </c>
      <c r="AA37" s="50" t="s">
        <v>353</v>
      </c>
      <c r="AB37" s="50" t="s">
        <v>353</v>
      </c>
      <c r="AC37" s="50" t="s">
        <v>353</v>
      </c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</row>
    <row r="38" spans="1:42" s="1" customFormat="1" ht="39" x14ac:dyDescent="0.2">
      <c r="A38" s="50">
        <v>60</v>
      </c>
      <c r="B38" s="10"/>
      <c r="C38" s="10"/>
      <c r="D38" s="10" t="s">
        <v>227</v>
      </c>
      <c r="E38" s="28"/>
      <c r="F38" s="10"/>
      <c r="G38" s="10"/>
      <c r="H38" s="10"/>
      <c r="I38" s="10" t="s">
        <v>354</v>
      </c>
      <c r="J38" s="10"/>
      <c r="K38" s="10" t="s">
        <v>355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 t="s">
        <v>363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ht="39" x14ac:dyDescent="0.2">
      <c r="A39" s="50">
        <v>60</v>
      </c>
      <c r="B39" s="10"/>
      <c r="C39" s="10"/>
      <c r="D39" s="10" t="s">
        <v>228</v>
      </c>
      <c r="E39" s="28"/>
      <c r="F39" s="10"/>
      <c r="G39" s="10"/>
      <c r="H39" s="10"/>
      <c r="I39" s="10" t="s">
        <v>354</v>
      </c>
      <c r="J39" s="10"/>
      <c r="K39" s="10" t="s">
        <v>355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ht="39" x14ac:dyDescent="0.2">
      <c r="A40" s="50">
        <v>60</v>
      </c>
      <c r="B40" s="10"/>
      <c r="C40" s="10"/>
      <c r="D40" s="10" t="s">
        <v>229</v>
      </c>
      <c r="E40" s="28"/>
      <c r="F40" s="10"/>
      <c r="G40" s="10"/>
      <c r="H40" s="10"/>
      <c r="I40" s="10" t="s">
        <v>354</v>
      </c>
      <c r="J40" s="10"/>
      <c r="K40" s="10" t="s">
        <v>355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 t="s">
        <v>364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ht="39" x14ac:dyDescent="0.2">
      <c r="A41" s="50">
        <v>60</v>
      </c>
      <c r="B41" s="10"/>
      <c r="C41" s="10"/>
      <c r="D41" s="10" t="s">
        <v>230</v>
      </c>
      <c r="E41" s="28"/>
      <c r="F41" s="10"/>
      <c r="G41" s="10"/>
      <c r="H41" s="10"/>
      <c r="I41" s="10" t="s">
        <v>354</v>
      </c>
      <c r="J41" s="10"/>
      <c r="K41" s="10" t="s">
        <v>355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 t="s">
        <v>365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ht="26" x14ac:dyDescent="0.2">
      <c r="A42" s="50">
        <v>60</v>
      </c>
      <c r="B42" s="50"/>
      <c r="C42" s="50"/>
      <c r="D42" s="50" t="s">
        <v>216</v>
      </c>
      <c r="E42" s="50"/>
      <c r="F42" s="50"/>
      <c r="G42" s="50"/>
      <c r="H42" s="50"/>
      <c r="I42" s="50" t="s">
        <v>49</v>
      </c>
      <c r="J42" s="50"/>
      <c r="K42" s="50" t="s">
        <v>351</v>
      </c>
      <c r="L42" s="50" t="s">
        <v>366</v>
      </c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 t="s">
        <v>247</v>
      </c>
      <c r="AA42" s="50" t="s">
        <v>247</v>
      </c>
      <c r="AB42" s="50" t="s">
        <v>247</v>
      </c>
      <c r="AC42" s="50" t="s">
        <v>247</v>
      </c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</row>
    <row r="43" spans="1:42" s="1" customFormat="1" ht="26" x14ac:dyDescent="0.2">
      <c r="A43" s="50">
        <v>60</v>
      </c>
      <c r="B43" s="10"/>
      <c r="C43" s="10"/>
      <c r="D43" s="10" t="s">
        <v>217</v>
      </c>
      <c r="E43" s="28"/>
      <c r="F43" s="10"/>
      <c r="G43" s="10"/>
      <c r="H43" s="10"/>
      <c r="I43" s="10" t="s">
        <v>354</v>
      </c>
      <c r="J43" s="10"/>
      <c r="K43" s="10" t="s">
        <v>355</v>
      </c>
      <c r="L43" s="10"/>
      <c r="M43" s="10"/>
      <c r="N43" s="10"/>
      <c r="O43" s="10"/>
      <c r="P43" s="10"/>
      <c r="Q43" s="10" t="s">
        <v>367</v>
      </c>
      <c r="R43" s="10"/>
      <c r="S43" s="10"/>
      <c r="T43" s="10"/>
      <c r="U43" s="10"/>
      <c r="V43" s="10" t="s">
        <v>368</v>
      </c>
      <c r="W43" s="10" t="s">
        <v>369</v>
      </c>
      <c r="X43" s="10"/>
      <c r="Z43" s="10"/>
      <c r="AA43" s="10"/>
      <c r="AB43" s="10"/>
      <c r="AC43" s="10"/>
      <c r="AE43" s="10" t="s">
        <v>370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ht="26" x14ac:dyDescent="0.2">
      <c r="A44" s="50">
        <v>60</v>
      </c>
      <c r="B44" s="10"/>
      <c r="C44" s="10"/>
      <c r="D44" s="10" t="s">
        <v>218</v>
      </c>
      <c r="E44" s="28"/>
      <c r="F44" s="10"/>
      <c r="G44" s="10"/>
      <c r="H44" s="10"/>
      <c r="I44" s="10" t="s">
        <v>354</v>
      </c>
      <c r="J44" s="10"/>
      <c r="K44" s="10" t="s">
        <v>355</v>
      </c>
      <c r="L44" s="10"/>
      <c r="M44" s="10"/>
      <c r="N44" s="10"/>
      <c r="O44" s="10"/>
      <c r="P44" s="10"/>
      <c r="Q44" s="10" t="s">
        <v>371</v>
      </c>
      <c r="R44" s="10"/>
      <c r="S44" s="10"/>
      <c r="T44" s="10"/>
      <c r="U44" s="10"/>
      <c r="V44" s="10" t="s">
        <v>372</v>
      </c>
      <c r="W44" s="10" t="s">
        <v>373</v>
      </c>
      <c r="X44" s="10"/>
      <c r="Z44" s="10"/>
      <c r="AA44" s="10"/>
      <c r="AB44" s="10"/>
      <c r="AC44" s="10"/>
      <c r="AE44" s="10" t="s">
        <v>374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ht="26" x14ac:dyDescent="0.2">
      <c r="A45" s="50">
        <v>60</v>
      </c>
      <c r="B45" s="10"/>
      <c r="C45" s="10"/>
      <c r="D45" s="10" t="s">
        <v>528</v>
      </c>
      <c r="E45" s="28"/>
      <c r="F45" s="10"/>
      <c r="G45" s="10"/>
      <c r="H45" s="10"/>
      <c r="I45" s="10" t="s">
        <v>354</v>
      </c>
      <c r="J45" s="10"/>
      <c r="K45" s="10" t="s">
        <v>355</v>
      </c>
      <c r="L45" s="10"/>
      <c r="M45" s="10"/>
      <c r="N45" s="10"/>
      <c r="O45" s="10"/>
      <c r="P45" s="10"/>
      <c r="Q45" s="10" t="s">
        <v>375</v>
      </c>
      <c r="R45" s="10"/>
      <c r="S45" s="10"/>
      <c r="T45" s="10"/>
      <c r="U45" s="10"/>
      <c r="V45" s="10" t="s">
        <v>527</v>
      </c>
      <c r="W45" s="10" t="s">
        <v>376</v>
      </c>
      <c r="X45" s="10"/>
      <c r="Z45" s="10"/>
      <c r="AA45" s="10"/>
      <c r="AB45" s="10"/>
      <c r="AC45" s="10"/>
      <c r="AE45" s="10" t="s">
        <v>377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ht="39" x14ac:dyDescent="0.2">
      <c r="A46" s="50">
        <v>60</v>
      </c>
      <c r="B46" s="10"/>
      <c r="C46" s="10"/>
      <c r="D46" s="10" t="s">
        <v>219</v>
      </c>
      <c r="E46" s="28"/>
      <c r="F46" s="10"/>
      <c r="G46" s="10"/>
      <c r="H46" s="10"/>
      <c r="I46" s="10" t="s">
        <v>354</v>
      </c>
      <c r="J46" s="10"/>
      <c r="K46" s="10" t="s">
        <v>355</v>
      </c>
      <c r="L46" s="10"/>
      <c r="M46" s="10"/>
      <c r="N46" s="10"/>
      <c r="O46" s="10"/>
      <c r="P46" s="10"/>
      <c r="Q46" s="10" t="s">
        <v>378</v>
      </c>
      <c r="R46" s="10"/>
      <c r="S46" s="10"/>
      <c r="T46" s="10"/>
      <c r="U46" s="10"/>
      <c r="V46" s="10" t="s">
        <v>379</v>
      </c>
      <c r="W46" s="10" t="s">
        <v>380</v>
      </c>
      <c r="X46" s="10"/>
      <c r="Z46" s="10"/>
      <c r="AA46" s="10"/>
      <c r="AB46" s="10"/>
      <c r="AC46" s="10"/>
      <c r="AE46" s="10" t="s">
        <v>381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50">
        <v>60</v>
      </c>
      <c r="B47" s="10"/>
      <c r="C47" s="10"/>
      <c r="D47" s="10" t="s">
        <v>220</v>
      </c>
      <c r="E47" s="28"/>
      <c r="F47" s="10"/>
      <c r="G47" s="10"/>
      <c r="H47" s="10"/>
      <c r="I47" s="10" t="s">
        <v>354</v>
      </c>
      <c r="J47" s="10"/>
      <c r="K47" s="10" t="s">
        <v>355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 t="s">
        <v>382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ht="26" x14ac:dyDescent="0.2">
      <c r="A48" s="10">
        <v>60</v>
      </c>
      <c r="B48" s="10"/>
      <c r="C48" s="10"/>
      <c r="D48" s="10" t="s">
        <v>132</v>
      </c>
      <c r="E48" s="28" t="s">
        <v>567</v>
      </c>
      <c r="F48" s="10" t="s">
        <v>103</v>
      </c>
      <c r="G48" s="10" t="s">
        <v>99</v>
      </c>
      <c r="H48" s="10"/>
      <c r="I48" s="10" t="s">
        <v>383</v>
      </c>
      <c r="J48" s="10"/>
      <c r="K48" s="10" t="s">
        <v>384</v>
      </c>
      <c r="L48" s="10"/>
      <c r="M48" s="10"/>
      <c r="N48" s="10"/>
      <c r="O48" s="10"/>
      <c r="P48" s="10"/>
      <c r="Q48" s="10" t="s">
        <v>385</v>
      </c>
      <c r="R48" s="10"/>
      <c r="S48" s="10" t="s">
        <v>199</v>
      </c>
      <c r="T48" s="10"/>
      <c r="U48" s="10"/>
      <c r="V48" s="10" t="s">
        <v>386</v>
      </c>
      <c r="W48" s="10" t="s">
        <v>387</v>
      </c>
      <c r="X48" s="10"/>
      <c r="Z48" s="10" t="s">
        <v>78</v>
      </c>
      <c r="AA48" s="10" t="s">
        <v>78</v>
      </c>
      <c r="AB48" s="10" t="s">
        <v>78</v>
      </c>
      <c r="AC48" s="10" t="s">
        <v>78</v>
      </c>
      <c r="AE48" s="10" t="s">
        <v>78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10">
        <v>60</v>
      </c>
      <c r="B49" s="10"/>
      <c r="C49" s="10"/>
      <c r="D49" s="10" t="s">
        <v>133</v>
      </c>
      <c r="E49" s="28" t="s">
        <v>568</v>
      </c>
      <c r="F49" s="10" t="s">
        <v>100</v>
      </c>
      <c r="G49" s="10"/>
      <c r="H49" s="10"/>
      <c r="I49" s="10" t="s">
        <v>388</v>
      </c>
      <c r="J49" s="10"/>
      <c r="K49" s="10" t="s">
        <v>121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78</v>
      </c>
      <c r="AA49" s="10" t="s">
        <v>78</v>
      </c>
      <c r="AB49" s="10" t="s">
        <v>78</v>
      </c>
      <c r="AC49" s="10" t="s">
        <v>78</v>
      </c>
      <c r="AE49" s="10" t="s">
        <v>78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x14ac:dyDescent="0.2">
      <c r="A50" s="10">
        <v>60</v>
      </c>
      <c r="B50" s="10"/>
      <c r="C50" s="10"/>
      <c r="D50" s="10" t="s">
        <v>134</v>
      </c>
      <c r="E50" s="28" t="s">
        <v>569</v>
      </c>
      <c r="F50" s="10" t="s">
        <v>113</v>
      </c>
      <c r="G50" s="10" t="s">
        <v>254</v>
      </c>
      <c r="H50" s="10"/>
      <c r="I50" s="10" t="s">
        <v>389</v>
      </c>
      <c r="J50" s="10"/>
      <c r="K50" s="10" t="s">
        <v>120</v>
      </c>
      <c r="L50" s="10"/>
      <c r="M50" s="10"/>
      <c r="N50" s="10"/>
      <c r="O50" s="10"/>
      <c r="P50" s="10"/>
      <c r="Q50" s="10" t="s">
        <v>390</v>
      </c>
      <c r="R50" s="10"/>
      <c r="S50" s="10" t="s">
        <v>292</v>
      </c>
      <c r="T50" s="10"/>
      <c r="U50" s="10"/>
      <c r="V50" s="10"/>
      <c r="W50" s="10"/>
      <c r="X50" s="10"/>
      <c r="Z50" s="10" t="s">
        <v>78</v>
      </c>
      <c r="AA50" s="10" t="s">
        <v>78</v>
      </c>
      <c r="AB50" s="10" t="s">
        <v>78</v>
      </c>
      <c r="AC50" s="10" t="s">
        <v>78</v>
      </c>
      <c r="AE50" s="10" t="s">
        <v>78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x14ac:dyDescent="0.2">
      <c r="A51" s="10">
        <v>60</v>
      </c>
      <c r="B51" s="10"/>
      <c r="C51" s="10"/>
      <c r="D51" s="10" t="s">
        <v>135</v>
      </c>
      <c r="E51" s="28" t="s">
        <v>570</v>
      </c>
      <c r="F51" s="10" t="s">
        <v>101</v>
      </c>
      <c r="G51" s="10"/>
      <c r="H51" s="10"/>
      <c r="I51" s="10" t="s">
        <v>118</v>
      </c>
      <c r="J51" s="10"/>
      <c r="K51" s="10" t="s">
        <v>121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78</v>
      </c>
      <c r="AA51" s="10" t="s">
        <v>78</v>
      </c>
      <c r="AB51" s="10" t="s">
        <v>78</v>
      </c>
      <c r="AC51" s="10" t="s">
        <v>78</v>
      </c>
      <c r="AE51" s="10" t="s">
        <v>78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ht="26" x14ac:dyDescent="0.2">
      <c r="A52" s="10">
        <v>60</v>
      </c>
      <c r="B52" s="10"/>
      <c r="C52" s="10"/>
      <c r="D52" s="10" t="s">
        <v>507</v>
      </c>
      <c r="E52" s="28" t="s">
        <v>571</v>
      </c>
      <c r="F52" s="10" t="s">
        <v>252</v>
      </c>
      <c r="G52" s="10" t="s">
        <v>255</v>
      </c>
      <c r="H52" s="10"/>
      <c r="I52" s="10" t="s">
        <v>391</v>
      </c>
      <c r="J52" s="10"/>
      <c r="K52" s="10" t="s">
        <v>120</v>
      </c>
      <c r="L52" s="10"/>
      <c r="M52" s="10"/>
      <c r="N52" s="10"/>
      <c r="O52" s="10"/>
      <c r="P52" s="10"/>
      <c r="Q52" s="10" t="s">
        <v>256</v>
      </c>
      <c r="R52" s="10"/>
      <c r="S52" s="10" t="s">
        <v>392</v>
      </c>
      <c r="T52" s="10"/>
      <c r="U52" s="10"/>
      <c r="V52" s="10"/>
      <c r="W52" s="10"/>
      <c r="X52" s="10"/>
      <c r="Z52" s="10" t="s">
        <v>78</v>
      </c>
      <c r="AA52" s="10" t="s">
        <v>78</v>
      </c>
      <c r="AB52" s="10" t="s">
        <v>78</v>
      </c>
      <c r="AC52" s="10" t="s">
        <v>78</v>
      </c>
      <c r="AE52" s="10" t="s">
        <v>78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ht="26" x14ac:dyDescent="0.2">
      <c r="A53" s="10">
        <v>60</v>
      </c>
      <c r="B53" s="10"/>
      <c r="C53" s="10"/>
      <c r="D53" s="10" t="s">
        <v>508</v>
      </c>
      <c r="E53" s="28" t="s">
        <v>572</v>
      </c>
      <c r="F53" s="10" t="s">
        <v>253</v>
      </c>
      <c r="G53" s="10"/>
      <c r="H53" s="10"/>
      <c r="I53" s="10" t="s">
        <v>393</v>
      </c>
      <c r="J53" s="10"/>
      <c r="K53" s="10" t="s">
        <v>121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78</v>
      </c>
      <c r="AA53" s="10" t="s">
        <v>78</v>
      </c>
      <c r="AB53" s="10" t="s">
        <v>78</v>
      </c>
      <c r="AC53" s="10" t="s">
        <v>78</v>
      </c>
      <c r="AE53" s="10" t="s">
        <v>78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60</v>
      </c>
      <c r="B54" s="10"/>
      <c r="C54" s="10"/>
      <c r="D54" s="10" t="s">
        <v>139</v>
      </c>
      <c r="E54" s="28" t="s">
        <v>573</v>
      </c>
      <c r="F54" s="10" t="s">
        <v>22</v>
      </c>
      <c r="G54" s="10" t="s">
        <v>8</v>
      </c>
      <c r="H54" s="10"/>
      <c r="I54" s="10" t="s">
        <v>394</v>
      </c>
      <c r="J54" s="10"/>
      <c r="K54" s="10" t="s">
        <v>121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78</v>
      </c>
      <c r="AA54" s="10" t="s">
        <v>78</v>
      </c>
      <c r="AB54" s="10" t="s">
        <v>78</v>
      </c>
      <c r="AC54" s="10" t="s">
        <v>78</v>
      </c>
      <c r="AE54" s="10" t="s">
        <v>78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60</v>
      </c>
      <c r="B55" s="10"/>
      <c r="C55" s="10"/>
      <c r="D55" s="10" t="s">
        <v>140</v>
      </c>
      <c r="E55" s="28" t="s">
        <v>574</v>
      </c>
      <c r="F55" s="10" t="s">
        <v>25</v>
      </c>
      <c r="G55" s="10" t="s">
        <v>8</v>
      </c>
      <c r="H55" s="10"/>
      <c r="I55" s="10" t="s">
        <v>395</v>
      </c>
      <c r="J55" s="10"/>
      <c r="K55" s="10" t="s">
        <v>121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78</v>
      </c>
      <c r="AA55" s="10" t="s">
        <v>78</v>
      </c>
      <c r="AB55" s="10" t="s">
        <v>78</v>
      </c>
      <c r="AC55" s="10" t="s">
        <v>78</v>
      </c>
      <c r="AE55" s="10" t="s">
        <v>78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60</v>
      </c>
      <c r="B56" s="10"/>
      <c r="C56" s="10"/>
      <c r="D56" s="10" t="s">
        <v>141</v>
      </c>
      <c r="E56" s="28" t="s">
        <v>575</v>
      </c>
      <c r="F56" s="10" t="s">
        <v>26</v>
      </c>
      <c r="G56" s="10" t="s">
        <v>8</v>
      </c>
      <c r="H56" s="10"/>
      <c r="I56" s="10" t="s">
        <v>396</v>
      </c>
      <c r="J56" s="10"/>
      <c r="K56" s="10" t="s">
        <v>121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78</v>
      </c>
      <c r="AA56" s="10" t="s">
        <v>78</v>
      </c>
      <c r="AB56" s="10" t="s">
        <v>78</v>
      </c>
      <c r="AC56" s="10" t="s">
        <v>78</v>
      </c>
      <c r="AE56" s="10" t="s">
        <v>78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ht="26" x14ac:dyDescent="0.2">
      <c r="A57" s="10">
        <v>60</v>
      </c>
      <c r="B57" s="10"/>
      <c r="C57" s="10"/>
      <c r="D57" s="10" t="s">
        <v>136</v>
      </c>
      <c r="E57" s="28" t="s">
        <v>576</v>
      </c>
      <c r="F57" s="10" t="s">
        <v>46</v>
      </c>
      <c r="G57" s="10" t="s">
        <v>8</v>
      </c>
      <c r="H57" s="10"/>
      <c r="I57" s="10"/>
      <c r="J57" s="10"/>
      <c r="K57" s="10" t="s">
        <v>397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ht="26" x14ac:dyDescent="0.2">
      <c r="A58" s="10">
        <v>60</v>
      </c>
      <c r="B58" s="10"/>
      <c r="C58" s="10"/>
      <c r="D58" s="10" t="s">
        <v>137</v>
      </c>
      <c r="E58" s="28" t="s">
        <v>577</v>
      </c>
      <c r="F58" s="10" t="s">
        <v>233</v>
      </c>
      <c r="G58" s="10" t="s">
        <v>234</v>
      </c>
      <c r="H58" s="10"/>
      <c r="I58" s="10" t="s">
        <v>349</v>
      </c>
      <c r="J58" s="10"/>
      <c r="K58" s="10" t="s">
        <v>350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78</v>
      </c>
      <c r="AA58" s="10" t="s">
        <v>78</v>
      </c>
      <c r="AB58" s="10" t="s">
        <v>78</v>
      </c>
      <c r="AC58" s="10" t="s">
        <v>78</v>
      </c>
      <c r="AE58" s="10" t="s">
        <v>78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ht="26" x14ac:dyDescent="0.2">
      <c r="A59" s="10">
        <v>60</v>
      </c>
      <c r="B59" s="10"/>
      <c r="C59" s="10"/>
      <c r="D59" s="10" t="s">
        <v>138</v>
      </c>
      <c r="E59" s="28" t="s">
        <v>578</v>
      </c>
      <c r="F59" s="10" t="s">
        <v>235</v>
      </c>
      <c r="G59" s="10" t="s">
        <v>236</v>
      </c>
      <c r="H59" s="10"/>
      <c r="I59" s="10" t="s">
        <v>349</v>
      </c>
      <c r="J59" s="10"/>
      <c r="K59" s="10" t="s">
        <v>350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78</v>
      </c>
      <c r="AA59" s="10" t="s">
        <v>78</v>
      </c>
      <c r="AB59" s="10" t="s">
        <v>78</v>
      </c>
      <c r="AC59" s="10" t="s">
        <v>78</v>
      </c>
      <c r="AE59" s="10" t="s">
        <v>78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ht="26" x14ac:dyDescent="0.2">
      <c r="A60" s="10">
        <v>60</v>
      </c>
      <c r="B60" s="10"/>
      <c r="C60" s="10"/>
      <c r="D60" s="10" t="s">
        <v>152</v>
      </c>
      <c r="E60" s="28" t="s">
        <v>579</v>
      </c>
      <c r="F60" s="10" t="s">
        <v>172</v>
      </c>
      <c r="G60" s="10" t="s">
        <v>142</v>
      </c>
      <c r="H60" s="10"/>
      <c r="I60" s="10" t="s">
        <v>398</v>
      </c>
      <c r="J60" s="10"/>
      <c r="K60" s="10" t="s">
        <v>120</v>
      </c>
      <c r="L60" s="10"/>
      <c r="M60" s="10"/>
      <c r="N60" s="10"/>
      <c r="O60" s="10"/>
      <c r="P60" s="10"/>
      <c r="Q60" s="10" t="s">
        <v>399</v>
      </c>
      <c r="R60" s="10"/>
      <c r="S60" s="10" t="s">
        <v>400</v>
      </c>
      <c r="T60" s="10"/>
      <c r="U60" s="10" t="s">
        <v>201</v>
      </c>
      <c r="V60" s="10"/>
      <c r="W60" s="10"/>
      <c r="X60" s="10"/>
      <c r="Z60" s="10" t="s">
        <v>78</v>
      </c>
      <c r="AA60" s="10" t="s">
        <v>78</v>
      </c>
      <c r="AB60" s="10" t="s">
        <v>78</v>
      </c>
      <c r="AC60" s="10" t="s">
        <v>78</v>
      </c>
      <c r="AE60" s="10" t="s">
        <v>78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ht="26" x14ac:dyDescent="0.2">
      <c r="A61" s="10">
        <v>60</v>
      </c>
      <c r="B61" s="10"/>
      <c r="C61" s="10"/>
      <c r="D61" s="10" t="s">
        <v>153</v>
      </c>
      <c r="E61" s="28" t="s">
        <v>580</v>
      </c>
      <c r="F61" s="10" t="s">
        <v>173</v>
      </c>
      <c r="G61" s="10"/>
      <c r="H61" s="10"/>
      <c r="I61" s="10" t="s">
        <v>401</v>
      </c>
      <c r="J61" s="10"/>
      <c r="K61" s="10" t="s">
        <v>121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78</v>
      </c>
      <c r="AA61" s="10" t="s">
        <v>78</v>
      </c>
      <c r="AB61" s="10" t="s">
        <v>78</v>
      </c>
      <c r="AC61" s="10" t="s">
        <v>78</v>
      </c>
      <c r="AE61" s="10" t="s">
        <v>78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ht="26" x14ac:dyDescent="0.2">
      <c r="A62" s="10">
        <v>60</v>
      </c>
      <c r="B62" s="10"/>
      <c r="C62" s="10"/>
      <c r="D62" s="10" t="s">
        <v>154</v>
      </c>
      <c r="E62" s="28" t="s">
        <v>581</v>
      </c>
      <c r="F62" s="10" t="s">
        <v>174</v>
      </c>
      <c r="G62" s="10" t="s">
        <v>143</v>
      </c>
      <c r="H62" s="10"/>
      <c r="I62" s="10" t="s">
        <v>398</v>
      </c>
      <c r="J62" s="10"/>
      <c r="K62" s="10" t="s">
        <v>120</v>
      </c>
      <c r="L62" s="10"/>
      <c r="M62" s="10"/>
      <c r="N62" s="10"/>
      <c r="O62" s="10"/>
      <c r="P62" s="10"/>
      <c r="Q62" s="10" t="s">
        <v>402</v>
      </c>
      <c r="R62" s="10"/>
      <c r="S62" s="10" t="s">
        <v>403</v>
      </c>
      <c r="T62" s="10"/>
      <c r="U62" s="10" t="s">
        <v>201</v>
      </c>
      <c r="V62" s="10"/>
      <c r="W62" s="10"/>
      <c r="X62" s="10"/>
      <c r="Z62" s="10" t="s">
        <v>78</v>
      </c>
      <c r="AA62" s="10" t="s">
        <v>78</v>
      </c>
      <c r="AB62" s="10" t="s">
        <v>78</v>
      </c>
      <c r="AC62" s="10" t="s">
        <v>78</v>
      </c>
      <c r="AE62" s="10" t="s">
        <v>78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ht="26" x14ac:dyDescent="0.2">
      <c r="A63" s="10">
        <v>60</v>
      </c>
      <c r="B63" s="10"/>
      <c r="C63" s="10"/>
      <c r="D63" s="10" t="s">
        <v>155</v>
      </c>
      <c r="E63" s="28" t="s">
        <v>582</v>
      </c>
      <c r="F63" s="10" t="s">
        <v>175</v>
      </c>
      <c r="G63" s="10"/>
      <c r="H63" s="10"/>
      <c r="I63" s="10" t="s">
        <v>401</v>
      </c>
      <c r="J63" s="10"/>
      <c r="K63" s="10" t="s">
        <v>121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78</v>
      </c>
      <c r="AA63" s="10" t="s">
        <v>78</v>
      </c>
      <c r="AB63" s="10" t="s">
        <v>78</v>
      </c>
      <c r="AC63" s="10" t="s">
        <v>78</v>
      </c>
      <c r="AE63" s="10" t="s">
        <v>78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26" x14ac:dyDescent="0.2">
      <c r="A64" s="10">
        <v>60</v>
      </c>
      <c r="B64" s="10"/>
      <c r="C64" s="10"/>
      <c r="D64" s="10" t="s">
        <v>156</v>
      </c>
      <c r="E64" s="28" t="s">
        <v>583</v>
      </c>
      <c r="F64" s="10" t="s">
        <v>176</v>
      </c>
      <c r="G64" s="10" t="s">
        <v>144</v>
      </c>
      <c r="H64" s="10"/>
      <c r="I64" s="10" t="s">
        <v>398</v>
      </c>
      <c r="J64" s="10"/>
      <c r="K64" s="10" t="s">
        <v>120</v>
      </c>
      <c r="L64" s="10"/>
      <c r="M64" s="10"/>
      <c r="N64" s="10"/>
      <c r="O64" s="10"/>
      <c r="P64" s="10"/>
      <c r="Q64" s="10" t="s">
        <v>404</v>
      </c>
      <c r="R64" s="10"/>
      <c r="S64" s="10" t="s">
        <v>405</v>
      </c>
      <c r="T64" s="10"/>
      <c r="U64" s="10" t="s">
        <v>201</v>
      </c>
      <c r="V64" s="10"/>
      <c r="W64" s="10"/>
      <c r="X64" s="10"/>
      <c r="Z64" s="10" t="s">
        <v>78</v>
      </c>
      <c r="AA64" s="10" t="s">
        <v>78</v>
      </c>
      <c r="AB64" s="10" t="s">
        <v>78</v>
      </c>
      <c r="AC64" s="10" t="s">
        <v>78</v>
      </c>
      <c r="AE64" s="10" t="s">
        <v>78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ht="26" x14ac:dyDescent="0.2">
      <c r="A65" s="10">
        <v>60</v>
      </c>
      <c r="B65" s="10"/>
      <c r="C65" s="10"/>
      <c r="D65" s="10" t="s">
        <v>157</v>
      </c>
      <c r="E65" s="28" t="s">
        <v>584</v>
      </c>
      <c r="F65" s="10" t="s">
        <v>177</v>
      </c>
      <c r="G65" s="10"/>
      <c r="H65" s="10"/>
      <c r="I65" s="10" t="s">
        <v>401</v>
      </c>
      <c r="J65" s="10"/>
      <c r="K65" s="10" t="s">
        <v>121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78</v>
      </c>
      <c r="AA65" s="10" t="s">
        <v>78</v>
      </c>
      <c r="AB65" s="10" t="s">
        <v>78</v>
      </c>
      <c r="AC65" s="10" t="s">
        <v>78</v>
      </c>
      <c r="AE65" s="10" t="s">
        <v>78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ht="26" x14ac:dyDescent="0.2">
      <c r="A66" s="10">
        <v>60</v>
      </c>
      <c r="B66" s="10"/>
      <c r="C66" s="10"/>
      <c r="D66" s="10" t="s">
        <v>158</v>
      </c>
      <c r="E66" s="28" t="s">
        <v>585</v>
      </c>
      <c r="F66" s="10" t="s">
        <v>178</v>
      </c>
      <c r="G66" s="10" t="s">
        <v>145</v>
      </c>
      <c r="H66" s="10"/>
      <c r="I66" s="10" t="s">
        <v>398</v>
      </c>
      <c r="J66" s="10"/>
      <c r="K66" s="10" t="s">
        <v>120</v>
      </c>
      <c r="L66" s="10"/>
      <c r="M66" s="10"/>
      <c r="N66" s="10"/>
      <c r="O66" s="10"/>
      <c r="P66" s="10"/>
      <c r="Q66" s="10" t="s">
        <v>406</v>
      </c>
      <c r="R66" s="10"/>
      <c r="S66" s="10" t="s">
        <v>407</v>
      </c>
      <c r="T66" s="10"/>
      <c r="U66" s="10" t="s">
        <v>201</v>
      </c>
      <c r="V66" s="10"/>
      <c r="W66" s="10"/>
      <c r="X66" s="10"/>
      <c r="Z66" s="10" t="s">
        <v>78</v>
      </c>
      <c r="AA66" s="10" t="s">
        <v>78</v>
      </c>
      <c r="AB66" s="10" t="s">
        <v>78</v>
      </c>
      <c r="AC66" s="10" t="s">
        <v>78</v>
      </c>
      <c r="AE66" s="10" t="s">
        <v>78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ht="26" x14ac:dyDescent="0.2">
      <c r="A67" s="10">
        <v>60</v>
      </c>
      <c r="B67" s="10"/>
      <c r="C67" s="10"/>
      <c r="D67" s="10" t="s">
        <v>159</v>
      </c>
      <c r="E67" s="28" t="s">
        <v>586</v>
      </c>
      <c r="F67" s="10" t="s">
        <v>179</v>
      </c>
      <c r="G67" s="10"/>
      <c r="H67" s="10"/>
      <c r="I67" s="10" t="s">
        <v>401</v>
      </c>
      <c r="J67" s="10"/>
      <c r="K67" s="10" t="s">
        <v>121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78</v>
      </c>
      <c r="AA67" s="10" t="s">
        <v>78</v>
      </c>
      <c r="AB67" s="10" t="s">
        <v>78</v>
      </c>
      <c r="AC67" s="10" t="s">
        <v>78</v>
      </c>
      <c r="AE67" s="10" t="s">
        <v>78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ht="26" x14ac:dyDescent="0.2">
      <c r="A68" s="10">
        <v>60</v>
      </c>
      <c r="B68" s="10"/>
      <c r="C68" s="10"/>
      <c r="D68" s="10" t="s">
        <v>160</v>
      </c>
      <c r="E68" s="28" t="s">
        <v>587</v>
      </c>
      <c r="F68" s="10" t="s">
        <v>180</v>
      </c>
      <c r="G68" s="10" t="s">
        <v>146</v>
      </c>
      <c r="H68" s="10"/>
      <c r="I68" s="10" t="s">
        <v>398</v>
      </c>
      <c r="J68" s="10"/>
      <c r="K68" s="10" t="s">
        <v>120</v>
      </c>
      <c r="L68" s="10"/>
      <c r="M68" s="10"/>
      <c r="N68" s="10"/>
      <c r="O68" s="10"/>
      <c r="P68" s="10"/>
      <c r="Q68" s="10" t="s">
        <v>408</v>
      </c>
      <c r="R68" s="10"/>
      <c r="S68" s="10" t="s">
        <v>409</v>
      </c>
      <c r="T68" s="10"/>
      <c r="U68" s="10" t="s">
        <v>201</v>
      </c>
      <c r="V68" s="10"/>
      <c r="W68" s="10"/>
      <c r="X68" s="10"/>
      <c r="Z68" s="10" t="s">
        <v>78</v>
      </c>
      <c r="AA68" s="10" t="s">
        <v>78</v>
      </c>
      <c r="AB68" s="10" t="s">
        <v>78</v>
      </c>
      <c r="AC68" s="10" t="s">
        <v>78</v>
      </c>
      <c r="AE68" s="10" t="s">
        <v>78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ht="26" x14ac:dyDescent="0.2">
      <c r="A69" s="10">
        <v>60</v>
      </c>
      <c r="B69" s="10"/>
      <c r="C69" s="10"/>
      <c r="D69" s="10" t="s">
        <v>161</v>
      </c>
      <c r="E69" s="28" t="s">
        <v>588</v>
      </c>
      <c r="F69" s="10" t="s">
        <v>181</v>
      </c>
      <c r="G69" s="10"/>
      <c r="H69" s="10"/>
      <c r="I69" s="10" t="s">
        <v>401</v>
      </c>
      <c r="J69" s="10"/>
      <c r="K69" s="10" t="s">
        <v>121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78</v>
      </c>
      <c r="AA69" s="10" t="s">
        <v>78</v>
      </c>
      <c r="AB69" s="10" t="s">
        <v>78</v>
      </c>
      <c r="AC69" s="10" t="s">
        <v>78</v>
      </c>
      <c r="AE69" s="10" t="s">
        <v>78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ht="26" x14ac:dyDescent="0.2">
      <c r="A70" s="10">
        <v>60</v>
      </c>
      <c r="B70" s="10"/>
      <c r="C70" s="10"/>
      <c r="D70" s="10" t="s">
        <v>162</v>
      </c>
      <c r="E70" s="28" t="s">
        <v>589</v>
      </c>
      <c r="F70" s="10" t="s">
        <v>182</v>
      </c>
      <c r="G70" s="10" t="s">
        <v>147</v>
      </c>
      <c r="H70" s="10"/>
      <c r="I70" s="10" t="s">
        <v>398</v>
      </c>
      <c r="J70" s="10"/>
      <c r="K70" s="10" t="s">
        <v>120</v>
      </c>
      <c r="L70" s="10"/>
      <c r="M70" s="10"/>
      <c r="N70" s="10"/>
      <c r="O70" s="10"/>
      <c r="P70" s="10"/>
      <c r="Q70" s="10" t="s">
        <v>410</v>
      </c>
      <c r="R70" s="10"/>
      <c r="S70" s="10" t="s">
        <v>411</v>
      </c>
      <c r="T70" s="10"/>
      <c r="U70" s="10" t="s">
        <v>201</v>
      </c>
      <c r="V70" s="10"/>
      <c r="W70" s="10"/>
      <c r="X70" s="10"/>
      <c r="Z70" s="10" t="s">
        <v>78</v>
      </c>
      <c r="AA70" s="10" t="s">
        <v>78</v>
      </c>
      <c r="AB70" s="10" t="s">
        <v>78</v>
      </c>
      <c r="AC70" s="10" t="s">
        <v>78</v>
      </c>
      <c r="AE70" s="10" t="s">
        <v>78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ht="26" x14ac:dyDescent="0.2">
      <c r="A71" s="10">
        <v>60</v>
      </c>
      <c r="B71" s="10"/>
      <c r="C71" s="10"/>
      <c r="D71" s="10" t="s">
        <v>163</v>
      </c>
      <c r="E71" s="28" t="s">
        <v>590</v>
      </c>
      <c r="F71" s="10" t="s">
        <v>183</v>
      </c>
      <c r="G71" s="10"/>
      <c r="H71" s="10"/>
      <c r="I71" s="10" t="s">
        <v>401</v>
      </c>
      <c r="J71" s="10"/>
      <c r="K71" s="10" t="s">
        <v>121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78</v>
      </c>
      <c r="AA71" s="10" t="s">
        <v>78</v>
      </c>
      <c r="AB71" s="10" t="s">
        <v>78</v>
      </c>
      <c r="AC71" s="10" t="s">
        <v>78</v>
      </c>
      <c r="AE71" s="10" t="s">
        <v>78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ht="26" x14ac:dyDescent="0.2">
      <c r="A72" s="10">
        <v>60</v>
      </c>
      <c r="B72" s="10"/>
      <c r="C72" s="10"/>
      <c r="D72" s="10" t="s">
        <v>164</v>
      </c>
      <c r="E72" s="28" t="s">
        <v>591</v>
      </c>
      <c r="F72" s="10" t="s">
        <v>184</v>
      </c>
      <c r="G72" s="10" t="s">
        <v>148</v>
      </c>
      <c r="H72" s="10"/>
      <c r="I72" s="10" t="s">
        <v>398</v>
      </c>
      <c r="J72" s="10"/>
      <c r="K72" s="10" t="s">
        <v>120</v>
      </c>
      <c r="L72" s="10"/>
      <c r="M72" s="10"/>
      <c r="N72" s="10"/>
      <c r="O72" s="10"/>
      <c r="P72" s="10"/>
      <c r="Q72" s="10" t="s">
        <v>412</v>
      </c>
      <c r="R72" s="10"/>
      <c r="S72" s="10" t="s">
        <v>413</v>
      </c>
      <c r="T72" s="10"/>
      <c r="U72" s="10" t="s">
        <v>201</v>
      </c>
      <c r="V72" s="10"/>
      <c r="W72" s="10"/>
      <c r="X72" s="10"/>
      <c r="Z72" s="10" t="s">
        <v>78</v>
      </c>
      <c r="AA72" s="10" t="s">
        <v>78</v>
      </c>
      <c r="AB72" s="10" t="s">
        <v>78</v>
      </c>
      <c r="AC72" s="10" t="s">
        <v>78</v>
      </c>
      <c r="AE72" s="10" t="s">
        <v>78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ht="26" x14ac:dyDescent="0.2">
      <c r="A73" s="10">
        <v>60</v>
      </c>
      <c r="B73" s="10"/>
      <c r="C73" s="10"/>
      <c r="D73" s="10" t="s">
        <v>165</v>
      </c>
      <c r="E73" s="28" t="s">
        <v>592</v>
      </c>
      <c r="F73" s="10" t="s">
        <v>185</v>
      </c>
      <c r="G73" s="10"/>
      <c r="H73" s="10"/>
      <c r="I73" s="10" t="s">
        <v>401</v>
      </c>
      <c r="J73" s="10"/>
      <c r="K73" s="10" t="s">
        <v>121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78</v>
      </c>
      <c r="AA73" s="10" t="s">
        <v>78</v>
      </c>
      <c r="AB73" s="10" t="s">
        <v>78</v>
      </c>
      <c r="AC73" s="10" t="s">
        <v>78</v>
      </c>
      <c r="AE73" s="10" t="s">
        <v>78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ht="26" x14ac:dyDescent="0.2">
      <c r="A74" s="10">
        <v>60</v>
      </c>
      <c r="B74" s="10"/>
      <c r="C74" s="10"/>
      <c r="D74" s="10" t="s">
        <v>166</v>
      </c>
      <c r="E74" s="28" t="s">
        <v>593</v>
      </c>
      <c r="F74" s="10" t="s">
        <v>186</v>
      </c>
      <c r="G74" s="10" t="s">
        <v>149</v>
      </c>
      <c r="H74" s="10"/>
      <c r="I74" s="10" t="s">
        <v>398</v>
      </c>
      <c r="J74" s="10"/>
      <c r="K74" s="10" t="s">
        <v>120</v>
      </c>
      <c r="L74" s="10"/>
      <c r="M74" s="10"/>
      <c r="N74" s="10"/>
      <c r="O74" s="10"/>
      <c r="P74" s="10"/>
      <c r="Q74" s="10" t="s">
        <v>414</v>
      </c>
      <c r="R74" s="10"/>
      <c r="S74" s="10" t="s">
        <v>415</v>
      </c>
      <c r="T74" s="10"/>
      <c r="U74" s="10" t="s">
        <v>201</v>
      </c>
      <c r="V74" s="10"/>
      <c r="W74" s="10"/>
      <c r="X74" s="10"/>
      <c r="Z74" s="10" t="s">
        <v>78</v>
      </c>
      <c r="AA74" s="10" t="s">
        <v>78</v>
      </c>
      <c r="AB74" s="10" t="s">
        <v>78</v>
      </c>
      <c r="AC74" s="10" t="s">
        <v>78</v>
      </c>
      <c r="AE74" s="10" t="s">
        <v>78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ht="26" x14ac:dyDescent="0.2">
      <c r="A75" s="10">
        <v>60</v>
      </c>
      <c r="B75" s="10"/>
      <c r="C75" s="10"/>
      <c r="D75" s="10" t="s">
        <v>167</v>
      </c>
      <c r="E75" s="28" t="s">
        <v>594</v>
      </c>
      <c r="F75" s="10" t="s">
        <v>187</v>
      </c>
      <c r="G75" s="10"/>
      <c r="H75" s="10"/>
      <c r="I75" s="10" t="s">
        <v>401</v>
      </c>
      <c r="J75" s="10"/>
      <c r="K75" s="10" t="s">
        <v>121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78</v>
      </c>
      <c r="AA75" s="10" t="s">
        <v>78</v>
      </c>
      <c r="AB75" s="10" t="s">
        <v>78</v>
      </c>
      <c r="AC75" s="10" t="s">
        <v>78</v>
      </c>
      <c r="AE75" s="10" t="s">
        <v>78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ht="26" x14ac:dyDescent="0.2">
      <c r="A76" s="10">
        <v>60</v>
      </c>
      <c r="B76" s="10"/>
      <c r="C76" s="10"/>
      <c r="D76" s="10" t="s">
        <v>168</v>
      </c>
      <c r="E76" s="28" t="s">
        <v>595</v>
      </c>
      <c r="F76" s="10" t="s">
        <v>188</v>
      </c>
      <c r="G76" s="10" t="s">
        <v>150</v>
      </c>
      <c r="H76" s="10"/>
      <c r="I76" s="10" t="s">
        <v>398</v>
      </c>
      <c r="J76" s="10"/>
      <c r="K76" s="10" t="s">
        <v>120</v>
      </c>
      <c r="L76" s="10"/>
      <c r="M76" s="10"/>
      <c r="N76" s="10"/>
      <c r="O76" s="10"/>
      <c r="P76" s="10"/>
      <c r="Q76" s="10" t="s">
        <v>416</v>
      </c>
      <c r="R76" s="10"/>
      <c r="S76" s="10" t="s">
        <v>417</v>
      </c>
      <c r="T76" s="10"/>
      <c r="U76" s="10" t="s">
        <v>201</v>
      </c>
      <c r="V76" s="10"/>
      <c r="W76" s="10"/>
      <c r="X76" s="10"/>
      <c r="Z76" s="10" t="s">
        <v>78</v>
      </c>
      <c r="AA76" s="10" t="s">
        <v>78</v>
      </c>
      <c r="AB76" s="10" t="s">
        <v>78</v>
      </c>
      <c r="AC76" s="10" t="s">
        <v>78</v>
      </c>
      <c r="AE76" s="10" t="s">
        <v>78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ht="26" x14ac:dyDescent="0.2">
      <c r="A77" s="10">
        <v>60</v>
      </c>
      <c r="B77" s="10"/>
      <c r="C77" s="10"/>
      <c r="D77" s="10" t="s">
        <v>169</v>
      </c>
      <c r="E77" s="28" t="s">
        <v>596</v>
      </c>
      <c r="F77" s="10" t="s">
        <v>189</v>
      </c>
      <c r="G77" s="10"/>
      <c r="H77" s="10"/>
      <c r="I77" s="10" t="s">
        <v>401</v>
      </c>
      <c r="J77" s="10"/>
      <c r="K77" s="10" t="s">
        <v>121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78</v>
      </c>
      <c r="AA77" s="10" t="s">
        <v>78</v>
      </c>
      <c r="AB77" s="10" t="s">
        <v>78</v>
      </c>
      <c r="AC77" s="10" t="s">
        <v>78</v>
      </c>
      <c r="AE77" s="10" t="s">
        <v>78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ht="26" x14ac:dyDescent="0.2">
      <c r="A78" s="10">
        <v>60</v>
      </c>
      <c r="B78" s="10"/>
      <c r="C78" s="10"/>
      <c r="D78" s="10" t="s">
        <v>170</v>
      </c>
      <c r="E78" s="28" t="s">
        <v>597</v>
      </c>
      <c r="F78" s="10" t="s">
        <v>190</v>
      </c>
      <c r="G78" s="10" t="s">
        <v>151</v>
      </c>
      <c r="H78" s="10"/>
      <c r="I78" s="10" t="s">
        <v>398</v>
      </c>
      <c r="J78" s="10"/>
      <c r="K78" s="10" t="s">
        <v>120</v>
      </c>
      <c r="L78" s="10"/>
      <c r="M78" s="10"/>
      <c r="N78" s="10"/>
      <c r="O78" s="10"/>
      <c r="P78" s="10"/>
      <c r="Q78" s="10" t="s">
        <v>418</v>
      </c>
      <c r="R78" s="10"/>
      <c r="S78" s="10" t="s">
        <v>419</v>
      </c>
      <c r="T78" s="10"/>
      <c r="U78" s="10" t="s">
        <v>201</v>
      </c>
      <c r="V78" s="10"/>
      <c r="W78" s="10"/>
      <c r="X78" s="10"/>
      <c r="Z78" s="10" t="s">
        <v>78</v>
      </c>
      <c r="AA78" s="10" t="s">
        <v>78</v>
      </c>
      <c r="AB78" s="10" t="s">
        <v>78</v>
      </c>
      <c r="AC78" s="10" t="s">
        <v>78</v>
      </c>
      <c r="AE78" s="10" t="s">
        <v>78</v>
      </c>
      <c r="AF78" s="10"/>
      <c r="AG78" s="10"/>
      <c r="AH78" s="10"/>
      <c r="AI78" s="10"/>
      <c r="AJ78" s="10"/>
      <c r="AK78" s="10"/>
      <c r="AL78" s="10"/>
      <c r="AM78" s="10"/>
      <c r="AN78" s="10"/>
      <c r="AP78" s="14"/>
    </row>
    <row r="79" spans="1:42" s="1" customFormat="1" ht="26" x14ac:dyDescent="0.2">
      <c r="A79" s="10">
        <v>60</v>
      </c>
      <c r="B79" s="10"/>
      <c r="C79" s="10"/>
      <c r="D79" s="10" t="s">
        <v>171</v>
      </c>
      <c r="E79" s="28" t="s">
        <v>598</v>
      </c>
      <c r="F79" s="10" t="s">
        <v>191</v>
      </c>
      <c r="G79" s="10"/>
      <c r="H79" s="10"/>
      <c r="I79" s="10" t="s">
        <v>401</v>
      </c>
      <c r="J79" s="10"/>
      <c r="K79" s="10" t="s">
        <v>121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78</v>
      </c>
      <c r="AA79" s="10" t="s">
        <v>78</v>
      </c>
      <c r="AB79" s="10" t="s">
        <v>78</v>
      </c>
      <c r="AC79" s="10" t="s">
        <v>78</v>
      </c>
      <c r="AE79" s="10" t="s">
        <v>78</v>
      </c>
      <c r="AF79" s="10"/>
      <c r="AG79" s="10"/>
      <c r="AH79" s="10"/>
      <c r="AI79" s="10"/>
      <c r="AJ79" s="10"/>
      <c r="AK79" s="10"/>
      <c r="AL79" s="10"/>
      <c r="AM79" s="10"/>
      <c r="AN79" s="10"/>
      <c r="AP79" s="14"/>
    </row>
    <row r="80" spans="1:42" s="1" customFormat="1" x14ac:dyDescent="0.2">
      <c r="A80" s="10">
        <v>60</v>
      </c>
      <c r="B80" s="10"/>
      <c r="C80" s="10"/>
      <c r="D80" s="10" t="s">
        <v>307</v>
      </c>
      <c r="E80" s="28" t="s">
        <v>565</v>
      </c>
      <c r="F80" s="10" t="s">
        <v>221</v>
      </c>
      <c r="G80" s="10" t="s">
        <v>93</v>
      </c>
      <c r="H80" s="10"/>
      <c r="I80" s="10" t="s">
        <v>360</v>
      </c>
      <c r="J80" s="10"/>
      <c r="K80" s="10" t="s">
        <v>420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/>
      <c r="AA80" s="10"/>
      <c r="AB80" s="10"/>
      <c r="AC80" s="10"/>
      <c r="AE80" s="10" t="s">
        <v>78</v>
      </c>
      <c r="AF80" s="10"/>
      <c r="AG80" s="10"/>
      <c r="AH80" s="10"/>
      <c r="AI80" s="10"/>
      <c r="AJ80" s="10"/>
      <c r="AK80" s="10"/>
      <c r="AL80" s="10"/>
      <c r="AM80" s="10"/>
      <c r="AN80" s="10"/>
      <c r="AP80" s="14"/>
    </row>
    <row r="81" spans="1:42" s="1" customFormat="1" ht="52" x14ac:dyDescent="0.2">
      <c r="A81" s="39"/>
      <c r="AE81" s="33" t="s">
        <v>651</v>
      </c>
      <c r="AF81" s="33" t="s">
        <v>652</v>
      </c>
      <c r="AG81" s="33" t="s">
        <v>651</v>
      </c>
      <c r="AH81" s="33" t="s">
        <v>652</v>
      </c>
      <c r="AI81" s="33" t="s">
        <v>651</v>
      </c>
      <c r="AJ81" s="33" t="s">
        <v>652</v>
      </c>
      <c r="AK81" s="33" t="s">
        <v>651</v>
      </c>
      <c r="AL81" s="33" t="s">
        <v>652</v>
      </c>
      <c r="AM81" s="33" t="s">
        <v>651</v>
      </c>
      <c r="AN81" s="33" t="s">
        <v>652</v>
      </c>
      <c r="AP81" s="15"/>
    </row>
    <row r="82" spans="1:42" s="1" customFormat="1" x14ac:dyDescent="0.2">
      <c r="A82" s="47">
        <v>70</v>
      </c>
      <c r="B82" s="23" t="s">
        <v>0</v>
      </c>
      <c r="C82" s="23"/>
      <c r="D82" s="23" t="s">
        <v>126</v>
      </c>
      <c r="E82" s="24"/>
      <c r="F82" s="23"/>
      <c r="G82" s="23"/>
      <c r="H82" s="23"/>
      <c r="I82" s="23" t="s">
        <v>49</v>
      </c>
      <c r="J82" s="23"/>
      <c r="K82" s="23" t="s">
        <v>242</v>
      </c>
      <c r="L82" s="23"/>
      <c r="M82" s="23"/>
      <c r="N82" s="23"/>
      <c r="O82" s="23"/>
      <c r="P82" s="23"/>
      <c r="Q82" s="25"/>
      <c r="R82" s="25"/>
      <c r="S82" s="25"/>
      <c r="T82" s="25"/>
      <c r="U82" s="25"/>
      <c r="V82" s="25"/>
      <c r="W82" s="25"/>
      <c r="X82" s="25"/>
      <c r="Y82" s="49"/>
      <c r="Z82" s="25"/>
      <c r="AA82" s="25"/>
      <c r="AB82" s="25"/>
      <c r="AC82" s="25"/>
      <c r="AD82" s="49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9"/>
      <c r="AP82" s="26"/>
    </row>
    <row r="83" spans="1:42" s="1" customFormat="1" ht="52" x14ac:dyDescent="0.2">
      <c r="A83" s="39"/>
      <c r="AE83" s="33" t="s">
        <v>651</v>
      </c>
      <c r="AF83" s="33" t="s">
        <v>652</v>
      </c>
      <c r="AG83" s="33" t="s">
        <v>651</v>
      </c>
      <c r="AH83" s="33" t="s">
        <v>652</v>
      </c>
      <c r="AI83" s="33" t="s">
        <v>651</v>
      </c>
      <c r="AJ83" s="33" t="s">
        <v>652</v>
      </c>
      <c r="AK83" s="33" t="s">
        <v>651</v>
      </c>
      <c r="AL83" s="33" t="s">
        <v>652</v>
      </c>
      <c r="AM83" s="33" t="s">
        <v>651</v>
      </c>
      <c r="AN83" s="33" t="s">
        <v>652</v>
      </c>
      <c r="AP83" s="15"/>
    </row>
    <row r="84" spans="1:42" s="1" customFormat="1" x14ac:dyDescent="0.2">
      <c r="A84" s="47">
        <v>80</v>
      </c>
      <c r="B84" s="23" t="s">
        <v>0</v>
      </c>
      <c r="C84" s="23"/>
      <c r="D84" s="23" t="s">
        <v>128</v>
      </c>
      <c r="E84" s="24"/>
      <c r="F84" s="23"/>
      <c r="G84" s="23"/>
      <c r="H84" s="23"/>
      <c r="I84" s="23" t="s">
        <v>49</v>
      </c>
      <c r="J84" s="23"/>
      <c r="K84" s="23" t="s">
        <v>242</v>
      </c>
      <c r="L84" s="23"/>
      <c r="M84" s="23"/>
      <c r="N84" s="23"/>
      <c r="O84" s="23"/>
      <c r="P84" s="23"/>
      <c r="Q84" s="25"/>
      <c r="R84" s="25"/>
      <c r="S84" s="25"/>
      <c r="T84" s="25"/>
      <c r="U84" s="25"/>
      <c r="V84" s="25"/>
      <c r="W84" s="25"/>
      <c r="X84" s="25"/>
      <c r="Y84" s="49"/>
      <c r="Z84" s="25"/>
      <c r="AA84" s="25"/>
      <c r="AB84" s="25"/>
      <c r="AC84" s="25"/>
      <c r="AD84" s="49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9"/>
      <c r="AP84" s="26"/>
    </row>
    <row r="85" spans="1:42" s="1" customFormat="1" ht="52" x14ac:dyDescent="0.2">
      <c r="A85" s="39"/>
      <c r="AE85" s="33" t="s">
        <v>651</v>
      </c>
      <c r="AF85" s="33" t="s">
        <v>652</v>
      </c>
      <c r="AG85" s="33" t="s">
        <v>651</v>
      </c>
      <c r="AH85" s="33" t="s">
        <v>652</v>
      </c>
      <c r="AI85" s="33" t="s">
        <v>651</v>
      </c>
      <c r="AJ85" s="33" t="s">
        <v>652</v>
      </c>
      <c r="AK85" s="33" t="s">
        <v>651</v>
      </c>
      <c r="AL85" s="33" t="s">
        <v>652</v>
      </c>
      <c r="AM85" s="33" t="s">
        <v>651</v>
      </c>
      <c r="AN85" s="33" t="s">
        <v>652</v>
      </c>
      <c r="AP85" s="15"/>
    </row>
    <row r="86" spans="1:42" s="1" customFormat="1" x14ac:dyDescent="0.2">
      <c r="A86" s="10">
        <v>90</v>
      </c>
      <c r="B86" s="11" t="s">
        <v>0</v>
      </c>
      <c r="C86" s="11"/>
      <c r="D86" s="11" t="s">
        <v>244</v>
      </c>
      <c r="E86" s="12"/>
      <c r="F86" s="11"/>
      <c r="G86" s="11"/>
      <c r="H86" s="11"/>
      <c r="I86" s="11" t="s">
        <v>49</v>
      </c>
      <c r="J86" s="11"/>
      <c r="K86" s="11" t="s">
        <v>242</v>
      </c>
      <c r="L86" s="11" t="s">
        <v>421</v>
      </c>
      <c r="M86" s="11" t="s">
        <v>336</v>
      </c>
      <c r="N86" s="11" t="s">
        <v>338</v>
      </c>
      <c r="O86" s="11"/>
      <c r="P86" s="11"/>
      <c r="Q86" s="17"/>
      <c r="R86" s="17"/>
      <c r="S86" s="17"/>
      <c r="T86" s="17"/>
      <c r="U86" s="17"/>
      <c r="V86" s="17"/>
      <c r="W86" s="17"/>
      <c r="X86" s="17"/>
      <c r="Y86" s="16"/>
      <c r="Z86" s="17"/>
      <c r="AA86" s="17"/>
      <c r="AB86" s="17"/>
      <c r="AC86" s="17"/>
      <c r="AD86" s="16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6"/>
      <c r="AP86" s="14"/>
    </row>
    <row r="87" spans="1:42" s="1" customFormat="1" x14ac:dyDescent="0.2">
      <c r="A87" s="10">
        <v>90</v>
      </c>
      <c r="B87" s="10"/>
      <c r="C87" s="10"/>
      <c r="D87" s="10" t="s">
        <v>239</v>
      </c>
      <c r="E87" s="28"/>
      <c r="F87" s="10"/>
      <c r="G87" s="10"/>
      <c r="H87" s="10"/>
      <c r="I87" s="10"/>
      <c r="J87" s="10"/>
      <c r="K87" s="10" t="s">
        <v>351</v>
      </c>
      <c r="L87" s="10" t="s">
        <v>422</v>
      </c>
      <c r="M87" s="10" t="s">
        <v>338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P87" s="14"/>
    </row>
    <row r="88" spans="1:42" s="1" customFormat="1" ht="52" x14ac:dyDescent="0.2">
      <c r="A88" s="39"/>
      <c r="AE88" s="33" t="s">
        <v>651</v>
      </c>
      <c r="AF88" s="33" t="s">
        <v>652</v>
      </c>
      <c r="AG88" s="33" t="s">
        <v>651</v>
      </c>
      <c r="AH88" s="33" t="s">
        <v>652</v>
      </c>
      <c r="AI88" s="33" t="s">
        <v>651</v>
      </c>
      <c r="AJ88" s="33" t="s">
        <v>652</v>
      </c>
      <c r="AK88" s="33" t="s">
        <v>651</v>
      </c>
      <c r="AL88" s="33" t="s">
        <v>652</v>
      </c>
      <c r="AM88" s="33" t="s">
        <v>651</v>
      </c>
      <c r="AN88" s="33" t="s">
        <v>652</v>
      </c>
      <c r="AP88" s="15"/>
    </row>
    <row r="89" spans="1:42" s="1" customFormat="1" x14ac:dyDescent="0.2">
      <c r="A89" s="10">
        <v>100</v>
      </c>
      <c r="B89" s="11" t="s">
        <v>10</v>
      </c>
      <c r="C89" s="11"/>
      <c r="D89" s="11" t="s">
        <v>300</v>
      </c>
      <c r="E89" s="12"/>
      <c r="F89" s="11"/>
      <c r="G89" s="11"/>
      <c r="H89" s="11"/>
      <c r="I89" s="11" t="s">
        <v>49</v>
      </c>
      <c r="J89" s="11"/>
      <c r="K89" s="11" t="s">
        <v>242</v>
      </c>
      <c r="L89" s="11" t="s">
        <v>336</v>
      </c>
      <c r="M89" s="11" t="s">
        <v>50</v>
      </c>
      <c r="N89" s="11" t="s">
        <v>423</v>
      </c>
      <c r="O89" s="11"/>
      <c r="P89" s="11"/>
      <c r="Q89" s="17"/>
      <c r="R89" s="17"/>
      <c r="S89" s="17"/>
      <c r="T89" s="17"/>
      <c r="U89" s="17"/>
      <c r="V89" s="17"/>
      <c r="W89" s="17"/>
      <c r="X89" s="17"/>
      <c r="Y89" s="16"/>
      <c r="Z89" s="17"/>
      <c r="AA89" s="17"/>
      <c r="AB89" s="17"/>
      <c r="AC89" s="17"/>
      <c r="AD89" s="16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6"/>
      <c r="AP89" s="14"/>
    </row>
    <row r="90" spans="1:42" s="1" customFormat="1" ht="26" x14ac:dyDescent="0.2">
      <c r="A90" s="10">
        <v>100</v>
      </c>
      <c r="B90" s="10"/>
      <c r="C90" s="10"/>
      <c r="D90" s="10" t="s">
        <v>301</v>
      </c>
      <c r="E90" s="28" t="s">
        <v>599</v>
      </c>
      <c r="F90" s="10" t="s">
        <v>302</v>
      </c>
      <c r="G90" s="10" t="s">
        <v>303</v>
      </c>
      <c r="H90" s="10"/>
      <c r="I90" s="10"/>
      <c r="J90" s="10"/>
      <c r="K90" s="10" t="s">
        <v>424</v>
      </c>
      <c r="L90" s="10"/>
      <c r="M90" s="10"/>
      <c r="N90" s="10"/>
      <c r="O90" s="10"/>
      <c r="P90" s="10"/>
      <c r="Q90" s="10"/>
      <c r="R90" s="10"/>
      <c r="S90" s="10"/>
      <c r="T90" s="10" t="s">
        <v>425</v>
      </c>
      <c r="U90" s="10"/>
      <c r="V90" s="10"/>
      <c r="W90" s="10"/>
      <c r="X90" s="10"/>
      <c r="Z90" s="10" t="s">
        <v>426</v>
      </c>
      <c r="AA90" s="10" t="s">
        <v>426</v>
      </c>
      <c r="AB90" s="10" t="s">
        <v>426</v>
      </c>
      <c r="AC90" s="10" t="s">
        <v>426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P90" s="14"/>
    </row>
    <row r="91" spans="1:42" s="1" customFormat="1" ht="26" x14ac:dyDescent="0.2">
      <c r="A91" s="10">
        <v>100</v>
      </c>
      <c r="B91" s="10"/>
      <c r="C91" s="10"/>
      <c r="D91" s="10" t="s">
        <v>304</v>
      </c>
      <c r="E91" s="28" t="s">
        <v>600</v>
      </c>
      <c r="F91" s="10" t="s">
        <v>305</v>
      </c>
      <c r="G91" s="10" t="s">
        <v>306</v>
      </c>
      <c r="H91" s="10"/>
      <c r="I91" s="10"/>
      <c r="J91" s="10"/>
      <c r="K91" s="10" t="s">
        <v>424</v>
      </c>
      <c r="L91" s="10"/>
      <c r="M91" s="10"/>
      <c r="N91" s="10"/>
      <c r="O91" s="10"/>
      <c r="P91" s="10"/>
      <c r="Q91" s="10"/>
      <c r="R91" s="10"/>
      <c r="S91" s="10"/>
      <c r="T91" s="10" t="s">
        <v>425</v>
      </c>
      <c r="U91" s="10"/>
      <c r="V91" s="10"/>
      <c r="W91" s="10"/>
      <c r="X91" s="10"/>
      <c r="Z91" s="10" t="s">
        <v>426</v>
      </c>
      <c r="AA91" s="10" t="s">
        <v>426</v>
      </c>
      <c r="AB91" s="10" t="s">
        <v>426</v>
      </c>
      <c r="AC91" s="10" t="s">
        <v>426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4"/>
    </row>
    <row r="92" spans="1:42" s="1" customFormat="1" ht="52" x14ac:dyDescent="0.2">
      <c r="A92" s="39"/>
      <c r="AE92" s="33" t="s">
        <v>651</v>
      </c>
      <c r="AF92" s="33" t="s">
        <v>652</v>
      </c>
      <c r="AG92" s="33" t="s">
        <v>651</v>
      </c>
      <c r="AH92" s="33" t="s">
        <v>652</v>
      </c>
      <c r="AI92" s="33" t="s">
        <v>651</v>
      </c>
      <c r="AJ92" s="33" t="s">
        <v>652</v>
      </c>
      <c r="AK92" s="33" t="s">
        <v>651</v>
      </c>
      <c r="AL92" s="33" t="s">
        <v>652</v>
      </c>
      <c r="AM92" s="33" t="s">
        <v>651</v>
      </c>
      <c r="AN92" s="33" t="s">
        <v>652</v>
      </c>
      <c r="AP92" s="15"/>
    </row>
    <row r="93" spans="1:42" s="1" customFormat="1" x14ac:dyDescent="0.2">
      <c r="A93" s="10">
        <v>110</v>
      </c>
      <c r="B93" s="11" t="s">
        <v>10</v>
      </c>
      <c r="C93" s="11"/>
      <c r="D93" s="11" t="s">
        <v>245</v>
      </c>
      <c r="E93" s="12"/>
      <c r="F93" s="11"/>
      <c r="G93" s="11"/>
      <c r="H93" s="11"/>
      <c r="I93" s="11" t="s">
        <v>49</v>
      </c>
      <c r="J93" s="11"/>
      <c r="K93" s="11" t="s">
        <v>242</v>
      </c>
      <c r="L93" s="11"/>
      <c r="M93" s="11" t="s">
        <v>427</v>
      </c>
      <c r="N93" s="11" t="s">
        <v>338</v>
      </c>
      <c r="O93" s="11"/>
      <c r="P93" s="11"/>
      <c r="Q93" s="17"/>
      <c r="R93" s="17"/>
      <c r="S93" s="17"/>
      <c r="T93" s="17"/>
      <c r="U93" s="17"/>
      <c r="V93" s="17"/>
      <c r="W93" s="17"/>
      <c r="X93" s="17"/>
      <c r="Y93" s="16"/>
      <c r="Z93" s="17"/>
      <c r="AA93" s="17"/>
      <c r="AB93" s="17"/>
      <c r="AC93" s="17"/>
      <c r="AD93" s="16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6"/>
      <c r="AP93" s="14"/>
    </row>
    <row r="94" spans="1:42" s="1" customFormat="1" x14ac:dyDescent="0.2">
      <c r="A94" s="10">
        <v>110</v>
      </c>
      <c r="B94" s="10"/>
      <c r="C94" s="10"/>
      <c r="D94" s="10" t="s">
        <v>90</v>
      </c>
      <c r="E94" s="28" t="s">
        <v>601</v>
      </c>
      <c r="F94" s="10" t="s">
        <v>195</v>
      </c>
      <c r="G94" s="10" t="s">
        <v>1</v>
      </c>
      <c r="H94" s="10"/>
      <c r="I94" s="10" t="s">
        <v>428</v>
      </c>
      <c r="J94" s="10"/>
      <c r="K94" s="10" t="s">
        <v>266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78</v>
      </c>
      <c r="AA94" s="10" t="s">
        <v>265</v>
      </c>
      <c r="AB94" s="10" t="s">
        <v>265</v>
      </c>
      <c r="AC94" s="10" t="s">
        <v>17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x14ac:dyDescent="0.2">
      <c r="A95" s="10">
        <v>110</v>
      </c>
      <c r="B95" s="10"/>
      <c r="C95" s="10"/>
      <c r="D95" s="10" t="s">
        <v>92</v>
      </c>
      <c r="E95" s="28" t="s">
        <v>602</v>
      </c>
      <c r="F95" s="10" t="s">
        <v>196</v>
      </c>
      <c r="G95" s="10" t="s">
        <v>1</v>
      </c>
      <c r="H95" s="10"/>
      <c r="I95" s="10" t="s">
        <v>428</v>
      </c>
      <c r="J95" s="10"/>
      <c r="K95" s="10" t="s">
        <v>266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78</v>
      </c>
      <c r="AA95" s="10" t="s">
        <v>265</v>
      </c>
      <c r="AB95" s="10" t="s">
        <v>265</v>
      </c>
      <c r="AC95" s="10" t="s">
        <v>17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P95" s="14"/>
    </row>
    <row r="96" spans="1:42" s="1" customFormat="1" x14ac:dyDescent="0.2">
      <c r="A96" s="10">
        <v>110</v>
      </c>
      <c r="B96" s="10"/>
      <c r="C96" s="10"/>
      <c r="D96" s="10" t="s">
        <v>197</v>
      </c>
      <c r="E96" s="28" t="s">
        <v>603</v>
      </c>
      <c r="F96" s="10" t="s">
        <v>198</v>
      </c>
      <c r="G96" s="10" t="s">
        <v>1</v>
      </c>
      <c r="H96" s="10"/>
      <c r="I96" s="10"/>
      <c r="J96" s="10"/>
      <c r="K96" s="10" t="s">
        <v>16</v>
      </c>
      <c r="L96" s="10"/>
      <c r="M96" s="10"/>
      <c r="N96" s="10"/>
      <c r="O96" s="10"/>
      <c r="P96" s="10"/>
      <c r="Q96" s="10"/>
      <c r="R96" s="10"/>
      <c r="S96" s="10"/>
      <c r="T96" s="10" t="s">
        <v>429</v>
      </c>
      <c r="U96" s="10"/>
      <c r="V96" s="10"/>
      <c r="W96" s="10"/>
      <c r="X96" s="10"/>
      <c r="Z96" s="10" t="s">
        <v>17</v>
      </c>
      <c r="AA96" s="10" t="s">
        <v>17</v>
      </c>
      <c r="AB96" s="10" t="s">
        <v>17</v>
      </c>
      <c r="AC96" s="10" t="s">
        <v>17</v>
      </c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P96" s="14"/>
    </row>
    <row r="97" spans="1:42" s="1" customFormat="1" ht="52" x14ac:dyDescent="0.2">
      <c r="A97" s="39"/>
      <c r="AE97" s="33" t="s">
        <v>651</v>
      </c>
      <c r="AF97" s="33" t="s">
        <v>652</v>
      </c>
      <c r="AG97" s="33" t="s">
        <v>651</v>
      </c>
      <c r="AH97" s="33" t="s">
        <v>652</v>
      </c>
      <c r="AI97" s="33" t="s">
        <v>651</v>
      </c>
      <c r="AJ97" s="33" t="s">
        <v>652</v>
      </c>
      <c r="AK97" s="33" t="s">
        <v>651</v>
      </c>
      <c r="AL97" s="33" t="s">
        <v>652</v>
      </c>
      <c r="AM97" s="33" t="s">
        <v>651</v>
      </c>
      <c r="AN97" s="33" t="s">
        <v>652</v>
      </c>
      <c r="AP97" s="15"/>
    </row>
    <row r="98" spans="1:42" s="1" customFormat="1" x14ac:dyDescent="0.2">
      <c r="A98" s="10">
        <v>120</v>
      </c>
      <c r="B98" s="11" t="s">
        <v>0</v>
      </c>
      <c r="C98" s="11"/>
      <c r="D98" s="11" t="s">
        <v>509</v>
      </c>
      <c r="E98" s="12"/>
      <c r="F98" s="11"/>
      <c r="G98" s="11"/>
      <c r="H98" s="11"/>
      <c r="I98" s="11" t="s">
        <v>13</v>
      </c>
      <c r="J98" s="11"/>
      <c r="K98" s="11" t="s">
        <v>430</v>
      </c>
      <c r="L98" s="11"/>
      <c r="M98" s="11" t="s">
        <v>246</v>
      </c>
      <c r="N98" s="11"/>
      <c r="O98" s="11"/>
      <c r="P98" s="11"/>
      <c r="Q98" s="17"/>
      <c r="R98" s="17"/>
      <c r="S98" s="17"/>
      <c r="T98" s="17"/>
      <c r="U98" s="17"/>
      <c r="V98" s="17"/>
      <c r="W98" s="17"/>
      <c r="X98" s="17"/>
      <c r="Y98" s="16"/>
      <c r="Z98" s="17"/>
      <c r="AA98" s="17"/>
      <c r="AB98" s="17"/>
      <c r="AC98" s="17"/>
      <c r="AD98" s="16"/>
      <c r="AE98" s="10"/>
      <c r="AF98" s="10" t="s">
        <v>431</v>
      </c>
      <c r="AG98" s="10" t="s">
        <v>194</v>
      </c>
      <c r="AH98" s="10" t="s">
        <v>194</v>
      </c>
      <c r="AI98" s="10" t="s">
        <v>432</v>
      </c>
      <c r="AJ98" s="10"/>
      <c r="AK98" s="10" t="s">
        <v>433</v>
      </c>
      <c r="AL98" s="10"/>
      <c r="AM98" s="10"/>
      <c r="AN98" s="10"/>
      <c r="AO98" s="16"/>
      <c r="AP98" s="14"/>
    </row>
    <row r="99" spans="1:42" s="1" customFormat="1" x14ac:dyDescent="0.2">
      <c r="A99" s="10">
        <v>120</v>
      </c>
      <c r="B99" s="10"/>
      <c r="C99" s="10"/>
      <c r="D99" s="10" t="s">
        <v>27</v>
      </c>
      <c r="E99" s="28" t="s">
        <v>604</v>
      </c>
      <c r="F99" s="10" t="s">
        <v>28</v>
      </c>
      <c r="G99" s="10" t="s">
        <v>8</v>
      </c>
      <c r="H99" s="10"/>
      <c r="I99" s="10" t="s">
        <v>349</v>
      </c>
      <c r="J99" s="10"/>
      <c r="K99" s="10" t="s">
        <v>350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49</v>
      </c>
      <c r="AA99" s="10" t="s">
        <v>265</v>
      </c>
      <c r="AB99" s="10" t="s">
        <v>49</v>
      </c>
      <c r="AC99" s="10" t="s">
        <v>426</v>
      </c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P99" s="14"/>
    </row>
    <row r="100" spans="1:42" s="1" customFormat="1" x14ac:dyDescent="0.2">
      <c r="A100" s="10">
        <v>120</v>
      </c>
      <c r="B100" s="10"/>
      <c r="C100" s="10"/>
      <c r="D100" s="10" t="s">
        <v>69</v>
      </c>
      <c r="E100" s="28" t="s">
        <v>576</v>
      </c>
      <c r="F100" s="10" t="s">
        <v>46</v>
      </c>
      <c r="G100" s="10" t="s">
        <v>8</v>
      </c>
      <c r="H100" s="10"/>
      <c r="I100" s="10" t="s">
        <v>349</v>
      </c>
      <c r="J100" s="10"/>
      <c r="K100" s="10" t="s">
        <v>350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49</v>
      </c>
      <c r="AA100" s="10" t="s">
        <v>265</v>
      </c>
      <c r="AB100" s="10" t="s">
        <v>265</v>
      </c>
      <c r="AC100" s="10" t="s">
        <v>265</v>
      </c>
      <c r="AE100" s="10"/>
      <c r="AF100" s="10" t="s">
        <v>78</v>
      </c>
      <c r="AG100" s="10" t="s">
        <v>78</v>
      </c>
      <c r="AH100" s="10" t="s">
        <v>78</v>
      </c>
      <c r="AI100" s="10" t="s">
        <v>78</v>
      </c>
      <c r="AJ100" s="10"/>
      <c r="AK100" s="10"/>
      <c r="AL100" s="10"/>
      <c r="AM100" s="10"/>
      <c r="AN100" s="10"/>
      <c r="AP100" s="14"/>
    </row>
    <row r="101" spans="1:42" s="1" customFormat="1" x14ac:dyDescent="0.2">
      <c r="A101" s="10">
        <v>120</v>
      </c>
      <c r="B101" s="10"/>
      <c r="C101" s="10"/>
      <c r="D101" s="10" t="s">
        <v>68</v>
      </c>
      <c r="E101" s="28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/>
      <c r="AA101" s="10"/>
      <c r="AB101" s="10"/>
      <c r="AC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P101" s="14"/>
    </row>
    <row r="102" spans="1:42" s="1" customFormat="1" ht="26" x14ac:dyDescent="0.2">
      <c r="A102" s="50">
        <v>120</v>
      </c>
      <c r="B102" s="50"/>
      <c r="C102" s="50"/>
      <c r="D102" s="50" t="s">
        <v>206</v>
      </c>
      <c r="E102" s="50"/>
      <c r="F102" s="50"/>
      <c r="G102" s="50"/>
      <c r="H102" s="50"/>
      <c r="I102" s="50" t="s">
        <v>49</v>
      </c>
      <c r="J102" s="50"/>
      <c r="K102" s="50" t="s">
        <v>434</v>
      </c>
      <c r="L102" s="50" t="s">
        <v>435</v>
      </c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 t="s">
        <v>436</v>
      </c>
      <c r="AA102" s="50" t="s">
        <v>437</v>
      </c>
      <c r="AB102" s="50" t="s">
        <v>437</v>
      </c>
      <c r="AC102" s="50" t="s">
        <v>437</v>
      </c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</row>
    <row r="103" spans="1:42" s="1" customFormat="1" ht="65" x14ac:dyDescent="0.2">
      <c r="A103" s="50">
        <v>120</v>
      </c>
      <c r="B103" s="10"/>
      <c r="C103" s="10"/>
      <c r="D103" s="10" t="s">
        <v>207</v>
      </c>
      <c r="E103" s="28" t="s">
        <v>605</v>
      </c>
      <c r="F103" s="10" t="s">
        <v>102</v>
      </c>
      <c r="G103" s="10" t="s">
        <v>94</v>
      </c>
      <c r="H103" s="10"/>
      <c r="I103" s="10" t="s">
        <v>354</v>
      </c>
      <c r="J103" s="10"/>
      <c r="K103" s="10" t="s">
        <v>355</v>
      </c>
      <c r="L103" s="10"/>
      <c r="M103" s="10"/>
      <c r="N103" s="10"/>
      <c r="O103" s="10" t="s">
        <v>123</v>
      </c>
      <c r="P103" s="10"/>
      <c r="Q103" s="10" t="s">
        <v>367</v>
      </c>
      <c r="R103" s="10"/>
      <c r="S103" s="10" t="s">
        <v>438</v>
      </c>
      <c r="T103" s="10"/>
      <c r="U103" s="10" t="s">
        <v>284</v>
      </c>
      <c r="V103" s="10" t="s">
        <v>368</v>
      </c>
      <c r="W103" s="10" t="s">
        <v>369</v>
      </c>
      <c r="X103" s="10"/>
      <c r="Z103" s="10"/>
      <c r="AA103" s="10"/>
      <c r="AB103" s="10"/>
      <c r="AC103" s="10"/>
      <c r="AE103" s="10"/>
      <c r="AF103" s="10" t="s">
        <v>370</v>
      </c>
      <c r="AG103" s="10" t="s">
        <v>370</v>
      </c>
      <c r="AH103" s="10" t="s">
        <v>370</v>
      </c>
      <c r="AI103" s="10" t="s">
        <v>370</v>
      </c>
      <c r="AJ103" s="10"/>
      <c r="AK103" s="10" t="s">
        <v>370</v>
      </c>
      <c r="AL103" s="10"/>
      <c r="AM103" s="10"/>
      <c r="AN103" s="10"/>
      <c r="AP103" s="14"/>
    </row>
    <row r="104" spans="1:42" s="1" customFormat="1" ht="52" x14ac:dyDescent="0.2">
      <c r="A104" s="50">
        <v>120</v>
      </c>
      <c r="B104" s="10"/>
      <c r="C104" s="10"/>
      <c r="D104" s="10" t="s">
        <v>208</v>
      </c>
      <c r="E104" s="28" t="s">
        <v>606</v>
      </c>
      <c r="F104" s="10" t="s">
        <v>95</v>
      </c>
      <c r="G104" s="10" t="s">
        <v>114</v>
      </c>
      <c r="H104" s="10"/>
      <c r="I104" s="10" t="s">
        <v>354</v>
      </c>
      <c r="J104" s="10"/>
      <c r="K104" s="10" t="s">
        <v>355</v>
      </c>
      <c r="L104" s="10"/>
      <c r="M104" s="10"/>
      <c r="N104" s="10"/>
      <c r="O104" s="10" t="s">
        <v>123</v>
      </c>
      <c r="P104" s="10"/>
      <c r="Q104" s="10" t="s">
        <v>371</v>
      </c>
      <c r="R104" s="10"/>
      <c r="S104" s="10" t="s">
        <v>311</v>
      </c>
      <c r="T104" s="10"/>
      <c r="U104" s="10" t="s">
        <v>439</v>
      </c>
      <c r="V104" s="10" t="s">
        <v>372</v>
      </c>
      <c r="W104" s="10" t="s">
        <v>373</v>
      </c>
      <c r="X104" s="10"/>
      <c r="Z104" s="10"/>
      <c r="AA104" s="10"/>
      <c r="AB104" s="10"/>
      <c r="AC104" s="10"/>
      <c r="AE104" s="10"/>
      <c r="AF104" s="10" t="s">
        <v>440</v>
      </c>
      <c r="AG104" s="10" t="s">
        <v>440</v>
      </c>
      <c r="AH104" s="10" t="s">
        <v>440</v>
      </c>
      <c r="AI104" s="10" t="s">
        <v>440</v>
      </c>
      <c r="AJ104" s="10"/>
      <c r="AK104" s="10" t="s">
        <v>440</v>
      </c>
      <c r="AL104" s="10"/>
      <c r="AM104" s="10"/>
      <c r="AN104" s="10"/>
      <c r="AP104" s="14"/>
    </row>
    <row r="105" spans="1:42" s="1" customFormat="1" ht="52" x14ac:dyDescent="0.2">
      <c r="A105" s="50">
        <v>120</v>
      </c>
      <c r="B105" s="10"/>
      <c r="C105" s="10"/>
      <c r="D105" s="10" t="s">
        <v>209</v>
      </c>
      <c r="E105" s="28" t="s">
        <v>607</v>
      </c>
      <c r="F105" s="10" t="s">
        <v>96</v>
      </c>
      <c r="G105" s="10" t="s">
        <v>114</v>
      </c>
      <c r="H105" s="10"/>
      <c r="I105" s="10" t="s">
        <v>354</v>
      </c>
      <c r="J105" s="10"/>
      <c r="K105" s="10" t="s">
        <v>355</v>
      </c>
      <c r="L105" s="10"/>
      <c r="M105" s="10"/>
      <c r="N105" s="10"/>
      <c r="O105" s="10" t="s">
        <v>123</v>
      </c>
      <c r="P105" s="10"/>
      <c r="Q105" s="10" t="s">
        <v>375</v>
      </c>
      <c r="R105" s="10"/>
      <c r="S105" s="10" t="s">
        <v>441</v>
      </c>
      <c r="T105" s="10"/>
      <c r="U105" s="10" t="s">
        <v>285</v>
      </c>
      <c r="V105" s="10" t="s">
        <v>527</v>
      </c>
      <c r="W105" s="10" t="s">
        <v>376</v>
      </c>
      <c r="X105" s="10"/>
      <c r="Z105" s="10"/>
      <c r="AA105" s="10"/>
      <c r="AB105" s="10"/>
      <c r="AC105" s="10"/>
      <c r="AE105" s="10"/>
      <c r="AF105" s="10" t="s">
        <v>442</v>
      </c>
      <c r="AG105" s="10" t="s">
        <v>442</v>
      </c>
      <c r="AH105" s="10" t="s">
        <v>442</v>
      </c>
      <c r="AI105" s="10" t="s">
        <v>442</v>
      </c>
      <c r="AJ105" s="10"/>
      <c r="AK105" s="10" t="s">
        <v>442</v>
      </c>
      <c r="AL105" s="10"/>
      <c r="AM105" s="10"/>
      <c r="AN105" s="10"/>
      <c r="AP105" s="14"/>
    </row>
    <row r="106" spans="1:42" s="1" customFormat="1" ht="52" x14ac:dyDescent="0.2">
      <c r="A106" s="50">
        <v>120</v>
      </c>
      <c r="B106" s="10"/>
      <c r="C106" s="10"/>
      <c r="D106" s="10" t="s">
        <v>210</v>
      </c>
      <c r="E106" s="28" t="s">
        <v>608</v>
      </c>
      <c r="F106" s="10" t="s">
        <v>97</v>
      </c>
      <c r="G106" s="10" t="s">
        <v>114</v>
      </c>
      <c r="H106" s="10"/>
      <c r="I106" s="10" t="s">
        <v>354</v>
      </c>
      <c r="J106" s="10"/>
      <c r="K106" s="10" t="s">
        <v>355</v>
      </c>
      <c r="L106" s="10"/>
      <c r="M106" s="10"/>
      <c r="N106" s="10"/>
      <c r="O106" s="10" t="s">
        <v>123</v>
      </c>
      <c r="P106" s="10"/>
      <c r="Q106" s="10" t="s">
        <v>378</v>
      </c>
      <c r="R106" s="10"/>
      <c r="S106" s="10" t="s">
        <v>443</v>
      </c>
      <c r="T106" s="10"/>
      <c r="U106" s="10" t="s">
        <v>286</v>
      </c>
      <c r="V106" s="10" t="s">
        <v>379</v>
      </c>
      <c r="W106" s="10" t="s">
        <v>380</v>
      </c>
      <c r="X106" s="10"/>
      <c r="Z106" s="10"/>
      <c r="AA106" s="10"/>
      <c r="AB106" s="10"/>
      <c r="AC106" s="10"/>
      <c r="AE106" s="10"/>
      <c r="AF106" s="10" t="s">
        <v>444</v>
      </c>
      <c r="AG106" s="10" t="s">
        <v>444</v>
      </c>
      <c r="AH106" s="10" t="s">
        <v>444</v>
      </c>
      <c r="AI106" s="10" t="s">
        <v>444</v>
      </c>
      <c r="AJ106" s="10"/>
      <c r="AK106" s="10" t="s">
        <v>444</v>
      </c>
      <c r="AL106" s="10"/>
      <c r="AM106" s="10"/>
      <c r="AN106" s="10"/>
      <c r="AP106" s="14"/>
    </row>
    <row r="107" spans="1:42" s="1" customFormat="1" x14ac:dyDescent="0.2">
      <c r="A107" s="50">
        <v>120</v>
      </c>
      <c r="B107" s="10"/>
      <c r="C107" s="10"/>
      <c r="D107" s="10" t="s">
        <v>211</v>
      </c>
      <c r="E107" s="28" t="s">
        <v>609</v>
      </c>
      <c r="F107" s="10" t="s">
        <v>98</v>
      </c>
      <c r="G107" s="10" t="s">
        <v>114</v>
      </c>
      <c r="H107" s="10"/>
      <c r="I107" s="10" t="s">
        <v>354</v>
      </c>
      <c r="J107" s="10"/>
      <c r="K107" s="10" t="s">
        <v>355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/>
      <c r="AA107" s="10"/>
      <c r="AB107" s="10"/>
      <c r="AC107" s="10"/>
      <c r="AE107" s="10"/>
      <c r="AF107" s="10" t="s">
        <v>382</v>
      </c>
      <c r="AG107" s="10" t="s">
        <v>382</v>
      </c>
      <c r="AH107" s="10" t="s">
        <v>382</v>
      </c>
      <c r="AI107" s="10"/>
      <c r="AJ107" s="10"/>
      <c r="AK107" s="10"/>
      <c r="AL107" s="10"/>
      <c r="AM107" s="10"/>
      <c r="AN107" s="10"/>
      <c r="AP107" s="14"/>
    </row>
    <row r="108" spans="1:42" s="1" customFormat="1" ht="26" x14ac:dyDescent="0.2">
      <c r="A108" s="10">
        <v>120</v>
      </c>
      <c r="B108" s="10"/>
      <c r="C108" s="10"/>
      <c r="D108" s="10" t="s">
        <v>275</v>
      </c>
      <c r="E108" s="28" t="s">
        <v>610</v>
      </c>
      <c r="F108" s="10" t="s">
        <v>276</v>
      </c>
      <c r="G108" s="10" t="s">
        <v>1</v>
      </c>
      <c r="H108" s="10"/>
      <c r="I108" s="10" t="s">
        <v>445</v>
      </c>
      <c r="J108" s="10"/>
      <c r="K108" s="10" t="s">
        <v>266</v>
      </c>
      <c r="L108" s="10"/>
      <c r="M108" s="10"/>
      <c r="N108" s="10"/>
      <c r="O108" s="10"/>
      <c r="P108" s="10"/>
      <c r="Q108" s="10" t="s">
        <v>446</v>
      </c>
      <c r="R108" s="10"/>
      <c r="S108" s="10" t="s">
        <v>447</v>
      </c>
      <c r="T108" s="10"/>
      <c r="U108" s="10"/>
      <c r="V108" s="10"/>
      <c r="W108" s="10"/>
      <c r="X108" s="10"/>
      <c r="Z108" s="10" t="s">
        <v>265</v>
      </c>
      <c r="AA108" s="10" t="s">
        <v>265</v>
      </c>
      <c r="AB108" s="10" t="s">
        <v>265</v>
      </c>
      <c r="AC108" s="10" t="s">
        <v>265</v>
      </c>
      <c r="AE108" s="10"/>
      <c r="AF108" s="10" t="s">
        <v>78</v>
      </c>
      <c r="AG108" s="10" t="s">
        <v>78</v>
      </c>
      <c r="AH108" s="10" t="s">
        <v>78</v>
      </c>
      <c r="AI108" s="10"/>
      <c r="AJ108" s="10"/>
      <c r="AK108" s="10"/>
      <c r="AL108" s="10"/>
      <c r="AM108" s="10"/>
      <c r="AN108" s="10"/>
      <c r="AP108" s="14"/>
    </row>
    <row r="109" spans="1:42" s="1" customFormat="1" x14ac:dyDescent="0.2">
      <c r="A109" s="10">
        <v>120</v>
      </c>
      <c r="B109" s="10"/>
      <c r="C109" s="10"/>
      <c r="D109" s="10" t="s">
        <v>277</v>
      </c>
      <c r="E109" s="28" t="s">
        <v>611</v>
      </c>
      <c r="F109" s="10" t="s">
        <v>278</v>
      </c>
      <c r="G109" s="10" t="s">
        <v>1</v>
      </c>
      <c r="H109" s="10"/>
      <c r="I109" s="10" t="s">
        <v>448</v>
      </c>
      <c r="J109" s="10"/>
      <c r="K109" s="10" t="s">
        <v>266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265</v>
      </c>
      <c r="AA109" s="10" t="s">
        <v>265</v>
      </c>
      <c r="AB109" s="10" t="s">
        <v>265</v>
      </c>
      <c r="AC109" s="10" t="s">
        <v>265</v>
      </c>
      <c r="AE109" s="10"/>
      <c r="AF109" s="10" t="s">
        <v>78</v>
      </c>
      <c r="AG109" s="10"/>
      <c r="AH109" s="10" t="s">
        <v>78</v>
      </c>
      <c r="AI109" s="10"/>
      <c r="AJ109" s="10"/>
      <c r="AK109" s="10"/>
      <c r="AL109" s="10"/>
      <c r="AM109" s="10"/>
      <c r="AN109" s="10"/>
      <c r="AP109" s="14"/>
    </row>
    <row r="110" spans="1:42" s="1" customFormat="1" x14ac:dyDescent="0.2">
      <c r="A110" s="10">
        <v>120</v>
      </c>
      <c r="B110" s="10"/>
      <c r="C110" s="10"/>
      <c r="D110" s="10" t="s">
        <v>279</v>
      </c>
      <c r="E110" s="28" t="s">
        <v>612</v>
      </c>
      <c r="F110" s="10" t="s">
        <v>280</v>
      </c>
      <c r="G110" s="10" t="s">
        <v>281</v>
      </c>
      <c r="H110" s="10"/>
      <c r="I110" s="10" t="s">
        <v>449</v>
      </c>
      <c r="J110" s="10"/>
      <c r="K110" s="10" t="s">
        <v>266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265</v>
      </c>
      <c r="AA110" s="10" t="s">
        <v>265</v>
      </c>
      <c r="AB110" s="10" t="s">
        <v>265</v>
      </c>
      <c r="AC110" s="10" t="s">
        <v>265</v>
      </c>
      <c r="AE110" s="10"/>
      <c r="AF110" s="10" t="s">
        <v>78</v>
      </c>
      <c r="AG110" s="10" t="s">
        <v>78</v>
      </c>
      <c r="AH110" s="10" t="s">
        <v>78</v>
      </c>
      <c r="AI110" s="10"/>
      <c r="AJ110" s="10"/>
      <c r="AK110" s="10"/>
      <c r="AL110" s="10"/>
      <c r="AM110" s="10"/>
      <c r="AN110" s="10"/>
      <c r="AP110" s="14"/>
    </row>
    <row r="111" spans="1:42" s="1" customFormat="1" x14ac:dyDescent="0.2">
      <c r="A111" s="10">
        <v>120</v>
      </c>
      <c r="B111" s="10"/>
      <c r="C111" s="10"/>
      <c r="D111" s="10" t="s">
        <v>282</v>
      </c>
      <c r="E111" s="28" t="s">
        <v>613</v>
      </c>
      <c r="F111" s="10" t="s">
        <v>283</v>
      </c>
      <c r="G111" s="10" t="s">
        <v>1</v>
      </c>
      <c r="H111" s="10"/>
      <c r="I111" s="10" t="s">
        <v>450</v>
      </c>
      <c r="J111" s="10"/>
      <c r="K111" s="10" t="s">
        <v>266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265</v>
      </c>
      <c r="AA111" s="10" t="s">
        <v>265</v>
      </c>
      <c r="AB111" s="10" t="s">
        <v>265</v>
      </c>
      <c r="AC111" s="10" t="s">
        <v>265</v>
      </c>
      <c r="AE111" s="10"/>
      <c r="AF111" s="10" t="s">
        <v>78</v>
      </c>
      <c r="AG111" s="10" t="s">
        <v>78</v>
      </c>
      <c r="AH111" s="10" t="s">
        <v>78</v>
      </c>
      <c r="AI111" s="10"/>
      <c r="AJ111" s="10"/>
      <c r="AK111" s="10"/>
      <c r="AL111" s="10"/>
      <c r="AM111" s="10"/>
      <c r="AN111" s="10"/>
      <c r="AP111" s="14"/>
    </row>
    <row r="112" spans="1:42" s="1" customFormat="1" ht="26" x14ac:dyDescent="0.2">
      <c r="A112" s="10">
        <v>120</v>
      </c>
      <c r="B112" s="10"/>
      <c r="C112" s="10"/>
      <c r="D112" s="10" t="s">
        <v>115</v>
      </c>
      <c r="E112" s="28" t="s">
        <v>567</v>
      </c>
      <c r="F112" s="10" t="s">
        <v>110</v>
      </c>
      <c r="G112" s="10" t="s">
        <v>104</v>
      </c>
      <c r="H112" s="10"/>
      <c r="I112" s="10" t="s">
        <v>383</v>
      </c>
      <c r="J112" s="10"/>
      <c r="K112" s="10" t="s">
        <v>529</v>
      </c>
      <c r="L112" s="10"/>
      <c r="M112" s="10"/>
      <c r="N112" s="10"/>
      <c r="O112" s="10" t="s">
        <v>123</v>
      </c>
      <c r="P112" s="10"/>
      <c r="Q112" s="10" t="s">
        <v>385</v>
      </c>
      <c r="R112" s="10"/>
      <c r="S112" s="10" t="s">
        <v>451</v>
      </c>
      <c r="T112" s="10"/>
      <c r="U112" s="10"/>
      <c r="V112" s="10" t="s">
        <v>452</v>
      </c>
      <c r="W112" s="10" t="s">
        <v>453</v>
      </c>
      <c r="X112" s="10"/>
      <c r="Z112" s="10" t="s">
        <v>49</v>
      </c>
      <c r="AA112" s="10" t="s">
        <v>265</v>
      </c>
      <c r="AB112" s="10" t="s">
        <v>265</v>
      </c>
      <c r="AC112" s="10" t="s">
        <v>265</v>
      </c>
      <c r="AE112" s="10"/>
      <c r="AF112" s="10" t="s">
        <v>78</v>
      </c>
      <c r="AG112" s="10" t="s">
        <v>78</v>
      </c>
      <c r="AH112" s="10" t="s">
        <v>78</v>
      </c>
      <c r="AI112" s="10" t="s">
        <v>78</v>
      </c>
      <c r="AJ112" s="10"/>
      <c r="AK112" s="10" t="s">
        <v>78</v>
      </c>
      <c r="AL112" s="10"/>
      <c r="AM112" s="10"/>
      <c r="AN112" s="10"/>
      <c r="AP112" s="14"/>
    </row>
    <row r="113" spans="1:42" s="1" customFormat="1" x14ac:dyDescent="0.2">
      <c r="A113" s="10">
        <v>120</v>
      </c>
      <c r="B113" s="10"/>
      <c r="C113" s="10"/>
      <c r="D113" s="10" t="s">
        <v>117</v>
      </c>
      <c r="E113" s="28" t="s">
        <v>568</v>
      </c>
      <c r="F113" s="10" t="s">
        <v>105</v>
      </c>
      <c r="G113" s="10" t="s">
        <v>1</v>
      </c>
      <c r="H113" s="10"/>
      <c r="I113" s="10" t="s">
        <v>388</v>
      </c>
      <c r="J113" s="10"/>
      <c r="K113" s="10" t="s">
        <v>266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265</v>
      </c>
      <c r="AA113" s="10" t="s">
        <v>265</v>
      </c>
      <c r="AB113" s="10" t="s">
        <v>265</v>
      </c>
      <c r="AC113" s="10" t="s">
        <v>265</v>
      </c>
      <c r="AE113" s="10"/>
      <c r="AF113" s="10" t="s">
        <v>78</v>
      </c>
      <c r="AG113" s="10" t="s">
        <v>78</v>
      </c>
      <c r="AH113" s="10" t="s">
        <v>78</v>
      </c>
      <c r="AI113" s="10"/>
      <c r="AJ113" s="10"/>
      <c r="AK113" s="10"/>
      <c r="AL113" s="10"/>
      <c r="AM113" s="10"/>
      <c r="AN113" s="10"/>
      <c r="AP113" s="14"/>
    </row>
    <row r="114" spans="1:42" s="1" customFormat="1" x14ac:dyDescent="0.2">
      <c r="A114" s="10">
        <v>120</v>
      </c>
      <c r="B114" s="10"/>
      <c r="C114" s="10"/>
      <c r="D114" s="10" t="s">
        <v>215</v>
      </c>
      <c r="E114" s="28" t="s">
        <v>565</v>
      </c>
      <c r="F114" s="10" t="s">
        <v>224</v>
      </c>
      <c r="G114" s="10" t="s">
        <v>213</v>
      </c>
      <c r="H114" s="10"/>
      <c r="I114" s="10" t="s">
        <v>360</v>
      </c>
      <c r="J114" s="10"/>
      <c r="K114" s="10" t="s">
        <v>266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 t="s">
        <v>531</v>
      </c>
      <c r="Z114" s="10" t="s">
        <v>265</v>
      </c>
      <c r="AA114" s="10" t="s">
        <v>265</v>
      </c>
      <c r="AB114" s="10" t="s">
        <v>265</v>
      </c>
      <c r="AC114" s="10" t="s">
        <v>265</v>
      </c>
      <c r="AE114" s="10"/>
      <c r="AF114" s="10" t="s">
        <v>78</v>
      </c>
      <c r="AG114" s="10" t="s">
        <v>78</v>
      </c>
      <c r="AH114" s="10" t="s">
        <v>78</v>
      </c>
      <c r="AI114" s="10"/>
      <c r="AJ114" s="10"/>
      <c r="AK114" s="10"/>
      <c r="AL114" s="10"/>
      <c r="AM114" s="10"/>
      <c r="AN114" s="10"/>
      <c r="AP114" s="14"/>
    </row>
    <row r="115" spans="1:42" s="1" customFormat="1" x14ac:dyDescent="0.2">
      <c r="A115" s="10">
        <v>120</v>
      </c>
      <c r="B115" s="10"/>
      <c r="C115" s="10"/>
      <c r="D115" s="10" t="s">
        <v>212</v>
      </c>
      <c r="E115" s="28" t="s">
        <v>566</v>
      </c>
      <c r="F115" s="10" t="s">
        <v>225</v>
      </c>
      <c r="G115" s="10" t="s">
        <v>223</v>
      </c>
      <c r="H115" s="10"/>
      <c r="I115" s="10" t="s">
        <v>119</v>
      </c>
      <c r="J115" s="10"/>
      <c r="K115" s="10" t="s">
        <v>266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 t="s">
        <v>531</v>
      </c>
      <c r="Z115" s="10" t="s">
        <v>265</v>
      </c>
      <c r="AA115" s="10" t="s">
        <v>265</v>
      </c>
      <c r="AB115" s="10" t="s">
        <v>265</v>
      </c>
      <c r="AC115" s="10" t="s">
        <v>265</v>
      </c>
      <c r="AE115" s="10"/>
      <c r="AF115" s="10" t="s">
        <v>78</v>
      </c>
      <c r="AG115" s="10" t="s">
        <v>78</v>
      </c>
      <c r="AH115" s="10" t="s">
        <v>78</v>
      </c>
      <c r="AI115" s="10"/>
      <c r="AJ115" s="10"/>
      <c r="AK115" s="10"/>
      <c r="AL115" s="10"/>
      <c r="AM115" s="10"/>
      <c r="AN115" s="10"/>
      <c r="AP115" s="14"/>
    </row>
    <row r="116" spans="1:42" s="1" customFormat="1" ht="26" x14ac:dyDescent="0.2">
      <c r="A116" s="10">
        <v>120</v>
      </c>
      <c r="B116" s="10"/>
      <c r="C116" s="10"/>
      <c r="D116" s="10" t="s">
        <v>288</v>
      </c>
      <c r="E116" s="28" t="s">
        <v>614</v>
      </c>
      <c r="F116" s="10" t="s">
        <v>106</v>
      </c>
      <c r="G116" s="10" t="s">
        <v>1</v>
      </c>
      <c r="H116" s="10"/>
      <c r="I116" s="10" t="s">
        <v>454</v>
      </c>
      <c r="J116" s="10"/>
      <c r="K116" s="10" t="s">
        <v>313</v>
      </c>
      <c r="L116" s="10"/>
      <c r="M116" s="10"/>
      <c r="N116" s="10"/>
      <c r="O116" s="10" t="s">
        <v>123</v>
      </c>
      <c r="P116" s="10"/>
      <c r="Q116" s="10" t="s">
        <v>455</v>
      </c>
      <c r="R116" s="10"/>
      <c r="S116" s="10"/>
      <c r="T116" s="10"/>
      <c r="U116" s="10"/>
      <c r="V116" s="10"/>
      <c r="W116" s="10"/>
      <c r="X116" s="10"/>
      <c r="Z116" s="10" t="s">
        <v>78</v>
      </c>
      <c r="AA116" s="10" t="s">
        <v>265</v>
      </c>
      <c r="AB116" s="10" t="s">
        <v>265</v>
      </c>
      <c r="AC116" s="10" t="s">
        <v>265</v>
      </c>
      <c r="AE116" s="10"/>
      <c r="AF116" s="10" t="s">
        <v>78</v>
      </c>
      <c r="AG116" s="10" t="s">
        <v>78</v>
      </c>
      <c r="AH116" s="10" t="s">
        <v>78</v>
      </c>
      <c r="AI116" s="10" t="s">
        <v>78</v>
      </c>
      <c r="AJ116" s="10"/>
      <c r="AK116" s="10" t="s">
        <v>78</v>
      </c>
      <c r="AL116" s="10"/>
      <c r="AM116" s="10"/>
      <c r="AN116" s="10"/>
      <c r="AP116" s="14"/>
    </row>
    <row r="117" spans="1:42" s="1" customFormat="1" x14ac:dyDescent="0.2">
      <c r="A117" s="10">
        <v>120</v>
      </c>
      <c r="B117" s="10"/>
      <c r="C117" s="10"/>
      <c r="D117" s="10" t="s">
        <v>291</v>
      </c>
      <c r="E117" s="28" t="s">
        <v>569</v>
      </c>
      <c r="F117" s="10" t="s">
        <v>112</v>
      </c>
      <c r="G117" s="10" t="s">
        <v>107</v>
      </c>
      <c r="H117" s="10"/>
      <c r="I117" s="10" t="s">
        <v>389</v>
      </c>
      <c r="J117" s="10"/>
      <c r="K117" s="10" t="s">
        <v>122</v>
      </c>
      <c r="L117" s="10"/>
      <c r="M117" s="10"/>
      <c r="N117" s="10"/>
      <c r="O117" s="10" t="s">
        <v>123</v>
      </c>
      <c r="P117" s="10"/>
      <c r="Q117" s="10" t="s">
        <v>390</v>
      </c>
      <c r="R117" s="10"/>
      <c r="S117" s="10" t="s">
        <v>292</v>
      </c>
      <c r="T117" s="10"/>
      <c r="U117" s="10"/>
      <c r="V117" s="10"/>
      <c r="W117" s="10"/>
      <c r="X117" s="10"/>
      <c r="Z117" s="10" t="s">
        <v>49</v>
      </c>
      <c r="AA117" s="10" t="s">
        <v>265</v>
      </c>
      <c r="AB117" s="10" t="s">
        <v>265</v>
      </c>
      <c r="AC117" s="10" t="s">
        <v>265</v>
      </c>
      <c r="AE117" s="10"/>
      <c r="AF117" s="10" t="s">
        <v>78</v>
      </c>
      <c r="AG117" s="10" t="s">
        <v>78</v>
      </c>
      <c r="AH117" s="10" t="s">
        <v>78</v>
      </c>
      <c r="AI117" s="10" t="s">
        <v>78</v>
      </c>
      <c r="AJ117" s="10"/>
      <c r="AK117" s="10" t="s">
        <v>78</v>
      </c>
      <c r="AL117" s="10"/>
      <c r="AM117" s="10"/>
      <c r="AN117" s="10"/>
      <c r="AP117" s="14"/>
    </row>
    <row r="118" spans="1:42" s="1" customFormat="1" x14ac:dyDescent="0.2">
      <c r="A118" s="10">
        <v>120</v>
      </c>
      <c r="B118" s="10"/>
      <c r="C118" s="10"/>
      <c r="D118" s="10" t="s">
        <v>292</v>
      </c>
      <c r="E118" s="28" t="s">
        <v>570</v>
      </c>
      <c r="F118" s="10" t="s">
        <v>108</v>
      </c>
      <c r="G118" s="10" t="s">
        <v>1</v>
      </c>
      <c r="H118" s="10"/>
      <c r="I118" s="10" t="s">
        <v>118</v>
      </c>
      <c r="J118" s="10"/>
      <c r="K118" s="10" t="s">
        <v>266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265</v>
      </c>
      <c r="AA118" s="10" t="s">
        <v>265</v>
      </c>
      <c r="AB118" s="10" t="s">
        <v>265</v>
      </c>
      <c r="AC118" s="10" t="s">
        <v>265</v>
      </c>
      <c r="AE118" s="10"/>
      <c r="AF118" s="10" t="s">
        <v>78</v>
      </c>
      <c r="AG118" s="10" t="s">
        <v>78</v>
      </c>
      <c r="AH118" s="10" t="s">
        <v>78</v>
      </c>
      <c r="AI118" s="10"/>
      <c r="AJ118" s="10"/>
      <c r="AK118" s="10"/>
      <c r="AL118" s="10"/>
      <c r="AM118" s="10"/>
      <c r="AN118" s="10"/>
      <c r="AP118" s="14"/>
    </row>
    <row r="119" spans="1:42" s="1" customFormat="1" x14ac:dyDescent="0.2">
      <c r="A119" s="10">
        <v>120</v>
      </c>
      <c r="B119" s="10"/>
      <c r="C119" s="10"/>
      <c r="D119" s="10" t="s">
        <v>289</v>
      </c>
      <c r="E119" s="28" t="s">
        <v>615</v>
      </c>
      <c r="F119" s="10" t="s">
        <v>109</v>
      </c>
      <c r="G119" s="10" t="s">
        <v>1</v>
      </c>
      <c r="H119" s="10"/>
      <c r="I119" s="10" t="s">
        <v>456</v>
      </c>
      <c r="J119" s="10"/>
      <c r="K119" s="10" t="s">
        <v>266</v>
      </c>
      <c r="L119" s="10"/>
      <c r="M119" s="10"/>
      <c r="N119" s="10"/>
      <c r="O119" s="10" t="s">
        <v>123</v>
      </c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49</v>
      </c>
      <c r="AA119" s="10" t="s">
        <v>265</v>
      </c>
      <c r="AB119" s="10" t="s">
        <v>265</v>
      </c>
      <c r="AC119" s="10" t="s">
        <v>265</v>
      </c>
      <c r="AE119" s="10"/>
      <c r="AF119" s="10" t="s">
        <v>78</v>
      </c>
      <c r="AG119" s="10" t="s">
        <v>78</v>
      </c>
      <c r="AH119" s="10" t="s">
        <v>78</v>
      </c>
      <c r="AI119" s="10" t="s">
        <v>78</v>
      </c>
      <c r="AJ119" s="10"/>
      <c r="AK119" s="10" t="s">
        <v>78</v>
      </c>
      <c r="AL119" s="10"/>
      <c r="AM119" s="10"/>
      <c r="AN119" s="10"/>
      <c r="AP119" s="14"/>
    </row>
    <row r="120" spans="1:42" s="1" customFormat="1" ht="39" x14ac:dyDescent="0.2">
      <c r="A120" s="10">
        <v>120</v>
      </c>
      <c r="B120" s="10"/>
      <c r="C120" s="10"/>
      <c r="D120" s="10" t="s">
        <v>510</v>
      </c>
      <c r="E120" s="28" t="s">
        <v>571</v>
      </c>
      <c r="F120" s="10" t="s">
        <v>257</v>
      </c>
      <c r="G120" s="10" t="s">
        <v>258</v>
      </c>
      <c r="H120" s="10"/>
      <c r="I120" s="10" t="s">
        <v>391</v>
      </c>
      <c r="J120" s="10"/>
      <c r="K120" s="10" t="s">
        <v>122</v>
      </c>
      <c r="L120" s="10"/>
      <c r="M120" s="10"/>
      <c r="N120" s="10"/>
      <c r="O120" s="10" t="s">
        <v>123</v>
      </c>
      <c r="P120" s="10"/>
      <c r="Q120" s="10" t="s">
        <v>256</v>
      </c>
      <c r="R120" s="10"/>
      <c r="S120" s="10" t="s">
        <v>272</v>
      </c>
      <c r="T120" s="10"/>
      <c r="U120" s="10" t="s">
        <v>457</v>
      </c>
      <c r="V120" s="10"/>
      <c r="W120" s="10"/>
      <c r="X120" s="10"/>
      <c r="Z120" s="10" t="s">
        <v>49</v>
      </c>
      <c r="AA120" s="10" t="s">
        <v>265</v>
      </c>
      <c r="AB120" s="10" t="s">
        <v>265</v>
      </c>
      <c r="AC120" s="10" t="s">
        <v>265</v>
      </c>
      <c r="AE120" s="10"/>
      <c r="AF120" s="10" t="s">
        <v>78</v>
      </c>
      <c r="AG120" s="10" t="s">
        <v>78</v>
      </c>
      <c r="AH120" s="10" t="s">
        <v>78</v>
      </c>
      <c r="AI120" s="10" t="s">
        <v>78</v>
      </c>
      <c r="AJ120" s="10"/>
      <c r="AK120" s="10" t="s">
        <v>78</v>
      </c>
      <c r="AL120" s="10"/>
      <c r="AM120" s="10"/>
      <c r="AN120" s="10"/>
      <c r="AP120" s="14"/>
    </row>
    <row r="121" spans="1:42" s="1" customFormat="1" x14ac:dyDescent="0.2">
      <c r="A121" s="10">
        <v>120</v>
      </c>
      <c r="B121" s="10"/>
      <c r="C121" s="10"/>
      <c r="D121" s="10" t="str">
        <f>SUBSTITUTE(D120,"cd","nm")</f>
        <v>wk_cost_nm</v>
      </c>
      <c r="E121" s="28" t="s">
        <v>572</v>
      </c>
      <c r="F121" s="10" t="s">
        <v>253</v>
      </c>
      <c r="G121" s="10" t="s">
        <v>1</v>
      </c>
      <c r="H121" s="10"/>
      <c r="I121" s="10" t="s">
        <v>393</v>
      </c>
      <c r="J121" s="10"/>
      <c r="K121" s="10" t="s">
        <v>266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265</v>
      </c>
      <c r="AA121" s="10" t="s">
        <v>265</v>
      </c>
      <c r="AB121" s="10" t="s">
        <v>265</v>
      </c>
      <c r="AC121" s="10" t="s">
        <v>265</v>
      </c>
      <c r="AE121" s="10"/>
      <c r="AF121" s="10" t="s">
        <v>78</v>
      </c>
      <c r="AG121" s="10" t="s">
        <v>78</v>
      </c>
      <c r="AH121" s="10" t="s">
        <v>78</v>
      </c>
      <c r="AI121" s="10"/>
      <c r="AJ121" s="10"/>
      <c r="AK121" s="10"/>
      <c r="AL121" s="10"/>
      <c r="AM121" s="10"/>
      <c r="AN121" s="10"/>
      <c r="AP121" s="14"/>
    </row>
    <row r="122" spans="1:42" s="1" customFormat="1" ht="26" x14ac:dyDescent="0.2">
      <c r="A122" s="10">
        <v>120</v>
      </c>
      <c r="B122" s="10"/>
      <c r="C122" s="10"/>
      <c r="D122" s="10" t="s">
        <v>511</v>
      </c>
      <c r="E122" s="28" t="s">
        <v>616</v>
      </c>
      <c r="F122" s="10" t="s">
        <v>269</v>
      </c>
      <c r="G122" s="10" t="s">
        <v>1</v>
      </c>
      <c r="H122" s="10"/>
      <c r="I122" s="10" t="s">
        <v>458</v>
      </c>
      <c r="J122" s="10"/>
      <c r="K122" s="10" t="s">
        <v>266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265</v>
      </c>
      <c r="AA122" s="10" t="s">
        <v>265</v>
      </c>
      <c r="AB122" s="10" t="s">
        <v>265</v>
      </c>
      <c r="AC122" s="10" t="s">
        <v>265</v>
      </c>
      <c r="AE122" s="10"/>
      <c r="AF122" s="10" t="s">
        <v>78</v>
      </c>
      <c r="AG122" s="10" t="s">
        <v>78</v>
      </c>
      <c r="AH122" s="10" t="s">
        <v>78</v>
      </c>
      <c r="AI122" s="10"/>
      <c r="AJ122" s="10"/>
      <c r="AK122" s="10"/>
      <c r="AL122" s="10"/>
      <c r="AM122" s="10"/>
      <c r="AN122" s="10"/>
      <c r="AP122" s="14"/>
    </row>
    <row r="123" spans="1:42" s="1" customFormat="1" ht="26" x14ac:dyDescent="0.2">
      <c r="A123" s="10">
        <v>120</v>
      </c>
      <c r="B123" s="10"/>
      <c r="C123" s="10"/>
      <c r="D123" s="10" t="s">
        <v>294</v>
      </c>
      <c r="E123" s="28" t="s">
        <v>617</v>
      </c>
      <c r="F123" s="10" t="s">
        <v>270</v>
      </c>
      <c r="G123" s="10" t="s">
        <v>1</v>
      </c>
      <c r="H123" s="10"/>
      <c r="I123" s="10" t="s">
        <v>459</v>
      </c>
      <c r="J123" s="10"/>
      <c r="K123" s="10" t="s">
        <v>266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426</v>
      </c>
      <c r="AA123" s="10" t="s">
        <v>426</v>
      </c>
      <c r="AB123" s="10" t="s">
        <v>426</v>
      </c>
      <c r="AC123" s="10" t="s">
        <v>426</v>
      </c>
      <c r="AE123" s="10"/>
      <c r="AF123" s="10" t="s">
        <v>78</v>
      </c>
      <c r="AG123" s="10" t="s">
        <v>78</v>
      </c>
      <c r="AH123" s="10" t="s">
        <v>78</v>
      </c>
      <c r="AI123" s="10"/>
      <c r="AJ123" s="10"/>
      <c r="AK123" s="10"/>
      <c r="AL123" s="10"/>
      <c r="AM123" s="10"/>
      <c r="AN123" s="10"/>
      <c r="AP123" s="14"/>
    </row>
    <row r="124" spans="1:42" s="1" customFormat="1" ht="26" x14ac:dyDescent="0.2">
      <c r="A124" s="10">
        <v>120</v>
      </c>
      <c r="B124" s="10"/>
      <c r="C124" s="10"/>
      <c r="D124" s="10" t="s">
        <v>293</v>
      </c>
      <c r="E124" s="28" t="s">
        <v>618</v>
      </c>
      <c r="F124" s="10" t="s">
        <v>271</v>
      </c>
      <c r="G124" s="10" t="s">
        <v>1</v>
      </c>
      <c r="H124" s="10"/>
      <c r="I124" s="10" t="s">
        <v>460</v>
      </c>
      <c r="J124" s="10"/>
      <c r="K124" s="10" t="s">
        <v>266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426</v>
      </c>
      <c r="AA124" s="10" t="s">
        <v>426</v>
      </c>
      <c r="AB124" s="10" t="s">
        <v>426</v>
      </c>
      <c r="AC124" s="10" t="s">
        <v>426</v>
      </c>
      <c r="AE124" s="10"/>
      <c r="AF124" s="10" t="s">
        <v>78</v>
      </c>
      <c r="AG124" s="10" t="s">
        <v>78</v>
      </c>
      <c r="AH124" s="10" t="s">
        <v>78</v>
      </c>
      <c r="AI124" s="10"/>
      <c r="AJ124" s="10"/>
      <c r="AK124" s="10"/>
      <c r="AL124" s="10"/>
      <c r="AM124" s="10"/>
      <c r="AN124" s="10"/>
      <c r="AP124" s="14"/>
    </row>
    <row r="125" spans="1:42" s="1" customFormat="1" ht="26" x14ac:dyDescent="0.2">
      <c r="A125" s="50">
        <v>120</v>
      </c>
      <c r="B125" s="50"/>
      <c r="C125" s="50"/>
      <c r="D125" s="50" t="s">
        <v>87</v>
      </c>
      <c r="E125" s="50"/>
      <c r="F125" s="50"/>
      <c r="G125" s="50"/>
      <c r="H125" s="50"/>
      <c r="I125" s="50" t="s">
        <v>49</v>
      </c>
      <c r="J125" s="50"/>
      <c r="K125" s="50" t="s">
        <v>434</v>
      </c>
      <c r="L125" s="50" t="s">
        <v>461</v>
      </c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 t="s">
        <v>436</v>
      </c>
      <c r="AA125" s="50" t="s">
        <v>437</v>
      </c>
      <c r="AB125" s="50" t="s">
        <v>437</v>
      </c>
      <c r="AC125" s="50" t="s">
        <v>437</v>
      </c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</row>
    <row r="126" spans="1:42" s="1" customFormat="1" ht="26" x14ac:dyDescent="0.2">
      <c r="A126" s="50">
        <v>120</v>
      </c>
      <c r="B126" s="10"/>
      <c r="C126" s="10"/>
      <c r="D126" s="10" t="s">
        <v>512</v>
      </c>
      <c r="E126" s="28"/>
      <c r="F126" s="10"/>
      <c r="G126" s="10"/>
      <c r="H126" s="10"/>
      <c r="I126" s="10" t="s">
        <v>354</v>
      </c>
      <c r="J126" s="10"/>
      <c r="K126" s="10" t="s">
        <v>355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E126" s="10"/>
      <c r="AF126" s="10"/>
      <c r="AG126" s="10" t="s">
        <v>462</v>
      </c>
      <c r="AH126" s="10" t="s">
        <v>462</v>
      </c>
      <c r="AI126" s="10" t="s">
        <v>462</v>
      </c>
      <c r="AJ126" s="10"/>
      <c r="AK126" s="10"/>
      <c r="AL126" s="10"/>
      <c r="AM126" s="10"/>
      <c r="AN126" s="10"/>
      <c r="AP126" s="14"/>
    </row>
    <row r="127" spans="1:42" s="1" customFormat="1" x14ac:dyDescent="0.2">
      <c r="A127" s="50">
        <v>120</v>
      </c>
      <c r="B127" s="10"/>
      <c r="C127" s="10"/>
      <c r="D127" s="10" t="s">
        <v>89</v>
      </c>
      <c r="E127" s="28"/>
      <c r="F127" s="10"/>
      <c r="G127" s="10"/>
      <c r="H127" s="10"/>
      <c r="I127" s="10" t="s">
        <v>354</v>
      </c>
      <c r="J127" s="10"/>
      <c r="K127" s="10" t="s">
        <v>355</v>
      </c>
      <c r="L127" s="10"/>
      <c r="M127" s="10"/>
      <c r="N127" s="10"/>
      <c r="O127" s="10" t="s">
        <v>123</v>
      </c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E127" s="10"/>
      <c r="AF127" s="10" t="s">
        <v>463</v>
      </c>
      <c r="AG127" s="10" t="s">
        <v>463</v>
      </c>
      <c r="AH127" s="10" t="s">
        <v>463</v>
      </c>
      <c r="AI127" s="10" t="s">
        <v>463</v>
      </c>
      <c r="AJ127" s="10"/>
      <c r="AK127" s="10" t="s">
        <v>463</v>
      </c>
      <c r="AL127" s="10"/>
      <c r="AM127" s="10"/>
      <c r="AN127" s="10"/>
      <c r="AP127" s="14"/>
    </row>
    <row r="128" spans="1:42" s="1" customFormat="1" x14ac:dyDescent="0.2">
      <c r="A128" s="50">
        <v>120</v>
      </c>
      <c r="B128" s="10"/>
      <c r="C128" s="10"/>
      <c r="D128" s="10" t="s">
        <v>91</v>
      </c>
      <c r="E128" s="28"/>
      <c r="F128" s="10"/>
      <c r="G128" s="10"/>
      <c r="H128" s="10"/>
      <c r="I128" s="10" t="s">
        <v>354</v>
      </c>
      <c r="J128" s="10"/>
      <c r="K128" s="10" t="s">
        <v>355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B128" s="10"/>
      <c r="AC128" s="10"/>
      <c r="AE128" s="10"/>
      <c r="AF128" s="10" t="s">
        <v>464</v>
      </c>
      <c r="AG128" s="10" t="s">
        <v>464</v>
      </c>
      <c r="AH128" s="10" t="s">
        <v>464</v>
      </c>
      <c r="AI128" s="10" t="s">
        <v>464</v>
      </c>
      <c r="AJ128" s="10"/>
      <c r="AK128" s="10"/>
      <c r="AL128" s="10"/>
      <c r="AM128" s="10"/>
      <c r="AN128" s="10"/>
      <c r="AP128" s="14"/>
    </row>
    <row r="129" spans="1:42" s="1" customFormat="1" x14ac:dyDescent="0.2">
      <c r="A129" s="10">
        <v>120</v>
      </c>
      <c r="B129" s="10"/>
      <c r="C129" s="10"/>
      <c r="D129" s="10" t="s">
        <v>513</v>
      </c>
      <c r="E129" s="28" t="s">
        <v>619</v>
      </c>
      <c r="F129" s="10" t="s">
        <v>259</v>
      </c>
      <c r="G129" s="10" t="s">
        <v>114</v>
      </c>
      <c r="H129" s="10"/>
      <c r="I129" s="10" t="s">
        <v>465</v>
      </c>
      <c r="J129" s="10"/>
      <c r="K129" s="10" t="s">
        <v>266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49</v>
      </c>
      <c r="AA129" s="10" t="s">
        <v>265</v>
      </c>
      <c r="AB129" s="10" t="s">
        <v>265</v>
      </c>
      <c r="AC129" s="10" t="s">
        <v>265</v>
      </c>
      <c r="AE129" s="10"/>
      <c r="AF129" s="10" t="s">
        <v>78</v>
      </c>
      <c r="AG129" s="10" t="s">
        <v>78</v>
      </c>
      <c r="AH129" s="10" t="s">
        <v>78</v>
      </c>
      <c r="AI129" s="10" t="s">
        <v>78</v>
      </c>
      <c r="AJ129" s="10"/>
      <c r="AK129" s="10"/>
      <c r="AL129" s="10"/>
      <c r="AM129" s="10"/>
      <c r="AN129" s="10"/>
      <c r="AP129" s="14"/>
    </row>
    <row r="130" spans="1:42" s="1" customFormat="1" x14ac:dyDescent="0.2">
      <c r="A130" s="10">
        <v>120</v>
      </c>
      <c r="B130" s="10"/>
      <c r="C130" s="10"/>
      <c r="D130" s="10" t="s">
        <v>514</v>
      </c>
      <c r="E130" s="28" t="s">
        <v>620</v>
      </c>
      <c r="F130" s="10" t="s">
        <v>260</v>
      </c>
      <c r="G130" s="10" t="s">
        <v>114</v>
      </c>
      <c r="H130" s="10"/>
      <c r="I130" s="10" t="s">
        <v>465</v>
      </c>
      <c r="J130" s="10"/>
      <c r="K130" s="10" t="s">
        <v>266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49</v>
      </c>
      <c r="AA130" s="10" t="s">
        <v>265</v>
      </c>
      <c r="AB130" s="10" t="s">
        <v>265</v>
      </c>
      <c r="AC130" s="10" t="s">
        <v>265</v>
      </c>
      <c r="AE130" s="10"/>
      <c r="AF130" s="10" t="s">
        <v>78</v>
      </c>
      <c r="AG130" s="10" t="s">
        <v>78</v>
      </c>
      <c r="AH130" s="10" t="s">
        <v>78</v>
      </c>
      <c r="AI130" s="10" t="s">
        <v>78</v>
      </c>
      <c r="AJ130" s="10"/>
      <c r="AK130" s="10"/>
      <c r="AL130" s="10"/>
      <c r="AM130" s="10"/>
      <c r="AN130" s="10"/>
      <c r="AP130" s="14"/>
    </row>
    <row r="131" spans="1:42" s="1" customFormat="1" ht="26" x14ac:dyDescent="0.2">
      <c r="A131" s="50">
        <v>120</v>
      </c>
      <c r="B131" s="50"/>
      <c r="C131" s="50"/>
      <c r="D131" s="50" t="s">
        <v>273</v>
      </c>
      <c r="E131" s="50"/>
      <c r="F131" s="50"/>
      <c r="G131" s="50"/>
      <c r="H131" s="50"/>
      <c r="I131" s="50" t="s">
        <v>49</v>
      </c>
      <c r="J131" s="50"/>
      <c r="K131" s="50" t="s">
        <v>434</v>
      </c>
      <c r="L131" s="50" t="s">
        <v>466</v>
      </c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 t="s">
        <v>436</v>
      </c>
      <c r="AA131" s="50" t="s">
        <v>437</v>
      </c>
      <c r="AB131" s="50" t="s">
        <v>437</v>
      </c>
      <c r="AC131" s="50" t="s">
        <v>437</v>
      </c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</row>
    <row r="132" spans="1:42" s="1" customFormat="1" ht="26" x14ac:dyDescent="0.2">
      <c r="A132" s="50">
        <v>120</v>
      </c>
      <c r="B132" s="10"/>
      <c r="C132" s="10"/>
      <c r="D132" s="10" t="s">
        <v>274</v>
      </c>
      <c r="E132" s="28" t="s">
        <v>621</v>
      </c>
      <c r="F132" s="10" t="s">
        <v>261</v>
      </c>
      <c r="G132" s="10" t="s">
        <v>114</v>
      </c>
      <c r="H132" s="10"/>
      <c r="I132" s="10" t="s">
        <v>354</v>
      </c>
      <c r="J132" s="10"/>
      <c r="K132" s="10" t="s">
        <v>355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/>
      <c r="AA132" s="10"/>
      <c r="AB132" s="10"/>
      <c r="AC132" s="10"/>
      <c r="AE132" s="10"/>
      <c r="AF132" s="10" t="s">
        <v>467</v>
      </c>
      <c r="AG132" s="10" t="s">
        <v>467</v>
      </c>
      <c r="AH132" s="10" t="s">
        <v>467</v>
      </c>
      <c r="AI132" s="10" t="s">
        <v>467</v>
      </c>
      <c r="AJ132" s="10"/>
      <c r="AK132" s="10"/>
      <c r="AL132" s="10"/>
      <c r="AM132" s="10"/>
      <c r="AN132" s="10"/>
      <c r="AP132" s="14"/>
    </row>
    <row r="133" spans="1:42" s="1" customFormat="1" x14ac:dyDescent="0.2">
      <c r="A133" s="10">
        <v>120</v>
      </c>
      <c r="B133" s="10"/>
      <c r="C133" s="10"/>
      <c r="D133" s="10" t="s">
        <v>515</v>
      </c>
      <c r="E133" s="28" t="s">
        <v>622</v>
      </c>
      <c r="F133" s="10" t="s">
        <v>262</v>
      </c>
      <c r="G133" s="10" t="s">
        <v>264</v>
      </c>
      <c r="H133" s="10"/>
      <c r="I133" s="10" t="s">
        <v>468</v>
      </c>
      <c r="J133" s="10"/>
      <c r="K133" s="10" t="s">
        <v>266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265</v>
      </c>
      <c r="AA133" s="10" t="s">
        <v>265</v>
      </c>
      <c r="AB133" s="10" t="s">
        <v>265</v>
      </c>
      <c r="AC133" s="10" t="s">
        <v>265</v>
      </c>
      <c r="AE133" s="10"/>
      <c r="AF133" s="10" t="s">
        <v>78</v>
      </c>
      <c r="AG133" s="10" t="s">
        <v>78</v>
      </c>
      <c r="AH133" s="10" t="s">
        <v>78</v>
      </c>
      <c r="AI133" s="10"/>
      <c r="AJ133" s="10"/>
      <c r="AK133" s="10"/>
      <c r="AL133" s="10"/>
      <c r="AM133" s="10"/>
      <c r="AN133" s="10"/>
      <c r="AP133" s="14"/>
    </row>
    <row r="134" spans="1:42" s="1" customFormat="1" x14ac:dyDescent="0.2">
      <c r="A134" s="10">
        <v>120</v>
      </c>
      <c r="B134" s="10"/>
      <c r="C134" s="10"/>
      <c r="D134" s="10" t="s">
        <v>516</v>
      </c>
      <c r="E134" s="28" t="s">
        <v>623</v>
      </c>
      <c r="F134" s="10" t="s">
        <v>263</v>
      </c>
      <c r="G134" s="10" t="s">
        <v>114</v>
      </c>
      <c r="H134" s="10"/>
      <c r="I134" s="10" t="s">
        <v>469</v>
      </c>
      <c r="J134" s="10"/>
      <c r="K134" s="10" t="s">
        <v>266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265</v>
      </c>
      <c r="AA134" s="10" t="s">
        <v>265</v>
      </c>
      <c r="AB134" s="10" t="s">
        <v>265</v>
      </c>
      <c r="AC134" s="10" t="s">
        <v>265</v>
      </c>
      <c r="AE134" s="10"/>
      <c r="AF134" s="10" t="s">
        <v>78</v>
      </c>
      <c r="AG134" s="10" t="s">
        <v>78</v>
      </c>
      <c r="AH134" s="10" t="s">
        <v>78</v>
      </c>
      <c r="AI134" s="10"/>
      <c r="AJ134" s="10"/>
      <c r="AK134" s="10"/>
      <c r="AL134" s="10"/>
      <c r="AM134" s="10"/>
      <c r="AN134" s="10"/>
      <c r="AP134" s="14"/>
    </row>
    <row r="135" spans="1:42" s="1" customFormat="1" x14ac:dyDescent="0.2">
      <c r="A135" s="10">
        <v>120</v>
      </c>
      <c r="B135" s="10"/>
      <c r="C135" s="10"/>
      <c r="D135" s="10" t="s">
        <v>312</v>
      </c>
      <c r="E135" s="28" t="s">
        <v>624</v>
      </c>
      <c r="F135" s="10" t="s">
        <v>310</v>
      </c>
      <c r="G135" s="10" t="s">
        <v>1</v>
      </c>
      <c r="H135" s="10"/>
      <c r="I135" s="10" t="s">
        <v>459</v>
      </c>
      <c r="J135" s="10"/>
      <c r="K135" s="10" t="s">
        <v>266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426</v>
      </c>
      <c r="AA135" s="10" t="s">
        <v>426</v>
      </c>
      <c r="AB135" s="10" t="s">
        <v>426</v>
      </c>
      <c r="AC135" s="10" t="s">
        <v>426</v>
      </c>
      <c r="AE135" s="10"/>
      <c r="AF135" s="10" t="s">
        <v>78</v>
      </c>
      <c r="AG135" s="10" t="s">
        <v>78</v>
      </c>
      <c r="AH135" s="10" t="s">
        <v>78</v>
      </c>
      <c r="AI135" s="10"/>
      <c r="AJ135" s="10"/>
      <c r="AK135" s="10"/>
      <c r="AL135" s="10"/>
      <c r="AM135" s="10"/>
      <c r="AN135" s="10"/>
      <c r="AP135" s="14"/>
    </row>
    <row r="136" spans="1:42" s="1" customFormat="1" ht="26" x14ac:dyDescent="0.2">
      <c r="A136" s="10">
        <v>120</v>
      </c>
      <c r="B136" s="10"/>
      <c r="C136" s="10"/>
      <c r="D136" s="10" t="s">
        <v>517</v>
      </c>
      <c r="E136" s="28" t="s">
        <v>625</v>
      </c>
      <c r="F136" s="10" t="s">
        <v>268</v>
      </c>
      <c r="G136" s="10" t="s">
        <v>8</v>
      </c>
      <c r="H136" s="10"/>
      <c r="I136" s="10" t="s">
        <v>349</v>
      </c>
      <c r="J136" s="10"/>
      <c r="K136" s="10" t="s">
        <v>350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49</v>
      </c>
      <c r="AA136" s="10" t="s">
        <v>265</v>
      </c>
      <c r="AB136" s="10" t="s">
        <v>265</v>
      </c>
      <c r="AC136" s="10" t="s">
        <v>265</v>
      </c>
      <c r="AE136" s="10"/>
      <c r="AF136" s="10" t="s">
        <v>78</v>
      </c>
      <c r="AG136" s="10" t="s">
        <v>78</v>
      </c>
      <c r="AH136" s="10" t="s">
        <v>78</v>
      </c>
      <c r="AI136" s="10" t="s">
        <v>78</v>
      </c>
      <c r="AJ136" s="10"/>
      <c r="AK136" s="10"/>
      <c r="AL136" s="10"/>
      <c r="AM136" s="10"/>
      <c r="AN136" s="10"/>
      <c r="AP136" s="14"/>
    </row>
    <row r="137" spans="1:42" s="1" customFormat="1" x14ac:dyDescent="0.2">
      <c r="A137" s="10">
        <v>120</v>
      </c>
      <c r="B137" s="10"/>
      <c r="C137" s="10"/>
      <c r="D137" s="10" t="s">
        <v>518</v>
      </c>
      <c r="E137" s="28" t="s">
        <v>626</v>
      </c>
      <c r="F137" s="10" t="s">
        <v>267</v>
      </c>
      <c r="G137" s="10" t="s">
        <v>8</v>
      </c>
      <c r="H137" s="10"/>
      <c r="I137" s="10" t="s">
        <v>470</v>
      </c>
      <c r="J137" s="10"/>
      <c r="K137" s="10" t="s">
        <v>266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49</v>
      </c>
      <c r="AA137" s="10" t="s">
        <v>265</v>
      </c>
      <c r="AB137" s="10" t="s">
        <v>265</v>
      </c>
      <c r="AC137" s="10" t="s">
        <v>265</v>
      </c>
      <c r="AE137" s="10"/>
      <c r="AF137" s="10" t="s">
        <v>78</v>
      </c>
      <c r="AG137" s="10" t="s">
        <v>78</v>
      </c>
      <c r="AH137" s="10" t="s">
        <v>78</v>
      </c>
      <c r="AI137" s="10" t="s">
        <v>78</v>
      </c>
      <c r="AJ137" s="10"/>
      <c r="AK137" s="10"/>
      <c r="AL137" s="10"/>
      <c r="AM137" s="10"/>
      <c r="AN137" s="10"/>
      <c r="AP137" s="14"/>
    </row>
    <row r="138" spans="1:42" s="1" customFormat="1" x14ac:dyDescent="0.2">
      <c r="A138" s="10">
        <v>120</v>
      </c>
      <c r="B138" s="10"/>
      <c r="C138" s="10"/>
      <c r="D138" s="10" t="s">
        <v>116</v>
      </c>
      <c r="E138" s="28" t="s">
        <v>627</v>
      </c>
      <c r="F138" s="10" t="s">
        <v>111</v>
      </c>
      <c r="G138" s="10" t="s">
        <v>8</v>
      </c>
      <c r="H138" s="10"/>
      <c r="I138" s="10" t="s">
        <v>349</v>
      </c>
      <c r="J138" s="10"/>
      <c r="K138" s="10" t="s">
        <v>350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49</v>
      </c>
      <c r="AA138" s="10" t="s">
        <v>265</v>
      </c>
      <c r="AB138" s="10" t="s">
        <v>265</v>
      </c>
      <c r="AC138" s="10" t="s">
        <v>265</v>
      </c>
      <c r="AE138" s="10"/>
      <c r="AF138" s="10" t="s">
        <v>78</v>
      </c>
      <c r="AG138" s="10" t="s">
        <v>78</v>
      </c>
      <c r="AH138" s="10" t="s">
        <v>78</v>
      </c>
      <c r="AI138" s="10" t="s">
        <v>78</v>
      </c>
      <c r="AJ138" s="10"/>
      <c r="AK138" s="10"/>
      <c r="AL138" s="10"/>
      <c r="AM138" s="10"/>
      <c r="AN138" s="10"/>
      <c r="AP138" s="14"/>
    </row>
    <row r="139" spans="1:42" s="1" customFormat="1" x14ac:dyDescent="0.2">
      <c r="A139" s="10">
        <v>120</v>
      </c>
      <c r="B139" s="10"/>
      <c r="C139" s="10"/>
      <c r="D139" s="10" t="s">
        <v>29</v>
      </c>
      <c r="E139" s="28" t="s">
        <v>573</v>
      </c>
      <c r="F139" s="10" t="s">
        <v>22</v>
      </c>
      <c r="G139" s="10" t="s">
        <v>8</v>
      </c>
      <c r="H139" s="10"/>
      <c r="I139" s="10" t="s">
        <v>394</v>
      </c>
      <c r="J139" s="10"/>
      <c r="K139" s="10" t="s">
        <v>266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78</v>
      </c>
      <c r="AA139" s="10" t="s">
        <v>265</v>
      </c>
      <c r="AB139" s="10" t="s">
        <v>265</v>
      </c>
      <c r="AC139" s="10" t="s">
        <v>265</v>
      </c>
      <c r="AE139" s="10"/>
      <c r="AF139" s="10" t="s">
        <v>78</v>
      </c>
      <c r="AG139" s="10" t="s">
        <v>78</v>
      </c>
      <c r="AH139" s="10" t="s">
        <v>78</v>
      </c>
      <c r="AI139" s="10" t="s">
        <v>78</v>
      </c>
      <c r="AJ139" s="10"/>
      <c r="AK139" s="10"/>
      <c r="AL139" s="10"/>
      <c r="AM139" s="10"/>
      <c r="AN139" s="10"/>
      <c r="AP139" s="14"/>
    </row>
    <row r="140" spans="1:42" s="1" customFormat="1" x14ac:dyDescent="0.2">
      <c r="A140" s="10">
        <v>120</v>
      </c>
      <c r="B140" s="10"/>
      <c r="C140" s="10"/>
      <c r="D140" s="10" t="s">
        <v>23</v>
      </c>
      <c r="E140" s="28" t="s">
        <v>574</v>
      </c>
      <c r="F140" s="10" t="s">
        <v>25</v>
      </c>
      <c r="G140" s="10" t="s">
        <v>8</v>
      </c>
      <c r="H140" s="10"/>
      <c r="I140" s="10" t="s">
        <v>395</v>
      </c>
      <c r="J140" s="10"/>
      <c r="K140" s="10" t="s">
        <v>266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78</v>
      </c>
      <c r="AA140" s="10" t="s">
        <v>265</v>
      </c>
      <c r="AB140" s="10" t="s">
        <v>265</v>
      </c>
      <c r="AC140" s="10" t="s">
        <v>265</v>
      </c>
      <c r="AE140" s="10"/>
      <c r="AF140" s="10" t="s">
        <v>78</v>
      </c>
      <c r="AG140" s="10" t="s">
        <v>78</v>
      </c>
      <c r="AH140" s="10" t="s">
        <v>78</v>
      </c>
      <c r="AI140" s="10" t="s">
        <v>78</v>
      </c>
      <c r="AJ140" s="10"/>
      <c r="AK140" s="10"/>
      <c r="AL140" s="10"/>
      <c r="AM140" s="10"/>
      <c r="AN140" s="10"/>
      <c r="AP140" s="14"/>
    </row>
    <row r="141" spans="1:42" s="1" customFormat="1" x14ac:dyDescent="0.2">
      <c r="A141" s="10">
        <v>120</v>
      </c>
      <c r="B141" s="10"/>
      <c r="C141" s="10"/>
      <c r="D141" s="10" t="s">
        <v>24</v>
      </c>
      <c r="E141" s="28" t="s">
        <v>575</v>
      </c>
      <c r="F141" s="10" t="s">
        <v>26</v>
      </c>
      <c r="G141" s="10" t="s">
        <v>8</v>
      </c>
      <c r="H141" s="10"/>
      <c r="I141" s="10" t="s">
        <v>396</v>
      </c>
      <c r="J141" s="10"/>
      <c r="K141" s="10" t="s">
        <v>266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78</v>
      </c>
      <c r="AA141" s="10" t="s">
        <v>265</v>
      </c>
      <c r="AB141" s="10" t="s">
        <v>265</v>
      </c>
      <c r="AC141" s="10" t="s">
        <v>265</v>
      </c>
      <c r="AE141" s="10"/>
      <c r="AF141" s="10" t="s">
        <v>78</v>
      </c>
      <c r="AG141" s="10" t="s">
        <v>78</v>
      </c>
      <c r="AH141" s="10" t="s">
        <v>78</v>
      </c>
      <c r="AI141" s="10" t="s">
        <v>78</v>
      </c>
      <c r="AJ141" s="10"/>
      <c r="AK141" s="10"/>
      <c r="AL141" s="10"/>
      <c r="AM141" s="10"/>
      <c r="AN141" s="10"/>
      <c r="AP141" s="14"/>
    </row>
    <row r="142" spans="1:42" s="1" customFormat="1" x14ac:dyDescent="0.2">
      <c r="A142" s="10">
        <v>120</v>
      </c>
      <c r="B142" s="10"/>
      <c r="C142" s="10"/>
      <c r="D142" s="10" t="s">
        <v>51</v>
      </c>
      <c r="E142" s="28" t="s">
        <v>628</v>
      </c>
      <c r="F142" s="10" t="s">
        <v>45</v>
      </c>
      <c r="G142" s="10" t="s">
        <v>8</v>
      </c>
      <c r="H142" s="10"/>
      <c r="I142" s="10" t="s">
        <v>471</v>
      </c>
      <c r="J142" s="10"/>
      <c r="K142" s="10" t="s">
        <v>266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265</v>
      </c>
      <c r="AA142" s="10" t="s">
        <v>265</v>
      </c>
      <c r="AB142" s="10" t="s">
        <v>265</v>
      </c>
      <c r="AC142" s="10" t="s">
        <v>265</v>
      </c>
      <c r="AE142" s="10"/>
      <c r="AF142" s="10" t="s">
        <v>78</v>
      </c>
      <c r="AG142" s="10"/>
      <c r="AH142" s="10" t="s">
        <v>78</v>
      </c>
      <c r="AI142" s="10"/>
      <c r="AJ142" s="10"/>
      <c r="AK142" s="10"/>
      <c r="AL142" s="10"/>
      <c r="AM142" s="10"/>
      <c r="AN142" s="10"/>
      <c r="AP142" s="14"/>
    </row>
    <row r="143" spans="1:42" s="1" customFormat="1" x14ac:dyDescent="0.2">
      <c r="A143" s="10">
        <v>120</v>
      </c>
      <c r="B143" s="10"/>
      <c r="C143" s="10"/>
      <c r="D143" s="10" t="s">
        <v>52</v>
      </c>
      <c r="E143" s="28" t="s">
        <v>629</v>
      </c>
      <c r="F143" s="10" t="s">
        <v>30</v>
      </c>
      <c r="G143" s="10" t="s">
        <v>8</v>
      </c>
      <c r="H143" s="10"/>
      <c r="I143" s="10" t="s">
        <v>214</v>
      </c>
      <c r="J143" s="10"/>
      <c r="K143" s="10" t="s">
        <v>266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265</v>
      </c>
      <c r="AA143" s="10" t="s">
        <v>265</v>
      </c>
      <c r="AB143" s="10" t="s">
        <v>265</v>
      </c>
      <c r="AC143" s="10" t="s">
        <v>265</v>
      </c>
      <c r="AE143" s="10"/>
      <c r="AF143" s="10" t="s">
        <v>78</v>
      </c>
      <c r="AG143" s="10"/>
      <c r="AH143" s="10" t="s">
        <v>78</v>
      </c>
      <c r="AI143" s="10"/>
      <c r="AJ143" s="10"/>
      <c r="AK143" s="10"/>
      <c r="AL143" s="10"/>
      <c r="AM143" s="10"/>
      <c r="AN143" s="10"/>
      <c r="AP143" s="14"/>
    </row>
    <row r="144" spans="1:42" s="1" customFormat="1" x14ac:dyDescent="0.2">
      <c r="A144" s="10">
        <v>120</v>
      </c>
      <c r="B144" s="10"/>
      <c r="C144" s="10"/>
      <c r="D144" s="10" t="s">
        <v>65</v>
      </c>
      <c r="E144" s="28" t="s">
        <v>630</v>
      </c>
      <c r="F144" s="10" t="s">
        <v>9</v>
      </c>
      <c r="G144" s="10" t="s">
        <v>8</v>
      </c>
      <c r="H144" s="10"/>
      <c r="I144" s="10" t="s">
        <v>472</v>
      </c>
      <c r="J144" s="10"/>
      <c r="K144" s="10" t="s">
        <v>266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265</v>
      </c>
      <c r="AA144" s="10" t="s">
        <v>265</v>
      </c>
      <c r="AB144" s="10" t="s">
        <v>265</v>
      </c>
      <c r="AC144" s="10" t="s">
        <v>265</v>
      </c>
      <c r="AE144" s="10"/>
      <c r="AF144" s="10" t="s">
        <v>78</v>
      </c>
      <c r="AG144" s="10"/>
      <c r="AH144" s="10" t="s">
        <v>78</v>
      </c>
      <c r="AI144" s="10"/>
      <c r="AJ144" s="10"/>
      <c r="AK144" s="10"/>
      <c r="AL144" s="10"/>
      <c r="AM144" s="10"/>
      <c r="AN144" s="10"/>
      <c r="AP144" s="14"/>
    </row>
    <row r="145" spans="1:42" s="1" customFormat="1" x14ac:dyDescent="0.2">
      <c r="A145" s="10">
        <v>120</v>
      </c>
      <c r="B145" s="10"/>
      <c r="C145" s="10"/>
      <c r="D145" s="10" t="s">
        <v>53</v>
      </c>
      <c r="E145" s="28" t="s">
        <v>631</v>
      </c>
      <c r="F145" s="10" t="s">
        <v>32</v>
      </c>
      <c r="G145" s="10" t="s">
        <v>8</v>
      </c>
      <c r="H145" s="10"/>
      <c r="I145" s="10" t="s">
        <v>473</v>
      </c>
      <c r="J145" s="10"/>
      <c r="K145" s="10" t="s">
        <v>266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265</v>
      </c>
      <c r="AA145" s="10" t="s">
        <v>265</v>
      </c>
      <c r="AB145" s="10" t="s">
        <v>265</v>
      </c>
      <c r="AC145" s="10" t="s">
        <v>265</v>
      </c>
      <c r="AE145" s="10"/>
      <c r="AF145" s="10" t="s">
        <v>78</v>
      </c>
      <c r="AG145" s="10"/>
      <c r="AH145" s="10" t="s">
        <v>78</v>
      </c>
      <c r="AI145" s="10"/>
      <c r="AJ145" s="10"/>
      <c r="AK145" s="10"/>
      <c r="AL145" s="10"/>
      <c r="AM145" s="10"/>
      <c r="AN145" s="10"/>
      <c r="AP145" s="14"/>
    </row>
    <row r="146" spans="1:42" s="1" customFormat="1" x14ac:dyDescent="0.2">
      <c r="A146" s="10">
        <v>120</v>
      </c>
      <c r="B146" s="10"/>
      <c r="C146" s="10"/>
      <c r="D146" s="10" t="s">
        <v>58</v>
      </c>
      <c r="E146" s="28" t="s">
        <v>632</v>
      </c>
      <c r="F146" s="10" t="s">
        <v>59</v>
      </c>
      <c r="G146" s="10" t="s">
        <v>8</v>
      </c>
      <c r="H146" s="10"/>
      <c r="I146" s="10" t="s">
        <v>474</v>
      </c>
      <c r="J146" s="10"/>
      <c r="K146" s="10" t="s">
        <v>266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265</v>
      </c>
      <c r="AA146" s="10" t="s">
        <v>265</v>
      </c>
      <c r="AB146" s="10" t="s">
        <v>265</v>
      </c>
      <c r="AC146" s="10" t="s">
        <v>265</v>
      </c>
      <c r="AE146" s="10"/>
      <c r="AF146" s="10" t="s">
        <v>78</v>
      </c>
      <c r="AG146" s="10"/>
      <c r="AH146" s="10" t="s">
        <v>78</v>
      </c>
      <c r="AI146" s="10"/>
      <c r="AJ146" s="10"/>
      <c r="AK146" s="10"/>
      <c r="AL146" s="10"/>
      <c r="AM146" s="10"/>
      <c r="AN146" s="10"/>
      <c r="AP146" s="14"/>
    </row>
    <row r="147" spans="1:42" s="1" customFormat="1" x14ac:dyDescent="0.2">
      <c r="A147" s="10">
        <v>120</v>
      </c>
      <c r="B147" s="10"/>
      <c r="C147" s="10"/>
      <c r="D147" s="10" t="s">
        <v>76</v>
      </c>
      <c r="E147" s="28" t="s">
        <v>633</v>
      </c>
      <c r="F147" s="10" t="s">
        <v>77</v>
      </c>
      <c r="G147" s="10"/>
      <c r="H147" s="10"/>
      <c r="I147" s="10" t="s">
        <v>475</v>
      </c>
      <c r="J147" s="10"/>
      <c r="K147" s="10" t="s">
        <v>266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426</v>
      </c>
      <c r="AA147" s="10" t="s">
        <v>426</v>
      </c>
      <c r="AB147" s="10" t="s">
        <v>426</v>
      </c>
      <c r="AC147" s="10" t="s">
        <v>426</v>
      </c>
      <c r="AE147" s="10"/>
      <c r="AF147" s="10" t="s">
        <v>78</v>
      </c>
      <c r="AG147" s="10" t="s">
        <v>78</v>
      </c>
      <c r="AH147" s="10" t="s">
        <v>78</v>
      </c>
      <c r="AI147" s="10" t="s">
        <v>78</v>
      </c>
      <c r="AJ147" s="10"/>
      <c r="AK147" s="10" t="s">
        <v>78</v>
      </c>
      <c r="AL147" s="10"/>
      <c r="AM147" s="10"/>
      <c r="AN147" s="10"/>
      <c r="AP147" s="14"/>
    </row>
    <row r="148" spans="1:42" s="1" customFormat="1" x14ac:dyDescent="0.2">
      <c r="A148" s="10">
        <v>120</v>
      </c>
      <c r="B148" s="10"/>
      <c r="C148" s="10"/>
      <c r="D148" s="10" t="s">
        <v>54</v>
      </c>
      <c r="E148" s="28" t="s">
        <v>634</v>
      </c>
      <c r="F148" s="10" t="s">
        <v>67</v>
      </c>
      <c r="G148" s="10" t="s">
        <v>1</v>
      </c>
      <c r="H148" s="10"/>
      <c r="I148" s="10" t="s">
        <v>471</v>
      </c>
      <c r="J148" s="10"/>
      <c r="K148" s="10" t="s">
        <v>266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265</v>
      </c>
      <c r="AA148" s="10" t="s">
        <v>265</v>
      </c>
      <c r="AB148" s="10" t="s">
        <v>265</v>
      </c>
      <c r="AC148" s="10" t="s">
        <v>265</v>
      </c>
      <c r="AE148" s="10"/>
      <c r="AF148" s="10" t="s">
        <v>78</v>
      </c>
      <c r="AG148" s="10"/>
      <c r="AH148" s="10" t="s">
        <v>78</v>
      </c>
      <c r="AI148" s="10"/>
      <c r="AJ148" s="10"/>
      <c r="AK148" s="10"/>
      <c r="AL148" s="10"/>
      <c r="AM148" s="10"/>
      <c r="AN148" s="10"/>
      <c r="AP148" s="14"/>
    </row>
    <row r="149" spans="1:42" s="1" customFormat="1" x14ac:dyDescent="0.2">
      <c r="A149" s="10">
        <v>120</v>
      </c>
      <c r="B149" s="10"/>
      <c r="C149" s="10"/>
      <c r="D149" s="10" t="s">
        <v>55</v>
      </c>
      <c r="E149" s="28" t="s">
        <v>635</v>
      </c>
      <c r="F149" s="10" t="s">
        <v>31</v>
      </c>
      <c r="G149" s="10" t="s">
        <v>8</v>
      </c>
      <c r="H149" s="10"/>
      <c r="I149" s="10" t="s">
        <v>214</v>
      </c>
      <c r="J149" s="10"/>
      <c r="K149" s="10" t="s">
        <v>266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265</v>
      </c>
      <c r="AA149" s="10" t="s">
        <v>265</v>
      </c>
      <c r="AB149" s="10" t="s">
        <v>265</v>
      </c>
      <c r="AC149" s="10" t="s">
        <v>265</v>
      </c>
      <c r="AE149" s="10"/>
      <c r="AF149" s="10" t="s">
        <v>78</v>
      </c>
      <c r="AG149" s="10"/>
      <c r="AH149" s="10" t="s">
        <v>78</v>
      </c>
      <c r="AI149" s="10"/>
      <c r="AJ149" s="10"/>
      <c r="AK149" s="10"/>
      <c r="AL149" s="10"/>
      <c r="AM149" s="10"/>
      <c r="AN149" s="10"/>
      <c r="AP149" s="14"/>
    </row>
    <row r="150" spans="1:42" s="1" customFormat="1" x14ac:dyDescent="0.2">
      <c r="A150" s="10">
        <v>120</v>
      </c>
      <c r="B150" s="10"/>
      <c r="C150" s="10"/>
      <c r="D150" s="10" t="s">
        <v>56</v>
      </c>
      <c r="E150" s="28" t="s">
        <v>636</v>
      </c>
      <c r="F150" s="10" t="s">
        <v>33</v>
      </c>
      <c r="G150" s="10" t="s">
        <v>8</v>
      </c>
      <c r="H150" s="10"/>
      <c r="I150" s="10" t="s">
        <v>472</v>
      </c>
      <c r="J150" s="10"/>
      <c r="K150" s="10" t="s">
        <v>266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265</v>
      </c>
      <c r="AA150" s="10" t="s">
        <v>265</v>
      </c>
      <c r="AB150" s="10" t="s">
        <v>265</v>
      </c>
      <c r="AC150" s="10" t="s">
        <v>265</v>
      </c>
      <c r="AE150" s="10"/>
      <c r="AF150" s="10" t="s">
        <v>78</v>
      </c>
      <c r="AG150" s="10"/>
      <c r="AH150" s="10" t="s">
        <v>78</v>
      </c>
      <c r="AI150" s="10"/>
      <c r="AJ150" s="10"/>
      <c r="AK150" s="10"/>
      <c r="AL150" s="10"/>
      <c r="AM150" s="10"/>
      <c r="AN150" s="10"/>
      <c r="AP150" s="14"/>
    </row>
    <row r="151" spans="1:42" s="1" customFormat="1" x14ac:dyDescent="0.2">
      <c r="A151" s="10">
        <v>120</v>
      </c>
      <c r="B151" s="10"/>
      <c r="C151" s="10"/>
      <c r="D151" s="10" t="s">
        <v>57</v>
      </c>
      <c r="E151" s="28" t="s">
        <v>637</v>
      </c>
      <c r="F151" s="10" t="s">
        <v>34</v>
      </c>
      <c r="G151" s="10" t="s">
        <v>8</v>
      </c>
      <c r="H151" s="10"/>
      <c r="I151" s="10" t="s">
        <v>473</v>
      </c>
      <c r="J151" s="10"/>
      <c r="K151" s="10" t="s">
        <v>266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265</v>
      </c>
      <c r="AA151" s="10" t="s">
        <v>265</v>
      </c>
      <c r="AB151" s="10" t="s">
        <v>265</v>
      </c>
      <c r="AC151" s="10" t="s">
        <v>265</v>
      </c>
      <c r="AE151" s="10"/>
      <c r="AF151" s="10" t="s">
        <v>78</v>
      </c>
      <c r="AG151" s="10"/>
      <c r="AH151" s="10" t="s">
        <v>78</v>
      </c>
      <c r="AI151" s="10"/>
      <c r="AJ151" s="10"/>
      <c r="AK151" s="10"/>
      <c r="AL151" s="10"/>
      <c r="AM151" s="10"/>
      <c r="AN151" s="10"/>
      <c r="AP151" s="14"/>
    </row>
    <row r="152" spans="1:42" s="1" customFormat="1" x14ac:dyDescent="0.2">
      <c r="A152" s="10">
        <v>120</v>
      </c>
      <c r="B152" s="10"/>
      <c r="C152" s="10"/>
      <c r="D152" s="10" t="s">
        <v>60</v>
      </c>
      <c r="E152" s="28" t="s">
        <v>638</v>
      </c>
      <c r="F152" s="10" t="s">
        <v>61</v>
      </c>
      <c r="G152" s="10" t="s">
        <v>8</v>
      </c>
      <c r="H152" s="10"/>
      <c r="I152" s="10" t="s">
        <v>474</v>
      </c>
      <c r="J152" s="10"/>
      <c r="K152" s="10" t="s">
        <v>266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265</v>
      </c>
      <c r="AA152" s="10" t="s">
        <v>265</v>
      </c>
      <c r="AB152" s="10" t="s">
        <v>265</v>
      </c>
      <c r="AC152" s="10" t="s">
        <v>265</v>
      </c>
      <c r="AE152" s="10"/>
      <c r="AF152" s="10" t="s">
        <v>78</v>
      </c>
      <c r="AG152" s="10"/>
      <c r="AH152" s="10" t="s">
        <v>78</v>
      </c>
      <c r="AI152" s="10"/>
      <c r="AJ152" s="10"/>
      <c r="AK152" s="10"/>
      <c r="AL152" s="10"/>
      <c r="AM152" s="10"/>
      <c r="AN152" s="10"/>
      <c r="AP152" s="14"/>
    </row>
    <row r="153" spans="1:42" s="1" customFormat="1" x14ac:dyDescent="0.2">
      <c r="A153" s="10">
        <v>120</v>
      </c>
      <c r="B153" s="10"/>
      <c r="C153" s="10"/>
      <c r="D153" s="10" t="s">
        <v>62</v>
      </c>
      <c r="E153" s="28" t="s">
        <v>639</v>
      </c>
      <c r="F153" s="10" t="s">
        <v>35</v>
      </c>
      <c r="G153" s="10" t="s">
        <v>8</v>
      </c>
      <c r="H153" s="10"/>
      <c r="I153" s="10" t="s">
        <v>476</v>
      </c>
      <c r="J153" s="10"/>
      <c r="K153" s="10" t="s">
        <v>266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265</v>
      </c>
      <c r="AA153" s="10" t="s">
        <v>265</v>
      </c>
      <c r="AB153" s="10" t="s">
        <v>265</v>
      </c>
      <c r="AC153" s="10" t="s">
        <v>265</v>
      </c>
      <c r="AE153" s="10"/>
      <c r="AF153" s="10" t="s">
        <v>78</v>
      </c>
      <c r="AG153" s="10"/>
      <c r="AH153" s="10" t="s">
        <v>78</v>
      </c>
      <c r="AI153" s="10"/>
      <c r="AJ153" s="10"/>
      <c r="AK153" s="10"/>
      <c r="AL153" s="10"/>
      <c r="AM153" s="10"/>
      <c r="AN153" s="10"/>
      <c r="AP153" s="14"/>
    </row>
    <row r="154" spans="1:42" s="1" customFormat="1" x14ac:dyDescent="0.2">
      <c r="A154" s="10">
        <v>120</v>
      </c>
      <c r="B154" s="10"/>
      <c r="C154" s="10"/>
      <c r="D154" s="10" t="s">
        <v>70</v>
      </c>
      <c r="E154" s="28" t="s">
        <v>640</v>
      </c>
      <c r="F154" s="10" t="s">
        <v>36</v>
      </c>
      <c r="G154" s="10" t="s">
        <v>8</v>
      </c>
      <c r="H154" s="10"/>
      <c r="I154" s="10" t="s">
        <v>471</v>
      </c>
      <c r="J154" s="10"/>
      <c r="K154" s="10" t="s">
        <v>266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265</v>
      </c>
      <c r="AA154" s="10" t="s">
        <v>265</v>
      </c>
      <c r="AB154" s="10" t="s">
        <v>265</v>
      </c>
      <c r="AC154" s="10" t="s">
        <v>265</v>
      </c>
      <c r="AE154" s="10"/>
      <c r="AF154" s="10" t="s">
        <v>78</v>
      </c>
      <c r="AG154" s="10"/>
      <c r="AH154" s="10" t="s">
        <v>78</v>
      </c>
      <c r="AI154" s="10"/>
      <c r="AJ154" s="10"/>
      <c r="AK154" s="10"/>
      <c r="AL154" s="10"/>
      <c r="AM154" s="10"/>
      <c r="AN154" s="10"/>
      <c r="AP154" s="14"/>
    </row>
    <row r="155" spans="1:42" s="1" customFormat="1" x14ac:dyDescent="0.2">
      <c r="A155" s="10">
        <v>120</v>
      </c>
      <c r="B155" s="10"/>
      <c r="C155" s="10"/>
      <c r="D155" s="10" t="s">
        <v>71</v>
      </c>
      <c r="E155" s="28" t="s">
        <v>641</v>
      </c>
      <c r="F155" s="10" t="s">
        <v>37</v>
      </c>
      <c r="G155" s="10" t="s">
        <v>8</v>
      </c>
      <c r="H155" s="10"/>
      <c r="I155" s="10" t="s">
        <v>214</v>
      </c>
      <c r="J155" s="10"/>
      <c r="K155" s="10" t="s">
        <v>266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265</v>
      </c>
      <c r="AA155" s="10" t="s">
        <v>265</v>
      </c>
      <c r="AB155" s="10" t="s">
        <v>265</v>
      </c>
      <c r="AC155" s="10" t="s">
        <v>265</v>
      </c>
      <c r="AE155" s="10"/>
      <c r="AF155" s="10" t="s">
        <v>78</v>
      </c>
      <c r="AG155" s="10"/>
      <c r="AH155" s="10" t="s">
        <v>78</v>
      </c>
      <c r="AI155" s="10"/>
      <c r="AJ155" s="10"/>
      <c r="AK155" s="10"/>
      <c r="AL155" s="10"/>
      <c r="AM155" s="10"/>
      <c r="AN155" s="10"/>
      <c r="AP155" s="14"/>
    </row>
    <row r="156" spans="1:42" s="1" customFormat="1" x14ac:dyDescent="0.2">
      <c r="A156" s="10">
        <v>120</v>
      </c>
      <c r="B156" s="10"/>
      <c r="C156" s="10"/>
      <c r="D156" s="10" t="s">
        <v>72</v>
      </c>
      <c r="E156" s="28" t="s">
        <v>642</v>
      </c>
      <c r="F156" s="10" t="s">
        <v>38</v>
      </c>
      <c r="G156" s="10" t="s">
        <v>8</v>
      </c>
      <c r="H156" s="10"/>
      <c r="I156" s="10" t="s">
        <v>472</v>
      </c>
      <c r="J156" s="10"/>
      <c r="K156" s="10" t="s">
        <v>266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265</v>
      </c>
      <c r="AA156" s="10" t="s">
        <v>265</v>
      </c>
      <c r="AB156" s="10" t="s">
        <v>265</v>
      </c>
      <c r="AC156" s="10" t="s">
        <v>265</v>
      </c>
      <c r="AE156" s="10"/>
      <c r="AF156" s="10" t="s">
        <v>78</v>
      </c>
      <c r="AG156" s="10"/>
      <c r="AH156" s="10" t="s">
        <v>78</v>
      </c>
      <c r="AI156" s="10"/>
      <c r="AJ156" s="10"/>
      <c r="AK156" s="10"/>
      <c r="AL156" s="10"/>
      <c r="AM156" s="10"/>
      <c r="AN156" s="10"/>
      <c r="AP156" s="14"/>
    </row>
    <row r="157" spans="1:42" s="1" customFormat="1" x14ac:dyDescent="0.2">
      <c r="A157" s="39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P157" s="15"/>
    </row>
    <row r="158" spans="1:42" s="1" customFormat="1" x14ac:dyDescent="0.2">
      <c r="A158" s="10">
        <v>130</v>
      </c>
      <c r="B158" s="11" t="s">
        <v>10</v>
      </c>
      <c r="C158" s="11"/>
      <c r="D158" s="11" t="s">
        <v>66</v>
      </c>
      <c r="E158" s="12"/>
      <c r="F158" s="11"/>
      <c r="G158" s="11"/>
      <c r="H158" s="11"/>
      <c r="I158" s="11" t="s">
        <v>49</v>
      </c>
      <c r="J158" s="11"/>
      <c r="K158" s="11" t="s">
        <v>242</v>
      </c>
      <c r="L158" s="11"/>
      <c r="M158" s="11" t="s">
        <v>477</v>
      </c>
      <c r="N158" s="11">
        <v>700</v>
      </c>
      <c r="O158" s="11"/>
      <c r="P158" s="11"/>
      <c r="Q158" s="17"/>
      <c r="R158" s="17"/>
      <c r="S158" s="17"/>
      <c r="T158" s="17"/>
      <c r="U158" s="17"/>
      <c r="V158" s="17"/>
      <c r="W158" s="17"/>
      <c r="X158" s="17"/>
      <c r="Y158" s="16"/>
      <c r="Z158" s="17"/>
      <c r="AA158" s="17"/>
      <c r="AB158" s="17"/>
      <c r="AC158" s="17"/>
      <c r="AD158" s="16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6"/>
      <c r="AP158" s="14"/>
    </row>
    <row r="159" spans="1:42" s="1" customFormat="1" ht="26" x14ac:dyDescent="0.2">
      <c r="A159" s="10">
        <v>130</v>
      </c>
      <c r="B159" s="10"/>
      <c r="C159" s="10"/>
      <c r="D159" s="10" t="s">
        <v>192</v>
      </c>
      <c r="E159" s="28" t="s">
        <v>643</v>
      </c>
      <c r="F159" s="10" t="s">
        <v>193</v>
      </c>
      <c r="G159" s="10" t="s">
        <v>1</v>
      </c>
      <c r="H159" s="10"/>
      <c r="I159" s="10"/>
      <c r="J159" s="10"/>
      <c r="K159" s="10" t="s">
        <v>16</v>
      </c>
      <c r="L159" s="10"/>
      <c r="M159" s="10"/>
      <c r="N159" s="10"/>
      <c r="O159" s="10"/>
      <c r="P159" s="10"/>
      <c r="Q159" s="10" t="s">
        <v>532</v>
      </c>
      <c r="R159" s="10"/>
      <c r="S159" s="10"/>
      <c r="T159" s="10" t="s">
        <v>478</v>
      </c>
      <c r="U159" s="10"/>
      <c r="V159" s="10"/>
      <c r="W159" s="10"/>
      <c r="X159" s="10"/>
      <c r="Z159" s="10" t="s">
        <v>78</v>
      </c>
      <c r="AA159" s="10" t="s">
        <v>17</v>
      </c>
      <c r="AB159" s="10" t="s">
        <v>17</v>
      </c>
      <c r="AC159" s="10" t="s">
        <v>17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P159" s="14"/>
    </row>
    <row r="160" spans="1:42" s="1" customFormat="1" x14ac:dyDescent="0.2">
      <c r="A160" s="10">
        <v>130</v>
      </c>
      <c r="B160" s="10"/>
      <c r="C160" s="10"/>
      <c r="D160" s="10" t="s">
        <v>39</v>
      </c>
      <c r="E160" s="28" t="s">
        <v>644</v>
      </c>
      <c r="F160" s="10" t="s">
        <v>41</v>
      </c>
      <c r="G160" s="10" t="s">
        <v>43</v>
      </c>
      <c r="H160" s="10"/>
      <c r="I160" s="10" t="s">
        <v>479</v>
      </c>
      <c r="J160" s="10"/>
      <c r="K160" s="10" t="s">
        <v>16</v>
      </c>
      <c r="L160" s="10"/>
      <c r="M160" s="10"/>
      <c r="N160" s="10"/>
      <c r="O160" s="10"/>
      <c r="P160" s="10"/>
      <c r="Q160" s="10"/>
      <c r="R160" s="10"/>
      <c r="S160" s="10"/>
      <c r="T160" s="10" t="s">
        <v>480</v>
      </c>
      <c r="U160" s="10"/>
      <c r="V160" s="10"/>
      <c r="W160" s="10"/>
      <c r="X160" s="10"/>
      <c r="Z160" s="10" t="s">
        <v>78</v>
      </c>
      <c r="AA160" s="10" t="s">
        <v>17</v>
      </c>
      <c r="AB160" s="10" t="s">
        <v>78</v>
      </c>
      <c r="AC160" s="10" t="s">
        <v>17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P160" s="14"/>
    </row>
    <row r="161" spans="1:42" s="1" customFormat="1" x14ac:dyDescent="0.2">
      <c r="A161" s="10">
        <v>130</v>
      </c>
      <c r="B161" s="10"/>
      <c r="C161" s="10"/>
      <c r="D161" s="10" t="s">
        <v>40</v>
      </c>
      <c r="E161" s="28" t="s">
        <v>645</v>
      </c>
      <c r="F161" s="10" t="s">
        <v>42</v>
      </c>
      <c r="G161" s="10" t="s">
        <v>44</v>
      </c>
      <c r="H161" s="10"/>
      <c r="I161" s="10" t="s">
        <v>479</v>
      </c>
      <c r="J161" s="10"/>
      <c r="K161" s="10" t="s">
        <v>16</v>
      </c>
      <c r="L161" s="10"/>
      <c r="M161" s="10"/>
      <c r="N161" s="10"/>
      <c r="O161" s="10"/>
      <c r="P161" s="10"/>
      <c r="Q161" s="10"/>
      <c r="R161" s="10"/>
      <c r="S161" s="10"/>
      <c r="T161" s="10" t="s">
        <v>481</v>
      </c>
      <c r="U161" s="10"/>
      <c r="V161" s="10"/>
      <c r="W161" s="10"/>
      <c r="X161" s="10"/>
      <c r="Z161" s="10" t="s">
        <v>78</v>
      </c>
      <c r="AA161" s="10" t="s">
        <v>17</v>
      </c>
      <c r="AB161" s="10" t="s">
        <v>78</v>
      </c>
      <c r="AC161" s="10" t="s">
        <v>17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P161" s="14"/>
    </row>
    <row r="162" spans="1:42" s="1" customFormat="1" x14ac:dyDescent="0.2">
      <c r="A162" s="10">
        <v>130</v>
      </c>
      <c r="B162" s="10"/>
      <c r="C162" s="10"/>
      <c r="D162" s="10" t="s">
        <v>519</v>
      </c>
      <c r="E162" s="28" t="s">
        <v>646</v>
      </c>
      <c r="F162" s="10" t="s">
        <v>14</v>
      </c>
      <c r="G162" s="10" t="s">
        <v>15</v>
      </c>
      <c r="H162" s="10"/>
      <c r="I162" s="10" t="s">
        <v>479</v>
      </c>
      <c r="J162" s="10"/>
      <c r="K162" s="10" t="s">
        <v>16</v>
      </c>
      <c r="L162" s="10"/>
      <c r="M162" s="10"/>
      <c r="N162" s="10"/>
      <c r="O162" s="10"/>
      <c r="P162" s="10"/>
      <c r="Q162" s="10" t="s">
        <v>482</v>
      </c>
      <c r="R162" s="10" t="s">
        <v>483</v>
      </c>
      <c r="S162" s="10"/>
      <c r="T162" s="10" t="s">
        <v>484</v>
      </c>
      <c r="U162" s="10"/>
      <c r="V162" s="10"/>
      <c r="W162" s="10"/>
      <c r="X162" s="10"/>
      <c r="Z162" s="10" t="s">
        <v>78</v>
      </c>
      <c r="AA162" s="10" t="s">
        <v>17</v>
      </c>
      <c r="AB162" s="10" t="s">
        <v>17</v>
      </c>
      <c r="AC162" s="10" t="s">
        <v>17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P162" s="14"/>
    </row>
    <row r="163" spans="1:42" s="1" customFormat="1" x14ac:dyDescent="0.2">
      <c r="A163" s="10">
        <v>130</v>
      </c>
      <c r="B163" s="10"/>
      <c r="C163" s="10"/>
      <c r="D163" s="10" t="s">
        <v>520</v>
      </c>
      <c r="E163" s="28" t="s">
        <v>647</v>
      </c>
      <c r="F163" s="10" t="s">
        <v>18</v>
      </c>
      <c r="G163" s="10" t="s">
        <v>19</v>
      </c>
      <c r="H163" s="10"/>
      <c r="I163" s="10" t="s">
        <v>479</v>
      </c>
      <c r="J163" s="10"/>
      <c r="K163" s="10" t="s">
        <v>16</v>
      </c>
      <c r="L163" s="10"/>
      <c r="M163" s="10"/>
      <c r="N163" s="10"/>
      <c r="O163" s="10"/>
      <c r="P163" s="10"/>
      <c r="Q163" s="10" t="s">
        <v>485</v>
      </c>
      <c r="R163" s="10" t="s">
        <v>483</v>
      </c>
      <c r="S163" s="10"/>
      <c r="T163" s="10" t="s">
        <v>486</v>
      </c>
      <c r="U163" s="10"/>
      <c r="V163" s="10"/>
      <c r="W163" s="10"/>
      <c r="X163" s="10"/>
      <c r="Z163" s="10" t="s">
        <v>78</v>
      </c>
      <c r="AA163" s="10" t="s">
        <v>17</v>
      </c>
      <c r="AB163" s="10" t="s">
        <v>17</v>
      </c>
      <c r="AC163" s="10" t="s">
        <v>17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P163" s="14"/>
    </row>
    <row r="164" spans="1:42" s="1" customFormat="1" x14ac:dyDescent="0.2">
      <c r="A164" s="10">
        <v>130</v>
      </c>
      <c r="B164" s="10"/>
      <c r="C164" s="10"/>
      <c r="D164" s="10" t="s">
        <v>521</v>
      </c>
      <c r="E164" s="28" t="s">
        <v>648</v>
      </c>
      <c r="F164" s="10" t="s">
        <v>20</v>
      </c>
      <c r="G164" s="10" t="s">
        <v>21</v>
      </c>
      <c r="H164" s="10"/>
      <c r="I164" s="10" t="s">
        <v>479</v>
      </c>
      <c r="J164" s="10"/>
      <c r="K164" s="10" t="s">
        <v>16</v>
      </c>
      <c r="L164" s="10"/>
      <c r="M164" s="10"/>
      <c r="N164" s="10"/>
      <c r="O164" s="10"/>
      <c r="P164" s="10"/>
      <c r="Q164" s="10" t="s">
        <v>487</v>
      </c>
      <c r="R164" s="10" t="s">
        <v>483</v>
      </c>
      <c r="S164" s="10"/>
      <c r="T164" s="10" t="s">
        <v>488</v>
      </c>
      <c r="U164" s="10"/>
      <c r="V164" s="10"/>
      <c r="W164" s="10"/>
      <c r="X164" s="10"/>
      <c r="Z164" s="10" t="s">
        <v>78</v>
      </c>
      <c r="AA164" s="10" t="s">
        <v>17</v>
      </c>
      <c r="AB164" s="10" t="s">
        <v>17</v>
      </c>
      <c r="AC164" s="10" t="s">
        <v>17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P164" s="14"/>
    </row>
    <row r="165" spans="1:42" s="1" customFormat="1" ht="26" x14ac:dyDescent="0.2">
      <c r="A165" s="10">
        <v>130</v>
      </c>
      <c r="B165" s="10"/>
      <c r="C165" s="10"/>
      <c r="D165" s="10" t="s">
        <v>522</v>
      </c>
      <c r="E165" s="28" t="s">
        <v>649</v>
      </c>
      <c r="F165" s="10" t="s">
        <v>202</v>
      </c>
      <c r="G165" s="10" t="s">
        <v>205</v>
      </c>
      <c r="H165" s="10"/>
      <c r="I165" s="10" t="s">
        <v>489</v>
      </c>
      <c r="J165" s="10"/>
      <c r="K165" s="10" t="s">
        <v>424</v>
      </c>
      <c r="L165" s="10"/>
      <c r="M165" s="10" t="s">
        <v>338</v>
      </c>
      <c r="N165" s="10"/>
      <c r="O165" s="10"/>
      <c r="P165" s="10"/>
      <c r="Q165" s="10" t="s">
        <v>533</v>
      </c>
      <c r="R165" s="10"/>
      <c r="S165" s="10"/>
      <c r="T165" s="10" t="s">
        <v>490</v>
      </c>
      <c r="U165" s="10"/>
      <c r="V165" s="10"/>
      <c r="W165" s="10"/>
      <c r="X165" s="10"/>
      <c r="Z165" s="10" t="s">
        <v>78</v>
      </c>
      <c r="AA165" s="10" t="s">
        <v>17</v>
      </c>
      <c r="AB165" s="10" t="s">
        <v>17</v>
      </c>
      <c r="AC165" s="10" t="s">
        <v>17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P165" s="14"/>
    </row>
    <row r="166" spans="1:42" s="1" customFormat="1" ht="26" x14ac:dyDescent="0.2">
      <c r="A166" s="10">
        <v>130</v>
      </c>
      <c r="B166" s="10"/>
      <c r="C166" s="10"/>
      <c r="D166" s="10" t="s">
        <v>523</v>
      </c>
      <c r="E166" s="28" t="s">
        <v>649</v>
      </c>
      <c r="F166" s="10" t="s">
        <v>202</v>
      </c>
      <c r="G166" s="10" t="s">
        <v>205</v>
      </c>
      <c r="H166" s="10"/>
      <c r="I166" s="10" t="s">
        <v>489</v>
      </c>
      <c r="J166" s="10"/>
      <c r="K166" s="10" t="s">
        <v>424</v>
      </c>
      <c r="L166" s="10"/>
      <c r="M166" s="10" t="s">
        <v>338</v>
      </c>
      <c r="N166" s="10"/>
      <c r="O166" s="10"/>
      <c r="P166" s="10"/>
      <c r="Q166" s="10" t="s">
        <v>533</v>
      </c>
      <c r="R166" s="10"/>
      <c r="S166" s="10"/>
      <c r="T166" s="10" t="s">
        <v>490</v>
      </c>
      <c r="U166" s="10"/>
      <c r="V166" s="10"/>
      <c r="W166" s="10"/>
      <c r="X166" s="10"/>
      <c r="Z166" s="10" t="s">
        <v>78</v>
      </c>
      <c r="AA166" s="10" t="s">
        <v>17</v>
      </c>
      <c r="AB166" s="10" t="s">
        <v>17</v>
      </c>
      <c r="AC166" s="10" t="s">
        <v>17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P166" s="14"/>
    </row>
    <row r="167" spans="1:42" s="1" customFormat="1" ht="26" x14ac:dyDescent="0.2">
      <c r="A167" s="10">
        <v>130</v>
      </c>
      <c r="B167" s="10"/>
      <c r="C167" s="10"/>
      <c r="D167" s="10" t="s">
        <v>524</v>
      </c>
      <c r="E167" s="28" t="s">
        <v>650</v>
      </c>
      <c r="F167" s="10" t="s">
        <v>203</v>
      </c>
      <c r="G167" s="10" t="s">
        <v>204</v>
      </c>
      <c r="H167" s="10"/>
      <c r="I167" s="10" t="s">
        <v>491</v>
      </c>
      <c r="J167" s="10"/>
      <c r="K167" s="10" t="s">
        <v>424</v>
      </c>
      <c r="L167" s="10"/>
      <c r="M167" s="10" t="s">
        <v>338</v>
      </c>
      <c r="N167" s="10"/>
      <c r="O167" s="10"/>
      <c r="P167" s="10"/>
      <c r="Q167" s="10" t="s">
        <v>534</v>
      </c>
      <c r="R167" s="10"/>
      <c r="S167" s="10"/>
      <c r="T167" s="10" t="s">
        <v>492</v>
      </c>
      <c r="U167" s="10"/>
      <c r="V167" s="10"/>
      <c r="W167" s="10"/>
      <c r="X167" s="10"/>
      <c r="Z167" s="10" t="s">
        <v>17</v>
      </c>
      <c r="AA167" s="10" t="s">
        <v>17</v>
      </c>
      <c r="AB167" s="10" t="s">
        <v>78</v>
      </c>
      <c r="AC167" s="10" t="s">
        <v>17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P167" s="14"/>
    </row>
    <row r="168" spans="1:42" s="1" customFormat="1" ht="26" x14ac:dyDescent="0.2">
      <c r="A168" s="10">
        <v>130</v>
      </c>
      <c r="B168" s="10"/>
      <c r="C168" s="10"/>
      <c r="D168" s="10" t="s">
        <v>525</v>
      </c>
      <c r="E168" s="28" t="s">
        <v>650</v>
      </c>
      <c r="F168" s="10" t="s">
        <v>203</v>
      </c>
      <c r="G168" s="10" t="s">
        <v>204</v>
      </c>
      <c r="H168" s="10"/>
      <c r="I168" s="10" t="s">
        <v>491</v>
      </c>
      <c r="J168" s="10"/>
      <c r="K168" s="10" t="s">
        <v>424</v>
      </c>
      <c r="L168" s="10"/>
      <c r="M168" s="10" t="s">
        <v>338</v>
      </c>
      <c r="N168" s="10"/>
      <c r="O168" s="10"/>
      <c r="P168" s="10"/>
      <c r="Q168" s="10" t="s">
        <v>534</v>
      </c>
      <c r="R168" s="10"/>
      <c r="S168" s="10"/>
      <c r="T168" s="10" t="s">
        <v>492</v>
      </c>
      <c r="U168" s="10"/>
      <c r="V168" s="10"/>
      <c r="W168" s="10"/>
      <c r="X168" s="10"/>
      <c r="Z168" s="10" t="s">
        <v>17</v>
      </c>
      <c r="AA168" s="10" t="s">
        <v>17</v>
      </c>
      <c r="AB168" s="10" t="s">
        <v>78</v>
      </c>
      <c r="AC168" s="10" t="s">
        <v>17</v>
      </c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P168" s="14"/>
    </row>
    <row r="169" spans="1:42" s="1" customFormat="1" ht="52" x14ac:dyDescent="0.2">
      <c r="A169" s="39"/>
      <c r="AE169" s="33" t="s">
        <v>651</v>
      </c>
      <c r="AF169" s="33" t="s">
        <v>652</v>
      </c>
      <c r="AG169" s="33" t="s">
        <v>651</v>
      </c>
      <c r="AH169" s="33" t="s">
        <v>652</v>
      </c>
      <c r="AI169" s="33" t="s">
        <v>651</v>
      </c>
      <c r="AJ169" s="33" t="s">
        <v>652</v>
      </c>
      <c r="AK169" s="33" t="s">
        <v>651</v>
      </c>
      <c r="AL169" s="33" t="s">
        <v>652</v>
      </c>
      <c r="AM169" s="33" t="s">
        <v>651</v>
      </c>
      <c r="AN169" s="33" t="s">
        <v>652</v>
      </c>
      <c r="AP169" s="15"/>
    </row>
    <row r="170" spans="1:42" s="1" customFormat="1" x14ac:dyDescent="0.2">
      <c r="A170" s="47">
        <v>140</v>
      </c>
      <c r="B170" s="23" t="s">
        <v>47</v>
      </c>
      <c r="C170" s="23"/>
      <c r="D170" s="23" t="s">
        <v>48</v>
      </c>
      <c r="E170" s="24"/>
      <c r="F170" s="23"/>
      <c r="G170" s="23"/>
      <c r="H170" s="23"/>
      <c r="I170" s="23" t="s">
        <v>49</v>
      </c>
      <c r="J170" s="23"/>
      <c r="K170" s="23" t="s">
        <v>242</v>
      </c>
      <c r="L170" s="23"/>
      <c r="M170" s="23" t="s">
        <v>50</v>
      </c>
      <c r="N170" s="23" t="s">
        <v>338</v>
      </c>
      <c r="O170" s="23"/>
      <c r="P170" s="23"/>
      <c r="Q170" s="25"/>
      <c r="R170" s="25"/>
      <c r="S170" s="25"/>
      <c r="T170" s="25"/>
      <c r="U170" s="25"/>
      <c r="V170" s="25"/>
      <c r="W170" s="25"/>
      <c r="X170" s="25"/>
      <c r="Y170" s="49"/>
      <c r="Z170" s="25"/>
      <c r="AA170" s="25"/>
      <c r="AB170" s="25"/>
      <c r="AC170" s="25"/>
      <c r="AD170" s="49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9"/>
      <c r="AP170" s="26"/>
    </row>
    <row r="171" spans="1:42" s="1" customFormat="1" x14ac:dyDescent="0.2">
      <c r="A171" s="2"/>
      <c r="B171" s="3"/>
      <c r="C171" s="3"/>
      <c r="D171" s="4" t="s">
        <v>526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18"/>
    </row>
    <row r="172" spans="1:42" s="1" customFormat="1" x14ac:dyDescent="0.2">
      <c r="A172" s="39"/>
      <c r="AP172" s="15"/>
    </row>
    <row r="173" spans="1:42" s="1" customFormat="1" x14ac:dyDescent="0.2">
      <c r="A173" s="39"/>
      <c r="AP173" s="15"/>
    </row>
    <row r="174" spans="1:42" s="1" customFormat="1" x14ac:dyDescent="0.2">
      <c r="A174" s="39"/>
      <c r="AP174" s="15"/>
    </row>
    <row r="175" spans="1:42" s="1" customFormat="1" x14ac:dyDescent="0.2">
      <c r="A175" s="42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37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P2" sqref="P2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7" t="s">
        <v>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3</v>
      </c>
      <c r="B3" s="57"/>
      <c r="C3" s="57"/>
      <c r="D3" s="57"/>
      <c r="E3" s="57"/>
      <c r="F3" s="57"/>
      <c r="G3" s="58"/>
      <c r="H3" s="100" t="s">
        <v>4</v>
      </c>
      <c r="I3" s="57"/>
      <c r="J3" s="57"/>
      <c r="K3" s="57"/>
      <c r="L3" s="57"/>
      <c r="M3" s="57"/>
      <c r="N3" s="58"/>
      <c r="O3" s="100" t="s">
        <v>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7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3" t="s">
        <v>653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654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85"/>
      <c r="J6" s="85"/>
      <c r="K6" s="85"/>
      <c r="L6" s="85"/>
      <c r="M6" s="85"/>
      <c r="N6" s="86"/>
      <c r="O6" s="59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9"/>
      <c r="J7" s="79"/>
      <c r="K7" s="79"/>
      <c r="L7" s="79"/>
      <c r="M7" s="79"/>
      <c r="N7" s="80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9"/>
      <c r="J8" s="79"/>
      <c r="K8" s="79"/>
      <c r="L8" s="79"/>
      <c r="M8" s="79"/>
      <c r="N8" s="80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9"/>
      <c r="J9" s="79"/>
      <c r="K9" s="79"/>
      <c r="L9" s="79"/>
      <c r="M9" s="79"/>
      <c r="N9" s="80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9"/>
      <c r="J10" s="79"/>
      <c r="K10" s="79"/>
      <c r="L10" s="79"/>
      <c r="M10" s="79"/>
      <c r="N10" s="80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9"/>
      <c r="J11" s="79"/>
      <c r="K11" s="79"/>
      <c r="L11" s="79"/>
      <c r="M11" s="79"/>
      <c r="N11" s="80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9"/>
      <c r="J12" s="79"/>
      <c r="K12" s="79"/>
      <c r="L12" s="79"/>
      <c r="M12" s="79"/>
      <c r="N12" s="80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9"/>
      <c r="J13" s="79"/>
      <c r="K13" s="79"/>
      <c r="L13" s="79"/>
      <c r="M13" s="79"/>
      <c r="N13" s="80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9"/>
      <c r="J14" s="79"/>
      <c r="K14" s="79"/>
      <c r="L14" s="79"/>
      <c r="M14" s="79"/>
      <c r="N14" s="80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9"/>
      <c r="J15" s="79"/>
      <c r="K15" s="79"/>
      <c r="L15" s="79"/>
      <c r="M15" s="79"/>
      <c r="N15" s="80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9"/>
      <c r="J16" s="79"/>
      <c r="K16" s="79"/>
      <c r="L16" s="79"/>
      <c r="M16" s="79"/>
      <c r="N16" s="80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9"/>
      <c r="J17" s="79"/>
      <c r="K17" s="79"/>
      <c r="L17" s="79"/>
      <c r="M17" s="79"/>
      <c r="N17" s="80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9"/>
      <c r="J18" s="79"/>
      <c r="K18" s="79"/>
      <c r="L18" s="79"/>
      <c r="M18" s="79"/>
      <c r="N18" s="80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9"/>
      <c r="J19" s="79"/>
      <c r="K19" s="79"/>
      <c r="L19" s="79"/>
      <c r="M19" s="79"/>
      <c r="N19" s="80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9"/>
      <c r="J20" s="79"/>
      <c r="K20" s="79"/>
      <c r="L20" s="79"/>
      <c r="M20" s="79"/>
      <c r="N20" s="80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9"/>
      <c r="J21" s="79"/>
      <c r="K21" s="79"/>
      <c r="L21" s="79"/>
      <c r="M21" s="79"/>
      <c r="N21" s="80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9"/>
      <c r="J22" s="79"/>
      <c r="K22" s="79"/>
      <c r="L22" s="79"/>
      <c r="M22" s="79"/>
      <c r="N22" s="80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9"/>
      <c r="J23" s="79"/>
      <c r="K23" s="79"/>
      <c r="L23" s="79"/>
      <c r="M23" s="79"/>
      <c r="N23" s="80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9"/>
      <c r="J24" s="79"/>
      <c r="K24" s="79"/>
      <c r="L24" s="79"/>
      <c r="M24" s="79"/>
      <c r="N24" s="80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9"/>
      <c r="J25" s="79"/>
      <c r="K25" s="79"/>
      <c r="L25" s="79"/>
      <c r="M25" s="79"/>
      <c r="N25" s="80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9"/>
      <c r="J26" s="79"/>
      <c r="K26" s="79"/>
      <c r="L26" s="79"/>
      <c r="M26" s="79"/>
      <c r="N26" s="80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9"/>
      <c r="J27" s="79"/>
      <c r="K27" s="79"/>
      <c r="L27" s="79"/>
      <c r="M27" s="79"/>
      <c r="N27" s="80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9"/>
      <c r="J28" s="79"/>
      <c r="K28" s="79"/>
      <c r="L28" s="79"/>
      <c r="M28" s="79"/>
      <c r="N28" s="80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9"/>
      <c r="J29" s="79"/>
      <c r="K29" s="79"/>
      <c r="L29" s="79"/>
      <c r="M29" s="79"/>
      <c r="N29" s="80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9"/>
      <c r="J30" s="79"/>
      <c r="K30" s="79"/>
      <c r="L30" s="79"/>
      <c r="M30" s="79"/>
      <c r="N30" s="80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9"/>
      <c r="J31" s="79"/>
      <c r="K31" s="79"/>
      <c r="L31" s="79"/>
      <c r="M31" s="79"/>
      <c r="N31" s="80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9"/>
      <c r="J32" s="79"/>
      <c r="K32" s="79"/>
      <c r="L32" s="79"/>
      <c r="M32" s="79"/>
      <c r="N32" s="80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9"/>
      <c r="J33" s="79"/>
      <c r="K33" s="79"/>
      <c r="L33" s="79"/>
      <c r="M33" s="79"/>
      <c r="N33" s="80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9"/>
      <c r="J34" s="79"/>
      <c r="K34" s="79"/>
      <c r="L34" s="79"/>
      <c r="M34" s="79"/>
      <c r="N34" s="80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2026-03-27T05:45:31Z</dcterms:modified>
  <cp:category/>
</cp:coreProperties>
</file>