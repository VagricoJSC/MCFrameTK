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7A30FF71-C3B7-48AF-98CB-298B1BAFA7D4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07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1" l="1"/>
  <c r="F2" i="1" l="1"/>
  <c r="AF8" i="1" l="1"/>
  <c r="AH8" i="1"/>
  <c r="AL8" i="1"/>
  <c r="AJ8" i="1"/>
</calcChain>
</file>

<file path=xl/sharedStrings.xml><?xml version="1.0" encoding="utf-8"?>
<sst xmlns="http://schemas.openxmlformats.org/spreadsheetml/2006/main" count="1701" uniqueCount="615">
  <si>
    <t>*</t>
  </si>
  <si>
    <t>@</t>
  </si>
  <si>
    <t>検索</t>
    <rPh sb="0" eb="2">
      <t>ケンサク</t>
    </rPh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</si>
  <si>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</si>
  <si>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</si>
  <si>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</si>
  <si>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</si>
  <si>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</si>
  <si>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</si>
  <si>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</si>
  <si>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</si>
  <si>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</si>
  <si>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G</t>
    <phoneticPr fontId="2"/>
  </si>
  <si>
    <t>#</t>
    <phoneticPr fontId="2"/>
  </si>
  <si>
    <t>M</t>
    <phoneticPr fontId="2"/>
  </si>
  <si>
    <t>N</t>
    <phoneticPr fontId="2"/>
  </si>
  <si>
    <t>AB</t>
    <phoneticPr fontId="2"/>
  </si>
  <si>
    <t>C</t>
    <phoneticPr fontId="2"/>
  </si>
  <si>
    <t>行追加</t>
    <phoneticPr fontId="2"/>
  </si>
  <si>
    <t>$image.INSERT_RECORD$</t>
    <phoneticPr fontId="2"/>
  </si>
  <si>
    <t>B</t>
    <phoneticPr fontId="2"/>
  </si>
  <si>
    <t>F5</t>
    <phoneticPr fontId="2"/>
  </si>
  <si>
    <t>D</t>
    <phoneticPr fontId="2"/>
  </si>
  <si>
    <t>行削除</t>
    <phoneticPr fontId="2"/>
  </si>
  <si>
    <t>$image.DELETE_RECORD$</t>
    <phoneticPr fontId="2"/>
  </si>
  <si>
    <t>行コピー</t>
    <phoneticPr fontId="2"/>
  </si>
  <si>
    <t>$image.COPY_RECORD$</t>
    <phoneticPr fontId="2"/>
  </si>
  <si>
    <t>メモ１</t>
    <phoneticPr fontId="2"/>
  </si>
  <si>
    <t>F</t>
    <phoneticPr fontId="2"/>
  </si>
  <si>
    <t>memo2</t>
    <phoneticPr fontId="2"/>
  </si>
  <si>
    <t>memo3</t>
    <phoneticPr fontId="2"/>
  </si>
  <si>
    <t>メモ２</t>
    <phoneticPr fontId="2"/>
  </si>
  <si>
    <t>メモ３</t>
    <phoneticPr fontId="2"/>
  </si>
  <si>
    <t>#MA.MST_MEMO2</t>
    <phoneticPr fontId="2"/>
  </si>
  <si>
    <t>check</t>
  </si>
  <si>
    <t>選択</t>
    <phoneticPr fontId="2"/>
  </si>
  <si>
    <t>memo1</t>
    <phoneticPr fontId="2"/>
  </si>
  <si>
    <t>登録ユーザ名</t>
    <phoneticPr fontId="2"/>
  </si>
  <si>
    <t>更新ユーザ名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</si>
  <si>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</si>
  <si>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</si>
  <si>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</si>
  <si>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</si>
  <si>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</si>
  <si>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</si>
  <si>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</si>
  <si>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</si>
  <si>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</si>
  <si>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</si>
  <si>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</si>
  <si>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</si>
  <si>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</si>
  <si>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2"/>
  </si>
  <si>
    <t>論理削除</t>
    <phoneticPr fontId="2"/>
  </si>
  <si>
    <t>$fit$</t>
    <phoneticPr fontId="2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</si>
  <si>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</si>
  <si>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</si>
  <si>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</si>
  <si>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</si>
  <si>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</si>
  <si>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</si>
  <si>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</si>
  <si>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2"/>
  </si>
  <si>
    <t>登録機能名</t>
    <phoneticPr fontId="2"/>
  </si>
  <si>
    <t>upd_func_nm</t>
    <phoneticPr fontId="2"/>
  </si>
  <si>
    <t>更新機能名</t>
    <phoneticPr fontId="2"/>
  </si>
  <si>
    <t>upd_srv_req_no</t>
    <phoneticPr fontId="2"/>
  </si>
  <si>
    <t>DEL</t>
    <phoneticPr fontId="2"/>
  </si>
  <si>
    <t>RO</t>
    <phoneticPr fontId="2"/>
  </si>
  <si>
    <t>E</t>
    <phoneticPr fontId="2"/>
  </si>
  <si>
    <t>ins_ts</t>
    <phoneticPr fontId="2"/>
  </si>
  <si>
    <t>LAB</t>
    <phoneticPr fontId="2"/>
  </si>
  <si>
    <t>DtlBtn</t>
    <phoneticPr fontId="2"/>
  </si>
  <si>
    <t>Dtl</t>
    <phoneticPr fontId="2"/>
  </si>
  <si>
    <t>LP</t>
    <phoneticPr fontId="2"/>
  </si>
  <si>
    <t>更新ユーザＩＤ</t>
  </si>
  <si>
    <t>$fixed$</t>
    <phoneticPr fontId="2"/>
  </si>
  <si>
    <t>del_flg</t>
  </si>
  <si>
    <t>del_usr_id</t>
  </si>
  <si>
    <t>del_usr_nm</t>
  </si>
  <si>
    <t>del_ts</t>
  </si>
  <si>
    <t>ScreenOpe</t>
    <phoneticPr fontId="2"/>
  </si>
  <si>
    <t>操作種別</t>
    <rPh sb="0" eb="2">
      <t>ソウサ</t>
    </rPh>
    <phoneticPr fontId="2"/>
  </si>
  <si>
    <t>ope@ScreenOpe</t>
    <phoneticPr fontId="2"/>
  </si>
  <si>
    <t>upd_cntr</t>
    <phoneticPr fontId="2"/>
  </si>
  <si>
    <t>更新カウンタ</t>
    <phoneticPr fontId="2"/>
  </si>
  <si>
    <t>LIST_OUT_BASE</t>
  </si>
  <si>
    <t>$image.DELETE$削除する</t>
    <phoneticPr fontId="2"/>
  </si>
  <si>
    <t>削除する</t>
    <phoneticPr fontId="2"/>
  </si>
  <si>
    <t>更新する</t>
    <rPh sb="0" eb="2">
      <t>コウシン</t>
    </rPh>
    <phoneticPr fontId="2"/>
  </si>
  <si>
    <t>$image.REGISTER$更新する</t>
    <rPh sb="16" eb="18">
      <t>コウシン</t>
    </rPh>
    <phoneticPr fontId="2"/>
  </si>
  <si>
    <t>論理削除.オフ</t>
  </si>
  <si>
    <t>オフ</t>
  </si>
  <si>
    <t>論理削除.オン</t>
  </si>
  <si>
    <t>オン</t>
  </si>
  <si>
    <t>Top</t>
    <phoneticPr fontId="2"/>
  </si>
  <si>
    <t>CT+</t>
    <phoneticPr fontId="2"/>
  </si>
  <si>
    <t>ExpandAndContract=true</t>
    <phoneticPr fontId="6"/>
  </si>
  <si>
    <t>fold</t>
    <phoneticPr fontId="2"/>
  </si>
  <si>
    <t>Fold</t>
    <phoneticPr fontId="2"/>
  </si>
  <si>
    <t>ctrl</t>
    <phoneticPr fontId="2"/>
  </si>
  <si>
    <t>Ctrl</t>
    <phoneticPr fontId="2"/>
  </si>
  <si>
    <t>alt_grp_cd</t>
    <phoneticPr fontId="2"/>
  </si>
  <si>
    <t>ワーキンググループ名</t>
    <rPh sb="9" eb="10">
      <t>メイ</t>
    </rPh>
    <phoneticPr fontId="5"/>
  </si>
  <si>
    <t>ＷＧ</t>
    <phoneticPr fontId="2"/>
  </si>
  <si>
    <t>ＷＧ名</t>
    <rPh sb="2" eb="3">
      <t>メイ</t>
    </rPh>
    <phoneticPr fontId="2"/>
  </si>
  <si>
    <t>代替グループＣＤ</t>
    <rPh sb="0" eb="2">
      <t>ダイタイ</t>
    </rPh>
    <phoneticPr fontId="2"/>
  </si>
  <si>
    <t>代替グループ名</t>
    <rPh sb="0" eb="2">
      <t>ダイタイ</t>
    </rPh>
    <rPh sb="6" eb="7">
      <t>メイ</t>
    </rPh>
    <phoneticPr fontId="2"/>
  </si>
  <si>
    <t>代替Ｇ名</t>
    <rPh sb="0" eb="2">
      <t>ダイタイ</t>
    </rPh>
    <rPh sb="3" eb="4">
      <t>メイ</t>
    </rPh>
    <phoneticPr fontId="2"/>
  </si>
  <si>
    <t>代替Ｇ</t>
    <rPh sb="0" eb="2">
      <t>ダイタイ</t>
    </rPh>
    <phoneticPr fontId="2"/>
  </si>
  <si>
    <t>#MA.WG_CD</t>
    <phoneticPr fontId="2"/>
  </si>
  <si>
    <t>FA</t>
    <phoneticPr fontId="2"/>
  </si>
  <si>
    <t>代替グループに対して代替関係となる品目を登録します。</t>
    <phoneticPr fontId="2"/>
  </si>
  <si>
    <t>wg_nm</t>
    <phoneticPr fontId="2"/>
  </si>
  <si>
    <t>alt_grp_nm</t>
    <phoneticPr fontId="2"/>
  </si>
  <si>
    <t>LIST_IN</t>
  </si>
  <si>
    <t>LIST_IN_BASE</t>
  </si>
  <si>
    <t>ワーキンググループＣＤ</t>
    <phoneticPr fontId="5"/>
  </si>
  <si>
    <t>代替品目選択区分</t>
    <rPh sb="0" eb="2">
      <t>ダイタイ</t>
    </rPh>
    <rPh sb="2" eb="4">
      <t>ヒンモク</t>
    </rPh>
    <rPh sb="4" eb="6">
      <t>センタク</t>
    </rPh>
    <rPh sb="6" eb="8">
      <t>クブン</t>
    </rPh>
    <phoneticPr fontId="2"/>
  </si>
  <si>
    <t>代替品目選択区分名</t>
    <rPh sb="0" eb="2">
      <t>ダイタイ</t>
    </rPh>
    <rPh sb="2" eb="4">
      <t>ヒンモク</t>
    </rPh>
    <rPh sb="4" eb="6">
      <t>センタク</t>
    </rPh>
    <rPh sb="6" eb="8">
      <t>クブン</t>
    </rPh>
    <rPh sb="8" eb="9">
      <t>メイ</t>
    </rPh>
    <phoneticPr fontId="2"/>
  </si>
  <si>
    <t>alt_itm_typ</t>
  </si>
  <si>
    <t>alt_itm_typ_nm</t>
    <phoneticPr fontId="2"/>
  </si>
  <si>
    <t>#MA.ALT_ITM_TYP_NM</t>
    <phoneticPr fontId="2"/>
  </si>
  <si>
    <t>end_dt</t>
  </si>
  <si>
    <t>set_dt</t>
  </si>
  <si>
    <t>適用終了日</t>
  </si>
  <si>
    <t>適用日反映</t>
  </si>
  <si>
    <t>st_dt</t>
    <phoneticPr fontId="2"/>
  </si>
  <si>
    <t>適用開始日</t>
    <phoneticPr fontId="2"/>
  </si>
  <si>
    <t>BulkSet</t>
    <phoneticPr fontId="2"/>
  </si>
  <si>
    <t>RI</t>
    <phoneticPr fontId="2"/>
  </si>
  <si>
    <t>Key</t>
    <phoneticPr fontId="2"/>
  </si>
  <si>
    <t>chd_itm_p</t>
    <phoneticPr fontId="2"/>
  </si>
  <si>
    <t>itm_typ_d_nm</t>
    <phoneticPr fontId="2"/>
  </si>
  <si>
    <t>品目区分</t>
    <rPh sb="0" eb="2">
      <t>ヒンモク</t>
    </rPh>
    <rPh sb="2" eb="4">
      <t>クブン</t>
    </rPh>
    <phoneticPr fontId="1"/>
  </si>
  <si>
    <t>品目区分名</t>
    <rPh sb="0" eb="2">
      <t>ヒンモク</t>
    </rPh>
    <rPh sb="2" eb="4">
      <t>クブン</t>
    </rPh>
    <rPh sb="4" eb="5">
      <t>メイ</t>
    </rPh>
    <phoneticPr fontId="1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</si>
  <si>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1"/>
  </si>
  <si>
    <t>品目区分詳細</t>
  </si>
  <si>
    <t>品目区分詳細ＣＤ</t>
    <rPh sb="0" eb="2">
      <t>ヒンモク</t>
    </rPh>
    <rPh sb="2" eb="4">
      <t>クブン</t>
    </rPh>
    <rPh sb="4" eb="6">
      <t>ショウサイ</t>
    </rPh>
    <phoneticPr fontId="1"/>
  </si>
  <si>
    <t>子枝番１</t>
  </si>
  <si>
    <t>子枝番２</t>
  </si>
  <si>
    <t>子枝番３</t>
  </si>
  <si>
    <t>MA.MAUBP5250.VerNo</t>
    <phoneticPr fontId="2"/>
  </si>
  <si>
    <t>ver_no_p</t>
    <phoneticPr fontId="2"/>
  </si>
  <si>
    <t>ver_no_p.ver_no#</t>
    <phoneticPr fontId="2"/>
  </si>
  <si>
    <t>dt_p</t>
  </si>
  <si>
    <t>dt_p.st_dt#</t>
  </si>
  <si>
    <t>dt_p.end_dt#</t>
  </si>
  <si>
    <t>chd_rqmt_ratio</t>
  </si>
  <si>
    <t>chd_inpt_ratio</t>
  </si>
  <si>
    <t>alt_itm_ratio</t>
  </si>
  <si>
    <t>alt_alloc_prio</t>
  </si>
  <si>
    <t>not_cost_flg</t>
  </si>
  <si>
    <t>fxd_chd_rqmt_qty_p</t>
    <phoneticPr fontId="2"/>
  </si>
  <si>
    <t>fxd_chd_rqmt_qty_p.qty#fxd_chd_rqmt_qty</t>
    <phoneticPr fontId="2"/>
  </si>
  <si>
    <t>子固定必要数量</t>
  </si>
  <si>
    <t>子品目必要比率</t>
    <rPh sb="0" eb="3">
      <t>コヒンモク</t>
    </rPh>
    <rPh sb="3" eb="5">
      <t>ヒツヨウ</t>
    </rPh>
    <rPh sb="5" eb="7">
      <t>ヒリツ</t>
    </rPh>
    <phoneticPr fontId="4"/>
  </si>
  <si>
    <t>子品目投入比率</t>
  </si>
  <si>
    <t>代替品目比率</t>
  </si>
  <si>
    <t>引当優先順</t>
  </si>
  <si>
    <t>原価対象外</t>
  </si>
  <si>
    <t>子品目ＣＤ</t>
    <rPh sb="0" eb="1">
      <t>コ</t>
    </rPh>
    <phoneticPr fontId="1"/>
  </si>
  <si>
    <t>子品目</t>
  </si>
  <si>
    <t>wg_cd</t>
    <phoneticPr fontId="2"/>
  </si>
  <si>
    <t>chd_itm_p.itm_cd#chd_itm_cd</t>
    <phoneticPr fontId="2"/>
  </si>
  <si>
    <t>chd_itm_p.itm_sub1#chd_itm_sub1</t>
    <phoneticPr fontId="2"/>
  </si>
  <si>
    <t>chd_itm_p.itm_sub2#chd_itm_sub2</t>
    <phoneticPr fontId="2"/>
  </si>
  <si>
    <t>chd_itm_p.itm_sub3#chd_itm_sub3</t>
    <phoneticPr fontId="2"/>
  </si>
  <si>
    <t>unit_cd</t>
    <phoneticPr fontId="2"/>
  </si>
  <si>
    <t>dec_place</t>
  </si>
  <si>
    <t>単位ＣＤ</t>
    <rPh sb="0" eb="2">
      <t>タンイ</t>
    </rPh>
    <phoneticPr fontId="2"/>
  </si>
  <si>
    <t>小数部有効桁数</t>
    <rPh sb="0" eb="3">
      <t>ショウスウブ</t>
    </rPh>
    <rPh sb="3" eb="5">
      <t>ユウコウ</t>
    </rPh>
    <rPh sb="5" eb="7">
      <t>ケタスウ</t>
    </rPh>
    <phoneticPr fontId="2"/>
  </si>
  <si>
    <t>#MA.DEC_PLACE</t>
    <phoneticPr fontId="2"/>
  </si>
  <si>
    <t>I</t>
    <phoneticPr fontId="2"/>
  </si>
  <si>
    <t>chd_itm_p.itm_nm#chd_itm_nm</t>
    <phoneticPr fontId="2"/>
  </si>
  <si>
    <t>子品名</t>
    <rPh sb="0" eb="1">
      <t>コ</t>
    </rPh>
    <rPh sb="1" eb="3">
      <t>ヒンメイ</t>
    </rPh>
    <phoneticPr fontId="2"/>
  </si>
  <si>
    <t>ver_flg</t>
  </si>
  <si>
    <t>版管理対象</t>
    <rPh sb="0" eb="1">
      <t>ハン</t>
    </rPh>
    <rPh sb="1" eb="3">
      <t>カンリ</t>
    </rPh>
    <rPh sb="3" eb="5">
      <t>タイショウ</t>
    </rPh>
    <phoneticPr fontId="2"/>
  </si>
  <si>
    <t>MA.MAUAP0010.LgOrMfgWg</t>
    <phoneticPr fontId="2"/>
  </si>
  <si>
    <t>UPD,登録・訂正する,0;DEL,削除する（管理者）,1;REF,参照する,3</t>
    <rPh sb="7" eb="9">
      <t>テイセイ</t>
    </rPh>
    <phoneticPr fontId="2"/>
  </si>
  <si>
    <t>DISP_CTL</t>
    <phoneticPr fontId="2"/>
  </si>
  <si>
    <t>dt_p.st_dt_key#</t>
  </si>
  <si>
    <t>RegTarget</t>
  </si>
  <si>
    <t>登録対象</t>
  </si>
  <si>
    <t>cmn_flg@RegTarget</t>
  </si>
  <si>
    <t>共通</t>
  </si>
  <si>
    <t>wg_flg@RegTarget</t>
  </si>
  <si>
    <t>RPnl</t>
  </si>
  <si>
    <t>srch_cmn</t>
  </si>
  <si>
    <t>検索する（共通）</t>
  </si>
  <si>
    <t>$image.SEARCH$検索する（共通）</t>
  </si>
  <si>
    <t>srch_wg</t>
  </si>
  <si>
    <t>検索する（ＷＧ）</t>
  </si>
  <si>
    <t>$image.SEARCH$検索する（ＷＧ）</t>
  </si>
  <si>
    <t>itm_nm;itm_sub2;itm_sub3</t>
    <phoneticPr fontId="2"/>
  </si>
  <si>
    <t>itm_nm;itm_sub3</t>
    <phoneticPr fontId="2"/>
  </si>
  <si>
    <t>itm_nm</t>
    <phoneticPr fontId="2"/>
  </si>
  <si>
    <t>MA.MAUBP0030.Itm</t>
    <phoneticPr fontId="2"/>
  </si>
  <si>
    <t>NWXC</t>
    <phoneticPr fontId="2"/>
  </si>
  <si>
    <t>ワーキンググループＣＤ</t>
    <phoneticPr fontId="5"/>
  </si>
  <si>
    <t>ワーキンググループ</t>
    <phoneticPr fontId="2"/>
  </si>
  <si>
    <t>ＷＧ</t>
    <phoneticPr fontId="2"/>
  </si>
  <si>
    <t>ＷＧ</t>
    <phoneticPr fontId="2"/>
  </si>
  <si>
    <t>有効成分対象</t>
  </si>
  <si>
    <t>cont_fctr_flg</t>
    <phoneticPr fontId="2"/>
  </si>
  <si>
    <t>itm_nm;itm_typ;itm_typ_nm;itm_typ_d_cd;itm_typ_d_nm;unit_cd;dec_place;cont_fctr_flg;ver_flg;itm_sub2;itm_sub3</t>
    <phoneticPr fontId="2"/>
  </si>
  <si>
    <t>itm_nm;itm_typ;itm_typ_nm;itm_typ_d_cd;itm_typ_d_nm;unit_cd;dec_place;cont_fctr_flg;ver_flg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</si>
  <si>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</si>
  <si>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</si>
  <si>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</si>
  <si>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</si>
  <si>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</si>
  <si>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</si>
  <si>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</si>
  <si>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</si>
  <si>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</si>
  <si>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</si>
  <si>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</si>
  <si>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</si>
  <si>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</si>
  <si>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</si>
  <si>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</si>
  <si>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</si>
  <si>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6"/>
  </si>
  <si>
    <t>FIX</t>
    <phoneticPr fontId="2"/>
  </si>
  <si>
    <t>REF</t>
    <phoneticPr fontId="2"/>
  </si>
  <si>
    <t>o</t>
    <phoneticPr fontId="2"/>
  </si>
  <si>
    <t>000000</t>
    <phoneticPr fontId="2"/>
  </si>
  <si>
    <t>R</t>
    <phoneticPr fontId="2"/>
  </si>
  <si>
    <t>S</t>
    <phoneticPr fontId="2"/>
  </si>
  <si>
    <t>NW</t>
    <phoneticPr fontId="2"/>
  </si>
  <si>
    <t>Srch01_Cnd</t>
    <phoneticPr fontId="2"/>
  </si>
  <si>
    <t>#MA.FLG</t>
    <phoneticPr fontId="2"/>
  </si>
  <si>
    <t>K</t>
    <phoneticPr fontId="2"/>
  </si>
  <si>
    <t>C2A</t>
    <phoneticPr fontId="2"/>
  </si>
  <si>
    <t>#MA.WG_NM</t>
    <phoneticPr fontId="2"/>
  </si>
  <si>
    <t>#MA.ALT_GRP_CD</t>
    <phoneticPr fontId="2"/>
  </si>
  <si>
    <t>#MA.ALT_GRP_NM</t>
    <phoneticPr fontId="2"/>
  </si>
  <si>
    <t>SC</t>
    <phoneticPr fontId="2"/>
  </si>
  <si>
    <t>ENABLE_SRCH</t>
    <phoneticPr fontId="2"/>
  </si>
  <si>
    <t>CI</t>
    <phoneticPr fontId="2"/>
  </si>
  <si>
    <t>MA.MAUAP0010.Itm</t>
    <phoneticPr fontId="2"/>
  </si>
  <si>
    <t>chd_itm_nm;chd_itm_sub1;chd_itm_sub2;chd_itm_sub3</t>
    <phoneticPr fontId="2"/>
  </si>
  <si>
    <t>itm_nm;itm_sub1;itm_sub2;itm_sub3</t>
    <phoneticPr fontId="2"/>
  </si>
  <si>
    <t>MAC_ITM_IS_SRCH_TYP.NOT_ASSET3</t>
    <phoneticPr fontId="2"/>
  </si>
  <si>
    <t>itm_is_srch_typ</t>
    <phoneticPr fontId="2"/>
  </si>
  <si>
    <t>chd_itm_cd</t>
    <phoneticPr fontId="2"/>
  </si>
  <si>
    <t>MA.MAUAP0010.ItmSub1</t>
    <phoneticPr fontId="2"/>
  </si>
  <si>
    <t>chd_itm_nm;chd_itm_sub2;chd_itm_sub3</t>
    <phoneticPr fontId="2"/>
  </si>
  <si>
    <t>MAC_ITM_IS_SRCH_TYP.NOT_ASSET3;chd_itm_cd</t>
    <phoneticPr fontId="2"/>
  </si>
  <si>
    <t>itm_is_srch_typ;itm_cd</t>
    <phoneticPr fontId="2"/>
  </si>
  <si>
    <t>chd_itm_sub1</t>
    <phoneticPr fontId="2"/>
  </si>
  <si>
    <t>MA.MAUAP0010.ItmSub2</t>
    <phoneticPr fontId="2"/>
  </si>
  <si>
    <t>chd_itm_nm;chd_itm_sub3</t>
    <phoneticPr fontId="2"/>
  </si>
  <si>
    <t>MAC_ITM_IS_SRCH_TYP.NOT_ASSET3;chd_itm_cd;chd_itm_sub1</t>
    <phoneticPr fontId="2"/>
  </si>
  <si>
    <t>itm_is_srch_typ;itm_cd;itm_sub1</t>
    <phoneticPr fontId="2"/>
  </si>
  <si>
    <t>chd_itm_sub2</t>
    <phoneticPr fontId="2"/>
  </si>
  <si>
    <t>MA.MAUAP0010.ItmSub3</t>
    <phoneticPr fontId="2"/>
  </si>
  <si>
    <t>chd_itm_nm</t>
    <phoneticPr fontId="2"/>
  </si>
  <si>
    <t>MAC_ITM_IS_SRCH_TYP.NOT_ASSET3;chd_itm_cd;chd_itm_sub1;chd_itm_sub2</t>
    <phoneticPr fontId="2"/>
  </si>
  <si>
    <t>itm_is_srch_typ;itm_cd;itm_sub1;itm_sub2</t>
    <phoneticPr fontId="2"/>
  </si>
  <si>
    <t>chd_itm_sub3</t>
    <phoneticPr fontId="2"/>
  </si>
  <si>
    <t>#MA.MST_MEMO1</t>
    <phoneticPr fontId="2"/>
  </si>
  <si>
    <t>#MA.MST_MEMO3</t>
    <phoneticPr fontId="2"/>
  </si>
  <si>
    <t>NV</t>
    <phoneticPr fontId="2"/>
  </si>
  <si>
    <t>S</t>
    <phoneticPr fontId="6"/>
  </si>
  <si>
    <t>FX.FXBAP0130</t>
    <phoneticPr fontId="6"/>
  </si>
  <si>
    <t>SE</t>
    <phoneticPr fontId="2"/>
  </si>
  <si>
    <t>0,0</t>
    <phoneticPr fontId="2"/>
  </si>
  <si>
    <t>F1</t>
    <phoneticPr fontId="2"/>
  </si>
  <si>
    <t>L</t>
    <phoneticPr fontId="2"/>
  </si>
  <si>
    <t>TBL</t>
    <phoneticPr fontId="2"/>
  </si>
  <si>
    <t>#MA.ALT_ITM_TYP</t>
    <phoneticPr fontId="2"/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</si>
  <si>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</si>
  <si>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</si>
  <si>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</si>
  <si>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</si>
  <si>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</si>
  <si>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#MA.UPD_CNT</t>
    <phoneticPr fontId="2"/>
  </si>
  <si>
    <t>#MA.SRV_REQ_NO</t>
    <phoneticPr fontId="2"/>
  </si>
  <si>
    <t>no_border</t>
    <phoneticPr fontId="2"/>
  </si>
  <si>
    <t>F13</t>
    <phoneticPr fontId="2"/>
  </si>
  <si>
    <t>F14</t>
    <phoneticPr fontId="2"/>
  </si>
  <si>
    <t>INSERT_RECORD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</si>
  <si>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</si>
  <si>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</si>
  <si>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</si>
  <si>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</si>
  <si>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#MA.DT</t>
    <phoneticPr fontId="2"/>
  </si>
  <si>
    <t>F3</t>
    <phoneticPr fontId="2"/>
  </si>
  <si>
    <t>CM</t>
    <phoneticPr fontId="2"/>
  </si>
  <si>
    <t>MA.MAUBP5030.Itm</t>
    <phoneticPr fontId="2"/>
  </si>
  <si>
    <t>REQUIRED</t>
    <phoneticPr fontId="2"/>
  </si>
  <si>
    <t>READ_ONLY</t>
    <phoneticPr fontId="2"/>
  </si>
  <si>
    <t>chd_itm_nm;itm_typ;itm_typ_nm;itm_typ_d_cd;itm_typ_d_nm;unit_cd;dec_place;cont_fctr_flg;ver_flg;chd_itm_sub1;chd_itm_sub2;chd_itm_sub3</t>
    <phoneticPr fontId="2"/>
  </si>
  <si>
    <t>itm_nm;itm_typ;itm_typ_nm;itm_typ_d_cd;itm_typ_d_nm;unit_cd;dec_place;cont_fctr_flg;ver_flg;itm_sub1;itm_sub2;itm_sub3</t>
    <phoneticPr fontId="2"/>
  </si>
  <si>
    <t>chd_itm_nm;itm_typ;itm_typ_nm;itm_typ_d_cd;itm_typ_d_nm;unit_cd;dec_place;cont_fctr_flg;ver_flg;chd_itm_sub2;chd_itm_sub3</t>
    <phoneticPr fontId="2"/>
  </si>
  <si>
    <t>chd_itm_nm;itm_typ;itm_typ_nm;itm_typ_d_cd;itm_typ_d_nm;unit_cd;dec_place;cont_fctr_flg;ver_flg;chd_itm_sub3</t>
    <phoneticPr fontId="2"/>
  </si>
  <si>
    <t>itm_nm;itm_typ;itm_typ_nm;itm_typ_d_cd;itm_typ_d_nm;unit_cd;dec_place;cont_fctr_flg;ver_flg;itm_sub3</t>
    <phoneticPr fontId="2"/>
  </si>
  <si>
    <t>chd_itm_nm;itm_typ;itm_typ_nm;itm_typ_d_cd;itm_typ_d_nm;unit_cd;dec_place;cont_fctr_flg;ver_flg</t>
    <phoneticPr fontId="2"/>
  </si>
  <si>
    <t>#MA.ITM_TYP</t>
    <phoneticPr fontId="2"/>
  </si>
  <si>
    <t>#MA.ITM_TYP_NM</t>
    <phoneticPr fontId="2"/>
  </si>
  <si>
    <t>#MA.ITM_TYP_D_CD</t>
    <phoneticPr fontId="2"/>
  </si>
  <si>
    <t>#MA.ITM_TYP_D_NM</t>
    <phoneticPr fontId="2"/>
  </si>
  <si>
    <t>#MA.UNIT_CD</t>
    <phoneticPr fontId="2"/>
  </si>
  <si>
    <t>CONT_FCTR</t>
    <phoneticPr fontId="2"/>
  </si>
  <si>
    <t>VER_NO</t>
    <phoneticPr fontId="2"/>
  </si>
  <si>
    <t>MA.MAUBP5010.Dt</t>
    <phoneticPr fontId="2"/>
  </si>
  <si>
    <t>#MA.CHD_RATIO</t>
    <phoneticPr fontId="2"/>
  </si>
  <si>
    <t>MA.MAUBP5040.Qty</t>
    <phoneticPr fontId="2"/>
  </si>
  <si>
    <t>#MA.ALT_ITM_RATIO</t>
    <phoneticPr fontId="2"/>
  </si>
  <si>
    <t>#MA.INT</t>
    <phoneticPr fontId="2"/>
  </si>
  <si>
    <t>SW</t>
    <phoneticPr fontId="2"/>
  </si>
  <si>
    <t>upd</t>
    <phoneticPr fontId="2"/>
  </si>
  <si>
    <t>F9</t>
    <phoneticPr fontId="2"/>
  </si>
  <si>
    <t>del</t>
    <phoneticPr fontId="2"/>
  </si>
  <si>
    <t>F12</t>
    <phoneticPr fontId="2"/>
  </si>
  <si>
    <t>ver_no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</si>
  <si>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</si>
  <si>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</si>
  <si>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</si>
  <si>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</si>
  <si>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</si>
  <si>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</si>
  <si>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</si>
  <si>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UPD*</t>
    <phoneticPr fontId="2"/>
  </si>
  <si>
    <t>Logic.Ope.ID</t>
    <phoneticPr fontId="2"/>
  </si>
  <si>
    <t>IME</t>
    <phoneticPr fontId="6"/>
  </si>
  <si>
    <t>Method/Target</t>
    <phoneticPr fontId="2"/>
  </si>
  <si>
    <t>Out</t>
    <phoneticPr fontId="2"/>
  </si>
  <si>
    <t>Version</t>
    <phoneticPr fontId="2"/>
  </si>
  <si>
    <t>Cnd</t>
    <phoneticPr fontId="2"/>
  </si>
  <si>
    <t>Dtl</t>
    <phoneticPr fontId="2"/>
  </si>
  <si>
    <t>radd</t>
    <phoneticPr fontId="2"/>
  </si>
  <si>
    <t>rdel</t>
    <phoneticPr fontId="2"/>
  </si>
  <si>
    <t>rcopy</t>
    <phoneticPr fontId="2"/>
  </si>
  <si>
    <t>itm_typ</t>
    <phoneticPr fontId="2"/>
  </si>
  <si>
    <t>itm_typ_nm</t>
    <phoneticPr fontId="2"/>
  </si>
  <si>
    <t>itm_typ_d_cd</t>
    <phoneticPr fontId="2"/>
  </si>
  <si>
    <t>upd_cmn</t>
    <phoneticPr fontId="2"/>
  </si>
  <si>
    <t>upd_wg</t>
    <phoneticPr fontId="2"/>
  </si>
  <si>
    <t>del_cmn@EastBtn</t>
    <phoneticPr fontId="2"/>
  </si>
  <si>
    <t>del_wg@EastBtn</t>
    <phoneticPr fontId="2"/>
  </si>
  <si>
    <t>詳細 :</t>
    <rPh sb="0" eb="2">
      <t>ショウサイ</t>
    </rPh>
    <phoneticPr fontId="2"/>
  </si>
  <si>
    <t>MABSP0070</t>
  </si>
  <si>
    <t>MABSP_AltItmLst</t>
  </si>
  <si>
    <t>子品目分類ＣＤ１</t>
    <rPh sb="0" eb="1">
      <t>コ</t>
    </rPh>
    <phoneticPr fontId="12"/>
  </si>
  <si>
    <t>子品目分類１</t>
    <rPh sb="0" eb="1">
      <t>コ</t>
    </rPh>
    <phoneticPr fontId="12"/>
  </si>
  <si>
    <t>#MA.ITM_GRP_CD</t>
    <phoneticPr fontId="2"/>
  </si>
  <si>
    <t>MA.MAUAP0010.ItmGrp1</t>
    <phoneticPr fontId="2"/>
  </si>
  <si>
    <t>chd_itm_grp_nm1</t>
    <phoneticPr fontId="2"/>
  </si>
  <si>
    <t>itm_grp_nm</t>
    <phoneticPr fontId="2"/>
  </si>
  <si>
    <t>子品目分類名１</t>
    <rPh sb="0" eb="1">
      <t>コ</t>
    </rPh>
    <phoneticPr fontId="12"/>
  </si>
  <si>
    <t>#MA.ITM_GRP_NM</t>
    <phoneticPr fontId="2"/>
  </si>
  <si>
    <t>子品目分類ＣＤ２</t>
    <rPh sb="0" eb="1">
      <t>コ</t>
    </rPh>
    <phoneticPr fontId="12"/>
  </si>
  <si>
    <t>子品目分類２</t>
    <rPh sb="0" eb="1">
      <t>コ</t>
    </rPh>
    <phoneticPr fontId="12"/>
  </si>
  <si>
    <t>MA.MAUAP0010.ItmGrp2</t>
    <phoneticPr fontId="2"/>
  </si>
  <si>
    <t>chd_itm_grp_nm2</t>
    <phoneticPr fontId="2"/>
  </si>
  <si>
    <t>子品目分類名２</t>
    <rPh sb="0" eb="1">
      <t>コ</t>
    </rPh>
    <phoneticPr fontId="12"/>
  </si>
  <si>
    <t>子品目分類ＣＤ３</t>
    <rPh sb="0" eb="1">
      <t>コ</t>
    </rPh>
    <phoneticPr fontId="12"/>
  </si>
  <si>
    <t>子品目分類３</t>
    <rPh sb="0" eb="1">
      <t>コ</t>
    </rPh>
    <phoneticPr fontId="12"/>
  </si>
  <si>
    <t>MA.MAUAP0010.ItmGrp3</t>
    <phoneticPr fontId="2"/>
  </si>
  <si>
    <t>chd_itm_grp_nm3</t>
    <phoneticPr fontId="2"/>
  </si>
  <si>
    <t>子品目分類名３</t>
    <rPh sb="0" eb="1">
      <t>コ</t>
    </rPh>
    <phoneticPr fontId="12"/>
  </si>
  <si>
    <t>子品目分類ＣＤ４</t>
    <rPh sb="0" eb="1">
      <t>コ</t>
    </rPh>
    <phoneticPr fontId="12"/>
  </si>
  <si>
    <t>子品目分類４</t>
    <rPh sb="0" eb="1">
      <t>コ</t>
    </rPh>
    <phoneticPr fontId="12"/>
  </si>
  <si>
    <t>MA.MAUAP0010.ItmGrp4</t>
    <phoneticPr fontId="2"/>
  </si>
  <si>
    <t>chd_itm_grp_nm4</t>
    <phoneticPr fontId="2"/>
  </si>
  <si>
    <t>子品目分類名４</t>
    <rPh sb="0" eb="1">
      <t>コ</t>
    </rPh>
    <phoneticPr fontId="12"/>
  </si>
  <si>
    <t>子品目分類ＣＤ５</t>
    <rPh sb="0" eb="1">
      <t>コ</t>
    </rPh>
    <phoneticPr fontId="12"/>
  </si>
  <si>
    <t>子品目分類５</t>
    <rPh sb="0" eb="1">
      <t>コ</t>
    </rPh>
    <phoneticPr fontId="12"/>
  </si>
  <si>
    <t>MA.MAUAP0010.ItmGrp5</t>
    <phoneticPr fontId="2"/>
  </si>
  <si>
    <t>chd_itm_grp_nm5</t>
    <phoneticPr fontId="2"/>
  </si>
  <si>
    <t>子品目分類名５</t>
    <rPh sb="0" eb="1">
      <t>コ</t>
    </rPh>
    <phoneticPr fontId="12"/>
  </si>
  <si>
    <t>子品目分類ＣＤ６</t>
    <rPh sb="0" eb="1">
      <t>コ</t>
    </rPh>
    <phoneticPr fontId="12"/>
  </si>
  <si>
    <t>子品目分類６</t>
    <rPh sb="0" eb="1">
      <t>コ</t>
    </rPh>
    <phoneticPr fontId="12"/>
  </si>
  <si>
    <t>MA.MAUAP0010.ItmGrp6</t>
    <phoneticPr fontId="2"/>
  </si>
  <si>
    <t>chd_itm_grp_nm6</t>
    <phoneticPr fontId="2"/>
  </si>
  <si>
    <t>子品目分類名６</t>
    <rPh sb="0" eb="1">
      <t>コ</t>
    </rPh>
    <phoneticPr fontId="12"/>
  </si>
  <si>
    <t>子品目分類ＣＤ７</t>
    <rPh sb="0" eb="1">
      <t>コ</t>
    </rPh>
    <phoneticPr fontId="12"/>
  </si>
  <si>
    <t>子品目分類７</t>
    <rPh sb="0" eb="1">
      <t>コ</t>
    </rPh>
    <phoneticPr fontId="12"/>
  </si>
  <si>
    <t>MA.MAUAP0010.ItmGrp7</t>
    <phoneticPr fontId="2"/>
  </si>
  <si>
    <t>chd_itm_grp_nm7</t>
    <phoneticPr fontId="2"/>
  </si>
  <si>
    <t>子品目分類名７</t>
    <rPh sb="0" eb="1">
      <t>コ</t>
    </rPh>
    <phoneticPr fontId="12"/>
  </si>
  <si>
    <t>子品目分類ＣＤ８</t>
    <rPh sb="0" eb="1">
      <t>コ</t>
    </rPh>
    <phoneticPr fontId="12"/>
  </si>
  <si>
    <t>子品目分類８</t>
    <rPh sb="0" eb="1">
      <t>コ</t>
    </rPh>
    <phoneticPr fontId="12"/>
  </si>
  <si>
    <t>MA.MAUAP0010.ItmGrp8</t>
    <phoneticPr fontId="2"/>
  </si>
  <si>
    <t>chd_itm_grp_nm8</t>
    <phoneticPr fontId="2"/>
  </si>
  <si>
    <t>子品目分類名８</t>
    <rPh sb="0" eb="1">
      <t>コ</t>
    </rPh>
    <phoneticPr fontId="12"/>
  </si>
  <si>
    <t>子品目分類ＣＤ９</t>
    <rPh sb="0" eb="1">
      <t>コ</t>
    </rPh>
    <phoneticPr fontId="12"/>
  </si>
  <si>
    <t>子品目分類９</t>
    <rPh sb="0" eb="1">
      <t>コ</t>
    </rPh>
    <phoneticPr fontId="12"/>
  </si>
  <si>
    <t>MA.MAUAP0010.ItmGrp9</t>
    <phoneticPr fontId="2"/>
  </si>
  <si>
    <t>chd_itm_grp_nm9</t>
    <phoneticPr fontId="2"/>
  </si>
  <si>
    <t>子品目分類名９</t>
    <rPh sb="0" eb="1">
      <t>コ</t>
    </rPh>
    <phoneticPr fontId="12"/>
  </si>
  <si>
    <t>子品目分類ＣＤ１０</t>
    <rPh sb="0" eb="1">
      <t>コ</t>
    </rPh>
    <phoneticPr fontId="12"/>
  </si>
  <si>
    <t>子品目分類１０</t>
    <rPh sb="0" eb="1">
      <t>コ</t>
    </rPh>
    <phoneticPr fontId="12"/>
  </si>
  <si>
    <t>MA.MAUAP0010.ItmGrp10</t>
    <phoneticPr fontId="2"/>
  </si>
  <si>
    <t>chd_itm_grp_nm10</t>
    <phoneticPr fontId="2"/>
  </si>
  <si>
    <t>子品目分類名１０</t>
    <rPh sb="0" eb="1">
      <t>コ</t>
    </rPh>
    <phoneticPr fontId="2"/>
  </si>
  <si>
    <t>chd_itm_grp_cd1@Tab2</t>
  </si>
  <si>
    <t>chd_itm_grp_nm1@Tab2</t>
  </si>
  <si>
    <t>chd_itm_grp_cd2@Tab2</t>
  </si>
  <si>
    <t>chd_itm_grp_nm2@Tab2</t>
  </si>
  <si>
    <t>chd_itm_grp_cd3@Tab2</t>
  </si>
  <si>
    <t>chd_itm_grp_nm3@Tab2</t>
  </si>
  <si>
    <t>chd_itm_grp_cd4@Tab2</t>
  </si>
  <si>
    <t>chd_itm_grp_nm4@Tab2</t>
  </si>
  <si>
    <t>chd_itm_grp_cd5@Tab2</t>
  </si>
  <si>
    <t>chd_itm_grp_nm5@Tab2</t>
  </si>
  <si>
    <t>chd_itm_grp_cd6@Tab2</t>
  </si>
  <si>
    <t>chd_itm_grp_nm6@Tab2</t>
  </si>
  <si>
    <t>chd_itm_grp_cd7@Tab2</t>
  </si>
  <si>
    <t>chd_itm_grp_nm7@Tab2</t>
  </si>
  <si>
    <t>chd_itm_grp_cd8@Tab2</t>
  </si>
  <si>
    <t>chd_itm_grp_nm8@Tab2</t>
  </si>
  <si>
    <t>chd_itm_grp_cd9@Tab2</t>
  </si>
  <si>
    <t>chd_itm_grp_nm9@Tab2</t>
  </si>
  <si>
    <t>chd_itm_grp_cd10@Tab2</t>
  </si>
  <si>
    <t>chd_itm_grp_nm10@Tab2</t>
  </si>
  <si>
    <t>wg_cd@Tab1</t>
    <phoneticPr fontId="2"/>
  </si>
  <si>
    <t>wg_nm@Tab1</t>
    <phoneticPr fontId="2"/>
  </si>
  <si>
    <t>alt_grp_cd@Tab1</t>
    <phoneticPr fontId="2"/>
  </si>
  <si>
    <t>alt_grp_nm@Tab1</t>
    <phoneticPr fontId="2"/>
  </si>
  <si>
    <t>chd_itm_p@Tab1</t>
    <phoneticPr fontId="2"/>
  </si>
  <si>
    <t>memo1@Tab1</t>
    <phoneticPr fontId="2"/>
  </si>
  <si>
    <t>memo2@Tab1</t>
    <phoneticPr fontId="2"/>
  </si>
  <si>
    <t>memo3@Tab1</t>
    <phoneticPr fontId="2"/>
  </si>
  <si>
    <t>del_flg_lab@Tab1</t>
    <phoneticPr fontId="2"/>
  </si>
  <si>
    <t>off_del_flg@Tab1</t>
    <phoneticPr fontId="2"/>
  </si>
  <si>
    <t>on_del_flg@Tab1</t>
    <phoneticPr fontId="2"/>
  </si>
  <si>
    <t>mcframe.clientMAUD.MAUDP1010.MAUDP_RLStEndDupChecker</t>
    <phoneticPr fontId="12"/>
  </si>
  <si>
    <t>mcframe.clientMAUD.MAUDP1010.MAUDP_RLSearcher</t>
    <phoneticPr fontId="2"/>
  </si>
  <si>
    <t>mcframe.clientMAUD.MAUDP1010.MAUDP_RLUpdater</t>
    <phoneticPr fontId="2"/>
  </si>
  <si>
    <t>mcframe.clientMAUD.MAUDP1010.MAUDP_RLDeleter</t>
    <phoneticPr fontId="2"/>
  </si>
  <si>
    <t>CndTab</t>
    <phoneticPr fontId="12"/>
  </si>
  <si>
    <t>TAB</t>
    <phoneticPr fontId="2"/>
  </si>
  <si>
    <t>N</t>
    <phoneticPr fontId="12"/>
  </si>
  <si>
    <t>tab1</t>
  </si>
  <si>
    <t>Tab1</t>
    <phoneticPr fontId="2"/>
  </si>
  <si>
    <t>tab2</t>
    <phoneticPr fontId="12"/>
  </si>
  <si>
    <t>Tab2</t>
    <phoneticPr fontId="12"/>
  </si>
  <si>
    <t>cnd</t>
    <phoneticPr fontId="12"/>
  </si>
  <si>
    <t>Tab1</t>
  </si>
  <si>
    <t>Tab2</t>
  </si>
  <si>
    <t>代替品目マスタ一覧登録</t>
    <rPh sb="0" eb="2">
      <t>ダイタイ</t>
    </rPh>
    <rPh sb="2" eb="4">
      <t>ヒンモク</t>
    </rPh>
    <rPh sb="7" eb="9">
      <t>イチラン</t>
    </rPh>
    <rPh sb="9" eb="11">
      <t>トウロク</t>
    </rPh>
    <phoneticPr fontId="2"/>
  </si>
  <si>
    <t>CBN</t>
    <phoneticPr fontId="2"/>
  </si>
  <si>
    <t>CBC</t>
    <phoneticPr fontId="2"/>
  </si>
  <si>
    <t>子品目分類</t>
    <rPh sb="0" eb="1">
      <t>コ</t>
    </rPh>
    <rPh sb="3" eb="5">
      <t>ブンルイ</t>
    </rPh>
    <phoneticPr fontId="2"/>
  </si>
  <si>
    <t>correct_dup_dt</t>
    <phoneticPr fontId="12"/>
  </si>
  <si>
    <t>重複期間補正</t>
  </si>
  <si>
    <t>F8</t>
    <phoneticPr fontId="2"/>
  </si>
  <si>
    <t>E</t>
    <phoneticPr fontId="12"/>
  </si>
  <si>
    <t>MA.MABSL0070.Sprt01</t>
    <phoneticPr fontId="12"/>
  </si>
  <si>
    <t>dt@Tab1</t>
    <phoneticPr fontId="12"/>
  </si>
  <si>
    <t>MA.MAUBP0020.StEndDt</t>
    <phoneticPr fontId="2"/>
  </si>
  <si>
    <t>ENABLE</t>
    <phoneticPr fontId="2"/>
  </si>
  <si>
    <t>dt.st_dt_fr#</t>
  </si>
  <si>
    <t>st_dt_fr</t>
    <phoneticPr fontId="2"/>
  </si>
  <si>
    <t>dt.st_dt_to#</t>
  </si>
  <si>
    <t>st_dt_to</t>
    <phoneticPr fontId="2"/>
  </si>
  <si>
    <t>dt.end_dt_fr#</t>
  </si>
  <si>
    <t>end_dt_fr</t>
    <phoneticPr fontId="2"/>
  </si>
  <si>
    <t>dt.end_dt_to#</t>
    <phoneticPr fontId="12"/>
  </si>
  <si>
    <t>end_dt_to</t>
    <phoneticPr fontId="2"/>
  </si>
  <si>
    <t>chd_itm_typ_p@Tab1</t>
  </si>
  <si>
    <t>MA.MAUBP0100.ItmTyp</t>
    <phoneticPr fontId="2"/>
  </si>
  <si>
    <t>chd_itm_typ_p.itm_typ#chd_itm_typ</t>
  </si>
  <si>
    <t>子品目区分</t>
    <rPh sb="0" eb="1">
      <t>コ</t>
    </rPh>
    <rPh sb="1" eb="3">
      <t>ヒンモク</t>
    </rPh>
    <rPh sb="3" eb="5">
      <t>クブン</t>
    </rPh>
    <phoneticPr fontId="3"/>
  </si>
  <si>
    <t>chd_itm_typ</t>
    <phoneticPr fontId="2"/>
  </si>
  <si>
    <t>chd_itm_typ_p.itm_typ_nm#chd_itm_typ_nm</t>
  </si>
  <si>
    <t>子品目区分名</t>
    <rPh sb="1" eb="3">
      <t>ヒンモク</t>
    </rPh>
    <rPh sb="3" eb="5">
      <t>クブン</t>
    </rPh>
    <rPh sb="5" eb="6">
      <t>メイ</t>
    </rPh>
    <phoneticPr fontId="3"/>
  </si>
  <si>
    <t>chd_itm_typ_p.itm_typ_d_cd#chd_itm_typ_d_cd</t>
  </si>
  <si>
    <t>子品目区分詳細ＣＤ</t>
    <rPh sb="1" eb="3">
      <t>ヒンモク</t>
    </rPh>
    <rPh sb="3" eb="5">
      <t>クブン</t>
    </rPh>
    <rPh sb="5" eb="7">
      <t>ショウサイ</t>
    </rPh>
    <phoneticPr fontId="3"/>
  </si>
  <si>
    <t>子品目区分詳細</t>
    <rPh sb="1" eb="3">
      <t>ヒンモク</t>
    </rPh>
    <rPh sb="3" eb="5">
      <t>クブン</t>
    </rPh>
    <rPh sb="5" eb="7">
      <t>ショウサイ</t>
    </rPh>
    <phoneticPr fontId="3"/>
  </si>
  <si>
    <t>chd_itm_typ_d_cd</t>
    <phoneticPr fontId="2"/>
  </si>
  <si>
    <t>chd_itm_typ_p.itm_typ_d_nm#chd_itm_typ_d_nm</t>
  </si>
  <si>
    <t>子品目区分詳細名</t>
    <rPh sb="1" eb="3">
      <t>ヒンモク</t>
    </rPh>
    <rPh sb="3" eb="5">
      <t>クブン</t>
    </rPh>
    <rPh sb="5" eb="7">
      <t>ショウサイ</t>
    </rPh>
    <rPh sb="7" eb="8">
      <t>メイ</t>
    </rPh>
    <phoneticPr fontId="3"/>
  </si>
  <si>
    <t>chd_itm_typ_d_nm</t>
    <phoneticPr fontId="2"/>
  </si>
  <si>
    <t>ver_no_p@Tab1</t>
    <phoneticPr fontId="2"/>
  </si>
  <si>
    <t>MA.MAUBP0340.VerNo</t>
    <phoneticPr fontId="2"/>
  </si>
  <si>
    <t>chd_itm_cd;chd_itm_sub1;chd_itm_sub2;chd_itm_sub3</t>
    <phoneticPr fontId="2"/>
  </si>
  <si>
    <t>itm_cd;itm_sub1;itm_sub2;itm_sub3</t>
    <phoneticPr fontId="2"/>
  </si>
  <si>
    <t>alt_grp_nm;alt_itm_typ</t>
    <phoneticPr fontId="2"/>
  </si>
  <si>
    <t>MA.MAUAP0010.AltItmTyp</t>
    <phoneticPr fontId="2"/>
  </si>
  <si>
    <t>MA.MAUAP0010.AltGrpBom</t>
    <phoneticPr fontId="2"/>
  </si>
  <si>
    <t>EastBtn</t>
  </si>
  <si>
    <t>WG</t>
    <phoneticPr fontId="2"/>
  </si>
  <si>
    <t>MA.MAUDP1010</t>
    <phoneticPr fontId="2"/>
  </si>
  <si>
    <t>Srch01_Rslt</t>
    <phoneticPr fontId="2"/>
  </si>
  <si>
    <t>Sprt01_Dtl</t>
    <phoneticPr fontId="2"/>
  </si>
  <si>
    <t>Upd01_Dtl</t>
    <phoneticPr fontId="2"/>
  </si>
  <si>
    <t>Del01_Dtl</t>
    <phoneticPr fontId="2"/>
  </si>
  <si>
    <t>st_dt_key</t>
    <phoneticPr fontId="2"/>
  </si>
  <si>
    <t>end_dt</t>
    <phoneticPr fontId="2"/>
  </si>
  <si>
    <t>fxd_chd_rqmt_qty</t>
    <phoneticPr fontId="2"/>
  </si>
  <si>
    <t>MA.MABSL0070.Upd01</t>
    <phoneticPr fontId="2"/>
  </si>
  <si>
    <t>MA.MABSL0070.Del01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</si>
  <si>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</si>
  <si>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</si>
  <si>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</si>
  <si>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</si>
  <si>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</si>
  <si>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</si>
  <si>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</si>
  <si>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</si>
  <si>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</si>
  <si>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</si>
  <si>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</si>
  <si>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</si>
  <si>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</si>
  <si>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</si>
  <si>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6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</si>
  <si>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</si>
  <si>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</si>
  <si>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</si>
  <si>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</si>
  <si>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</si>
  <si>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</si>
  <si>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</si>
  <si>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</si>
  <si>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</si>
  <si>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To enter</t>
  </si>
  <si>
    <t>Search</t>
  </si>
  <si>
    <t>Child item classification</t>
  </si>
  <si>
    <t>UPD,Create/Modify,0;DEL,Delete (Administrator),1;REF,View,3</t>
  </si>
  <si>
    <t>Common</t>
  </si>
  <si>
    <t>WG</t>
  </si>
  <si>
    <t>WG cd.</t>
  </si>
  <si>
    <t>WG name</t>
  </si>
  <si>
    <t>Alternative group cd.</t>
  </si>
  <si>
    <t>Alternative group name</t>
  </si>
  <si>
    <t>Child item type</t>
  </si>
  <si>
    <t>Child item type name</t>
  </si>
  <si>
    <t>Child item type details cd.</t>
  </si>
  <si>
    <t>Child item type details name</t>
  </si>
  <si>
    <t>Child item cd.</t>
  </si>
  <si>
    <t>Child branch No. 1</t>
  </si>
  <si>
    <t>Child branch No. 2</t>
  </si>
  <si>
    <t>Child branch No. 3</t>
  </si>
  <si>
    <t>Child item name</t>
  </si>
  <si>
    <t>Memo 1</t>
  </si>
  <si>
    <t>Memo 2</t>
  </si>
  <si>
    <t>Memo 3</t>
  </si>
  <si>
    <t>Logical delete</t>
  </si>
  <si>
    <t>Logical delete. Off</t>
  </si>
  <si>
    <t>Logical delete. On</t>
  </si>
  <si>
    <t>Child item classification cd. 1</t>
  </si>
  <si>
    <t>Child item classification name 1</t>
  </si>
  <si>
    <t>Child item classification cd. 2</t>
  </si>
  <si>
    <t>Child item classification name 2</t>
  </si>
  <si>
    <t>Child item classification cd. 3</t>
  </si>
  <si>
    <t>Child item classification name 3</t>
  </si>
  <si>
    <t>Child item classification cd. 4</t>
  </si>
  <si>
    <t>Child item classification name 4</t>
  </si>
  <si>
    <t>Child item classification cd. 5</t>
  </si>
  <si>
    <t>Child item classification name 5</t>
  </si>
  <si>
    <t>Child item classification cd. 6</t>
  </si>
  <si>
    <t>Child item classification name 6</t>
  </si>
  <si>
    <t>Child item classification cd. 7</t>
  </si>
  <si>
    <t>Child item classification name 7</t>
  </si>
  <si>
    <t>Child item classification cd. 8</t>
  </si>
  <si>
    <t>Child item classification name 8</t>
  </si>
  <si>
    <t>Child item classification cd. 9</t>
  </si>
  <si>
    <t>Child item classification name 9</t>
  </si>
  <si>
    <t>Child item classification cd. 10</t>
  </si>
  <si>
    <t>Child item classification name 10</t>
  </si>
  <si>
    <t>Search (Common)</t>
  </si>
  <si>
    <t>Search (WG)</t>
  </si>
  <si>
    <t>Application start date</t>
  </si>
  <si>
    <t>Application end date</t>
  </si>
  <si>
    <t>Applied date update</t>
  </si>
  <si>
    <t>Select</t>
  </si>
  <si>
    <t>Alternative item selection type</t>
  </si>
  <si>
    <t>Alternative item selection type name</t>
  </si>
  <si>
    <t>Item type</t>
  </si>
  <si>
    <t>Item type name</t>
  </si>
  <si>
    <t>Item type details cd.</t>
  </si>
  <si>
    <t>Item type details name</t>
  </si>
  <si>
    <t>Unit cd.</t>
  </si>
  <si>
    <t>Number of decimal places</t>
  </si>
  <si>
    <t>For active ingredient</t>
  </si>
  <si>
    <t>For version control</t>
  </si>
  <si>
    <t>Child item input ratio</t>
  </si>
  <si>
    <t>Child item requirement ratio</t>
  </si>
  <si>
    <t>Child fixed required qty.</t>
  </si>
  <si>
    <t>Alternative item ratio</t>
  </si>
  <si>
    <t>Allocation priority</t>
  </si>
  <si>
    <t>Not costing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</si>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</sst>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9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9" xfId="0" applyFont="1" applyFill="1" applyBorder="1" applyAlignment="1">
      <alignment vertical="top"/>
    </xf>
    <xf numFmtId="0" fontId="8" fillId="2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8" fillId="0" borderId="6" xfId="0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8" fillId="0" borderId="5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8" fillId="0" borderId="4" xfId="0" applyFont="1" applyBorder="1" applyAlignment="1">
      <alignment vertical="top"/>
    </xf>
    <xf numFmtId="0" fontId="8" fillId="2" borderId="34" xfId="0" applyFont="1" applyFill="1" applyBorder="1">
      <alignment vertical="top" wrapText="1"/>
    </xf>
    <xf numFmtId="0" fontId="8" fillId="2" borderId="34" xfId="0" applyFont="1" applyFill="1" applyBorder="1" applyAlignment="1">
      <alignment vertical="top"/>
    </xf>
    <xf numFmtId="0" fontId="8" fillId="2" borderId="35" xfId="0" applyFont="1" applyFill="1" applyBorder="1" applyAlignment="1">
      <alignment vertical="top"/>
    </xf>
    <xf numFmtId="0" fontId="8" fillId="0" borderId="36" xfId="0" applyFont="1" applyBorder="1">
      <alignment vertical="top" wrapText="1"/>
    </xf>
    <xf numFmtId="0" fontId="8" fillId="3" borderId="34" xfId="0" applyFont="1" applyFill="1" applyBorder="1" applyAlignment="1">
      <alignment vertical="top"/>
    </xf>
    <xf numFmtId="0" fontId="8" fillId="0" borderId="10" xfId="0" applyFont="1" applyBorder="1">
      <alignment vertical="top" wrapText="1"/>
    </xf>
    <xf numFmtId="0" fontId="8" fillId="0" borderId="37" xfId="0" applyFont="1" applyBorder="1">
      <alignment vertical="top" wrapText="1"/>
    </xf>
    <xf numFmtId="0" fontId="8" fillId="0" borderId="37" xfId="0" applyFont="1" applyBorder="1" applyAlignment="1">
      <alignment vertical="top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3" borderId="34" xfId="0" applyFont="1" applyFill="1" applyBorder="1">
      <alignment vertical="top" wrapText="1"/>
    </xf>
    <xf numFmtId="0" fontId="8" fillId="0" borderId="34" xfId="0" applyFont="1" applyBorder="1">
      <alignment vertical="top" wrapText="1"/>
    </xf>
    <xf numFmtId="0" fontId="8" fillId="0" borderId="39" xfId="0" applyFont="1" applyBorder="1" applyAlignment="1">
      <alignment vertical="top"/>
    </xf>
    <xf numFmtId="0" fontId="8" fillId="2" borderId="40" xfId="0" applyFont="1" applyFill="1" applyBorder="1" applyAlignment="1">
      <alignment vertical="top"/>
    </xf>
    <xf numFmtId="0" fontId="8" fillId="2" borderId="41" xfId="0" applyFont="1" applyFill="1" applyBorder="1" applyAlignment="1">
      <alignment vertical="top"/>
    </xf>
    <xf numFmtId="0" fontId="8" fillId="0" borderId="42" xfId="0" applyFont="1" applyBorder="1" applyAlignment="1">
      <alignment vertical="top"/>
    </xf>
    <xf numFmtId="0" fontId="8" fillId="3" borderId="40" xfId="0" applyFont="1" applyFill="1" applyBorder="1" applyAlignment="1">
      <alignment vertical="top"/>
    </xf>
    <xf numFmtId="0" fontId="8" fillId="2" borderId="40" xfId="0" applyFont="1" applyFill="1" applyBorder="1">
      <alignment vertical="top" wrapText="1"/>
    </xf>
    <xf numFmtId="0" fontId="8" fillId="0" borderId="10" xfId="0" applyFont="1" applyBorder="1" applyAlignment="1">
      <alignment vertical="top"/>
    </xf>
    <xf numFmtId="0" fontId="8" fillId="0" borderId="43" xfId="0" applyFont="1" applyBorder="1" applyAlignment="1">
      <alignment vertical="top"/>
    </xf>
    <xf numFmtId="0" fontId="8" fillId="2" borderId="37" xfId="0" applyFont="1" applyFill="1" applyBorder="1">
      <alignment vertical="top" wrapText="1"/>
    </xf>
    <xf numFmtId="0" fontId="8" fillId="2" borderId="4" xfId="0" applyFont="1" applyFill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0" borderId="32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35" xfId="0" applyFont="1" applyBorder="1">
      <alignment vertical="top" wrapText="1"/>
    </xf>
    <xf numFmtId="3" fontId="8" fillId="2" borderId="34" xfId="0" applyNumberFormat="1" applyFont="1" applyFill="1" applyBorder="1">
      <alignment vertical="top" wrapText="1"/>
    </xf>
    <xf numFmtId="0" fontId="8" fillId="0" borderId="4" xfId="0" applyFont="1" applyBorder="1">
      <alignment vertical="top" wrapText="1"/>
    </xf>
    <xf numFmtId="0" fontId="8" fillId="0" borderId="5" xfId="0" applyFont="1" applyBorder="1">
      <alignment vertical="top" wrapText="1"/>
    </xf>
    <xf numFmtId="0" fontId="8" fillId="2" borderId="9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0" borderId="9" xfId="0" applyFont="1" applyBorder="1">
      <alignment vertical="top" wrapText="1"/>
    </xf>
    <xf numFmtId="0" fontId="8" fillId="2" borderId="11" xfId="0" applyFont="1" applyFill="1" applyBorder="1">
      <alignment vertical="top" wrapText="1"/>
    </xf>
    <xf numFmtId="0" fontId="8" fillId="0" borderId="33" xfId="0" applyFont="1" applyBorder="1">
      <alignment vertical="top" wrapText="1"/>
    </xf>
    <xf numFmtId="0" fontId="8" fillId="3" borderId="5" xfId="0" applyFont="1" applyFill="1" applyBorder="1">
      <alignment vertical="top" wrapText="1"/>
    </xf>
    <xf numFmtId="0" fontId="8" fillId="0" borderId="38" xfId="0" applyFont="1" applyBorder="1">
      <alignment vertical="top" wrapText="1"/>
    </xf>
    <xf numFmtId="0" fontId="8" fillId="0" borderId="13" xfId="0" applyFont="1" applyBorder="1">
      <alignment vertical="top" wrapText="1"/>
    </xf>
    <xf numFmtId="0" fontId="8" fillId="0" borderId="43" xfId="0" applyFont="1" applyBorder="1">
      <alignment vertical="top" wrapText="1"/>
    </xf>
    <xf numFmtId="0" fontId="8" fillId="0" borderId="42" xfId="0" applyFont="1" applyBorder="1">
      <alignment vertical="top" wrapText="1"/>
    </xf>
    <xf numFmtId="0" fontId="8" fillId="4" borderId="34" xfId="0" applyFont="1" applyFill="1" applyBorder="1">
      <alignment vertical="top" wrapText="1"/>
    </xf>
    <xf numFmtId="0" fontId="8" fillId="0" borderId="8" xfId="0" applyFont="1" applyBorder="1">
      <alignment vertical="top" wrapText="1"/>
    </xf>
    <xf numFmtId="0" fontId="8" fillId="0" borderId="6" xfId="0" applyFont="1" applyBorder="1">
      <alignment vertical="top" wrapText="1"/>
    </xf>
    <xf numFmtId="0" fontId="9" fillId="3" borderId="18" xfId="0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1" fillId="3" borderId="20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77" fontId="10" fillId="0" borderId="14" xfId="0" applyNumberFormat="1" applyFont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177" fontId="10" fillId="0" borderId="8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177" fontId="10" fillId="0" borderId="15" xfId="0" applyNumberFormat="1" applyFont="1" applyBorder="1" applyAlignment="1">
      <alignment horizontal="center" vertical="center"/>
    </xf>
    <xf numFmtId="177" fontId="10" fillId="0" borderId="16" xfId="0" applyNumberFormat="1" applyFont="1" applyBorder="1" applyAlignment="1">
      <alignment horizontal="center" vertical="center"/>
    </xf>
    <xf numFmtId="177" fontId="10" fillId="0" borderId="17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25" xfId="0" applyFont="1" applyBorder="1" applyAlignment="1">
      <alignment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27" xfId="0" applyFont="1" applyBorder="1" applyAlignment="1">
      <alignment horizontal="left"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11" fillId="3" borderId="30" xfId="0" applyFont="1" applyFill="1" applyBorder="1" applyAlignment="1">
      <alignment horizontal="center" vertical="center"/>
    </xf>
    <xf numFmtId="177" fontId="10" fillId="0" borderId="31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177" fontId="10" fillId="0" borderId="28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0" fontId="10" fillId="0" borderId="25" xfId="0" applyFont="1" applyBorder="1" applyAlignment="1">
      <alignment vertical="center"/>
    </xf>
    <xf numFmtId="0" fontId="8" fillId="0" borderId="7" xfId="0" applyFont="1" applyBorder="1">
      <alignment vertical="top" wrapText="1"/>
    </xf>
    <xf numFmtId="0" fontId="8" fillId="0" borderId="43" xfId="0" applyFont="1" applyBorder="1">
      <alignment vertical="top" wrapText="1"/>
    </xf>
    <xf numFmtId="0" fontId="8" fillId="0" borderId="41" xfId="0" applyFont="1" applyBorder="1">
      <alignment vertical="top" wrapText="1"/>
    </xf>
    <xf numFmtId="0" fontId="8" fillId="0" borderId="34" xfId="0" applyFont="1" applyBorder="1">
      <alignment vertical="top" wrapText="1"/>
    </xf>
    <xf numFmtId="0" fontId="8" fillId="3" borderId="5" xfId="0" applyFont="1" applyFill="1" applyBorder="1">
      <alignment vertical="top" wrapText="1"/>
    </xf>
    <xf numFmtId="0" fontId="8" fillId="0" borderId="35" xfId="0" applyFont="1" applyBorder="1">
      <alignment vertical="top" wrapText="1"/>
    </xf>
    <xf numFmtId="0" fontId="8" fillId="2" borderId="7" xfId="0" applyFont="1" applyFill="1" applyBorder="1">
      <alignment vertical="top" wrapText="1"/>
    </xf>
    <xf numFmtId="0" fontId="8" fillId="2" borderId="35" xfId="0" applyFont="1" applyFill="1" applyBorder="1">
      <alignment vertical="top" wrapText="1"/>
    </xf>
    <xf numFmtId="0" fontId="8" fillId="2" borderId="34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F000000}"/>
    <cellStyle name="桁区切り" xfId="3" builtinId="6" hidden="1"/>
    <cellStyle name="通貨" xfId="4" builtinId="7" hidden="1"/>
    <cellStyle name="標準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P168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25.63281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6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21.453125" style="4" customWidth="1"/>
    <col min="20" max="20" width="13.6328125" style="4" customWidth="1"/>
    <col min="21" max="21" width="24" style="4" customWidth="1"/>
    <col min="22" max="22" width="19.6328125" style="4" customWidth="1"/>
    <col min="23" max="23" width="16.6328125" style="4" customWidth="1"/>
    <col min="24" max="24" width="9.453125" style="4" bestFit="1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7.1796875" style="4" bestFit="1" customWidth="1"/>
    <col min="34" max="34" width="43.90625" style="4" bestFit="1" customWidth="1"/>
    <col min="35" max="35" width="13.90625" style="4" bestFit="1" customWidth="1"/>
    <col min="36" max="36" width="42.81640625" style="4" bestFit="1" customWidth="1"/>
    <col min="37" max="37" width="13.90625" style="4" bestFit="1" customWidth="1"/>
    <col min="38" max="38" width="41.453125" style="4" customWidth="1"/>
    <col min="39" max="39" width="13.90625" style="4" bestFit="1" customWidth="1"/>
    <col min="40" max="40" width="9.453125" style="4" bestFit="1" customWidth="1"/>
    <col min="41" max="41" width="30.81640625" style="4" customWidth="1"/>
    <col min="42" max="42" width="15.81640625" style="4" customWidth="1"/>
    <col min="43" max="16384" width="9" style="4"/>
  </cols>
  <sheetData>
    <row r="1" spans="1:42" s="1" customFormat="1" x14ac:dyDescent="0.2">
      <c r="A1" s="31" t="s">
        <v>11</v>
      </c>
      <c r="B1" s="31" t="s">
        <v>11</v>
      </c>
      <c r="C1" s="31"/>
      <c r="D1" s="16" t="s">
        <v>208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2" s="1" customFormat="1" ht="40" customHeight="1" x14ac:dyDescent="0.2">
      <c r="A2" s="32" t="s">
        <v>11</v>
      </c>
      <c r="B2" s="33"/>
      <c r="C2" s="33"/>
      <c r="D2" s="34" t="s">
        <v>497</v>
      </c>
      <c r="E2" s="22" t="s">
        <v>209</v>
      </c>
      <c r="F2" s="10" t="str">
        <f>LEFT(I2,2)</f>
        <v>MA</v>
      </c>
      <c r="G2" s="100" t="s">
        <v>210</v>
      </c>
      <c r="H2" s="105"/>
      <c r="I2" s="106" t="s">
        <v>344</v>
      </c>
      <c r="J2" s="107"/>
      <c r="K2" s="103" t="s">
        <v>211</v>
      </c>
      <c r="L2" s="103"/>
      <c r="M2" s="103"/>
      <c r="N2" s="103"/>
      <c r="O2" s="100"/>
      <c r="P2" s="36"/>
      <c r="Q2" s="10" t="s">
        <v>318</v>
      </c>
      <c r="R2" s="22" t="s">
        <v>212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4"/>
    </row>
    <row r="3" spans="1:42" s="1" customFormat="1" ht="13.5" customHeight="1" x14ac:dyDescent="0.2">
      <c r="A3" s="40" t="s">
        <v>11</v>
      </c>
      <c r="B3" s="41"/>
      <c r="C3" s="41"/>
      <c r="E3" s="22" t="s">
        <v>213</v>
      </c>
      <c r="F3" s="10" t="str">
        <f>LEFT(I2,4)</f>
        <v>MABS</v>
      </c>
      <c r="G3" s="100" t="s">
        <v>214</v>
      </c>
      <c r="H3" s="105"/>
      <c r="I3" s="106" t="s">
        <v>345</v>
      </c>
      <c r="J3" s="107"/>
      <c r="K3" s="103" t="s">
        <v>215</v>
      </c>
      <c r="L3" s="103"/>
      <c r="M3" s="103"/>
      <c r="N3" s="103"/>
      <c r="O3" s="100"/>
      <c r="P3" s="36"/>
      <c r="Q3" s="10"/>
      <c r="R3" s="22" t="s">
        <v>216</v>
      </c>
      <c r="S3" s="10" t="s">
        <v>319</v>
      </c>
      <c r="T3" s="10"/>
      <c r="AP3" s="15"/>
    </row>
    <row r="4" spans="1:42" s="1" customFormat="1" ht="13.5" customHeight="1" x14ac:dyDescent="0.2">
      <c r="A4" s="40" t="s">
        <v>11</v>
      </c>
      <c r="B4" s="41"/>
      <c r="C4" s="41"/>
      <c r="D4" s="15"/>
      <c r="E4" s="22" t="s">
        <v>217</v>
      </c>
      <c r="F4" s="10" t="s">
        <v>12</v>
      </c>
      <c r="G4" s="100" t="s">
        <v>218</v>
      </c>
      <c r="H4" s="105"/>
      <c r="I4" s="106" t="s">
        <v>444</v>
      </c>
      <c r="J4" s="107"/>
      <c r="K4" s="103" t="s">
        <v>219</v>
      </c>
      <c r="L4" s="103"/>
      <c r="M4" s="103"/>
      <c r="N4" s="103"/>
      <c r="O4" s="100"/>
      <c r="P4" s="36"/>
      <c r="Q4" s="10" t="s">
        <v>487</v>
      </c>
      <c r="R4" s="22"/>
      <c r="S4" s="22"/>
      <c r="T4" s="42"/>
      <c r="AP4" s="15"/>
    </row>
    <row r="5" spans="1:42" s="1" customFormat="1" x14ac:dyDescent="0.2">
      <c r="A5" s="43" t="s">
        <v>11</v>
      </c>
      <c r="B5" s="31"/>
      <c r="C5" s="31"/>
      <c r="D5" s="44"/>
      <c r="E5" s="22" t="s">
        <v>220</v>
      </c>
      <c r="F5" s="10" t="s">
        <v>1</v>
      </c>
      <c r="G5" s="100" t="s">
        <v>221</v>
      </c>
      <c r="H5" s="105"/>
      <c r="I5" s="108"/>
      <c r="J5" s="108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44"/>
    </row>
    <row r="6" spans="1:42" s="1" customFormat="1" ht="13.5" customHeight="1" x14ac:dyDescent="0.2">
      <c r="A6" s="40" t="s">
        <v>11</v>
      </c>
      <c r="B6" s="41"/>
      <c r="C6" s="41"/>
      <c r="D6" s="1" t="s">
        <v>222</v>
      </c>
      <c r="E6" s="104" t="s">
        <v>112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5"/>
      <c r="Q6" s="39"/>
      <c r="R6" s="39"/>
      <c r="S6" s="39"/>
      <c r="AC6" s="16"/>
      <c r="AD6" s="16"/>
      <c r="AE6" s="16"/>
      <c r="AF6" s="16"/>
      <c r="AG6" s="16"/>
      <c r="AH6" s="16"/>
      <c r="AI6" s="16"/>
      <c r="AJ6" s="16"/>
      <c r="AL6" s="15"/>
      <c r="AP6" s="46"/>
    </row>
    <row r="7" spans="1:42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223</v>
      </c>
      <c r="V7" s="10" t="s">
        <v>223</v>
      </c>
      <c r="W7" s="10" t="s">
        <v>223</v>
      </c>
      <c r="X7" s="10" t="s">
        <v>223</v>
      </c>
      <c r="Y7" s="5"/>
      <c r="Z7" s="10" t="s">
        <v>14</v>
      </c>
      <c r="AA7" s="10" t="s">
        <v>14</v>
      </c>
      <c r="AB7" s="10" t="s">
        <v>14</v>
      </c>
      <c r="AC7" s="10" t="s">
        <v>14</v>
      </c>
      <c r="AD7" s="6"/>
      <c r="AE7" s="22" t="s">
        <v>226</v>
      </c>
      <c r="AF7" s="10" t="s">
        <v>431</v>
      </c>
      <c r="AG7" s="22" t="s">
        <v>226</v>
      </c>
      <c r="AH7" s="10" t="s">
        <v>430</v>
      </c>
      <c r="AI7" s="22" t="s">
        <v>226</v>
      </c>
      <c r="AJ7" s="10" t="s">
        <v>432</v>
      </c>
      <c r="AK7" s="22" t="s">
        <v>226</v>
      </c>
      <c r="AL7" s="10" t="s">
        <v>433</v>
      </c>
      <c r="AM7" s="22" t="s">
        <v>226</v>
      </c>
      <c r="AN7" s="10"/>
      <c r="AO7" s="4"/>
      <c r="AP7" s="23"/>
    </row>
    <row r="8" spans="1:42" s="1" customFormat="1" ht="60" customHeight="1" x14ac:dyDescent="0.2">
      <c r="A8" s="10" t="s">
        <v>13</v>
      </c>
      <c r="B8" s="10"/>
      <c r="C8" s="10"/>
      <c r="D8" s="22" t="s">
        <v>498</v>
      </c>
      <c r="E8" s="22" t="s">
        <v>320</v>
      </c>
      <c r="F8" s="22" t="s">
        <v>499</v>
      </c>
      <c r="G8" s="13" t="s">
        <v>500</v>
      </c>
      <c r="H8" s="22"/>
      <c r="I8" s="22" t="s">
        <v>501</v>
      </c>
      <c r="J8" s="22" t="s">
        <v>502</v>
      </c>
      <c r="K8" s="22" t="s">
        <v>503</v>
      </c>
      <c r="L8" s="22" t="s">
        <v>504</v>
      </c>
      <c r="M8" s="22" t="s">
        <v>321</v>
      </c>
      <c r="N8" s="22" t="s">
        <v>322</v>
      </c>
      <c r="O8" s="22" t="s">
        <v>323</v>
      </c>
      <c r="P8" s="22" t="s">
        <v>324</v>
      </c>
      <c r="Q8" s="100" t="s">
        <v>505</v>
      </c>
      <c r="R8" s="101"/>
      <c r="S8" s="102"/>
      <c r="T8" s="38" t="s">
        <v>506</v>
      </c>
      <c r="U8" s="10" t="s">
        <v>86</v>
      </c>
      <c r="V8" s="10" t="s">
        <v>115</v>
      </c>
      <c r="W8" s="10" t="s">
        <v>116</v>
      </c>
      <c r="X8" s="10" t="s">
        <v>180</v>
      </c>
      <c r="Y8" s="5"/>
      <c r="Z8" s="10" t="s">
        <v>325</v>
      </c>
      <c r="AA8" s="10" t="s">
        <v>224</v>
      </c>
      <c r="AB8" s="10" t="s">
        <v>67</v>
      </c>
      <c r="AC8" s="10" t="s">
        <v>225</v>
      </c>
      <c r="AD8" s="5"/>
      <c r="AE8" s="22" t="s">
        <v>326</v>
      </c>
      <c r="AF8" s="10" t="str">
        <f>F2&amp;"."&amp;F3&amp;"L"&amp;RIGHT(I2,4)&amp;".Srch01"</f>
        <v>MA.MABSL0070.Srch01</v>
      </c>
      <c r="AG8" s="22" t="s">
        <v>326</v>
      </c>
      <c r="AH8" s="10" t="str">
        <f>F2&amp;"."&amp;F3&amp;"L"&amp;RIGHT(I2,4)&amp;".Sprt01"</f>
        <v>MA.MABSL0070.Sprt01</v>
      </c>
      <c r="AI8" s="22" t="s">
        <v>326</v>
      </c>
      <c r="AJ8" s="10" t="str">
        <f>F2&amp;"."&amp;F3&amp;"L"&amp;RIGHT(I2,4)&amp;".Upd01"</f>
        <v>MA.MABSL0070.Upd01</v>
      </c>
      <c r="AK8" s="22" t="s">
        <v>326</v>
      </c>
      <c r="AL8" s="10" t="str">
        <f>F2&amp;"."&amp;F3&amp;"L"&amp;RIGHT(I2,4)&amp;".Del01"</f>
        <v>MA.MABSL0070.Del01</v>
      </c>
      <c r="AM8" s="22" t="s">
        <v>326</v>
      </c>
      <c r="AN8" s="10"/>
      <c r="AO8" s="6"/>
      <c r="AP8" s="52" t="s">
        <v>518</v>
      </c>
    </row>
    <row r="9" spans="1:42" s="1" customFormat="1" ht="60" customHeight="1" x14ac:dyDescent="0.2">
      <c r="A9" s="10" t="s">
        <v>13</v>
      </c>
      <c r="B9" s="10"/>
      <c r="C9" s="10"/>
      <c r="D9" s="22" t="s">
        <v>507</v>
      </c>
      <c r="E9" s="13" t="s">
        <v>508</v>
      </c>
      <c r="F9" s="35" t="s">
        <v>509</v>
      </c>
      <c r="G9" s="35" t="s">
        <v>510</v>
      </c>
      <c r="H9" s="35" t="s">
        <v>511</v>
      </c>
      <c r="I9" s="22" t="s">
        <v>512</v>
      </c>
      <c r="J9" s="35" t="s">
        <v>327</v>
      </c>
      <c r="K9" s="35" t="s">
        <v>513</v>
      </c>
      <c r="L9" s="22" t="s">
        <v>514</v>
      </c>
      <c r="M9" s="22" t="s">
        <v>515</v>
      </c>
      <c r="N9" s="22" t="s">
        <v>516</v>
      </c>
      <c r="O9" s="22" t="s">
        <v>131</v>
      </c>
      <c r="P9" s="22" t="s">
        <v>324</v>
      </c>
      <c r="Q9" s="22" t="s">
        <v>328</v>
      </c>
      <c r="R9" s="22" t="s">
        <v>207</v>
      </c>
      <c r="S9" s="22" t="s">
        <v>329</v>
      </c>
      <c r="T9" s="47"/>
      <c r="U9" s="4"/>
      <c r="V9" s="4"/>
      <c r="W9" s="4"/>
      <c r="X9" s="4"/>
      <c r="Y9" s="4"/>
      <c r="Z9" s="7"/>
      <c r="AA9" s="7"/>
      <c r="AB9" s="4"/>
      <c r="AC9" s="7"/>
      <c r="AD9" s="4"/>
      <c r="AE9" s="22" t="s">
        <v>330</v>
      </c>
      <c r="AF9" s="10" t="s">
        <v>227</v>
      </c>
      <c r="AG9" s="22" t="s">
        <v>330</v>
      </c>
      <c r="AH9" s="10" t="s">
        <v>227</v>
      </c>
      <c r="AI9" s="22" t="s">
        <v>330</v>
      </c>
      <c r="AJ9" s="10" t="s">
        <v>227</v>
      </c>
      <c r="AK9" s="22" t="s">
        <v>330</v>
      </c>
      <c r="AL9" s="10" t="s">
        <v>227</v>
      </c>
      <c r="AM9" s="22" t="s">
        <v>330</v>
      </c>
      <c r="AN9" s="10"/>
      <c r="AO9" s="51" t="s">
        <v>517</v>
      </c>
      <c r="AP9" s="52" t="s">
        <v>519</v>
      </c>
    </row>
    <row r="10" spans="1:42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22" t="s">
        <v>611</v>
      </c>
      <c r="AF10" s="22" t="s">
        <v>612</v>
      </c>
      <c r="AG10" s="22" t="s">
        <v>611</v>
      </c>
      <c r="AH10" s="22" t="s">
        <v>612</v>
      </c>
      <c r="AI10" s="22" t="s">
        <v>611</v>
      </c>
      <c r="AJ10" s="22" t="s">
        <v>612</v>
      </c>
      <c r="AK10" s="22" t="s">
        <v>611</v>
      </c>
      <c r="AL10" s="22" t="s">
        <v>612</v>
      </c>
      <c r="AM10" s="22" t="s">
        <v>611</v>
      </c>
      <c r="AN10" s="22" t="s">
        <v>612</v>
      </c>
      <c r="AO10" s="9"/>
      <c r="AP10" s="8"/>
    </row>
    <row r="11" spans="1:42" s="1" customFormat="1" ht="26" x14ac:dyDescent="0.2">
      <c r="A11" s="28">
        <v>10</v>
      </c>
      <c r="B11" s="24" t="s">
        <v>0</v>
      </c>
      <c r="C11" s="24"/>
      <c r="D11" s="24" t="s">
        <v>81</v>
      </c>
      <c r="E11" s="25"/>
      <c r="F11" s="24"/>
      <c r="G11" s="24" t="s">
        <v>82</v>
      </c>
      <c r="H11" s="24"/>
      <c r="I11" s="24" t="s">
        <v>228</v>
      </c>
      <c r="J11" s="28" t="s">
        <v>520</v>
      </c>
      <c r="K11" s="24" t="s">
        <v>15</v>
      </c>
      <c r="L11" s="24" t="s">
        <v>229</v>
      </c>
      <c r="M11" s="24" t="s">
        <v>230</v>
      </c>
      <c r="N11" s="24" t="s">
        <v>54</v>
      </c>
      <c r="O11" s="24"/>
      <c r="P11" s="24"/>
      <c r="Q11" s="30"/>
      <c r="R11" s="30"/>
      <c r="S11" s="30"/>
      <c r="T11" s="30"/>
      <c r="U11" s="30"/>
      <c r="V11" s="30"/>
      <c r="W11" s="30"/>
      <c r="X11" s="30"/>
      <c r="Y11" s="48"/>
      <c r="Z11" s="30"/>
      <c r="AA11" s="30"/>
      <c r="AB11" s="30"/>
      <c r="AC11" s="30"/>
      <c r="AD11" s="4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48"/>
      <c r="AP11" s="27"/>
    </row>
    <row r="12" spans="1:42" s="1" customFormat="1" ht="52" x14ac:dyDescent="0.2">
      <c r="A12" s="40"/>
      <c r="AE12" s="22" t="s">
        <v>611</v>
      </c>
      <c r="AF12" s="22" t="s">
        <v>612</v>
      </c>
      <c r="AG12" s="22" t="s">
        <v>611</v>
      </c>
      <c r="AH12" s="22" t="s">
        <v>612</v>
      </c>
      <c r="AI12" s="22" t="s">
        <v>611</v>
      </c>
      <c r="AJ12" s="22" t="s">
        <v>612</v>
      </c>
      <c r="AK12" s="22" t="s">
        <v>611</v>
      </c>
      <c r="AL12" s="22" t="s">
        <v>612</v>
      </c>
      <c r="AM12" s="22" t="s">
        <v>611</v>
      </c>
      <c r="AN12" s="22" t="s">
        <v>612</v>
      </c>
      <c r="AP12" s="15"/>
    </row>
    <row r="13" spans="1:42" s="1" customFormat="1" x14ac:dyDescent="0.2">
      <c r="A13" s="28">
        <v>20</v>
      </c>
      <c r="B13" s="24" t="s">
        <v>0</v>
      </c>
      <c r="C13" s="24"/>
      <c r="D13" s="24" t="s">
        <v>182</v>
      </c>
      <c r="E13" s="25"/>
      <c r="F13" s="24"/>
      <c r="G13" s="24" t="s">
        <v>183</v>
      </c>
      <c r="H13" s="24"/>
      <c r="I13" s="24" t="s">
        <v>228</v>
      </c>
      <c r="J13" s="28" t="s">
        <v>521</v>
      </c>
      <c r="K13" s="24" t="s">
        <v>15</v>
      </c>
      <c r="L13" s="24" t="s">
        <v>229</v>
      </c>
      <c r="M13" s="24" t="s">
        <v>198</v>
      </c>
      <c r="N13" s="24" t="s">
        <v>54</v>
      </c>
      <c r="O13" s="28"/>
      <c r="P13" s="24"/>
      <c r="Q13" s="26"/>
      <c r="R13" s="26"/>
      <c r="S13" s="26"/>
      <c r="T13" s="26"/>
      <c r="U13" s="26"/>
      <c r="V13" s="26"/>
      <c r="W13" s="26"/>
      <c r="X13" s="26"/>
      <c r="Y13" s="49"/>
      <c r="Z13" s="26"/>
      <c r="AA13" s="26"/>
      <c r="AB13" s="26"/>
      <c r="AC13" s="26"/>
      <c r="AD13" s="49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49"/>
      <c r="AP13" s="27"/>
    </row>
    <row r="14" spans="1:42" s="1" customFormat="1" ht="52" x14ac:dyDescent="0.2">
      <c r="A14" s="40"/>
      <c r="AE14" s="22" t="s">
        <v>611</v>
      </c>
      <c r="AF14" s="22" t="s">
        <v>612</v>
      </c>
      <c r="AG14" s="22" t="s">
        <v>611</v>
      </c>
      <c r="AH14" s="22" t="s">
        <v>612</v>
      </c>
      <c r="AI14" s="22" t="s">
        <v>611</v>
      </c>
      <c r="AJ14" s="22" t="s">
        <v>612</v>
      </c>
      <c r="AK14" s="22" t="s">
        <v>611</v>
      </c>
      <c r="AL14" s="22" t="s">
        <v>612</v>
      </c>
      <c r="AM14" s="22" t="s">
        <v>611</v>
      </c>
      <c r="AN14" s="22" t="s">
        <v>612</v>
      </c>
      <c r="AP14" s="15"/>
    </row>
    <row r="15" spans="1:42" s="1" customFormat="1" ht="26" x14ac:dyDescent="0.2">
      <c r="A15" s="10">
        <v>30</v>
      </c>
      <c r="B15" s="11" t="s">
        <v>0</v>
      </c>
      <c r="C15" s="11"/>
      <c r="D15" s="11" t="s">
        <v>95</v>
      </c>
      <c r="E15" s="12"/>
      <c r="F15" s="11"/>
      <c r="G15" s="11"/>
      <c r="H15" s="11"/>
      <c r="I15" s="11" t="s">
        <v>228</v>
      </c>
      <c r="J15" s="11"/>
      <c r="K15" s="11" t="s">
        <v>15</v>
      </c>
      <c r="L15" s="11"/>
      <c r="M15" s="11" t="s">
        <v>96</v>
      </c>
      <c r="N15" s="11"/>
      <c r="O15" s="10" t="s">
        <v>97</v>
      </c>
      <c r="P15" s="11"/>
      <c r="Q15" s="17"/>
      <c r="R15" s="17"/>
      <c r="S15" s="17"/>
      <c r="T15" s="17"/>
      <c r="U15" s="17"/>
      <c r="V15" s="17"/>
      <c r="W15" s="17"/>
      <c r="X15" s="17"/>
      <c r="Y15" s="16"/>
      <c r="Z15" s="17"/>
      <c r="AA15" s="17"/>
      <c r="AB15" s="17"/>
      <c r="AC15" s="17"/>
      <c r="AD15" s="16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6"/>
      <c r="AP15" s="14"/>
    </row>
    <row r="16" spans="1:42" s="1" customFormat="1" x14ac:dyDescent="0.2">
      <c r="A16" s="10">
        <v>30</v>
      </c>
      <c r="B16" s="10"/>
      <c r="C16" s="10"/>
      <c r="D16" s="10" t="s">
        <v>98</v>
      </c>
      <c r="E16" s="21"/>
      <c r="F16" s="10"/>
      <c r="G16" s="10"/>
      <c r="H16" s="10"/>
      <c r="I16" s="10"/>
      <c r="J16" s="10"/>
      <c r="K16" s="10" t="s">
        <v>74</v>
      </c>
      <c r="L16" s="10"/>
      <c r="M16" s="10"/>
      <c r="N16" s="10"/>
      <c r="O16" s="10" t="s">
        <v>99</v>
      </c>
      <c r="P16" s="10"/>
      <c r="Q16" s="10"/>
      <c r="R16" s="10"/>
      <c r="S16" s="10"/>
      <c r="T16" s="10"/>
      <c r="U16" s="10"/>
      <c r="V16" s="10"/>
      <c r="W16" s="10"/>
      <c r="X16" s="10"/>
      <c r="Z16" s="10"/>
      <c r="AA16" s="10"/>
      <c r="AB16" s="10"/>
      <c r="AC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P16" s="14"/>
    </row>
    <row r="17" spans="1:42" s="1" customFormat="1" x14ac:dyDescent="0.2">
      <c r="A17" s="10">
        <v>30</v>
      </c>
      <c r="B17" s="10"/>
      <c r="C17" s="10"/>
      <c r="D17" s="10" t="s">
        <v>100</v>
      </c>
      <c r="E17" s="21"/>
      <c r="F17" s="10"/>
      <c r="G17" s="10"/>
      <c r="H17" s="10"/>
      <c r="I17" s="10"/>
      <c r="J17" s="10"/>
      <c r="K17" s="10" t="s">
        <v>74</v>
      </c>
      <c r="L17" s="10"/>
      <c r="M17" s="10"/>
      <c r="N17" s="10"/>
      <c r="O17" s="10" t="s">
        <v>101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P17" s="14"/>
    </row>
    <row r="18" spans="1:42" s="1" customFormat="1" ht="52" x14ac:dyDescent="0.2">
      <c r="A18" s="40"/>
      <c r="AE18" s="22"/>
      <c r="AF18" s="22" t="s">
        <v>611</v>
      </c>
      <c r="AG18" s="22"/>
      <c r="AH18" s="22" t="s">
        <v>611</v>
      </c>
      <c r="AI18" s="22" t="s">
        <v>612</v>
      </c>
      <c r="AJ18" s="22" t="s">
        <v>611</v>
      </c>
      <c r="AK18" s="22" t="s">
        <v>612</v>
      </c>
      <c r="AL18" s="22" t="s">
        <v>611</v>
      </c>
      <c r="AM18" s="22" t="s">
        <v>612</v>
      </c>
      <c r="AN18" s="22" t="s">
        <v>611</v>
      </c>
      <c r="AP18" s="15"/>
    </row>
    <row r="19" spans="1:42" s="1" customFormat="1" x14ac:dyDescent="0.2">
      <c r="A19" s="10">
        <v>40</v>
      </c>
      <c r="B19" s="11" t="s">
        <v>0</v>
      </c>
      <c r="C19" s="11"/>
      <c r="D19" s="11" t="s">
        <v>99</v>
      </c>
      <c r="E19" s="12"/>
      <c r="F19" s="11"/>
      <c r="G19" s="11"/>
      <c r="H19" s="11"/>
      <c r="I19" s="11" t="s">
        <v>228</v>
      </c>
      <c r="J19" s="11"/>
      <c r="K19" s="11" t="s">
        <v>15</v>
      </c>
      <c r="L19" s="11"/>
      <c r="M19" s="11" t="s">
        <v>17</v>
      </c>
      <c r="N19" s="11"/>
      <c r="O19" s="10"/>
      <c r="P19" s="11"/>
      <c r="Q19" s="17"/>
      <c r="R19" s="17"/>
      <c r="S19" s="17"/>
      <c r="T19" s="17"/>
      <c r="U19" s="17"/>
      <c r="V19" s="17"/>
      <c r="W19" s="17"/>
      <c r="X19" s="17"/>
      <c r="Y19" s="16"/>
      <c r="Z19" s="17"/>
      <c r="AA19" s="17"/>
      <c r="AB19" s="17"/>
      <c r="AC19" s="17"/>
      <c r="AD19" s="16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6"/>
      <c r="AP19" s="14"/>
    </row>
    <row r="20" spans="1:42" s="1" customFormat="1" x14ac:dyDescent="0.2">
      <c r="A20" s="10">
        <v>40</v>
      </c>
      <c r="B20" s="10"/>
      <c r="C20" s="10"/>
      <c r="D20" s="10" t="s">
        <v>441</v>
      </c>
      <c r="E20" s="21"/>
      <c r="F20" s="10"/>
      <c r="G20" s="10"/>
      <c r="H20" s="10"/>
      <c r="I20" s="10"/>
      <c r="J20" s="10"/>
      <c r="K20" s="10" t="s">
        <v>74</v>
      </c>
      <c r="L20" s="10"/>
      <c r="M20" s="10"/>
      <c r="N20" s="10"/>
      <c r="O20" s="10" t="s">
        <v>434</v>
      </c>
      <c r="P20" s="10"/>
      <c r="Q20" s="10"/>
      <c r="R20" s="10"/>
      <c r="S20" s="10"/>
      <c r="T20" s="10"/>
      <c r="U20" s="10"/>
      <c r="V20" s="10"/>
      <c r="W20" s="10"/>
      <c r="X20" s="10"/>
      <c r="Z20" s="10"/>
      <c r="AA20" s="10"/>
      <c r="AB20" s="10"/>
      <c r="AC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P20" s="14"/>
    </row>
    <row r="21" spans="1:42" s="1" customFormat="1" ht="52" x14ac:dyDescent="0.2">
      <c r="A21" s="40"/>
      <c r="AE21" s="22" t="s">
        <v>611</v>
      </c>
      <c r="AF21" s="22" t="s">
        <v>612</v>
      </c>
      <c r="AG21" s="22"/>
      <c r="AH21" s="22"/>
      <c r="AI21" s="22" t="s">
        <v>611</v>
      </c>
      <c r="AJ21" s="22" t="s">
        <v>612</v>
      </c>
      <c r="AK21" s="22" t="s">
        <v>611</v>
      </c>
      <c r="AL21" s="22" t="s">
        <v>612</v>
      </c>
      <c r="AM21" s="22" t="s">
        <v>611</v>
      </c>
      <c r="AN21" s="22" t="s">
        <v>612</v>
      </c>
      <c r="AP21" s="15"/>
    </row>
    <row r="22" spans="1:42" s="1" customFormat="1" x14ac:dyDescent="0.2">
      <c r="A22" s="10">
        <v>50</v>
      </c>
      <c r="B22" s="11" t="s">
        <v>0</v>
      </c>
      <c r="C22" s="11"/>
      <c r="D22" s="11" t="s">
        <v>434</v>
      </c>
      <c r="E22" s="12"/>
      <c r="F22" s="11"/>
      <c r="G22" s="11"/>
      <c r="H22" s="11"/>
      <c r="I22" s="11" t="s">
        <v>270</v>
      </c>
      <c r="J22" s="11"/>
      <c r="K22" s="11" t="s">
        <v>435</v>
      </c>
      <c r="L22" s="11" t="s">
        <v>229</v>
      </c>
      <c r="M22" s="11" t="s">
        <v>436</v>
      </c>
      <c r="N22" s="11"/>
      <c r="O22" s="11"/>
      <c r="P22" s="11"/>
      <c r="Q22" s="17"/>
      <c r="R22" s="17"/>
      <c r="S22" s="17"/>
      <c r="T22" s="17"/>
      <c r="U22" s="17"/>
      <c r="V22" s="17"/>
      <c r="W22" s="17"/>
      <c r="X22" s="17"/>
      <c r="Y22" s="16"/>
      <c r="Z22" s="17"/>
      <c r="AA22" s="17"/>
      <c r="AB22" s="17"/>
      <c r="AC22" s="17"/>
      <c r="AD22" s="16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6"/>
      <c r="AP22" s="14"/>
    </row>
    <row r="23" spans="1:42" s="1" customFormat="1" x14ac:dyDescent="0.2">
      <c r="A23" s="10">
        <v>50</v>
      </c>
      <c r="B23" s="10"/>
      <c r="C23" s="10"/>
      <c r="D23" s="10" t="s">
        <v>437</v>
      </c>
      <c r="E23" s="21" t="s">
        <v>522</v>
      </c>
      <c r="F23" s="10" t="s">
        <v>2</v>
      </c>
      <c r="G23" s="10" t="s">
        <v>1</v>
      </c>
      <c r="H23" s="10"/>
      <c r="I23" s="10"/>
      <c r="J23" s="10"/>
      <c r="K23" s="10" t="s">
        <v>74</v>
      </c>
      <c r="L23" s="10"/>
      <c r="M23" s="10"/>
      <c r="N23" s="10"/>
      <c r="O23" s="10" t="s">
        <v>438</v>
      </c>
      <c r="P23" s="10"/>
      <c r="Q23" s="10"/>
      <c r="R23" s="10"/>
      <c r="S23" s="10"/>
      <c r="T23" s="10"/>
      <c r="U23" s="10"/>
      <c r="V23" s="10"/>
      <c r="W23" s="10"/>
      <c r="X23" s="10"/>
      <c r="Z23" s="10"/>
      <c r="AA23" s="10"/>
      <c r="AB23" s="10"/>
      <c r="AC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P23" s="14"/>
    </row>
    <row r="24" spans="1:42" s="1" customFormat="1" x14ac:dyDescent="0.2">
      <c r="A24" s="10">
        <v>50</v>
      </c>
      <c r="B24" s="10"/>
      <c r="C24" s="10"/>
      <c r="D24" s="10" t="s">
        <v>439</v>
      </c>
      <c r="E24" s="21" t="s">
        <v>523</v>
      </c>
      <c r="F24" s="10" t="s">
        <v>447</v>
      </c>
      <c r="G24" s="10" t="s">
        <v>1</v>
      </c>
      <c r="H24" s="10"/>
      <c r="I24" s="10"/>
      <c r="J24" s="10"/>
      <c r="K24" s="10" t="s">
        <v>74</v>
      </c>
      <c r="L24" s="10"/>
      <c r="M24" s="10"/>
      <c r="N24" s="10"/>
      <c r="O24" s="10" t="s">
        <v>440</v>
      </c>
      <c r="P24" s="10"/>
      <c r="Q24" s="10"/>
      <c r="R24" s="10"/>
      <c r="S24" s="10"/>
      <c r="T24" s="10"/>
      <c r="U24" s="10"/>
      <c r="V24" s="10"/>
      <c r="W24" s="10"/>
      <c r="X24" s="10"/>
      <c r="Z24" s="10"/>
      <c r="AA24" s="10"/>
      <c r="AB24" s="10"/>
      <c r="AC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P24" s="14"/>
    </row>
    <row r="25" spans="1:42" s="1" customFormat="1" ht="52" x14ac:dyDescent="0.2">
      <c r="A25" s="40"/>
      <c r="AE25" s="22" t="s">
        <v>611</v>
      </c>
      <c r="AF25" s="22" t="s">
        <v>612</v>
      </c>
      <c r="AG25" s="22" t="s">
        <v>611</v>
      </c>
      <c r="AH25" s="22" t="s">
        <v>612</v>
      </c>
      <c r="AI25" s="22" t="s">
        <v>611</v>
      </c>
      <c r="AJ25" s="22" t="s">
        <v>612</v>
      </c>
      <c r="AK25" s="22" t="s">
        <v>611</v>
      </c>
      <c r="AL25" s="22" t="s">
        <v>612</v>
      </c>
      <c r="AM25" s="22" t="s">
        <v>611</v>
      </c>
      <c r="AN25" s="22" t="s">
        <v>612</v>
      </c>
      <c r="AP25" s="15"/>
    </row>
    <row r="26" spans="1:42" s="1" customFormat="1" x14ac:dyDescent="0.2">
      <c r="A26" s="10">
        <v>60</v>
      </c>
      <c r="B26" s="11" t="s">
        <v>0</v>
      </c>
      <c r="C26" s="11"/>
      <c r="D26" s="11" t="s">
        <v>331</v>
      </c>
      <c r="E26" s="12"/>
      <c r="F26" s="11"/>
      <c r="G26" s="11"/>
      <c r="H26" s="11"/>
      <c r="I26" s="11" t="s">
        <v>228</v>
      </c>
      <c r="J26" s="11"/>
      <c r="K26" s="11" t="s">
        <v>15</v>
      </c>
      <c r="L26" s="11" t="s">
        <v>229</v>
      </c>
      <c r="M26" s="11" t="s">
        <v>15</v>
      </c>
      <c r="N26" s="10"/>
      <c r="O26" s="11"/>
      <c r="P26" s="11"/>
      <c r="Q26" s="17"/>
      <c r="R26" s="17"/>
      <c r="S26" s="17"/>
      <c r="T26" s="17"/>
      <c r="U26" s="17"/>
      <c r="V26" s="17"/>
      <c r="W26" s="17"/>
      <c r="X26" s="17"/>
      <c r="Y26" s="16"/>
      <c r="Z26" s="17"/>
      <c r="AA26" s="17"/>
      <c r="AB26" s="17"/>
      <c r="AC26" s="17"/>
      <c r="AD26" s="16"/>
      <c r="AE26" s="10" t="s">
        <v>231</v>
      </c>
      <c r="AF26" s="10"/>
      <c r="AG26" s="10"/>
      <c r="AH26" s="10"/>
      <c r="AI26" s="10"/>
      <c r="AJ26" s="10"/>
      <c r="AK26" s="10"/>
      <c r="AL26" s="10"/>
      <c r="AM26" s="10"/>
      <c r="AN26" s="10"/>
      <c r="AO26" s="16"/>
      <c r="AP26" s="14"/>
    </row>
    <row r="27" spans="1:42" s="1" customFormat="1" ht="39" x14ac:dyDescent="0.2">
      <c r="A27" s="10">
        <v>60</v>
      </c>
      <c r="B27" s="10"/>
      <c r="C27" s="10"/>
      <c r="D27" s="10" t="s">
        <v>83</v>
      </c>
      <c r="E27" s="21" t="s">
        <v>524</v>
      </c>
      <c r="F27" s="10" t="s">
        <v>179</v>
      </c>
      <c r="G27" s="10" t="s">
        <v>9</v>
      </c>
      <c r="H27" s="10"/>
      <c r="I27" s="10" t="s">
        <v>17</v>
      </c>
      <c r="J27" s="10"/>
      <c r="K27" s="10" t="s">
        <v>228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Z27" s="10" t="s">
        <v>228</v>
      </c>
      <c r="AA27" s="10" t="s">
        <v>228</v>
      </c>
      <c r="AB27" s="10" t="s">
        <v>228</v>
      </c>
      <c r="AC27" s="10" t="s">
        <v>228</v>
      </c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P27" s="14"/>
    </row>
    <row r="28" spans="1:42" s="1" customFormat="1" x14ac:dyDescent="0.2">
      <c r="A28" s="10">
        <v>60</v>
      </c>
      <c r="B28" s="10"/>
      <c r="C28" s="10"/>
      <c r="D28" s="10" t="s">
        <v>184</v>
      </c>
      <c r="E28" s="21" t="s">
        <v>525</v>
      </c>
      <c r="F28" s="10" t="s">
        <v>185</v>
      </c>
      <c r="G28" s="10" t="s">
        <v>1</v>
      </c>
      <c r="H28" s="10"/>
      <c r="I28" s="10" t="s">
        <v>232</v>
      </c>
      <c r="J28" s="10"/>
      <c r="K28" s="10" t="s">
        <v>233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 t="s">
        <v>68</v>
      </c>
      <c r="AA28" s="10" t="s">
        <v>68</v>
      </c>
      <c r="AB28" s="10" t="s">
        <v>68</v>
      </c>
      <c r="AC28" s="10" t="s">
        <v>68</v>
      </c>
      <c r="AE28" s="10" t="s">
        <v>69</v>
      </c>
      <c r="AF28" s="10"/>
      <c r="AG28" s="10"/>
      <c r="AH28" s="10"/>
      <c r="AI28" s="10"/>
      <c r="AJ28" s="10"/>
      <c r="AK28" s="10"/>
      <c r="AL28" s="10"/>
      <c r="AM28" s="10"/>
      <c r="AN28" s="10"/>
      <c r="AP28" s="14"/>
    </row>
    <row r="29" spans="1:42" s="1" customFormat="1" x14ac:dyDescent="0.2">
      <c r="A29" s="10">
        <v>60</v>
      </c>
      <c r="B29" s="10"/>
      <c r="C29" s="10"/>
      <c r="D29" s="10" t="s">
        <v>186</v>
      </c>
      <c r="E29" s="21" t="s">
        <v>526</v>
      </c>
      <c r="F29" s="10" t="s">
        <v>200</v>
      </c>
      <c r="G29" s="10" t="s">
        <v>202</v>
      </c>
      <c r="H29" s="10"/>
      <c r="I29" s="10" t="s">
        <v>232</v>
      </c>
      <c r="J29" s="10"/>
      <c r="K29" s="10" t="s">
        <v>233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Z29" s="10" t="s">
        <v>68</v>
      </c>
      <c r="AA29" s="10" t="s">
        <v>68</v>
      </c>
      <c r="AB29" s="10" t="s">
        <v>68</v>
      </c>
      <c r="AC29" s="10" t="s">
        <v>68</v>
      </c>
      <c r="AE29" s="10" t="s">
        <v>69</v>
      </c>
      <c r="AF29" s="10"/>
      <c r="AG29" s="10"/>
      <c r="AH29" s="10"/>
      <c r="AI29" s="10"/>
      <c r="AJ29" s="10"/>
      <c r="AK29" s="10"/>
      <c r="AL29" s="10"/>
      <c r="AM29" s="10"/>
      <c r="AN29" s="10"/>
      <c r="AP29" s="14"/>
    </row>
    <row r="30" spans="1:42" s="1" customFormat="1" ht="26" x14ac:dyDescent="0.2">
      <c r="A30" s="50">
        <v>60</v>
      </c>
      <c r="B30" s="50"/>
      <c r="C30" s="50"/>
      <c r="D30" s="50" t="s">
        <v>453</v>
      </c>
      <c r="E30" s="50"/>
      <c r="F30" s="50"/>
      <c r="G30" s="50"/>
      <c r="H30" s="50"/>
      <c r="I30" s="50" t="s">
        <v>228</v>
      </c>
      <c r="J30" s="50"/>
      <c r="K30" s="50" t="s">
        <v>238</v>
      </c>
      <c r="L30" s="50" t="s">
        <v>454</v>
      </c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 t="s">
        <v>455</v>
      </c>
      <c r="AA30" s="50" t="s">
        <v>455</v>
      </c>
      <c r="AB30" s="50" t="s">
        <v>455</v>
      </c>
      <c r="AC30" s="50" t="s">
        <v>455</v>
      </c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</row>
    <row r="31" spans="1:42" s="1" customFormat="1" x14ac:dyDescent="0.2">
      <c r="A31" s="50">
        <v>60</v>
      </c>
      <c r="B31" s="10"/>
      <c r="C31" s="10"/>
      <c r="D31" s="10" t="s">
        <v>456</v>
      </c>
      <c r="E31" s="21"/>
      <c r="F31" s="10"/>
      <c r="G31" s="10"/>
      <c r="H31" s="10"/>
      <c r="I31" s="10" t="s">
        <v>130</v>
      </c>
      <c r="J31" s="10"/>
      <c r="K31" s="10" t="s">
        <v>240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Z31" s="10"/>
      <c r="AA31" s="10"/>
      <c r="AB31" s="10"/>
      <c r="AC31" s="10"/>
      <c r="AE31" s="10" t="s">
        <v>457</v>
      </c>
      <c r="AF31" s="10"/>
      <c r="AG31" s="10"/>
      <c r="AH31" s="10"/>
      <c r="AI31" s="10"/>
      <c r="AJ31" s="10"/>
      <c r="AK31" s="10"/>
      <c r="AL31" s="10"/>
      <c r="AM31" s="10"/>
      <c r="AN31" s="10"/>
      <c r="AP31" s="14"/>
    </row>
    <row r="32" spans="1:42" s="1" customFormat="1" x14ac:dyDescent="0.2">
      <c r="A32" s="50">
        <v>60</v>
      </c>
      <c r="B32" s="10"/>
      <c r="C32" s="10"/>
      <c r="D32" s="10" t="s">
        <v>458</v>
      </c>
      <c r="E32" s="21"/>
      <c r="F32" s="10"/>
      <c r="G32" s="10"/>
      <c r="H32" s="10"/>
      <c r="I32" s="10" t="s">
        <v>130</v>
      </c>
      <c r="J32" s="10"/>
      <c r="K32" s="10" t="s">
        <v>240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/>
      <c r="AA32" s="10"/>
      <c r="AB32" s="10"/>
      <c r="AC32" s="10"/>
      <c r="AE32" s="10" t="s">
        <v>459</v>
      </c>
      <c r="AF32" s="10"/>
      <c r="AG32" s="10"/>
      <c r="AH32" s="10"/>
      <c r="AI32" s="10"/>
      <c r="AJ32" s="10"/>
      <c r="AK32" s="10"/>
      <c r="AL32" s="10"/>
      <c r="AM32" s="10"/>
      <c r="AN32" s="10"/>
      <c r="AP32" s="14"/>
    </row>
    <row r="33" spans="1:42" s="1" customFormat="1" x14ac:dyDescent="0.2">
      <c r="A33" s="50">
        <v>60</v>
      </c>
      <c r="B33" s="10"/>
      <c r="C33" s="10"/>
      <c r="D33" s="10" t="s">
        <v>460</v>
      </c>
      <c r="E33" s="21"/>
      <c r="F33" s="10"/>
      <c r="G33" s="10"/>
      <c r="H33" s="10"/>
      <c r="I33" s="10" t="s">
        <v>130</v>
      </c>
      <c r="J33" s="10"/>
      <c r="K33" s="10" t="s">
        <v>240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/>
      <c r="AA33" s="10"/>
      <c r="AB33" s="10"/>
      <c r="AC33" s="10"/>
      <c r="AE33" s="10" t="s">
        <v>461</v>
      </c>
      <c r="AF33" s="10"/>
      <c r="AG33" s="10"/>
      <c r="AH33" s="10"/>
      <c r="AI33" s="10"/>
      <c r="AJ33" s="10"/>
      <c r="AK33" s="10"/>
      <c r="AL33" s="10"/>
      <c r="AM33" s="10"/>
      <c r="AN33" s="10"/>
      <c r="AP33" s="14"/>
    </row>
    <row r="34" spans="1:42" s="1" customFormat="1" x14ac:dyDescent="0.2">
      <c r="A34" s="50">
        <v>60</v>
      </c>
      <c r="B34" s="10"/>
      <c r="C34" s="10"/>
      <c r="D34" s="10" t="s">
        <v>462</v>
      </c>
      <c r="E34" s="21"/>
      <c r="F34" s="10"/>
      <c r="G34" s="10"/>
      <c r="H34" s="10"/>
      <c r="I34" s="10" t="s">
        <v>130</v>
      </c>
      <c r="J34" s="10"/>
      <c r="K34" s="10" t="s">
        <v>240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/>
      <c r="AA34" s="10"/>
      <c r="AB34" s="10"/>
      <c r="AC34" s="10"/>
      <c r="AE34" s="10" t="s">
        <v>463</v>
      </c>
      <c r="AF34" s="10"/>
      <c r="AG34" s="10"/>
      <c r="AH34" s="10"/>
      <c r="AI34" s="10"/>
      <c r="AJ34" s="10"/>
      <c r="AK34" s="10"/>
      <c r="AL34" s="10"/>
      <c r="AM34" s="10"/>
      <c r="AN34" s="10"/>
      <c r="AP34" s="14"/>
    </row>
    <row r="35" spans="1:42" s="1" customFormat="1" ht="26" x14ac:dyDescent="0.2">
      <c r="A35" s="10">
        <v>60</v>
      </c>
      <c r="B35" s="10"/>
      <c r="C35" s="10"/>
      <c r="D35" s="10" t="s">
        <v>419</v>
      </c>
      <c r="E35" s="21" t="s">
        <v>527</v>
      </c>
      <c r="F35" s="10" t="s">
        <v>199</v>
      </c>
      <c r="G35" s="10" t="s">
        <v>201</v>
      </c>
      <c r="H35" s="10"/>
      <c r="I35" s="10" t="s">
        <v>110</v>
      </c>
      <c r="J35" s="10"/>
      <c r="K35" s="10" t="s">
        <v>234</v>
      </c>
      <c r="L35" s="10"/>
      <c r="M35" s="10"/>
      <c r="N35" s="10"/>
      <c r="O35" s="10"/>
      <c r="P35" s="10"/>
      <c r="Q35" s="10" t="s">
        <v>178</v>
      </c>
      <c r="R35" s="10"/>
      <c r="S35" s="10" t="s">
        <v>113</v>
      </c>
      <c r="T35" s="10"/>
      <c r="U35" s="10"/>
      <c r="V35" s="10"/>
      <c r="W35" s="10"/>
      <c r="X35" s="10" t="s">
        <v>486</v>
      </c>
      <c r="Z35" s="10" t="s">
        <v>69</v>
      </c>
      <c r="AA35" s="10" t="s">
        <v>69</v>
      </c>
      <c r="AB35" s="10" t="s">
        <v>69</v>
      </c>
      <c r="AC35" s="10" t="s">
        <v>69</v>
      </c>
      <c r="AE35" s="10" t="s">
        <v>69</v>
      </c>
      <c r="AF35" s="10"/>
      <c r="AG35" s="10"/>
      <c r="AH35" s="10"/>
      <c r="AI35" s="10"/>
      <c r="AJ35" s="10"/>
      <c r="AK35" s="10"/>
      <c r="AL35" s="10"/>
      <c r="AM35" s="10"/>
      <c r="AN35" s="10"/>
      <c r="AP35" s="14"/>
    </row>
    <row r="36" spans="1:42" s="1" customFormat="1" x14ac:dyDescent="0.2">
      <c r="A36" s="10">
        <v>60</v>
      </c>
      <c r="B36" s="10"/>
      <c r="C36" s="10"/>
      <c r="D36" s="10" t="s">
        <v>420</v>
      </c>
      <c r="E36" s="21" t="s">
        <v>528</v>
      </c>
      <c r="F36" s="10" t="s">
        <v>103</v>
      </c>
      <c r="G36" s="10"/>
      <c r="H36" s="10"/>
      <c r="I36" s="10" t="s">
        <v>235</v>
      </c>
      <c r="J36" s="10"/>
      <c r="K36" s="10" t="s">
        <v>111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 t="s">
        <v>486</v>
      </c>
      <c r="Z36" s="10" t="s">
        <v>69</v>
      </c>
      <c r="AA36" s="10" t="s">
        <v>69</v>
      </c>
      <c r="AB36" s="10" t="s">
        <v>69</v>
      </c>
      <c r="AC36" s="10" t="s">
        <v>69</v>
      </c>
      <c r="AE36" s="10" t="s">
        <v>69</v>
      </c>
      <c r="AF36" s="10"/>
      <c r="AG36" s="10"/>
      <c r="AH36" s="10"/>
      <c r="AI36" s="10"/>
      <c r="AJ36" s="10"/>
      <c r="AK36" s="10"/>
      <c r="AL36" s="10"/>
      <c r="AM36" s="10"/>
      <c r="AN36" s="10"/>
      <c r="AP36" s="14"/>
    </row>
    <row r="37" spans="1:42" s="1" customFormat="1" ht="26" x14ac:dyDescent="0.2">
      <c r="A37" s="10">
        <v>60</v>
      </c>
      <c r="B37" s="10"/>
      <c r="C37" s="10"/>
      <c r="D37" s="10" t="s">
        <v>421</v>
      </c>
      <c r="E37" s="21" t="s">
        <v>529</v>
      </c>
      <c r="F37" s="10" t="s">
        <v>106</v>
      </c>
      <c r="G37" s="10" t="s">
        <v>109</v>
      </c>
      <c r="H37" s="10"/>
      <c r="I37" s="10" t="s">
        <v>236</v>
      </c>
      <c r="J37" s="10"/>
      <c r="K37" s="10" t="s">
        <v>234</v>
      </c>
      <c r="L37" s="10"/>
      <c r="M37" s="10"/>
      <c r="N37" s="10"/>
      <c r="O37" s="10"/>
      <c r="P37" s="10"/>
      <c r="Q37" s="10" t="s">
        <v>484</v>
      </c>
      <c r="R37" s="10"/>
      <c r="S37" s="10" t="s">
        <v>114</v>
      </c>
      <c r="T37" s="10"/>
      <c r="U37" s="10"/>
      <c r="V37" s="10" t="s">
        <v>163</v>
      </c>
      <c r="W37" s="10" t="s">
        <v>163</v>
      </c>
      <c r="X37" s="10"/>
      <c r="Z37" s="10" t="s">
        <v>69</v>
      </c>
      <c r="AA37" s="10" t="s">
        <v>69</v>
      </c>
      <c r="AB37" s="10" t="s">
        <v>69</v>
      </c>
      <c r="AC37" s="10" t="s">
        <v>69</v>
      </c>
      <c r="AE37" s="10" t="s">
        <v>69</v>
      </c>
      <c r="AF37" s="10"/>
      <c r="AG37" s="10"/>
      <c r="AH37" s="10"/>
      <c r="AI37" s="10"/>
      <c r="AJ37" s="10"/>
      <c r="AK37" s="10"/>
      <c r="AL37" s="10"/>
      <c r="AM37" s="10"/>
      <c r="AN37" s="10"/>
      <c r="AP37" s="14"/>
    </row>
    <row r="38" spans="1:42" s="1" customFormat="1" x14ac:dyDescent="0.2">
      <c r="A38" s="10">
        <v>60</v>
      </c>
      <c r="B38" s="10"/>
      <c r="C38" s="10"/>
      <c r="D38" s="10" t="s">
        <v>422</v>
      </c>
      <c r="E38" s="21" t="s">
        <v>530</v>
      </c>
      <c r="F38" s="10" t="s">
        <v>107</v>
      </c>
      <c r="G38" s="10"/>
      <c r="H38" s="10"/>
      <c r="I38" s="10" t="s">
        <v>237</v>
      </c>
      <c r="J38" s="10"/>
      <c r="K38" s="10" t="s">
        <v>111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 t="s">
        <v>69</v>
      </c>
      <c r="AA38" s="10" t="s">
        <v>69</v>
      </c>
      <c r="AB38" s="10" t="s">
        <v>69</v>
      </c>
      <c r="AC38" s="10" t="s">
        <v>69</v>
      </c>
      <c r="AE38" s="10" t="s">
        <v>69</v>
      </c>
      <c r="AF38" s="10"/>
      <c r="AG38" s="10"/>
      <c r="AH38" s="10"/>
      <c r="AI38" s="10"/>
      <c r="AJ38" s="10"/>
      <c r="AK38" s="10"/>
      <c r="AL38" s="10"/>
      <c r="AM38" s="10"/>
      <c r="AN38" s="10"/>
      <c r="AP38" s="14"/>
    </row>
    <row r="39" spans="1:42" s="1" customFormat="1" ht="26" x14ac:dyDescent="0.2">
      <c r="A39" s="50">
        <v>60</v>
      </c>
      <c r="B39" s="50"/>
      <c r="C39" s="50"/>
      <c r="D39" s="50" t="s">
        <v>464</v>
      </c>
      <c r="E39" s="50"/>
      <c r="F39" s="50"/>
      <c r="G39" s="50"/>
      <c r="H39" s="50"/>
      <c r="I39" s="50" t="s">
        <v>228</v>
      </c>
      <c r="J39" s="50"/>
      <c r="K39" s="50" t="s">
        <v>238</v>
      </c>
      <c r="L39" s="50" t="s">
        <v>465</v>
      </c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 t="s">
        <v>455</v>
      </c>
      <c r="AA39" s="50" t="s">
        <v>455</v>
      </c>
      <c r="AB39" s="50" t="s">
        <v>455</v>
      </c>
      <c r="AC39" s="50" t="s">
        <v>455</v>
      </c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</row>
    <row r="40" spans="1:42" s="1" customFormat="1" x14ac:dyDescent="0.2">
      <c r="A40" s="50">
        <v>60</v>
      </c>
      <c r="B40" s="10"/>
      <c r="C40" s="10"/>
      <c r="D40" s="10" t="s">
        <v>466</v>
      </c>
      <c r="E40" s="21" t="s">
        <v>531</v>
      </c>
      <c r="F40" s="10" t="s">
        <v>467</v>
      </c>
      <c r="G40" s="10" t="s">
        <v>1</v>
      </c>
      <c r="H40" s="10"/>
      <c r="I40" s="10" t="s">
        <v>130</v>
      </c>
      <c r="J40" s="10"/>
      <c r="K40" s="10" t="s">
        <v>240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Z40" s="10"/>
      <c r="AA40" s="10"/>
      <c r="AB40" s="10"/>
      <c r="AC40" s="10"/>
      <c r="AE40" s="10" t="s">
        <v>468</v>
      </c>
      <c r="AF40" s="10"/>
      <c r="AG40" s="10"/>
      <c r="AH40" s="10"/>
      <c r="AI40" s="10"/>
      <c r="AJ40" s="10"/>
      <c r="AK40" s="10"/>
      <c r="AL40" s="10"/>
      <c r="AM40" s="10"/>
      <c r="AN40" s="10"/>
      <c r="AP40" s="14"/>
    </row>
    <row r="41" spans="1:42" s="1" customFormat="1" ht="26" x14ac:dyDescent="0.2">
      <c r="A41" s="50">
        <v>60</v>
      </c>
      <c r="B41" s="10"/>
      <c r="C41" s="10"/>
      <c r="D41" s="10" t="s">
        <v>469</v>
      </c>
      <c r="E41" s="21" t="s">
        <v>532</v>
      </c>
      <c r="F41" s="10" t="s">
        <v>470</v>
      </c>
      <c r="G41" s="10"/>
      <c r="H41" s="10"/>
      <c r="I41" s="10" t="s">
        <v>130</v>
      </c>
      <c r="J41" s="10"/>
      <c r="K41" s="10" t="s">
        <v>240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/>
      <c r="AA41" s="10"/>
      <c r="AB41" s="10"/>
      <c r="AC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P41" s="14"/>
    </row>
    <row r="42" spans="1:42" s="1" customFormat="1" ht="26" x14ac:dyDescent="0.2">
      <c r="A42" s="50">
        <v>60</v>
      </c>
      <c r="B42" s="10"/>
      <c r="C42" s="10"/>
      <c r="D42" s="10" t="s">
        <v>471</v>
      </c>
      <c r="E42" s="21" t="s">
        <v>533</v>
      </c>
      <c r="F42" s="10" t="s">
        <v>472</v>
      </c>
      <c r="G42" s="10" t="s">
        <v>473</v>
      </c>
      <c r="H42" s="10"/>
      <c r="I42" s="10" t="s">
        <v>130</v>
      </c>
      <c r="J42" s="10"/>
      <c r="K42" s="10" t="s">
        <v>240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/>
      <c r="AA42" s="10"/>
      <c r="AB42" s="10"/>
      <c r="AC42" s="10"/>
      <c r="AE42" s="10" t="s">
        <v>474</v>
      </c>
      <c r="AF42" s="10"/>
      <c r="AG42" s="10"/>
      <c r="AH42" s="10"/>
      <c r="AI42" s="10"/>
      <c r="AJ42" s="10"/>
      <c r="AK42" s="10"/>
      <c r="AL42" s="10"/>
      <c r="AM42" s="10"/>
      <c r="AN42" s="10"/>
      <c r="AP42" s="14"/>
    </row>
    <row r="43" spans="1:42" s="1" customFormat="1" ht="26" x14ac:dyDescent="0.2">
      <c r="A43" s="50">
        <v>60</v>
      </c>
      <c r="B43" s="10"/>
      <c r="C43" s="10"/>
      <c r="D43" s="10" t="s">
        <v>475</v>
      </c>
      <c r="E43" s="21" t="s">
        <v>534</v>
      </c>
      <c r="F43" s="10" t="s">
        <v>476</v>
      </c>
      <c r="G43" s="10"/>
      <c r="H43" s="10"/>
      <c r="I43" s="10" t="s">
        <v>130</v>
      </c>
      <c r="J43" s="10"/>
      <c r="K43" s="10" t="s">
        <v>240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/>
      <c r="AA43" s="10"/>
      <c r="AB43" s="10"/>
      <c r="AC43" s="10"/>
      <c r="AE43" s="10" t="s">
        <v>477</v>
      </c>
      <c r="AF43" s="10"/>
      <c r="AG43" s="10"/>
      <c r="AH43" s="10"/>
      <c r="AI43" s="10"/>
      <c r="AJ43" s="10"/>
      <c r="AK43" s="10"/>
      <c r="AL43" s="10"/>
      <c r="AM43" s="10"/>
      <c r="AN43" s="10"/>
      <c r="AP43" s="14"/>
    </row>
    <row r="44" spans="1:42" s="1" customFormat="1" ht="26" x14ac:dyDescent="0.2">
      <c r="A44" s="50">
        <v>60</v>
      </c>
      <c r="B44" s="50"/>
      <c r="C44" s="50"/>
      <c r="D44" s="50" t="s">
        <v>423</v>
      </c>
      <c r="E44" s="50"/>
      <c r="F44" s="50"/>
      <c r="G44" s="50"/>
      <c r="H44" s="50"/>
      <c r="I44" s="50" t="s">
        <v>228</v>
      </c>
      <c r="J44" s="50"/>
      <c r="K44" s="50" t="s">
        <v>238</v>
      </c>
      <c r="L44" s="50" t="s">
        <v>197</v>
      </c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 t="s">
        <v>239</v>
      </c>
      <c r="AA44" s="50" t="s">
        <v>239</v>
      </c>
      <c r="AB44" s="50" t="s">
        <v>239</v>
      </c>
      <c r="AC44" s="50" t="s">
        <v>239</v>
      </c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</row>
    <row r="45" spans="1:42" s="1" customFormat="1" ht="39" x14ac:dyDescent="0.2">
      <c r="A45" s="50">
        <v>60</v>
      </c>
      <c r="B45" s="10"/>
      <c r="C45" s="10"/>
      <c r="D45" s="10" t="s">
        <v>164</v>
      </c>
      <c r="E45" s="21" t="s">
        <v>535</v>
      </c>
      <c r="F45" s="10" t="s">
        <v>161</v>
      </c>
      <c r="G45" s="10" t="s">
        <v>162</v>
      </c>
      <c r="H45" s="10"/>
      <c r="I45" s="10" t="s">
        <v>130</v>
      </c>
      <c r="J45" s="10"/>
      <c r="K45" s="10" t="s">
        <v>240</v>
      </c>
      <c r="L45" s="10"/>
      <c r="M45" s="10"/>
      <c r="N45" s="10"/>
      <c r="O45" s="10"/>
      <c r="P45" s="10"/>
      <c r="Q45" s="10" t="s">
        <v>241</v>
      </c>
      <c r="R45" s="10"/>
      <c r="S45" s="10" t="s">
        <v>242</v>
      </c>
      <c r="T45" s="10"/>
      <c r="U45" s="10" t="s">
        <v>243</v>
      </c>
      <c r="V45" s="10" t="s">
        <v>244</v>
      </c>
      <c r="W45" s="10" t="s">
        <v>245</v>
      </c>
      <c r="X45" s="10"/>
      <c r="Z45" s="10"/>
      <c r="AA45" s="10"/>
      <c r="AB45" s="10"/>
      <c r="AC45" s="10"/>
      <c r="AE45" s="10" t="s">
        <v>246</v>
      </c>
      <c r="AF45" s="10"/>
      <c r="AG45" s="10"/>
      <c r="AH45" s="10"/>
      <c r="AI45" s="10"/>
      <c r="AJ45" s="10"/>
      <c r="AK45" s="10"/>
      <c r="AL45" s="10"/>
      <c r="AM45" s="10"/>
      <c r="AN45" s="10"/>
      <c r="AP45" s="14"/>
    </row>
    <row r="46" spans="1:42" s="1" customFormat="1" ht="39" x14ac:dyDescent="0.2">
      <c r="A46" s="50">
        <v>60</v>
      </c>
      <c r="B46" s="10"/>
      <c r="C46" s="10"/>
      <c r="D46" s="10" t="s">
        <v>165</v>
      </c>
      <c r="E46" s="21" t="s">
        <v>536</v>
      </c>
      <c r="F46" s="10" t="s">
        <v>139</v>
      </c>
      <c r="G46" s="10"/>
      <c r="H46" s="10"/>
      <c r="I46" s="10" t="s">
        <v>130</v>
      </c>
      <c r="J46" s="10"/>
      <c r="K46" s="10" t="s">
        <v>240</v>
      </c>
      <c r="L46" s="10"/>
      <c r="M46" s="10"/>
      <c r="N46" s="10"/>
      <c r="O46" s="10"/>
      <c r="P46" s="10"/>
      <c r="Q46" s="10" t="s">
        <v>247</v>
      </c>
      <c r="R46" s="10"/>
      <c r="S46" s="10" t="s">
        <v>248</v>
      </c>
      <c r="T46" s="10"/>
      <c r="U46" s="10" t="s">
        <v>194</v>
      </c>
      <c r="V46" s="10" t="s">
        <v>249</v>
      </c>
      <c r="W46" s="10" t="s">
        <v>250</v>
      </c>
      <c r="X46" s="10"/>
      <c r="Z46" s="10"/>
      <c r="AA46" s="10"/>
      <c r="AB46" s="10"/>
      <c r="AC46" s="10"/>
      <c r="AE46" s="10" t="s">
        <v>251</v>
      </c>
      <c r="AF46" s="10"/>
      <c r="AG46" s="10"/>
      <c r="AH46" s="10"/>
      <c r="AI46" s="10"/>
      <c r="AJ46" s="10"/>
      <c r="AK46" s="10"/>
      <c r="AL46" s="10"/>
      <c r="AM46" s="10"/>
      <c r="AN46" s="10"/>
      <c r="AP46" s="14"/>
    </row>
    <row r="47" spans="1:42" s="1" customFormat="1" ht="39" x14ac:dyDescent="0.2">
      <c r="A47" s="50">
        <v>60</v>
      </c>
      <c r="B47" s="10"/>
      <c r="C47" s="10"/>
      <c r="D47" s="10" t="s">
        <v>166</v>
      </c>
      <c r="E47" s="21" t="s">
        <v>537</v>
      </c>
      <c r="F47" s="10" t="s">
        <v>140</v>
      </c>
      <c r="G47" s="10"/>
      <c r="H47" s="10"/>
      <c r="I47" s="10" t="s">
        <v>130</v>
      </c>
      <c r="J47" s="10"/>
      <c r="K47" s="10" t="s">
        <v>240</v>
      </c>
      <c r="L47" s="10"/>
      <c r="M47" s="10"/>
      <c r="N47" s="10"/>
      <c r="O47" s="10"/>
      <c r="P47" s="10"/>
      <c r="Q47" s="10" t="s">
        <v>252</v>
      </c>
      <c r="R47" s="10"/>
      <c r="S47" s="10" t="s">
        <v>253</v>
      </c>
      <c r="T47" s="10"/>
      <c r="U47" s="10" t="s">
        <v>195</v>
      </c>
      <c r="V47" s="10" t="s">
        <v>254</v>
      </c>
      <c r="W47" s="10" t="s">
        <v>255</v>
      </c>
      <c r="X47" s="10"/>
      <c r="Z47" s="10"/>
      <c r="AA47" s="10"/>
      <c r="AB47" s="10"/>
      <c r="AC47" s="10"/>
      <c r="AE47" s="10" t="s">
        <v>256</v>
      </c>
      <c r="AF47" s="10"/>
      <c r="AG47" s="10"/>
      <c r="AH47" s="10"/>
      <c r="AI47" s="10"/>
      <c r="AJ47" s="10"/>
      <c r="AK47" s="10"/>
      <c r="AL47" s="10"/>
      <c r="AM47" s="10"/>
      <c r="AN47" s="10"/>
      <c r="AP47" s="14"/>
    </row>
    <row r="48" spans="1:42" s="1" customFormat="1" ht="52" x14ac:dyDescent="0.2">
      <c r="A48" s="50">
        <v>60</v>
      </c>
      <c r="B48" s="10"/>
      <c r="C48" s="10"/>
      <c r="D48" s="10" t="s">
        <v>167</v>
      </c>
      <c r="E48" s="21" t="s">
        <v>538</v>
      </c>
      <c r="F48" s="10" t="s">
        <v>141</v>
      </c>
      <c r="G48" s="10"/>
      <c r="H48" s="10"/>
      <c r="I48" s="10" t="s">
        <v>130</v>
      </c>
      <c r="J48" s="10"/>
      <c r="K48" s="10" t="s">
        <v>240</v>
      </c>
      <c r="L48" s="10"/>
      <c r="M48" s="10"/>
      <c r="N48" s="10"/>
      <c r="O48" s="10"/>
      <c r="P48" s="10"/>
      <c r="Q48" s="10" t="s">
        <v>257</v>
      </c>
      <c r="R48" s="10"/>
      <c r="S48" s="10" t="s">
        <v>258</v>
      </c>
      <c r="T48" s="10"/>
      <c r="U48" s="10" t="s">
        <v>196</v>
      </c>
      <c r="V48" s="10" t="s">
        <v>259</v>
      </c>
      <c r="W48" s="10" t="s">
        <v>260</v>
      </c>
      <c r="X48" s="10"/>
      <c r="Z48" s="10"/>
      <c r="AA48" s="10"/>
      <c r="AB48" s="10"/>
      <c r="AC48" s="10"/>
      <c r="AE48" s="10" t="s">
        <v>261</v>
      </c>
      <c r="AF48" s="10"/>
      <c r="AG48" s="10"/>
      <c r="AH48" s="10"/>
      <c r="AI48" s="10"/>
      <c r="AJ48" s="10"/>
      <c r="AK48" s="10"/>
      <c r="AL48" s="10"/>
      <c r="AM48" s="10"/>
      <c r="AN48" s="10"/>
      <c r="AP48" s="14"/>
    </row>
    <row r="49" spans="1:42" s="1" customFormat="1" x14ac:dyDescent="0.2">
      <c r="A49" s="50">
        <v>60</v>
      </c>
      <c r="B49" s="10"/>
      <c r="C49" s="10"/>
      <c r="D49" s="10" t="s">
        <v>174</v>
      </c>
      <c r="E49" s="21" t="s">
        <v>539</v>
      </c>
      <c r="F49" s="10" t="s">
        <v>175</v>
      </c>
      <c r="G49" s="10" t="s">
        <v>9</v>
      </c>
      <c r="H49" s="10"/>
      <c r="I49" s="10" t="s">
        <v>130</v>
      </c>
      <c r="J49" s="10"/>
      <c r="K49" s="10" t="s">
        <v>240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/>
      <c r="AA49" s="10"/>
      <c r="AB49" s="10"/>
      <c r="AC49" s="10"/>
      <c r="AE49" s="10" t="s">
        <v>258</v>
      </c>
      <c r="AF49" s="10"/>
      <c r="AG49" s="10"/>
      <c r="AH49" s="10"/>
      <c r="AI49" s="10"/>
      <c r="AJ49" s="10"/>
      <c r="AK49" s="10"/>
      <c r="AL49" s="10"/>
      <c r="AM49" s="10"/>
      <c r="AN49" s="10"/>
      <c r="AP49" s="14"/>
    </row>
    <row r="50" spans="1:42" s="1" customFormat="1" ht="26" x14ac:dyDescent="0.2">
      <c r="A50" s="50">
        <v>60</v>
      </c>
      <c r="B50" s="50"/>
      <c r="C50" s="50"/>
      <c r="D50" s="50" t="s">
        <v>478</v>
      </c>
      <c r="E50" s="50"/>
      <c r="F50" s="50"/>
      <c r="G50" s="50"/>
      <c r="H50" s="50"/>
      <c r="I50" s="50" t="s">
        <v>228</v>
      </c>
      <c r="J50" s="50"/>
      <c r="K50" s="50" t="s">
        <v>238</v>
      </c>
      <c r="L50" s="50" t="s">
        <v>479</v>
      </c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 t="s">
        <v>239</v>
      </c>
      <c r="AA50" s="50" t="s">
        <v>239</v>
      </c>
      <c r="AB50" s="50" t="s">
        <v>239</v>
      </c>
      <c r="AC50" s="50" t="s">
        <v>239</v>
      </c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</row>
    <row r="51" spans="1:42" s="1" customFormat="1" ht="39" x14ac:dyDescent="0.2">
      <c r="A51" s="50">
        <v>60</v>
      </c>
      <c r="B51" s="10"/>
      <c r="C51" s="10"/>
      <c r="D51" s="10" t="s">
        <v>144</v>
      </c>
      <c r="E51" s="21"/>
      <c r="F51" s="10"/>
      <c r="G51" s="10"/>
      <c r="H51" s="10"/>
      <c r="I51" s="10" t="s">
        <v>130</v>
      </c>
      <c r="J51" s="10"/>
      <c r="K51" s="10" t="s">
        <v>240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 t="s">
        <v>480</v>
      </c>
      <c r="W51" s="10" t="s">
        <v>481</v>
      </c>
      <c r="X51" s="10"/>
      <c r="Z51" s="10"/>
      <c r="AA51" s="10"/>
      <c r="AB51" s="10"/>
      <c r="AC51" s="10"/>
      <c r="AE51" s="10" t="s">
        <v>317</v>
      </c>
      <c r="AF51" s="10"/>
      <c r="AG51" s="10"/>
      <c r="AH51" s="10"/>
      <c r="AI51" s="10"/>
      <c r="AJ51" s="10"/>
      <c r="AK51" s="10"/>
      <c r="AL51" s="10"/>
      <c r="AM51" s="10"/>
      <c r="AN51" s="10"/>
      <c r="AP51" s="14"/>
    </row>
    <row r="52" spans="1:42" s="1" customFormat="1" x14ac:dyDescent="0.2">
      <c r="A52" s="10">
        <v>60</v>
      </c>
      <c r="B52" s="10"/>
      <c r="C52" s="10"/>
      <c r="D52" s="10" t="s">
        <v>424</v>
      </c>
      <c r="E52" s="21" t="s">
        <v>540</v>
      </c>
      <c r="F52" s="10" t="s">
        <v>27</v>
      </c>
      <c r="G52" s="10" t="s">
        <v>9</v>
      </c>
      <c r="H52" s="10"/>
      <c r="I52" s="10" t="s">
        <v>262</v>
      </c>
      <c r="J52" s="10"/>
      <c r="K52" s="10" t="s">
        <v>111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Z52" s="10" t="s">
        <v>69</v>
      </c>
      <c r="AA52" s="10" t="s">
        <v>69</v>
      </c>
      <c r="AB52" s="10" t="s">
        <v>69</v>
      </c>
      <c r="AC52" s="10" t="s">
        <v>69</v>
      </c>
      <c r="AE52" s="10" t="s">
        <v>69</v>
      </c>
      <c r="AF52" s="10"/>
      <c r="AG52" s="10"/>
      <c r="AH52" s="10"/>
      <c r="AI52" s="10"/>
      <c r="AJ52" s="10"/>
      <c r="AK52" s="10"/>
      <c r="AL52" s="10"/>
      <c r="AM52" s="10"/>
      <c r="AN52" s="10"/>
      <c r="AP52" s="14"/>
    </row>
    <row r="53" spans="1:42" s="1" customFormat="1" x14ac:dyDescent="0.2">
      <c r="A53" s="10">
        <v>60</v>
      </c>
      <c r="B53" s="10"/>
      <c r="C53" s="10"/>
      <c r="D53" s="10" t="s">
        <v>425</v>
      </c>
      <c r="E53" s="21" t="s">
        <v>541</v>
      </c>
      <c r="F53" s="10" t="s">
        <v>31</v>
      </c>
      <c r="G53" s="10" t="s">
        <v>9</v>
      </c>
      <c r="H53" s="10"/>
      <c r="I53" s="10" t="s">
        <v>33</v>
      </c>
      <c r="J53" s="10"/>
      <c r="K53" s="10" t="s">
        <v>111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69</v>
      </c>
      <c r="AA53" s="10" t="s">
        <v>69</v>
      </c>
      <c r="AB53" s="10" t="s">
        <v>69</v>
      </c>
      <c r="AC53" s="10" t="s">
        <v>69</v>
      </c>
      <c r="AE53" s="10" t="s">
        <v>69</v>
      </c>
      <c r="AF53" s="10"/>
      <c r="AG53" s="10"/>
      <c r="AH53" s="10"/>
      <c r="AI53" s="10"/>
      <c r="AJ53" s="10"/>
      <c r="AK53" s="10"/>
      <c r="AL53" s="10"/>
      <c r="AM53" s="10"/>
      <c r="AN53" s="10"/>
      <c r="AP53" s="14"/>
    </row>
    <row r="54" spans="1:42" s="1" customFormat="1" x14ac:dyDescent="0.2">
      <c r="A54" s="10">
        <v>60</v>
      </c>
      <c r="B54" s="10"/>
      <c r="C54" s="10"/>
      <c r="D54" s="10" t="s">
        <v>426</v>
      </c>
      <c r="E54" s="21" t="s">
        <v>542</v>
      </c>
      <c r="F54" s="10" t="s">
        <v>32</v>
      </c>
      <c r="G54" s="10" t="s">
        <v>9</v>
      </c>
      <c r="H54" s="10"/>
      <c r="I54" s="10" t="s">
        <v>263</v>
      </c>
      <c r="J54" s="10"/>
      <c r="K54" s="10" t="s">
        <v>111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Z54" s="10" t="s">
        <v>69</v>
      </c>
      <c r="AA54" s="10" t="s">
        <v>69</v>
      </c>
      <c r="AB54" s="10" t="s">
        <v>69</v>
      </c>
      <c r="AC54" s="10" t="s">
        <v>69</v>
      </c>
      <c r="AE54" s="10" t="s">
        <v>69</v>
      </c>
      <c r="AF54" s="10"/>
      <c r="AG54" s="10"/>
      <c r="AH54" s="10"/>
      <c r="AI54" s="10"/>
      <c r="AJ54" s="10"/>
      <c r="AK54" s="10"/>
      <c r="AL54" s="10"/>
      <c r="AM54" s="10"/>
      <c r="AN54" s="10"/>
      <c r="AP54" s="14"/>
    </row>
    <row r="55" spans="1:42" s="1" customFormat="1" x14ac:dyDescent="0.2">
      <c r="A55" s="10">
        <v>60</v>
      </c>
      <c r="B55" s="10"/>
      <c r="C55" s="10"/>
      <c r="D55" s="10" t="s">
        <v>427</v>
      </c>
      <c r="E55" s="21" t="s">
        <v>543</v>
      </c>
      <c r="F55" s="10" t="s">
        <v>53</v>
      </c>
      <c r="G55" s="10" t="s">
        <v>9</v>
      </c>
      <c r="H55" s="10"/>
      <c r="I55" s="10"/>
      <c r="J55" s="10"/>
      <c r="K55" s="10" t="s">
        <v>71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69</v>
      </c>
      <c r="AA55" s="10" t="s">
        <v>69</v>
      </c>
      <c r="AB55" s="10" t="s">
        <v>69</v>
      </c>
      <c r="AC55" s="10" t="s">
        <v>69</v>
      </c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P55" s="14"/>
    </row>
    <row r="56" spans="1:42" s="1" customFormat="1" x14ac:dyDescent="0.2">
      <c r="A56" s="10">
        <v>60</v>
      </c>
      <c r="B56" s="10"/>
      <c r="C56" s="10"/>
      <c r="D56" s="10" t="s">
        <v>428</v>
      </c>
      <c r="E56" s="21" t="s">
        <v>544</v>
      </c>
      <c r="F56" s="10" t="s">
        <v>91</v>
      </c>
      <c r="G56" s="10" t="s">
        <v>92</v>
      </c>
      <c r="H56" s="10"/>
      <c r="I56" s="10" t="s">
        <v>232</v>
      </c>
      <c r="J56" s="10"/>
      <c r="K56" s="10" t="s">
        <v>233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Z56" s="10" t="s">
        <v>69</v>
      </c>
      <c r="AA56" s="10" t="s">
        <v>69</v>
      </c>
      <c r="AB56" s="10" t="s">
        <v>69</v>
      </c>
      <c r="AC56" s="10" t="s">
        <v>69</v>
      </c>
      <c r="AE56" s="10" t="s">
        <v>69</v>
      </c>
      <c r="AF56" s="10"/>
      <c r="AG56" s="10"/>
      <c r="AH56" s="10"/>
      <c r="AI56" s="10"/>
      <c r="AJ56" s="10"/>
      <c r="AK56" s="10"/>
      <c r="AL56" s="10"/>
      <c r="AM56" s="10"/>
      <c r="AN56" s="10"/>
      <c r="AP56" s="14"/>
    </row>
    <row r="57" spans="1:42" s="1" customFormat="1" x14ac:dyDescent="0.2">
      <c r="A57" s="10">
        <v>60</v>
      </c>
      <c r="B57" s="10"/>
      <c r="C57" s="10"/>
      <c r="D57" s="10" t="s">
        <v>429</v>
      </c>
      <c r="E57" s="21" t="s">
        <v>545</v>
      </c>
      <c r="F57" s="10" t="s">
        <v>93</v>
      </c>
      <c r="G57" s="10" t="s">
        <v>94</v>
      </c>
      <c r="H57" s="10"/>
      <c r="I57" s="10" t="s">
        <v>232</v>
      </c>
      <c r="J57" s="10"/>
      <c r="K57" s="10" t="s">
        <v>233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69</v>
      </c>
      <c r="AA57" s="10" t="s">
        <v>69</v>
      </c>
      <c r="AB57" s="10" t="s">
        <v>69</v>
      </c>
      <c r="AC57" s="10" t="s">
        <v>69</v>
      </c>
      <c r="AE57" s="10" t="s">
        <v>69</v>
      </c>
      <c r="AF57" s="10"/>
      <c r="AG57" s="10"/>
      <c r="AH57" s="10"/>
      <c r="AI57" s="10"/>
      <c r="AJ57" s="10"/>
      <c r="AK57" s="10"/>
      <c r="AL57" s="10"/>
      <c r="AM57" s="10"/>
      <c r="AN57" s="10"/>
      <c r="AP57" s="14"/>
    </row>
    <row r="58" spans="1:42" s="1" customFormat="1" ht="26" x14ac:dyDescent="0.2">
      <c r="A58" s="10">
        <v>60</v>
      </c>
      <c r="B58" s="10"/>
      <c r="C58" s="10"/>
      <c r="D58" s="10" t="s">
        <v>399</v>
      </c>
      <c r="E58" s="21" t="s">
        <v>546</v>
      </c>
      <c r="F58" s="10" t="s">
        <v>346</v>
      </c>
      <c r="G58" s="10" t="s">
        <v>347</v>
      </c>
      <c r="H58" s="10"/>
      <c r="I58" s="10" t="s">
        <v>348</v>
      </c>
      <c r="J58" s="10"/>
      <c r="K58" s="10" t="s">
        <v>234</v>
      </c>
      <c r="L58" s="10"/>
      <c r="M58" s="10"/>
      <c r="N58" s="10"/>
      <c r="O58" s="10"/>
      <c r="P58" s="10"/>
      <c r="Q58" s="10" t="s">
        <v>349</v>
      </c>
      <c r="R58" s="10"/>
      <c r="S58" s="10" t="s">
        <v>350</v>
      </c>
      <c r="T58" s="10"/>
      <c r="U58" s="10" t="s">
        <v>351</v>
      </c>
      <c r="V58" s="10"/>
      <c r="W58" s="10"/>
      <c r="X58" s="10"/>
      <c r="Z58" s="10" t="s">
        <v>69</v>
      </c>
      <c r="AA58" s="10" t="s">
        <v>69</v>
      </c>
      <c r="AB58" s="10" t="s">
        <v>69</v>
      </c>
      <c r="AC58" s="10" t="s">
        <v>69</v>
      </c>
      <c r="AE58" s="10" t="s">
        <v>69</v>
      </c>
      <c r="AF58" s="10"/>
      <c r="AG58" s="10"/>
      <c r="AH58" s="10"/>
      <c r="AI58" s="10"/>
      <c r="AJ58" s="10"/>
      <c r="AK58" s="10"/>
      <c r="AL58" s="10"/>
      <c r="AM58" s="10"/>
      <c r="AN58" s="10"/>
      <c r="AP58" s="14"/>
    </row>
    <row r="59" spans="1:42" s="1" customFormat="1" ht="26" x14ac:dyDescent="0.2">
      <c r="A59" s="10">
        <v>60</v>
      </c>
      <c r="B59" s="10"/>
      <c r="C59" s="10"/>
      <c r="D59" s="10" t="s">
        <v>400</v>
      </c>
      <c r="E59" s="21" t="s">
        <v>547</v>
      </c>
      <c r="F59" s="10" t="s">
        <v>352</v>
      </c>
      <c r="G59" s="10"/>
      <c r="H59" s="10"/>
      <c r="I59" s="10" t="s">
        <v>353</v>
      </c>
      <c r="J59" s="10"/>
      <c r="K59" s="10" t="s">
        <v>111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69</v>
      </c>
      <c r="AA59" s="10" t="s">
        <v>69</v>
      </c>
      <c r="AB59" s="10" t="s">
        <v>69</v>
      </c>
      <c r="AC59" s="10" t="s">
        <v>69</v>
      </c>
      <c r="AE59" s="10" t="s">
        <v>69</v>
      </c>
      <c r="AF59" s="10"/>
      <c r="AG59" s="10"/>
      <c r="AH59" s="10"/>
      <c r="AI59" s="10"/>
      <c r="AJ59" s="10"/>
      <c r="AK59" s="10"/>
      <c r="AL59" s="10"/>
      <c r="AM59" s="10"/>
      <c r="AN59" s="10"/>
      <c r="AP59" s="14"/>
    </row>
    <row r="60" spans="1:42" s="1" customFormat="1" ht="26" x14ac:dyDescent="0.2">
      <c r="A60" s="10">
        <v>60</v>
      </c>
      <c r="B60" s="10"/>
      <c r="C60" s="10"/>
      <c r="D60" s="10" t="s">
        <v>401</v>
      </c>
      <c r="E60" s="21" t="s">
        <v>548</v>
      </c>
      <c r="F60" s="10" t="s">
        <v>354</v>
      </c>
      <c r="G60" s="10" t="s">
        <v>355</v>
      </c>
      <c r="H60" s="10"/>
      <c r="I60" s="10" t="s">
        <v>348</v>
      </c>
      <c r="J60" s="10"/>
      <c r="K60" s="10" t="s">
        <v>234</v>
      </c>
      <c r="L60" s="10"/>
      <c r="M60" s="10"/>
      <c r="N60" s="10"/>
      <c r="O60" s="10"/>
      <c r="P60" s="10"/>
      <c r="Q60" s="10" t="s">
        <v>356</v>
      </c>
      <c r="R60" s="10"/>
      <c r="S60" s="10" t="s">
        <v>357</v>
      </c>
      <c r="T60" s="10"/>
      <c r="U60" s="10" t="s">
        <v>351</v>
      </c>
      <c r="V60" s="10"/>
      <c r="W60" s="10"/>
      <c r="X60" s="10"/>
      <c r="Z60" s="10" t="s">
        <v>69</v>
      </c>
      <c r="AA60" s="10" t="s">
        <v>69</v>
      </c>
      <c r="AB60" s="10" t="s">
        <v>69</v>
      </c>
      <c r="AC60" s="10" t="s">
        <v>69</v>
      </c>
      <c r="AE60" s="10" t="s">
        <v>69</v>
      </c>
      <c r="AF60" s="10"/>
      <c r="AG60" s="10"/>
      <c r="AH60" s="10"/>
      <c r="AI60" s="10"/>
      <c r="AJ60" s="10"/>
      <c r="AK60" s="10"/>
      <c r="AL60" s="10"/>
      <c r="AM60" s="10"/>
      <c r="AN60" s="10"/>
      <c r="AP60" s="14"/>
    </row>
    <row r="61" spans="1:42" s="1" customFormat="1" ht="26" x14ac:dyDescent="0.2">
      <c r="A61" s="10">
        <v>60</v>
      </c>
      <c r="B61" s="10"/>
      <c r="C61" s="10"/>
      <c r="D61" s="10" t="s">
        <v>402</v>
      </c>
      <c r="E61" s="21" t="s">
        <v>549</v>
      </c>
      <c r="F61" s="10" t="s">
        <v>358</v>
      </c>
      <c r="G61" s="10"/>
      <c r="H61" s="10"/>
      <c r="I61" s="10" t="s">
        <v>353</v>
      </c>
      <c r="J61" s="10"/>
      <c r="K61" s="10" t="s">
        <v>111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69</v>
      </c>
      <c r="AA61" s="10" t="s">
        <v>69</v>
      </c>
      <c r="AB61" s="10" t="s">
        <v>69</v>
      </c>
      <c r="AC61" s="10" t="s">
        <v>69</v>
      </c>
      <c r="AE61" s="10" t="s">
        <v>69</v>
      </c>
      <c r="AF61" s="10"/>
      <c r="AG61" s="10"/>
      <c r="AH61" s="10"/>
      <c r="AI61" s="10"/>
      <c r="AJ61" s="10"/>
      <c r="AK61" s="10"/>
      <c r="AL61" s="10"/>
      <c r="AM61" s="10"/>
      <c r="AN61" s="10"/>
      <c r="AP61" s="14"/>
    </row>
    <row r="62" spans="1:42" s="1" customFormat="1" ht="26" x14ac:dyDescent="0.2">
      <c r="A62" s="10">
        <v>60</v>
      </c>
      <c r="B62" s="10"/>
      <c r="C62" s="10"/>
      <c r="D62" s="10" t="s">
        <v>403</v>
      </c>
      <c r="E62" s="21" t="s">
        <v>550</v>
      </c>
      <c r="F62" s="10" t="s">
        <v>359</v>
      </c>
      <c r="G62" s="10" t="s">
        <v>360</v>
      </c>
      <c r="H62" s="10"/>
      <c r="I62" s="10" t="s">
        <v>348</v>
      </c>
      <c r="J62" s="10"/>
      <c r="K62" s="10" t="s">
        <v>234</v>
      </c>
      <c r="L62" s="10"/>
      <c r="M62" s="10"/>
      <c r="N62" s="10"/>
      <c r="O62" s="10"/>
      <c r="P62" s="10"/>
      <c r="Q62" s="10" t="s">
        <v>361</v>
      </c>
      <c r="R62" s="10"/>
      <c r="S62" s="10" t="s">
        <v>362</v>
      </c>
      <c r="T62" s="10"/>
      <c r="U62" s="10" t="s">
        <v>351</v>
      </c>
      <c r="V62" s="10"/>
      <c r="W62" s="10"/>
      <c r="X62" s="10"/>
      <c r="Z62" s="10" t="s">
        <v>69</v>
      </c>
      <c r="AA62" s="10" t="s">
        <v>69</v>
      </c>
      <c r="AB62" s="10" t="s">
        <v>69</v>
      </c>
      <c r="AC62" s="10" t="s">
        <v>69</v>
      </c>
      <c r="AE62" s="10" t="s">
        <v>69</v>
      </c>
      <c r="AF62" s="10"/>
      <c r="AG62" s="10"/>
      <c r="AH62" s="10"/>
      <c r="AI62" s="10"/>
      <c r="AJ62" s="10"/>
      <c r="AK62" s="10"/>
      <c r="AL62" s="10"/>
      <c r="AM62" s="10"/>
      <c r="AN62" s="10"/>
      <c r="AP62" s="14"/>
    </row>
    <row r="63" spans="1:42" s="1" customFormat="1" ht="26" x14ac:dyDescent="0.2">
      <c r="A63" s="10">
        <v>60</v>
      </c>
      <c r="B63" s="10"/>
      <c r="C63" s="10"/>
      <c r="D63" s="10" t="s">
        <v>404</v>
      </c>
      <c r="E63" s="21" t="s">
        <v>551</v>
      </c>
      <c r="F63" s="10" t="s">
        <v>363</v>
      </c>
      <c r="G63" s="10"/>
      <c r="H63" s="10"/>
      <c r="I63" s="10" t="s">
        <v>353</v>
      </c>
      <c r="J63" s="10"/>
      <c r="K63" s="10" t="s">
        <v>111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69</v>
      </c>
      <c r="AA63" s="10" t="s">
        <v>69</v>
      </c>
      <c r="AB63" s="10" t="s">
        <v>69</v>
      </c>
      <c r="AC63" s="10" t="s">
        <v>69</v>
      </c>
      <c r="AE63" s="10" t="s">
        <v>69</v>
      </c>
      <c r="AF63" s="10"/>
      <c r="AG63" s="10"/>
      <c r="AH63" s="10"/>
      <c r="AI63" s="10"/>
      <c r="AJ63" s="10"/>
      <c r="AK63" s="10"/>
      <c r="AL63" s="10"/>
      <c r="AM63" s="10"/>
      <c r="AN63" s="10"/>
      <c r="AP63" s="14"/>
    </row>
    <row r="64" spans="1:42" s="1" customFormat="1" ht="26" x14ac:dyDescent="0.2">
      <c r="A64" s="10">
        <v>60</v>
      </c>
      <c r="B64" s="10"/>
      <c r="C64" s="10"/>
      <c r="D64" s="10" t="s">
        <v>405</v>
      </c>
      <c r="E64" s="21" t="s">
        <v>552</v>
      </c>
      <c r="F64" s="10" t="s">
        <v>364</v>
      </c>
      <c r="G64" s="10" t="s">
        <v>365</v>
      </c>
      <c r="H64" s="10"/>
      <c r="I64" s="10" t="s">
        <v>348</v>
      </c>
      <c r="J64" s="10"/>
      <c r="K64" s="10" t="s">
        <v>234</v>
      </c>
      <c r="L64" s="10"/>
      <c r="M64" s="10"/>
      <c r="N64" s="10"/>
      <c r="O64" s="10"/>
      <c r="P64" s="10"/>
      <c r="Q64" s="10" t="s">
        <v>366</v>
      </c>
      <c r="R64" s="10"/>
      <c r="S64" s="10" t="s">
        <v>367</v>
      </c>
      <c r="T64" s="10"/>
      <c r="U64" s="10" t="s">
        <v>351</v>
      </c>
      <c r="V64" s="10"/>
      <c r="W64" s="10"/>
      <c r="X64" s="10"/>
      <c r="Z64" s="10" t="s">
        <v>69</v>
      </c>
      <c r="AA64" s="10" t="s">
        <v>69</v>
      </c>
      <c r="AB64" s="10" t="s">
        <v>69</v>
      </c>
      <c r="AC64" s="10" t="s">
        <v>69</v>
      </c>
      <c r="AE64" s="10" t="s">
        <v>69</v>
      </c>
      <c r="AF64" s="10"/>
      <c r="AG64" s="10"/>
      <c r="AH64" s="10"/>
      <c r="AI64" s="10"/>
      <c r="AJ64" s="10"/>
      <c r="AK64" s="10"/>
      <c r="AL64" s="10"/>
      <c r="AM64" s="10"/>
      <c r="AN64" s="10"/>
      <c r="AP64" s="14"/>
    </row>
    <row r="65" spans="1:42" s="1" customFormat="1" ht="26" x14ac:dyDescent="0.2">
      <c r="A65" s="10">
        <v>60</v>
      </c>
      <c r="B65" s="10"/>
      <c r="C65" s="10"/>
      <c r="D65" s="10" t="s">
        <v>406</v>
      </c>
      <c r="E65" s="21" t="s">
        <v>553</v>
      </c>
      <c r="F65" s="10" t="s">
        <v>368</v>
      </c>
      <c r="G65" s="10"/>
      <c r="H65" s="10"/>
      <c r="I65" s="10" t="s">
        <v>353</v>
      </c>
      <c r="J65" s="10"/>
      <c r="K65" s="10" t="s">
        <v>111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69</v>
      </c>
      <c r="AA65" s="10" t="s">
        <v>69</v>
      </c>
      <c r="AB65" s="10" t="s">
        <v>69</v>
      </c>
      <c r="AC65" s="10" t="s">
        <v>69</v>
      </c>
      <c r="AE65" s="10" t="s">
        <v>69</v>
      </c>
      <c r="AF65" s="10"/>
      <c r="AG65" s="10"/>
      <c r="AH65" s="10"/>
      <c r="AI65" s="10"/>
      <c r="AJ65" s="10"/>
      <c r="AK65" s="10"/>
      <c r="AL65" s="10"/>
      <c r="AM65" s="10"/>
      <c r="AN65" s="10"/>
      <c r="AP65" s="14"/>
    </row>
    <row r="66" spans="1:42" s="1" customFormat="1" ht="26" x14ac:dyDescent="0.2">
      <c r="A66" s="10">
        <v>60</v>
      </c>
      <c r="B66" s="10"/>
      <c r="C66" s="10"/>
      <c r="D66" s="10" t="s">
        <v>407</v>
      </c>
      <c r="E66" s="21" t="s">
        <v>554</v>
      </c>
      <c r="F66" s="10" t="s">
        <v>369</v>
      </c>
      <c r="G66" s="10" t="s">
        <v>370</v>
      </c>
      <c r="H66" s="10"/>
      <c r="I66" s="10" t="s">
        <v>348</v>
      </c>
      <c r="J66" s="10"/>
      <c r="K66" s="10" t="s">
        <v>234</v>
      </c>
      <c r="L66" s="10"/>
      <c r="M66" s="10"/>
      <c r="N66" s="10"/>
      <c r="O66" s="10"/>
      <c r="P66" s="10"/>
      <c r="Q66" s="10" t="s">
        <v>371</v>
      </c>
      <c r="R66" s="10"/>
      <c r="S66" s="10" t="s">
        <v>372</v>
      </c>
      <c r="T66" s="10"/>
      <c r="U66" s="10" t="s">
        <v>351</v>
      </c>
      <c r="V66" s="10"/>
      <c r="W66" s="10"/>
      <c r="X66" s="10"/>
      <c r="Z66" s="10" t="s">
        <v>69</v>
      </c>
      <c r="AA66" s="10" t="s">
        <v>69</v>
      </c>
      <c r="AB66" s="10" t="s">
        <v>69</v>
      </c>
      <c r="AC66" s="10" t="s">
        <v>69</v>
      </c>
      <c r="AE66" s="10" t="s">
        <v>69</v>
      </c>
      <c r="AF66" s="10"/>
      <c r="AG66" s="10"/>
      <c r="AH66" s="10"/>
      <c r="AI66" s="10"/>
      <c r="AJ66" s="10"/>
      <c r="AK66" s="10"/>
      <c r="AL66" s="10"/>
      <c r="AM66" s="10"/>
      <c r="AN66" s="10"/>
      <c r="AP66" s="14"/>
    </row>
    <row r="67" spans="1:42" s="1" customFormat="1" ht="26" x14ac:dyDescent="0.2">
      <c r="A67" s="10">
        <v>60</v>
      </c>
      <c r="B67" s="10"/>
      <c r="C67" s="10"/>
      <c r="D67" s="10" t="s">
        <v>408</v>
      </c>
      <c r="E67" s="21" t="s">
        <v>555</v>
      </c>
      <c r="F67" s="10" t="s">
        <v>373</v>
      </c>
      <c r="G67" s="10"/>
      <c r="H67" s="10"/>
      <c r="I67" s="10" t="s">
        <v>353</v>
      </c>
      <c r="J67" s="10"/>
      <c r="K67" s="10" t="s">
        <v>111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69</v>
      </c>
      <c r="AA67" s="10" t="s">
        <v>69</v>
      </c>
      <c r="AB67" s="10" t="s">
        <v>69</v>
      </c>
      <c r="AC67" s="10" t="s">
        <v>69</v>
      </c>
      <c r="AE67" s="10" t="s">
        <v>69</v>
      </c>
      <c r="AF67" s="10"/>
      <c r="AG67" s="10"/>
      <c r="AH67" s="10"/>
      <c r="AI67" s="10"/>
      <c r="AJ67" s="10"/>
      <c r="AK67" s="10"/>
      <c r="AL67" s="10"/>
      <c r="AM67" s="10"/>
      <c r="AN67" s="10"/>
      <c r="AP67" s="14"/>
    </row>
    <row r="68" spans="1:42" s="1" customFormat="1" ht="26" x14ac:dyDescent="0.2">
      <c r="A68" s="10">
        <v>60</v>
      </c>
      <c r="B68" s="10"/>
      <c r="C68" s="10"/>
      <c r="D68" s="10" t="s">
        <v>409</v>
      </c>
      <c r="E68" s="21" t="s">
        <v>556</v>
      </c>
      <c r="F68" s="10" t="s">
        <v>374</v>
      </c>
      <c r="G68" s="10" t="s">
        <v>375</v>
      </c>
      <c r="H68" s="10"/>
      <c r="I68" s="10" t="s">
        <v>348</v>
      </c>
      <c r="J68" s="10"/>
      <c r="K68" s="10" t="s">
        <v>234</v>
      </c>
      <c r="L68" s="10"/>
      <c r="M68" s="10"/>
      <c r="N68" s="10"/>
      <c r="O68" s="10"/>
      <c r="P68" s="10"/>
      <c r="Q68" s="10" t="s">
        <v>376</v>
      </c>
      <c r="R68" s="10"/>
      <c r="S68" s="10" t="s">
        <v>377</v>
      </c>
      <c r="T68" s="10"/>
      <c r="U68" s="10" t="s">
        <v>351</v>
      </c>
      <c r="V68" s="10"/>
      <c r="W68" s="10"/>
      <c r="X68" s="10"/>
      <c r="Z68" s="10" t="s">
        <v>69</v>
      </c>
      <c r="AA68" s="10" t="s">
        <v>69</v>
      </c>
      <c r="AB68" s="10" t="s">
        <v>69</v>
      </c>
      <c r="AC68" s="10" t="s">
        <v>69</v>
      </c>
      <c r="AE68" s="10" t="s">
        <v>69</v>
      </c>
      <c r="AF68" s="10"/>
      <c r="AG68" s="10"/>
      <c r="AH68" s="10"/>
      <c r="AI68" s="10"/>
      <c r="AJ68" s="10"/>
      <c r="AK68" s="10"/>
      <c r="AL68" s="10"/>
      <c r="AM68" s="10"/>
      <c r="AN68" s="10"/>
      <c r="AP68" s="14"/>
    </row>
    <row r="69" spans="1:42" s="1" customFormat="1" ht="26" x14ac:dyDescent="0.2">
      <c r="A69" s="10">
        <v>60</v>
      </c>
      <c r="B69" s="10"/>
      <c r="C69" s="10"/>
      <c r="D69" s="10" t="s">
        <v>410</v>
      </c>
      <c r="E69" s="21" t="s">
        <v>557</v>
      </c>
      <c r="F69" s="10" t="s">
        <v>378</v>
      </c>
      <c r="G69" s="10"/>
      <c r="H69" s="10"/>
      <c r="I69" s="10" t="s">
        <v>353</v>
      </c>
      <c r="J69" s="10"/>
      <c r="K69" s="10" t="s">
        <v>111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69</v>
      </c>
      <c r="AA69" s="10" t="s">
        <v>69</v>
      </c>
      <c r="AB69" s="10" t="s">
        <v>69</v>
      </c>
      <c r="AC69" s="10" t="s">
        <v>69</v>
      </c>
      <c r="AE69" s="10" t="s">
        <v>69</v>
      </c>
      <c r="AF69" s="10"/>
      <c r="AG69" s="10"/>
      <c r="AH69" s="10"/>
      <c r="AI69" s="10"/>
      <c r="AJ69" s="10"/>
      <c r="AK69" s="10"/>
      <c r="AL69" s="10"/>
      <c r="AM69" s="10"/>
      <c r="AN69" s="10"/>
      <c r="AP69" s="14"/>
    </row>
    <row r="70" spans="1:42" s="1" customFormat="1" ht="26" x14ac:dyDescent="0.2">
      <c r="A70" s="10">
        <v>60</v>
      </c>
      <c r="B70" s="10"/>
      <c r="C70" s="10"/>
      <c r="D70" s="10" t="s">
        <v>411</v>
      </c>
      <c r="E70" s="21" t="s">
        <v>558</v>
      </c>
      <c r="F70" s="10" t="s">
        <v>379</v>
      </c>
      <c r="G70" s="10" t="s">
        <v>380</v>
      </c>
      <c r="H70" s="10"/>
      <c r="I70" s="10" t="s">
        <v>348</v>
      </c>
      <c r="J70" s="10"/>
      <c r="K70" s="10" t="s">
        <v>234</v>
      </c>
      <c r="L70" s="10"/>
      <c r="M70" s="10"/>
      <c r="N70" s="10"/>
      <c r="O70" s="10"/>
      <c r="P70" s="10"/>
      <c r="Q70" s="10" t="s">
        <v>381</v>
      </c>
      <c r="R70" s="10"/>
      <c r="S70" s="10" t="s">
        <v>382</v>
      </c>
      <c r="T70" s="10"/>
      <c r="U70" s="10" t="s">
        <v>351</v>
      </c>
      <c r="V70" s="10"/>
      <c r="W70" s="10"/>
      <c r="X70" s="10"/>
      <c r="Z70" s="10" t="s">
        <v>69</v>
      </c>
      <c r="AA70" s="10" t="s">
        <v>69</v>
      </c>
      <c r="AB70" s="10" t="s">
        <v>69</v>
      </c>
      <c r="AC70" s="10" t="s">
        <v>69</v>
      </c>
      <c r="AE70" s="10" t="s">
        <v>69</v>
      </c>
      <c r="AF70" s="10"/>
      <c r="AG70" s="10"/>
      <c r="AH70" s="10"/>
      <c r="AI70" s="10"/>
      <c r="AJ70" s="10"/>
      <c r="AK70" s="10"/>
      <c r="AL70" s="10"/>
      <c r="AM70" s="10"/>
      <c r="AN70" s="10"/>
      <c r="AP70" s="14"/>
    </row>
    <row r="71" spans="1:42" s="1" customFormat="1" ht="26" x14ac:dyDescent="0.2">
      <c r="A71" s="10">
        <v>60</v>
      </c>
      <c r="B71" s="10"/>
      <c r="C71" s="10"/>
      <c r="D71" s="10" t="s">
        <v>412</v>
      </c>
      <c r="E71" s="21" t="s">
        <v>559</v>
      </c>
      <c r="F71" s="10" t="s">
        <v>383</v>
      </c>
      <c r="G71" s="10"/>
      <c r="H71" s="10"/>
      <c r="I71" s="10" t="s">
        <v>353</v>
      </c>
      <c r="J71" s="10"/>
      <c r="K71" s="10" t="s">
        <v>111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 t="s">
        <v>69</v>
      </c>
      <c r="AA71" s="10" t="s">
        <v>69</v>
      </c>
      <c r="AB71" s="10" t="s">
        <v>69</v>
      </c>
      <c r="AC71" s="10" t="s">
        <v>69</v>
      </c>
      <c r="AE71" s="10" t="s">
        <v>69</v>
      </c>
      <c r="AF71" s="10"/>
      <c r="AG71" s="10"/>
      <c r="AH71" s="10"/>
      <c r="AI71" s="10"/>
      <c r="AJ71" s="10"/>
      <c r="AK71" s="10"/>
      <c r="AL71" s="10"/>
      <c r="AM71" s="10"/>
      <c r="AN71" s="10"/>
      <c r="AP71" s="14"/>
    </row>
    <row r="72" spans="1:42" s="1" customFormat="1" ht="26" x14ac:dyDescent="0.2">
      <c r="A72" s="10">
        <v>60</v>
      </c>
      <c r="B72" s="10"/>
      <c r="C72" s="10"/>
      <c r="D72" s="10" t="s">
        <v>413</v>
      </c>
      <c r="E72" s="21" t="s">
        <v>560</v>
      </c>
      <c r="F72" s="10" t="s">
        <v>384</v>
      </c>
      <c r="G72" s="10" t="s">
        <v>385</v>
      </c>
      <c r="H72" s="10"/>
      <c r="I72" s="10" t="s">
        <v>348</v>
      </c>
      <c r="J72" s="10"/>
      <c r="K72" s="10" t="s">
        <v>234</v>
      </c>
      <c r="L72" s="10"/>
      <c r="M72" s="10"/>
      <c r="N72" s="10"/>
      <c r="O72" s="10"/>
      <c r="P72" s="10"/>
      <c r="Q72" s="10" t="s">
        <v>386</v>
      </c>
      <c r="R72" s="10"/>
      <c r="S72" s="10" t="s">
        <v>387</v>
      </c>
      <c r="T72" s="10"/>
      <c r="U72" s="10" t="s">
        <v>351</v>
      </c>
      <c r="V72" s="10"/>
      <c r="W72" s="10"/>
      <c r="X72" s="10"/>
      <c r="Z72" s="10" t="s">
        <v>69</v>
      </c>
      <c r="AA72" s="10" t="s">
        <v>69</v>
      </c>
      <c r="AB72" s="10" t="s">
        <v>69</v>
      </c>
      <c r="AC72" s="10" t="s">
        <v>69</v>
      </c>
      <c r="AE72" s="10" t="s">
        <v>69</v>
      </c>
      <c r="AF72" s="10"/>
      <c r="AG72" s="10"/>
      <c r="AH72" s="10"/>
      <c r="AI72" s="10"/>
      <c r="AJ72" s="10"/>
      <c r="AK72" s="10"/>
      <c r="AL72" s="10"/>
      <c r="AM72" s="10"/>
      <c r="AN72" s="10"/>
      <c r="AP72" s="14"/>
    </row>
    <row r="73" spans="1:42" s="1" customFormat="1" ht="26" x14ac:dyDescent="0.2">
      <c r="A73" s="10">
        <v>60</v>
      </c>
      <c r="B73" s="10"/>
      <c r="C73" s="10"/>
      <c r="D73" s="10" t="s">
        <v>414</v>
      </c>
      <c r="E73" s="21" t="s">
        <v>561</v>
      </c>
      <c r="F73" s="10" t="s">
        <v>388</v>
      </c>
      <c r="G73" s="10"/>
      <c r="H73" s="10"/>
      <c r="I73" s="10" t="s">
        <v>353</v>
      </c>
      <c r="J73" s="10"/>
      <c r="K73" s="10" t="s">
        <v>111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Z73" s="10" t="s">
        <v>69</v>
      </c>
      <c r="AA73" s="10" t="s">
        <v>69</v>
      </c>
      <c r="AB73" s="10" t="s">
        <v>69</v>
      </c>
      <c r="AC73" s="10" t="s">
        <v>69</v>
      </c>
      <c r="AE73" s="10" t="s">
        <v>69</v>
      </c>
      <c r="AF73" s="10"/>
      <c r="AG73" s="10"/>
      <c r="AH73" s="10"/>
      <c r="AI73" s="10"/>
      <c r="AJ73" s="10"/>
      <c r="AK73" s="10"/>
      <c r="AL73" s="10"/>
      <c r="AM73" s="10"/>
      <c r="AN73" s="10"/>
      <c r="AP73" s="14"/>
    </row>
    <row r="74" spans="1:42" s="1" customFormat="1" ht="26" x14ac:dyDescent="0.2">
      <c r="A74" s="10">
        <v>60</v>
      </c>
      <c r="B74" s="10"/>
      <c r="C74" s="10"/>
      <c r="D74" s="10" t="s">
        <v>415</v>
      </c>
      <c r="E74" s="21" t="s">
        <v>562</v>
      </c>
      <c r="F74" s="10" t="s">
        <v>389</v>
      </c>
      <c r="G74" s="10" t="s">
        <v>390</v>
      </c>
      <c r="H74" s="10"/>
      <c r="I74" s="10" t="s">
        <v>348</v>
      </c>
      <c r="J74" s="10"/>
      <c r="K74" s="10" t="s">
        <v>234</v>
      </c>
      <c r="L74" s="10"/>
      <c r="M74" s="10"/>
      <c r="N74" s="10"/>
      <c r="O74" s="10"/>
      <c r="P74" s="10"/>
      <c r="Q74" s="10" t="s">
        <v>391</v>
      </c>
      <c r="R74" s="10"/>
      <c r="S74" s="10" t="s">
        <v>392</v>
      </c>
      <c r="T74" s="10"/>
      <c r="U74" s="10" t="s">
        <v>351</v>
      </c>
      <c r="V74" s="10"/>
      <c r="W74" s="10"/>
      <c r="X74" s="10"/>
      <c r="Z74" s="10" t="s">
        <v>69</v>
      </c>
      <c r="AA74" s="10" t="s">
        <v>69</v>
      </c>
      <c r="AB74" s="10" t="s">
        <v>69</v>
      </c>
      <c r="AC74" s="10" t="s">
        <v>69</v>
      </c>
      <c r="AE74" s="10" t="s">
        <v>69</v>
      </c>
      <c r="AF74" s="10"/>
      <c r="AG74" s="10"/>
      <c r="AH74" s="10"/>
      <c r="AI74" s="10"/>
      <c r="AJ74" s="10"/>
      <c r="AK74" s="10"/>
      <c r="AL74" s="10"/>
      <c r="AM74" s="10"/>
      <c r="AN74" s="10"/>
      <c r="AP74" s="14"/>
    </row>
    <row r="75" spans="1:42" s="1" customFormat="1" ht="26" x14ac:dyDescent="0.2">
      <c r="A75" s="10">
        <v>60</v>
      </c>
      <c r="B75" s="10"/>
      <c r="C75" s="10"/>
      <c r="D75" s="10" t="s">
        <v>416</v>
      </c>
      <c r="E75" s="21" t="s">
        <v>563</v>
      </c>
      <c r="F75" s="10" t="s">
        <v>393</v>
      </c>
      <c r="G75" s="10"/>
      <c r="H75" s="10"/>
      <c r="I75" s="10" t="s">
        <v>353</v>
      </c>
      <c r="J75" s="10"/>
      <c r="K75" s="10" t="s">
        <v>111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 t="s">
        <v>69</v>
      </c>
      <c r="AA75" s="10" t="s">
        <v>69</v>
      </c>
      <c r="AB75" s="10" t="s">
        <v>69</v>
      </c>
      <c r="AC75" s="10" t="s">
        <v>69</v>
      </c>
      <c r="AE75" s="10" t="s">
        <v>69</v>
      </c>
      <c r="AF75" s="10"/>
      <c r="AG75" s="10"/>
      <c r="AH75" s="10"/>
      <c r="AI75" s="10"/>
      <c r="AJ75" s="10"/>
      <c r="AK75" s="10"/>
      <c r="AL75" s="10"/>
      <c r="AM75" s="10"/>
      <c r="AN75" s="10"/>
      <c r="AP75" s="14"/>
    </row>
    <row r="76" spans="1:42" s="1" customFormat="1" ht="26" x14ac:dyDescent="0.2">
      <c r="A76" s="10">
        <v>60</v>
      </c>
      <c r="B76" s="10"/>
      <c r="C76" s="10"/>
      <c r="D76" s="10" t="s">
        <v>417</v>
      </c>
      <c r="E76" s="21" t="s">
        <v>564</v>
      </c>
      <c r="F76" s="10" t="s">
        <v>394</v>
      </c>
      <c r="G76" s="10" t="s">
        <v>395</v>
      </c>
      <c r="H76" s="10"/>
      <c r="I76" s="10" t="s">
        <v>348</v>
      </c>
      <c r="J76" s="10"/>
      <c r="K76" s="10" t="s">
        <v>234</v>
      </c>
      <c r="L76" s="10"/>
      <c r="M76" s="10"/>
      <c r="N76" s="10"/>
      <c r="O76" s="10"/>
      <c r="P76" s="10"/>
      <c r="Q76" s="10" t="s">
        <v>396</v>
      </c>
      <c r="R76" s="10"/>
      <c r="S76" s="10" t="s">
        <v>397</v>
      </c>
      <c r="T76" s="10"/>
      <c r="U76" s="10" t="s">
        <v>351</v>
      </c>
      <c r="V76" s="10"/>
      <c r="W76" s="10"/>
      <c r="X76" s="10"/>
      <c r="Z76" s="10" t="s">
        <v>69</v>
      </c>
      <c r="AA76" s="10" t="s">
        <v>69</v>
      </c>
      <c r="AB76" s="10" t="s">
        <v>69</v>
      </c>
      <c r="AC76" s="10" t="s">
        <v>69</v>
      </c>
      <c r="AE76" s="10" t="s">
        <v>69</v>
      </c>
      <c r="AF76" s="10"/>
      <c r="AG76" s="10"/>
      <c r="AH76" s="10"/>
      <c r="AI76" s="10"/>
      <c r="AJ76" s="10"/>
      <c r="AK76" s="10"/>
      <c r="AL76" s="10"/>
      <c r="AM76" s="10"/>
      <c r="AN76" s="10"/>
      <c r="AP76" s="14"/>
    </row>
    <row r="77" spans="1:42" s="1" customFormat="1" ht="26" x14ac:dyDescent="0.2">
      <c r="A77" s="10">
        <v>60</v>
      </c>
      <c r="B77" s="10"/>
      <c r="C77" s="10"/>
      <c r="D77" s="10" t="s">
        <v>418</v>
      </c>
      <c r="E77" s="21" t="s">
        <v>565</v>
      </c>
      <c r="F77" s="10" t="s">
        <v>398</v>
      </c>
      <c r="G77" s="10"/>
      <c r="H77" s="10"/>
      <c r="I77" s="10" t="s">
        <v>353</v>
      </c>
      <c r="J77" s="10"/>
      <c r="K77" s="10" t="s">
        <v>111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Z77" s="10" t="s">
        <v>69</v>
      </c>
      <c r="AA77" s="10" t="s">
        <v>69</v>
      </c>
      <c r="AB77" s="10" t="s">
        <v>69</v>
      </c>
      <c r="AC77" s="10" t="s">
        <v>69</v>
      </c>
      <c r="AE77" s="10" t="s">
        <v>69</v>
      </c>
      <c r="AF77" s="10"/>
      <c r="AG77" s="10"/>
      <c r="AH77" s="10"/>
      <c r="AI77" s="10"/>
      <c r="AJ77" s="10"/>
      <c r="AK77" s="10"/>
      <c r="AL77" s="10"/>
      <c r="AM77" s="10"/>
      <c r="AN77" s="10"/>
      <c r="AP77" s="14"/>
    </row>
    <row r="78" spans="1:42" s="1" customFormat="1" ht="52" x14ac:dyDescent="0.2">
      <c r="A78" s="40"/>
      <c r="AE78" s="22" t="s">
        <v>611</v>
      </c>
      <c r="AF78" s="22" t="s">
        <v>612</v>
      </c>
      <c r="AG78" s="22"/>
      <c r="AH78" s="22"/>
      <c r="AI78" s="22" t="s">
        <v>611</v>
      </c>
      <c r="AJ78" s="22" t="s">
        <v>612</v>
      </c>
      <c r="AK78" s="22" t="s">
        <v>611</v>
      </c>
      <c r="AL78" s="22" t="s">
        <v>612</v>
      </c>
      <c r="AM78" s="22" t="s">
        <v>611</v>
      </c>
      <c r="AN78" s="22" t="s">
        <v>612</v>
      </c>
      <c r="AP78" s="15"/>
    </row>
    <row r="79" spans="1:42" s="1" customFormat="1" x14ac:dyDescent="0.2">
      <c r="A79" s="28">
        <v>70</v>
      </c>
      <c r="B79" s="24" t="s">
        <v>0</v>
      </c>
      <c r="C79" s="24"/>
      <c r="D79" s="24" t="s">
        <v>442</v>
      </c>
      <c r="E79" s="25"/>
      <c r="F79" s="24"/>
      <c r="G79" s="24"/>
      <c r="H79" s="24"/>
      <c r="I79" s="24" t="s">
        <v>228</v>
      </c>
      <c r="J79" s="24"/>
      <c r="K79" s="24" t="s">
        <v>15</v>
      </c>
      <c r="L79" s="24"/>
      <c r="M79" s="24"/>
      <c r="N79" s="24"/>
      <c r="O79" s="24"/>
      <c r="P79" s="24"/>
      <c r="Q79" s="26"/>
      <c r="R79" s="26"/>
      <c r="S79" s="26"/>
      <c r="T79" s="26"/>
      <c r="U79" s="26"/>
      <c r="V79" s="26"/>
      <c r="W79" s="26"/>
      <c r="X79" s="26"/>
      <c r="Y79" s="49"/>
      <c r="Z79" s="26"/>
      <c r="AA79" s="26"/>
      <c r="AB79" s="26"/>
      <c r="AC79" s="26"/>
      <c r="AD79" s="49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49"/>
      <c r="AP79" s="27"/>
    </row>
    <row r="80" spans="1:42" s="1" customFormat="1" ht="52" x14ac:dyDescent="0.2">
      <c r="A80" s="40"/>
      <c r="AE80" s="22" t="s">
        <v>611</v>
      </c>
      <c r="AF80" s="22" t="s">
        <v>612</v>
      </c>
      <c r="AG80" s="22"/>
      <c r="AH80" s="22"/>
      <c r="AI80" s="22" t="s">
        <v>611</v>
      </c>
      <c r="AJ80" s="22" t="s">
        <v>612</v>
      </c>
      <c r="AK80" s="22" t="s">
        <v>611</v>
      </c>
      <c r="AL80" s="22" t="s">
        <v>612</v>
      </c>
      <c r="AM80" s="22" t="s">
        <v>611</v>
      </c>
      <c r="AN80" s="22" t="s">
        <v>612</v>
      </c>
      <c r="AP80" s="15"/>
    </row>
    <row r="81" spans="1:42" s="1" customFormat="1" x14ac:dyDescent="0.2">
      <c r="A81" s="28">
        <v>80</v>
      </c>
      <c r="B81" s="24" t="s">
        <v>0</v>
      </c>
      <c r="C81" s="24"/>
      <c r="D81" s="24" t="s">
        <v>443</v>
      </c>
      <c r="E81" s="25"/>
      <c r="F81" s="24"/>
      <c r="G81" s="24"/>
      <c r="H81" s="24"/>
      <c r="I81" s="24" t="s">
        <v>228</v>
      </c>
      <c r="J81" s="24"/>
      <c r="K81" s="24" t="s">
        <v>15</v>
      </c>
      <c r="L81" s="24"/>
      <c r="M81" s="24"/>
      <c r="N81" s="24"/>
      <c r="O81" s="24"/>
      <c r="P81" s="24"/>
      <c r="Q81" s="26"/>
      <c r="R81" s="26"/>
      <c r="S81" s="26"/>
      <c r="T81" s="26"/>
      <c r="U81" s="26"/>
      <c r="V81" s="26"/>
      <c r="W81" s="26"/>
      <c r="X81" s="26"/>
      <c r="Y81" s="49"/>
      <c r="Z81" s="26"/>
      <c r="AA81" s="26"/>
      <c r="AB81" s="26"/>
      <c r="AC81" s="26"/>
      <c r="AD81" s="49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49"/>
      <c r="AP81" s="27"/>
    </row>
    <row r="82" spans="1:42" s="1" customFormat="1" ht="52" x14ac:dyDescent="0.2">
      <c r="A82" s="40"/>
      <c r="AE82" s="22" t="s">
        <v>611</v>
      </c>
      <c r="AF82" s="22" t="s">
        <v>612</v>
      </c>
      <c r="AG82" s="22" t="s">
        <v>611</v>
      </c>
      <c r="AH82" s="22" t="s">
        <v>612</v>
      </c>
      <c r="AI82" s="22" t="s">
        <v>611</v>
      </c>
      <c r="AJ82" s="22" t="s">
        <v>612</v>
      </c>
      <c r="AK82" s="22" t="s">
        <v>611</v>
      </c>
      <c r="AL82" s="22" t="s">
        <v>612</v>
      </c>
      <c r="AM82" s="22" t="s">
        <v>611</v>
      </c>
      <c r="AN82" s="22" t="s">
        <v>612</v>
      </c>
      <c r="AP82" s="15"/>
    </row>
    <row r="83" spans="1:42" s="1" customFormat="1" x14ac:dyDescent="0.2">
      <c r="A83" s="10">
        <v>90</v>
      </c>
      <c r="B83" s="11" t="s">
        <v>0</v>
      </c>
      <c r="C83" s="11"/>
      <c r="D83" s="11" t="s">
        <v>101</v>
      </c>
      <c r="E83" s="12"/>
      <c r="F83" s="11"/>
      <c r="G83" s="11"/>
      <c r="H83" s="11"/>
      <c r="I83" s="11" t="s">
        <v>228</v>
      </c>
      <c r="J83" s="11"/>
      <c r="K83" s="10" t="s">
        <v>15</v>
      </c>
      <c r="L83" s="10" t="s">
        <v>264</v>
      </c>
      <c r="M83" s="10" t="s">
        <v>265</v>
      </c>
      <c r="N83" s="10" t="s">
        <v>54</v>
      </c>
      <c r="O83" s="10"/>
      <c r="P83" s="11"/>
      <c r="Q83" s="17"/>
      <c r="R83" s="17"/>
      <c r="S83" s="17"/>
      <c r="T83" s="17"/>
      <c r="U83" s="17"/>
      <c r="V83" s="17"/>
      <c r="W83" s="17"/>
      <c r="X83" s="17"/>
      <c r="Y83" s="16"/>
      <c r="Z83" s="17"/>
      <c r="AA83" s="17"/>
      <c r="AB83" s="17"/>
      <c r="AC83" s="17"/>
      <c r="AD83" s="16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6"/>
      <c r="AP83" s="14"/>
    </row>
    <row r="84" spans="1:42" s="1" customFormat="1" x14ac:dyDescent="0.2">
      <c r="A84" s="10">
        <v>90</v>
      </c>
      <c r="B84" s="10"/>
      <c r="C84" s="10"/>
      <c r="D84" s="10" t="s">
        <v>100</v>
      </c>
      <c r="E84" s="21"/>
      <c r="F84" s="10"/>
      <c r="G84" s="10"/>
      <c r="H84" s="10"/>
      <c r="I84" s="10"/>
      <c r="J84" s="10"/>
      <c r="K84" s="10" t="s">
        <v>238</v>
      </c>
      <c r="L84" s="10" t="s">
        <v>266</v>
      </c>
      <c r="M84" s="10" t="s">
        <v>54</v>
      </c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/>
      <c r="AA84" s="10"/>
      <c r="AB84" s="10"/>
      <c r="AC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P84" s="14"/>
    </row>
    <row r="85" spans="1:42" s="1" customFormat="1" x14ac:dyDescent="0.2">
      <c r="A85" s="40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P85" s="15"/>
    </row>
    <row r="86" spans="1:42" s="1" customFormat="1" x14ac:dyDescent="0.2">
      <c r="A86" s="10">
        <v>100</v>
      </c>
      <c r="B86" s="11" t="s">
        <v>11</v>
      </c>
      <c r="C86" s="11"/>
      <c r="D86" s="11" t="s">
        <v>187</v>
      </c>
      <c r="E86" s="12"/>
      <c r="F86" s="11"/>
      <c r="G86" s="11"/>
      <c r="H86" s="11"/>
      <c r="I86" s="11" t="s">
        <v>228</v>
      </c>
      <c r="J86" s="11"/>
      <c r="K86" s="11" t="s">
        <v>15</v>
      </c>
      <c r="L86" s="11" t="s">
        <v>229</v>
      </c>
      <c r="M86" s="11" t="s">
        <v>267</v>
      </c>
      <c r="N86" s="10" t="s">
        <v>268</v>
      </c>
      <c r="O86" s="11"/>
      <c r="P86" s="11"/>
      <c r="Q86" s="17"/>
      <c r="R86" s="17"/>
      <c r="S86" s="17"/>
      <c r="T86" s="17"/>
      <c r="U86" s="17"/>
      <c r="V86" s="17"/>
      <c r="W86" s="17"/>
      <c r="X86" s="17"/>
      <c r="Y86" s="16"/>
      <c r="Z86" s="17"/>
      <c r="AA86" s="17"/>
      <c r="AB86" s="17"/>
      <c r="AC86" s="17"/>
      <c r="AD86" s="16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6"/>
      <c r="AP86" s="14"/>
    </row>
    <row r="87" spans="1:42" s="1" customFormat="1" ht="26" x14ac:dyDescent="0.2">
      <c r="A87" s="10">
        <v>100</v>
      </c>
      <c r="B87" s="10"/>
      <c r="C87" s="10"/>
      <c r="D87" s="10" t="s">
        <v>188</v>
      </c>
      <c r="E87" s="21" t="s">
        <v>566</v>
      </c>
      <c r="F87" s="10" t="s">
        <v>189</v>
      </c>
      <c r="G87" s="10" t="s">
        <v>190</v>
      </c>
      <c r="H87" s="10"/>
      <c r="I87" s="10"/>
      <c r="J87" s="10"/>
      <c r="K87" s="10" t="s">
        <v>16</v>
      </c>
      <c r="L87" s="10"/>
      <c r="M87" s="10"/>
      <c r="N87" s="10"/>
      <c r="O87" s="10"/>
      <c r="P87" s="10"/>
      <c r="Q87" s="10"/>
      <c r="R87" s="10"/>
      <c r="S87" s="10"/>
      <c r="T87" s="10" t="s">
        <v>269</v>
      </c>
      <c r="U87" s="10"/>
      <c r="V87" s="10"/>
      <c r="W87" s="10"/>
      <c r="X87" s="10"/>
      <c r="Z87" s="10" t="s">
        <v>173</v>
      </c>
      <c r="AA87" s="10" t="s">
        <v>173</v>
      </c>
      <c r="AB87" s="10" t="s">
        <v>173</v>
      </c>
      <c r="AC87" s="10" t="s">
        <v>173</v>
      </c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P87" s="14"/>
    </row>
    <row r="88" spans="1:42" s="1" customFormat="1" ht="26" x14ac:dyDescent="0.2">
      <c r="A88" s="10">
        <v>100</v>
      </c>
      <c r="B88" s="10"/>
      <c r="C88" s="10"/>
      <c r="D88" s="10" t="s">
        <v>191</v>
      </c>
      <c r="E88" s="21" t="s">
        <v>567</v>
      </c>
      <c r="F88" s="10" t="s">
        <v>192</v>
      </c>
      <c r="G88" s="10" t="s">
        <v>193</v>
      </c>
      <c r="H88" s="10"/>
      <c r="I88" s="10"/>
      <c r="J88" s="10"/>
      <c r="K88" s="10" t="s">
        <v>16</v>
      </c>
      <c r="L88" s="10"/>
      <c r="M88" s="10"/>
      <c r="N88" s="10"/>
      <c r="O88" s="10"/>
      <c r="P88" s="10"/>
      <c r="Q88" s="10"/>
      <c r="R88" s="10"/>
      <c r="S88" s="10"/>
      <c r="T88" s="10" t="s">
        <v>269</v>
      </c>
      <c r="U88" s="10"/>
      <c r="V88" s="10"/>
      <c r="W88" s="10"/>
      <c r="X88" s="10"/>
      <c r="Z88" s="10" t="s">
        <v>173</v>
      </c>
      <c r="AA88" s="10" t="s">
        <v>173</v>
      </c>
      <c r="AB88" s="10" t="s">
        <v>173</v>
      </c>
      <c r="AC88" s="10" t="s">
        <v>173</v>
      </c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P88" s="14"/>
    </row>
    <row r="89" spans="1:42" s="1" customFormat="1" x14ac:dyDescent="0.2">
      <c r="A89" s="40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P89" s="15"/>
    </row>
    <row r="90" spans="1:42" s="1" customFormat="1" x14ac:dyDescent="0.2">
      <c r="A90" s="10">
        <v>110</v>
      </c>
      <c r="B90" s="11" t="s">
        <v>11</v>
      </c>
      <c r="C90" s="11"/>
      <c r="D90" s="11" t="s">
        <v>129</v>
      </c>
      <c r="E90" s="12"/>
      <c r="F90" s="11"/>
      <c r="G90" s="11"/>
      <c r="H90" s="11"/>
      <c r="I90" s="11" t="s">
        <v>228</v>
      </c>
      <c r="J90" s="11"/>
      <c r="K90" s="11" t="s">
        <v>15</v>
      </c>
      <c r="L90" s="11"/>
      <c r="M90" s="11" t="s">
        <v>445</v>
      </c>
      <c r="N90" s="11" t="s">
        <v>54</v>
      </c>
      <c r="O90" s="11"/>
      <c r="P90" s="11"/>
      <c r="Q90" s="17"/>
      <c r="R90" s="17"/>
      <c r="S90" s="17"/>
      <c r="T90" s="17"/>
      <c r="U90" s="17"/>
      <c r="V90" s="17"/>
      <c r="W90" s="17"/>
      <c r="X90" s="17"/>
      <c r="Y90" s="16"/>
      <c r="Z90" s="17"/>
      <c r="AA90" s="17"/>
      <c r="AB90" s="17"/>
      <c r="AC90" s="17"/>
      <c r="AD90" s="16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6"/>
      <c r="AP90" s="14"/>
    </row>
    <row r="91" spans="1:42" s="1" customFormat="1" x14ac:dyDescent="0.2">
      <c r="A91" s="10">
        <v>110</v>
      </c>
      <c r="B91" s="10"/>
      <c r="C91" s="10"/>
      <c r="D91" s="10" t="s">
        <v>127</v>
      </c>
      <c r="E91" s="21" t="s">
        <v>568</v>
      </c>
      <c r="F91" s="10" t="s">
        <v>128</v>
      </c>
      <c r="G91" s="10" t="s">
        <v>1</v>
      </c>
      <c r="H91" s="10"/>
      <c r="I91" s="10" t="s">
        <v>288</v>
      </c>
      <c r="J91" s="10"/>
      <c r="K91" s="10" t="s">
        <v>28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 t="s">
        <v>69</v>
      </c>
      <c r="AA91" s="10" t="s">
        <v>68</v>
      </c>
      <c r="AB91" s="10" t="s">
        <v>68</v>
      </c>
      <c r="AC91" s="10" t="s">
        <v>68</v>
      </c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P91" s="14"/>
    </row>
    <row r="92" spans="1:42" s="1" customFormat="1" x14ac:dyDescent="0.2">
      <c r="A92" s="10">
        <v>110</v>
      </c>
      <c r="B92" s="10"/>
      <c r="C92" s="10"/>
      <c r="D92" s="10" t="s">
        <v>123</v>
      </c>
      <c r="E92" s="21" t="s">
        <v>569</v>
      </c>
      <c r="F92" s="10" t="s">
        <v>125</v>
      </c>
      <c r="G92" s="10" t="s">
        <v>1</v>
      </c>
      <c r="H92" s="10"/>
      <c r="I92" s="10" t="s">
        <v>288</v>
      </c>
      <c r="J92" s="10"/>
      <c r="K92" s="10" t="s">
        <v>28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Z92" s="10" t="s">
        <v>69</v>
      </c>
      <c r="AA92" s="10" t="s">
        <v>68</v>
      </c>
      <c r="AB92" s="10" t="s">
        <v>68</v>
      </c>
      <c r="AC92" s="10" t="s">
        <v>68</v>
      </c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P92" s="14"/>
    </row>
    <row r="93" spans="1:42" s="1" customFormat="1" x14ac:dyDescent="0.2">
      <c r="A93" s="10">
        <v>110</v>
      </c>
      <c r="B93" s="10"/>
      <c r="C93" s="10"/>
      <c r="D93" s="10" t="s">
        <v>124</v>
      </c>
      <c r="E93" s="21" t="s">
        <v>570</v>
      </c>
      <c r="F93" s="10" t="s">
        <v>126</v>
      </c>
      <c r="G93" s="10" t="s">
        <v>1</v>
      </c>
      <c r="H93" s="10"/>
      <c r="I93" s="10"/>
      <c r="J93" s="10"/>
      <c r="K93" s="10" t="s">
        <v>20</v>
      </c>
      <c r="L93" s="10"/>
      <c r="M93" s="10"/>
      <c r="N93" s="10"/>
      <c r="O93" s="10"/>
      <c r="P93" s="10"/>
      <c r="Q93" s="10"/>
      <c r="R93" s="10"/>
      <c r="S93" s="10"/>
      <c r="T93" s="10" t="s">
        <v>289</v>
      </c>
      <c r="U93" s="10"/>
      <c r="V93" s="10"/>
      <c r="W93" s="10"/>
      <c r="X93" s="10"/>
      <c r="Z93" s="10" t="s">
        <v>22</v>
      </c>
      <c r="AA93" s="10" t="s">
        <v>22</v>
      </c>
      <c r="AB93" s="10" t="s">
        <v>22</v>
      </c>
      <c r="AC93" s="10" t="s">
        <v>22</v>
      </c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P93" s="14"/>
    </row>
    <row r="94" spans="1:42" s="1" customFormat="1" ht="52" x14ac:dyDescent="0.2">
      <c r="A94" s="40"/>
      <c r="AE94" s="22" t="s">
        <v>611</v>
      </c>
      <c r="AF94" s="22" t="s">
        <v>612</v>
      </c>
      <c r="AG94" s="22" t="s">
        <v>611</v>
      </c>
      <c r="AH94" s="22" t="s">
        <v>612</v>
      </c>
      <c r="AI94" s="22" t="s">
        <v>611</v>
      </c>
      <c r="AJ94" s="22" t="s">
        <v>612</v>
      </c>
      <c r="AK94" s="22" t="s">
        <v>611</v>
      </c>
      <c r="AL94" s="22" t="s">
        <v>612</v>
      </c>
      <c r="AM94" s="22" t="s">
        <v>611</v>
      </c>
      <c r="AN94" s="22" t="s">
        <v>612</v>
      </c>
      <c r="AP94" s="15"/>
    </row>
    <row r="95" spans="1:42" s="1" customFormat="1" x14ac:dyDescent="0.2">
      <c r="A95" s="10">
        <v>120</v>
      </c>
      <c r="B95" s="11" t="s">
        <v>0</v>
      </c>
      <c r="C95" s="11"/>
      <c r="D95" s="11" t="s">
        <v>332</v>
      </c>
      <c r="E95" s="12"/>
      <c r="F95" s="11"/>
      <c r="G95" s="11"/>
      <c r="H95" s="11"/>
      <c r="I95" s="11" t="s">
        <v>270</v>
      </c>
      <c r="J95" s="11"/>
      <c r="K95" s="11" t="s">
        <v>271</v>
      </c>
      <c r="L95" s="11"/>
      <c r="M95" s="11" t="s">
        <v>446</v>
      </c>
      <c r="N95" s="11"/>
      <c r="O95" s="11"/>
      <c r="P95" s="11"/>
      <c r="Q95" s="17"/>
      <c r="R95" s="17"/>
      <c r="S95" s="17"/>
      <c r="T95" s="17"/>
      <c r="U95" s="17"/>
      <c r="V95" s="17"/>
      <c r="W95" s="17"/>
      <c r="X95" s="17"/>
      <c r="Y95" s="16"/>
      <c r="Z95" s="17"/>
      <c r="AA95" s="17"/>
      <c r="AB95" s="17"/>
      <c r="AC95" s="17"/>
      <c r="AD95" s="16"/>
      <c r="AE95" s="10"/>
      <c r="AF95" s="10" t="s">
        <v>488</v>
      </c>
      <c r="AG95" s="10" t="s">
        <v>489</v>
      </c>
      <c r="AH95" s="10" t="s">
        <v>489</v>
      </c>
      <c r="AI95" s="10" t="s">
        <v>490</v>
      </c>
      <c r="AJ95" s="10"/>
      <c r="AK95" s="10" t="s">
        <v>491</v>
      </c>
      <c r="AL95" s="10"/>
      <c r="AM95" s="10"/>
      <c r="AN95" s="10"/>
      <c r="AO95" s="16"/>
      <c r="AP95" s="14"/>
    </row>
    <row r="96" spans="1:42" s="1" customFormat="1" x14ac:dyDescent="0.2">
      <c r="A96" s="10">
        <v>120</v>
      </c>
      <c r="B96" s="10"/>
      <c r="C96" s="10"/>
      <c r="D96" s="10" t="s">
        <v>34</v>
      </c>
      <c r="E96" s="21" t="s">
        <v>571</v>
      </c>
      <c r="F96" s="10" t="s">
        <v>35</v>
      </c>
      <c r="G96" s="10" t="s">
        <v>9</v>
      </c>
      <c r="H96" s="10"/>
      <c r="I96" s="10" t="s">
        <v>232</v>
      </c>
      <c r="J96" s="10"/>
      <c r="K96" s="10" t="s">
        <v>233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 t="s">
        <v>228</v>
      </c>
      <c r="AA96" s="10" t="s">
        <v>68</v>
      </c>
      <c r="AB96" s="10" t="s">
        <v>228</v>
      </c>
      <c r="AC96" s="10" t="s">
        <v>173</v>
      </c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P96" s="14"/>
    </row>
    <row r="97" spans="1:42" s="1" customFormat="1" x14ac:dyDescent="0.2">
      <c r="A97" s="10">
        <v>120</v>
      </c>
      <c r="B97" s="10"/>
      <c r="C97" s="10"/>
      <c r="D97" s="10" t="s">
        <v>77</v>
      </c>
      <c r="E97" s="21" t="s">
        <v>543</v>
      </c>
      <c r="F97" s="10" t="s">
        <v>53</v>
      </c>
      <c r="G97" s="10" t="s">
        <v>9</v>
      </c>
      <c r="H97" s="10"/>
      <c r="I97" s="10" t="s">
        <v>232</v>
      </c>
      <c r="J97" s="10"/>
      <c r="K97" s="10" t="s">
        <v>233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Z97" s="10" t="s">
        <v>228</v>
      </c>
      <c r="AA97" s="10" t="s">
        <v>68</v>
      </c>
      <c r="AB97" s="10" t="s">
        <v>68</v>
      </c>
      <c r="AC97" s="10" t="s">
        <v>68</v>
      </c>
      <c r="AE97" s="10"/>
      <c r="AF97" s="10" t="s">
        <v>69</v>
      </c>
      <c r="AG97" s="10" t="s">
        <v>69</v>
      </c>
      <c r="AH97" s="10" t="s">
        <v>69</v>
      </c>
      <c r="AI97" s="10" t="s">
        <v>69</v>
      </c>
      <c r="AJ97" s="10"/>
      <c r="AK97" s="10"/>
      <c r="AL97" s="10"/>
      <c r="AM97" s="10"/>
      <c r="AN97" s="10"/>
      <c r="AP97" s="14"/>
    </row>
    <row r="98" spans="1:42" s="1" customFormat="1" x14ac:dyDescent="0.2">
      <c r="A98" s="10">
        <v>120</v>
      </c>
      <c r="B98" s="10"/>
      <c r="C98" s="10"/>
      <c r="D98" s="10" t="s">
        <v>76</v>
      </c>
      <c r="E98" s="21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Z98" s="10"/>
      <c r="AA98" s="10"/>
      <c r="AB98" s="10"/>
      <c r="AC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P98" s="14"/>
    </row>
    <row r="99" spans="1:42" s="1" customFormat="1" ht="26" x14ac:dyDescent="0.2">
      <c r="A99" s="10">
        <v>120</v>
      </c>
      <c r="B99" s="10"/>
      <c r="C99" s="10"/>
      <c r="D99" s="10" t="s">
        <v>163</v>
      </c>
      <c r="E99" s="21" t="s">
        <v>527</v>
      </c>
      <c r="F99" s="10" t="s">
        <v>117</v>
      </c>
      <c r="G99" s="10" t="s">
        <v>104</v>
      </c>
      <c r="H99" s="10"/>
      <c r="I99" s="10" t="s">
        <v>110</v>
      </c>
      <c r="J99" s="10"/>
      <c r="K99" s="10" t="s">
        <v>17</v>
      </c>
      <c r="L99" s="10"/>
      <c r="M99" s="10"/>
      <c r="N99" s="10"/>
      <c r="O99" s="10" t="s">
        <v>131</v>
      </c>
      <c r="P99" s="10"/>
      <c r="Q99" s="10" t="s">
        <v>178</v>
      </c>
      <c r="R99" s="10"/>
      <c r="S99" s="10" t="s">
        <v>113</v>
      </c>
      <c r="T99" s="10"/>
      <c r="U99" s="10"/>
      <c r="V99" s="10"/>
      <c r="W99" s="10"/>
      <c r="X99" s="10" t="s">
        <v>486</v>
      </c>
      <c r="Z99" s="10" t="s">
        <v>228</v>
      </c>
      <c r="AA99" s="10" t="s">
        <v>68</v>
      </c>
      <c r="AB99" s="10" t="s">
        <v>68</v>
      </c>
      <c r="AC99" s="10" t="s">
        <v>68</v>
      </c>
      <c r="AE99" s="10"/>
      <c r="AF99" s="10" t="s">
        <v>69</v>
      </c>
      <c r="AG99" s="10" t="s">
        <v>69</v>
      </c>
      <c r="AH99" s="10" t="s">
        <v>69</v>
      </c>
      <c r="AI99" s="10" t="s">
        <v>69</v>
      </c>
      <c r="AJ99" s="10"/>
      <c r="AK99" s="10" t="s">
        <v>69</v>
      </c>
      <c r="AL99" s="10"/>
      <c r="AM99" s="10"/>
      <c r="AN99" s="10"/>
      <c r="AP99" s="14"/>
    </row>
    <row r="100" spans="1:42" s="1" customFormat="1" x14ac:dyDescent="0.2">
      <c r="A100" s="10">
        <v>120</v>
      </c>
      <c r="B100" s="10"/>
      <c r="C100" s="10"/>
      <c r="D100" s="10" t="s">
        <v>113</v>
      </c>
      <c r="E100" s="21" t="s">
        <v>528</v>
      </c>
      <c r="F100" s="10" t="s">
        <v>103</v>
      </c>
      <c r="G100" s="10" t="s">
        <v>105</v>
      </c>
      <c r="H100" s="10"/>
      <c r="I100" s="10" t="s">
        <v>235</v>
      </c>
      <c r="J100" s="10"/>
      <c r="K100" s="10" t="s">
        <v>28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 t="s">
        <v>486</v>
      </c>
      <c r="Z100" s="10" t="s">
        <v>68</v>
      </c>
      <c r="AA100" s="10" t="s">
        <v>68</v>
      </c>
      <c r="AB100" s="10" t="s">
        <v>68</v>
      </c>
      <c r="AC100" s="10" t="s">
        <v>68</v>
      </c>
      <c r="AE100" s="10"/>
      <c r="AF100" s="10" t="s">
        <v>69</v>
      </c>
      <c r="AG100" s="10" t="s">
        <v>69</v>
      </c>
      <c r="AH100" s="10" t="s">
        <v>69</v>
      </c>
      <c r="AI100" s="10"/>
      <c r="AJ100" s="10"/>
      <c r="AK100" s="10"/>
      <c r="AL100" s="10"/>
      <c r="AM100" s="10"/>
      <c r="AN100" s="10"/>
      <c r="AP100" s="14"/>
    </row>
    <row r="101" spans="1:42" s="1" customFormat="1" ht="26" x14ac:dyDescent="0.2">
      <c r="A101" s="10">
        <v>120</v>
      </c>
      <c r="B101" s="10"/>
      <c r="C101" s="10"/>
      <c r="D101" s="10" t="s">
        <v>102</v>
      </c>
      <c r="E101" s="21" t="s">
        <v>529</v>
      </c>
      <c r="F101" s="10" t="s">
        <v>106</v>
      </c>
      <c r="G101" s="10" t="s">
        <v>109</v>
      </c>
      <c r="H101" s="10"/>
      <c r="I101" s="10" t="s">
        <v>236</v>
      </c>
      <c r="J101" s="10"/>
      <c r="K101" s="10" t="s">
        <v>17</v>
      </c>
      <c r="L101" s="10"/>
      <c r="M101" s="10"/>
      <c r="N101" s="10"/>
      <c r="O101" s="10" t="s">
        <v>131</v>
      </c>
      <c r="P101" s="10"/>
      <c r="Q101" s="10" t="s">
        <v>484</v>
      </c>
      <c r="R101" s="10"/>
      <c r="S101" s="10" t="s">
        <v>482</v>
      </c>
      <c r="T101" s="10"/>
      <c r="U101" s="10"/>
      <c r="V101" s="10" t="s">
        <v>163</v>
      </c>
      <c r="W101" s="10" t="s">
        <v>163</v>
      </c>
      <c r="X101" s="10"/>
      <c r="Z101" s="10" t="s">
        <v>228</v>
      </c>
      <c r="AA101" s="10" t="s">
        <v>68</v>
      </c>
      <c r="AB101" s="10" t="s">
        <v>68</v>
      </c>
      <c r="AC101" s="10" t="s">
        <v>68</v>
      </c>
      <c r="AE101" s="10"/>
      <c r="AF101" s="10" t="s">
        <v>69</v>
      </c>
      <c r="AG101" s="10" t="s">
        <v>69</v>
      </c>
      <c r="AH101" s="10" t="s">
        <v>69</v>
      </c>
      <c r="AI101" s="10" t="s">
        <v>69</v>
      </c>
      <c r="AJ101" s="10"/>
      <c r="AK101" s="10" t="s">
        <v>69</v>
      </c>
      <c r="AL101" s="10"/>
      <c r="AM101" s="10"/>
      <c r="AN101" s="10"/>
      <c r="AP101" s="14"/>
    </row>
    <row r="102" spans="1:42" s="1" customFormat="1" x14ac:dyDescent="0.2">
      <c r="A102" s="10">
        <v>120</v>
      </c>
      <c r="B102" s="10"/>
      <c r="C102" s="10"/>
      <c r="D102" s="10" t="s">
        <v>114</v>
      </c>
      <c r="E102" s="21" t="s">
        <v>530</v>
      </c>
      <c r="F102" s="10" t="s">
        <v>107</v>
      </c>
      <c r="G102" s="10" t="s">
        <v>108</v>
      </c>
      <c r="H102" s="10"/>
      <c r="I102" s="10" t="s">
        <v>237</v>
      </c>
      <c r="J102" s="10"/>
      <c r="K102" s="10" t="s">
        <v>28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68</v>
      </c>
      <c r="AA102" s="10" t="s">
        <v>68</v>
      </c>
      <c r="AB102" s="10" t="s">
        <v>68</v>
      </c>
      <c r="AC102" s="10" t="s">
        <v>68</v>
      </c>
      <c r="AE102" s="10"/>
      <c r="AF102" s="10" t="s">
        <v>69</v>
      </c>
      <c r="AG102" s="10" t="s">
        <v>69</v>
      </c>
      <c r="AH102" s="10" t="s">
        <v>69</v>
      </c>
      <c r="AI102" s="10"/>
      <c r="AJ102" s="10"/>
      <c r="AK102" s="10"/>
      <c r="AL102" s="10"/>
      <c r="AM102" s="10"/>
      <c r="AN102" s="10"/>
      <c r="AP102" s="14"/>
    </row>
    <row r="103" spans="1:42" s="1" customFormat="1" ht="26" x14ac:dyDescent="0.2">
      <c r="A103" s="10">
        <v>120</v>
      </c>
      <c r="B103" s="10"/>
      <c r="C103" s="10"/>
      <c r="D103" s="10" t="s">
        <v>120</v>
      </c>
      <c r="E103" s="21" t="s">
        <v>572</v>
      </c>
      <c r="F103" s="10" t="s">
        <v>118</v>
      </c>
      <c r="G103" s="10" t="s">
        <v>9</v>
      </c>
      <c r="H103" s="10"/>
      <c r="I103" s="10" t="s">
        <v>272</v>
      </c>
      <c r="J103" s="10"/>
      <c r="K103" s="10" t="s">
        <v>17</v>
      </c>
      <c r="L103" s="10"/>
      <c r="M103" s="10"/>
      <c r="N103" s="10"/>
      <c r="O103" s="10"/>
      <c r="P103" s="10"/>
      <c r="Q103" s="10" t="s">
        <v>483</v>
      </c>
      <c r="R103" s="10"/>
      <c r="S103" s="10" t="s">
        <v>121</v>
      </c>
      <c r="T103" s="10"/>
      <c r="U103" s="10"/>
      <c r="V103" s="10"/>
      <c r="W103" s="10"/>
      <c r="X103" s="10"/>
      <c r="Z103" s="10" t="s">
        <v>68</v>
      </c>
      <c r="AA103" s="10" t="s">
        <v>68</v>
      </c>
      <c r="AB103" s="10" t="s">
        <v>68</v>
      </c>
      <c r="AC103" s="10" t="s">
        <v>68</v>
      </c>
      <c r="AE103" s="10"/>
      <c r="AF103" s="10" t="s">
        <v>69</v>
      </c>
      <c r="AG103" s="10" t="s">
        <v>69</v>
      </c>
      <c r="AH103" s="10" t="s">
        <v>69</v>
      </c>
      <c r="AI103" s="10"/>
      <c r="AJ103" s="10"/>
      <c r="AK103" s="10"/>
      <c r="AL103" s="10"/>
      <c r="AM103" s="10"/>
      <c r="AN103" s="10"/>
      <c r="AP103" s="14"/>
    </row>
    <row r="104" spans="1:42" s="1" customFormat="1" ht="26" x14ac:dyDescent="0.2">
      <c r="A104" s="10">
        <v>120</v>
      </c>
      <c r="B104" s="10"/>
      <c r="C104" s="10"/>
      <c r="D104" s="10" t="s">
        <v>121</v>
      </c>
      <c r="E104" s="21" t="s">
        <v>573</v>
      </c>
      <c r="F104" s="10" t="s">
        <v>119</v>
      </c>
      <c r="G104" s="10" t="s">
        <v>9</v>
      </c>
      <c r="H104" s="10"/>
      <c r="I104" s="10" t="s">
        <v>122</v>
      </c>
      <c r="J104" s="10"/>
      <c r="K104" s="10" t="s">
        <v>28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68</v>
      </c>
      <c r="AA104" s="10" t="s">
        <v>68</v>
      </c>
      <c r="AB104" s="10" t="s">
        <v>68</v>
      </c>
      <c r="AC104" s="10" t="s">
        <v>68</v>
      </c>
      <c r="AE104" s="10"/>
      <c r="AF104" s="10" t="s">
        <v>69</v>
      </c>
      <c r="AG104" s="10"/>
      <c r="AH104" s="10" t="s">
        <v>69</v>
      </c>
      <c r="AI104" s="10"/>
      <c r="AJ104" s="10"/>
      <c r="AK104" s="10"/>
      <c r="AL104" s="10"/>
      <c r="AM104" s="10"/>
      <c r="AN104" s="10"/>
      <c r="AP104" s="14"/>
    </row>
    <row r="105" spans="1:42" s="1" customFormat="1" ht="26" x14ac:dyDescent="0.2">
      <c r="A105" s="50">
        <v>120</v>
      </c>
      <c r="B105" s="50"/>
      <c r="C105" s="50"/>
      <c r="D105" s="50" t="s">
        <v>132</v>
      </c>
      <c r="E105" s="50"/>
      <c r="F105" s="50"/>
      <c r="G105" s="50"/>
      <c r="H105" s="50"/>
      <c r="I105" s="50" t="s">
        <v>228</v>
      </c>
      <c r="J105" s="50"/>
      <c r="K105" s="50" t="s">
        <v>290</v>
      </c>
      <c r="L105" s="50" t="s">
        <v>291</v>
      </c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 t="s">
        <v>292</v>
      </c>
      <c r="AA105" s="50" t="s">
        <v>293</v>
      </c>
      <c r="AB105" s="50" t="s">
        <v>293</v>
      </c>
      <c r="AC105" s="50" t="s">
        <v>293</v>
      </c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</row>
    <row r="106" spans="1:42" s="1" customFormat="1" ht="91" x14ac:dyDescent="0.2">
      <c r="A106" s="50">
        <v>120</v>
      </c>
      <c r="B106" s="10"/>
      <c r="C106" s="10"/>
      <c r="D106" s="10" t="s">
        <v>164</v>
      </c>
      <c r="E106" s="21" t="s">
        <v>535</v>
      </c>
      <c r="F106" s="10" t="s">
        <v>161</v>
      </c>
      <c r="G106" s="10" t="s">
        <v>162</v>
      </c>
      <c r="H106" s="10"/>
      <c r="I106" s="10" t="s">
        <v>130</v>
      </c>
      <c r="J106" s="10"/>
      <c r="K106" s="10" t="s">
        <v>240</v>
      </c>
      <c r="L106" s="10"/>
      <c r="M106" s="10"/>
      <c r="N106" s="10"/>
      <c r="O106" s="10" t="s">
        <v>131</v>
      </c>
      <c r="P106" s="10"/>
      <c r="Q106" s="10" t="s">
        <v>241</v>
      </c>
      <c r="R106" s="10"/>
      <c r="S106" s="10" t="s">
        <v>294</v>
      </c>
      <c r="T106" s="10"/>
      <c r="U106" s="10" t="s">
        <v>295</v>
      </c>
      <c r="V106" s="10" t="s">
        <v>244</v>
      </c>
      <c r="W106" s="10" t="s">
        <v>245</v>
      </c>
      <c r="X106" s="10"/>
      <c r="Z106" s="10"/>
      <c r="AA106" s="10"/>
      <c r="AB106" s="10"/>
      <c r="AC106" s="10"/>
      <c r="AE106" s="10"/>
      <c r="AF106" s="10" t="s">
        <v>246</v>
      </c>
      <c r="AG106" s="10" t="s">
        <v>246</v>
      </c>
      <c r="AH106" s="10" t="s">
        <v>246</v>
      </c>
      <c r="AI106" s="10" t="s">
        <v>246</v>
      </c>
      <c r="AJ106" s="10"/>
      <c r="AK106" s="10" t="s">
        <v>246</v>
      </c>
      <c r="AL106" s="10"/>
      <c r="AM106" s="10"/>
      <c r="AN106" s="10"/>
      <c r="AP106" s="14"/>
    </row>
    <row r="107" spans="1:42" s="1" customFormat="1" ht="91" x14ac:dyDescent="0.2">
      <c r="A107" s="50">
        <v>120</v>
      </c>
      <c r="B107" s="10"/>
      <c r="C107" s="10"/>
      <c r="D107" s="10" t="s">
        <v>165</v>
      </c>
      <c r="E107" s="21" t="s">
        <v>536</v>
      </c>
      <c r="F107" s="10" t="s">
        <v>139</v>
      </c>
      <c r="G107" s="10" t="s">
        <v>9</v>
      </c>
      <c r="H107" s="10"/>
      <c r="I107" s="10" t="s">
        <v>130</v>
      </c>
      <c r="J107" s="10"/>
      <c r="K107" s="10" t="s">
        <v>240</v>
      </c>
      <c r="L107" s="10"/>
      <c r="M107" s="10"/>
      <c r="N107" s="10"/>
      <c r="O107" s="10" t="s">
        <v>131</v>
      </c>
      <c r="P107" s="10"/>
      <c r="Q107" s="10" t="s">
        <v>247</v>
      </c>
      <c r="R107" s="10"/>
      <c r="S107" s="10" t="s">
        <v>296</v>
      </c>
      <c r="T107" s="10"/>
      <c r="U107" s="10" t="s">
        <v>205</v>
      </c>
      <c r="V107" s="10" t="s">
        <v>249</v>
      </c>
      <c r="W107" s="10" t="s">
        <v>250</v>
      </c>
      <c r="X107" s="10"/>
      <c r="Z107" s="10"/>
      <c r="AA107" s="10"/>
      <c r="AB107" s="10"/>
      <c r="AC107" s="10"/>
      <c r="AE107" s="10"/>
      <c r="AF107" s="10" t="s">
        <v>251</v>
      </c>
      <c r="AG107" s="10" t="s">
        <v>251</v>
      </c>
      <c r="AH107" s="10" t="s">
        <v>251</v>
      </c>
      <c r="AI107" s="10" t="s">
        <v>251</v>
      </c>
      <c r="AJ107" s="10"/>
      <c r="AK107" s="10" t="s">
        <v>251</v>
      </c>
      <c r="AL107" s="10"/>
      <c r="AM107" s="10"/>
      <c r="AN107" s="10"/>
      <c r="AP107" s="14"/>
    </row>
    <row r="108" spans="1:42" s="1" customFormat="1" ht="78" x14ac:dyDescent="0.2">
      <c r="A108" s="50">
        <v>120</v>
      </c>
      <c r="B108" s="10"/>
      <c r="C108" s="10"/>
      <c r="D108" s="10" t="s">
        <v>166</v>
      </c>
      <c r="E108" s="21" t="s">
        <v>537</v>
      </c>
      <c r="F108" s="10" t="s">
        <v>140</v>
      </c>
      <c r="G108" s="10" t="s">
        <v>9</v>
      </c>
      <c r="H108" s="10"/>
      <c r="I108" s="10" t="s">
        <v>130</v>
      </c>
      <c r="J108" s="10"/>
      <c r="K108" s="10" t="s">
        <v>240</v>
      </c>
      <c r="L108" s="10"/>
      <c r="M108" s="10"/>
      <c r="N108" s="10"/>
      <c r="O108" s="10" t="s">
        <v>131</v>
      </c>
      <c r="P108" s="10"/>
      <c r="Q108" s="10" t="s">
        <v>252</v>
      </c>
      <c r="R108" s="10"/>
      <c r="S108" s="10" t="s">
        <v>297</v>
      </c>
      <c r="T108" s="10"/>
      <c r="U108" s="10" t="s">
        <v>298</v>
      </c>
      <c r="V108" s="10" t="s">
        <v>254</v>
      </c>
      <c r="W108" s="10" t="s">
        <v>255</v>
      </c>
      <c r="X108" s="10"/>
      <c r="Z108" s="10"/>
      <c r="AA108" s="10"/>
      <c r="AB108" s="10"/>
      <c r="AC108" s="10"/>
      <c r="AE108" s="10"/>
      <c r="AF108" s="10" t="s">
        <v>256</v>
      </c>
      <c r="AG108" s="10" t="s">
        <v>256</v>
      </c>
      <c r="AH108" s="10" t="s">
        <v>256</v>
      </c>
      <c r="AI108" s="10" t="s">
        <v>256</v>
      </c>
      <c r="AJ108" s="10"/>
      <c r="AK108" s="10" t="s">
        <v>256</v>
      </c>
      <c r="AL108" s="10"/>
      <c r="AM108" s="10"/>
      <c r="AN108" s="10"/>
      <c r="AP108" s="14"/>
    </row>
    <row r="109" spans="1:42" s="1" customFormat="1" ht="65" x14ac:dyDescent="0.2">
      <c r="A109" s="50">
        <v>120</v>
      </c>
      <c r="B109" s="10"/>
      <c r="C109" s="10"/>
      <c r="D109" s="10" t="s">
        <v>167</v>
      </c>
      <c r="E109" s="21" t="s">
        <v>538</v>
      </c>
      <c r="F109" s="10" t="s">
        <v>141</v>
      </c>
      <c r="G109" s="10" t="s">
        <v>9</v>
      </c>
      <c r="H109" s="10"/>
      <c r="I109" s="10" t="s">
        <v>130</v>
      </c>
      <c r="J109" s="10"/>
      <c r="K109" s="10" t="s">
        <v>240</v>
      </c>
      <c r="L109" s="10"/>
      <c r="M109" s="10"/>
      <c r="N109" s="10"/>
      <c r="O109" s="10" t="s">
        <v>131</v>
      </c>
      <c r="P109" s="10"/>
      <c r="Q109" s="10" t="s">
        <v>257</v>
      </c>
      <c r="R109" s="10"/>
      <c r="S109" s="10" t="s">
        <v>299</v>
      </c>
      <c r="T109" s="10"/>
      <c r="U109" s="10" t="s">
        <v>206</v>
      </c>
      <c r="V109" s="10" t="s">
        <v>259</v>
      </c>
      <c r="W109" s="10" t="s">
        <v>260</v>
      </c>
      <c r="X109" s="10"/>
      <c r="Z109" s="10"/>
      <c r="AA109" s="10"/>
      <c r="AB109" s="10"/>
      <c r="AC109" s="10"/>
      <c r="AE109" s="10"/>
      <c r="AF109" s="10" t="s">
        <v>261</v>
      </c>
      <c r="AG109" s="10" t="s">
        <v>261</v>
      </c>
      <c r="AH109" s="10" t="s">
        <v>261</v>
      </c>
      <c r="AI109" s="10" t="s">
        <v>261</v>
      </c>
      <c r="AJ109" s="10"/>
      <c r="AK109" s="10" t="s">
        <v>261</v>
      </c>
      <c r="AL109" s="10"/>
      <c r="AM109" s="10"/>
      <c r="AN109" s="10"/>
      <c r="AP109" s="14"/>
    </row>
    <row r="110" spans="1:42" s="1" customFormat="1" x14ac:dyDescent="0.2">
      <c r="A110" s="50">
        <v>120</v>
      </c>
      <c r="B110" s="10"/>
      <c r="C110" s="10"/>
      <c r="D110" s="10" t="s">
        <v>174</v>
      </c>
      <c r="E110" s="21" t="s">
        <v>539</v>
      </c>
      <c r="F110" s="10" t="s">
        <v>175</v>
      </c>
      <c r="G110" s="10" t="s">
        <v>9</v>
      </c>
      <c r="H110" s="10"/>
      <c r="I110" s="10" t="s">
        <v>130</v>
      </c>
      <c r="J110" s="10"/>
      <c r="K110" s="10" t="s">
        <v>240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Z110" s="10"/>
      <c r="AA110" s="10"/>
      <c r="AB110" s="10"/>
      <c r="AC110" s="10"/>
      <c r="AE110" s="10"/>
      <c r="AF110" s="10" t="s">
        <v>258</v>
      </c>
      <c r="AG110" s="10" t="s">
        <v>258</v>
      </c>
      <c r="AH110" s="10" t="s">
        <v>258</v>
      </c>
      <c r="AI110" s="10"/>
      <c r="AJ110" s="10"/>
      <c r="AK110" s="10"/>
      <c r="AL110" s="10"/>
      <c r="AM110" s="10"/>
      <c r="AN110" s="10"/>
      <c r="AP110" s="14"/>
    </row>
    <row r="111" spans="1:42" s="1" customFormat="1" x14ac:dyDescent="0.2">
      <c r="A111" s="10">
        <v>120</v>
      </c>
      <c r="B111" s="10"/>
      <c r="C111" s="10"/>
      <c r="D111" s="10" t="s">
        <v>336</v>
      </c>
      <c r="E111" s="21" t="s">
        <v>574</v>
      </c>
      <c r="F111" s="10" t="s">
        <v>134</v>
      </c>
      <c r="G111" s="10" t="s">
        <v>9</v>
      </c>
      <c r="H111" s="10"/>
      <c r="I111" s="10" t="s">
        <v>300</v>
      </c>
      <c r="J111" s="10"/>
      <c r="K111" s="10" t="s">
        <v>28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Z111" s="10" t="s">
        <v>68</v>
      </c>
      <c r="AA111" s="10" t="s">
        <v>68</v>
      </c>
      <c r="AB111" s="10" t="s">
        <v>68</v>
      </c>
      <c r="AC111" s="10" t="s">
        <v>68</v>
      </c>
      <c r="AE111" s="10"/>
      <c r="AF111" s="10" t="s">
        <v>69</v>
      </c>
      <c r="AG111" s="10" t="s">
        <v>69</v>
      </c>
      <c r="AH111" s="10" t="s">
        <v>69</v>
      </c>
      <c r="AI111" s="10"/>
      <c r="AJ111" s="10"/>
      <c r="AK111" s="10"/>
      <c r="AL111" s="10"/>
      <c r="AM111" s="10"/>
      <c r="AN111" s="10"/>
      <c r="AP111" s="14"/>
    </row>
    <row r="112" spans="1:42" s="1" customFormat="1" x14ac:dyDescent="0.2">
      <c r="A112" s="10">
        <v>120</v>
      </c>
      <c r="B112" s="10"/>
      <c r="C112" s="10"/>
      <c r="D112" s="10" t="s">
        <v>337</v>
      </c>
      <c r="E112" s="21" t="s">
        <v>575</v>
      </c>
      <c r="F112" s="10" t="s">
        <v>135</v>
      </c>
      <c r="G112" s="10" t="s">
        <v>9</v>
      </c>
      <c r="H112" s="10"/>
      <c r="I112" s="10" t="s">
        <v>301</v>
      </c>
      <c r="J112" s="10"/>
      <c r="K112" s="10" t="s">
        <v>28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Z112" s="10" t="s">
        <v>68</v>
      </c>
      <c r="AA112" s="10" t="s">
        <v>68</v>
      </c>
      <c r="AB112" s="10" t="s">
        <v>68</v>
      </c>
      <c r="AC112" s="10" t="s">
        <v>68</v>
      </c>
      <c r="AE112" s="10"/>
      <c r="AF112" s="10" t="s">
        <v>69</v>
      </c>
      <c r="AG112" s="10"/>
      <c r="AH112" s="10" t="s">
        <v>69</v>
      </c>
      <c r="AI112" s="10"/>
      <c r="AJ112" s="10"/>
      <c r="AK112" s="10"/>
      <c r="AL112" s="10"/>
      <c r="AM112" s="10"/>
      <c r="AN112" s="10"/>
      <c r="AP112" s="14"/>
    </row>
    <row r="113" spans="1:42" s="1" customFormat="1" x14ac:dyDescent="0.2">
      <c r="A113" s="10">
        <v>120</v>
      </c>
      <c r="B113" s="10"/>
      <c r="C113" s="10"/>
      <c r="D113" s="10" t="s">
        <v>338</v>
      </c>
      <c r="E113" s="21" t="s">
        <v>576</v>
      </c>
      <c r="F113" s="10" t="s">
        <v>138</v>
      </c>
      <c r="G113" s="10" t="s">
        <v>137</v>
      </c>
      <c r="H113" s="10"/>
      <c r="I113" s="10" t="s">
        <v>302</v>
      </c>
      <c r="J113" s="10"/>
      <c r="K113" s="10" t="s">
        <v>28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Z113" s="10" t="s">
        <v>68</v>
      </c>
      <c r="AA113" s="10" t="s">
        <v>68</v>
      </c>
      <c r="AB113" s="10" t="s">
        <v>68</v>
      </c>
      <c r="AC113" s="10" t="s">
        <v>68</v>
      </c>
      <c r="AE113" s="10"/>
      <c r="AF113" s="10" t="s">
        <v>69</v>
      </c>
      <c r="AG113" s="10" t="s">
        <v>69</v>
      </c>
      <c r="AH113" s="10" t="s">
        <v>69</v>
      </c>
      <c r="AI113" s="10"/>
      <c r="AJ113" s="10"/>
      <c r="AK113" s="10"/>
      <c r="AL113" s="10"/>
      <c r="AM113" s="10"/>
      <c r="AN113" s="10"/>
      <c r="AP113" s="14"/>
    </row>
    <row r="114" spans="1:42" s="1" customFormat="1" x14ac:dyDescent="0.2">
      <c r="A114" s="10">
        <v>120</v>
      </c>
      <c r="B114" s="10"/>
      <c r="C114" s="10"/>
      <c r="D114" s="10" t="s">
        <v>133</v>
      </c>
      <c r="E114" s="21" t="s">
        <v>577</v>
      </c>
      <c r="F114" s="10" t="s">
        <v>136</v>
      </c>
      <c r="G114" s="10" t="s">
        <v>9</v>
      </c>
      <c r="H114" s="10"/>
      <c r="I114" s="10" t="s">
        <v>303</v>
      </c>
      <c r="J114" s="10"/>
      <c r="K114" s="10" t="s">
        <v>28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Z114" s="10" t="s">
        <v>68</v>
      </c>
      <c r="AA114" s="10" t="s">
        <v>68</v>
      </c>
      <c r="AB114" s="10" t="s">
        <v>68</v>
      </c>
      <c r="AC114" s="10" t="s">
        <v>68</v>
      </c>
      <c r="AE114" s="10"/>
      <c r="AF114" s="10" t="s">
        <v>69</v>
      </c>
      <c r="AG114" s="10" t="s">
        <v>69</v>
      </c>
      <c r="AH114" s="10" t="s">
        <v>69</v>
      </c>
      <c r="AI114" s="10"/>
      <c r="AJ114" s="10"/>
      <c r="AK114" s="10"/>
      <c r="AL114" s="10"/>
      <c r="AM114" s="10"/>
      <c r="AN114" s="10"/>
      <c r="AP114" s="14"/>
    </row>
    <row r="115" spans="1:42" s="1" customFormat="1" x14ac:dyDescent="0.2">
      <c r="A115" s="10">
        <v>120</v>
      </c>
      <c r="B115" s="10"/>
      <c r="C115" s="10"/>
      <c r="D115" s="10" t="s">
        <v>168</v>
      </c>
      <c r="E115" s="21" t="s">
        <v>578</v>
      </c>
      <c r="F115" s="10" t="s">
        <v>170</v>
      </c>
      <c r="G115" s="10"/>
      <c r="H115" s="10"/>
      <c r="I115" s="10" t="s">
        <v>304</v>
      </c>
      <c r="J115" s="10"/>
      <c r="K115" s="10" t="s">
        <v>28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Z115" s="10" t="s">
        <v>173</v>
      </c>
      <c r="AA115" s="10" t="s">
        <v>173</v>
      </c>
      <c r="AB115" s="10" t="s">
        <v>173</v>
      </c>
      <c r="AC115" s="10" t="s">
        <v>173</v>
      </c>
      <c r="AE115" s="10"/>
      <c r="AF115" s="10" t="s">
        <v>69</v>
      </c>
      <c r="AG115" s="10" t="s">
        <v>69</v>
      </c>
      <c r="AH115" s="10" t="s">
        <v>69</v>
      </c>
      <c r="AI115" s="10"/>
      <c r="AJ115" s="10"/>
      <c r="AK115" s="10"/>
      <c r="AL115" s="10"/>
      <c r="AM115" s="10"/>
      <c r="AN115" s="10"/>
      <c r="AP115" s="14"/>
    </row>
    <row r="116" spans="1:42" s="1" customFormat="1" x14ac:dyDescent="0.2">
      <c r="A116" s="10">
        <v>120</v>
      </c>
      <c r="B116" s="10"/>
      <c r="C116" s="10"/>
      <c r="D116" s="10" t="s">
        <v>169</v>
      </c>
      <c r="E116" s="21" t="s">
        <v>579</v>
      </c>
      <c r="F116" s="10" t="s">
        <v>171</v>
      </c>
      <c r="G116" s="10"/>
      <c r="H116" s="10"/>
      <c r="I116" s="10" t="s">
        <v>172</v>
      </c>
      <c r="J116" s="10"/>
      <c r="K116" s="10" t="s">
        <v>28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Z116" s="10" t="s">
        <v>173</v>
      </c>
      <c r="AA116" s="10" t="s">
        <v>173</v>
      </c>
      <c r="AB116" s="10" t="s">
        <v>173</v>
      </c>
      <c r="AC116" s="10" t="s">
        <v>173</v>
      </c>
      <c r="AE116" s="10"/>
      <c r="AF116" s="10" t="s">
        <v>69</v>
      </c>
      <c r="AG116" s="10" t="s">
        <v>69</v>
      </c>
      <c r="AH116" s="10" t="s">
        <v>69</v>
      </c>
      <c r="AI116" s="10"/>
      <c r="AJ116" s="10"/>
      <c r="AK116" s="10"/>
      <c r="AL116" s="10"/>
      <c r="AM116" s="10"/>
      <c r="AN116" s="10"/>
      <c r="AP116" s="14"/>
    </row>
    <row r="117" spans="1:42" s="1" customFormat="1" ht="26" x14ac:dyDescent="0.2">
      <c r="A117" s="10">
        <v>120</v>
      </c>
      <c r="B117" s="10"/>
      <c r="C117" s="10"/>
      <c r="D117" s="10" t="s">
        <v>204</v>
      </c>
      <c r="E117" s="21" t="s">
        <v>580</v>
      </c>
      <c r="F117" s="10" t="s">
        <v>203</v>
      </c>
      <c r="G117" s="10" t="s">
        <v>9</v>
      </c>
      <c r="H117" s="10"/>
      <c r="I117" s="10" t="s">
        <v>232</v>
      </c>
      <c r="J117" s="10"/>
      <c r="K117" s="10" t="s">
        <v>233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 t="s">
        <v>305</v>
      </c>
      <c r="Z117" s="10" t="s">
        <v>68</v>
      </c>
      <c r="AA117" s="10" t="s">
        <v>68</v>
      </c>
      <c r="AB117" s="10" t="s">
        <v>68</v>
      </c>
      <c r="AC117" s="10" t="s">
        <v>68</v>
      </c>
      <c r="AE117" s="10"/>
      <c r="AF117" s="10" t="s">
        <v>69</v>
      </c>
      <c r="AG117" s="10" t="s">
        <v>69</v>
      </c>
      <c r="AH117" s="10" t="s">
        <v>69</v>
      </c>
      <c r="AI117" s="10"/>
      <c r="AJ117" s="10"/>
      <c r="AK117" s="10"/>
      <c r="AL117" s="10"/>
      <c r="AM117" s="10"/>
      <c r="AN117" s="10"/>
      <c r="AP117" s="14"/>
    </row>
    <row r="118" spans="1:42" s="1" customFormat="1" x14ac:dyDescent="0.2">
      <c r="A118" s="10">
        <v>120</v>
      </c>
      <c r="B118" s="10"/>
      <c r="C118" s="10"/>
      <c r="D118" s="10" t="s">
        <v>176</v>
      </c>
      <c r="E118" s="21" t="s">
        <v>581</v>
      </c>
      <c r="F118" s="10" t="s">
        <v>177</v>
      </c>
      <c r="G118" s="10" t="s">
        <v>9</v>
      </c>
      <c r="H118" s="10"/>
      <c r="I118" s="10" t="s">
        <v>232</v>
      </c>
      <c r="J118" s="10"/>
      <c r="K118" s="10" t="s">
        <v>233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 t="s">
        <v>306</v>
      </c>
      <c r="Z118" s="10" t="s">
        <v>68</v>
      </c>
      <c r="AA118" s="10" t="s">
        <v>68</v>
      </c>
      <c r="AB118" s="10" t="s">
        <v>68</v>
      </c>
      <c r="AC118" s="10" t="s">
        <v>68</v>
      </c>
      <c r="AE118" s="10"/>
      <c r="AF118" s="10" t="s">
        <v>69</v>
      </c>
      <c r="AG118" s="10" t="s">
        <v>69</v>
      </c>
      <c r="AH118" s="10" t="s">
        <v>69</v>
      </c>
      <c r="AI118" s="10"/>
      <c r="AJ118" s="10"/>
      <c r="AK118" s="10"/>
      <c r="AL118" s="10"/>
      <c r="AM118" s="10"/>
      <c r="AN118" s="10"/>
      <c r="AP118" s="14"/>
    </row>
    <row r="119" spans="1:42" s="1" customFormat="1" ht="26" x14ac:dyDescent="0.2">
      <c r="A119" s="50">
        <v>120</v>
      </c>
      <c r="B119" s="50"/>
      <c r="C119" s="50"/>
      <c r="D119" s="50" t="s">
        <v>143</v>
      </c>
      <c r="E119" s="50"/>
      <c r="F119" s="50"/>
      <c r="G119" s="50"/>
      <c r="H119" s="50"/>
      <c r="I119" s="50" t="s">
        <v>228</v>
      </c>
      <c r="J119" s="50"/>
      <c r="K119" s="50" t="s">
        <v>290</v>
      </c>
      <c r="L119" s="50" t="s">
        <v>142</v>
      </c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 t="s">
        <v>292</v>
      </c>
      <c r="AA119" s="50" t="s">
        <v>293</v>
      </c>
      <c r="AB119" s="50" t="s">
        <v>293</v>
      </c>
      <c r="AC119" s="50" t="s">
        <v>293</v>
      </c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</row>
    <row r="120" spans="1:42" s="1" customFormat="1" x14ac:dyDescent="0.2">
      <c r="A120" s="50">
        <v>120</v>
      </c>
      <c r="B120" s="10"/>
      <c r="C120" s="10"/>
      <c r="D120" s="10" t="s">
        <v>144</v>
      </c>
      <c r="E120" s="21"/>
      <c r="F120" s="10"/>
      <c r="G120" s="10"/>
      <c r="H120" s="10"/>
      <c r="I120" s="10" t="s">
        <v>130</v>
      </c>
      <c r="J120" s="10"/>
      <c r="K120" s="10" t="s">
        <v>240</v>
      </c>
      <c r="L120" s="10"/>
      <c r="M120" s="10"/>
      <c r="N120" s="10"/>
      <c r="O120" s="10" t="s">
        <v>131</v>
      </c>
      <c r="P120" s="10"/>
      <c r="Q120" s="10"/>
      <c r="R120" s="10"/>
      <c r="S120" s="10"/>
      <c r="T120" s="10"/>
      <c r="U120" s="10"/>
      <c r="V120" s="10"/>
      <c r="W120" s="10"/>
      <c r="X120" s="10"/>
      <c r="Z120" s="10"/>
      <c r="AA120" s="10"/>
      <c r="AB120" s="10"/>
      <c r="AC120" s="10"/>
      <c r="AE120" s="10"/>
      <c r="AF120" s="10" t="s">
        <v>317</v>
      </c>
      <c r="AG120" s="10" t="s">
        <v>317</v>
      </c>
      <c r="AH120" s="10" t="s">
        <v>317</v>
      </c>
      <c r="AI120" s="10" t="s">
        <v>317</v>
      </c>
      <c r="AJ120" s="10"/>
      <c r="AK120" s="10" t="s">
        <v>317</v>
      </c>
      <c r="AL120" s="10"/>
      <c r="AM120" s="10"/>
      <c r="AN120" s="10"/>
      <c r="AP120" s="14"/>
    </row>
    <row r="121" spans="1:42" s="1" customFormat="1" ht="26" x14ac:dyDescent="0.2">
      <c r="A121" s="50">
        <v>120</v>
      </c>
      <c r="B121" s="50"/>
      <c r="C121" s="50"/>
      <c r="D121" s="50" t="s">
        <v>145</v>
      </c>
      <c r="E121" s="50"/>
      <c r="F121" s="50"/>
      <c r="G121" s="50"/>
      <c r="H121" s="50"/>
      <c r="I121" s="50" t="s">
        <v>228</v>
      </c>
      <c r="J121" s="50"/>
      <c r="K121" s="50" t="s">
        <v>290</v>
      </c>
      <c r="L121" s="50" t="s">
        <v>307</v>
      </c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 t="s">
        <v>292</v>
      </c>
      <c r="AA121" s="50" t="s">
        <v>293</v>
      </c>
      <c r="AB121" s="50" t="s">
        <v>293</v>
      </c>
      <c r="AC121" s="50" t="s">
        <v>293</v>
      </c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</row>
    <row r="122" spans="1:42" s="1" customFormat="1" x14ac:dyDescent="0.2">
      <c r="A122" s="50">
        <v>120</v>
      </c>
      <c r="B122" s="10"/>
      <c r="C122" s="10"/>
      <c r="D122" s="10" t="s">
        <v>181</v>
      </c>
      <c r="E122" s="21"/>
      <c r="F122" s="10"/>
      <c r="G122" s="10"/>
      <c r="H122" s="10"/>
      <c r="I122" s="10" t="s">
        <v>130</v>
      </c>
      <c r="J122" s="10"/>
      <c r="K122" s="10" t="s">
        <v>240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Z122" s="10"/>
      <c r="AA122" s="10"/>
      <c r="AB122" s="10"/>
      <c r="AC122" s="10"/>
      <c r="AE122" s="10"/>
      <c r="AF122" s="10"/>
      <c r="AG122" s="10" t="s">
        <v>492</v>
      </c>
      <c r="AH122" s="10" t="s">
        <v>492</v>
      </c>
      <c r="AI122" s="10" t="s">
        <v>492</v>
      </c>
      <c r="AJ122" s="10"/>
      <c r="AK122" s="10"/>
      <c r="AL122" s="10"/>
      <c r="AM122" s="10"/>
      <c r="AN122" s="10"/>
      <c r="AP122" s="14"/>
    </row>
    <row r="123" spans="1:42" s="1" customFormat="1" x14ac:dyDescent="0.2">
      <c r="A123" s="50">
        <v>120</v>
      </c>
      <c r="B123" s="10"/>
      <c r="C123" s="10"/>
      <c r="D123" s="10" t="s">
        <v>146</v>
      </c>
      <c r="E123" s="21"/>
      <c r="F123" s="10"/>
      <c r="G123" s="10"/>
      <c r="H123" s="10"/>
      <c r="I123" s="10" t="s">
        <v>130</v>
      </c>
      <c r="J123" s="10"/>
      <c r="K123" s="10" t="s">
        <v>240</v>
      </c>
      <c r="L123" s="10"/>
      <c r="M123" s="10"/>
      <c r="N123" s="10"/>
      <c r="O123" s="10" t="s">
        <v>131</v>
      </c>
      <c r="P123" s="10"/>
      <c r="Q123" s="10"/>
      <c r="R123" s="10"/>
      <c r="S123" s="10"/>
      <c r="T123" s="10"/>
      <c r="U123" s="10"/>
      <c r="V123" s="10"/>
      <c r="W123" s="10"/>
      <c r="X123" s="10"/>
      <c r="Z123" s="10"/>
      <c r="AA123" s="10"/>
      <c r="AB123" s="10"/>
      <c r="AC123" s="10"/>
      <c r="AE123" s="10"/>
      <c r="AF123" s="10" t="s">
        <v>127</v>
      </c>
      <c r="AG123" s="10" t="s">
        <v>127</v>
      </c>
      <c r="AH123" s="10" t="s">
        <v>127</v>
      </c>
      <c r="AI123" s="10" t="s">
        <v>127</v>
      </c>
      <c r="AJ123" s="10"/>
      <c r="AK123" s="10" t="s">
        <v>127</v>
      </c>
      <c r="AL123" s="10"/>
      <c r="AM123" s="10"/>
      <c r="AN123" s="10"/>
      <c r="AP123" s="14"/>
    </row>
    <row r="124" spans="1:42" s="1" customFormat="1" x14ac:dyDescent="0.2">
      <c r="A124" s="50">
        <v>120</v>
      </c>
      <c r="B124" s="10"/>
      <c r="C124" s="10"/>
      <c r="D124" s="10" t="s">
        <v>147</v>
      </c>
      <c r="E124" s="21"/>
      <c r="F124" s="10"/>
      <c r="G124" s="10"/>
      <c r="H124" s="10"/>
      <c r="I124" s="10" t="s">
        <v>130</v>
      </c>
      <c r="J124" s="10"/>
      <c r="K124" s="10" t="s">
        <v>240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Z124" s="10"/>
      <c r="AA124" s="10"/>
      <c r="AB124" s="10"/>
      <c r="AC124" s="10"/>
      <c r="AE124" s="10"/>
      <c r="AF124" s="10" t="s">
        <v>493</v>
      </c>
      <c r="AG124" s="10" t="s">
        <v>493</v>
      </c>
      <c r="AH124" s="10" t="s">
        <v>493</v>
      </c>
      <c r="AI124" s="10" t="s">
        <v>493</v>
      </c>
      <c r="AJ124" s="10"/>
      <c r="AK124" s="10"/>
      <c r="AL124" s="10"/>
      <c r="AM124" s="10"/>
      <c r="AN124" s="10"/>
      <c r="AP124" s="14"/>
    </row>
    <row r="125" spans="1:42" s="1" customFormat="1" x14ac:dyDescent="0.2">
      <c r="A125" s="10">
        <v>120</v>
      </c>
      <c r="B125" s="10"/>
      <c r="C125" s="10"/>
      <c r="D125" s="10" t="s">
        <v>149</v>
      </c>
      <c r="E125" s="21" t="s">
        <v>582</v>
      </c>
      <c r="F125" s="10" t="s">
        <v>157</v>
      </c>
      <c r="G125" s="10" t="s">
        <v>9</v>
      </c>
      <c r="H125" s="10"/>
      <c r="I125" s="10" t="s">
        <v>308</v>
      </c>
      <c r="J125" s="10"/>
      <c r="K125" s="10" t="s">
        <v>28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Z125" s="10" t="s">
        <v>228</v>
      </c>
      <c r="AA125" s="10" t="s">
        <v>68</v>
      </c>
      <c r="AB125" s="10" t="s">
        <v>68</v>
      </c>
      <c r="AC125" s="10" t="s">
        <v>68</v>
      </c>
      <c r="AE125" s="10"/>
      <c r="AF125" s="10" t="s">
        <v>69</v>
      </c>
      <c r="AG125" s="10" t="s">
        <v>69</v>
      </c>
      <c r="AH125" s="10" t="s">
        <v>69</v>
      </c>
      <c r="AI125" s="10" t="s">
        <v>69</v>
      </c>
      <c r="AJ125" s="10"/>
      <c r="AK125" s="10"/>
      <c r="AL125" s="10"/>
      <c r="AM125" s="10"/>
      <c r="AN125" s="10"/>
      <c r="AP125" s="14"/>
    </row>
    <row r="126" spans="1:42" s="1" customFormat="1" x14ac:dyDescent="0.2">
      <c r="A126" s="10">
        <v>120</v>
      </c>
      <c r="B126" s="10"/>
      <c r="C126" s="10"/>
      <c r="D126" s="10" t="s">
        <v>148</v>
      </c>
      <c r="E126" s="21" t="s">
        <v>583</v>
      </c>
      <c r="F126" s="10" t="s">
        <v>156</v>
      </c>
      <c r="G126" s="10" t="s">
        <v>9</v>
      </c>
      <c r="H126" s="10"/>
      <c r="I126" s="10" t="s">
        <v>308</v>
      </c>
      <c r="J126" s="10"/>
      <c r="K126" s="10" t="s">
        <v>28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Z126" s="10" t="s">
        <v>228</v>
      </c>
      <c r="AA126" s="10" t="s">
        <v>68</v>
      </c>
      <c r="AB126" s="10" t="s">
        <v>68</v>
      </c>
      <c r="AC126" s="10" t="s">
        <v>68</v>
      </c>
      <c r="AE126" s="10"/>
      <c r="AF126" s="10" t="s">
        <v>69</v>
      </c>
      <c r="AG126" s="10" t="s">
        <v>69</v>
      </c>
      <c r="AH126" s="10" t="s">
        <v>69</v>
      </c>
      <c r="AI126" s="10" t="s">
        <v>69</v>
      </c>
      <c r="AJ126" s="10"/>
      <c r="AK126" s="10"/>
      <c r="AL126" s="10"/>
      <c r="AM126" s="10"/>
      <c r="AN126" s="10"/>
      <c r="AP126" s="14"/>
    </row>
    <row r="127" spans="1:42" s="1" customFormat="1" ht="26" x14ac:dyDescent="0.2">
      <c r="A127" s="50">
        <v>120</v>
      </c>
      <c r="B127" s="50"/>
      <c r="C127" s="50"/>
      <c r="D127" s="50" t="s">
        <v>153</v>
      </c>
      <c r="E127" s="50"/>
      <c r="F127" s="50"/>
      <c r="G127" s="50"/>
      <c r="H127" s="50"/>
      <c r="I127" s="50" t="s">
        <v>228</v>
      </c>
      <c r="J127" s="50"/>
      <c r="K127" s="50" t="s">
        <v>290</v>
      </c>
      <c r="L127" s="50" t="s">
        <v>309</v>
      </c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 t="s">
        <v>292</v>
      </c>
      <c r="AA127" s="50" t="s">
        <v>293</v>
      </c>
      <c r="AB127" s="50" t="s">
        <v>293</v>
      </c>
      <c r="AC127" s="50" t="s">
        <v>293</v>
      </c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</row>
    <row r="128" spans="1:42" s="1" customFormat="1" ht="26" x14ac:dyDescent="0.2">
      <c r="A128" s="50">
        <v>120</v>
      </c>
      <c r="B128" s="10"/>
      <c r="C128" s="10"/>
      <c r="D128" s="10" t="s">
        <v>154</v>
      </c>
      <c r="E128" s="21" t="s">
        <v>584</v>
      </c>
      <c r="F128" s="10" t="s">
        <v>155</v>
      </c>
      <c r="G128" s="10" t="s">
        <v>9</v>
      </c>
      <c r="H128" s="10"/>
      <c r="I128" s="10" t="s">
        <v>130</v>
      </c>
      <c r="J128" s="10"/>
      <c r="K128" s="10" t="s">
        <v>240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Z128" s="10"/>
      <c r="AA128" s="10"/>
      <c r="AB128" s="10"/>
      <c r="AC128" s="10"/>
      <c r="AE128" s="10"/>
      <c r="AF128" s="10" t="s">
        <v>494</v>
      </c>
      <c r="AG128" s="10" t="s">
        <v>494</v>
      </c>
      <c r="AH128" s="10" t="s">
        <v>494</v>
      </c>
      <c r="AI128" s="10" t="s">
        <v>494</v>
      </c>
      <c r="AJ128" s="10"/>
      <c r="AK128" s="10"/>
      <c r="AL128" s="10"/>
      <c r="AM128" s="10"/>
      <c r="AN128" s="10"/>
      <c r="AP128" s="14"/>
    </row>
    <row r="129" spans="1:42" s="1" customFormat="1" x14ac:dyDescent="0.2">
      <c r="A129" s="10">
        <v>120</v>
      </c>
      <c r="B129" s="10"/>
      <c r="C129" s="10"/>
      <c r="D129" s="10" t="s">
        <v>150</v>
      </c>
      <c r="E129" s="21" t="s">
        <v>585</v>
      </c>
      <c r="F129" s="10" t="s">
        <v>158</v>
      </c>
      <c r="G129" s="10" t="s">
        <v>9</v>
      </c>
      <c r="H129" s="10"/>
      <c r="I129" s="10" t="s">
        <v>310</v>
      </c>
      <c r="J129" s="10"/>
      <c r="K129" s="10" t="s">
        <v>28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Z129" s="10" t="s">
        <v>228</v>
      </c>
      <c r="AA129" s="10" t="s">
        <v>68</v>
      </c>
      <c r="AB129" s="10" t="s">
        <v>68</v>
      </c>
      <c r="AC129" s="10" t="s">
        <v>68</v>
      </c>
      <c r="AE129" s="10"/>
      <c r="AF129" s="10" t="s">
        <v>69</v>
      </c>
      <c r="AG129" s="10" t="s">
        <v>69</v>
      </c>
      <c r="AH129" s="10" t="s">
        <v>69</v>
      </c>
      <c r="AI129" s="10" t="s">
        <v>69</v>
      </c>
      <c r="AJ129" s="10"/>
      <c r="AK129" s="10"/>
      <c r="AL129" s="10"/>
      <c r="AM129" s="10"/>
      <c r="AN129" s="10"/>
      <c r="AP129" s="14"/>
    </row>
    <row r="130" spans="1:42" s="1" customFormat="1" x14ac:dyDescent="0.2">
      <c r="A130" s="10">
        <v>120</v>
      </c>
      <c r="B130" s="10"/>
      <c r="C130" s="10"/>
      <c r="D130" s="10" t="s">
        <v>151</v>
      </c>
      <c r="E130" s="21" t="s">
        <v>586</v>
      </c>
      <c r="F130" s="10" t="s">
        <v>159</v>
      </c>
      <c r="G130" s="10" t="s">
        <v>9</v>
      </c>
      <c r="H130" s="10"/>
      <c r="I130" s="10" t="s">
        <v>311</v>
      </c>
      <c r="J130" s="10"/>
      <c r="K130" s="10" t="s">
        <v>28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Z130" s="10" t="s">
        <v>228</v>
      </c>
      <c r="AA130" s="10" t="s">
        <v>68</v>
      </c>
      <c r="AB130" s="10" t="s">
        <v>68</v>
      </c>
      <c r="AC130" s="10" t="s">
        <v>68</v>
      </c>
      <c r="AE130" s="10"/>
      <c r="AF130" s="10" t="s">
        <v>69</v>
      </c>
      <c r="AG130" s="10" t="s">
        <v>69</v>
      </c>
      <c r="AH130" s="10" t="s">
        <v>69</v>
      </c>
      <c r="AI130" s="10" t="s">
        <v>69</v>
      </c>
      <c r="AJ130" s="10"/>
      <c r="AK130" s="10"/>
      <c r="AL130" s="10"/>
      <c r="AM130" s="10"/>
      <c r="AN130" s="10"/>
      <c r="AP130" s="14"/>
    </row>
    <row r="131" spans="1:42" s="1" customFormat="1" x14ac:dyDescent="0.2">
      <c r="A131" s="10">
        <v>120</v>
      </c>
      <c r="B131" s="10"/>
      <c r="C131" s="10"/>
      <c r="D131" s="10" t="s">
        <v>152</v>
      </c>
      <c r="E131" s="21" t="s">
        <v>587</v>
      </c>
      <c r="F131" s="10" t="s">
        <v>160</v>
      </c>
      <c r="G131" s="10" t="s">
        <v>9</v>
      </c>
      <c r="H131" s="10"/>
      <c r="I131" s="10" t="s">
        <v>232</v>
      </c>
      <c r="J131" s="10"/>
      <c r="K131" s="10" t="s">
        <v>233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Z131" s="10" t="s">
        <v>228</v>
      </c>
      <c r="AA131" s="10" t="s">
        <v>68</v>
      </c>
      <c r="AB131" s="10" t="s">
        <v>68</v>
      </c>
      <c r="AC131" s="10" t="s">
        <v>68</v>
      </c>
      <c r="AE131" s="10"/>
      <c r="AF131" s="10" t="s">
        <v>69</v>
      </c>
      <c r="AG131" s="10" t="s">
        <v>69</v>
      </c>
      <c r="AH131" s="10" t="s">
        <v>69</v>
      </c>
      <c r="AI131" s="10" t="s">
        <v>69</v>
      </c>
      <c r="AJ131" s="10"/>
      <c r="AK131" s="10"/>
      <c r="AL131" s="10"/>
      <c r="AM131" s="10"/>
      <c r="AN131" s="10"/>
      <c r="AP131" s="14"/>
    </row>
    <row r="132" spans="1:42" s="1" customFormat="1" x14ac:dyDescent="0.2">
      <c r="A132" s="10">
        <v>120</v>
      </c>
      <c r="B132" s="10"/>
      <c r="C132" s="10"/>
      <c r="D132" s="10" t="s">
        <v>36</v>
      </c>
      <c r="E132" s="21" t="s">
        <v>540</v>
      </c>
      <c r="F132" s="10" t="s">
        <v>27</v>
      </c>
      <c r="G132" s="10" t="s">
        <v>9</v>
      </c>
      <c r="H132" s="10"/>
      <c r="I132" s="10" t="s">
        <v>262</v>
      </c>
      <c r="J132" s="10"/>
      <c r="K132" s="10" t="s">
        <v>28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Z132" s="10" t="s">
        <v>69</v>
      </c>
      <c r="AA132" s="10" t="s">
        <v>68</v>
      </c>
      <c r="AB132" s="10" t="s">
        <v>68</v>
      </c>
      <c r="AC132" s="10" t="s">
        <v>68</v>
      </c>
      <c r="AE132" s="10"/>
      <c r="AF132" s="10" t="s">
        <v>69</v>
      </c>
      <c r="AG132" s="10" t="s">
        <v>69</v>
      </c>
      <c r="AH132" s="10" t="s">
        <v>69</v>
      </c>
      <c r="AI132" s="10" t="s">
        <v>69</v>
      </c>
      <c r="AJ132" s="10"/>
      <c r="AK132" s="10"/>
      <c r="AL132" s="10"/>
      <c r="AM132" s="10"/>
      <c r="AN132" s="10"/>
      <c r="AP132" s="14"/>
    </row>
    <row r="133" spans="1:42" s="1" customFormat="1" x14ac:dyDescent="0.2">
      <c r="A133" s="10">
        <v>120</v>
      </c>
      <c r="B133" s="10"/>
      <c r="C133" s="10"/>
      <c r="D133" s="10" t="s">
        <v>29</v>
      </c>
      <c r="E133" s="21" t="s">
        <v>541</v>
      </c>
      <c r="F133" s="10" t="s">
        <v>31</v>
      </c>
      <c r="G133" s="10" t="s">
        <v>9</v>
      </c>
      <c r="H133" s="10"/>
      <c r="I133" s="10" t="s">
        <v>33</v>
      </c>
      <c r="J133" s="10"/>
      <c r="K133" s="10" t="s">
        <v>28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Z133" s="10" t="s">
        <v>69</v>
      </c>
      <c r="AA133" s="10" t="s">
        <v>68</v>
      </c>
      <c r="AB133" s="10" t="s">
        <v>68</v>
      </c>
      <c r="AC133" s="10" t="s">
        <v>68</v>
      </c>
      <c r="AE133" s="10"/>
      <c r="AF133" s="10" t="s">
        <v>69</v>
      </c>
      <c r="AG133" s="10" t="s">
        <v>69</v>
      </c>
      <c r="AH133" s="10" t="s">
        <v>69</v>
      </c>
      <c r="AI133" s="10" t="s">
        <v>69</v>
      </c>
      <c r="AJ133" s="10"/>
      <c r="AK133" s="10"/>
      <c r="AL133" s="10"/>
      <c r="AM133" s="10"/>
      <c r="AN133" s="10"/>
      <c r="AP133" s="14"/>
    </row>
    <row r="134" spans="1:42" s="1" customFormat="1" x14ac:dyDescent="0.2">
      <c r="A134" s="10">
        <v>120</v>
      </c>
      <c r="B134" s="10"/>
      <c r="C134" s="10"/>
      <c r="D134" s="10" t="s">
        <v>30</v>
      </c>
      <c r="E134" s="21" t="s">
        <v>542</v>
      </c>
      <c r="F134" s="10" t="s">
        <v>32</v>
      </c>
      <c r="G134" s="10" t="s">
        <v>9</v>
      </c>
      <c r="H134" s="10"/>
      <c r="I134" s="10" t="s">
        <v>263</v>
      </c>
      <c r="J134" s="10"/>
      <c r="K134" s="10" t="s">
        <v>28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Z134" s="10" t="s">
        <v>69</v>
      </c>
      <c r="AA134" s="10" t="s">
        <v>68</v>
      </c>
      <c r="AB134" s="10" t="s">
        <v>68</v>
      </c>
      <c r="AC134" s="10" t="s">
        <v>68</v>
      </c>
      <c r="AE134" s="10"/>
      <c r="AF134" s="10" t="s">
        <v>69</v>
      </c>
      <c r="AG134" s="10" t="s">
        <v>69</v>
      </c>
      <c r="AH134" s="10" t="s">
        <v>69</v>
      </c>
      <c r="AI134" s="10" t="s">
        <v>69</v>
      </c>
      <c r="AJ134" s="10"/>
      <c r="AK134" s="10"/>
      <c r="AL134" s="10"/>
      <c r="AM134" s="10"/>
      <c r="AN134" s="10"/>
      <c r="AP134" s="14"/>
    </row>
    <row r="135" spans="1:42" s="1" customFormat="1" x14ac:dyDescent="0.2">
      <c r="A135" s="10">
        <v>120</v>
      </c>
      <c r="B135" s="10"/>
      <c r="C135" s="10"/>
      <c r="D135" s="10" t="s">
        <v>55</v>
      </c>
      <c r="E135" s="21" t="s">
        <v>588</v>
      </c>
      <c r="F135" s="10" t="s">
        <v>52</v>
      </c>
      <c r="G135" s="10" t="s">
        <v>9</v>
      </c>
      <c r="H135" s="10"/>
      <c r="I135" s="10" t="s">
        <v>273</v>
      </c>
      <c r="J135" s="10"/>
      <c r="K135" s="10" t="s">
        <v>28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Z135" s="10" t="s">
        <v>68</v>
      </c>
      <c r="AA135" s="10" t="s">
        <v>68</v>
      </c>
      <c r="AB135" s="10" t="s">
        <v>68</v>
      </c>
      <c r="AC135" s="10" t="s">
        <v>68</v>
      </c>
      <c r="AE135" s="10"/>
      <c r="AF135" s="10" t="s">
        <v>69</v>
      </c>
      <c r="AG135" s="10"/>
      <c r="AH135" s="10" t="s">
        <v>69</v>
      </c>
      <c r="AI135" s="10"/>
      <c r="AJ135" s="10"/>
      <c r="AK135" s="10"/>
      <c r="AL135" s="10"/>
      <c r="AM135" s="10"/>
      <c r="AN135" s="10"/>
      <c r="AP135" s="14"/>
    </row>
    <row r="136" spans="1:42" s="1" customFormat="1" x14ac:dyDescent="0.2">
      <c r="A136" s="10">
        <v>120</v>
      </c>
      <c r="B136" s="10"/>
      <c r="C136" s="10"/>
      <c r="D136" s="10" t="s">
        <v>56</v>
      </c>
      <c r="E136" s="21" t="s">
        <v>589</v>
      </c>
      <c r="F136" s="10" t="s">
        <v>37</v>
      </c>
      <c r="G136" s="10" t="s">
        <v>9</v>
      </c>
      <c r="H136" s="10"/>
      <c r="I136" s="10" t="s">
        <v>274</v>
      </c>
      <c r="J136" s="10"/>
      <c r="K136" s="10" t="s">
        <v>28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Z136" s="10" t="s">
        <v>68</v>
      </c>
      <c r="AA136" s="10" t="s">
        <v>68</v>
      </c>
      <c r="AB136" s="10" t="s">
        <v>68</v>
      </c>
      <c r="AC136" s="10" t="s">
        <v>68</v>
      </c>
      <c r="AE136" s="10"/>
      <c r="AF136" s="10" t="s">
        <v>69</v>
      </c>
      <c r="AG136" s="10"/>
      <c r="AH136" s="10" t="s">
        <v>69</v>
      </c>
      <c r="AI136" s="10"/>
      <c r="AJ136" s="10"/>
      <c r="AK136" s="10"/>
      <c r="AL136" s="10"/>
      <c r="AM136" s="10"/>
      <c r="AN136" s="10"/>
      <c r="AP136" s="14"/>
    </row>
    <row r="137" spans="1:42" s="1" customFormat="1" x14ac:dyDescent="0.2">
      <c r="A137" s="10">
        <v>120</v>
      </c>
      <c r="B137" s="10"/>
      <c r="C137" s="10"/>
      <c r="D137" s="10" t="s">
        <v>70</v>
      </c>
      <c r="E137" s="21" t="s">
        <v>590</v>
      </c>
      <c r="F137" s="10" t="s">
        <v>10</v>
      </c>
      <c r="G137" s="10" t="s">
        <v>9</v>
      </c>
      <c r="H137" s="10"/>
      <c r="I137" s="10" t="s">
        <v>275</v>
      </c>
      <c r="J137" s="10"/>
      <c r="K137" s="10" t="s">
        <v>28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Z137" s="10" t="s">
        <v>68</v>
      </c>
      <c r="AA137" s="10" t="s">
        <v>68</v>
      </c>
      <c r="AB137" s="10" t="s">
        <v>68</v>
      </c>
      <c r="AC137" s="10" t="s">
        <v>68</v>
      </c>
      <c r="AE137" s="10"/>
      <c r="AF137" s="10" t="s">
        <v>69</v>
      </c>
      <c r="AG137" s="10"/>
      <c r="AH137" s="10" t="s">
        <v>69</v>
      </c>
      <c r="AI137" s="10"/>
      <c r="AJ137" s="10"/>
      <c r="AK137" s="10"/>
      <c r="AL137" s="10"/>
      <c r="AM137" s="10"/>
      <c r="AN137" s="10"/>
      <c r="AP137" s="14"/>
    </row>
    <row r="138" spans="1:42" s="1" customFormat="1" x14ac:dyDescent="0.2">
      <c r="A138" s="10">
        <v>120</v>
      </c>
      <c r="B138" s="10"/>
      <c r="C138" s="10"/>
      <c r="D138" s="10" t="s">
        <v>57</v>
      </c>
      <c r="E138" s="21" t="s">
        <v>591</v>
      </c>
      <c r="F138" s="10" t="s">
        <v>39</v>
      </c>
      <c r="G138" s="10" t="s">
        <v>9</v>
      </c>
      <c r="H138" s="10"/>
      <c r="I138" s="10" t="s">
        <v>276</v>
      </c>
      <c r="J138" s="10"/>
      <c r="K138" s="10" t="s">
        <v>28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Z138" s="10" t="s">
        <v>68</v>
      </c>
      <c r="AA138" s="10" t="s">
        <v>68</v>
      </c>
      <c r="AB138" s="10" t="s">
        <v>68</v>
      </c>
      <c r="AC138" s="10" t="s">
        <v>68</v>
      </c>
      <c r="AE138" s="10"/>
      <c r="AF138" s="10" t="s">
        <v>69</v>
      </c>
      <c r="AG138" s="10"/>
      <c r="AH138" s="10" t="s">
        <v>69</v>
      </c>
      <c r="AI138" s="10"/>
      <c r="AJ138" s="10"/>
      <c r="AK138" s="10"/>
      <c r="AL138" s="10"/>
      <c r="AM138" s="10"/>
      <c r="AN138" s="10"/>
      <c r="AP138" s="14"/>
    </row>
    <row r="139" spans="1:42" s="1" customFormat="1" x14ac:dyDescent="0.2">
      <c r="A139" s="10">
        <v>120</v>
      </c>
      <c r="B139" s="10"/>
      <c r="C139" s="10"/>
      <c r="D139" s="10" t="s">
        <v>62</v>
      </c>
      <c r="E139" s="21" t="s">
        <v>592</v>
      </c>
      <c r="F139" s="10" t="s">
        <v>63</v>
      </c>
      <c r="G139" s="10" t="s">
        <v>9</v>
      </c>
      <c r="H139" s="10"/>
      <c r="I139" s="10" t="s">
        <v>277</v>
      </c>
      <c r="J139" s="10"/>
      <c r="K139" s="10" t="s">
        <v>28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Z139" s="10" t="s">
        <v>68</v>
      </c>
      <c r="AA139" s="10" t="s">
        <v>68</v>
      </c>
      <c r="AB139" s="10" t="s">
        <v>68</v>
      </c>
      <c r="AC139" s="10" t="s">
        <v>68</v>
      </c>
      <c r="AE139" s="10"/>
      <c r="AF139" s="10" t="s">
        <v>69</v>
      </c>
      <c r="AG139" s="10"/>
      <c r="AH139" s="10" t="s">
        <v>69</v>
      </c>
      <c r="AI139" s="10"/>
      <c r="AJ139" s="10"/>
      <c r="AK139" s="10"/>
      <c r="AL139" s="10"/>
      <c r="AM139" s="10"/>
      <c r="AN139" s="10"/>
      <c r="AP139" s="14"/>
    </row>
    <row r="140" spans="1:42" s="1" customFormat="1" x14ac:dyDescent="0.2">
      <c r="A140" s="10">
        <v>120</v>
      </c>
      <c r="B140" s="10"/>
      <c r="C140" s="10"/>
      <c r="D140" s="10" t="s">
        <v>84</v>
      </c>
      <c r="E140" s="21" t="s">
        <v>593</v>
      </c>
      <c r="F140" s="10" t="s">
        <v>85</v>
      </c>
      <c r="G140" s="10"/>
      <c r="H140" s="10"/>
      <c r="I140" s="10" t="s">
        <v>278</v>
      </c>
      <c r="J140" s="10"/>
      <c r="K140" s="10" t="s">
        <v>28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Z140" s="10" t="s">
        <v>173</v>
      </c>
      <c r="AA140" s="10" t="s">
        <v>173</v>
      </c>
      <c r="AB140" s="10" t="s">
        <v>173</v>
      </c>
      <c r="AC140" s="10" t="s">
        <v>173</v>
      </c>
      <c r="AE140" s="10"/>
      <c r="AF140" s="10" t="s">
        <v>69</v>
      </c>
      <c r="AG140" s="10" t="s">
        <v>69</v>
      </c>
      <c r="AH140" s="10" t="s">
        <v>69</v>
      </c>
      <c r="AI140" s="10" t="s">
        <v>69</v>
      </c>
      <c r="AJ140" s="10"/>
      <c r="AK140" s="10" t="s">
        <v>69</v>
      </c>
      <c r="AL140" s="10"/>
      <c r="AM140" s="10"/>
      <c r="AN140" s="10"/>
      <c r="AP140" s="14"/>
    </row>
    <row r="141" spans="1:42" s="1" customFormat="1" x14ac:dyDescent="0.2">
      <c r="A141" s="10">
        <v>120</v>
      </c>
      <c r="B141" s="10"/>
      <c r="C141" s="10"/>
      <c r="D141" s="10" t="s">
        <v>58</v>
      </c>
      <c r="E141" s="21" t="s">
        <v>594</v>
      </c>
      <c r="F141" s="10" t="s">
        <v>75</v>
      </c>
      <c r="G141" s="10" t="s">
        <v>1</v>
      </c>
      <c r="H141" s="10"/>
      <c r="I141" s="10" t="s">
        <v>273</v>
      </c>
      <c r="J141" s="10"/>
      <c r="K141" s="10" t="s">
        <v>28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Z141" s="10" t="s">
        <v>68</v>
      </c>
      <c r="AA141" s="10" t="s">
        <v>68</v>
      </c>
      <c r="AB141" s="10" t="s">
        <v>68</v>
      </c>
      <c r="AC141" s="10" t="s">
        <v>68</v>
      </c>
      <c r="AE141" s="10"/>
      <c r="AF141" s="10" t="s">
        <v>69</v>
      </c>
      <c r="AG141" s="10"/>
      <c r="AH141" s="10" t="s">
        <v>69</v>
      </c>
      <c r="AI141" s="10"/>
      <c r="AJ141" s="10"/>
      <c r="AK141" s="10"/>
      <c r="AL141" s="10"/>
      <c r="AM141" s="10"/>
      <c r="AN141" s="10"/>
      <c r="AP141" s="14"/>
    </row>
    <row r="142" spans="1:42" s="1" customFormat="1" x14ac:dyDescent="0.2">
      <c r="A142" s="10">
        <v>120</v>
      </c>
      <c r="B142" s="10"/>
      <c r="C142" s="10"/>
      <c r="D142" s="10" t="s">
        <v>59</v>
      </c>
      <c r="E142" s="21" t="s">
        <v>595</v>
      </c>
      <c r="F142" s="10" t="s">
        <v>38</v>
      </c>
      <c r="G142" s="10" t="s">
        <v>9</v>
      </c>
      <c r="H142" s="10"/>
      <c r="I142" s="10" t="s">
        <v>274</v>
      </c>
      <c r="J142" s="10"/>
      <c r="K142" s="10" t="s">
        <v>28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Z142" s="10" t="s">
        <v>68</v>
      </c>
      <c r="AA142" s="10" t="s">
        <v>68</v>
      </c>
      <c r="AB142" s="10" t="s">
        <v>68</v>
      </c>
      <c r="AC142" s="10" t="s">
        <v>68</v>
      </c>
      <c r="AE142" s="10"/>
      <c r="AF142" s="10" t="s">
        <v>69</v>
      </c>
      <c r="AG142" s="10"/>
      <c r="AH142" s="10" t="s">
        <v>69</v>
      </c>
      <c r="AI142" s="10"/>
      <c r="AJ142" s="10"/>
      <c r="AK142" s="10"/>
      <c r="AL142" s="10"/>
      <c r="AM142" s="10"/>
      <c r="AN142" s="10"/>
      <c r="AP142" s="14"/>
    </row>
    <row r="143" spans="1:42" s="1" customFormat="1" x14ac:dyDescent="0.2">
      <c r="A143" s="10">
        <v>120</v>
      </c>
      <c r="B143" s="10"/>
      <c r="C143" s="10"/>
      <c r="D143" s="10" t="s">
        <v>60</v>
      </c>
      <c r="E143" s="21" t="s">
        <v>596</v>
      </c>
      <c r="F143" s="10" t="s">
        <v>40</v>
      </c>
      <c r="G143" s="10" t="s">
        <v>9</v>
      </c>
      <c r="H143" s="10"/>
      <c r="I143" s="10" t="s">
        <v>275</v>
      </c>
      <c r="J143" s="10"/>
      <c r="K143" s="10" t="s">
        <v>28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Z143" s="10" t="s">
        <v>68</v>
      </c>
      <c r="AA143" s="10" t="s">
        <v>68</v>
      </c>
      <c r="AB143" s="10" t="s">
        <v>68</v>
      </c>
      <c r="AC143" s="10" t="s">
        <v>68</v>
      </c>
      <c r="AE143" s="10"/>
      <c r="AF143" s="10" t="s">
        <v>69</v>
      </c>
      <c r="AG143" s="10"/>
      <c r="AH143" s="10" t="s">
        <v>69</v>
      </c>
      <c r="AI143" s="10"/>
      <c r="AJ143" s="10"/>
      <c r="AK143" s="10"/>
      <c r="AL143" s="10"/>
      <c r="AM143" s="10"/>
      <c r="AN143" s="10"/>
      <c r="AP143" s="14"/>
    </row>
    <row r="144" spans="1:42" s="1" customFormat="1" x14ac:dyDescent="0.2">
      <c r="A144" s="10">
        <v>120</v>
      </c>
      <c r="B144" s="10"/>
      <c r="C144" s="10"/>
      <c r="D144" s="10" t="s">
        <v>61</v>
      </c>
      <c r="E144" s="21" t="s">
        <v>597</v>
      </c>
      <c r="F144" s="10" t="s">
        <v>41</v>
      </c>
      <c r="G144" s="10" t="s">
        <v>9</v>
      </c>
      <c r="H144" s="10"/>
      <c r="I144" s="10" t="s">
        <v>276</v>
      </c>
      <c r="J144" s="10"/>
      <c r="K144" s="10" t="s">
        <v>28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Z144" s="10" t="s">
        <v>68</v>
      </c>
      <c r="AA144" s="10" t="s">
        <v>68</v>
      </c>
      <c r="AB144" s="10" t="s">
        <v>68</v>
      </c>
      <c r="AC144" s="10" t="s">
        <v>68</v>
      </c>
      <c r="AE144" s="10"/>
      <c r="AF144" s="10" t="s">
        <v>69</v>
      </c>
      <c r="AG144" s="10"/>
      <c r="AH144" s="10" t="s">
        <v>69</v>
      </c>
      <c r="AI144" s="10"/>
      <c r="AJ144" s="10"/>
      <c r="AK144" s="10"/>
      <c r="AL144" s="10"/>
      <c r="AM144" s="10"/>
      <c r="AN144" s="10"/>
      <c r="AP144" s="14"/>
    </row>
    <row r="145" spans="1:42" s="1" customFormat="1" x14ac:dyDescent="0.2">
      <c r="A145" s="10">
        <v>120</v>
      </c>
      <c r="B145" s="10"/>
      <c r="C145" s="10"/>
      <c r="D145" s="10" t="s">
        <v>64</v>
      </c>
      <c r="E145" s="21" t="s">
        <v>598</v>
      </c>
      <c r="F145" s="10" t="s">
        <v>65</v>
      </c>
      <c r="G145" s="10" t="s">
        <v>9</v>
      </c>
      <c r="H145" s="10"/>
      <c r="I145" s="10" t="s">
        <v>277</v>
      </c>
      <c r="J145" s="10"/>
      <c r="K145" s="10" t="s">
        <v>28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Z145" s="10" t="s">
        <v>68</v>
      </c>
      <c r="AA145" s="10" t="s">
        <v>68</v>
      </c>
      <c r="AB145" s="10" t="s">
        <v>68</v>
      </c>
      <c r="AC145" s="10" t="s">
        <v>68</v>
      </c>
      <c r="AE145" s="10"/>
      <c r="AF145" s="10" t="s">
        <v>69</v>
      </c>
      <c r="AG145" s="10"/>
      <c r="AH145" s="10" t="s">
        <v>69</v>
      </c>
      <c r="AI145" s="10"/>
      <c r="AJ145" s="10"/>
      <c r="AK145" s="10"/>
      <c r="AL145" s="10"/>
      <c r="AM145" s="10"/>
      <c r="AN145" s="10"/>
      <c r="AP145" s="14"/>
    </row>
    <row r="146" spans="1:42" s="1" customFormat="1" x14ac:dyDescent="0.2">
      <c r="A146" s="10">
        <v>120</v>
      </c>
      <c r="B146" s="10"/>
      <c r="C146" s="10"/>
      <c r="D146" s="10" t="s">
        <v>66</v>
      </c>
      <c r="E146" s="21" t="s">
        <v>599</v>
      </c>
      <c r="F146" s="10" t="s">
        <v>42</v>
      </c>
      <c r="G146" s="10" t="s">
        <v>9</v>
      </c>
      <c r="H146" s="10"/>
      <c r="I146" s="10" t="s">
        <v>279</v>
      </c>
      <c r="J146" s="10"/>
      <c r="K146" s="10" t="s">
        <v>28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Z146" s="10" t="s">
        <v>68</v>
      </c>
      <c r="AA146" s="10" t="s">
        <v>68</v>
      </c>
      <c r="AB146" s="10" t="s">
        <v>68</v>
      </c>
      <c r="AC146" s="10" t="s">
        <v>68</v>
      </c>
      <c r="AE146" s="10"/>
      <c r="AF146" s="10" t="s">
        <v>69</v>
      </c>
      <c r="AG146" s="10"/>
      <c r="AH146" s="10" t="s">
        <v>69</v>
      </c>
      <c r="AI146" s="10"/>
      <c r="AJ146" s="10"/>
      <c r="AK146" s="10"/>
      <c r="AL146" s="10"/>
      <c r="AM146" s="10"/>
      <c r="AN146" s="10"/>
      <c r="AP146" s="14"/>
    </row>
    <row r="147" spans="1:42" s="1" customFormat="1" x14ac:dyDescent="0.2">
      <c r="A147" s="10">
        <v>120</v>
      </c>
      <c r="B147" s="10"/>
      <c r="C147" s="10"/>
      <c r="D147" s="10" t="s">
        <v>78</v>
      </c>
      <c r="E147" s="21" t="s">
        <v>600</v>
      </c>
      <c r="F147" s="10" t="s">
        <v>43</v>
      </c>
      <c r="G147" s="10" t="s">
        <v>9</v>
      </c>
      <c r="H147" s="10"/>
      <c r="I147" s="10" t="s">
        <v>273</v>
      </c>
      <c r="J147" s="10"/>
      <c r="K147" s="10" t="s">
        <v>28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Z147" s="10" t="s">
        <v>68</v>
      </c>
      <c r="AA147" s="10" t="s">
        <v>68</v>
      </c>
      <c r="AB147" s="10" t="s">
        <v>68</v>
      </c>
      <c r="AC147" s="10" t="s">
        <v>68</v>
      </c>
      <c r="AE147" s="10"/>
      <c r="AF147" s="10" t="s">
        <v>69</v>
      </c>
      <c r="AG147" s="10"/>
      <c r="AH147" s="10" t="s">
        <v>69</v>
      </c>
      <c r="AI147" s="10"/>
      <c r="AJ147" s="10"/>
      <c r="AK147" s="10"/>
      <c r="AL147" s="10"/>
      <c r="AM147" s="10"/>
      <c r="AN147" s="10"/>
      <c r="AP147" s="14"/>
    </row>
    <row r="148" spans="1:42" s="1" customFormat="1" x14ac:dyDescent="0.2">
      <c r="A148" s="10">
        <v>120</v>
      </c>
      <c r="B148" s="10"/>
      <c r="C148" s="10"/>
      <c r="D148" s="10" t="s">
        <v>79</v>
      </c>
      <c r="E148" s="21" t="s">
        <v>601</v>
      </c>
      <c r="F148" s="10" t="s">
        <v>44</v>
      </c>
      <c r="G148" s="10" t="s">
        <v>9</v>
      </c>
      <c r="H148" s="10"/>
      <c r="I148" s="10" t="s">
        <v>274</v>
      </c>
      <c r="J148" s="10"/>
      <c r="K148" s="10" t="s">
        <v>28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Z148" s="10" t="s">
        <v>68</v>
      </c>
      <c r="AA148" s="10" t="s">
        <v>68</v>
      </c>
      <c r="AB148" s="10" t="s">
        <v>68</v>
      </c>
      <c r="AC148" s="10" t="s">
        <v>68</v>
      </c>
      <c r="AE148" s="10"/>
      <c r="AF148" s="10" t="s">
        <v>69</v>
      </c>
      <c r="AG148" s="10"/>
      <c r="AH148" s="10" t="s">
        <v>69</v>
      </c>
      <c r="AI148" s="10"/>
      <c r="AJ148" s="10"/>
      <c r="AK148" s="10"/>
      <c r="AL148" s="10"/>
      <c r="AM148" s="10"/>
      <c r="AN148" s="10"/>
      <c r="AP148" s="14"/>
    </row>
    <row r="149" spans="1:42" s="1" customFormat="1" x14ac:dyDescent="0.2">
      <c r="A149" s="10">
        <v>120</v>
      </c>
      <c r="B149" s="10"/>
      <c r="C149" s="10"/>
      <c r="D149" s="10" t="s">
        <v>80</v>
      </c>
      <c r="E149" s="21" t="s">
        <v>602</v>
      </c>
      <c r="F149" s="10" t="s">
        <v>45</v>
      </c>
      <c r="G149" s="10" t="s">
        <v>9</v>
      </c>
      <c r="H149" s="10"/>
      <c r="I149" s="10" t="s">
        <v>275</v>
      </c>
      <c r="J149" s="10"/>
      <c r="K149" s="10" t="s">
        <v>28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Z149" s="10" t="s">
        <v>68</v>
      </c>
      <c r="AA149" s="10" t="s">
        <v>68</v>
      </c>
      <c r="AB149" s="10" t="s">
        <v>68</v>
      </c>
      <c r="AC149" s="10" t="s">
        <v>68</v>
      </c>
      <c r="AE149" s="10"/>
      <c r="AF149" s="10" t="s">
        <v>69</v>
      </c>
      <c r="AG149" s="10"/>
      <c r="AH149" s="10" t="s">
        <v>69</v>
      </c>
      <c r="AI149" s="10"/>
      <c r="AJ149" s="10"/>
      <c r="AK149" s="10"/>
      <c r="AL149" s="10"/>
      <c r="AM149" s="10"/>
      <c r="AN149" s="10"/>
      <c r="AP149" s="14"/>
    </row>
    <row r="150" spans="1:42" s="1" customFormat="1" ht="52" x14ac:dyDescent="0.2">
      <c r="A150" s="40"/>
      <c r="AE150" s="22" t="s">
        <v>611</v>
      </c>
      <c r="AF150" s="22" t="s">
        <v>612</v>
      </c>
      <c r="AG150" s="22" t="s">
        <v>611</v>
      </c>
      <c r="AH150" s="22" t="s">
        <v>612</v>
      </c>
      <c r="AI150" s="22" t="s">
        <v>611</v>
      </c>
      <c r="AJ150" s="22" t="s">
        <v>612</v>
      </c>
      <c r="AK150" s="22" t="s">
        <v>611</v>
      </c>
      <c r="AL150" s="22" t="s">
        <v>612</v>
      </c>
      <c r="AM150" s="22" t="s">
        <v>611</v>
      </c>
      <c r="AN150" s="22" t="s">
        <v>612</v>
      </c>
      <c r="AP150" s="15"/>
    </row>
    <row r="151" spans="1:42" s="1" customFormat="1" x14ac:dyDescent="0.2">
      <c r="A151" s="10">
        <v>130</v>
      </c>
      <c r="B151" s="11" t="s">
        <v>11</v>
      </c>
      <c r="C151" s="11"/>
      <c r="D151" s="11" t="s">
        <v>72</v>
      </c>
      <c r="E151" s="12"/>
      <c r="F151" s="11"/>
      <c r="G151" s="11"/>
      <c r="H151" s="11"/>
      <c r="I151" s="11" t="s">
        <v>228</v>
      </c>
      <c r="J151" s="11"/>
      <c r="K151" s="11" t="s">
        <v>15</v>
      </c>
      <c r="L151" s="11"/>
      <c r="M151" s="11" t="s">
        <v>312</v>
      </c>
      <c r="N151" s="11" t="s">
        <v>54</v>
      </c>
      <c r="O151" s="11"/>
      <c r="P151" s="11"/>
      <c r="Q151" s="17"/>
      <c r="R151" s="17"/>
      <c r="S151" s="17"/>
      <c r="T151" s="17"/>
      <c r="U151" s="17"/>
      <c r="V151" s="17"/>
      <c r="W151" s="17"/>
      <c r="X151" s="17"/>
      <c r="Y151" s="16"/>
      <c r="Z151" s="17"/>
      <c r="AA151" s="17"/>
      <c r="AB151" s="17"/>
      <c r="AC151" s="17"/>
      <c r="AD151" s="16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6"/>
      <c r="AP151" s="14"/>
    </row>
    <row r="152" spans="1:42" s="1" customFormat="1" ht="26" x14ac:dyDescent="0.2">
      <c r="A152" s="10">
        <v>130</v>
      </c>
      <c r="B152" s="10"/>
      <c r="C152" s="10"/>
      <c r="D152" s="10" t="s">
        <v>448</v>
      </c>
      <c r="E152" s="21" t="s">
        <v>603</v>
      </c>
      <c r="F152" s="10" t="s">
        <v>449</v>
      </c>
      <c r="G152" s="10" t="s">
        <v>1</v>
      </c>
      <c r="H152" s="10"/>
      <c r="I152" s="10"/>
      <c r="J152" s="10"/>
      <c r="K152" s="10" t="s">
        <v>20</v>
      </c>
      <c r="L152" s="10"/>
      <c r="M152" s="10"/>
      <c r="N152" s="10"/>
      <c r="O152" s="10"/>
      <c r="P152" s="10"/>
      <c r="Q152" s="10" t="s">
        <v>452</v>
      </c>
      <c r="R152" s="10"/>
      <c r="S152" s="10"/>
      <c r="T152" s="10" t="s">
        <v>450</v>
      </c>
      <c r="U152" s="10"/>
      <c r="V152" s="10"/>
      <c r="W152" s="10"/>
      <c r="X152" s="10"/>
      <c r="Z152" s="10" t="s">
        <v>451</v>
      </c>
      <c r="AA152" s="10" t="s">
        <v>22</v>
      </c>
      <c r="AB152" s="10" t="s">
        <v>22</v>
      </c>
      <c r="AC152" s="10" t="s">
        <v>22</v>
      </c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P152" s="14"/>
    </row>
    <row r="153" spans="1:42" s="1" customFormat="1" x14ac:dyDescent="0.2">
      <c r="A153" s="10">
        <v>130</v>
      </c>
      <c r="B153" s="10"/>
      <c r="C153" s="10"/>
      <c r="D153" s="10" t="s">
        <v>46</v>
      </c>
      <c r="E153" s="21" t="s">
        <v>604</v>
      </c>
      <c r="F153" s="10" t="s">
        <v>48</v>
      </c>
      <c r="G153" s="10" t="s">
        <v>50</v>
      </c>
      <c r="H153" s="10"/>
      <c r="I153" s="10" t="s">
        <v>280</v>
      </c>
      <c r="J153" s="10"/>
      <c r="K153" s="10" t="s">
        <v>20</v>
      </c>
      <c r="L153" s="10"/>
      <c r="M153" s="10"/>
      <c r="N153" s="10"/>
      <c r="O153" s="10"/>
      <c r="P153" s="10"/>
      <c r="Q153" s="10"/>
      <c r="R153" s="10"/>
      <c r="S153" s="10"/>
      <c r="T153" s="10" t="s">
        <v>281</v>
      </c>
      <c r="U153" s="10"/>
      <c r="V153" s="10"/>
      <c r="W153" s="10"/>
      <c r="X153" s="10"/>
      <c r="Z153" s="10" t="s">
        <v>69</v>
      </c>
      <c r="AA153" s="10" t="s">
        <v>22</v>
      </c>
      <c r="AB153" s="10" t="s">
        <v>69</v>
      </c>
      <c r="AC153" s="10" t="s">
        <v>22</v>
      </c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P153" s="14"/>
    </row>
    <row r="154" spans="1:42" s="1" customFormat="1" x14ac:dyDescent="0.2">
      <c r="A154" s="10">
        <v>130</v>
      </c>
      <c r="B154" s="10"/>
      <c r="C154" s="10"/>
      <c r="D154" s="10" t="s">
        <v>47</v>
      </c>
      <c r="E154" s="21" t="s">
        <v>605</v>
      </c>
      <c r="F154" s="10" t="s">
        <v>49</v>
      </c>
      <c r="G154" s="10" t="s">
        <v>51</v>
      </c>
      <c r="H154" s="10"/>
      <c r="I154" s="10" t="s">
        <v>280</v>
      </c>
      <c r="J154" s="10"/>
      <c r="K154" s="10" t="s">
        <v>20</v>
      </c>
      <c r="L154" s="10"/>
      <c r="M154" s="10"/>
      <c r="N154" s="10"/>
      <c r="O154" s="10"/>
      <c r="P154" s="10"/>
      <c r="Q154" s="10"/>
      <c r="R154" s="10"/>
      <c r="S154" s="10"/>
      <c r="T154" s="10" t="s">
        <v>282</v>
      </c>
      <c r="U154" s="10"/>
      <c r="V154" s="10"/>
      <c r="W154" s="10"/>
      <c r="X154" s="10"/>
      <c r="Z154" s="10" t="s">
        <v>69</v>
      </c>
      <c r="AA154" s="10" t="s">
        <v>22</v>
      </c>
      <c r="AB154" s="10" t="s">
        <v>69</v>
      </c>
      <c r="AC154" s="10" t="s">
        <v>22</v>
      </c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P154" s="14"/>
    </row>
    <row r="155" spans="1:42" s="1" customFormat="1" x14ac:dyDescent="0.2">
      <c r="A155" s="10">
        <v>130</v>
      </c>
      <c r="B155" s="10"/>
      <c r="C155" s="10"/>
      <c r="D155" s="10" t="s">
        <v>333</v>
      </c>
      <c r="E155" s="21" t="s">
        <v>606</v>
      </c>
      <c r="F155" s="10" t="s">
        <v>18</v>
      </c>
      <c r="G155" s="10" t="s">
        <v>19</v>
      </c>
      <c r="H155" s="10"/>
      <c r="I155" s="10" t="s">
        <v>280</v>
      </c>
      <c r="J155" s="10"/>
      <c r="K155" s="10" t="s">
        <v>20</v>
      </c>
      <c r="L155" s="10"/>
      <c r="M155" s="10"/>
      <c r="N155" s="10"/>
      <c r="O155" s="10"/>
      <c r="P155" s="10"/>
      <c r="Q155" s="10" t="s">
        <v>283</v>
      </c>
      <c r="R155" s="10" t="s">
        <v>73</v>
      </c>
      <c r="S155" s="10"/>
      <c r="T155" s="10" t="s">
        <v>21</v>
      </c>
      <c r="U155" s="10"/>
      <c r="V155" s="10"/>
      <c r="W155" s="10"/>
      <c r="X155" s="10"/>
      <c r="Z155" s="10" t="s">
        <v>69</v>
      </c>
      <c r="AA155" s="10" t="s">
        <v>22</v>
      </c>
      <c r="AB155" s="10" t="s">
        <v>22</v>
      </c>
      <c r="AC155" s="10" t="s">
        <v>22</v>
      </c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P155" s="14"/>
    </row>
    <row r="156" spans="1:42" s="1" customFormat="1" x14ac:dyDescent="0.2">
      <c r="A156" s="10">
        <v>130</v>
      </c>
      <c r="B156" s="10"/>
      <c r="C156" s="10"/>
      <c r="D156" s="10" t="s">
        <v>334</v>
      </c>
      <c r="E156" s="21" t="s">
        <v>607</v>
      </c>
      <c r="F156" s="10" t="s">
        <v>23</v>
      </c>
      <c r="G156" s="10" t="s">
        <v>24</v>
      </c>
      <c r="H156" s="10"/>
      <c r="I156" s="10" t="s">
        <v>280</v>
      </c>
      <c r="J156" s="10"/>
      <c r="K156" s="10" t="s">
        <v>20</v>
      </c>
      <c r="L156" s="10"/>
      <c r="M156" s="10"/>
      <c r="N156" s="10"/>
      <c r="O156" s="10"/>
      <c r="P156" s="10"/>
      <c r="Q156" s="10" t="s">
        <v>284</v>
      </c>
      <c r="R156" s="10" t="s">
        <v>73</v>
      </c>
      <c r="S156" s="10"/>
      <c r="T156" s="10" t="s">
        <v>285</v>
      </c>
      <c r="U156" s="10"/>
      <c r="V156" s="10"/>
      <c r="W156" s="10"/>
      <c r="X156" s="10"/>
      <c r="Z156" s="10" t="s">
        <v>69</v>
      </c>
      <c r="AA156" s="10" t="s">
        <v>22</v>
      </c>
      <c r="AB156" s="10" t="s">
        <v>22</v>
      </c>
      <c r="AC156" s="10" t="s">
        <v>22</v>
      </c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P156" s="14"/>
    </row>
    <row r="157" spans="1:42" s="1" customFormat="1" x14ac:dyDescent="0.2">
      <c r="A157" s="10">
        <v>130</v>
      </c>
      <c r="B157" s="10"/>
      <c r="C157" s="10"/>
      <c r="D157" s="10" t="s">
        <v>335</v>
      </c>
      <c r="E157" s="21" t="s">
        <v>608</v>
      </c>
      <c r="F157" s="10" t="s">
        <v>25</v>
      </c>
      <c r="G157" s="10" t="s">
        <v>26</v>
      </c>
      <c r="H157" s="10"/>
      <c r="I157" s="10" t="s">
        <v>280</v>
      </c>
      <c r="J157" s="10"/>
      <c r="K157" s="10" t="s">
        <v>20</v>
      </c>
      <c r="L157" s="10"/>
      <c r="M157" s="10"/>
      <c r="N157" s="10"/>
      <c r="O157" s="10"/>
      <c r="P157" s="10"/>
      <c r="Q157" s="10" t="s">
        <v>286</v>
      </c>
      <c r="R157" s="10" t="s">
        <v>73</v>
      </c>
      <c r="S157" s="10"/>
      <c r="T157" s="10" t="s">
        <v>287</v>
      </c>
      <c r="U157" s="10"/>
      <c r="V157" s="10"/>
      <c r="W157" s="10"/>
      <c r="X157" s="10"/>
      <c r="Z157" s="10" t="s">
        <v>69</v>
      </c>
      <c r="AA157" s="10" t="s">
        <v>22</v>
      </c>
      <c r="AB157" s="10" t="s">
        <v>22</v>
      </c>
      <c r="AC157" s="10" t="s">
        <v>22</v>
      </c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P157" s="14"/>
    </row>
    <row r="158" spans="1:42" s="1" customFormat="1" ht="26" x14ac:dyDescent="0.2">
      <c r="A158" s="10">
        <v>130</v>
      </c>
      <c r="B158" s="10"/>
      <c r="C158" s="10"/>
      <c r="D158" s="10" t="s">
        <v>339</v>
      </c>
      <c r="E158" s="21" t="s">
        <v>609</v>
      </c>
      <c r="F158" s="10" t="s">
        <v>89</v>
      </c>
      <c r="G158" s="10" t="s">
        <v>90</v>
      </c>
      <c r="H158" s="10"/>
      <c r="I158" s="10" t="s">
        <v>313</v>
      </c>
      <c r="J158" s="10"/>
      <c r="K158" s="10" t="s">
        <v>16</v>
      </c>
      <c r="L158" s="10"/>
      <c r="M158" s="10" t="s">
        <v>54</v>
      </c>
      <c r="N158" s="10"/>
      <c r="O158" s="10"/>
      <c r="P158" s="10"/>
      <c r="Q158" s="10" t="s">
        <v>495</v>
      </c>
      <c r="R158" s="10"/>
      <c r="S158" s="10"/>
      <c r="T158" s="10" t="s">
        <v>314</v>
      </c>
      <c r="U158" s="10"/>
      <c r="V158" s="10"/>
      <c r="W158" s="10"/>
      <c r="X158" s="10"/>
      <c r="Z158" s="10" t="s">
        <v>69</v>
      </c>
      <c r="AA158" s="10" t="s">
        <v>22</v>
      </c>
      <c r="AB158" s="10" t="s">
        <v>22</v>
      </c>
      <c r="AC158" s="10" t="s">
        <v>22</v>
      </c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P158" s="14"/>
    </row>
    <row r="159" spans="1:42" s="1" customFormat="1" ht="26" x14ac:dyDescent="0.2">
      <c r="A159" s="10">
        <v>130</v>
      </c>
      <c r="B159" s="10"/>
      <c r="C159" s="10"/>
      <c r="D159" s="10" t="s">
        <v>340</v>
      </c>
      <c r="E159" s="21" t="s">
        <v>609</v>
      </c>
      <c r="F159" s="10" t="s">
        <v>89</v>
      </c>
      <c r="G159" s="10" t="s">
        <v>90</v>
      </c>
      <c r="H159" s="10"/>
      <c r="I159" s="10" t="s">
        <v>313</v>
      </c>
      <c r="J159" s="10"/>
      <c r="K159" s="10" t="s">
        <v>16</v>
      </c>
      <c r="L159" s="10"/>
      <c r="M159" s="10" t="s">
        <v>54</v>
      </c>
      <c r="N159" s="10"/>
      <c r="O159" s="10"/>
      <c r="P159" s="10"/>
      <c r="Q159" s="10" t="s">
        <v>495</v>
      </c>
      <c r="R159" s="10"/>
      <c r="S159" s="10"/>
      <c r="T159" s="10" t="s">
        <v>314</v>
      </c>
      <c r="U159" s="10"/>
      <c r="V159" s="10"/>
      <c r="W159" s="10"/>
      <c r="X159" s="10"/>
      <c r="Z159" s="10" t="s">
        <v>69</v>
      </c>
      <c r="AA159" s="10" t="s">
        <v>22</v>
      </c>
      <c r="AB159" s="10" t="s">
        <v>22</v>
      </c>
      <c r="AC159" s="10" t="s">
        <v>22</v>
      </c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P159" s="14"/>
    </row>
    <row r="160" spans="1:42" s="1" customFormat="1" ht="26" x14ac:dyDescent="0.2">
      <c r="A160" s="10">
        <v>130</v>
      </c>
      <c r="B160" s="10"/>
      <c r="C160" s="10"/>
      <c r="D160" s="10" t="s">
        <v>341</v>
      </c>
      <c r="E160" s="21" t="s">
        <v>610</v>
      </c>
      <c r="F160" s="10" t="s">
        <v>88</v>
      </c>
      <c r="G160" s="10" t="s">
        <v>87</v>
      </c>
      <c r="H160" s="10"/>
      <c r="I160" s="10" t="s">
        <v>315</v>
      </c>
      <c r="J160" s="10"/>
      <c r="K160" s="10" t="s">
        <v>16</v>
      </c>
      <c r="L160" s="10"/>
      <c r="M160" s="10" t="s">
        <v>54</v>
      </c>
      <c r="N160" s="10"/>
      <c r="O160" s="10"/>
      <c r="P160" s="10"/>
      <c r="Q160" s="10" t="s">
        <v>496</v>
      </c>
      <c r="R160" s="10"/>
      <c r="S160" s="10"/>
      <c r="T160" s="10" t="s">
        <v>316</v>
      </c>
      <c r="U160" s="10"/>
      <c r="V160" s="10"/>
      <c r="W160" s="10"/>
      <c r="X160" s="10"/>
      <c r="Z160" s="10" t="s">
        <v>22</v>
      </c>
      <c r="AA160" s="10" t="s">
        <v>22</v>
      </c>
      <c r="AB160" s="10" t="s">
        <v>69</v>
      </c>
      <c r="AC160" s="10" t="s">
        <v>22</v>
      </c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P160" s="14"/>
    </row>
    <row r="161" spans="1:42" s="1" customFormat="1" ht="26" x14ac:dyDescent="0.2">
      <c r="A161" s="10">
        <v>130</v>
      </c>
      <c r="B161" s="10"/>
      <c r="C161" s="10"/>
      <c r="D161" s="10" t="s">
        <v>342</v>
      </c>
      <c r="E161" s="21" t="s">
        <v>610</v>
      </c>
      <c r="F161" s="10" t="s">
        <v>88</v>
      </c>
      <c r="G161" s="10" t="s">
        <v>87</v>
      </c>
      <c r="H161" s="10"/>
      <c r="I161" s="10" t="s">
        <v>315</v>
      </c>
      <c r="J161" s="10"/>
      <c r="K161" s="10" t="s">
        <v>16</v>
      </c>
      <c r="L161" s="10"/>
      <c r="M161" s="10" t="s">
        <v>54</v>
      </c>
      <c r="N161" s="10"/>
      <c r="O161" s="10"/>
      <c r="P161" s="10"/>
      <c r="Q161" s="10" t="s">
        <v>496</v>
      </c>
      <c r="R161" s="10"/>
      <c r="S161" s="10"/>
      <c r="T161" s="10" t="s">
        <v>316</v>
      </c>
      <c r="U161" s="10"/>
      <c r="V161" s="10"/>
      <c r="W161" s="10"/>
      <c r="X161" s="10"/>
      <c r="Z161" s="10" t="s">
        <v>22</v>
      </c>
      <c r="AA161" s="10" t="s">
        <v>22</v>
      </c>
      <c r="AB161" s="10" t="s">
        <v>69</v>
      </c>
      <c r="AC161" s="10" t="s">
        <v>22</v>
      </c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P161" s="14"/>
    </row>
    <row r="162" spans="1:42" s="1" customFormat="1" ht="52" x14ac:dyDescent="0.2">
      <c r="A162" s="40"/>
      <c r="AE162" s="22" t="s">
        <v>611</v>
      </c>
      <c r="AF162" s="22" t="s">
        <v>612</v>
      </c>
      <c r="AG162" s="22" t="s">
        <v>611</v>
      </c>
      <c r="AH162" s="22" t="s">
        <v>612</v>
      </c>
      <c r="AI162" s="22" t="s">
        <v>611</v>
      </c>
      <c r="AJ162" s="22" t="s">
        <v>612</v>
      </c>
      <c r="AK162" s="22" t="s">
        <v>611</v>
      </c>
      <c r="AL162" s="22" t="s">
        <v>612</v>
      </c>
      <c r="AM162" s="22" t="s">
        <v>611</v>
      </c>
      <c r="AN162" s="22" t="s">
        <v>612</v>
      </c>
      <c r="AP162" s="15"/>
    </row>
    <row r="163" spans="1:42" s="1" customFormat="1" x14ac:dyDescent="0.2">
      <c r="A163" s="28">
        <v>140</v>
      </c>
      <c r="B163" s="24" t="s">
        <v>0</v>
      </c>
      <c r="C163" s="24"/>
      <c r="D163" s="24" t="s">
        <v>485</v>
      </c>
      <c r="E163" s="25"/>
      <c r="F163" s="24"/>
      <c r="G163" s="24"/>
      <c r="H163" s="24"/>
      <c r="I163" s="24" t="s">
        <v>228</v>
      </c>
      <c r="J163" s="24"/>
      <c r="K163" s="24" t="s">
        <v>15</v>
      </c>
      <c r="L163" s="24"/>
      <c r="M163" s="24" t="s">
        <v>267</v>
      </c>
      <c r="N163" s="24" t="s">
        <v>54</v>
      </c>
      <c r="O163" s="24"/>
      <c r="P163" s="24"/>
      <c r="Q163" s="26"/>
      <c r="R163" s="26"/>
      <c r="S163" s="26"/>
      <c r="T163" s="26"/>
      <c r="U163" s="26"/>
      <c r="V163" s="26"/>
      <c r="W163" s="26"/>
      <c r="X163" s="26"/>
      <c r="Y163" s="49"/>
      <c r="Z163" s="26"/>
      <c r="AA163" s="26"/>
      <c r="AB163" s="26"/>
      <c r="AC163" s="26"/>
      <c r="AD163" s="49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49"/>
      <c r="AP163" s="27"/>
    </row>
    <row r="164" spans="1:42" s="1" customFormat="1" x14ac:dyDescent="0.2">
      <c r="A164" s="2"/>
      <c r="B164" s="3"/>
      <c r="C164" s="3"/>
      <c r="D164" s="4" t="s">
        <v>343</v>
      </c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29"/>
    </row>
    <row r="165" spans="1:42" s="1" customFormat="1" x14ac:dyDescent="0.2">
      <c r="A165" s="40"/>
      <c r="AP165" s="15"/>
    </row>
    <row r="166" spans="1:42" s="1" customFormat="1" x14ac:dyDescent="0.2">
      <c r="A166" s="40"/>
      <c r="AP166" s="15"/>
    </row>
    <row r="167" spans="1:42" s="1" customFormat="1" x14ac:dyDescent="0.2">
      <c r="A167" s="40"/>
      <c r="AP167" s="15"/>
    </row>
    <row r="168" spans="1:42" s="1" customFormat="1" x14ac:dyDescent="0.2">
      <c r="A168" s="43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conditionalFormatting sqref="K111:K116">
    <cfRule type="uniqueValues" dxfId="0" priority="1"/>
  </conditionalFormatting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  <ignoredErrors>
    <ignoredError sqref="AF9 AJ9 AL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53" t="s">
        <v>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90" t="s">
        <v>4</v>
      </c>
      <c r="B3" s="57"/>
      <c r="C3" s="57"/>
      <c r="D3" s="57"/>
      <c r="E3" s="57"/>
      <c r="F3" s="57"/>
      <c r="G3" s="58"/>
      <c r="H3" s="56" t="s">
        <v>5</v>
      </c>
      <c r="I3" s="57"/>
      <c r="J3" s="57"/>
      <c r="K3" s="57"/>
      <c r="L3" s="57"/>
      <c r="M3" s="57"/>
      <c r="N3" s="58"/>
      <c r="O3" s="56" t="s">
        <v>6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56" t="s">
        <v>7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 x14ac:dyDescent="0.2">
      <c r="A4" s="91">
        <v>1</v>
      </c>
      <c r="B4" s="92"/>
      <c r="C4" s="92"/>
      <c r="D4" s="92"/>
      <c r="E4" s="92"/>
      <c r="F4" s="92"/>
      <c r="G4" s="93"/>
      <c r="H4" s="83"/>
      <c r="I4" s="84"/>
      <c r="J4" s="84"/>
      <c r="K4" s="84"/>
      <c r="L4" s="84"/>
      <c r="M4" s="84"/>
      <c r="N4" s="85"/>
      <c r="O4" s="83" t="s">
        <v>8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63">
        <v>1.1000000000000001</v>
      </c>
      <c r="B5" s="64"/>
      <c r="C5" s="64"/>
      <c r="D5" s="64"/>
      <c r="E5" s="64"/>
      <c r="F5" s="64"/>
      <c r="G5" s="65"/>
      <c r="H5" s="69"/>
      <c r="I5" s="70"/>
      <c r="J5" s="70"/>
      <c r="K5" s="70"/>
      <c r="L5" s="70"/>
      <c r="M5" s="70"/>
      <c r="N5" s="71"/>
      <c r="O5" s="94" t="s">
        <v>613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614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63"/>
      <c r="B6" s="64"/>
      <c r="C6" s="64"/>
      <c r="D6" s="64"/>
      <c r="E6" s="64"/>
      <c r="F6" s="64"/>
      <c r="G6" s="65"/>
      <c r="H6" s="69"/>
      <c r="I6" s="70"/>
      <c r="J6" s="70"/>
      <c r="K6" s="70"/>
      <c r="L6" s="70"/>
      <c r="M6" s="70"/>
      <c r="N6" s="71"/>
      <c r="O6" s="6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 x14ac:dyDescent="0.2">
      <c r="A7" s="63"/>
      <c r="B7" s="64"/>
      <c r="C7" s="64"/>
      <c r="D7" s="64"/>
      <c r="E7" s="64"/>
      <c r="F7" s="64"/>
      <c r="G7" s="65"/>
      <c r="H7" s="69"/>
      <c r="I7" s="70"/>
      <c r="J7" s="70"/>
      <c r="K7" s="70"/>
      <c r="L7" s="70"/>
      <c r="M7" s="70"/>
      <c r="N7" s="71"/>
      <c r="O7" s="6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 x14ac:dyDescent="0.2">
      <c r="A8" s="63"/>
      <c r="B8" s="64"/>
      <c r="C8" s="64"/>
      <c r="D8" s="64"/>
      <c r="E8" s="64"/>
      <c r="F8" s="64"/>
      <c r="G8" s="65"/>
      <c r="H8" s="69"/>
      <c r="I8" s="70"/>
      <c r="J8" s="70"/>
      <c r="K8" s="70"/>
      <c r="L8" s="70"/>
      <c r="M8" s="70"/>
      <c r="N8" s="71"/>
      <c r="O8" s="6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 x14ac:dyDescent="0.2">
      <c r="A9" s="63"/>
      <c r="B9" s="64"/>
      <c r="C9" s="64"/>
      <c r="D9" s="64"/>
      <c r="E9" s="64"/>
      <c r="F9" s="64"/>
      <c r="G9" s="65"/>
      <c r="H9" s="69"/>
      <c r="I9" s="70"/>
      <c r="J9" s="70"/>
      <c r="K9" s="70"/>
      <c r="L9" s="70"/>
      <c r="M9" s="70"/>
      <c r="N9" s="71"/>
      <c r="O9" s="6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 x14ac:dyDescent="0.2">
      <c r="A10" s="63"/>
      <c r="B10" s="64"/>
      <c r="C10" s="64"/>
      <c r="D10" s="64"/>
      <c r="E10" s="64"/>
      <c r="F10" s="64"/>
      <c r="G10" s="65"/>
      <c r="H10" s="69"/>
      <c r="I10" s="70"/>
      <c r="J10" s="70"/>
      <c r="K10" s="70"/>
      <c r="L10" s="70"/>
      <c r="M10" s="70"/>
      <c r="N10" s="71"/>
      <c r="O10" s="6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 x14ac:dyDescent="0.2">
      <c r="A11" s="63"/>
      <c r="B11" s="64"/>
      <c r="C11" s="64"/>
      <c r="D11" s="64"/>
      <c r="E11" s="64"/>
      <c r="F11" s="64"/>
      <c r="G11" s="65"/>
      <c r="H11" s="69"/>
      <c r="I11" s="70"/>
      <c r="J11" s="70"/>
      <c r="K11" s="70"/>
      <c r="L11" s="70"/>
      <c r="M11" s="70"/>
      <c r="N11" s="71"/>
      <c r="O11" s="6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 x14ac:dyDescent="0.2">
      <c r="A12" s="63"/>
      <c r="B12" s="64"/>
      <c r="C12" s="64"/>
      <c r="D12" s="64"/>
      <c r="E12" s="64"/>
      <c r="F12" s="64"/>
      <c r="G12" s="65"/>
      <c r="H12" s="69"/>
      <c r="I12" s="70"/>
      <c r="J12" s="70"/>
      <c r="K12" s="70"/>
      <c r="L12" s="70"/>
      <c r="M12" s="70"/>
      <c r="N12" s="71"/>
      <c r="O12" s="6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 x14ac:dyDescent="0.2">
      <c r="A13" s="63"/>
      <c r="B13" s="64"/>
      <c r="C13" s="64"/>
      <c r="D13" s="64"/>
      <c r="E13" s="64"/>
      <c r="F13" s="64"/>
      <c r="G13" s="65"/>
      <c r="H13" s="69"/>
      <c r="I13" s="70"/>
      <c r="J13" s="70"/>
      <c r="K13" s="70"/>
      <c r="L13" s="70"/>
      <c r="M13" s="70"/>
      <c r="N13" s="71"/>
      <c r="O13" s="6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 x14ac:dyDescent="0.2">
      <c r="A14" s="63"/>
      <c r="B14" s="64"/>
      <c r="C14" s="64"/>
      <c r="D14" s="64"/>
      <c r="E14" s="64"/>
      <c r="F14" s="64"/>
      <c r="G14" s="65"/>
      <c r="H14" s="69"/>
      <c r="I14" s="70"/>
      <c r="J14" s="70"/>
      <c r="K14" s="70"/>
      <c r="L14" s="70"/>
      <c r="M14" s="70"/>
      <c r="N14" s="71"/>
      <c r="O14" s="6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 x14ac:dyDescent="0.2">
      <c r="A15" s="63"/>
      <c r="B15" s="64"/>
      <c r="C15" s="64"/>
      <c r="D15" s="64"/>
      <c r="E15" s="64"/>
      <c r="F15" s="64"/>
      <c r="G15" s="65"/>
      <c r="H15" s="69"/>
      <c r="I15" s="70"/>
      <c r="J15" s="70"/>
      <c r="K15" s="70"/>
      <c r="L15" s="70"/>
      <c r="M15" s="70"/>
      <c r="N15" s="71"/>
      <c r="O15" s="69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 x14ac:dyDescent="0.2">
      <c r="A16" s="63"/>
      <c r="B16" s="64"/>
      <c r="C16" s="64"/>
      <c r="D16" s="64"/>
      <c r="E16" s="64"/>
      <c r="F16" s="64"/>
      <c r="G16" s="65"/>
      <c r="H16" s="69"/>
      <c r="I16" s="70"/>
      <c r="J16" s="70"/>
      <c r="K16" s="70"/>
      <c r="L16" s="70"/>
      <c r="M16" s="70"/>
      <c r="N16" s="71"/>
      <c r="O16" s="6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 x14ac:dyDescent="0.2">
      <c r="A17" s="63"/>
      <c r="B17" s="64"/>
      <c r="C17" s="64"/>
      <c r="D17" s="64"/>
      <c r="E17" s="64"/>
      <c r="F17" s="64"/>
      <c r="G17" s="65"/>
      <c r="H17" s="69"/>
      <c r="I17" s="70"/>
      <c r="J17" s="70"/>
      <c r="K17" s="70"/>
      <c r="L17" s="70"/>
      <c r="M17" s="70"/>
      <c r="N17" s="71"/>
      <c r="O17" s="6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 x14ac:dyDescent="0.2">
      <c r="A18" s="63"/>
      <c r="B18" s="64"/>
      <c r="C18" s="64"/>
      <c r="D18" s="64"/>
      <c r="E18" s="64"/>
      <c r="F18" s="64"/>
      <c r="G18" s="65"/>
      <c r="H18" s="69"/>
      <c r="I18" s="70"/>
      <c r="J18" s="70"/>
      <c r="K18" s="70"/>
      <c r="L18" s="70"/>
      <c r="M18" s="70"/>
      <c r="N18" s="71"/>
      <c r="O18" s="6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 x14ac:dyDescent="0.2">
      <c r="A19" s="63"/>
      <c r="B19" s="64"/>
      <c r="C19" s="64"/>
      <c r="D19" s="64"/>
      <c r="E19" s="64"/>
      <c r="F19" s="64"/>
      <c r="G19" s="65"/>
      <c r="H19" s="69"/>
      <c r="I19" s="70"/>
      <c r="J19" s="70"/>
      <c r="K19" s="70"/>
      <c r="L19" s="70"/>
      <c r="M19" s="70"/>
      <c r="N19" s="71"/>
      <c r="O19" s="6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 x14ac:dyDescent="0.2">
      <c r="A20" s="63"/>
      <c r="B20" s="64"/>
      <c r="C20" s="64"/>
      <c r="D20" s="64"/>
      <c r="E20" s="64"/>
      <c r="F20" s="64"/>
      <c r="G20" s="65"/>
      <c r="H20" s="69"/>
      <c r="I20" s="70"/>
      <c r="J20" s="70"/>
      <c r="K20" s="70"/>
      <c r="L20" s="70"/>
      <c r="M20" s="70"/>
      <c r="N20" s="71"/>
      <c r="O20" s="6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 x14ac:dyDescent="0.2">
      <c r="A21" s="63"/>
      <c r="B21" s="64"/>
      <c r="C21" s="64"/>
      <c r="D21" s="64"/>
      <c r="E21" s="64"/>
      <c r="F21" s="64"/>
      <c r="G21" s="65"/>
      <c r="H21" s="69"/>
      <c r="I21" s="70"/>
      <c r="J21" s="70"/>
      <c r="K21" s="70"/>
      <c r="L21" s="70"/>
      <c r="M21" s="70"/>
      <c r="N21" s="71"/>
      <c r="O21" s="6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 x14ac:dyDescent="0.2">
      <c r="A22" s="63"/>
      <c r="B22" s="64"/>
      <c r="C22" s="64"/>
      <c r="D22" s="64"/>
      <c r="E22" s="64"/>
      <c r="F22" s="64"/>
      <c r="G22" s="65"/>
      <c r="H22" s="69"/>
      <c r="I22" s="70"/>
      <c r="J22" s="70"/>
      <c r="K22" s="70"/>
      <c r="L22" s="70"/>
      <c r="M22" s="70"/>
      <c r="N22" s="71"/>
      <c r="O22" s="6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 x14ac:dyDescent="0.2">
      <c r="A23" s="63"/>
      <c r="B23" s="64"/>
      <c r="C23" s="64"/>
      <c r="D23" s="64"/>
      <c r="E23" s="64"/>
      <c r="F23" s="64"/>
      <c r="G23" s="65"/>
      <c r="H23" s="69"/>
      <c r="I23" s="70"/>
      <c r="J23" s="70"/>
      <c r="K23" s="70"/>
      <c r="L23" s="70"/>
      <c r="M23" s="70"/>
      <c r="N23" s="71"/>
      <c r="O23" s="69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 x14ac:dyDescent="0.2">
      <c r="A24" s="63"/>
      <c r="B24" s="64"/>
      <c r="C24" s="64"/>
      <c r="D24" s="64"/>
      <c r="E24" s="64"/>
      <c r="F24" s="64"/>
      <c r="G24" s="65"/>
      <c r="H24" s="69"/>
      <c r="I24" s="70"/>
      <c r="J24" s="70"/>
      <c r="K24" s="70"/>
      <c r="L24" s="70"/>
      <c r="M24" s="70"/>
      <c r="N24" s="71"/>
      <c r="O24" s="6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 x14ac:dyDescent="0.2">
      <c r="A25" s="63"/>
      <c r="B25" s="64"/>
      <c r="C25" s="64"/>
      <c r="D25" s="64"/>
      <c r="E25" s="64"/>
      <c r="F25" s="64"/>
      <c r="G25" s="65"/>
      <c r="H25" s="69"/>
      <c r="I25" s="70"/>
      <c r="J25" s="70"/>
      <c r="K25" s="70"/>
      <c r="L25" s="70"/>
      <c r="M25" s="70"/>
      <c r="N25" s="71"/>
      <c r="O25" s="6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 x14ac:dyDescent="0.2">
      <c r="A26" s="63"/>
      <c r="B26" s="64"/>
      <c r="C26" s="64"/>
      <c r="D26" s="64"/>
      <c r="E26" s="64"/>
      <c r="F26" s="64"/>
      <c r="G26" s="65"/>
      <c r="H26" s="69"/>
      <c r="I26" s="70"/>
      <c r="J26" s="70"/>
      <c r="K26" s="70"/>
      <c r="L26" s="70"/>
      <c r="M26" s="70"/>
      <c r="N26" s="71"/>
      <c r="O26" s="6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 x14ac:dyDescent="0.2">
      <c r="A27" s="63"/>
      <c r="B27" s="64"/>
      <c r="C27" s="64"/>
      <c r="D27" s="64"/>
      <c r="E27" s="64"/>
      <c r="F27" s="64"/>
      <c r="G27" s="65"/>
      <c r="H27" s="69"/>
      <c r="I27" s="70"/>
      <c r="J27" s="70"/>
      <c r="K27" s="70"/>
      <c r="L27" s="70"/>
      <c r="M27" s="70"/>
      <c r="N27" s="71"/>
      <c r="O27" s="6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 x14ac:dyDescent="0.2">
      <c r="A28" s="63"/>
      <c r="B28" s="64"/>
      <c r="C28" s="64"/>
      <c r="D28" s="64"/>
      <c r="E28" s="64"/>
      <c r="F28" s="64"/>
      <c r="G28" s="65"/>
      <c r="H28" s="69"/>
      <c r="I28" s="70"/>
      <c r="J28" s="70"/>
      <c r="K28" s="70"/>
      <c r="L28" s="70"/>
      <c r="M28" s="70"/>
      <c r="N28" s="71"/>
      <c r="O28" s="6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 x14ac:dyDescent="0.2">
      <c r="A29" s="63"/>
      <c r="B29" s="64"/>
      <c r="C29" s="64"/>
      <c r="D29" s="64"/>
      <c r="E29" s="64"/>
      <c r="F29" s="64"/>
      <c r="G29" s="65"/>
      <c r="H29" s="69"/>
      <c r="I29" s="70"/>
      <c r="J29" s="70"/>
      <c r="K29" s="70"/>
      <c r="L29" s="70"/>
      <c r="M29" s="70"/>
      <c r="N29" s="71"/>
      <c r="O29" s="6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 x14ac:dyDescent="0.2">
      <c r="A30" s="63"/>
      <c r="B30" s="64"/>
      <c r="C30" s="64"/>
      <c r="D30" s="64"/>
      <c r="E30" s="64"/>
      <c r="F30" s="64"/>
      <c r="G30" s="65"/>
      <c r="H30" s="69"/>
      <c r="I30" s="70"/>
      <c r="J30" s="70"/>
      <c r="K30" s="70"/>
      <c r="L30" s="70"/>
      <c r="M30" s="70"/>
      <c r="N30" s="71"/>
      <c r="O30" s="6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 x14ac:dyDescent="0.2">
      <c r="A31" s="63"/>
      <c r="B31" s="64"/>
      <c r="C31" s="64"/>
      <c r="D31" s="64"/>
      <c r="E31" s="64"/>
      <c r="F31" s="64"/>
      <c r="G31" s="65"/>
      <c r="H31" s="69"/>
      <c r="I31" s="70"/>
      <c r="J31" s="70"/>
      <c r="K31" s="70"/>
      <c r="L31" s="70"/>
      <c r="M31" s="70"/>
      <c r="N31" s="71"/>
      <c r="O31" s="6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 x14ac:dyDescent="0.2">
      <c r="A32" s="63"/>
      <c r="B32" s="64"/>
      <c r="C32" s="64"/>
      <c r="D32" s="64"/>
      <c r="E32" s="64"/>
      <c r="F32" s="64"/>
      <c r="G32" s="65"/>
      <c r="H32" s="69"/>
      <c r="I32" s="70"/>
      <c r="J32" s="70"/>
      <c r="K32" s="70"/>
      <c r="L32" s="70"/>
      <c r="M32" s="70"/>
      <c r="N32" s="71"/>
      <c r="O32" s="6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 x14ac:dyDescent="0.2">
      <c r="A33" s="63"/>
      <c r="B33" s="64"/>
      <c r="C33" s="64"/>
      <c r="D33" s="64"/>
      <c r="E33" s="64"/>
      <c r="F33" s="64"/>
      <c r="G33" s="65"/>
      <c r="H33" s="69"/>
      <c r="I33" s="70"/>
      <c r="J33" s="70"/>
      <c r="K33" s="70"/>
      <c r="L33" s="70"/>
      <c r="M33" s="70"/>
      <c r="N33" s="71"/>
      <c r="O33" s="69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 x14ac:dyDescent="0.2">
      <c r="A34" s="63"/>
      <c r="B34" s="64"/>
      <c r="C34" s="64"/>
      <c r="D34" s="64"/>
      <c r="E34" s="64"/>
      <c r="F34" s="64"/>
      <c r="G34" s="65"/>
      <c r="H34" s="69"/>
      <c r="I34" s="70"/>
      <c r="J34" s="70"/>
      <c r="K34" s="70"/>
      <c r="L34" s="70"/>
      <c r="M34" s="70"/>
      <c r="N34" s="71"/>
      <c r="O34" s="6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 x14ac:dyDescent="0.25">
      <c r="A35" s="72"/>
      <c r="B35" s="73"/>
      <c r="C35" s="73"/>
      <c r="D35" s="73"/>
      <c r="E35" s="73"/>
      <c r="F35" s="73"/>
      <c r="G35" s="74"/>
      <c r="H35" s="66"/>
      <c r="I35" s="67"/>
      <c r="J35" s="67"/>
      <c r="K35" s="67"/>
      <c r="L35" s="67"/>
      <c r="M35" s="67"/>
      <c r="N35" s="68"/>
      <c r="O35" s="66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75"/>
      <c r="AK35" s="75"/>
      <c r="AL35" s="75"/>
      <c r="AM35" s="75"/>
      <c r="AN35" s="75"/>
      <c r="AO35" s="75"/>
      <c r="AP35" s="76"/>
      <c r="AQ35" s="77"/>
      <c r="AR35" s="75"/>
      <c r="AS35" s="75"/>
      <c r="AT35" s="75"/>
      <c r="AU35" s="75"/>
      <c r="AV35" s="75"/>
      <c r="AW35" s="75"/>
      <c r="AX35" s="75"/>
      <c r="AY35" s="75"/>
      <c r="AZ35" s="75"/>
      <c r="BA35" s="75"/>
      <c r="BB35" s="75"/>
      <c r="BC35" s="75"/>
      <c r="BD35" s="75"/>
      <c r="BE35" s="78"/>
    </row>
  </sheetData>
  <mergeCells count="133"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MABSP0070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2026-03-27T05:45:29Z</dcterms:modified>
  <cp:category/>
</cp:coreProperties>
</file>