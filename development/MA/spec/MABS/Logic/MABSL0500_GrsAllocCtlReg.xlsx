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55F00457-BC9E-40C3-9DEF-E12E9C8438C6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GrsAllocCtl_UpdChk01" sheetId="18" r:id="rId2"/>
    <sheet name="GrsAllocCtl_Upd01" sheetId="15" r:id="rId3"/>
    <sheet name="GrsAllocCtl_DelChk01" sheetId="21" r:id="rId4"/>
    <sheet name="GrsAllocCt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<sst xmlns="http://schemas.openxmlformats.org/spreadsheetml/2006/main" count="1150" uniqueCount="293">
  <si>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</si>
  <si>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</si>
  <si>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</si>
  <si>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</si>
  <si>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</si>
  <si>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</si>
  <si>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</si>
  <si>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</si>
  <si>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</si>
  <si>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</si>
  <si>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</si>
  <si>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</si>
  <si>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</si>
  <si>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</si>
  <si>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</si>
  <si>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</si>
  <si>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*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</si>
  <si>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</si>
  <si>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</si>
  <si>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</si>
  <si>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</si>
  <si>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</si>
  <si>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</si>
  <si>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ACType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</si>
  <si>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</si>
  <si>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</si>
  <si>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</si>
  <si>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</si>
  <si>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</si>
  <si>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</si>
  <si>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Ope.ID :</t>
    <phoneticPr fontId="2"/>
  </si>
  <si>
    <t>Pj.ID :</t>
    <phoneticPr fontId="2"/>
  </si>
  <si>
    <t xml:space="preserve">Ope.Body : </t>
    <phoneticPr fontId="2"/>
  </si>
  <si>
    <t>Ope.Method :</t>
    <phoneticPr fontId="2"/>
  </si>
  <si>
    <t>@</t>
    <phoneticPr fontId="2"/>
  </si>
  <si>
    <t>SuperClassPj.ID :</t>
    <phoneticPr fontId="2"/>
  </si>
  <si>
    <t>ReportID :</t>
    <phoneticPr fontId="2"/>
  </si>
  <si>
    <t>Gene.Type :</t>
    <phoneticPr fontId="2"/>
  </si>
  <si>
    <t>ALL</t>
    <phoneticPr fontId="2"/>
  </si>
  <si>
    <t xml:space="preserve">Ope.Name : </t>
    <phoneticPr fontId="2"/>
  </si>
  <si>
    <t>E</t>
    <phoneticPr fontId="2"/>
  </si>
  <si>
    <t>L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</si>
  <si>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</si>
  <si>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</si>
  <si>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</si>
  <si>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</si>
  <si>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</si>
  <si>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</si>
  <si>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</si>
  <si>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</si>
  <si>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</si>
  <si>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</si>
  <si>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</si>
  <si>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</si>
  <si>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</si>
  <si>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</si>
  <si>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</si>
  <si>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メモ１</t>
    <phoneticPr fontId="2"/>
  </si>
  <si>
    <t>メモ２</t>
    <phoneticPr fontId="2"/>
  </si>
  <si>
    <t>memo3</t>
  </si>
  <si>
    <t>memo3</t>
    <phoneticPr fontId="2"/>
  </si>
  <si>
    <t>#MA.MST_MEMO3</t>
  </si>
  <si>
    <t>#MA.MST_MEMO3</t>
    <phoneticPr fontId="2"/>
  </si>
  <si>
    <t>メモ３</t>
    <phoneticPr fontId="2"/>
  </si>
  <si>
    <t>memo2</t>
  </si>
  <si>
    <t>#MA.MST_MEMO2</t>
  </si>
  <si>
    <t>更新ユーザ名</t>
    <phoneticPr fontId="2"/>
  </si>
  <si>
    <t>登録ユーザＩＤ</t>
    <phoneticPr fontId="2"/>
  </si>
  <si>
    <t>#MA.FLG</t>
  </si>
  <si>
    <t>#MA.FLG</t>
    <phoneticPr fontId="2"/>
  </si>
  <si>
    <t>論理削除</t>
    <phoneticPr fontId="2"/>
  </si>
  <si>
    <t>ins_func_id</t>
    <phoneticPr fontId="2"/>
  </si>
  <si>
    <t>登録機能ＩＤ</t>
    <phoneticPr fontId="2"/>
  </si>
  <si>
    <t>upd_func_id</t>
    <phoneticPr fontId="2"/>
  </si>
  <si>
    <t>#MA.SRV_REQ_NO</t>
  </si>
  <si>
    <t>#MA.SYS_TS</t>
  </si>
  <si>
    <t>ins_func_nm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</si>
  <si>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</si>
  <si>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</si>
  <si>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</si>
  <si>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</si>
  <si>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</si>
  <si>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L</t>
  </si>
  <si>
    <t>o</t>
  </si>
  <si>
    <t>TargetName</t>
  </si>
  <si>
    <t>UPDATE.updMaster1</t>
    <phoneticPr fontId="38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</si>
  <si>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</si>
  <si>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</si>
  <si>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</si>
  <si>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</si>
  <si>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</si>
  <si>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</si>
  <si>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</si>
  <si>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更新カウンタ</t>
    <phoneticPr fontId="2"/>
  </si>
  <si>
    <t>upd_cntr</t>
  </si>
  <si>
    <t>#MA.UPD_CNT</t>
  </si>
  <si>
    <t>UPDATE.updMaster</t>
    <phoneticPr fontId="2"/>
  </si>
  <si>
    <t>MAIN.chkMaster</t>
    <phoneticPr fontId="38"/>
  </si>
  <si>
    <t>$share$</t>
  </si>
  <si>
    <t>@</t>
  </si>
  <si>
    <t>E</t>
    <phoneticPr fontId="38"/>
  </si>
  <si>
    <t>upd_cntr</t>
    <phoneticPr fontId="38"/>
  </si>
  <si>
    <t>#MA.UPD_CNT</t>
    <phoneticPr fontId="38"/>
  </si>
  <si>
    <t>CALL_OPE01.chk01</t>
    <phoneticPr fontId="2"/>
  </si>
  <si>
    <t>CALL_OPE01.upd01</t>
    <phoneticPr fontId="2"/>
  </si>
  <si>
    <t>CALL_OPE01.chk01</t>
    <phoneticPr fontId="38"/>
  </si>
  <si>
    <t>CALL_OPE01.del01</t>
    <phoneticPr fontId="38"/>
  </si>
  <si>
    <t>K</t>
    <phoneticPr fontId="2"/>
  </si>
  <si>
    <t>REQUIRED</t>
    <phoneticPr fontId="2"/>
  </si>
  <si>
    <t>MA</t>
  </si>
  <si>
    <t>K</t>
  </si>
  <si>
    <t>CONST</t>
  </si>
  <si>
    <t>Del01</t>
    <phoneticPr fontId="38"/>
  </si>
  <si>
    <t>Srch01</t>
    <phoneticPr fontId="2"/>
  </si>
  <si>
    <t>Upd01</t>
    <phoneticPr fontId="2"/>
  </si>
  <si>
    <t>MABS</t>
  </si>
  <si>
    <t>$super$</t>
  </si>
  <si>
    <t>#MA.LG_GRP_CD</t>
  </si>
  <si>
    <t>#MA.LG_GRP_CD</t>
    <phoneticPr fontId="38"/>
  </si>
  <si>
    <t>REQUIRED</t>
  </si>
  <si>
    <t>NULL_VAL</t>
    <phoneticPr fontId="2"/>
  </si>
  <si>
    <t>#MA.LG_GRP_NM</t>
  </si>
  <si>
    <t>#MA.LG_GRP_NM</t>
    <phoneticPr fontId="2"/>
  </si>
  <si>
    <t>LIST_LOGIC</t>
    <phoneticPr fontId="38"/>
  </si>
  <si>
    <t>K</t>
    <phoneticPr fontId="38"/>
  </si>
  <si>
    <t>itm_ship_grp_cd</t>
  </si>
  <si>
    <t>itm_ship_grp_nm</t>
  </si>
  <si>
    <t>alloc_grp_cd</t>
  </si>
  <si>
    <t>alloc_grp_nm</t>
  </si>
  <si>
    <t>#MA.ALLOC_GRP_CD</t>
  </si>
  <si>
    <t>#MA.ALLOC_GRP_NM</t>
  </si>
  <si>
    <t>#MA.ITM_SHIP_GRP_CD</t>
    <phoneticPr fontId="38"/>
  </si>
  <si>
    <t>#MA.ITM_SHIP_GRP_CD</t>
    <phoneticPr fontId="38"/>
  </si>
  <si>
    <t>#MA.ITM_SHIP_GRP_NM</t>
    <phoneticPr fontId="2"/>
  </si>
  <si>
    <t>#MA.FCM_USR_ID</t>
  </si>
  <si>
    <t>#MA.FCM_USR_NM</t>
  </si>
  <si>
    <t>#MA.FUNC_ID</t>
  </si>
  <si>
    <t>#MA.FUNC_NM</t>
  </si>
  <si>
    <t>LIST_IN</t>
  </si>
  <si>
    <t>LIST_IN_BASE</t>
  </si>
  <si>
    <t>LIST_OUT</t>
    <phoneticPr fontId="38"/>
  </si>
  <si>
    <t>LIST_OUT_BASE</t>
    <phoneticPr fontId="38"/>
  </si>
  <si>
    <t>AT_LEAST_ONE</t>
    <phoneticPr fontId="38"/>
  </si>
  <si>
    <t>alloc_grp_cd</t>
    <phoneticPr fontId="38"/>
  </si>
  <si>
    <t>MABSL0500</t>
    <phoneticPr fontId="2"/>
  </si>
  <si>
    <t>MABSL_GrsAllocCtlReg</t>
    <phoneticPr fontId="2"/>
  </si>
  <si>
    <t>GrsAllocCtl_UpdChk01</t>
    <phoneticPr fontId="38"/>
  </si>
  <si>
    <t>GrsAllocCtl_UpdChk01_Dtl</t>
    <phoneticPr fontId="38"/>
  </si>
  <si>
    <t>GrsAllocCtl_Upd01</t>
    <phoneticPr fontId="38"/>
  </si>
  <si>
    <t>GrsAllocCtl_Upd01_Dtl</t>
    <phoneticPr fontId="38"/>
  </si>
  <si>
    <t>GrsAllocCtl_DelChk01</t>
    <phoneticPr fontId="38"/>
  </si>
  <si>
    <t>GrsAllocCtl_DelChk01_Dtl</t>
    <phoneticPr fontId="38"/>
  </si>
  <si>
    <t>GrsAllocCtl_Del01</t>
    <phoneticPr fontId="38"/>
  </si>
  <si>
    <t>GrsAllocCtl_Del01_Dtl</t>
    <phoneticPr fontId="38"/>
  </si>
  <si>
    <t>OPE.MA.MABSL0500.GrsAllocCtl_UpdChk01</t>
    <phoneticPr fontId="2"/>
  </si>
  <si>
    <t>OPE.MA.MABSL0500.GrsAllocCtl_Upd01</t>
    <phoneticPr fontId="2"/>
  </si>
  <si>
    <t>Upd01_Dtl</t>
    <phoneticPr fontId="2"/>
  </si>
  <si>
    <t>Srch01_Rslt</t>
    <phoneticPr fontId="2"/>
  </si>
  <si>
    <t>Del01_Dtl</t>
    <phoneticPr fontId="2"/>
  </si>
  <si>
    <t>OPE.MA.MABSL0500.GrsAllocCtl_DelChk01</t>
    <phoneticPr fontId="38"/>
  </si>
  <si>
    <t>OPE.MA.MABSL0500.GrsAllocCtl_Del01</t>
    <phoneticPr fontId="38"/>
  </si>
  <si>
    <t>lg_grp_cd</t>
    <phoneticPr fontId="2"/>
  </si>
  <si>
    <t>lg_grp_nm</t>
    <phoneticPr fontId="2"/>
  </si>
  <si>
    <t>prio</t>
    <phoneticPr fontId="2"/>
  </si>
  <si>
    <t>#MA.ALLOC_PRIO</t>
  </si>
  <si>
    <t>lg_grp_cd</t>
    <phoneticPr fontId="38"/>
  </si>
  <si>
    <t>prio</t>
    <phoneticPr fontId="38"/>
  </si>
  <si>
    <t>lg_grp_cd</t>
    <phoneticPr fontId="38"/>
  </si>
  <si>
    <t>登録前チェック</t>
  </si>
  <si>
    <t>登録処理</t>
  </si>
  <si>
    <t>削除前チェック</t>
  </si>
  <si>
    <t>削除処理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</si>
  <si>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</si>
  <si>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</si>
  <si>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</si>
  <si>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総量・場所引当制御マスタ登録</t>
    <phoneticPr fontId="2"/>
  </si>
  <si>
    <t>総量・場所引当制御マスタを登録する前のチェックを行う</t>
    <rPh sb="13" eb="15">
      <t>トウロク</t>
    </rPh>
    <rPh sb="17" eb="18">
      <t>マエ</t>
    </rPh>
    <rPh sb="24" eb="25">
      <t>オコナ</t>
    </rPh>
    <phoneticPr fontId="6"/>
  </si>
  <si>
    <t>総量・場所引当制御マスタを削除する前のチェックを行う</t>
    <rPh sb="17" eb="18">
      <t>マエ</t>
    </rPh>
    <rPh sb="24" eb="25">
      <t>オコナ</t>
    </rPh>
    <phoneticPr fontId="6"/>
  </si>
  <si>
    <t>loc_cd</t>
    <phoneticPr fontId="38"/>
  </si>
  <si>
    <t>#MA.LOC_CD</t>
    <phoneticPr fontId="38"/>
  </si>
  <si>
    <t>alloc_scope_typ</t>
    <phoneticPr fontId="38"/>
  </si>
  <si>
    <t>#MA.ALLOC_SCOPE_TYP</t>
    <phoneticPr fontId="38"/>
  </si>
  <si>
    <t>#MA.LOC_NM</t>
    <phoneticPr fontId="2"/>
  </si>
  <si>
    <t>loc_nm</t>
    <phoneticPr fontId="2"/>
  </si>
  <si>
    <t>alloc_scope_typ_nm</t>
    <phoneticPr fontId="38"/>
  </si>
  <si>
    <t>#MA.ALLOC_SCOPE_TYP_NM</t>
    <phoneticPr fontId="38"/>
  </si>
  <si>
    <t>総量・場所引当制御マスタを登録する</t>
    <phoneticPr fontId="38"/>
  </si>
  <si>
    <t>総量・場所引当制御マスタを削除する</t>
    <phoneticPr fontId="38"/>
  </si>
  <si>
    <t/>
  </si>
  <si>
    <t>総量引当場所グループＣＤ</t>
    <phoneticPr fontId="9"/>
  </si>
  <si>
    <t>MA.MAUAL0010.AllocGrp</t>
    <phoneticPr fontId="38"/>
  </si>
  <si>
    <t>mode_nullval_flg</t>
    <phoneticPr fontId="38"/>
  </si>
  <si>
    <t>品目出荷グループＣＤ</t>
    <phoneticPr fontId="2"/>
  </si>
  <si>
    <t>MA.MAUAL0010.ItmShipGrp</t>
    <phoneticPr fontId="38"/>
  </si>
  <si>
    <t>物流グループＣＤ</t>
    <phoneticPr fontId="2"/>
  </si>
  <si>
    <t>MA.MAUAL0010.LgGrpForLoc</t>
    <phoneticPr fontId="38"/>
  </si>
  <si>
    <t>場所ＣＤ</t>
    <phoneticPr fontId="38"/>
  </si>
  <si>
    <t>MA.MAUAL0010.Loc</t>
    <phoneticPr fontId="38"/>
  </si>
  <si>
    <t>引当範囲区分</t>
    <phoneticPr fontId="38"/>
  </si>
  <si>
    <t>MAC_ALLOC_SCOPE_TYP</t>
    <phoneticPr fontId="38"/>
  </si>
  <si>
    <t>引当優先順</t>
    <phoneticPr fontId="2"/>
  </si>
  <si>
    <t>更新カウンタ</t>
    <phoneticPr fontId="38"/>
  </si>
  <si>
    <t>000000</t>
    <phoneticPr fontId="2"/>
  </si>
  <si>
    <t>super/share</t>
    <phoneticPr fontId="2"/>
  </si>
  <si>
    <t>MA.MABSL0500.GrsAllocCtl_UpdChk01.GrsAllocCtl_UpdChk01_Dtl</t>
    <phoneticPr fontId="38"/>
  </si>
  <si>
    <t>L</t>
    <phoneticPr fontId="38"/>
  </si>
  <si>
    <t>prio</t>
    <phoneticPr fontId="38"/>
  </si>
  <si>
    <t>総量引当場所グループＣＤ</t>
    <phoneticPr fontId="2"/>
  </si>
  <si>
    <t>MA.MABSL0500.GrsAllocCtl_DelChk01.GrsAllocCtl_DelChk01_Dtl</t>
    <phoneticPr fontId="38"/>
  </si>
  <si>
    <t>総量引当場所グループ名</t>
    <phoneticPr fontId="9"/>
  </si>
  <si>
    <t>品目出荷グループ名</t>
    <phoneticPr fontId="2"/>
  </si>
  <si>
    <t>物流グループ名</t>
    <phoneticPr fontId="2"/>
  </si>
  <si>
    <t>場所名</t>
    <phoneticPr fontId="2"/>
  </si>
  <si>
    <t>論理削除.オフ</t>
    <phoneticPr fontId="2"/>
  </si>
  <si>
    <t>論理削除.オン</t>
    <phoneticPr fontId="2"/>
  </si>
  <si>
    <t>MAC_ALLOC_SCOPE_TYP</t>
    <phoneticPr fontId="2"/>
  </si>
  <si>
    <t>引当範囲区分名</t>
    <phoneticPr fontId="38"/>
  </si>
  <si>
    <t>登録ユーザ名</t>
    <phoneticPr fontId="2"/>
  </si>
  <si>
    <t>登録日時</t>
    <phoneticPr fontId="2"/>
  </si>
  <si>
    <t>登録機能名</t>
    <phoneticPr fontId="2"/>
  </si>
  <si>
    <t>更新ユーザＩＤ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</si>
  <si>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</si>
  <si>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</si>
  <si>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</si>
  <si>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</si>
  <si>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</si>
  <si>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</si>
  <si>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</si>
  <si>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</si>
  <si>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</si>
  <si>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ins_usr_id</t>
    <phoneticPr fontId="2"/>
  </si>
  <si>
    <t>upd_usr_id</t>
    <phoneticPr fontId="2"/>
  </si>
  <si>
    <t>MA.MABSL0500.GrsAllocCtl_Upd01.GrsAllocCtl_Upd01_Dtl</t>
    <phoneticPr fontId="2"/>
  </si>
  <si>
    <t>GrsAllocCtl_UpdChk01_Dtl</t>
    <phoneticPr fontId="2"/>
  </si>
  <si>
    <t>GrsAllocCtl_Upd01_Dtl</t>
    <phoneticPr fontId="2"/>
  </si>
  <si>
    <t>prio</t>
    <phoneticPr fontId="2"/>
  </si>
  <si>
    <t>MA.MABSL0500.GrsAllocCtl_Del01.GrsAllocCtl_Del01_Dtl</t>
    <phoneticPr fontId="38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</si>
  <si>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</si>
  <si>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</si>
  <si>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</si>
  <si>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"mcframe.serverMAUD.MAUDL6010.MAUDL_RLSearcher"</t>
    <phoneticPr fontId="2"/>
  </si>
  <si>
    <t>DBC:MA.MAM_GRS_ALLOC_CTL</t>
    <phoneticPr fontId="38"/>
  </si>
  <si>
    <t>DBC.MA.MAM_GRS_ALLOC_CTL</t>
    <phoneticPr fontId="38"/>
  </si>
  <si>
    <t>DBC.MA.MAM_GRS_ALLOC_CTL</t>
    <phoneticPr fontId="2"/>
  </si>
  <si>
    <t>true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</si>
  <si>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</si>
  <si>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</si>
  <si>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</si>
  <si>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</si>
  <si>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</si>
  <si>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</si>
  <si>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</si>
  <si>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</si>
  <si>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</si>
  <si>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</si>
  <si>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</si>
  <si>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</si>
  <si>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</si>
  <si>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</si>
  <si>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Gross allocation location group cd.</t>
  </si>
  <si>
    <t>Item shipping group cd.</t>
  </si>
  <si>
    <t>Distribution group cd.</t>
  </si>
  <si>
    <t>Location cd.</t>
  </si>
  <si>
    <t>Allocation range type</t>
  </si>
  <si>
    <t>Allocation priority</t>
  </si>
  <si>
    <t>Memo 1</t>
  </si>
  <si>
    <t>Memo 2</t>
  </si>
  <si>
    <t>Memo 3</t>
  </si>
  <si>
    <t>Logical delete</t>
  </si>
  <si>
    <t>Update counter</t>
  </si>
  <si>
    <t>Gross allocation location group name</t>
  </si>
  <si>
    <t>Item shipping group name</t>
  </si>
  <si>
    <t>Distribution group name</t>
  </si>
  <si>
    <t>Location name</t>
  </si>
  <si>
    <t>Logical delete. Off</t>
  </si>
  <si>
    <t>Logical delete. On</t>
  </si>
  <si>
    <t>Allocation range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</si>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</sst>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48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50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6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7" fillId="0" borderId="0"/>
    <xf numFmtId="0" fontId="27" fillId="0" borderId="0">
      <alignment vertical="center"/>
    </xf>
    <xf numFmtId="0" fontId="30" fillId="0" borderId="0">
      <alignment vertical="center"/>
    </xf>
    <xf numFmtId="0" fontId="27" fillId="0" borderId="0">
      <alignment vertical="center"/>
    </xf>
    <xf numFmtId="0" fontId="30" fillId="0" borderId="0"/>
    <xf numFmtId="0" fontId="36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30" borderId="0" applyNumberFormat="0" applyBorder="0" applyAlignment="0" applyProtection="0"/>
    <xf numFmtId="10" fontId="41" fillId="31" borderId="20" applyNumberFormat="0" applyBorder="0" applyAlignment="0" applyProtection="0"/>
    <xf numFmtId="178" fontId="42" fillId="0" borderId="0"/>
    <xf numFmtId="10" fontId="24" fillId="0" borderId="0" applyFon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 applyNumberFormat="0"/>
    <xf numFmtId="0" fontId="39" fillId="0" borderId="0" applyBorder="0" applyAlignment="0"/>
    <xf numFmtId="0" fontId="30" fillId="0" borderId="0"/>
    <xf numFmtId="0" fontId="3" fillId="0" borderId="0">
      <alignment vertical="top"/>
    </xf>
    <xf numFmtId="0" fontId="3" fillId="0" borderId="0">
      <alignment vertical="top"/>
    </xf>
    <xf numFmtId="0" fontId="43" fillId="0" borderId="0">
      <alignment vertical="center"/>
    </xf>
    <xf numFmtId="0" fontId="3" fillId="0" borderId="0" applyNumberFormat="0"/>
    <xf numFmtId="0" fontId="39" fillId="0" borderId="0">
      <alignment vertical="center"/>
    </xf>
    <xf numFmtId="0" fontId="3" fillId="0" borderId="0" applyNumberFormat="0"/>
    <xf numFmtId="0" fontId="3" fillId="0" borderId="0">
      <alignment vertical="top"/>
    </xf>
    <xf numFmtId="0" fontId="3" fillId="0" borderId="0">
      <alignment vertical="top"/>
    </xf>
    <xf numFmtId="38" fontId="30" fillId="0" borderId="0" applyFont="0" applyFill="0" applyBorder="0" applyAlignment="0" applyProtection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20" fillId="6" borderId="0" applyNumberFormat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191">
    <xf numFmtId="0" fontId="0" fillId="0" borderId="0" xfId="0">
      <alignment vertical="top" wrapText="1"/>
    </xf>
    <xf numFmtId="0" fontId="44" fillId="0" borderId="18" xfId="0" applyFont="1" applyBorder="1" applyAlignment="1">
      <alignment vertical="center"/>
    </xf>
    <xf numFmtId="0" fontId="44" fillId="0" borderId="18" xfId="0" applyFont="1" applyBorder="1" applyAlignment="1">
      <alignment horizontal="left" vertical="top"/>
    </xf>
    <xf numFmtId="0" fontId="44" fillId="0" borderId="18" xfId="0" applyFont="1" applyBorder="1" applyAlignment="1">
      <alignment vertical="top"/>
    </xf>
    <xf numFmtId="0" fontId="44" fillId="0" borderId="0" xfId="0" applyFont="1" applyAlignment="1">
      <alignment vertical="top"/>
    </xf>
    <xf numFmtId="0" fontId="44" fillId="0" borderId="0" xfId="0" applyFont="1" applyAlignment="1">
      <alignment vertical="center"/>
    </xf>
    <xf numFmtId="0" fontId="44" fillId="0" borderId="19" xfId="0" applyFont="1" applyBorder="1" applyAlignment="1">
      <alignment vertical="top"/>
    </xf>
    <xf numFmtId="0" fontId="44" fillId="0" borderId="20" xfId="0" applyFont="1" applyBorder="1" applyAlignment="1">
      <alignment vertical="top"/>
    </xf>
    <xf numFmtId="20" fontId="44" fillId="27" borderId="20" xfId="0" applyNumberFormat="1" applyFont="1" applyFill="1" applyBorder="1" applyAlignment="1">
      <alignment horizontal="left" vertical="top"/>
    </xf>
    <xf numFmtId="0" fontId="44" fillId="27" borderId="20" xfId="0" applyFont="1" applyFill="1" applyBorder="1" applyAlignment="1">
      <alignment vertical="top"/>
    </xf>
    <xf numFmtId="0" fontId="44" fillId="27" borderId="20" xfId="0" quotePrefix="1" applyFont="1" applyFill="1" applyBorder="1" applyAlignment="1">
      <alignment vertical="top"/>
    </xf>
    <xf numFmtId="0" fontId="44" fillId="0" borderId="0" xfId="0" applyFont="1">
      <alignment vertical="top" wrapText="1"/>
    </xf>
    <xf numFmtId="0" fontId="44" fillId="27" borderId="20" xfId="0" applyFont="1" applyFill="1" applyBorder="1" applyAlignment="1">
      <alignment horizontal="left" vertical="top"/>
    </xf>
    <xf numFmtId="0" fontId="44" fillId="0" borderId="20" xfId="0" quotePrefix="1" applyFont="1" applyBorder="1" applyAlignment="1">
      <alignment vertical="top"/>
    </xf>
    <xf numFmtId="0" fontId="44" fillId="28" borderId="20" xfId="179" applyFont="1" applyFill="1" applyBorder="1" applyAlignment="1">
      <alignment vertical="top"/>
    </xf>
    <xf numFmtId="0" fontId="44" fillId="0" borderId="0" xfId="0" applyFont="1" applyAlignment="1"/>
    <xf numFmtId="0" fontId="44" fillId="0" borderId="23" xfId="0" applyFont="1" applyBorder="1" applyAlignment="1">
      <alignment vertical="top"/>
    </xf>
    <xf numFmtId="0" fontId="44" fillId="28" borderId="2" xfId="0" applyFont="1" applyFill="1" applyBorder="1" applyAlignment="1">
      <alignment vertical="top"/>
    </xf>
    <xf numFmtId="0" fontId="44" fillId="28" borderId="2" xfId="0" applyFont="1" applyFill="1" applyBorder="1" applyAlignment="1">
      <alignment horizontal="left" vertical="top"/>
    </xf>
    <xf numFmtId="0" fontId="44" fillId="28" borderId="24" xfId="0" applyFont="1" applyFill="1" applyBorder="1" applyAlignment="1">
      <alignment vertical="top"/>
    </xf>
    <xf numFmtId="0" fontId="44" fillId="0" borderId="18" xfId="0" applyFont="1" applyBorder="1">
      <alignment vertical="top" wrapText="1"/>
    </xf>
    <xf numFmtId="0" fontId="44" fillId="0" borderId="22" xfId="0" applyFont="1" applyBorder="1">
      <alignment vertical="top" wrapText="1"/>
    </xf>
    <xf numFmtId="0" fontId="44" fillId="0" borderId="19" xfId="0" applyFont="1" applyBorder="1" applyAlignment="1">
      <alignment vertical="center"/>
    </xf>
    <xf numFmtId="0" fontId="44" fillId="0" borderId="19" xfId="0" applyFont="1" applyBorder="1" applyAlignment="1">
      <alignment horizontal="left" vertical="top"/>
    </xf>
    <xf numFmtId="0" fontId="44" fillId="0" borderId="21" xfId="0" applyFont="1" applyBorder="1" applyAlignment="1">
      <alignment vertical="top"/>
    </xf>
    <xf numFmtId="0" fontId="44" fillId="0" borderId="0" xfId="0" applyFont="1" applyAlignment="1">
      <alignment vertical="center" wrapText="1"/>
    </xf>
    <xf numFmtId="0" fontId="44" fillId="0" borderId="0" xfId="0" applyFont="1" applyAlignment="1">
      <alignment horizontal="left" vertical="top"/>
    </xf>
    <xf numFmtId="0" fontId="44" fillId="0" borderId="22" xfId="0" applyFont="1" applyBorder="1" applyAlignment="1">
      <alignment vertical="top"/>
    </xf>
    <xf numFmtId="49" fontId="44" fillId="0" borderId="0" xfId="0" applyNumberFormat="1" applyFont="1" applyAlignment="1">
      <alignment vertical="top"/>
    </xf>
    <xf numFmtId="49" fontId="44" fillId="0" borderId="0" xfId="0" applyNumberFormat="1" applyFont="1" applyAlignment="1" applyProtection="1">
      <alignment vertical="center"/>
      <protection locked="0"/>
    </xf>
    <xf numFmtId="0" fontId="44" fillId="27" borderId="20" xfId="0" applyFont="1" applyFill="1" applyBorder="1" applyAlignment="1">
      <alignment vertical="center"/>
    </xf>
    <xf numFmtId="49" fontId="44" fillId="0" borderId="18" xfId="0" applyNumberFormat="1" applyFont="1" applyBorder="1" applyAlignment="1">
      <alignment vertical="top"/>
    </xf>
    <xf numFmtId="49" fontId="44" fillId="0" borderId="0" xfId="0" applyNumberFormat="1" applyFont="1" applyAlignment="1" applyProtection="1">
      <alignment vertical="top"/>
      <protection locked="0"/>
    </xf>
    <xf numFmtId="49" fontId="44" fillId="27" borderId="19" xfId="0" applyNumberFormat="1" applyFont="1" applyFill="1" applyBorder="1" applyAlignment="1" applyProtection="1">
      <alignment vertical="top"/>
      <protection locked="0"/>
    </xf>
    <xf numFmtId="49" fontId="44" fillId="0" borderId="19" xfId="0" applyNumberFormat="1" applyFont="1" applyBorder="1" applyAlignment="1" applyProtection="1">
      <alignment vertical="top"/>
      <protection locked="0"/>
    </xf>
    <xf numFmtId="49" fontId="44" fillId="27" borderId="20" xfId="0" applyNumberFormat="1" applyFont="1" applyFill="1" applyBorder="1" applyAlignment="1" applyProtection="1">
      <alignment vertical="top"/>
      <protection locked="0"/>
    </xf>
    <xf numFmtId="49" fontId="44" fillId="0" borderId="20" xfId="0" applyNumberFormat="1" applyFont="1" applyBorder="1" applyAlignment="1" applyProtection="1">
      <alignment vertical="top"/>
      <protection locked="0"/>
    </xf>
    <xf numFmtId="49" fontId="44" fillId="27" borderId="20" xfId="0" applyNumberFormat="1" applyFont="1" applyFill="1" applyBorder="1" applyAlignment="1"/>
    <xf numFmtId="49" fontId="44" fillId="27" borderId="20" xfId="181" applyNumberFormat="1" applyFont="1" applyFill="1" applyBorder="1" applyAlignment="1">
      <alignment vertical="top"/>
    </xf>
    <xf numFmtId="49" fontId="44" fillId="0" borderId="27" xfId="0" applyNumberFormat="1" applyFont="1" applyBorder="1" applyAlignment="1" applyProtection="1">
      <protection locked="0"/>
    </xf>
    <xf numFmtId="49" fontId="44" fillId="0" borderId="24" xfId="0" applyNumberFormat="1" applyFont="1" applyBorder="1" applyAlignment="1" applyProtection="1">
      <protection locked="0"/>
    </xf>
    <xf numFmtId="0" fontId="44" fillId="27" borderId="27" xfId="0" applyFont="1" applyFill="1" applyBorder="1" applyAlignment="1">
      <alignment vertical="top"/>
    </xf>
    <xf numFmtId="0" fontId="44" fillId="27" borderId="24" xfId="0" applyFont="1" applyFill="1" applyBorder="1" applyAlignment="1">
      <alignment vertical="top"/>
    </xf>
    <xf numFmtId="49" fontId="44" fillId="27" borderId="27" xfId="0" applyNumberFormat="1" applyFont="1" applyFill="1" applyBorder="1" applyAlignment="1" applyProtection="1">
      <alignment vertical="top"/>
      <protection locked="0"/>
    </xf>
    <xf numFmtId="49" fontId="44" fillId="27" borderId="2" xfId="0" applyNumberFormat="1" applyFont="1" applyFill="1" applyBorder="1" applyAlignment="1" applyProtection="1">
      <alignment vertical="top"/>
      <protection locked="0"/>
    </xf>
    <xf numFmtId="49" fontId="44" fillId="0" borderId="2" xfId="0" applyNumberFormat="1" applyFont="1" applyBorder="1" applyAlignment="1" applyProtection="1">
      <alignment vertical="top"/>
      <protection locked="0"/>
    </xf>
    <xf numFmtId="49" fontId="44" fillId="0" borderId="19" xfId="0" applyNumberFormat="1" applyFont="1" applyBorder="1" applyAlignment="1" applyProtection="1">
      <protection locked="0"/>
    </xf>
    <xf numFmtId="49" fontId="44" fillId="0" borderId="2" xfId="0" applyNumberFormat="1" applyFont="1" applyBorder="1" applyAlignment="1" applyProtection="1">
      <protection locked="0"/>
    </xf>
    <xf numFmtId="49" fontId="44" fillId="27" borderId="27" xfId="0" applyNumberFormat="1" applyFont="1" applyFill="1" applyBorder="1" applyAlignment="1">
      <alignment vertical="top"/>
    </xf>
    <xf numFmtId="49" fontId="44" fillId="27" borderId="24" xfId="0" applyNumberFormat="1" applyFont="1" applyFill="1" applyBorder="1" applyAlignment="1">
      <alignment vertical="top"/>
    </xf>
    <xf numFmtId="49" fontId="44" fillId="27" borderId="20" xfId="0" applyNumberFormat="1" applyFont="1" applyFill="1" applyBorder="1" applyAlignment="1">
      <alignment vertical="center"/>
    </xf>
    <xf numFmtId="49" fontId="44" fillId="0" borderId="24" xfId="0" applyNumberFormat="1" applyFont="1" applyBorder="1" applyAlignment="1"/>
    <xf numFmtId="49" fontId="44" fillId="27" borderId="24" xfId="0" applyNumberFormat="1" applyFont="1" applyFill="1" applyBorder="1" applyAlignment="1"/>
    <xf numFmtId="49" fontId="44" fillId="0" borderId="27" xfId="0" applyNumberFormat="1" applyFont="1" applyBorder="1" applyAlignment="1"/>
    <xf numFmtId="49" fontId="44" fillId="0" borderId="2" xfId="0" applyNumberFormat="1" applyFont="1" applyBorder="1" applyAlignment="1"/>
    <xf numFmtId="49" fontId="44" fillId="27" borderId="20" xfId="0" applyNumberFormat="1" applyFont="1" applyFill="1" applyBorder="1" applyAlignment="1" applyProtection="1">
      <protection locked="0"/>
    </xf>
    <xf numFmtId="49" fontId="44" fillId="28" borderId="24" xfId="0" applyNumberFormat="1" applyFont="1" applyFill="1" applyBorder="1" applyAlignment="1" applyProtection="1">
      <protection locked="0"/>
    </xf>
    <xf numFmtId="0" fontId="44" fillId="27" borderId="20" xfId="0" applyFont="1" applyFill="1" applyBorder="1">
      <alignment vertical="top" wrapText="1"/>
    </xf>
    <xf numFmtId="0" fontId="44" fillId="28" borderId="20" xfId="0" applyFont="1" applyFill="1" applyBorder="1">
      <alignment vertical="top" wrapText="1"/>
    </xf>
    <xf numFmtId="49" fontId="44" fillId="0" borderId="27" xfId="0" applyNumberFormat="1" applyFont="1" applyBorder="1" applyAlignment="1" applyProtection="1">
      <alignment vertical="top"/>
      <protection locked="0"/>
    </xf>
    <xf numFmtId="49" fontId="44" fillId="0" borderId="24" xfId="0" applyNumberFormat="1" applyFont="1" applyBorder="1" applyAlignment="1" applyProtection="1">
      <alignment vertical="top"/>
      <protection locked="0"/>
    </xf>
    <xf numFmtId="49" fontId="44" fillId="27" borderId="26" xfId="0" applyNumberFormat="1" applyFont="1" applyFill="1" applyBorder="1" applyAlignment="1" applyProtection="1">
      <alignment vertical="top"/>
      <protection locked="0"/>
    </xf>
    <xf numFmtId="49" fontId="44" fillId="27" borderId="0" xfId="0" applyNumberFormat="1" applyFont="1" applyFill="1" applyAlignment="1" applyProtection="1">
      <alignment vertical="top"/>
      <protection locked="0"/>
    </xf>
    <xf numFmtId="49" fontId="44" fillId="0" borderId="19" xfId="0" applyNumberFormat="1" applyFont="1" applyBorder="1" applyAlignment="1">
      <alignment vertical="top"/>
    </xf>
    <xf numFmtId="49" fontId="44" fillId="0" borderId="21" xfId="0" applyNumberFormat="1" applyFont="1" applyBorder="1" applyAlignment="1">
      <alignment vertical="top"/>
    </xf>
    <xf numFmtId="0" fontId="44" fillId="0" borderId="23" xfId="0" applyFont="1" applyBorder="1">
      <alignment vertical="top" wrapText="1"/>
    </xf>
    <xf numFmtId="0" fontId="44" fillId="0" borderId="0" xfId="0" applyFont="1" applyAlignment="1" applyProtection="1">
      <alignment vertical="center"/>
      <protection locked="0"/>
    </xf>
    <xf numFmtId="0" fontId="44" fillId="0" borderId="0" xfId="0" applyFont="1" applyAlignment="1" applyProtection="1">
      <alignment vertical="top"/>
      <protection locked="0"/>
    </xf>
    <xf numFmtId="0" fontId="44" fillId="27" borderId="19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top"/>
      <protection locked="0"/>
    </xf>
    <xf numFmtId="0" fontId="44" fillId="0" borderId="20" xfId="0" applyFont="1" applyBorder="1" applyAlignment="1" applyProtection="1">
      <alignment vertical="top"/>
      <protection locked="0"/>
    </xf>
    <xf numFmtId="0" fontId="44" fillId="27" borderId="20" xfId="0" applyFont="1" applyFill="1" applyBorder="1" applyAlignment="1" applyProtection="1">
      <alignment vertical="top"/>
      <protection locked="0"/>
    </xf>
    <xf numFmtId="0" fontId="44" fillId="27" borderId="20" xfId="181" applyFont="1" applyFill="1" applyBorder="1" applyAlignment="1">
      <alignment vertical="top"/>
    </xf>
    <xf numFmtId="0" fontId="44" fillId="0" borderId="27" xfId="0" applyFont="1" applyBorder="1" applyAlignment="1" applyProtection="1">
      <protection locked="0"/>
    </xf>
    <xf numFmtId="0" fontId="44" fillId="0" borderId="24" xfId="0" applyFont="1" applyBorder="1" applyAlignment="1" applyProtection="1">
      <protection locked="0"/>
    </xf>
    <xf numFmtId="0" fontId="44" fillId="27" borderId="27" xfId="0" applyFont="1" applyFill="1" applyBorder="1" applyAlignment="1" applyProtection="1">
      <alignment vertical="top"/>
      <protection locked="0"/>
    </xf>
    <xf numFmtId="0" fontId="44" fillId="27" borderId="2" xfId="0" applyFont="1" applyFill="1" applyBorder="1" applyAlignment="1" applyProtection="1">
      <alignment vertical="top"/>
      <protection locked="0"/>
    </xf>
    <xf numFmtId="0" fontId="44" fillId="0" borderId="2" xfId="0" applyFont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protection locked="0"/>
    </xf>
    <xf numFmtId="0" fontId="44" fillId="0" borderId="2" xfId="0" applyFont="1" applyBorder="1" applyAlignment="1" applyProtection="1">
      <protection locked="0"/>
    </xf>
    <xf numFmtId="0" fontId="44" fillId="27" borderId="20" xfId="0" applyFont="1" applyFill="1" applyBorder="1" applyAlignment="1"/>
    <xf numFmtId="0" fontId="44" fillId="0" borderId="24" xfId="0" applyFont="1" applyBorder="1" applyAlignment="1"/>
    <xf numFmtId="0" fontId="44" fillId="27" borderId="24" xfId="0" applyFont="1" applyFill="1" applyBorder="1" applyAlignment="1"/>
    <xf numFmtId="0" fontId="44" fillId="0" borderId="27" xfId="0" applyFont="1" applyBorder="1" applyAlignment="1"/>
    <xf numFmtId="0" fontId="44" fillId="0" borderId="2" xfId="0" applyFont="1" applyBorder="1" applyAlignment="1"/>
    <xf numFmtId="0" fontId="44" fillId="27" borderId="20" xfId="0" applyFont="1" applyFill="1" applyBorder="1" applyAlignment="1" applyProtection="1">
      <protection locked="0"/>
    </xf>
    <xf numFmtId="0" fontId="44" fillId="28" borderId="24" xfId="0" applyFont="1" applyFill="1" applyBorder="1" applyAlignment="1" applyProtection="1">
      <protection locked="0"/>
    </xf>
    <xf numFmtId="0" fontId="44" fillId="0" borderId="24" xfId="0" applyFont="1" applyBorder="1" applyAlignment="1" applyProtection="1">
      <alignment vertical="top"/>
      <protection locked="0"/>
    </xf>
    <xf numFmtId="0" fontId="44" fillId="27" borderId="26" xfId="0" applyFont="1" applyFill="1" applyBorder="1" applyAlignment="1" applyProtection="1">
      <alignment vertical="top"/>
      <protection locked="0"/>
    </xf>
    <xf numFmtId="0" fontId="44" fillId="27" borderId="0" xfId="0" applyFont="1" applyFill="1" applyAlignment="1" applyProtection="1">
      <alignment vertical="top"/>
      <protection locked="0"/>
    </xf>
    <xf numFmtId="0" fontId="44" fillId="0" borderId="47" xfId="0" applyFont="1" applyBorder="1" applyAlignment="1" applyProtection="1">
      <alignment vertical="top"/>
      <protection locked="0"/>
    </xf>
    <xf numFmtId="0" fontId="44" fillId="0" borderId="20" xfId="0" applyFont="1" applyBorder="1" applyAlignment="1"/>
    <xf numFmtId="0" fontId="44" fillId="0" borderId="27" xfId="0" applyFont="1" applyBorder="1" applyAlignment="1" applyProtection="1">
      <alignment vertical="top"/>
      <protection locked="0"/>
    </xf>
    <xf numFmtId="0" fontId="44" fillId="0" borderId="27" xfId="180" applyFont="1" applyBorder="1" applyAlignment="1">
      <alignment vertical="top"/>
    </xf>
    <xf numFmtId="0" fontId="44" fillId="0" borderId="24" xfId="180" applyFont="1" applyBorder="1" applyAlignment="1">
      <alignment vertical="top"/>
    </xf>
    <xf numFmtId="0" fontId="44" fillId="0" borderId="22" xfId="0" applyFont="1" applyBorder="1" applyAlignment="1"/>
    <xf numFmtId="0" fontId="44" fillId="0" borderId="28" xfId="0" applyFont="1" applyBorder="1" applyAlignment="1"/>
    <xf numFmtId="0" fontId="44" fillId="0" borderId="18" xfId="0" applyFont="1" applyBorder="1" applyAlignment="1"/>
    <xf numFmtId="0" fontId="44" fillId="27" borderId="25" xfId="0" applyFont="1" applyFill="1" applyBorder="1" applyAlignment="1" applyProtection="1">
      <alignment vertical="top"/>
      <protection locked="0"/>
    </xf>
    <xf numFmtId="0" fontId="44" fillId="0" borderId="19" xfId="0" applyFont="1" applyBorder="1" applyAlignment="1" applyProtection="1">
      <alignment vertical="center"/>
      <protection locked="0"/>
    </xf>
    <xf numFmtId="0" fontId="44" fillId="0" borderId="19" xfId="0" applyFont="1" applyBorder="1" applyAlignment="1" applyProtection="1">
      <alignment horizontal="left" vertical="top"/>
      <protection locked="0"/>
    </xf>
    <xf numFmtId="0" fontId="44" fillId="0" borderId="21" xfId="0" applyFont="1" applyBorder="1" applyAlignment="1" applyProtection="1">
      <alignment vertical="top"/>
      <protection locked="0"/>
    </xf>
    <xf numFmtId="0" fontId="47" fillId="0" borderId="0" xfId="178" applyFont="1"/>
    <xf numFmtId="0" fontId="47" fillId="0" borderId="0" xfId="178" applyFont="1" applyAlignment="1">
      <alignment horizontal="center" vertical="center"/>
    </xf>
    <xf numFmtId="0" fontId="47" fillId="0" borderId="0" xfId="178" applyFont="1" applyAlignment="1">
      <alignment horizontal="center"/>
    </xf>
    <xf numFmtId="0" fontId="47" fillId="0" borderId="0" xfId="182" applyFont="1"/>
    <xf numFmtId="0" fontId="47" fillId="0" borderId="0" xfId="182" applyFont="1" applyAlignment="1">
      <alignment horizontal="center"/>
    </xf>
    <xf numFmtId="49" fontId="44" fillId="28" borderId="27" xfId="0" applyNumberFormat="1" applyFont="1" applyFill="1" applyBorder="1" applyAlignment="1" applyProtection="1">
      <protection locked="0"/>
    </xf>
    <xf numFmtId="0" fontId="44" fillId="28" borderId="27" xfId="0" applyFont="1" applyFill="1" applyBorder="1" applyAlignment="1" applyProtection="1">
      <protection locked="0"/>
    </xf>
    <xf numFmtId="0" fontId="44" fillId="27" borderId="18" xfId="0" applyFont="1" applyFill="1" applyBorder="1" applyAlignment="1">
      <alignment vertical="top"/>
    </xf>
    <xf numFmtId="0" fontId="44" fillId="27" borderId="25" xfId="0" applyFont="1" applyFill="1" applyBorder="1" applyAlignment="1">
      <alignment vertical="top"/>
    </xf>
    <xf numFmtId="0" fontId="44" fillId="27" borderId="19" xfId="0" applyFont="1" applyFill="1" applyBorder="1" applyAlignment="1">
      <alignment vertical="top"/>
    </xf>
    <xf numFmtId="0" fontId="44" fillId="29" borderId="20" xfId="0" applyFont="1" applyFill="1" applyBorder="1" applyAlignment="1">
      <alignment vertical="top"/>
    </xf>
    <xf numFmtId="0" fontId="44" fillId="27" borderId="26" xfId="0" applyFont="1" applyFill="1" applyBorder="1" applyAlignment="1">
      <alignment vertical="top"/>
    </xf>
    <xf numFmtId="0" fontId="44" fillId="27" borderId="0" xfId="0" applyFont="1" applyFill="1" applyAlignment="1">
      <alignment vertical="top"/>
    </xf>
    <xf numFmtId="0" fontId="44" fillId="29" borderId="0" xfId="0" applyFont="1" applyFill="1">
      <alignment vertical="top" wrapText="1"/>
    </xf>
    <xf numFmtId="0" fontId="44" fillId="0" borderId="27" xfId="0" applyFont="1" applyBorder="1" applyAlignment="1">
      <alignment vertical="top"/>
    </xf>
    <xf numFmtId="0" fontId="44" fillId="0" borderId="20" xfId="0" applyFont="1" applyBorder="1" applyAlignment="1">
      <alignment vertical="center"/>
    </xf>
    <xf numFmtId="0" fontId="44" fillId="27" borderId="28" xfId="0" applyFont="1" applyFill="1" applyBorder="1" applyAlignment="1">
      <alignment vertical="top"/>
    </xf>
    <xf numFmtId="0" fontId="44" fillId="0" borderId="2" xfId="0" applyFont="1" applyBorder="1" applyAlignment="1">
      <alignment vertical="top"/>
    </xf>
    <xf numFmtId="0" fontId="44" fillId="0" borderId="28" xfId="0" applyFont="1" applyBorder="1" applyAlignment="1">
      <alignment vertical="top"/>
    </xf>
    <xf numFmtId="49" fontId="44" fillId="27" borderId="20" xfId="0" applyNumberFormat="1" applyFont="1" applyFill="1" applyBorder="1">
      <alignment vertical="top" wrapText="1"/>
    </xf>
    <xf numFmtId="0" fontId="44" fillId="0" borderId="19" xfId="0" applyFont="1" applyBorder="1">
      <alignment vertical="top" wrapText="1"/>
    </xf>
    <xf numFmtId="0" fontId="44" fillId="0" borderId="20" xfId="0" applyFont="1" applyBorder="1">
      <alignment vertical="top" wrapText="1"/>
    </xf>
    <xf numFmtId="49" fontId="44" fillId="0" borderId="20" xfId="0" applyNumberFormat="1" applyFont="1" applyBorder="1" applyProtection="1">
      <alignment vertical="top" wrapText="1"/>
      <protection locked="0"/>
    </xf>
    <xf numFmtId="0" fontId="44" fillId="27" borderId="27" xfId="0" applyFont="1" applyFill="1" applyBorder="1">
      <alignment vertical="top" wrapText="1"/>
    </xf>
    <xf numFmtId="0" fontId="44" fillId="27" borderId="24" xfId="0" applyFont="1" applyFill="1" applyBorder="1">
      <alignment vertical="top" wrapText="1"/>
    </xf>
    <xf numFmtId="49" fontId="44" fillId="27" borderId="20" xfId="0" applyNumberFormat="1" applyFont="1" applyFill="1" applyBorder="1" applyAlignment="1">
      <alignment vertical="top"/>
    </xf>
    <xf numFmtId="49" fontId="44" fillId="0" borderId="18" xfId="0" applyNumberFormat="1" applyFont="1" applyBorder="1" applyAlignment="1" applyProtection="1">
      <alignment vertical="top"/>
      <protection locked="0"/>
    </xf>
    <xf numFmtId="49" fontId="44" fillId="0" borderId="22" xfId="0" applyNumberFormat="1" applyFont="1" applyBorder="1" applyAlignment="1" applyProtection="1">
      <alignment vertical="top"/>
      <protection locked="0"/>
    </xf>
    <xf numFmtId="49" fontId="44" fillId="0" borderId="27" xfId="0" applyNumberFormat="1" applyFont="1" applyBorder="1" applyProtection="1">
      <alignment vertical="top" wrapText="1"/>
      <protection locked="0"/>
    </xf>
    <xf numFmtId="0" fontId="44" fillId="0" borderId="27" xfId="0" applyFont="1" applyBorder="1">
      <alignment vertical="top" wrapText="1"/>
    </xf>
    <xf numFmtId="0" fontId="44" fillId="0" borderId="24" xfId="0" applyFont="1" applyBorder="1">
      <alignment vertical="top" wrapText="1"/>
    </xf>
    <xf numFmtId="0" fontId="44" fillId="0" borderId="20" xfId="0" applyFont="1" applyBorder="1" applyProtection="1">
      <alignment vertical="top" wrapText="1"/>
      <protection locked="0"/>
    </xf>
    <xf numFmtId="0" fontId="44" fillId="0" borderId="18" xfId="0" applyFont="1" applyBorder="1" applyAlignment="1" applyProtection="1">
      <alignment vertical="top"/>
      <protection locked="0"/>
    </xf>
    <xf numFmtId="0" fontId="44" fillId="0" borderId="22" xfId="0" applyFont="1" applyBorder="1" applyAlignment="1" applyProtection="1">
      <alignment vertical="top"/>
      <protection locked="0"/>
    </xf>
    <xf numFmtId="0" fontId="44" fillId="0" borderId="27" xfId="0" applyFont="1" applyBorder="1" applyProtection="1">
      <alignment vertical="top" wrapText="1"/>
      <protection locked="0"/>
    </xf>
    <xf numFmtId="0" fontId="44" fillId="0" borderId="48" xfId="0" applyFont="1" applyBorder="1" applyAlignment="1" applyProtection="1">
      <alignment vertical="top"/>
      <protection locked="0"/>
    </xf>
    <xf numFmtId="49" fontId="44" fillId="28" borderId="27" xfId="0" applyNumberFormat="1" applyFont="1" applyFill="1" applyBorder="1" applyAlignment="1" applyProtection="1">
      <protection locked="0"/>
    </xf>
    <xf numFmtId="49" fontId="44" fillId="28" borderId="24" xfId="0" applyNumberFormat="1" applyFont="1" applyFill="1" applyBorder="1" applyAlignment="1"/>
    <xf numFmtId="0" fontId="44" fillId="28" borderId="27" xfId="0" applyFont="1" applyFill="1" applyBorder="1" applyAlignment="1" applyProtection="1">
      <protection locked="0"/>
    </xf>
    <xf numFmtId="0" fontId="44" fillId="28" borderId="24" xfId="0" applyFont="1" applyFill="1" applyBorder="1" applyAlignment="1"/>
    <xf numFmtId="0" fontId="44" fillId="28" borderId="27" xfId="180" applyFont="1" applyFill="1" applyBorder="1" applyAlignment="1"/>
    <xf numFmtId="0" fontId="46" fillId="0" borderId="41" xfId="182" applyFont="1" applyBorder="1" applyAlignment="1">
      <alignment horizontal="left" vertical="center" wrapText="1"/>
    </xf>
    <xf numFmtId="0" fontId="46" fillId="0" borderId="42" xfId="177" applyFont="1" applyBorder="1" applyAlignment="1">
      <alignment horizontal="left" vertical="center" wrapText="1"/>
    </xf>
    <xf numFmtId="0" fontId="46" fillId="0" borderId="43" xfId="177" applyFont="1" applyBorder="1" applyAlignment="1">
      <alignment horizontal="left" vertical="center" wrapText="1"/>
    </xf>
    <xf numFmtId="0" fontId="46" fillId="0" borderId="42" xfId="177" applyFont="1" applyBorder="1" applyAlignment="1">
      <alignment vertical="center" wrapText="1"/>
    </xf>
    <xf numFmtId="0" fontId="46" fillId="0" borderId="43" xfId="177" applyFont="1" applyBorder="1" applyAlignment="1">
      <alignment vertical="center" wrapText="1"/>
    </xf>
    <xf numFmtId="0" fontId="46" fillId="0" borderId="41" xfId="182" applyFont="1" applyBorder="1" applyAlignment="1">
      <alignment vertical="center" wrapText="1"/>
    </xf>
    <xf numFmtId="0" fontId="46" fillId="0" borderId="44" xfId="177" applyFont="1" applyBorder="1" applyAlignment="1">
      <alignment vertical="center" wrapText="1"/>
    </xf>
    <xf numFmtId="0" fontId="47" fillId="28" borderId="45" xfId="182" applyFont="1" applyFill="1" applyBorder="1" applyAlignment="1">
      <alignment horizontal="center" vertical="center"/>
    </xf>
    <xf numFmtId="0" fontId="46" fillId="0" borderId="1" xfId="177" applyFont="1" applyBorder="1" applyAlignment="1">
      <alignment horizontal="center" vertical="center"/>
    </xf>
    <xf numFmtId="0" fontId="46" fillId="0" borderId="35" xfId="177" applyFont="1" applyBorder="1" applyAlignment="1">
      <alignment horizontal="center" vertical="center"/>
    </xf>
    <xf numFmtId="0" fontId="46" fillId="0" borderId="27" xfId="182" applyFont="1" applyBorder="1" applyAlignment="1">
      <alignment horizontal="left" vertical="center" wrapText="1"/>
    </xf>
    <xf numFmtId="0" fontId="46" fillId="0" borderId="2" xfId="177" applyFont="1" applyBorder="1" applyAlignment="1">
      <alignment vertical="center" wrapText="1"/>
    </xf>
    <xf numFmtId="0" fontId="46" fillId="0" borderId="24" xfId="177" applyFont="1" applyBorder="1" applyAlignment="1">
      <alignment vertical="center" wrapText="1"/>
    </xf>
    <xf numFmtId="0" fontId="46" fillId="0" borderId="27" xfId="182" applyFont="1" applyBorder="1" applyAlignment="1">
      <alignment vertical="center" wrapText="1"/>
    </xf>
    <xf numFmtId="0" fontId="46" fillId="0" borderId="38" xfId="177" applyFont="1" applyBorder="1" applyAlignment="1">
      <alignment vertical="center" wrapText="1"/>
    </xf>
    <xf numFmtId="177" fontId="46" fillId="0" borderId="46" xfId="182" applyNumberFormat="1" applyFont="1" applyBorder="1" applyAlignment="1">
      <alignment horizontal="center" vertical="center"/>
    </xf>
    <xf numFmtId="177" fontId="46" fillId="0" borderId="42" xfId="177" applyNumberFormat="1" applyFont="1" applyBorder="1" applyAlignment="1">
      <alignment horizontal="center" vertical="center"/>
    </xf>
    <xf numFmtId="177" fontId="46" fillId="0" borderId="43" xfId="177" applyNumberFormat="1" applyFont="1" applyBorder="1" applyAlignment="1">
      <alignment horizontal="center" vertical="center"/>
    </xf>
    <xf numFmtId="177" fontId="46" fillId="0" borderId="37" xfId="182" applyNumberFormat="1" applyFont="1" applyBorder="1" applyAlignment="1">
      <alignment horizontal="center" vertical="center"/>
    </xf>
    <xf numFmtId="177" fontId="46" fillId="0" borderId="2" xfId="177" applyNumberFormat="1" applyFont="1" applyBorder="1" applyAlignment="1">
      <alignment horizontal="center" vertical="center"/>
    </xf>
    <xf numFmtId="177" fontId="46" fillId="0" borderId="24" xfId="177" applyNumberFormat="1" applyFont="1" applyBorder="1" applyAlignment="1">
      <alignment horizontal="center" vertical="center"/>
    </xf>
    <xf numFmtId="0" fontId="46" fillId="0" borderId="2" xfId="177" applyFont="1" applyBorder="1" applyAlignment="1">
      <alignment horizontal="left" vertical="center" wrapText="1"/>
    </xf>
    <xf numFmtId="0" fontId="46" fillId="0" borderId="24" xfId="177" applyFont="1" applyBorder="1" applyAlignment="1">
      <alignment horizontal="left" vertical="center" wrapText="1"/>
    </xf>
    <xf numFmtId="0" fontId="46" fillId="0" borderId="27" xfId="182" applyFont="1" applyBorder="1" applyAlignment="1">
      <alignment horizontal="left" vertical="center"/>
    </xf>
    <xf numFmtId="0" fontId="46" fillId="0" borderId="2" xfId="177" applyFont="1" applyBorder="1" applyAlignment="1">
      <alignment horizontal="left" vertical="center"/>
    </xf>
    <xf numFmtId="0" fontId="46" fillId="0" borderId="24" xfId="177" applyFont="1" applyBorder="1" applyAlignment="1">
      <alignment horizontal="left" vertical="center"/>
    </xf>
    <xf numFmtId="0" fontId="46" fillId="0" borderId="27" xfId="182" applyFont="1" applyBorder="1" applyAlignment="1">
      <alignment vertical="center"/>
    </xf>
    <xf numFmtId="0" fontId="46" fillId="0" borderId="2" xfId="177" applyFont="1" applyBorder="1" applyAlignment="1">
      <alignment vertical="center"/>
    </xf>
    <xf numFmtId="0" fontId="46" fillId="0" borderId="38" xfId="177" applyFont="1" applyBorder="1" applyAlignment="1">
      <alignment vertical="center"/>
    </xf>
    <xf numFmtId="0" fontId="46" fillId="0" borderId="39" xfId="182" applyFont="1" applyBorder="1" applyAlignment="1">
      <alignment horizontal="left" vertical="center" wrapText="1"/>
    </xf>
    <xf numFmtId="0" fontId="46" fillId="0" borderId="30" xfId="177" applyFont="1" applyBorder="1" applyAlignment="1">
      <alignment horizontal="left" vertical="center" wrapText="1"/>
    </xf>
    <xf numFmtId="0" fontId="46" fillId="0" borderId="31" xfId="177" applyFont="1" applyBorder="1" applyAlignment="1">
      <alignment horizontal="left" vertical="center" wrapText="1"/>
    </xf>
    <xf numFmtId="0" fontId="46" fillId="0" borderId="30" xfId="177" applyFont="1" applyBorder="1" applyAlignment="1">
      <alignment vertical="center" wrapText="1"/>
    </xf>
    <xf numFmtId="0" fontId="46" fillId="0" borderId="31" xfId="177" applyFont="1" applyBorder="1" applyAlignment="1">
      <alignment vertical="center" wrapText="1"/>
    </xf>
    <xf numFmtId="0" fontId="46" fillId="0" borderId="39" xfId="182" applyFont="1" applyBorder="1" applyAlignment="1">
      <alignment vertical="center" wrapText="1"/>
    </xf>
    <xf numFmtId="0" fontId="46" fillId="0" borderId="40" xfId="177" applyFont="1" applyBorder="1" applyAlignment="1">
      <alignment vertical="center" wrapText="1"/>
    </xf>
    <xf numFmtId="177" fontId="46" fillId="0" borderId="29" xfId="182" applyNumberFormat="1" applyFont="1" applyBorder="1" applyAlignment="1">
      <alignment horizontal="center" vertical="center"/>
    </xf>
    <xf numFmtId="177" fontId="46" fillId="0" borderId="30" xfId="177" applyNumberFormat="1" applyFont="1" applyBorder="1" applyAlignment="1">
      <alignment horizontal="center" vertical="center"/>
    </xf>
    <xf numFmtId="177" fontId="46" fillId="0" borderId="31" xfId="177" applyNumberFormat="1" applyFont="1" applyBorder="1" applyAlignment="1">
      <alignment horizontal="center" vertical="center"/>
    </xf>
    <xf numFmtId="0" fontId="45" fillId="28" borderId="32" xfId="178" applyFont="1" applyFill="1" applyBorder="1" applyAlignment="1">
      <alignment horizontal="center" vertical="center"/>
    </xf>
    <xf numFmtId="0" fontId="46" fillId="0" borderId="3" xfId="177" applyFont="1" applyBorder="1" applyAlignment="1">
      <alignment vertical="center"/>
    </xf>
    <xf numFmtId="0" fontId="46" fillId="0" borderId="33" xfId="177" applyFont="1" applyBorder="1" applyAlignment="1">
      <alignment vertical="center"/>
    </xf>
    <xf numFmtId="0" fontId="47" fillId="28" borderId="34" xfId="182" applyFont="1" applyFill="1" applyBorder="1" applyAlignment="1">
      <alignment horizontal="center" vertical="center"/>
    </xf>
    <xf numFmtId="0" fontId="47" fillId="28" borderId="1" xfId="182" applyFont="1" applyFill="1" applyBorder="1" applyAlignment="1">
      <alignment horizontal="center" vertical="center"/>
    </xf>
    <xf numFmtId="0" fontId="47" fillId="28" borderId="35" xfId="182" applyFont="1" applyFill="1" applyBorder="1" applyAlignment="1">
      <alignment horizontal="center" vertical="center"/>
    </xf>
    <xf numFmtId="0" fontId="47" fillId="28" borderId="34" xfId="177" applyFont="1" applyFill="1" applyBorder="1" applyAlignment="1">
      <alignment horizontal="center" vertical="center"/>
    </xf>
    <xf numFmtId="0" fontId="47" fillId="0" borderId="1" xfId="177" applyFont="1" applyBorder="1" applyAlignment="1">
      <alignment horizontal="center" vertical="center"/>
    </xf>
    <xf numFmtId="0" fontId="47" fillId="0" borderId="36" xfId="177" applyFont="1" applyBorder="1" applyAlignment="1">
      <alignment horizontal="center" vertical="center"/>
    </xf>
  </cellXfs>
  <cellStyles count="25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48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47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46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45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44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43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42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41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40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39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38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37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36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35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34" xr:uid="{00000000-0005-0000-0000-000059000000}"/>
    <cellStyle name="Calc Currency (0)" xfId="75" xr:uid="{00000000-0005-0000-0000-00005A000000}"/>
    <cellStyle name="Comma [0]" xfId="189" xr:uid="{00000000-0005-0000-0000-00005B000000}"/>
    <cellStyle name="Comma [0] 2" xfId="190" xr:uid="{00000000-0005-0000-0000-00005C000000}"/>
    <cellStyle name="Currency [0]" xfId="191" xr:uid="{00000000-0005-0000-0000-00005D000000}"/>
    <cellStyle name="Grey" xfId="192" xr:uid="{00000000-0005-0000-0000-00005E000000}"/>
    <cellStyle name="Header1" xfId="76" xr:uid="{00000000-0005-0000-0000-00005F000000}"/>
    <cellStyle name="Header2" xfId="77" xr:uid="{00000000-0005-0000-0000-000060000000}"/>
    <cellStyle name="Input [yellow]" xfId="193" xr:uid="{00000000-0005-0000-0000-000061000000}"/>
    <cellStyle name="Normal - Style1" xfId="194" xr:uid="{00000000-0005-0000-0000-000062000000}"/>
    <cellStyle name="Normal_#18-Internet" xfId="78" xr:uid="{00000000-0005-0000-0000-000063000000}"/>
    <cellStyle name="Percent [2]" xfId="195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33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32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31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30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29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28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27" xr:uid="{00000000-0005-0000-0000-000092000000}"/>
    <cellStyle name="メモ" xfId="118" builtinId="10" customBuiltin="1"/>
    <cellStyle name="メモ 2" xfId="119" xr:uid="{00000000-0005-0000-0000-000094000000}"/>
    <cellStyle name="メモ 3" xfId="120" xr:uid="{00000000-0005-0000-0000-000095000000}"/>
    <cellStyle name="メモ 4" xfId="121" xr:uid="{00000000-0005-0000-0000-000096000000}"/>
    <cellStyle name="メモ 5" xfId="226" xr:uid="{00000000-0005-0000-0000-000097000000}"/>
    <cellStyle name="リンク セル" xfId="122" builtinId="24" customBuiltin="1"/>
    <cellStyle name="リンク セル 2" xfId="123" xr:uid="{00000000-0005-0000-0000-000099000000}"/>
    <cellStyle name="リンク セル 3" xfId="124" xr:uid="{00000000-0005-0000-0000-00009A000000}"/>
    <cellStyle name="リンク セル 4" xfId="125" xr:uid="{00000000-0005-0000-0000-00009B000000}"/>
    <cellStyle name="リンク セル 5" xfId="225" xr:uid="{00000000-0005-0000-0000-00009C000000}"/>
    <cellStyle name="_x001d__x000c_K_x0014__x000d_&gt;V_x0001_&gt;_x0014_n_x001e__x0007__x0001__x0001_" xfId="126" xr:uid="{00000000-0005-0000-0000-00009D000000}"/>
    <cellStyle name="_x001d__x000c_K_x0014__x000d_&gt;V_x0001_&gt;_x0014_n_x001e__x0007__x0001__x0001_ 2" xfId="196" xr:uid="{00000000-0005-0000-0000-00009E000000}"/>
    <cellStyle name="_x001d__x000c_K_x0014__x000d_&gt;V_x0001_&gt;_x0014_n_x001e__x0007__x0001__x0001_ 3" xfId="197" xr:uid="{00000000-0005-0000-0000-00009F000000}"/>
    <cellStyle name="悪い" xfId="127" builtinId="27" customBuiltin="1"/>
    <cellStyle name="悪い 2" xfId="128" xr:uid="{00000000-0005-0000-0000-0000A1000000}"/>
    <cellStyle name="悪い 3" xfId="129" xr:uid="{00000000-0005-0000-0000-0000A2000000}"/>
    <cellStyle name="悪い 4" xfId="130" xr:uid="{00000000-0005-0000-0000-0000A3000000}"/>
    <cellStyle name="悪い 5" xfId="224" xr:uid="{00000000-0005-0000-0000-0000A4000000}"/>
    <cellStyle name="計算" xfId="131" builtinId="22" customBuiltin="1"/>
    <cellStyle name="計算 2" xfId="132" xr:uid="{00000000-0005-0000-0000-0000A6000000}"/>
    <cellStyle name="計算 3" xfId="133" xr:uid="{00000000-0005-0000-0000-0000A7000000}"/>
    <cellStyle name="計算 4" xfId="134" xr:uid="{00000000-0005-0000-0000-0000A8000000}"/>
    <cellStyle name="計算 5" xfId="223" xr:uid="{00000000-0005-0000-0000-0000A9000000}"/>
    <cellStyle name="警告文" xfId="135" builtinId="11" customBuiltin="1"/>
    <cellStyle name="警告文 2" xfId="136" xr:uid="{00000000-0005-0000-0000-0000AB000000}"/>
    <cellStyle name="警告文 3" xfId="137" xr:uid="{00000000-0005-0000-0000-0000AC000000}"/>
    <cellStyle name="警告文 4" xfId="138" xr:uid="{00000000-0005-0000-0000-0000AD000000}"/>
    <cellStyle name="桁区切り 2" xfId="210" xr:uid="{00000000-0005-0000-0000-0000AE000000}"/>
    <cellStyle name="見出し 1" xfId="139" builtinId="16" customBuiltin="1"/>
    <cellStyle name="見出し 1 2" xfId="140" xr:uid="{00000000-0005-0000-0000-0000B0000000}"/>
    <cellStyle name="見出し 1 3" xfId="141" xr:uid="{00000000-0005-0000-0000-0000B1000000}"/>
    <cellStyle name="見出し 1 4" xfId="142" xr:uid="{00000000-0005-0000-0000-0000B2000000}"/>
    <cellStyle name="見出し 1 5" xfId="222" xr:uid="{00000000-0005-0000-0000-0000B3000000}"/>
    <cellStyle name="見出し 2" xfId="143" builtinId="17" customBuiltin="1"/>
    <cellStyle name="見出し 2 2" xfId="144" xr:uid="{00000000-0005-0000-0000-0000B5000000}"/>
    <cellStyle name="見出し 2 3" xfId="145" xr:uid="{00000000-0005-0000-0000-0000B6000000}"/>
    <cellStyle name="見出し 2 4" xfId="146" xr:uid="{00000000-0005-0000-0000-0000B7000000}"/>
    <cellStyle name="見出し 2 5" xfId="221" xr:uid="{00000000-0005-0000-0000-0000B8000000}"/>
    <cellStyle name="見出し 3" xfId="147" builtinId="18" customBuiltin="1"/>
    <cellStyle name="見出し 3 2" xfId="148" xr:uid="{00000000-0005-0000-0000-0000BA000000}"/>
    <cellStyle name="見出し 3 3" xfId="149" xr:uid="{00000000-0005-0000-0000-0000BB000000}"/>
    <cellStyle name="見出し 3 4" xfId="150" xr:uid="{00000000-0005-0000-0000-0000BC000000}"/>
    <cellStyle name="見出し 3 5" xfId="220" xr:uid="{00000000-0005-0000-0000-0000BD000000}"/>
    <cellStyle name="見出し 4" xfId="151" builtinId="19" customBuiltin="1"/>
    <cellStyle name="見出し 4 2" xfId="152" xr:uid="{00000000-0005-0000-0000-0000BF000000}"/>
    <cellStyle name="見出し 4 3" xfId="153" xr:uid="{00000000-0005-0000-0000-0000C0000000}"/>
    <cellStyle name="見出し 4 4" xfId="154" xr:uid="{00000000-0005-0000-0000-0000C1000000}"/>
    <cellStyle name="見出し 4 5" xfId="219" xr:uid="{00000000-0005-0000-0000-0000C2000000}"/>
    <cellStyle name="作業ﾌﾛｰ" xfId="198" xr:uid="{00000000-0005-0000-0000-0000C3000000}"/>
    <cellStyle name="資料" xfId="199" xr:uid="{00000000-0005-0000-0000-0000C4000000}"/>
    <cellStyle name="資料２" xfId="200" xr:uid="{00000000-0005-0000-0000-0000C5000000}"/>
    <cellStyle name="集計" xfId="155" builtinId="25" customBuiltin="1"/>
    <cellStyle name="集計 2" xfId="156" xr:uid="{00000000-0005-0000-0000-0000C7000000}"/>
    <cellStyle name="集計 3" xfId="157" xr:uid="{00000000-0005-0000-0000-0000C8000000}"/>
    <cellStyle name="集計 4" xfId="158" xr:uid="{00000000-0005-0000-0000-0000C9000000}"/>
    <cellStyle name="集計 5" xfId="218" xr:uid="{00000000-0005-0000-0000-0000CA000000}"/>
    <cellStyle name="出力" xfId="159" builtinId="21" customBuiltin="1"/>
    <cellStyle name="出力 2" xfId="160" xr:uid="{00000000-0005-0000-0000-0000CC000000}"/>
    <cellStyle name="出力 3" xfId="161" xr:uid="{00000000-0005-0000-0000-0000CD000000}"/>
    <cellStyle name="出力 4" xfId="162" xr:uid="{00000000-0005-0000-0000-0000CE000000}"/>
    <cellStyle name="出力 5" xfId="217" xr:uid="{00000000-0005-0000-0000-0000CF000000}"/>
    <cellStyle name="説明文" xfId="163" builtinId="53" customBuiltin="1"/>
    <cellStyle name="説明文 2" xfId="164" xr:uid="{00000000-0005-0000-0000-0000D1000000}"/>
    <cellStyle name="説明文 3" xfId="165" xr:uid="{00000000-0005-0000-0000-0000D2000000}"/>
    <cellStyle name="説明文 4" xfId="166" xr:uid="{00000000-0005-0000-0000-0000D3000000}"/>
    <cellStyle name="入力" xfId="167" builtinId="20" customBuiltin="1"/>
    <cellStyle name="入力 2" xfId="168" xr:uid="{00000000-0005-0000-0000-0000D5000000}"/>
    <cellStyle name="入力 3" xfId="169" xr:uid="{00000000-0005-0000-0000-0000D6000000}"/>
    <cellStyle name="入力 4" xfId="170" xr:uid="{00000000-0005-0000-0000-0000D7000000}"/>
    <cellStyle name="入力 5" xfId="216" xr:uid="{00000000-0005-0000-0000-0000D8000000}"/>
    <cellStyle name="標準" xfId="0" builtinId="0"/>
    <cellStyle name="標準 10" xfId="209" xr:uid="{00000000-0005-0000-0000-0000DA000000}"/>
    <cellStyle name="標準 11" xfId="213" xr:uid="{00000000-0005-0000-0000-0000DB000000}"/>
    <cellStyle name="標準 12" xfId="211" xr:uid="{00000000-0005-0000-0000-0000DC000000}"/>
    <cellStyle name="標準 13" xfId="212" xr:uid="{00000000-0005-0000-0000-0000DD000000}"/>
    <cellStyle name="標準 14" xfId="203" xr:uid="{00000000-0005-0000-0000-0000DE000000}"/>
    <cellStyle name="標準 15" xfId="214" xr:uid="{00000000-0005-0000-0000-0000DF000000}"/>
    <cellStyle name="標準 16" xfId="208" xr:uid="{00000000-0005-0000-0000-0000E0000000}"/>
    <cellStyle name="標準 2" xfId="171" xr:uid="{00000000-0005-0000-0000-0000E1000000}"/>
    <cellStyle name="標準 2 2" xfId="201" xr:uid="{00000000-0005-0000-0000-0000E2000000}"/>
    <cellStyle name="標準 3" xfId="172" xr:uid="{00000000-0005-0000-0000-0000E3000000}"/>
    <cellStyle name="標準 3 2" xfId="202" xr:uid="{00000000-0005-0000-0000-0000E4000000}"/>
    <cellStyle name="標準 4" xfId="173" xr:uid="{00000000-0005-0000-0000-0000E5000000}"/>
    <cellStyle name="標準 5" xfId="174" xr:uid="{00000000-0005-0000-0000-0000E6000000}"/>
    <cellStyle name="標準 6" xfId="175" xr:uid="{00000000-0005-0000-0000-0000E7000000}"/>
    <cellStyle name="標準 7" xfId="176" xr:uid="{00000000-0005-0000-0000-0000E8000000}"/>
    <cellStyle name="標準 8" xfId="204" xr:uid="{00000000-0005-0000-0000-0000E9000000}"/>
    <cellStyle name="標準 9" xfId="188" xr:uid="{00000000-0005-0000-0000-0000EA000000}"/>
    <cellStyle name="標準_02_変更来歴例" xfId="177" xr:uid="{00000000-0005-0000-0000-0000EB000000}"/>
    <cellStyle name="標準_A00200 オーダー状況" xfId="178" xr:uid="{00000000-0005-0000-0000-0000EC000000}"/>
    <cellStyle name="標準_LogicCommon" xfId="179" xr:uid="{00000000-0005-0000-0000-0000ED000000}"/>
    <cellStyle name="標準_Srch01" xfId="180" xr:uid="{00000000-0005-0000-0000-0000EE000000}"/>
    <cellStyle name="標準_Srch01_1" xfId="181" xr:uid="{00000000-0005-0000-0000-0000EF000000}"/>
    <cellStyle name="標準_変更来歴_1" xfId="182" xr:uid="{00000000-0005-0000-0000-0000F0000000}"/>
    <cellStyle name="標準2" xfId="205" xr:uid="{00000000-0005-0000-0000-0000F1000000}"/>
    <cellStyle name="標準２" xfId="206" xr:uid="{00000000-0005-0000-0000-0000F2000000}"/>
    <cellStyle name="標準2_DAIICH" xfId="207" xr:uid="{00000000-0005-0000-0000-0000F3000000}"/>
    <cellStyle name="未定義" xfId="183" xr:uid="{00000000-0005-0000-0000-0000F4000000}"/>
    <cellStyle name="良い" xfId="184" builtinId="26" customBuiltin="1"/>
    <cellStyle name="良い 2" xfId="185" xr:uid="{00000000-0005-0000-0000-0000F6000000}"/>
    <cellStyle name="良い 3" xfId="186" xr:uid="{00000000-0005-0000-0000-0000F7000000}"/>
    <cellStyle name="良い 4" xfId="187" xr:uid="{00000000-0005-0000-0000-0000F8000000}"/>
    <cellStyle name="良い 5" xfId="215" xr:uid="{00000000-0005-0000-0000-0000F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109</v>
      </c>
      <c r="D2" s="7" t="s">
        <v>9</v>
      </c>
      <c r="E2" s="9" t="s">
        <v>144</v>
      </c>
      <c r="F2" s="7" t="s">
        <v>51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115</v>
      </c>
      <c r="D3" s="7" t="s">
        <v>10</v>
      </c>
      <c r="E3" s="9" t="s">
        <v>145</v>
      </c>
      <c r="F3" s="7" t="s">
        <v>52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175</v>
      </c>
      <c r="F4" s="7" t="s">
        <v>5</v>
      </c>
      <c r="G4" s="9" t="s">
        <v>237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27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27.36328125" style="32" bestFit="1" customWidth="1"/>
    <col min="14" max="14" width="50.6328125" style="32" customWidth="1"/>
    <col min="15" max="15" width="17.1796875" style="32" customWidth="1"/>
    <col min="16" max="16" width="17.36328125" style="32" customWidth="1"/>
    <col min="17" max="17" width="13.08984375" style="29" customWidth="1"/>
    <col min="18" max="18" width="17.08984375" style="29" customWidth="1"/>
    <col min="19" max="19" width="15.453125" style="29" customWidth="1"/>
    <col min="20" max="23" width="9" style="29"/>
    <col min="24" max="24" width="30.81640625" style="29" customWidth="1"/>
    <col min="25" max="25" width="9" style="29"/>
    <col min="26" max="26" width="15.81640625" style="29" customWidth="1"/>
    <col min="27" max="16384" width="9" style="29"/>
  </cols>
  <sheetData>
    <row r="1" spans="1:27" s="11" customFormat="1">
      <c r="A1" s="109" t="s">
        <v>16</v>
      </c>
      <c r="B1" s="109" t="s">
        <v>16</v>
      </c>
      <c r="C1" s="10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  <c r="X1" s="29"/>
      <c r="Y1" s="29"/>
      <c r="Z1" s="29"/>
      <c r="AA1" s="29"/>
    </row>
    <row r="2" spans="1:27" s="11" customFormat="1" ht="40" customHeight="1">
      <c r="A2" s="110" t="s">
        <v>16</v>
      </c>
      <c r="B2" s="111"/>
      <c r="C2" s="111"/>
      <c r="D2" s="122" t="s">
        <v>245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MABSL0500</v>
      </c>
      <c r="I2" s="7" t="s">
        <v>30</v>
      </c>
      <c r="J2" s="9" t="s">
        <v>146</v>
      </c>
      <c r="K2" s="7" t="s">
        <v>31</v>
      </c>
      <c r="L2" s="112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  <c r="X2" s="29"/>
      <c r="Y2" s="29"/>
      <c r="Z2" s="29"/>
      <c r="AA2" s="29"/>
    </row>
    <row r="3" spans="1:27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MABSL_GrsAllocCtlReg</v>
      </c>
      <c r="I3" s="7" t="s">
        <v>33</v>
      </c>
      <c r="J3" s="9" t="s">
        <v>99</v>
      </c>
      <c r="K3" s="7" t="s">
        <v>35</v>
      </c>
      <c r="L3" s="112" t="str">
        <f>IF(LogicCommon!G3="","",LogicCommon!G3)</f>
        <v/>
      </c>
      <c r="M3" s="116" t="s">
        <v>36</v>
      </c>
      <c r="N3" s="7"/>
      <c r="O3" s="7" t="s">
        <v>37</v>
      </c>
      <c r="P3" s="9" t="s">
        <v>38</v>
      </c>
      <c r="Q3" s="4"/>
      <c r="R3" s="28"/>
      <c r="S3" s="29"/>
      <c r="T3" s="29"/>
      <c r="U3" s="29"/>
      <c r="V3" s="29"/>
      <c r="W3" s="29"/>
      <c r="X3" s="29"/>
      <c r="Y3" s="29"/>
      <c r="Z3" s="29"/>
      <c r="AA3" s="29"/>
    </row>
    <row r="4" spans="1:27" s="11" customFormat="1">
      <c r="A4" s="113" t="s">
        <v>16</v>
      </c>
      <c r="B4" s="114"/>
      <c r="C4" s="114"/>
      <c r="D4" s="4"/>
      <c r="E4" s="7" t="s">
        <v>8</v>
      </c>
      <c r="F4" s="10" t="s">
        <v>202</v>
      </c>
      <c r="G4" s="7" t="s">
        <v>11</v>
      </c>
      <c r="H4" s="112" t="str">
        <f>IF(LogicCommon!E4="","",LogicCommon!E4)</f>
        <v>総量・場所引当制御マスタ登録</v>
      </c>
      <c r="I4" s="7" t="s">
        <v>39</v>
      </c>
      <c r="J4" s="9" t="s">
        <v>168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28"/>
      <c r="S4" s="29"/>
      <c r="T4" s="29"/>
      <c r="U4" s="29"/>
      <c r="V4" s="29"/>
      <c r="W4" s="29"/>
      <c r="X4" s="29"/>
      <c r="Y4" s="29"/>
      <c r="Z4" s="29"/>
      <c r="AA4" s="29"/>
    </row>
    <row r="5" spans="1:27" s="11" customFormat="1">
      <c r="A5" s="118" t="s">
        <v>16</v>
      </c>
      <c r="B5" s="109"/>
      <c r="C5" s="109"/>
      <c r="D5" s="27"/>
      <c r="E5" s="7" t="s">
        <v>23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  <c r="X5" s="29"/>
      <c r="Y5" s="29"/>
      <c r="Z5" s="29"/>
      <c r="AA5" s="29"/>
    </row>
    <row r="6" spans="1:27" s="11" customFormat="1">
      <c r="A6" s="113" t="s">
        <v>16</v>
      </c>
      <c r="B6" s="114"/>
      <c r="C6" s="114"/>
      <c r="D6" s="4" t="s">
        <v>6</v>
      </c>
      <c r="E6" s="17" t="s">
        <v>176</v>
      </c>
      <c r="F6" s="17"/>
      <c r="G6" s="17"/>
      <c r="H6" s="17"/>
      <c r="I6" s="17"/>
      <c r="J6" s="17"/>
      <c r="K6" s="17"/>
      <c r="L6" s="120"/>
      <c r="M6" s="20"/>
      <c r="N6" s="20"/>
      <c r="O6" s="20"/>
      <c r="P6" s="20"/>
      <c r="Q6" s="20"/>
      <c r="R6" s="28"/>
      <c r="S6" s="29"/>
      <c r="T6" s="29"/>
      <c r="U6" s="31" t="s">
        <v>42</v>
      </c>
      <c r="V6" s="31"/>
      <c r="W6" s="31" t="s">
        <v>42</v>
      </c>
      <c r="X6" s="28"/>
      <c r="Y6" s="32"/>
      <c r="Z6" s="32"/>
      <c r="AA6" s="29"/>
    </row>
    <row r="7" spans="1:27" s="11" customFormat="1">
      <c r="A7" s="33" t="s">
        <v>18</v>
      </c>
      <c r="B7" s="33"/>
      <c r="C7" s="33"/>
      <c r="D7" s="34"/>
      <c r="E7" s="34"/>
      <c r="F7" s="34"/>
      <c r="G7" s="34"/>
      <c r="H7" s="34"/>
      <c r="I7" s="34" t="s">
        <v>44</v>
      </c>
      <c r="J7" s="34"/>
      <c r="K7" s="35" t="s">
        <v>107</v>
      </c>
      <c r="L7" s="35" t="s">
        <v>110</v>
      </c>
      <c r="M7" s="35" t="s">
        <v>124</v>
      </c>
      <c r="N7" s="35" t="s">
        <v>110</v>
      </c>
      <c r="O7" s="35" t="s">
        <v>110</v>
      </c>
      <c r="P7" s="35" t="s">
        <v>110</v>
      </c>
      <c r="Q7" s="35" t="s">
        <v>110</v>
      </c>
      <c r="R7" s="35" t="s">
        <v>110</v>
      </c>
      <c r="S7" s="35" t="s">
        <v>110</v>
      </c>
      <c r="T7" s="36" t="s">
        <v>83</v>
      </c>
      <c r="U7" s="35"/>
      <c r="V7" s="36" t="s">
        <v>83</v>
      </c>
      <c r="W7" s="35"/>
      <c r="X7" s="32"/>
      <c r="Y7" s="32"/>
      <c r="Z7" s="32"/>
      <c r="AA7" s="32"/>
    </row>
    <row r="8" spans="1:27" s="11" customFormat="1" ht="60" customHeight="1">
      <c r="A8" s="57" t="s">
        <v>18</v>
      </c>
      <c r="B8" s="125"/>
      <c r="C8" s="126"/>
      <c r="D8" s="123" t="s">
        <v>246</v>
      </c>
      <c r="E8" s="123" t="s">
        <v>247</v>
      </c>
      <c r="F8" s="120"/>
      <c r="G8" s="123" t="s">
        <v>203</v>
      </c>
      <c r="H8" s="123" t="s">
        <v>248</v>
      </c>
      <c r="I8" s="120"/>
      <c r="J8" s="3"/>
      <c r="K8" s="127" t="s">
        <v>120</v>
      </c>
      <c r="L8" s="127" t="s">
        <v>119</v>
      </c>
      <c r="M8" s="127" t="s">
        <v>123</v>
      </c>
      <c r="N8" s="127" t="s">
        <v>138</v>
      </c>
      <c r="O8" s="127" t="s">
        <v>139</v>
      </c>
      <c r="P8" s="127" t="s">
        <v>140</v>
      </c>
      <c r="Q8" s="127" t="s">
        <v>141</v>
      </c>
      <c r="R8" s="127" t="s">
        <v>111</v>
      </c>
      <c r="S8" s="38" t="s">
        <v>142</v>
      </c>
      <c r="T8" s="36" t="s">
        <v>84</v>
      </c>
      <c r="U8" s="38"/>
      <c r="V8" s="36" t="s">
        <v>84</v>
      </c>
      <c r="W8" s="38"/>
      <c r="X8" s="128"/>
      <c r="Y8" s="129"/>
      <c r="Z8" s="130" t="s">
        <v>257</v>
      </c>
      <c r="AA8" s="60"/>
    </row>
    <row r="9" spans="1:27" s="11" customFormat="1" ht="60" customHeight="1">
      <c r="A9" s="9" t="s">
        <v>18</v>
      </c>
      <c r="B9" s="41"/>
      <c r="C9" s="42"/>
      <c r="D9" s="123" t="s">
        <v>249</v>
      </c>
      <c r="E9" s="131" t="s">
        <v>250</v>
      </c>
      <c r="F9" s="123" t="s">
        <v>251</v>
      </c>
      <c r="G9" s="123" t="s">
        <v>252</v>
      </c>
      <c r="H9" s="123" t="s">
        <v>253</v>
      </c>
      <c r="I9" s="132" t="s">
        <v>254</v>
      </c>
      <c r="J9" s="123" t="s">
        <v>255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130" t="s">
        <v>256</v>
      </c>
      <c r="Y9" s="60"/>
      <c r="Z9" s="130" t="s">
        <v>258</v>
      </c>
      <c r="AA9" s="60"/>
    </row>
    <row r="10" spans="1:27" s="11" customFormat="1" ht="52">
      <c r="A10" s="43" t="s">
        <v>18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124" t="s">
        <v>254</v>
      </c>
      <c r="U10" s="124" t="s">
        <v>255</v>
      </c>
      <c r="V10" s="124" t="s">
        <v>254</v>
      </c>
      <c r="W10" s="124" t="s">
        <v>255</v>
      </c>
      <c r="X10" s="46"/>
      <c r="Y10" s="46"/>
      <c r="Z10" s="47"/>
      <c r="AA10" s="40"/>
    </row>
    <row r="11" spans="1:27" s="11" customFormat="1">
      <c r="A11" s="9">
        <v>10</v>
      </c>
      <c r="B11" s="48" t="s">
        <v>0</v>
      </c>
      <c r="C11" s="49"/>
      <c r="D11" s="50" t="s">
        <v>147</v>
      </c>
      <c r="E11" s="37" t="s">
        <v>82</v>
      </c>
      <c r="F11" s="51"/>
      <c r="G11" s="50" t="s">
        <v>116</v>
      </c>
      <c r="H11" s="52" t="s">
        <v>241</v>
      </c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39" t="s">
        <v>188</v>
      </c>
      <c r="Y11" s="40" t="s">
        <v>188</v>
      </c>
      <c r="Z11" s="107" t="s">
        <v>188</v>
      </c>
      <c r="AA11" s="56" t="s">
        <v>188</v>
      </c>
    </row>
    <row r="12" spans="1:27" s="11" customFormat="1" ht="26">
      <c r="A12" s="9">
        <v>10</v>
      </c>
      <c r="B12" s="9"/>
      <c r="C12" s="9"/>
      <c r="D12" s="9" t="s">
        <v>143</v>
      </c>
      <c r="E12" s="57" t="s">
        <v>129</v>
      </c>
      <c r="F12" s="57"/>
      <c r="G12" s="58" t="s">
        <v>259</v>
      </c>
      <c r="H12" s="58" t="s">
        <v>189</v>
      </c>
      <c r="I12" s="9" t="s">
        <v>40</v>
      </c>
      <c r="J12" s="9"/>
      <c r="K12" s="9" t="s">
        <v>100</v>
      </c>
      <c r="L12" s="9"/>
      <c r="M12" s="9" t="s">
        <v>190</v>
      </c>
      <c r="N12" s="121" t="s">
        <v>244</v>
      </c>
      <c r="O12" s="9" t="s">
        <v>191</v>
      </c>
      <c r="P12" s="9"/>
      <c r="Q12" s="9"/>
      <c r="R12" s="9"/>
      <c r="S12" s="9"/>
      <c r="T12" s="9"/>
      <c r="U12" s="9"/>
      <c r="V12" s="9"/>
      <c r="W12" s="9"/>
      <c r="X12" s="59" t="s">
        <v>188</v>
      </c>
      <c r="Y12" s="60" t="s">
        <v>188</v>
      </c>
      <c r="Z12" s="138" t="s">
        <v>188</v>
      </c>
      <c r="AA12" s="139"/>
    </row>
    <row r="13" spans="1:27" s="11" customFormat="1">
      <c r="A13" s="9">
        <v>10</v>
      </c>
      <c r="B13" s="9"/>
      <c r="C13" s="9"/>
      <c r="D13" s="9" t="s">
        <v>125</v>
      </c>
      <c r="E13" s="57" t="s">
        <v>131</v>
      </c>
      <c r="F13" s="57"/>
      <c r="G13" s="58" t="s">
        <v>260</v>
      </c>
      <c r="H13" s="58" t="s">
        <v>192</v>
      </c>
      <c r="I13" s="9" t="s">
        <v>40</v>
      </c>
      <c r="J13" s="9"/>
      <c r="K13" s="9" t="s">
        <v>100</v>
      </c>
      <c r="L13" s="9"/>
      <c r="M13" s="9" t="s">
        <v>193</v>
      </c>
      <c r="N13" s="121" t="s">
        <v>244</v>
      </c>
      <c r="O13" s="9" t="s">
        <v>191</v>
      </c>
      <c r="P13" s="9"/>
      <c r="Q13" s="9"/>
      <c r="R13" s="9"/>
      <c r="S13" s="9"/>
      <c r="T13" s="9"/>
      <c r="U13" s="9"/>
      <c r="V13" s="9"/>
      <c r="W13" s="9"/>
      <c r="X13" s="59" t="s">
        <v>188</v>
      </c>
      <c r="Y13" s="60" t="s">
        <v>188</v>
      </c>
      <c r="Z13" s="138" t="s">
        <v>188</v>
      </c>
      <c r="AA13" s="139"/>
    </row>
    <row r="14" spans="1:27" s="11" customFormat="1">
      <c r="A14" s="9">
        <v>10</v>
      </c>
      <c r="B14" s="9"/>
      <c r="C14" s="9"/>
      <c r="D14" s="9" t="s">
        <v>165</v>
      </c>
      <c r="E14" s="57" t="s">
        <v>118</v>
      </c>
      <c r="F14" s="57"/>
      <c r="G14" s="58" t="s">
        <v>261</v>
      </c>
      <c r="H14" s="58" t="s">
        <v>194</v>
      </c>
      <c r="I14" s="9" t="s">
        <v>40</v>
      </c>
      <c r="J14" s="9"/>
      <c r="K14" s="9" t="s">
        <v>100</v>
      </c>
      <c r="L14" s="9"/>
      <c r="M14" s="9" t="s">
        <v>195</v>
      </c>
      <c r="N14" s="121" t="s">
        <v>244</v>
      </c>
      <c r="O14" s="9" t="s">
        <v>191</v>
      </c>
      <c r="P14" s="9"/>
      <c r="Q14" s="9"/>
      <c r="R14" s="9"/>
      <c r="S14" s="9"/>
      <c r="T14" s="9"/>
      <c r="U14" s="9"/>
      <c r="V14" s="9"/>
      <c r="W14" s="9"/>
      <c r="X14" s="59" t="s">
        <v>188</v>
      </c>
      <c r="Y14" s="60" t="s">
        <v>188</v>
      </c>
      <c r="Z14" s="138" t="s">
        <v>188</v>
      </c>
      <c r="AA14" s="139"/>
    </row>
    <row r="15" spans="1:27" s="11" customFormat="1">
      <c r="A15" s="9">
        <v>10</v>
      </c>
      <c r="B15" s="9"/>
      <c r="C15" s="9"/>
      <c r="D15" s="9" t="s">
        <v>178</v>
      </c>
      <c r="E15" s="57" t="s">
        <v>179</v>
      </c>
      <c r="F15" s="57"/>
      <c r="G15" s="58" t="s">
        <v>262</v>
      </c>
      <c r="H15" s="58" t="s">
        <v>196</v>
      </c>
      <c r="I15" s="9" t="s">
        <v>40</v>
      </c>
      <c r="J15" s="9"/>
      <c r="K15" s="9" t="s">
        <v>100</v>
      </c>
      <c r="L15" s="9"/>
      <c r="M15" s="9" t="s">
        <v>197</v>
      </c>
      <c r="N15" s="121" t="s">
        <v>244</v>
      </c>
      <c r="O15" s="9" t="s">
        <v>191</v>
      </c>
      <c r="P15" s="9"/>
      <c r="Q15" s="9"/>
      <c r="R15" s="9"/>
      <c r="S15" s="9"/>
      <c r="T15" s="9"/>
      <c r="U15" s="9"/>
      <c r="V15" s="9"/>
      <c r="W15" s="9"/>
      <c r="X15" s="59" t="s">
        <v>188</v>
      </c>
      <c r="Y15" s="60" t="s">
        <v>188</v>
      </c>
      <c r="Z15" s="138" t="s">
        <v>188</v>
      </c>
      <c r="AA15" s="139"/>
    </row>
    <row r="16" spans="1:27" s="11" customFormat="1">
      <c r="A16" s="9">
        <v>10</v>
      </c>
      <c r="B16" s="9"/>
      <c r="C16" s="9"/>
      <c r="D16" s="9" t="s">
        <v>180</v>
      </c>
      <c r="E16" s="57" t="s">
        <v>181</v>
      </c>
      <c r="F16" s="57"/>
      <c r="G16" s="58" t="s">
        <v>263</v>
      </c>
      <c r="H16" s="58" t="s">
        <v>198</v>
      </c>
      <c r="I16" s="9" t="s">
        <v>40</v>
      </c>
      <c r="J16" s="9"/>
      <c r="K16" s="9"/>
      <c r="L16" s="9" t="s">
        <v>100</v>
      </c>
      <c r="M16" s="9"/>
      <c r="N16" s="9"/>
      <c r="O16" s="9"/>
      <c r="P16" s="9"/>
      <c r="Q16" s="9"/>
      <c r="R16" s="9" t="s">
        <v>199</v>
      </c>
      <c r="S16" s="9"/>
      <c r="T16" s="9"/>
      <c r="U16" s="9"/>
      <c r="V16" s="9"/>
      <c r="W16" s="9"/>
      <c r="X16" s="59" t="s">
        <v>188</v>
      </c>
      <c r="Y16" s="60" t="s">
        <v>188</v>
      </c>
      <c r="Z16" s="138" t="s">
        <v>188</v>
      </c>
      <c r="AA16" s="139"/>
    </row>
    <row r="17" spans="1:27" s="11" customFormat="1">
      <c r="A17" s="9">
        <v>10</v>
      </c>
      <c r="B17" s="9"/>
      <c r="C17" s="9"/>
      <c r="D17" s="9" t="s">
        <v>166</v>
      </c>
      <c r="E17" s="57" t="s">
        <v>164</v>
      </c>
      <c r="F17" s="57"/>
      <c r="G17" s="58" t="s">
        <v>264</v>
      </c>
      <c r="H17" s="58" t="s">
        <v>200</v>
      </c>
      <c r="I17" s="9" t="s">
        <v>40</v>
      </c>
      <c r="J17" s="9"/>
      <c r="K17" s="9"/>
      <c r="L17" s="9" t="s">
        <v>100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59" t="s">
        <v>188</v>
      </c>
      <c r="Y17" s="60" t="s">
        <v>188</v>
      </c>
      <c r="Z17" s="138" t="s">
        <v>188</v>
      </c>
      <c r="AA17" s="139"/>
    </row>
    <row r="18" spans="1:27" s="11" customFormat="1">
      <c r="A18" s="9">
        <v>10</v>
      </c>
      <c r="B18" s="9"/>
      <c r="C18" s="9"/>
      <c r="D18" s="9" t="s">
        <v>53</v>
      </c>
      <c r="E18" s="57" t="s">
        <v>55</v>
      </c>
      <c r="F18" s="57"/>
      <c r="G18" s="58" t="s">
        <v>265</v>
      </c>
      <c r="H18" s="58" t="s">
        <v>57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59" t="s">
        <v>188</v>
      </c>
      <c r="Y18" s="60" t="s">
        <v>188</v>
      </c>
      <c r="Z18" s="138" t="s">
        <v>188</v>
      </c>
      <c r="AA18" s="139"/>
    </row>
    <row r="19" spans="1:27" s="11" customFormat="1">
      <c r="A19" s="9">
        <v>10</v>
      </c>
      <c r="B19" s="9"/>
      <c r="C19" s="9"/>
      <c r="D19" s="9" t="s">
        <v>64</v>
      </c>
      <c r="E19" s="57" t="s">
        <v>65</v>
      </c>
      <c r="F19" s="57"/>
      <c r="G19" s="58" t="s">
        <v>266</v>
      </c>
      <c r="H19" s="58" t="s">
        <v>58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59" t="s">
        <v>188</v>
      </c>
      <c r="Y19" s="60" t="s">
        <v>188</v>
      </c>
      <c r="Z19" s="138" t="s">
        <v>188</v>
      </c>
      <c r="AA19" s="139"/>
    </row>
    <row r="20" spans="1:27" s="11" customFormat="1">
      <c r="A20" s="9">
        <v>10</v>
      </c>
      <c r="B20" s="9"/>
      <c r="C20" s="9"/>
      <c r="D20" s="9" t="s">
        <v>59</v>
      </c>
      <c r="E20" s="57" t="s">
        <v>61</v>
      </c>
      <c r="F20" s="57"/>
      <c r="G20" s="58" t="s">
        <v>267</v>
      </c>
      <c r="H20" s="58" t="s">
        <v>63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59" t="s">
        <v>188</v>
      </c>
      <c r="Y20" s="60" t="s">
        <v>188</v>
      </c>
      <c r="Z20" s="138" t="s">
        <v>188</v>
      </c>
      <c r="AA20" s="139"/>
    </row>
    <row r="21" spans="1:27" s="11" customFormat="1">
      <c r="A21" s="9">
        <v>10</v>
      </c>
      <c r="B21" s="9"/>
      <c r="C21" s="9"/>
      <c r="D21" s="9" t="s">
        <v>88</v>
      </c>
      <c r="E21" s="57" t="s">
        <v>68</v>
      </c>
      <c r="F21" s="57"/>
      <c r="G21" s="58" t="s">
        <v>268</v>
      </c>
      <c r="H21" s="58" t="s">
        <v>70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59" t="s">
        <v>188</v>
      </c>
      <c r="Y21" s="60" t="s">
        <v>188</v>
      </c>
      <c r="Z21" s="138" t="s">
        <v>188</v>
      </c>
      <c r="AA21" s="139"/>
    </row>
    <row r="22" spans="1:27" s="11" customFormat="1">
      <c r="A22" s="9">
        <v>10</v>
      </c>
      <c r="B22" s="9"/>
      <c r="C22" s="9"/>
      <c r="D22" s="9" t="s">
        <v>101</v>
      </c>
      <c r="E22" s="57" t="s">
        <v>102</v>
      </c>
      <c r="F22" s="57"/>
      <c r="G22" s="58" t="s">
        <v>269</v>
      </c>
      <c r="H22" s="58" t="s">
        <v>201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59" t="s">
        <v>188</v>
      </c>
      <c r="Y22" s="60" t="s">
        <v>188</v>
      </c>
      <c r="Z22" s="138" t="s">
        <v>188</v>
      </c>
      <c r="AA22" s="139"/>
    </row>
    <row r="23" spans="1:27" s="11" customFormat="1">
      <c r="A23" s="61"/>
      <c r="B23" s="62"/>
      <c r="C23" s="62"/>
      <c r="D23" s="29" t="s">
        <v>1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28"/>
      <c r="W23" s="28"/>
      <c r="X23" s="63"/>
      <c r="Y23" s="63"/>
      <c r="Z23" s="63"/>
      <c r="AA23" s="64"/>
    </row>
    <row r="24" spans="1:27" s="11" customFormat="1">
      <c r="A24" s="113"/>
      <c r="AA24" s="65"/>
    </row>
    <row r="25" spans="1:27" s="11" customFormat="1">
      <c r="A25" s="113"/>
      <c r="AA25" s="65"/>
    </row>
    <row r="26" spans="1:27" s="11" customFormat="1">
      <c r="A26" s="113"/>
      <c r="AA26" s="65"/>
    </row>
    <row r="27" spans="1:27" s="11" customFormat="1">
      <c r="A27" s="11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</sheetData>
  <dataConsolidate/>
  <mergeCells count="11">
    <mergeCell ref="Z13:AA13"/>
    <mergeCell ref="Z12:AA12"/>
    <mergeCell ref="Z19:AA19"/>
    <mergeCell ref="Z20:AA20"/>
    <mergeCell ref="Z22:AA22"/>
    <mergeCell ref="Z21:AA21"/>
    <mergeCell ref="Z15:AA15"/>
    <mergeCell ref="Z17:AA17"/>
    <mergeCell ref="Z18:AA18"/>
    <mergeCell ref="Z14:AA14"/>
    <mergeCell ref="Z16:AA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7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3.0898437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18.36328125" style="67" bestFit="1" customWidth="1"/>
    <col min="17" max="17" width="11.6328125" style="66" bestFit="1" customWidth="1"/>
    <col min="18" max="18" width="27.179687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>
      <c r="A1" s="109" t="s">
        <v>16</v>
      </c>
      <c r="B1" s="109" t="s">
        <v>16</v>
      </c>
      <c r="C1" s="10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>
      <c r="A2" s="110" t="s">
        <v>16</v>
      </c>
      <c r="B2" s="111"/>
      <c r="C2" s="111"/>
      <c r="D2" s="122" t="s">
        <v>245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MABSL0500</v>
      </c>
      <c r="I2" s="7" t="s">
        <v>30</v>
      </c>
      <c r="J2" s="9" t="s">
        <v>148</v>
      </c>
      <c r="K2" s="7" t="s">
        <v>31</v>
      </c>
      <c r="L2" s="112" t="str">
        <f>IF(LogicCommon!G2="","",LogicCommon!G2)</f>
        <v>MC</v>
      </c>
      <c r="M2" s="5" t="s">
        <v>32</v>
      </c>
      <c r="N2" s="30" t="s">
        <v>238</v>
      </c>
      <c r="O2" s="7"/>
      <c r="P2" s="7"/>
      <c r="Q2" s="4"/>
      <c r="R2" s="66"/>
      <c r="S2" s="66"/>
      <c r="T2" s="66"/>
      <c r="U2" s="66"/>
      <c r="V2" s="66"/>
    </row>
    <row r="3" spans="1:22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MABSL_GrsAllocCtlReg</v>
      </c>
      <c r="I3" s="7" t="s">
        <v>33</v>
      </c>
      <c r="J3" s="9" t="s">
        <v>34</v>
      </c>
      <c r="K3" s="7" t="s">
        <v>35</v>
      </c>
      <c r="L3" s="112" t="str">
        <f>IF(LogicCommon!G3="","",LogicCommon!G3)</f>
        <v/>
      </c>
      <c r="M3" s="116" t="s">
        <v>36</v>
      </c>
      <c r="N3" s="7"/>
      <c r="O3" s="7" t="s">
        <v>37</v>
      </c>
      <c r="P3" s="9" t="s">
        <v>38</v>
      </c>
      <c r="Q3" s="4"/>
      <c r="R3" s="66"/>
      <c r="S3" s="66"/>
      <c r="T3" s="66"/>
      <c r="U3" s="66"/>
      <c r="V3" s="66"/>
    </row>
    <row r="4" spans="1:22" s="11" customFormat="1">
      <c r="A4" s="113" t="s">
        <v>16</v>
      </c>
      <c r="B4" s="114"/>
      <c r="C4" s="114"/>
      <c r="D4" s="4"/>
      <c r="E4" s="7" t="s">
        <v>8</v>
      </c>
      <c r="F4" s="10" t="s">
        <v>202</v>
      </c>
      <c r="G4" s="7" t="s">
        <v>11</v>
      </c>
      <c r="H4" s="112" t="str">
        <f>IF(LogicCommon!E4="","",LogicCommon!E4)</f>
        <v>総量・場所引当制御マスタ登録</v>
      </c>
      <c r="I4" s="7" t="s">
        <v>39</v>
      </c>
      <c r="J4" s="9" t="s">
        <v>169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>
      <c r="A5" s="118" t="s">
        <v>16</v>
      </c>
      <c r="B5" s="109"/>
      <c r="C5" s="109"/>
      <c r="D5" s="27"/>
      <c r="E5" s="7" t="s">
        <v>23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>
      <c r="A6" s="113" t="s">
        <v>16</v>
      </c>
      <c r="B6" s="114"/>
      <c r="C6" s="114"/>
      <c r="D6" s="4" t="s">
        <v>6</v>
      </c>
      <c r="E6" s="17" t="s">
        <v>186</v>
      </c>
      <c r="F6" s="17"/>
      <c r="G6" s="17"/>
      <c r="H6" s="17"/>
      <c r="I6" s="17"/>
      <c r="J6" s="17"/>
      <c r="K6" s="17"/>
      <c r="L6" s="120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7"/>
      <c r="U6" s="67"/>
      <c r="V6" s="66"/>
    </row>
    <row r="7" spans="1:22" s="11" customFormat="1">
      <c r="A7" s="68" t="s">
        <v>18</v>
      </c>
      <c r="B7" s="68"/>
      <c r="C7" s="68"/>
      <c r="D7" s="69"/>
      <c r="E7" s="69"/>
      <c r="F7" s="69"/>
      <c r="G7" s="69"/>
      <c r="H7" s="69"/>
      <c r="I7" s="69" t="s">
        <v>44</v>
      </c>
      <c r="J7" s="69"/>
      <c r="K7" s="70" t="s">
        <v>45</v>
      </c>
      <c r="L7" s="71" t="s">
        <v>96</v>
      </c>
      <c r="M7" s="70" t="s">
        <v>83</v>
      </c>
      <c r="N7" s="71" t="s">
        <v>97</v>
      </c>
      <c r="O7" s="70" t="s">
        <v>83</v>
      </c>
      <c r="P7" s="71"/>
      <c r="Q7" s="70" t="s">
        <v>83</v>
      </c>
      <c r="R7" s="71"/>
      <c r="S7" s="67"/>
      <c r="T7" s="67"/>
      <c r="U7" s="67"/>
      <c r="V7" s="67"/>
    </row>
    <row r="8" spans="1:22" s="11" customFormat="1" ht="60" customHeight="1">
      <c r="A8" s="57" t="s">
        <v>18</v>
      </c>
      <c r="B8" s="125"/>
      <c r="C8" s="126"/>
      <c r="D8" s="123" t="s">
        <v>246</v>
      </c>
      <c r="E8" s="123" t="s">
        <v>247</v>
      </c>
      <c r="F8" s="120"/>
      <c r="G8" s="123" t="s">
        <v>203</v>
      </c>
      <c r="H8" s="123" t="s">
        <v>248</v>
      </c>
      <c r="I8" s="120"/>
      <c r="J8" s="3"/>
      <c r="K8" s="70" t="s">
        <v>17</v>
      </c>
      <c r="L8" s="72" t="s">
        <v>242</v>
      </c>
      <c r="M8" s="70" t="s">
        <v>84</v>
      </c>
      <c r="N8" s="72" t="s">
        <v>242</v>
      </c>
      <c r="O8" s="70" t="s">
        <v>84</v>
      </c>
      <c r="P8" s="72"/>
      <c r="Q8" s="70" t="s">
        <v>84</v>
      </c>
      <c r="R8" s="72"/>
      <c r="S8" s="134"/>
      <c r="T8" s="135"/>
      <c r="U8" s="136" t="s">
        <v>257</v>
      </c>
      <c r="V8" s="87"/>
    </row>
    <row r="9" spans="1:22" s="11" customFormat="1" ht="60" customHeight="1">
      <c r="A9" s="9" t="s">
        <v>18</v>
      </c>
      <c r="B9" s="41"/>
      <c r="C9" s="42"/>
      <c r="D9" s="123" t="s">
        <v>249</v>
      </c>
      <c r="E9" s="131" t="s">
        <v>250</v>
      </c>
      <c r="F9" s="123" t="s">
        <v>251</v>
      </c>
      <c r="G9" s="123" t="s">
        <v>252</v>
      </c>
      <c r="H9" s="123" t="s">
        <v>253</v>
      </c>
      <c r="I9" s="132" t="s">
        <v>254</v>
      </c>
      <c r="J9" s="123" t="s">
        <v>255</v>
      </c>
      <c r="K9" s="70"/>
      <c r="L9" s="70"/>
      <c r="M9" s="70"/>
      <c r="N9" s="70"/>
      <c r="O9" s="70"/>
      <c r="P9" s="70"/>
      <c r="Q9" s="70"/>
      <c r="R9" s="70"/>
      <c r="S9" s="136" t="s">
        <v>256</v>
      </c>
      <c r="T9" s="87"/>
      <c r="U9" s="136" t="s">
        <v>258</v>
      </c>
      <c r="V9" s="87"/>
    </row>
    <row r="10" spans="1:22" s="11" customFormat="1" ht="5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254</v>
      </c>
      <c r="L10" s="133" t="s">
        <v>255</v>
      </c>
      <c r="M10" s="133" t="s">
        <v>254</v>
      </c>
      <c r="N10" s="133" t="s">
        <v>255</v>
      </c>
      <c r="O10" s="133" t="s">
        <v>254</v>
      </c>
      <c r="P10" s="133" t="s">
        <v>255</v>
      </c>
      <c r="Q10" s="133" t="s">
        <v>254</v>
      </c>
      <c r="R10" s="133" t="s">
        <v>255</v>
      </c>
      <c r="S10" s="78"/>
      <c r="T10" s="78"/>
      <c r="U10" s="79"/>
      <c r="V10" s="74"/>
    </row>
    <row r="11" spans="1:22" s="11" customFormat="1">
      <c r="A11" s="9">
        <v>10</v>
      </c>
      <c r="B11" s="41" t="s">
        <v>0</v>
      </c>
      <c r="C11" s="42"/>
      <c r="D11" s="30" t="s">
        <v>149</v>
      </c>
      <c r="E11" s="80" t="s">
        <v>22</v>
      </c>
      <c r="F11" s="81"/>
      <c r="G11" s="30" t="s">
        <v>98</v>
      </c>
      <c r="H11" s="82" t="s">
        <v>204</v>
      </c>
      <c r="I11" s="83"/>
      <c r="J11" s="84"/>
      <c r="K11" s="85" t="s">
        <v>22</v>
      </c>
      <c r="L11" s="85"/>
      <c r="M11" s="85" t="s">
        <v>205</v>
      </c>
      <c r="N11" s="85"/>
      <c r="O11" s="85"/>
      <c r="P11" s="85"/>
      <c r="Q11" s="85"/>
      <c r="R11" s="85"/>
      <c r="S11" s="73"/>
      <c r="T11" s="74"/>
      <c r="U11" s="108"/>
      <c r="V11" s="86"/>
    </row>
    <row r="12" spans="1:22" s="11" customFormat="1" ht="26">
      <c r="A12" s="9">
        <v>10</v>
      </c>
      <c r="B12" s="9"/>
      <c r="C12" s="9"/>
      <c r="D12" s="9" t="s">
        <v>127</v>
      </c>
      <c r="E12" s="57" t="s">
        <v>129</v>
      </c>
      <c r="F12" s="57"/>
      <c r="G12" s="58" t="s">
        <v>259</v>
      </c>
      <c r="H12" s="58" t="s">
        <v>189</v>
      </c>
      <c r="I12" s="9" t="s">
        <v>40</v>
      </c>
      <c r="J12" s="9"/>
      <c r="K12" s="9" t="s">
        <v>40</v>
      </c>
      <c r="L12" s="9"/>
      <c r="M12" s="9" t="s">
        <v>100</v>
      </c>
      <c r="N12" s="9"/>
      <c r="O12" s="9"/>
      <c r="P12" s="9"/>
      <c r="Q12" s="9"/>
      <c r="R12" s="9"/>
      <c r="S12" s="77"/>
      <c r="T12" s="87"/>
      <c r="U12" s="140"/>
      <c r="V12" s="141"/>
    </row>
    <row r="13" spans="1:22" s="11" customFormat="1">
      <c r="A13" s="9">
        <v>10</v>
      </c>
      <c r="B13" s="9"/>
      <c r="C13" s="9"/>
      <c r="D13" s="9" t="s">
        <v>125</v>
      </c>
      <c r="E13" s="57" t="s">
        <v>131</v>
      </c>
      <c r="F13" s="57"/>
      <c r="G13" s="58" t="s">
        <v>260</v>
      </c>
      <c r="H13" s="58" t="s">
        <v>192</v>
      </c>
      <c r="I13" s="9" t="s">
        <v>40</v>
      </c>
      <c r="J13" s="9"/>
      <c r="K13" s="9" t="s">
        <v>40</v>
      </c>
      <c r="L13" s="9"/>
      <c r="M13" s="9" t="s">
        <v>100</v>
      </c>
      <c r="N13" s="9"/>
      <c r="O13" s="9"/>
      <c r="P13" s="9"/>
      <c r="Q13" s="9"/>
      <c r="R13" s="9"/>
      <c r="S13" s="77"/>
      <c r="T13" s="87"/>
      <c r="U13" s="140"/>
      <c r="V13" s="141"/>
    </row>
    <row r="14" spans="1:22" s="11" customFormat="1">
      <c r="A14" s="9">
        <v>10</v>
      </c>
      <c r="B14" s="9"/>
      <c r="C14" s="9"/>
      <c r="D14" s="9" t="s">
        <v>167</v>
      </c>
      <c r="E14" s="57" t="s">
        <v>117</v>
      </c>
      <c r="F14" s="57"/>
      <c r="G14" s="58" t="s">
        <v>261</v>
      </c>
      <c r="H14" s="58" t="s">
        <v>194</v>
      </c>
      <c r="I14" s="9" t="s">
        <v>40</v>
      </c>
      <c r="J14" s="9"/>
      <c r="K14" s="9" t="s">
        <v>40</v>
      </c>
      <c r="L14" s="9"/>
      <c r="M14" s="9" t="s">
        <v>100</v>
      </c>
      <c r="N14" s="9"/>
      <c r="O14" s="9"/>
      <c r="P14" s="9"/>
      <c r="Q14" s="9"/>
      <c r="R14" s="9"/>
      <c r="S14" s="77"/>
      <c r="T14" s="87"/>
      <c r="U14" s="140"/>
      <c r="V14" s="141"/>
    </row>
    <row r="15" spans="1:22" s="11" customFormat="1">
      <c r="A15" s="9">
        <v>10</v>
      </c>
      <c r="B15" s="9"/>
      <c r="C15" s="9"/>
      <c r="D15" s="9" t="s">
        <v>178</v>
      </c>
      <c r="E15" s="57" t="s">
        <v>179</v>
      </c>
      <c r="F15" s="57"/>
      <c r="G15" s="58" t="s">
        <v>262</v>
      </c>
      <c r="H15" s="58" t="s">
        <v>196</v>
      </c>
      <c r="I15" s="9" t="s">
        <v>40</v>
      </c>
      <c r="J15" s="9"/>
      <c r="K15" s="9" t="s">
        <v>40</v>
      </c>
      <c r="L15" s="9"/>
      <c r="M15" s="9" t="s">
        <v>100</v>
      </c>
      <c r="N15" s="9"/>
      <c r="O15" s="9"/>
      <c r="P15" s="9"/>
      <c r="Q15" s="9"/>
      <c r="R15" s="9"/>
      <c r="S15" s="77"/>
      <c r="T15" s="87"/>
      <c r="U15" s="140"/>
      <c r="V15" s="141"/>
    </row>
    <row r="16" spans="1:22" s="11" customFormat="1">
      <c r="A16" s="9">
        <v>10</v>
      </c>
      <c r="B16" s="9"/>
      <c r="C16" s="9"/>
      <c r="D16" s="9" t="s">
        <v>180</v>
      </c>
      <c r="E16" s="57" t="s">
        <v>181</v>
      </c>
      <c r="F16" s="57"/>
      <c r="G16" s="58" t="s">
        <v>263</v>
      </c>
      <c r="H16" s="58" t="s">
        <v>198</v>
      </c>
      <c r="I16" s="9" t="s">
        <v>40</v>
      </c>
      <c r="J16" s="9"/>
      <c r="K16" s="9" t="s">
        <v>40</v>
      </c>
      <c r="L16" s="9"/>
      <c r="M16" s="9"/>
      <c r="N16" s="9"/>
      <c r="O16" s="9"/>
      <c r="P16" s="9"/>
      <c r="Q16" s="9"/>
      <c r="R16" s="9"/>
      <c r="S16" s="77"/>
      <c r="T16" s="87"/>
      <c r="U16" s="140"/>
      <c r="V16" s="141"/>
    </row>
    <row r="17" spans="1:22" s="11" customFormat="1">
      <c r="A17" s="9">
        <v>10</v>
      </c>
      <c r="B17" s="9"/>
      <c r="C17" s="9"/>
      <c r="D17" s="9" t="s">
        <v>206</v>
      </c>
      <c r="E17" s="57" t="s">
        <v>164</v>
      </c>
      <c r="F17" s="57"/>
      <c r="G17" s="58" t="s">
        <v>264</v>
      </c>
      <c r="H17" s="58" t="s">
        <v>200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77"/>
      <c r="T17" s="87"/>
      <c r="U17" s="140"/>
      <c r="V17" s="141"/>
    </row>
    <row r="18" spans="1:22" s="11" customFormat="1">
      <c r="A18" s="9">
        <v>10</v>
      </c>
      <c r="B18" s="9"/>
      <c r="C18" s="9"/>
      <c r="D18" s="9" t="s">
        <v>53</v>
      </c>
      <c r="E18" s="57" t="s">
        <v>55</v>
      </c>
      <c r="F18" s="57"/>
      <c r="G18" s="58" t="s">
        <v>265</v>
      </c>
      <c r="H18" s="58" t="s">
        <v>57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9"/>
      <c r="S18" s="77"/>
      <c r="T18" s="87"/>
      <c r="U18" s="140"/>
      <c r="V18" s="141"/>
    </row>
    <row r="19" spans="1:22" s="11" customFormat="1">
      <c r="A19" s="9">
        <v>10</v>
      </c>
      <c r="B19" s="9"/>
      <c r="C19" s="9"/>
      <c r="D19" s="9" t="s">
        <v>64</v>
      </c>
      <c r="E19" s="57" t="s">
        <v>65</v>
      </c>
      <c r="F19" s="57"/>
      <c r="G19" s="58" t="s">
        <v>266</v>
      </c>
      <c r="H19" s="58" t="s">
        <v>58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77"/>
      <c r="T19" s="87"/>
      <c r="U19" s="140"/>
      <c r="V19" s="141"/>
    </row>
    <row r="20" spans="1:22" s="11" customFormat="1">
      <c r="A20" s="9">
        <v>10</v>
      </c>
      <c r="B20" s="9"/>
      <c r="C20" s="9"/>
      <c r="D20" s="9" t="s">
        <v>59</v>
      </c>
      <c r="E20" s="57" t="s">
        <v>61</v>
      </c>
      <c r="F20" s="57"/>
      <c r="G20" s="58" t="s">
        <v>267</v>
      </c>
      <c r="H20" s="58" t="s">
        <v>63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77"/>
      <c r="T20" s="87"/>
      <c r="U20" s="140"/>
      <c r="V20" s="141"/>
    </row>
    <row r="21" spans="1:22" s="11" customFormat="1">
      <c r="A21" s="9">
        <v>10</v>
      </c>
      <c r="B21" s="9"/>
      <c r="C21" s="9"/>
      <c r="D21" s="9" t="s">
        <v>88</v>
      </c>
      <c r="E21" s="57" t="s">
        <v>68</v>
      </c>
      <c r="F21" s="57"/>
      <c r="G21" s="58" t="s">
        <v>268</v>
      </c>
      <c r="H21" s="58" t="s">
        <v>70</v>
      </c>
      <c r="I21" s="9" t="s">
        <v>40</v>
      </c>
      <c r="J21" s="9"/>
      <c r="K21" s="9" t="s">
        <v>40</v>
      </c>
      <c r="L21" s="9"/>
      <c r="M21" s="9"/>
      <c r="N21" s="9"/>
      <c r="O21" s="9"/>
      <c r="P21" s="9"/>
      <c r="Q21" s="9"/>
      <c r="R21" s="9"/>
      <c r="S21" s="77"/>
      <c r="T21" s="87"/>
      <c r="U21" s="140"/>
      <c r="V21" s="141"/>
    </row>
    <row r="22" spans="1:22" s="11" customFormat="1">
      <c r="A22" s="9">
        <v>10</v>
      </c>
      <c r="B22" s="9"/>
      <c r="C22" s="9"/>
      <c r="D22" s="9" t="s">
        <v>94</v>
      </c>
      <c r="E22" s="57" t="s">
        <v>95</v>
      </c>
      <c r="F22" s="57"/>
      <c r="G22" s="58" t="s">
        <v>269</v>
      </c>
      <c r="H22" s="58" t="s">
        <v>93</v>
      </c>
      <c r="I22" s="9" t="s">
        <v>40</v>
      </c>
      <c r="J22" s="9"/>
      <c r="K22" s="9" t="s">
        <v>100</v>
      </c>
      <c r="L22" s="9"/>
      <c r="M22" s="9"/>
      <c r="N22" s="9"/>
      <c r="O22" s="9"/>
      <c r="P22" s="9"/>
      <c r="Q22" s="9"/>
      <c r="R22" s="9"/>
      <c r="S22" s="77"/>
      <c r="T22" s="87"/>
      <c r="U22" s="140"/>
      <c r="V22" s="141"/>
    </row>
    <row r="23" spans="1:22" s="11" customFormat="1">
      <c r="A23" s="88"/>
      <c r="B23" s="89"/>
      <c r="C23" s="89"/>
      <c r="D23" s="66" t="s">
        <v>1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4"/>
      <c r="T23" s="4"/>
      <c r="U23" s="6"/>
      <c r="V23" s="24"/>
    </row>
    <row r="24" spans="1:22" s="11" customFormat="1">
      <c r="A24" s="113"/>
      <c r="V24" s="65"/>
    </row>
    <row r="25" spans="1:22" s="11" customFormat="1">
      <c r="A25" s="113"/>
      <c r="V25" s="65"/>
    </row>
    <row r="26" spans="1:22" s="11" customFormat="1">
      <c r="A26" s="113"/>
      <c r="V26" s="65"/>
    </row>
    <row r="27" spans="1:22" s="11" customFormat="1">
      <c r="A27" s="11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1"/>
    </row>
  </sheetData>
  <dataConsolidate/>
  <mergeCells count="11">
    <mergeCell ref="U12:V12"/>
    <mergeCell ref="U20:V20"/>
    <mergeCell ref="U21:V21"/>
    <mergeCell ref="U22:V22"/>
    <mergeCell ref="U18:V18"/>
    <mergeCell ref="U14:V14"/>
    <mergeCell ref="U13:V13"/>
    <mergeCell ref="U17:V17"/>
    <mergeCell ref="U19:V19"/>
    <mergeCell ref="U15:V15"/>
    <mergeCell ref="U16:V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1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6.90625" style="67" customWidth="1"/>
    <col min="12" max="12" width="12.90625" style="67" customWidth="1"/>
    <col min="13" max="13" width="12.81640625" style="67" bestFit="1" customWidth="1"/>
    <col min="14" max="14" width="50.6328125" style="67" customWidth="1"/>
    <col min="15" max="15" width="14.08984375" style="67" customWidth="1"/>
    <col min="16" max="16" width="14.90625" style="67" customWidth="1"/>
    <col min="17" max="17" width="17.6328125" style="66" customWidth="1"/>
    <col min="18" max="18" width="30.81640625" style="66" customWidth="1"/>
    <col min="19" max="19" width="9" style="66"/>
    <col min="20" max="20" width="15.81640625" style="66" customWidth="1"/>
    <col min="21" max="16384" width="9" style="66"/>
  </cols>
  <sheetData>
    <row r="1" spans="1:21" s="11" customFormat="1">
      <c r="A1" s="109" t="s">
        <v>16</v>
      </c>
      <c r="B1" s="109" t="s">
        <v>16</v>
      </c>
      <c r="C1" s="10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</row>
    <row r="2" spans="1:21" s="11" customFormat="1" ht="40" customHeight="1">
      <c r="A2" s="110" t="s">
        <v>16</v>
      </c>
      <c r="B2" s="111"/>
      <c r="C2" s="111"/>
      <c r="D2" s="122" t="s">
        <v>245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MABSL0500</v>
      </c>
      <c r="I2" s="7" t="s">
        <v>30</v>
      </c>
      <c r="J2" s="9" t="s">
        <v>150</v>
      </c>
      <c r="K2" s="7" t="s">
        <v>31</v>
      </c>
      <c r="L2" s="112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66"/>
      <c r="S2" s="66"/>
      <c r="T2" s="66"/>
      <c r="U2" s="66"/>
    </row>
    <row r="3" spans="1:21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MABSL_GrsAllocCtlReg</v>
      </c>
      <c r="I3" s="7" t="s">
        <v>33</v>
      </c>
      <c r="J3" s="9" t="s">
        <v>99</v>
      </c>
      <c r="K3" s="7" t="s">
        <v>35</v>
      </c>
      <c r="L3" s="112" t="str">
        <f>IF(LogicCommon!G3="","",LogicCommon!G3)</f>
        <v/>
      </c>
      <c r="M3" s="116" t="s">
        <v>36</v>
      </c>
      <c r="N3" s="7"/>
      <c r="O3" s="7" t="s">
        <v>37</v>
      </c>
      <c r="P3" s="9" t="s">
        <v>38</v>
      </c>
      <c r="Q3" s="4"/>
      <c r="R3" s="66"/>
      <c r="S3" s="66"/>
      <c r="T3" s="66"/>
      <c r="U3" s="66"/>
    </row>
    <row r="4" spans="1:21" s="11" customFormat="1">
      <c r="A4" s="113" t="s">
        <v>16</v>
      </c>
      <c r="B4" s="114"/>
      <c r="C4" s="114"/>
      <c r="D4" s="4"/>
      <c r="E4" s="7" t="s">
        <v>8</v>
      </c>
      <c r="F4" s="10" t="s">
        <v>202</v>
      </c>
      <c r="G4" s="7" t="s">
        <v>11</v>
      </c>
      <c r="H4" s="112" t="str">
        <f>IF(LogicCommon!E4="","",LogicCommon!E4)</f>
        <v>総量・場所引当制御マスタ登録</v>
      </c>
      <c r="I4" s="7" t="s">
        <v>39</v>
      </c>
      <c r="J4" s="9" t="s">
        <v>170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6"/>
      <c r="S4" s="66"/>
      <c r="T4" s="66"/>
      <c r="U4" s="66"/>
    </row>
    <row r="5" spans="1:21" s="11" customFormat="1">
      <c r="A5" s="118" t="s">
        <v>16</v>
      </c>
      <c r="B5" s="109"/>
      <c r="C5" s="109"/>
      <c r="D5" s="27"/>
      <c r="E5" s="7" t="s">
        <v>23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6"/>
      <c r="S5" s="66"/>
      <c r="T5" s="66"/>
      <c r="U5" s="66"/>
    </row>
    <row r="6" spans="1:21" s="11" customFormat="1">
      <c r="A6" s="113" t="s">
        <v>16</v>
      </c>
      <c r="B6" s="114"/>
      <c r="C6" s="114"/>
      <c r="D6" s="4" t="s">
        <v>6</v>
      </c>
      <c r="E6" s="17" t="s">
        <v>177</v>
      </c>
      <c r="F6" s="17"/>
      <c r="G6" s="17"/>
      <c r="H6" s="17"/>
      <c r="I6" s="17"/>
      <c r="J6" s="17"/>
      <c r="K6" s="17"/>
      <c r="L6" s="120"/>
      <c r="M6" s="20"/>
      <c r="N6" s="20"/>
      <c r="O6" s="20"/>
      <c r="P6" s="20"/>
      <c r="Q6" s="20" t="s">
        <v>42</v>
      </c>
      <c r="R6" s="4"/>
      <c r="S6" s="67"/>
      <c r="T6" s="67"/>
      <c r="U6" s="66"/>
    </row>
    <row r="7" spans="1:21" s="11" customFormat="1">
      <c r="A7" s="68" t="s">
        <v>18</v>
      </c>
      <c r="B7" s="68"/>
      <c r="C7" s="68"/>
      <c r="D7" s="69"/>
      <c r="E7" s="69"/>
      <c r="F7" s="69"/>
      <c r="G7" s="69"/>
      <c r="H7" s="69"/>
      <c r="I7" s="69" t="s">
        <v>44</v>
      </c>
      <c r="J7" s="69"/>
      <c r="K7" s="71" t="s">
        <v>107</v>
      </c>
      <c r="L7" s="71"/>
      <c r="M7" s="71"/>
      <c r="N7" s="71"/>
      <c r="O7" s="71"/>
      <c r="P7" s="70" t="s">
        <v>83</v>
      </c>
      <c r="Q7" s="71"/>
      <c r="R7" s="67"/>
      <c r="S7" s="67"/>
      <c r="T7" s="67"/>
      <c r="U7" s="67"/>
    </row>
    <row r="8" spans="1:21" s="11" customFormat="1" ht="60" customHeight="1">
      <c r="A8" s="57" t="s">
        <v>18</v>
      </c>
      <c r="B8" s="125"/>
      <c r="C8" s="126"/>
      <c r="D8" s="123" t="s">
        <v>246</v>
      </c>
      <c r="E8" s="123" t="s">
        <v>247</v>
      </c>
      <c r="F8" s="120"/>
      <c r="G8" s="123" t="s">
        <v>203</v>
      </c>
      <c r="H8" s="123" t="s">
        <v>248</v>
      </c>
      <c r="I8" s="120"/>
      <c r="J8" s="3"/>
      <c r="K8" s="9" t="s">
        <v>108</v>
      </c>
      <c r="L8" s="9"/>
      <c r="M8" s="9"/>
      <c r="N8" s="9"/>
      <c r="O8" s="72"/>
      <c r="P8" s="70" t="s">
        <v>84</v>
      </c>
      <c r="Q8" s="72"/>
      <c r="R8" s="134"/>
      <c r="S8" s="135"/>
      <c r="T8" s="136" t="s">
        <v>257</v>
      </c>
      <c r="U8" s="87"/>
    </row>
    <row r="9" spans="1:21" s="11" customFormat="1" ht="60" customHeight="1">
      <c r="A9" s="9" t="s">
        <v>18</v>
      </c>
      <c r="B9" s="41"/>
      <c r="C9" s="42"/>
      <c r="D9" s="123" t="s">
        <v>249</v>
      </c>
      <c r="E9" s="131" t="s">
        <v>250</v>
      </c>
      <c r="F9" s="123" t="s">
        <v>251</v>
      </c>
      <c r="G9" s="123" t="s">
        <v>252</v>
      </c>
      <c r="H9" s="123" t="s">
        <v>253</v>
      </c>
      <c r="I9" s="132" t="s">
        <v>254</v>
      </c>
      <c r="J9" s="123" t="s">
        <v>255</v>
      </c>
      <c r="K9" s="70"/>
      <c r="L9" s="70"/>
      <c r="M9" s="70"/>
      <c r="N9" s="70"/>
      <c r="O9" s="70"/>
      <c r="P9" s="70"/>
      <c r="Q9" s="70"/>
      <c r="R9" s="136" t="s">
        <v>256</v>
      </c>
      <c r="S9" s="87"/>
      <c r="T9" s="136" t="s">
        <v>258</v>
      </c>
      <c r="U9" s="87"/>
    </row>
    <row r="10" spans="1:21" s="11" customFormat="1" ht="39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70"/>
      <c r="L10" s="70"/>
      <c r="M10" s="70"/>
      <c r="N10" s="70"/>
      <c r="O10" s="70"/>
      <c r="P10" s="133" t="s">
        <v>254</v>
      </c>
      <c r="Q10" s="133" t="s">
        <v>255</v>
      </c>
      <c r="R10" s="78"/>
      <c r="S10" s="78"/>
      <c r="T10" s="79"/>
      <c r="U10" s="74"/>
    </row>
    <row r="11" spans="1:21" s="11" customFormat="1">
      <c r="A11" s="9">
        <v>10</v>
      </c>
      <c r="B11" s="41" t="s">
        <v>0</v>
      </c>
      <c r="C11" s="42"/>
      <c r="D11" s="30" t="s">
        <v>151</v>
      </c>
      <c r="E11" s="80" t="s">
        <v>82</v>
      </c>
      <c r="F11" s="81"/>
      <c r="G11" s="30"/>
      <c r="H11" s="82"/>
      <c r="I11" s="83"/>
      <c r="J11" s="84"/>
      <c r="K11" s="85"/>
      <c r="L11" s="85"/>
      <c r="M11" s="85"/>
      <c r="N11" s="85"/>
      <c r="O11" s="85"/>
      <c r="P11" s="85"/>
      <c r="Q11" s="85"/>
      <c r="R11" s="73"/>
      <c r="S11" s="74"/>
      <c r="T11" s="108"/>
      <c r="U11" s="86"/>
    </row>
    <row r="12" spans="1:21" s="11" customFormat="1" ht="26">
      <c r="A12" s="9">
        <v>10</v>
      </c>
      <c r="B12" s="9"/>
      <c r="C12" s="9"/>
      <c r="D12" s="9" t="s">
        <v>127</v>
      </c>
      <c r="E12" s="57" t="s">
        <v>129</v>
      </c>
      <c r="F12" s="57"/>
      <c r="G12" s="58" t="s">
        <v>259</v>
      </c>
      <c r="H12" s="58" t="s">
        <v>207</v>
      </c>
      <c r="I12" s="9" t="s">
        <v>40</v>
      </c>
      <c r="J12" s="9"/>
      <c r="K12" s="9" t="s">
        <v>100</v>
      </c>
      <c r="L12" s="9"/>
      <c r="M12" s="9"/>
      <c r="N12" s="9"/>
      <c r="O12" s="9"/>
      <c r="P12" s="9"/>
      <c r="Q12" s="9"/>
      <c r="R12" s="77"/>
      <c r="S12" s="87"/>
      <c r="T12" s="140"/>
      <c r="U12" s="141"/>
    </row>
    <row r="13" spans="1:21" s="11" customFormat="1">
      <c r="A13" s="9">
        <v>10</v>
      </c>
      <c r="B13" s="9"/>
      <c r="C13" s="9"/>
      <c r="D13" s="9" t="s">
        <v>125</v>
      </c>
      <c r="E13" s="57" t="s">
        <v>131</v>
      </c>
      <c r="F13" s="57"/>
      <c r="G13" s="58" t="s">
        <v>260</v>
      </c>
      <c r="H13" s="58" t="s">
        <v>192</v>
      </c>
      <c r="I13" s="9" t="s">
        <v>40</v>
      </c>
      <c r="J13" s="9"/>
      <c r="K13" s="9" t="s">
        <v>100</v>
      </c>
      <c r="L13" s="9"/>
      <c r="M13" s="9"/>
      <c r="N13" s="9"/>
      <c r="O13" s="9"/>
      <c r="P13" s="9"/>
      <c r="Q13" s="9"/>
      <c r="R13" s="77"/>
      <c r="S13" s="87"/>
      <c r="T13" s="140"/>
      <c r="U13" s="141"/>
    </row>
    <row r="14" spans="1:21" s="11" customFormat="1">
      <c r="A14" s="9">
        <v>10</v>
      </c>
      <c r="B14" s="9"/>
      <c r="C14" s="9"/>
      <c r="D14" s="9" t="s">
        <v>165</v>
      </c>
      <c r="E14" s="57" t="s">
        <v>117</v>
      </c>
      <c r="F14" s="57"/>
      <c r="G14" s="58" t="s">
        <v>261</v>
      </c>
      <c r="H14" s="58" t="s">
        <v>194</v>
      </c>
      <c r="I14" s="9" t="s">
        <v>40</v>
      </c>
      <c r="J14" s="9"/>
      <c r="K14" s="9" t="s">
        <v>100</v>
      </c>
      <c r="L14" s="9"/>
      <c r="M14" s="9"/>
      <c r="N14" s="9"/>
      <c r="O14" s="9"/>
      <c r="P14" s="9"/>
      <c r="Q14" s="9"/>
      <c r="R14" s="77"/>
      <c r="S14" s="87"/>
      <c r="T14" s="140"/>
      <c r="U14" s="141"/>
    </row>
    <row r="15" spans="1:21" s="11" customFormat="1">
      <c r="A15" s="9">
        <v>10</v>
      </c>
      <c r="B15" s="9"/>
      <c r="C15" s="9"/>
      <c r="D15" s="9" t="s">
        <v>178</v>
      </c>
      <c r="E15" s="57" t="s">
        <v>179</v>
      </c>
      <c r="F15" s="57"/>
      <c r="G15" s="58" t="s">
        <v>262</v>
      </c>
      <c r="H15" s="58" t="s">
        <v>196</v>
      </c>
      <c r="I15" s="9" t="s">
        <v>40</v>
      </c>
      <c r="J15" s="9"/>
      <c r="K15" s="9" t="s">
        <v>100</v>
      </c>
      <c r="L15" s="9"/>
      <c r="M15" s="9"/>
      <c r="N15" s="9"/>
      <c r="O15" s="9"/>
      <c r="P15" s="9"/>
      <c r="Q15" s="9"/>
      <c r="R15" s="77"/>
      <c r="S15" s="87"/>
      <c r="T15" s="140"/>
      <c r="U15" s="141"/>
    </row>
    <row r="16" spans="1:21" s="11" customFormat="1">
      <c r="A16" s="9">
        <v>10</v>
      </c>
      <c r="B16" s="9"/>
      <c r="C16" s="9"/>
      <c r="D16" s="9" t="s">
        <v>94</v>
      </c>
      <c r="E16" s="57" t="s">
        <v>95</v>
      </c>
      <c r="F16" s="57"/>
      <c r="G16" s="58" t="s">
        <v>269</v>
      </c>
      <c r="H16" s="58" t="s">
        <v>201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77"/>
      <c r="S16" s="87"/>
      <c r="T16" s="140"/>
      <c r="U16" s="141"/>
    </row>
    <row r="17" spans="1:21" s="11" customFormat="1">
      <c r="A17" s="88"/>
      <c r="B17" s="89"/>
      <c r="C17" s="89"/>
      <c r="D17" s="66" t="s">
        <v>1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4"/>
      <c r="S17" s="4"/>
      <c r="T17" s="6"/>
      <c r="U17" s="24"/>
    </row>
    <row r="18" spans="1:21" s="11" customFormat="1">
      <c r="A18" s="113"/>
      <c r="U18" s="65"/>
    </row>
    <row r="19" spans="1:21" s="11" customFormat="1">
      <c r="A19" s="113"/>
      <c r="U19" s="65"/>
    </row>
    <row r="20" spans="1:21" s="11" customFormat="1">
      <c r="A20" s="113"/>
      <c r="U20" s="65"/>
    </row>
    <row r="21" spans="1:21" s="11" customFormat="1">
      <c r="A21" s="118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1"/>
    </row>
  </sheetData>
  <dataConsolidate/>
  <mergeCells count="5">
    <mergeCell ref="T16:U16"/>
    <mergeCell ref="T15:U15"/>
    <mergeCell ref="T13:U13"/>
    <mergeCell ref="T12:U12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63281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>
      <c r="A1" s="109" t="s">
        <v>16</v>
      </c>
      <c r="B1" s="109" t="s">
        <v>16</v>
      </c>
      <c r="C1" s="10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0" t="s">
        <v>16</v>
      </c>
      <c r="B2" s="111"/>
      <c r="C2" s="111"/>
      <c r="D2" s="122" t="s">
        <v>245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MABSL0500</v>
      </c>
      <c r="I2" s="7" t="s">
        <v>30</v>
      </c>
      <c r="J2" s="9" t="s">
        <v>152</v>
      </c>
      <c r="K2" s="7" t="s">
        <v>31</v>
      </c>
      <c r="L2" s="112" t="str">
        <f>IF(LogicCommon!G2="","",LogicCommon!G2)</f>
        <v>MC</v>
      </c>
      <c r="M2" s="5" t="s">
        <v>32</v>
      </c>
      <c r="N2" s="30" t="s">
        <v>239</v>
      </c>
      <c r="O2" s="7"/>
      <c r="P2" s="7"/>
      <c r="Q2" s="4"/>
      <c r="R2" s="66"/>
    </row>
    <row r="3" spans="1:18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MABSL_GrsAllocCtlReg</v>
      </c>
      <c r="I3" s="7" t="s">
        <v>33</v>
      </c>
      <c r="J3" s="9" t="s">
        <v>34</v>
      </c>
      <c r="K3" s="7" t="s">
        <v>35</v>
      </c>
      <c r="L3" s="112" t="str">
        <f>IF(LogicCommon!G3="","",LogicCommon!G3)</f>
        <v/>
      </c>
      <c r="M3" s="116" t="s">
        <v>36</v>
      </c>
      <c r="N3" s="7"/>
      <c r="O3" s="7" t="s">
        <v>37</v>
      </c>
      <c r="P3" s="9" t="s">
        <v>38</v>
      </c>
      <c r="Q3" s="4"/>
      <c r="R3" s="66"/>
    </row>
    <row r="4" spans="1:18" s="11" customFormat="1">
      <c r="A4" s="113" t="s">
        <v>16</v>
      </c>
      <c r="B4" s="114"/>
      <c r="C4" s="114"/>
      <c r="D4" s="4"/>
      <c r="E4" s="7" t="s">
        <v>8</v>
      </c>
      <c r="F4" s="10" t="s">
        <v>202</v>
      </c>
      <c r="G4" s="7" t="s">
        <v>11</v>
      </c>
      <c r="H4" s="112" t="str">
        <f>IF(LogicCommon!E4="","",LogicCommon!E4)</f>
        <v>総量・場所引当制御マスタ登録</v>
      </c>
      <c r="I4" s="7" t="s">
        <v>39</v>
      </c>
      <c r="J4" s="9" t="s">
        <v>171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6"/>
    </row>
    <row r="5" spans="1:18" s="11" customFormat="1">
      <c r="A5" s="118" t="s">
        <v>16</v>
      </c>
      <c r="B5" s="109"/>
      <c r="C5" s="109"/>
      <c r="D5" s="27"/>
      <c r="E5" s="7" t="s">
        <v>23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6"/>
    </row>
    <row r="6" spans="1:18" s="11" customFormat="1">
      <c r="A6" s="113" t="s">
        <v>16</v>
      </c>
      <c r="B6" s="114"/>
      <c r="C6" s="114"/>
      <c r="D6" s="4" t="s">
        <v>6</v>
      </c>
      <c r="E6" s="17" t="s">
        <v>187</v>
      </c>
      <c r="F6" s="17"/>
      <c r="G6" s="17"/>
      <c r="H6" s="17"/>
      <c r="I6" s="17"/>
      <c r="J6" s="17"/>
      <c r="K6" s="17"/>
      <c r="L6" s="120" t="s">
        <v>42</v>
      </c>
      <c r="M6" s="20"/>
      <c r="N6" s="20" t="s">
        <v>42</v>
      </c>
      <c r="O6" s="20"/>
      <c r="P6" s="20"/>
      <c r="Q6" s="20"/>
      <c r="R6" s="66"/>
    </row>
    <row r="7" spans="1:18" s="11" customFormat="1">
      <c r="A7" s="68" t="s">
        <v>18</v>
      </c>
      <c r="B7" s="68"/>
      <c r="C7" s="68"/>
      <c r="D7" s="69"/>
      <c r="E7" s="69"/>
      <c r="F7" s="69"/>
      <c r="G7" s="69"/>
      <c r="H7" s="69"/>
      <c r="I7" s="69" t="s">
        <v>44</v>
      </c>
      <c r="J7" s="69"/>
      <c r="K7" s="70" t="s">
        <v>45</v>
      </c>
      <c r="L7" s="71" t="s">
        <v>85</v>
      </c>
      <c r="M7" s="70" t="s">
        <v>45</v>
      </c>
      <c r="N7" s="71"/>
      <c r="O7" s="67"/>
      <c r="P7" s="67"/>
      <c r="Q7" s="67"/>
      <c r="R7" s="67"/>
    </row>
    <row r="8" spans="1:18" s="11" customFormat="1" ht="60" customHeight="1">
      <c r="A8" s="57" t="s">
        <v>18</v>
      </c>
      <c r="B8" s="125"/>
      <c r="C8" s="126"/>
      <c r="D8" s="123" t="s">
        <v>246</v>
      </c>
      <c r="E8" s="123" t="s">
        <v>247</v>
      </c>
      <c r="F8" s="120"/>
      <c r="G8" s="123" t="s">
        <v>203</v>
      </c>
      <c r="H8" s="123" t="s">
        <v>248</v>
      </c>
      <c r="I8" s="120"/>
      <c r="J8" s="3"/>
      <c r="K8" s="70" t="s">
        <v>17</v>
      </c>
      <c r="L8" s="72" t="s">
        <v>242</v>
      </c>
      <c r="M8" s="70" t="s">
        <v>17</v>
      </c>
      <c r="N8" s="72"/>
      <c r="O8" s="134"/>
      <c r="P8" s="135"/>
      <c r="Q8" s="136" t="s">
        <v>257</v>
      </c>
      <c r="R8" s="87"/>
    </row>
    <row r="9" spans="1:18" s="11" customFormat="1" ht="60" customHeight="1">
      <c r="A9" s="9" t="s">
        <v>18</v>
      </c>
      <c r="B9" s="41"/>
      <c r="C9" s="42"/>
      <c r="D9" s="123" t="s">
        <v>249</v>
      </c>
      <c r="E9" s="131" t="s">
        <v>250</v>
      </c>
      <c r="F9" s="123" t="s">
        <v>251</v>
      </c>
      <c r="G9" s="123" t="s">
        <v>252</v>
      </c>
      <c r="H9" s="123" t="s">
        <v>253</v>
      </c>
      <c r="I9" s="132" t="s">
        <v>254</v>
      </c>
      <c r="J9" s="123" t="s">
        <v>255</v>
      </c>
      <c r="K9" s="70"/>
      <c r="L9" s="70"/>
      <c r="M9" s="70"/>
      <c r="N9" s="70"/>
      <c r="O9" s="136" t="s">
        <v>256</v>
      </c>
      <c r="P9" s="87"/>
      <c r="Q9" s="136" t="s">
        <v>258</v>
      </c>
      <c r="R9" s="87"/>
    </row>
    <row r="10" spans="1:18" s="11" customFormat="1" ht="5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254</v>
      </c>
      <c r="L10" s="133" t="s">
        <v>255</v>
      </c>
      <c r="M10" s="133" t="s">
        <v>254</v>
      </c>
      <c r="N10" s="133" t="s">
        <v>255</v>
      </c>
      <c r="O10" s="78"/>
      <c r="P10" s="78"/>
      <c r="Q10" s="79"/>
      <c r="R10" s="74"/>
    </row>
    <row r="11" spans="1:18" s="11" customFormat="1">
      <c r="A11" s="9">
        <v>10</v>
      </c>
      <c r="B11" s="41" t="s">
        <v>0</v>
      </c>
      <c r="C11" s="42"/>
      <c r="D11" s="30" t="s">
        <v>153</v>
      </c>
      <c r="E11" s="80" t="s">
        <v>82</v>
      </c>
      <c r="F11" s="81"/>
      <c r="G11" s="30" t="s">
        <v>98</v>
      </c>
      <c r="H11" s="82" t="s">
        <v>208</v>
      </c>
      <c r="I11" s="83"/>
      <c r="J11" s="84"/>
      <c r="K11" s="85" t="s">
        <v>205</v>
      </c>
      <c r="L11" s="85"/>
      <c r="M11" s="85"/>
      <c r="N11" s="85"/>
      <c r="O11" s="73"/>
      <c r="P11" s="74"/>
      <c r="Q11" s="108"/>
      <c r="R11" s="86"/>
    </row>
    <row r="12" spans="1:18" s="11" customFormat="1" ht="26">
      <c r="A12" s="9">
        <v>10</v>
      </c>
      <c r="B12" s="9"/>
      <c r="C12" s="9"/>
      <c r="D12" s="9" t="s">
        <v>127</v>
      </c>
      <c r="E12" s="57" t="s">
        <v>129</v>
      </c>
      <c r="F12" s="57"/>
      <c r="G12" s="58" t="s">
        <v>259</v>
      </c>
      <c r="H12" s="58" t="s">
        <v>207</v>
      </c>
      <c r="I12" s="9" t="s">
        <v>40</v>
      </c>
      <c r="J12" s="9"/>
      <c r="K12" s="9" t="s">
        <v>100</v>
      </c>
      <c r="L12" s="9"/>
      <c r="M12" s="9"/>
      <c r="N12" s="9"/>
      <c r="O12" s="77"/>
      <c r="P12" s="87"/>
      <c r="Q12" s="140"/>
      <c r="R12" s="141"/>
    </row>
    <row r="13" spans="1:18" s="11" customFormat="1">
      <c r="A13" s="9">
        <v>10</v>
      </c>
      <c r="B13" s="9"/>
      <c r="C13" s="9"/>
      <c r="D13" s="9" t="s">
        <v>125</v>
      </c>
      <c r="E13" s="57" t="s">
        <v>131</v>
      </c>
      <c r="F13" s="57"/>
      <c r="G13" s="58" t="s">
        <v>260</v>
      </c>
      <c r="H13" s="58" t="s">
        <v>192</v>
      </c>
      <c r="I13" s="9" t="s">
        <v>40</v>
      </c>
      <c r="J13" s="9"/>
      <c r="K13" s="9" t="s">
        <v>100</v>
      </c>
      <c r="L13" s="9"/>
      <c r="M13" s="9"/>
      <c r="N13" s="9"/>
      <c r="O13" s="77"/>
      <c r="P13" s="87"/>
      <c r="Q13" s="140"/>
      <c r="R13" s="141"/>
    </row>
    <row r="14" spans="1:18" s="11" customFormat="1">
      <c r="A14" s="9">
        <v>10</v>
      </c>
      <c r="B14" s="9"/>
      <c r="C14" s="9"/>
      <c r="D14" s="9" t="s">
        <v>165</v>
      </c>
      <c r="E14" s="57" t="s">
        <v>117</v>
      </c>
      <c r="F14" s="57"/>
      <c r="G14" s="58" t="s">
        <v>261</v>
      </c>
      <c r="H14" s="58" t="s">
        <v>194</v>
      </c>
      <c r="I14" s="9" t="s">
        <v>40</v>
      </c>
      <c r="J14" s="9"/>
      <c r="K14" s="9" t="s">
        <v>100</v>
      </c>
      <c r="L14" s="9"/>
      <c r="M14" s="9"/>
      <c r="N14" s="9"/>
      <c r="O14" s="77"/>
      <c r="P14" s="87"/>
      <c r="Q14" s="140"/>
      <c r="R14" s="141"/>
    </row>
    <row r="15" spans="1:18" s="11" customFormat="1">
      <c r="A15" s="9">
        <v>10</v>
      </c>
      <c r="B15" s="9"/>
      <c r="C15" s="9"/>
      <c r="D15" s="9" t="s">
        <v>178</v>
      </c>
      <c r="E15" s="57" t="s">
        <v>179</v>
      </c>
      <c r="F15" s="57"/>
      <c r="G15" s="58" t="s">
        <v>262</v>
      </c>
      <c r="H15" s="58" t="s">
        <v>196</v>
      </c>
      <c r="I15" s="9" t="s">
        <v>40</v>
      </c>
      <c r="J15" s="9"/>
      <c r="K15" s="9" t="s">
        <v>100</v>
      </c>
      <c r="L15" s="9"/>
      <c r="M15" s="9"/>
      <c r="N15" s="9"/>
      <c r="O15" s="77"/>
      <c r="P15" s="87"/>
      <c r="Q15" s="140"/>
      <c r="R15" s="141"/>
    </row>
    <row r="16" spans="1:18" s="11" customFormat="1">
      <c r="A16" s="9">
        <v>10</v>
      </c>
      <c r="B16" s="9"/>
      <c r="C16" s="9"/>
      <c r="D16" s="9" t="s">
        <v>94</v>
      </c>
      <c r="E16" s="57" t="s">
        <v>95</v>
      </c>
      <c r="F16" s="57"/>
      <c r="G16" s="58" t="s">
        <v>269</v>
      </c>
      <c r="H16" s="58" t="s">
        <v>93</v>
      </c>
      <c r="I16" s="9" t="s">
        <v>40</v>
      </c>
      <c r="J16" s="9"/>
      <c r="K16" s="9" t="s">
        <v>100</v>
      </c>
      <c r="L16" s="9"/>
      <c r="M16" s="9"/>
      <c r="N16" s="9"/>
      <c r="O16" s="79"/>
      <c r="P16" s="74"/>
      <c r="Q16" s="108"/>
      <c r="R16" s="86"/>
    </row>
    <row r="17" spans="1:18" s="11" customFormat="1">
      <c r="A17" s="88"/>
      <c r="B17" s="89"/>
      <c r="C17" s="89"/>
      <c r="D17" s="66" t="s">
        <v>1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4"/>
      <c r="P17" s="4"/>
      <c r="Q17" s="6"/>
      <c r="R17" s="24"/>
    </row>
    <row r="18" spans="1:18" s="11" customFormat="1">
      <c r="A18" s="113"/>
      <c r="R18" s="65"/>
    </row>
    <row r="19" spans="1:18" s="11" customFormat="1">
      <c r="A19" s="113"/>
      <c r="R19" s="65"/>
    </row>
    <row r="20" spans="1:18" s="11" customFormat="1">
      <c r="A20" s="113"/>
      <c r="R20" s="65"/>
    </row>
    <row r="21" spans="1:18" s="11" customFormat="1">
      <c r="A21" s="113"/>
      <c r="R21" s="65"/>
    </row>
    <row r="22" spans="1:18" s="11" customFormat="1">
      <c r="A22" s="113"/>
      <c r="R22" s="65"/>
    </row>
    <row r="23" spans="1:18" s="11" customFormat="1">
      <c r="A23" s="113"/>
      <c r="R23" s="65"/>
    </row>
    <row r="24" spans="1:18" s="11" customFormat="1">
      <c r="A24" s="113"/>
      <c r="R24" s="65"/>
    </row>
    <row r="25" spans="1:18" s="11" customFormat="1">
      <c r="A25" s="113"/>
      <c r="R25" s="65"/>
    </row>
    <row r="26" spans="1:18" s="11" customFormat="1">
      <c r="A26" s="113"/>
      <c r="R26" s="65"/>
    </row>
    <row r="27" spans="1:18" s="11" customFormat="1">
      <c r="A27" s="113"/>
      <c r="R27" s="65"/>
    </row>
    <row r="28" spans="1:18" s="11" customFormat="1">
      <c r="A28" s="1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</row>
  </sheetData>
  <dataConsolidate/>
  <mergeCells count="4">
    <mergeCell ref="Q12:R12"/>
    <mergeCell ref="Q15:R15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62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6.4531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9.36328125" style="67" bestFit="1" customWidth="1"/>
    <col min="14" max="14" width="50.6328125" style="67" customWidth="1"/>
    <col min="15" max="15" width="20.453125" style="67" bestFit="1" customWidth="1"/>
    <col min="16" max="16" width="30.81640625" style="67" customWidth="1"/>
    <col min="17" max="17" width="13.90625" style="67" bestFit="1" customWidth="1"/>
    <col min="18" max="18" width="15.81640625" style="67" customWidth="1"/>
    <col min="19" max="19" width="16.453125" style="67" customWidth="1"/>
    <col min="20" max="20" width="19.90625" style="67" customWidth="1"/>
    <col min="21" max="22" width="17.1796875" style="66" customWidth="1"/>
    <col min="23" max="16384" width="9" style="66"/>
  </cols>
  <sheetData>
    <row r="1" spans="1:19" s="11" customFormat="1">
      <c r="A1" s="109" t="s">
        <v>16</v>
      </c>
      <c r="B1" s="109" t="s">
        <v>16</v>
      </c>
      <c r="C1" s="10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10" t="s">
        <v>16</v>
      </c>
      <c r="B2" s="111"/>
      <c r="C2" s="111"/>
      <c r="D2" s="122" t="s">
        <v>245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MABSL0500</v>
      </c>
      <c r="I2" s="7" t="s">
        <v>30</v>
      </c>
      <c r="J2" s="9" t="s">
        <v>113</v>
      </c>
      <c r="K2" s="7" t="s">
        <v>31</v>
      </c>
      <c r="L2" s="112" t="str">
        <f>IF(LogicCommon!G2="","",LogicCommon!G2)</f>
        <v>MC</v>
      </c>
      <c r="M2" s="5" t="s">
        <v>32</v>
      </c>
      <c r="N2" s="30" t="s">
        <v>240</v>
      </c>
      <c r="O2" s="7"/>
      <c r="P2" s="7"/>
      <c r="Q2" s="4"/>
      <c r="R2" s="4"/>
      <c r="S2" s="4"/>
    </row>
    <row r="3" spans="1:19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MABSL_GrsAllocCtlReg</v>
      </c>
      <c r="I3" s="7" t="s">
        <v>33</v>
      </c>
      <c r="J3" s="9" t="s">
        <v>34</v>
      </c>
      <c r="K3" s="7" t="s">
        <v>35</v>
      </c>
      <c r="L3" s="112" t="str">
        <f>IF(LogicCommon!G3="","",LogicCommon!G3)</f>
        <v/>
      </c>
      <c r="M3" s="116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>
      <c r="A4" s="113" t="s">
        <v>16</v>
      </c>
      <c r="B4" s="114"/>
      <c r="C4" s="114"/>
      <c r="D4" s="4"/>
      <c r="E4" s="7" t="s">
        <v>8</v>
      </c>
      <c r="F4" s="10" t="s">
        <v>202</v>
      </c>
      <c r="G4" s="7" t="s">
        <v>11</v>
      </c>
      <c r="H4" s="112" t="str">
        <f>IF(LogicCommon!E4="","",LogicCommon!E4)</f>
        <v>総量・場所引当制御マスタ登録</v>
      </c>
      <c r="I4" s="7" t="s">
        <v>39</v>
      </c>
      <c r="J4" s="9" t="s">
        <v>2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4"/>
      <c r="S4" s="4"/>
    </row>
    <row r="5" spans="1:19" s="11" customFormat="1">
      <c r="A5" s="118" t="s">
        <v>16</v>
      </c>
      <c r="B5" s="109"/>
      <c r="C5" s="109"/>
      <c r="D5" s="27"/>
      <c r="E5" s="7" t="s">
        <v>23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3" t="s">
        <v>16</v>
      </c>
      <c r="B6" s="114"/>
      <c r="C6" s="114"/>
      <c r="D6" s="4" t="s">
        <v>6</v>
      </c>
      <c r="E6" s="17" t="s">
        <v>172</v>
      </c>
      <c r="F6" s="17"/>
      <c r="G6" s="17"/>
      <c r="H6" s="17"/>
      <c r="I6" s="17"/>
      <c r="J6" s="17"/>
      <c r="K6" s="17"/>
      <c r="L6" s="120"/>
      <c r="M6" s="20" t="s">
        <v>42</v>
      </c>
      <c r="N6" s="20"/>
      <c r="O6" s="20" t="s">
        <v>42</v>
      </c>
      <c r="P6" s="20"/>
      <c r="Q6" s="20"/>
    </row>
    <row r="7" spans="1:19" s="11" customFormat="1">
      <c r="A7" s="68" t="s">
        <v>43</v>
      </c>
      <c r="B7" s="68"/>
      <c r="C7" s="68"/>
      <c r="D7" s="69"/>
      <c r="E7" s="69"/>
      <c r="F7" s="69"/>
      <c r="G7" s="69"/>
      <c r="H7" s="69"/>
      <c r="I7" s="69" t="s">
        <v>44</v>
      </c>
      <c r="J7" s="69"/>
      <c r="K7" s="71" t="s">
        <v>110</v>
      </c>
      <c r="L7" s="70" t="s">
        <v>45</v>
      </c>
      <c r="M7" s="71" t="s">
        <v>46</v>
      </c>
      <c r="N7" s="70" t="s">
        <v>45</v>
      </c>
      <c r="O7" s="71"/>
      <c r="P7" s="67"/>
      <c r="Q7" s="67"/>
      <c r="R7" s="67"/>
      <c r="S7" s="67"/>
    </row>
    <row r="8" spans="1:19" s="11" customFormat="1" ht="60" customHeight="1">
      <c r="A8" s="57" t="s">
        <v>18</v>
      </c>
      <c r="B8" s="125"/>
      <c r="C8" s="126"/>
      <c r="D8" s="123" t="s">
        <v>246</v>
      </c>
      <c r="E8" s="123" t="s">
        <v>247</v>
      </c>
      <c r="F8" s="120"/>
      <c r="G8" s="123" t="s">
        <v>203</v>
      </c>
      <c r="H8" s="123" t="s">
        <v>248</v>
      </c>
      <c r="I8" s="120"/>
      <c r="J8" s="3"/>
      <c r="K8" s="72" t="s">
        <v>111</v>
      </c>
      <c r="L8" s="70" t="s">
        <v>17</v>
      </c>
      <c r="M8" s="72" t="s">
        <v>243</v>
      </c>
      <c r="N8" s="70" t="s">
        <v>17</v>
      </c>
      <c r="O8" s="72"/>
      <c r="P8" s="134"/>
      <c r="Q8" s="135"/>
      <c r="R8" s="136" t="s">
        <v>257</v>
      </c>
      <c r="S8" s="87"/>
    </row>
    <row r="9" spans="1:19" s="11" customFormat="1" ht="60" customHeight="1">
      <c r="A9" s="9" t="s">
        <v>18</v>
      </c>
      <c r="B9" s="41"/>
      <c r="C9" s="42"/>
      <c r="D9" s="123" t="s">
        <v>249</v>
      </c>
      <c r="E9" s="131" t="s">
        <v>250</v>
      </c>
      <c r="F9" s="123" t="s">
        <v>251</v>
      </c>
      <c r="G9" s="123" t="s">
        <v>252</v>
      </c>
      <c r="H9" s="123" t="s">
        <v>253</v>
      </c>
      <c r="I9" s="132" t="s">
        <v>254</v>
      </c>
      <c r="J9" s="123" t="s">
        <v>255</v>
      </c>
      <c r="K9" s="137"/>
      <c r="L9" s="70"/>
      <c r="M9" s="70"/>
      <c r="N9" s="70"/>
      <c r="O9" s="70"/>
      <c r="P9" s="136" t="s">
        <v>256</v>
      </c>
      <c r="Q9" s="87"/>
      <c r="R9" s="136" t="s">
        <v>258</v>
      </c>
      <c r="S9" s="87"/>
    </row>
    <row r="10" spans="1:19" s="11" customFormat="1" ht="39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90"/>
      <c r="L10" s="133" t="s">
        <v>254</v>
      </c>
      <c r="M10" s="133" t="s">
        <v>255</v>
      </c>
      <c r="N10" s="133" t="s">
        <v>254</v>
      </c>
      <c r="O10" s="133" t="s">
        <v>255</v>
      </c>
      <c r="P10" s="78"/>
      <c r="Q10" s="78"/>
      <c r="R10" s="79"/>
      <c r="S10" s="74"/>
    </row>
    <row r="11" spans="1:19" s="11" customFormat="1">
      <c r="A11" s="9">
        <v>10</v>
      </c>
      <c r="B11" s="41" t="s">
        <v>0</v>
      </c>
      <c r="C11" s="42"/>
      <c r="D11" s="30" t="s">
        <v>20</v>
      </c>
      <c r="E11" s="80" t="s">
        <v>21</v>
      </c>
      <c r="F11" s="81"/>
      <c r="G11" s="30"/>
      <c r="H11" s="82"/>
      <c r="I11" s="83"/>
      <c r="J11" s="84"/>
      <c r="K11" s="91"/>
      <c r="L11" s="85"/>
      <c r="M11" s="85"/>
      <c r="N11" s="85"/>
      <c r="O11" s="85"/>
      <c r="P11" s="73"/>
      <c r="Q11" s="74"/>
      <c r="R11" s="108"/>
      <c r="S11" s="86"/>
    </row>
    <row r="12" spans="1:19" s="11" customFormat="1" ht="26">
      <c r="A12" s="9">
        <v>10</v>
      </c>
      <c r="B12" s="9"/>
      <c r="C12" s="9"/>
      <c r="D12" s="9" t="s">
        <v>127</v>
      </c>
      <c r="E12" s="57" t="s">
        <v>129</v>
      </c>
      <c r="F12" s="57"/>
      <c r="G12" s="58" t="s">
        <v>259</v>
      </c>
      <c r="H12" s="58" t="s">
        <v>207</v>
      </c>
      <c r="I12" s="9" t="s">
        <v>40</v>
      </c>
      <c r="J12" s="9"/>
      <c r="K12" s="9"/>
      <c r="L12" s="9"/>
      <c r="M12" s="9"/>
      <c r="N12" s="9"/>
      <c r="O12" s="9"/>
      <c r="P12" s="92"/>
      <c r="Q12" s="87"/>
      <c r="R12" s="140"/>
      <c r="S12" s="141"/>
    </row>
    <row r="13" spans="1:19" s="11" customFormat="1" ht="26">
      <c r="A13" s="9">
        <v>10</v>
      </c>
      <c r="B13" s="9"/>
      <c r="C13" s="9"/>
      <c r="D13" s="9" t="s">
        <v>128</v>
      </c>
      <c r="E13" s="57" t="s">
        <v>130</v>
      </c>
      <c r="F13" s="57"/>
      <c r="G13" s="58" t="s">
        <v>270</v>
      </c>
      <c r="H13" s="58" t="s">
        <v>209</v>
      </c>
      <c r="I13" s="9" t="s">
        <v>40</v>
      </c>
      <c r="J13" s="9"/>
      <c r="K13" s="9"/>
      <c r="L13" s="9"/>
      <c r="M13" s="9"/>
      <c r="N13" s="9"/>
      <c r="O13" s="9"/>
      <c r="P13" s="92"/>
      <c r="Q13" s="87"/>
      <c r="R13" s="140"/>
      <c r="S13" s="141"/>
    </row>
    <row r="14" spans="1:19" s="11" customFormat="1">
      <c r="A14" s="9">
        <v>10</v>
      </c>
      <c r="B14" s="9"/>
      <c r="C14" s="9"/>
      <c r="D14" s="9" t="s">
        <v>125</v>
      </c>
      <c r="E14" s="57" t="s">
        <v>131</v>
      </c>
      <c r="F14" s="57"/>
      <c r="G14" s="58" t="s">
        <v>260</v>
      </c>
      <c r="H14" s="58" t="s">
        <v>192</v>
      </c>
      <c r="I14" s="9" t="s">
        <v>40</v>
      </c>
      <c r="J14" s="9"/>
      <c r="K14" s="9"/>
      <c r="L14" s="9"/>
      <c r="M14" s="9"/>
      <c r="N14" s="9"/>
      <c r="O14" s="9"/>
      <c r="P14" s="92"/>
      <c r="Q14" s="87"/>
      <c r="R14" s="140"/>
      <c r="S14" s="141"/>
    </row>
    <row r="15" spans="1:19" s="11" customFormat="1">
      <c r="A15" s="9">
        <v>10</v>
      </c>
      <c r="B15" s="9"/>
      <c r="C15" s="9"/>
      <c r="D15" s="9" t="s">
        <v>126</v>
      </c>
      <c r="E15" s="57" t="s">
        <v>133</v>
      </c>
      <c r="F15" s="57"/>
      <c r="G15" s="58" t="s">
        <v>271</v>
      </c>
      <c r="H15" s="58" t="s">
        <v>210</v>
      </c>
      <c r="I15" s="9" t="s">
        <v>40</v>
      </c>
      <c r="J15" s="9"/>
      <c r="K15" s="9"/>
      <c r="L15" s="9"/>
      <c r="M15" s="9"/>
      <c r="N15" s="9"/>
      <c r="O15" s="9"/>
      <c r="P15" s="92"/>
      <c r="Q15" s="87"/>
      <c r="R15" s="140"/>
      <c r="S15" s="141"/>
    </row>
    <row r="16" spans="1:19" s="11" customFormat="1">
      <c r="A16" s="9">
        <v>10</v>
      </c>
      <c r="B16" s="9"/>
      <c r="C16" s="9"/>
      <c r="D16" s="9" t="s">
        <v>161</v>
      </c>
      <c r="E16" s="57" t="s">
        <v>117</v>
      </c>
      <c r="F16" s="57"/>
      <c r="G16" s="58" t="s">
        <v>261</v>
      </c>
      <c r="H16" s="58" t="s">
        <v>194</v>
      </c>
      <c r="I16" s="9" t="s">
        <v>40</v>
      </c>
      <c r="J16" s="9"/>
      <c r="K16" s="9"/>
      <c r="L16" s="9"/>
      <c r="M16" s="9"/>
      <c r="N16" s="9"/>
      <c r="O16" s="9"/>
      <c r="P16" s="92"/>
      <c r="Q16" s="87"/>
      <c r="R16" s="140"/>
      <c r="S16" s="141"/>
    </row>
    <row r="17" spans="1:19" s="11" customFormat="1">
      <c r="A17" s="9">
        <v>10</v>
      </c>
      <c r="B17" s="9"/>
      <c r="C17" s="9"/>
      <c r="D17" s="9" t="s">
        <v>162</v>
      </c>
      <c r="E17" s="57" t="s">
        <v>122</v>
      </c>
      <c r="F17" s="57"/>
      <c r="G17" s="58" t="s">
        <v>272</v>
      </c>
      <c r="H17" s="58" t="s">
        <v>211</v>
      </c>
      <c r="I17" s="9" t="s">
        <v>40</v>
      </c>
      <c r="J17" s="9"/>
      <c r="K17" s="9"/>
      <c r="L17" s="9"/>
      <c r="M17" s="9"/>
      <c r="N17" s="9"/>
      <c r="O17" s="9"/>
      <c r="P17" s="92"/>
      <c r="Q17" s="87"/>
      <c r="R17" s="140"/>
      <c r="S17" s="141"/>
    </row>
    <row r="18" spans="1:19" s="11" customFormat="1">
      <c r="A18" s="9">
        <v>10</v>
      </c>
      <c r="B18" s="9"/>
      <c r="C18" s="9"/>
      <c r="D18" s="9" t="s">
        <v>178</v>
      </c>
      <c r="E18" s="57" t="s">
        <v>179</v>
      </c>
      <c r="F18" s="57"/>
      <c r="G18" s="58" t="s">
        <v>262</v>
      </c>
      <c r="H18" s="58" t="s">
        <v>196</v>
      </c>
      <c r="I18" s="9" t="s">
        <v>40</v>
      </c>
      <c r="J18" s="9"/>
      <c r="K18" s="9"/>
      <c r="L18" s="9"/>
      <c r="M18" s="9"/>
      <c r="N18" s="9"/>
      <c r="O18" s="9"/>
      <c r="P18" s="92"/>
      <c r="Q18" s="87"/>
      <c r="R18" s="140"/>
      <c r="S18" s="141"/>
    </row>
    <row r="19" spans="1:19" s="11" customFormat="1">
      <c r="A19" s="9">
        <v>10</v>
      </c>
      <c r="B19" s="9"/>
      <c r="C19" s="9"/>
      <c r="D19" s="9" t="s">
        <v>183</v>
      </c>
      <c r="E19" s="57" t="s">
        <v>182</v>
      </c>
      <c r="F19" s="57"/>
      <c r="G19" s="58" t="s">
        <v>273</v>
      </c>
      <c r="H19" s="58" t="s">
        <v>212</v>
      </c>
      <c r="I19" s="9" t="s">
        <v>40</v>
      </c>
      <c r="J19" s="9"/>
      <c r="K19" s="9"/>
      <c r="L19" s="9"/>
      <c r="M19" s="9"/>
      <c r="N19" s="9"/>
      <c r="O19" s="9"/>
      <c r="P19" s="92"/>
      <c r="Q19" s="87"/>
      <c r="R19" s="140"/>
      <c r="S19" s="141"/>
    </row>
    <row r="20" spans="1:19" s="11" customFormat="1">
      <c r="A20" s="9">
        <v>10</v>
      </c>
      <c r="B20" s="9"/>
      <c r="C20" s="9"/>
      <c r="D20" s="9" t="s">
        <v>86</v>
      </c>
      <c r="E20" s="57" t="s">
        <v>79</v>
      </c>
      <c r="F20" s="57"/>
      <c r="G20" s="58" t="s">
        <v>274</v>
      </c>
      <c r="H20" s="58" t="s">
        <v>213</v>
      </c>
      <c r="I20" s="9" t="s">
        <v>40</v>
      </c>
      <c r="J20" s="9"/>
      <c r="K20" s="9"/>
      <c r="L20" s="9"/>
      <c r="M20" s="9"/>
      <c r="N20" s="9"/>
      <c r="O20" s="9"/>
      <c r="P20" s="92"/>
      <c r="Q20" s="87"/>
      <c r="R20" s="140"/>
      <c r="S20" s="141"/>
    </row>
    <row r="21" spans="1:19" s="11" customFormat="1">
      <c r="A21" s="9">
        <v>10</v>
      </c>
      <c r="B21" s="9"/>
      <c r="C21" s="9"/>
      <c r="D21" s="9" t="s">
        <v>87</v>
      </c>
      <c r="E21" s="57" t="s">
        <v>69</v>
      </c>
      <c r="F21" s="57"/>
      <c r="G21" s="58" t="s">
        <v>275</v>
      </c>
      <c r="H21" s="58" t="s">
        <v>214</v>
      </c>
      <c r="I21" s="9" t="s">
        <v>40</v>
      </c>
      <c r="J21" s="9"/>
      <c r="K21" s="9"/>
      <c r="L21" s="9"/>
      <c r="M21" s="9"/>
      <c r="N21" s="9"/>
      <c r="O21" s="9"/>
      <c r="P21" s="93"/>
      <c r="Q21" s="94"/>
      <c r="R21" s="142"/>
      <c r="S21" s="141"/>
    </row>
    <row r="22" spans="1:19" s="11" customFormat="1">
      <c r="A22" s="9">
        <v>10</v>
      </c>
      <c r="B22" s="9"/>
      <c r="C22" s="9"/>
      <c r="D22" s="9" t="s">
        <v>54</v>
      </c>
      <c r="E22" s="57" t="s">
        <v>56</v>
      </c>
      <c r="F22" s="57"/>
      <c r="G22" s="58" t="s">
        <v>265</v>
      </c>
      <c r="H22" s="58" t="s">
        <v>57</v>
      </c>
      <c r="I22" s="9" t="s">
        <v>40</v>
      </c>
      <c r="J22" s="9"/>
      <c r="K22" s="9"/>
      <c r="L22" s="9"/>
      <c r="M22" s="9"/>
      <c r="N22" s="9"/>
      <c r="O22" s="9"/>
      <c r="P22" s="92"/>
      <c r="Q22" s="87"/>
      <c r="R22" s="140"/>
      <c r="S22" s="141"/>
    </row>
    <row r="23" spans="1:19" s="11" customFormat="1">
      <c r="A23" s="9">
        <v>10</v>
      </c>
      <c r="B23" s="9"/>
      <c r="C23" s="9"/>
      <c r="D23" s="9" t="s">
        <v>228</v>
      </c>
      <c r="E23" s="57" t="s">
        <v>229</v>
      </c>
      <c r="F23" s="57"/>
      <c r="G23" s="58" t="s">
        <v>266</v>
      </c>
      <c r="H23" s="58" t="s">
        <v>58</v>
      </c>
      <c r="I23" s="9" t="s">
        <v>40</v>
      </c>
      <c r="J23" s="9"/>
      <c r="K23" s="9"/>
      <c r="L23" s="9"/>
      <c r="M23" s="9"/>
      <c r="N23" s="9"/>
      <c r="O23" s="9"/>
      <c r="P23" s="93"/>
      <c r="Q23" s="94"/>
      <c r="R23" s="142"/>
      <c r="S23" s="141"/>
    </row>
    <row r="24" spans="1:19" s="11" customFormat="1">
      <c r="A24" s="9">
        <v>10</v>
      </c>
      <c r="B24" s="9"/>
      <c r="C24" s="9"/>
      <c r="D24" s="9" t="s">
        <v>60</v>
      </c>
      <c r="E24" s="57" t="s">
        <v>62</v>
      </c>
      <c r="F24" s="57"/>
      <c r="G24" s="58" t="s">
        <v>267</v>
      </c>
      <c r="H24" s="58" t="s">
        <v>63</v>
      </c>
      <c r="I24" s="9" t="s">
        <v>40</v>
      </c>
      <c r="J24" s="9"/>
      <c r="K24" s="9"/>
      <c r="L24" s="9"/>
      <c r="M24" s="9"/>
      <c r="N24" s="9"/>
      <c r="O24" s="9"/>
      <c r="P24" s="93"/>
      <c r="Q24" s="94"/>
      <c r="R24" s="142"/>
      <c r="S24" s="141"/>
    </row>
    <row r="25" spans="1:19" s="11" customFormat="1">
      <c r="A25" s="113"/>
      <c r="S25" s="65"/>
    </row>
    <row r="26" spans="1:19" s="11" customFormat="1">
      <c r="A26" s="9">
        <v>20</v>
      </c>
      <c r="B26" s="41" t="s">
        <v>0</v>
      </c>
      <c r="C26" s="42"/>
      <c r="D26" s="30" t="s">
        <v>157</v>
      </c>
      <c r="E26" s="80" t="s">
        <v>41</v>
      </c>
      <c r="F26" s="95"/>
      <c r="G26" s="30"/>
      <c r="H26" s="82"/>
      <c r="I26" s="96"/>
      <c r="J26" s="97"/>
      <c r="K26" s="97"/>
      <c r="L26" s="85"/>
      <c r="M26" s="85" t="s">
        <v>22</v>
      </c>
      <c r="N26" s="85"/>
      <c r="O26" s="85"/>
      <c r="P26" s="73"/>
      <c r="Q26" s="74"/>
      <c r="R26" s="108"/>
      <c r="S26" s="86"/>
    </row>
    <row r="27" spans="1:19" s="11" customFormat="1">
      <c r="A27" s="9">
        <v>20</v>
      </c>
      <c r="B27" s="9"/>
      <c r="C27" s="9"/>
      <c r="D27" s="9" t="s">
        <v>88</v>
      </c>
      <c r="E27" s="57" t="s">
        <v>69</v>
      </c>
      <c r="F27" s="57"/>
      <c r="G27" s="58" t="s">
        <v>268</v>
      </c>
      <c r="H27" s="58" t="s">
        <v>70</v>
      </c>
      <c r="I27" s="9"/>
      <c r="J27" s="9" t="s">
        <v>40</v>
      </c>
      <c r="K27" s="9"/>
      <c r="L27" s="9"/>
      <c r="M27" s="9" t="s">
        <v>40</v>
      </c>
      <c r="N27" s="9"/>
      <c r="O27" s="9"/>
      <c r="P27" s="92"/>
      <c r="Q27" s="87"/>
      <c r="R27" s="140"/>
      <c r="S27" s="141"/>
    </row>
    <row r="28" spans="1:19" s="11" customFormat="1" ht="26">
      <c r="A28" s="9">
        <v>20</v>
      </c>
      <c r="B28" s="9"/>
      <c r="C28" s="9"/>
      <c r="D28" s="9" t="s">
        <v>127</v>
      </c>
      <c r="E28" s="57" t="s">
        <v>129</v>
      </c>
      <c r="F28" s="57"/>
      <c r="G28" s="58" t="s">
        <v>259</v>
      </c>
      <c r="H28" s="58" t="s">
        <v>189</v>
      </c>
      <c r="I28" s="9"/>
      <c r="J28" s="9" t="s">
        <v>40</v>
      </c>
      <c r="K28" s="9"/>
      <c r="L28" s="9"/>
      <c r="M28" s="9" t="s">
        <v>40</v>
      </c>
      <c r="N28" s="9"/>
      <c r="O28" s="9"/>
      <c r="P28" s="92"/>
      <c r="Q28" s="87"/>
      <c r="R28" s="140"/>
      <c r="S28" s="141"/>
    </row>
    <row r="29" spans="1:19" s="11" customFormat="1" ht="26">
      <c r="A29" s="9">
        <v>20</v>
      </c>
      <c r="B29" s="9"/>
      <c r="C29" s="9"/>
      <c r="D29" s="9" t="s">
        <v>128</v>
      </c>
      <c r="E29" s="57" t="s">
        <v>130</v>
      </c>
      <c r="F29" s="57"/>
      <c r="G29" s="58" t="s">
        <v>270</v>
      </c>
      <c r="H29" s="58" t="s">
        <v>209</v>
      </c>
      <c r="I29" s="9"/>
      <c r="J29" s="9" t="s">
        <v>40</v>
      </c>
      <c r="K29" s="9"/>
      <c r="L29" s="9"/>
      <c r="M29" s="9" t="s">
        <v>40</v>
      </c>
      <c r="N29" s="9"/>
      <c r="O29" s="9"/>
      <c r="P29" s="92"/>
      <c r="Q29" s="87"/>
      <c r="R29" s="140"/>
      <c r="S29" s="141"/>
    </row>
    <row r="30" spans="1:19" s="11" customFormat="1">
      <c r="A30" s="9">
        <v>20</v>
      </c>
      <c r="B30" s="9"/>
      <c r="C30" s="9"/>
      <c r="D30" s="9" t="s">
        <v>125</v>
      </c>
      <c r="E30" s="57" t="s">
        <v>132</v>
      </c>
      <c r="F30" s="57"/>
      <c r="G30" s="58" t="s">
        <v>260</v>
      </c>
      <c r="H30" s="58" t="s">
        <v>192</v>
      </c>
      <c r="I30" s="9"/>
      <c r="J30" s="9" t="s">
        <v>40</v>
      </c>
      <c r="K30" s="9"/>
      <c r="L30" s="9"/>
      <c r="M30" s="9" t="s">
        <v>40</v>
      </c>
      <c r="N30" s="9"/>
      <c r="O30" s="9"/>
      <c r="P30" s="92"/>
      <c r="Q30" s="87"/>
      <c r="R30" s="140"/>
      <c r="S30" s="141"/>
    </row>
    <row r="31" spans="1:19" s="11" customFormat="1">
      <c r="A31" s="9">
        <v>20</v>
      </c>
      <c r="B31" s="9"/>
      <c r="C31" s="9"/>
      <c r="D31" s="9" t="s">
        <v>126</v>
      </c>
      <c r="E31" s="57" t="s">
        <v>133</v>
      </c>
      <c r="F31" s="57"/>
      <c r="G31" s="58" t="s">
        <v>271</v>
      </c>
      <c r="H31" s="58" t="s">
        <v>210</v>
      </c>
      <c r="I31" s="9"/>
      <c r="J31" s="9" t="s">
        <v>40</v>
      </c>
      <c r="K31" s="9"/>
      <c r="L31" s="9"/>
      <c r="M31" s="9" t="s">
        <v>40</v>
      </c>
      <c r="N31" s="9"/>
      <c r="O31" s="9"/>
      <c r="P31" s="92"/>
      <c r="Q31" s="87"/>
      <c r="R31" s="140"/>
      <c r="S31" s="141"/>
    </row>
    <row r="32" spans="1:19" s="11" customFormat="1">
      <c r="A32" s="9">
        <v>20</v>
      </c>
      <c r="B32" s="9"/>
      <c r="C32" s="9"/>
      <c r="D32" s="9" t="s">
        <v>161</v>
      </c>
      <c r="E32" s="57" t="s">
        <v>117</v>
      </c>
      <c r="F32" s="57"/>
      <c r="G32" s="58" t="s">
        <v>261</v>
      </c>
      <c r="H32" s="58" t="s">
        <v>194</v>
      </c>
      <c r="I32" s="9"/>
      <c r="J32" s="9" t="s">
        <v>40</v>
      </c>
      <c r="K32" s="9"/>
      <c r="L32" s="9"/>
      <c r="M32" s="9" t="s">
        <v>40</v>
      </c>
      <c r="N32" s="9"/>
      <c r="O32" s="9"/>
      <c r="P32" s="92"/>
      <c r="Q32" s="87"/>
      <c r="R32" s="140"/>
      <c r="S32" s="141"/>
    </row>
    <row r="33" spans="1:19" s="11" customFormat="1">
      <c r="A33" s="9">
        <v>20</v>
      </c>
      <c r="B33" s="9"/>
      <c r="C33" s="9"/>
      <c r="D33" s="9" t="s">
        <v>162</v>
      </c>
      <c r="E33" s="57" t="s">
        <v>121</v>
      </c>
      <c r="F33" s="57"/>
      <c r="G33" s="58" t="s">
        <v>272</v>
      </c>
      <c r="H33" s="58" t="s">
        <v>211</v>
      </c>
      <c r="I33" s="9"/>
      <c r="J33" s="9" t="s">
        <v>40</v>
      </c>
      <c r="K33" s="9"/>
      <c r="L33" s="9"/>
      <c r="M33" s="9" t="s">
        <v>40</v>
      </c>
      <c r="N33" s="9"/>
      <c r="O33" s="9"/>
      <c r="P33" s="92"/>
      <c r="Q33" s="87"/>
      <c r="R33" s="140"/>
      <c r="S33" s="141"/>
    </row>
    <row r="34" spans="1:19" s="11" customFormat="1">
      <c r="A34" s="9">
        <v>20</v>
      </c>
      <c r="B34" s="9"/>
      <c r="C34" s="9"/>
      <c r="D34" s="9" t="s">
        <v>178</v>
      </c>
      <c r="E34" s="57" t="s">
        <v>179</v>
      </c>
      <c r="F34" s="57"/>
      <c r="G34" s="58" t="s">
        <v>262</v>
      </c>
      <c r="H34" s="58" t="s">
        <v>196</v>
      </c>
      <c r="I34" s="9"/>
      <c r="J34" s="9" t="s">
        <v>40</v>
      </c>
      <c r="K34" s="9"/>
      <c r="L34" s="9"/>
      <c r="M34" s="9" t="s">
        <v>40</v>
      </c>
      <c r="N34" s="9"/>
      <c r="O34" s="9"/>
      <c r="P34" s="92"/>
      <c r="Q34" s="87"/>
      <c r="R34" s="140"/>
      <c r="S34" s="141"/>
    </row>
    <row r="35" spans="1:19" s="11" customFormat="1">
      <c r="A35" s="9">
        <v>20</v>
      </c>
      <c r="B35" s="9"/>
      <c r="C35" s="9"/>
      <c r="D35" s="9" t="s">
        <v>183</v>
      </c>
      <c r="E35" s="57" t="s">
        <v>182</v>
      </c>
      <c r="F35" s="57"/>
      <c r="G35" s="58" t="s">
        <v>273</v>
      </c>
      <c r="H35" s="58" t="s">
        <v>212</v>
      </c>
      <c r="I35" s="9"/>
      <c r="J35" s="9" t="s">
        <v>40</v>
      </c>
      <c r="K35" s="9"/>
      <c r="L35" s="9"/>
      <c r="M35" s="9" t="s">
        <v>40</v>
      </c>
      <c r="N35" s="9"/>
      <c r="O35" s="9"/>
      <c r="P35" s="92"/>
      <c r="Q35" s="87"/>
      <c r="R35" s="140"/>
      <c r="S35" s="141"/>
    </row>
    <row r="36" spans="1:19" s="11" customFormat="1">
      <c r="A36" s="9">
        <v>20</v>
      </c>
      <c r="B36" s="9"/>
      <c r="C36" s="9"/>
      <c r="D36" s="9" t="s">
        <v>180</v>
      </c>
      <c r="E36" s="57" t="s">
        <v>181</v>
      </c>
      <c r="F36" s="57"/>
      <c r="G36" s="58" t="s">
        <v>263</v>
      </c>
      <c r="H36" s="58" t="s">
        <v>198</v>
      </c>
      <c r="I36" s="9"/>
      <c r="J36" s="9" t="s">
        <v>40</v>
      </c>
      <c r="K36" s="9" t="s">
        <v>215</v>
      </c>
      <c r="L36" s="9"/>
      <c r="M36" s="9" t="s">
        <v>40</v>
      </c>
      <c r="N36" s="9"/>
      <c r="O36" s="9"/>
      <c r="P36" s="92"/>
      <c r="Q36" s="87"/>
      <c r="R36" s="140"/>
      <c r="S36" s="141"/>
    </row>
    <row r="37" spans="1:19" s="11" customFormat="1">
      <c r="A37" s="9">
        <v>20</v>
      </c>
      <c r="B37" s="9"/>
      <c r="C37" s="9"/>
      <c r="D37" s="9" t="s">
        <v>184</v>
      </c>
      <c r="E37" s="57" t="s">
        <v>185</v>
      </c>
      <c r="F37" s="57"/>
      <c r="G37" s="58" t="s">
        <v>276</v>
      </c>
      <c r="H37" s="58" t="s">
        <v>216</v>
      </c>
      <c r="I37" s="9"/>
      <c r="J37" s="9" t="s">
        <v>40</v>
      </c>
      <c r="K37" s="9"/>
      <c r="L37" s="9"/>
      <c r="M37" s="9"/>
      <c r="N37" s="9"/>
      <c r="O37" s="9"/>
      <c r="P37" s="92"/>
      <c r="Q37" s="87"/>
      <c r="R37" s="140"/>
      <c r="S37" s="141"/>
    </row>
    <row r="38" spans="1:19" s="11" customFormat="1">
      <c r="A38" s="9">
        <v>20</v>
      </c>
      <c r="B38" s="9"/>
      <c r="C38" s="9"/>
      <c r="D38" s="9" t="s">
        <v>163</v>
      </c>
      <c r="E38" s="57" t="s">
        <v>164</v>
      </c>
      <c r="F38" s="57"/>
      <c r="G38" s="58" t="s">
        <v>264</v>
      </c>
      <c r="H38" s="58" t="s">
        <v>200</v>
      </c>
      <c r="I38" s="9"/>
      <c r="J38" s="9" t="s">
        <v>40</v>
      </c>
      <c r="K38" s="9"/>
      <c r="L38" s="9"/>
      <c r="M38" s="9" t="s">
        <v>40</v>
      </c>
      <c r="N38" s="9"/>
      <c r="O38" s="9"/>
      <c r="P38" s="92"/>
      <c r="Q38" s="87"/>
      <c r="R38" s="140"/>
      <c r="S38" s="141"/>
    </row>
    <row r="39" spans="1:19" s="11" customFormat="1">
      <c r="A39" s="9">
        <v>20</v>
      </c>
      <c r="B39" s="9"/>
      <c r="C39" s="9"/>
      <c r="D39" s="9" t="s">
        <v>53</v>
      </c>
      <c r="E39" s="57" t="s">
        <v>55</v>
      </c>
      <c r="F39" s="57"/>
      <c r="G39" s="58" t="s">
        <v>265</v>
      </c>
      <c r="H39" s="58" t="s">
        <v>57</v>
      </c>
      <c r="I39" s="9"/>
      <c r="J39" s="9" t="s">
        <v>40</v>
      </c>
      <c r="K39" s="9"/>
      <c r="L39" s="9"/>
      <c r="M39" s="9" t="s">
        <v>40</v>
      </c>
      <c r="N39" s="9"/>
      <c r="O39" s="9"/>
      <c r="P39" s="92"/>
      <c r="Q39" s="87"/>
      <c r="R39" s="140"/>
      <c r="S39" s="141"/>
    </row>
    <row r="40" spans="1:19" s="11" customFormat="1">
      <c r="A40" s="9">
        <v>20</v>
      </c>
      <c r="B40" s="9"/>
      <c r="C40" s="9"/>
      <c r="D40" s="9" t="s">
        <v>64</v>
      </c>
      <c r="E40" s="57" t="s">
        <v>65</v>
      </c>
      <c r="F40" s="57"/>
      <c r="G40" s="58" t="s">
        <v>266</v>
      </c>
      <c r="H40" s="58" t="s">
        <v>58</v>
      </c>
      <c r="I40" s="9"/>
      <c r="J40" s="9" t="s">
        <v>40</v>
      </c>
      <c r="K40" s="9"/>
      <c r="L40" s="9"/>
      <c r="M40" s="9" t="s">
        <v>40</v>
      </c>
      <c r="N40" s="9"/>
      <c r="O40" s="9"/>
      <c r="P40" s="92"/>
      <c r="Q40" s="87"/>
      <c r="R40" s="140"/>
      <c r="S40" s="141"/>
    </row>
    <row r="41" spans="1:19" s="11" customFormat="1">
      <c r="A41" s="9">
        <v>20</v>
      </c>
      <c r="B41" s="9"/>
      <c r="C41" s="9"/>
      <c r="D41" s="9" t="s">
        <v>59</v>
      </c>
      <c r="E41" s="57" t="s">
        <v>61</v>
      </c>
      <c r="F41" s="57"/>
      <c r="G41" s="58" t="s">
        <v>267</v>
      </c>
      <c r="H41" s="58" t="s">
        <v>63</v>
      </c>
      <c r="I41" s="9"/>
      <c r="J41" s="9" t="s">
        <v>40</v>
      </c>
      <c r="K41" s="9"/>
      <c r="L41" s="9"/>
      <c r="M41" s="9" t="s">
        <v>40</v>
      </c>
      <c r="N41" s="9"/>
      <c r="O41" s="9"/>
      <c r="P41" s="92"/>
      <c r="Q41" s="87"/>
      <c r="R41" s="140"/>
      <c r="S41" s="141"/>
    </row>
    <row r="42" spans="1:19" s="11" customFormat="1">
      <c r="A42" s="9">
        <v>20</v>
      </c>
      <c r="B42" s="9"/>
      <c r="C42" s="9"/>
      <c r="D42" s="9" t="s">
        <v>230</v>
      </c>
      <c r="E42" s="57" t="s">
        <v>134</v>
      </c>
      <c r="F42" s="57"/>
      <c r="G42" s="58" t="s">
        <v>277</v>
      </c>
      <c r="H42" s="58" t="s">
        <v>67</v>
      </c>
      <c r="I42" s="9"/>
      <c r="J42" s="9" t="s">
        <v>40</v>
      </c>
      <c r="K42" s="9"/>
      <c r="L42" s="9"/>
      <c r="M42" s="9" t="s">
        <v>40</v>
      </c>
      <c r="N42" s="9"/>
      <c r="O42" s="9"/>
      <c r="P42" s="92"/>
      <c r="Q42" s="87"/>
      <c r="R42" s="140"/>
      <c r="S42" s="141"/>
    </row>
    <row r="43" spans="1:19" s="11" customFormat="1">
      <c r="A43" s="9">
        <v>20</v>
      </c>
      <c r="B43" s="9"/>
      <c r="C43" s="9"/>
      <c r="D43" s="9" t="s">
        <v>47</v>
      </c>
      <c r="E43" s="57" t="s">
        <v>135</v>
      </c>
      <c r="F43" s="57"/>
      <c r="G43" s="58" t="s">
        <v>278</v>
      </c>
      <c r="H43" s="58" t="s">
        <v>217</v>
      </c>
      <c r="I43" s="9"/>
      <c r="J43" s="9" t="s">
        <v>40</v>
      </c>
      <c r="K43" s="9"/>
      <c r="L43" s="9"/>
      <c r="M43" s="9" t="s">
        <v>40</v>
      </c>
      <c r="N43" s="9"/>
      <c r="O43" s="9"/>
      <c r="P43" s="92"/>
      <c r="Q43" s="87"/>
      <c r="R43" s="140"/>
      <c r="S43" s="141"/>
    </row>
    <row r="44" spans="1:19" s="11" customFormat="1">
      <c r="A44" s="9">
        <v>20</v>
      </c>
      <c r="B44" s="9"/>
      <c r="C44" s="9"/>
      <c r="D44" s="9" t="s">
        <v>14</v>
      </c>
      <c r="E44" s="57" t="s">
        <v>75</v>
      </c>
      <c r="F44" s="57"/>
      <c r="G44" s="58" t="s">
        <v>279</v>
      </c>
      <c r="H44" s="58" t="s">
        <v>218</v>
      </c>
      <c r="I44" s="9"/>
      <c r="J44" s="9" t="s">
        <v>40</v>
      </c>
      <c r="K44" s="9"/>
      <c r="L44" s="9"/>
      <c r="M44" s="9" t="s">
        <v>40</v>
      </c>
      <c r="N44" s="9"/>
      <c r="O44" s="9"/>
      <c r="P44" s="92"/>
      <c r="Q44" s="87"/>
      <c r="R44" s="140"/>
      <c r="S44" s="141"/>
    </row>
    <row r="45" spans="1:19" s="11" customFormat="1">
      <c r="A45" s="9">
        <v>20</v>
      </c>
      <c r="B45" s="9"/>
      <c r="C45" s="9"/>
      <c r="D45" s="9" t="s">
        <v>71</v>
      </c>
      <c r="E45" s="57" t="s">
        <v>136</v>
      </c>
      <c r="F45" s="57"/>
      <c r="G45" s="58" t="s">
        <v>280</v>
      </c>
      <c r="H45" s="58" t="s">
        <v>72</v>
      </c>
      <c r="I45" s="9"/>
      <c r="J45" s="9" t="s">
        <v>40</v>
      </c>
      <c r="K45" s="9"/>
      <c r="L45" s="9"/>
      <c r="M45" s="9" t="s">
        <v>40</v>
      </c>
      <c r="N45" s="9"/>
      <c r="O45" s="9"/>
      <c r="P45" s="92"/>
      <c r="Q45" s="87"/>
      <c r="R45" s="140"/>
      <c r="S45" s="141"/>
    </row>
    <row r="46" spans="1:19" s="11" customFormat="1">
      <c r="A46" s="9">
        <v>20</v>
      </c>
      <c r="B46" s="9"/>
      <c r="C46" s="9"/>
      <c r="D46" s="9" t="s">
        <v>76</v>
      </c>
      <c r="E46" s="57" t="s">
        <v>137</v>
      </c>
      <c r="F46" s="57"/>
      <c r="G46" s="58" t="s">
        <v>281</v>
      </c>
      <c r="H46" s="58" t="s">
        <v>219</v>
      </c>
      <c r="I46" s="9"/>
      <c r="J46" s="9" t="s">
        <v>40</v>
      </c>
      <c r="K46" s="9"/>
      <c r="L46" s="9"/>
      <c r="M46" s="9"/>
      <c r="N46" s="9"/>
      <c r="O46" s="9"/>
      <c r="P46" s="92"/>
      <c r="Q46" s="87"/>
      <c r="R46" s="140"/>
      <c r="S46" s="141"/>
    </row>
    <row r="47" spans="1:19" s="11" customFormat="1">
      <c r="A47" s="9">
        <v>20</v>
      </c>
      <c r="B47" s="9"/>
      <c r="C47" s="9"/>
      <c r="D47" s="9" t="s">
        <v>92</v>
      </c>
      <c r="E47" s="57" t="s">
        <v>95</v>
      </c>
      <c r="F47" s="57"/>
      <c r="G47" s="58" t="s">
        <v>269</v>
      </c>
      <c r="H47" s="58" t="s">
        <v>93</v>
      </c>
      <c r="I47" s="9"/>
      <c r="J47" s="9" t="s">
        <v>40</v>
      </c>
      <c r="K47" s="9"/>
      <c r="L47" s="9"/>
      <c r="M47" s="9" t="s">
        <v>40</v>
      </c>
      <c r="N47" s="9"/>
      <c r="O47" s="9"/>
      <c r="P47" s="92"/>
      <c r="Q47" s="87"/>
      <c r="R47" s="140"/>
      <c r="S47" s="141"/>
    </row>
    <row r="48" spans="1:19" s="11" customFormat="1">
      <c r="A48" s="9">
        <v>20</v>
      </c>
      <c r="B48" s="9"/>
      <c r="C48" s="9"/>
      <c r="D48" s="9" t="s">
        <v>231</v>
      </c>
      <c r="E48" s="57" t="s">
        <v>134</v>
      </c>
      <c r="F48" s="57"/>
      <c r="G48" s="58" t="s">
        <v>282</v>
      </c>
      <c r="H48" s="58" t="s">
        <v>220</v>
      </c>
      <c r="I48" s="9"/>
      <c r="J48" s="9" t="s">
        <v>40</v>
      </c>
      <c r="K48" s="9"/>
      <c r="L48" s="9"/>
      <c r="M48" s="9" t="s">
        <v>40</v>
      </c>
      <c r="N48" s="9"/>
      <c r="O48" s="9"/>
      <c r="P48" s="92"/>
      <c r="Q48" s="87"/>
      <c r="R48" s="140"/>
      <c r="S48" s="141"/>
    </row>
    <row r="49" spans="1:19" s="11" customFormat="1">
      <c r="A49" s="9">
        <v>20</v>
      </c>
      <c r="B49" s="9"/>
      <c r="C49" s="9"/>
      <c r="D49" s="9" t="s">
        <v>48</v>
      </c>
      <c r="E49" s="57" t="s">
        <v>135</v>
      </c>
      <c r="F49" s="57"/>
      <c r="G49" s="58" t="s">
        <v>283</v>
      </c>
      <c r="H49" s="58" t="s">
        <v>66</v>
      </c>
      <c r="I49" s="9"/>
      <c r="J49" s="9" t="s">
        <v>40</v>
      </c>
      <c r="K49" s="9"/>
      <c r="L49" s="9"/>
      <c r="M49" s="9" t="s">
        <v>40</v>
      </c>
      <c r="N49" s="9"/>
      <c r="O49" s="9"/>
      <c r="P49" s="92"/>
      <c r="Q49" s="87"/>
      <c r="R49" s="140"/>
      <c r="S49" s="141"/>
    </row>
    <row r="50" spans="1:19" s="11" customFormat="1">
      <c r="A50" s="9">
        <v>20</v>
      </c>
      <c r="B50" s="9"/>
      <c r="C50" s="9"/>
      <c r="D50" s="9" t="s">
        <v>15</v>
      </c>
      <c r="E50" s="57" t="s">
        <v>75</v>
      </c>
      <c r="F50" s="57"/>
      <c r="G50" s="58" t="s">
        <v>284</v>
      </c>
      <c r="H50" s="58" t="s">
        <v>221</v>
      </c>
      <c r="I50" s="9"/>
      <c r="J50" s="9" t="s">
        <v>40</v>
      </c>
      <c r="K50" s="9"/>
      <c r="L50" s="9"/>
      <c r="M50" s="9" t="s">
        <v>40</v>
      </c>
      <c r="N50" s="9"/>
      <c r="O50" s="9"/>
      <c r="P50" s="92"/>
      <c r="Q50" s="87"/>
      <c r="R50" s="140"/>
      <c r="S50" s="141"/>
    </row>
    <row r="51" spans="1:19" s="11" customFormat="1">
      <c r="A51" s="9">
        <v>20</v>
      </c>
      <c r="B51" s="9"/>
      <c r="C51" s="9"/>
      <c r="D51" s="9" t="s">
        <v>73</v>
      </c>
      <c r="E51" s="57" t="s">
        <v>136</v>
      </c>
      <c r="F51" s="57"/>
      <c r="G51" s="58" t="s">
        <v>285</v>
      </c>
      <c r="H51" s="58" t="s">
        <v>222</v>
      </c>
      <c r="I51" s="9"/>
      <c r="J51" s="9" t="s">
        <v>40</v>
      </c>
      <c r="K51" s="9"/>
      <c r="L51" s="9"/>
      <c r="M51" s="9" t="s">
        <v>40</v>
      </c>
      <c r="N51" s="9"/>
      <c r="O51" s="9"/>
      <c r="P51" s="92"/>
      <c r="Q51" s="87"/>
      <c r="R51" s="140"/>
      <c r="S51" s="141"/>
    </row>
    <row r="52" spans="1:19" s="11" customFormat="1">
      <c r="A52" s="9">
        <v>20</v>
      </c>
      <c r="B52" s="9"/>
      <c r="C52" s="9"/>
      <c r="D52" s="9" t="s">
        <v>77</v>
      </c>
      <c r="E52" s="57" t="s">
        <v>137</v>
      </c>
      <c r="F52" s="57"/>
      <c r="G52" s="58" t="s">
        <v>286</v>
      </c>
      <c r="H52" s="58" t="s">
        <v>223</v>
      </c>
      <c r="I52" s="9"/>
      <c r="J52" s="9" t="s">
        <v>40</v>
      </c>
      <c r="K52" s="9"/>
      <c r="L52" s="9"/>
      <c r="M52" s="9"/>
      <c r="N52" s="9"/>
      <c r="O52" s="9"/>
      <c r="P52" s="92"/>
      <c r="Q52" s="87"/>
      <c r="R52" s="140"/>
      <c r="S52" s="141"/>
    </row>
    <row r="53" spans="1:19" s="11" customFormat="1">
      <c r="A53" s="9">
        <v>20</v>
      </c>
      <c r="B53" s="9"/>
      <c r="C53" s="9"/>
      <c r="D53" s="9" t="s">
        <v>78</v>
      </c>
      <c r="E53" s="57" t="s">
        <v>74</v>
      </c>
      <c r="F53" s="57"/>
      <c r="G53" s="58" t="s">
        <v>287</v>
      </c>
      <c r="H53" s="58" t="s">
        <v>224</v>
      </c>
      <c r="I53" s="9"/>
      <c r="J53" s="9" t="s">
        <v>40</v>
      </c>
      <c r="K53" s="9"/>
      <c r="L53" s="9"/>
      <c r="M53" s="9" t="s">
        <v>40</v>
      </c>
      <c r="N53" s="9"/>
      <c r="O53" s="9"/>
      <c r="P53" s="92"/>
      <c r="Q53" s="87"/>
      <c r="R53" s="140"/>
      <c r="S53" s="141"/>
    </row>
    <row r="54" spans="1:19" s="11" customFormat="1">
      <c r="A54" s="9">
        <v>20</v>
      </c>
      <c r="B54" s="9"/>
      <c r="C54" s="9"/>
      <c r="D54" s="9" t="s">
        <v>89</v>
      </c>
      <c r="E54" s="57" t="s">
        <v>134</v>
      </c>
      <c r="F54" s="57"/>
      <c r="G54" s="58" t="s">
        <v>288</v>
      </c>
      <c r="H54" s="58" t="s">
        <v>225</v>
      </c>
      <c r="I54" s="9"/>
      <c r="J54" s="9" t="s">
        <v>40</v>
      </c>
      <c r="K54" s="9"/>
      <c r="L54" s="9"/>
      <c r="M54" s="9" t="s">
        <v>40</v>
      </c>
      <c r="N54" s="9"/>
      <c r="O54" s="9"/>
      <c r="P54" s="92"/>
      <c r="Q54" s="87"/>
      <c r="R54" s="140"/>
      <c r="S54" s="141"/>
    </row>
    <row r="55" spans="1:19" s="11" customFormat="1">
      <c r="A55" s="9">
        <v>20</v>
      </c>
      <c r="B55" s="9"/>
      <c r="C55" s="9"/>
      <c r="D55" s="9" t="s">
        <v>90</v>
      </c>
      <c r="E55" s="57" t="s">
        <v>135</v>
      </c>
      <c r="F55" s="57"/>
      <c r="G55" s="58" t="s">
        <v>289</v>
      </c>
      <c r="H55" s="58" t="s">
        <v>226</v>
      </c>
      <c r="I55" s="9"/>
      <c r="J55" s="9" t="s">
        <v>40</v>
      </c>
      <c r="K55" s="9"/>
      <c r="L55" s="9"/>
      <c r="M55" s="9" t="s">
        <v>40</v>
      </c>
      <c r="N55" s="9"/>
      <c r="O55" s="9"/>
      <c r="P55" s="92"/>
      <c r="Q55" s="87"/>
      <c r="R55" s="140"/>
      <c r="S55" s="141"/>
    </row>
    <row r="56" spans="1:19" s="11" customFormat="1">
      <c r="A56" s="9">
        <v>20</v>
      </c>
      <c r="B56" s="9"/>
      <c r="C56" s="9"/>
      <c r="D56" s="9" t="s">
        <v>91</v>
      </c>
      <c r="E56" s="57" t="s">
        <v>75</v>
      </c>
      <c r="F56" s="57"/>
      <c r="G56" s="58" t="s">
        <v>290</v>
      </c>
      <c r="H56" s="58" t="s">
        <v>227</v>
      </c>
      <c r="I56" s="9"/>
      <c r="J56" s="9" t="s">
        <v>40</v>
      </c>
      <c r="K56" s="9"/>
      <c r="L56" s="9"/>
      <c r="M56" s="9" t="s">
        <v>40</v>
      </c>
      <c r="N56" s="9"/>
      <c r="O56" s="9"/>
      <c r="P56" s="92"/>
      <c r="Q56" s="87"/>
      <c r="R56" s="140"/>
      <c r="S56" s="141"/>
    </row>
    <row r="57" spans="1:19" s="11" customFormat="1">
      <c r="A57" s="98"/>
      <c r="B57" s="68"/>
      <c r="C57" s="68"/>
      <c r="D57" s="99" t="s">
        <v>4</v>
      </c>
      <c r="E57" s="69"/>
      <c r="F57" s="100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101"/>
    </row>
    <row r="58" spans="1:19" s="11" customFormat="1">
      <c r="A58" s="113"/>
      <c r="S58" s="65"/>
    </row>
    <row r="59" spans="1:19" s="11" customFormat="1">
      <c r="A59" s="113"/>
      <c r="S59" s="65"/>
    </row>
    <row r="60" spans="1:19" s="11" customFormat="1">
      <c r="A60" s="113"/>
      <c r="S60" s="65"/>
    </row>
    <row r="61" spans="1:19" s="11" customFormat="1">
      <c r="A61" s="113"/>
      <c r="S61" s="65"/>
    </row>
    <row r="62" spans="1:19" s="11" customFormat="1">
      <c r="A62" s="118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1"/>
    </row>
  </sheetData>
  <mergeCells count="43">
    <mergeCell ref="R12:S12"/>
    <mergeCell ref="R19:S19"/>
    <mergeCell ref="R14:S14"/>
    <mergeCell ref="R15:S15"/>
    <mergeCell ref="R31:S31"/>
    <mergeCell ref="R20:S20"/>
    <mergeCell ref="R23:S23"/>
    <mergeCell ref="R27:S27"/>
    <mergeCell ref="R21:S21"/>
    <mergeCell ref="R13:S13"/>
    <mergeCell ref="R30:S30"/>
    <mergeCell ref="R22:S22"/>
    <mergeCell ref="R24:S24"/>
    <mergeCell ref="R18:S18"/>
    <mergeCell ref="R16:S16"/>
    <mergeCell ref="R17:S17"/>
    <mergeCell ref="R56:S56"/>
    <mergeCell ref="R55:S55"/>
    <mergeCell ref="R45:S45"/>
    <mergeCell ref="R41:S41"/>
    <mergeCell ref="R43:S43"/>
    <mergeCell ref="R54:S54"/>
    <mergeCell ref="R48:S48"/>
    <mergeCell ref="R52:S52"/>
    <mergeCell ref="R51:S51"/>
    <mergeCell ref="R50:S50"/>
    <mergeCell ref="R53:S53"/>
    <mergeCell ref="R49:S49"/>
    <mergeCell ref="R47:S47"/>
    <mergeCell ref="R46:S46"/>
    <mergeCell ref="R42:S42"/>
    <mergeCell ref="R39:S39"/>
    <mergeCell ref="R44:S44"/>
    <mergeCell ref="R40:S40"/>
    <mergeCell ref="R38:S38"/>
    <mergeCell ref="R28:S28"/>
    <mergeCell ref="R29:S29"/>
    <mergeCell ref="R33:S33"/>
    <mergeCell ref="R32:S32"/>
    <mergeCell ref="R34:S34"/>
    <mergeCell ref="R35:S35"/>
    <mergeCell ref="R37:S37"/>
    <mergeCell ref="R36:S3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T27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9.36328125" style="67" bestFit="1" customWidth="1"/>
    <col min="12" max="12" width="25.6328125" style="67" customWidth="1"/>
    <col min="13" max="13" width="14.453125" style="67" bestFit="1" customWidth="1"/>
    <col min="14" max="14" width="50.6328125" style="67" customWidth="1"/>
    <col min="15" max="15" width="12.81640625" style="67" bestFit="1" customWidth="1"/>
    <col min="16" max="16" width="9.453125" style="67" bestFit="1" customWidth="1"/>
    <col min="17" max="17" width="30.81640625" style="66" customWidth="1"/>
    <col min="18" max="18" width="9" style="66"/>
    <col min="19" max="19" width="15.81640625" style="66" customWidth="1"/>
    <col min="20" max="16384" width="9" style="66"/>
  </cols>
  <sheetData>
    <row r="1" spans="1:20" s="11" customFormat="1">
      <c r="A1" s="109" t="s">
        <v>16</v>
      </c>
      <c r="B1" s="109" t="s">
        <v>16</v>
      </c>
      <c r="C1" s="10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</row>
    <row r="2" spans="1:20" s="11" customFormat="1" ht="40" customHeight="1">
      <c r="A2" s="110" t="s">
        <v>16</v>
      </c>
      <c r="B2" s="111"/>
      <c r="C2" s="111"/>
      <c r="D2" s="122" t="s">
        <v>245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MABSL0500</v>
      </c>
      <c r="I2" s="7" t="s">
        <v>30</v>
      </c>
      <c r="J2" s="9" t="s">
        <v>114</v>
      </c>
      <c r="K2" s="7" t="s">
        <v>31</v>
      </c>
      <c r="L2" s="112" t="str">
        <f>IF(LogicCommon!G2="","",LogicCommon!G2)</f>
        <v>MC</v>
      </c>
      <c r="M2" s="5" t="s">
        <v>32</v>
      </c>
      <c r="N2" s="30" t="s">
        <v>238</v>
      </c>
      <c r="O2" s="7"/>
      <c r="P2" s="7"/>
      <c r="Q2" s="4"/>
      <c r="R2" s="66"/>
      <c r="S2" s="66"/>
      <c r="T2" s="66"/>
    </row>
    <row r="3" spans="1:20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MABSL_GrsAllocCtlReg</v>
      </c>
      <c r="I3" s="7" t="s">
        <v>33</v>
      </c>
      <c r="J3" s="9" t="s">
        <v>34</v>
      </c>
      <c r="K3" s="7" t="s">
        <v>35</v>
      </c>
      <c r="L3" s="112" t="str">
        <f>IF(LogicCommon!G3="","",LogicCommon!G3)</f>
        <v/>
      </c>
      <c r="M3" s="116" t="s">
        <v>36</v>
      </c>
      <c r="N3" s="7"/>
      <c r="O3" s="7" t="s">
        <v>37</v>
      </c>
      <c r="P3" s="9" t="s">
        <v>38</v>
      </c>
      <c r="Q3" s="4"/>
      <c r="R3" s="66"/>
      <c r="S3" s="66"/>
      <c r="T3" s="66"/>
    </row>
    <row r="4" spans="1:20" s="11" customFormat="1">
      <c r="A4" s="113" t="s">
        <v>16</v>
      </c>
      <c r="B4" s="114"/>
      <c r="C4" s="114"/>
      <c r="D4" s="4"/>
      <c r="E4" s="7" t="s">
        <v>8</v>
      </c>
      <c r="F4" s="10" t="s">
        <v>202</v>
      </c>
      <c r="G4" s="7" t="s">
        <v>11</v>
      </c>
      <c r="H4" s="112" t="str">
        <f>IF(LogicCommon!E4="","",LogicCommon!E4)</f>
        <v>総量・場所引当制御マスタ登録</v>
      </c>
      <c r="I4" s="7" t="s">
        <v>39</v>
      </c>
      <c r="J4" s="9" t="s">
        <v>81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6"/>
      <c r="S4" s="66"/>
      <c r="T4" s="66"/>
    </row>
    <row r="5" spans="1:20" s="11" customFormat="1">
      <c r="A5" s="118" t="s">
        <v>16</v>
      </c>
      <c r="B5" s="109"/>
      <c r="C5" s="109"/>
      <c r="D5" s="27"/>
      <c r="E5" s="7" t="s">
        <v>23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6"/>
      <c r="S5" s="66"/>
      <c r="T5" s="66"/>
    </row>
    <row r="6" spans="1:20" s="11" customFormat="1">
      <c r="A6" s="113" t="s">
        <v>16</v>
      </c>
      <c r="B6" s="114"/>
      <c r="C6" s="114"/>
      <c r="D6" s="4" t="s">
        <v>6</v>
      </c>
      <c r="E6" s="17" t="s">
        <v>173</v>
      </c>
      <c r="F6" s="17"/>
      <c r="G6" s="17"/>
      <c r="H6" s="17"/>
      <c r="I6" s="17"/>
      <c r="J6" s="17"/>
      <c r="K6" s="17"/>
      <c r="L6" s="120" t="s">
        <v>42</v>
      </c>
      <c r="M6" s="20"/>
      <c r="N6" s="20" t="s">
        <v>42</v>
      </c>
      <c r="O6" s="20"/>
      <c r="P6" s="20" t="s">
        <v>42</v>
      </c>
      <c r="Q6" s="20"/>
      <c r="R6" s="67"/>
      <c r="S6" s="67"/>
      <c r="T6" s="66"/>
    </row>
    <row r="7" spans="1:20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49</v>
      </c>
      <c r="J7" s="69"/>
      <c r="K7" s="70" t="s">
        <v>50</v>
      </c>
      <c r="L7" s="71" t="s">
        <v>103</v>
      </c>
      <c r="M7" s="70" t="s">
        <v>83</v>
      </c>
      <c r="N7" s="71" t="s">
        <v>104</v>
      </c>
      <c r="O7" s="70" t="s">
        <v>83</v>
      </c>
      <c r="P7" s="71"/>
      <c r="Q7" s="67"/>
      <c r="R7" s="67"/>
      <c r="S7" s="67"/>
      <c r="T7" s="67"/>
    </row>
    <row r="8" spans="1:20" s="11" customFormat="1" ht="60" customHeight="1">
      <c r="A8" s="57" t="s">
        <v>18</v>
      </c>
      <c r="B8" s="125"/>
      <c r="C8" s="126"/>
      <c r="D8" s="123" t="s">
        <v>246</v>
      </c>
      <c r="E8" s="123" t="s">
        <v>247</v>
      </c>
      <c r="F8" s="120"/>
      <c r="G8" s="123" t="s">
        <v>203</v>
      </c>
      <c r="H8" s="123" t="s">
        <v>248</v>
      </c>
      <c r="I8" s="120"/>
      <c r="J8" s="3"/>
      <c r="K8" s="70" t="s">
        <v>17</v>
      </c>
      <c r="L8" s="72" t="s">
        <v>154</v>
      </c>
      <c r="M8" s="70" t="s">
        <v>84</v>
      </c>
      <c r="N8" s="72" t="s">
        <v>155</v>
      </c>
      <c r="O8" s="70" t="s">
        <v>84</v>
      </c>
      <c r="P8" s="72"/>
      <c r="Q8" s="134"/>
      <c r="R8" s="135"/>
      <c r="S8" s="136" t="s">
        <v>257</v>
      </c>
      <c r="T8" s="87"/>
    </row>
    <row r="9" spans="1:20" s="11" customFormat="1" ht="60" customHeight="1">
      <c r="A9" s="9" t="s">
        <v>18</v>
      </c>
      <c r="B9" s="41"/>
      <c r="C9" s="42"/>
      <c r="D9" s="123" t="s">
        <v>249</v>
      </c>
      <c r="E9" s="131" t="s">
        <v>250</v>
      </c>
      <c r="F9" s="123" t="s">
        <v>251</v>
      </c>
      <c r="G9" s="123" t="s">
        <v>252</v>
      </c>
      <c r="H9" s="123" t="s">
        <v>253</v>
      </c>
      <c r="I9" s="132" t="s">
        <v>254</v>
      </c>
      <c r="J9" s="123" t="s">
        <v>255</v>
      </c>
      <c r="K9" s="70"/>
      <c r="L9" s="70"/>
      <c r="M9" s="70"/>
      <c r="N9" s="70"/>
      <c r="O9" s="70"/>
      <c r="P9" s="70"/>
      <c r="Q9" s="136" t="s">
        <v>256</v>
      </c>
      <c r="R9" s="87"/>
      <c r="S9" s="136" t="s">
        <v>258</v>
      </c>
      <c r="T9" s="87"/>
    </row>
    <row r="10" spans="1:20" s="11" customFormat="1" ht="52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254</v>
      </c>
      <c r="L10" s="133" t="s">
        <v>255</v>
      </c>
      <c r="M10" s="133" t="s">
        <v>254</v>
      </c>
      <c r="N10" s="133" t="s">
        <v>255</v>
      </c>
      <c r="O10" s="133" t="s">
        <v>254</v>
      </c>
      <c r="P10" s="133" t="s">
        <v>255</v>
      </c>
      <c r="Q10" s="78"/>
      <c r="R10" s="78"/>
      <c r="S10" s="79"/>
      <c r="T10" s="74"/>
    </row>
    <row r="11" spans="1:20" s="11" customFormat="1">
      <c r="A11" s="9">
        <v>10</v>
      </c>
      <c r="B11" s="41" t="s">
        <v>0</v>
      </c>
      <c r="C11" s="42"/>
      <c r="D11" s="30" t="s">
        <v>156</v>
      </c>
      <c r="E11" s="80" t="s">
        <v>22</v>
      </c>
      <c r="F11" s="81"/>
      <c r="G11" s="30" t="s">
        <v>98</v>
      </c>
      <c r="H11" s="82" t="s">
        <v>232</v>
      </c>
      <c r="I11" s="83"/>
      <c r="J11" s="84"/>
      <c r="K11" s="85" t="s">
        <v>233</v>
      </c>
      <c r="L11" s="85"/>
      <c r="M11" s="85" t="s">
        <v>234</v>
      </c>
      <c r="N11" s="85"/>
      <c r="O11" s="85"/>
      <c r="P11" s="85"/>
      <c r="Q11" s="73"/>
      <c r="R11" s="74"/>
      <c r="S11" s="108"/>
      <c r="T11" s="86"/>
    </row>
    <row r="12" spans="1:20" s="11" customFormat="1" ht="26">
      <c r="A12" s="9">
        <v>10</v>
      </c>
      <c r="B12" s="9"/>
      <c r="C12" s="9"/>
      <c r="D12" s="9" t="s">
        <v>127</v>
      </c>
      <c r="E12" s="57" t="s">
        <v>129</v>
      </c>
      <c r="F12" s="57"/>
      <c r="G12" s="58" t="s">
        <v>259</v>
      </c>
      <c r="H12" s="58" t="s">
        <v>189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2"/>
      <c r="R12" s="87"/>
      <c r="S12" s="140"/>
      <c r="T12" s="141"/>
    </row>
    <row r="13" spans="1:20" s="11" customFormat="1">
      <c r="A13" s="9">
        <v>10</v>
      </c>
      <c r="B13" s="9"/>
      <c r="C13" s="9"/>
      <c r="D13" s="9" t="s">
        <v>125</v>
      </c>
      <c r="E13" s="57" t="s">
        <v>131</v>
      </c>
      <c r="F13" s="57"/>
      <c r="G13" s="58" t="s">
        <v>260</v>
      </c>
      <c r="H13" s="58" t="s">
        <v>192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2"/>
      <c r="R13" s="87"/>
      <c r="S13" s="140"/>
      <c r="T13" s="141"/>
    </row>
    <row r="14" spans="1:20" s="11" customFormat="1">
      <c r="A14" s="9">
        <v>10</v>
      </c>
      <c r="B14" s="9"/>
      <c r="C14" s="9"/>
      <c r="D14" s="9" t="s">
        <v>161</v>
      </c>
      <c r="E14" s="57" t="s">
        <v>117</v>
      </c>
      <c r="F14" s="57"/>
      <c r="G14" s="58" t="s">
        <v>261</v>
      </c>
      <c r="H14" s="58" t="s">
        <v>194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2"/>
      <c r="R14" s="87"/>
      <c r="S14" s="140"/>
      <c r="T14" s="141"/>
    </row>
    <row r="15" spans="1:20" s="11" customFormat="1">
      <c r="A15" s="9">
        <v>10</v>
      </c>
      <c r="B15" s="9"/>
      <c r="C15" s="9"/>
      <c r="D15" s="9" t="s">
        <v>178</v>
      </c>
      <c r="E15" s="57" t="s">
        <v>179</v>
      </c>
      <c r="F15" s="57"/>
      <c r="G15" s="58" t="s">
        <v>262</v>
      </c>
      <c r="H15" s="58" t="s">
        <v>196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2"/>
      <c r="R15" s="87"/>
      <c r="S15" s="140"/>
      <c r="T15" s="141"/>
    </row>
    <row r="16" spans="1:20" s="11" customFormat="1">
      <c r="A16" s="9">
        <v>10</v>
      </c>
      <c r="B16" s="9"/>
      <c r="C16" s="9"/>
      <c r="D16" s="9" t="s">
        <v>180</v>
      </c>
      <c r="E16" s="57" t="s">
        <v>181</v>
      </c>
      <c r="F16" s="57"/>
      <c r="G16" s="58" t="s">
        <v>263</v>
      </c>
      <c r="H16" s="58" t="s">
        <v>198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2"/>
      <c r="R16" s="87"/>
      <c r="S16" s="140"/>
      <c r="T16" s="141"/>
    </row>
    <row r="17" spans="1:20" s="11" customFormat="1">
      <c r="A17" s="9">
        <v>10</v>
      </c>
      <c r="B17" s="9"/>
      <c r="C17" s="9"/>
      <c r="D17" s="9" t="s">
        <v>235</v>
      </c>
      <c r="E17" s="57" t="s">
        <v>164</v>
      </c>
      <c r="F17" s="57"/>
      <c r="G17" s="58" t="s">
        <v>264</v>
      </c>
      <c r="H17" s="58" t="s">
        <v>200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2"/>
      <c r="R17" s="87"/>
      <c r="S17" s="140"/>
      <c r="T17" s="141"/>
    </row>
    <row r="18" spans="1:20" s="11" customFormat="1">
      <c r="A18" s="9">
        <v>10</v>
      </c>
      <c r="B18" s="9"/>
      <c r="C18" s="9"/>
      <c r="D18" s="9" t="s">
        <v>53</v>
      </c>
      <c r="E18" s="57" t="s">
        <v>55</v>
      </c>
      <c r="F18" s="57"/>
      <c r="G18" s="58" t="s">
        <v>265</v>
      </c>
      <c r="H18" s="58" t="s">
        <v>57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2"/>
      <c r="R18" s="87"/>
      <c r="S18" s="140"/>
      <c r="T18" s="141"/>
    </row>
    <row r="19" spans="1:20" s="11" customFormat="1">
      <c r="A19" s="9">
        <v>10</v>
      </c>
      <c r="B19" s="9"/>
      <c r="C19" s="9"/>
      <c r="D19" s="9" t="s">
        <v>64</v>
      </c>
      <c r="E19" s="57" t="s">
        <v>65</v>
      </c>
      <c r="F19" s="57"/>
      <c r="G19" s="58" t="s">
        <v>266</v>
      </c>
      <c r="H19" s="58" t="s">
        <v>58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2"/>
      <c r="R19" s="87"/>
      <c r="S19" s="140"/>
      <c r="T19" s="141"/>
    </row>
    <row r="20" spans="1:20" s="11" customFormat="1">
      <c r="A20" s="9">
        <v>10</v>
      </c>
      <c r="B20" s="9"/>
      <c r="C20" s="9"/>
      <c r="D20" s="9" t="s">
        <v>59</v>
      </c>
      <c r="E20" s="57" t="s">
        <v>61</v>
      </c>
      <c r="F20" s="57"/>
      <c r="G20" s="58" t="s">
        <v>267</v>
      </c>
      <c r="H20" s="58" t="s">
        <v>63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2"/>
      <c r="R20" s="87"/>
      <c r="S20" s="140"/>
      <c r="T20" s="141"/>
    </row>
    <row r="21" spans="1:20" s="11" customFormat="1">
      <c r="A21" s="9">
        <v>10</v>
      </c>
      <c r="B21" s="9"/>
      <c r="C21" s="9"/>
      <c r="D21" s="9" t="s">
        <v>88</v>
      </c>
      <c r="E21" s="57" t="s">
        <v>68</v>
      </c>
      <c r="F21" s="57"/>
      <c r="G21" s="58" t="s">
        <v>268</v>
      </c>
      <c r="H21" s="58" t="s">
        <v>70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2"/>
      <c r="R21" s="87"/>
      <c r="S21" s="140"/>
      <c r="T21" s="141"/>
    </row>
    <row r="22" spans="1:20" s="11" customFormat="1">
      <c r="A22" s="9">
        <v>10</v>
      </c>
      <c r="B22" s="9"/>
      <c r="C22" s="9"/>
      <c r="D22" s="9" t="s">
        <v>94</v>
      </c>
      <c r="E22" s="57" t="s">
        <v>95</v>
      </c>
      <c r="F22" s="57"/>
      <c r="G22" s="58" t="s">
        <v>269</v>
      </c>
      <c r="H22" s="58" t="s">
        <v>93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2"/>
      <c r="R22" s="87"/>
      <c r="S22" s="140"/>
      <c r="T22" s="141"/>
    </row>
    <row r="23" spans="1:20" s="11" customFormat="1">
      <c r="A23" s="88"/>
      <c r="B23" s="89"/>
      <c r="C23" s="89"/>
      <c r="D23" s="66" t="s">
        <v>1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4"/>
      <c r="R23" s="4"/>
      <c r="S23" s="6"/>
      <c r="T23" s="24"/>
    </row>
    <row r="24" spans="1:20" s="11" customFormat="1">
      <c r="A24" s="113"/>
      <c r="T24" s="65"/>
    </row>
    <row r="25" spans="1:20" s="11" customFormat="1">
      <c r="A25" s="113"/>
      <c r="T25" s="65"/>
    </row>
    <row r="26" spans="1:20" s="11" customFormat="1">
      <c r="A26" s="113"/>
      <c r="T26" s="65"/>
    </row>
    <row r="27" spans="1:20" s="11" customFormat="1">
      <c r="A27" s="11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1"/>
    </row>
  </sheetData>
  <dataConsolidate/>
  <mergeCells count="11">
    <mergeCell ref="S17:T17"/>
    <mergeCell ref="S13:T13"/>
    <mergeCell ref="S14:T14"/>
    <mergeCell ref="S12:T12"/>
    <mergeCell ref="S22:T22"/>
    <mergeCell ref="S20:T20"/>
    <mergeCell ref="S19:T19"/>
    <mergeCell ref="S18:T18"/>
    <mergeCell ref="S21:T21"/>
    <mergeCell ref="S15:T15"/>
    <mergeCell ref="S16:T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6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08984375" style="67" customWidth="1"/>
    <col min="9" max="10" width="15.81640625" style="67" customWidth="1"/>
    <col min="11" max="11" width="19.36328125" style="67" bestFit="1" customWidth="1"/>
    <col min="12" max="12" width="31.1796875" style="67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4.453125" style="67" bestFit="1" customWidth="1"/>
    <col min="17" max="17" width="20.453125" style="66" bestFit="1" customWidth="1"/>
    <col min="18" max="18" width="9" style="66"/>
    <col min="19" max="19" width="13.90625" style="66" bestFit="1" customWidth="1"/>
    <col min="20" max="16384" width="9" style="66"/>
  </cols>
  <sheetData>
    <row r="1" spans="1:18" s="11" customFormat="1">
      <c r="A1" s="109" t="s">
        <v>16</v>
      </c>
      <c r="B1" s="109" t="s">
        <v>16</v>
      </c>
      <c r="C1" s="109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0" t="s">
        <v>16</v>
      </c>
      <c r="B2" s="111"/>
      <c r="C2" s="111"/>
      <c r="D2" s="122" t="s">
        <v>245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MABSL0500</v>
      </c>
      <c r="I2" s="7" t="s">
        <v>30</v>
      </c>
      <c r="J2" s="9" t="s">
        <v>112</v>
      </c>
      <c r="K2" s="7" t="s">
        <v>31</v>
      </c>
      <c r="L2" s="112" t="str">
        <f>IF(LogicCommon!G2="","",LogicCommon!G2)</f>
        <v>MC</v>
      </c>
      <c r="M2" s="5" t="s">
        <v>32</v>
      </c>
      <c r="N2" s="30" t="s">
        <v>239</v>
      </c>
      <c r="O2" s="7"/>
      <c r="P2" s="7"/>
      <c r="Q2" s="4"/>
      <c r="R2" s="66"/>
    </row>
    <row r="3" spans="1:18" s="11" customFormat="1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MABSL_GrsAllocCtlReg</v>
      </c>
      <c r="I3" s="7" t="s">
        <v>33</v>
      </c>
      <c r="J3" s="9" t="s">
        <v>34</v>
      </c>
      <c r="K3" s="7" t="s">
        <v>35</v>
      </c>
      <c r="L3" s="112" t="str">
        <f>IF(LogicCommon!G3="","",LogicCommon!G3)</f>
        <v/>
      </c>
      <c r="M3" s="116" t="s">
        <v>36</v>
      </c>
      <c r="N3" s="7"/>
      <c r="O3" s="7" t="s">
        <v>37</v>
      </c>
      <c r="P3" s="9" t="s">
        <v>38</v>
      </c>
      <c r="Q3" s="4"/>
      <c r="R3" s="66"/>
    </row>
    <row r="4" spans="1:18" s="11" customFormat="1">
      <c r="A4" s="113" t="s">
        <v>16</v>
      </c>
      <c r="B4" s="114"/>
      <c r="C4" s="114"/>
      <c r="D4" s="4"/>
      <c r="E4" s="7" t="s">
        <v>8</v>
      </c>
      <c r="F4" s="10" t="s">
        <v>202</v>
      </c>
      <c r="G4" s="7" t="s">
        <v>11</v>
      </c>
      <c r="H4" s="112" t="str">
        <f>IF(LogicCommon!E4="","",LogicCommon!E4)</f>
        <v>総量・場所引当制御マスタ登録</v>
      </c>
      <c r="I4" s="7" t="s">
        <v>39</v>
      </c>
      <c r="J4" s="9" t="s">
        <v>80</v>
      </c>
      <c r="K4" s="7" t="s">
        <v>5</v>
      </c>
      <c r="L4" s="112" t="str">
        <f>IF(LogicCommon!G4="","",LogicCommon!G4)</f>
        <v>MA.MAUDL5010</v>
      </c>
      <c r="M4" s="117"/>
      <c r="N4" s="30"/>
      <c r="O4" s="15"/>
      <c r="P4" s="4"/>
      <c r="Q4" s="4"/>
      <c r="R4" s="66"/>
    </row>
    <row r="5" spans="1:18" s="11" customFormat="1">
      <c r="A5" s="118" t="s">
        <v>16</v>
      </c>
      <c r="B5" s="109"/>
      <c r="C5" s="109"/>
      <c r="D5" s="27"/>
      <c r="E5" s="7" t="s">
        <v>23</v>
      </c>
      <c r="F5" s="10"/>
      <c r="G5" s="119"/>
      <c r="H5" s="119"/>
      <c r="I5" s="119"/>
      <c r="J5" s="119"/>
      <c r="K5" s="119"/>
      <c r="L5" s="6"/>
      <c r="M5" s="5"/>
      <c r="N5" s="5"/>
      <c r="O5" s="15"/>
      <c r="P5" s="4"/>
      <c r="Q5" s="4"/>
      <c r="R5" s="66"/>
    </row>
    <row r="6" spans="1:18" s="11" customFormat="1">
      <c r="A6" s="113" t="s">
        <v>16</v>
      </c>
      <c r="B6" s="114"/>
      <c r="C6" s="114"/>
      <c r="D6" s="4" t="s">
        <v>6</v>
      </c>
      <c r="E6" s="17" t="s">
        <v>174</v>
      </c>
      <c r="F6" s="17"/>
      <c r="G6" s="17"/>
      <c r="H6" s="17"/>
      <c r="I6" s="17"/>
      <c r="J6" s="17"/>
      <c r="K6" s="17"/>
      <c r="L6" s="120" t="s">
        <v>42</v>
      </c>
      <c r="M6" s="20"/>
      <c r="N6" s="20" t="s">
        <v>42</v>
      </c>
      <c r="O6" s="20"/>
      <c r="P6" s="20"/>
      <c r="Q6" s="20"/>
      <c r="R6" s="66"/>
    </row>
    <row r="7" spans="1:18" s="11" customFormat="1">
      <c r="A7" s="68" t="s">
        <v>18</v>
      </c>
      <c r="B7" s="68"/>
      <c r="C7" s="68"/>
      <c r="D7" s="69"/>
      <c r="E7" s="69"/>
      <c r="F7" s="69"/>
      <c r="G7" s="69"/>
      <c r="H7" s="69"/>
      <c r="I7" s="69" t="s">
        <v>44</v>
      </c>
      <c r="J7" s="69"/>
      <c r="K7" s="70" t="s">
        <v>45</v>
      </c>
      <c r="L7" s="71" t="s">
        <v>105</v>
      </c>
      <c r="M7" s="70" t="s">
        <v>45</v>
      </c>
      <c r="N7" s="71" t="s">
        <v>106</v>
      </c>
      <c r="O7" s="67"/>
      <c r="P7" s="67"/>
      <c r="Q7" s="67"/>
      <c r="R7" s="67"/>
    </row>
    <row r="8" spans="1:18" s="11" customFormat="1" ht="60" customHeight="1">
      <c r="A8" s="57" t="s">
        <v>18</v>
      </c>
      <c r="B8" s="125"/>
      <c r="C8" s="126"/>
      <c r="D8" s="123" t="s">
        <v>246</v>
      </c>
      <c r="E8" s="123" t="s">
        <v>247</v>
      </c>
      <c r="F8" s="120"/>
      <c r="G8" s="123" t="s">
        <v>203</v>
      </c>
      <c r="H8" s="123" t="s">
        <v>248</v>
      </c>
      <c r="I8" s="120"/>
      <c r="J8" s="3"/>
      <c r="K8" s="70" t="s">
        <v>17</v>
      </c>
      <c r="L8" s="72" t="s">
        <v>159</v>
      </c>
      <c r="M8" s="70" t="s">
        <v>17</v>
      </c>
      <c r="N8" s="72" t="s">
        <v>160</v>
      </c>
      <c r="O8" s="134"/>
      <c r="P8" s="135"/>
      <c r="Q8" s="136" t="s">
        <v>257</v>
      </c>
      <c r="R8" s="87"/>
    </row>
    <row r="9" spans="1:18" s="11" customFormat="1" ht="60" customHeight="1">
      <c r="A9" s="9" t="s">
        <v>18</v>
      </c>
      <c r="B9" s="41"/>
      <c r="C9" s="42"/>
      <c r="D9" s="123" t="s">
        <v>249</v>
      </c>
      <c r="E9" s="131" t="s">
        <v>250</v>
      </c>
      <c r="F9" s="123" t="s">
        <v>251</v>
      </c>
      <c r="G9" s="123" t="s">
        <v>252</v>
      </c>
      <c r="H9" s="123" t="s">
        <v>253</v>
      </c>
      <c r="I9" s="132" t="s">
        <v>254</v>
      </c>
      <c r="J9" s="123" t="s">
        <v>255</v>
      </c>
      <c r="K9" s="70"/>
      <c r="L9" s="70"/>
      <c r="M9" s="70"/>
      <c r="N9" s="70"/>
      <c r="O9" s="136" t="s">
        <v>256</v>
      </c>
      <c r="P9" s="87"/>
      <c r="Q9" s="136" t="s">
        <v>258</v>
      </c>
      <c r="R9" s="87"/>
    </row>
    <row r="10" spans="1:18" s="11" customFormat="1" ht="5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254</v>
      </c>
      <c r="L10" s="133" t="s">
        <v>255</v>
      </c>
      <c r="M10" s="133" t="s">
        <v>254</v>
      </c>
      <c r="N10" s="133" t="s">
        <v>255</v>
      </c>
      <c r="O10" s="78"/>
      <c r="P10" s="78"/>
      <c r="Q10" s="79"/>
      <c r="R10" s="74"/>
    </row>
    <row r="11" spans="1:18" s="11" customFormat="1">
      <c r="A11" s="9">
        <v>10</v>
      </c>
      <c r="B11" s="41" t="s">
        <v>0</v>
      </c>
      <c r="C11" s="42"/>
      <c r="D11" s="30" t="s">
        <v>158</v>
      </c>
      <c r="E11" s="80" t="s">
        <v>22</v>
      </c>
      <c r="F11" s="81"/>
      <c r="G11" s="30" t="s">
        <v>98</v>
      </c>
      <c r="H11" s="82" t="s">
        <v>236</v>
      </c>
      <c r="I11" s="83"/>
      <c r="J11" s="84"/>
      <c r="K11" s="85" t="s">
        <v>151</v>
      </c>
      <c r="L11" s="85"/>
      <c r="M11" s="85" t="s">
        <v>153</v>
      </c>
      <c r="N11" s="85"/>
      <c r="O11" s="73"/>
      <c r="P11" s="74"/>
      <c r="Q11" s="108"/>
      <c r="R11" s="86"/>
    </row>
    <row r="12" spans="1:18" s="11" customFormat="1" ht="26">
      <c r="A12" s="9">
        <v>10</v>
      </c>
      <c r="B12" s="9"/>
      <c r="C12" s="9"/>
      <c r="D12" s="9" t="s">
        <v>127</v>
      </c>
      <c r="E12" s="57" t="s">
        <v>129</v>
      </c>
      <c r="F12" s="57"/>
      <c r="G12" s="58" t="s">
        <v>259</v>
      </c>
      <c r="H12" s="58" t="s">
        <v>207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77"/>
      <c r="P12" s="87"/>
      <c r="Q12" s="140"/>
      <c r="R12" s="141"/>
    </row>
    <row r="13" spans="1:18" s="11" customFormat="1">
      <c r="A13" s="9">
        <v>10</v>
      </c>
      <c r="B13" s="9"/>
      <c r="C13" s="9"/>
      <c r="D13" s="9" t="s">
        <v>125</v>
      </c>
      <c r="E13" s="57" t="s">
        <v>131</v>
      </c>
      <c r="F13" s="57"/>
      <c r="G13" s="58" t="s">
        <v>260</v>
      </c>
      <c r="H13" s="58" t="s">
        <v>192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77"/>
      <c r="P13" s="87"/>
      <c r="Q13" s="140"/>
      <c r="R13" s="141"/>
    </row>
    <row r="14" spans="1:18" s="11" customFormat="1">
      <c r="A14" s="9">
        <v>10</v>
      </c>
      <c r="B14" s="9"/>
      <c r="C14" s="9"/>
      <c r="D14" s="9" t="s">
        <v>165</v>
      </c>
      <c r="E14" s="57" t="s">
        <v>117</v>
      </c>
      <c r="F14" s="57"/>
      <c r="G14" s="58" t="s">
        <v>261</v>
      </c>
      <c r="H14" s="58" t="s">
        <v>194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77"/>
      <c r="P14" s="87"/>
      <c r="Q14" s="140"/>
      <c r="R14" s="141"/>
    </row>
    <row r="15" spans="1:18" s="11" customFormat="1">
      <c r="A15" s="9">
        <v>10</v>
      </c>
      <c r="B15" s="9"/>
      <c r="C15" s="9"/>
      <c r="D15" s="9" t="s">
        <v>178</v>
      </c>
      <c r="E15" s="57" t="s">
        <v>179</v>
      </c>
      <c r="F15" s="57"/>
      <c r="G15" s="58" t="s">
        <v>262</v>
      </c>
      <c r="H15" s="58" t="s">
        <v>196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77"/>
      <c r="P15" s="87"/>
      <c r="Q15" s="140"/>
      <c r="R15" s="141"/>
    </row>
    <row r="16" spans="1:18" s="11" customFormat="1">
      <c r="A16" s="9">
        <v>10</v>
      </c>
      <c r="B16" s="9"/>
      <c r="C16" s="9"/>
      <c r="D16" s="9" t="s">
        <v>94</v>
      </c>
      <c r="E16" s="57" t="s">
        <v>95</v>
      </c>
      <c r="F16" s="57"/>
      <c r="G16" s="58" t="s">
        <v>269</v>
      </c>
      <c r="H16" s="58" t="s">
        <v>93</v>
      </c>
      <c r="I16" s="9" t="s">
        <v>100</v>
      </c>
      <c r="J16" s="9"/>
      <c r="K16" s="9" t="s">
        <v>100</v>
      </c>
      <c r="L16" s="9"/>
      <c r="M16" s="9" t="s">
        <v>100</v>
      </c>
      <c r="N16" s="9"/>
      <c r="O16" s="79"/>
      <c r="P16" s="74"/>
      <c r="Q16" s="108"/>
      <c r="R16" s="86"/>
    </row>
    <row r="17" spans="1:18" s="11" customFormat="1">
      <c r="A17" s="88"/>
      <c r="B17" s="89"/>
      <c r="C17" s="89"/>
      <c r="D17" s="66" t="s">
        <v>1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4"/>
      <c r="P17" s="4"/>
      <c r="Q17" s="6"/>
      <c r="R17" s="24"/>
    </row>
    <row r="18" spans="1:18" s="11" customFormat="1">
      <c r="A18" s="113"/>
      <c r="R18" s="65"/>
    </row>
    <row r="19" spans="1:18" s="11" customFormat="1">
      <c r="A19" s="113"/>
      <c r="R19" s="65"/>
    </row>
    <row r="20" spans="1:18" s="11" customFormat="1">
      <c r="A20" s="113"/>
      <c r="R20" s="65"/>
    </row>
    <row r="21" spans="1:18" s="11" customFormat="1">
      <c r="A21" s="113"/>
      <c r="R21" s="65"/>
    </row>
    <row r="22" spans="1:18" s="11" customFormat="1">
      <c r="A22" s="113"/>
      <c r="R22" s="65"/>
    </row>
    <row r="23" spans="1:18" s="11" customFormat="1">
      <c r="A23" s="113"/>
      <c r="R23" s="65"/>
    </row>
    <row r="24" spans="1:18" s="11" customFormat="1">
      <c r="A24" s="113"/>
      <c r="R24" s="65"/>
    </row>
    <row r="25" spans="1:18" s="11" customFormat="1">
      <c r="A25" s="113"/>
      <c r="R25" s="65"/>
    </row>
    <row r="26" spans="1:18" s="11" customFormat="1">
      <c r="A26" s="118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1"/>
    </row>
  </sheetData>
  <dataConsolidate/>
  <mergeCells count="4">
    <mergeCell ref="Q12:R12"/>
    <mergeCell ref="Q15:R15"/>
    <mergeCell ref="Q13:R13"/>
    <mergeCell ref="Q14:R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105" customWidth="1"/>
    <col min="43" max="44" width="2.08984375" style="106" customWidth="1"/>
    <col min="45" max="71" width="2.08984375" style="105" customWidth="1"/>
    <col min="72" max="16384" width="9" style="105"/>
  </cols>
  <sheetData>
    <row r="1" spans="1:57" s="102" customFormat="1" ht="38.25" customHeight="1" thickBot="1">
      <c r="A1" s="182" t="s">
        <v>24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  <c r="BA1" s="183"/>
      <c r="BB1" s="183"/>
      <c r="BC1" s="183"/>
      <c r="BD1" s="183"/>
      <c r="BE1" s="184"/>
    </row>
    <row r="2" spans="1:57" s="102" customFormat="1" ht="12" customHeight="1" thickBo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4"/>
      <c r="AR2" s="104"/>
    </row>
    <row r="3" spans="1:57" ht="15" customHeight="1" thickBot="1">
      <c r="A3" s="150" t="s">
        <v>25</v>
      </c>
      <c r="B3" s="151"/>
      <c r="C3" s="151"/>
      <c r="D3" s="151"/>
      <c r="E3" s="151"/>
      <c r="F3" s="151"/>
      <c r="G3" s="152"/>
      <c r="H3" s="185" t="s">
        <v>26</v>
      </c>
      <c r="I3" s="151"/>
      <c r="J3" s="151"/>
      <c r="K3" s="151"/>
      <c r="L3" s="151"/>
      <c r="M3" s="151"/>
      <c r="N3" s="152"/>
      <c r="O3" s="185" t="s">
        <v>27</v>
      </c>
      <c r="P3" s="186"/>
      <c r="Q3" s="186"/>
      <c r="R3" s="186"/>
      <c r="S3" s="186"/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7"/>
      <c r="AQ3" s="188" t="s">
        <v>28</v>
      </c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90"/>
    </row>
    <row r="4" spans="1:57" ht="15" customHeight="1">
      <c r="A4" s="158">
        <v>1</v>
      </c>
      <c r="B4" s="159"/>
      <c r="C4" s="159"/>
      <c r="D4" s="159"/>
      <c r="E4" s="159"/>
      <c r="F4" s="159"/>
      <c r="G4" s="160"/>
      <c r="H4" s="143"/>
      <c r="I4" s="144"/>
      <c r="J4" s="144"/>
      <c r="K4" s="144"/>
      <c r="L4" s="144"/>
      <c r="M4" s="144"/>
      <c r="N4" s="145"/>
      <c r="O4" s="143" t="s">
        <v>29</v>
      </c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7"/>
      <c r="AQ4" s="148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9"/>
    </row>
    <row r="5" spans="1:57" ht="15" customHeight="1">
      <c r="A5" s="161">
        <v>1.1000000000000001</v>
      </c>
      <c r="B5" s="162"/>
      <c r="C5" s="162"/>
      <c r="D5" s="162"/>
      <c r="E5" s="162"/>
      <c r="F5" s="162"/>
      <c r="G5" s="163"/>
      <c r="H5" s="153"/>
      <c r="I5" s="164"/>
      <c r="J5" s="164"/>
      <c r="K5" s="164"/>
      <c r="L5" s="164"/>
      <c r="M5" s="164"/>
      <c r="N5" s="165"/>
      <c r="O5" s="166" t="s">
        <v>291</v>
      </c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  <c r="AK5" s="167"/>
      <c r="AL5" s="167"/>
      <c r="AM5" s="167"/>
      <c r="AN5" s="167"/>
      <c r="AO5" s="167"/>
      <c r="AP5" s="168"/>
      <c r="AQ5" s="169" t="s">
        <v>292</v>
      </c>
      <c r="AR5" s="170"/>
      <c r="AS5" s="170"/>
      <c r="AT5" s="170"/>
      <c r="AU5" s="170"/>
      <c r="AV5" s="170"/>
      <c r="AW5" s="170"/>
      <c r="AX5" s="170"/>
      <c r="AY5" s="170"/>
      <c r="AZ5" s="170"/>
      <c r="BA5" s="170"/>
      <c r="BB5" s="170"/>
      <c r="BC5" s="170"/>
      <c r="BD5" s="170"/>
      <c r="BE5" s="171"/>
    </row>
    <row r="6" spans="1:57" ht="15" customHeight="1">
      <c r="A6" s="161"/>
      <c r="B6" s="162"/>
      <c r="C6" s="162"/>
      <c r="D6" s="162"/>
      <c r="E6" s="162"/>
      <c r="F6" s="162"/>
      <c r="G6" s="163"/>
      <c r="H6" s="153"/>
      <c r="I6" s="164"/>
      <c r="J6" s="164"/>
      <c r="K6" s="164"/>
      <c r="L6" s="164"/>
      <c r="M6" s="164"/>
      <c r="N6" s="165"/>
      <c r="O6" s="153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5"/>
      <c r="AQ6" s="156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7"/>
    </row>
    <row r="7" spans="1:57" ht="15" customHeight="1">
      <c r="A7" s="161"/>
      <c r="B7" s="162"/>
      <c r="C7" s="162"/>
      <c r="D7" s="162"/>
      <c r="E7" s="162"/>
      <c r="F7" s="162"/>
      <c r="G7" s="163"/>
      <c r="H7" s="153"/>
      <c r="I7" s="164"/>
      <c r="J7" s="164"/>
      <c r="K7" s="164"/>
      <c r="L7" s="164"/>
      <c r="M7" s="164"/>
      <c r="N7" s="165"/>
      <c r="O7" s="153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5"/>
      <c r="AQ7" s="156"/>
      <c r="AR7" s="154"/>
      <c r="AS7" s="154"/>
      <c r="AT7" s="154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7"/>
    </row>
    <row r="8" spans="1:57" ht="15" customHeight="1">
      <c r="A8" s="161"/>
      <c r="B8" s="162"/>
      <c r="C8" s="162"/>
      <c r="D8" s="162"/>
      <c r="E8" s="162"/>
      <c r="F8" s="162"/>
      <c r="G8" s="163"/>
      <c r="H8" s="153"/>
      <c r="I8" s="164"/>
      <c r="J8" s="164"/>
      <c r="K8" s="164"/>
      <c r="L8" s="164"/>
      <c r="M8" s="164"/>
      <c r="N8" s="165"/>
      <c r="O8" s="153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5"/>
      <c r="AQ8" s="156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7"/>
    </row>
    <row r="9" spans="1:57" ht="15" customHeight="1">
      <c r="A9" s="161"/>
      <c r="B9" s="162"/>
      <c r="C9" s="162"/>
      <c r="D9" s="162"/>
      <c r="E9" s="162"/>
      <c r="F9" s="162"/>
      <c r="G9" s="163"/>
      <c r="H9" s="153"/>
      <c r="I9" s="164"/>
      <c r="J9" s="164"/>
      <c r="K9" s="164"/>
      <c r="L9" s="164"/>
      <c r="M9" s="164"/>
      <c r="N9" s="165"/>
      <c r="O9" s="153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5"/>
      <c r="AQ9" s="156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7"/>
    </row>
    <row r="10" spans="1:57" ht="15" customHeight="1">
      <c r="A10" s="161"/>
      <c r="B10" s="162"/>
      <c r="C10" s="162"/>
      <c r="D10" s="162"/>
      <c r="E10" s="162"/>
      <c r="F10" s="162"/>
      <c r="G10" s="163"/>
      <c r="H10" s="153"/>
      <c r="I10" s="164"/>
      <c r="J10" s="164"/>
      <c r="K10" s="164"/>
      <c r="L10" s="164"/>
      <c r="M10" s="164"/>
      <c r="N10" s="165"/>
      <c r="O10" s="153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5"/>
      <c r="AQ10" s="156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7"/>
    </row>
    <row r="11" spans="1:57" ht="15" customHeight="1">
      <c r="A11" s="161"/>
      <c r="B11" s="162"/>
      <c r="C11" s="162"/>
      <c r="D11" s="162"/>
      <c r="E11" s="162"/>
      <c r="F11" s="162"/>
      <c r="G11" s="163"/>
      <c r="H11" s="153"/>
      <c r="I11" s="164"/>
      <c r="J11" s="164"/>
      <c r="K11" s="164"/>
      <c r="L11" s="164"/>
      <c r="M11" s="164"/>
      <c r="N11" s="165"/>
      <c r="O11" s="153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5"/>
      <c r="AQ11" s="156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7"/>
    </row>
    <row r="12" spans="1:57" ht="15" customHeight="1">
      <c r="A12" s="161"/>
      <c r="B12" s="162"/>
      <c r="C12" s="162"/>
      <c r="D12" s="162"/>
      <c r="E12" s="162"/>
      <c r="F12" s="162"/>
      <c r="G12" s="163"/>
      <c r="H12" s="153"/>
      <c r="I12" s="164"/>
      <c r="J12" s="164"/>
      <c r="K12" s="164"/>
      <c r="L12" s="164"/>
      <c r="M12" s="164"/>
      <c r="N12" s="165"/>
      <c r="O12" s="153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5"/>
      <c r="AQ12" s="156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7"/>
    </row>
    <row r="13" spans="1:57" ht="15" customHeight="1">
      <c r="A13" s="161"/>
      <c r="B13" s="162"/>
      <c r="C13" s="162"/>
      <c r="D13" s="162"/>
      <c r="E13" s="162"/>
      <c r="F13" s="162"/>
      <c r="G13" s="163"/>
      <c r="H13" s="153"/>
      <c r="I13" s="164"/>
      <c r="J13" s="164"/>
      <c r="K13" s="164"/>
      <c r="L13" s="164"/>
      <c r="M13" s="164"/>
      <c r="N13" s="165"/>
      <c r="O13" s="153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5"/>
      <c r="AQ13" s="156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7"/>
    </row>
    <row r="14" spans="1:57" ht="15" customHeight="1">
      <c r="A14" s="161"/>
      <c r="B14" s="162"/>
      <c r="C14" s="162"/>
      <c r="D14" s="162"/>
      <c r="E14" s="162"/>
      <c r="F14" s="162"/>
      <c r="G14" s="163"/>
      <c r="H14" s="153"/>
      <c r="I14" s="164"/>
      <c r="J14" s="164"/>
      <c r="K14" s="164"/>
      <c r="L14" s="164"/>
      <c r="M14" s="164"/>
      <c r="N14" s="165"/>
      <c r="O14" s="153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5"/>
      <c r="AQ14" s="156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7"/>
    </row>
    <row r="15" spans="1:57" ht="15" customHeight="1">
      <c r="A15" s="161"/>
      <c r="B15" s="162"/>
      <c r="C15" s="162"/>
      <c r="D15" s="162"/>
      <c r="E15" s="162"/>
      <c r="F15" s="162"/>
      <c r="G15" s="163"/>
      <c r="H15" s="153"/>
      <c r="I15" s="164"/>
      <c r="J15" s="164"/>
      <c r="K15" s="164"/>
      <c r="L15" s="164"/>
      <c r="M15" s="164"/>
      <c r="N15" s="165"/>
      <c r="O15" s="153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5"/>
      <c r="AQ15" s="156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7"/>
    </row>
    <row r="16" spans="1:57" ht="15" customHeight="1">
      <c r="A16" s="161"/>
      <c r="B16" s="162"/>
      <c r="C16" s="162"/>
      <c r="D16" s="162"/>
      <c r="E16" s="162"/>
      <c r="F16" s="162"/>
      <c r="G16" s="163"/>
      <c r="H16" s="153"/>
      <c r="I16" s="164"/>
      <c r="J16" s="164"/>
      <c r="K16" s="164"/>
      <c r="L16" s="164"/>
      <c r="M16" s="164"/>
      <c r="N16" s="165"/>
      <c r="O16" s="153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5"/>
      <c r="AQ16" s="156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7"/>
    </row>
    <row r="17" spans="1:57" ht="15" customHeight="1">
      <c r="A17" s="161"/>
      <c r="B17" s="162"/>
      <c r="C17" s="162"/>
      <c r="D17" s="162"/>
      <c r="E17" s="162"/>
      <c r="F17" s="162"/>
      <c r="G17" s="163"/>
      <c r="H17" s="153"/>
      <c r="I17" s="164"/>
      <c r="J17" s="164"/>
      <c r="K17" s="164"/>
      <c r="L17" s="164"/>
      <c r="M17" s="164"/>
      <c r="N17" s="165"/>
      <c r="O17" s="153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5"/>
      <c r="AQ17" s="156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7"/>
    </row>
    <row r="18" spans="1:57" ht="15" customHeight="1">
      <c r="A18" s="161"/>
      <c r="B18" s="162"/>
      <c r="C18" s="162"/>
      <c r="D18" s="162"/>
      <c r="E18" s="162"/>
      <c r="F18" s="162"/>
      <c r="G18" s="163"/>
      <c r="H18" s="153"/>
      <c r="I18" s="164"/>
      <c r="J18" s="164"/>
      <c r="K18" s="164"/>
      <c r="L18" s="164"/>
      <c r="M18" s="164"/>
      <c r="N18" s="165"/>
      <c r="O18" s="153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5"/>
      <c r="AQ18" s="156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7"/>
    </row>
    <row r="19" spans="1:57" ht="15" customHeight="1">
      <c r="A19" s="161"/>
      <c r="B19" s="162"/>
      <c r="C19" s="162"/>
      <c r="D19" s="162"/>
      <c r="E19" s="162"/>
      <c r="F19" s="162"/>
      <c r="G19" s="163"/>
      <c r="H19" s="153"/>
      <c r="I19" s="164"/>
      <c r="J19" s="164"/>
      <c r="K19" s="164"/>
      <c r="L19" s="164"/>
      <c r="M19" s="164"/>
      <c r="N19" s="165"/>
      <c r="O19" s="153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5"/>
      <c r="AQ19" s="156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7"/>
    </row>
    <row r="20" spans="1:57" ht="15" customHeight="1">
      <c r="A20" s="161"/>
      <c r="B20" s="162"/>
      <c r="C20" s="162"/>
      <c r="D20" s="162"/>
      <c r="E20" s="162"/>
      <c r="F20" s="162"/>
      <c r="G20" s="163"/>
      <c r="H20" s="153"/>
      <c r="I20" s="164"/>
      <c r="J20" s="164"/>
      <c r="K20" s="164"/>
      <c r="L20" s="164"/>
      <c r="M20" s="164"/>
      <c r="N20" s="165"/>
      <c r="O20" s="153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5"/>
      <c r="AQ20" s="156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7"/>
    </row>
    <row r="21" spans="1:57" ht="15" customHeight="1">
      <c r="A21" s="161"/>
      <c r="B21" s="162"/>
      <c r="C21" s="162"/>
      <c r="D21" s="162"/>
      <c r="E21" s="162"/>
      <c r="F21" s="162"/>
      <c r="G21" s="163"/>
      <c r="H21" s="153"/>
      <c r="I21" s="164"/>
      <c r="J21" s="164"/>
      <c r="K21" s="164"/>
      <c r="L21" s="164"/>
      <c r="M21" s="164"/>
      <c r="N21" s="165"/>
      <c r="O21" s="153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5"/>
      <c r="AQ21" s="156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7"/>
    </row>
    <row r="22" spans="1:57" ht="15" customHeight="1">
      <c r="A22" s="161"/>
      <c r="B22" s="162"/>
      <c r="C22" s="162"/>
      <c r="D22" s="162"/>
      <c r="E22" s="162"/>
      <c r="F22" s="162"/>
      <c r="G22" s="163"/>
      <c r="H22" s="153"/>
      <c r="I22" s="164"/>
      <c r="J22" s="164"/>
      <c r="K22" s="164"/>
      <c r="L22" s="164"/>
      <c r="M22" s="164"/>
      <c r="N22" s="165"/>
      <c r="O22" s="153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5"/>
      <c r="AQ22" s="156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7"/>
    </row>
    <row r="23" spans="1:57" ht="15" customHeight="1">
      <c r="A23" s="161"/>
      <c r="B23" s="162"/>
      <c r="C23" s="162"/>
      <c r="D23" s="162"/>
      <c r="E23" s="162"/>
      <c r="F23" s="162"/>
      <c r="G23" s="163"/>
      <c r="H23" s="153"/>
      <c r="I23" s="164"/>
      <c r="J23" s="164"/>
      <c r="K23" s="164"/>
      <c r="L23" s="164"/>
      <c r="M23" s="164"/>
      <c r="N23" s="165"/>
      <c r="O23" s="153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5"/>
      <c r="AQ23" s="156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7"/>
    </row>
    <row r="24" spans="1:57" ht="15" customHeight="1">
      <c r="A24" s="161"/>
      <c r="B24" s="162"/>
      <c r="C24" s="162"/>
      <c r="D24" s="162"/>
      <c r="E24" s="162"/>
      <c r="F24" s="162"/>
      <c r="G24" s="163"/>
      <c r="H24" s="153"/>
      <c r="I24" s="164"/>
      <c r="J24" s="164"/>
      <c r="K24" s="164"/>
      <c r="L24" s="164"/>
      <c r="M24" s="164"/>
      <c r="N24" s="165"/>
      <c r="O24" s="153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5"/>
      <c r="AQ24" s="156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7"/>
    </row>
    <row r="25" spans="1:57" ht="15" customHeight="1">
      <c r="A25" s="161"/>
      <c r="B25" s="162"/>
      <c r="C25" s="162"/>
      <c r="D25" s="162"/>
      <c r="E25" s="162"/>
      <c r="F25" s="162"/>
      <c r="G25" s="163"/>
      <c r="H25" s="153"/>
      <c r="I25" s="164"/>
      <c r="J25" s="164"/>
      <c r="K25" s="164"/>
      <c r="L25" s="164"/>
      <c r="M25" s="164"/>
      <c r="N25" s="165"/>
      <c r="O25" s="153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5"/>
      <c r="AQ25" s="156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7"/>
    </row>
    <row r="26" spans="1:57" ht="15" customHeight="1">
      <c r="A26" s="161"/>
      <c r="B26" s="162"/>
      <c r="C26" s="162"/>
      <c r="D26" s="162"/>
      <c r="E26" s="162"/>
      <c r="F26" s="162"/>
      <c r="G26" s="163"/>
      <c r="H26" s="153"/>
      <c r="I26" s="164"/>
      <c r="J26" s="164"/>
      <c r="K26" s="164"/>
      <c r="L26" s="164"/>
      <c r="M26" s="164"/>
      <c r="N26" s="165"/>
      <c r="O26" s="153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5"/>
      <c r="AQ26" s="156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7"/>
    </row>
    <row r="27" spans="1:57" ht="15" customHeight="1">
      <c r="A27" s="161"/>
      <c r="B27" s="162"/>
      <c r="C27" s="162"/>
      <c r="D27" s="162"/>
      <c r="E27" s="162"/>
      <c r="F27" s="162"/>
      <c r="G27" s="163"/>
      <c r="H27" s="153"/>
      <c r="I27" s="164"/>
      <c r="J27" s="164"/>
      <c r="K27" s="164"/>
      <c r="L27" s="164"/>
      <c r="M27" s="164"/>
      <c r="N27" s="165"/>
      <c r="O27" s="153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5"/>
      <c r="AQ27" s="156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7"/>
    </row>
    <row r="28" spans="1:57" ht="15" customHeight="1">
      <c r="A28" s="161"/>
      <c r="B28" s="162"/>
      <c r="C28" s="162"/>
      <c r="D28" s="162"/>
      <c r="E28" s="162"/>
      <c r="F28" s="162"/>
      <c r="G28" s="163"/>
      <c r="H28" s="153"/>
      <c r="I28" s="164"/>
      <c r="J28" s="164"/>
      <c r="K28" s="164"/>
      <c r="L28" s="164"/>
      <c r="M28" s="164"/>
      <c r="N28" s="165"/>
      <c r="O28" s="153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5"/>
      <c r="AQ28" s="156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7"/>
    </row>
    <row r="29" spans="1:57" ht="15" customHeight="1">
      <c r="A29" s="161"/>
      <c r="B29" s="162"/>
      <c r="C29" s="162"/>
      <c r="D29" s="162"/>
      <c r="E29" s="162"/>
      <c r="F29" s="162"/>
      <c r="G29" s="163"/>
      <c r="H29" s="153"/>
      <c r="I29" s="164"/>
      <c r="J29" s="164"/>
      <c r="K29" s="164"/>
      <c r="L29" s="164"/>
      <c r="M29" s="164"/>
      <c r="N29" s="165"/>
      <c r="O29" s="153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5"/>
      <c r="AQ29" s="156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7"/>
    </row>
    <row r="30" spans="1:57" ht="15" customHeight="1">
      <c r="A30" s="161"/>
      <c r="B30" s="162"/>
      <c r="C30" s="162"/>
      <c r="D30" s="162"/>
      <c r="E30" s="162"/>
      <c r="F30" s="162"/>
      <c r="G30" s="163"/>
      <c r="H30" s="153"/>
      <c r="I30" s="164"/>
      <c r="J30" s="164"/>
      <c r="K30" s="164"/>
      <c r="L30" s="164"/>
      <c r="M30" s="164"/>
      <c r="N30" s="165"/>
      <c r="O30" s="153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5"/>
      <c r="AQ30" s="156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7"/>
    </row>
    <row r="31" spans="1:57" ht="15" customHeight="1">
      <c r="A31" s="161"/>
      <c r="B31" s="162"/>
      <c r="C31" s="162"/>
      <c r="D31" s="162"/>
      <c r="E31" s="162"/>
      <c r="F31" s="162"/>
      <c r="G31" s="163"/>
      <c r="H31" s="153"/>
      <c r="I31" s="164"/>
      <c r="J31" s="164"/>
      <c r="K31" s="164"/>
      <c r="L31" s="164"/>
      <c r="M31" s="164"/>
      <c r="N31" s="165"/>
      <c r="O31" s="153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5"/>
      <c r="AQ31" s="156"/>
      <c r="AR31" s="154"/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7"/>
    </row>
    <row r="32" spans="1:57" ht="15" customHeight="1">
      <c r="A32" s="161"/>
      <c r="B32" s="162"/>
      <c r="C32" s="162"/>
      <c r="D32" s="162"/>
      <c r="E32" s="162"/>
      <c r="F32" s="162"/>
      <c r="G32" s="163"/>
      <c r="H32" s="153"/>
      <c r="I32" s="164"/>
      <c r="J32" s="164"/>
      <c r="K32" s="164"/>
      <c r="L32" s="164"/>
      <c r="M32" s="164"/>
      <c r="N32" s="165"/>
      <c r="O32" s="153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5"/>
      <c r="AQ32" s="156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7"/>
    </row>
    <row r="33" spans="1:57" ht="15" customHeight="1">
      <c r="A33" s="161"/>
      <c r="B33" s="162"/>
      <c r="C33" s="162"/>
      <c r="D33" s="162"/>
      <c r="E33" s="162"/>
      <c r="F33" s="162"/>
      <c r="G33" s="163"/>
      <c r="H33" s="153"/>
      <c r="I33" s="164"/>
      <c r="J33" s="164"/>
      <c r="K33" s="164"/>
      <c r="L33" s="164"/>
      <c r="M33" s="164"/>
      <c r="N33" s="165"/>
      <c r="O33" s="153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5"/>
      <c r="AQ33" s="156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7"/>
    </row>
    <row r="34" spans="1:57" ht="15" customHeight="1">
      <c r="A34" s="161"/>
      <c r="B34" s="162"/>
      <c r="C34" s="162"/>
      <c r="D34" s="162"/>
      <c r="E34" s="162"/>
      <c r="F34" s="162"/>
      <c r="G34" s="163"/>
      <c r="H34" s="153"/>
      <c r="I34" s="164"/>
      <c r="J34" s="164"/>
      <c r="K34" s="164"/>
      <c r="L34" s="164"/>
      <c r="M34" s="164"/>
      <c r="N34" s="165"/>
      <c r="O34" s="153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5"/>
      <c r="AQ34" s="156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7"/>
    </row>
    <row r="35" spans="1:57" ht="15" customHeight="1" thickBot="1">
      <c r="A35" s="179"/>
      <c r="B35" s="180"/>
      <c r="C35" s="180"/>
      <c r="D35" s="180"/>
      <c r="E35" s="180"/>
      <c r="F35" s="180"/>
      <c r="G35" s="181"/>
      <c r="H35" s="172"/>
      <c r="I35" s="173"/>
      <c r="J35" s="173"/>
      <c r="K35" s="173"/>
      <c r="L35" s="173"/>
      <c r="M35" s="173"/>
      <c r="N35" s="174"/>
      <c r="O35" s="172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6"/>
      <c r="AQ35" s="177"/>
      <c r="AR35" s="175"/>
      <c r="AS35" s="175"/>
      <c r="AT35" s="175"/>
      <c r="AU35" s="175"/>
      <c r="AV35" s="175"/>
      <c r="AW35" s="175"/>
      <c r="AX35" s="175"/>
      <c r="AY35" s="175"/>
      <c r="AZ35" s="175"/>
      <c r="BA35" s="175"/>
      <c r="BB35" s="175"/>
      <c r="BC35" s="175"/>
      <c r="BD35" s="175"/>
      <c r="BE35" s="178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GrsAllocCtl_UpdChk01</vt:lpstr>
      <vt:lpstr>GrsAllocCtl_Upd01</vt:lpstr>
      <vt:lpstr>GrsAllocCtl_DelChk01</vt:lpstr>
      <vt:lpstr>GrsAllocCtl_Del01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2026-03-27T05:45:10Z</dcterms:modified>
  <cp:category/>
</cp:coreProperties>
</file>