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61D7378D-2BE3-4E40-B1FD-1625F8AC6E93}" xr6:coauthVersionLast="47" xr6:coauthVersionMax="47" xr10:uidLastSave="{00000000-0000-0000-0000-000000000000}"/>
  <bookViews>
    <workbookView xWindow="1710" yWindow="1710" windowWidth="21600" windowHeight="11265" tabRatio="807" xr2:uid="{00000000-000D-0000-FFFF-FFFF00000000}"/>
  </bookViews>
  <sheets>
    <sheet name="LogicCommon" sheetId="10" r:id="rId1"/>
    <sheet name="MpsItm_UpdChk01" sheetId="18" r:id="rId2"/>
    <sheet name="MpsItm_Upd01" sheetId="15" r:id="rId3"/>
    <sheet name="MpsItm_DelChk01" sheetId="21" r:id="rId4"/>
    <sheet name="MpsItm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18" l="1"/>
  <c r="L4" i="2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<sst xmlns="http://schemas.openxmlformats.org/spreadsheetml/2006/main" count="1548" uniqueCount="455">
  <si>
    <t>*</t>
  </si>
  <si>
    <t>詳細 :</t>
  </si>
  <si>
    <t>検索</t>
    <rPh sb="0" eb="2">
      <t>ケンサク</t>
    </rPh>
    <phoneticPr fontId="4"/>
  </si>
  <si>
    <t>ロジック共通定義</t>
    <rPh sb="4" eb="6">
      <t>キョウツウ</t>
    </rPh>
    <rPh sb="6" eb="8">
      <t>テイギ</t>
    </rPh>
    <phoneticPr fontId="4"/>
  </si>
  <si>
    <t>詳細 :</t>
    <rPh sb="0" eb="2">
      <t>ショウサイ</t>
    </rPh>
    <phoneticPr fontId="4"/>
  </si>
  <si>
    <t>SuperLogicID :</t>
    <phoneticPr fontId="4"/>
  </si>
  <si>
    <t>概要 :</t>
    <phoneticPr fontId="4"/>
  </si>
  <si>
    <t>MC</t>
  </si>
  <si>
    <t>Version :</t>
  </si>
  <si>
    <t>LogicID :</t>
    <phoneticPr fontId="4"/>
  </si>
  <si>
    <t>LogicClass :</t>
    <phoneticPr fontId="4"/>
  </si>
  <si>
    <t>LogicName :</t>
    <phoneticPr fontId="4"/>
  </si>
  <si>
    <t>ModuleID :</t>
    <phoneticPr fontId="4"/>
  </si>
  <si>
    <t>SubModuleID :</t>
    <phoneticPr fontId="4"/>
  </si>
  <si>
    <t>ins_ts</t>
  </si>
  <si>
    <t>upd_ts</t>
  </si>
  <si>
    <t>*</t>
    <phoneticPr fontId="4"/>
  </si>
  <si>
    <t>ACType :</t>
    <phoneticPr fontId="4"/>
  </si>
  <si>
    <t>TargetName</t>
    <phoneticPr fontId="4"/>
  </si>
  <si>
    <t>#</t>
    <phoneticPr fontId="4"/>
  </si>
  <si>
    <t>#</t>
    <phoneticPr fontId="4"/>
  </si>
  <si>
    <t>Srch01_Cnd</t>
    <phoneticPr fontId="4"/>
  </si>
  <si>
    <t>R</t>
    <phoneticPr fontId="4"/>
  </si>
  <si>
    <t>L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</si>
  <si>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</si>
  <si>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</si>
  <si>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</si>
  <si>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</si>
  <si>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</si>
  <si>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</si>
  <si>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Ope.ID :</t>
    <phoneticPr fontId="4"/>
  </si>
  <si>
    <t>Srch01</t>
    <phoneticPr fontId="4"/>
  </si>
  <si>
    <t>Pj.ID :</t>
    <phoneticPr fontId="4"/>
  </si>
  <si>
    <t xml:space="preserve">Ope.Body : </t>
    <phoneticPr fontId="4"/>
  </si>
  <si>
    <t>Ope.Method :</t>
    <phoneticPr fontId="4"/>
  </si>
  <si>
    <t>@</t>
    <phoneticPr fontId="4"/>
  </si>
  <si>
    <t>SuperClassPj.ID :</t>
    <phoneticPr fontId="4"/>
  </si>
  <si>
    <t>ReportID :</t>
    <phoneticPr fontId="4"/>
  </si>
  <si>
    <t>Gene.Type :</t>
    <phoneticPr fontId="4"/>
  </si>
  <si>
    <t>ALL</t>
    <phoneticPr fontId="4"/>
  </si>
  <si>
    <t xml:space="preserve">Ope.Name : </t>
    <phoneticPr fontId="4"/>
  </si>
  <si>
    <t>Upd01</t>
    <phoneticPr fontId="4"/>
  </si>
  <si>
    <t>E</t>
    <phoneticPr fontId="4"/>
  </si>
  <si>
    <t>L</t>
    <phoneticPr fontId="4"/>
  </si>
  <si>
    <t>ID</t>
    <phoneticPr fontId="4"/>
  </si>
  <si>
    <t>#</t>
    <phoneticPr fontId="4"/>
  </si>
  <si>
    <t>U</t>
    <phoneticPr fontId="4"/>
  </si>
  <si>
    <t>o</t>
    <phoneticPr fontId="4"/>
  </si>
  <si>
    <t>SELECT.c0</t>
    <phoneticPr fontId="4"/>
  </si>
  <si>
    <t>ins_usr_nm</t>
    <phoneticPr fontId="4"/>
  </si>
  <si>
    <t>upd_usr_nm</t>
    <phoneticPr fontId="4"/>
  </si>
  <si>
    <t>U</t>
    <phoneticPr fontId="4"/>
  </si>
  <si>
    <t>o</t>
    <phoneticPr fontId="4"/>
  </si>
  <si>
    <t>Pj.ID :</t>
    <phoneticPr fontId="4"/>
  </si>
  <si>
    <t>SuperClassPj.ID :</t>
    <phoneticPr fontId="4"/>
  </si>
  <si>
    <t>MA</t>
    <phoneticPr fontId="4"/>
  </si>
  <si>
    <t>memo1</t>
  </si>
  <si>
    <t>memo1</t>
    <phoneticPr fontId="4"/>
  </si>
  <si>
    <t>#MA.MST_MEMO1</t>
  </si>
  <si>
    <t>#MA.MST_MEMO1</t>
    <phoneticPr fontId="4"/>
  </si>
  <si>
    <t>memo3</t>
  </si>
  <si>
    <t>memo3</t>
    <phoneticPr fontId="4"/>
  </si>
  <si>
    <t>#MA.MST_MEMO3</t>
  </si>
  <si>
    <t>#MA.MST_MEMO3</t>
    <phoneticPr fontId="4"/>
  </si>
  <si>
    <t>memo2</t>
  </si>
  <si>
    <t>#MA.MST_MEMO2</t>
  </si>
  <si>
    <t>#MA.SYS_TS</t>
    <phoneticPr fontId="4"/>
  </si>
  <si>
    <t>#MA.FLG</t>
  </si>
  <si>
    <t>#MA.FLG</t>
    <phoneticPr fontId="4"/>
  </si>
  <si>
    <t>論理削除</t>
    <phoneticPr fontId="4"/>
  </si>
  <si>
    <t>ins_func_id</t>
    <phoneticPr fontId="4"/>
  </si>
  <si>
    <t>登録機能ＩＤ</t>
    <phoneticPr fontId="4"/>
  </si>
  <si>
    <t>upd_func_id</t>
    <phoneticPr fontId="4"/>
  </si>
  <si>
    <t>更新機能ＩＤ</t>
    <phoneticPr fontId="4"/>
  </si>
  <si>
    <t>#MA.SRV_REQ_NO</t>
  </si>
  <si>
    <t>#MA.SYS_TS</t>
  </si>
  <si>
    <t>#MA.FUNC_ID</t>
    <phoneticPr fontId="4"/>
  </si>
  <si>
    <t>ins_func_nm</t>
    <phoneticPr fontId="4"/>
  </si>
  <si>
    <t>#MA.FUNC_NM</t>
    <phoneticPr fontId="4"/>
  </si>
  <si>
    <t>upd_func_nm</t>
    <phoneticPr fontId="4"/>
  </si>
  <si>
    <t>登録機能名</t>
    <phoneticPr fontId="4"/>
  </si>
  <si>
    <t>更新機能名</t>
    <phoneticPr fontId="4"/>
  </si>
  <si>
    <t>upd_srv_req_no</t>
    <phoneticPr fontId="4"/>
  </si>
  <si>
    <t>#MA.FLG</t>
    <phoneticPr fontId="4"/>
  </si>
  <si>
    <t>Del01</t>
    <phoneticPr fontId="4"/>
  </si>
  <si>
    <t>削除</t>
    <phoneticPr fontId="4"/>
  </si>
  <si>
    <t>L</t>
    <phoneticPr fontId="23"/>
  </si>
  <si>
    <t>E</t>
    <phoneticPr fontId="23"/>
  </si>
  <si>
    <t>登録</t>
    <rPh sb="0" eb="2">
      <t>トウロク</t>
    </rPh>
    <phoneticPr fontId="4"/>
  </si>
  <si>
    <t>L</t>
  </si>
  <si>
    <t>o</t>
  </si>
  <si>
    <t>TargetName</t>
  </si>
  <si>
    <t>UPDATE.updMaster1</t>
    <phoneticPr fontId="23"/>
  </si>
  <si>
    <t>off_del_flg</t>
  </si>
  <si>
    <t>on_del_flg</t>
  </si>
  <si>
    <t>del_flg</t>
  </si>
  <si>
    <t>del_usr_id</t>
  </si>
  <si>
    <t>del_usr_nm</t>
  </si>
  <si>
    <t>del_ts</t>
  </si>
  <si>
    <t>upd_cntr</t>
    <phoneticPr fontId="4"/>
  </si>
  <si>
    <t>#MA.UPD_CNT</t>
    <phoneticPr fontId="4"/>
  </si>
  <si>
    <t>更新カウンタ</t>
    <phoneticPr fontId="4"/>
  </si>
  <si>
    <t>upd_cntr</t>
  </si>
  <si>
    <t>#MA.UPD_CNT</t>
  </si>
  <si>
    <t>UPDATE.updMaster</t>
    <phoneticPr fontId="4"/>
  </si>
  <si>
    <t>MAIN.chkMaster</t>
    <phoneticPr fontId="23"/>
  </si>
  <si>
    <t>$share$</t>
  </si>
  <si>
    <t>@</t>
  </si>
  <si>
    <t>K</t>
  </si>
  <si>
    <t>REQUIRED</t>
  </si>
  <si>
    <t>upd_cntr</t>
    <phoneticPr fontId="23"/>
  </si>
  <si>
    <t>#MA.UPD_CNT</t>
    <phoneticPr fontId="23"/>
  </si>
  <si>
    <t>CALL_OPE01.chk01</t>
    <phoneticPr fontId="4"/>
  </si>
  <si>
    <t>CALL_OPE01.upd01</t>
    <phoneticPr fontId="4"/>
  </si>
  <si>
    <t>CALL_OPE01.chk01</t>
    <phoneticPr fontId="23"/>
  </si>
  <si>
    <t>CALL_OPE01.del01</t>
    <phoneticPr fontId="23"/>
  </si>
  <si>
    <t>$super$</t>
  </si>
  <si>
    <t>K</t>
    <phoneticPr fontId="23"/>
  </si>
  <si>
    <t>LIST_LOGIC</t>
    <phoneticPr fontId="23"/>
  </si>
  <si>
    <t>#MA.ITM_CD</t>
  </si>
  <si>
    <t>#MA.ITM_SUB1</t>
  </si>
  <si>
    <t>#MA.ITM_SUB2</t>
  </si>
  <si>
    <t>#MA.ITM_SUB3</t>
  </si>
  <si>
    <t>itm_cd</t>
  </si>
  <si>
    <t>itm_sub1</t>
  </si>
  <si>
    <t>itm_sub2</t>
  </si>
  <si>
    <t>itm_sub3</t>
  </si>
  <si>
    <t>itm_nm</t>
  </si>
  <si>
    <t>#MA.ITM_GRP_CD</t>
  </si>
  <si>
    <t>#MA.ITM_GRP_NM</t>
  </si>
  <si>
    <t>#MA.ITM_NM</t>
  </si>
  <si>
    <t>itm_grp_cd1</t>
  </si>
  <si>
    <t>itm_grp_nm1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</si>
  <si>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</si>
  <si>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</si>
  <si>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</si>
  <si>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</si>
  <si>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</si>
  <si>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</si>
  <si>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</si>
  <si>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</si>
  <si>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</si>
  <si>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</si>
  <si>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</si>
  <si>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</si>
  <si>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</si>
  <si>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</si>
  <si>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</si>
  <si>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</si>
  <si>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</si>
  <si>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</si>
  <si>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K</t>
    <phoneticPr fontId="4"/>
  </si>
  <si>
    <t>CONST</t>
    <phoneticPr fontId="4"/>
  </si>
  <si>
    <t>itm_typ</t>
  </si>
  <si>
    <t>#MA.ITM_TYP</t>
  </si>
  <si>
    <t>itm_typ_d_cd</t>
  </si>
  <si>
    <t>#MA.ITM_TYP_D_CD</t>
  </si>
  <si>
    <t>itm_typ_d_nm</t>
  </si>
  <si>
    <t>#MA.ITM_TYP_D_NM</t>
  </si>
  <si>
    <t>wg_cd</t>
  </si>
  <si>
    <t>#MA.WG_CD</t>
  </si>
  <si>
    <t>itm_cd</t>
    <phoneticPr fontId="4"/>
  </si>
  <si>
    <t>itm_sub1</t>
    <phoneticPr fontId="4"/>
  </si>
  <si>
    <t>itm_sub2</t>
    <phoneticPr fontId="4"/>
  </si>
  <si>
    <t>itm_sub3</t>
    <phoneticPr fontId="4"/>
  </si>
  <si>
    <t>itm_nm</t>
    <phoneticPr fontId="4"/>
  </si>
  <si>
    <t>wg_cd</t>
    <phoneticPr fontId="4"/>
  </si>
  <si>
    <t>wg_nm</t>
    <phoneticPr fontId="4"/>
  </si>
  <si>
    <t>#MA.WG_NM</t>
  </si>
  <si>
    <t>K</t>
    <phoneticPr fontId="23"/>
  </si>
  <si>
    <t>NULL_VAL</t>
    <phoneticPr fontId="23"/>
  </si>
  <si>
    <t>wg_nm</t>
  </si>
  <si>
    <t>#MA.FCM_USR_ID</t>
  </si>
  <si>
    <t>#MA.FCM_USR_NM</t>
  </si>
  <si>
    <t>CHK_NUM</t>
    <phoneticPr fontId="23"/>
  </si>
  <si>
    <t>LIST_IN</t>
  </si>
  <si>
    <t>LIST_IN_BASE</t>
  </si>
  <si>
    <t>MABS</t>
    <phoneticPr fontId="4"/>
  </si>
  <si>
    <t>MABSL0850</t>
    <phoneticPr fontId="4"/>
  </si>
  <si>
    <t>MABSL_MpsItmReg</t>
    <phoneticPr fontId="4"/>
  </si>
  <si>
    <t>ＭＰＳ品目マスタ登録</t>
    <phoneticPr fontId="4"/>
  </si>
  <si>
    <t>MpsItm_UpdChk01</t>
  </si>
  <si>
    <t>MpsItm_UpdChk01_Dtl</t>
  </si>
  <si>
    <t>MpsItm_DelChk01_Dtl</t>
  </si>
  <si>
    <t>MpsItm_Del01_Dtl</t>
  </si>
  <si>
    <t>MpsItm_Upd01_Dtl</t>
  </si>
  <si>
    <t>MpsItm_Del01</t>
  </si>
  <si>
    <t>MpsItm_DelChk01</t>
  </si>
  <si>
    <t>MpsItm_Upd01</t>
  </si>
  <si>
    <t>Del01_Dtl</t>
    <phoneticPr fontId="4"/>
  </si>
  <si>
    <t>Upd01_Dtl</t>
    <phoneticPr fontId="4"/>
  </si>
  <si>
    <t>Srch01_Rslt</t>
    <phoneticPr fontId="4"/>
  </si>
  <si>
    <t>mps_grp_cd</t>
  </si>
  <si>
    <t>mps_grp_nm</t>
  </si>
  <si>
    <t>strg_loc_cd</t>
  </si>
  <si>
    <t>strg_loc_nm</t>
  </si>
  <si>
    <t>mfg_loc_cd</t>
  </si>
  <si>
    <t>mfg_loc_nm</t>
  </si>
  <si>
    <t>sppl_cd</t>
  </si>
  <si>
    <t>sppl_nm</t>
  </si>
  <si>
    <t>maker_cd</t>
  </si>
  <si>
    <t>maker_nm</t>
  </si>
  <si>
    <t>rqst_loc_cd</t>
  </si>
  <si>
    <t>rqst_loc_nm</t>
  </si>
  <si>
    <t>prod_rate</t>
  </si>
  <si>
    <t>prod_begin_day</t>
  </si>
  <si>
    <t>#MA.LOC_CD</t>
  </si>
  <si>
    <t>#MA.LOC_NM</t>
  </si>
  <si>
    <t>#MA.BP_CD</t>
  </si>
  <si>
    <t>#MA.BP_NM</t>
  </si>
  <si>
    <t>#MA.PROD_RATE</t>
  </si>
  <si>
    <t>#MA.PROD_BEGIN_DAY</t>
  </si>
  <si>
    <t>#MA.MPS_GRP_CD</t>
    <phoneticPr fontId="23"/>
  </si>
  <si>
    <t>#MA.MPS_GRP_NM</t>
    <phoneticPr fontId="4"/>
  </si>
  <si>
    <t>OPE.MA.MABSL0850.MpsItm_DelChk01</t>
    <phoneticPr fontId="23"/>
  </si>
  <si>
    <t>OPE.MA.MABSL0850.MpsItm_Del01</t>
    <phoneticPr fontId="23"/>
  </si>
  <si>
    <t>OPE.MA.MABSL0850.MpsItm_UpdChk01</t>
    <phoneticPr fontId="4"/>
  </si>
  <si>
    <t>OPE.MA.MABSL0850.MpsItm_Upd01</t>
    <phoneticPr fontId="4"/>
  </si>
  <si>
    <t>prod_rate</t>
    <phoneticPr fontId="23"/>
  </si>
  <si>
    <t>prod_begin_day</t>
    <phoneticPr fontId="23"/>
  </si>
  <si>
    <t>itm_typ_nm</t>
  </si>
  <si>
    <t>#MA.ITM_TYP_NM</t>
  </si>
  <si>
    <t>cmn_flg</t>
  </si>
  <si>
    <t>wg_flg</t>
  </si>
  <si>
    <t>strg_wg_cd</t>
    <phoneticPr fontId="4"/>
  </si>
  <si>
    <t>wg_cd</t>
    <phoneticPr fontId="23"/>
  </si>
  <si>
    <t>LIST_OUT</t>
    <phoneticPr fontId="23"/>
  </si>
  <si>
    <t>LIST_OUT_BASE</t>
    <phoneticPr fontId="23"/>
  </si>
  <si>
    <t>strg_wg_cd</t>
    <phoneticPr fontId="23"/>
  </si>
  <si>
    <t>strg_loc_cd</t>
    <phoneticPr fontId="4"/>
  </si>
  <si>
    <t>strg_loc_cd</t>
    <phoneticPr fontId="23"/>
  </si>
  <si>
    <t>rqst_wg_cd</t>
    <phoneticPr fontId="23"/>
  </si>
  <si>
    <t>登録前チェック</t>
    <rPh sb="0" eb="2">
      <t>トウロク</t>
    </rPh>
    <rPh sb="2" eb="3">
      <t>マエ</t>
    </rPh>
    <phoneticPr fontId="1"/>
  </si>
  <si>
    <t>ＭＰＳ品目マスタを登録する前のチェックを行う</t>
    <rPh sb="9" eb="11">
      <t>トウロク</t>
    </rPh>
    <rPh sb="13" eb="14">
      <t>マエ</t>
    </rPh>
    <rPh sb="20" eb="21">
      <t>オコナ</t>
    </rPh>
    <phoneticPr fontId="1"/>
  </si>
  <si>
    <t>登録処理</t>
    <rPh sb="2" eb="4">
      <t>ショリ</t>
    </rPh>
    <phoneticPr fontId="1"/>
  </si>
  <si>
    <t>ＭＰＳ品目マスタを登録する</t>
  </si>
  <si>
    <t>削除チェック</t>
    <rPh sb="0" eb="2">
      <t>サクジョ</t>
    </rPh>
    <phoneticPr fontId="1"/>
  </si>
  <si>
    <t>ＭＰＳ品目マスタを削除する前のチェックを行う</t>
    <rPh sb="13" eb="14">
      <t>マエ</t>
    </rPh>
    <rPh sb="20" eb="21">
      <t>オコナ</t>
    </rPh>
    <phoneticPr fontId="1"/>
  </si>
  <si>
    <t>削除処理</t>
    <rPh sb="2" eb="4">
      <t>ショリ</t>
    </rPh>
    <phoneticPr fontId="1"/>
  </si>
  <si>
    <t>ＭＰＳ品目マスタを削除する</t>
  </si>
  <si>
    <t>検索処理を行う</t>
    <rPh sb="0" eb="2">
      <t>ケンサク</t>
    </rPh>
    <rPh sb="2" eb="4">
      <t>ショリ</t>
    </rPh>
    <rPh sb="5" eb="6">
      <t>オコナ</t>
    </rPh>
    <phoneticPr fontId="2"/>
  </si>
  <si>
    <t>登録処理を行う</t>
    <rPh sb="0" eb="2">
      <t>トウロク</t>
    </rPh>
    <rPh sb="2" eb="4">
      <t>ショリ</t>
    </rPh>
    <rPh sb="5" eb="6">
      <t>オコナ</t>
    </rPh>
    <phoneticPr fontId="2"/>
  </si>
  <si>
    <t>削除処理を行う</t>
    <rPh sb="0" eb="2">
      <t>サクジョ</t>
    </rPh>
    <rPh sb="2" eb="4">
      <t>ショリ</t>
    </rPh>
    <rPh sb="5" eb="6">
      <t>オコナ</t>
    </rPh>
    <phoneticPr fontId="2"/>
  </si>
  <si>
    <t>ID</t>
  </si>
  <si>
    <t/>
  </si>
  <si>
    <t>ワーキンググループＣＤ</t>
    <phoneticPr fontId="23"/>
  </si>
  <si>
    <t>MA.MAUAL0010.LgOrMfgWg</t>
    <phoneticPr fontId="4"/>
  </si>
  <si>
    <t>mode_nullval_flg</t>
    <phoneticPr fontId="23"/>
  </si>
  <si>
    <t>品目ＣＤ</t>
    <phoneticPr fontId="4"/>
  </si>
  <si>
    <t>枝番１</t>
    <phoneticPr fontId="4"/>
  </si>
  <si>
    <t>枝番２</t>
    <phoneticPr fontId="4"/>
  </si>
  <si>
    <t>枝番３</t>
    <phoneticPr fontId="4"/>
  </si>
  <si>
    <t>MA.MAUAL0010.ItmSub3</t>
    <phoneticPr fontId="4"/>
  </si>
  <si>
    <t>MAC_ITM_IS_SRCH_TYP.NOT_ASSET3;itm_cd;itm_sub1;itm_sub2;true;true</t>
    <phoneticPr fontId="23"/>
  </si>
  <si>
    <t>itm_is_srch_typ;itm_cd;itm_sub1;itm_sub2;release_flg_on;release_flg_off</t>
    <phoneticPr fontId="4"/>
  </si>
  <si>
    <t>ＭＰＳグループＣＤ</t>
    <phoneticPr fontId="3"/>
  </si>
  <si>
    <t>格納場所ＣＤ</t>
    <phoneticPr fontId="3"/>
  </si>
  <si>
    <t>MA.MAUAL0010.Loc</t>
    <phoneticPr fontId="4"/>
  </si>
  <si>
    <t>MAC_LOC_IS_SRCH_TYP.COMM</t>
    <phoneticPr fontId="23"/>
  </si>
  <si>
    <t>loc_is_srch_typ</t>
    <phoneticPr fontId="23"/>
  </si>
  <si>
    <t>格納場所ワーキンググループＣＤ</t>
    <phoneticPr fontId="3"/>
  </si>
  <si>
    <t>製造場所ＣＤ</t>
    <phoneticPr fontId="3"/>
  </si>
  <si>
    <t>MAC_LOC_IS_SRCH_TYP.MFG_WG_ALL;strg_wg_cd;true</t>
    <phoneticPr fontId="23"/>
  </si>
  <si>
    <t>loc_is_srch_typ;wg_cd;mode_nullval_flg</t>
    <phoneticPr fontId="23"/>
  </si>
  <si>
    <t>発注先ＣＤ</t>
    <phoneticPr fontId="3"/>
  </si>
  <si>
    <t>MA.MAUAL0010.Bp</t>
    <phoneticPr fontId="4"/>
  </si>
  <si>
    <t>MAC_BP_IS_SRCH_TYP.SPPL;true</t>
    <phoneticPr fontId="4"/>
  </si>
  <si>
    <t>bp_is_srch_typ;mode_nullval_flg</t>
    <phoneticPr fontId="4"/>
  </si>
  <si>
    <t>メーカＣＤ</t>
    <phoneticPr fontId="3"/>
  </si>
  <si>
    <t>MAC_BP_IS_SRCH_TYP.MAKER;true</t>
    <phoneticPr fontId="4"/>
  </si>
  <si>
    <t>依頼先場所ＣＤ</t>
    <phoneticPr fontId="3"/>
  </si>
  <si>
    <t>MAC_LOC_IS_SRCH_TYP.HOUSE;true</t>
    <phoneticPr fontId="23"/>
  </si>
  <si>
    <t>loc_is_srch_typ;mode_nullval_flg</t>
    <phoneticPr fontId="4"/>
  </si>
  <si>
    <t>依頼先場所ワーキンググループＣＤ</t>
    <phoneticPr fontId="3"/>
  </si>
  <si>
    <t>日ばらし案分比率</t>
    <phoneticPr fontId="3"/>
  </si>
  <si>
    <t>positive</t>
    <phoneticPr fontId="23"/>
  </si>
  <si>
    <t>日ばらし開始日</t>
    <phoneticPr fontId="3"/>
  </si>
  <si>
    <t>メモ１</t>
    <phoneticPr fontId="4"/>
  </si>
  <si>
    <t>メモ２</t>
    <phoneticPr fontId="4"/>
  </si>
  <si>
    <t>メモ３</t>
    <phoneticPr fontId="4"/>
  </si>
  <si>
    <t>更新カウンタ</t>
    <phoneticPr fontId="23"/>
  </si>
  <si>
    <t>000000</t>
    <phoneticPr fontId="4"/>
  </si>
  <si>
    <t>super/share</t>
    <phoneticPr fontId="4"/>
  </si>
  <si>
    <t>MA.MABSL0850.MpsItm_UpdChk01.MpsItm_UpdChk01_Dtl</t>
    <phoneticPr fontId="23"/>
  </si>
  <si>
    <t>ワーキンググループＣＤ</t>
    <phoneticPr fontId="4"/>
  </si>
  <si>
    <t>MA.MABSL0850.MpsItm_DelChk01.MpsItm_DelChk01_Dtl</t>
    <phoneticPr fontId="23"/>
  </si>
  <si>
    <t>共通</t>
    <phoneticPr fontId="4"/>
  </si>
  <si>
    <t>ＷＧ</t>
    <phoneticPr fontId="4"/>
  </si>
  <si>
    <t>ワーキンググループ名</t>
    <phoneticPr fontId="4"/>
  </si>
  <si>
    <t>ＭＰＳグループ名</t>
    <phoneticPr fontId="3"/>
  </si>
  <si>
    <t>品目区分</t>
    <phoneticPr fontId="7"/>
  </si>
  <si>
    <t>品目区分詳細ＣＤ</t>
    <phoneticPr fontId="7"/>
  </si>
  <si>
    <t>品目区分詳細名</t>
    <phoneticPr fontId="7"/>
  </si>
  <si>
    <t>品名</t>
    <phoneticPr fontId="4"/>
  </si>
  <si>
    <t>論理削除.オフ</t>
    <phoneticPr fontId="4"/>
  </si>
  <si>
    <t>論理削除.オン</t>
    <phoneticPr fontId="4"/>
  </si>
  <si>
    <t>品目分類ＣＤ１</t>
    <phoneticPr fontId="4"/>
  </si>
  <si>
    <t>品目分類名１</t>
    <phoneticPr fontId="4"/>
  </si>
  <si>
    <t>品目分類ＣＤ２</t>
    <phoneticPr fontId="4"/>
  </si>
  <si>
    <t>品目分類名２</t>
    <phoneticPr fontId="4"/>
  </si>
  <si>
    <t>品目分類ＣＤ３</t>
    <phoneticPr fontId="4"/>
  </si>
  <si>
    <t>品目分類名３</t>
    <phoneticPr fontId="4"/>
  </si>
  <si>
    <t>品目分類ＣＤ４</t>
    <phoneticPr fontId="4"/>
  </si>
  <si>
    <t>品目分類名４</t>
    <phoneticPr fontId="4"/>
  </si>
  <si>
    <t>品目分類ＣＤ５</t>
    <phoneticPr fontId="4"/>
  </si>
  <si>
    <t>品目分類名５</t>
    <phoneticPr fontId="4"/>
  </si>
  <si>
    <t>品目分類ＣＤ６</t>
    <phoneticPr fontId="4"/>
  </si>
  <si>
    <t>品目分類名６</t>
    <phoneticPr fontId="4"/>
  </si>
  <si>
    <t>品目分類ＣＤ７</t>
    <phoneticPr fontId="4"/>
  </si>
  <si>
    <t>品目分類名７</t>
    <phoneticPr fontId="4"/>
  </si>
  <si>
    <t>品目分類ＣＤ８</t>
    <phoneticPr fontId="4"/>
  </si>
  <si>
    <t>品目分類名８</t>
    <phoneticPr fontId="4"/>
  </si>
  <si>
    <t>品目分類ＣＤ９</t>
    <phoneticPr fontId="4"/>
  </si>
  <si>
    <t>品目分類名９</t>
    <phoneticPr fontId="4"/>
  </si>
  <si>
    <t>品目分類ＣＤ１０</t>
    <phoneticPr fontId="4"/>
  </si>
  <si>
    <t>品目分類名１０</t>
    <phoneticPr fontId="4"/>
  </si>
  <si>
    <t>ワーキンググループ名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</si>
  <si>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</si>
  <si>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</si>
  <si>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</si>
  <si>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</si>
  <si>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品名</t>
    <phoneticPr fontId="3"/>
  </si>
  <si>
    <t>品目区分</t>
    <phoneticPr fontId="5"/>
  </si>
  <si>
    <t>MAC_ITM_TYP</t>
    <phoneticPr fontId="4"/>
  </si>
  <si>
    <t>品目区分名</t>
    <phoneticPr fontId="5"/>
  </si>
  <si>
    <t>品目区分詳細ＣＤ</t>
    <phoneticPr fontId="5"/>
  </si>
  <si>
    <t>品目区分詳細名</t>
    <phoneticPr fontId="5"/>
  </si>
  <si>
    <t>格納場所名</t>
    <phoneticPr fontId="3"/>
  </si>
  <si>
    <t>格納場所ワーキンググループＣＤ</t>
    <phoneticPr fontId="4"/>
  </si>
  <si>
    <t>製造場所名</t>
    <phoneticPr fontId="3"/>
  </si>
  <si>
    <t>発注先名</t>
    <phoneticPr fontId="3"/>
  </si>
  <si>
    <t>メーカ名</t>
    <phoneticPr fontId="3"/>
  </si>
  <si>
    <t>依頼先場所名</t>
    <phoneticPr fontId="3"/>
  </si>
  <si>
    <t>登録ユーザＩＤ</t>
    <phoneticPr fontId="4"/>
  </si>
  <si>
    <t>登録ユーザ名</t>
    <phoneticPr fontId="4"/>
  </si>
  <si>
    <t>登録日時</t>
    <phoneticPr fontId="4"/>
  </si>
  <si>
    <t>更新ユーザＩＤ</t>
    <phoneticPr fontId="4"/>
  </si>
  <si>
    <t>更新ユーザ名</t>
    <phoneticPr fontId="4"/>
  </si>
  <si>
    <t>更新日時</t>
    <phoneticPr fontId="4"/>
  </si>
  <si>
    <t>更新リクエストＮＯ</t>
    <phoneticPr fontId="4"/>
  </si>
  <si>
    <t>論理削除ユーザＩＤ</t>
    <phoneticPr fontId="4"/>
  </si>
  <si>
    <t>論理削除ユーザ名</t>
    <phoneticPr fontId="4"/>
  </si>
  <si>
    <t>論理削除日時</t>
    <phoneticPr fontId="4"/>
  </si>
  <si>
    <t>memo2</t>
    <phoneticPr fontId="4"/>
  </si>
  <si>
    <t>#MA.MST_MEMO2</t>
    <phoneticPr fontId="4"/>
  </si>
  <si>
    <t>ins_usr_id</t>
    <phoneticPr fontId="4"/>
  </si>
  <si>
    <t>upd_usr_id</t>
    <phoneticPr fontId="4"/>
  </si>
  <si>
    <t>#MA.SYS_TS</t>
    <phoneticPr fontId="4"/>
  </si>
  <si>
    <t>MA.MABSL0850.MpsItm_Upd01.MpsItm_Upd01_Dtl</t>
    <phoneticPr fontId="4"/>
  </si>
  <si>
    <t>MpsItm_UpdChk01_Dtl</t>
    <phoneticPr fontId="4"/>
  </si>
  <si>
    <t>MpsItm_Upd01_Dtl</t>
    <phoneticPr fontId="4"/>
  </si>
  <si>
    <t>MA.MABSL0850.MpsItm_Del01.MpsItm_Del01_Dtl</t>
    <phoneticPr fontId="23"/>
  </si>
  <si>
    <t>MpsItm_DelChk01_Dtl</t>
    <phoneticPr fontId="4"/>
  </si>
  <si>
    <t>MpsItm_Del01_Dtl</t>
    <phoneticPr fontId="4"/>
  </si>
  <si>
    <t>ONLY_ONE_INPUT</t>
    <phoneticPr fontId="23"/>
  </si>
  <si>
    <t>K</t>
    <phoneticPr fontId="4"/>
  </si>
  <si>
    <t>E1</t>
    <phoneticPr fontId="4"/>
  </si>
  <si>
    <t>mfg_loc_cd</t>
    <phoneticPr fontId="4"/>
  </si>
  <si>
    <t>sppl_cd</t>
    <phoneticPr fontId="4"/>
  </si>
  <si>
    <t>rqst_loc_cd</t>
    <phoneticPr fontId="23"/>
  </si>
  <si>
    <t>TOO_MANY_INPUTS</t>
    <phoneticPr fontId="23"/>
  </si>
  <si>
    <t>E1</t>
    <phoneticPr fontId="23"/>
  </si>
  <si>
    <t>MA.MAUDL5010</t>
    <phoneticPr fontId="4"/>
  </si>
  <si>
    <t>"mcframe.serverMAUD.MAUDL6010.MAUDL_RLUpdater"</t>
    <phoneticPr fontId="4"/>
  </si>
  <si>
    <t>"mcframe.serverMAUD.MAUDL6010.MAUDL_RLDeleter"</t>
    <phoneticPr fontId="4"/>
  </si>
  <si>
    <t>"mcframe.serverMAUD.MAUDL6010.MAUDL_RLSearcher"</t>
    <phoneticPr fontId="4"/>
  </si>
  <si>
    <t>DBC:MA.MAM_MPS_ITM_</t>
    <phoneticPr fontId="23"/>
  </si>
  <si>
    <t>DBC.MA.MAM_MPS_ITM_</t>
    <phoneticPr fontId="4"/>
  </si>
  <si>
    <t>true</t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</si>
  <si>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</si>
  <si>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</si>
  <si>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</si>
  <si>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</si>
  <si>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</si>
  <si>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</si>
  <si>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</si>
  <si>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</si>
  <si>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</si>
  <si>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</si>
  <si>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</si>
  <si>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</si>
  <si>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ブロック備考
Block Remarks</t>
    <phoneticPr fontId="4"/>
  </si>
  <si>
    <t>項目備考
Field Remarks</t>
    <phoneticPr fontId="4"/>
  </si>
  <si>
    <t>WG cd.</t>
  </si>
  <si>
    <t>Item cd.</t>
  </si>
  <si>
    <t>Branch No. 1</t>
  </si>
  <si>
    <t>Branch No. 2</t>
  </si>
  <si>
    <t>Branch No. 3</t>
  </si>
  <si>
    <t>MPS group cd.</t>
  </si>
  <si>
    <t>Storage location cd.</t>
  </si>
  <si>
    <t>Storage location WG cd.</t>
  </si>
  <si>
    <t>Mfg. location cd.</t>
  </si>
  <si>
    <t>Supplier cd.</t>
  </si>
  <si>
    <t>Maker cd.</t>
  </si>
  <si>
    <t>Requested location cd.</t>
  </si>
  <si>
    <t>Requested location WG cd.</t>
  </si>
  <si>
    <t>Disaggregation by day proportion ratio</t>
  </si>
  <si>
    <t>Disaggregation by day start date</t>
  </si>
  <si>
    <t>Memo 1</t>
  </si>
  <si>
    <t>Memo 2</t>
  </si>
  <si>
    <t>Memo 3</t>
  </si>
  <si>
    <t>Logical delete</t>
  </si>
  <si>
    <t>Update counter</t>
  </si>
  <si>
    <t>Common</t>
  </si>
  <si>
    <t>WG</t>
  </si>
  <si>
    <t>WG name</t>
  </si>
  <si>
    <t>MPS group name</t>
  </si>
  <si>
    <t>Item type</t>
  </si>
  <si>
    <t>Item type details cd.</t>
  </si>
  <si>
    <t>Item type details name</t>
  </si>
  <si>
    <t>Item name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</si>
  <si>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</si>
  <si>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</si>
  <si>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</si>
  <si>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</si>
  <si>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</si>
  <si>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</si>
  <si>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</si>
  <si>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</si>
  <si>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</si>
  <si>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</si>
  <si>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</si>
  <si>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</si>
  <si>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</si>
  <si>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</si>
  <si>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</si>
  <si>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</si>
  <si>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</si>
  <si>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</si>
  <si>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</si>
  <si>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</si>
  <si>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</si>
  <si>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</si>
  <si>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Item type name</t>
  </si>
  <si>
    <t>Storage location name</t>
  </si>
  <si>
    <t>Mfg. location name</t>
  </si>
  <si>
    <t>Supplier name</t>
  </si>
  <si>
    <t>Maker name</t>
  </si>
  <si>
    <t>Location name (Requested)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</si>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</sst>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9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6">
    <xf numFmtId="0" fontId="0" fillId="0" borderId="0">
      <alignment vertical="top" wrapText="1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2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23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23" borderId="1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3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38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</cellStyleXfs>
  <cellXfs count="185">
    <xf numFmtId="0" fontId="0" fillId="0" borderId="0" xfId="0">
      <alignment vertical="top" wrapText="1"/>
    </xf>
    <xf numFmtId="0" fontId="25" fillId="0" borderId="13" xfId="0" applyFont="1" applyBorder="1" applyAlignment="1">
      <alignment vertical="center"/>
    </xf>
    <xf numFmtId="0" fontId="25" fillId="0" borderId="13" xfId="0" applyFont="1" applyBorder="1" applyAlignment="1">
      <alignment horizontal="left" vertical="top"/>
    </xf>
    <xf numFmtId="0" fontId="25" fillId="0" borderId="13" xfId="0" applyFont="1" applyBorder="1" applyAlignment="1">
      <alignment vertical="top"/>
    </xf>
    <xf numFmtId="0" fontId="25" fillId="0" borderId="0" xfId="0" applyFont="1" applyAlignment="1">
      <alignment vertical="top"/>
    </xf>
    <xf numFmtId="0" fontId="25" fillId="0" borderId="0" xfId="0" applyFont="1" applyAlignment="1">
      <alignment vertical="center"/>
    </xf>
    <xf numFmtId="0" fontId="25" fillId="0" borderId="14" xfId="0" applyFont="1" applyBorder="1" applyAlignment="1">
      <alignment vertical="top"/>
    </xf>
    <xf numFmtId="0" fontId="25" fillId="0" borderId="15" xfId="0" applyFont="1" applyBorder="1" applyAlignment="1">
      <alignment vertical="top"/>
    </xf>
    <xf numFmtId="20" fontId="25" fillId="24" borderId="15" xfId="0" applyNumberFormat="1" applyFont="1" applyFill="1" applyBorder="1" applyAlignment="1">
      <alignment horizontal="left" vertical="top"/>
    </xf>
    <xf numFmtId="0" fontId="25" fillId="24" borderId="15" xfId="0" applyFont="1" applyFill="1" applyBorder="1" applyAlignment="1">
      <alignment vertical="top"/>
    </xf>
    <xf numFmtId="0" fontId="25" fillId="24" borderId="15" xfId="0" quotePrefix="1" applyFont="1" applyFill="1" applyBorder="1" applyAlignment="1">
      <alignment vertical="top"/>
    </xf>
    <xf numFmtId="0" fontId="25" fillId="0" borderId="0" xfId="0" applyFont="1">
      <alignment vertical="top" wrapText="1"/>
    </xf>
    <xf numFmtId="0" fontId="25" fillId="24" borderId="15" xfId="0" applyFont="1" applyFill="1" applyBorder="1" applyAlignment="1">
      <alignment horizontal="left" vertical="top"/>
    </xf>
    <xf numFmtId="0" fontId="25" fillId="0" borderId="15" xfId="0" quotePrefix="1" applyFont="1" applyBorder="1" applyAlignment="1">
      <alignment vertical="top"/>
    </xf>
    <xf numFmtId="0" fontId="25" fillId="25" borderId="15" xfId="0" applyFont="1" applyFill="1" applyBorder="1" applyAlignment="1">
      <alignment vertical="top"/>
    </xf>
    <xf numFmtId="0" fontId="25" fillId="0" borderId="0" xfId="0" applyFont="1" applyAlignment="1"/>
    <xf numFmtId="0" fontId="25" fillId="0" borderId="18" xfId="0" applyFont="1" applyBorder="1" applyAlignment="1">
      <alignment vertical="top"/>
    </xf>
    <xf numFmtId="0" fontId="25" fillId="25" borderId="2" xfId="0" applyFont="1" applyFill="1" applyBorder="1" applyAlignment="1">
      <alignment vertical="top"/>
    </xf>
    <xf numFmtId="0" fontId="25" fillId="25" borderId="2" xfId="0" applyFont="1" applyFill="1" applyBorder="1" applyAlignment="1">
      <alignment horizontal="left" vertical="top"/>
    </xf>
    <xf numFmtId="0" fontId="25" fillId="25" borderId="19" xfId="0" applyFont="1" applyFill="1" applyBorder="1" applyAlignment="1">
      <alignment vertical="top"/>
    </xf>
    <xf numFmtId="0" fontId="25" fillId="0" borderId="13" xfId="0" applyFont="1" applyBorder="1">
      <alignment vertical="top" wrapText="1"/>
    </xf>
    <xf numFmtId="0" fontId="25" fillId="0" borderId="17" xfId="0" applyFont="1" applyBorder="1">
      <alignment vertical="top" wrapText="1"/>
    </xf>
    <xf numFmtId="0" fontId="25" fillId="0" borderId="14" xfId="0" applyFont="1" applyBorder="1" applyAlignment="1">
      <alignment vertical="center"/>
    </xf>
    <xf numFmtId="0" fontId="25" fillId="0" borderId="14" xfId="0" applyFont="1" applyBorder="1" applyAlignment="1">
      <alignment horizontal="left" vertical="top"/>
    </xf>
    <xf numFmtId="0" fontId="25" fillId="0" borderId="16" xfId="0" applyFont="1" applyBorder="1" applyAlignment="1">
      <alignment vertical="top"/>
    </xf>
    <xf numFmtId="0" fontId="25" fillId="0" borderId="0" xfId="0" applyFont="1" applyAlignment="1">
      <alignment vertical="center" wrapText="1"/>
    </xf>
    <xf numFmtId="0" fontId="25" fillId="0" borderId="0" xfId="0" applyFont="1" applyAlignment="1">
      <alignment horizontal="left" vertical="top"/>
    </xf>
    <xf numFmtId="0" fontId="25" fillId="0" borderId="17" xfId="0" applyFont="1" applyBorder="1" applyAlignment="1">
      <alignment vertical="top"/>
    </xf>
    <xf numFmtId="49" fontId="25" fillId="0" borderId="0" xfId="0" applyNumberFormat="1" applyFont="1" applyAlignment="1">
      <alignment vertical="top"/>
    </xf>
    <xf numFmtId="49" fontId="25" fillId="0" borderId="0" xfId="0" applyNumberFormat="1" applyFont="1" applyAlignment="1" applyProtection="1">
      <alignment vertical="center"/>
      <protection locked="0"/>
    </xf>
    <xf numFmtId="0" fontId="25" fillId="24" borderId="15" xfId="0" applyFont="1" applyFill="1" applyBorder="1" applyAlignment="1">
      <alignment vertical="center"/>
    </xf>
    <xf numFmtId="49" fontId="25" fillId="0" borderId="13" xfId="0" applyNumberFormat="1" applyFont="1" applyBorder="1" applyAlignment="1">
      <alignment vertical="top"/>
    </xf>
    <xf numFmtId="49" fontId="25" fillId="0" borderId="0" xfId="0" applyNumberFormat="1" applyFont="1" applyAlignment="1" applyProtection="1">
      <alignment vertical="top"/>
      <protection locked="0"/>
    </xf>
    <xf numFmtId="49" fontId="25" fillId="24" borderId="14" xfId="0" applyNumberFormat="1" applyFont="1" applyFill="1" applyBorder="1" applyAlignment="1" applyProtection="1">
      <alignment vertical="top"/>
      <protection locked="0"/>
    </xf>
    <xf numFmtId="49" fontId="25" fillId="0" borderId="14" xfId="0" applyNumberFormat="1" applyFont="1" applyBorder="1" applyAlignment="1" applyProtection="1">
      <alignment vertical="top"/>
      <protection locked="0"/>
    </xf>
    <xf numFmtId="49" fontId="25" fillId="24" borderId="15" xfId="0" applyNumberFormat="1" applyFont="1" applyFill="1" applyBorder="1" applyAlignment="1" applyProtection="1">
      <alignment vertical="top"/>
      <protection locked="0"/>
    </xf>
    <xf numFmtId="49" fontId="25" fillId="0" borderId="15" xfId="0" applyNumberFormat="1" applyFont="1" applyBorder="1" applyAlignment="1" applyProtection="1">
      <alignment vertical="top"/>
      <protection locked="0"/>
    </xf>
    <xf numFmtId="49" fontId="25" fillId="24" borderId="15" xfId="0" applyNumberFormat="1" applyFont="1" applyFill="1" applyBorder="1" applyAlignment="1"/>
    <xf numFmtId="49" fontId="25" fillId="0" borderId="22" xfId="0" applyNumberFormat="1" applyFont="1" applyBorder="1" applyAlignment="1" applyProtection="1">
      <protection locked="0"/>
    </xf>
    <xf numFmtId="49" fontId="25" fillId="0" borderId="19" xfId="0" applyNumberFormat="1" applyFont="1" applyBorder="1" applyAlignment="1" applyProtection="1">
      <protection locked="0"/>
    </xf>
    <xf numFmtId="0" fontId="25" fillId="24" borderId="22" xfId="0" applyFont="1" applyFill="1" applyBorder="1" applyAlignment="1">
      <alignment vertical="top"/>
    </xf>
    <xf numFmtId="0" fontId="25" fillId="24" borderId="19" xfId="0" applyFont="1" applyFill="1" applyBorder="1" applyAlignment="1">
      <alignment vertical="top"/>
    </xf>
    <xf numFmtId="49" fontId="25" fillId="24" borderId="22" xfId="0" applyNumberFormat="1" applyFont="1" applyFill="1" applyBorder="1" applyAlignment="1" applyProtection="1">
      <alignment vertical="top"/>
      <protection locked="0"/>
    </xf>
    <xf numFmtId="49" fontId="25" fillId="24" borderId="2" xfId="0" applyNumberFormat="1" applyFont="1" applyFill="1" applyBorder="1" applyAlignment="1" applyProtection="1">
      <alignment vertical="top"/>
      <protection locked="0"/>
    </xf>
    <xf numFmtId="49" fontId="25" fillId="0" borderId="2" xfId="0" applyNumberFormat="1" applyFont="1" applyBorder="1" applyAlignment="1" applyProtection="1">
      <alignment vertical="top"/>
      <protection locked="0"/>
    </xf>
    <xf numFmtId="49" fontId="25" fillId="0" borderId="14" xfId="0" applyNumberFormat="1" applyFont="1" applyBorder="1" applyAlignment="1" applyProtection="1">
      <protection locked="0"/>
    </xf>
    <xf numFmtId="49" fontId="25" fillId="0" borderId="2" xfId="0" applyNumberFormat="1" applyFont="1" applyBorder="1" applyAlignment="1" applyProtection="1">
      <protection locked="0"/>
    </xf>
    <xf numFmtId="49" fontId="25" fillId="24" borderId="22" xfId="0" applyNumberFormat="1" applyFont="1" applyFill="1" applyBorder="1" applyAlignment="1">
      <alignment vertical="top"/>
    </xf>
    <xf numFmtId="49" fontId="25" fillId="24" borderId="19" xfId="0" applyNumberFormat="1" applyFont="1" applyFill="1" applyBorder="1" applyAlignment="1">
      <alignment vertical="top"/>
    </xf>
    <xf numFmtId="49" fontId="25" fillId="24" borderId="15" xfId="0" applyNumberFormat="1" applyFont="1" applyFill="1" applyBorder="1" applyAlignment="1">
      <alignment vertical="center"/>
    </xf>
    <xf numFmtId="49" fontId="25" fillId="0" borderId="19" xfId="0" applyNumberFormat="1" applyFont="1" applyBorder="1" applyAlignment="1"/>
    <xf numFmtId="49" fontId="25" fillId="24" borderId="19" xfId="0" applyNumberFormat="1" applyFont="1" applyFill="1" applyBorder="1" applyAlignment="1"/>
    <xf numFmtId="49" fontId="25" fillId="0" borderId="22" xfId="0" applyNumberFormat="1" applyFont="1" applyBorder="1" applyAlignment="1"/>
    <xf numFmtId="49" fontId="25" fillId="0" borderId="2" xfId="0" applyNumberFormat="1" applyFont="1" applyBorder="1" applyAlignment="1"/>
    <xf numFmtId="49" fontId="25" fillId="24" borderId="15" xfId="0" applyNumberFormat="1" applyFont="1" applyFill="1" applyBorder="1" applyAlignment="1">
      <alignment vertical="top"/>
    </xf>
    <xf numFmtId="49" fontId="25" fillId="24" borderId="15" xfId="0" applyNumberFormat="1" applyFont="1" applyFill="1" applyBorder="1" applyAlignment="1" applyProtection="1">
      <protection locked="0"/>
    </xf>
    <xf numFmtId="49" fontId="25" fillId="25" borderId="19" xfId="0" applyNumberFormat="1" applyFont="1" applyFill="1" applyBorder="1" applyAlignment="1" applyProtection="1">
      <protection locked="0"/>
    </xf>
    <xf numFmtId="0" fontId="25" fillId="24" borderId="15" xfId="0" applyFont="1" applyFill="1" applyBorder="1">
      <alignment vertical="top" wrapText="1"/>
    </xf>
    <xf numFmtId="0" fontId="25" fillId="25" borderId="15" xfId="0" applyFont="1" applyFill="1" applyBorder="1">
      <alignment vertical="top" wrapText="1"/>
    </xf>
    <xf numFmtId="49" fontId="25" fillId="0" borderId="19" xfId="0" applyNumberFormat="1" applyFont="1" applyBorder="1" applyAlignment="1" applyProtection="1">
      <alignment vertical="top"/>
      <protection locked="0"/>
    </xf>
    <xf numFmtId="49" fontId="25" fillId="24" borderId="21" xfId="0" applyNumberFormat="1" applyFont="1" applyFill="1" applyBorder="1" applyAlignment="1" applyProtection="1">
      <alignment vertical="top"/>
      <protection locked="0"/>
    </xf>
    <xf numFmtId="49" fontId="25" fillId="24" borderId="0" xfId="0" applyNumberFormat="1" applyFont="1" applyFill="1" applyAlignment="1" applyProtection="1">
      <alignment vertical="top"/>
      <protection locked="0"/>
    </xf>
    <xf numFmtId="49" fontId="25" fillId="0" borderId="14" xfId="0" applyNumberFormat="1" applyFont="1" applyBorder="1" applyAlignment="1">
      <alignment vertical="top"/>
    </xf>
    <xf numFmtId="49" fontId="25" fillId="0" borderId="16" xfId="0" applyNumberFormat="1" applyFont="1" applyBorder="1" applyAlignment="1">
      <alignment vertical="top"/>
    </xf>
    <xf numFmtId="0" fontId="25" fillId="0" borderId="18" xfId="0" applyFont="1" applyBorder="1">
      <alignment vertical="top" wrapText="1"/>
    </xf>
    <xf numFmtId="0" fontId="25" fillId="0" borderId="0" xfId="0" applyFont="1" applyAlignment="1" applyProtection="1">
      <alignment vertical="center"/>
      <protection locked="0"/>
    </xf>
    <xf numFmtId="0" fontId="25" fillId="0" borderId="0" xfId="0" applyFont="1" applyAlignment="1" applyProtection="1">
      <alignment vertical="top"/>
      <protection locked="0"/>
    </xf>
    <xf numFmtId="0" fontId="25" fillId="24" borderId="14" xfId="0" applyFont="1" applyFill="1" applyBorder="1" applyAlignment="1" applyProtection="1">
      <alignment vertical="top"/>
      <protection locked="0"/>
    </xf>
    <xf numFmtId="0" fontId="25" fillId="0" borderId="14" xfId="0" applyFont="1" applyBorder="1" applyAlignment="1" applyProtection="1">
      <alignment vertical="top"/>
      <protection locked="0"/>
    </xf>
    <xf numFmtId="0" fontId="25" fillId="0" borderId="15" xfId="0" applyFont="1" applyBorder="1" applyAlignment="1" applyProtection="1">
      <alignment vertical="top"/>
      <protection locked="0"/>
    </xf>
    <xf numFmtId="0" fontId="25" fillId="24" borderId="15" xfId="0" applyFont="1" applyFill="1" applyBorder="1" applyAlignment="1" applyProtection="1">
      <alignment vertical="top"/>
      <protection locked="0"/>
    </xf>
    <xf numFmtId="0" fontId="25" fillId="0" borderId="22" xfId="0" applyFont="1" applyBorder="1" applyAlignment="1" applyProtection="1">
      <protection locked="0"/>
    </xf>
    <xf numFmtId="0" fontId="25" fillId="0" borderId="19" xfId="0" applyFont="1" applyBorder="1" applyAlignment="1" applyProtection="1">
      <protection locked="0"/>
    </xf>
    <xf numFmtId="0" fontId="25" fillId="0" borderId="15" xfId="0" applyFont="1" applyBorder="1" applyAlignment="1" applyProtection="1">
      <protection locked="0"/>
    </xf>
    <xf numFmtId="0" fontId="25" fillId="24" borderId="22" xfId="0" applyFont="1" applyFill="1" applyBorder="1" applyAlignment="1" applyProtection="1">
      <alignment vertical="top"/>
      <protection locked="0"/>
    </xf>
    <xf numFmtId="0" fontId="25" fillId="24" borderId="2" xfId="0" applyFont="1" applyFill="1" applyBorder="1" applyAlignment="1" applyProtection="1">
      <alignment vertical="top"/>
      <protection locked="0"/>
    </xf>
    <xf numFmtId="0" fontId="25" fillId="0" borderId="2" xfId="0" applyFont="1" applyBorder="1" applyAlignment="1" applyProtection="1">
      <alignment vertical="top"/>
      <protection locked="0"/>
    </xf>
    <xf numFmtId="0" fontId="25" fillId="0" borderId="14" xfId="0" applyFont="1" applyBorder="1" applyAlignment="1" applyProtection="1">
      <protection locked="0"/>
    </xf>
    <xf numFmtId="0" fontId="25" fillId="0" borderId="2" xfId="0" applyFont="1" applyBorder="1" applyAlignment="1" applyProtection="1">
      <protection locked="0"/>
    </xf>
    <xf numFmtId="0" fontId="25" fillId="24" borderId="15" xfId="0" applyFont="1" applyFill="1" applyBorder="1" applyAlignment="1"/>
    <xf numFmtId="0" fontId="25" fillId="0" borderId="19" xfId="0" applyFont="1" applyBorder="1" applyAlignment="1"/>
    <xf numFmtId="0" fontId="25" fillId="24" borderId="19" xfId="0" applyFont="1" applyFill="1" applyBorder="1" applyAlignment="1"/>
    <xf numFmtId="0" fontId="25" fillId="0" borderId="22" xfId="0" applyFont="1" applyBorder="1" applyAlignment="1"/>
    <xf numFmtId="0" fontId="25" fillId="0" borderId="2" xfId="0" applyFont="1" applyBorder="1" applyAlignment="1"/>
    <xf numFmtId="0" fontId="25" fillId="24" borderId="15" xfId="0" applyFont="1" applyFill="1" applyBorder="1" applyAlignment="1" applyProtection="1">
      <protection locked="0"/>
    </xf>
    <xf numFmtId="0" fontId="25" fillId="0" borderId="19" xfId="0" applyFont="1" applyBorder="1" applyAlignment="1" applyProtection="1">
      <alignment vertical="top"/>
      <protection locked="0"/>
    </xf>
    <xf numFmtId="0" fontId="25" fillId="24" borderId="21" xfId="0" applyFont="1" applyFill="1" applyBorder="1" applyAlignment="1" applyProtection="1">
      <alignment vertical="top"/>
      <protection locked="0"/>
    </xf>
    <xf numFmtId="0" fontId="25" fillId="24" borderId="0" xfId="0" applyFont="1" applyFill="1" applyAlignment="1" applyProtection="1">
      <alignment vertical="top"/>
      <protection locked="0"/>
    </xf>
    <xf numFmtId="0" fontId="25" fillId="0" borderId="43" xfId="0" applyFont="1" applyBorder="1" applyAlignment="1" applyProtection="1">
      <alignment vertical="top"/>
      <protection locked="0"/>
    </xf>
    <xf numFmtId="0" fontId="25" fillId="0" borderId="2" xfId="0" applyFont="1" applyBorder="1" applyAlignment="1">
      <alignment vertical="top"/>
    </xf>
    <xf numFmtId="0" fontId="25" fillId="0" borderId="19" xfId="0" applyFont="1" applyBorder="1" applyAlignment="1">
      <alignment vertical="top"/>
    </xf>
    <xf numFmtId="0" fontId="25" fillId="0" borderId="17" xfId="0" applyFont="1" applyBorder="1" applyAlignment="1"/>
    <xf numFmtId="0" fontId="25" fillId="0" borderId="23" xfId="0" applyFont="1" applyBorder="1" applyAlignment="1"/>
    <xf numFmtId="0" fontId="25" fillId="0" borderId="13" xfId="0" applyFont="1" applyBorder="1" applyAlignment="1"/>
    <xf numFmtId="0" fontId="25" fillId="24" borderId="20" xfId="0" applyFont="1" applyFill="1" applyBorder="1" applyAlignment="1" applyProtection="1">
      <alignment vertical="top"/>
      <protection locked="0"/>
    </xf>
    <xf numFmtId="0" fontId="25" fillId="0" borderId="14" xfId="0" applyFont="1" applyBorder="1" applyAlignment="1" applyProtection="1">
      <alignment vertical="center"/>
      <protection locked="0"/>
    </xf>
    <xf numFmtId="0" fontId="25" fillId="0" borderId="14" xfId="0" applyFont="1" applyBorder="1" applyAlignment="1" applyProtection="1">
      <alignment horizontal="left" vertical="top"/>
      <protection locked="0"/>
    </xf>
    <xf numFmtId="0" fontId="25" fillId="0" borderId="16" xfId="0" applyFont="1" applyBorder="1" applyAlignment="1" applyProtection="1">
      <alignment vertical="top"/>
      <protection locked="0"/>
    </xf>
    <xf numFmtId="0" fontId="28" fillId="0" borderId="0" xfId="0" applyFont="1">
      <alignment vertical="top" wrapText="1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49" fontId="25" fillId="25" borderId="22" xfId="0" applyNumberFormat="1" applyFont="1" applyFill="1" applyBorder="1" applyAlignment="1" applyProtection="1">
      <protection locked="0"/>
    </xf>
    <xf numFmtId="0" fontId="25" fillId="25" borderId="22" xfId="0" applyFont="1" applyFill="1" applyBorder="1" applyAlignment="1" applyProtection="1">
      <protection locked="0"/>
    </xf>
    <xf numFmtId="0" fontId="25" fillId="25" borderId="19" xfId="0" applyFont="1" applyFill="1" applyBorder="1" applyAlignment="1"/>
    <xf numFmtId="0" fontId="25" fillId="25" borderId="19" xfId="0" applyFont="1" applyFill="1" applyBorder="1" applyAlignment="1" applyProtection="1">
      <protection locked="0"/>
    </xf>
    <xf numFmtId="0" fontId="25" fillId="24" borderId="13" xfId="0" applyFont="1" applyFill="1" applyBorder="1" applyAlignment="1">
      <alignment vertical="top"/>
    </xf>
    <xf numFmtId="0" fontId="25" fillId="24" borderId="20" xfId="0" applyFont="1" applyFill="1" applyBorder="1" applyAlignment="1">
      <alignment vertical="top"/>
    </xf>
    <xf numFmtId="0" fontId="25" fillId="24" borderId="14" xfId="0" applyFont="1" applyFill="1" applyBorder="1" applyAlignment="1">
      <alignment vertical="top"/>
    </xf>
    <xf numFmtId="0" fontId="25" fillId="26" borderId="15" xfId="0" applyFont="1" applyFill="1" applyBorder="1" applyAlignment="1">
      <alignment vertical="top"/>
    </xf>
    <xf numFmtId="0" fontId="25" fillId="24" borderId="21" xfId="0" applyFont="1" applyFill="1" applyBorder="1" applyAlignment="1">
      <alignment vertical="top"/>
    </xf>
    <xf numFmtId="0" fontId="25" fillId="24" borderId="0" xfId="0" applyFont="1" applyFill="1" applyAlignment="1">
      <alignment vertical="top"/>
    </xf>
    <xf numFmtId="0" fontId="25" fillId="26" borderId="0" xfId="0" applyFont="1" applyFill="1">
      <alignment vertical="top" wrapText="1"/>
    </xf>
    <xf numFmtId="0" fontId="25" fillId="0" borderId="22" xfId="0" applyFont="1" applyBorder="1" applyAlignment="1">
      <alignment vertical="top"/>
    </xf>
    <xf numFmtId="0" fontId="25" fillId="0" borderId="15" xfId="0" applyFont="1" applyBorder="1" applyAlignment="1">
      <alignment vertical="center"/>
    </xf>
    <xf numFmtId="0" fontId="25" fillId="24" borderId="23" xfId="0" applyFont="1" applyFill="1" applyBorder="1" applyAlignment="1">
      <alignment vertical="top"/>
    </xf>
    <xf numFmtId="0" fontId="25" fillId="0" borderId="23" xfId="0" applyFont="1" applyBorder="1" applyAlignment="1">
      <alignment vertical="top"/>
    </xf>
    <xf numFmtId="49" fontId="25" fillId="24" borderId="15" xfId="0" applyNumberFormat="1" applyFont="1" applyFill="1" applyBorder="1">
      <alignment vertical="top" wrapText="1"/>
    </xf>
    <xf numFmtId="0" fontId="25" fillId="0" borderId="14" xfId="0" applyFont="1" applyBorder="1">
      <alignment vertical="top" wrapText="1"/>
    </xf>
    <xf numFmtId="0" fontId="25" fillId="0" borderId="15" xfId="0" applyFont="1" applyBorder="1">
      <alignment vertical="top" wrapText="1"/>
    </xf>
    <xf numFmtId="49" fontId="25" fillId="0" borderId="15" xfId="0" applyNumberFormat="1" applyFont="1" applyBorder="1" applyProtection="1">
      <alignment vertical="top" wrapText="1"/>
      <protection locked="0"/>
    </xf>
    <xf numFmtId="0" fontId="25" fillId="24" borderId="22" xfId="0" applyFont="1" applyFill="1" applyBorder="1">
      <alignment vertical="top" wrapText="1"/>
    </xf>
    <xf numFmtId="0" fontId="25" fillId="24" borderId="19" xfId="0" applyFont="1" applyFill="1" applyBorder="1">
      <alignment vertical="top" wrapText="1"/>
    </xf>
    <xf numFmtId="49" fontId="25" fillId="0" borderId="13" xfId="0" applyNumberFormat="1" applyFont="1" applyBorder="1" applyAlignment="1" applyProtection="1">
      <alignment vertical="top"/>
      <protection locked="0"/>
    </xf>
    <xf numFmtId="49" fontId="25" fillId="0" borderId="17" xfId="0" applyNumberFormat="1" applyFont="1" applyBorder="1" applyAlignment="1" applyProtection="1">
      <alignment vertical="top"/>
      <protection locked="0"/>
    </xf>
    <xf numFmtId="49" fontId="25" fillId="0" borderId="22" xfId="0" applyNumberFormat="1" applyFont="1" applyBorder="1" applyProtection="1">
      <alignment vertical="top" wrapText="1"/>
      <protection locked="0"/>
    </xf>
    <xf numFmtId="0" fontId="25" fillId="0" borderId="22" xfId="0" applyFont="1" applyBorder="1">
      <alignment vertical="top" wrapText="1"/>
    </xf>
    <xf numFmtId="0" fontId="25" fillId="0" borderId="19" xfId="0" applyFont="1" applyBorder="1">
      <alignment vertical="top" wrapText="1"/>
    </xf>
    <xf numFmtId="0" fontId="25" fillId="0" borderId="15" xfId="0" applyFont="1" applyBorder="1" applyProtection="1">
      <alignment vertical="top" wrapText="1"/>
      <protection locked="0"/>
    </xf>
    <xf numFmtId="0" fontId="25" fillId="0" borderId="13" xfId="0" applyFont="1" applyBorder="1" applyAlignment="1" applyProtection="1">
      <alignment vertical="top"/>
      <protection locked="0"/>
    </xf>
    <xf numFmtId="0" fontId="25" fillId="0" borderId="17" xfId="0" applyFont="1" applyBorder="1" applyAlignment="1" applyProtection="1">
      <alignment vertical="top"/>
      <protection locked="0"/>
    </xf>
    <xf numFmtId="0" fontId="25" fillId="0" borderId="22" xfId="0" applyFont="1" applyBorder="1" applyProtection="1">
      <alignment vertical="top" wrapText="1"/>
      <protection locked="0"/>
    </xf>
    <xf numFmtId="0" fontId="25" fillId="0" borderId="42" xfId="0" applyFont="1" applyBorder="1" applyAlignment="1" applyProtection="1">
      <alignment vertical="top"/>
      <protection locked="0"/>
    </xf>
    <xf numFmtId="49" fontId="25" fillId="25" borderId="22" xfId="0" applyNumberFormat="1" applyFont="1" applyFill="1" applyBorder="1" applyAlignment="1" applyProtection="1">
      <protection locked="0"/>
    </xf>
    <xf numFmtId="49" fontId="25" fillId="25" borderId="19" xfId="0" applyNumberFormat="1" applyFont="1" applyFill="1" applyBorder="1" applyAlignment="1"/>
    <xf numFmtId="0" fontId="25" fillId="25" borderId="22" xfId="0" applyFont="1" applyFill="1" applyBorder="1" applyAlignment="1" applyProtection="1">
      <protection locked="0"/>
    </xf>
    <xf numFmtId="0" fontId="25" fillId="25" borderId="19" xfId="0" applyFont="1" applyFill="1" applyBorder="1" applyAlignment="1"/>
    <xf numFmtId="0" fontId="25" fillId="25" borderId="22" xfId="0" applyFont="1" applyFill="1" applyBorder="1" applyAlignment="1"/>
    <xf numFmtId="0" fontId="25" fillId="25" borderId="19" xfId="0" applyFont="1" applyFill="1" applyBorder="1" applyAlignment="1" applyProtection="1">
      <protection locked="0"/>
    </xf>
    <xf numFmtId="0" fontId="27" fillId="0" borderId="22" xfId="0" applyFont="1" applyBorder="1" applyAlignment="1">
      <alignment horizontal="left" vertical="center" wrapText="1"/>
    </xf>
    <xf numFmtId="0" fontId="27" fillId="0" borderId="2" xfId="0" applyFont="1" applyBorder="1" applyAlignment="1">
      <alignment horizontal="left" vertical="center" wrapText="1"/>
    </xf>
    <xf numFmtId="0" fontId="27" fillId="0" borderId="19" xfId="0" applyFont="1" applyBorder="1" applyAlignment="1">
      <alignment horizontal="left" vertical="center" wrapText="1"/>
    </xf>
    <xf numFmtId="0" fontId="27" fillId="0" borderId="2" xfId="0" applyFont="1" applyBorder="1" applyAlignment="1">
      <alignment vertical="center" wrapText="1"/>
    </xf>
    <xf numFmtId="0" fontId="27" fillId="0" borderId="19" xfId="0" applyFont="1" applyBorder="1" applyAlignment="1">
      <alignment vertical="center" wrapText="1"/>
    </xf>
    <xf numFmtId="0" fontId="27" fillId="0" borderId="22" xfId="0" applyFont="1" applyBorder="1" applyAlignment="1">
      <alignment vertical="center" wrapText="1"/>
    </xf>
    <xf numFmtId="0" fontId="27" fillId="0" borderId="24" xfId="0" applyFont="1" applyBorder="1" applyAlignment="1">
      <alignment vertical="center" wrapText="1"/>
    </xf>
    <xf numFmtId="0" fontId="27" fillId="0" borderId="22" xfId="0" applyFont="1" applyBorder="1" applyAlignment="1">
      <alignment horizontal="left" vertical="center"/>
    </xf>
    <xf numFmtId="0" fontId="27" fillId="0" borderId="2" xfId="0" applyFont="1" applyBorder="1" applyAlignment="1">
      <alignment horizontal="left" vertical="center"/>
    </xf>
    <xf numFmtId="0" fontId="27" fillId="0" borderId="19" xfId="0" applyFont="1" applyBorder="1" applyAlignment="1">
      <alignment horizontal="left" vertical="center"/>
    </xf>
    <xf numFmtId="0" fontId="27" fillId="0" borderId="22" xfId="0" applyFont="1" applyBorder="1" applyAlignment="1">
      <alignment vertical="center"/>
    </xf>
    <xf numFmtId="0" fontId="27" fillId="0" borderId="2" xfId="0" applyFont="1" applyBorder="1" applyAlignment="1">
      <alignment vertical="center"/>
    </xf>
    <xf numFmtId="0" fontId="27" fillId="0" borderId="24" xfId="0" applyFont="1" applyBorder="1" applyAlignment="1">
      <alignment vertical="center"/>
    </xf>
    <xf numFmtId="0" fontId="27" fillId="0" borderId="25" xfId="0" applyFont="1" applyBorder="1" applyAlignment="1">
      <alignment horizontal="left" vertical="center" wrapText="1"/>
    </xf>
    <xf numFmtId="0" fontId="27" fillId="0" borderId="26" xfId="0" applyFont="1" applyBorder="1" applyAlignment="1">
      <alignment horizontal="left" vertical="center" wrapText="1"/>
    </xf>
    <xf numFmtId="0" fontId="27" fillId="0" borderId="27" xfId="0" applyFont="1" applyBorder="1" applyAlignment="1">
      <alignment horizontal="left" vertical="center" wrapText="1"/>
    </xf>
    <xf numFmtId="0" fontId="27" fillId="0" borderId="26" xfId="0" applyFont="1" applyBorder="1" applyAlignment="1">
      <alignment vertical="center" wrapText="1"/>
    </xf>
    <xf numFmtId="0" fontId="27" fillId="0" borderId="27" xfId="0" applyFont="1" applyBorder="1" applyAlignment="1">
      <alignment vertical="center" wrapText="1"/>
    </xf>
    <xf numFmtId="0" fontId="27" fillId="0" borderId="25" xfId="0" applyFont="1" applyBorder="1" applyAlignment="1">
      <alignment vertical="center" wrapText="1"/>
    </xf>
    <xf numFmtId="0" fontId="27" fillId="0" borderId="28" xfId="0" applyFont="1" applyBorder="1" applyAlignment="1">
      <alignment vertical="center" wrapText="1"/>
    </xf>
    <xf numFmtId="0" fontId="28" fillId="25" borderId="29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177" fontId="27" fillId="0" borderId="31" xfId="0" applyNumberFormat="1" applyFont="1" applyBorder="1" applyAlignment="1">
      <alignment horizontal="center" vertical="center"/>
    </xf>
    <xf numFmtId="177" fontId="27" fillId="0" borderId="26" xfId="0" applyNumberFormat="1" applyFont="1" applyBorder="1" applyAlignment="1">
      <alignment horizontal="center" vertical="center"/>
    </xf>
    <xf numFmtId="177" fontId="27" fillId="0" borderId="27" xfId="0" applyNumberFormat="1" applyFont="1" applyBorder="1" applyAlignment="1">
      <alignment horizontal="center" vertical="center"/>
    </xf>
    <xf numFmtId="177" fontId="27" fillId="0" borderId="32" xfId="0" applyNumberFormat="1" applyFont="1" applyBorder="1" applyAlignment="1">
      <alignment horizontal="center" vertical="center"/>
    </xf>
    <xf numFmtId="177" fontId="27" fillId="0" borderId="2" xfId="0" applyNumberFormat="1" applyFont="1" applyBorder="1" applyAlignment="1">
      <alignment horizontal="center" vertical="center"/>
    </xf>
    <xf numFmtId="177" fontId="27" fillId="0" borderId="19" xfId="0" applyNumberFormat="1" applyFont="1" applyBorder="1" applyAlignment="1">
      <alignment horizontal="center" vertical="center"/>
    </xf>
    <xf numFmtId="177" fontId="27" fillId="0" borderId="37" xfId="0" applyNumberFormat="1" applyFont="1" applyBorder="1" applyAlignment="1">
      <alignment horizontal="center" vertical="center"/>
    </xf>
    <xf numFmtId="177" fontId="27" fillId="0" borderId="34" xfId="0" applyNumberFormat="1" applyFont="1" applyBorder="1" applyAlignment="1">
      <alignment horizontal="center" vertical="center"/>
    </xf>
    <xf numFmtId="177" fontId="27" fillId="0" borderId="35" xfId="0" applyNumberFormat="1" applyFont="1" applyBorder="1" applyAlignment="1">
      <alignment horizontal="center" vertical="center"/>
    </xf>
    <xf numFmtId="0" fontId="26" fillId="25" borderId="38" xfId="0" applyFont="1" applyFill="1" applyBorder="1" applyAlignment="1">
      <alignment horizontal="center" vertical="center"/>
    </xf>
    <xf numFmtId="0" fontId="27" fillId="0" borderId="3" xfId="0" applyFont="1" applyBorder="1" applyAlignment="1">
      <alignment vertical="center"/>
    </xf>
    <xf numFmtId="0" fontId="27" fillId="0" borderId="39" xfId="0" applyFont="1" applyBorder="1" applyAlignment="1">
      <alignment vertical="center"/>
    </xf>
    <xf numFmtId="0" fontId="28" fillId="25" borderId="40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8" fillId="25" borderId="30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41" xfId="0" applyFont="1" applyBorder="1" applyAlignment="1">
      <alignment horizontal="center" vertical="center"/>
    </xf>
    <xf numFmtId="0" fontId="27" fillId="0" borderId="33" xfId="0" applyFont="1" applyBorder="1" applyAlignment="1">
      <alignment horizontal="left" vertical="center" wrapText="1"/>
    </xf>
    <xf numFmtId="0" fontId="27" fillId="0" borderId="34" xfId="0" applyFont="1" applyBorder="1" applyAlignment="1">
      <alignment horizontal="left" vertical="center" wrapText="1"/>
    </xf>
    <xf numFmtId="0" fontId="27" fillId="0" borderId="35" xfId="0" applyFont="1" applyBorder="1" applyAlignment="1">
      <alignment horizontal="left" vertical="center" wrapText="1"/>
    </xf>
    <xf numFmtId="0" fontId="27" fillId="0" borderId="34" xfId="0" applyFont="1" applyBorder="1" applyAlignment="1">
      <alignment vertical="center" wrapText="1"/>
    </xf>
    <xf numFmtId="0" fontId="27" fillId="0" borderId="35" xfId="0" applyFont="1" applyBorder="1" applyAlignment="1">
      <alignment vertical="center" wrapText="1"/>
    </xf>
    <xf numFmtId="0" fontId="27" fillId="0" borderId="33" xfId="0" applyFont="1" applyBorder="1" applyAlignment="1">
      <alignment vertical="center" wrapText="1"/>
    </xf>
    <xf numFmtId="0" fontId="27" fillId="0" borderId="36" xfId="0" applyFont="1" applyBorder="1" applyAlignment="1">
      <alignment vertical="center" wrapText="1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6F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tabSelected="1"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6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55</v>
      </c>
      <c r="D2" s="7" t="s">
        <v>9</v>
      </c>
      <c r="E2" s="9" t="s">
        <v>178</v>
      </c>
      <c r="F2" s="7" t="s">
        <v>53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177</v>
      </c>
      <c r="D3" s="7" t="s">
        <v>10</v>
      </c>
      <c r="E3" s="9" t="s">
        <v>179</v>
      </c>
      <c r="F3" s="7" t="s">
        <v>54</v>
      </c>
      <c r="G3" s="9"/>
      <c r="H3" s="7"/>
      <c r="I3" s="9"/>
    </row>
    <row r="4" spans="1:12" x14ac:dyDescent="0.2">
      <c r="A4" s="3"/>
      <c r="B4" s="7"/>
      <c r="C4" s="13"/>
      <c r="D4" s="7" t="s">
        <v>11</v>
      </c>
      <c r="E4" s="14" t="s">
        <v>180</v>
      </c>
      <c r="F4" s="7" t="s">
        <v>5</v>
      </c>
      <c r="G4" s="9" t="s">
        <v>362</v>
      </c>
      <c r="H4" s="15"/>
      <c r="I4" s="16"/>
    </row>
    <row r="5" spans="1:12" x14ac:dyDescent="0.2">
      <c r="A5" s="6" t="s">
        <v>6</v>
      </c>
      <c r="B5" s="17"/>
      <c r="C5" s="18"/>
      <c r="D5" s="17"/>
      <c r="E5" s="17"/>
      <c r="F5" s="19"/>
      <c r="G5" s="20"/>
      <c r="H5" s="20"/>
      <c r="I5" s="21"/>
      <c r="J5" s="4"/>
      <c r="K5" s="4"/>
      <c r="L5" s="4"/>
    </row>
    <row r="6" spans="1:12" s="25" customFormat="1" x14ac:dyDescent="0.2">
      <c r="A6" s="22" t="s">
        <v>4</v>
      </c>
      <c r="B6" s="6"/>
      <c r="C6" s="23"/>
      <c r="D6" s="6"/>
      <c r="E6" s="6"/>
      <c r="F6" s="6"/>
      <c r="G6" s="6"/>
      <c r="H6" s="6"/>
      <c r="I6" s="24"/>
    </row>
    <row r="7" spans="1:12" s="25" customFormat="1" x14ac:dyDescent="0.2">
      <c r="A7" s="5"/>
      <c r="B7" s="4"/>
      <c r="C7" s="26"/>
      <c r="D7" s="4"/>
      <c r="E7" s="4"/>
      <c r="F7" s="4"/>
      <c r="G7" s="4"/>
      <c r="H7" s="4"/>
      <c r="I7" s="16"/>
    </row>
    <row r="8" spans="1:12" x14ac:dyDescent="0.2">
      <c r="B8" s="4"/>
      <c r="I8" s="16"/>
    </row>
    <row r="9" spans="1:12" x14ac:dyDescent="0.2">
      <c r="B9" s="4"/>
      <c r="I9" s="16"/>
      <c r="J9" s="4"/>
    </row>
    <row r="10" spans="1:12" x14ac:dyDescent="0.2">
      <c r="B10" s="4"/>
      <c r="I10" s="16"/>
      <c r="J10" s="4"/>
    </row>
    <row r="11" spans="1:12" x14ac:dyDescent="0.2">
      <c r="B11" s="4"/>
      <c r="I11" s="16"/>
      <c r="J11" s="4"/>
    </row>
    <row r="12" spans="1:12" x14ac:dyDescent="0.2">
      <c r="B12" s="4"/>
      <c r="I12" s="16"/>
      <c r="J12" s="4"/>
    </row>
    <row r="13" spans="1:12" x14ac:dyDescent="0.2">
      <c r="B13" s="4"/>
      <c r="I13" s="16"/>
      <c r="J13" s="4"/>
    </row>
    <row r="14" spans="1:12" x14ac:dyDescent="0.2">
      <c r="B14" s="4"/>
      <c r="I14" s="16"/>
      <c r="J14" s="4"/>
    </row>
    <row r="15" spans="1:12" x14ac:dyDescent="0.2">
      <c r="B15" s="4"/>
      <c r="I15" s="16"/>
      <c r="J15" s="4"/>
    </row>
    <row r="16" spans="1:12" x14ac:dyDescent="0.2">
      <c r="B16" s="4"/>
      <c r="I16" s="16"/>
      <c r="J16" s="4"/>
    </row>
    <row r="17" spans="1:10" x14ac:dyDescent="0.2">
      <c r="B17" s="4"/>
      <c r="I17" s="16"/>
      <c r="J17" s="4"/>
    </row>
    <row r="18" spans="1:10" x14ac:dyDescent="0.2">
      <c r="B18" s="4"/>
      <c r="I18" s="16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3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2" customWidth="1"/>
    <col min="2" max="2" width="2.6328125" style="32" bestFit="1" customWidth="1"/>
    <col min="3" max="3" width="3.36328125" style="32" customWidth="1"/>
    <col min="4" max="4" width="27.1796875" style="29" bestFit="1" customWidth="1"/>
    <col min="5" max="5" width="25.6328125" style="29" customWidth="1"/>
    <col min="6" max="6" width="7.453125" style="32" bestFit="1" customWidth="1"/>
    <col min="7" max="7" width="30.81640625" style="32" customWidth="1"/>
    <col min="8" max="8" width="47.1796875" style="32" customWidth="1"/>
    <col min="9" max="10" width="15.81640625" style="32" customWidth="1"/>
    <col min="11" max="11" width="16.90625" style="32" customWidth="1"/>
    <col min="12" max="12" width="20.6328125" style="32" customWidth="1"/>
    <col min="13" max="13" width="12.81640625" style="32" bestFit="1" customWidth="1"/>
    <col min="14" max="14" width="50.6328125" style="32" customWidth="1"/>
    <col min="15" max="15" width="14.08984375" style="32" customWidth="1"/>
    <col min="16" max="16" width="18.453125" style="32" customWidth="1"/>
    <col min="17" max="17" width="17.6328125" style="29" customWidth="1"/>
    <col min="18" max="19" width="22.453125" style="29" customWidth="1"/>
    <col min="20" max="20" width="17.6328125" style="29" customWidth="1"/>
    <col min="21" max="22" width="9" style="29"/>
    <col min="23" max="23" width="30.81640625" style="29" customWidth="1"/>
    <col min="24" max="24" width="9" style="29"/>
    <col min="25" max="25" width="15.81640625" style="29" customWidth="1"/>
    <col min="26" max="16384" width="9" style="29"/>
  </cols>
  <sheetData>
    <row r="1" spans="1:26" s="11" customFormat="1" x14ac:dyDescent="0.2">
      <c r="A1" s="105" t="s">
        <v>16</v>
      </c>
      <c r="B1" s="105" t="s">
        <v>16</v>
      </c>
      <c r="C1" s="105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9"/>
      <c r="T1" s="4"/>
      <c r="U1" s="29"/>
      <c r="V1" s="29"/>
      <c r="W1" s="29"/>
      <c r="X1" s="29"/>
      <c r="Y1" s="29"/>
    </row>
    <row r="2" spans="1:26" s="11" customFormat="1" ht="40" customHeight="1" x14ac:dyDescent="0.2">
      <c r="A2" s="106" t="s">
        <v>16</v>
      </c>
      <c r="B2" s="107"/>
      <c r="C2" s="107"/>
      <c r="D2" s="117" t="s">
        <v>369</v>
      </c>
      <c r="E2" s="7" t="s">
        <v>12</v>
      </c>
      <c r="F2" s="108" t="str">
        <f>IF(LogicCommon!C2="","",LogicCommon!C2)</f>
        <v>MA</v>
      </c>
      <c r="G2" s="7" t="s">
        <v>9</v>
      </c>
      <c r="H2" s="108" t="str">
        <f>IF(LogicCommon!E2="","",LogicCommon!E2)</f>
        <v>MABSL0850</v>
      </c>
      <c r="I2" s="7" t="s">
        <v>30</v>
      </c>
      <c r="J2" s="9" t="s">
        <v>181</v>
      </c>
      <c r="K2" s="7" t="s">
        <v>32</v>
      </c>
      <c r="L2" s="108" t="str">
        <f>IF(LogicCommon!G2="","",LogicCommon!G2)</f>
        <v>MC</v>
      </c>
      <c r="M2" s="5" t="s">
        <v>33</v>
      </c>
      <c r="N2" s="30" t="str">
        <f>L4 &amp; ".Checker"</f>
        <v>MA.MAUDL5010.Checker</v>
      </c>
      <c r="O2" s="7"/>
      <c r="P2" s="7"/>
      <c r="Q2" s="4"/>
      <c r="R2" s="28"/>
      <c r="S2" s="29"/>
      <c r="T2" s="4"/>
      <c r="U2" s="29"/>
      <c r="V2" s="29"/>
      <c r="W2" s="29"/>
      <c r="X2" s="29"/>
      <c r="Y2" s="29"/>
    </row>
    <row r="3" spans="1:26" s="11" customFormat="1" x14ac:dyDescent="0.2">
      <c r="A3" s="109" t="s">
        <v>16</v>
      </c>
      <c r="B3" s="110"/>
      <c r="C3" s="110"/>
      <c r="D3" s="111" t="str">
        <f>IF(LogicCommon!A3="","",LogicCommon!A3)</f>
        <v/>
      </c>
      <c r="E3" s="7" t="s">
        <v>13</v>
      </c>
      <c r="F3" s="108" t="str">
        <f>IF(LogicCommon!C3="","",LogicCommon!C3)</f>
        <v>MABS</v>
      </c>
      <c r="G3" s="7" t="s">
        <v>10</v>
      </c>
      <c r="H3" s="108" t="str">
        <f>IF(LogicCommon!E3="","",LogicCommon!E3)</f>
        <v>MABSL_MpsItmReg</v>
      </c>
      <c r="I3" s="7" t="s">
        <v>34</v>
      </c>
      <c r="J3" s="9" t="s">
        <v>107</v>
      </c>
      <c r="K3" s="7" t="s">
        <v>36</v>
      </c>
      <c r="L3" s="108" t="str">
        <f>IF(LogicCommon!G3="","",LogicCommon!G3)</f>
        <v/>
      </c>
      <c r="M3" s="112" t="s">
        <v>37</v>
      </c>
      <c r="N3" s="7"/>
      <c r="O3" s="7" t="s">
        <v>38</v>
      </c>
      <c r="P3" s="9" t="s">
        <v>39</v>
      </c>
      <c r="Q3" s="4"/>
      <c r="R3" s="28"/>
      <c r="S3" s="29"/>
      <c r="T3" s="4"/>
      <c r="U3" s="29"/>
      <c r="V3" s="29"/>
      <c r="W3" s="29"/>
      <c r="X3" s="29"/>
      <c r="Y3" s="29"/>
    </row>
    <row r="4" spans="1:26" s="11" customFormat="1" x14ac:dyDescent="0.2">
      <c r="A4" s="109" t="s">
        <v>16</v>
      </c>
      <c r="B4" s="110"/>
      <c r="C4" s="110"/>
      <c r="D4" s="4"/>
      <c r="E4" s="7" t="s">
        <v>8</v>
      </c>
      <c r="F4" s="10" t="s">
        <v>281</v>
      </c>
      <c r="G4" s="7" t="s">
        <v>11</v>
      </c>
      <c r="H4" s="108" t="str">
        <f>IF(LogicCommon!E4="","",LogicCommon!E4)</f>
        <v>ＭＰＳ品目マスタ登録</v>
      </c>
      <c r="I4" s="7" t="s">
        <v>40</v>
      </c>
      <c r="J4" s="9" t="s">
        <v>232</v>
      </c>
      <c r="K4" s="7" t="s">
        <v>5</v>
      </c>
      <c r="L4" s="108" t="str">
        <f>IF(LogicCommon!G4="","",LogicCommon!G4)</f>
        <v>MA.MAUDL5010</v>
      </c>
      <c r="M4" s="113"/>
      <c r="N4" s="30"/>
      <c r="O4" s="15"/>
      <c r="P4" s="4"/>
      <c r="Q4" s="4"/>
      <c r="R4" s="28"/>
      <c r="S4" s="29"/>
      <c r="T4" s="4"/>
      <c r="U4" s="29"/>
      <c r="V4" s="29"/>
      <c r="W4" s="29"/>
      <c r="X4" s="29"/>
      <c r="Y4" s="29"/>
    </row>
    <row r="5" spans="1:26" s="11" customFormat="1" x14ac:dyDescent="0.2">
      <c r="A5" s="114" t="s">
        <v>16</v>
      </c>
      <c r="B5" s="105"/>
      <c r="C5" s="105"/>
      <c r="D5" s="27"/>
      <c r="E5" s="7" t="s">
        <v>17</v>
      </c>
      <c r="F5" s="10"/>
      <c r="G5" s="89"/>
      <c r="H5" s="89"/>
      <c r="I5" s="89"/>
      <c r="J5" s="89"/>
      <c r="K5" s="89"/>
      <c r="L5" s="6"/>
      <c r="M5" s="5"/>
      <c r="N5" s="5"/>
      <c r="O5" s="15"/>
      <c r="P5" s="4"/>
      <c r="Q5" s="4"/>
      <c r="R5" s="28"/>
      <c r="S5" s="29"/>
      <c r="T5" s="4"/>
      <c r="U5" s="29"/>
      <c r="V5" s="29"/>
      <c r="W5" s="29"/>
      <c r="X5" s="29"/>
      <c r="Y5" s="29"/>
    </row>
    <row r="6" spans="1:26" s="11" customFormat="1" x14ac:dyDescent="0.2">
      <c r="A6" s="109" t="s">
        <v>16</v>
      </c>
      <c r="B6" s="110"/>
      <c r="C6" s="110"/>
      <c r="D6" s="4" t="s">
        <v>6</v>
      </c>
      <c r="E6" s="17" t="s">
        <v>233</v>
      </c>
      <c r="F6" s="17"/>
      <c r="G6" s="17"/>
      <c r="H6" s="17"/>
      <c r="I6" s="17"/>
      <c r="J6" s="17"/>
      <c r="K6" s="17"/>
      <c r="L6" s="115"/>
      <c r="M6" s="20"/>
      <c r="N6" s="20"/>
      <c r="O6" s="20"/>
      <c r="P6" s="20"/>
      <c r="Q6" s="20"/>
      <c r="R6" s="28"/>
      <c r="S6" s="29"/>
      <c r="T6" s="20"/>
      <c r="U6" s="31" t="s">
        <v>243</v>
      </c>
      <c r="V6" s="28" t="s">
        <v>243</v>
      </c>
      <c r="W6" s="32"/>
      <c r="X6" s="32"/>
      <c r="Y6" s="29"/>
    </row>
    <row r="7" spans="1:26" s="11" customFormat="1" x14ac:dyDescent="0.2">
      <c r="A7" s="33" t="s">
        <v>19</v>
      </c>
      <c r="B7" s="33"/>
      <c r="C7" s="33"/>
      <c r="D7" s="34"/>
      <c r="E7" s="34"/>
      <c r="F7" s="34"/>
      <c r="G7" s="34"/>
      <c r="H7" s="34"/>
      <c r="I7" s="34" t="s">
        <v>46</v>
      </c>
      <c r="J7" s="34"/>
      <c r="K7" s="35" t="s">
        <v>108</v>
      </c>
      <c r="L7" s="35" t="s">
        <v>117</v>
      </c>
      <c r="M7" s="35" t="s">
        <v>169</v>
      </c>
      <c r="N7" s="35" t="s">
        <v>108</v>
      </c>
      <c r="O7" s="35" t="s">
        <v>169</v>
      </c>
      <c r="P7" s="35" t="s">
        <v>108</v>
      </c>
      <c r="Q7" s="35" t="s">
        <v>108</v>
      </c>
      <c r="R7" s="35" t="s">
        <v>108</v>
      </c>
      <c r="S7" s="35" t="s">
        <v>108</v>
      </c>
      <c r="T7" s="35" t="s">
        <v>355</v>
      </c>
      <c r="U7" s="36" t="s">
        <v>90</v>
      </c>
      <c r="V7" s="35"/>
      <c r="W7" s="32"/>
      <c r="X7" s="32"/>
      <c r="Y7" s="32"/>
      <c r="Z7" s="32"/>
    </row>
    <row r="8" spans="1:26" s="11" customFormat="1" ht="60" customHeight="1" x14ac:dyDescent="0.2">
      <c r="A8" s="57" t="s">
        <v>19</v>
      </c>
      <c r="B8" s="120"/>
      <c r="C8" s="121"/>
      <c r="D8" s="118" t="s">
        <v>370</v>
      </c>
      <c r="E8" s="118" t="s">
        <v>371</v>
      </c>
      <c r="F8" s="115"/>
      <c r="G8" s="118" t="s">
        <v>282</v>
      </c>
      <c r="H8" s="118" t="s">
        <v>372</v>
      </c>
      <c r="I8" s="115"/>
      <c r="J8" s="3"/>
      <c r="K8" s="54" t="s">
        <v>109</v>
      </c>
      <c r="L8" s="54" t="s">
        <v>118</v>
      </c>
      <c r="M8" s="54" t="s">
        <v>170</v>
      </c>
      <c r="N8" s="54" t="s">
        <v>354</v>
      </c>
      <c r="O8" s="54" t="s">
        <v>174</v>
      </c>
      <c r="P8" s="54" t="s">
        <v>175</v>
      </c>
      <c r="Q8" s="54" t="s">
        <v>176</v>
      </c>
      <c r="R8" s="54" t="s">
        <v>226</v>
      </c>
      <c r="S8" s="54" t="s">
        <v>227</v>
      </c>
      <c r="T8" s="54" t="s">
        <v>360</v>
      </c>
      <c r="U8" s="36" t="s">
        <v>91</v>
      </c>
      <c r="V8" s="54"/>
      <c r="W8" s="122"/>
      <c r="X8" s="123"/>
      <c r="Y8" s="124" t="s">
        <v>381</v>
      </c>
      <c r="Z8" s="59"/>
    </row>
    <row r="9" spans="1:26" s="11" customFormat="1" ht="60" customHeight="1" x14ac:dyDescent="0.2">
      <c r="A9" s="9" t="s">
        <v>19</v>
      </c>
      <c r="B9" s="40"/>
      <c r="C9" s="41"/>
      <c r="D9" s="118" t="s">
        <v>373</v>
      </c>
      <c r="E9" s="125" t="s">
        <v>374</v>
      </c>
      <c r="F9" s="118" t="s">
        <v>375</v>
      </c>
      <c r="G9" s="118" t="s">
        <v>376</v>
      </c>
      <c r="H9" s="118" t="s">
        <v>377</v>
      </c>
      <c r="I9" s="126" t="s">
        <v>378</v>
      </c>
      <c r="J9" s="118" t="s">
        <v>379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124" t="s">
        <v>380</v>
      </c>
      <c r="X9" s="59"/>
      <c r="Y9" s="124" t="s">
        <v>382</v>
      </c>
      <c r="Z9" s="59"/>
    </row>
    <row r="10" spans="1:26" s="11" customFormat="1" ht="52" x14ac:dyDescent="0.2">
      <c r="A10" s="42" t="s">
        <v>19</v>
      </c>
      <c r="B10" s="43"/>
      <c r="C10" s="43"/>
      <c r="D10" s="44"/>
      <c r="E10" s="45"/>
      <c r="F10" s="45"/>
      <c r="G10" s="46"/>
      <c r="H10" s="46"/>
      <c r="I10" s="45"/>
      <c r="J10" s="45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119" t="s">
        <v>378</v>
      </c>
      <c r="V10" s="119" t="s">
        <v>379</v>
      </c>
      <c r="W10" s="45"/>
      <c r="X10" s="45"/>
      <c r="Y10" s="46"/>
      <c r="Z10" s="39"/>
    </row>
    <row r="11" spans="1:26" s="11" customFormat="1" x14ac:dyDescent="0.2">
      <c r="A11" s="9">
        <v>10</v>
      </c>
      <c r="B11" s="47" t="s">
        <v>0</v>
      </c>
      <c r="C11" s="48"/>
      <c r="D11" s="49" t="s">
        <v>182</v>
      </c>
      <c r="E11" s="37" t="s">
        <v>89</v>
      </c>
      <c r="F11" s="50"/>
      <c r="G11" s="49" t="s">
        <v>116</v>
      </c>
      <c r="H11" s="51" t="s">
        <v>366</v>
      </c>
      <c r="I11" s="52"/>
      <c r="J11" s="53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5"/>
      <c r="V11" s="55"/>
      <c r="W11" s="38" t="s">
        <v>244</v>
      </c>
      <c r="X11" s="39" t="s">
        <v>244</v>
      </c>
      <c r="Y11" s="101" t="s">
        <v>244</v>
      </c>
      <c r="Z11" s="56" t="s">
        <v>244</v>
      </c>
    </row>
    <row r="12" spans="1:26" s="11" customFormat="1" x14ac:dyDescent="0.2">
      <c r="A12" s="9">
        <v>10</v>
      </c>
      <c r="B12" s="9"/>
      <c r="C12" s="9"/>
      <c r="D12" s="9" t="s">
        <v>225</v>
      </c>
      <c r="E12" s="57" t="s">
        <v>160</v>
      </c>
      <c r="F12" s="57"/>
      <c r="G12" s="58" t="s">
        <v>383</v>
      </c>
      <c r="H12" s="58" t="s">
        <v>245</v>
      </c>
      <c r="I12" s="9" t="s">
        <v>87</v>
      </c>
      <c r="J12" s="9"/>
      <c r="K12" s="9"/>
      <c r="L12" s="9" t="s">
        <v>246</v>
      </c>
      <c r="M12" s="9" t="s">
        <v>87</v>
      </c>
      <c r="N12" s="9"/>
      <c r="O12" s="9"/>
      <c r="P12" s="116" t="s">
        <v>368</v>
      </c>
      <c r="Q12" s="9" t="s">
        <v>247</v>
      </c>
      <c r="R12" s="9"/>
      <c r="S12" s="9"/>
      <c r="T12" s="9"/>
      <c r="U12" s="9"/>
      <c r="V12" s="9"/>
      <c r="W12" s="44" t="s">
        <v>244</v>
      </c>
      <c r="X12" s="59" t="s">
        <v>244</v>
      </c>
      <c r="Y12" s="132" t="s">
        <v>244</v>
      </c>
      <c r="Z12" s="133"/>
    </row>
    <row r="13" spans="1:26" s="11" customFormat="1" x14ac:dyDescent="0.2">
      <c r="A13" s="9">
        <v>10</v>
      </c>
      <c r="B13" s="9"/>
      <c r="C13" s="9"/>
      <c r="D13" s="9" t="s">
        <v>123</v>
      </c>
      <c r="E13" s="57" t="s">
        <v>119</v>
      </c>
      <c r="F13" s="57"/>
      <c r="G13" s="58" t="s">
        <v>384</v>
      </c>
      <c r="H13" s="58" t="s">
        <v>248</v>
      </c>
      <c r="I13" s="9" t="s">
        <v>87</v>
      </c>
      <c r="J13" s="9"/>
      <c r="K13" s="9" t="s">
        <v>87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44" t="s">
        <v>244</v>
      </c>
      <c r="X13" s="59" t="s">
        <v>244</v>
      </c>
      <c r="Y13" s="132" t="s">
        <v>244</v>
      </c>
      <c r="Z13" s="133"/>
    </row>
    <row r="14" spans="1:26" s="11" customFormat="1" x14ac:dyDescent="0.2">
      <c r="A14" s="9">
        <v>10</v>
      </c>
      <c r="B14" s="9"/>
      <c r="C14" s="9"/>
      <c r="D14" s="9" t="s">
        <v>124</v>
      </c>
      <c r="E14" s="57" t="s">
        <v>120</v>
      </c>
      <c r="F14" s="57"/>
      <c r="G14" s="58" t="s">
        <v>385</v>
      </c>
      <c r="H14" s="58" t="s">
        <v>249</v>
      </c>
      <c r="I14" s="9" t="s">
        <v>42</v>
      </c>
      <c r="J14" s="9"/>
      <c r="K14" s="9"/>
      <c r="L14" s="9"/>
      <c r="M14" s="9" t="s">
        <v>87</v>
      </c>
      <c r="N14" s="9"/>
      <c r="O14" s="9"/>
      <c r="P14" s="9"/>
      <c r="Q14" s="9"/>
      <c r="R14" s="9"/>
      <c r="S14" s="9"/>
      <c r="T14" s="9"/>
      <c r="U14" s="9"/>
      <c r="V14" s="9"/>
      <c r="W14" s="44" t="s">
        <v>244</v>
      </c>
      <c r="X14" s="59" t="s">
        <v>244</v>
      </c>
      <c r="Y14" s="132" t="s">
        <v>244</v>
      </c>
      <c r="Z14" s="133"/>
    </row>
    <row r="15" spans="1:26" s="11" customFormat="1" x14ac:dyDescent="0.2">
      <c r="A15" s="9">
        <v>10</v>
      </c>
      <c r="B15" s="9"/>
      <c r="C15" s="9"/>
      <c r="D15" s="9" t="s">
        <v>125</v>
      </c>
      <c r="E15" s="57" t="s">
        <v>121</v>
      </c>
      <c r="F15" s="57"/>
      <c r="G15" s="58" t="s">
        <v>386</v>
      </c>
      <c r="H15" s="58" t="s">
        <v>250</v>
      </c>
      <c r="I15" s="9" t="s">
        <v>87</v>
      </c>
      <c r="J15" s="9"/>
      <c r="K15" s="9"/>
      <c r="L15" s="9"/>
      <c r="M15" s="9" t="s">
        <v>87</v>
      </c>
      <c r="N15" s="9"/>
      <c r="O15" s="9"/>
      <c r="P15" s="9"/>
      <c r="Q15" s="9"/>
      <c r="R15" s="9"/>
      <c r="S15" s="9"/>
      <c r="T15" s="9"/>
      <c r="U15" s="9"/>
      <c r="V15" s="9"/>
      <c r="W15" s="44" t="s">
        <v>244</v>
      </c>
      <c r="X15" s="59" t="s">
        <v>244</v>
      </c>
      <c r="Y15" s="132" t="s">
        <v>244</v>
      </c>
      <c r="Z15" s="133"/>
    </row>
    <row r="16" spans="1:26" s="11" customFormat="1" x14ac:dyDescent="0.2">
      <c r="A16" s="9">
        <v>10</v>
      </c>
      <c r="B16" s="9"/>
      <c r="C16" s="9"/>
      <c r="D16" s="9" t="s">
        <v>126</v>
      </c>
      <c r="E16" s="57" t="s">
        <v>122</v>
      </c>
      <c r="F16" s="57"/>
      <c r="G16" s="58" t="s">
        <v>387</v>
      </c>
      <c r="H16" s="58" t="s">
        <v>251</v>
      </c>
      <c r="I16" s="9" t="s">
        <v>87</v>
      </c>
      <c r="J16" s="9"/>
      <c r="K16" s="9"/>
      <c r="L16" s="9" t="s">
        <v>252</v>
      </c>
      <c r="M16" s="9" t="s">
        <v>87</v>
      </c>
      <c r="N16" s="9"/>
      <c r="O16" s="9"/>
      <c r="P16" s="9" t="s">
        <v>253</v>
      </c>
      <c r="Q16" s="9" t="s">
        <v>254</v>
      </c>
      <c r="R16" s="9"/>
      <c r="S16" s="9"/>
      <c r="T16" s="9"/>
      <c r="U16" s="9"/>
      <c r="V16" s="9"/>
      <c r="W16" s="44" t="s">
        <v>244</v>
      </c>
      <c r="X16" s="59" t="s">
        <v>244</v>
      </c>
      <c r="Y16" s="132" t="s">
        <v>244</v>
      </c>
      <c r="Z16" s="133"/>
    </row>
    <row r="17" spans="1:26" s="11" customFormat="1" x14ac:dyDescent="0.2">
      <c r="A17" s="9">
        <v>10</v>
      </c>
      <c r="B17" s="9"/>
      <c r="C17" s="9"/>
      <c r="D17" s="9" t="s">
        <v>192</v>
      </c>
      <c r="E17" s="57" t="s">
        <v>212</v>
      </c>
      <c r="F17" s="57"/>
      <c r="G17" s="58" t="s">
        <v>388</v>
      </c>
      <c r="H17" s="58" t="s">
        <v>255</v>
      </c>
      <c r="I17" s="9" t="s">
        <v>42</v>
      </c>
      <c r="J17" s="9"/>
      <c r="K17" s="9" t="s">
        <v>87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44" t="s">
        <v>244</v>
      </c>
      <c r="X17" s="59" t="s">
        <v>244</v>
      </c>
      <c r="Y17" s="132" t="s">
        <v>244</v>
      </c>
      <c r="Z17" s="133"/>
    </row>
    <row r="18" spans="1:26" s="11" customFormat="1" x14ac:dyDescent="0.2">
      <c r="A18" s="9">
        <v>10</v>
      </c>
      <c r="B18" s="9"/>
      <c r="C18" s="9"/>
      <c r="D18" s="9" t="s">
        <v>230</v>
      </c>
      <c r="E18" s="57" t="s">
        <v>206</v>
      </c>
      <c r="F18" s="57"/>
      <c r="G18" s="58" t="s">
        <v>389</v>
      </c>
      <c r="H18" s="58" t="s">
        <v>256</v>
      </c>
      <c r="I18" s="9" t="s">
        <v>42</v>
      </c>
      <c r="J18" s="9"/>
      <c r="K18" s="9" t="s">
        <v>87</v>
      </c>
      <c r="L18" s="9" t="s">
        <v>257</v>
      </c>
      <c r="M18" s="9"/>
      <c r="N18" s="9"/>
      <c r="O18" s="9"/>
      <c r="P18" s="9" t="s">
        <v>258</v>
      </c>
      <c r="Q18" s="9" t="s">
        <v>259</v>
      </c>
      <c r="R18" s="9" t="s">
        <v>228</v>
      </c>
      <c r="S18" s="9" t="s">
        <v>225</v>
      </c>
      <c r="T18" s="9"/>
      <c r="U18" s="9"/>
      <c r="V18" s="9"/>
      <c r="W18" s="44" t="s">
        <v>244</v>
      </c>
      <c r="X18" s="59" t="s">
        <v>244</v>
      </c>
      <c r="Y18" s="132" t="s">
        <v>244</v>
      </c>
      <c r="Z18" s="133"/>
    </row>
    <row r="19" spans="1:26" s="11" customFormat="1" x14ac:dyDescent="0.2">
      <c r="A19" s="9">
        <v>10</v>
      </c>
      <c r="B19" s="9"/>
      <c r="C19" s="9"/>
      <c r="D19" s="9" t="s">
        <v>228</v>
      </c>
      <c r="E19" s="57" t="s">
        <v>160</v>
      </c>
      <c r="F19" s="57"/>
      <c r="G19" s="58" t="s">
        <v>390</v>
      </c>
      <c r="H19" s="58" t="s">
        <v>260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44" t="s">
        <v>244</v>
      </c>
      <c r="X19" s="59" t="s">
        <v>244</v>
      </c>
      <c r="Y19" s="132" t="s">
        <v>244</v>
      </c>
      <c r="Z19" s="133"/>
    </row>
    <row r="20" spans="1:26" s="11" customFormat="1" x14ac:dyDescent="0.2">
      <c r="A20" s="9">
        <v>10</v>
      </c>
      <c r="B20" s="9"/>
      <c r="C20" s="9"/>
      <c r="D20" s="9" t="s">
        <v>357</v>
      </c>
      <c r="E20" s="57" t="s">
        <v>206</v>
      </c>
      <c r="F20" s="57"/>
      <c r="G20" s="58" t="s">
        <v>391</v>
      </c>
      <c r="H20" s="58" t="s">
        <v>261</v>
      </c>
      <c r="I20" s="9" t="s">
        <v>42</v>
      </c>
      <c r="J20" s="9"/>
      <c r="K20" s="9"/>
      <c r="L20" s="9" t="s">
        <v>257</v>
      </c>
      <c r="M20" s="9" t="s">
        <v>87</v>
      </c>
      <c r="N20" s="9"/>
      <c r="O20" s="9"/>
      <c r="P20" s="9" t="s">
        <v>262</v>
      </c>
      <c r="Q20" s="9" t="s">
        <v>263</v>
      </c>
      <c r="R20" s="9"/>
      <c r="S20" s="9"/>
      <c r="T20" s="9" t="s">
        <v>361</v>
      </c>
      <c r="U20" s="9"/>
      <c r="V20" s="9"/>
      <c r="W20" s="44" t="s">
        <v>244</v>
      </c>
      <c r="X20" s="59" t="s">
        <v>244</v>
      </c>
      <c r="Y20" s="132" t="s">
        <v>244</v>
      </c>
      <c r="Z20" s="133"/>
    </row>
    <row r="21" spans="1:26" s="11" customFormat="1" x14ac:dyDescent="0.2">
      <c r="A21" s="9">
        <v>10</v>
      </c>
      <c r="B21" s="9"/>
      <c r="C21" s="9"/>
      <c r="D21" s="9" t="s">
        <v>358</v>
      </c>
      <c r="E21" s="57" t="s">
        <v>208</v>
      </c>
      <c r="F21" s="57"/>
      <c r="G21" s="58" t="s">
        <v>392</v>
      </c>
      <c r="H21" s="58" t="s">
        <v>264</v>
      </c>
      <c r="I21" s="9" t="s">
        <v>42</v>
      </c>
      <c r="J21" s="9"/>
      <c r="K21" s="9"/>
      <c r="L21" s="9" t="s">
        <v>265</v>
      </c>
      <c r="M21" s="9" t="s">
        <v>87</v>
      </c>
      <c r="N21" s="9"/>
      <c r="O21" s="9"/>
      <c r="P21" s="9" t="s">
        <v>266</v>
      </c>
      <c r="Q21" s="9" t="s">
        <v>267</v>
      </c>
      <c r="R21" s="9"/>
      <c r="S21" s="9"/>
      <c r="T21" s="9" t="s">
        <v>356</v>
      </c>
      <c r="U21" s="9"/>
      <c r="V21" s="9"/>
      <c r="W21" s="44" t="s">
        <v>244</v>
      </c>
      <c r="X21" s="59" t="s">
        <v>244</v>
      </c>
      <c r="Y21" s="132" t="s">
        <v>244</v>
      </c>
      <c r="Z21" s="133"/>
    </row>
    <row r="22" spans="1:26" s="11" customFormat="1" x14ac:dyDescent="0.2">
      <c r="A22" s="9">
        <v>10</v>
      </c>
      <c r="B22" s="9"/>
      <c r="C22" s="9"/>
      <c r="D22" s="9" t="s">
        <v>200</v>
      </c>
      <c r="E22" s="57" t="s">
        <v>208</v>
      </c>
      <c r="F22" s="57"/>
      <c r="G22" s="58" t="s">
        <v>393</v>
      </c>
      <c r="H22" s="58" t="s">
        <v>268</v>
      </c>
      <c r="I22" s="9" t="s">
        <v>42</v>
      </c>
      <c r="J22" s="9"/>
      <c r="K22" s="9"/>
      <c r="L22" s="9" t="s">
        <v>265</v>
      </c>
      <c r="M22" s="9" t="s">
        <v>87</v>
      </c>
      <c r="N22" s="9"/>
      <c r="O22" s="9"/>
      <c r="P22" s="9" t="s">
        <v>269</v>
      </c>
      <c r="Q22" s="9" t="s">
        <v>267</v>
      </c>
      <c r="R22" s="9"/>
      <c r="S22" s="9"/>
      <c r="T22" s="9"/>
      <c r="U22" s="9"/>
      <c r="V22" s="9"/>
      <c r="W22" s="44" t="s">
        <v>244</v>
      </c>
      <c r="X22" s="59" t="s">
        <v>244</v>
      </c>
      <c r="Y22" s="132" t="s">
        <v>244</v>
      </c>
      <c r="Z22" s="133"/>
    </row>
    <row r="23" spans="1:26" s="11" customFormat="1" x14ac:dyDescent="0.2">
      <c r="A23" s="9">
        <v>10</v>
      </c>
      <c r="B23" s="9"/>
      <c r="C23" s="9"/>
      <c r="D23" s="9" t="s">
        <v>359</v>
      </c>
      <c r="E23" s="57" t="s">
        <v>206</v>
      </c>
      <c r="F23" s="57"/>
      <c r="G23" s="58" t="s">
        <v>394</v>
      </c>
      <c r="H23" s="58" t="s">
        <v>270</v>
      </c>
      <c r="I23" s="9" t="s">
        <v>42</v>
      </c>
      <c r="J23" s="9"/>
      <c r="K23" s="9"/>
      <c r="L23" s="9" t="s">
        <v>257</v>
      </c>
      <c r="M23" s="9" t="s">
        <v>87</v>
      </c>
      <c r="N23" s="9"/>
      <c r="O23" s="9"/>
      <c r="P23" s="9" t="s">
        <v>271</v>
      </c>
      <c r="Q23" s="9" t="s">
        <v>272</v>
      </c>
      <c r="R23" s="9" t="s">
        <v>231</v>
      </c>
      <c r="S23" s="9" t="s">
        <v>225</v>
      </c>
      <c r="T23" s="9" t="s">
        <v>356</v>
      </c>
      <c r="U23" s="9"/>
      <c r="V23" s="9"/>
      <c r="W23" s="44" t="s">
        <v>244</v>
      </c>
      <c r="X23" s="59" t="s">
        <v>244</v>
      </c>
      <c r="Y23" s="132" t="s">
        <v>244</v>
      </c>
      <c r="Z23" s="133"/>
    </row>
    <row r="24" spans="1:26" s="11" customFormat="1" x14ac:dyDescent="0.2">
      <c r="A24" s="9">
        <v>10</v>
      </c>
      <c r="B24" s="9"/>
      <c r="C24" s="9"/>
      <c r="D24" s="9" t="s">
        <v>231</v>
      </c>
      <c r="E24" s="57" t="s">
        <v>160</v>
      </c>
      <c r="F24" s="57"/>
      <c r="G24" s="58" t="s">
        <v>395</v>
      </c>
      <c r="H24" s="58" t="s">
        <v>273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44" t="s">
        <v>244</v>
      </c>
      <c r="X24" s="59" t="s">
        <v>244</v>
      </c>
      <c r="Y24" s="132" t="s">
        <v>244</v>
      </c>
      <c r="Z24" s="133"/>
    </row>
    <row r="25" spans="1:26" s="11" customFormat="1" ht="26" x14ac:dyDescent="0.2">
      <c r="A25" s="9">
        <v>10</v>
      </c>
      <c r="B25" s="9"/>
      <c r="C25" s="9"/>
      <c r="D25" s="9" t="s">
        <v>218</v>
      </c>
      <c r="E25" s="57" t="s">
        <v>210</v>
      </c>
      <c r="F25" s="57"/>
      <c r="G25" s="58" t="s">
        <v>396</v>
      </c>
      <c r="H25" s="58" t="s">
        <v>274</v>
      </c>
      <c r="I25" s="9" t="s">
        <v>42</v>
      </c>
      <c r="J25" s="9"/>
      <c r="K25" s="9" t="s">
        <v>87</v>
      </c>
      <c r="L25" s="9"/>
      <c r="M25" s="9"/>
      <c r="N25" s="9"/>
      <c r="O25" s="9" t="s">
        <v>275</v>
      </c>
      <c r="P25" s="9"/>
      <c r="Q25" s="9"/>
      <c r="R25" s="9"/>
      <c r="S25" s="9"/>
      <c r="T25" s="9"/>
      <c r="U25" s="9"/>
      <c r="V25" s="9"/>
      <c r="W25" s="44" t="s">
        <v>244</v>
      </c>
      <c r="X25" s="59" t="s">
        <v>244</v>
      </c>
      <c r="Y25" s="132" t="s">
        <v>244</v>
      </c>
      <c r="Z25" s="133"/>
    </row>
    <row r="26" spans="1:26" s="11" customFormat="1" ht="26" x14ac:dyDescent="0.2">
      <c r="A26" s="9">
        <v>10</v>
      </c>
      <c r="B26" s="9"/>
      <c r="C26" s="9"/>
      <c r="D26" s="9" t="s">
        <v>219</v>
      </c>
      <c r="E26" s="57" t="s">
        <v>211</v>
      </c>
      <c r="F26" s="57"/>
      <c r="G26" s="58" t="s">
        <v>397</v>
      </c>
      <c r="H26" s="58" t="s">
        <v>276</v>
      </c>
      <c r="I26" s="9" t="s">
        <v>42</v>
      </c>
      <c r="J26" s="9"/>
      <c r="K26" s="9" t="s">
        <v>87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44" t="s">
        <v>244</v>
      </c>
      <c r="X26" s="59" t="s">
        <v>244</v>
      </c>
      <c r="Y26" s="132" t="s">
        <v>244</v>
      </c>
      <c r="Z26" s="133"/>
    </row>
    <row r="27" spans="1:26" s="11" customFormat="1" x14ac:dyDescent="0.2">
      <c r="A27" s="9">
        <v>10</v>
      </c>
      <c r="B27" s="9"/>
      <c r="C27" s="9"/>
      <c r="D27" s="9" t="s">
        <v>56</v>
      </c>
      <c r="E27" s="57" t="s">
        <v>58</v>
      </c>
      <c r="F27" s="57"/>
      <c r="G27" s="58" t="s">
        <v>398</v>
      </c>
      <c r="H27" s="58" t="s">
        <v>277</v>
      </c>
      <c r="I27" s="9" t="s">
        <v>42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44" t="s">
        <v>244</v>
      </c>
      <c r="X27" s="59" t="s">
        <v>244</v>
      </c>
      <c r="Y27" s="132" t="s">
        <v>244</v>
      </c>
      <c r="Z27" s="133"/>
    </row>
    <row r="28" spans="1:26" s="11" customFormat="1" x14ac:dyDescent="0.2">
      <c r="A28" s="9">
        <v>10</v>
      </c>
      <c r="B28" s="9"/>
      <c r="C28" s="9"/>
      <c r="D28" s="9" t="s">
        <v>64</v>
      </c>
      <c r="E28" s="57" t="s">
        <v>65</v>
      </c>
      <c r="F28" s="57"/>
      <c r="G28" s="58" t="s">
        <v>399</v>
      </c>
      <c r="H28" s="58" t="s">
        <v>278</v>
      </c>
      <c r="I28" s="9" t="s">
        <v>42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44" t="s">
        <v>244</v>
      </c>
      <c r="X28" s="59" t="s">
        <v>244</v>
      </c>
      <c r="Y28" s="132" t="s">
        <v>244</v>
      </c>
      <c r="Z28" s="133"/>
    </row>
    <row r="29" spans="1:26" s="11" customFormat="1" x14ac:dyDescent="0.2">
      <c r="A29" s="9">
        <v>10</v>
      </c>
      <c r="B29" s="9"/>
      <c r="C29" s="9"/>
      <c r="D29" s="9" t="s">
        <v>60</v>
      </c>
      <c r="E29" s="57" t="s">
        <v>62</v>
      </c>
      <c r="F29" s="57"/>
      <c r="G29" s="58" t="s">
        <v>400</v>
      </c>
      <c r="H29" s="58" t="s">
        <v>279</v>
      </c>
      <c r="I29" s="9" t="s">
        <v>42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44" t="s">
        <v>244</v>
      </c>
      <c r="X29" s="59" t="s">
        <v>244</v>
      </c>
      <c r="Y29" s="132" t="s">
        <v>244</v>
      </c>
      <c r="Z29" s="133"/>
    </row>
    <row r="30" spans="1:26" s="11" customFormat="1" x14ac:dyDescent="0.2">
      <c r="A30" s="9">
        <v>10</v>
      </c>
      <c r="B30" s="9"/>
      <c r="C30" s="9"/>
      <c r="D30" s="9" t="s">
        <v>95</v>
      </c>
      <c r="E30" s="57" t="s">
        <v>67</v>
      </c>
      <c r="F30" s="57"/>
      <c r="G30" s="58" t="s">
        <v>401</v>
      </c>
      <c r="H30" s="58" t="s">
        <v>69</v>
      </c>
      <c r="I30" s="9" t="s">
        <v>42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44" t="s">
        <v>244</v>
      </c>
      <c r="X30" s="59" t="s">
        <v>244</v>
      </c>
      <c r="Y30" s="132" t="s">
        <v>244</v>
      </c>
      <c r="Z30" s="133"/>
    </row>
    <row r="31" spans="1:26" s="11" customFormat="1" x14ac:dyDescent="0.2">
      <c r="A31" s="9">
        <v>10</v>
      </c>
      <c r="B31" s="9"/>
      <c r="C31" s="9"/>
      <c r="D31" s="9" t="s">
        <v>110</v>
      </c>
      <c r="E31" s="57" t="s">
        <v>111</v>
      </c>
      <c r="F31" s="57"/>
      <c r="G31" s="58" t="s">
        <v>402</v>
      </c>
      <c r="H31" s="58" t="s">
        <v>280</v>
      </c>
      <c r="I31" s="9" t="s">
        <v>42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44" t="s">
        <v>244</v>
      </c>
      <c r="X31" s="59" t="s">
        <v>244</v>
      </c>
      <c r="Y31" s="132" t="s">
        <v>244</v>
      </c>
      <c r="Z31" s="133"/>
    </row>
    <row r="32" spans="1:26" s="11" customFormat="1" x14ac:dyDescent="0.2">
      <c r="A32" s="60"/>
      <c r="B32" s="61"/>
      <c r="C32" s="61"/>
      <c r="D32" s="29" t="s">
        <v>1</v>
      </c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28"/>
      <c r="X32" s="28"/>
      <c r="Y32" s="62"/>
      <c r="Z32" s="63"/>
    </row>
    <row r="33" spans="1:26" s="11" customFormat="1" x14ac:dyDescent="0.2">
      <c r="A33" s="109"/>
      <c r="Z33" s="64"/>
    </row>
    <row r="34" spans="1:26" s="11" customFormat="1" x14ac:dyDescent="0.2">
      <c r="A34" s="109"/>
      <c r="Z34" s="64"/>
    </row>
    <row r="35" spans="1:26" s="11" customFormat="1" x14ac:dyDescent="0.2">
      <c r="A35" s="109"/>
      <c r="Z35" s="64"/>
    </row>
    <row r="36" spans="1:26" s="11" customFormat="1" x14ac:dyDescent="0.2">
      <c r="A36" s="114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1"/>
    </row>
  </sheetData>
  <dataConsolidate/>
  <mergeCells count="20">
    <mergeCell ref="Y12:Z12"/>
    <mergeCell ref="Y17:Z17"/>
    <mergeCell ref="Y18:Z18"/>
    <mergeCell ref="Y20:Z20"/>
    <mergeCell ref="Y13:Z13"/>
    <mergeCell ref="Y19:Z19"/>
    <mergeCell ref="Y31:Z31"/>
    <mergeCell ref="Y14:Z14"/>
    <mergeCell ref="Y30:Z30"/>
    <mergeCell ref="Y21:Z21"/>
    <mergeCell ref="Y22:Z22"/>
    <mergeCell ref="Y23:Z23"/>
    <mergeCell ref="Y25:Z25"/>
    <mergeCell ref="Y26:Z26"/>
    <mergeCell ref="Y27:Z27"/>
    <mergeCell ref="Y28:Z28"/>
    <mergeCell ref="Y29:Z29"/>
    <mergeCell ref="Y15:Z15"/>
    <mergeCell ref="Y16:Z16"/>
    <mergeCell ref="Y24:Z24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4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43.08984375" style="66" customWidth="1"/>
    <col min="9" max="10" width="15.81640625" style="66" customWidth="1"/>
    <col min="11" max="11" width="19.36328125" style="66" bestFit="1" customWidth="1"/>
    <col min="12" max="12" width="18.36328125" style="66" bestFit="1" customWidth="1"/>
    <col min="13" max="13" width="12.81640625" style="66" bestFit="1" customWidth="1"/>
    <col min="14" max="14" width="50.6328125" style="66" customWidth="1"/>
    <col min="15" max="15" width="30.81640625" style="66" customWidth="1"/>
    <col min="16" max="16" width="18.36328125" style="66" bestFit="1" customWidth="1"/>
    <col min="17" max="17" width="15.81640625" style="65" customWidth="1"/>
    <col min="18" max="18" width="27.1796875" style="65" bestFit="1" customWidth="1"/>
    <col min="19" max="19" width="11.6328125" style="65" bestFit="1" customWidth="1"/>
    <col min="20" max="20" width="31.6328125" style="65" bestFit="1" customWidth="1"/>
    <col min="21" max="21" width="20.453125" style="65" bestFit="1" customWidth="1"/>
    <col min="22" max="22" width="9" style="65"/>
    <col min="23" max="23" width="13.90625" style="65" bestFit="1" customWidth="1"/>
    <col min="24" max="16384" width="9" style="65"/>
  </cols>
  <sheetData>
    <row r="1" spans="1:18" s="11" customFormat="1" x14ac:dyDescent="0.2">
      <c r="A1" s="105" t="s">
        <v>16</v>
      </c>
      <c r="B1" s="105" t="s">
        <v>16</v>
      </c>
      <c r="C1" s="105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</row>
    <row r="2" spans="1:18" s="11" customFormat="1" ht="40" customHeight="1" x14ac:dyDescent="0.2">
      <c r="A2" s="106" t="s">
        <v>16</v>
      </c>
      <c r="B2" s="107"/>
      <c r="C2" s="107"/>
      <c r="D2" s="117" t="s">
        <v>369</v>
      </c>
      <c r="E2" s="7" t="s">
        <v>12</v>
      </c>
      <c r="F2" s="108" t="str">
        <f>IF(LogicCommon!C2="","",LogicCommon!C2)</f>
        <v>MA</v>
      </c>
      <c r="G2" s="7" t="s">
        <v>9</v>
      </c>
      <c r="H2" s="108" t="str">
        <f>IF(LogicCommon!E2="","",LogicCommon!E2)</f>
        <v>MABSL0850</v>
      </c>
      <c r="I2" s="7" t="s">
        <v>30</v>
      </c>
      <c r="J2" s="9" t="s">
        <v>188</v>
      </c>
      <c r="K2" s="7" t="s">
        <v>32</v>
      </c>
      <c r="L2" s="108" t="str">
        <f>IF(LogicCommon!G2="","",LogicCommon!G2)</f>
        <v>MC</v>
      </c>
      <c r="M2" s="5" t="s">
        <v>33</v>
      </c>
      <c r="N2" s="30" t="s">
        <v>363</v>
      </c>
      <c r="O2" s="7"/>
      <c r="P2" s="7"/>
      <c r="Q2" s="4"/>
      <c r="R2" s="65"/>
    </row>
    <row r="3" spans="1:18" s="11" customFormat="1" x14ac:dyDescent="0.2">
      <c r="A3" s="109" t="s">
        <v>16</v>
      </c>
      <c r="B3" s="110"/>
      <c r="C3" s="110"/>
      <c r="D3" s="111" t="str">
        <f>IF(LogicCommon!A3="","",LogicCommon!A3)</f>
        <v/>
      </c>
      <c r="E3" s="7" t="s">
        <v>13</v>
      </c>
      <c r="F3" s="108" t="str">
        <f>IF(LogicCommon!C3="","",LogicCommon!C3)</f>
        <v>MABS</v>
      </c>
      <c r="G3" s="7" t="s">
        <v>10</v>
      </c>
      <c r="H3" s="108" t="str">
        <f>IF(LogicCommon!E3="","",LogicCommon!E3)</f>
        <v>MABSL_MpsItmReg</v>
      </c>
      <c r="I3" s="7" t="s">
        <v>34</v>
      </c>
      <c r="J3" s="9" t="s">
        <v>35</v>
      </c>
      <c r="K3" s="7" t="s">
        <v>36</v>
      </c>
      <c r="L3" s="108" t="str">
        <f>IF(LogicCommon!G3="","",LogicCommon!G3)</f>
        <v/>
      </c>
      <c r="M3" s="112" t="s">
        <v>37</v>
      </c>
      <c r="N3" s="7"/>
      <c r="O3" s="7" t="s">
        <v>38</v>
      </c>
      <c r="P3" s="9" t="s">
        <v>39</v>
      </c>
      <c r="Q3" s="4"/>
      <c r="R3" s="65"/>
    </row>
    <row r="4" spans="1:18" s="11" customFormat="1" x14ac:dyDescent="0.2">
      <c r="A4" s="109" t="s">
        <v>16</v>
      </c>
      <c r="B4" s="110"/>
      <c r="C4" s="110"/>
      <c r="D4" s="4"/>
      <c r="E4" s="7" t="s">
        <v>8</v>
      </c>
      <c r="F4" s="10" t="s">
        <v>281</v>
      </c>
      <c r="G4" s="7" t="s">
        <v>11</v>
      </c>
      <c r="H4" s="108" t="str">
        <f>IF(LogicCommon!E4="","",LogicCommon!E4)</f>
        <v>ＭＰＳ品目マスタ登録</v>
      </c>
      <c r="I4" s="7" t="s">
        <v>40</v>
      </c>
      <c r="J4" s="9" t="s">
        <v>234</v>
      </c>
      <c r="K4" s="7" t="s">
        <v>5</v>
      </c>
      <c r="L4" s="108" t="str">
        <f>IF(LogicCommon!G4="","",LogicCommon!G4)</f>
        <v>MA.MAUDL5010</v>
      </c>
      <c r="M4" s="113"/>
      <c r="N4" s="30"/>
      <c r="O4" s="15"/>
      <c r="P4" s="4"/>
      <c r="Q4" s="4"/>
      <c r="R4" s="65"/>
    </row>
    <row r="5" spans="1:18" s="11" customFormat="1" x14ac:dyDescent="0.2">
      <c r="A5" s="114" t="s">
        <v>16</v>
      </c>
      <c r="B5" s="105"/>
      <c r="C5" s="105"/>
      <c r="D5" s="27"/>
      <c r="E5" s="7" t="s">
        <v>17</v>
      </c>
      <c r="F5" s="10"/>
      <c r="G5" s="89"/>
      <c r="H5" s="89"/>
      <c r="I5" s="89"/>
      <c r="J5" s="89"/>
      <c r="K5" s="89"/>
      <c r="L5" s="6"/>
      <c r="M5" s="5"/>
      <c r="N5" s="5"/>
      <c r="O5" s="15"/>
      <c r="P5" s="4"/>
      <c r="Q5" s="4"/>
      <c r="R5" s="65"/>
    </row>
    <row r="6" spans="1:18" s="11" customFormat="1" x14ac:dyDescent="0.2">
      <c r="A6" s="109" t="s">
        <v>16</v>
      </c>
      <c r="B6" s="110"/>
      <c r="C6" s="110"/>
      <c r="D6" s="4" t="s">
        <v>6</v>
      </c>
      <c r="E6" s="17" t="s">
        <v>235</v>
      </c>
      <c r="F6" s="17"/>
      <c r="G6" s="17"/>
      <c r="H6" s="17"/>
      <c r="I6" s="17"/>
      <c r="J6" s="17"/>
      <c r="K6" s="17"/>
      <c r="L6" s="115" t="s">
        <v>44</v>
      </c>
      <c r="M6" s="20"/>
      <c r="N6" s="20" t="s">
        <v>44</v>
      </c>
      <c r="O6" s="20"/>
      <c r="P6" s="20"/>
      <c r="Q6" s="20"/>
      <c r="R6" s="65"/>
    </row>
    <row r="7" spans="1:18" s="11" customFormat="1" x14ac:dyDescent="0.2">
      <c r="A7" s="67" t="s">
        <v>19</v>
      </c>
      <c r="B7" s="67"/>
      <c r="C7" s="67"/>
      <c r="D7" s="68"/>
      <c r="E7" s="68"/>
      <c r="F7" s="68"/>
      <c r="G7" s="68"/>
      <c r="H7" s="68"/>
      <c r="I7" s="68" t="s">
        <v>46</v>
      </c>
      <c r="J7" s="68"/>
      <c r="K7" s="69" t="s">
        <v>47</v>
      </c>
      <c r="L7" s="70" t="s">
        <v>104</v>
      </c>
      <c r="M7" s="69" t="s">
        <v>90</v>
      </c>
      <c r="N7" s="70" t="s">
        <v>105</v>
      </c>
      <c r="O7" s="66"/>
      <c r="P7" s="66"/>
      <c r="Q7" s="66"/>
      <c r="R7" s="66"/>
    </row>
    <row r="8" spans="1:18" s="11" customFormat="1" ht="60" customHeight="1" x14ac:dyDescent="0.2">
      <c r="A8" s="57" t="s">
        <v>19</v>
      </c>
      <c r="B8" s="120"/>
      <c r="C8" s="121"/>
      <c r="D8" s="118" t="s">
        <v>370</v>
      </c>
      <c r="E8" s="118" t="s">
        <v>371</v>
      </c>
      <c r="F8" s="115"/>
      <c r="G8" s="118" t="s">
        <v>282</v>
      </c>
      <c r="H8" s="118" t="s">
        <v>372</v>
      </c>
      <c r="I8" s="115"/>
      <c r="J8" s="3"/>
      <c r="K8" s="69" t="s">
        <v>18</v>
      </c>
      <c r="L8" s="9" t="s">
        <v>367</v>
      </c>
      <c r="M8" s="69" t="s">
        <v>91</v>
      </c>
      <c r="N8" s="9" t="s">
        <v>367</v>
      </c>
      <c r="O8" s="128"/>
      <c r="P8" s="129"/>
      <c r="Q8" s="130" t="s">
        <v>381</v>
      </c>
      <c r="R8" s="85"/>
    </row>
    <row r="9" spans="1:18" s="11" customFormat="1" ht="60" customHeight="1" x14ac:dyDescent="0.2">
      <c r="A9" s="9" t="s">
        <v>19</v>
      </c>
      <c r="B9" s="40"/>
      <c r="C9" s="41"/>
      <c r="D9" s="118" t="s">
        <v>373</v>
      </c>
      <c r="E9" s="125" t="s">
        <v>374</v>
      </c>
      <c r="F9" s="118" t="s">
        <v>375</v>
      </c>
      <c r="G9" s="118" t="s">
        <v>376</v>
      </c>
      <c r="H9" s="118" t="s">
        <v>377</v>
      </c>
      <c r="I9" s="126" t="s">
        <v>378</v>
      </c>
      <c r="J9" s="118" t="s">
        <v>379</v>
      </c>
      <c r="K9" s="69"/>
      <c r="L9" s="69"/>
      <c r="M9" s="69"/>
      <c r="N9" s="69"/>
      <c r="O9" s="130" t="s">
        <v>380</v>
      </c>
      <c r="P9" s="85"/>
      <c r="Q9" s="130" t="s">
        <v>382</v>
      </c>
      <c r="R9" s="85"/>
    </row>
    <row r="10" spans="1:18" s="11" customFormat="1" ht="52" x14ac:dyDescent="0.2">
      <c r="A10" s="74" t="s">
        <v>19</v>
      </c>
      <c r="B10" s="75"/>
      <c r="C10" s="75"/>
      <c r="D10" s="76"/>
      <c r="E10" s="77"/>
      <c r="F10" s="77"/>
      <c r="G10" s="78"/>
      <c r="H10" s="78"/>
      <c r="I10" s="77"/>
      <c r="J10" s="77"/>
      <c r="K10" s="127" t="s">
        <v>378</v>
      </c>
      <c r="L10" s="127" t="s">
        <v>379</v>
      </c>
      <c r="M10" s="127" t="s">
        <v>378</v>
      </c>
      <c r="N10" s="127" t="s">
        <v>379</v>
      </c>
      <c r="O10" s="77"/>
      <c r="P10" s="77"/>
      <c r="Q10" s="78"/>
      <c r="R10" s="72"/>
    </row>
    <row r="11" spans="1:18" s="11" customFormat="1" x14ac:dyDescent="0.2">
      <c r="A11" s="9">
        <v>10</v>
      </c>
      <c r="B11" s="40" t="s">
        <v>0</v>
      </c>
      <c r="C11" s="41"/>
      <c r="D11" s="30" t="s">
        <v>185</v>
      </c>
      <c r="E11" s="79" t="s">
        <v>23</v>
      </c>
      <c r="F11" s="80"/>
      <c r="G11" s="30" t="s">
        <v>106</v>
      </c>
      <c r="H11" s="81" t="s">
        <v>283</v>
      </c>
      <c r="I11" s="82"/>
      <c r="J11" s="83"/>
      <c r="K11" s="84" t="s">
        <v>23</v>
      </c>
      <c r="L11" s="84"/>
      <c r="M11" s="84" t="s">
        <v>86</v>
      </c>
      <c r="N11" s="84"/>
      <c r="O11" s="71"/>
      <c r="P11" s="72"/>
      <c r="Q11" s="102"/>
      <c r="R11" s="104"/>
    </row>
    <row r="12" spans="1:18" s="11" customFormat="1" x14ac:dyDescent="0.2">
      <c r="A12" s="9">
        <v>10</v>
      </c>
      <c r="B12" s="9"/>
      <c r="C12" s="9"/>
      <c r="D12" s="9" t="s">
        <v>159</v>
      </c>
      <c r="E12" s="57" t="s">
        <v>160</v>
      </c>
      <c r="F12" s="57"/>
      <c r="G12" s="58" t="s">
        <v>383</v>
      </c>
      <c r="H12" s="58" t="s">
        <v>284</v>
      </c>
      <c r="I12" s="9" t="s">
        <v>42</v>
      </c>
      <c r="J12" s="9"/>
      <c r="K12" s="9" t="s">
        <v>87</v>
      </c>
      <c r="L12" s="9"/>
      <c r="M12" s="9" t="s">
        <v>87</v>
      </c>
      <c r="N12" s="9"/>
      <c r="O12" s="76"/>
      <c r="P12" s="85"/>
      <c r="Q12" s="134"/>
      <c r="R12" s="135"/>
    </row>
    <row r="13" spans="1:18" s="11" customFormat="1" x14ac:dyDescent="0.2">
      <c r="A13" s="9">
        <v>10</v>
      </c>
      <c r="B13" s="9"/>
      <c r="C13" s="9"/>
      <c r="D13" s="9" t="s">
        <v>123</v>
      </c>
      <c r="E13" s="57" t="s">
        <v>119</v>
      </c>
      <c r="F13" s="57"/>
      <c r="G13" s="58" t="s">
        <v>384</v>
      </c>
      <c r="H13" s="58" t="s">
        <v>248</v>
      </c>
      <c r="I13" s="9" t="s">
        <v>87</v>
      </c>
      <c r="J13" s="9"/>
      <c r="K13" s="9" t="s">
        <v>87</v>
      </c>
      <c r="L13" s="9"/>
      <c r="M13" s="9" t="s">
        <v>87</v>
      </c>
      <c r="N13" s="9"/>
      <c r="O13" s="76"/>
      <c r="P13" s="85"/>
      <c r="Q13" s="102"/>
      <c r="R13" s="103"/>
    </row>
    <row r="14" spans="1:18" s="11" customFormat="1" x14ac:dyDescent="0.2">
      <c r="A14" s="9">
        <v>10</v>
      </c>
      <c r="B14" s="9"/>
      <c r="C14" s="9"/>
      <c r="D14" s="9" t="s">
        <v>124</v>
      </c>
      <c r="E14" s="57" t="s">
        <v>120</v>
      </c>
      <c r="F14" s="57"/>
      <c r="G14" s="58" t="s">
        <v>385</v>
      </c>
      <c r="H14" s="58" t="s">
        <v>249</v>
      </c>
      <c r="I14" s="9" t="s">
        <v>87</v>
      </c>
      <c r="J14" s="9"/>
      <c r="K14" s="9" t="s">
        <v>87</v>
      </c>
      <c r="L14" s="9"/>
      <c r="M14" s="9" t="s">
        <v>87</v>
      </c>
      <c r="N14" s="9"/>
      <c r="O14" s="76"/>
      <c r="P14" s="85"/>
      <c r="Q14" s="134"/>
      <c r="R14" s="135"/>
    </row>
    <row r="15" spans="1:18" s="11" customFormat="1" x14ac:dyDescent="0.2">
      <c r="A15" s="9">
        <v>10</v>
      </c>
      <c r="B15" s="9"/>
      <c r="C15" s="9"/>
      <c r="D15" s="9" t="s">
        <v>125</v>
      </c>
      <c r="E15" s="57" t="s">
        <v>121</v>
      </c>
      <c r="F15" s="57"/>
      <c r="G15" s="58" t="s">
        <v>386</v>
      </c>
      <c r="H15" s="58" t="s">
        <v>250</v>
      </c>
      <c r="I15" s="9" t="s">
        <v>87</v>
      </c>
      <c r="J15" s="9"/>
      <c r="K15" s="9" t="s">
        <v>87</v>
      </c>
      <c r="L15" s="9"/>
      <c r="M15" s="9" t="s">
        <v>87</v>
      </c>
      <c r="N15" s="9"/>
      <c r="O15" s="76"/>
      <c r="P15" s="85"/>
      <c r="Q15" s="134"/>
      <c r="R15" s="135"/>
    </row>
    <row r="16" spans="1:18" s="11" customFormat="1" x14ac:dyDescent="0.2">
      <c r="A16" s="9">
        <v>10</v>
      </c>
      <c r="B16" s="9"/>
      <c r="C16" s="9"/>
      <c r="D16" s="9" t="s">
        <v>126</v>
      </c>
      <c r="E16" s="57" t="s">
        <v>122</v>
      </c>
      <c r="F16" s="57"/>
      <c r="G16" s="58" t="s">
        <v>387</v>
      </c>
      <c r="H16" s="58" t="s">
        <v>251</v>
      </c>
      <c r="I16" s="9" t="s">
        <v>87</v>
      </c>
      <c r="J16" s="9"/>
      <c r="K16" s="9" t="s">
        <v>87</v>
      </c>
      <c r="L16" s="9"/>
      <c r="M16" s="9" t="s">
        <v>87</v>
      </c>
      <c r="N16" s="9"/>
      <c r="O16" s="76"/>
      <c r="P16" s="85"/>
      <c r="Q16" s="134"/>
      <c r="R16" s="135"/>
    </row>
    <row r="17" spans="1:18" s="11" customFormat="1" x14ac:dyDescent="0.2">
      <c r="A17" s="9">
        <v>10</v>
      </c>
      <c r="B17" s="9"/>
      <c r="C17" s="9"/>
      <c r="D17" s="9" t="s">
        <v>192</v>
      </c>
      <c r="E17" s="57" t="s">
        <v>212</v>
      </c>
      <c r="F17" s="57"/>
      <c r="G17" s="58" t="s">
        <v>388</v>
      </c>
      <c r="H17" s="58" t="s">
        <v>255</v>
      </c>
      <c r="I17" s="9" t="s">
        <v>42</v>
      </c>
      <c r="J17" s="9"/>
      <c r="K17" s="9" t="s">
        <v>42</v>
      </c>
      <c r="L17" s="9"/>
      <c r="M17" s="9"/>
      <c r="N17" s="9"/>
      <c r="O17" s="76"/>
      <c r="P17" s="85"/>
      <c r="Q17" s="134"/>
      <c r="R17" s="135"/>
    </row>
    <row r="18" spans="1:18" s="11" customFormat="1" x14ac:dyDescent="0.2">
      <c r="A18" s="9">
        <v>10</v>
      </c>
      <c r="B18" s="9"/>
      <c r="C18" s="9"/>
      <c r="D18" s="9" t="s">
        <v>194</v>
      </c>
      <c r="E18" s="57" t="s">
        <v>206</v>
      </c>
      <c r="F18" s="57"/>
      <c r="G18" s="58" t="s">
        <v>389</v>
      </c>
      <c r="H18" s="58" t="s">
        <v>256</v>
      </c>
      <c r="I18" s="9" t="s">
        <v>42</v>
      </c>
      <c r="J18" s="9"/>
      <c r="K18" s="9" t="s">
        <v>42</v>
      </c>
      <c r="L18" s="9"/>
      <c r="M18" s="9"/>
      <c r="N18" s="9"/>
      <c r="O18" s="76"/>
      <c r="P18" s="85"/>
      <c r="Q18" s="134"/>
      <c r="R18" s="135"/>
    </row>
    <row r="19" spans="1:18" s="11" customFormat="1" x14ac:dyDescent="0.2">
      <c r="A19" s="9">
        <v>10</v>
      </c>
      <c r="B19" s="9"/>
      <c r="C19" s="9"/>
      <c r="D19" s="9" t="s">
        <v>196</v>
      </c>
      <c r="E19" s="57" t="s">
        <v>206</v>
      </c>
      <c r="F19" s="57"/>
      <c r="G19" s="58" t="s">
        <v>391</v>
      </c>
      <c r="H19" s="58" t="s">
        <v>261</v>
      </c>
      <c r="I19" s="9" t="s">
        <v>42</v>
      </c>
      <c r="J19" s="9"/>
      <c r="K19" s="9" t="s">
        <v>42</v>
      </c>
      <c r="L19" s="9"/>
      <c r="M19" s="9"/>
      <c r="N19" s="9"/>
      <c r="O19" s="76"/>
      <c r="P19" s="85"/>
      <c r="Q19" s="134"/>
      <c r="R19" s="135"/>
    </row>
    <row r="20" spans="1:18" s="11" customFormat="1" x14ac:dyDescent="0.2">
      <c r="A20" s="9">
        <v>10</v>
      </c>
      <c r="B20" s="9"/>
      <c r="C20" s="9"/>
      <c r="D20" s="9" t="s">
        <v>198</v>
      </c>
      <c r="E20" s="57" t="s">
        <v>208</v>
      </c>
      <c r="F20" s="57"/>
      <c r="G20" s="58" t="s">
        <v>392</v>
      </c>
      <c r="H20" s="58" t="s">
        <v>264</v>
      </c>
      <c r="I20" s="9" t="s">
        <v>42</v>
      </c>
      <c r="J20" s="9"/>
      <c r="K20" s="9" t="s">
        <v>42</v>
      </c>
      <c r="L20" s="9"/>
      <c r="M20" s="9"/>
      <c r="N20" s="9"/>
      <c r="O20" s="76"/>
      <c r="P20" s="85"/>
      <c r="Q20" s="134"/>
      <c r="R20" s="135"/>
    </row>
    <row r="21" spans="1:18" s="11" customFormat="1" x14ac:dyDescent="0.2">
      <c r="A21" s="9">
        <v>10</v>
      </c>
      <c r="B21" s="9"/>
      <c r="C21" s="9"/>
      <c r="D21" s="9" t="s">
        <v>200</v>
      </c>
      <c r="E21" s="57" t="s">
        <v>208</v>
      </c>
      <c r="F21" s="57"/>
      <c r="G21" s="58" t="s">
        <v>393</v>
      </c>
      <c r="H21" s="58" t="s">
        <v>268</v>
      </c>
      <c r="I21" s="9" t="s">
        <v>42</v>
      </c>
      <c r="J21" s="9"/>
      <c r="K21" s="9" t="s">
        <v>42</v>
      </c>
      <c r="L21" s="9"/>
      <c r="M21" s="9"/>
      <c r="N21" s="9"/>
      <c r="O21" s="76"/>
      <c r="P21" s="85"/>
      <c r="Q21" s="134"/>
      <c r="R21" s="135"/>
    </row>
    <row r="22" spans="1:18" s="11" customFormat="1" x14ac:dyDescent="0.2">
      <c r="A22" s="9">
        <v>10</v>
      </c>
      <c r="B22" s="9"/>
      <c r="C22" s="9"/>
      <c r="D22" s="9" t="s">
        <v>202</v>
      </c>
      <c r="E22" s="57" t="s">
        <v>206</v>
      </c>
      <c r="F22" s="57"/>
      <c r="G22" s="58" t="s">
        <v>394</v>
      </c>
      <c r="H22" s="58" t="s">
        <v>270</v>
      </c>
      <c r="I22" s="9" t="s">
        <v>42</v>
      </c>
      <c r="J22" s="9"/>
      <c r="K22" s="9" t="s">
        <v>42</v>
      </c>
      <c r="L22" s="9"/>
      <c r="M22" s="9"/>
      <c r="N22" s="9"/>
      <c r="O22" s="76"/>
      <c r="P22" s="85"/>
      <c r="Q22" s="134"/>
      <c r="R22" s="135"/>
    </row>
    <row r="23" spans="1:18" s="11" customFormat="1" ht="26" x14ac:dyDescent="0.2">
      <c r="A23" s="9">
        <v>10</v>
      </c>
      <c r="B23" s="9"/>
      <c r="C23" s="9"/>
      <c r="D23" s="9" t="s">
        <v>204</v>
      </c>
      <c r="E23" s="57" t="s">
        <v>210</v>
      </c>
      <c r="F23" s="57"/>
      <c r="G23" s="58" t="s">
        <v>396</v>
      </c>
      <c r="H23" s="58" t="s">
        <v>274</v>
      </c>
      <c r="I23" s="9" t="s">
        <v>42</v>
      </c>
      <c r="J23" s="9"/>
      <c r="K23" s="9" t="s">
        <v>42</v>
      </c>
      <c r="L23" s="9"/>
      <c r="M23" s="9"/>
      <c r="N23" s="9"/>
      <c r="O23" s="76"/>
      <c r="P23" s="85"/>
      <c r="Q23" s="134"/>
      <c r="R23" s="135"/>
    </row>
    <row r="24" spans="1:18" s="11" customFormat="1" ht="26" x14ac:dyDescent="0.2">
      <c r="A24" s="9">
        <v>10</v>
      </c>
      <c r="B24" s="9"/>
      <c r="C24" s="9"/>
      <c r="D24" s="9" t="s">
        <v>205</v>
      </c>
      <c r="E24" s="57" t="s">
        <v>211</v>
      </c>
      <c r="F24" s="57"/>
      <c r="G24" s="58" t="s">
        <v>397</v>
      </c>
      <c r="H24" s="58" t="s">
        <v>276</v>
      </c>
      <c r="I24" s="9" t="s">
        <v>42</v>
      </c>
      <c r="J24" s="9"/>
      <c r="K24" s="9" t="s">
        <v>42</v>
      </c>
      <c r="L24" s="9"/>
      <c r="M24" s="9"/>
      <c r="N24" s="9"/>
      <c r="O24" s="76"/>
      <c r="P24" s="85"/>
      <c r="Q24" s="134"/>
      <c r="R24" s="135"/>
    </row>
    <row r="25" spans="1:18" s="11" customFormat="1" x14ac:dyDescent="0.2">
      <c r="A25" s="9">
        <v>10</v>
      </c>
      <c r="B25" s="9"/>
      <c r="C25" s="9"/>
      <c r="D25" s="9" t="s">
        <v>56</v>
      </c>
      <c r="E25" s="57" t="s">
        <v>58</v>
      </c>
      <c r="F25" s="57"/>
      <c r="G25" s="58" t="s">
        <v>398</v>
      </c>
      <c r="H25" s="58" t="s">
        <v>277</v>
      </c>
      <c r="I25" s="9" t="s">
        <v>42</v>
      </c>
      <c r="J25" s="9"/>
      <c r="K25" s="9" t="s">
        <v>42</v>
      </c>
      <c r="L25" s="9"/>
      <c r="M25" s="9"/>
      <c r="N25" s="9"/>
      <c r="O25" s="76"/>
      <c r="P25" s="85"/>
      <c r="Q25" s="134"/>
      <c r="R25" s="135"/>
    </row>
    <row r="26" spans="1:18" s="11" customFormat="1" x14ac:dyDescent="0.2">
      <c r="A26" s="9">
        <v>10</v>
      </c>
      <c r="B26" s="9"/>
      <c r="C26" s="9"/>
      <c r="D26" s="9" t="s">
        <v>64</v>
      </c>
      <c r="E26" s="57" t="s">
        <v>65</v>
      </c>
      <c r="F26" s="57"/>
      <c r="G26" s="58" t="s">
        <v>399</v>
      </c>
      <c r="H26" s="58" t="s">
        <v>278</v>
      </c>
      <c r="I26" s="9" t="s">
        <v>42</v>
      </c>
      <c r="J26" s="9"/>
      <c r="K26" s="9" t="s">
        <v>42</v>
      </c>
      <c r="L26" s="9"/>
      <c r="M26" s="9"/>
      <c r="N26" s="9"/>
      <c r="O26" s="76"/>
      <c r="P26" s="85"/>
      <c r="Q26" s="134"/>
      <c r="R26" s="135"/>
    </row>
    <row r="27" spans="1:18" s="11" customFormat="1" x14ac:dyDescent="0.2">
      <c r="A27" s="9">
        <v>10</v>
      </c>
      <c r="B27" s="9"/>
      <c r="C27" s="9"/>
      <c r="D27" s="9" t="s">
        <v>60</v>
      </c>
      <c r="E27" s="57" t="s">
        <v>62</v>
      </c>
      <c r="F27" s="57"/>
      <c r="G27" s="58" t="s">
        <v>400</v>
      </c>
      <c r="H27" s="58" t="s">
        <v>279</v>
      </c>
      <c r="I27" s="9" t="s">
        <v>42</v>
      </c>
      <c r="J27" s="9"/>
      <c r="K27" s="9" t="s">
        <v>42</v>
      </c>
      <c r="L27" s="9"/>
      <c r="M27" s="9"/>
      <c r="N27" s="9"/>
      <c r="O27" s="76"/>
      <c r="P27" s="85"/>
      <c r="Q27" s="134"/>
      <c r="R27" s="135"/>
    </row>
    <row r="28" spans="1:18" s="11" customFormat="1" x14ac:dyDescent="0.2">
      <c r="A28" s="9">
        <v>10</v>
      </c>
      <c r="B28" s="9"/>
      <c r="C28" s="9"/>
      <c r="D28" s="9" t="s">
        <v>95</v>
      </c>
      <c r="E28" s="57" t="s">
        <v>67</v>
      </c>
      <c r="F28" s="57"/>
      <c r="G28" s="58" t="s">
        <v>401</v>
      </c>
      <c r="H28" s="58" t="s">
        <v>69</v>
      </c>
      <c r="I28" s="9" t="s">
        <v>42</v>
      </c>
      <c r="J28" s="9"/>
      <c r="K28" s="9" t="s">
        <v>42</v>
      </c>
      <c r="L28" s="9"/>
      <c r="M28" s="9"/>
      <c r="N28" s="9"/>
      <c r="O28" s="76"/>
      <c r="P28" s="85"/>
      <c r="Q28" s="134"/>
      <c r="R28" s="135"/>
    </row>
    <row r="29" spans="1:18" s="11" customFormat="1" x14ac:dyDescent="0.2">
      <c r="A29" s="9">
        <v>10</v>
      </c>
      <c r="B29" s="9"/>
      <c r="C29" s="9"/>
      <c r="D29" s="9" t="s">
        <v>110</v>
      </c>
      <c r="E29" s="57" t="s">
        <v>111</v>
      </c>
      <c r="F29" s="57"/>
      <c r="G29" s="58" t="s">
        <v>402</v>
      </c>
      <c r="H29" s="58" t="s">
        <v>280</v>
      </c>
      <c r="I29" s="9" t="s">
        <v>42</v>
      </c>
      <c r="J29" s="9"/>
      <c r="K29" s="9" t="s">
        <v>42</v>
      </c>
      <c r="L29" s="9"/>
      <c r="M29" s="9"/>
      <c r="N29" s="9"/>
      <c r="O29" s="76"/>
      <c r="P29" s="85"/>
      <c r="Q29" s="134"/>
      <c r="R29" s="135"/>
    </row>
    <row r="30" spans="1:18" s="11" customFormat="1" x14ac:dyDescent="0.2">
      <c r="A30" s="86"/>
      <c r="B30" s="87"/>
      <c r="C30" s="87"/>
      <c r="D30" s="65" t="s">
        <v>1</v>
      </c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4"/>
      <c r="P30" s="4"/>
      <c r="Q30" s="6"/>
      <c r="R30" s="24"/>
    </row>
    <row r="31" spans="1:18" s="11" customFormat="1" x14ac:dyDescent="0.2">
      <c r="A31" s="109"/>
      <c r="R31" s="64"/>
    </row>
    <row r="32" spans="1:18" s="11" customFormat="1" x14ac:dyDescent="0.2">
      <c r="A32" s="109"/>
      <c r="R32" s="64"/>
    </row>
    <row r="33" spans="1:18" s="11" customFormat="1" x14ac:dyDescent="0.2">
      <c r="A33" s="109"/>
      <c r="R33" s="64"/>
    </row>
    <row r="34" spans="1:18" s="11" customFormat="1" x14ac:dyDescent="0.2">
      <c r="A34" s="109"/>
      <c r="R34" s="64"/>
    </row>
    <row r="35" spans="1:18" s="11" customFormat="1" x14ac:dyDescent="0.2">
      <c r="A35" s="109"/>
      <c r="R35" s="64"/>
    </row>
    <row r="36" spans="1:18" s="11" customFormat="1" x14ac:dyDescent="0.2">
      <c r="A36" s="109"/>
      <c r="R36" s="64"/>
    </row>
    <row r="37" spans="1:18" s="11" customFormat="1" x14ac:dyDescent="0.2">
      <c r="A37" s="109"/>
      <c r="R37" s="64"/>
    </row>
    <row r="38" spans="1:18" s="11" customFormat="1" x14ac:dyDescent="0.2">
      <c r="A38" s="109"/>
      <c r="R38" s="64"/>
    </row>
    <row r="39" spans="1:18" s="11" customFormat="1" x14ac:dyDescent="0.2">
      <c r="A39" s="109"/>
      <c r="R39" s="64"/>
    </row>
    <row r="40" spans="1:18" s="11" customFormat="1" x14ac:dyDescent="0.2">
      <c r="A40" s="109"/>
      <c r="R40" s="64"/>
    </row>
    <row r="41" spans="1:18" s="11" customFormat="1" x14ac:dyDescent="0.2">
      <c r="A41" s="109"/>
      <c r="R41" s="64"/>
    </row>
    <row r="42" spans="1:18" s="11" customFormat="1" x14ac:dyDescent="0.2">
      <c r="A42" s="109"/>
      <c r="R42" s="64"/>
    </row>
    <row r="43" spans="1:18" s="11" customFormat="1" x14ac:dyDescent="0.2">
      <c r="A43" s="109"/>
      <c r="R43" s="64"/>
    </row>
    <row r="44" spans="1:18" s="11" customFormat="1" x14ac:dyDescent="0.2">
      <c r="A44" s="109"/>
      <c r="R44" s="64"/>
    </row>
    <row r="45" spans="1:18" s="11" customFormat="1" x14ac:dyDescent="0.2">
      <c r="A45" s="109"/>
      <c r="R45" s="64"/>
    </row>
    <row r="46" spans="1:18" s="11" customFormat="1" x14ac:dyDescent="0.2">
      <c r="A46" s="114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1"/>
    </row>
  </sheetData>
  <dataConsolidate/>
  <mergeCells count="17">
    <mergeCell ref="Q12:R12"/>
    <mergeCell ref="Q14:R14"/>
    <mergeCell ref="Q15:R15"/>
    <mergeCell ref="Q16:R16"/>
    <mergeCell ref="Q19:R19"/>
    <mergeCell ref="Q28:R28"/>
    <mergeCell ref="Q29:R29"/>
    <mergeCell ref="Q25:R25"/>
    <mergeCell ref="Q17:R17"/>
    <mergeCell ref="Q18:R18"/>
    <mergeCell ref="Q20:R20"/>
    <mergeCell ref="Q21:R21"/>
    <mergeCell ref="Q22:R22"/>
    <mergeCell ref="Q23:R23"/>
    <mergeCell ref="Q24:R24"/>
    <mergeCell ref="Q26:R26"/>
    <mergeCell ref="Q27:R27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2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28.1796875" style="66" bestFit="1" customWidth="1"/>
    <col min="9" max="10" width="15.81640625" style="66" customWidth="1"/>
    <col min="11" max="11" width="16.90625" style="66" customWidth="1"/>
    <col min="12" max="12" width="12.90625" style="66" customWidth="1"/>
    <col min="13" max="13" width="12.81640625" style="66" bestFit="1" customWidth="1"/>
    <col min="14" max="14" width="50.6328125" style="66" customWidth="1"/>
    <col min="15" max="15" width="14.08984375" style="66" customWidth="1"/>
    <col min="16" max="16" width="14.90625" style="66" customWidth="1"/>
    <col min="17" max="17" width="17.6328125" style="65" customWidth="1"/>
    <col min="18" max="18" width="30.81640625" style="65" customWidth="1"/>
    <col min="19" max="19" width="9" style="65"/>
    <col min="20" max="20" width="15.81640625" style="65" customWidth="1"/>
    <col min="21" max="16384" width="9" style="65"/>
  </cols>
  <sheetData>
    <row r="1" spans="1:21" s="11" customFormat="1" x14ac:dyDescent="0.2">
      <c r="A1" s="105" t="s">
        <v>16</v>
      </c>
      <c r="B1" s="105" t="s">
        <v>16</v>
      </c>
      <c r="C1" s="105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  <c r="S1" s="65"/>
      <c r="T1" s="65"/>
      <c r="U1" s="65"/>
    </row>
    <row r="2" spans="1:21" s="11" customFormat="1" ht="40" customHeight="1" x14ac:dyDescent="0.2">
      <c r="A2" s="106" t="s">
        <v>16</v>
      </c>
      <c r="B2" s="107"/>
      <c r="C2" s="107"/>
      <c r="D2" s="117" t="s">
        <v>369</v>
      </c>
      <c r="E2" s="7" t="s">
        <v>12</v>
      </c>
      <c r="F2" s="108" t="str">
        <f>IF(LogicCommon!C2="","",LogicCommon!C2)</f>
        <v>MA</v>
      </c>
      <c r="G2" s="7" t="s">
        <v>9</v>
      </c>
      <c r="H2" s="108" t="str">
        <f>IF(LogicCommon!E2="","",LogicCommon!E2)</f>
        <v>MABSL0850</v>
      </c>
      <c r="I2" s="7" t="s">
        <v>30</v>
      </c>
      <c r="J2" s="9" t="s">
        <v>187</v>
      </c>
      <c r="K2" s="7" t="s">
        <v>32</v>
      </c>
      <c r="L2" s="108" t="str">
        <f>IF(LogicCommon!G2="","",LogicCommon!G2)</f>
        <v>MC</v>
      </c>
      <c r="M2" s="5" t="s">
        <v>33</v>
      </c>
      <c r="N2" s="30" t="str">
        <f>L4 &amp; ".Checker"</f>
        <v>MA.MAUDL5010.Checker</v>
      </c>
      <c r="O2" s="7"/>
      <c r="P2" s="7"/>
      <c r="Q2" s="4"/>
      <c r="R2" s="65"/>
      <c r="S2" s="65"/>
      <c r="T2" s="65"/>
      <c r="U2" s="65"/>
    </row>
    <row r="3" spans="1:21" s="11" customFormat="1" x14ac:dyDescent="0.2">
      <c r="A3" s="109" t="s">
        <v>16</v>
      </c>
      <c r="B3" s="110"/>
      <c r="C3" s="110"/>
      <c r="D3" s="111" t="str">
        <f>IF(LogicCommon!A3="","",LogicCommon!A3)</f>
        <v/>
      </c>
      <c r="E3" s="7" t="s">
        <v>13</v>
      </c>
      <c r="F3" s="108" t="str">
        <f>IF(LogicCommon!C3="","",LogicCommon!C3)</f>
        <v>MABS</v>
      </c>
      <c r="G3" s="7" t="s">
        <v>10</v>
      </c>
      <c r="H3" s="108" t="str">
        <f>IF(LogicCommon!E3="","",LogicCommon!E3)</f>
        <v>MABSL_MpsItmReg</v>
      </c>
      <c r="I3" s="7" t="s">
        <v>34</v>
      </c>
      <c r="J3" s="9" t="s">
        <v>107</v>
      </c>
      <c r="K3" s="7" t="s">
        <v>36</v>
      </c>
      <c r="L3" s="108" t="str">
        <f>IF(LogicCommon!G3="","",LogicCommon!G3)</f>
        <v/>
      </c>
      <c r="M3" s="112" t="s">
        <v>37</v>
      </c>
      <c r="N3" s="7"/>
      <c r="O3" s="7" t="s">
        <v>38</v>
      </c>
      <c r="P3" s="9" t="s">
        <v>39</v>
      </c>
      <c r="Q3" s="4"/>
      <c r="R3" s="65"/>
      <c r="S3" s="65"/>
      <c r="T3" s="65"/>
      <c r="U3" s="65"/>
    </row>
    <row r="4" spans="1:21" s="11" customFormat="1" x14ac:dyDescent="0.2">
      <c r="A4" s="109" t="s">
        <v>16</v>
      </c>
      <c r="B4" s="110"/>
      <c r="C4" s="110"/>
      <c r="D4" s="4"/>
      <c r="E4" s="7" t="s">
        <v>8</v>
      </c>
      <c r="F4" s="10" t="s">
        <v>281</v>
      </c>
      <c r="G4" s="7" t="s">
        <v>11</v>
      </c>
      <c r="H4" s="108" t="str">
        <f>IF(LogicCommon!E4="","",LogicCommon!E4)</f>
        <v>ＭＰＳ品目マスタ登録</v>
      </c>
      <c r="I4" s="7" t="s">
        <v>40</v>
      </c>
      <c r="J4" s="9" t="s">
        <v>236</v>
      </c>
      <c r="K4" s="7" t="s">
        <v>5</v>
      </c>
      <c r="L4" s="108" t="str">
        <f>IF(LogicCommon!G4="","",LogicCommon!G4)</f>
        <v>MA.MAUDL5010</v>
      </c>
      <c r="M4" s="113"/>
      <c r="N4" s="30"/>
      <c r="O4" s="15"/>
      <c r="P4" s="4"/>
      <c r="Q4" s="4"/>
      <c r="R4" s="65"/>
      <c r="S4" s="65"/>
      <c r="T4" s="65"/>
      <c r="U4" s="65"/>
    </row>
    <row r="5" spans="1:21" s="11" customFormat="1" x14ac:dyDescent="0.2">
      <c r="A5" s="114" t="s">
        <v>16</v>
      </c>
      <c r="B5" s="105"/>
      <c r="C5" s="105"/>
      <c r="D5" s="27"/>
      <c r="E5" s="7" t="s">
        <v>17</v>
      </c>
      <c r="F5" s="10"/>
      <c r="G5" s="89"/>
      <c r="H5" s="89"/>
      <c r="I5" s="89"/>
      <c r="J5" s="89"/>
      <c r="K5" s="89"/>
      <c r="L5" s="6"/>
      <c r="M5" s="5"/>
      <c r="N5" s="5"/>
      <c r="O5" s="15"/>
      <c r="P5" s="4"/>
      <c r="Q5" s="4"/>
      <c r="R5" s="65"/>
      <c r="S5" s="65"/>
      <c r="T5" s="65"/>
      <c r="U5" s="65"/>
    </row>
    <row r="6" spans="1:21" s="11" customFormat="1" x14ac:dyDescent="0.2">
      <c r="A6" s="109" t="s">
        <v>16</v>
      </c>
      <c r="B6" s="110"/>
      <c r="C6" s="110"/>
      <c r="D6" s="4" t="s">
        <v>6</v>
      </c>
      <c r="E6" s="17" t="s">
        <v>237</v>
      </c>
      <c r="F6" s="17"/>
      <c r="G6" s="17"/>
      <c r="H6" s="17"/>
      <c r="I6" s="17"/>
      <c r="J6" s="17"/>
      <c r="K6" s="17"/>
      <c r="L6" s="115"/>
      <c r="M6" s="20"/>
      <c r="N6" s="20"/>
      <c r="O6" s="20"/>
      <c r="P6" s="20"/>
      <c r="Q6" s="20" t="s">
        <v>44</v>
      </c>
      <c r="R6" s="4"/>
      <c r="S6" s="66"/>
      <c r="T6" s="66"/>
      <c r="U6" s="65"/>
    </row>
    <row r="7" spans="1:21" s="11" customFormat="1" x14ac:dyDescent="0.2">
      <c r="A7" s="67" t="s">
        <v>19</v>
      </c>
      <c r="B7" s="67"/>
      <c r="C7" s="67"/>
      <c r="D7" s="68"/>
      <c r="E7" s="68"/>
      <c r="F7" s="68"/>
      <c r="G7" s="68"/>
      <c r="H7" s="68"/>
      <c r="I7" s="68" t="s">
        <v>46</v>
      </c>
      <c r="J7" s="68"/>
      <c r="K7" s="70" t="s">
        <v>108</v>
      </c>
      <c r="L7" s="70"/>
      <c r="M7" s="70"/>
      <c r="N7" s="70"/>
      <c r="O7" s="70"/>
      <c r="P7" s="69" t="s">
        <v>90</v>
      </c>
      <c r="Q7" s="70"/>
      <c r="R7" s="66"/>
      <c r="S7" s="66"/>
      <c r="T7" s="66"/>
      <c r="U7" s="66"/>
    </row>
    <row r="8" spans="1:21" s="11" customFormat="1" ht="60" customHeight="1" x14ac:dyDescent="0.2">
      <c r="A8" s="57" t="s">
        <v>19</v>
      </c>
      <c r="B8" s="120"/>
      <c r="C8" s="121"/>
      <c r="D8" s="118" t="s">
        <v>370</v>
      </c>
      <c r="E8" s="118" t="s">
        <v>371</v>
      </c>
      <c r="F8" s="115"/>
      <c r="G8" s="118" t="s">
        <v>282</v>
      </c>
      <c r="H8" s="118" t="s">
        <v>372</v>
      </c>
      <c r="I8" s="115"/>
      <c r="J8" s="3"/>
      <c r="K8" s="9" t="s">
        <v>109</v>
      </c>
      <c r="L8" s="9"/>
      <c r="M8" s="9"/>
      <c r="N8" s="9"/>
      <c r="O8" s="9"/>
      <c r="P8" s="69" t="s">
        <v>91</v>
      </c>
      <c r="Q8" s="9"/>
      <c r="R8" s="128"/>
      <c r="S8" s="129"/>
      <c r="T8" s="130" t="s">
        <v>381</v>
      </c>
      <c r="U8" s="85"/>
    </row>
    <row r="9" spans="1:21" s="11" customFormat="1" ht="60" customHeight="1" x14ac:dyDescent="0.2">
      <c r="A9" s="9" t="s">
        <v>19</v>
      </c>
      <c r="B9" s="40"/>
      <c r="C9" s="41"/>
      <c r="D9" s="118" t="s">
        <v>373</v>
      </c>
      <c r="E9" s="125" t="s">
        <v>374</v>
      </c>
      <c r="F9" s="118" t="s">
        <v>375</v>
      </c>
      <c r="G9" s="118" t="s">
        <v>376</v>
      </c>
      <c r="H9" s="118" t="s">
        <v>377</v>
      </c>
      <c r="I9" s="126" t="s">
        <v>378</v>
      </c>
      <c r="J9" s="118" t="s">
        <v>379</v>
      </c>
      <c r="K9" s="69"/>
      <c r="L9" s="69"/>
      <c r="M9" s="69"/>
      <c r="N9" s="69"/>
      <c r="O9" s="69"/>
      <c r="P9" s="69"/>
      <c r="Q9" s="69"/>
      <c r="R9" s="130" t="s">
        <v>380</v>
      </c>
      <c r="S9" s="85"/>
      <c r="T9" s="130" t="s">
        <v>382</v>
      </c>
      <c r="U9" s="85"/>
    </row>
    <row r="10" spans="1:21" s="11" customFormat="1" ht="39" x14ac:dyDescent="0.2">
      <c r="A10" s="74" t="s">
        <v>19</v>
      </c>
      <c r="B10" s="75"/>
      <c r="C10" s="75"/>
      <c r="D10" s="76"/>
      <c r="E10" s="77"/>
      <c r="F10" s="77"/>
      <c r="G10" s="78"/>
      <c r="H10" s="78"/>
      <c r="I10" s="77"/>
      <c r="J10" s="77"/>
      <c r="K10" s="69"/>
      <c r="L10" s="69"/>
      <c r="M10" s="69"/>
      <c r="N10" s="69"/>
      <c r="O10" s="69"/>
      <c r="P10" s="127" t="s">
        <v>378</v>
      </c>
      <c r="Q10" s="127" t="s">
        <v>379</v>
      </c>
      <c r="R10" s="77"/>
      <c r="S10" s="77"/>
      <c r="T10" s="78"/>
      <c r="U10" s="72"/>
    </row>
    <row r="11" spans="1:21" s="11" customFormat="1" x14ac:dyDescent="0.2">
      <c r="A11" s="9">
        <v>10</v>
      </c>
      <c r="B11" s="40" t="s">
        <v>0</v>
      </c>
      <c r="C11" s="41"/>
      <c r="D11" s="30" t="s">
        <v>183</v>
      </c>
      <c r="E11" s="79" t="s">
        <v>89</v>
      </c>
      <c r="F11" s="80"/>
      <c r="G11" s="30"/>
      <c r="H11" s="81"/>
      <c r="I11" s="82"/>
      <c r="J11" s="83"/>
      <c r="K11" s="84"/>
      <c r="L11" s="84"/>
      <c r="M11" s="84"/>
      <c r="N11" s="84"/>
      <c r="O11" s="84"/>
      <c r="P11" s="84"/>
      <c r="Q11" s="84"/>
      <c r="R11" s="71"/>
      <c r="S11" s="72"/>
      <c r="T11" s="102"/>
      <c r="U11" s="104"/>
    </row>
    <row r="12" spans="1:21" s="11" customFormat="1" x14ac:dyDescent="0.2">
      <c r="A12" s="9">
        <v>10</v>
      </c>
      <c r="B12" s="9"/>
      <c r="C12" s="9"/>
      <c r="D12" s="9" t="s">
        <v>159</v>
      </c>
      <c r="E12" s="57" t="s">
        <v>160</v>
      </c>
      <c r="F12" s="57"/>
      <c r="G12" s="58" t="s">
        <v>383</v>
      </c>
      <c r="H12" s="58" t="s">
        <v>284</v>
      </c>
      <c r="I12" s="9" t="s">
        <v>87</v>
      </c>
      <c r="J12" s="9"/>
      <c r="K12" s="9" t="s">
        <v>87</v>
      </c>
      <c r="L12" s="9"/>
      <c r="M12" s="9"/>
      <c r="N12" s="9"/>
      <c r="O12" s="9"/>
      <c r="P12" s="9"/>
      <c r="Q12" s="9"/>
      <c r="R12" s="76"/>
      <c r="S12" s="85"/>
      <c r="T12" s="134"/>
      <c r="U12" s="135"/>
    </row>
    <row r="13" spans="1:21" s="11" customFormat="1" x14ac:dyDescent="0.2">
      <c r="A13" s="9">
        <v>10</v>
      </c>
      <c r="B13" s="9"/>
      <c r="C13" s="9"/>
      <c r="D13" s="9" t="s">
        <v>123</v>
      </c>
      <c r="E13" s="57" t="s">
        <v>119</v>
      </c>
      <c r="F13" s="57"/>
      <c r="G13" s="58" t="s">
        <v>384</v>
      </c>
      <c r="H13" s="58" t="s">
        <v>248</v>
      </c>
      <c r="I13" s="9" t="s">
        <v>87</v>
      </c>
      <c r="J13" s="9"/>
      <c r="K13" s="9" t="s">
        <v>87</v>
      </c>
      <c r="L13" s="9"/>
      <c r="M13" s="9"/>
      <c r="N13" s="9"/>
      <c r="O13" s="9"/>
      <c r="P13" s="9"/>
      <c r="Q13" s="9"/>
      <c r="R13" s="76"/>
      <c r="S13" s="85"/>
      <c r="T13" s="134"/>
      <c r="U13" s="135"/>
    </row>
    <row r="14" spans="1:21" s="11" customFormat="1" x14ac:dyDescent="0.2">
      <c r="A14" s="9">
        <v>10</v>
      </c>
      <c r="B14" s="9"/>
      <c r="C14" s="9"/>
      <c r="D14" s="9" t="s">
        <v>124</v>
      </c>
      <c r="E14" s="57" t="s">
        <v>120</v>
      </c>
      <c r="F14" s="57"/>
      <c r="G14" s="58" t="s">
        <v>385</v>
      </c>
      <c r="H14" s="58" t="s">
        <v>249</v>
      </c>
      <c r="I14" s="9" t="s">
        <v>87</v>
      </c>
      <c r="J14" s="9"/>
      <c r="K14" s="9" t="s">
        <v>87</v>
      </c>
      <c r="L14" s="9"/>
      <c r="M14" s="9"/>
      <c r="N14" s="9"/>
      <c r="O14" s="9"/>
      <c r="P14" s="9"/>
      <c r="Q14" s="9"/>
      <c r="R14" s="76"/>
      <c r="S14" s="85"/>
      <c r="T14" s="134"/>
      <c r="U14" s="135"/>
    </row>
    <row r="15" spans="1:21" s="11" customFormat="1" x14ac:dyDescent="0.2">
      <c r="A15" s="9">
        <v>10</v>
      </c>
      <c r="B15" s="9"/>
      <c r="C15" s="9"/>
      <c r="D15" s="9" t="s">
        <v>125</v>
      </c>
      <c r="E15" s="57" t="s">
        <v>121</v>
      </c>
      <c r="F15" s="57"/>
      <c r="G15" s="58" t="s">
        <v>386</v>
      </c>
      <c r="H15" s="58" t="s">
        <v>250</v>
      </c>
      <c r="I15" s="9" t="s">
        <v>87</v>
      </c>
      <c r="J15" s="9"/>
      <c r="K15" s="9" t="s">
        <v>87</v>
      </c>
      <c r="L15" s="9"/>
      <c r="M15" s="9"/>
      <c r="N15" s="9"/>
      <c r="O15" s="9"/>
      <c r="P15" s="9"/>
      <c r="Q15" s="9"/>
      <c r="R15" s="76"/>
      <c r="S15" s="85"/>
      <c r="T15" s="134"/>
      <c r="U15" s="135"/>
    </row>
    <row r="16" spans="1:21" s="11" customFormat="1" x14ac:dyDescent="0.2">
      <c r="A16" s="9">
        <v>10</v>
      </c>
      <c r="B16" s="9"/>
      <c r="C16" s="9"/>
      <c r="D16" s="9" t="s">
        <v>126</v>
      </c>
      <c r="E16" s="57" t="s">
        <v>122</v>
      </c>
      <c r="F16" s="57"/>
      <c r="G16" s="58" t="s">
        <v>387</v>
      </c>
      <c r="H16" s="58" t="s">
        <v>251</v>
      </c>
      <c r="I16" s="9" t="s">
        <v>87</v>
      </c>
      <c r="J16" s="9"/>
      <c r="K16" s="9" t="s">
        <v>87</v>
      </c>
      <c r="L16" s="9"/>
      <c r="M16" s="9"/>
      <c r="N16" s="9"/>
      <c r="O16" s="9"/>
      <c r="P16" s="9"/>
      <c r="Q16" s="9"/>
      <c r="R16" s="76"/>
      <c r="S16" s="85"/>
      <c r="T16" s="134"/>
      <c r="U16" s="135"/>
    </row>
    <row r="17" spans="1:21" s="11" customFormat="1" x14ac:dyDescent="0.2">
      <c r="A17" s="9">
        <v>10</v>
      </c>
      <c r="B17" s="9"/>
      <c r="C17" s="9"/>
      <c r="D17" s="9" t="s">
        <v>102</v>
      </c>
      <c r="E17" s="57" t="s">
        <v>103</v>
      </c>
      <c r="F17" s="57"/>
      <c r="G17" s="58" t="s">
        <v>402</v>
      </c>
      <c r="H17" s="58" t="s">
        <v>280</v>
      </c>
      <c r="I17" s="9" t="s">
        <v>42</v>
      </c>
      <c r="J17" s="9"/>
      <c r="K17" s="9"/>
      <c r="L17" s="9"/>
      <c r="M17" s="9"/>
      <c r="N17" s="9"/>
      <c r="O17" s="9"/>
      <c r="P17" s="9"/>
      <c r="Q17" s="9"/>
      <c r="R17" s="76"/>
      <c r="S17" s="85"/>
      <c r="T17" s="134"/>
      <c r="U17" s="135"/>
    </row>
    <row r="18" spans="1:21" s="11" customFormat="1" x14ac:dyDescent="0.2">
      <c r="A18" s="86"/>
      <c r="B18" s="87"/>
      <c r="C18" s="87"/>
      <c r="D18" s="65" t="s">
        <v>1</v>
      </c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4"/>
      <c r="S18" s="4"/>
      <c r="T18" s="6"/>
      <c r="U18" s="24"/>
    </row>
    <row r="19" spans="1:21" s="11" customFormat="1" x14ac:dyDescent="0.2">
      <c r="A19" s="109"/>
      <c r="U19" s="64"/>
    </row>
    <row r="20" spans="1:21" s="11" customFormat="1" x14ac:dyDescent="0.2">
      <c r="A20" s="109"/>
      <c r="U20" s="64"/>
    </row>
    <row r="21" spans="1:21" s="11" customFormat="1" x14ac:dyDescent="0.2">
      <c r="A21" s="109"/>
      <c r="U21" s="64"/>
    </row>
    <row r="22" spans="1:21" s="11" customFormat="1" x14ac:dyDescent="0.2">
      <c r="A22" s="114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1"/>
    </row>
  </sheetData>
  <dataConsolidate/>
  <mergeCells count="6">
    <mergeCell ref="T12:U12"/>
    <mergeCell ref="T13:U13"/>
    <mergeCell ref="T17:U17"/>
    <mergeCell ref="T14:U14"/>
    <mergeCell ref="T15:U15"/>
    <mergeCell ref="T16:U16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2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44.6328125" style="66" customWidth="1"/>
    <col min="9" max="10" width="15.81640625" style="66" customWidth="1"/>
    <col min="11" max="11" width="19.36328125" style="66" bestFit="1" customWidth="1"/>
    <col min="12" max="12" width="18.36328125" style="66" bestFit="1" customWidth="1"/>
    <col min="13" max="13" width="30.81640625" style="66" customWidth="1"/>
    <col min="14" max="14" width="50.6328125" style="66" customWidth="1"/>
    <col min="15" max="15" width="15.81640625" style="66" customWidth="1"/>
    <col min="16" max="16" width="18.36328125" style="66" bestFit="1" customWidth="1"/>
    <col min="17" max="17" width="11.6328125" style="65" bestFit="1" customWidth="1"/>
    <col min="18" max="18" width="27.1796875" style="65" bestFit="1" customWidth="1"/>
    <col min="19" max="19" width="20.453125" style="65" bestFit="1" customWidth="1"/>
    <col min="20" max="20" width="9" style="65"/>
    <col min="21" max="21" width="13.90625" style="65" bestFit="1" customWidth="1"/>
    <col min="22" max="16384" width="9" style="65"/>
  </cols>
  <sheetData>
    <row r="1" spans="1:16" s="11" customFormat="1" x14ac:dyDescent="0.2">
      <c r="A1" s="105" t="s">
        <v>16</v>
      </c>
      <c r="B1" s="105" t="s">
        <v>16</v>
      </c>
      <c r="C1" s="105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11" customFormat="1" ht="40" customHeight="1" x14ac:dyDescent="0.2">
      <c r="A2" s="106" t="s">
        <v>16</v>
      </c>
      <c r="B2" s="107"/>
      <c r="C2" s="107"/>
      <c r="D2" s="117" t="s">
        <v>369</v>
      </c>
      <c r="E2" s="7" t="s">
        <v>12</v>
      </c>
      <c r="F2" s="108" t="str">
        <f>IF(LogicCommon!C2="","",LogicCommon!C2)</f>
        <v>MA</v>
      </c>
      <c r="G2" s="7" t="s">
        <v>9</v>
      </c>
      <c r="H2" s="108" t="str">
        <f>IF(LogicCommon!E2="","",LogicCommon!E2)</f>
        <v>MABSL0850</v>
      </c>
      <c r="I2" s="7" t="s">
        <v>30</v>
      </c>
      <c r="J2" s="9" t="s">
        <v>186</v>
      </c>
      <c r="K2" s="7" t="s">
        <v>32</v>
      </c>
      <c r="L2" s="108" t="str">
        <f>IF(LogicCommon!G2="","",LogicCommon!G2)</f>
        <v>MC</v>
      </c>
      <c r="M2" s="5" t="s">
        <v>33</v>
      </c>
      <c r="N2" s="30" t="s">
        <v>364</v>
      </c>
      <c r="O2" s="7"/>
      <c r="P2" s="7"/>
    </row>
    <row r="3" spans="1:16" s="11" customFormat="1" x14ac:dyDescent="0.2">
      <c r="A3" s="109" t="s">
        <v>16</v>
      </c>
      <c r="B3" s="110"/>
      <c r="C3" s="110"/>
      <c r="D3" s="111" t="str">
        <f>IF(LogicCommon!A3="","",LogicCommon!A3)</f>
        <v/>
      </c>
      <c r="E3" s="7" t="s">
        <v>13</v>
      </c>
      <c r="F3" s="108" t="str">
        <f>IF(LogicCommon!C3="","",LogicCommon!C3)</f>
        <v>MABS</v>
      </c>
      <c r="G3" s="7" t="s">
        <v>10</v>
      </c>
      <c r="H3" s="108" t="str">
        <f>IF(LogicCommon!E3="","",LogicCommon!E3)</f>
        <v>MABSL_MpsItmReg</v>
      </c>
      <c r="I3" s="7" t="s">
        <v>34</v>
      </c>
      <c r="J3" s="9" t="s">
        <v>35</v>
      </c>
      <c r="K3" s="7" t="s">
        <v>36</v>
      </c>
      <c r="L3" s="108" t="str">
        <f>IF(LogicCommon!G3="","",LogicCommon!G3)</f>
        <v/>
      </c>
      <c r="M3" s="112" t="s">
        <v>37</v>
      </c>
      <c r="N3" s="7"/>
      <c r="O3" s="7" t="s">
        <v>38</v>
      </c>
      <c r="P3" s="9" t="s">
        <v>39</v>
      </c>
    </row>
    <row r="4" spans="1:16" s="11" customFormat="1" x14ac:dyDescent="0.2">
      <c r="A4" s="109" t="s">
        <v>16</v>
      </c>
      <c r="B4" s="110"/>
      <c r="C4" s="110"/>
      <c r="D4" s="4"/>
      <c r="E4" s="7" t="s">
        <v>8</v>
      </c>
      <c r="F4" s="10" t="s">
        <v>281</v>
      </c>
      <c r="G4" s="7" t="s">
        <v>11</v>
      </c>
      <c r="H4" s="108" t="str">
        <f>IF(LogicCommon!E4="","",LogicCommon!E4)</f>
        <v>ＭＰＳ品目マスタ登録</v>
      </c>
      <c r="I4" s="7" t="s">
        <v>40</v>
      </c>
      <c r="J4" s="9" t="s">
        <v>238</v>
      </c>
      <c r="K4" s="7" t="s">
        <v>5</v>
      </c>
      <c r="L4" s="108" t="str">
        <f>IF(LogicCommon!G4="","",LogicCommon!G4)</f>
        <v>MA.MAUDL5010</v>
      </c>
      <c r="M4" s="113"/>
      <c r="N4" s="30"/>
      <c r="O4" s="15"/>
      <c r="P4" s="4"/>
    </row>
    <row r="5" spans="1:16" s="11" customFormat="1" x14ac:dyDescent="0.2">
      <c r="A5" s="114" t="s">
        <v>16</v>
      </c>
      <c r="B5" s="105"/>
      <c r="C5" s="105"/>
      <c r="D5" s="27"/>
      <c r="E5" s="7" t="s">
        <v>17</v>
      </c>
      <c r="F5" s="10"/>
      <c r="G5" s="89"/>
      <c r="H5" s="89"/>
      <c r="I5" s="89"/>
      <c r="J5" s="89"/>
      <c r="K5" s="89"/>
      <c r="L5" s="6"/>
      <c r="M5" s="5"/>
      <c r="N5" s="5"/>
      <c r="O5" s="15"/>
      <c r="P5" s="4"/>
    </row>
    <row r="6" spans="1:16" s="11" customFormat="1" x14ac:dyDescent="0.2">
      <c r="A6" s="109" t="s">
        <v>16</v>
      </c>
      <c r="B6" s="110"/>
      <c r="C6" s="110"/>
      <c r="D6" s="4" t="s">
        <v>6</v>
      </c>
      <c r="E6" s="17" t="s">
        <v>239</v>
      </c>
      <c r="F6" s="17"/>
      <c r="G6" s="17"/>
      <c r="H6" s="17"/>
      <c r="I6" s="17"/>
      <c r="J6" s="17"/>
      <c r="K6" s="17"/>
      <c r="L6" s="115" t="s">
        <v>44</v>
      </c>
      <c r="M6" s="20"/>
      <c r="N6" s="20"/>
      <c r="O6" s="20"/>
      <c r="P6" s="20"/>
    </row>
    <row r="7" spans="1:16" s="11" customFormat="1" x14ac:dyDescent="0.2">
      <c r="A7" s="67" t="s">
        <v>19</v>
      </c>
      <c r="B7" s="67"/>
      <c r="C7" s="67"/>
      <c r="D7" s="68"/>
      <c r="E7" s="68"/>
      <c r="F7" s="68"/>
      <c r="G7" s="68"/>
      <c r="H7" s="68"/>
      <c r="I7" s="68" t="s">
        <v>46</v>
      </c>
      <c r="J7" s="68"/>
      <c r="K7" s="69" t="s">
        <v>47</v>
      </c>
      <c r="L7" s="70" t="s">
        <v>92</v>
      </c>
      <c r="M7" s="66"/>
      <c r="N7" s="66"/>
      <c r="O7" s="66"/>
      <c r="P7" s="66"/>
    </row>
    <row r="8" spans="1:16" s="11" customFormat="1" ht="60" customHeight="1" x14ac:dyDescent="0.2">
      <c r="A8" s="57" t="s">
        <v>19</v>
      </c>
      <c r="B8" s="120"/>
      <c r="C8" s="121"/>
      <c r="D8" s="118" t="s">
        <v>370</v>
      </c>
      <c r="E8" s="118" t="s">
        <v>371</v>
      </c>
      <c r="F8" s="115"/>
      <c r="G8" s="118" t="s">
        <v>282</v>
      </c>
      <c r="H8" s="118" t="s">
        <v>372</v>
      </c>
      <c r="I8" s="115"/>
      <c r="J8" s="3"/>
      <c r="K8" s="69" t="s">
        <v>18</v>
      </c>
      <c r="L8" s="9" t="s">
        <v>367</v>
      </c>
      <c r="M8" s="128"/>
      <c r="N8" s="129"/>
      <c r="O8" s="130" t="s">
        <v>381</v>
      </c>
      <c r="P8" s="85"/>
    </row>
    <row r="9" spans="1:16" s="11" customFormat="1" ht="60" customHeight="1" x14ac:dyDescent="0.2">
      <c r="A9" s="9" t="s">
        <v>19</v>
      </c>
      <c r="B9" s="40"/>
      <c r="C9" s="41"/>
      <c r="D9" s="118" t="s">
        <v>373</v>
      </c>
      <c r="E9" s="125" t="s">
        <v>374</v>
      </c>
      <c r="F9" s="118" t="s">
        <v>375</v>
      </c>
      <c r="G9" s="118" t="s">
        <v>376</v>
      </c>
      <c r="H9" s="118" t="s">
        <v>377</v>
      </c>
      <c r="I9" s="126" t="s">
        <v>378</v>
      </c>
      <c r="J9" s="118" t="s">
        <v>379</v>
      </c>
      <c r="K9" s="69"/>
      <c r="L9" s="69"/>
      <c r="M9" s="130" t="s">
        <v>380</v>
      </c>
      <c r="N9" s="85"/>
      <c r="O9" s="130" t="s">
        <v>382</v>
      </c>
      <c r="P9" s="85"/>
    </row>
    <row r="10" spans="1:16" s="11" customFormat="1" ht="39" x14ac:dyDescent="0.2">
      <c r="A10" s="74" t="s">
        <v>19</v>
      </c>
      <c r="B10" s="75"/>
      <c r="C10" s="75"/>
      <c r="D10" s="76"/>
      <c r="E10" s="77"/>
      <c r="F10" s="77"/>
      <c r="G10" s="78"/>
      <c r="H10" s="78"/>
      <c r="I10" s="77"/>
      <c r="J10" s="77"/>
      <c r="K10" s="127" t="s">
        <v>378</v>
      </c>
      <c r="L10" s="127" t="s">
        <v>379</v>
      </c>
      <c r="M10" s="77"/>
      <c r="N10" s="77"/>
      <c r="O10" s="78"/>
      <c r="P10" s="72"/>
    </row>
    <row r="11" spans="1:16" s="11" customFormat="1" x14ac:dyDescent="0.2">
      <c r="A11" s="9">
        <v>10</v>
      </c>
      <c r="B11" s="40" t="s">
        <v>0</v>
      </c>
      <c r="C11" s="41"/>
      <c r="D11" s="30" t="s">
        <v>184</v>
      </c>
      <c r="E11" s="79" t="s">
        <v>89</v>
      </c>
      <c r="F11" s="80"/>
      <c r="G11" s="30" t="s">
        <v>106</v>
      </c>
      <c r="H11" s="81" t="s">
        <v>285</v>
      </c>
      <c r="I11" s="82"/>
      <c r="J11" s="83"/>
      <c r="K11" s="84" t="s">
        <v>86</v>
      </c>
      <c r="L11" s="84"/>
      <c r="M11" s="71"/>
      <c r="N11" s="72"/>
      <c r="O11" s="102"/>
      <c r="P11" s="104"/>
    </row>
    <row r="12" spans="1:16" s="11" customFormat="1" x14ac:dyDescent="0.2">
      <c r="A12" s="9">
        <v>10</v>
      </c>
      <c r="B12" s="9"/>
      <c r="C12" s="9"/>
      <c r="D12" s="9" t="s">
        <v>159</v>
      </c>
      <c r="E12" s="57" t="s">
        <v>160</v>
      </c>
      <c r="F12" s="57"/>
      <c r="G12" s="58" t="s">
        <v>383</v>
      </c>
      <c r="H12" s="58" t="s">
        <v>284</v>
      </c>
      <c r="I12" s="9" t="s">
        <v>87</v>
      </c>
      <c r="J12" s="9"/>
      <c r="K12" s="9" t="s">
        <v>87</v>
      </c>
      <c r="L12" s="9"/>
      <c r="M12" s="78"/>
      <c r="N12" s="72"/>
      <c r="O12" s="102"/>
      <c r="P12" s="104"/>
    </row>
    <row r="13" spans="1:16" s="11" customFormat="1" x14ac:dyDescent="0.2">
      <c r="A13" s="9">
        <v>10</v>
      </c>
      <c r="B13" s="9"/>
      <c r="C13" s="9"/>
      <c r="D13" s="9" t="s">
        <v>123</v>
      </c>
      <c r="E13" s="57" t="s">
        <v>119</v>
      </c>
      <c r="F13" s="57"/>
      <c r="G13" s="58" t="s">
        <v>384</v>
      </c>
      <c r="H13" s="58" t="s">
        <v>248</v>
      </c>
      <c r="I13" s="9" t="s">
        <v>87</v>
      </c>
      <c r="J13" s="9"/>
      <c r="K13" s="9" t="s">
        <v>87</v>
      </c>
      <c r="L13" s="9"/>
      <c r="M13" s="78"/>
      <c r="N13" s="72"/>
      <c r="O13" s="102"/>
      <c r="P13" s="104"/>
    </row>
    <row r="14" spans="1:16" s="11" customFormat="1" x14ac:dyDescent="0.2">
      <c r="A14" s="9">
        <v>10</v>
      </c>
      <c r="B14" s="9"/>
      <c r="C14" s="9"/>
      <c r="D14" s="9" t="s">
        <v>124</v>
      </c>
      <c r="E14" s="57" t="s">
        <v>120</v>
      </c>
      <c r="F14" s="57"/>
      <c r="G14" s="58" t="s">
        <v>385</v>
      </c>
      <c r="H14" s="58" t="s">
        <v>249</v>
      </c>
      <c r="I14" s="9" t="s">
        <v>87</v>
      </c>
      <c r="J14" s="9"/>
      <c r="K14" s="9" t="s">
        <v>87</v>
      </c>
      <c r="L14" s="9"/>
      <c r="M14" s="78"/>
      <c r="N14" s="72"/>
      <c r="O14" s="102"/>
      <c r="P14" s="104"/>
    </row>
    <row r="15" spans="1:16" s="11" customFormat="1" x14ac:dyDescent="0.2">
      <c r="A15" s="9">
        <v>10</v>
      </c>
      <c r="B15" s="9"/>
      <c r="C15" s="9"/>
      <c r="D15" s="9" t="s">
        <v>125</v>
      </c>
      <c r="E15" s="57" t="s">
        <v>121</v>
      </c>
      <c r="F15" s="57"/>
      <c r="G15" s="58" t="s">
        <v>386</v>
      </c>
      <c r="H15" s="58" t="s">
        <v>250</v>
      </c>
      <c r="I15" s="9" t="s">
        <v>87</v>
      </c>
      <c r="J15" s="9"/>
      <c r="K15" s="9" t="s">
        <v>87</v>
      </c>
      <c r="L15" s="9"/>
      <c r="M15" s="78"/>
      <c r="N15" s="72"/>
      <c r="O15" s="102"/>
      <c r="P15" s="104"/>
    </row>
    <row r="16" spans="1:16" s="11" customFormat="1" x14ac:dyDescent="0.2">
      <c r="A16" s="9">
        <v>10</v>
      </c>
      <c r="B16" s="9"/>
      <c r="C16" s="9"/>
      <c r="D16" s="9" t="s">
        <v>126</v>
      </c>
      <c r="E16" s="57" t="s">
        <v>122</v>
      </c>
      <c r="F16" s="57"/>
      <c r="G16" s="58" t="s">
        <v>387</v>
      </c>
      <c r="H16" s="58" t="s">
        <v>251</v>
      </c>
      <c r="I16" s="9" t="s">
        <v>87</v>
      </c>
      <c r="J16" s="9"/>
      <c r="K16" s="9" t="s">
        <v>87</v>
      </c>
      <c r="L16" s="9"/>
      <c r="M16" s="78"/>
      <c r="N16" s="72"/>
      <c r="O16" s="102"/>
      <c r="P16" s="104"/>
    </row>
    <row r="17" spans="1:16" s="11" customFormat="1" x14ac:dyDescent="0.2">
      <c r="A17" s="9">
        <v>10</v>
      </c>
      <c r="B17" s="9"/>
      <c r="C17" s="9"/>
      <c r="D17" s="9" t="s">
        <v>102</v>
      </c>
      <c r="E17" s="57" t="s">
        <v>103</v>
      </c>
      <c r="F17" s="57"/>
      <c r="G17" s="58" t="s">
        <v>402</v>
      </c>
      <c r="H17" s="58" t="s">
        <v>101</v>
      </c>
      <c r="I17" s="9" t="s">
        <v>42</v>
      </c>
      <c r="J17" s="9"/>
      <c r="K17" s="9" t="s">
        <v>42</v>
      </c>
      <c r="L17" s="9"/>
      <c r="M17" s="78"/>
      <c r="N17" s="72"/>
      <c r="O17" s="102"/>
      <c r="P17" s="104"/>
    </row>
    <row r="18" spans="1:16" s="11" customFormat="1" x14ac:dyDescent="0.2">
      <c r="A18" s="86"/>
      <c r="B18" s="87"/>
      <c r="C18" s="87"/>
      <c r="D18" s="65" t="s">
        <v>1</v>
      </c>
      <c r="E18" s="66"/>
      <c r="F18" s="66"/>
      <c r="G18" s="66"/>
      <c r="H18" s="66"/>
      <c r="I18" s="66"/>
      <c r="J18" s="66"/>
      <c r="K18" s="66"/>
      <c r="L18" s="66"/>
      <c r="M18" s="4"/>
      <c r="N18" s="4"/>
      <c r="O18" s="6"/>
      <c r="P18" s="24"/>
    </row>
    <row r="19" spans="1:16" s="11" customFormat="1" x14ac:dyDescent="0.2">
      <c r="A19" s="109"/>
      <c r="P19" s="64"/>
    </row>
    <row r="20" spans="1:16" s="11" customFormat="1" x14ac:dyDescent="0.2">
      <c r="A20" s="109"/>
      <c r="P20" s="64"/>
    </row>
    <row r="21" spans="1:16" s="11" customFormat="1" x14ac:dyDescent="0.2">
      <c r="A21" s="109"/>
      <c r="P21" s="64"/>
    </row>
    <row r="22" spans="1:16" s="11" customFormat="1" x14ac:dyDescent="0.2">
      <c r="A22" s="109"/>
      <c r="P22" s="64"/>
    </row>
    <row r="23" spans="1:16" s="11" customFormat="1" x14ac:dyDescent="0.2">
      <c r="A23" s="109"/>
      <c r="P23" s="64"/>
    </row>
    <row r="24" spans="1:16" s="11" customFormat="1" x14ac:dyDescent="0.2">
      <c r="A24" s="109"/>
      <c r="P24" s="64"/>
    </row>
    <row r="25" spans="1:16" s="11" customFormat="1" x14ac:dyDescent="0.2">
      <c r="A25" s="109"/>
      <c r="P25" s="64"/>
    </row>
    <row r="26" spans="1:16" s="11" customFormat="1" x14ac:dyDescent="0.2">
      <c r="A26" s="109"/>
      <c r="P26" s="64"/>
    </row>
    <row r="27" spans="1:16" s="11" customFormat="1" x14ac:dyDescent="0.2">
      <c r="A27" s="109"/>
      <c r="P27" s="64"/>
    </row>
    <row r="28" spans="1:16" s="11" customFormat="1" x14ac:dyDescent="0.2">
      <c r="A28" s="114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1"/>
    </row>
  </sheetData>
  <dataConsolidate/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12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6" customWidth="1"/>
    <col min="2" max="2" width="2.6328125" style="66" bestFit="1" customWidth="1"/>
    <col min="3" max="3" width="3.179687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20.453125" style="66" bestFit="1" customWidth="1"/>
    <col min="9" max="10" width="15.81640625" style="66" customWidth="1"/>
    <col min="11" max="11" width="19.36328125" style="66" bestFit="1" customWidth="1"/>
    <col min="12" max="12" width="18.36328125" style="66" bestFit="1" customWidth="1"/>
    <col min="13" max="13" width="19.36328125" style="66" bestFit="1" customWidth="1"/>
    <col min="14" max="14" width="50.6328125" style="66" customWidth="1"/>
    <col min="15" max="15" width="20.453125" style="66" bestFit="1" customWidth="1"/>
    <col min="16" max="16" width="25.6328125" style="66" customWidth="1"/>
    <col min="17" max="17" width="13.90625" style="66" bestFit="1" customWidth="1"/>
    <col min="18" max="18" width="4.453125" style="66" bestFit="1" customWidth="1"/>
    <col min="19" max="19" width="16.453125" style="66" customWidth="1"/>
    <col min="20" max="20" width="19.90625" style="66" customWidth="1"/>
    <col min="21" max="22" width="17.1796875" style="65" customWidth="1"/>
    <col min="23" max="16384" width="9" style="65"/>
  </cols>
  <sheetData>
    <row r="1" spans="1:17" s="11" customFormat="1" x14ac:dyDescent="0.2">
      <c r="A1" s="105" t="s">
        <v>16</v>
      </c>
      <c r="B1" s="105" t="s">
        <v>16</v>
      </c>
      <c r="C1" s="105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106" t="s">
        <v>16</v>
      </c>
      <c r="B2" s="107"/>
      <c r="C2" s="107"/>
      <c r="D2" s="117" t="s">
        <v>369</v>
      </c>
      <c r="E2" s="7" t="s">
        <v>12</v>
      </c>
      <c r="F2" s="108" t="str">
        <f>IF(LogicCommon!C2="","",LogicCommon!C2)</f>
        <v>MA</v>
      </c>
      <c r="G2" s="7" t="s">
        <v>9</v>
      </c>
      <c r="H2" s="108" t="str">
        <f>IF(LogicCommon!E2="","",LogicCommon!E2)</f>
        <v>MABSL0850</v>
      </c>
      <c r="I2" s="7" t="s">
        <v>30</v>
      </c>
      <c r="J2" s="9" t="s">
        <v>31</v>
      </c>
      <c r="K2" s="7" t="s">
        <v>32</v>
      </c>
      <c r="L2" s="108" t="str">
        <f>IF(LogicCommon!G2="","",LogicCommon!G2)</f>
        <v>MC</v>
      </c>
      <c r="M2" s="5" t="s">
        <v>33</v>
      </c>
      <c r="N2" s="30" t="s">
        <v>365</v>
      </c>
      <c r="O2" s="7"/>
      <c r="P2" s="7"/>
      <c r="Q2" s="4"/>
    </row>
    <row r="3" spans="1:17" s="11" customFormat="1" x14ac:dyDescent="0.2">
      <c r="A3" s="109" t="s">
        <v>16</v>
      </c>
      <c r="B3" s="110"/>
      <c r="C3" s="110"/>
      <c r="D3" s="111" t="str">
        <f>IF(LogicCommon!A3="","",LogicCommon!A3)</f>
        <v/>
      </c>
      <c r="E3" s="7" t="s">
        <v>13</v>
      </c>
      <c r="F3" s="108" t="str">
        <f>IF(LogicCommon!C3="","",LogicCommon!C3)</f>
        <v>MABS</v>
      </c>
      <c r="G3" s="7" t="s">
        <v>10</v>
      </c>
      <c r="H3" s="108" t="str">
        <f>IF(LogicCommon!E3="","",LogicCommon!E3)</f>
        <v>MABSL_MpsItmReg</v>
      </c>
      <c r="I3" s="7" t="s">
        <v>34</v>
      </c>
      <c r="J3" s="9" t="s">
        <v>35</v>
      </c>
      <c r="K3" s="7" t="s">
        <v>36</v>
      </c>
      <c r="L3" s="108" t="str">
        <f>IF(LogicCommon!G3="","",LogicCommon!G3)</f>
        <v/>
      </c>
      <c r="M3" s="112" t="s">
        <v>37</v>
      </c>
      <c r="N3" s="7"/>
      <c r="O3" s="7" t="s">
        <v>38</v>
      </c>
      <c r="P3" s="9" t="s">
        <v>39</v>
      </c>
      <c r="Q3" s="4"/>
    </row>
    <row r="4" spans="1:17" s="11" customFormat="1" x14ac:dyDescent="0.2">
      <c r="A4" s="109" t="s">
        <v>16</v>
      </c>
      <c r="B4" s="110"/>
      <c r="C4" s="110"/>
      <c r="D4" s="4"/>
      <c r="E4" s="7" t="s">
        <v>8</v>
      </c>
      <c r="F4" s="10" t="s">
        <v>281</v>
      </c>
      <c r="G4" s="7" t="s">
        <v>11</v>
      </c>
      <c r="H4" s="108" t="str">
        <f>IF(LogicCommon!E4="","",LogicCommon!E4)</f>
        <v>ＭＰＳ品目マスタ登録</v>
      </c>
      <c r="I4" s="7" t="s">
        <v>40</v>
      </c>
      <c r="J4" s="9" t="s">
        <v>2</v>
      </c>
      <c r="K4" s="7" t="s">
        <v>5</v>
      </c>
      <c r="L4" s="108" t="str">
        <f>IF(LogicCommon!G4="","",LogicCommon!G4)</f>
        <v>MA.MAUDL5010</v>
      </c>
      <c r="M4" s="113"/>
      <c r="N4" s="30"/>
      <c r="O4" s="15"/>
      <c r="P4" s="4"/>
      <c r="Q4" s="4"/>
    </row>
    <row r="5" spans="1:17" s="11" customFormat="1" x14ac:dyDescent="0.2">
      <c r="A5" s="114" t="s">
        <v>16</v>
      </c>
      <c r="B5" s="105"/>
      <c r="C5" s="105"/>
      <c r="D5" s="27"/>
      <c r="E5" s="7" t="s">
        <v>17</v>
      </c>
      <c r="F5" s="10"/>
      <c r="G5" s="89"/>
      <c r="H5" s="89"/>
      <c r="I5" s="89"/>
      <c r="J5" s="89"/>
      <c r="K5" s="89"/>
      <c r="L5" s="6"/>
      <c r="M5" s="5"/>
      <c r="N5" s="5"/>
      <c r="O5" s="15"/>
      <c r="P5" s="4"/>
      <c r="Q5" s="4"/>
    </row>
    <row r="6" spans="1:17" s="11" customFormat="1" x14ac:dyDescent="0.2">
      <c r="A6" s="109" t="s">
        <v>16</v>
      </c>
      <c r="B6" s="110"/>
      <c r="C6" s="110"/>
      <c r="D6" s="4" t="s">
        <v>6</v>
      </c>
      <c r="E6" s="17" t="s">
        <v>240</v>
      </c>
      <c r="F6" s="17"/>
      <c r="G6" s="17"/>
      <c r="H6" s="17"/>
      <c r="I6" s="17"/>
      <c r="J6" s="17"/>
      <c r="K6" s="17"/>
      <c r="L6" s="115"/>
      <c r="M6" s="20" t="s">
        <v>44</v>
      </c>
      <c r="N6" s="20"/>
      <c r="O6" s="20"/>
      <c r="P6" s="20"/>
      <c r="Q6" s="20"/>
    </row>
    <row r="7" spans="1:17" s="11" customFormat="1" x14ac:dyDescent="0.2">
      <c r="A7" s="67" t="s">
        <v>45</v>
      </c>
      <c r="B7" s="67"/>
      <c r="C7" s="67"/>
      <c r="D7" s="68"/>
      <c r="E7" s="68"/>
      <c r="F7" s="68"/>
      <c r="G7" s="68"/>
      <c r="H7" s="68"/>
      <c r="I7" s="68" t="s">
        <v>46</v>
      </c>
      <c r="J7" s="68"/>
      <c r="K7" s="70" t="s">
        <v>151</v>
      </c>
      <c r="L7" s="69" t="s">
        <v>47</v>
      </c>
      <c r="M7" s="70" t="s">
        <v>48</v>
      </c>
      <c r="N7" s="66"/>
      <c r="O7" s="66"/>
      <c r="P7" s="66"/>
      <c r="Q7" s="66"/>
    </row>
    <row r="8" spans="1:17" s="11" customFormat="1" ht="60" customHeight="1" x14ac:dyDescent="0.2">
      <c r="A8" s="57" t="s">
        <v>19</v>
      </c>
      <c r="B8" s="120"/>
      <c r="C8" s="121"/>
      <c r="D8" s="118" t="s">
        <v>370</v>
      </c>
      <c r="E8" s="118" t="s">
        <v>371</v>
      </c>
      <c r="F8" s="115"/>
      <c r="G8" s="118" t="s">
        <v>282</v>
      </c>
      <c r="H8" s="118" t="s">
        <v>372</v>
      </c>
      <c r="I8" s="115"/>
      <c r="J8" s="3"/>
      <c r="K8" s="9" t="s">
        <v>152</v>
      </c>
      <c r="L8" s="69" t="s">
        <v>18</v>
      </c>
      <c r="M8" s="9" t="s">
        <v>367</v>
      </c>
      <c r="N8" s="128"/>
      <c r="O8" s="129"/>
      <c r="P8" s="130" t="s">
        <v>381</v>
      </c>
      <c r="Q8" s="85"/>
    </row>
    <row r="9" spans="1:17" s="11" customFormat="1" ht="60" customHeight="1" x14ac:dyDescent="0.2">
      <c r="A9" s="9" t="s">
        <v>19</v>
      </c>
      <c r="B9" s="40"/>
      <c r="C9" s="41"/>
      <c r="D9" s="118" t="s">
        <v>373</v>
      </c>
      <c r="E9" s="125" t="s">
        <v>374</v>
      </c>
      <c r="F9" s="118" t="s">
        <v>375</v>
      </c>
      <c r="G9" s="118" t="s">
        <v>376</v>
      </c>
      <c r="H9" s="118" t="s">
        <v>377</v>
      </c>
      <c r="I9" s="126" t="s">
        <v>378</v>
      </c>
      <c r="J9" s="118" t="s">
        <v>379</v>
      </c>
      <c r="K9" s="131"/>
      <c r="L9" s="69"/>
      <c r="M9" s="69"/>
      <c r="N9" s="130" t="s">
        <v>380</v>
      </c>
      <c r="O9" s="85"/>
      <c r="P9" s="130" t="s">
        <v>382</v>
      </c>
      <c r="Q9" s="85"/>
    </row>
    <row r="10" spans="1:17" s="11" customFormat="1" ht="39" x14ac:dyDescent="0.2">
      <c r="A10" s="74" t="s">
        <v>20</v>
      </c>
      <c r="B10" s="75"/>
      <c r="C10" s="75"/>
      <c r="D10" s="76"/>
      <c r="E10" s="77"/>
      <c r="F10" s="77"/>
      <c r="G10" s="78"/>
      <c r="H10" s="78"/>
      <c r="I10" s="77"/>
      <c r="J10" s="77"/>
      <c r="K10" s="88"/>
      <c r="L10" s="127" t="s">
        <v>378</v>
      </c>
      <c r="M10" s="127" t="s">
        <v>379</v>
      </c>
      <c r="N10" s="77"/>
      <c r="O10" s="77"/>
      <c r="P10" s="78"/>
      <c r="Q10" s="72"/>
    </row>
    <row r="11" spans="1:17" s="11" customFormat="1" x14ac:dyDescent="0.2">
      <c r="A11" s="9">
        <v>10</v>
      </c>
      <c r="B11" s="40" t="s">
        <v>0</v>
      </c>
      <c r="C11" s="41"/>
      <c r="D11" s="30" t="s">
        <v>21</v>
      </c>
      <c r="E11" s="79" t="s">
        <v>22</v>
      </c>
      <c r="F11" s="80"/>
      <c r="G11" s="30"/>
      <c r="H11" s="81"/>
      <c r="I11" s="82"/>
      <c r="J11" s="83"/>
      <c r="K11" s="73"/>
      <c r="L11" s="84" t="s">
        <v>22</v>
      </c>
      <c r="M11" s="84"/>
      <c r="N11" s="71"/>
      <c r="O11" s="72"/>
      <c r="P11" s="102"/>
      <c r="Q11" s="104"/>
    </row>
    <row r="12" spans="1:17" s="11" customFormat="1" x14ac:dyDescent="0.2">
      <c r="A12" s="9">
        <v>10</v>
      </c>
      <c r="B12" s="9"/>
      <c r="C12" s="9"/>
      <c r="D12" s="9" t="s">
        <v>222</v>
      </c>
      <c r="E12" s="57" t="s">
        <v>67</v>
      </c>
      <c r="F12" s="57"/>
      <c r="G12" s="58" t="s">
        <v>403</v>
      </c>
      <c r="H12" s="58" t="s">
        <v>286</v>
      </c>
      <c r="I12" s="9" t="s">
        <v>42</v>
      </c>
      <c r="J12" s="9"/>
      <c r="K12" s="9"/>
      <c r="L12" s="9"/>
      <c r="M12" s="9"/>
      <c r="N12" s="76"/>
      <c r="O12" s="85"/>
      <c r="P12" s="102"/>
      <c r="Q12" s="103"/>
    </row>
    <row r="13" spans="1:17" s="11" customFormat="1" x14ac:dyDescent="0.2">
      <c r="A13" s="9">
        <v>10</v>
      </c>
      <c r="B13" s="9"/>
      <c r="C13" s="9"/>
      <c r="D13" s="9" t="s">
        <v>223</v>
      </c>
      <c r="E13" s="57" t="s">
        <v>67</v>
      </c>
      <c r="F13" s="57"/>
      <c r="G13" s="58" t="s">
        <v>404</v>
      </c>
      <c r="H13" s="58" t="s">
        <v>287</v>
      </c>
      <c r="I13" s="9" t="s">
        <v>42</v>
      </c>
      <c r="J13" s="9"/>
      <c r="K13" s="9"/>
      <c r="L13" s="9"/>
      <c r="M13" s="9"/>
      <c r="N13" s="76"/>
      <c r="O13" s="85"/>
      <c r="P13" s="102"/>
      <c r="Q13" s="103"/>
    </row>
    <row r="14" spans="1:17" s="11" customFormat="1" ht="26" x14ac:dyDescent="0.2">
      <c r="A14" s="9">
        <v>10</v>
      </c>
      <c r="B14" s="9"/>
      <c r="C14" s="9"/>
      <c r="D14" s="9" t="s">
        <v>159</v>
      </c>
      <c r="E14" s="57" t="s">
        <v>160</v>
      </c>
      <c r="F14" s="57"/>
      <c r="G14" s="58" t="s">
        <v>383</v>
      </c>
      <c r="H14" s="58" t="s">
        <v>284</v>
      </c>
      <c r="I14" s="9" t="s">
        <v>42</v>
      </c>
      <c r="J14" s="9"/>
      <c r="K14" s="9"/>
      <c r="L14" s="9"/>
      <c r="M14" s="9"/>
      <c r="N14" s="76"/>
      <c r="O14" s="85"/>
      <c r="P14" s="102"/>
      <c r="Q14" s="103"/>
    </row>
    <row r="15" spans="1:17" s="11" customFormat="1" ht="26" x14ac:dyDescent="0.2">
      <c r="A15" s="9">
        <v>10</v>
      </c>
      <c r="B15" s="9"/>
      <c r="C15" s="9"/>
      <c r="D15" s="9" t="s">
        <v>171</v>
      </c>
      <c r="E15" s="57" t="s">
        <v>168</v>
      </c>
      <c r="F15" s="57"/>
      <c r="G15" s="58" t="s">
        <v>405</v>
      </c>
      <c r="H15" s="58" t="s">
        <v>288</v>
      </c>
      <c r="I15" s="9" t="s">
        <v>42</v>
      </c>
      <c r="J15" s="9"/>
      <c r="K15" s="9"/>
      <c r="L15" s="9"/>
      <c r="M15" s="9"/>
      <c r="N15" s="76"/>
      <c r="O15" s="85"/>
      <c r="P15" s="102"/>
      <c r="Q15" s="103"/>
    </row>
    <row r="16" spans="1:17" s="11" customFormat="1" x14ac:dyDescent="0.2">
      <c r="A16" s="9">
        <v>10</v>
      </c>
      <c r="B16" s="9"/>
      <c r="C16" s="9"/>
      <c r="D16" s="9" t="s">
        <v>192</v>
      </c>
      <c r="E16" s="57" t="s">
        <v>212</v>
      </c>
      <c r="F16" s="57"/>
      <c r="G16" s="58" t="s">
        <v>388</v>
      </c>
      <c r="H16" s="58" t="s">
        <v>255</v>
      </c>
      <c r="I16" s="9" t="s">
        <v>42</v>
      </c>
      <c r="J16" s="9"/>
      <c r="K16" s="9"/>
      <c r="L16" s="9"/>
      <c r="M16" s="9"/>
      <c r="N16" s="76"/>
      <c r="O16" s="85"/>
      <c r="P16" s="102"/>
      <c r="Q16" s="103"/>
    </row>
    <row r="17" spans="1:17" s="11" customFormat="1" x14ac:dyDescent="0.2">
      <c r="A17" s="9">
        <v>10</v>
      </c>
      <c r="B17" s="9"/>
      <c r="C17" s="9"/>
      <c r="D17" s="9" t="s">
        <v>193</v>
      </c>
      <c r="E17" s="57" t="s">
        <v>213</v>
      </c>
      <c r="F17" s="57"/>
      <c r="G17" s="58" t="s">
        <v>406</v>
      </c>
      <c r="H17" s="58" t="s">
        <v>289</v>
      </c>
      <c r="I17" s="9" t="s">
        <v>42</v>
      </c>
      <c r="J17" s="9"/>
      <c r="K17" s="9"/>
      <c r="L17" s="9"/>
      <c r="M17" s="9"/>
      <c r="N17" s="76"/>
      <c r="O17" s="85"/>
      <c r="P17" s="102"/>
      <c r="Q17" s="103"/>
    </row>
    <row r="18" spans="1:17" s="11" customFormat="1" x14ac:dyDescent="0.2">
      <c r="A18" s="9">
        <v>10</v>
      </c>
      <c r="B18" s="9"/>
      <c r="C18" s="9"/>
      <c r="D18" s="9" t="s">
        <v>153</v>
      </c>
      <c r="E18" s="57" t="s">
        <v>154</v>
      </c>
      <c r="F18" s="57"/>
      <c r="G18" s="58" t="s">
        <v>407</v>
      </c>
      <c r="H18" s="58" t="s">
        <v>290</v>
      </c>
      <c r="I18" s="9" t="s">
        <v>42</v>
      </c>
      <c r="J18" s="9"/>
      <c r="K18" s="9"/>
      <c r="L18" s="9"/>
      <c r="M18" s="9"/>
      <c r="N18" s="76"/>
      <c r="O18" s="85"/>
      <c r="P18" s="102"/>
      <c r="Q18" s="103"/>
    </row>
    <row r="19" spans="1:17" s="11" customFormat="1" x14ac:dyDescent="0.2">
      <c r="A19" s="9">
        <v>10</v>
      </c>
      <c r="B19" s="9"/>
      <c r="C19" s="9"/>
      <c r="D19" s="9" t="s">
        <v>155</v>
      </c>
      <c r="E19" s="57" t="s">
        <v>156</v>
      </c>
      <c r="F19" s="57"/>
      <c r="G19" s="58" t="s">
        <v>408</v>
      </c>
      <c r="H19" s="58" t="s">
        <v>291</v>
      </c>
      <c r="I19" s="9" t="s">
        <v>42</v>
      </c>
      <c r="J19" s="9"/>
      <c r="K19" s="9"/>
      <c r="L19" s="9"/>
      <c r="M19" s="9"/>
      <c r="N19" s="76"/>
      <c r="O19" s="85"/>
      <c r="P19" s="102"/>
      <c r="Q19" s="103"/>
    </row>
    <row r="20" spans="1:17" s="11" customFormat="1" x14ac:dyDescent="0.2">
      <c r="A20" s="9">
        <v>10</v>
      </c>
      <c r="B20" s="9"/>
      <c r="C20" s="9"/>
      <c r="D20" s="9" t="s">
        <v>157</v>
      </c>
      <c r="E20" s="57" t="s">
        <v>158</v>
      </c>
      <c r="F20" s="57"/>
      <c r="G20" s="58" t="s">
        <v>409</v>
      </c>
      <c r="H20" s="58" t="s">
        <v>292</v>
      </c>
      <c r="I20" s="9" t="s">
        <v>42</v>
      </c>
      <c r="J20" s="9"/>
      <c r="K20" s="9"/>
      <c r="L20" s="9"/>
      <c r="M20" s="9"/>
      <c r="N20" s="76"/>
      <c r="O20" s="85"/>
      <c r="P20" s="102"/>
      <c r="Q20" s="103"/>
    </row>
    <row r="21" spans="1:17" s="11" customFormat="1" x14ac:dyDescent="0.2">
      <c r="A21" s="9">
        <v>10</v>
      </c>
      <c r="B21" s="9"/>
      <c r="C21" s="9"/>
      <c r="D21" s="9" t="s">
        <v>123</v>
      </c>
      <c r="E21" s="57" t="s">
        <v>119</v>
      </c>
      <c r="F21" s="57"/>
      <c r="G21" s="58" t="s">
        <v>384</v>
      </c>
      <c r="H21" s="58" t="s">
        <v>248</v>
      </c>
      <c r="I21" s="9" t="s">
        <v>42</v>
      </c>
      <c r="J21" s="9"/>
      <c r="K21" s="9"/>
      <c r="L21" s="9"/>
      <c r="M21" s="9"/>
      <c r="N21" s="76"/>
      <c r="O21" s="85"/>
      <c r="P21" s="134"/>
      <c r="Q21" s="135"/>
    </row>
    <row r="22" spans="1:17" s="11" customFormat="1" x14ac:dyDescent="0.2">
      <c r="A22" s="9">
        <v>10</v>
      </c>
      <c r="B22" s="9"/>
      <c r="C22" s="9"/>
      <c r="D22" s="9" t="s">
        <v>124</v>
      </c>
      <c r="E22" s="57" t="s">
        <v>120</v>
      </c>
      <c r="F22" s="57"/>
      <c r="G22" s="58" t="s">
        <v>385</v>
      </c>
      <c r="H22" s="58" t="s">
        <v>249</v>
      </c>
      <c r="I22" s="9" t="s">
        <v>42</v>
      </c>
      <c r="J22" s="9"/>
      <c r="K22" s="9"/>
      <c r="L22" s="9"/>
      <c r="M22" s="9"/>
      <c r="N22" s="76"/>
      <c r="O22" s="85"/>
      <c r="P22" s="134"/>
      <c r="Q22" s="135"/>
    </row>
    <row r="23" spans="1:17" s="11" customFormat="1" x14ac:dyDescent="0.2">
      <c r="A23" s="9">
        <v>10</v>
      </c>
      <c r="B23" s="9"/>
      <c r="C23" s="9"/>
      <c r="D23" s="9" t="s">
        <v>125</v>
      </c>
      <c r="E23" s="57" t="s">
        <v>121</v>
      </c>
      <c r="F23" s="57"/>
      <c r="G23" s="58" t="s">
        <v>386</v>
      </c>
      <c r="H23" s="58" t="s">
        <v>250</v>
      </c>
      <c r="I23" s="9" t="s">
        <v>42</v>
      </c>
      <c r="J23" s="9"/>
      <c r="K23" s="9"/>
      <c r="L23" s="9"/>
      <c r="M23" s="9"/>
      <c r="N23" s="76"/>
      <c r="O23" s="85"/>
      <c r="P23" s="134"/>
      <c r="Q23" s="135"/>
    </row>
    <row r="24" spans="1:17" s="11" customFormat="1" x14ac:dyDescent="0.2">
      <c r="A24" s="9">
        <v>10</v>
      </c>
      <c r="B24" s="9"/>
      <c r="C24" s="9"/>
      <c r="D24" s="9" t="s">
        <v>126</v>
      </c>
      <c r="E24" s="57" t="s">
        <v>122</v>
      </c>
      <c r="F24" s="57"/>
      <c r="G24" s="58" t="s">
        <v>387</v>
      </c>
      <c r="H24" s="58" t="s">
        <v>251</v>
      </c>
      <c r="I24" s="9" t="s">
        <v>42</v>
      </c>
      <c r="J24" s="9"/>
      <c r="K24" s="9"/>
      <c r="L24" s="9"/>
      <c r="M24" s="9"/>
      <c r="N24" s="76"/>
      <c r="O24" s="85"/>
      <c r="P24" s="134"/>
      <c r="Q24" s="135"/>
    </row>
    <row r="25" spans="1:17" s="11" customFormat="1" x14ac:dyDescent="0.2">
      <c r="A25" s="9">
        <v>10</v>
      </c>
      <c r="B25" s="9"/>
      <c r="C25" s="9"/>
      <c r="D25" s="9" t="s">
        <v>127</v>
      </c>
      <c r="E25" s="57" t="s">
        <v>130</v>
      </c>
      <c r="F25" s="57"/>
      <c r="G25" s="58" t="s">
        <v>410</v>
      </c>
      <c r="H25" s="58" t="s">
        <v>293</v>
      </c>
      <c r="I25" s="9" t="s">
        <v>42</v>
      </c>
      <c r="J25" s="9"/>
      <c r="K25" s="9"/>
      <c r="L25" s="9"/>
      <c r="M25" s="9"/>
      <c r="N25" s="76"/>
      <c r="O25" s="85"/>
      <c r="P25" s="134"/>
      <c r="Q25" s="135"/>
    </row>
    <row r="26" spans="1:17" s="11" customFormat="1" x14ac:dyDescent="0.2">
      <c r="A26" s="9">
        <v>10</v>
      </c>
      <c r="B26" s="9"/>
      <c r="C26" s="9"/>
      <c r="D26" s="9" t="s">
        <v>93</v>
      </c>
      <c r="E26" s="57" t="s">
        <v>83</v>
      </c>
      <c r="F26" s="57"/>
      <c r="G26" s="58" t="s">
        <v>411</v>
      </c>
      <c r="H26" s="58" t="s">
        <v>294</v>
      </c>
      <c r="I26" s="9" t="s">
        <v>42</v>
      </c>
      <c r="J26" s="9"/>
      <c r="K26" s="9"/>
      <c r="L26" s="9"/>
      <c r="M26" s="9"/>
      <c r="N26" s="76"/>
      <c r="O26" s="85"/>
      <c r="P26" s="134"/>
      <c r="Q26" s="135"/>
    </row>
    <row r="27" spans="1:17" s="11" customFormat="1" x14ac:dyDescent="0.2">
      <c r="A27" s="9">
        <v>10</v>
      </c>
      <c r="B27" s="9"/>
      <c r="C27" s="9"/>
      <c r="D27" s="9" t="s">
        <v>94</v>
      </c>
      <c r="E27" s="57" t="s">
        <v>68</v>
      </c>
      <c r="F27" s="57"/>
      <c r="G27" s="58" t="s">
        <v>412</v>
      </c>
      <c r="H27" s="58" t="s">
        <v>295</v>
      </c>
      <c r="I27" s="9" t="s">
        <v>42</v>
      </c>
      <c r="J27" s="9"/>
      <c r="K27" s="9"/>
      <c r="L27" s="9"/>
      <c r="M27" s="9"/>
      <c r="N27" s="89"/>
      <c r="O27" s="90"/>
      <c r="P27" s="136"/>
      <c r="Q27" s="135"/>
    </row>
    <row r="28" spans="1:17" s="11" customFormat="1" x14ac:dyDescent="0.2">
      <c r="A28" s="9">
        <v>10</v>
      </c>
      <c r="B28" s="9"/>
      <c r="C28" s="9"/>
      <c r="D28" s="9" t="s">
        <v>57</v>
      </c>
      <c r="E28" s="57" t="s">
        <v>59</v>
      </c>
      <c r="F28" s="57"/>
      <c r="G28" s="58" t="s">
        <v>398</v>
      </c>
      <c r="H28" s="58" t="s">
        <v>277</v>
      </c>
      <c r="I28" s="9" t="s">
        <v>42</v>
      </c>
      <c r="J28" s="9"/>
      <c r="K28" s="9"/>
      <c r="L28" s="9"/>
      <c r="M28" s="9"/>
      <c r="N28" s="76"/>
      <c r="O28" s="85"/>
      <c r="P28" s="134"/>
      <c r="Q28" s="135"/>
    </row>
    <row r="29" spans="1:17" s="11" customFormat="1" x14ac:dyDescent="0.2">
      <c r="A29" s="9">
        <v>10</v>
      </c>
      <c r="B29" s="9"/>
      <c r="C29" s="9"/>
      <c r="D29" s="9" t="s">
        <v>343</v>
      </c>
      <c r="E29" s="57" t="s">
        <v>344</v>
      </c>
      <c r="F29" s="57"/>
      <c r="G29" s="58" t="s">
        <v>399</v>
      </c>
      <c r="H29" s="58" t="s">
        <v>278</v>
      </c>
      <c r="I29" s="9" t="s">
        <v>42</v>
      </c>
      <c r="J29" s="9"/>
      <c r="K29" s="9"/>
      <c r="L29" s="9"/>
      <c r="M29" s="9"/>
      <c r="N29" s="89"/>
      <c r="O29" s="90"/>
      <c r="P29" s="136"/>
      <c r="Q29" s="135"/>
    </row>
    <row r="30" spans="1:17" s="11" customFormat="1" x14ac:dyDescent="0.2">
      <c r="A30" s="9">
        <v>10</v>
      </c>
      <c r="B30" s="9"/>
      <c r="C30" s="9"/>
      <c r="D30" s="9" t="s">
        <v>61</v>
      </c>
      <c r="E30" s="57" t="s">
        <v>63</v>
      </c>
      <c r="F30" s="57"/>
      <c r="G30" s="58" t="s">
        <v>400</v>
      </c>
      <c r="H30" s="58" t="s">
        <v>279</v>
      </c>
      <c r="I30" s="9" t="s">
        <v>42</v>
      </c>
      <c r="J30" s="9"/>
      <c r="K30" s="9"/>
      <c r="L30" s="9"/>
      <c r="M30" s="9"/>
      <c r="N30" s="89"/>
      <c r="O30" s="90"/>
      <c r="P30" s="136"/>
      <c r="Q30" s="135"/>
    </row>
    <row r="31" spans="1:17" s="11" customFormat="1" x14ac:dyDescent="0.2">
      <c r="A31" s="9">
        <v>10</v>
      </c>
      <c r="B31" s="9"/>
      <c r="C31" s="9"/>
      <c r="D31" s="9" t="s">
        <v>131</v>
      </c>
      <c r="E31" s="57" t="s">
        <v>128</v>
      </c>
      <c r="F31" s="57"/>
      <c r="G31" s="58" t="s">
        <v>413</v>
      </c>
      <c r="H31" s="58" t="s">
        <v>296</v>
      </c>
      <c r="I31" s="9" t="s">
        <v>42</v>
      </c>
      <c r="J31" s="9"/>
      <c r="K31" s="9"/>
      <c r="L31" s="9"/>
      <c r="M31" s="9"/>
      <c r="N31" s="76"/>
      <c r="O31" s="85"/>
      <c r="P31" s="134"/>
      <c r="Q31" s="135"/>
    </row>
    <row r="32" spans="1:17" s="11" customFormat="1" x14ac:dyDescent="0.2">
      <c r="A32" s="9">
        <v>10</v>
      </c>
      <c r="B32" s="9"/>
      <c r="C32" s="9"/>
      <c r="D32" s="9" t="s">
        <v>132</v>
      </c>
      <c r="E32" s="57" t="s">
        <v>129</v>
      </c>
      <c r="F32" s="57"/>
      <c r="G32" s="58" t="s">
        <v>414</v>
      </c>
      <c r="H32" s="58" t="s">
        <v>297</v>
      </c>
      <c r="I32" s="9" t="s">
        <v>42</v>
      </c>
      <c r="J32" s="9"/>
      <c r="K32" s="9"/>
      <c r="L32" s="9"/>
      <c r="M32" s="9"/>
      <c r="N32" s="76"/>
      <c r="O32" s="85"/>
      <c r="P32" s="134"/>
      <c r="Q32" s="135"/>
    </row>
    <row r="33" spans="1:17" s="11" customFormat="1" x14ac:dyDescent="0.2">
      <c r="A33" s="9">
        <v>10</v>
      </c>
      <c r="B33" s="9"/>
      <c r="C33" s="9"/>
      <c r="D33" s="9" t="s">
        <v>133</v>
      </c>
      <c r="E33" s="57" t="s">
        <v>128</v>
      </c>
      <c r="F33" s="57"/>
      <c r="G33" s="58" t="s">
        <v>415</v>
      </c>
      <c r="H33" s="58" t="s">
        <v>298</v>
      </c>
      <c r="I33" s="9" t="s">
        <v>42</v>
      </c>
      <c r="J33" s="9"/>
      <c r="K33" s="9"/>
      <c r="L33" s="9"/>
      <c r="M33" s="9"/>
      <c r="N33" s="76"/>
      <c r="O33" s="85"/>
      <c r="P33" s="134"/>
      <c r="Q33" s="135"/>
    </row>
    <row r="34" spans="1:17" s="11" customFormat="1" x14ac:dyDescent="0.2">
      <c r="A34" s="9">
        <v>10</v>
      </c>
      <c r="B34" s="9"/>
      <c r="C34" s="9"/>
      <c r="D34" s="9" t="s">
        <v>134</v>
      </c>
      <c r="E34" s="57" t="s">
        <v>129</v>
      </c>
      <c r="F34" s="57"/>
      <c r="G34" s="58" t="s">
        <v>416</v>
      </c>
      <c r="H34" s="58" t="s">
        <v>299</v>
      </c>
      <c r="I34" s="9" t="s">
        <v>42</v>
      </c>
      <c r="J34" s="9"/>
      <c r="K34" s="9"/>
      <c r="L34" s="9"/>
      <c r="M34" s="9"/>
      <c r="N34" s="76"/>
      <c r="O34" s="85"/>
      <c r="P34" s="134"/>
      <c r="Q34" s="135"/>
    </row>
    <row r="35" spans="1:17" s="11" customFormat="1" x14ac:dyDescent="0.2">
      <c r="A35" s="9">
        <v>10</v>
      </c>
      <c r="B35" s="9"/>
      <c r="C35" s="9"/>
      <c r="D35" s="9" t="s">
        <v>135</v>
      </c>
      <c r="E35" s="57" t="s">
        <v>128</v>
      </c>
      <c r="F35" s="57"/>
      <c r="G35" s="58" t="s">
        <v>417</v>
      </c>
      <c r="H35" s="58" t="s">
        <v>300</v>
      </c>
      <c r="I35" s="9" t="s">
        <v>42</v>
      </c>
      <c r="J35" s="9"/>
      <c r="K35" s="9"/>
      <c r="L35" s="9"/>
      <c r="M35" s="9"/>
      <c r="N35" s="76"/>
      <c r="O35" s="85"/>
      <c r="P35" s="134"/>
      <c r="Q35" s="135"/>
    </row>
    <row r="36" spans="1:17" s="11" customFormat="1" x14ac:dyDescent="0.2">
      <c r="A36" s="9">
        <v>10</v>
      </c>
      <c r="B36" s="9"/>
      <c r="C36" s="9"/>
      <c r="D36" s="9" t="s">
        <v>136</v>
      </c>
      <c r="E36" s="57" t="s">
        <v>129</v>
      </c>
      <c r="F36" s="57"/>
      <c r="G36" s="58" t="s">
        <v>418</v>
      </c>
      <c r="H36" s="58" t="s">
        <v>301</v>
      </c>
      <c r="I36" s="9" t="s">
        <v>42</v>
      </c>
      <c r="J36" s="9"/>
      <c r="K36" s="9"/>
      <c r="L36" s="9"/>
      <c r="M36" s="9"/>
      <c r="N36" s="76"/>
      <c r="O36" s="85"/>
      <c r="P36" s="134"/>
      <c r="Q36" s="135"/>
    </row>
    <row r="37" spans="1:17" s="11" customFormat="1" x14ac:dyDescent="0.2">
      <c r="A37" s="9">
        <v>10</v>
      </c>
      <c r="B37" s="9"/>
      <c r="C37" s="9"/>
      <c r="D37" s="9" t="s">
        <v>137</v>
      </c>
      <c r="E37" s="57" t="s">
        <v>128</v>
      </c>
      <c r="F37" s="57"/>
      <c r="G37" s="58" t="s">
        <v>419</v>
      </c>
      <c r="H37" s="58" t="s">
        <v>302</v>
      </c>
      <c r="I37" s="9" t="s">
        <v>42</v>
      </c>
      <c r="J37" s="9"/>
      <c r="K37" s="9"/>
      <c r="L37" s="9"/>
      <c r="M37" s="9"/>
      <c r="N37" s="76"/>
      <c r="O37" s="85"/>
      <c r="P37" s="134"/>
      <c r="Q37" s="135"/>
    </row>
    <row r="38" spans="1:17" s="11" customFormat="1" x14ac:dyDescent="0.2">
      <c r="A38" s="9">
        <v>10</v>
      </c>
      <c r="B38" s="9"/>
      <c r="C38" s="9"/>
      <c r="D38" s="9" t="s">
        <v>138</v>
      </c>
      <c r="E38" s="57" t="s">
        <v>129</v>
      </c>
      <c r="F38" s="57"/>
      <c r="G38" s="58" t="s">
        <v>420</v>
      </c>
      <c r="H38" s="58" t="s">
        <v>303</v>
      </c>
      <c r="I38" s="9" t="s">
        <v>42</v>
      </c>
      <c r="J38" s="9"/>
      <c r="K38" s="9"/>
      <c r="L38" s="9"/>
      <c r="M38" s="9"/>
      <c r="N38" s="89"/>
      <c r="O38" s="90"/>
      <c r="P38" s="136"/>
      <c r="Q38" s="135"/>
    </row>
    <row r="39" spans="1:17" s="11" customFormat="1" x14ac:dyDescent="0.2">
      <c r="A39" s="9">
        <v>10</v>
      </c>
      <c r="B39" s="9"/>
      <c r="C39" s="9"/>
      <c r="D39" s="9" t="s">
        <v>139</v>
      </c>
      <c r="E39" s="57" t="s">
        <v>128</v>
      </c>
      <c r="F39" s="57"/>
      <c r="G39" s="58" t="s">
        <v>421</v>
      </c>
      <c r="H39" s="58" t="s">
        <v>304</v>
      </c>
      <c r="I39" s="9" t="s">
        <v>42</v>
      </c>
      <c r="J39" s="9"/>
      <c r="K39" s="9"/>
      <c r="L39" s="9"/>
      <c r="M39" s="9"/>
      <c r="N39" s="76"/>
      <c r="O39" s="85"/>
      <c r="P39" s="134"/>
      <c r="Q39" s="135"/>
    </row>
    <row r="40" spans="1:17" s="11" customFormat="1" x14ac:dyDescent="0.2">
      <c r="A40" s="9">
        <v>10</v>
      </c>
      <c r="B40" s="9"/>
      <c r="C40" s="9"/>
      <c r="D40" s="9" t="s">
        <v>140</v>
      </c>
      <c r="E40" s="57" t="s">
        <v>129</v>
      </c>
      <c r="F40" s="57"/>
      <c r="G40" s="58" t="s">
        <v>422</v>
      </c>
      <c r="H40" s="58" t="s">
        <v>305</v>
      </c>
      <c r="I40" s="9" t="s">
        <v>42</v>
      </c>
      <c r="J40" s="9"/>
      <c r="K40" s="9"/>
      <c r="L40" s="9"/>
      <c r="M40" s="9"/>
      <c r="N40" s="76"/>
      <c r="O40" s="85"/>
      <c r="P40" s="134"/>
      <c r="Q40" s="135"/>
    </row>
    <row r="41" spans="1:17" s="11" customFormat="1" x14ac:dyDescent="0.2">
      <c r="A41" s="9">
        <v>10</v>
      </c>
      <c r="B41" s="9"/>
      <c r="C41" s="9"/>
      <c r="D41" s="9" t="s">
        <v>141</v>
      </c>
      <c r="E41" s="57" t="s">
        <v>128</v>
      </c>
      <c r="F41" s="57"/>
      <c r="G41" s="58" t="s">
        <v>423</v>
      </c>
      <c r="H41" s="58" t="s">
        <v>306</v>
      </c>
      <c r="I41" s="9" t="s">
        <v>42</v>
      </c>
      <c r="J41" s="9"/>
      <c r="K41" s="9"/>
      <c r="L41" s="9"/>
      <c r="M41" s="9"/>
      <c r="N41" s="76"/>
      <c r="O41" s="85"/>
      <c r="P41" s="134"/>
      <c r="Q41" s="135"/>
    </row>
    <row r="42" spans="1:17" s="11" customFormat="1" x14ac:dyDescent="0.2">
      <c r="A42" s="9">
        <v>10</v>
      </c>
      <c r="B42" s="9"/>
      <c r="C42" s="9"/>
      <c r="D42" s="9" t="s">
        <v>142</v>
      </c>
      <c r="E42" s="57" t="s">
        <v>129</v>
      </c>
      <c r="F42" s="57"/>
      <c r="G42" s="58" t="s">
        <v>424</v>
      </c>
      <c r="H42" s="58" t="s">
        <v>307</v>
      </c>
      <c r="I42" s="9" t="s">
        <v>42</v>
      </c>
      <c r="J42" s="9"/>
      <c r="K42" s="9"/>
      <c r="L42" s="9"/>
      <c r="M42" s="9"/>
      <c r="N42" s="76"/>
      <c r="O42" s="85"/>
      <c r="P42" s="134"/>
      <c r="Q42" s="135"/>
    </row>
    <row r="43" spans="1:17" s="11" customFormat="1" x14ac:dyDescent="0.2">
      <c r="A43" s="9">
        <v>10</v>
      </c>
      <c r="B43" s="9"/>
      <c r="C43" s="9"/>
      <c r="D43" s="9" t="s">
        <v>143</v>
      </c>
      <c r="E43" s="57" t="s">
        <v>128</v>
      </c>
      <c r="F43" s="57"/>
      <c r="G43" s="58" t="s">
        <v>425</v>
      </c>
      <c r="H43" s="58" t="s">
        <v>308</v>
      </c>
      <c r="I43" s="9" t="s">
        <v>42</v>
      </c>
      <c r="J43" s="9"/>
      <c r="K43" s="9"/>
      <c r="L43" s="9"/>
      <c r="M43" s="9"/>
      <c r="N43" s="76"/>
      <c r="O43" s="85"/>
      <c r="P43" s="134"/>
      <c r="Q43" s="135"/>
    </row>
    <row r="44" spans="1:17" s="11" customFormat="1" x14ac:dyDescent="0.2">
      <c r="A44" s="9">
        <v>10</v>
      </c>
      <c r="B44" s="9"/>
      <c r="C44" s="9"/>
      <c r="D44" s="9" t="s">
        <v>144</v>
      </c>
      <c r="E44" s="57" t="s">
        <v>129</v>
      </c>
      <c r="F44" s="57"/>
      <c r="G44" s="58" t="s">
        <v>426</v>
      </c>
      <c r="H44" s="58" t="s">
        <v>309</v>
      </c>
      <c r="I44" s="9" t="s">
        <v>42</v>
      </c>
      <c r="J44" s="9"/>
      <c r="K44" s="9"/>
      <c r="L44" s="9"/>
      <c r="M44" s="9"/>
      <c r="N44" s="76"/>
      <c r="O44" s="85"/>
      <c r="P44" s="134"/>
      <c r="Q44" s="135"/>
    </row>
    <row r="45" spans="1:17" s="11" customFormat="1" x14ac:dyDescent="0.2">
      <c r="A45" s="9">
        <v>10</v>
      </c>
      <c r="B45" s="9"/>
      <c r="C45" s="9"/>
      <c r="D45" s="9" t="s">
        <v>145</v>
      </c>
      <c r="E45" s="57" t="s">
        <v>128</v>
      </c>
      <c r="F45" s="57"/>
      <c r="G45" s="58" t="s">
        <v>427</v>
      </c>
      <c r="H45" s="58" t="s">
        <v>310</v>
      </c>
      <c r="I45" s="9" t="s">
        <v>42</v>
      </c>
      <c r="J45" s="9"/>
      <c r="K45" s="9"/>
      <c r="L45" s="9"/>
      <c r="M45" s="9"/>
      <c r="N45" s="76"/>
      <c r="O45" s="85"/>
      <c r="P45" s="134"/>
      <c r="Q45" s="135"/>
    </row>
    <row r="46" spans="1:17" s="11" customFormat="1" x14ac:dyDescent="0.2">
      <c r="A46" s="9">
        <v>10</v>
      </c>
      <c r="B46" s="9"/>
      <c r="C46" s="9"/>
      <c r="D46" s="9" t="s">
        <v>146</v>
      </c>
      <c r="E46" s="57" t="s">
        <v>129</v>
      </c>
      <c r="F46" s="57"/>
      <c r="G46" s="58" t="s">
        <v>428</v>
      </c>
      <c r="H46" s="58" t="s">
        <v>311</v>
      </c>
      <c r="I46" s="9" t="s">
        <v>42</v>
      </c>
      <c r="J46" s="9"/>
      <c r="K46" s="9"/>
      <c r="L46" s="9"/>
      <c r="M46" s="9"/>
      <c r="N46" s="76"/>
      <c r="O46" s="85"/>
      <c r="P46" s="134"/>
      <c r="Q46" s="135"/>
    </row>
    <row r="47" spans="1:17" s="11" customFormat="1" x14ac:dyDescent="0.2">
      <c r="A47" s="9">
        <v>10</v>
      </c>
      <c r="B47" s="9"/>
      <c r="C47" s="9"/>
      <c r="D47" s="9" t="s">
        <v>147</v>
      </c>
      <c r="E47" s="57" t="s">
        <v>128</v>
      </c>
      <c r="F47" s="57"/>
      <c r="G47" s="58" t="s">
        <v>429</v>
      </c>
      <c r="H47" s="58" t="s">
        <v>312</v>
      </c>
      <c r="I47" s="9" t="s">
        <v>42</v>
      </c>
      <c r="J47" s="9"/>
      <c r="K47" s="9"/>
      <c r="L47" s="9"/>
      <c r="M47" s="9"/>
      <c r="N47" s="76"/>
      <c r="O47" s="85"/>
      <c r="P47" s="134"/>
      <c r="Q47" s="135"/>
    </row>
    <row r="48" spans="1:17" s="11" customFormat="1" x14ac:dyDescent="0.2">
      <c r="A48" s="9">
        <v>10</v>
      </c>
      <c r="B48" s="9"/>
      <c r="C48" s="9"/>
      <c r="D48" s="9" t="s">
        <v>148</v>
      </c>
      <c r="E48" s="57" t="s">
        <v>129</v>
      </c>
      <c r="F48" s="57"/>
      <c r="G48" s="58" t="s">
        <v>430</v>
      </c>
      <c r="H48" s="58" t="s">
        <v>313</v>
      </c>
      <c r="I48" s="9" t="s">
        <v>42</v>
      </c>
      <c r="J48" s="9"/>
      <c r="K48" s="9"/>
      <c r="L48" s="9"/>
      <c r="M48" s="9"/>
      <c r="N48" s="76"/>
      <c r="O48" s="85"/>
      <c r="P48" s="134"/>
      <c r="Q48" s="135"/>
    </row>
    <row r="49" spans="1:17" s="11" customFormat="1" x14ac:dyDescent="0.2">
      <c r="A49" s="9">
        <v>10</v>
      </c>
      <c r="B49" s="9"/>
      <c r="C49" s="9"/>
      <c r="D49" s="9" t="s">
        <v>149</v>
      </c>
      <c r="E49" s="57" t="s">
        <v>128</v>
      </c>
      <c r="F49" s="57"/>
      <c r="G49" s="58" t="s">
        <v>431</v>
      </c>
      <c r="H49" s="58" t="s">
        <v>314</v>
      </c>
      <c r="I49" s="9" t="s">
        <v>42</v>
      </c>
      <c r="J49" s="9"/>
      <c r="K49" s="9"/>
      <c r="L49" s="9"/>
      <c r="M49" s="9"/>
      <c r="N49" s="89"/>
      <c r="O49" s="90"/>
      <c r="P49" s="136"/>
      <c r="Q49" s="135"/>
    </row>
    <row r="50" spans="1:17" s="11" customFormat="1" x14ac:dyDescent="0.2">
      <c r="A50" s="9">
        <v>10</v>
      </c>
      <c r="B50" s="9"/>
      <c r="C50" s="9"/>
      <c r="D50" s="9" t="s">
        <v>150</v>
      </c>
      <c r="E50" s="57" t="s">
        <v>129</v>
      </c>
      <c r="F50" s="57"/>
      <c r="G50" s="58" t="s">
        <v>432</v>
      </c>
      <c r="H50" s="58" t="s">
        <v>315</v>
      </c>
      <c r="I50" s="9" t="s">
        <v>42</v>
      </c>
      <c r="J50" s="9"/>
      <c r="K50" s="9"/>
      <c r="L50" s="9"/>
      <c r="M50" s="9"/>
      <c r="N50" s="76"/>
      <c r="O50" s="85"/>
      <c r="P50" s="134"/>
      <c r="Q50" s="135"/>
    </row>
    <row r="51" spans="1:17" s="11" customFormat="1" x14ac:dyDescent="0.2">
      <c r="A51" s="109"/>
      <c r="Q51" s="64"/>
    </row>
    <row r="52" spans="1:17" s="11" customFormat="1" x14ac:dyDescent="0.2">
      <c r="A52" s="9">
        <v>20</v>
      </c>
      <c r="B52" s="40" t="s">
        <v>0</v>
      </c>
      <c r="C52" s="41"/>
      <c r="D52" s="30" t="s">
        <v>191</v>
      </c>
      <c r="E52" s="79" t="s">
        <v>43</v>
      </c>
      <c r="F52" s="91"/>
      <c r="G52" s="30"/>
      <c r="H52" s="81"/>
      <c r="I52" s="92"/>
      <c r="J52" s="93"/>
      <c r="K52" s="84"/>
      <c r="L52" s="84"/>
      <c r="M52" s="84" t="s">
        <v>23</v>
      </c>
      <c r="N52" s="71"/>
      <c r="O52" s="72"/>
      <c r="P52" s="102"/>
      <c r="Q52" s="104"/>
    </row>
    <row r="53" spans="1:17" s="11" customFormat="1" x14ac:dyDescent="0.2">
      <c r="A53" s="9">
        <v>20</v>
      </c>
      <c r="B53" s="9"/>
      <c r="C53" s="9"/>
      <c r="D53" s="9" t="s">
        <v>95</v>
      </c>
      <c r="E53" s="57" t="s">
        <v>68</v>
      </c>
      <c r="F53" s="57"/>
      <c r="G53" s="58" t="s">
        <v>401</v>
      </c>
      <c r="H53" s="58" t="s">
        <v>69</v>
      </c>
      <c r="I53" s="9"/>
      <c r="J53" s="9" t="s">
        <v>42</v>
      </c>
      <c r="K53" s="9"/>
      <c r="L53" s="9"/>
      <c r="M53" s="9" t="s">
        <v>42</v>
      </c>
      <c r="N53" s="76"/>
      <c r="O53" s="85"/>
      <c r="P53" s="134"/>
      <c r="Q53" s="135"/>
    </row>
    <row r="54" spans="1:17" s="11" customFormat="1" ht="26" x14ac:dyDescent="0.2">
      <c r="A54" s="9">
        <v>20</v>
      </c>
      <c r="B54" s="9"/>
      <c r="C54" s="9"/>
      <c r="D54" s="9" t="s">
        <v>166</v>
      </c>
      <c r="E54" s="57" t="s">
        <v>160</v>
      </c>
      <c r="F54" s="57"/>
      <c r="G54" s="58" t="s">
        <v>383</v>
      </c>
      <c r="H54" s="58" t="s">
        <v>284</v>
      </c>
      <c r="I54" s="9"/>
      <c r="J54" s="9" t="s">
        <v>42</v>
      </c>
      <c r="K54" s="9"/>
      <c r="L54" s="9"/>
      <c r="M54" s="9" t="s">
        <v>42</v>
      </c>
      <c r="N54" s="76"/>
      <c r="O54" s="85"/>
      <c r="P54" s="134"/>
      <c r="Q54" s="135"/>
    </row>
    <row r="55" spans="1:17" s="11" customFormat="1" ht="26" x14ac:dyDescent="0.2">
      <c r="A55" s="9">
        <v>20</v>
      </c>
      <c r="B55" s="9"/>
      <c r="C55" s="9"/>
      <c r="D55" s="9" t="s">
        <v>167</v>
      </c>
      <c r="E55" s="57" t="s">
        <v>168</v>
      </c>
      <c r="F55" s="57"/>
      <c r="G55" s="58" t="s">
        <v>405</v>
      </c>
      <c r="H55" s="58" t="s">
        <v>316</v>
      </c>
      <c r="I55" s="9"/>
      <c r="J55" s="9" t="s">
        <v>42</v>
      </c>
      <c r="K55" s="9"/>
      <c r="L55" s="9"/>
      <c r="M55" s="9" t="s">
        <v>42</v>
      </c>
      <c r="N55" s="76"/>
      <c r="O55" s="85"/>
      <c r="P55" s="134"/>
      <c r="Q55" s="135"/>
    </row>
    <row r="56" spans="1:17" s="11" customFormat="1" x14ac:dyDescent="0.2">
      <c r="A56" s="9">
        <v>20</v>
      </c>
      <c r="B56" s="9"/>
      <c r="C56" s="9"/>
      <c r="D56" s="9" t="s">
        <v>161</v>
      </c>
      <c r="E56" s="57" t="s">
        <v>119</v>
      </c>
      <c r="F56" s="57"/>
      <c r="G56" s="58" t="s">
        <v>384</v>
      </c>
      <c r="H56" s="58" t="s">
        <v>317</v>
      </c>
      <c r="I56" s="9"/>
      <c r="J56" s="9" t="s">
        <v>42</v>
      </c>
      <c r="K56" s="9"/>
      <c r="L56" s="9"/>
      <c r="M56" s="9" t="s">
        <v>42</v>
      </c>
      <c r="N56" s="76"/>
      <c r="O56" s="85"/>
      <c r="P56" s="134"/>
      <c r="Q56" s="135"/>
    </row>
    <row r="57" spans="1:17" s="11" customFormat="1" x14ac:dyDescent="0.2">
      <c r="A57" s="9">
        <v>20</v>
      </c>
      <c r="B57" s="9"/>
      <c r="C57" s="9"/>
      <c r="D57" s="9" t="s">
        <v>162</v>
      </c>
      <c r="E57" s="57" t="s">
        <v>120</v>
      </c>
      <c r="F57" s="57"/>
      <c r="G57" s="58" t="s">
        <v>385</v>
      </c>
      <c r="H57" s="58" t="s">
        <v>318</v>
      </c>
      <c r="I57" s="9"/>
      <c r="J57" s="9" t="s">
        <v>42</v>
      </c>
      <c r="K57" s="9"/>
      <c r="L57" s="9"/>
      <c r="M57" s="9" t="s">
        <v>42</v>
      </c>
      <c r="N57" s="76"/>
      <c r="O57" s="85"/>
      <c r="P57" s="134"/>
      <c r="Q57" s="137"/>
    </row>
    <row r="58" spans="1:17" s="11" customFormat="1" x14ac:dyDescent="0.2">
      <c r="A58" s="9">
        <v>20</v>
      </c>
      <c r="B58" s="9"/>
      <c r="C58" s="9"/>
      <c r="D58" s="9" t="s">
        <v>163</v>
      </c>
      <c r="E58" s="57" t="s">
        <v>121</v>
      </c>
      <c r="F58" s="57"/>
      <c r="G58" s="58" t="s">
        <v>386</v>
      </c>
      <c r="H58" s="58" t="s">
        <v>319</v>
      </c>
      <c r="I58" s="9"/>
      <c r="J58" s="9" t="s">
        <v>42</v>
      </c>
      <c r="K58" s="9"/>
      <c r="L58" s="9"/>
      <c r="M58" s="9" t="s">
        <v>42</v>
      </c>
      <c r="N58" s="76"/>
      <c r="O58" s="85"/>
      <c r="P58" s="134"/>
      <c r="Q58" s="135"/>
    </row>
    <row r="59" spans="1:17" s="11" customFormat="1" x14ac:dyDescent="0.2">
      <c r="A59" s="9">
        <v>20</v>
      </c>
      <c r="B59" s="9"/>
      <c r="C59" s="9"/>
      <c r="D59" s="9" t="s">
        <v>164</v>
      </c>
      <c r="E59" s="57" t="s">
        <v>122</v>
      </c>
      <c r="F59" s="57"/>
      <c r="G59" s="58" t="s">
        <v>387</v>
      </c>
      <c r="H59" s="58" t="s">
        <v>320</v>
      </c>
      <c r="I59" s="9"/>
      <c r="J59" s="9" t="s">
        <v>42</v>
      </c>
      <c r="K59" s="9"/>
      <c r="L59" s="9"/>
      <c r="M59" s="9" t="s">
        <v>42</v>
      </c>
      <c r="N59" s="76"/>
      <c r="O59" s="85"/>
      <c r="P59" s="134"/>
      <c r="Q59" s="137"/>
    </row>
    <row r="60" spans="1:17" s="11" customFormat="1" x14ac:dyDescent="0.2">
      <c r="A60" s="9">
        <v>20</v>
      </c>
      <c r="B60" s="9"/>
      <c r="C60" s="9"/>
      <c r="D60" s="9" t="s">
        <v>165</v>
      </c>
      <c r="E60" s="57" t="s">
        <v>130</v>
      </c>
      <c r="F60" s="57"/>
      <c r="G60" s="58" t="s">
        <v>410</v>
      </c>
      <c r="H60" s="58" t="s">
        <v>321</v>
      </c>
      <c r="I60" s="9"/>
      <c r="J60" s="9" t="s">
        <v>42</v>
      </c>
      <c r="K60" s="9"/>
      <c r="L60" s="9"/>
      <c r="M60" s="9" t="s">
        <v>42</v>
      </c>
      <c r="N60" s="76"/>
      <c r="O60" s="85"/>
      <c r="P60" s="134"/>
      <c r="Q60" s="135"/>
    </row>
    <row r="61" spans="1:17" s="11" customFormat="1" x14ac:dyDescent="0.2">
      <c r="A61" s="9">
        <v>20</v>
      </c>
      <c r="B61" s="9"/>
      <c r="C61" s="9"/>
      <c r="D61" s="9" t="s">
        <v>153</v>
      </c>
      <c r="E61" s="57" t="s">
        <v>154</v>
      </c>
      <c r="F61" s="57"/>
      <c r="G61" s="58" t="s">
        <v>407</v>
      </c>
      <c r="H61" s="58" t="s">
        <v>322</v>
      </c>
      <c r="I61" s="9"/>
      <c r="J61" s="9" t="s">
        <v>42</v>
      </c>
      <c r="K61" s="9" t="s">
        <v>323</v>
      </c>
      <c r="L61" s="9"/>
      <c r="M61" s="9" t="s">
        <v>42</v>
      </c>
      <c r="N61" s="76"/>
      <c r="O61" s="85"/>
      <c r="P61" s="102"/>
      <c r="Q61" s="103"/>
    </row>
    <row r="62" spans="1:17" s="11" customFormat="1" x14ac:dyDescent="0.2">
      <c r="A62" s="9">
        <v>20</v>
      </c>
      <c r="B62" s="9"/>
      <c r="C62" s="9"/>
      <c r="D62" s="9" t="s">
        <v>220</v>
      </c>
      <c r="E62" s="57" t="s">
        <v>221</v>
      </c>
      <c r="F62" s="57"/>
      <c r="G62" s="58" t="s">
        <v>433</v>
      </c>
      <c r="H62" s="58" t="s">
        <v>324</v>
      </c>
      <c r="I62" s="9"/>
      <c r="J62" s="9" t="s">
        <v>42</v>
      </c>
      <c r="K62" s="9"/>
      <c r="L62" s="9"/>
      <c r="M62" s="9"/>
      <c r="N62" s="76"/>
      <c r="O62" s="85"/>
      <c r="P62" s="102"/>
      <c r="Q62" s="103"/>
    </row>
    <row r="63" spans="1:17" s="11" customFormat="1" x14ac:dyDescent="0.2">
      <c r="A63" s="9">
        <v>20</v>
      </c>
      <c r="B63" s="9"/>
      <c r="C63" s="9"/>
      <c r="D63" s="9" t="s">
        <v>155</v>
      </c>
      <c r="E63" s="57" t="s">
        <v>156</v>
      </c>
      <c r="F63" s="57"/>
      <c r="G63" s="58" t="s">
        <v>408</v>
      </c>
      <c r="H63" s="58" t="s">
        <v>325</v>
      </c>
      <c r="I63" s="9"/>
      <c r="J63" s="9" t="s">
        <v>42</v>
      </c>
      <c r="K63" s="9"/>
      <c r="L63" s="9"/>
      <c r="M63" s="9" t="s">
        <v>42</v>
      </c>
      <c r="N63" s="76"/>
      <c r="O63" s="85"/>
      <c r="P63" s="102"/>
      <c r="Q63" s="103"/>
    </row>
    <row r="64" spans="1:17" s="11" customFormat="1" x14ac:dyDescent="0.2">
      <c r="A64" s="9">
        <v>20</v>
      </c>
      <c r="B64" s="9"/>
      <c r="C64" s="9"/>
      <c r="D64" s="9" t="s">
        <v>157</v>
      </c>
      <c r="E64" s="57" t="s">
        <v>158</v>
      </c>
      <c r="F64" s="57"/>
      <c r="G64" s="58" t="s">
        <v>409</v>
      </c>
      <c r="H64" s="58" t="s">
        <v>326</v>
      </c>
      <c r="I64" s="9"/>
      <c r="J64" s="9" t="s">
        <v>42</v>
      </c>
      <c r="K64" s="9"/>
      <c r="L64" s="9"/>
      <c r="M64" s="9" t="s">
        <v>42</v>
      </c>
      <c r="N64" s="76"/>
      <c r="O64" s="85"/>
      <c r="P64" s="102"/>
      <c r="Q64" s="103"/>
    </row>
    <row r="65" spans="1:17" s="11" customFormat="1" x14ac:dyDescent="0.2">
      <c r="A65" s="9">
        <v>20</v>
      </c>
      <c r="B65" s="9"/>
      <c r="C65" s="9"/>
      <c r="D65" s="9" t="s">
        <v>192</v>
      </c>
      <c r="E65" s="57" t="s">
        <v>212</v>
      </c>
      <c r="F65" s="57"/>
      <c r="G65" s="58" t="s">
        <v>388</v>
      </c>
      <c r="H65" s="58" t="s">
        <v>255</v>
      </c>
      <c r="I65" s="9"/>
      <c r="J65" s="9" t="s">
        <v>42</v>
      </c>
      <c r="K65" s="9"/>
      <c r="L65" s="9"/>
      <c r="M65" s="9" t="s">
        <v>42</v>
      </c>
      <c r="N65" s="76"/>
      <c r="O65" s="85"/>
      <c r="P65" s="134"/>
      <c r="Q65" s="135"/>
    </row>
    <row r="66" spans="1:17" s="11" customFormat="1" x14ac:dyDescent="0.2">
      <c r="A66" s="9">
        <v>20</v>
      </c>
      <c r="B66" s="9"/>
      <c r="C66" s="9"/>
      <c r="D66" s="9" t="s">
        <v>193</v>
      </c>
      <c r="E66" s="57" t="s">
        <v>213</v>
      </c>
      <c r="F66" s="57"/>
      <c r="G66" s="58" t="s">
        <v>406</v>
      </c>
      <c r="H66" s="58" t="s">
        <v>289</v>
      </c>
      <c r="I66" s="9"/>
      <c r="J66" s="9" t="s">
        <v>42</v>
      </c>
      <c r="K66" s="9"/>
      <c r="L66" s="9"/>
      <c r="M66" s="9" t="s">
        <v>42</v>
      </c>
      <c r="N66" s="76"/>
      <c r="O66" s="85"/>
      <c r="P66" s="134"/>
      <c r="Q66" s="135"/>
    </row>
    <row r="67" spans="1:17" s="11" customFormat="1" x14ac:dyDescent="0.2">
      <c r="A67" s="9">
        <v>20</v>
      </c>
      <c r="B67" s="9"/>
      <c r="C67" s="9"/>
      <c r="D67" s="9" t="s">
        <v>229</v>
      </c>
      <c r="E67" s="57" t="s">
        <v>206</v>
      </c>
      <c r="F67" s="57"/>
      <c r="G67" s="58" t="s">
        <v>389</v>
      </c>
      <c r="H67" s="58" t="s">
        <v>256</v>
      </c>
      <c r="I67" s="9"/>
      <c r="J67" s="9" t="s">
        <v>42</v>
      </c>
      <c r="K67" s="9"/>
      <c r="L67" s="9"/>
      <c r="M67" s="9" t="s">
        <v>42</v>
      </c>
      <c r="N67" s="76"/>
      <c r="O67" s="85"/>
      <c r="P67" s="134"/>
      <c r="Q67" s="135"/>
    </row>
    <row r="68" spans="1:17" s="11" customFormat="1" x14ac:dyDescent="0.2">
      <c r="A68" s="9">
        <v>20</v>
      </c>
      <c r="B68" s="9"/>
      <c r="C68" s="9"/>
      <c r="D68" s="9" t="s">
        <v>195</v>
      </c>
      <c r="E68" s="57" t="s">
        <v>207</v>
      </c>
      <c r="F68" s="57"/>
      <c r="G68" s="58" t="s">
        <v>434</v>
      </c>
      <c r="H68" s="58" t="s">
        <v>327</v>
      </c>
      <c r="I68" s="9"/>
      <c r="J68" s="9" t="s">
        <v>42</v>
      </c>
      <c r="K68" s="9"/>
      <c r="L68" s="9"/>
      <c r="M68" s="9" t="s">
        <v>42</v>
      </c>
      <c r="N68" s="76"/>
      <c r="O68" s="85"/>
      <c r="P68" s="134"/>
      <c r="Q68" s="135"/>
    </row>
    <row r="69" spans="1:17" s="11" customFormat="1" ht="26" x14ac:dyDescent="0.2">
      <c r="A69" s="9">
        <v>20</v>
      </c>
      <c r="B69" s="9"/>
      <c r="C69" s="9"/>
      <c r="D69" s="9" t="s">
        <v>224</v>
      </c>
      <c r="E69" s="57" t="s">
        <v>160</v>
      </c>
      <c r="F69" s="57"/>
      <c r="G69" s="58" t="s">
        <v>390</v>
      </c>
      <c r="H69" s="58" t="s">
        <v>328</v>
      </c>
      <c r="I69" s="9"/>
      <c r="J69" s="9" t="s">
        <v>42</v>
      </c>
      <c r="K69" s="9"/>
      <c r="L69" s="9"/>
      <c r="M69" s="9" t="s">
        <v>42</v>
      </c>
      <c r="N69" s="76"/>
      <c r="O69" s="85"/>
      <c r="P69" s="134"/>
      <c r="Q69" s="135"/>
    </row>
    <row r="70" spans="1:17" s="11" customFormat="1" x14ac:dyDescent="0.2">
      <c r="A70" s="9">
        <v>20</v>
      </c>
      <c r="B70" s="9"/>
      <c r="C70" s="9"/>
      <c r="D70" s="9" t="s">
        <v>196</v>
      </c>
      <c r="E70" s="57" t="s">
        <v>206</v>
      </c>
      <c r="F70" s="57"/>
      <c r="G70" s="58" t="s">
        <v>391</v>
      </c>
      <c r="H70" s="58" t="s">
        <v>261</v>
      </c>
      <c r="I70" s="9"/>
      <c r="J70" s="9" t="s">
        <v>42</v>
      </c>
      <c r="K70" s="9"/>
      <c r="L70" s="9"/>
      <c r="M70" s="9" t="s">
        <v>42</v>
      </c>
      <c r="N70" s="76"/>
      <c r="O70" s="85"/>
      <c r="P70" s="134"/>
      <c r="Q70" s="135"/>
    </row>
    <row r="71" spans="1:17" s="11" customFormat="1" x14ac:dyDescent="0.2">
      <c r="A71" s="9">
        <v>20</v>
      </c>
      <c r="B71" s="9"/>
      <c r="C71" s="9"/>
      <c r="D71" s="9" t="s">
        <v>197</v>
      </c>
      <c r="E71" s="57" t="s">
        <v>207</v>
      </c>
      <c r="F71" s="57"/>
      <c r="G71" s="58" t="s">
        <v>435</v>
      </c>
      <c r="H71" s="58" t="s">
        <v>329</v>
      </c>
      <c r="I71" s="9"/>
      <c r="J71" s="9" t="s">
        <v>42</v>
      </c>
      <c r="K71" s="9"/>
      <c r="L71" s="9"/>
      <c r="M71" s="9" t="s">
        <v>42</v>
      </c>
      <c r="N71" s="76"/>
      <c r="O71" s="85"/>
      <c r="P71" s="134"/>
      <c r="Q71" s="135"/>
    </row>
    <row r="72" spans="1:17" s="11" customFormat="1" x14ac:dyDescent="0.2">
      <c r="A72" s="9">
        <v>20</v>
      </c>
      <c r="B72" s="9"/>
      <c r="C72" s="9"/>
      <c r="D72" s="9" t="s">
        <v>198</v>
      </c>
      <c r="E72" s="57" t="s">
        <v>208</v>
      </c>
      <c r="F72" s="57"/>
      <c r="G72" s="58" t="s">
        <v>392</v>
      </c>
      <c r="H72" s="58" t="s">
        <v>264</v>
      </c>
      <c r="I72" s="9"/>
      <c r="J72" s="9" t="s">
        <v>42</v>
      </c>
      <c r="K72" s="9"/>
      <c r="L72" s="9"/>
      <c r="M72" s="9" t="s">
        <v>42</v>
      </c>
      <c r="N72" s="76"/>
      <c r="O72" s="85"/>
      <c r="P72" s="134"/>
      <c r="Q72" s="135"/>
    </row>
    <row r="73" spans="1:17" s="11" customFormat="1" x14ac:dyDescent="0.2">
      <c r="A73" s="9">
        <v>20</v>
      </c>
      <c r="B73" s="9"/>
      <c r="C73" s="9"/>
      <c r="D73" s="9" t="s">
        <v>199</v>
      </c>
      <c r="E73" s="57" t="s">
        <v>209</v>
      </c>
      <c r="F73" s="57"/>
      <c r="G73" s="58" t="s">
        <v>436</v>
      </c>
      <c r="H73" s="58" t="s">
        <v>330</v>
      </c>
      <c r="I73" s="9"/>
      <c r="J73" s="9" t="s">
        <v>42</v>
      </c>
      <c r="K73" s="9"/>
      <c r="L73" s="9"/>
      <c r="M73" s="9" t="s">
        <v>42</v>
      </c>
      <c r="N73" s="76"/>
      <c r="O73" s="85"/>
      <c r="P73" s="134"/>
      <c r="Q73" s="135"/>
    </row>
    <row r="74" spans="1:17" s="11" customFormat="1" x14ac:dyDescent="0.2">
      <c r="A74" s="9">
        <v>20</v>
      </c>
      <c r="B74" s="9"/>
      <c r="C74" s="9"/>
      <c r="D74" s="9" t="s">
        <v>200</v>
      </c>
      <c r="E74" s="57" t="s">
        <v>208</v>
      </c>
      <c r="F74" s="57"/>
      <c r="G74" s="58" t="s">
        <v>393</v>
      </c>
      <c r="H74" s="58" t="s">
        <v>268</v>
      </c>
      <c r="I74" s="9"/>
      <c r="J74" s="9" t="s">
        <v>42</v>
      </c>
      <c r="K74" s="9"/>
      <c r="L74" s="9"/>
      <c r="M74" s="9" t="s">
        <v>42</v>
      </c>
      <c r="N74" s="76"/>
      <c r="O74" s="85"/>
      <c r="P74" s="134"/>
      <c r="Q74" s="135"/>
    </row>
    <row r="75" spans="1:17" s="11" customFormat="1" x14ac:dyDescent="0.2">
      <c r="A75" s="9">
        <v>20</v>
      </c>
      <c r="B75" s="9"/>
      <c r="C75" s="9"/>
      <c r="D75" s="9" t="s">
        <v>201</v>
      </c>
      <c r="E75" s="57" t="s">
        <v>209</v>
      </c>
      <c r="F75" s="57"/>
      <c r="G75" s="58" t="s">
        <v>437</v>
      </c>
      <c r="H75" s="58" t="s">
        <v>331</v>
      </c>
      <c r="I75" s="9"/>
      <c r="J75" s="9" t="s">
        <v>42</v>
      </c>
      <c r="K75" s="9"/>
      <c r="L75" s="9"/>
      <c r="M75" s="9" t="s">
        <v>42</v>
      </c>
      <c r="N75" s="76"/>
      <c r="O75" s="85"/>
      <c r="P75" s="134"/>
      <c r="Q75" s="135"/>
    </row>
    <row r="76" spans="1:17" s="11" customFormat="1" x14ac:dyDescent="0.2">
      <c r="A76" s="9">
        <v>20</v>
      </c>
      <c r="B76" s="9"/>
      <c r="C76" s="9"/>
      <c r="D76" s="9" t="s">
        <v>202</v>
      </c>
      <c r="E76" s="57" t="s">
        <v>206</v>
      </c>
      <c r="F76" s="57"/>
      <c r="G76" s="58" t="s">
        <v>394</v>
      </c>
      <c r="H76" s="58" t="s">
        <v>270</v>
      </c>
      <c r="I76" s="9"/>
      <c r="J76" s="9" t="s">
        <v>42</v>
      </c>
      <c r="K76" s="9"/>
      <c r="L76" s="9"/>
      <c r="M76" s="9" t="s">
        <v>42</v>
      </c>
      <c r="N76" s="76"/>
      <c r="O76" s="85"/>
      <c r="P76" s="134"/>
      <c r="Q76" s="135"/>
    </row>
    <row r="77" spans="1:17" s="11" customFormat="1" x14ac:dyDescent="0.2">
      <c r="A77" s="9">
        <v>20</v>
      </c>
      <c r="B77" s="9"/>
      <c r="C77" s="9"/>
      <c r="D77" s="9" t="s">
        <v>203</v>
      </c>
      <c r="E77" s="57" t="s">
        <v>207</v>
      </c>
      <c r="F77" s="57"/>
      <c r="G77" s="58" t="s">
        <v>438</v>
      </c>
      <c r="H77" s="58" t="s">
        <v>332</v>
      </c>
      <c r="I77" s="9"/>
      <c r="J77" s="9" t="s">
        <v>42</v>
      </c>
      <c r="K77" s="9"/>
      <c r="L77" s="9"/>
      <c r="M77" s="9" t="s">
        <v>42</v>
      </c>
      <c r="N77" s="76"/>
      <c r="O77" s="85"/>
      <c r="P77" s="134"/>
      <c r="Q77" s="135"/>
    </row>
    <row r="78" spans="1:17" s="11" customFormat="1" ht="26" x14ac:dyDescent="0.2">
      <c r="A78" s="9">
        <v>20</v>
      </c>
      <c r="B78" s="9"/>
      <c r="C78" s="9"/>
      <c r="D78" s="9" t="s">
        <v>204</v>
      </c>
      <c r="E78" s="57" t="s">
        <v>210</v>
      </c>
      <c r="F78" s="57"/>
      <c r="G78" s="58" t="s">
        <v>396</v>
      </c>
      <c r="H78" s="58" t="s">
        <v>274</v>
      </c>
      <c r="I78" s="9"/>
      <c r="J78" s="9" t="s">
        <v>42</v>
      </c>
      <c r="K78" s="9"/>
      <c r="L78" s="9"/>
      <c r="M78" s="9" t="s">
        <v>42</v>
      </c>
      <c r="N78" s="76"/>
      <c r="O78" s="85"/>
      <c r="P78" s="134"/>
      <c r="Q78" s="135"/>
    </row>
    <row r="79" spans="1:17" s="11" customFormat="1" ht="26" x14ac:dyDescent="0.2">
      <c r="A79" s="9">
        <v>20</v>
      </c>
      <c r="B79" s="9"/>
      <c r="C79" s="9"/>
      <c r="D79" s="9" t="s">
        <v>205</v>
      </c>
      <c r="E79" s="57" t="s">
        <v>211</v>
      </c>
      <c r="F79" s="57"/>
      <c r="G79" s="58" t="s">
        <v>397</v>
      </c>
      <c r="H79" s="58" t="s">
        <v>276</v>
      </c>
      <c r="I79" s="9"/>
      <c r="J79" s="9" t="s">
        <v>42</v>
      </c>
      <c r="K79" s="9"/>
      <c r="L79" s="9"/>
      <c r="M79" s="9" t="s">
        <v>42</v>
      </c>
      <c r="N79" s="76"/>
      <c r="O79" s="85"/>
      <c r="P79" s="134"/>
      <c r="Q79" s="135"/>
    </row>
    <row r="80" spans="1:17" s="11" customFormat="1" x14ac:dyDescent="0.2">
      <c r="A80" s="9">
        <v>20</v>
      </c>
      <c r="B80" s="9"/>
      <c r="C80" s="9"/>
      <c r="D80" s="9" t="s">
        <v>56</v>
      </c>
      <c r="E80" s="57" t="s">
        <v>58</v>
      </c>
      <c r="F80" s="57"/>
      <c r="G80" s="58" t="s">
        <v>398</v>
      </c>
      <c r="H80" s="58" t="s">
        <v>277</v>
      </c>
      <c r="I80" s="9"/>
      <c r="J80" s="9" t="s">
        <v>42</v>
      </c>
      <c r="K80" s="9"/>
      <c r="L80" s="9"/>
      <c r="M80" s="9" t="s">
        <v>42</v>
      </c>
      <c r="N80" s="76"/>
      <c r="O80" s="85"/>
      <c r="P80" s="134"/>
      <c r="Q80" s="135"/>
    </row>
    <row r="81" spans="1:17" s="11" customFormat="1" x14ac:dyDescent="0.2">
      <c r="A81" s="9">
        <v>20</v>
      </c>
      <c r="B81" s="9"/>
      <c r="C81" s="9"/>
      <c r="D81" s="9" t="s">
        <v>64</v>
      </c>
      <c r="E81" s="57" t="s">
        <v>65</v>
      </c>
      <c r="F81" s="57"/>
      <c r="G81" s="58" t="s">
        <v>399</v>
      </c>
      <c r="H81" s="58" t="s">
        <v>278</v>
      </c>
      <c r="I81" s="9"/>
      <c r="J81" s="9" t="s">
        <v>42</v>
      </c>
      <c r="K81" s="9"/>
      <c r="L81" s="9"/>
      <c r="M81" s="9" t="s">
        <v>42</v>
      </c>
      <c r="N81" s="76"/>
      <c r="O81" s="85"/>
      <c r="P81" s="134"/>
      <c r="Q81" s="135"/>
    </row>
    <row r="82" spans="1:17" s="11" customFormat="1" x14ac:dyDescent="0.2">
      <c r="A82" s="9">
        <v>20</v>
      </c>
      <c r="B82" s="9"/>
      <c r="C82" s="9"/>
      <c r="D82" s="9" t="s">
        <v>60</v>
      </c>
      <c r="E82" s="57" t="s">
        <v>62</v>
      </c>
      <c r="F82" s="57"/>
      <c r="G82" s="58" t="s">
        <v>400</v>
      </c>
      <c r="H82" s="58" t="s">
        <v>279</v>
      </c>
      <c r="I82" s="9"/>
      <c r="J82" s="9" t="s">
        <v>42</v>
      </c>
      <c r="K82" s="9"/>
      <c r="L82" s="9"/>
      <c r="M82" s="9" t="s">
        <v>42</v>
      </c>
      <c r="N82" s="76"/>
      <c r="O82" s="85"/>
      <c r="P82" s="134"/>
      <c r="Q82" s="135"/>
    </row>
    <row r="83" spans="1:17" s="11" customFormat="1" x14ac:dyDescent="0.2">
      <c r="A83" s="9">
        <v>20</v>
      </c>
      <c r="B83" s="9"/>
      <c r="C83" s="9"/>
      <c r="D83" s="9" t="s">
        <v>345</v>
      </c>
      <c r="E83" s="57" t="s">
        <v>172</v>
      </c>
      <c r="F83" s="57"/>
      <c r="G83" s="58" t="s">
        <v>439</v>
      </c>
      <c r="H83" s="58" t="s">
        <v>333</v>
      </c>
      <c r="I83" s="9"/>
      <c r="J83" s="9" t="s">
        <v>42</v>
      </c>
      <c r="K83" s="9"/>
      <c r="L83" s="9"/>
      <c r="M83" s="9" t="s">
        <v>42</v>
      </c>
      <c r="N83" s="76"/>
      <c r="O83" s="85"/>
      <c r="P83" s="134"/>
      <c r="Q83" s="135"/>
    </row>
    <row r="84" spans="1:17" s="11" customFormat="1" x14ac:dyDescent="0.2">
      <c r="A84" s="9">
        <v>20</v>
      </c>
      <c r="B84" s="9"/>
      <c r="C84" s="9"/>
      <c r="D84" s="9" t="s">
        <v>49</v>
      </c>
      <c r="E84" s="57" t="s">
        <v>173</v>
      </c>
      <c r="F84" s="57"/>
      <c r="G84" s="58" t="s">
        <v>440</v>
      </c>
      <c r="H84" s="58" t="s">
        <v>334</v>
      </c>
      <c r="I84" s="9"/>
      <c r="J84" s="9" t="s">
        <v>42</v>
      </c>
      <c r="K84" s="9"/>
      <c r="L84" s="9"/>
      <c r="M84" s="9" t="s">
        <v>42</v>
      </c>
      <c r="N84" s="76"/>
      <c r="O84" s="85"/>
      <c r="P84" s="134"/>
      <c r="Q84" s="135"/>
    </row>
    <row r="85" spans="1:17" s="11" customFormat="1" x14ac:dyDescent="0.2">
      <c r="A85" s="9">
        <v>20</v>
      </c>
      <c r="B85" s="9"/>
      <c r="C85" s="9"/>
      <c r="D85" s="9" t="s">
        <v>14</v>
      </c>
      <c r="E85" s="57" t="s">
        <v>66</v>
      </c>
      <c r="F85" s="57"/>
      <c r="G85" s="58" t="s">
        <v>441</v>
      </c>
      <c r="H85" s="58" t="s">
        <v>335</v>
      </c>
      <c r="I85" s="9"/>
      <c r="J85" s="9" t="s">
        <v>42</v>
      </c>
      <c r="K85" s="9"/>
      <c r="L85" s="9"/>
      <c r="M85" s="9" t="s">
        <v>42</v>
      </c>
      <c r="N85" s="76"/>
      <c r="O85" s="85"/>
      <c r="P85" s="134"/>
      <c r="Q85" s="135"/>
    </row>
    <row r="86" spans="1:17" s="11" customFormat="1" x14ac:dyDescent="0.2">
      <c r="A86" s="9">
        <v>20</v>
      </c>
      <c r="B86" s="9"/>
      <c r="C86" s="9"/>
      <c r="D86" s="9" t="s">
        <v>70</v>
      </c>
      <c r="E86" s="57" t="s">
        <v>76</v>
      </c>
      <c r="F86" s="57"/>
      <c r="G86" s="58" t="s">
        <v>442</v>
      </c>
      <c r="H86" s="58" t="s">
        <v>71</v>
      </c>
      <c r="I86" s="9"/>
      <c r="J86" s="9" t="s">
        <v>42</v>
      </c>
      <c r="K86" s="9"/>
      <c r="L86" s="9"/>
      <c r="M86" s="9" t="s">
        <v>42</v>
      </c>
      <c r="N86" s="76"/>
      <c r="O86" s="85"/>
      <c r="P86" s="134"/>
      <c r="Q86" s="135"/>
    </row>
    <row r="87" spans="1:17" s="11" customFormat="1" x14ac:dyDescent="0.2">
      <c r="A87" s="9">
        <v>20</v>
      </c>
      <c r="B87" s="9"/>
      <c r="C87" s="9"/>
      <c r="D87" s="9" t="s">
        <v>77</v>
      </c>
      <c r="E87" s="57" t="s">
        <v>78</v>
      </c>
      <c r="F87" s="57"/>
      <c r="G87" s="58" t="s">
        <v>443</v>
      </c>
      <c r="H87" s="58" t="s">
        <v>80</v>
      </c>
      <c r="I87" s="9"/>
      <c r="J87" s="9" t="s">
        <v>42</v>
      </c>
      <c r="K87" s="9"/>
      <c r="L87" s="9"/>
      <c r="M87" s="9"/>
      <c r="N87" s="76"/>
      <c r="O87" s="85"/>
      <c r="P87" s="134"/>
      <c r="Q87" s="135"/>
    </row>
    <row r="88" spans="1:17" s="11" customFormat="1" x14ac:dyDescent="0.2">
      <c r="A88" s="9">
        <v>20</v>
      </c>
      <c r="B88" s="9"/>
      <c r="C88" s="9"/>
      <c r="D88" s="9" t="s">
        <v>99</v>
      </c>
      <c r="E88" s="57" t="s">
        <v>100</v>
      </c>
      <c r="F88" s="57"/>
      <c r="G88" s="58" t="s">
        <v>402</v>
      </c>
      <c r="H88" s="58" t="s">
        <v>101</v>
      </c>
      <c r="I88" s="9"/>
      <c r="J88" s="9" t="s">
        <v>42</v>
      </c>
      <c r="K88" s="9"/>
      <c r="L88" s="9"/>
      <c r="M88" s="9" t="s">
        <v>42</v>
      </c>
      <c r="N88" s="76"/>
      <c r="O88" s="85"/>
      <c r="P88" s="134"/>
      <c r="Q88" s="135"/>
    </row>
    <row r="89" spans="1:17" s="11" customFormat="1" x14ac:dyDescent="0.2">
      <c r="A89" s="9">
        <v>20</v>
      </c>
      <c r="B89" s="9"/>
      <c r="C89" s="9"/>
      <c r="D89" s="9" t="s">
        <v>346</v>
      </c>
      <c r="E89" s="57" t="s">
        <v>172</v>
      </c>
      <c r="F89" s="57"/>
      <c r="G89" s="58" t="s">
        <v>444</v>
      </c>
      <c r="H89" s="58" t="s">
        <v>336</v>
      </c>
      <c r="I89" s="9"/>
      <c r="J89" s="9" t="s">
        <v>42</v>
      </c>
      <c r="K89" s="9"/>
      <c r="L89" s="9"/>
      <c r="M89" s="9" t="s">
        <v>42</v>
      </c>
      <c r="N89" s="76"/>
      <c r="O89" s="85"/>
      <c r="P89" s="134"/>
      <c r="Q89" s="135"/>
    </row>
    <row r="90" spans="1:17" s="11" customFormat="1" x14ac:dyDescent="0.2">
      <c r="A90" s="9">
        <v>20</v>
      </c>
      <c r="B90" s="9"/>
      <c r="C90" s="9"/>
      <c r="D90" s="9" t="s">
        <v>50</v>
      </c>
      <c r="E90" s="57" t="s">
        <v>173</v>
      </c>
      <c r="F90" s="57"/>
      <c r="G90" s="58" t="s">
        <v>445</v>
      </c>
      <c r="H90" s="58" t="s">
        <v>337</v>
      </c>
      <c r="I90" s="9"/>
      <c r="J90" s="9" t="s">
        <v>42</v>
      </c>
      <c r="K90" s="9"/>
      <c r="L90" s="9"/>
      <c r="M90" s="9" t="s">
        <v>42</v>
      </c>
      <c r="N90" s="76"/>
      <c r="O90" s="85"/>
      <c r="P90" s="134"/>
      <c r="Q90" s="135"/>
    </row>
    <row r="91" spans="1:17" s="11" customFormat="1" x14ac:dyDescent="0.2">
      <c r="A91" s="9">
        <v>20</v>
      </c>
      <c r="B91" s="9"/>
      <c r="C91" s="9"/>
      <c r="D91" s="9" t="s">
        <v>15</v>
      </c>
      <c r="E91" s="57" t="s">
        <v>347</v>
      </c>
      <c r="F91" s="57"/>
      <c r="G91" s="58" t="s">
        <v>446</v>
      </c>
      <c r="H91" s="58" t="s">
        <v>338</v>
      </c>
      <c r="I91" s="9"/>
      <c r="J91" s="9" t="s">
        <v>42</v>
      </c>
      <c r="K91" s="9"/>
      <c r="L91" s="9"/>
      <c r="M91" s="9" t="s">
        <v>42</v>
      </c>
      <c r="N91" s="76"/>
      <c r="O91" s="85"/>
      <c r="P91" s="134"/>
      <c r="Q91" s="135"/>
    </row>
    <row r="92" spans="1:17" s="11" customFormat="1" x14ac:dyDescent="0.2">
      <c r="A92" s="9">
        <v>20</v>
      </c>
      <c r="B92" s="9"/>
      <c r="C92" s="9"/>
      <c r="D92" s="9" t="s">
        <v>72</v>
      </c>
      <c r="E92" s="57" t="s">
        <v>76</v>
      </c>
      <c r="F92" s="57"/>
      <c r="G92" s="58" t="s">
        <v>447</v>
      </c>
      <c r="H92" s="58" t="s">
        <v>73</v>
      </c>
      <c r="I92" s="9"/>
      <c r="J92" s="9" t="s">
        <v>42</v>
      </c>
      <c r="K92" s="9"/>
      <c r="L92" s="9"/>
      <c r="M92" s="9" t="s">
        <v>42</v>
      </c>
      <c r="N92" s="76"/>
      <c r="O92" s="85"/>
      <c r="P92" s="134"/>
      <c r="Q92" s="135"/>
    </row>
    <row r="93" spans="1:17" s="11" customFormat="1" x14ac:dyDescent="0.2">
      <c r="A93" s="9">
        <v>20</v>
      </c>
      <c r="B93" s="9"/>
      <c r="C93" s="9"/>
      <c r="D93" s="9" t="s">
        <v>79</v>
      </c>
      <c r="E93" s="57" t="s">
        <v>78</v>
      </c>
      <c r="F93" s="57"/>
      <c r="G93" s="58" t="s">
        <v>448</v>
      </c>
      <c r="H93" s="58" t="s">
        <v>81</v>
      </c>
      <c r="I93" s="9"/>
      <c r="J93" s="9" t="s">
        <v>42</v>
      </c>
      <c r="K93" s="9"/>
      <c r="L93" s="9"/>
      <c r="M93" s="9"/>
      <c r="N93" s="76"/>
      <c r="O93" s="85"/>
      <c r="P93" s="134"/>
      <c r="Q93" s="135"/>
    </row>
    <row r="94" spans="1:17" s="11" customFormat="1" x14ac:dyDescent="0.2">
      <c r="A94" s="9">
        <v>20</v>
      </c>
      <c r="B94" s="9"/>
      <c r="C94" s="9"/>
      <c r="D94" s="9" t="s">
        <v>82</v>
      </c>
      <c r="E94" s="57" t="s">
        <v>74</v>
      </c>
      <c r="F94" s="57"/>
      <c r="G94" s="58" t="s">
        <v>449</v>
      </c>
      <c r="H94" s="58" t="s">
        <v>339</v>
      </c>
      <c r="I94" s="9"/>
      <c r="J94" s="9" t="s">
        <v>42</v>
      </c>
      <c r="K94" s="9"/>
      <c r="L94" s="9"/>
      <c r="M94" s="9" t="s">
        <v>42</v>
      </c>
      <c r="N94" s="76"/>
      <c r="O94" s="85"/>
      <c r="P94" s="134"/>
      <c r="Q94" s="135"/>
    </row>
    <row r="95" spans="1:17" s="11" customFormat="1" x14ac:dyDescent="0.2">
      <c r="A95" s="9">
        <v>20</v>
      </c>
      <c r="B95" s="9"/>
      <c r="C95" s="9"/>
      <c r="D95" s="9" t="s">
        <v>96</v>
      </c>
      <c r="E95" s="57" t="s">
        <v>172</v>
      </c>
      <c r="F95" s="57"/>
      <c r="G95" s="58" t="s">
        <v>450</v>
      </c>
      <c r="H95" s="58" t="s">
        <v>340</v>
      </c>
      <c r="I95" s="9"/>
      <c r="J95" s="9" t="s">
        <v>42</v>
      </c>
      <c r="K95" s="9"/>
      <c r="L95" s="9"/>
      <c r="M95" s="9" t="s">
        <v>42</v>
      </c>
      <c r="N95" s="76"/>
      <c r="O95" s="85"/>
      <c r="P95" s="134"/>
      <c r="Q95" s="135"/>
    </row>
    <row r="96" spans="1:17" s="11" customFormat="1" x14ac:dyDescent="0.2">
      <c r="A96" s="9">
        <v>20</v>
      </c>
      <c r="B96" s="9"/>
      <c r="C96" s="9"/>
      <c r="D96" s="9" t="s">
        <v>97</v>
      </c>
      <c r="E96" s="57" t="s">
        <v>173</v>
      </c>
      <c r="F96" s="57"/>
      <c r="G96" s="58" t="s">
        <v>451</v>
      </c>
      <c r="H96" s="58" t="s">
        <v>341</v>
      </c>
      <c r="I96" s="9"/>
      <c r="J96" s="9" t="s">
        <v>42</v>
      </c>
      <c r="K96" s="9"/>
      <c r="L96" s="9"/>
      <c r="M96" s="9" t="s">
        <v>42</v>
      </c>
      <c r="N96" s="76"/>
      <c r="O96" s="85"/>
      <c r="P96" s="134"/>
      <c r="Q96" s="135"/>
    </row>
    <row r="97" spans="1:17" s="11" customFormat="1" x14ac:dyDescent="0.2">
      <c r="A97" s="9">
        <v>20</v>
      </c>
      <c r="B97" s="9"/>
      <c r="C97" s="9"/>
      <c r="D97" s="9" t="s">
        <v>98</v>
      </c>
      <c r="E97" s="57" t="s">
        <v>75</v>
      </c>
      <c r="F97" s="57"/>
      <c r="G97" s="58" t="s">
        <v>452</v>
      </c>
      <c r="H97" s="58" t="s">
        <v>342</v>
      </c>
      <c r="I97" s="9"/>
      <c r="J97" s="9" t="s">
        <v>42</v>
      </c>
      <c r="K97" s="9"/>
      <c r="L97" s="9"/>
      <c r="M97" s="9" t="s">
        <v>42</v>
      </c>
      <c r="N97" s="76"/>
      <c r="O97" s="85"/>
      <c r="P97" s="134"/>
      <c r="Q97" s="135"/>
    </row>
    <row r="98" spans="1:17" s="11" customFormat="1" x14ac:dyDescent="0.2">
      <c r="A98" s="94"/>
      <c r="B98" s="67"/>
      <c r="C98" s="67"/>
      <c r="D98" s="95" t="s">
        <v>4</v>
      </c>
      <c r="E98" s="68"/>
      <c r="F98" s="96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97"/>
    </row>
    <row r="99" spans="1:17" s="11" customFormat="1" x14ac:dyDescent="0.2">
      <c r="A99" s="109"/>
      <c r="Q99" s="64"/>
    </row>
    <row r="100" spans="1:17" s="11" customFormat="1" x14ac:dyDescent="0.2">
      <c r="A100" s="109"/>
      <c r="Q100" s="64"/>
    </row>
    <row r="101" spans="1:17" s="11" customFormat="1" x14ac:dyDescent="0.2">
      <c r="A101" s="109"/>
      <c r="Q101" s="64"/>
    </row>
    <row r="102" spans="1:17" s="11" customFormat="1" x14ac:dyDescent="0.2">
      <c r="A102" s="109"/>
      <c r="Q102" s="64"/>
    </row>
    <row r="103" spans="1:17" s="11" customFormat="1" x14ac:dyDescent="0.2">
      <c r="A103" s="109"/>
      <c r="Q103" s="64"/>
    </row>
    <row r="104" spans="1:17" s="11" customFormat="1" x14ac:dyDescent="0.2">
      <c r="A104" s="109"/>
      <c r="Q104" s="64"/>
    </row>
    <row r="105" spans="1:17" s="11" customFormat="1" x14ac:dyDescent="0.2">
      <c r="A105" s="109"/>
      <c r="Q105" s="64"/>
    </row>
    <row r="106" spans="1:17" s="11" customFormat="1" x14ac:dyDescent="0.2">
      <c r="A106" s="109"/>
      <c r="Q106" s="64"/>
    </row>
    <row r="107" spans="1:17" s="11" customFormat="1" x14ac:dyDescent="0.2">
      <c r="A107" s="109"/>
      <c r="Q107" s="64"/>
    </row>
    <row r="108" spans="1:17" s="11" customFormat="1" x14ac:dyDescent="0.2">
      <c r="A108" s="109"/>
      <c r="Q108" s="64"/>
    </row>
    <row r="109" spans="1:17" s="11" customFormat="1" x14ac:dyDescent="0.2">
      <c r="A109" s="109"/>
      <c r="Q109" s="64"/>
    </row>
    <row r="110" spans="1:17" s="11" customFormat="1" x14ac:dyDescent="0.2">
      <c r="A110" s="109"/>
      <c r="Q110" s="64"/>
    </row>
    <row r="111" spans="1:17" s="11" customFormat="1" x14ac:dyDescent="0.2">
      <c r="A111" s="109"/>
      <c r="Q111" s="64"/>
    </row>
    <row r="112" spans="1:17" s="11" customFormat="1" x14ac:dyDescent="0.2">
      <c r="A112" s="109"/>
      <c r="Q112" s="64"/>
    </row>
    <row r="113" spans="1:17" s="11" customFormat="1" x14ac:dyDescent="0.2">
      <c r="A113" s="109"/>
      <c r="Q113" s="64"/>
    </row>
    <row r="114" spans="1:17" s="11" customFormat="1" x14ac:dyDescent="0.2">
      <c r="A114" s="109"/>
      <c r="Q114" s="64"/>
    </row>
    <row r="115" spans="1:17" s="11" customFormat="1" x14ac:dyDescent="0.2">
      <c r="A115" s="109"/>
      <c r="Q115" s="64"/>
    </row>
    <row r="116" spans="1:17" s="11" customFormat="1" x14ac:dyDescent="0.2">
      <c r="A116" s="109"/>
      <c r="Q116" s="64"/>
    </row>
    <row r="117" spans="1:17" s="11" customFormat="1" x14ac:dyDescent="0.2">
      <c r="A117" s="109"/>
      <c r="Q117" s="64"/>
    </row>
    <row r="118" spans="1:17" s="11" customFormat="1" x14ac:dyDescent="0.2">
      <c r="A118" s="109"/>
      <c r="Q118" s="64"/>
    </row>
    <row r="119" spans="1:17" s="11" customFormat="1" x14ac:dyDescent="0.2">
      <c r="A119" s="109"/>
      <c r="Q119" s="64"/>
    </row>
    <row r="120" spans="1:17" s="11" customFormat="1" x14ac:dyDescent="0.2">
      <c r="A120" s="109"/>
      <c r="Q120" s="64"/>
    </row>
    <row r="121" spans="1:17" s="11" customFormat="1" x14ac:dyDescent="0.2">
      <c r="A121" s="109"/>
      <c r="Q121" s="64"/>
    </row>
    <row r="122" spans="1:17" s="11" customFormat="1" x14ac:dyDescent="0.2">
      <c r="A122" s="109"/>
      <c r="Q122" s="64"/>
    </row>
    <row r="123" spans="1:17" s="11" customFormat="1" x14ac:dyDescent="0.2">
      <c r="A123" s="109"/>
      <c r="Q123" s="64"/>
    </row>
    <row r="124" spans="1:17" s="11" customFormat="1" x14ac:dyDescent="0.2">
      <c r="A124" s="109"/>
      <c r="Q124" s="64"/>
    </row>
    <row r="125" spans="1:17" s="11" customFormat="1" x14ac:dyDescent="0.2">
      <c r="A125" s="109"/>
      <c r="Q125" s="64"/>
    </row>
    <row r="126" spans="1:17" s="11" customFormat="1" x14ac:dyDescent="0.2">
      <c r="A126" s="109"/>
      <c r="Q126" s="64"/>
    </row>
    <row r="127" spans="1:17" s="11" customFormat="1" x14ac:dyDescent="0.2">
      <c r="A127" s="109"/>
      <c r="Q127" s="64"/>
    </row>
    <row r="128" spans="1:17" s="11" customFormat="1" x14ac:dyDescent="0.2">
      <c r="A128" s="109"/>
      <c r="Q128" s="64"/>
    </row>
    <row r="129" spans="1:17" s="11" customFormat="1" x14ac:dyDescent="0.2">
      <c r="A129" s="114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1"/>
    </row>
  </sheetData>
  <mergeCells count="71">
    <mergeCell ref="P58:Q58"/>
    <mergeCell ref="P59:Q59"/>
    <mergeCell ref="P54:Q54"/>
    <mergeCell ref="P55:Q55"/>
    <mergeCell ref="P70:Q70"/>
    <mergeCell ref="P60:Q60"/>
    <mergeCell ref="P57:Q57"/>
    <mergeCell ref="P65:Q65"/>
    <mergeCell ref="P66:Q66"/>
    <mergeCell ref="P69:Q69"/>
    <mergeCell ref="P41:Q41"/>
    <mergeCell ref="P56:Q56"/>
    <mergeCell ref="P49:Q49"/>
    <mergeCell ref="P50:Q50"/>
    <mergeCell ref="P44:Q44"/>
    <mergeCell ref="P45:Q45"/>
    <mergeCell ref="P46:Q46"/>
    <mergeCell ref="P47:Q47"/>
    <mergeCell ref="P48:Q48"/>
    <mergeCell ref="P42:Q42"/>
    <mergeCell ref="P43:Q43"/>
    <mergeCell ref="P53:Q53"/>
    <mergeCell ref="P26:Q26"/>
    <mergeCell ref="P27:Q27"/>
    <mergeCell ref="P31:Q31"/>
    <mergeCell ref="P32:Q32"/>
    <mergeCell ref="P33:Q33"/>
    <mergeCell ref="P21:Q21"/>
    <mergeCell ref="P22:Q22"/>
    <mergeCell ref="P23:Q23"/>
    <mergeCell ref="P24:Q24"/>
    <mergeCell ref="P25:Q25"/>
    <mergeCell ref="P39:Q39"/>
    <mergeCell ref="P40:Q40"/>
    <mergeCell ref="P28:Q28"/>
    <mergeCell ref="P30:Q30"/>
    <mergeCell ref="P29:Q29"/>
    <mergeCell ref="P34:Q34"/>
    <mergeCell ref="P35:Q35"/>
    <mergeCell ref="P36:Q36"/>
    <mergeCell ref="P37:Q37"/>
    <mergeCell ref="P38:Q38"/>
    <mergeCell ref="P84:Q84"/>
    <mergeCell ref="P83:Q83"/>
    <mergeCell ref="P80:Q80"/>
    <mergeCell ref="P82:Q82"/>
    <mergeCell ref="P81:Q81"/>
    <mergeCell ref="P97:Q97"/>
    <mergeCell ref="P85:Q85"/>
    <mergeCell ref="P94:Q94"/>
    <mergeCell ref="P90:Q90"/>
    <mergeCell ref="P96:Q96"/>
    <mergeCell ref="P93:Q93"/>
    <mergeCell ref="P92:Q92"/>
    <mergeCell ref="P87:Q87"/>
    <mergeCell ref="P88:Q88"/>
    <mergeCell ref="P95:Q95"/>
    <mergeCell ref="P89:Q89"/>
    <mergeCell ref="P86:Q86"/>
    <mergeCell ref="P91:Q91"/>
    <mergeCell ref="P79:Q79"/>
    <mergeCell ref="P67:Q67"/>
    <mergeCell ref="P68:Q68"/>
    <mergeCell ref="P71:Q71"/>
    <mergeCell ref="P72:Q72"/>
    <mergeCell ref="P73:Q73"/>
    <mergeCell ref="P76:Q76"/>
    <mergeCell ref="P77:Q77"/>
    <mergeCell ref="P74:Q74"/>
    <mergeCell ref="P75:Q75"/>
    <mergeCell ref="P78:Q78"/>
  </mergeCells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R4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28.1796875" style="66" bestFit="1" customWidth="1"/>
    <col min="9" max="10" width="15.81640625" style="66" customWidth="1"/>
    <col min="11" max="11" width="19.36328125" style="66" bestFit="1" customWidth="1"/>
    <col min="12" max="12" width="18" style="66" customWidth="1"/>
    <col min="13" max="13" width="14.453125" style="66" bestFit="1" customWidth="1"/>
    <col min="14" max="14" width="50.6328125" style="66" customWidth="1"/>
    <col min="15" max="15" width="30.81640625" style="66" customWidth="1"/>
    <col min="16" max="16" width="36.08984375" style="66" customWidth="1"/>
    <col min="17" max="17" width="15.81640625" style="65" customWidth="1"/>
    <col min="18" max="18" width="33" style="65" bestFit="1" customWidth="1"/>
    <col min="19" max="19" width="11.6328125" style="65" bestFit="1" customWidth="1"/>
    <col min="20" max="20" width="31.6328125" style="65" bestFit="1" customWidth="1"/>
    <col min="21" max="21" width="20.453125" style="65" bestFit="1" customWidth="1"/>
    <col min="22" max="22" width="9" style="65"/>
    <col min="23" max="23" width="13.90625" style="65" bestFit="1" customWidth="1"/>
    <col min="24" max="16384" width="9" style="65"/>
  </cols>
  <sheetData>
    <row r="1" spans="1:18" s="11" customFormat="1" x14ac:dyDescent="0.2">
      <c r="A1" s="105" t="s">
        <v>16</v>
      </c>
      <c r="B1" s="105" t="s">
        <v>16</v>
      </c>
      <c r="C1" s="105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</row>
    <row r="2" spans="1:18" s="11" customFormat="1" ht="40" customHeight="1" x14ac:dyDescent="0.2">
      <c r="A2" s="106" t="s">
        <v>16</v>
      </c>
      <c r="B2" s="107"/>
      <c r="C2" s="107"/>
      <c r="D2" s="117" t="s">
        <v>369</v>
      </c>
      <c r="E2" s="7" t="s">
        <v>12</v>
      </c>
      <c r="F2" s="108" t="str">
        <f>IF(LogicCommon!C2="","",LogicCommon!C2)</f>
        <v>MA</v>
      </c>
      <c r="G2" s="7" t="s">
        <v>9</v>
      </c>
      <c r="H2" s="108" t="str">
        <f>IF(LogicCommon!E2="","",LogicCommon!E2)</f>
        <v>MABSL0850</v>
      </c>
      <c r="I2" s="7" t="s">
        <v>30</v>
      </c>
      <c r="J2" s="9" t="s">
        <v>41</v>
      </c>
      <c r="K2" s="7" t="s">
        <v>32</v>
      </c>
      <c r="L2" s="108" t="str">
        <f>IF(LogicCommon!G2="","",LogicCommon!G2)</f>
        <v>MC</v>
      </c>
      <c r="M2" s="5" t="s">
        <v>33</v>
      </c>
      <c r="N2" s="30" t="s">
        <v>363</v>
      </c>
      <c r="O2" s="7"/>
      <c r="P2" s="7"/>
      <c r="Q2" s="4"/>
      <c r="R2" s="65"/>
    </row>
    <row r="3" spans="1:18" s="11" customFormat="1" x14ac:dyDescent="0.2">
      <c r="A3" s="109" t="s">
        <v>16</v>
      </c>
      <c r="B3" s="110"/>
      <c r="C3" s="110"/>
      <c r="D3" s="111" t="str">
        <f>IF(LogicCommon!A3="","",LogicCommon!A3)</f>
        <v/>
      </c>
      <c r="E3" s="7" t="s">
        <v>13</v>
      </c>
      <c r="F3" s="108" t="str">
        <f>IF(LogicCommon!C3="","",LogicCommon!C3)</f>
        <v>MABS</v>
      </c>
      <c r="G3" s="7" t="s">
        <v>10</v>
      </c>
      <c r="H3" s="108" t="str">
        <f>IF(LogicCommon!E3="","",LogicCommon!E3)</f>
        <v>MABSL_MpsItmReg</v>
      </c>
      <c r="I3" s="7" t="s">
        <v>34</v>
      </c>
      <c r="J3" s="9" t="s">
        <v>35</v>
      </c>
      <c r="K3" s="7" t="s">
        <v>36</v>
      </c>
      <c r="L3" s="108" t="str">
        <f>IF(LogicCommon!G3="","",LogicCommon!G3)</f>
        <v/>
      </c>
      <c r="M3" s="112" t="s">
        <v>37</v>
      </c>
      <c r="N3" s="7"/>
      <c r="O3" s="7" t="s">
        <v>38</v>
      </c>
      <c r="P3" s="9" t="s">
        <v>39</v>
      </c>
      <c r="Q3" s="4"/>
      <c r="R3" s="65"/>
    </row>
    <row r="4" spans="1:18" s="11" customFormat="1" x14ac:dyDescent="0.2">
      <c r="A4" s="109" t="s">
        <v>16</v>
      </c>
      <c r="B4" s="110"/>
      <c r="C4" s="110"/>
      <c r="D4" s="4"/>
      <c r="E4" s="7" t="s">
        <v>8</v>
      </c>
      <c r="F4" s="10" t="s">
        <v>281</v>
      </c>
      <c r="G4" s="7" t="s">
        <v>11</v>
      </c>
      <c r="H4" s="108" t="str">
        <f>IF(LogicCommon!E4="","",LogicCommon!E4)</f>
        <v>ＭＰＳ品目マスタ登録</v>
      </c>
      <c r="I4" s="7" t="s">
        <v>40</v>
      </c>
      <c r="J4" s="9" t="s">
        <v>88</v>
      </c>
      <c r="K4" s="7" t="s">
        <v>5</v>
      </c>
      <c r="L4" s="108" t="str">
        <f>IF(LogicCommon!G4="","",LogicCommon!G4)</f>
        <v>MA.MAUDL5010</v>
      </c>
      <c r="M4" s="113"/>
      <c r="N4" s="30"/>
      <c r="O4" s="15"/>
      <c r="P4" s="4"/>
      <c r="Q4" s="4"/>
      <c r="R4" s="65"/>
    </row>
    <row r="5" spans="1:18" s="11" customFormat="1" x14ac:dyDescent="0.2">
      <c r="A5" s="114" t="s">
        <v>16</v>
      </c>
      <c r="B5" s="105"/>
      <c r="C5" s="105"/>
      <c r="D5" s="27"/>
      <c r="E5" s="7" t="s">
        <v>17</v>
      </c>
      <c r="F5" s="10"/>
      <c r="G5" s="89"/>
      <c r="H5" s="89"/>
      <c r="I5" s="89"/>
      <c r="J5" s="89"/>
      <c r="K5" s="89"/>
      <c r="L5" s="6"/>
      <c r="M5" s="5"/>
      <c r="N5" s="5"/>
      <c r="O5" s="15"/>
      <c r="P5" s="4"/>
      <c r="Q5" s="4"/>
      <c r="R5" s="65"/>
    </row>
    <row r="6" spans="1:18" s="11" customFormat="1" x14ac:dyDescent="0.2">
      <c r="A6" s="109" t="s">
        <v>16</v>
      </c>
      <c r="B6" s="110"/>
      <c r="C6" s="110"/>
      <c r="D6" s="4" t="s">
        <v>6</v>
      </c>
      <c r="E6" s="17" t="s">
        <v>241</v>
      </c>
      <c r="F6" s="17"/>
      <c r="G6" s="17"/>
      <c r="H6" s="17"/>
      <c r="I6" s="17"/>
      <c r="J6" s="17"/>
      <c r="K6" s="17"/>
      <c r="L6" s="115" t="s">
        <v>44</v>
      </c>
      <c r="M6" s="20"/>
      <c r="N6" s="20" t="s">
        <v>44</v>
      </c>
      <c r="O6" s="20"/>
      <c r="P6" s="20"/>
      <c r="Q6" s="20"/>
      <c r="R6" s="65"/>
    </row>
    <row r="7" spans="1:18" s="11" customFormat="1" x14ac:dyDescent="0.2">
      <c r="A7" s="67" t="s">
        <v>20</v>
      </c>
      <c r="B7" s="67"/>
      <c r="C7" s="67"/>
      <c r="D7" s="68"/>
      <c r="E7" s="68"/>
      <c r="F7" s="68"/>
      <c r="G7" s="68"/>
      <c r="H7" s="68"/>
      <c r="I7" s="68" t="s">
        <v>51</v>
      </c>
      <c r="J7" s="68"/>
      <c r="K7" s="69" t="s">
        <v>52</v>
      </c>
      <c r="L7" s="70" t="s">
        <v>112</v>
      </c>
      <c r="M7" s="69" t="s">
        <v>90</v>
      </c>
      <c r="N7" s="70" t="s">
        <v>113</v>
      </c>
      <c r="O7" s="66"/>
      <c r="P7" s="66"/>
      <c r="Q7" s="66"/>
      <c r="R7" s="66"/>
    </row>
    <row r="8" spans="1:18" s="11" customFormat="1" ht="60" customHeight="1" x14ac:dyDescent="0.2">
      <c r="A8" s="57" t="s">
        <v>19</v>
      </c>
      <c r="B8" s="120"/>
      <c r="C8" s="121"/>
      <c r="D8" s="118" t="s">
        <v>370</v>
      </c>
      <c r="E8" s="118" t="s">
        <v>371</v>
      </c>
      <c r="F8" s="115"/>
      <c r="G8" s="118" t="s">
        <v>282</v>
      </c>
      <c r="H8" s="118" t="s">
        <v>372</v>
      </c>
      <c r="I8" s="115"/>
      <c r="J8" s="3"/>
      <c r="K8" s="69" t="s">
        <v>18</v>
      </c>
      <c r="L8" s="9" t="s">
        <v>216</v>
      </c>
      <c r="M8" s="69" t="s">
        <v>91</v>
      </c>
      <c r="N8" s="9" t="s">
        <v>217</v>
      </c>
      <c r="O8" s="128"/>
      <c r="P8" s="129"/>
      <c r="Q8" s="130" t="s">
        <v>381</v>
      </c>
      <c r="R8" s="85"/>
    </row>
    <row r="9" spans="1:18" s="11" customFormat="1" ht="60" customHeight="1" x14ac:dyDescent="0.2">
      <c r="A9" s="9" t="s">
        <v>19</v>
      </c>
      <c r="B9" s="40"/>
      <c r="C9" s="41"/>
      <c r="D9" s="118" t="s">
        <v>373</v>
      </c>
      <c r="E9" s="125" t="s">
        <v>374</v>
      </c>
      <c r="F9" s="118" t="s">
        <v>375</v>
      </c>
      <c r="G9" s="118" t="s">
        <v>376</v>
      </c>
      <c r="H9" s="118" t="s">
        <v>377</v>
      </c>
      <c r="I9" s="126" t="s">
        <v>378</v>
      </c>
      <c r="J9" s="118" t="s">
        <v>379</v>
      </c>
      <c r="K9" s="69"/>
      <c r="L9" s="69"/>
      <c r="M9" s="69"/>
      <c r="N9" s="69"/>
      <c r="O9" s="130" t="s">
        <v>380</v>
      </c>
      <c r="P9" s="85"/>
      <c r="Q9" s="130" t="s">
        <v>382</v>
      </c>
      <c r="R9" s="85"/>
    </row>
    <row r="10" spans="1:18" s="11" customFormat="1" ht="39" x14ac:dyDescent="0.2">
      <c r="A10" s="74" t="s">
        <v>20</v>
      </c>
      <c r="B10" s="75"/>
      <c r="C10" s="75"/>
      <c r="D10" s="76"/>
      <c r="E10" s="77"/>
      <c r="F10" s="77"/>
      <c r="G10" s="78"/>
      <c r="H10" s="78"/>
      <c r="I10" s="77"/>
      <c r="J10" s="77"/>
      <c r="K10" s="127" t="s">
        <v>378</v>
      </c>
      <c r="L10" s="127" t="s">
        <v>379</v>
      </c>
      <c r="M10" s="127" t="s">
        <v>378</v>
      </c>
      <c r="N10" s="127" t="s">
        <v>379</v>
      </c>
      <c r="O10" s="77"/>
      <c r="P10" s="77"/>
      <c r="Q10" s="78"/>
      <c r="R10" s="72"/>
    </row>
    <row r="11" spans="1:18" s="11" customFormat="1" x14ac:dyDescent="0.2">
      <c r="A11" s="9">
        <v>10</v>
      </c>
      <c r="B11" s="40" t="s">
        <v>0</v>
      </c>
      <c r="C11" s="41"/>
      <c r="D11" s="30" t="s">
        <v>190</v>
      </c>
      <c r="E11" s="79" t="s">
        <v>23</v>
      </c>
      <c r="F11" s="80"/>
      <c r="G11" s="30" t="s">
        <v>106</v>
      </c>
      <c r="H11" s="81" t="s">
        <v>348</v>
      </c>
      <c r="I11" s="82"/>
      <c r="J11" s="83"/>
      <c r="K11" s="84" t="s">
        <v>349</v>
      </c>
      <c r="L11" s="84"/>
      <c r="M11" s="84" t="s">
        <v>350</v>
      </c>
      <c r="N11" s="84"/>
      <c r="O11" s="71"/>
      <c r="P11" s="72"/>
      <c r="Q11" s="102"/>
      <c r="R11" s="104"/>
    </row>
    <row r="12" spans="1:18" s="11" customFormat="1" x14ac:dyDescent="0.2">
      <c r="A12" s="9">
        <v>10</v>
      </c>
      <c r="B12" s="9"/>
      <c r="C12" s="9"/>
      <c r="D12" s="9" t="s">
        <v>159</v>
      </c>
      <c r="E12" s="57" t="s">
        <v>160</v>
      </c>
      <c r="F12" s="57"/>
      <c r="G12" s="58" t="s">
        <v>383</v>
      </c>
      <c r="H12" s="58" t="s">
        <v>284</v>
      </c>
      <c r="I12" s="9" t="s">
        <v>42</v>
      </c>
      <c r="J12" s="9"/>
      <c r="K12" s="9" t="s">
        <v>42</v>
      </c>
      <c r="L12" s="9"/>
      <c r="M12" s="9" t="s">
        <v>42</v>
      </c>
      <c r="N12" s="9"/>
      <c r="O12" s="76"/>
      <c r="P12" s="85"/>
      <c r="Q12" s="134"/>
      <c r="R12" s="135"/>
    </row>
    <row r="13" spans="1:18" s="11" customFormat="1" x14ac:dyDescent="0.2">
      <c r="A13" s="9">
        <v>10</v>
      </c>
      <c r="B13" s="9"/>
      <c r="C13" s="9"/>
      <c r="D13" s="9" t="s">
        <v>123</v>
      </c>
      <c r="E13" s="57" t="s">
        <v>119</v>
      </c>
      <c r="F13" s="57"/>
      <c r="G13" s="58" t="s">
        <v>384</v>
      </c>
      <c r="H13" s="58" t="s">
        <v>248</v>
      </c>
      <c r="I13" s="9" t="s">
        <v>42</v>
      </c>
      <c r="J13" s="9"/>
      <c r="K13" s="9" t="s">
        <v>42</v>
      </c>
      <c r="L13" s="9"/>
      <c r="M13" s="9" t="s">
        <v>42</v>
      </c>
      <c r="N13" s="9"/>
      <c r="O13" s="76"/>
      <c r="P13" s="85"/>
      <c r="Q13" s="134"/>
      <c r="R13" s="135"/>
    </row>
    <row r="14" spans="1:18" s="11" customFormat="1" x14ac:dyDescent="0.2">
      <c r="A14" s="9">
        <v>10</v>
      </c>
      <c r="B14" s="9"/>
      <c r="C14" s="9"/>
      <c r="D14" s="9" t="s">
        <v>124</v>
      </c>
      <c r="E14" s="57" t="s">
        <v>120</v>
      </c>
      <c r="F14" s="57"/>
      <c r="G14" s="58" t="s">
        <v>385</v>
      </c>
      <c r="H14" s="58" t="s">
        <v>249</v>
      </c>
      <c r="I14" s="9" t="s">
        <v>42</v>
      </c>
      <c r="J14" s="9"/>
      <c r="K14" s="9" t="s">
        <v>42</v>
      </c>
      <c r="L14" s="9"/>
      <c r="M14" s="9" t="s">
        <v>42</v>
      </c>
      <c r="N14" s="9"/>
      <c r="O14" s="76"/>
      <c r="P14" s="85"/>
      <c r="Q14" s="134"/>
      <c r="R14" s="135"/>
    </row>
    <row r="15" spans="1:18" s="11" customFormat="1" x14ac:dyDescent="0.2">
      <c r="A15" s="9">
        <v>10</v>
      </c>
      <c r="B15" s="9"/>
      <c r="C15" s="9"/>
      <c r="D15" s="9" t="s">
        <v>125</v>
      </c>
      <c r="E15" s="57" t="s">
        <v>121</v>
      </c>
      <c r="F15" s="57"/>
      <c r="G15" s="58" t="s">
        <v>386</v>
      </c>
      <c r="H15" s="58" t="s">
        <v>250</v>
      </c>
      <c r="I15" s="9" t="s">
        <v>42</v>
      </c>
      <c r="J15" s="9"/>
      <c r="K15" s="9" t="s">
        <v>42</v>
      </c>
      <c r="L15" s="9"/>
      <c r="M15" s="9" t="s">
        <v>42</v>
      </c>
      <c r="N15" s="9"/>
      <c r="O15" s="76"/>
      <c r="P15" s="85"/>
      <c r="Q15" s="134"/>
      <c r="R15" s="135"/>
    </row>
    <row r="16" spans="1:18" s="11" customFormat="1" x14ac:dyDescent="0.2">
      <c r="A16" s="9">
        <v>10</v>
      </c>
      <c r="B16" s="9"/>
      <c r="C16" s="9"/>
      <c r="D16" s="9" t="s">
        <v>126</v>
      </c>
      <c r="E16" s="57" t="s">
        <v>122</v>
      </c>
      <c r="F16" s="57"/>
      <c r="G16" s="58" t="s">
        <v>387</v>
      </c>
      <c r="H16" s="58" t="s">
        <v>251</v>
      </c>
      <c r="I16" s="9" t="s">
        <v>42</v>
      </c>
      <c r="J16" s="9"/>
      <c r="K16" s="9" t="s">
        <v>42</v>
      </c>
      <c r="L16" s="9"/>
      <c r="M16" s="9" t="s">
        <v>42</v>
      </c>
      <c r="N16" s="9"/>
      <c r="O16" s="76"/>
      <c r="P16" s="85"/>
      <c r="Q16" s="134"/>
      <c r="R16" s="135"/>
    </row>
    <row r="17" spans="1:18" s="11" customFormat="1" x14ac:dyDescent="0.2">
      <c r="A17" s="9">
        <v>10</v>
      </c>
      <c r="B17" s="9"/>
      <c r="C17" s="9"/>
      <c r="D17" s="9" t="s">
        <v>192</v>
      </c>
      <c r="E17" s="57" t="s">
        <v>212</v>
      </c>
      <c r="F17" s="57"/>
      <c r="G17" s="58" t="s">
        <v>388</v>
      </c>
      <c r="H17" s="58" t="s">
        <v>255</v>
      </c>
      <c r="I17" s="9" t="s">
        <v>42</v>
      </c>
      <c r="J17" s="9"/>
      <c r="K17" s="9" t="s">
        <v>42</v>
      </c>
      <c r="L17" s="9"/>
      <c r="M17" s="9" t="s">
        <v>42</v>
      </c>
      <c r="N17" s="9"/>
      <c r="O17" s="76"/>
      <c r="P17" s="85"/>
      <c r="Q17" s="134"/>
      <c r="R17" s="135"/>
    </row>
    <row r="18" spans="1:18" s="11" customFormat="1" x14ac:dyDescent="0.2">
      <c r="A18" s="9">
        <v>10</v>
      </c>
      <c r="B18" s="9"/>
      <c r="C18" s="9"/>
      <c r="D18" s="9" t="s">
        <v>194</v>
      </c>
      <c r="E18" s="57" t="s">
        <v>206</v>
      </c>
      <c r="F18" s="57"/>
      <c r="G18" s="58" t="s">
        <v>389</v>
      </c>
      <c r="H18" s="58" t="s">
        <v>256</v>
      </c>
      <c r="I18" s="9" t="s">
        <v>42</v>
      </c>
      <c r="J18" s="9"/>
      <c r="K18" s="9" t="s">
        <v>42</v>
      </c>
      <c r="L18" s="9"/>
      <c r="M18" s="9" t="s">
        <v>42</v>
      </c>
      <c r="N18" s="9"/>
      <c r="O18" s="76"/>
      <c r="P18" s="85"/>
      <c r="Q18" s="134"/>
      <c r="R18" s="135"/>
    </row>
    <row r="19" spans="1:18" s="11" customFormat="1" x14ac:dyDescent="0.2">
      <c r="A19" s="9">
        <v>10</v>
      </c>
      <c r="B19" s="9"/>
      <c r="C19" s="9"/>
      <c r="D19" s="9" t="s">
        <v>196</v>
      </c>
      <c r="E19" s="57" t="s">
        <v>206</v>
      </c>
      <c r="F19" s="57"/>
      <c r="G19" s="58" t="s">
        <v>391</v>
      </c>
      <c r="H19" s="58" t="s">
        <v>261</v>
      </c>
      <c r="I19" s="9" t="s">
        <v>42</v>
      </c>
      <c r="J19" s="9"/>
      <c r="K19" s="9" t="s">
        <v>42</v>
      </c>
      <c r="L19" s="9"/>
      <c r="M19" s="9" t="s">
        <v>42</v>
      </c>
      <c r="N19" s="9"/>
      <c r="O19" s="76"/>
      <c r="P19" s="85"/>
      <c r="Q19" s="134"/>
      <c r="R19" s="135"/>
    </row>
    <row r="20" spans="1:18" s="11" customFormat="1" x14ac:dyDescent="0.2">
      <c r="A20" s="9">
        <v>10</v>
      </c>
      <c r="B20" s="9"/>
      <c r="C20" s="9"/>
      <c r="D20" s="9" t="s">
        <v>198</v>
      </c>
      <c r="E20" s="57" t="s">
        <v>208</v>
      </c>
      <c r="F20" s="57"/>
      <c r="G20" s="58" t="s">
        <v>392</v>
      </c>
      <c r="H20" s="58" t="s">
        <v>264</v>
      </c>
      <c r="I20" s="9" t="s">
        <v>42</v>
      </c>
      <c r="J20" s="9"/>
      <c r="K20" s="9" t="s">
        <v>42</v>
      </c>
      <c r="L20" s="9"/>
      <c r="M20" s="9" t="s">
        <v>42</v>
      </c>
      <c r="N20" s="9"/>
      <c r="O20" s="76"/>
      <c r="P20" s="85"/>
      <c r="Q20" s="134"/>
      <c r="R20" s="135"/>
    </row>
    <row r="21" spans="1:18" s="11" customFormat="1" x14ac:dyDescent="0.2">
      <c r="A21" s="9">
        <v>10</v>
      </c>
      <c r="B21" s="9"/>
      <c r="C21" s="9"/>
      <c r="D21" s="9" t="s">
        <v>200</v>
      </c>
      <c r="E21" s="57" t="s">
        <v>208</v>
      </c>
      <c r="F21" s="57"/>
      <c r="G21" s="58" t="s">
        <v>393</v>
      </c>
      <c r="H21" s="58" t="s">
        <v>268</v>
      </c>
      <c r="I21" s="9" t="s">
        <v>42</v>
      </c>
      <c r="J21" s="9"/>
      <c r="K21" s="9" t="s">
        <v>42</v>
      </c>
      <c r="L21" s="9"/>
      <c r="M21" s="9" t="s">
        <v>42</v>
      </c>
      <c r="N21" s="9"/>
      <c r="O21" s="76"/>
      <c r="P21" s="85"/>
      <c r="Q21" s="134"/>
      <c r="R21" s="135"/>
    </row>
    <row r="22" spans="1:18" s="11" customFormat="1" x14ac:dyDescent="0.2">
      <c r="A22" s="9">
        <v>10</v>
      </c>
      <c r="B22" s="9"/>
      <c r="C22" s="9"/>
      <c r="D22" s="9" t="s">
        <v>202</v>
      </c>
      <c r="E22" s="57" t="s">
        <v>206</v>
      </c>
      <c r="F22" s="57"/>
      <c r="G22" s="58" t="s">
        <v>394</v>
      </c>
      <c r="H22" s="58" t="s">
        <v>270</v>
      </c>
      <c r="I22" s="9" t="s">
        <v>42</v>
      </c>
      <c r="J22" s="9"/>
      <c r="K22" s="9" t="s">
        <v>42</v>
      </c>
      <c r="L22" s="9"/>
      <c r="M22" s="9" t="s">
        <v>42</v>
      </c>
      <c r="N22" s="9"/>
      <c r="O22" s="76"/>
      <c r="P22" s="85"/>
      <c r="Q22" s="134"/>
      <c r="R22" s="135"/>
    </row>
    <row r="23" spans="1:18" s="11" customFormat="1" ht="26" x14ac:dyDescent="0.2">
      <c r="A23" s="9">
        <v>10</v>
      </c>
      <c r="B23" s="9"/>
      <c r="C23" s="9"/>
      <c r="D23" s="9" t="s">
        <v>204</v>
      </c>
      <c r="E23" s="57" t="s">
        <v>210</v>
      </c>
      <c r="F23" s="57"/>
      <c r="G23" s="58" t="s">
        <v>396</v>
      </c>
      <c r="H23" s="58" t="s">
        <v>274</v>
      </c>
      <c r="I23" s="9" t="s">
        <v>42</v>
      </c>
      <c r="J23" s="9"/>
      <c r="K23" s="9" t="s">
        <v>42</v>
      </c>
      <c r="L23" s="9"/>
      <c r="M23" s="9" t="s">
        <v>42</v>
      </c>
      <c r="N23" s="9"/>
      <c r="O23" s="76"/>
      <c r="P23" s="85"/>
      <c r="Q23" s="134"/>
      <c r="R23" s="135"/>
    </row>
    <row r="24" spans="1:18" s="11" customFormat="1" ht="26" x14ac:dyDescent="0.2">
      <c r="A24" s="9">
        <v>10</v>
      </c>
      <c r="B24" s="9"/>
      <c r="C24" s="9"/>
      <c r="D24" s="9" t="s">
        <v>205</v>
      </c>
      <c r="E24" s="57" t="s">
        <v>211</v>
      </c>
      <c r="F24" s="57"/>
      <c r="G24" s="58" t="s">
        <v>397</v>
      </c>
      <c r="H24" s="58" t="s">
        <v>276</v>
      </c>
      <c r="I24" s="9" t="s">
        <v>42</v>
      </c>
      <c r="J24" s="9"/>
      <c r="K24" s="9" t="s">
        <v>42</v>
      </c>
      <c r="L24" s="9"/>
      <c r="M24" s="9" t="s">
        <v>42</v>
      </c>
      <c r="N24" s="9"/>
      <c r="O24" s="76"/>
      <c r="P24" s="85"/>
      <c r="Q24" s="134"/>
      <c r="R24" s="135"/>
    </row>
    <row r="25" spans="1:18" s="11" customFormat="1" x14ac:dyDescent="0.2">
      <c r="A25" s="9">
        <v>10</v>
      </c>
      <c r="B25" s="9"/>
      <c r="C25" s="9"/>
      <c r="D25" s="9" t="s">
        <v>56</v>
      </c>
      <c r="E25" s="57" t="s">
        <v>58</v>
      </c>
      <c r="F25" s="57"/>
      <c r="G25" s="58" t="s">
        <v>398</v>
      </c>
      <c r="H25" s="58" t="s">
        <v>277</v>
      </c>
      <c r="I25" s="9" t="s">
        <v>42</v>
      </c>
      <c r="J25" s="9"/>
      <c r="K25" s="9" t="s">
        <v>42</v>
      </c>
      <c r="L25" s="9"/>
      <c r="M25" s="9" t="s">
        <v>42</v>
      </c>
      <c r="N25" s="9"/>
      <c r="O25" s="76"/>
      <c r="P25" s="85"/>
      <c r="Q25" s="134"/>
      <c r="R25" s="135"/>
    </row>
    <row r="26" spans="1:18" s="11" customFormat="1" x14ac:dyDescent="0.2">
      <c r="A26" s="9">
        <v>10</v>
      </c>
      <c r="B26" s="9"/>
      <c r="C26" s="9"/>
      <c r="D26" s="9" t="s">
        <v>64</v>
      </c>
      <c r="E26" s="57" t="s">
        <v>65</v>
      </c>
      <c r="F26" s="57"/>
      <c r="G26" s="58" t="s">
        <v>399</v>
      </c>
      <c r="H26" s="58" t="s">
        <v>278</v>
      </c>
      <c r="I26" s="9" t="s">
        <v>42</v>
      </c>
      <c r="J26" s="9"/>
      <c r="K26" s="9" t="s">
        <v>42</v>
      </c>
      <c r="L26" s="9"/>
      <c r="M26" s="9" t="s">
        <v>42</v>
      </c>
      <c r="N26" s="9"/>
      <c r="O26" s="76"/>
      <c r="P26" s="85"/>
      <c r="Q26" s="134"/>
      <c r="R26" s="135"/>
    </row>
    <row r="27" spans="1:18" s="11" customFormat="1" x14ac:dyDescent="0.2">
      <c r="A27" s="9">
        <v>10</v>
      </c>
      <c r="B27" s="9"/>
      <c r="C27" s="9"/>
      <c r="D27" s="9" t="s">
        <v>60</v>
      </c>
      <c r="E27" s="57" t="s">
        <v>62</v>
      </c>
      <c r="F27" s="57"/>
      <c r="G27" s="58" t="s">
        <v>400</v>
      </c>
      <c r="H27" s="58" t="s">
        <v>279</v>
      </c>
      <c r="I27" s="9" t="s">
        <v>42</v>
      </c>
      <c r="J27" s="9"/>
      <c r="K27" s="9" t="s">
        <v>42</v>
      </c>
      <c r="L27" s="9"/>
      <c r="M27" s="9" t="s">
        <v>42</v>
      </c>
      <c r="N27" s="9"/>
      <c r="O27" s="76"/>
      <c r="P27" s="85"/>
      <c r="Q27" s="134"/>
      <c r="R27" s="135"/>
    </row>
    <row r="28" spans="1:18" s="11" customFormat="1" x14ac:dyDescent="0.2">
      <c r="A28" s="9">
        <v>10</v>
      </c>
      <c r="B28" s="9"/>
      <c r="C28" s="9"/>
      <c r="D28" s="9" t="s">
        <v>95</v>
      </c>
      <c r="E28" s="57" t="s">
        <v>67</v>
      </c>
      <c r="F28" s="57"/>
      <c r="G28" s="58" t="s">
        <v>401</v>
      </c>
      <c r="H28" s="58" t="s">
        <v>69</v>
      </c>
      <c r="I28" s="9" t="s">
        <v>42</v>
      </c>
      <c r="J28" s="9"/>
      <c r="K28" s="9" t="s">
        <v>42</v>
      </c>
      <c r="L28" s="9"/>
      <c r="M28" s="9" t="s">
        <v>42</v>
      </c>
      <c r="N28" s="9"/>
      <c r="O28" s="76"/>
      <c r="P28" s="85"/>
      <c r="Q28" s="134"/>
      <c r="R28" s="135"/>
    </row>
    <row r="29" spans="1:18" s="11" customFormat="1" x14ac:dyDescent="0.2">
      <c r="A29" s="9">
        <v>10</v>
      </c>
      <c r="B29" s="9"/>
      <c r="C29" s="9"/>
      <c r="D29" s="9" t="s">
        <v>102</v>
      </c>
      <c r="E29" s="57" t="s">
        <v>103</v>
      </c>
      <c r="F29" s="57"/>
      <c r="G29" s="58" t="s">
        <v>402</v>
      </c>
      <c r="H29" s="58" t="s">
        <v>101</v>
      </c>
      <c r="I29" s="9" t="s">
        <v>42</v>
      </c>
      <c r="J29" s="9"/>
      <c r="K29" s="9" t="s">
        <v>42</v>
      </c>
      <c r="L29" s="9"/>
      <c r="M29" s="9" t="s">
        <v>42</v>
      </c>
      <c r="N29" s="9"/>
      <c r="O29" s="76"/>
      <c r="P29" s="85"/>
      <c r="Q29" s="134"/>
      <c r="R29" s="135"/>
    </row>
    <row r="30" spans="1:18" s="11" customFormat="1" x14ac:dyDescent="0.2">
      <c r="A30" s="86"/>
      <c r="B30" s="87"/>
      <c r="C30" s="87"/>
      <c r="D30" s="65" t="s">
        <v>1</v>
      </c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4"/>
      <c r="P30" s="4"/>
      <c r="Q30" s="6"/>
      <c r="R30" s="24"/>
    </row>
    <row r="31" spans="1:18" s="11" customFormat="1" x14ac:dyDescent="0.2">
      <c r="A31" s="109"/>
      <c r="R31" s="64"/>
    </row>
    <row r="32" spans="1:18" s="11" customFormat="1" x14ac:dyDescent="0.2">
      <c r="A32" s="109"/>
      <c r="R32" s="64"/>
    </row>
    <row r="33" spans="1:18" s="11" customFormat="1" x14ac:dyDescent="0.2">
      <c r="A33" s="109"/>
      <c r="R33" s="64"/>
    </row>
    <row r="34" spans="1:18" s="11" customFormat="1" x14ac:dyDescent="0.2">
      <c r="A34" s="109"/>
      <c r="R34" s="64"/>
    </row>
    <row r="35" spans="1:18" s="11" customFormat="1" x14ac:dyDescent="0.2">
      <c r="A35" s="109"/>
      <c r="R35" s="64"/>
    </row>
    <row r="36" spans="1:18" s="11" customFormat="1" x14ac:dyDescent="0.2">
      <c r="A36" s="109"/>
      <c r="R36" s="64"/>
    </row>
    <row r="37" spans="1:18" s="11" customFormat="1" x14ac:dyDescent="0.2">
      <c r="A37" s="109"/>
      <c r="R37" s="64"/>
    </row>
    <row r="38" spans="1:18" s="11" customFormat="1" x14ac:dyDescent="0.2">
      <c r="A38" s="109"/>
      <c r="R38" s="64"/>
    </row>
    <row r="39" spans="1:18" s="11" customFormat="1" x14ac:dyDescent="0.2">
      <c r="A39" s="109"/>
      <c r="R39" s="64"/>
    </row>
    <row r="40" spans="1:18" s="11" customFormat="1" x14ac:dyDescent="0.2">
      <c r="A40" s="114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1"/>
    </row>
  </sheetData>
  <dataConsolidate/>
  <mergeCells count="18">
    <mergeCell ref="Q12:R12"/>
    <mergeCell ref="Q17:R17"/>
    <mergeCell ref="Q18:R18"/>
    <mergeCell ref="Q13:R13"/>
    <mergeCell ref="Q14:R14"/>
    <mergeCell ref="Q15:R15"/>
    <mergeCell ref="Q16:R16"/>
    <mergeCell ref="Q19:R19"/>
    <mergeCell ref="Q28:R28"/>
    <mergeCell ref="Q29:R29"/>
    <mergeCell ref="Q27:R27"/>
    <mergeCell ref="Q26:R26"/>
    <mergeCell ref="Q25:R25"/>
    <mergeCell ref="Q22:R22"/>
    <mergeCell ref="Q23:R23"/>
    <mergeCell ref="Q24:R24"/>
    <mergeCell ref="Q20:R20"/>
    <mergeCell ref="Q21:R21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2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44.08984375" style="66" customWidth="1"/>
    <col min="9" max="10" width="15.81640625" style="66" customWidth="1"/>
    <col min="11" max="11" width="19.36328125" style="66" bestFit="1" customWidth="1"/>
    <col min="12" max="12" width="31.1796875" style="66" customWidth="1"/>
    <col min="13" max="13" width="12.81640625" style="66" bestFit="1" customWidth="1"/>
    <col min="14" max="14" width="50.6328125" style="66" customWidth="1"/>
    <col min="15" max="15" width="30.81640625" style="66" customWidth="1"/>
    <col min="16" max="16" width="18.36328125" style="66" bestFit="1" customWidth="1"/>
    <col min="17" max="17" width="15.81640625" style="65" customWidth="1"/>
    <col min="18" max="18" width="27.1796875" style="65" bestFit="1" customWidth="1"/>
    <col min="19" max="19" width="20.453125" style="65" bestFit="1" customWidth="1"/>
    <col min="20" max="20" width="9" style="65"/>
    <col min="21" max="21" width="13.90625" style="65" bestFit="1" customWidth="1"/>
    <col min="22" max="16384" width="9" style="65"/>
  </cols>
  <sheetData>
    <row r="1" spans="1:18" s="11" customFormat="1" x14ac:dyDescent="0.2">
      <c r="A1" s="105" t="s">
        <v>16</v>
      </c>
      <c r="B1" s="105" t="s">
        <v>16</v>
      </c>
      <c r="C1" s="105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</row>
    <row r="2" spans="1:18" s="11" customFormat="1" ht="40" customHeight="1" x14ac:dyDescent="0.2">
      <c r="A2" s="106" t="s">
        <v>16</v>
      </c>
      <c r="B2" s="107"/>
      <c r="C2" s="107"/>
      <c r="D2" s="117" t="s">
        <v>369</v>
      </c>
      <c r="E2" s="7" t="s">
        <v>12</v>
      </c>
      <c r="F2" s="108" t="str">
        <f>IF(LogicCommon!C2="","",LogicCommon!C2)</f>
        <v>MA</v>
      </c>
      <c r="G2" s="7" t="s">
        <v>9</v>
      </c>
      <c r="H2" s="108" t="str">
        <f>IF(LogicCommon!E2="","",LogicCommon!E2)</f>
        <v>MABSL0850</v>
      </c>
      <c r="I2" s="7" t="s">
        <v>30</v>
      </c>
      <c r="J2" s="9" t="s">
        <v>84</v>
      </c>
      <c r="K2" s="7" t="s">
        <v>32</v>
      </c>
      <c r="L2" s="108" t="str">
        <f>IF(LogicCommon!G2="","",LogicCommon!G2)</f>
        <v>MC</v>
      </c>
      <c r="M2" s="5" t="s">
        <v>33</v>
      </c>
      <c r="N2" s="30" t="s">
        <v>364</v>
      </c>
      <c r="O2" s="7"/>
      <c r="P2" s="7"/>
      <c r="Q2" s="4"/>
      <c r="R2" s="65"/>
    </row>
    <row r="3" spans="1:18" s="11" customFormat="1" x14ac:dyDescent="0.2">
      <c r="A3" s="109" t="s">
        <v>16</v>
      </c>
      <c r="B3" s="110"/>
      <c r="C3" s="110"/>
      <c r="D3" s="111" t="str">
        <f>IF(LogicCommon!A3="","",LogicCommon!A3)</f>
        <v/>
      </c>
      <c r="E3" s="7" t="s">
        <v>13</v>
      </c>
      <c r="F3" s="108" t="str">
        <f>IF(LogicCommon!C3="","",LogicCommon!C3)</f>
        <v>MABS</v>
      </c>
      <c r="G3" s="7" t="s">
        <v>10</v>
      </c>
      <c r="H3" s="108" t="str">
        <f>IF(LogicCommon!E3="","",LogicCommon!E3)</f>
        <v>MABSL_MpsItmReg</v>
      </c>
      <c r="I3" s="7" t="s">
        <v>34</v>
      </c>
      <c r="J3" s="9" t="s">
        <v>35</v>
      </c>
      <c r="K3" s="7" t="s">
        <v>36</v>
      </c>
      <c r="L3" s="108" t="str">
        <f>IF(LogicCommon!G3="","",LogicCommon!G3)</f>
        <v/>
      </c>
      <c r="M3" s="112" t="s">
        <v>37</v>
      </c>
      <c r="N3" s="7"/>
      <c r="O3" s="7" t="s">
        <v>38</v>
      </c>
      <c r="P3" s="9" t="s">
        <v>39</v>
      </c>
      <c r="Q3" s="4"/>
      <c r="R3" s="65"/>
    </row>
    <row r="4" spans="1:18" s="11" customFormat="1" x14ac:dyDescent="0.2">
      <c r="A4" s="109" t="s">
        <v>16</v>
      </c>
      <c r="B4" s="110"/>
      <c r="C4" s="110"/>
      <c r="D4" s="4"/>
      <c r="E4" s="7" t="s">
        <v>8</v>
      </c>
      <c r="F4" s="10" t="s">
        <v>281</v>
      </c>
      <c r="G4" s="7" t="s">
        <v>11</v>
      </c>
      <c r="H4" s="108" t="str">
        <f>IF(LogicCommon!E4="","",LogicCommon!E4)</f>
        <v>ＭＰＳ品目マスタ登録</v>
      </c>
      <c r="I4" s="7" t="s">
        <v>40</v>
      </c>
      <c r="J4" s="9" t="s">
        <v>85</v>
      </c>
      <c r="K4" s="7" t="s">
        <v>5</v>
      </c>
      <c r="L4" s="108" t="str">
        <f>IF(LogicCommon!G4="","",LogicCommon!G4)</f>
        <v>MA.MAUDL5010</v>
      </c>
      <c r="M4" s="113"/>
      <c r="N4" s="30"/>
      <c r="O4" s="15"/>
      <c r="P4" s="4"/>
      <c r="Q4" s="4"/>
      <c r="R4" s="65"/>
    </row>
    <row r="5" spans="1:18" s="11" customFormat="1" x14ac:dyDescent="0.2">
      <c r="A5" s="114" t="s">
        <v>16</v>
      </c>
      <c r="B5" s="105"/>
      <c r="C5" s="105"/>
      <c r="D5" s="27"/>
      <c r="E5" s="7" t="s">
        <v>17</v>
      </c>
      <c r="F5" s="10"/>
      <c r="G5" s="89"/>
      <c r="H5" s="89"/>
      <c r="I5" s="89"/>
      <c r="J5" s="89"/>
      <c r="K5" s="89"/>
      <c r="L5" s="6"/>
      <c r="M5" s="5"/>
      <c r="N5" s="5"/>
      <c r="O5" s="15"/>
      <c r="P5" s="4"/>
      <c r="Q5" s="4"/>
      <c r="R5" s="65"/>
    </row>
    <row r="6" spans="1:18" s="11" customFormat="1" x14ac:dyDescent="0.2">
      <c r="A6" s="109" t="s">
        <v>16</v>
      </c>
      <c r="B6" s="110"/>
      <c r="C6" s="110"/>
      <c r="D6" s="4" t="s">
        <v>6</v>
      </c>
      <c r="E6" s="17" t="s">
        <v>242</v>
      </c>
      <c r="F6" s="17"/>
      <c r="G6" s="17"/>
      <c r="H6" s="17"/>
      <c r="I6" s="17"/>
      <c r="J6" s="17"/>
      <c r="K6" s="17"/>
      <c r="L6" s="115" t="s">
        <v>44</v>
      </c>
      <c r="M6" s="20"/>
      <c r="N6" s="20" t="s">
        <v>44</v>
      </c>
      <c r="O6" s="20"/>
      <c r="P6" s="20"/>
      <c r="Q6" s="20"/>
      <c r="R6" s="65"/>
    </row>
    <row r="7" spans="1:18" s="11" customFormat="1" x14ac:dyDescent="0.2">
      <c r="A7" s="67" t="s">
        <v>19</v>
      </c>
      <c r="B7" s="67"/>
      <c r="C7" s="67"/>
      <c r="D7" s="68"/>
      <c r="E7" s="68"/>
      <c r="F7" s="68"/>
      <c r="G7" s="68"/>
      <c r="H7" s="68"/>
      <c r="I7" s="68" t="s">
        <v>46</v>
      </c>
      <c r="J7" s="68"/>
      <c r="K7" s="69" t="s">
        <v>47</v>
      </c>
      <c r="L7" s="70" t="s">
        <v>114</v>
      </c>
      <c r="M7" s="69" t="s">
        <v>47</v>
      </c>
      <c r="N7" s="70" t="s">
        <v>115</v>
      </c>
      <c r="O7" s="66"/>
      <c r="P7" s="66"/>
      <c r="Q7" s="66"/>
      <c r="R7" s="66"/>
    </row>
    <row r="8" spans="1:18" s="11" customFormat="1" ht="60" customHeight="1" x14ac:dyDescent="0.2">
      <c r="A8" s="57" t="s">
        <v>19</v>
      </c>
      <c r="B8" s="120"/>
      <c r="C8" s="121"/>
      <c r="D8" s="118" t="s">
        <v>370</v>
      </c>
      <c r="E8" s="118" t="s">
        <v>371</v>
      </c>
      <c r="F8" s="115"/>
      <c r="G8" s="118" t="s">
        <v>282</v>
      </c>
      <c r="H8" s="118" t="s">
        <v>372</v>
      </c>
      <c r="I8" s="115"/>
      <c r="J8" s="3"/>
      <c r="K8" s="69" t="s">
        <v>18</v>
      </c>
      <c r="L8" s="9" t="s">
        <v>214</v>
      </c>
      <c r="M8" s="69" t="s">
        <v>18</v>
      </c>
      <c r="N8" s="9" t="s">
        <v>215</v>
      </c>
      <c r="O8" s="128"/>
      <c r="P8" s="129"/>
      <c r="Q8" s="130" t="s">
        <v>381</v>
      </c>
      <c r="R8" s="85"/>
    </row>
    <row r="9" spans="1:18" s="11" customFormat="1" ht="60" customHeight="1" x14ac:dyDescent="0.2">
      <c r="A9" s="9" t="s">
        <v>19</v>
      </c>
      <c r="B9" s="40"/>
      <c r="C9" s="41"/>
      <c r="D9" s="118" t="s">
        <v>373</v>
      </c>
      <c r="E9" s="125" t="s">
        <v>374</v>
      </c>
      <c r="F9" s="118" t="s">
        <v>375</v>
      </c>
      <c r="G9" s="118" t="s">
        <v>376</v>
      </c>
      <c r="H9" s="118" t="s">
        <v>377</v>
      </c>
      <c r="I9" s="126" t="s">
        <v>378</v>
      </c>
      <c r="J9" s="118" t="s">
        <v>379</v>
      </c>
      <c r="K9" s="69"/>
      <c r="L9" s="69"/>
      <c r="M9" s="69"/>
      <c r="N9" s="69"/>
      <c r="O9" s="130" t="s">
        <v>380</v>
      </c>
      <c r="P9" s="85"/>
      <c r="Q9" s="130" t="s">
        <v>382</v>
      </c>
      <c r="R9" s="85"/>
    </row>
    <row r="10" spans="1:18" s="11" customFormat="1" ht="52" x14ac:dyDescent="0.2">
      <c r="A10" s="74" t="s">
        <v>19</v>
      </c>
      <c r="B10" s="75"/>
      <c r="C10" s="75"/>
      <c r="D10" s="76"/>
      <c r="E10" s="77"/>
      <c r="F10" s="77"/>
      <c r="G10" s="78"/>
      <c r="H10" s="78"/>
      <c r="I10" s="77"/>
      <c r="J10" s="77"/>
      <c r="K10" s="127" t="s">
        <v>378</v>
      </c>
      <c r="L10" s="127" t="s">
        <v>379</v>
      </c>
      <c r="M10" s="127" t="s">
        <v>378</v>
      </c>
      <c r="N10" s="127" t="s">
        <v>379</v>
      </c>
      <c r="O10" s="77"/>
      <c r="P10" s="77"/>
      <c r="Q10" s="78"/>
      <c r="R10" s="72"/>
    </row>
    <row r="11" spans="1:18" s="11" customFormat="1" x14ac:dyDescent="0.2">
      <c r="A11" s="9">
        <v>10</v>
      </c>
      <c r="B11" s="40" t="s">
        <v>0</v>
      </c>
      <c r="C11" s="41"/>
      <c r="D11" s="30" t="s">
        <v>189</v>
      </c>
      <c r="E11" s="79" t="s">
        <v>23</v>
      </c>
      <c r="F11" s="80"/>
      <c r="G11" s="30" t="s">
        <v>106</v>
      </c>
      <c r="H11" s="81" t="s">
        <v>351</v>
      </c>
      <c r="I11" s="82"/>
      <c r="J11" s="83"/>
      <c r="K11" s="84" t="s">
        <v>352</v>
      </c>
      <c r="L11" s="84"/>
      <c r="M11" s="84" t="s">
        <v>353</v>
      </c>
      <c r="N11" s="84"/>
      <c r="O11" s="71"/>
      <c r="P11" s="72"/>
      <c r="Q11" s="102"/>
      <c r="R11" s="104"/>
    </row>
    <row r="12" spans="1:18" s="11" customFormat="1" x14ac:dyDescent="0.2">
      <c r="A12" s="9">
        <v>10</v>
      </c>
      <c r="B12" s="9"/>
      <c r="C12" s="9"/>
      <c r="D12" s="9" t="s">
        <v>159</v>
      </c>
      <c r="E12" s="57" t="s">
        <v>160</v>
      </c>
      <c r="F12" s="57"/>
      <c r="G12" s="58" t="s">
        <v>383</v>
      </c>
      <c r="H12" s="58" t="s">
        <v>284</v>
      </c>
      <c r="I12" s="9" t="s">
        <v>42</v>
      </c>
      <c r="J12" s="9"/>
      <c r="K12" s="9" t="s">
        <v>87</v>
      </c>
      <c r="L12" s="9"/>
      <c r="M12" s="9" t="s">
        <v>87</v>
      </c>
      <c r="N12" s="9"/>
      <c r="O12" s="78"/>
      <c r="P12" s="72"/>
      <c r="Q12" s="102"/>
      <c r="R12" s="104"/>
    </row>
    <row r="13" spans="1:18" s="11" customFormat="1" x14ac:dyDescent="0.2">
      <c r="A13" s="9">
        <v>10</v>
      </c>
      <c r="B13" s="9"/>
      <c r="C13" s="9"/>
      <c r="D13" s="9" t="s">
        <v>123</v>
      </c>
      <c r="E13" s="57" t="s">
        <v>119</v>
      </c>
      <c r="F13" s="57"/>
      <c r="G13" s="58" t="s">
        <v>384</v>
      </c>
      <c r="H13" s="58" t="s">
        <v>248</v>
      </c>
      <c r="I13" s="9" t="s">
        <v>42</v>
      </c>
      <c r="J13" s="9"/>
      <c r="K13" s="9" t="s">
        <v>87</v>
      </c>
      <c r="L13" s="9"/>
      <c r="M13" s="9" t="s">
        <v>87</v>
      </c>
      <c r="N13" s="9"/>
      <c r="O13" s="78"/>
      <c r="P13" s="72"/>
      <c r="Q13" s="102"/>
      <c r="R13" s="104"/>
    </row>
    <row r="14" spans="1:18" s="11" customFormat="1" x14ac:dyDescent="0.2">
      <c r="A14" s="9">
        <v>10</v>
      </c>
      <c r="B14" s="9"/>
      <c r="C14" s="9"/>
      <c r="D14" s="9" t="s">
        <v>124</v>
      </c>
      <c r="E14" s="57" t="s">
        <v>120</v>
      </c>
      <c r="F14" s="57"/>
      <c r="G14" s="58" t="s">
        <v>385</v>
      </c>
      <c r="H14" s="58" t="s">
        <v>249</v>
      </c>
      <c r="I14" s="9" t="s">
        <v>42</v>
      </c>
      <c r="J14" s="9"/>
      <c r="K14" s="9" t="s">
        <v>87</v>
      </c>
      <c r="L14" s="9"/>
      <c r="M14" s="9" t="s">
        <v>87</v>
      </c>
      <c r="N14" s="9"/>
      <c r="O14" s="78"/>
      <c r="P14" s="72"/>
      <c r="Q14" s="102"/>
      <c r="R14" s="104"/>
    </row>
    <row r="15" spans="1:18" s="11" customFormat="1" x14ac:dyDescent="0.2">
      <c r="A15" s="9">
        <v>10</v>
      </c>
      <c r="B15" s="9"/>
      <c r="C15" s="9"/>
      <c r="D15" s="9" t="s">
        <v>125</v>
      </c>
      <c r="E15" s="57" t="s">
        <v>121</v>
      </c>
      <c r="F15" s="57"/>
      <c r="G15" s="58" t="s">
        <v>386</v>
      </c>
      <c r="H15" s="58" t="s">
        <v>250</v>
      </c>
      <c r="I15" s="9" t="s">
        <v>42</v>
      </c>
      <c r="J15" s="9"/>
      <c r="K15" s="9" t="s">
        <v>87</v>
      </c>
      <c r="L15" s="9"/>
      <c r="M15" s="9" t="s">
        <v>87</v>
      </c>
      <c r="N15" s="9"/>
      <c r="O15" s="78"/>
      <c r="P15" s="72"/>
      <c r="Q15" s="102"/>
      <c r="R15" s="104"/>
    </row>
    <row r="16" spans="1:18" s="11" customFormat="1" x14ac:dyDescent="0.2">
      <c r="A16" s="9">
        <v>10</v>
      </c>
      <c r="B16" s="9"/>
      <c r="C16" s="9"/>
      <c r="D16" s="9" t="s">
        <v>126</v>
      </c>
      <c r="E16" s="57" t="s">
        <v>122</v>
      </c>
      <c r="F16" s="57"/>
      <c r="G16" s="58" t="s">
        <v>387</v>
      </c>
      <c r="H16" s="58" t="s">
        <v>251</v>
      </c>
      <c r="I16" s="9" t="s">
        <v>42</v>
      </c>
      <c r="J16" s="9"/>
      <c r="K16" s="9" t="s">
        <v>87</v>
      </c>
      <c r="L16" s="9"/>
      <c r="M16" s="9" t="s">
        <v>87</v>
      </c>
      <c r="N16" s="9"/>
      <c r="O16" s="78"/>
      <c r="P16" s="72"/>
      <c r="Q16" s="102"/>
      <c r="R16" s="104"/>
    </row>
    <row r="17" spans="1:18" s="11" customFormat="1" x14ac:dyDescent="0.2">
      <c r="A17" s="9">
        <v>10</v>
      </c>
      <c r="B17" s="9"/>
      <c r="C17" s="9"/>
      <c r="D17" s="9" t="s">
        <v>102</v>
      </c>
      <c r="E17" s="57" t="s">
        <v>103</v>
      </c>
      <c r="F17" s="57"/>
      <c r="G17" s="58" t="s">
        <v>402</v>
      </c>
      <c r="H17" s="58" t="s">
        <v>101</v>
      </c>
      <c r="I17" s="9" t="s">
        <v>87</v>
      </c>
      <c r="J17" s="9"/>
      <c r="K17" s="9" t="s">
        <v>87</v>
      </c>
      <c r="L17" s="9"/>
      <c r="M17" s="9" t="s">
        <v>87</v>
      </c>
      <c r="N17" s="9"/>
      <c r="O17" s="78"/>
      <c r="P17" s="72"/>
      <c r="Q17" s="102"/>
      <c r="R17" s="104"/>
    </row>
    <row r="18" spans="1:18" s="11" customFormat="1" x14ac:dyDescent="0.2">
      <c r="A18" s="86"/>
      <c r="B18" s="87"/>
      <c r="C18" s="87"/>
      <c r="D18" s="65" t="s">
        <v>1</v>
      </c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4"/>
      <c r="P18" s="4"/>
      <c r="Q18" s="6"/>
      <c r="R18" s="24"/>
    </row>
    <row r="19" spans="1:18" s="11" customFormat="1" x14ac:dyDescent="0.2">
      <c r="A19" s="109"/>
      <c r="R19" s="64"/>
    </row>
    <row r="20" spans="1:18" s="11" customFormat="1" x14ac:dyDescent="0.2">
      <c r="A20" s="109"/>
      <c r="R20" s="64"/>
    </row>
    <row r="21" spans="1:18" s="11" customFormat="1" x14ac:dyDescent="0.2">
      <c r="A21" s="109"/>
      <c r="R21" s="64"/>
    </row>
    <row r="22" spans="1:18" s="11" customFormat="1" x14ac:dyDescent="0.2">
      <c r="A22" s="109"/>
      <c r="R22" s="64"/>
    </row>
    <row r="23" spans="1:18" s="11" customFormat="1" x14ac:dyDescent="0.2">
      <c r="A23" s="109"/>
      <c r="R23" s="64"/>
    </row>
    <row r="24" spans="1:18" s="11" customFormat="1" x14ac:dyDescent="0.2">
      <c r="A24" s="109"/>
      <c r="R24" s="64"/>
    </row>
    <row r="25" spans="1:18" s="11" customFormat="1" x14ac:dyDescent="0.2">
      <c r="A25" s="109"/>
      <c r="R25" s="64"/>
    </row>
    <row r="26" spans="1:18" s="11" customFormat="1" x14ac:dyDescent="0.2">
      <c r="A26" s="109"/>
      <c r="R26" s="64"/>
    </row>
    <row r="27" spans="1:18" s="11" customFormat="1" x14ac:dyDescent="0.2">
      <c r="A27" s="109"/>
      <c r="R27" s="64"/>
    </row>
    <row r="28" spans="1:18" s="11" customFormat="1" x14ac:dyDescent="0.2">
      <c r="A28" s="114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1"/>
    </row>
  </sheetData>
  <dataConsolidate/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98" customWidth="1"/>
    <col min="43" max="44" width="2.08984375" style="100" customWidth="1"/>
    <col min="45" max="71" width="2.08984375" style="98" customWidth="1"/>
    <col min="72" max="16384" width="9" style="98"/>
  </cols>
  <sheetData>
    <row r="1" spans="1:57" ht="38.25" customHeight="1" thickBot="1" x14ac:dyDescent="0.25">
      <c r="A1" s="170" t="s">
        <v>24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1"/>
      <c r="AH1" s="171"/>
      <c r="AI1" s="171"/>
      <c r="AJ1" s="171"/>
      <c r="AK1" s="171"/>
      <c r="AL1" s="171"/>
      <c r="AM1" s="171"/>
      <c r="AN1" s="171"/>
      <c r="AO1" s="171"/>
      <c r="AP1" s="171"/>
      <c r="AQ1" s="171"/>
      <c r="AR1" s="171"/>
      <c r="AS1" s="171"/>
      <c r="AT1" s="171"/>
      <c r="AU1" s="171"/>
      <c r="AV1" s="171"/>
      <c r="AW1" s="171"/>
      <c r="AX1" s="171"/>
      <c r="AY1" s="171"/>
      <c r="AZ1" s="171"/>
      <c r="BA1" s="171"/>
      <c r="BB1" s="171"/>
      <c r="BC1" s="171"/>
      <c r="BD1" s="171"/>
      <c r="BE1" s="172"/>
    </row>
    <row r="2" spans="1:57" ht="12" customHeight="1" thickBot="1" x14ac:dyDescent="0.25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</row>
    <row r="3" spans="1:57" ht="15" customHeight="1" thickBot="1" x14ac:dyDescent="0.25">
      <c r="A3" s="158" t="s">
        <v>25</v>
      </c>
      <c r="B3" s="159"/>
      <c r="C3" s="159"/>
      <c r="D3" s="159"/>
      <c r="E3" s="159"/>
      <c r="F3" s="159"/>
      <c r="G3" s="160"/>
      <c r="H3" s="173" t="s">
        <v>26</v>
      </c>
      <c r="I3" s="159"/>
      <c r="J3" s="159"/>
      <c r="K3" s="159"/>
      <c r="L3" s="159"/>
      <c r="M3" s="159"/>
      <c r="N3" s="160"/>
      <c r="O3" s="173" t="s">
        <v>27</v>
      </c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  <c r="AC3" s="174"/>
      <c r="AD3" s="174"/>
      <c r="AE3" s="174"/>
      <c r="AF3" s="174"/>
      <c r="AG3" s="174"/>
      <c r="AH3" s="174"/>
      <c r="AI3" s="174"/>
      <c r="AJ3" s="174"/>
      <c r="AK3" s="174"/>
      <c r="AL3" s="174"/>
      <c r="AM3" s="174"/>
      <c r="AN3" s="174"/>
      <c r="AO3" s="174"/>
      <c r="AP3" s="175"/>
      <c r="AQ3" s="173" t="s">
        <v>28</v>
      </c>
      <c r="AR3" s="176"/>
      <c r="AS3" s="176"/>
      <c r="AT3" s="176"/>
      <c r="AU3" s="176"/>
      <c r="AV3" s="176"/>
      <c r="AW3" s="176"/>
      <c r="AX3" s="176"/>
      <c r="AY3" s="176"/>
      <c r="AZ3" s="176"/>
      <c r="BA3" s="176"/>
      <c r="BB3" s="176"/>
      <c r="BC3" s="176"/>
      <c r="BD3" s="176"/>
      <c r="BE3" s="177"/>
    </row>
    <row r="4" spans="1:57" ht="15" customHeight="1" x14ac:dyDescent="0.2">
      <c r="A4" s="161">
        <v>1</v>
      </c>
      <c r="B4" s="162"/>
      <c r="C4" s="162"/>
      <c r="D4" s="162"/>
      <c r="E4" s="162"/>
      <c r="F4" s="162"/>
      <c r="G4" s="163"/>
      <c r="H4" s="151"/>
      <c r="I4" s="152"/>
      <c r="J4" s="152"/>
      <c r="K4" s="152"/>
      <c r="L4" s="152"/>
      <c r="M4" s="152"/>
      <c r="N4" s="153"/>
      <c r="O4" s="151" t="s">
        <v>29</v>
      </c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  <c r="AC4" s="154"/>
      <c r="AD4" s="154"/>
      <c r="AE4" s="154"/>
      <c r="AF4" s="154"/>
      <c r="AG4" s="154"/>
      <c r="AH4" s="154"/>
      <c r="AI4" s="154"/>
      <c r="AJ4" s="154"/>
      <c r="AK4" s="154"/>
      <c r="AL4" s="154"/>
      <c r="AM4" s="154"/>
      <c r="AN4" s="154"/>
      <c r="AO4" s="154"/>
      <c r="AP4" s="155"/>
      <c r="AQ4" s="156"/>
      <c r="AR4" s="154"/>
      <c r="AS4" s="154"/>
      <c r="AT4" s="154"/>
      <c r="AU4" s="154"/>
      <c r="AV4" s="154"/>
      <c r="AW4" s="154"/>
      <c r="AX4" s="154"/>
      <c r="AY4" s="154"/>
      <c r="AZ4" s="154"/>
      <c r="BA4" s="154"/>
      <c r="BB4" s="154"/>
      <c r="BC4" s="154"/>
      <c r="BD4" s="154"/>
      <c r="BE4" s="157"/>
    </row>
    <row r="5" spans="1:57" ht="15" customHeight="1" x14ac:dyDescent="0.2">
      <c r="A5" s="164">
        <v>1.1000000000000001</v>
      </c>
      <c r="B5" s="165"/>
      <c r="C5" s="165"/>
      <c r="D5" s="165"/>
      <c r="E5" s="165"/>
      <c r="F5" s="165"/>
      <c r="G5" s="166"/>
      <c r="H5" s="138"/>
      <c r="I5" s="139"/>
      <c r="J5" s="139"/>
      <c r="K5" s="139"/>
      <c r="L5" s="139"/>
      <c r="M5" s="139"/>
      <c r="N5" s="140"/>
      <c r="O5" s="145" t="s">
        <v>453</v>
      </c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  <c r="AJ5" s="146"/>
      <c r="AK5" s="146"/>
      <c r="AL5" s="146"/>
      <c r="AM5" s="146"/>
      <c r="AN5" s="146"/>
      <c r="AO5" s="146"/>
      <c r="AP5" s="147"/>
      <c r="AQ5" s="148" t="s">
        <v>454</v>
      </c>
      <c r="AR5" s="149"/>
      <c r="AS5" s="149"/>
      <c r="AT5" s="149"/>
      <c r="AU5" s="149"/>
      <c r="AV5" s="149"/>
      <c r="AW5" s="149"/>
      <c r="AX5" s="149"/>
      <c r="AY5" s="149"/>
      <c r="AZ5" s="149"/>
      <c r="BA5" s="149"/>
      <c r="BB5" s="149"/>
      <c r="BC5" s="149"/>
      <c r="BD5" s="149"/>
      <c r="BE5" s="150"/>
    </row>
    <row r="6" spans="1:57" ht="15" customHeight="1" x14ac:dyDescent="0.2">
      <c r="A6" s="164"/>
      <c r="B6" s="165"/>
      <c r="C6" s="165"/>
      <c r="D6" s="165"/>
      <c r="E6" s="165"/>
      <c r="F6" s="165"/>
      <c r="G6" s="166"/>
      <c r="H6" s="138"/>
      <c r="I6" s="139"/>
      <c r="J6" s="139"/>
      <c r="K6" s="139"/>
      <c r="L6" s="139"/>
      <c r="M6" s="139"/>
      <c r="N6" s="140"/>
      <c r="O6" s="138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1"/>
      <c r="AJ6" s="141"/>
      <c r="AK6" s="141"/>
      <c r="AL6" s="141"/>
      <c r="AM6" s="141"/>
      <c r="AN6" s="141"/>
      <c r="AO6" s="141"/>
      <c r="AP6" s="142"/>
      <c r="AQ6" s="143"/>
      <c r="AR6" s="141"/>
      <c r="AS6" s="141"/>
      <c r="AT6" s="141"/>
      <c r="AU6" s="141"/>
      <c r="AV6" s="141"/>
      <c r="AW6" s="141"/>
      <c r="AX6" s="141"/>
      <c r="AY6" s="141"/>
      <c r="AZ6" s="141"/>
      <c r="BA6" s="141"/>
      <c r="BB6" s="141"/>
      <c r="BC6" s="141"/>
      <c r="BD6" s="141"/>
      <c r="BE6" s="144"/>
    </row>
    <row r="7" spans="1:57" ht="15" customHeight="1" x14ac:dyDescent="0.2">
      <c r="A7" s="164"/>
      <c r="B7" s="165"/>
      <c r="C7" s="165"/>
      <c r="D7" s="165"/>
      <c r="E7" s="165"/>
      <c r="F7" s="165"/>
      <c r="G7" s="166"/>
      <c r="H7" s="138"/>
      <c r="I7" s="139"/>
      <c r="J7" s="139"/>
      <c r="K7" s="139"/>
      <c r="L7" s="139"/>
      <c r="M7" s="139"/>
      <c r="N7" s="140"/>
      <c r="O7" s="138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141"/>
      <c r="AN7" s="141"/>
      <c r="AO7" s="141"/>
      <c r="AP7" s="142"/>
      <c r="AQ7" s="143"/>
      <c r="AR7" s="141"/>
      <c r="AS7" s="141"/>
      <c r="AT7" s="141"/>
      <c r="AU7" s="141"/>
      <c r="AV7" s="141"/>
      <c r="AW7" s="141"/>
      <c r="AX7" s="141"/>
      <c r="AY7" s="141"/>
      <c r="AZ7" s="141"/>
      <c r="BA7" s="141"/>
      <c r="BB7" s="141"/>
      <c r="BC7" s="141"/>
      <c r="BD7" s="141"/>
      <c r="BE7" s="144"/>
    </row>
    <row r="8" spans="1:57" ht="15" customHeight="1" x14ac:dyDescent="0.2">
      <c r="A8" s="164"/>
      <c r="B8" s="165"/>
      <c r="C8" s="165"/>
      <c r="D8" s="165"/>
      <c r="E8" s="165"/>
      <c r="F8" s="165"/>
      <c r="G8" s="166"/>
      <c r="H8" s="138"/>
      <c r="I8" s="139"/>
      <c r="J8" s="139"/>
      <c r="K8" s="139"/>
      <c r="L8" s="139"/>
      <c r="M8" s="139"/>
      <c r="N8" s="140"/>
      <c r="O8" s="138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  <c r="AB8" s="141"/>
      <c r="AC8" s="141"/>
      <c r="AD8" s="141"/>
      <c r="AE8" s="141"/>
      <c r="AF8" s="141"/>
      <c r="AG8" s="141"/>
      <c r="AH8" s="141"/>
      <c r="AI8" s="141"/>
      <c r="AJ8" s="141"/>
      <c r="AK8" s="141"/>
      <c r="AL8" s="141"/>
      <c r="AM8" s="141"/>
      <c r="AN8" s="141"/>
      <c r="AO8" s="141"/>
      <c r="AP8" s="142"/>
      <c r="AQ8" s="143"/>
      <c r="AR8" s="141"/>
      <c r="AS8" s="141"/>
      <c r="AT8" s="141"/>
      <c r="AU8" s="141"/>
      <c r="AV8" s="141"/>
      <c r="AW8" s="141"/>
      <c r="AX8" s="141"/>
      <c r="AY8" s="141"/>
      <c r="AZ8" s="141"/>
      <c r="BA8" s="141"/>
      <c r="BB8" s="141"/>
      <c r="BC8" s="141"/>
      <c r="BD8" s="141"/>
      <c r="BE8" s="144"/>
    </row>
    <row r="9" spans="1:57" ht="15" customHeight="1" x14ac:dyDescent="0.2">
      <c r="A9" s="164"/>
      <c r="B9" s="165"/>
      <c r="C9" s="165"/>
      <c r="D9" s="165"/>
      <c r="E9" s="165"/>
      <c r="F9" s="165"/>
      <c r="G9" s="166"/>
      <c r="H9" s="138"/>
      <c r="I9" s="139"/>
      <c r="J9" s="139"/>
      <c r="K9" s="139"/>
      <c r="L9" s="139"/>
      <c r="M9" s="139"/>
      <c r="N9" s="140"/>
      <c r="O9" s="138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141"/>
      <c r="AN9" s="141"/>
      <c r="AO9" s="141"/>
      <c r="AP9" s="142"/>
      <c r="AQ9" s="143"/>
      <c r="AR9" s="141"/>
      <c r="AS9" s="141"/>
      <c r="AT9" s="141"/>
      <c r="AU9" s="141"/>
      <c r="AV9" s="141"/>
      <c r="AW9" s="141"/>
      <c r="AX9" s="141"/>
      <c r="AY9" s="141"/>
      <c r="AZ9" s="141"/>
      <c r="BA9" s="141"/>
      <c r="BB9" s="141"/>
      <c r="BC9" s="141"/>
      <c r="BD9" s="141"/>
      <c r="BE9" s="144"/>
    </row>
    <row r="10" spans="1:57" ht="15" customHeight="1" x14ac:dyDescent="0.2">
      <c r="A10" s="164"/>
      <c r="B10" s="165"/>
      <c r="C10" s="165"/>
      <c r="D10" s="165"/>
      <c r="E10" s="165"/>
      <c r="F10" s="165"/>
      <c r="G10" s="166"/>
      <c r="H10" s="138"/>
      <c r="I10" s="139"/>
      <c r="J10" s="139"/>
      <c r="K10" s="139"/>
      <c r="L10" s="139"/>
      <c r="M10" s="139"/>
      <c r="N10" s="140"/>
      <c r="O10" s="138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141"/>
      <c r="AN10" s="141"/>
      <c r="AO10" s="141"/>
      <c r="AP10" s="142"/>
      <c r="AQ10" s="143"/>
      <c r="AR10" s="141"/>
      <c r="AS10" s="141"/>
      <c r="AT10" s="141"/>
      <c r="AU10" s="141"/>
      <c r="AV10" s="141"/>
      <c r="AW10" s="141"/>
      <c r="AX10" s="141"/>
      <c r="AY10" s="141"/>
      <c r="AZ10" s="141"/>
      <c r="BA10" s="141"/>
      <c r="BB10" s="141"/>
      <c r="BC10" s="141"/>
      <c r="BD10" s="141"/>
      <c r="BE10" s="144"/>
    </row>
    <row r="11" spans="1:57" ht="15" customHeight="1" x14ac:dyDescent="0.2">
      <c r="A11" s="164"/>
      <c r="B11" s="165"/>
      <c r="C11" s="165"/>
      <c r="D11" s="165"/>
      <c r="E11" s="165"/>
      <c r="F11" s="165"/>
      <c r="G11" s="166"/>
      <c r="H11" s="138"/>
      <c r="I11" s="139"/>
      <c r="J11" s="139"/>
      <c r="K11" s="139"/>
      <c r="L11" s="139"/>
      <c r="M11" s="139"/>
      <c r="N11" s="140"/>
      <c r="O11" s="138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2"/>
      <c r="AQ11" s="143"/>
      <c r="AR11" s="141"/>
      <c r="AS11" s="141"/>
      <c r="AT11" s="141"/>
      <c r="AU11" s="141"/>
      <c r="AV11" s="141"/>
      <c r="AW11" s="141"/>
      <c r="AX11" s="141"/>
      <c r="AY11" s="141"/>
      <c r="AZ11" s="141"/>
      <c r="BA11" s="141"/>
      <c r="BB11" s="141"/>
      <c r="BC11" s="141"/>
      <c r="BD11" s="141"/>
      <c r="BE11" s="144"/>
    </row>
    <row r="12" spans="1:57" ht="15" customHeight="1" x14ac:dyDescent="0.2">
      <c r="A12" s="164"/>
      <c r="B12" s="165"/>
      <c r="C12" s="165"/>
      <c r="D12" s="165"/>
      <c r="E12" s="165"/>
      <c r="F12" s="165"/>
      <c r="G12" s="166"/>
      <c r="H12" s="138"/>
      <c r="I12" s="139"/>
      <c r="J12" s="139"/>
      <c r="K12" s="139"/>
      <c r="L12" s="139"/>
      <c r="M12" s="139"/>
      <c r="N12" s="140"/>
      <c r="O12" s="138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141"/>
      <c r="AO12" s="141"/>
      <c r="AP12" s="142"/>
      <c r="AQ12" s="143"/>
      <c r="AR12" s="141"/>
      <c r="AS12" s="141"/>
      <c r="AT12" s="141"/>
      <c r="AU12" s="141"/>
      <c r="AV12" s="141"/>
      <c r="AW12" s="141"/>
      <c r="AX12" s="141"/>
      <c r="AY12" s="141"/>
      <c r="AZ12" s="141"/>
      <c r="BA12" s="141"/>
      <c r="BB12" s="141"/>
      <c r="BC12" s="141"/>
      <c r="BD12" s="141"/>
      <c r="BE12" s="144"/>
    </row>
    <row r="13" spans="1:57" ht="15" customHeight="1" x14ac:dyDescent="0.2">
      <c r="A13" s="164"/>
      <c r="B13" s="165"/>
      <c r="C13" s="165"/>
      <c r="D13" s="165"/>
      <c r="E13" s="165"/>
      <c r="F13" s="165"/>
      <c r="G13" s="166"/>
      <c r="H13" s="138"/>
      <c r="I13" s="139"/>
      <c r="J13" s="139"/>
      <c r="K13" s="139"/>
      <c r="L13" s="139"/>
      <c r="M13" s="139"/>
      <c r="N13" s="140"/>
      <c r="O13" s="138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141"/>
      <c r="AN13" s="141"/>
      <c r="AO13" s="141"/>
      <c r="AP13" s="142"/>
      <c r="AQ13" s="143"/>
      <c r="AR13" s="141"/>
      <c r="AS13" s="141"/>
      <c r="AT13" s="141"/>
      <c r="AU13" s="141"/>
      <c r="AV13" s="141"/>
      <c r="AW13" s="141"/>
      <c r="AX13" s="141"/>
      <c r="AY13" s="141"/>
      <c r="AZ13" s="141"/>
      <c r="BA13" s="141"/>
      <c r="BB13" s="141"/>
      <c r="BC13" s="141"/>
      <c r="BD13" s="141"/>
      <c r="BE13" s="144"/>
    </row>
    <row r="14" spans="1:57" ht="15" customHeight="1" x14ac:dyDescent="0.2">
      <c r="A14" s="164"/>
      <c r="B14" s="165"/>
      <c r="C14" s="165"/>
      <c r="D14" s="165"/>
      <c r="E14" s="165"/>
      <c r="F14" s="165"/>
      <c r="G14" s="166"/>
      <c r="H14" s="138"/>
      <c r="I14" s="139"/>
      <c r="J14" s="139"/>
      <c r="K14" s="139"/>
      <c r="L14" s="139"/>
      <c r="M14" s="139"/>
      <c r="N14" s="140"/>
      <c r="O14" s="138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141"/>
      <c r="AN14" s="141"/>
      <c r="AO14" s="141"/>
      <c r="AP14" s="142"/>
      <c r="AQ14" s="143"/>
      <c r="AR14" s="141"/>
      <c r="AS14" s="141"/>
      <c r="AT14" s="141"/>
      <c r="AU14" s="141"/>
      <c r="AV14" s="141"/>
      <c r="AW14" s="141"/>
      <c r="AX14" s="141"/>
      <c r="AY14" s="141"/>
      <c r="AZ14" s="141"/>
      <c r="BA14" s="141"/>
      <c r="BB14" s="141"/>
      <c r="BC14" s="141"/>
      <c r="BD14" s="141"/>
      <c r="BE14" s="144"/>
    </row>
    <row r="15" spans="1:57" ht="15" customHeight="1" x14ac:dyDescent="0.2">
      <c r="A15" s="164"/>
      <c r="B15" s="165"/>
      <c r="C15" s="165"/>
      <c r="D15" s="165"/>
      <c r="E15" s="165"/>
      <c r="F15" s="165"/>
      <c r="G15" s="166"/>
      <c r="H15" s="138"/>
      <c r="I15" s="139"/>
      <c r="J15" s="139"/>
      <c r="K15" s="139"/>
      <c r="L15" s="139"/>
      <c r="M15" s="139"/>
      <c r="N15" s="140"/>
      <c r="O15" s="138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  <c r="AF15" s="141"/>
      <c r="AG15" s="141"/>
      <c r="AH15" s="141"/>
      <c r="AI15" s="141"/>
      <c r="AJ15" s="141"/>
      <c r="AK15" s="141"/>
      <c r="AL15" s="141"/>
      <c r="AM15" s="141"/>
      <c r="AN15" s="141"/>
      <c r="AO15" s="141"/>
      <c r="AP15" s="142"/>
      <c r="AQ15" s="143"/>
      <c r="AR15" s="141"/>
      <c r="AS15" s="141"/>
      <c r="AT15" s="141"/>
      <c r="AU15" s="141"/>
      <c r="AV15" s="141"/>
      <c r="AW15" s="141"/>
      <c r="AX15" s="141"/>
      <c r="AY15" s="141"/>
      <c r="AZ15" s="141"/>
      <c r="BA15" s="141"/>
      <c r="BB15" s="141"/>
      <c r="BC15" s="141"/>
      <c r="BD15" s="141"/>
      <c r="BE15" s="144"/>
    </row>
    <row r="16" spans="1:57" ht="15" customHeight="1" x14ac:dyDescent="0.2">
      <c r="A16" s="164"/>
      <c r="B16" s="165"/>
      <c r="C16" s="165"/>
      <c r="D16" s="165"/>
      <c r="E16" s="165"/>
      <c r="F16" s="165"/>
      <c r="G16" s="166"/>
      <c r="H16" s="138"/>
      <c r="I16" s="139"/>
      <c r="J16" s="139"/>
      <c r="K16" s="139"/>
      <c r="L16" s="139"/>
      <c r="M16" s="139"/>
      <c r="N16" s="140"/>
      <c r="O16" s="138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  <c r="AA16" s="141"/>
      <c r="AB16" s="141"/>
      <c r="AC16" s="141"/>
      <c r="AD16" s="141"/>
      <c r="AE16" s="141"/>
      <c r="AF16" s="141"/>
      <c r="AG16" s="141"/>
      <c r="AH16" s="141"/>
      <c r="AI16" s="141"/>
      <c r="AJ16" s="141"/>
      <c r="AK16" s="141"/>
      <c r="AL16" s="141"/>
      <c r="AM16" s="141"/>
      <c r="AN16" s="141"/>
      <c r="AO16" s="141"/>
      <c r="AP16" s="142"/>
      <c r="AQ16" s="143"/>
      <c r="AR16" s="141"/>
      <c r="AS16" s="141"/>
      <c r="AT16" s="141"/>
      <c r="AU16" s="141"/>
      <c r="AV16" s="141"/>
      <c r="AW16" s="141"/>
      <c r="AX16" s="141"/>
      <c r="AY16" s="141"/>
      <c r="AZ16" s="141"/>
      <c r="BA16" s="141"/>
      <c r="BB16" s="141"/>
      <c r="BC16" s="141"/>
      <c r="BD16" s="141"/>
      <c r="BE16" s="144"/>
    </row>
    <row r="17" spans="1:57" ht="15" customHeight="1" x14ac:dyDescent="0.2">
      <c r="A17" s="164"/>
      <c r="B17" s="165"/>
      <c r="C17" s="165"/>
      <c r="D17" s="165"/>
      <c r="E17" s="165"/>
      <c r="F17" s="165"/>
      <c r="G17" s="166"/>
      <c r="H17" s="138"/>
      <c r="I17" s="139"/>
      <c r="J17" s="139"/>
      <c r="K17" s="139"/>
      <c r="L17" s="139"/>
      <c r="M17" s="139"/>
      <c r="N17" s="140"/>
      <c r="O17" s="138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  <c r="AD17" s="141"/>
      <c r="AE17" s="141"/>
      <c r="AF17" s="141"/>
      <c r="AG17" s="141"/>
      <c r="AH17" s="141"/>
      <c r="AI17" s="141"/>
      <c r="AJ17" s="141"/>
      <c r="AK17" s="141"/>
      <c r="AL17" s="141"/>
      <c r="AM17" s="141"/>
      <c r="AN17" s="141"/>
      <c r="AO17" s="141"/>
      <c r="AP17" s="142"/>
      <c r="AQ17" s="143"/>
      <c r="AR17" s="141"/>
      <c r="AS17" s="141"/>
      <c r="AT17" s="141"/>
      <c r="AU17" s="141"/>
      <c r="AV17" s="141"/>
      <c r="AW17" s="141"/>
      <c r="AX17" s="141"/>
      <c r="AY17" s="141"/>
      <c r="AZ17" s="141"/>
      <c r="BA17" s="141"/>
      <c r="BB17" s="141"/>
      <c r="BC17" s="141"/>
      <c r="BD17" s="141"/>
      <c r="BE17" s="144"/>
    </row>
    <row r="18" spans="1:57" ht="15" customHeight="1" x14ac:dyDescent="0.2">
      <c r="A18" s="164"/>
      <c r="B18" s="165"/>
      <c r="C18" s="165"/>
      <c r="D18" s="165"/>
      <c r="E18" s="165"/>
      <c r="F18" s="165"/>
      <c r="G18" s="166"/>
      <c r="H18" s="138"/>
      <c r="I18" s="139"/>
      <c r="J18" s="139"/>
      <c r="K18" s="139"/>
      <c r="L18" s="139"/>
      <c r="M18" s="139"/>
      <c r="N18" s="140"/>
      <c r="O18" s="138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41"/>
      <c r="AI18" s="141"/>
      <c r="AJ18" s="141"/>
      <c r="AK18" s="141"/>
      <c r="AL18" s="141"/>
      <c r="AM18" s="141"/>
      <c r="AN18" s="141"/>
      <c r="AO18" s="141"/>
      <c r="AP18" s="142"/>
      <c r="AQ18" s="143"/>
      <c r="AR18" s="141"/>
      <c r="AS18" s="141"/>
      <c r="AT18" s="141"/>
      <c r="AU18" s="141"/>
      <c r="AV18" s="141"/>
      <c r="AW18" s="141"/>
      <c r="AX18" s="141"/>
      <c r="AY18" s="141"/>
      <c r="AZ18" s="141"/>
      <c r="BA18" s="141"/>
      <c r="BB18" s="141"/>
      <c r="BC18" s="141"/>
      <c r="BD18" s="141"/>
      <c r="BE18" s="144"/>
    </row>
    <row r="19" spans="1:57" ht="15" customHeight="1" x14ac:dyDescent="0.2">
      <c r="A19" s="164"/>
      <c r="B19" s="165"/>
      <c r="C19" s="165"/>
      <c r="D19" s="165"/>
      <c r="E19" s="165"/>
      <c r="F19" s="165"/>
      <c r="G19" s="166"/>
      <c r="H19" s="138"/>
      <c r="I19" s="139"/>
      <c r="J19" s="139"/>
      <c r="K19" s="139"/>
      <c r="L19" s="139"/>
      <c r="M19" s="139"/>
      <c r="N19" s="140"/>
      <c r="O19" s="138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41"/>
      <c r="AH19" s="141"/>
      <c r="AI19" s="141"/>
      <c r="AJ19" s="141"/>
      <c r="AK19" s="141"/>
      <c r="AL19" s="141"/>
      <c r="AM19" s="141"/>
      <c r="AN19" s="141"/>
      <c r="AO19" s="141"/>
      <c r="AP19" s="142"/>
      <c r="AQ19" s="143"/>
      <c r="AR19" s="141"/>
      <c r="AS19" s="141"/>
      <c r="AT19" s="141"/>
      <c r="AU19" s="141"/>
      <c r="AV19" s="141"/>
      <c r="AW19" s="141"/>
      <c r="AX19" s="141"/>
      <c r="AY19" s="141"/>
      <c r="AZ19" s="141"/>
      <c r="BA19" s="141"/>
      <c r="BB19" s="141"/>
      <c r="BC19" s="141"/>
      <c r="BD19" s="141"/>
      <c r="BE19" s="144"/>
    </row>
    <row r="20" spans="1:57" ht="15" customHeight="1" x14ac:dyDescent="0.2">
      <c r="A20" s="164"/>
      <c r="B20" s="165"/>
      <c r="C20" s="165"/>
      <c r="D20" s="165"/>
      <c r="E20" s="165"/>
      <c r="F20" s="165"/>
      <c r="G20" s="166"/>
      <c r="H20" s="138"/>
      <c r="I20" s="139"/>
      <c r="J20" s="139"/>
      <c r="K20" s="139"/>
      <c r="L20" s="139"/>
      <c r="M20" s="139"/>
      <c r="N20" s="140"/>
      <c r="O20" s="138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141"/>
      <c r="AN20" s="141"/>
      <c r="AO20" s="141"/>
      <c r="AP20" s="142"/>
      <c r="AQ20" s="143"/>
      <c r="AR20" s="141"/>
      <c r="AS20" s="141"/>
      <c r="AT20" s="141"/>
      <c r="AU20" s="141"/>
      <c r="AV20" s="141"/>
      <c r="AW20" s="141"/>
      <c r="AX20" s="141"/>
      <c r="AY20" s="141"/>
      <c r="AZ20" s="141"/>
      <c r="BA20" s="141"/>
      <c r="BB20" s="141"/>
      <c r="BC20" s="141"/>
      <c r="BD20" s="141"/>
      <c r="BE20" s="144"/>
    </row>
    <row r="21" spans="1:57" ht="15" customHeight="1" x14ac:dyDescent="0.2">
      <c r="A21" s="164"/>
      <c r="B21" s="165"/>
      <c r="C21" s="165"/>
      <c r="D21" s="165"/>
      <c r="E21" s="165"/>
      <c r="F21" s="165"/>
      <c r="G21" s="166"/>
      <c r="H21" s="138"/>
      <c r="I21" s="139"/>
      <c r="J21" s="139"/>
      <c r="K21" s="139"/>
      <c r="L21" s="139"/>
      <c r="M21" s="139"/>
      <c r="N21" s="140"/>
      <c r="O21" s="138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1"/>
      <c r="AH21" s="141"/>
      <c r="AI21" s="141"/>
      <c r="AJ21" s="141"/>
      <c r="AK21" s="141"/>
      <c r="AL21" s="141"/>
      <c r="AM21" s="141"/>
      <c r="AN21" s="141"/>
      <c r="AO21" s="141"/>
      <c r="AP21" s="142"/>
      <c r="AQ21" s="143"/>
      <c r="AR21" s="141"/>
      <c r="AS21" s="141"/>
      <c r="AT21" s="141"/>
      <c r="AU21" s="141"/>
      <c r="AV21" s="141"/>
      <c r="AW21" s="141"/>
      <c r="AX21" s="141"/>
      <c r="AY21" s="141"/>
      <c r="AZ21" s="141"/>
      <c r="BA21" s="141"/>
      <c r="BB21" s="141"/>
      <c r="BC21" s="141"/>
      <c r="BD21" s="141"/>
      <c r="BE21" s="144"/>
    </row>
    <row r="22" spans="1:57" ht="15" customHeight="1" x14ac:dyDescent="0.2">
      <c r="A22" s="164"/>
      <c r="B22" s="165"/>
      <c r="C22" s="165"/>
      <c r="D22" s="165"/>
      <c r="E22" s="165"/>
      <c r="F22" s="165"/>
      <c r="G22" s="166"/>
      <c r="H22" s="138"/>
      <c r="I22" s="139"/>
      <c r="J22" s="139"/>
      <c r="K22" s="139"/>
      <c r="L22" s="139"/>
      <c r="M22" s="139"/>
      <c r="N22" s="140"/>
      <c r="O22" s="138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141"/>
      <c r="AN22" s="141"/>
      <c r="AO22" s="141"/>
      <c r="AP22" s="142"/>
      <c r="AQ22" s="143"/>
      <c r="AR22" s="141"/>
      <c r="AS22" s="141"/>
      <c r="AT22" s="141"/>
      <c r="AU22" s="141"/>
      <c r="AV22" s="141"/>
      <c r="AW22" s="141"/>
      <c r="AX22" s="141"/>
      <c r="AY22" s="141"/>
      <c r="AZ22" s="141"/>
      <c r="BA22" s="141"/>
      <c r="BB22" s="141"/>
      <c r="BC22" s="141"/>
      <c r="BD22" s="141"/>
      <c r="BE22" s="144"/>
    </row>
    <row r="23" spans="1:57" ht="15" customHeight="1" x14ac:dyDescent="0.2">
      <c r="A23" s="164"/>
      <c r="B23" s="165"/>
      <c r="C23" s="165"/>
      <c r="D23" s="165"/>
      <c r="E23" s="165"/>
      <c r="F23" s="165"/>
      <c r="G23" s="166"/>
      <c r="H23" s="138"/>
      <c r="I23" s="139"/>
      <c r="J23" s="139"/>
      <c r="K23" s="139"/>
      <c r="L23" s="139"/>
      <c r="M23" s="139"/>
      <c r="N23" s="140"/>
      <c r="O23" s="138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141"/>
      <c r="AN23" s="141"/>
      <c r="AO23" s="141"/>
      <c r="AP23" s="142"/>
      <c r="AQ23" s="143"/>
      <c r="AR23" s="141"/>
      <c r="AS23" s="141"/>
      <c r="AT23" s="141"/>
      <c r="AU23" s="141"/>
      <c r="AV23" s="141"/>
      <c r="AW23" s="141"/>
      <c r="AX23" s="141"/>
      <c r="AY23" s="141"/>
      <c r="AZ23" s="141"/>
      <c r="BA23" s="141"/>
      <c r="BB23" s="141"/>
      <c r="BC23" s="141"/>
      <c r="BD23" s="141"/>
      <c r="BE23" s="144"/>
    </row>
    <row r="24" spans="1:57" ht="15" customHeight="1" x14ac:dyDescent="0.2">
      <c r="A24" s="164"/>
      <c r="B24" s="165"/>
      <c r="C24" s="165"/>
      <c r="D24" s="165"/>
      <c r="E24" s="165"/>
      <c r="F24" s="165"/>
      <c r="G24" s="166"/>
      <c r="H24" s="138"/>
      <c r="I24" s="139"/>
      <c r="J24" s="139"/>
      <c r="K24" s="139"/>
      <c r="L24" s="139"/>
      <c r="M24" s="139"/>
      <c r="N24" s="140"/>
      <c r="O24" s="138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  <c r="AH24" s="141"/>
      <c r="AI24" s="141"/>
      <c r="AJ24" s="141"/>
      <c r="AK24" s="141"/>
      <c r="AL24" s="141"/>
      <c r="AM24" s="141"/>
      <c r="AN24" s="141"/>
      <c r="AO24" s="141"/>
      <c r="AP24" s="142"/>
      <c r="AQ24" s="143"/>
      <c r="AR24" s="141"/>
      <c r="AS24" s="141"/>
      <c r="AT24" s="141"/>
      <c r="AU24" s="141"/>
      <c r="AV24" s="141"/>
      <c r="AW24" s="141"/>
      <c r="AX24" s="141"/>
      <c r="AY24" s="141"/>
      <c r="AZ24" s="141"/>
      <c r="BA24" s="141"/>
      <c r="BB24" s="141"/>
      <c r="BC24" s="141"/>
      <c r="BD24" s="141"/>
      <c r="BE24" s="144"/>
    </row>
    <row r="25" spans="1:57" ht="15" customHeight="1" x14ac:dyDescent="0.2">
      <c r="A25" s="164"/>
      <c r="B25" s="165"/>
      <c r="C25" s="165"/>
      <c r="D25" s="165"/>
      <c r="E25" s="165"/>
      <c r="F25" s="165"/>
      <c r="G25" s="166"/>
      <c r="H25" s="138"/>
      <c r="I25" s="139"/>
      <c r="J25" s="139"/>
      <c r="K25" s="139"/>
      <c r="L25" s="139"/>
      <c r="M25" s="139"/>
      <c r="N25" s="140"/>
      <c r="O25" s="138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141"/>
      <c r="AN25" s="141"/>
      <c r="AO25" s="141"/>
      <c r="AP25" s="142"/>
      <c r="AQ25" s="143"/>
      <c r="AR25" s="141"/>
      <c r="AS25" s="141"/>
      <c r="AT25" s="141"/>
      <c r="AU25" s="141"/>
      <c r="AV25" s="141"/>
      <c r="AW25" s="141"/>
      <c r="AX25" s="141"/>
      <c r="AY25" s="141"/>
      <c r="AZ25" s="141"/>
      <c r="BA25" s="141"/>
      <c r="BB25" s="141"/>
      <c r="BC25" s="141"/>
      <c r="BD25" s="141"/>
      <c r="BE25" s="144"/>
    </row>
    <row r="26" spans="1:57" ht="15" customHeight="1" x14ac:dyDescent="0.2">
      <c r="A26" s="164"/>
      <c r="B26" s="165"/>
      <c r="C26" s="165"/>
      <c r="D26" s="165"/>
      <c r="E26" s="165"/>
      <c r="F26" s="165"/>
      <c r="G26" s="166"/>
      <c r="H26" s="138"/>
      <c r="I26" s="139"/>
      <c r="J26" s="139"/>
      <c r="K26" s="139"/>
      <c r="L26" s="139"/>
      <c r="M26" s="139"/>
      <c r="N26" s="140"/>
      <c r="O26" s="138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141"/>
      <c r="AN26" s="141"/>
      <c r="AO26" s="141"/>
      <c r="AP26" s="142"/>
      <c r="AQ26" s="143"/>
      <c r="AR26" s="141"/>
      <c r="AS26" s="141"/>
      <c r="AT26" s="141"/>
      <c r="AU26" s="141"/>
      <c r="AV26" s="141"/>
      <c r="AW26" s="141"/>
      <c r="AX26" s="141"/>
      <c r="AY26" s="141"/>
      <c r="AZ26" s="141"/>
      <c r="BA26" s="141"/>
      <c r="BB26" s="141"/>
      <c r="BC26" s="141"/>
      <c r="BD26" s="141"/>
      <c r="BE26" s="144"/>
    </row>
    <row r="27" spans="1:57" ht="15" customHeight="1" x14ac:dyDescent="0.2">
      <c r="A27" s="164"/>
      <c r="B27" s="165"/>
      <c r="C27" s="165"/>
      <c r="D27" s="165"/>
      <c r="E27" s="165"/>
      <c r="F27" s="165"/>
      <c r="G27" s="166"/>
      <c r="H27" s="138"/>
      <c r="I27" s="139"/>
      <c r="J27" s="139"/>
      <c r="K27" s="139"/>
      <c r="L27" s="139"/>
      <c r="M27" s="139"/>
      <c r="N27" s="140"/>
      <c r="O27" s="138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1"/>
      <c r="AH27" s="141"/>
      <c r="AI27" s="141"/>
      <c r="AJ27" s="141"/>
      <c r="AK27" s="141"/>
      <c r="AL27" s="141"/>
      <c r="AM27" s="141"/>
      <c r="AN27" s="141"/>
      <c r="AO27" s="141"/>
      <c r="AP27" s="142"/>
      <c r="AQ27" s="143"/>
      <c r="AR27" s="141"/>
      <c r="AS27" s="141"/>
      <c r="AT27" s="141"/>
      <c r="AU27" s="141"/>
      <c r="AV27" s="141"/>
      <c r="AW27" s="141"/>
      <c r="AX27" s="141"/>
      <c r="AY27" s="141"/>
      <c r="AZ27" s="141"/>
      <c r="BA27" s="141"/>
      <c r="BB27" s="141"/>
      <c r="BC27" s="141"/>
      <c r="BD27" s="141"/>
      <c r="BE27" s="144"/>
    </row>
    <row r="28" spans="1:57" ht="15" customHeight="1" x14ac:dyDescent="0.2">
      <c r="A28" s="164"/>
      <c r="B28" s="165"/>
      <c r="C28" s="165"/>
      <c r="D28" s="165"/>
      <c r="E28" s="165"/>
      <c r="F28" s="165"/>
      <c r="G28" s="166"/>
      <c r="H28" s="138"/>
      <c r="I28" s="139"/>
      <c r="J28" s="139"/>
      <c r="K28" s="139"/>
      <c r="L28" s="139"/>
      <c r="M28" s="139"/>
      <c r="N28" s="140"/>
      <c r="O28" s="138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2"/>
      <c r="AQ28" s="143"/>
      <c r="AR28" s="141"/>
      <c r="AS28" s="141"/>
      <c r="AT28" s="141"/>
      <c r="AU28" s="141"/>
      <c r="AV28" s="141"/>
      <c r="AW28" s="141"/>
      <c r="AX28" s="141"/>
      <c r="AY28" s="141"/>
      <c r="AZ28" s="141"/>
      <c r="BA28" s="141"/>
      <c r="BB28" s="141"/>
      <c r="BC28" s="141"/>
      <c r="BD28" s="141"/>
      <c r="BE28" s="144"/>
    </row>
    <row r="29" spans="1:57" ht="15" customHeight="1" x14ac:dyDescent="0.2">
      <c r="A29" s="164"/>
      <c r="B29" s="165"/>
      <c r="C29" s="165"/>
      <c r="D29" s="165"/>
      <c r="E29" s="165"/>
      <c r="F29" s="165"/>
      <c r="G29" s="166"/>
      <c r="H29" s="138"/>
      <c r="I29" s="139"/>
      <c r="J29" s="139"/>
      <c r="K29" s="139"/>
      <c r="L29" s="139"/>
      <c r="M29" s="139"/>
      <c r="N29" s="140"/>
      <c r="O29" s="138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1"/>
      <c r="AH29" s="141"/>
      <c r="AI29" s="141"/>
      <c r="AJ29" s="141"/>
      <c r="AK29" s="141"/>
      <c r="AL29" s="141"/>
      <c r="AM29" s="141"/>
      <c r="AN29" s="141"/>
      <c r="AO29" s="141"/>
      <c r="AP29" s="142"/>
      <c r="AQ29" s="143"/>
      <c r="AR29" s="141"/>
      <c r="AS29" s="141"/>
      <c r="AT29" s="141"/>
      <c r="AU29" s="141"/>
      <c r="AV29" s="141"/>
      <c r="AW29" s="141"/>
      <c r="AX29" s="141"/>
      <c r="AY29" s="141"/>
      <c r="AZ29" s="141"/>
      <c r="BA29" s="141"/>
      <c r="BB29" s="141"/>
      <c r="BC29" s="141"/>
      <c r="BD29" s="141"/>
      <c r="BE29" s="144"/>
    </row>
    <row r="30" spans="1:57" ht="15" customHeight="1" x14ac:dyDescent="0.2">
      <c r="A30" s="164"/>
      <c r="B30" s="165"/>
      <c r="C30" s="165"/>
      <c r="D30" s="165"/>
      <c r="E30" s="165"/>
      <c r="F30" s="165"/>
      <c r="G30" s="166"/>
      <c r="H30" s="138"/>
      <c r="I30" s="139"/>
      <c r="J30" s="139"/>
      <c r="K30" s="139"/>
      <c r="L30" s="139"/>
      <c r="M30" s="139"/>
      <c r="N30" s="140"/>
      <c r="O30" s="138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141"/>
      <c r="AN30" s="141"/>
      <c r="AO30" s="141"/>
      <c r="AP30" s="142"/>
      <c r="AQ30" s="143"/>
      <c r="AR30" s="141"/>
      <c r="AS30" s="141"/>
      <c r="AT30" s="141"/>
      <c r="AU30" s="141"/>
      <c r="AV30" s="141"/>
      <c r="AW30" s="141"/>
      <c r="AX30" s="141"/>
      <c r="AY30" s="141"/>
      <c r="AZ30" s="141"/>
      <c r="BA30" s="141"/>
      <c r="BB30" s="141"/>
      <c r="BC30" s="141"/>
      <c r="BD30" s="141"/>
      <c r="BE30" s="144"/>
    </row>
    <row r="31" spans="1:57" ht="15" customHeight="1" x14ac:dyDescent="0.2">
      <c r="A31" s="164"/>
      <c r="B31" s="165"/>
      <c r="C31" s="165"/>
      <c r="D31" s="165"/>
      <c r="E31" s="165"/>
      <c r="F31" s="165"/>
      <c r="G31" s="166"/>
      <c r="H31" s="138"/>
      <c r="I31" s="139"/>
      <c r="J31" s="139"/>
      <c r="K31" s="139"/>
      <c r="L31" s="139"/>
      <c r="M31" s="139"/>
      <c r="N31" s="140"/>
      <c r="O31" s="138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41"/>
      <c r="AH31" s="141"/>
      <c r="AI31" s="141"/>
      <c r="AJ31" s="141"/>
      <c r="AK31" s="141"/>
      <c r="AL31" s="141"/>
      <c r="AM31" s="141"/>
      <c r="AN31" s="141"/>
      <c r="AO31" s="141"/>
      <c r="AP31" s="142"/>
      <c r="AQ31" s="143"/>
      <c r="AR31" s="141"/>
      <c r="AS31" s="141"/>
      <c r="AT31" s="141"/>
      <c r="AU31" s="141"/>
      <c r="AV31" s="141"/>
      <c r="AW31" s="141"/>
      <c r="AX31" s="141"/>
      <c r="AY31" s="141"/>
      <c r="AZ31" s="141"/>
      <c r="BA31" s="141"/>
      <c r="BB31" s="141"/>
      <c r="BC31" s="141"/>
      <c r="BD31" s="141"/>
      <c r="BE31" s="144"/>
    </row>
    <row r="32" spans="1:57" ht="15" customHeight="1" x14ac:dyDescent="0.2">
      <c r="A32" s="164"/>
      <c r="B32" s="165"/>
      <c r="C32" s="165"/>
      <c r="D32" s="165"/>
      <c r="E32" s="165"/>
      <c r="F32" s="165"/>
      <c r="G32" s="166"/>
      <c r="H32" s="138"/>
      <c r="I32" s="139"/>
      <c r="J32" s="139"/>
      <c r="K32" s="139"/>
      <c r="L32" s="139"/>
      <c r="M32" s="139"/>
      <c r="N32" s="140"/>
      <c r="O32" s="138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141"/>
      <c r="AN32" s="141"/>
      <c r="AO32" s="141"/>
      <c r="AP32" s="142"/>
      <c r="AQ32" s="143"/>
      <c r="AR32" s="141"/>
      <c r="AS32" s="141"/>
      <c r="AT32" s="141"/>
      <c r="AU32" s="141"/>
      <c r="AV32" s="141"/>
      <c r="AW32" s="141"/>
      <c r="AX32" s="141"/>
      <c r="AY32" s="141"/>
      <c r="AZ32" s="141"/>
      <c r="BA32" s="141"/>
      <c r="BB32" s="141"/>
      <c r="BC32" s="141"/>
      <c r="BD32" s="141"/>
      <c r="BE32" s="144"/>
    </row>
    <row r="33" spans="1:57" ht="15" customHeight="1" x14ac:dyDescent="0.2">
      <c r="A33" s="164"/>
      <c r="B33" s="165"/>
      <c r="C33" s="165"/>
      <c r="D33" s="165"/>
      <c r="E33" s="165"/>
      <c r="F33" s="165"/>
      <c r="G33" s="166"/>
      <c r="H33" s="138"/>
      <c r="I33" s="139"/>
      <c r="J33" s="139"/>
      <c r="K33" s="139"/>
      <c r="L33" s="139"/>
      <c r="M33" s="139"/>
      <c r="N33" s="140"/>
      <c r="O33" s="138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41"/>
      <c r="AE33" s="141"/>
      <c r="AF33" s="141"/>
      <c r="AG33" s="141"/>
      <c r="AH33" s="141"/>
      <c r="AI33" s="141"/>
      <c r="AJ33" s="141"/>
      <c r="AK33" s="141"/>
      <c r="AL33" s="141"/>
      <c r="AM33" s="141"/>
      <c r="AN33" s="141"/>
      <c r="AO33" s="141"/>
      <c r="AP33" s="142"/>
      <c r="AQ33" s="143"/>
      <c r="AR33" s="141"/>
      <c r="AS33" s="141"/>
      <c r="AT33" s="141"/>
      <c r="AU33" s="141"/>
      <c r="AV33" s="141"/>
      <c r="AW33" s="141"/>
      <c r="AX33" s="141"/>
      <c r="AY33" s="141"/>
      <c r="AZ33" s="141"/>
      <c r="BA33" s="141"/>
      <c r="BB33" s="141"/>
      <c r="BC33" s="141"/>
      <c r="BD33" s="141"/>
      <c r="BE33" s="144"/>
    </row>
    <row r="34" spans="1:57" ht="15" customHeight="1" x14ac:dyDescent="0.2">
      <c r="A34" s="164"/>
      <c r="B34" s="165"/>
      <c r="C34" s="165"/>
      <c r="D34" s="165"/>
      <c r="E34" s="165"/>
      <c r="F34" s="165"/>
      <c r="G34" s="166"/>
      <c r="H34" s="138"/>
      <c r="I34" s="139"/>
      <c r="J34" s="139"/>
      <c r="K34" s="139"/>
      <c r="L34" s="139"/>
      <c r="M34" s="139"/>
      <c r="N34" s="140"/>
      <c r="O34" s="138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141"/>
      <c r="AN34" s="141"/>
      <c r="AO34" s="141"/>
      <c r="AP34" s="142"/>
      <c r="AQ34" s="143"/>
      <c r="AR34" s="141"/>
      <c r="AS34" s="141"/>
      <c r="AT34" s="141"/>
      <c r="AU34" s="141"/>
      <c r="AV34" s="141"/>
      <c r="AW34" s="141"/>
      <c r="AX34" s="141"/>
      <c r="AY34" s="141"/>
      <c r="AZ34" s="141"/>
      <c r="BA34" s="141"/>
      <c r="BB34" s="141"/>
      <c r="BC34" s="141"/>
      <c r="BD34" s="141"/>
      <c r="BE34" s="144"/>
    </row>
    <row r="35" spans="1:57" ht="15" customHeight="1" thickBot="1" x14ac:dyDescent="0.25">
      <c r="A35" s="167"/>
      <c r="B35" s="168"/>
      <c r="C35" s="168"/>
      <c r="D35" s="168"/>
      <c r="E35" s="168"/>
      <c r="F35" s="168"/>
      <c r="G35" s="169"/>
      <c r="H35" s="178"/>
      <c r="I35" s="179"/>
      <c r="J35" s="179"/>
      <c r="K35" s="179"/>
      <c r="L35" s="179"/>
      <c r="M35" s="179"/>
      <c r="N35" s="180"/>
      <c r="O35" s="178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81"/>
      <c r="AJ35" s="181"/>
      <c r="AK35" s="181"/>
      <c r="AL35" s="181"/>
      <c r="AM35" s="181"/>
      <c r="AN35" s="181"/>
      <c r="AO35" s="181"/>
      <c r="AP35" s="182"/>
      <c r="AQ35" s="183"/>
      <c r="AR35" s="181"/>
      <c r="AS35" s="181"/>
      <c r="AT35" s="181"/>
      <c r="AU35" s="181"/>
      <c r="AV35" s="181"/>
      <c r="AW35" s="181"/>
      <c r="AX35" s="181"/>
      <c r="AY35" s="181"/>
      <c r="AZ35" s="181"/>
      <c r="BA35" s="181"/>
      <c r="BB35" s="181"/>
      <c r="BC35" s="181"/>
      <c r="BD35" s="181"/>
      <c r="BE35" s="184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H35:N35"/>
    <mergeCell ref="O35:AP35"/>
    <mergeCell ref="AQ35:BE35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H32:N32"/>
    <mergeCell ref="O32:AP32"/>
    <mergeCell ref="AQ32:BE32"/>
    <mergeCell ref="H31:N31"/>
    <mergeCell ref="O33:AP33"/>
    <mergeCell ref="AQ33:BE33"/>
    <mergeCell ref="H34:N34"/>
    <mergeCell ref="O34:AP34"/>
    <mergeCell ref="AQ34:BE34"/>
    <mergeCell ref="H33:N33"/>
    <mergeCell ref="H26:N26"/>
    <mergeCell ref="H28:N28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9:N29"/>
    <mergeCell ref="O30:AP30"/>
    <mergeCell ref="AQ30:BE30"/>
    <mergeCell ref="O27:AP27"/>
    <mergeCell ref="AQ27:BE27"/>
    <mergeCell ref="O26:AP26"/>
    <mergeCell ref="AQ26:BE26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7:N7"/>
    <mergeCell ref="O10:AP10"/>
    <mergeCell ref="AQ10:BE10"/>
    <mergeCell ref="H13:N13"/>
    <mergeCell ref="O13:AP13"/>
    <mergeCell ref="AQ13:BE13"/>
    <mergeCell ref="AQ14:BE14"/>
    <mergeCell ref="H12:N12"/>
    <mergeCell ref="O12:AP12"/>
    <mergeCell ref="H5:N5"/>
    <mergeCell ref="O5:AP5"/>
    <mergeCell ref="AQ5:BE5"/>
    <mergeCell ref="H6:N6"/>
    <mergeCell ref="O6:AP6"/>
    <mergeCell ref="AQ6:BE6"/>
    <mergeCell ref="H8:N8"/>
    <mergeCell ref="O8:AP8"/>
    <mergeCell ref="AQ8:BE8"/>
    <mergeCell ref="O11:AP11"/>
    <mergeCell ref="AQ11:BE11"/>
    <mergeCell ref="H9:N9"/>
    <mergeCell ref="O9:AP9"/>
    <mergeCell ref="AQ9:BE9"/>
    <mergeCell ref="H10:N10"/>
    <mergeCell ref="AQ12:BE12"/>
    <mergeCell ref="H25:N25"/>
    <mergeCell ref="O25:AP25"/>
    <mergeCell ref="AQ25:BE25"/>
    <mergeCell ref="O23:AP23"/>
    <mergeCell ref="AQ23:BE23"/>
    <mergeCell ref="H21:N21"/>
    <mergeCell ref="O21:AP21"/>
    <mergeCell ref="AQ21:BE21"/>
    <mergeCell ref="H22:N22"/>
    <mergeCell ref="O22:AP22"/>
    <mergeCell ref="AQ22:BE22"/>
    <mergeCell ref="H24:N24"/>
    <mergeCell ref="O24:AP24"/>
    <mergeCell ref="AQ24:BE24"/>
    <mergeCell ref="H23:N23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MpsItm_UpdChk01</vt:lpstr>
      <vt:lpstr>MpsItm_Upd01</vt:lpstr>
      <vt:lpstr>MpsItm_DelChk01</vt:lpstr>
      <vt:lpstr>MpsItm_Del01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2026-03-27T05:45:17Z</dcterms:modified>
  <cp:category/>
</cp:coreProperties>
</file>