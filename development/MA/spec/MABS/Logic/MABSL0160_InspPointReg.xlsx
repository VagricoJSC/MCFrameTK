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C8DDA8E2-AB83-4CFD-88BF-6A282C834233}" xr6:coauthVersionLast="47" xr6:coauthVersionMax="47" xr10:uidLastSave="{00000000-0000-0000-0000-000000000000}"/>
  <bookViews>
    <workbookView xWindow="1710" yWindow="1710" windowWidth="21600" windowHeight="11265" tabRatio="807" firstSheet="4" activeTab="10" xr2:uid="{00000000-000D-0000-FFFF-FFFF00000000}"/>
  </bookViews>
  <sheets>
    <sheet name="LogicCommon" sheetId="10" r:id="rId1"/>
    <sheet name="InspPoint_UpdChk01" sheetId="15" r:id="rId2"/>
    <sheet name="InspPoint_Upd01" sheetId="16" r:id="rId3"/>
    <sheet name="InspPointLcl_UpdChk01" sheetId="17" r:id="rId4"/>
    <sheet name="InspPointLcl_Upd01" sheetId="18" r:id="rId5"/>
    <sheet name="InspPoint_DelChk01" sheetId="19" r:id="rId6"/>
    <sheet name="InspPoint_Del01" sheetId="20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8" l="1"/>
  <c r="D3" i="19"/>
  <c r="D3" i="20"/>
  <c r="D3" i="15"/>
  <c r="D3" i="16"/>
  <c r="D3" i="17"/>
  <c r="L4" i="15" l="1"/>
  <c r="L3" i="15"/>
  <c r="L2" i="15"/>
  <c r="L4" i="16"/>
  <c r="L3" i="16"/>
  <c r="L2" i="16"/>
  <c r="L4" i="17"/>
  <c r="L3" i="17"/>
  <c r="L2" i="17"/>
  <c r="L4" i="18"/>
  <c r="L3" i="18"/>
  <c r="L2" i="18"/>
  <c r="L4" i="19"/>
  <c r="L3" i="19"/>
  <c r="L2" i="19"/>
  <c r="L4" i="20"/>
  <c r="L3" i="20"/>
  <c r="L2" i="20"/>
  <c r="H4" i="20"/>
  <c r="H3" i="20"/>
  <c r="F3" i="20"/>
  <c r="H2" i="20"/>
  <c r="F2" i="20"/>
  <c r="H4" i="19"/>
  <c r="H3" i="19"/>
  <c r="F3" i="19"/>
  <c r="H2" i="19"/>
  <c r="F2" i="19"/>
  <c r="H4" i="18"/>
  <c r="H3" i="18"/>
  <c r="F3" i="18"/>
  <c r="H2" i="18"/>
  <c r="F2" i="18"/>
  <c r="H4" i="17"/>
  <c r="H3" i="17"/>
  <c r="F3" i="17"/>
  <c r="H2" i="17"/>
  <c r="F2" i="17"/>
  <c r="H4" i="16"/>
  <c r="H3" i="16"/>
  <c r="F3" i="16"/>
  <c r="H2" i="16"/>
  <c r="F2" i="16"/>
  <c r="H4" i="15"/>
  <c r="H3" i="15"/>
  <c r="F3" i="15"/>
  <c r="H2" i="15"/>
  <c r="F2" i="15"/>
  <c r="N2" i="19" l="1"/>
  <c r="N2" i="17"/>
  <c r="N2" i="15"/>
  <c r="L4" i="14" l="1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<sst xmlns="http://schemas.openxmlformats.org/spreadsheetml/2006/main" count="1416" uniqueCount="317">
  <si>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</si>
  <si>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</si>
  <si>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</si>
  <si>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</si>
  <si>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</si>
  <si>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</si>
  <si>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</si>
  <si>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</si>
  <si>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</si>
  <si>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</si>
  <si>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</si>
  <si>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</si>
  <si>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</si>
  <si>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</si>
  <si>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</si>
  <si>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</si>
  <si>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*</t>
    <phoneticPr fontId="2"/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</si>
  <si>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</si>
  <si>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</si>
  <si>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</si>
  <si>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</si>
  <si>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</si>
  <si>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</si>
  <si>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</si>
  <si>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</si>
  <si>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</si>
  <si>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</si>
  <si>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</si>
  <si>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</si>
  <si>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</si>
  <si>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@</t>
    <phoneticPr fontId="2"/>
  </si>
  <si>
    <t>ReportID :</t>
    <phoneticPr fontId="2"/>
  </si>
  <si>
    <t>ALL</t>
    <phoneticPr fontId="2"/>
  </si>
  <si>
    <t>E</t>
    <phoneticPr fontId="2"/>
  </si>
  <si>
    <t>L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</si>
  <si>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</si>
  <si>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</si>
  <si>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</si>
  <si>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</si>
  <si>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</si>
  <si>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</si>
  <si>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</si>
  <si>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</si>
  <si>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</si>
  <si>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</si>
  <si>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</si>
  <si>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</si>
  <si>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</si>
  <si>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</si>
  <si>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</si>
  <si>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メモ２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</si>
  <si>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</si>
  <si>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</si>
  <si>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</si>
  <si>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</si>
  <si>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</si>
  <si>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</si>
  <si>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登録ユーザ名</t>
    <phoneticPr fontId="2"/>
  </si>
  <si>
    <t>更新ユーザ名</t>
    <phoneticPr fontId="2"/>
  </si>
  <si>
    <t>#MA.SYS_TS</t>
    <phoneticPr fontId="2"/>
  </si>
  <si>
    <t>#MA.FLG</t>
  </si>
  <si>
    <t>#MA.FLG</t>
    <phoneticPr fontId="2"/>
  </si>
  <si>
    <t>ins_func_id</t>
    <phoneticPr fontId="2"/>
  </si>
  <si>
    <t>upd_func_id</t>
    <phoneticPr fontId="2"/>
  </si>
  <si>
    <t>更新機能ＩＤ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</si>
  <si>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</si>
  <si>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</si>
  <si>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</si>
  <si>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</si>
  <si>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</si>
  <si>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</si>
  <si>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</si>
  <si>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</si>
  <si>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</si>
  <si>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登録</t>
    <rPh sb="0" eb="2">
      <t>トウロク</t>
    </rPh>
    <phoneticPr fontId="2"/>
  </si>
  <si>
    <t>Srch01_Rslt2</t>
    <phoneticPr fontId="2"/>
  </si>
  <si>
    <t>lcl_cd</t>
    <phoneticPr fontId="2"/>
  </si>
  <si>
    <t>#MA.LCL_CD</t>
    <phoneticPr fontId="2"/>
  </si>
  <si>
    <t>ロケールＣＤ</t>
    <phoneticPr fontId="2"/>
  </si>
  <si>
    <t>L</t>
  </si>
  <si>
    <t>Upd01_Dtl1</t>
    <phoneticPr fontId="2"/>
  </si>
  <si>
    <t>Upd01_Dtl2</t>
    <phoneticPr fontId="2"/>
  </si>
  <si>
    <t>o</t>
  </si>
  <si>
    <t>TargetName</t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</si>
  <si>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</si>
  <si>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</si>
  <si>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</si>
  <si>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</si>
  <si>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</si>
  <si>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</si>
  <si>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</si>
  <si>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</si>
  <si>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</si>
  <si>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upd_cntr</t>
  </si>
  <si>
    <t>#MA.UPD_CNT</t>
  </si>
  <si>
    <t>SELECT_LCL.c1</t>
    <phoneticPr fontId="2"/>
  </si>
  <si>
    <t>lcl_nm</t>
    <phoneticPr fontId="2"/>
  </si>
  <si>
    <t>#MA.LCL_NM</t>
    <phoneticPr fontId="2"/>
  </si>
  <si>
    <t>$share$</t>
  </si>
  <si>
    <t>CALL_OPE01.chk01</t>
    <phoneticPr fontId="2"/>
  </si>
  <si>
    <t>CALL_OPE01.upd01</t>
    <phoneticPr fontId="2"/>
  </si>
  <si>
    <t>CALL_OPE02.chk02</t>
    <phoneticPr fontId="2"/>
  </si>
  <si>
    <t>CALL_OPE02.upd02</t>
    <phoneticPr fontId="2"/>
  </si>
  <si>
    <t>CALL_OPE01.chk01</t>
    <phoneticPr fontId="38"/>
  </si>
  <si>
    <t>CALL_OPE01.del01</t>
    <phoneticPr fontId="38"/>
  </si>
  <si>
    <t>MA</t>
  </si>
  <si>
    <t>#MA.UPD_CNT</t>
    <phoneticPr fontId="38"/>
  </si>
  <si>
    <t>upd_cntr</t>
    <phoneticPr fontId="38"/>
  </si>
  <si>
    <t>REQUIRED</t>
    <phoneticPr fontId="2"/>
  </si>
  <si>
    <t>#</t>
    <phoneticPr fontId="2"/>
  </si>
  <si>
    <t>K</t>
    <phoneticPr fontId="2"/>
  </si>
  <si>
    <t>U</t>
    <phoneticPr fontId="2"/>
  </si>
  <si>
    <t xml:space="preserve">Ope.Name : </t>
    <phoneticPr fontId="2"/>
  </si>
  <si>
    <t>ReportID :</t>
    <phoneticPr fontId="2"/>
  </si>
  <si>
    <t>@</t>
  </si>
  <si>
    <t>TargetName</t>
    <phoneticPr fontId="2"/>
  </si>
  <si>
    <t>MAIN.chkMaster</t>
    <phoneticPr fontId="38"/>
  </si>
  <si>
    <t>UPDATE.updMaster</t>
    <phoneticPr fontId="2"/>
  </si>
  <si>
    <t>o</t>
    <phoneticPr fontId="2"/>
  </si>
  <si>
    <t>ReportID :</t>
    <phoneticPr fontId="2"/>
  </si>
  <si>
    <t>@</t>
    <phoneticPr fontId="2"/>
  </si>
  <si>
    <t>L</t>
    <phoneticPr fontId="2"/>
  </si>
  <si>
    <t>#</t>
    <phoneticPr fontId="2"/>
  </si>
  <si>
    <t>UPDATE.updMaster2</t>
    <phoneticPr fontId="38"/>
  </si>
  <si>
    <t>UPDATE.updMaster1</t>
    <phoneticPr fontId="38"/>
  </si>
  <si>
    <t>K</t>
  </si>
  <si>
    <t>CONST</t>
  </si>
  <si>
    <t>Srch01</t>
    <phoneticPr fontId="2"/>
  </si>
  <si>
    <t>Upd01</t>
  </si>
  <si>
    <t>Del01</t>
  </si>
  <si>
    <t>検査項目マスタ登録</t>
  </si>
  <si>
    <t>MABS</t>
  </si>
  <si>
    <t>MABSL0160</t>
  </si>
  <si>
    <t>MABSL_InspPointReg</t>
  </si>
  <si>
    <t>InspPoint_UpdChk01</t>
  </si>
  <si>
    <t>InspPoint_UpdChk01_Dtl</t>
  </si>
  <si>
    <t>InspPoint_Upd01</t>
  </si>
  <si>
    <t>InspPoint_Upd01_Dtl</t>
  </si>
  <si>
    <t>InspPointLcl_UpdChk01</t>
  </si>
  <si>
    <t>InspPointLcl_UpdChk01_Dtl</t>
  </si>
  <si>
    <t>InspPointLcl_Upd01</t>
  </si>
  <si>
    <t>InspPointLcl_Upd01_Dtl</t>
  </si>
  <si>
    <t>InspPoint_DelChk01_Dtl</t>
  </si>
  <si>
    <t>InspPoint_Del01</t>
  </si>
  <si>
    <t>InspPoint_Del01_Dtl</t>
  </si>
  <si>
    <t>OPE.MA.MABSL0160.InspPoint_UpdChk01</t>
  </si>
  <si>
    <t>OPE.MA.MABSL0160.InspPoint_Upd01</t>
  </si>
  <si>
    <t>OPE.MA.MABSL0160.InspPointLcl_UpdChk01</t>
  </si>
  <si>
    <t>OPE.MA.MABSL0160.InspPointLcl_Upd01</t>
  </si>
  <si>
    <t>OPE.MA.MABSL0160.InspPoint_DelChk01</t>
  </si>
  <si>
    <t>OPE.MA.MABSL0160.InspPoint_Del01</t>
  </si>
  <si>
    <t>#MA.INSP_POINT_CD</t>
  </si>
  <si>
    <t>#MA.INSP_POINT_NM</t>
  </si>
  <si>
    <t>DBC.MA.MAM_INSP_POINT_LCL</t>
  </si>
  <si>
    <t>insp_point_cd</t>
  </si>
  <si>
    <t>insp_point_nm</t>
  </si>
  <si>
    <t>insp_point_nm_lcl</t>
  </si>
  <si>
    <t>insp_qlqn_typ</t>
    <phoneticPr fontId="2"/>
  </si>
  <si>
    <t>unit_cd</t>
    <phoneticPr fontId="2"/>
  </si>
  <si>
    <t>auto_judg_flg</t>
    <phoneticPr fontId="2"/>
  </si>
  <si>
    <t>#MA.INSP_QLQN_TYP</t>
    <phoneticPr fontId="2"/>
  </si>
  <si>
    <t>#MA.UNIT_CD</t>
    <phoneticPr fontId="2"/>
  </si>
  <si>
    <t>#MA.FLG</t>
    <phoneticPr fontId="2"/>
  </si>
  <si>
    <t>K</t>
    <phoneticPr fontId="38"/>
  </si>
  <si>
    <t>CONST</t>
    <phoneticPr fontId="38"/>
  </si>
  <si>
    <t>LIST_LOGIC</t>
    <phoneticPr fontId="38"/>
  </si>
  <si>
    <t>$super$</t>
    <phoneticPr fontId="38"/>
  </si>
  <si>
    <t>insp_qlqn_typ</t>
    <phoneticPr fontId="2"/>
  </si>
  <si>
    <t>#MA.INSP_QLQN_TYP</t>
    <phoneticPr fontId="2"/>
  </si>
  <si>
    <t>insp_qlqn_typ</t>
    <phoneticPr fontId="2"/>
  </si>
  <si>
    <t>insp_qlqn_typ_nm</t>
    <phoneticPr fontId="2"/>
  </si>
  <si>
    <t>unit_cd</t>
    <phoneticPr fontId="2"/>
  </si>
  <si>
    <t>unit_nm</t>
    <phoneticPr fontId="2"/>
  </si>
  <si>
    <t>auto_judg_flg</t>
    <phoneticPr fontId="2"/>
  </si>
  <si>
    <t>#MA.INSP_QLQN_TYP</t>
  </si>
  <si>
    <t>#MA.INSP_QLQN_TYP_NM</t>
  </si>
  <si>
    <t>#MA.UNIT_CD</t>
  </si>
  <si>
    <t>#MA.UNIT_NM</t>
  </si>
  <si>
    <t>#MA.FCM_USR_ID</t>
  </si>
  <si>
    <t>#MA.FCM_USR_NM</t>
  </si>
  <si>
    <t>EXISTS.chk01</t>
  </si>
  <si>
    <t>DBC.MA.MAM_INSP_POINT_LCL</t>
    <phoneticPr fontId="2"/>
  </si>
  <si>
    <t>InspPoint_DelChk01</t>
    <phoneticPr fontId="38"/>
  </si>
  <si>
    <t>登録前チェック</t>
    <rPh sb="0" eb="2">
      <t>トウロク</t>
    </rPh>
    <rPh sb="2" eb="3">
      <t>マエ</t>
    </rPh>
    <phoneticPr fontId="4"/>
  </si>
  <si>
    <t>検査項目マスタを登録する前のチェックを行う</t>
    <rPh sb="8" eb="10">
      <t>トウロク</t>
    </rPh>
    <rPh sb="12" eb="13">
      <t>マエ</t>
    </rPh>
    <rPh sb="19" eb="20">
      <t>オコナ</t>
    </rPh>
    <phoneticPr fontId="4"/>
  </si>
  <si>
    <t>登録処理</t>
    <rPh sb="2" eb="4">
      <t>ショリ</t>
    </rPh>
    <phoneticPr fontId="4"/>
  </si>
  <si>
    <t>検査項目マスタを登録する</t>
  </si>
  <si>
    <t>登録前チェック(ロケール別情報)</t>
    <rPh sb="2" eb="3">
      <t>マエ</t>
    </rPh>
    <phoneticPr fontId="4"/>
  </si>
  <si>
    <t>検査項目マスタ(ロケール別情報)を登録する前のチェックを行う</t>
    <rPh sb="17" eb="19">
      <t>トウロク</t>
    </rPh>
    <rPh sb="21" eb="22">
      <t>マエ</t>
    </rPh>
    <rPh sb="28" eb="29">
      <t>オコナ</t>
    </rPh>
    <phoneticPr fontId="4"/>
  </si>
  <si>
    <t>登録処理(ロケール別情報)</t>
    <rPh sb="2" eb="4">
      <t>ショリ</t>
    </rPh>
    <phoneticPr fontId="4"/>
  </si>
  <si>
    <t>検査項目マスタ(ロケール別情報)を登録する</t>
  </si>
  <si>
    <t>削除チェック</t>
    <rPh sb="0" eb="2">
      <t>サクジョ</t>
    </rPh>
    <phoneticPr fontId="4"/>
  </si>
  <si>
    <t>検査項目マスタ、検査項目マスタ(ロケール別情報)を削除する前のチェックを行う</t>
    <rPh sb="29" eb="30">
      <t>マエ</t>
    </rPh>
    <rPh sb="36" eb="37">
      <t>オコナ</t>
    </rPh>
    <phoneticPr fontId="4"/>
  </si>
  <si>
    <t>削除処理</t>
    <rPh sb="2" eb="4">
      <t>ショリ</t>
    </rPh>
    <phoneticPr fontId="4"/>
  </si>
  <si>
    <t>検査項目マスタ、検査項目マスタ(ロケール別情報)を削除する</t>
  </si>
  <si>
    <t>検索処理を行う</t>
    <rPh sb="0" eb="2">
      <t>ケンサク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</si>
  <si>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</si>
  <si>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削除処理を行う</t>
    <rPh sb="0" eb="2">
      <t>サクジョ</t>
    </rPh>
    <rPh sb="2" eb="4">
      <t>ショリ</t>
    </rPh>
    <rPh sb="5" eb="6">
      <t>オコナ</t>
    </rPh>
    <phoneticPr fontId="6"/>
  </si>
  <si>
    <t/>
  </si>
  <si>
    <t>検査項目ＣＤ</t>
    <phoneticPr fontId="2"/>
  </si>
  <si>
    <t>MAC_INSP_QLQN_TYP</t>
    <phoneticPr fontId="38"/>
  </si>
  <si>
    <t>単位ＣＤ</t>
    <phoneticPr fontId="38"/>
  </si>
  <si>
    <t>メモ３</t>
    <phoneticPr fontId="2"/>
  </si>
  <si>
    <t>定性定量区分</t>
    <phoneticPr fontId="2"/>
  </si>
  <si>
    <t>登録ユーザＩＤ</t>
    <phoneticPr fontId="2"/>
  </si>
  <si>
    <t>登録日時</t>
    <phoneticPr fontId="2"/>
  </si>
  <si>
    <t>登録機能名</t>
    <phoneticPr fontId="2"/>
  </si>
  <si>
    <t>更新日時</t>
    <phoneticPr fontId="2"/>
  </si>
  <si>
    <t>memo2</t>
    <phoneticPr fontId="2"/>
  </si>
  <si>
    <t>#MA.MST_MEMO2</t>
    <phoneticPr fontId="2"/>
  </si>
  <si>
    <t>Srch01_Rslt1</t>
    <phoneticPr fontId="2"/>
  </si>
  <si>
    <t>ins_usr_id</t>
    <phoneticPr fontId="2"/>
  </si>
  <si>
    <t>upd_usr_id</t>
    <phoneticPr fontId="2"/>
  </si>
  <si>
    <t>#MA.SYS_TS</t>
    <phoneticPr fontId="2"/>
  </si>
  <si>
    <t>MA.MABSL0160.InspPointLcl_Upd01.InspPointLcl_Upd01_Dtl</t>
    <phoneticPr fontId="2"/>
  </si>
  <si>
    <t>000000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</si>
  <si>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</si>
  <si>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</si>
  <si>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</si>
  <si>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</si>
  <si>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ACType :</t>
    <phoneticPr fontId="2"/>
  </si>
  <si>
    <t>E</t>
    <phoneticPr fontId="38"/>
  </si>
  <si>
    <t>検査項目名</t>
    <phoneticPr fontId="38"/>
  </si>
  <si>
    <t>定性定量区分</t>
    <phoneticPr fontId="38"/>
  </si>
  <si>
    <t>MA.MAUAL0010.Unit</t>
    <phoneticPr fontId="38"/>
  </si>
  <si>
    <t>自動合否判定</t>
    <phoneticPr fontId="2"/>
  </si>
  <si>
    <t>メモ１</t>
    <phoneticPr fontId="2"/>
  </si>
  <si>
    <t>論理削除</t>
    <phoneticPr fontId="2"/>
  </si>
  <si>
    <t>更新カウンタ</t>
    <phoneticPr fontId="38"/>
  </si>
  <si>
    <t>super/share</t>
    <phoneticPr fontId="2"/>
  </si>
  <si>
    <t>MA.MABSL0160.InspPoint_UpdChk01.InspPoint_UpdChk01_Dtl</t>
    <phoneticPr fontId="2"/>
  </si>
  <si>
    <t>L</t>
    <phoneticPr fontId="38"/>
  </si>
  <si>
    <t>更新カウンタ</t>
    <phoneticPr fontId="2"/>
  </si>
  <si>
    <t>DBC:MA.MAM_INSP_POINT_LCL</t>
    <phoneticPr fontId="38"/>
  </si>
  <si>
    <t>MA.MABSL0160.InspPointLcl_UpdChk01.InspPointLcl_UpdChk01_Dtl</t>
    <phoneticPr fontId="2"/>
  </si>
  <si>
    <t>MA.MABSL0160.InspPoint_DelChk01.InspPoint_DelChk01_Dtl</t>
    <phoneticPr fontId="2"/>
  </si>
  <si>
    <t>論理削除.オフ</t>
    <phoneticPr fontId="2"/>
  </si>
  <si>
    <t>論理削除.オン</t>
    <phoneticPr fontId="2"/>
  </si>
  <si>
    <t>標準検査項目名</t>
    <phoneticPr fontId="38"/>
  </si>
  <si>
    <t>MAC_INSP_QLQN_TYP</t>
    <phoneticPr fontId="2"/>
  </si>
  <si>
    <t>定性定量区分名</t>
    <phoneticPr fontId="2"/>
  </si>
  <si>
    <t>単位ＣＤ</t>
    <phoneticPr fontId="2"/>
  </si>
  <si>
    <t>単位名</t>
    <phoneticPr fontId="2"/>
  </si>
  <si>
    <t>登録機能ＩＤ</t>
    <phoneticPr fontId="2"/>
  </si>
  <si>
    <t>更新ユーザＩＤ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</si>
  <si>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</si>
  <si>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</si>
  <si>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</si>
  <si>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</si>
  <si>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</si>
  <si>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ロケール名</t>
    <phoneticPr fontId="2"/>
  </si>
  <si>
    <t>MA.MABSL0160.InspPoint_Upd01.InspPoint_Upd01_Dtl</t>
    <phoneticPr fontId="2"/>
  </si>
  <si>
    <t>InspPoint_UpdChk01_Dtl</t>
    <phoneticPr fontId="2"/>
  </si>
  <si>
    <t>InspPoint_Upd01_Dtl</t>
    <phoneticPr fontId="2"/>
  </si>
  <si>
    <t>InspPointLcl_UpdChk01_Dtl</t>
    <phoneticPr fontId="2"/>
  </si>
  <si>
    <t>InspPointLcl_Upd01_Dtl</t>
    <phoneticPr fontId="2"/>
  </si>
  <si>
    <t>MA.MABSL0160.InspPoint_Del01.InspPoint_Del01_Dtl</t>
    <phoneticPr fontId="2"/>
  </si>
  <si>
    <t>InspPoint_DelChk01_Dtl</t>
    <phoneticPr fontId="2"/>
  </si>
  <si>
    <t>InspPoint_Del01_Dtl</t>
    <phoneticPr fontId="2"/>
  </si>
  <si>
    <t>MA.MAUDL5010</t>
    <phoneticPr fontId="2"/>
  </si>
  <si>
    <t>"mcframe.serverMAUD.MAUDL6020.MAUDL_LCLRLUpdater"</t>
    <phoneticPr fontId="2"/>
  </si>
  <si>
    <t>"mcframe.serverMAUD.MAUDL6020.MAUDL_LCLRLDeleter"</t>
    <phoneticPr fontId="2"/>
  </si>
  <si>
    <t>"mcframe.serverMAUD.MAUDL6020.MAUDL_LCLRLSearcher"</t>
    <phoneticPr fontId="2"/>
  </si>
  <si>
    <t>DBC.MA.MAM_INSP_POINT</t>
    <phoneticPr fontId="2"/>
  </si>
  <si>
    <t>DBC:MA.MAM_INSP_POINT</t>
    <phoneticPr fontId="38"/>
  </si>
  <si>
    <t>insp_point_nm_lcl</t>
    <phoneticPr fontId="2"/>
  </si>
  <si>
    <t>base_insp_point_nm</t>
    <phoneticPr fontId="2"/>
  </si>
  <si>
    <t>insp_point_nm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</si>
  <si>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</si>
  <si>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</si>
  <si>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</si>
  <si>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</si>
  <si>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</si>
  <si>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</si>
  <si>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</si>
  <si>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</si>
  <si>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</si>
  <si>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</si>
  <si>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</si>
  <si>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</si>
  <si>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</si>
  <si>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</si>
  <si>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Inspection checkpoint cd.</t>
  </si>
  <si>
    <t>Inspection checkpoint name</t>
  </si>
  <si>
    <t>Qualitative/quantitative type</t>
  </si>
  <si>
    <t>Unit cd.</t>
  </si>
  <si>
    <t>Auto-decide</t>
  </si>
  <si>
    <t>Memo 1</t>
  </si>
  <si>
    <t>Memo 2</t>
  </si>
  <si>
    <t>Memo 3</t>
  </si>
  <si>
    <t>Logical delete</t>
  </si>
  <si>
    <t>Update counter</t>
  </si>
  <si>
    <t>Locale cd.</t>
  </si>
  <si>
    <t>上り項目
Request Message Field</t>
    <phoneticPr fontId="2"/>
  </si>
  <si>
    <t>下り項目
Response Message Field</t>
    <phoneticPr fontId="2"/>
  </si>
  <si>
    <t>Logical delete. Off</t>
  </si>
  <si>
    <t>Logical delete. On</t>
  </si>
  <si>
    <t>Standard inspection checkpoint name</t>
  </si>
  <si>
    <t>Qualitative/quantitative type name</t>
  </si>
  <si>
    <t>Unit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</si>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</sst>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23">
    <xf numFmtId="0" fontId="0" fillId="0" borderId="0">
      <alignment vertical="top" wrapText="1"/>
    </xf>
    <xf numFmtId="0" fontId="21" fillId="0" borderId="0"/>
    <xf numFmtId="0" fontId="21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4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7" fillId="0" borderId="0"/>
    <xf numFmtId="0" fontId="27" fillId="0" borderId="0">
      <alignment vertical="center"/>
    </xf>
    <xf numFmtId="0" fontId="30" fillId="0" borderId="0">
      <alignment vertical="center"/>
    </xf>
    <xf numFmtId="0" fontId="27" fillId="0" borderId="0">
      <alignment vertical="center"/>
    </xf>
    <xf numFmtId="0" fontId="30" fillId="0" borderId="0"/>
    <xf numFmtId="0" fontId="36" fillId="0" borderId="0"/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188">
    <xf numFmtId="0" fontId="0" fillId="0" borderId="0" xfId="0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19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20" fontId="39" fillId="27" borderId="20" xfId="0" applyNumberFormat="1" applyFont="1" applyFill="1" applyBorder="1" applyAlignment="1">
      <alignment horizontal="left" vertical="top"/>
    </xf>
    <xf numFmtId="0" fontId="39" fillId="27" borderId="20" xfId="0" applyFont="1" applyFill="1" applyBorder="1" applyAlignment="1">
      <alignment vertical="top"/>
    </xf>
    <xf numFmtId="0" fontId="39" fillId="27" borderId="20" xfId="0" quotePrefix="1" applyFont="1" applyFill="1" applyBorder="1" applyAlignment="1">
      <alignment vertical="top"/>
    </xf>
    <xf numFmtId="0" fontId="39" fillId="0" borderId="0" xfId="0" applyFont="1">
      <alignment vertical="top" wrapText="1"/>
    </xf>
    <xf numFmtId="0" fontId="39" fillId="27" borderId="20" xfId="0" applyFont="1" applyFill="1" applyBorder="1" applyAlignment="1">
      <alignment horizontal="left" vertical="top"/>
    </xf>
    <xf numFmtId="0" fontId="39" fillId="28" borderId="20" xfId="179" applyFont="1" applyFill="1" applyBorder="1" applyAlignment="1">
      <alignment vertical="top"/>
    </xf>
    <xf numFmtId="0" fontId="39" fillId="0" borderId="0" xfId="0" applyFont="1" applyAlignment="1"/>
    <xf numFmtId="0" fontId="39" fillId="0" borderId="23" xfId="0" applyFont="1" applyBorder="1" applyAlignment="1">
      <alignment vertical="top"/>
    </xf>
    <xf numFmtId="0" fontId="39" fillId="28" borderId="2" xfId="0" applyFont="1" applyFill="1" applyBorder="1" applyAlignment="1">
      <alignment vertical="top"/>
    </xf>
    <xf numFmtId="0" fontId="39" fillId="28" borderId="2" xfId="0" applyFont="1" applyFill="1" applyBorder="1" applyAlignment="1">
      <alignment horizontal="left" vertical="top"/>
    </xf>
    <xf numFmtId="0" fontId="39" fillId="28" borderId="24" xfId="0" applyFont="1" applyFill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0" borderId="19" xfId="0" applyFont="1" applyBorder="1" applyAlignment="1">
      <alignment vertical="center"/>
    </xf>
    <xf numFmtId="0" fontId="39" fillId="0" borderId="19" xfId="0" applyFont="1" applyBorder="1" applyAlignment="1">
      <alignment horizontal="left" vertical="top"/>
    </xf>
    <xf numFmtId="0" fontId="39" fillId="0" borderId="21" xfId="0" applyFont="1" applyBorder="1" applyAlignment="1">
      <alignment vertical="top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left" vertical="top"/>
    </xf>
    <xf numFmtId="0" fontId="39" fillId="0" borderId="22" xfId="0" applyFont="1" applyBorder="1" applyAlignment="1">
      <alignment vertical="top"/>
    </xf>
    <xf numFmtId="49" fontId="39" fillId="0" borderId="0" xfId="0" applyNumberFormat="1" applyFont="1" applyAlignment="1" applyProtection="1">
      <alignment vertical="center"/>
      <protection locked="0"/>
    </xf>
    <xf numFmtId="0" fontId="39" fillId="27" borderId="20" xfId="0" applyFont="1" applyFill="1" applyBorder="1" applyAlignment="1">
      <alignment vertical="center"/>
    </xf>
    <xf numFmtId="49" fontId="39" fillId="0" borderId="0" xfId="0" applyNumberFormat="1" applyFont="1" applyAlignment="1">
      <alignment vertical="top"/>
    </xf>
    <xf numFmtId="49" fontId="39" fillId="0" borderId="0" xfId="0" applyNumberFormat="1" applyFont="1" applyAlignment="1" applyProtection="1">
      <alignment vertical="top"/>
      <protection locked="0"/>
    </xf>
    <xf numFmtId="49" fontId="39" fillId="27" borderId="19" xfId="0" applyNumberFormat="1" applyFont="1" applyFill="1" applyBorder="1" applyAlignment="1" applyProtection="1">
      <alignment vertical="top"/>
      <protection locked="0"/>
    </xf>
    <xf numFmtId="49" fontId="39" fillId="0" borderId="19" xfId="0" applyNumberFormat="1" applyFont="1" applyBorder="1" applyAlignment="1" applyProtection="1">
      <alignment vertical="top"/>
      <protection locked="0"/>
    </xf>
    <xf numFmtId="49" fontId="39" fillId="27" borderId="20" xfId="0" applyNumberFormat="1" applyFont="1" applyFill="1" applyBorder="1" applyAlignment="1" applyProtection="1">
      <alignment vertical="top"/>
      <protection locked="0"/>
    </xf>
    <xf numFmtId="49" fontId="39" fillId="0" borderId="20" xfId="0" applyNumberFormat="1" applyFont="1" applyBorder="1" applyAlignment="1" applyProtection="1">
      <alignment vertical="top"/>
      <protection locked="0"/>
    </xf>
    <xf numFmtId="49" fontId="39" fillId="27" borderId="20" xfId="0" applyNumberFormat="1" applyFont="1" applyFill="1" applyBorder="1" applyAlignment="1"/>
    <xf numFmtId="49" fontId="39" fillId="27" borderId="20" xfId="181" applyNumberFormat="1" applyFont="1" applyFill="1" applyBorder="1" applyAlignment="1">
      <alignment vertical="top"/>
    </xf>
    <xf numFmtId="0" fontId="39" fillId="27" borderId="27" xfId="0" applyFont="1" applyFill="1" applyBorder="1" applyAlignment="1">
      <alignment vertical="top"/>
    </xf>
    <xf numFmtId="0" fontId="39" fillId="27" borderId="24" xfId="0" applyFont="1" applyFill="1" applyBorder="1" applyAlignment="1">
      <alignment vertical="top"/>
    </xf>
    <xf numFmtId="49" fontId="39" fillId="0" borderId="27" xfId="0" applyNumberFormat="1" applyFont="1" applyBorder="1" applyAlignment="1" applyProtection="1">
      <protection locked="0"/>
    </xf>
    <xf numFmtId="49" fontId="39" fillId="0" borderId="24" xfId="0" applyNumberFormat="1" applyFont="1" applyBorder="1" applyAlignment="1" applyProtection="1">
      <protection locked="0"/>
    </xf>
    <xf numFmtId="49" fontId="39" fillId="27" borderId="27" xfId="0" applyNumberFormat="1" applyFont="1" applyFill="1" applyBorder="1" applyAlignment="1" applyProtection="1">
      <alignment vertical="top"/>
      <protection locked="0"/>
    </xf>
    <xf numFmtId="49" fontId="39" fillId="27" borderId="2" xfId="0" applyNumberFormat="1" applyFont="1" applyFill="1" applyBorder="1" applyAlignment="1" applyProtection="1">
      <alignment vertical="top"/>
      <protection locked="0"/>
    </xf>
    <xf numFmtId="49" fontId="39" fillId="0" borderId="2" xfId="0" applyNumberFormat="1" applyFont="1" applyBorder="1" applyAlignment="1" applyProtection="1">
      <alignment vertical="top"/>
      <protection locked="0"/>
    </xf>
    <xf numFmtId="49" fontId="39" fillId="0" borderId="19" xfId="0" applyNumberFormat="1" applyFont="1" applyBorder="1" applyAlignment="1" applyProtection="1">
      <protection locked="0"/>
    </xf>
    <xf numFmtId="49" fontId="39" fillId="0" borderId="2" xfId="0" applyNumberFormat="1" applyFont="1" applyBorder="1" applyAlignment="1" applyProtection="1">
      <protection locked="0"/>
    </xf>
    <xf numFmtId="49" fontId="39" fillId="27" borderId="27" xfId="0" applyNumberFormat="1" applyFont="1" applyFill="1" applyBorder="1" applyAlignment="1">
      <alignment vertical="top"/>
    </xf>
    <xf numFmtId="49" fontId="39" fillId="27" borderId="24" xfId="0" applyNumberFormat="1" applyFont="1" applyFill="1" applyBorder="1" applyAlignment="1">
      <alignment vertical="top"/>
    </xf>
    <xf numFmtId="49" fontId="39" fillId="27" borderId="20" xfId="0" applyNumberFormat="1" applyFont="1" applyFill="1" applyBorder="1" applyAlignment="1">
      <alignment vertical="center"/>
    </xf>
    <xf numFmtId="49" fontId="39" fillId="0" borderId="24" xfId="0" applyNumberFormat="1" applyFont="1" applyBorder="1" applyAlignment="1"/>
    <xf numFmtId="49" fontId="39" fillId="0" borderId="27" xfId="0" applyNumberFormat="1" applyFont="1" applyBorder="1" applyAlignment="1"/>
    <xf numFmtId="49" fontId="39" fillId="0" borderId="2" xfId="0" applyNumberFormat="1" applyFont="1" applyBorder="1" applyAlignment="1"/>
    <xf numFmtId="49" fontId="39" fillId="27" borderId="20" xfId="0" applyNumberFormat="1" applyFont="1" applyFill="1" applyBorder="1" applyAlignment="1" applyProtection="1">
      <protection locked="0"/>
    </xf>
    <xf numFmtId="49" fontId="39" fillId="28" borderId="24" xfId="0" applyNumberFormat="1" applyFont="1" applyFill="1" applyBorder="1" applyAlignment="1" applyProtection="1">
      <protection locked="0"/>
    </xf>
    <xf numFmtId="0" fontId="39" fillId="27" borderId="20" xfId="0" applyFont="1" applyFill="1" applyBorder="1">
      <alignment vertical="top" wrapText="1"/>
    </xf>
    <xf numFmtId="0" fontId="39" fillId="28" borderId="20" xfId="0" applyFont="1" applyFill="1" applyBorder="1">
      <alignment vertical="top" wrapText="1"/>
    </xf>
    <xf numFmtId="49" fontId="39" fillId="0" borderId="24" xfId="0" applyNumberFormat="1" applyFont="1" applyBorder="1" applyAlignment="1" applyProtection="1">
      <alignment vertical="top"/>
      <protection locked="0"/>
    </xf>
    <xf numFmtId="49" fontId="39" fillId="27" borderId="26" xfId="0" applyNumberFormat="1" applyFont="1" applyFill="1" applyBorder="1" applyAlignment="1" applyProtection="1">
      <alignment vertical="top"/>
      <protection locked="0"/>
    </xf>
    <xf numFmtId="49" fontId="39" fillId="27" borderId="0" xfId="0" applyNumberFormat="1" applyFont="1" applyFill="1" applyAlignment="1" applyProtection="1">
      <alignment vertical="top"/>
      <protection locked="0"/>
    </xf>
    <xf numFmtId="49" fontId="39" fillId="0" borderId="19" xfId="0" applyNumberFormat="1" applyFont="1" applyBorder="1" applyAlignment="1">
      <alignment vertical="top"/>
    </xf>
    <xf numFmtId="49" fontId="39" fillId="0" borderId="21" xfId="0" applyNumberFormat="1" applyFont="1" applyBorder="1" applyAlignment="1">
      <alignment vertical="top"/>
    </xf>
    <xf numFmtId="0" fontId="39" fillId="0" borderId="23" xfId="0" applyFont="1" applyBorder="1">
      <alignment vertical="top" wrapText="1"/>
    </xf>
    <xf numFmtId="0" fontId="39" fillId="0" borderId="0" xfId="0" applyFont="1" applyAlignment="1" applyProtection="1">
      <alignment vertical="center"/>
      <protection locked="0"/>
    </xf>
    <xf numFmtId="0" fontId="39" fillId="0" borderId="0" xfId="0" applyFont="1" applyAlignment="1" applyProtection="1">
      <alignment vertical="top"/>
      <protection locked="0"/>
    </xf>
    <xf numFmtId="0" fontId="39" fillId="27" borderId="19" xfId="0" applyFont="1" applyFill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alignment vertical="top"/>
      <protection locked="0"/>
    </xf>
    <xf numFmtId="0" fontId="39" fillId="0" borderId="20" xfId="0" applyFont="1" applyBorder="1" applyAlignment="1" applyProtection="1">
      <alignment vertical="top"/>
      <protection locked="0"/>
    </xf>
    <xf numFmtId="0" fontId="39" fillId="27" borderId="20" xfId="0" applyFont="1" applyFill="1" applyBorder="1" applyAlignment="1" applyProtection="1">
      <alignment vertical="top"/>
      <protection locked="0"/>
    </xf>
    <xf numFmtId="0" fontId="39" fillId="27" borderId="20" xfId="181" applyFont="1" applyFill="1" applyBorder="1" applyAlignment="1">
      <alignment vertical="top"/>
    </xf>
    <xf numFmtId="0" fontId="39" fillId="0" borderId="27" xfId="0" applyFont="1" applyBorder="1" applyAlignment="1" applyProtection="1">
      <protection locked="0"/>
    </xf>
    <xf numFmtId="0" fontId="39" fillId="0" borderId="24" xfId="0" applyFont="1" applyBorder="1" applyAlignment="1" applyProtection="1">
      <protection locked="0"/>
    </xf>
    <xf numFmtId="0" fontId="39" fillId="27" borderId="27" xfId="0" applyFont="1" applyFill="1" applyBorder="1" applyAlignment="1" applyProtection="1">
      <alignment vertical="top"/>
      <protection locked="0"/>
    </xf>
    <xf numFmtId="0" fontId="39" fillId="27" borderId="2" xfId="0" applyFont="1" applyFill="1" applyBorder="1" applyAlignment="1" applyProtection="1">
      <alignment vertical="top"/>
      <protection locked="0"/>
    </xf>
    <xf numFmtId="0" fontId="39" fillId="0" borderId="2" xfId="0" applyFont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protection locked="0"/>
    </xf>
    <xf numFmtId="0" fontId="39" fillId="0" borderId="2" xfId="0" applyFont="1" applyBorder="1" applyAlignment="1" applyProtection="1">
      <protection locked="0"/>
    </xf>
    <xf numFmtId="0" fontId="39" fillId="27" borderId="20" xfId="0" applyFont="1" applyFill="1" applyBorder="1" applyAlignment="1"/>
    <xf numFmtId="0" fontId="39" fillId="0" borderId="24" xfId="0" applyFont="1" applyBorder="1" applyAlignment="1"/>
    <xf numFmtId="0" fontId="39" fillId="27" borderId="24" xfId="0" applyFont="1" applyFill="1" applyBorder="1" applyAlignment="1"/>
    <xf numFmtId="0" fontId="39" fillId="0" borderId="27" xfId="0" applyFont="1" applyBorder="1" applyAlignment="1"/>
    <xf numFmtId="0" fontId="39" fillId="0" borderId="2" xfId="0" applyFont="1" applyBorder="1" applyAlignment="1"/>
    <xf numFmtId="0" fontId="39" fillId="27" borderId="20" xfId="0" applyFont="1" applyFill="1" applyBorder="1" applyAlignment="1" applyProtection="1">
      <protection locked="0"/>
    </xf>
    <xf numFmtId="0" fontId="39" fillId="28" borderId="24" xfId="0" applyFont="1" applyFill="1" applyBorder="1" applyAlignment="1" applyProtection="1">
      <protection locked="0"/>
    </xf>
    <xf numFmtId="0" fontId="39" fillId="0" borderId="24" xfId="0" applyFont="1" applyBorder="1" applyAlignment="1" applyProtection="1">
      <alignment vertical="top"/>
      <protection locked="0"/>
    </xf>
    <xf numFmtId="0" fontId="39" fillId="27" borderId="26" xfId="0" applyFont="1" applyFill="1" applyBorder="1" applyAlignment="1" applyProtection="1">
      <alignment vertical="top"/>
      <protection locked="0"/>
    </xf>
    <xf numFmtId="0" fontId="39" fillId="27" borderId="0" xfId="0" applyFont="1" applyFill="1" applyAlignment="1" applyProtection="1">
      <alignment vertical="top"/>
      <protection locked="0"/>
    </xf>
    <xf numFmtId="0" fontId="39" fillId="0" borderId="48" xfId="0" applyFont="1" applyBorder="1" applyAlignment="1" applyProtection="1">
      <alignment vertical="top"/>
      <protection locked="0"/>
    </xf>
    <xf numFmtId="0" fontId="39" fillId="0" borderId="20" xfId="0" applyFont="1" applyBorder="1" applyAlignment="1"/>
    <xf numFmtId="0" fontId="39" fillId="0" borderId="27" xfId="0" applyFont="1" applyBorder="1" applyAlignment="1" applyProtection="1">
      <alignment vertical="top"/>
      <protection locked="0"/>
    </xf>
    <xf numFmtId="0" fontId="39" fillId="0" borderId="27" xfId="180" applyFont="1" applyBorder="1" applyAlignment="1">
      <alignment vertical="top"/>
    </xf>
    <xf numFmtId="0" fontId="39" fillId="0" borderId="24" xfId="180" applyFont="1" applyBorder="1" applyAlignment="1">
      <alignment vertical="top"/>
    </xf>
    <xf numFmtId="0" fontId="39" fillId="0" borderId="22" xfId="0" applyFont="1" applyBorder="1" applyAlignment="1"/>
    <xf numFmtId="0" fontId="39" fillId="0" borderId="28" xfId="0" applyFont="1" applyBorder="1" applyAlignment="1"/>
    <xf numFmtId="0" fontId="39" fillId="0" borderId="18" xfId="0" applyFont="1" applyBorder="1" applyAlignment="1"/>
    <xf numFmtId="0" fontId="39" fillId="27" borderId="25" xfId="0" applyFont="1" applyFill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alignment vertical="center"/>
      <protection locked="0"/>
    </xf>
    <xf numFmtId="0" fontId="39" fillId="0" borderId="19" xfId="0" applyFont="1" applyBorder="1" applyAlignment="1" applyProtection="1">
      <alignment horizontal="left" vertical="top"/>
      <protection locked="0"/>
    </xf>
    <xf numFmtId="0" fontId="39" fillId="0" borderId="21" xfId="0" applyFont="1" applyBorder="1" applyAlignment="1" applyProtection="1">
      <alignment vertical="top"/>
      <protection locked="0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82" applyFont="1"/>
    <xf numFmtId="0" fontId="42" fillId="0" borderId="0" xfId="182" applyFont="1" applyAlignment="1">
      <alignment horizontal="center"/>
    </xf>
    <xf numFmtId="0" fontId="39" fillId="0" borderId="20" xfId="0" quotePrefix="1" applyFont="1" applyBorder="1" applyAlignment="1">
      <alignment vertical="top"/>
    </xf>
    <xf numFmtId="49" fontId="39" fillId="0" borderId="27" xfId="0" applyNumberFormat="1" applyFont="1" applyBorder="1" applyAlignment="1" applyProtection="1">
      <alignment vertical="top"/>
      <protection locked="0"/>
    </xf>
    <xf numFmtId="49" fontId="39" fillId="28" borderId="27" xfId="0" applyNumberFormat="1" applyFont="1" applyFill="1" applyBorder="1" applyAlignment="1" applyProtection="1">
      <protection locked="0"/>
    </xf>
    <xf numFmtId="0" fontId="39" fillId="28" borderId="27" xfId="0" applyFont="1" applyFill="1" applyBorder="1" applyAlignment="1" applyProtection="1">
      <protection locked="0"/>
    </xf>
    <xf numFmtId="0" fontId="39" fillId="27" borderId="18" xfId="0" applyFont="1" applyFill="1" applyBorder="1" applyAlignment="1">
      <alignment vertical="top"/>
    </xf>
    <xf numFmtId="0" fontId="39" fillId="27" borderId="25" xfId="0" applyFont="1" applyFill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9" borderId="20" xfId="0" applyFont="1" applyFill="1" applyBorder="1" applyAlignment="1">
      <alignment vertical="top"/>
    </xf>
    <xf numFmtId="0" fontId="39" fillId="27" borderId="26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29" borderId="0" xfId="0" applyFont="1" applyFill="1">
      <alignment vertical="top" wrapText="1"/>
    </xf>
    <xf numFmtId="0" fontId="39" fillId="0" borderId="27" xfId="0" applyFont="1" applyBorder="1" applyAlignment="1">
      <alignment vertical="top"/>
    </xf>
    <xf numFmtId="0" fontId="39" fillId="0" borderId="20" xfId="0" applyFont="1" applyBorder="1" applyAlignment="1">
      <alignment vertical="center"/>
    </xf>
    <xf numFmtId="0" fontId="39" fillId="27" borderId="28" xfId="0" applyFont="1" applyFill="1" applyBorder="1" applyAlignment="1">
      <alignment vertical="top"/>
    </xf>
    <xf numFmtId="0" fontId="39" fillId="0" borderId="2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19" xfId="0" applyFont="1" applyBorder="1">
      <alignment vertical="top" wrapText="1"/>
    </xf>
    <xf numFmtId="0" fontId="39" fillId="0" borderId="20" xfId="0" applyFont="1" applyBorder="1">
      <alignment vertical="top" wrapText="1"/>
    </xf>
    <xf numFmtId="49" fontId="39" fillId="0" borderId="20" xfId="0" applyNumberFormat="1" applyFont="1" applyBorder="1" applyProtection="1">
      <alignment vertical="top" wrapText="1"/>
      <protection locked="0"/>
    </xf>
    <xf numFmtId="0" fontId="39" fillId="27" borderId="27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49" fontId="39" fillId="27" borderId="20" xfId="0" applyNumberFormat="1" applyFont="1" applyFill="1" applyBorder="1" applyAlignment="1">
      <alignment vertical="top"/>
    </xf>
    <xf numFmtId="49" fontId="39" fillId="0" borderId="18" xfId="0" applyNumberFormat="1" applyFont="1" applyBorder="1" applyAlignment="1" applyProtection="1">
      <alignment vertical="top"/>
      <protection locked="0"/>
    </xf>
    <xf numFmtId="49" fontId="39" fillId="0" borderId="22" xfId="0" applyNumberFormat="1" applyFont="1" applyBorder="1" applyAlignment="1" applyProtection="1">
      <alignment vertical="top"/>
      <protection locked="0"/>
    </xf>
    <xf numFmtId="49" fontId="39" fillId="0" borderId="27" xfId="0" applyNumberFormat="1" applyFont="1" applyBorder="1" applyProtection="1">
      <alignment vertical="top" wrapText="1"/>
      <protection locked="0"/>
    </xf>
    <xf numFmtId="0" fontId="39" fillId="0" borderId="27" xfId="0" applyFont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20" xfId="0" applyFont="1" applyBorder="1" applyProtection="1">
      <alignment vertical="top" wrapText="1"/>
      <protection locked="0"/>
    </xf>
    <xf numFmtId="0" fontId="39" fillId="0" borderId="18" xfId="0" applyFont="1" applyBorder="1" applyAlignment="1" applyProtection="1">
      <alignment vertical="top"/>
      <protection locked="0"/>
    </xf>
    <xf numFmtId="0" fontId="39" fillId="0" borderId="22" xfId="0" applyFont="1" applyBorder="1" applyAlignment="1" applyProtection="1">
      <alignment vertical="top"/>
      <protection locked="0"/>
    </xf>
    <xf numFmtId="0" fontId="39" fillId="0" borderId="27" xfId="0" applyFont="1" applyBorder="1" applyProtection="1">
      <alignment vertical="top" wrapText="1"/>
      <protection locked="0"/>
    </xf>
    <xf numFmtId="0" fontId="39" fillId="0" borderId="47" xfId="0" applyFont="1" applyBorder="1" applyAlignment="1" applyProtection="1">
      <alignment vertical="top"/>
      <protection locked="0"/>
    </xf>
    <xf numFmtId="177" fontId="41" fillId="0" borderId="29" xfId="182" applyNumberFormat="1" applyFont="1" applyBorder="1" applyAlignment="1">
      <alignment horizontal="center" vertical="center"/>
    </xf>
    <xf numFmtId="177" fontId="41" fillId="0" borderId="30" xfId="177" applyNumberFormat="1" applyFont="1" applyBorder="1" applyAlignment="1">
      <alignment horizontal="center" vertical="center"/>
    </xf>
    <xf numFmtId="177" fontId="41" fillId="0" borderId="31" xfId="177" applyNumberFormat="1" applyFont="1" applyBorder="1" applyAlignment="1">
      <alignment horizontal="center" vertical="center"/>
    </xf>
    <xf numFmtId="0" fontId="40" fillId="28" borderId="32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33" xfId="177" applyFont="1" applyBorder="1" applyAlignment="1">
      <alignment vertical="center"/>
    </xf>
    <xf numFmtId="0" fontId="42" fillId="28" borderId="34" xfId="182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5" xfId="177" applyFont="1" applyBorder="1" applyAlignment="1">
      <alignment horizontal="center" vertical="center"/>
    </xf>
    <xf numFmtId="0" fontId="42" fillId="28" borderId="1" xfId="182" applyFont="1" applyFill="1" applyBorder="1" applyAlignment="1">
      <alignment horizontal="center" vertical="center"/>
    </xf>
    <xf numFmtId="0" fontId="42" fillId="28" borderId="35" xfId="182" applyFont="1" applyFill="1" applyBorder="1" applyAlignment="1">
      <alignment horizontal="center" vertical="center"/>
    </xf>
    <xf numFmtId="0" fontId="42" fillId="28" borderId="34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6" xfId="177" applyFont="1" applyBorder="1" applyAlignment="1">
      <alignment horizontal="center" vertical="center"/>
    </xf>
    <xf numFmtId="177" fontId="41" fillId="0" borderId="37" xfId="182" applyNumberFormat="1" applyFont="1" applyBorder="1" applyAlignment="1">
      <alignment horizontal="center" vertical="center"/>
    </xf>
    <xf numFmtId="177" fontId="41" fillId="0" borderId="2" xfId="177" applyNumberFormat="1" applyFont="1" applyBorder="1" applyAlignment="1">
      <alignment horizontal="center" vertical="center"/>
    </xf>
    <xf numFmtId="177" fontId="41" fillId="0" borderId="24" xfId="177" applyNumberFormat="1" applyFont="1" applyBorder="1" applyAlignment="1">
      <alignment horizontal="center" vertical="center"/>
    </xf>
    <xf numFmtId="0" fontId="41" fillId="0" borderId="27" xfId="182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7" xfId="182" applyFont="1" applyBorder="1" applyAlignment="1">
      <alignment vertical="center" wrapText="1"/>
    </xf>
    <xf numFmtId="0" fontId="41" fillId="0" borderId="38" xfId="177" applyFont="1" applyBorder="1" applyAlignment="1">
      <alignment vertical="center" wrapText="1"/>
    </xf>
    <xf numFmtId="0" fontId="41" fillId="0" borderId="39" xfId="182" applyFont="1" applyBorder="1" applyAlignment="1">
      <alignment horizontal="left" vertical="center" wrapText="1"/>
    </xf>
    <xf numFmtId="0" fontId="41" fillId="0" borderId="30" xfId="177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0" xfId="177" applyFont="1" applyBorder="1" applyAlignment="1">
      <alignment vertical="center" wrapText="1"/>
    </xf>
    <xf numFmtId="0" fontId="41" fillId="0" borderId="31" xfId="177" applyFont="1" applyBorder="1" applyAlignment="1">
      <alignment vertical="center" wrapText="1"/>
    </xf>
    <xf numFmtId="0" fontId="41" fillId="0" borderId="39" xfId="182" applyFont="1" applyBorder="1" applyAlignment="1">
      <alignment vertical="center" wrapText="1"/>
    </xf>
    <xf numFmtId="0" fontId="41" fillId="0" borderId="40" xfId="177" applyFont="1" applyBorder="1" applyAlignment="1">
      <alignment vertical="center" wrapText="1"/>
    </xf>
    <xf numFmtId="0" fontId="41" fillId="0" borderId="41" xfId="182" applyFont="1" applyBorder="1" applyAlignment="1">
      <alignment horizontal="left" vertical="center" wrapText="1"/>
    </xf>
    <xf numFmtId="0" fontId="41" fillId="0" borderId="42" xfId="177" applyFont="1" applyBorder="1" applyAlignment="1">
      <alignment horizontal="left" vertical="center" wrapText="1"/>
    </xf>
    <xf numFmtId="0" fontId="41" fillId="0" borderId="43" xfId="177" applyFont="1" applyBorder="1" applyAlignment="1">
      <alignment horizontal="left" vertical="center" wrapText="1"/>
    </xf>
    <xf numFmtId="0" fontId="41" fillId="0" borderId="42" xfId="177" applyFont="1" applyBorder="1" applyAlignment="1">
      <alignment vertical="center" wrapText="1"/>
    </xf>
    <xf numFmtId="0" fontId="41" fillId="0" borderId="43" xfId="177" applyFont="1" applyBorder="1" applyAlignment="1">
      <alignment vertical="center" wrapText="1"/>
    </xf>
    <xf numFmtId="0" fontId="41" fillId="0" borderId="41" xfId="182" applyFont="1" applyBorder="1" applyAlignment="1">
      <alignment vertical="center" wrapText="1"/>
    </xf>
    <xf numFmtId="0" fontId="41" fillId="0" borderId="44" xfId="177" applyFont="1" applyBorder="1" applyAlignment="1">
      <alignment vertical="center" wrapText="1"/>
    </xf>
    <xf numFmtId="0" fontId="42" fillId="28" borderId="45" xfId="182" applyFont="1" applyFill="1" applyBorder="1" applyAlignment="1">
      <alignment horizontal="center" vertical="center"/>
    </xf>
    <xf numFmtId="177" fontId="41" fillId="0" borderId="46" xfId="182" applyNumberFormat="1" applyFont="1" applyBorder="1" applyAlignment="1">
      <alignment horizontal="center" vertical="center"/>
    </xf>
    <xf numFmtId="177" fontId="41" fillId="0" borderId="42" xfId="177" applyNumberFormat="1" applyFont="1" applyBorder="1" applyAlignment="1">
      <alignment horizontal="center" vertical="center"/>
    </xf>
    <xf numFmtId="177" fontId="41" fillId="0" borderId="43" xfId="177" applyNumberFormat="1" applyFont="1" applyBorder="1" applyAlignment="1">
      <alignment horizontal="center" vertical="center"/>
    </xf>
    <xf numFmtId="0" fontId="41" fillId="0" borderId="27" xfId="182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24" xfId="177" applyFont="1" applyBorder="1" applyAlignment="1">
      <alignment horizontal="left" vertical="center"/>
    </xf>
    <xf numFmtId="0" fontId="41" fillId="0" borderId="27" xfId="182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38" xfId="177" applyFont="1" applyBorder="1" applyAlignment="1">
      <alignment vertical="center"/>
    </xf>
    <xf numFmtId="49" fontId="39" fillId="28" borderId="27" xfId="0" applyNumberFormat="1" applyFont="1" applyFill="1" applyBorder="1" applyAlignment="1" applyProtection="1">
      <protection locked="0"/>
    </xf>
    <xf numFmtId="49" fontId="39" fillId="28" borderId="24" xfId="0" applyNumberFormat="1" applyFont="1" applyFill="1" applyBorder="1" applyAlignment="1"/>
    <xf numFmtId="0" fontId="39" fillId="28" borderId="27" xfId="0" applyFont="1" applyFill="1" applyBorder="1" applyAlignment="1" applyProtection="1">
      <protection locked="0"/>
    </xf>
    <xf numFmtId="0" fontId="39" fillId="28" borderId="24" xfId="0" applyFont="1" applyFill="1" applyBorder="1" applyAlignment="1"/>
    <xf numFmtId="0" fontId="39" fillId="28" borderId="27" xfId="180" applyFont="1" applyFill="1" applyBorder="1" applyAlignment="1"/>
  </cellXfs>
  <cellStyles count="223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2" xr:uid="{00000000-0005-0000-0000-000006000000}"/>
    <cellStyle name="20% - アクセント 2" xfId="7" builtinId="34" customBuiltin="1"/>
    <cellStyle name="20% - アクセント 2 2" xfId="8" xr:uid="{00000000-0005-0000-0000-000008000000}"/>
    <cellStyle name="20% - アクセント 2 3" xfId="9" xr:uid="{00000000-0005-0000-0000-000009000000}"/>
    <cellStyle name="20% - アクセント 2 4" xfId="10" xr:uid="{00000000-0005-0000-0000-00000A000000}"/>
    <cellStyle name="20% - アクセント 2 5" xfId="221" xr:uid="{00000000-0005-0000-0000-00000B000000}"/>
    <cellStyle name="20% - アクセント 3" xfId="11" builtinId="38" customBuiltin="1"/>
    <cellStyle name="20% - アクセント 3 2" xfId="12" xr:uid="{00000000-0005-0000-0000-00000D000000}"/>
    <cellStyle name="20% - アクセント 3 3" xfId="13" xr:uid="{00000000-0005-0000-0000-00000E000000}"/>
    <cellStyle name="20% - アクセント 3 4" xfId="14" xr:uid="{00000000-0005-0000-0000-00000F000000}"/>
    <cellStyle name="20% - アクセント 3 5" xfId="220" xr:uid="{00000000-0005-0000-0000-000010000000}"/>
    <cellStyle name="20% - アクセント 4" xfId="15" builtinId="42" customBuiltin="1"/>
    <cellStyle name="20% - アクセント 4 2" xfId="16" xr:uid="{00000000-0005-0000-0000-000012000000}"/>
    <cellStyle name="20% - アクセント 4 3" xfId="17" xr:uid="{00000000-0005-0000-0000-000013000000}"/>
    <cellStyle name="20% - アクセント 4 4" xfId="18" xr:uid="{00000000-0005-0000-0000-000014000000}"/>
    <cellStyle name="20% - アクセント 4 5" xfId="219" xr:uid="{00000000-0005-0000-0000-000015000000}"/>
    <cellStyle name="20% - アクセント 5" xfId="19" builtinId="46" customBuiltin="1"/>
    <cellStyle name="20% - アクセント 5 2" xfId="20" xr:uid="{00000000-0005-0000-0000-000017000000}"/>
    <cellStyle name="20% - アクセント 5 3" xfId="21" xr:uid="{00000000-0005-0000-0000-000018000000}"/>
    <cellStyle name="20% - アクセント 5 4" xfId="22" xr:uid="{00000000-0005-0000-0000-000019000000}"/>
    <cellStyle name="20% - アクセント 6" xfId="23" builtinId="50" customBuiltin="1"/>
    <cellStyle name="20% - アクセント 6 2" xfId="24" xr:uid="{00000000-0005-0000-0000-00001B000000}"/>
    <cellStyle name="20% - アクセント 6 3" xfId="25" xr:uid="{00000000-0005-0000-0000-00001C000000}"/>
    <cellStyle name="20% - アクセント 6 4" xfId="26" xr:uid="{00000000-0005-0000-0000-00001D000000}"/>
    <cellStyle name="20% - アクセント 6 5" xfId="218" xr:uid="{00000000-0005-0000-0000-00001E000000}"/>
    <cellStyle name="40% - アクセント 1" xfId="27" builtinId="31" customBuiltin="1"/>
    <cellStyle name="40% - アクセント 1 2" xfId="28" xr:uid="{00000000-0005-0000-0000-000020000000}"/>
    <cellStyle name="40% - アクセント 1 3" xfId="29" xr:uid="{00000000-0005-0000-0000-000021000000}"/>
    <cellStyle name="40% - アクセント 1 4" xfId="30" xr:uid="{00000000-0005-0000-0000-000022000000}"/>
    <cellStyle name="40% - アクセント 1 5" xfId="217" xr:uid="{00000000-0005-0000-0000-000023000000}"/>
    <cellStyle name="40% - アクセント 2" xfId="31" builtinId="35" customBuiltin="1"/>
    <cellStyle name="40% - アクセント 2 2" xfId="32" xr:uid="{00000000-0005-0000-0000-000025000000}"/>
    <cellStyle name="40% - アクセント 2 3" xfId="33" xr:uid="{00000000-0005-0000-0000-000026000000}"/>
    <cellStyle name="40% - アクセント 2 4" xfId="34" xr:uid="{00000000-0005-0000-0000-000027000000}"/>
    <cellStyle name="40% - アクセント 3" xfId="35" builtinId="39" customBuiltin="1"/>
    <cellStyle name="40% - アクセント 3 2" xfId="36" xr:uid="{00000000-0005-0000-0000-000029000000}"/>
    <cellStyle name="40% - アクセント 3 3" xfId="37" xr:uid="{00000000-0005-0000-0000-00002A000000}"/>
    <cellStyle name="40% - アクセント 3 4" xfId="38" xr:uid="{00000000-0005-0000-0000-00002B000000}"/>
    <cellStyle name="40% - アクセント 3 5" xfId="216" xr:uid="{00000000-0005-0000-0000-00002C000000}"/>
    <cellStyle name="40% - アクセント 4" xfId="39" builtinId="43" customBuiltin="1"/>
    <cellStyle name="40% - アクセント 4 2" xfId="40" xr:uid="{00000000-0005-0000-0000-00002E000000}"/>
    <cellStyle name="40% - アクセント 4 3" xfId="41" xr:uid="{00000000-0005-0000-0000-00002F000000}"/>
    <cellStyle name="40% - アクセント 4 4" xfId="42" xr:uid="{00000000-0005-0000-0000-000030000000}"/>
    <cellStyle name="40% - アクセント 4 5" xfId="215" xr:uid="{00000000-0005-0000-0000-000031000000}"/>
    <cellStyle name="40% - アクセント 5" xfId="43" builtinId="47" customBuiltin="1"/>
    <cellStyle name="40% - アクセント 5 2" xfId="44" xr:uid="{00000000-0005-0000-0000-000033000000}"/>
    <cellStyle name="40% - アクセント 5 3" xfId="45" xr:uid="{00000000-0005-0000-0000-000034000000}"/>
    <cellStyle name="40% - アクセント 5 4" xfId="46" xr:uid="{00000000-0005-0000-0000-000035000000}"/>
    <cellStyle name="40% - アクセント 5 5" xfId="214" xr:uid="{00000000-0005-0000-0000-000036000000}"/>
    <cellStyle name="40% - アクセント 6" xfId="47" builtinId="51" customBuiltin="1"/>
    <cellStyle name="40% - アクセント 6 2" xfId="48" xr:uid="{00000000-0005-0000-0000-000038000000}"/>
    <cellStyle name="40% - アクセント 6 3" xfId="49" xr:uid="{00000000-0005-0000-0000-000039000000}"/>
    <cellStyle name="40% - アクセント 6 4" xfId="50" xr:uid="{00000000-0005-0000-0000-00003A000000}"/>
    <cellStyle name="40% - アクセント 6 5" xfId="213" xr:uid="{00000000-0005-0000-0000-00003B000000}"/>
    <cellStyle name="60% - アクセント 1" xfId="51" builtinId="32" customBuiltin="1"/>
    <cellStyle name="60% - アクセント 1 2" xfId="52" xr:uid="{00000000-0005-0000-0000-00003D000000}"/>
    <cellStyle name="60% - アクセント 1 3" xfId="53" xr:uid="{00000000-0005-0000-0000-00003E000000}"/>
    <cellStyle name="60% - アクセント 1 4" xfId="54" xr:uid="{00000000-0005-0000-0000-00003F000000}"/>
    <cellStyle name="60% - アクセント 1 5" xfId="212" xr:uid="{00000000-0005-0000-0000-000040000000}"/>
    <cellStyle name="60% - アクセント 2" xfId="55" builtinId="36" customBuiltin="1"/>
    <cellStyle name="60% - アクセント 2 2" xfId="56" xr:uid="{00000000-0005-0000-0000-000042000000}"/>
    <cellStyle name="60% - アクセント 2 3" xfId="57" xr:uid="{00000000-0005-0000-0000-000043000000}"/>
    <cellStyle name="60% - アクセント 2 4" xfId="58" xr:uid="{00000000-0005-0000-0000-000044000000}"/>
    <cellStyle name="60% - アクセント 2 5" xfId="211" xr:uid="{00000000-0005-0000-0000-000045000000}"/>
    <cellStyle name="60% - アクセント 3" xfId="59" builtinId="40" customBuiltin="1"/>
    <cellStyle name="60% - アクセント 3 2" xfId="60" xr:uid="{00000000-0005-0000-0000-000047000000}"/>
    <cellStyle name="60% - アクセント 3 3" xfId="61" xr:uid="{00000000-0005-0000-0000-000048000000}"/>
    <cellStyle name="60% - アクセント 3 4" xfId="62" xr:uid="{00000000-0005-0000-0000-000049000000}"/>
    <cellStyle name="60% - アクセント 3 5" xfId="210" xr:uid="{00000000-0005-0000-0000-00004A000000}"/>
    <cellStyle name="60% - アクセント 4" xfId="63" builtinId="44" customBuiltin="1"/>
    <cellStyle name="60% - アクセント 4 2" xfId="64" xr:uid="{00000000-0005-0000-0000-00004C000000}"/>
    <cellStyle name="60% - アクセント 4 3" xfId="65" xr:uid="{00000000-0005-0000-0000-00004D000000}"/>
    <cellStyle name="60% - アクセント 4 4" xfId="66" xr:uid="{00000000-0005-0000-0000-00004E000000}"/>
    <cellStyle name="60% - アクセント 4 5" xfId="209" xr:uid="{00000000-0005-0000-0000-00004F000000}"/>
    <cellStyle name="60% - アクセント 5" xfId="67" builtinId="48" customBuiltin="1"/>
    <cellStyle name="60% - アクセント 5 2" xfId="68" xr:uid="{00000000-0005-0000-0000-000051000000}"/>
    <cellStyle name="60% - アクセント 5 3" xfId="69" xr:uid="{00000000-0005-0000-0000-000052000000}"/>
    <cellStyle name="60% - アクセント 5 4" xfId="70" xr:uid="{00000000-0005-0000-0000-000053000000}"/>
    <cellStyle name="60% - アクセント 5 5" xfId="208" xr:uid="{00000000-0005-0000-0000-000054000000}"/>
    <cellStyle name="60% - アクセント 6" xfId="71" builtinId="52" customBuiltin="1"/>
    <cellStyle name="60% - アクセント 6 2" xfId="72" xr:uid="{00000000-0005-0000-0000-000056000000}"/>
    <cellStyle name="60% - アクセント 6 3" xfId="73" xr:uid="{00000000-0005-0000-0000-000057000000}"/>
    <cellStyle name="60% - アクセント 6 4" xfId="74" xr:uid="{00000000-0005-0000-0000-000058000000}"/>
    <cellStyle name="60% - アクセント 6 5" xfId="207" xr:uid="{00000000-0005-0000-0000-000059000000}"/>
    <cellStyle name="Calc Currency (0)" xfId="75" xr:uid="{00000000-0005-0000-0000-00005A000000}"/>
    <cellStyle name="Header1" xfId="76" xr:uid="{00000000-0005-0000-0000-00005B000000}"/>
    <cellStyle name="Header2" xfId="77" xr:uid="{00000000-0005-0000-0000-00005C000000}"/>
    <cellStyle name="Normal_#18-Internet" xfId="78" xr:uid="{00000000-0005-0000-0000-00005D000000}"/>
    <cellStyle name="PSChar" xfId="79" xr:uid="{00000000-0005-0000-0000-00005E000000}"/>
    <cellStyle name="PSHeading" xfId="80" xr:uid="{00000000-0005-0000-0000-00005F000000}"/>
    <cellStyle name="u" xfId="81" xr:uid="{00000000-0005-0000-0000-000060000000}"/>
    <cellStyle name="アクセント 1" xfId="82" builtinId="29" customBuiltin="1"/>
    <cellStyle name="アクセント 1 2" xfId="83" xr:uid="{00000000-0005-0000-0000-000062000000}"/>
    <cellStyle name="アクセント 1 3" xfId="84" xr:uid="{00000000-0005-0000-0000-000063000000}"/>
    <cellStyle name="アクセント 1 4" xfId="85" xr:uid="{00000000-0005-0000-0000-000064000000}"/>
    <cellStyle name="アクセント 1 5" xfId="206" xr:uid="{00000000-0005-0000-0000-000065000000}"/>
    <cellStyle name="アクセント 2" xfId="86" builtinId="33" customBuiltin="1"/>
    <cellStyle name="アクセント 2 2" xfId="87" xr:uid="{00000000-0005-0000-0000-000067000000}"/>
    <cellStyle name="アクセント 2 3" xfId="88" xr:uid="{00000000-0005-0000-0000-000068000000}"/>
    <cellStyle name="アクセント 2 4" xfId="89" xr:uid="{00000000-0005-0000-0000-000069000000}"/>
    <cellStyle name="アクセント 2 5" xfId="205" xr:uid="{00000000-0005-0000-0000-00006A000000}"/>
    <cellStyle name="アクセント 3" xfId="90" builtinId="37" customBuiltin="1"/>
    <cellStyle name="アクセント 3 2" xfId="91" xr:uid="{00000000-0005-0000-0000-00006C000000}"/>
    <cellStyle name="アクセント 3 3" xfId="92" xr:uid="{00000000-0005-0000-0000-00006D000000}"/>
    <cellStyle name="アクセント 3 4" xfId="93" xr:uid="{00000000-0005-0000-0000-00006E000000}"/>
    <cellStyle name="アクセント 3 5" xfId="204" xr:uid="{00000000-0005-0000-0000-00006F000000}"/>
    <cellStyle name="アクセント 4" xfId="94" builtinId="41" customBuiltin="1"/>
    <cellStyle name="アクセント 4 2" xfId="95" xr:uid="{00000000-0005-0000-0000-000071000000}"/>
    <cellStyle name="アクセント 4 3" xfId="96" xr:uid="{00000000-0005-0000-0000-000072000000}"/>
    <cellStyle name="アクセント 4 4" xfId="97" xr:uid="{00000000-0005-0000-0000-000073000000}"/>
    <cellStyle name="アクセント 4 5" xfId="203" xr:uid="{00000000-0005-0000-0000-000074000000}"/>
    <cellStyle name="アクセント 5" xfId="98" builtinId="45" customBuiltin="1"/>
    <cellStyle name="アクセント 5 2" xfId="99" xr:uid="{00000000-0005-0000-0000-000076000000}"/>
    <cellStyle name="アクセント 5 3" xfId="100" xr:uid="{00000000-0005-0000-0000-000077000000}"/>
    <cellStyle name="アクセント 5 4" xfId="101" xr:uid="{00000000-0005-0000-0000-000078000000}"/>
    <cellStyle name="アクセント 6" xfId="102" builtinId="49" customBuiltin="1"/>
    <cellStyle name="アクセント 6 2" xfId="103" xr:uid="{00000000-0005-0000-0000-00007A000000}"/>
    <cellStyle name="アクセント 6 3" xfId="104" xr:uid="{00000000-0005-0000-0000-00007B000000}"/>
    <cellStyle name="アクセント 6 4" xfId="105" xr:uid="{00000000-0005-0000-0000-00007C000000}"/>
    <cellStyle name="アクセント 6 5" xfId="202" xr:uid="{00000000-0005-0000-0000-00007D000000}"/>
    <cellStyle name="タイトル" xfId="106" builtinId="15" customBuiltin="1"/>
    <cellStyle name="タイトル 2" xfId="107" xr:uid="{00000000-0005-0000-0000-00007F000000}"/>
    <cellStyle name="タイトル 3" xfId="108" xr:uid="{00000000-0005-0000-0000-000080000000}"/>
    <cellStyle name="タイトル 4" xfId="109" xr:uid="{00000000-0005-0000-0000-000081000000}"/>
    <cellStyle name="タイトル 5" xfId="201" xr:uid="{00000000-0005-0000-0000-000082000000}"/>
    <cellStyle name="チェック セル" xfId="110" builtinId="23" customBuiltin="1"/>
    <cellStyle name="チェック セル 2" xfId="111" xr:uid="{00000000-0005-0000-0000-000084000000}"/>
    <cellStyle name="チェック セル 3" xfId="112" xr:uid="{00000000-0005-0000-0000-000085000000}"/>
    <cellStyle name="チェック セル 4" xfId="113" xr:uid="{00000000-0005-0000-0000-000086000000}"/>
    <cellStyle name="どちらでもない" xfId="114" builtinId="28" customBuiltin="1"/>
    <cellStyle name="どちらでもない 2" xfId="115" xr:uid="{00000000-0005-0000-0000-000088000000}"/>
    <cellStyle name="どちらでもない 3" xfId="116" xr:uid="{00000000-0005-0000-0000-000089000000}"/>
    <cellStyle name="どちらでもない 4" xfId="117" xr:uid="{00000000-0005-0000-0000-00008A000000}"/>
    <cellStyle name="どちらでもない 5" xfId="200" xr:uid="{00000000-0005-0000-0000-00008B000000}"/>
    <cellStyle name="メモ" xfId="118" builtinId="10" customBuiltin="1"/>
    <cellStyle name="メモ 2" xfId="119" xr:uid="{00000000-0005-0000-0000-00008D000000}"/>
    <cellStyle name="メモ 3" xfId="120" xr:uid="{00000000-0005-0000-0000-00008E000000}"/>
    <cellStyle name="メモ 4" xfId="121" xr:uid="{00000000-0005-0000-0000-00008F000000}"/>
    <cellStyle name="メモ 5" xfId="199" xr:uid="{00000000-0005-0000-0000-000090000000}"/>
    <cellStyle name="リンク セル" xfId="122" builtinId="24" customBuiltin="1"/>
    <cellStyle name="リンク セル 2" xfId="123" xr:uid="{00000000-0005-0000-0000-000092000000}"/>
    <cellStyle name="リンク セル 3" xfId="124" xr:uid="{00000000-0005-0000-0000-000093000000}"/>
    <cellStyle name="リンク セル 4" xfId="125" xr:uid="{00000000-0005-0000-0000-000094000000}"/>
    <cellStyle name="リンク セル 5" xfId="198" xr:uid="{00000000-0005-0000-0000-000095000000}"/>
    <cellStyle name="_x001d__x000c_K_x0014__x000d_&gt;V_x0001_&gt;_x0014_n_x001e__x0007__x0001__x0001_" xfId="126" xr:uid="{00000000-0005-0000-0000-000096000000}"/>
    <cellStyle name="悪い" xfId="127" builtinId="27" customBuiltin="1"/>
    <cellStyle name="悪い 2" xfId="128" xr:uid="{00000000-0005-0000-0000-000098000000}"/>
    <cellStyle name="悪い 3" xfId="129" xr:uid="{00000000-0005-0000-0000-000099000000}"/>
    <cellStyle name="悪い 4" xfId="130" xr:uid="{00000000-0005-0000-0000-00009A000000}"/>
    <cellStyle name="悪い 5" xfId="197" xr:uid="{00000000-0005-0000-0000-00009B000000}"/>
    <cellStyle name="計算" xfId="131" builtinId="22" customBuiltin="1"/>
    <cellStyle name="計算 2" xfId="132" xr:uid="{00000000-0005-0000-0000-00009D000000}"/>
    <cellStyle name="計算 3" xfId="133" xr:uid="{00000000-0005-0000-0000-00009E000000}"/>
    <cellStyle name="計算 4" xfId="134" xr:uid="{00000000-0005-0000-0000-00009F000000}"/>
    <cellStyle name="計算 5" xfId="196" xr:uid="{00000000-0005-0000-0000-0000A0000000}"/>
    <cellStyle name="警告文" xfId="135" builtinId="11" customBuiltin="1"/>
    <cellStyle name="警告文 2" xfId="136" xr:uid="{00000000-0005-0000-0000-0000A2000000}"/>
    <cellStyle name="警告文 3" xfId="137" xr:uid="{00000000-0005-0000-0000-0000A3000000}"/>
    <cellStyle name="警告文 4" xfId="138" xr:uid="{00000000-0005-0000-0000-0000A4000000}"/>
    <cellStyle name="見出し 1" xfId="139" builtinId="16" customBuiltin="1"/>
    <cellStyle name="見出し 1 2" xfId="140" xr:uid="{00000000-0005-0000-0000-0000A6000000}"/>
    <cellStyle name="見出し 1 3" xfId="141" xr:uid="{00000000-0005-0000-0000-0000A7000000}"/>
    <cellStyle name="見出し 1 4" xfId="142" xr:uid="{00000000-0005-0000-0000-0000A8000000}"/>
    <cellStyle name="見出し 1 5" xfId="195" xr:uid="{00000000-0005-0000-0000-0000A9000000}"/>
    <cellStyle name="見出し 2" xfId="143" builtinId="17" customBuiltin="1"/>
    <cellStyle name="見出し 2 2" xfId="144" xr:uid="{00000000-0005-0000-0000-0000AB000000}"/>
    <cellStyle name="見出し 2 3" xfId="145" xr:uid="{00000000-0005-0000-0000-0000AC000000}"/>
    <cellStyle name="見出し 2 4" xfId="146" xr:uid="{00000000-0005-0000-0000-0000AD000000}"/>
    <cellStyle name="見出し 2 5" xfId="194" xr:uid="{00000000-0005-0000-0000-0000AE000000}"/>
    <cellStyle name="見出し 3" xfId="147" builtinId="18" customBuiltin="1"/>
    <cellStyle name="見出し 3 2" xfId="148" xr:uid="{00000000-0005-0000-0000-0000B0000000}"/>
    <cellStyle name="見出し 3 3" xfId="149" xr:uid="{00000000-0005-0000-0000-0000B1000000}"/>
    <cellStyle name="見出し 3 4" xfId="150" xr:uid="{00000000-0005-0000-0000-0000B2000000}"/>
    <cellStyle name="見出し 3 5" xfId="193" xr:uid="{00000000-0005-0000-0000-0000B3000000}"/>
    <cellStyle name="見出し 4" xfId="151" builtinId="19" customBuiltin="1"/>
    <cellStyle name="見出し 4 2" xfId="152" xr:uid="{00000000-0005-0000-0000-0000B5000000}"/>
    <cellStyle name="見出し 4 3" xfId="153" xr:uid="{00000000-0005-0000-0000-0000B6000000}"/>
    <cellStyle name="見出し 4 4" xfId="154" xr:uid="{00000000-0005-0000-0000-0000B7000000}"/>
    <cellStyle name="見出し 4 5" xfId="192" xr:uid="{00000000-0005-0000-0000-0000B8000000}"/>
    <cellStyle name="集計" xfId="155" builtinId="25" customBuiltin="1"/>
    <cellStyle name="集計 2" xfId="156" xr:uid="{00000000-0005-0000-0000-0000BA000000}"/>
    <cellStyle name="集計 3" xfId="157" xr:uid="{00000000-0005-0000-0000-0000BB000000}"/>
    <cellStyle name="集計 4" xfId="158" xr:uid="{00000000-0005-0000-0000-0000BC000000}"/>
    <cellStyle name="集計 5" xfId="191" xr:uid="{00000000-0005-0000-0000-0000BD000000}"/>
    <cellStyle name="出力" xfId="159" builtinId="21" customBuiltin="1"/>
    <cellStyle name="出力 2" xfId="160" xr:uid="{00000000-0005-0000-0000-0000BF000000}"/>
    <cellStyle name="出力 3" xfId="161" xr:uid="{00000000-0005-0000-0000-0000C0000000}"/>
    <cellStyle name="出力 4" xfId="162" xr:uid="{00000000-0005-0000-0000-0000C1000000}"/>
    <cellStyle name="出力 5" xfId="190" xr:uid="{00000000-0005-0000-0000-0000C2000000}"/>
    <cellStyle name="説明文" xfId="163" builtinId="53" customBuiltin="1"/>
    <cellStyle name="説明文 2" xfId="164" xr:uid="{00000000-0005-0000-0000-0000C4000000}"/>
    <cellStyle name="説明文 3" xfId="165" xr:uid="{00000000-0005-0000-0000-0000C5000000}"/>
    <cellStyle name="説明文 4" xfId="166" xr:uid="{00000000-0005-0000-0000-0000C6000000}"/>
    <cellStyle name="入力" xfId="167" builtinId="20" customBuiltin="1"/>
    <cellStyle name="入力 2" xfId="168" xr:uid="{00000000-0005-0000-0000-0000C8000000}"/>
    <cellStyle name="入力 3" xfId="169" xr:uid="{00000000-0005-0000-0000-0000C9000000}"/>
    <cellStyle name="入力 4" xfId="170" xr:uid="{00000000-0005-0000-0000-0000CA000000}"/>
    <cellStyle name="入力 5" xfId="189" xr:uid="{00000000-0005-0000-0000-0000CB000000}"/>
    <cellStyle name="標準" xfId="0" builtinId="0"/>
    <cellStyle name="標準 2" xfId="171" xr:uid="{00000000-0005-0000-0000-0000CD000000}"/>
    <cellStyle name="標準 3" xfId="172" xr:uid="{00000000-0005-0000-0000-0000CE000000}"/>
    <cellStyle name="標準 4" xfId="173" xr:uid="{00000000-0005-0000-0000-0000CF000000}"/>
    <cellStyle name="標準 5" xfId="174" xr:uid="{00000000-0005-0000-0000-0000D0000000}"/>
    <cellStyle name="標準 6" xfId="175" xr:uid="{00000000-0005-0000-0000-0000D1000000}"/>
    <cellStyle name="標準 7" xfId="176" xr:uid="{00000000-0005-0000-0000-0000D2000000}"/>
    <cellStyle name="標準_02_変更来歴例" xfId="177" xr:uid="{00000000-0005-0000-0000-0000D3000000}"/>
    <cellStyle name="標準_A00200 オーダー状況" xfId="178" xr:uid="{00000000-0005-0000-0000-0000D4000000}"/>
    <cellStyle name="標準_LogicCommon" xfId="179" xr:uid="{00000000-0005-0000-0000-0000D5000000}"/>
    <cellStyle name="標準_Srch01" xfId="180" xr:uid="{00000000-0005-0000-0000-0000D6000000}"/>
    <cellStyle name="標準_Srch01_1" xfId="181" xr:uid="{00000000-0005-0000-0000-0000D7000000}"/>
    <cellStyle name="標準_変更来歴_1" xfId="182" xr:uid="{00000000-0005-0000-0000-0000D8000000}"/>
    <cellStyle name="未定義" xfId="183" xr:uid="{00000000-0005-0000-0000-0000D9000000}"/>
    <cellStyle name="良い" xfId="184" builtinId="26" customBuiltin="1"/>
    <cellStyle name="良い 2" xfId="185" xr:uid="{00000000-0005-0000-0000-0000DB000000}"/>
    <cellStyle name="良い 3" xfId="186" xr:uid="{00000000-0005-0000-0000-0000DC000000}"/>
    <cellStyle name="良い 4" xfId="187" xr:uid="{00000000-0005-0000-0000-0000DD000000}"/>
    <cellStyle name="良い 5" xfId="188" xr:uid="{00000000-0005-0000-0000-0000D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105</v>
      </c>
      <c r="D2" s="7" t="s">
        <v>9</v>
      </c>
      <c r="E2" s="9" t="s">
        <v>132</v>
      </c>
      <c r="F2" s="7" t="s">
        <v>44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131</v>
      </c>
      <c r="D3" s="7" t="s">
        <v>10</v>
      </c>
      <c r="E3" s="9" t="s">
        <v>133</v>
      </c>
      <c r="F3" s="7" t="s">
        <v>45</v>
      </c>
      <c r="G3" s="9"/>
      <c r="H3" s="7"/>
      <c r="I3" s="9"/>
    </row>
    <row r="4" spans="1:12">
      <c r="A4" s="3"/>
      <c r="B4" s="7"/>
      <c r="C4" s="103"/>
      <c r="D4" s="7" t="s">
        <v>11</v>
      </c>
      <c r="E4" s="13" t="s">
        <v>130</v>
      </c>
      <c r="F4" s="7" t="s">
        <v>5</v>
      </c>
      <c r="G4" s="9" t="s">
        <v>259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26"/>
  <sheetViews>
    <sheetView topLeftCell="K1"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7.1796875" style="30" customWidth="1"/>
    <col min="9" max="10" width="15.81640625" style="30" customWidth="1"/>
    <col min="11" max="11" width="16.90625" style="30" customWidth="1"/>
    <col min="12" max="12" width="12.90625" style="30" customWidth="1"/>
    <col min="13" max="13" width="12.81640625" style="30" bestFit="1" customWidth="1"/>
    <col min="14" max="14" width="50.6328125" style="30" customWidth="1"/>
    <col min="15" max="15" width="14.08984375" style="30" customWidth="1"/>
    <col min="16" max="16" width="14.90625" style="30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107" t="s">
        <v>16</v>
      </c>
      <c r="B1" s="107" t="s">
        <v>16</v>
      </c>
      <c r="C1" s="10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108" t="s">
        <v>16</v>
      </c>
      <c r="B2" s="109"/>
      <c r="C2" s="109"/>
      <c r="D2" s="119" t="s">
        <v>268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MABSL0160</v>
      </c>
      <c r="I2" s="7" t="s">
        <v>216</v>
      </c>
      <c r="J2" s="9" t="s">
        <v>134</v>
      </c>
      <c r="K2" s="7" t="s">
        <v>29</v>
      </c>
      <c r="L2" s="110" t="str">
        <f>IF(LogicCommon!G2="","",LogicCommon!G2)</f>
        <v>MC</v>
      </c>
      <c r="M2" s="5" t="s">
        <v>217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111" t="s">
        <v>16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MABSL_InspPointReg</v>
      </c>
      <c r="I3" s="7" t="s">
        <v>218</v>
      </c>
      <c r="J3" s="9" t="s">
        <v>114</v>
      </c>
      <c r="K3" s="7" t="s">
        <v>45</v>
      </c>
      <c r="L3" s="110" t="str">
        <f>IF(LogicCommon!G3="","",LogicCommon!G3)</f>
        <v/>
      </c>
      <c r="M3" s="114" t="s">
        <v>113</v>
      </c>
      <c r="N3" s="7"/>
      <c r="O3" s="7" t="s">
        <v>219</v>
      </c>
      <c r="P3" s="9" t="s">
        <v>32</v>
      </c>
      <c r="Q3" s="4"/>
      <c r="R3" s="27"/>
      <c r="S3" s="27"/>
      <c r="T3" s="27"/>
      <c r="U3" s="27"/>
    </row>
    <row r="4" spans="1:21" s="11" customFormat="1">
      <c r="A4" s="111" t="s">
        <v>16</v>
      </c>
      <c r="B4" s="112"/>
      <c r="C4" s="112"/>
      <c r="D4" s="4"/>
      <c r="E4" s="7" t="s">
        <v>8</v>
      </c>
      <c r="F4" s="10" t="s">
        <v>215</v>
      </c>
      <c r="G4" s="7" t="s">
        <v>11</v>
      </c>
      <c r="H4" s="110" t="str">
        <f>IF(LogicCommon!E4="","",LogicCommon!E4)</f>
        <v>検査項目マスタ登録</v>
      </c>
      <c r="I4" s="7" t="s">
        <v>112</v>
      </c>
      <c r="J4" s="9" t="s">
        <v>183</v>
      </c>
      <c r="K4" s="7" t="s">
        <v>5</v>
      </c>
      <c r="L4" s="110" t="str">
        <f>IF(LogicCommon!G4="","",LogicCommon!G4)</f>
        <v>MA.MAUDL5010</v>
      </c>
      <c r="M4" s="115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116" t="s">
        <v>16</v>
      </c>
      <c r="B5" s="107"/>
      <c r="C5" s="107"/>
      <c r="D5" s="26"/>
      <c r="E5" s="7" t="s">
        <v>220</v>
      </c>
      <c r="F5" s="10"/>
      <c r="G5" s="117"/>
      <c r="H5" s="117"/>
      <c r="I5" s="117"/>
      <c r="J5" s="117"/>
      <c r="K5" s="117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111" t="s">
        <v>16</v>
      </c>
      <c r="B6" s="112"/>
      <c r="C6" s="112"/>
      <c r="D6" s="4" t="s">
        <v>6</v>
      </c>
      <c r="E6" s="16" t="s">
        <v>184</v>
      </c>
      <c r="F6" s="16"/>
      <c r="G6" s="16"/>
      <c r="H6" s="16"/>
      <c r="I6" s="16"/>
      <c r="J6" s="16"/>
      <c r="K6" s="16"/>
      <c r="L6" s="118"/>
      <c r="M6" s="19"/>
      <c r="N6" s="19"/>
      <c r="O6" s="19"/>
      <c r="P6" s="19"/>
      <c r="Q6" s="19" t="s">
        <v>35</v>
      </c>
      <c r="R6" s="29"/>
      <c r="S6" s="30"/>
      <c r="T6" s="30"/>
      <c r="U6" s="27"/>
    </row>
    <row r="7" spans="1:21" s="11" customFormat="1">
      <c r="A7" s="31" t="s">
        <v>109</v>
      </c>
      <c r="B7" s="31"/>
      <c r="C7" s="31"/>
      <c r="D7" s="32"/>
      <c r="E7" s="32"/>
      <c r="F7" s="32"/>
      <c r="G7" s="32"/>
      <c r="H7" s="32"/>
      <c r="I7" s="32" t="s">
        <v>111</v>
      </c>
      <c r="J7" s="32"/>
      <c r="K7" s="33" t="s">
        <v>110</v>
      </c>
      <c r="L7" s="33" t="s">
        <v>163</v>
      </c>
      <c r="M7" s="33" t="s">
        <v>163</v>
      </c>
      <c r="N7" s="33"/>
      <c r="O7" s="33"/>
      <c r="P7" s="34" t="s">
        <v>82</v>
      </c>
      <c r="Q7" s="33"/>
      <c r="R7" s="30"/>
      <c r="S7" s="30"/>
      <c r="T7" s="30"/>
      <c r="U7" s="30"/>
    </row>
    <row r="8" spans="1:21" s="11" customFormat="1" ht="60" customHeight="1">
      <c r="A8" s="54" t="s">
        <v>18</v>
      </c>
      <c r="B8" s="122"/>
      <c r="C8" s="123"/>
      <c r="D8" s="120" t="s">
        <v>269</v>
      </c>
      <c r="E8" s="120" t="s">
        <v>270</v>
      </c>
      <c r="F8" s="118"/>
      <c r="G8" s="120" t="s">
        <v>229</v>
      </c>
      <c r="H8" s="120" t="s">
        <v>271</v>
      </c>
      <c r="I8" s="118"/>
      <c r="J8" s="3"/>
      <c r="K8" s="124" t="s">
        <v>108</v>
      </c>
      <c r="L8" s="124" t="s">
        <v>164</v>
      </c>
      <c r="M8" s="36" t="s">
        <v>165</v>
      </c>
      <c r="N8" s="36"/>
      <c r="O8" s="36"/>
      <c r="P8" s="34" t="s">
        <v>83</v>
      </c>
      <c r="Q8" s="36"/>
      <c r="R8" s="125"/>
      <c r="S8" s="126"/>
      <c r="T8" s="127" t="s">
        <v>272</v>
      </c>
      <c r="U8" s="56"/>
    </row>
    <row r="9" spans="1:21" s="11" customFormat="1" ht="60" customHeight="1">
      <c r="A9" s="9" t="s">
        <v>18</v>
      </c>
      <c r="B9" s="37"/>
      <c r="C9" s="38"/>
      <c r="D9" s="120" t="s">
        <v>273</v>
      </c>
      <c r="E9" s="128" t="s">
        <v>274</v>
      </c>
      <c r="F9" s="120" t="s">
        <v>275</v>
      </c>
      <c r="G9" s="120" t="s">
        <v>276</v>
      </c>
      <c r="H9" s="120" t="s">
        <v>277</v>
      </c>
      <c r="I9" s="129" t="s">
        <v>278</v>
      </c>
      <c r="J9" s="120" t="s">
        <v>279</v>
      </c>
      <c r="K9" s="34"/>
      <c r="L9" s="34"/>
      <c r="M9" s="34"/>
      <c r="N9" s="34"/>
      <c r="O9" s="34"/>
      <c r="P9" s="34"/>
      <c r="Q9" s="34"/>
      <c r="R9" s="127" t="s">
        <v>280</v>
      </c>
      <c r="S9" s="56"/>
      <c r="T9" s="127" t="s">
        <v>281</v>
      </c>
      <c r="U9" s="56"/>
    </row>
    <row r="10" spans="1:21" s="11" customFormat="1" ht="39">
      <c r="A10" s="41" t="s">
        <v>18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34"/>
      <c r="M10" s="34"/>
      <c r="N10" s="34"/>
      <c r="O10" s="34"/>
      <c r="P10" s="121" t="s">
        <v>278</v>
      </c>
      <c r="Q10" s="121" t="s">
        <v>279</v>
      </c>
      <c r="R10" s="44"/>
      <c r="S10" s="44"/>
      <c r="T10" s="45"/>
      <c r="U10" s="40"/>
    </row>
    <row r="11" spans="1:21" s="11" customFormat="1">
      <c r="A11" s="9">
        <v>10</v>
      </c>
      <c r="B11" s="46" t="s">
        <v>0</v>
      </c>
      <c r="C11" s="47"/>
      <c r="D11" s="48" t="s">
        <v>135</v>
      </c>
      <c r="E11" s="35" t="s">
        <v>79</v>
      </c>
      <c r="F11" s="49"/>
      <c r="G11" s="48" t="s">
        <v>166</v>
      </c>
      <c r="H11" s="36" t="s">
        <v>264</v>
      </c>
      <c r="I11" s="50"/>
      <c r="J11" s="51"/>
      <c r="K11" s="52"/>
      <c r="L11" s="52"/>
      <c r="M11" s="52"/>
      <c r="N11" s="52"/>
      <c r="O11" s="52"/>
      <c r="P11" s="52"/>
      <c r="Q11" s="52"/>
      <c r="R11" s="39" t="s">
        <v>198</v>
      </c>
      <c r="S11" s="40" t="s">
        <v>198</v>
      </c>
      <c r="T11" s="105" t="s">
        <v>198</v>
      </c>
      <c r="U11" s="53" t="s">
        <v>198</v>
      </c>
    </row>
    <row r="12" spans="1:21" s="11" customFormat="1">
      <c r="A12" s="9">
        <v>10</v>
      </c>
      <c r="B12" s="9"/>
      <c r="C12" s="9"/>
      <c r="D12" s="9" t="s">
        <v>154</v>
      </c>
      <c r="E12" s="54" t="s">
        <v>151</v>
      </c>
      <c r="F12" s="54"/>
      <c r="G12" s="55" t="s">
        <v>282</v>
      </c>
      <c r="H12" s="55" t="s">
        <v>199</v>
      </c>
      <c r="I12" s="9" t="s">
        <v>33</v>
      </c>
      <c r="J12" s="9"/>
      <c r="K12" s="9" t="s">
        <v>221</v>
      </c>
      <c r="L12" s="9"/>
      <c r="M12" s="9"/>
      <c r="N12" s="9"/>
      <c r="O12" s="9"/>
      <c r="P12" s="9"/>
      <c r="Q12" s="9"/>
      <c r="R12" s="104" t="s">
        <v>198</v>
      </c>
      <c r="S12" s="56" t="s">
        <v>198</v>
      </c>
      <c r="T12" s="183" t="s">
        <v>198</v>
      </c>
      <c r="U12" s="184"/>
    </row>
    <row r="13" spans="1:21" s="11" customFormat="1">
      <c r="A13" s="9">
        <v>10</v>
      </c>
      <c r="B13" s="9"/>
      <c r="C13" s="9"/>
      <c r="D13" s="9" t="s">
        <v>155</v>
      </c>
      <c r="E13" s="54" t="s">
        <v>152</v>
      </c>
      <c r="F13" s="54"/>
      <c r="G13" s="55" t="s">
        <v>283</v>
      </c>
      <c r="H13" s="55" t="s">
        <v>222</v>
      </c>
      <c r="I13" s="9" t="s">
        <v>33</v>
      </c>
      <c r="J13" s="9"/>
      <c r="K13" s="9" t="s">
        <v>221</v>
      </c>
      <c r="L13" s="9"/>
      <c r="M13" s="9"/>
      <c r="N13" s="9"/>
      <c r="O13" s="9"/>
      <c r="P13" s="9"/>
      <c r="Q13" s="9"/>
      <c r="R13" s="104" t="s">
        <v>198</v>
      </c>
      <c r="S13" s="56" t="s">
        <v>198</v>
      </c>
      <c r="T13" s="183" t="s">
        <v>198</v>
      </c>
      <c r="U13" s="184"/>
    </row>
    <row r="14" spans="1:21" s="11" customFormat="1">
      <c r="A14" s="9">
        <v>10</v>
      </c>
      <c r="B14" s="9"/>
      <c r="C14" s="9"/>
      <c r="D14" s="9" t="s">
        <v>157</v>
      </c>
      <c r="E14" s="54" t="s">
        <v>160</v>
      </c>
      <c r="F14" s="54"/>
      <c r="G14" s="55" t="s">
        <v>284</v>
      </c>
      <c r="H14" s="55" t="s">
        <v>223</v>
      </c>
      <c r="I14" s="9" t="s">
        <v>33</v>
      </c>
      <c r="J14" s="9"/>
      <c r="K14" s="9" t="s">
        <v>221</v>
      </c>
      <c r="L14" s="9" t="s">
        <v>200</v>
      </c>
      <c r="M14" s="9"/>
      <c r="N14" s="9"/>
      <c r="O14" s="9"/>
      <c r="P14" s="9"/>
      <c r="Q14" s="9"/>
      <c r="R14" s="104" t="s">
        <v>198</v>
      </c>
      <c r="S14" s="56" t="s">
        <v>198</v>
      </c>
      <c r="T14" s="183" t="s">
        <v>198</v>
      </c>
      <c r="U14" s="184"/>
    </row>
    <row r="15" spans="1:21" s="11" customFormat="1">
      <c r="A15" s="9">
        <v>10</v>
      </c>
      <c r="B15" s="9"/>
      <c r="C15" s="9"/>
      <c r="D15" s="9" t="s">
        <v>158</v>
      </c>
      <c r="E15" s="54" t="s">
        <v>161</v>
      </c>
      <c r="F15" s="54"/>
      <c r="G15" s="55" t="s">
        <v>285</v>
      </c>
      <c r="H15" s="55" t="s">
        <v>201</v>
      </c>
      <c r="I15" s="9" t="s">
        <v>33</v>
      </c>
      <c r="J15" s="9"/>
      <c r="K15" s="9"/>
      <c r="L15" s="9"/>
      <c r="M15" s="9" t="s">
        <v>224</v>
      </c>
      <c r="N15" s="9"/>
      <c r="O15" s="9"/>
      <c r="P15" s="9"/>
      <c r="Q15" s="9"/>
      <c r="R15" s="104" t="s">
        <v>198</v>
      </c>
      <c r="S15" s="56" t="s">
        <v>198</v>
      </c>
      <c r="T15" s="183" t="s">
        <v>198</v>
      </c>
      <c r="U15" s="184"/>
    </row>
    <row r="16" spans="1:21" s="11" customFormat="1">
      <c r="A16" s="9">
        <v>10</v>
      </c>
      <c r="B16" s="9"/>
      <c r="C16" s="9"/>
      <c r="D16" s="9" t="s">
        <v>159</v>
      </c>
      <c r="E16" s="54" t="s">
        <v>162</v>
      </c>
      <c r="F16" s="54"/>
      <c r="G16" s="55" t="s">
        <v>286</v>
      </c>
      <c r="H16" s="55" t="s">
        <v>225</v>
      </c>
      <c r="I16" s="9" t="s">
        <v>33</v>
      </c>
      <c r="J16" s="9"/>
      <c r="K16" s="9"/>
      <c r="L16" s="9"/>
      <c r="M16" s="9"/>
      <c r="N16" s="9"/>
      <c r="O16" s="9"/>
      <c r="P16" s="9"/>
      <c r="Q16" s="9"/>
      <c r="R16" s="104" t="s">
        <v>198</v>
      </c>
      <c r="S16" s="56" t="s">
        <v>198</v>
      </c>
      <c r="T16" s="183" t="s">
        <v>198</v>
      </c>
      <c r="U16" s="184"/>
    </row>
    <row r="17" spans="1:21" s="11" customFormat="1">
      <c r="A17" s="9">
        <v>10</v>
      </c>
      <c r="B17" s="9"/>
      <c r="C17" s="9"/>
      <c r="D17" s="9" t="s">
        <v>46</v>
      </c>
      <c r="E17" s="54" t="s">
        <v>48</v>
      </c>
      <c r="F17" s="54"/>
      <c r="G17" s="55" t="s">
        <v>287</v>
      </c>
      <c r="H17" s="55" t="s">
        <v>226</v>
      </c>
      <c r="I17" s="9" t="s">
        <v>33</v>
      </c>
      <c r="J17" s="9"/>
      <c r="K17" s="9"/>
      <c r="L17" s="9"/>
      <c r="M17" s="9"/>
      <c r="N17" s="9"/>
      <c r="O17" s="9"/>
      <c r="P17" s="9"/>
      <c r="Q17" s="9"/>
      <c r="R17" s="104" t="s">
        <v>198</v>
      </c>
      <c r="S17" s="56" t="s">
        <v>198</v>
      </c>
      <c r="T17" s="183" t="s">
        <v>198</v>
      </c>
      <c r="U17" s="184"/>
    </row>
    <row r="18" spans="1:21" s="11" customFormat="1">
      <c r="A18" s="9">
        <v>10</v>
      </c>
      <c r="B18" s="9"/>
      <c r="C18" s="9"/>
      <c r="D18" s="9" t="s">
        <v>55</v>
      </c>
      <c r="E18" s="54" t="s">
        <v>56</v>
      </c>
      <c r="F18" s="54"/>
      <c r="G18" s="55" t="s">
        <v>288</v>
      </c>
      <c r="H18" s="55" t="s">
        <v>50</v>
      </c>
      <c r="I18" s="9" t="s">
        <v>33</v>
      </c>
      <c r="J18" s="9"/>
      <c r="K18" s="9"/>
      <c r="L18" s="9"/>
      <c r="M18" s="9"/>
      <c r="N18" s="9"/>
      <c r="O18" s="9"/>
      <c r="P18" s="9"/>
      <c r="Q18" s="9"/>
      <c r="R18" s="104" t="s">
        <v>198</v>
      </c>
      <c r="S18" s="56" t="s">
        <v>198</v>
      </c>
      <c r="T18" s="183" t="s">
        <v>198</v>
      </c>
      <c r="U18" s="184"/>
    </row>
    <row r="19" spans="1:21" s="11" customFormat="1">
      <c r="A19" s="9">
        <v>10</v>
      </c>
      <c r="B19" s="9"/>
      <c r="C19" s="9"/>
      <c r="D19" s="9" t="s">
        <v>51</v>
      </c>
      <c r="E19" s="54" t="s">
        <v>53</v>
      </c>
      <c r="F19" s="54"/>
      <c r="G19" s="55" t="s">
        <v>289</v>
      </c>
      <c r="H19" s="55" t="s">
        <v>202</v>
      </c>
      <c r="I19" s="9" t="s">
        <v>33</v>
      </c>
      <c r="J19" s="9"/>
      <c r="K19" s="9"/>
      <c r="L19" s="9"/>
      <c r="M19" s="9"/>
      <c r="N19" s="9"/>
      <c r="O19" s="9"/>
      <c r="P19" s="9"/>
      <c r="Q19" s="9"/>
      <c r="R19" s="104" t="s">
        <v>198</v>
      </c>
      <c r="S19" s="56" t="s">
        <v>198</v>
      </c>
      <c r="T19" s="183" t="s">
        <v>198</v>
      </c>
      <c r="U19" s="184"/>
    </row>
    <row r="20" spans="1:21" s="11" customFormat="1">
      <c r="A20" s="9">
        <v>10</v>
      </c>
      <c r="B20" s="9"/>
      <c r="C20" s="9"/>
      <c r="D20" s="9" t="s">
        <v>87</v>
      </c>
      <c r="E20" s="54" t="s">
        <v>60</v>
      </c>
      <c r="F20" s="54"/>
      <c r="G20" s="55" t="s">
        <v>290</v>
      </c>
      <c r="H20" s="55" t="s">
        <v>227</v>
      </c>
      <c r="I20" s="9" t="s">
        <v>33</v>
      </c>
      <c r="J20" s="9"/>
      <c r="K20" s="9"/>
      <c r="L20" s="9"/>
      <c r="M20" s="9"/>
      <c r="N20" s="9"/>
      <c r="O20" s="9"/>
      <c r="P20" s="9"/>
      <c r="Q20" s="9"/>
      <c r="R20" s="104" t="s">
        <v>198</v>
      </c>
      <c r="S20" s="56" t="s">
        <v>198</v>
      </c>
      <c r="T20" s="183" t="s">
        <v>198</v>
      </c>
      <c r="U20" s="184"/>
    </row>
    <row r="21" spans="1:21" s="11" customFormat="1">
      <c r="A21" s="9">
        <v>10</v>
      </c>
      <c r="B21" s="9"/>
      <c r="C21" s="9"/>
      <c r="D21" s="9" t="s">
        <v>107</v>
      </c>
      <c r="E21" s="54" t="s">
        <v>106</v>
      </c>
      <c r="F21" s="54"/>
      <c r="G21" s="55" t="s">
        <v>291</v>
      </c>
      <c r="H21" s="55" t="s">
        <v>228</v>
      </c>
      <c r="I21" s="9" t="s">
        <v>33</v>
      </c>
      <c r="J21" s="9"/>
      <c r="K21" s="9"/>
      <c r="L21" s="9"/>
      <c r="M21" s="9"/>
      <c r="N21" s="9"/>
      <c r="O21" s="9"/>
      <c r="P21" s="9"/>
      <c r="Q21" s="9"/>
      <c r="R21" s="104" t="s">
        <v>198</v>
      </c>
      <c r="S21" s="56" t="s">
        <v>198</v>
      </c>
      <c r="T21" s="183" t="s">
        <v>198</v>
      </c>
      <c r="U21" s="184"/>
    </row>
    <row r="22" spans="1:21" s="11" customFormat="1">
      <c r="A22" s="57"/>
      <c r="B22" s="58"/>
      <c r="C22" s="58"/>
      <c r="D22" s="27" t="s">
        <v>1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29"/>
      <c r="S22" s="29"/>
      <c r="T22" s="59"/>
      <c r="U22" s="60"/>
    </row>
    <row r="23" spans="1:21" s="11" customFormat="1">
      <c r="A23" s="111"/>
      <c r="U23" s="61"/>
    </row>
    <row r="24" spans="1:21" s="11" customFormat="1">
      <c r="A24" s="111"/>
      <c r="U24" s="61"/>
    </row>
    <row r="25" spans="1:21" s="11" customFormat="1">
      <c r="A25" s="111"/>
      <c r="U25" s="61"/>
    </row>
    <row r="26" spans="1:21" s="11" customFormat="1">
      <c r="A26" s="116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20"/>
    </row>
  </sheetData>
  <dataConsolidate/>
  <mergeCells count="10">
    <mergeCell ref="T21:U21"/>
    <mergeCell ref="T20:U20"/>
    <mergeCell ref="T12:U12"/>
    <mergeCell ref="T13:U13"/>
    <mergeCell ref="T17:U17"/>
    <mergeCell ref="T18:U18"/>
    <mergeCell ref="T19:U19"/>
    <mergeCell ref="T16:U16"/>
    <mergeCell ref="T15:U15"/>
    <mergeCell ref="T14:U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V26"/>
  <sheetViews>
    <sheetView topLeftCell="M1" zoomScale="85" zoomScaleNormal="85" zoomScaleSheetLayoutView="85" workbookViewId="0"/>
  </sheetViews>
  <sheetFormatPr defaultColWidth="9" defaultRowHeight="13"/>
  <cols>
    <col min="1" max="1" width="4.81640625" style="63" customWidth="1"/>
    <col min="2" max="2" width="2.6328125" style="63" bestFit="1" customWidth="1"/>
    <col min="3" max="3" width="3.36328125" style="63" customWidth="1"/>
    <col min="4" max="4" width="27.1796875" style="62" bestFit="1" customWidth="1"/>
    <col min="5" max="5" width="25.6328125" style="62" customWidth="1"/>
    <col min="6" max="6" width="7.453125" style="63" bestFit="1" customWidth="1"/>
    <col min="7" max="7" width="30.81640625" style="63" customWidth="1"/>
    <col min="8" max="8" width="43.08984375" style="63" customWidth="1"/>
    <col min="9" max="10" width="15.81640625" style="63" customWidth="1"/>
    <col min="11" max="11" width="19.36328125" style="63" bestFit="1" customWidth="1"/>
    <col min="12" max="12" width="18.36328125" style="63" bestFit="1" customWidth="1"/>
    <col min="13" max="13" width="12.81640625" style="63" bestFit="1" customWidth="1"/>
    <col min="14" max="14" width="50.6328125" style="63" customWidth="1"/>
    <col min="15" max="15" width="12.81640625" style="63" bestFit="1" customWidth="1"/>
    <col min="16" max="16" width="18.36328125" style="63" bestFit="1" customWidth="1"/>
    <col min="17" max="17" width="11.6328125" style="62" bestFit="1" customWidth="1"/>
    <col min="18" max="18" width="27.1796875" style="62" bestFit="1" customWidth="1"/>
    <col min="19" max="19" width="30.81640625" style="62" customWidth="1"/>
    <col min="20" max="20" width="9" style="62"/>
    <col min="21" max="21" width="15.81640625" style="62" customWidth="1"/>
    <col min="22" max="16384" width="9" style="62"/>
  </cols>
  <sheetData>
    <row r="1" spans="1:22" s="11" customFormat="1">
      <c r="A1" s="107" t="s">
        <v>16</v>
      </c>
      <c r="B1" s="107" t="s">
        <v>16</v>
      </c>
      <c r="C1" s="10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2"/>
      <c r="S1" s="62"/>
      <c r="T1" s="62"/>
      <c r="U1" s="62"/>
      <c r="V1" s="62"/>
    </row>
    <row r="2" spans="1:22" s="11" customFormat="1" ht="40" customHeight="1">
      <c r="A2" s="108" t="s">
        <v>16</v>
      </c>
      <c r="B2" s="109"/>
      <c r="C2" s="109"/>
      <c r="D2" s="119" t="s">
        <v>268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MABSL0160</v>
      </c>
      <c r="I2" s="7" t="s">
        <v>216</v>
      </c>
      <c r="J2" s="9" t="s">
        <v>136</v>
      </c>
      <c r="K2" s="7" t="s">
        <v>29</v>
      </c>
      <c r="L2" s="110" t="str">
        <f>IF(LogicCommon!G2="","",LogicCommon!G2)</f>
        <v>MC</v>
      </c>
      <c r="M2" s="5" t="s">
        <v>217</v>
      </c>
      <c r="N2" s="28" t="s">
        <v>260</v>
      </c>
      <c r="O2" s="7"/>
      <c r="P2" s="7"/>
      <c r="Q2" s="4"/>
      <c r="R2" s="62"/>
      <c r="S2" s="62"/>
      <c r="T2" s="62"/>
      <c r="U2" s="62"/>
      <c r="V2" s="62"/>
    </row>
    <row r="3" spans="1:22" s="11" customFormat="1">
      <c r="A3" s="111" t="s">
        <v>16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MABSL_InspPointReg</v>
      </c>
      <c r="I3" s="7" t="s">
        <v>218</v>
      </c>
      <c r="J3" s="9" t="s">
        <v>120</v>
      </c>
      <c r="K3" s="7" t="s">
        <v>45</v>
      </c>
      <c r="L3" s="110" t="str">
        <f>IF(LogicCommon!G3="","",LogicCommon!G3)</f>
        <v/>
      </c>
      <c r="M3" s="114" t="s">
        <v>119</v>
      </c>
      <c r="N3" s="7"/>
      <c r="O3" s="7" t="s">
        <v>219</v>
      </c>
      <c r="P3" s="9" t="s">
        <v>32</v>
      </c>
      <c r="Q3" s="4"/>
      <c r="R3" s="62"/>
      <c r="S3" s="62"/>
      <c r="T3" s="62"/>
      <c r="U3" s="62"/>
      <c r="V3" s="62"/>
    </row>
    <row r="4" spans="1:22" s="11" customFormat="1">
      <c r="A4" s="111" t="s">
        <v>16</v>
      </c>
      <c r="B4" s="112"/>
      <c r="C4" s="112"/>
      <c r="D4" s="4"/>
      <c r="E4" s="7" t="s">
        <v>8</v>
      </c>
      <c r="F4" s="10" t="s">
        <v>215</v>
      </c>
      <c r="G4" s="7" t="s">
        <v>11</v>
      </c>
      <c r="H4" s="110" t="str">
        <f>IF(LogicCommon!E4="","",LogicCommon!E4)</f>
        <v>検査項目マスタ登録</v>
      </c>
      <c r="I4" s="7" t="s">
        <v>112</v>
      </c>
      <c r="J4" s="9" t="s">
        <v>185</v>
      </c>
      <c r="K4" s="7" t="s">
        <v>5</v>
      </c>
      <c r="L4" s="110" t="str">
        <f>IF(LogicCommon!G4="","",LogicCommon!G4)</f>
        <v>MA.MAUDL5010</v>
      </c>
      <c r="M4" s="115"/>
      <c r="N4" s="28"/>
      <c r="O4" s="14"/>
      <c r="P4" s="4"/>
      <c r="Q4" s="4"/>
      <c r="R4" s="62"/>
      <c r="S4" s="62"/>
      <c r="T4" s="62"/>
      <c r="U4" s="62"/>
      <c r="V4" s="62"/>
    </row>
    <row r="5" spans="1:22" s="11" customFormat="1">
      <c r="A5" s="116" t="s">
        <v>16</v>
      </c>
      <c r="B5" s="107"/>
      <c r="C5" s="107"/>
      <c r="D5" s="26"/>
      <c r="E5" s="7" t="s">
        <v>220</v>
      </c>
      <c r="F5" s="10"/>
      <c r="G5" s="117"/>
      <c r="H5" s="117"/>
      <c r="I5" s="117"/>
      <c r="J5" s="117"/>
      <c r="K5" s="117"/>
      <c r="L5" s="6"/>
      <c r="M5" s="5"/>
      <c r="N5" s="5"/>
      <c r="O5" s="14"/>
      <c r="P5" s="4"/>
      <c r="Q5" s="4"/>
      <c r="R5" s="62"/>
      <c r="S5" s="62"/>
      <c r="T5" s="62"/>
      <c r="U5" s="62"/>
      <c r="V5" s="62"/>
    </row>
    <row r="6" spans="1:22" s="11" customFormat="1">
      <c r="A6" s="111" t="s">
        <v>16</v>
      </c>
      <c r="B6" s="112"/>
      <c r="C6" s="112"/>
      <c r="D6" s="4" t="s">
        <v>6</v>
      </c>
      <c r="E6" s="16" t="s">
        <v>186</v>
      </c>
      <c r="F6" s="16"/>
      <c r="G6" s="16"/>
      <c r="H6" s="16"/>
      <c r="I6" s="16"/>
      <c r="J6" s="16"/>
      <c r="K6" s="16"/>
      <c r="L6" s="118" t="s">
        <v>35</v>
      </c>
      <c r="M6" s="19"/>
      <c r="N6" s="19" t="s">
        <v>35</v>
      </c>
      <c r="O6" s="19"/>
      <c r="P6" s="19" t="s">
        <v>35</v>
      </c>
      <c r="Q6" s="19"/>
      <c r="R6" s="3" t="s">
        <v>35</v>
      </c>
      <c r="S6" s="4"/>
      <c r="T6" s="63"/>
      <c r="U6" s="63"/>
      <c r="V6" s="62"/>
    </row>
    <row r="7" spans="1:22" s="11" customFormat="1">
      <c r="A7" s="64" t="s">
        <v>109</v>
      </c>
      <c r="B7" s="64"/>
      <c r="C7" s="64"/>
      <c r="D7" s="65"/>
      <c r="E7" s="65"/>
      <c r="F7" s="65"/>
      <c r="G7" s="65"/>
      <c r="H7" s="65"/>
      <c r="I7" s="65" t="s">
        <v>111</v>
      </c>
      <c r="J7" s="65"/>
      <c r="K7" s="66" t="s">
        <v>118</v>
      </c>
      <c r="L7" s="67" t="s">
        <v>117</v>
      </c>
      <c r="M7" s="66" t="s">
        <v>82</v>
      </c>
      <c r="N7" s="67" t="s">
        <v>116</v>
      </c>
      <c r="O7" s="66" t="s">
        <v>82</v>
      </c>
      <c r="P7" s="67"/>
      <c r="Q7" s="66" t="s">
        <v>82</v>
      </c>
      <c r="R7" s="67"/>
      <c r="S7" s="63"/>
      <c r="T7" s="63"/>
      <c r="U7" s="63"/>
      <c r="V7" s="63"/>
    </row>
    <row r="8" spans="1:22" s="11" customFormat="1" ht="60" customHeight="1">
      <c r="A8" s="54" t="s">
        <v>18</v>
      </c>
      <c r="B8" s="122"/>
      <c r="C8" s="123"/>
      <c r="D8" s="120" t="s">
        <v>269</v>
      </c>
      <c r="E8" s="120" t="s">
        <v>270</v>
      </c>
      <c r="F8" s="118"/>
      <c r="G8" s="120" t="s">
        <v>229</v>
      </c>
      <c r="H8" s="120" t="s">
        <v>271</v>
      </c>
      <c r="I8" s="118"/>
      <c r="J8" s="3"/>
      <c r="K8" s="66" t="s">
        <v>115</v>
      </c>
      <c r="L8" s="68" t="s">
        <v>263</v>
      </c>
      <c r="M8" s="66" t="s">
        <v>83</v>
      </c>
      <c r="N8" s="68" t="s">
        <v>263</v>
      </c>
      <c r="O8" s="66" t="s">
        <v>83</v>
      </c>
      <c r="P8" s="68"/>
      <c r="Q8" s="66" t="s">
        <v>83</v>
      </c>
      <c r="R8" s="68"/>
      <c r="S8" s="131"/>
      <c r="T8" s="132"/>
      <c r="U8" s="133" t="s">
        <v>272</v>
      </c>
      <c r="V8" s="83"/>
    </row>
    <row r="9" spans="1:22" s="11" customFormat="1" ht="60" customHeight="1">
      <c r="A9" s="9" t="s">
        <v>18</v>
      </c>
      <c r="B9" s="37"/>
      <c r="C9" s="38"/>
      <c r="D9" s="120" t="s">
        <v>273</v>
      </c>
      <c r="E9" s="128" t="s">
        <v>274</v>
      </c>
      <c r="F9" s="120" t="s">
        <v>275</v>
      </c>
      <c r="G9" s="120" t="s">
        <v>276</v>
      </c>
      <c r="H9" s="120" t="s">
        <v>277</v>
      </c>
      <c r="I9" s="129" t="s">
        <v>278</v>
      </c>
      <c r="J9" s="120" t="s">
        <v>279</v>
      </c>
      <c r="K9" s="66"/>
      <c r="L9" s="66"/>
      <c r="M9" s="66"/>
      <c r="N9" s="66"/>
      <c r="O9" s="66"/>
      <c r="P9" s="66"/>
      <c r="Q9" s="66"/>
      <c r="R9" s="66"/>
      <c r="S9" s="133" t="s">
        <v>280</v>
      </c>
      <c r="T9" s="83"/>
      <c r="U9" s="133" t="s">
        <v>281</v>
      </c>
      <c r="V9" s="83"/>
    </row>
    <row r="10" spans="1:22" s="11" customFormat="1" ht="52">
      <c r="A10" s="71" t="s">
        <v>18</v>
      </c>
      <c r="B10" s="72"/>
      <c r="C10" s="72"/>
      <c r="D10" s="73"/>
      <c r="E10" s="74"/>
      <c r="F10" s="74"/>
      <c r="G10" s="75"/>
      <c r="H10" s="75"/>
      <c r="I10" s="74"/>
      <c r="J10" s="74"/>
      <c r="K10" s="130" t="s">
        <v>278</v>
      </c>
      <c r="L10" s="130" t="s">
        <v>279</v>
      </c>
      <c r="M10" s="130" t="s">
        <v>278</v>
      </c>
      <c r="N10" s="130" t="s">
        <v>279</v>
      </c>
      <c r="O10" s="130" t="s">
        <v>278</v>
      </c>
      <c r="P10" s="130" t="s">
        <v>279</v>
      </c>
      <c r="Q10" s="130" t="s">
        <v>278</v>
      </c>
      <c r="R10" s="130" t="s">
        <v>279</v>
      </c>
      <c r="S10" s="74"/>
      <c r="T10" s="74"/>
      <c r="U10" s="75"/>
      <c r="V10" s="70"/>
    </row>
    <row r="11" spans="1:22" s="11" customFormat="1">
      <c r="A11" s="9">
        <v>10</v>
      </c>
      <c r="B11" s="37" t="s">
        <v>0</v>
      </c>
      <c r="C11" s="38"/>
      <c r="D11" s="28" t="s">
        <v>137</v>
      </c>
      <c r="E11" s="76" t="s">
        <v>22</v>
      </c>
      <c r="F11" s="77"/>
      <c r="G11" s="28" t="s">
        <v>98</v>
      </c>
      <c r="H11" s="78" t="s">
        <v>230</v>
      </c>
      <c r="I11" s="79"/>
      <c r="J11" s="80"/>
      <c r="K11" s="81" t="s">
        <v>22</v>
      </c>
      <c r="L11" s="81"/>
      <c r="M11" s="81" t="s">
        <v>231</v>
      </c>
      <c r="N11" s="81"/>
      <c r="O11" s="81"/>
      <c r="P11" s="81"/>
      <c r="Q11" s="81"/>
      <c r="R11" s="81"/>
      <c r="S11" s="69"/>
      <c r="T11" s="70"/>
      <c r="U11" s="106"/>
      <c r="V11" s="82"/>
    </row>
    <row r="12" spans="1:22" s="11" customFormat="1">
      <c r="A12" s="9">
        <v>10</v>
      </c>
      <c r="B12" s="9"/>
      <c r="C12" s="9"/>
      <c r="D12" s="9" t="s">
        <v>154</v>
      </c>
      <c r="E12" s="54" t="s">
        <v>151</v>
      </c>
      <c r="F12" s="54"/>
      <c r="G12" s="55" t="s">
        <v>282</v>
      </c>
      <c r="H12" s="55" t="s">
        <v>199</v>
      </c>
      <c r="I12" s="9" t="s">
        <v>33</v>
      </c>
      <c r="J12" s="9"/>
      <c r="K12" s="9" t="s">
        <v>33</v>
      </c>
      <c r="L12" s="9"/>
      <c r="M12" s="9" t="s">
        <v>221</v>
      </c>
      <c r="N12" s="9"/>
      <c r="O12" s="9"/>
      <c r="P12" s="9"/>
      <c r="Q12" s="9"/>
      <c r="R12" s="9"/>
      <c r="S12" s="88"/>
      <c r="T12" s="83"/>
      <c r="U12" s="185"/>
      <c r="V12" s="186"/>
    </row>
    <row r="13" spans="1:22" s="11" customFormat="1">
      <c r="A13" s="9">
        <v>10</v>
      </c>
      <c r="B13" s="9"/>
      <c r="C13" s="9"/>
      <c r="D13" s="9" t="s">
        <v>155</v>
      </c>
      <c r="E13" s="54" t="s">
        <v>152</v>
      </c>
      <c r="F13" s="54"/>
      <c r="G13" s="55" t="s">
        <v>283</v>
      </c>
      <c r="H13" s="55" t="s">
        <v>222</v>
      </c>
      <c r="I13" s="9" t="s">
        <v>33</v>
      </c>
      <c r="J13" s="9"/>
      <c r="K13" s="9" t="s">
        <v>33</v>
      </c>
      <c r="L13" s="9"/>
      <c r="M13" s="9"/>
      <c r="N13" s="9"/>
      <c r="O13" s="9"/>
      <c r="P13" s="9"/>
      <c r="Q13" s="9"/>
      <c r="R13" s="9"/>
      <c r="S13" s="88"/>
      <c r="T13" s="83"/>
      <c r="U13" s="185"/>
      <c r="V13" s="186"/>
    </row>
    <row r="14" spans="1:22" s="11" customFormat="1">
      <c r="A14" s="9">
        <v>10</v>
      </c>
      <c r="B14" s="9"/>
      <c r="C14" s="9"/>
      <c r="D14" s="9" t="s">
        <v>157</v>
      </c>
      <c r="E14" s="54" t="s">
        <v>160</v>
      </c>
      <c r="F14" s="54"/>
      <c r="G14" s="55" t="s">
        <v>284</v>
      </c>
      <c r="H14" s="55" t="s">
        <v>223</v>
      </c>
      <c r="I14" s="9" t="s">
        <v>33</v>
      </c>
      <c r="J14" s="9"/>
      <c r="K14" s="9" t="s">
        <v>33</v>
      </c>
      <c r="L14" s="9"/>
      <c r="M14" s="9"/>
      <c r="N14" s="9"/>
      <c r="O14" s="9"/>
      <c r="P14" s="9"/>
      <c r="Q14" s="9"/>
      <c r="R14" s="9"/>
      <c r="S14" s="88"/>
      <c r="T14" s="83"/>
      <c r="U14" s="185"/>
      <c r="V14" s="186"/>
    </row>
    <row r="15" spans="1:22" s="11" customFormat="1">
      <c r="A15" s="9">
        <v>10</v>
      </c>
      <c r="B15" s="9"/>
      <c r="C15" s="9"/>
      <c r="D15" s="9" t="s">
        <v>158</v>
      </c>
      <c r="E15" s="54" t="s">
        <v>161</v>
      </c>
      <c r="F15" s="54"/>
      <c r="G15" s="55" t="s">
        <v>285</v>
      </c>
      <c r="H15" s="55" t="s">
        <v>201</v>
      </c>
      <c r="I15" s="9" t="s">
        <v>33</v>
      </c>
      <c r="J15" s="9"/>
      <c r="K15" s="9" t="s">
        <v>33</v>
      </c>
      <c r="L15" s="9"/>
      <c r="M15" s="9"/>
      <c r="N15" s="9"/>
      <c r="O15" s="9"/>
      <c r="P15" s="9"/>
      <c r="Q15" s="9"/>
      <c r="R15" s="9"/>
      <c r="S15" s="88"/>
      <c r="T15" s="83"/>
      <c r="U15" s="185"/>
      <c r="V15" s="186"/>
    </row>
    <row r="16" spans="1:22" s="11" customFormat="1">
      <c r="A16" s="9">
        <v>10</v>
      </c>
      <c r="B16" s="9"/>
      <c r="C16" s="9"/>
      <c r="D16" s="9" t="s">
        <v>159</v>
      </c>
      <c r="E16" s="54" t="s">
        <v>162</v>
      </c>
      <c r="F16" s="54"/>
      <c r="G16" s="55" t="s">
        <v>286</v>
      </c>
      <c r="H16" s="55" t="s">
        <v>225</v>
      </c>
      <c r="I16" s="9" t="s">
        <v>33</v>
      </c>
      <c r="J16" s="9"/>
      <c r="K16" s="9" t="s">
        <v>33</v>
      </c>
      <c r="L16" s="9"/>
      <c r="M16" s="9"/>
      <c r="N16" s="9"/>
      <c r="O16" s="9"/>
      <c r="P16" s="9"/>
      <c r="Q16" s="9"/>
      <c r="R16" s="9"/>
      <c r="S16" s="88"/>
      <c r="T16" s="83"/>
      <c r="U16" s="185"/>
      <c r="V16" s="186"/>
    </row>
    <row r="17" spans="1:22" s="11" customFormat="1">
      <c r="A17" s="9">
        <v>10</v>
      </c>
      <c r="B17" s="9"/>
      <c r="C17" s="9"/>
      <c r="D17" s="9" t="s">
        <v>46</v>
      </c>
      <c r="E17" s="54" t="s">
        <v>48</v>
      </c>
      <c r="F17" s="54"/>
      <c r="G17" s="55" t="s">
        <v>287</v>
      </c>
      <c r="H17" s="55" t="s">
        <v>226</v>
      </c>
      <c r="I17" s="9" t="s">
        <v>33</v>
      </c>
      <c r="J17" s="9"/>
      <c r="K17" s="9" t="s">
        <v>33</v>
      </c>
      <c r="L17" s="9"/>
      <c r="M17" s="9"/>
      <c r="N17" s="9"/>
      <c r="O17" s="9"/>
      <c r="P17" s="9"/>
      <c r="Q17" s="9"/>
      <c r="R17" s="9"/>
      <c r="S17" s="88"/>
      <c r="T17" s="83"/>
      <c r="U17" s="185"/>
      <c r="V17" s="186"/>
    </row>
    <row r="18" spans="1:22" s="11" customFormat="1">
      <c r="A18" s="9">
        <v>10</v>
      </c>
      <c r="B18" s="9"/>
      <c r="C18" s="9"/>
      <c r="D18" s="9" t="s">
        <v>55</v>
      </c>
      <c r="E18" s="54" t="s">
        <v>56</v>
      </c>
      <c r="F18" s="54"/>
      <c r="G18" s="55" t="s">
        <v>288</v>
      </c>
      <c r="H18" s="55" t="s">
        <v>50</v>
      </c>
      <c r="I18" s="9" t="s">
        <v>33</v>
      </c>
      <c r="J18" s="9"/>
      <c r="K18" s="9" t="s">
        <v>33</v>
      </c>
      <c r="L18" s="9"/>
      <c r="M18" s="9"/>
      <c r="N18" s="9"/>
      <c r="O18" s="9"/>
      <c r="P18" s="9"/>
      <c r="Q18" s="9"/>
      <c r="R18" s="9"/>
      <c r="S18" s="88"/>
      <c r="T18" s="83"/>
      <c r="U18" s="185"/>
      <c r="V18" s="186"/>
    </row>
    <row r="19" spans="1:22" s="11" customFormat="1">
      <c r="A19" s="9">
        <v>10</v>
      </c>
      <c r="B19" s="9"/>
      <c r="C19" s="9"/>
      <c r="D19" s="9" t="s">
        <v>51</v>
      </c>
      <c r="E19" s="54" t="s">
        <v>53</v>
      </c>
      <c r="F19" s="54"/>
      <c r="G19" s="55" t="s">
        <v>289</v>
      </c>
      <c r="H19" s="55" t="s">
        <v>202</v>
      </c>
      <c r="I19" s="9" t="s">
        <v>33</v>
      </c>
      <c r="J19" s="9"/>
      <c r="K19" s="9" t="s">
        <v>33</v>
      </c>
      <c r="L19" s="9"/>
      <c r="M19" s="9"/>
      <c r="N19" s="9"/>
      <c r="O19" s="9"/>
      <c r="P19" s="9"/>
      <c r="Q19" s="9"/>
      <c r="R19" s="9"/>
      <c r="S19" s="88"/>
      <c r="T19" s="83"/>
      <c r="U19" s="185"/>
      <c r="V19" s="186"/>
    </row>
    <row r="20" spans="1:22" s="11" customFormat="1">
      <c r="A20" s="9">
        <v>10</v>
      </c>
      <c r="B20" s="9"/>
      <c r="C20" s="9"/>
      <c r="D20" s="9" t="s">
        <v>87</v>
      </c>
      <c r="E20" s="54" t="s">
        <v>60</v>
      </c>
      <c r="F20" s="54"/>
      <c r="G20" s="55" t="s">
        <v>290</v>
      </c>
      <c r="H20" s="55" t="s">
        <v>227</v>
      </c>
      <c r="I20" s="9" t="s">
        <v>33</v>
      </c>
      <c r="J20" s="9"/>
      <c r="K20" s="9" t="s">
        <v>33</v>
      </c>
      <c r="L20" s="9"/>
      <c r="M20" s="9"/>
      <c r="N20" s="9"/>
      <c r="O20" s="9"/>
      <c r="P20" s="9"/>
      <c r="Q20" s="9"/>
      <c r="R20" s="9"/>
      <c r="S20" s="88"/>
      <c r="T20" s="83"/>
      <c r="U20" s="185"/>
      <c r="V20" s="186"/>
    </row>
    <row r="21" spans="1:22" s="11" customFormat="1">
      <c r="A21" s="9">
        <v>10</v>
      </c>
      <c r="B21" s="9"/>
      <c r="C21" s="9"/>
      <c r="D21" s="9" t="s">
        <v>93</v>
      </c>
      <c r="E21" s="54" t="s">
        <v>94</v>
      </c>
      <c r="F21" s="54"/>
      <c r="G21" s="55" t="s">
        <v>291</v>
      </c>
      <c r="H21" s="55" t="s">
        <v>232</v>
      </c>
      <c r="I21" s="9" t="s">
        <v>33</v>
      </c>
      <c r="J21" s="9"/>
      <c r="K21" s="9" t="s">
        <v>33</v>
      </c>
      <c r="L21" s="9"/>
      <c r="M21" s="9"/>
      <c r="N21" s="9"/>
      <c r="O21" s="9"/>
      <c r="P21" s="9"/>
      <c r="Q21" s="9"/>
      <c r="R21" s="9"/>
      <c r="S21" s="88"/>
      <c r="T21" s="83"/>
      <c r="U21" s="185"/>
      <c r="V21" s="186"/>
    </row>
    <row r="22" spans="1:22" s="11" customFormat="1">
      <c r="A22" s="84"/>
      <c r="B22" s="85"/>
      <c r="C22" s="85"/>
      <c r="D22" s="62" t="s">
        <v>1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4"/>
      <c r="T22" s="4"/>
      <c r="U22" s="6"/>
      <c r="V22" s="23"/>
    </row>
    <row r="23" spans="1:22" s="11" customFormat="1">
      <c r="A23" s="111"/>
      <c r="V23" s="61"/>
    </row>
    <row r="24" spans="1:22" s="11" customFormat="1">
      <c r="A24" s="111"/>
      <c r="V24" s="61"/>
    </row>
    <row r="25" spans="1:22" s="11" customFormat="1">
      <c r="A25" s="111"/>
      <c r="V25" s="61"/>
    </row>
    <row r="26" spans="1:22" s="11" customFormat="1">
      <c r="A26" s="116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20"/>
    </row>
  </sheetData>
  <dataConsolidate/>
  <mergeCells count="10">
    <mergeCell ref="U12:V12"/>
    <mergeCell ref="U13:V13"/>
    <mergeCell ref="U14:V14"/>
    <mergeCell ref="U21:V21"/>
    <mergeCell ref="U17:V17"/>
    <mergeCell ref="U15:V15"/>
    <mergeCell ref="U18:V18"/>
    <mergeCell ref="U19:V19"/>
    <mergeCell ref="U20:V20"/>
    <mergeCell ref="U16:V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U23"/>
  <sheetViews>
    <sheetView topLeftCell="H1" zoomScale="85" zoomScaleNormal="85" zoomScaleSheetLayoutView="85" workbookViewId="0"/>
  </sheetViews>
  <sheetFormatPr defaultColWidth="9" defaultRowHeight="13"/>
  <cols>
    <col min="1" max="1" width="4.81640625" style="63" customWidth="1"/>
    <col min="2" max="2" width="2.6328125" style="63" bestFit="1" customWidth="1"/>
    <col min="3" max="3" width="3.36328125" style="63" customWidth="1"/>
    <col min="4" max="4" width="27.1796875" style="62" bestFit="1" customWidth="1"/>
    <col min="5" max="5" width="25.6328125" style="62" customWidth="1"/>
    <col min="6" max="6" width="7.453125" style="63" bestFit="1" customWidth="1"/>
    <col min="7" max="7" width="30.81640625" style="63" customWidth="1"/>
    <col min="8" max="8" width="51.08984375" style="63" customWidth="1"/>
    <col min="9" max="10" width="15.81640625" style="63" customWidth="1"/>
    <col min="11" max="11" width="16.90625" style="63" customWidth="1"/>
    <col min="12" max="12" width="12.90625" style="63" customWidth="1"/>
    <col min="13" max="13" width="12.81640625" style="63" bestFit="1" customWidth="1"/>
    <col min="14" max="14" width="50.6328125" style="63" customWidth="1"/>
    <col min="15" max="15" width="14.08984375" style="63" customWidth="1"/>
    <col min="16" max="16" width="14.90625" style="63" customWidth="1"/>
    <col min="17" max="17" width="17.6328125" style="62" customWidth="1"/>
    <col min="18" max="18" width="30.81640625" style="62" customWidth="1"/>
    <col min="19" max="19" width="9" style="62"/>
    <col min="20" max="20" width="15.81640625" style="62" customWidth="1"/>
    <col min="21" max="16384" width="9" style="62"/>
  </cols>
  <sheetData>
    <row r="1" spans="1:21" s="11" customFormat="1">
      <c r="A1" s="107" t="s">
        <v>16</v>
      </c>
      <c r="B1" s="107" t="s">
        <v>16</v>
      </c>
      <c r="C1" s="10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2"/>
      <c r="S1" s="62"/>
      <c r="T1" s="62"/>
      <c r="U1" s="62"/>
    </row>
    <row r="2" spans="1:21" s="11" customFormat="1" ht="40" customHeight="1">
      <c r="A2" s="108" t="s">
        <v>16</v>
      </c>
      <c r="B2" s="109"/>
      <c r="C2" s="109"/>
      <c r="D2" s="119" t="s">
        <v>268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MABSL0160</v>
      </c>
      <c r="I2" s="7" t="s">
        <v>216</v>
      </c>
      <c r="J2" s="9" t="s">
        <v>138</v>
      </c>
      <c r="K2" s="7" t="s">
        <v>29</v>
      </c>
      <c r="L2" s="110" t="str">
        <f>IF(LogicCommon!G2="","",LogicCommon!G2)</f>
        <v>MC</v>
      </c>
      <c r="M2" s="5" t="s">
        <v>217</v>
      </c>
      <c r="N2" s="28" t="str">
        <f>L4 &amp; ".Checker"</f>
        <v>MA.MAUDL5010.Checker</v>
      </c>
      <c r="O2" s="7"/>
      <c r="P2" s="7"/>
      <c r="Q2" s="4"/>
      <c r="R2" s="62"/>
      <c r="S2" s="62"/>
      <c r="T2" s="62"/>
      <c r="U2" s="62"/>
    </row>
    <row r="3" spans="1:21" s="11" customFormat="1">
      <c r="A3" s="111" t="s">
        <v>16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MABSL_InspPointReg</v>
      </c>
      <c r="I3" s="7" t="s">
        <v>218</v>
      </c>
      <c r="J3" s="9" t="s">
        <v>114</v>
      </c>
      <c r="K3" s="7" t="s">
        <v>45</v>
      </c>
      <c r="L3" s="110" t="str">
        <f>IF(LogicCommon!G3="","",LogicCommon!G3)</f>
        <v/>
      </c>
      <c r="M3" s="114" t="s">
        <v>119</v>
      </c>
      <c r="N3" s="7"/>
      <c r="O3" s="7" t="s">
        <v>219</v>
      </c>
      <c r="P3" s="9" t="s">
        <v>32</v>
      </c>
      <c r="Q3" s="4"/>
      <c r="R3" s="62"/>
      <c r="S3" s="62"/>
      <c r="T3" s="62"/>
      <c r="U3" s="62"/>
    </row>
    <row r="4" spans="1:21" s="11" customFormat="1">
      <c r="A4" s="111" t="s">
        <v>16</v>
      </c>
      <c r="B4" s="112"/>
      <c r="C4" s="112"/>
      <c r="D4" s="4"/>
      <c r="E4" s="7" t="s">
        <v>8</v>
      </c>
      <c r="F4" s="10" t="s">
        <v>215</v>
      </c>
      <c r="G4" s="7" t="s">
        <v>11</v>
      </c>
      <c r="H4" s="110" t="str">
        <f>IF(LogicCommon!E4="","",LogicCommon!E4)</f>
        <v>検査項目マスタ登録</v>
      </c>
      <c r="I4" s="7" t="s">
        <v>112</v>
      </c>
      <c r="J4" s="9" t="s">
        <v>187</v>
      </c>
      <c r="K4" s="7" t="s">
        <v>5</v>
      </c>
      <c r="L4" s="110" t="str">
        <f>IF(LogicCommon!G4="","",LogicCommon!G4)</f>
        <v>MA.MAUDL5010</v>
      </c>
      <c r="M4" s="115"/>
      <c r="N4" s="28"/>
      <c r="O4" s="14"/>
      <c r="P4" s="4"/>
      <c r="Q4" s="4"/>
      <c r="R4" s="62"/>
      <c r="S4" s="62"/>
      <c r="T4" s="62"/>
      <c r="U4" s="62"/>
    </row>
    <row r="5" spans="1:21" s="11" customFormat="1">
      <c r="A5" s="116" t="s">
        <v>16</v>
      </c>
      <c r="B5" s="107"/>
      <c r="C5" s="107"/>
      <c r="D5" s="26"/>
      <c r="E5" s="7" t="s">
        <v>220</v>
      </c>
      <c r="F5" s="10"/>
      <c r="G5" s="117"/>
      <c r="H5" s="117"/>
      <c r="I5" s="117"/>
      <c r="J5" s="117"/>
      <c r="K5" s="117"/>
      <c r="L5" s="6"/>
      <c r="M5" s="5"/>
      <c r="N5" s="5"/>
      <c r="O5" s="14"/>
      <c r="P5" s="4"/>
      <c r="Q5" s="4"/>
      <c r="R5" s="62"/>
      <c r="S5" s="62"/>
      <c r="T5" s="62"/>
      <c r="U5" s="62"/>
    </row>
    <row r="6" spans="1:21" s="11" customFormat="1">
      <c r="A6" s="111" t="s">
        <v>16</v>
      </c>
      <c r="B6" s="112"/>
      <c r="C6" s="112"/>
      <c r="D6" s="4" t="s">
        <v>6</v>
      </c>
      <c r="E6" s="16" t="s">
        <v>188</v>
      </c>
      <c r="F6" s="16"/>
      <c r="G6" s="16"/>
      <c r="H6" s="16"/>
      <c r="I6" s="16"/>
      <c r="J6" s="16"/>
      <c r="K6" s="16"/>
      <c r="L6" s="118"/>
      <c r="M6" s="19"/>
      <c r="N6" s="19"/>
      <c r="O6" s="19"/>
      <c r="P6" s="19"/>
      <c r="Q6" s="19" t="s">
        <v>35</v>
      </c>
      <c r="R6" s="4"/>
      <c r="S6" s="63"/>
      <c r="T6" s="63"/>
      <c r="U6" s="62"/>
    </row>
    <row r="7" spans="1:21" s="11" customFormat="1">
      <c r="A7" s="64" t="s">
        <v>109</v>
      </c>
      <c r="B7" s="64"/>
      <c r="C7" s="64"/>
      <c r="D7" s="65"/>
      <c r="E7" s="65"/>
      <c r="F7" s="65"/>
      <c r="G7" s="65"/>
      <c r="H7" s="65"/>
      <c r="I7" s="65" t="s">
        <v>111</v>
      </c>
      <c r="J7" s="65"/>
      <c r="K7" s="67" t="s">
        <v>110</v>
      </c>
      <c r="L7" s="67"/>
      <c r="M7" s="67"/>
      <c r="N7" s="67"/>
      <c r="O7" s="67"/>
      <c r="P7" s="66" t="s">
        <v>82</v>
      </c>
      <c r="Q7" s="67" t="s">
        <v>180</v>
      </c>
      <c r="R7" s="63"/>
      <c r="S7" s="63"/>
      <c r="T7" s="63"/>
      <c r="U7" s="63"/>
    </row>
    <row r="8" spans="1:21" s="11" customFormat="1" ht="60" customHeight="1">
      <c r="A8" s="54" t="s">
        <v>18</v>
      </c>
      <c r="B8" s="122"/>
      <c r="C8" s="123"/>
      <c r="D8" s="120" t="s">
        <v>269</v>
      </c>
      <c r="E8" s="120" t="s">
        <v>270</v>
      </c>
      <c r="F8" s="118"/>
      <c r="G8" s="120" t="s">
        <v>229</v>
      </c>
      <c r="H8" s="120" t="s">
        <v>271</v>
      </c>
      <c r="I8" s="118"/>
      <c r="J8" s="3"/>
      <c r="K8" s="9" t="s">
        <v>108</v>
      </c>
      <c r="L8" s="68"/>
      <c r="M8" s="68"/>
      <c r="N8" s="68"/>
      <c r="O8" s="68"/>
      <c r="P8" s="66" t="s">
        <v>83</v>
      </c>
      <c r="Q8" s="68" t="s">
        <v>263</v>
      </c>
      <c r="R8" s="131"/>
      <c r="S8" s="132"/>
      <c r="T8" s="133" t="s">
        <v>272</v>
      </c>
      <c r="U8" s="83"/>
    </row>
    <row r="9" spans="1:21" s="11" customFormat="1" ht="60" customHeight="1">
      <c r="A9" s="9" t="s">
        <v>18</v>
      </c>
      <c r="B9" s="37"/>
      <c r="C9" s="38"/>
      <c r="D9" s="120" t="s">
        <v>273</v>
      </c>
      <c r="E9" s="128" t="s">
        <v>274</v>
      </c>
      <c r="F9" s="120" t="s">
        <v>275</v>
      </c>
      <c r="G9" s="120" t="s">
        <v>276</v>
      </c>
      <c r="H9" s="120" t="s">
        <v>277</v>
      </c>
      <c r="I9" s="129" t="s">
        <v>278</v>
      </c>
      <c r="J9" s="120" t="s">
        <v>279</v>
      </c>
      <c r="K9" s="66"/>
      <c r="L9" s="66"/>
      <c r="M9" s="66"/>
      <c r="N9" s="66"/>
      <c r="O9" s="66"/>
      <c r="P9" s="66"/>
      <c r="Q9" s="66"/>
      <c r="R9" s="133" t="s">
        <v>280</v>
      </c>
      <c r="S9" s="83"/>
      <c r="T9" s="133" t="s">
        <v>281</v>
      </c>
      <c r="U9" s="83"/>
    </row>
    <row r="10" spans="1:21" s="11" customFormat="1" ht="39">
      <c r="A10" s="71" t="s">
        <v>18</v>
      </c>
      <c r="B10" s="72"/>
      <c r="C10" s="72"/>
      <c r="D10" s="73"/>
      <c r="E10" s="74"/>
      <c r="F10" s="74"/>
      <c r="G10" s="75"/>
      <c r="H10" s="75"/>
      <c r="I10" s="74"/>
      <c r="J10" s="74"/>
      <c r="K10" s="66"/>
      <c r="L10" s="66"/>
      <c r="M10" s="66"/>
      <c r="N10" s="66"/>
      <c r="O10" s="66"/>
      <c r="P10" s="130" t="s">
        <v>293</v>
      </c>
      <c r="Q10" s="130" t="s">
        <v>294</v>
      </c>
      <c r="R10" s="74"/>
      <c r="S10" s="74"/>
      <c r="T10" s="75"/>
      <c r="U10" s="70"/>
    </row>
    <row r="11" spans="1:21" s="11" customFormat="1">
      <c r="A11" s="9">
        <v>10</v>
      </c>
      <c r="B11" s="37" t="s">
        <v>0</v>
      </c>
      <c r="C11" s="38"/>
      <c r="D11" s="28" t="s">
        <v>139</v>
      </c>
      <c r="E11" s="76" t="s">
        <v>79</v>
      </c>
      <c r="F11" s="77"/>
      <c r="G11" s="28" t="s">
        <v>166</v>
      </c>
      <c r="H11" s="68" t="s">
        <v>233</v>
      </c>
      <c r="I11" s="79"/>
      <c r="J11" s="80"/>
      <c r="K11" s="81"/>
      <c r="L11" s="81"/>
      <c r="M11" s="81"/>
      <c r="N11" s="81"/>
      <c r="O11" s="81"/>
      <c r="P11" s="81" t="s">
        <v>22</v>
      </c>
      <c r="Q11" s="81"/>
      <c r="R11" s="69"/>
      <c r="S11" s="70"/>
      <c r="T11" s="106"/>
      <c r="U11" s="82"/>
    </row>
    <row r="12" spans="1:21" s="11" customFormat="1">
      <c r="A12" s="9">
        <v>10</v>
      </c>
      <c r="B12" s="9"/>
      <c r="C12" s="9"/>
      <c r="D12" s="9" t="s">
        <v>154</v>
      </c>
      <c r="E12" s="54" t="s">
        <v>151</v>
      </c>
      <c r="F12" s="54"/>
      <c r="G12" s="55" t="s">
        <v>282</v>
      </c>
      <c r="H12" s="55" t="s">
        <v>199</v>
      </c>
      <c r="I12" s="9" t="s">
        <v>33</v>
      </c>
      <c r="J12" s="9"/>
      <c r="K12" s="9" t="s">
        <v>221</v>
      </c>
      <c r="L12" s="9"/>
      <c r="M12" s="9"/>
      <c r="N12" s="9"/>
      <c r="O12" s="9"/>
      <c r="P12" s="9" t="s">
        <v>33</v>
      </c>
      <c r="Q12" s="9"/>
      <c r="R12" s="88"/>
      <c r="S12" s="83"/>
      <c r="T12" s="185"/>
      <c r="U12" s="186"/>
    </row>
    <row r="13" spans="1:21" s="11" customFormat="1">
      <c r="A13" s="9">
        <v>10</v>
      </c>
      <c r="B13" s="9"/>
      <c r="C13" s="9"/>
      <c r="D13" s="9" t="s">
        <v>76</v>
      </c>
      <c r="E13" s="54" t="s">
        <v>77</v>
      </c>
      <c r="F13" s="54"/>
      <c r="G13" s="55" t="s">
        <v>292</v>
      </c>
      <c r="H13" s="55" t="s">
        <v>78</v>
      </c>
      <c r="I13" s="9" t="s">
        <v>33</v>
      </c>
      <c r="J13" s="9"/>
      <c r="K13" s="9" t="s">
        <v>221</v>
      </c>
      <c r="L13" s="9"/>
      <c r="M13" s="9"/>
      <c r="N13" s="9"/>
      <c r="O13" s="9"/>
      <c r="P13" s="9"/>
      <c r="Q13" s="9"/>
      <c r="R13" s="88"/>
      <c r="S13" s="83"/>
      <c r="T13" s="185"/>
      <c r="U13" s="186"/>
    </row>
    <row r="14" spans="1:21" s="11" customFormat="1">
      <c r="A14" s="9">
        <v>10</v>
      </c>
      <c r="B14" s="9"/>
      <c r="C14" s="9"/>
      <c r="D14" s="9" t="s">
        <v>155</v>
      </c>
      <c r="E14" s="54" t="s">
        <v>152</v>
      </c>
      <c r="F14" s="54"/>
      <c r="G14" s="55" t="s">
        <v>283</v>
      </c>
      <c r="H14" s="55" t="s">
        <v>222</v>
      </c>
      <c r="I14" s="9" t="s">
        <v>33</v>
      </c>
      <c r="J14" s="9"/>
      <c r="K14" s="9" t="s">
        <v>221</v>
      </c>
      <c r="L14" s="9"/>
      <c r="M14" s="9"/>
      <c r="N14" s="9"/>
      <c r="O14" s="9"/>
      <c r="P14" s="9"/>
      <c r="Q14" s="9"/>
      <c r="R14" s="88"/>
      <c r="S14" s="83"/>
      <c r="T14" s="185"/>
      <c r="U14" s="186"/>
    </row>
    <row r="15" spans="1:21" s="11" customFormat="1">
      <c r="A15" s="9">
        <v>10</v>
      </c>
      <c r="B15" s="9"/>
      <c r="C15" s="9"/>
      <c r="D15" s="9" t="s">
        <v>46</v>
      </c>
      <c r="E15" s="54" t="s">
        <v>48</v>
      </c>
      <c r="F15" s="54"/>
      <c r="G15" s="55" t="s">
        <v>287</v>
      </c>
      <c r="H15" s="55" t="s">
        <v>226</v>
      </c>
      <c r="I15" s="9" t="s">
        <v>33</v>
      </c>
      <c r="J15" s="9"/>
      <c r="K15" s="9"/>
      <c r="L15" s="9"/>
      <c r="M15" s="9"/>
      <c r="N15" s="9"/>
      <c r="O15" s="9"/>
      <c r="P15" s="9"/>
      <c r="Q15" s="9"/>
      <c r="R15" s="88"/>
      <c r="S15" s="83"/>
      <c r="T15" s="185"/>
      <c r="U15" s="186"/>
    </row>
    <row r="16" spans="1:21" s="11" customFormat="1">
      <c r="A16" s="9">
        <v>10</v>
      </c>
      <c r="B16" s="9"/>
      <c r="C16" s="9"/>
      <c r="D16" s="9" t="s">
        <v>55</v>
      </c>
      <c r="E16" s="54" t="s">
        <v>56</v>
      </c>
      <c r="F16" s="54"/>
      <c r="G16" s="55" t="s">
        <v>288</v>
      </c>
      <c r="H16" s="55" t="s">
        <v>50</v>
      </c>
      <c r="I16" s="9" t="s">
        <v>33</v>
      </c>
      <c r="J16" s="9"/>
      <c r="K16" s="9"/>
      <c r="L16" s="9"/>
      <c r="M16" s="9"/>
      <c r="N16" s="9"/>
      <c r="O16" s="9"/>
      <c r="P16" s="9"/>
      <c r="Q16" s="9"/>
      <c r="R16" s="88"/>
      <c r="S16" s="83"/>
      <c r="T16" s="185"/>
      <c r="U16" s="186"/>
    </row>
    <row r="17" spans="1:21" s="11" customFormat="1">
      <c r="A17" s="9">
        <v>10</v>
      </c>
      <c r="B17" s="9"/>
      <c r="C17" s="9"/>
      <c r="D17" s="9" t="s">
        <v>51</v>
      </c>
      <c r="E17" s="54" t="s">
        <v>53</v>
      </c>
      <c r="F17" s="54"/>
      <c r="G17" s="55" t="s">
        <v>289</v>
      </c>
      <c r="H17" s="55" t="s">
        <v>202</v>
      </c>
      <c r="I17" s="9" t="s">
        <v>33</v>
      </c>
      <c r="J17" s="9"/>
      <c r="K17" s="9"/>
      <c r="L17" s="9"/>
      <c r="M17" s="9"/>
      <c r="N17" s="9"/>
      <c r="O17" s="9"/>
      <c r="P17" s="9"/>
      <c r="Q17" s="9"/>
      <c r="R17" s="88"/>
      <c r="S17" s="83"/>
      <c r="T17" s="185"/>
      <c r="U17" s="186"/>
    </row>
    <row r="18" spans="1:21" s="11" customFormat="1">
      <c r="A18" s="9">
        <v>10</v>
      </c>
      <c r="B18" s="9"/>
      <c r="C18" s="9"/>
      <c r="D18" s="9" t="s">
        <v>93</v>
      </c>
      <c r="E18" s="54" t="s">
        <v>94</v>
      </c>
      <c r="F18" s="54"/>
      <c r="G18" s="55" t="s">
        <v>291</v>
      </c>
      <c r="H18" s="55" t="s">
        <v>228</v>
      </c>
      <c r="I18" s="9" t="s">
        <v>33</v>
      </c>
      <c r="J18" s="9"/>
      <c r="K18" s="9"/>
      <c r="L18" s="9"/>
      <c r="M18" s="9"/>
      <c r="N18" s="9"/>
      <c r="O18" s="9"/>
      <c r="P18" s="9"/>
      <c r="Q18" s="9"/>
      <c r="R18" s="88"/>
      <c r="S18" s="83"/>
      <c r="T18" s="185"/>
      <c r="U18" s="186"/>
    </row>
    <row r="19" spans="1:21" s="11" customFormat="1">
      <c r="A19" s="84"/>
      <c r="B19" s="85"/>
      <c r="C19" s="85"/>
      <c r="D19" s="62" t="s">
        <v>1</v>
      </c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4"/>
      <c r="S19" s="4"/>
      <c r="T19" s="6"/>
      <c r="U19" s="23"/>
    </row>
    <row r="20" spans="1:21" s="11" customFormat="1">
      <c r="A20" s="111"/>
      <c r="U20" s="61"/>
    </row>
    <row r="21" spans="1:21" s="11" customFormat="1">
      <c r="A21" s="111"/>
      <c r="U21" s="61"/>
    </row>
    <row r="22" spans="1:21" s="11" customFormat="1">
      <c r="A22" s="111"/>
      <c r="U22" s="61"/>
    </row>
    <row r="23" spans="1:21" s="11" customFormat="1">
      <c r="A23" s="116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</row>
  </sheetData>
  <dataConsolidate/>
  <mergeCells count="7">
    <mergeCell ref="T18:U18"/>
    <mergeCell ref="T15:U15"/>
    <mergeCell ref="T17:U17"/>
    <mergeCell ref="T12:U12"/>
    <mergeCell ref="T13:U13"/>
    <mergeCell ref="T14:U14"/>
    <mergeCell ref="T16:U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V23"/>
  <sheetViews>
    <sheetView topLeftCell="L1" zoomScale="85" zoomScaleNormal="85" zoomScaleSheetLayoutView="85" workbookViewId="0"/>
  </sheetViews>
  <sheetFormatPr defaultColWidth="9" defaultRowHeight="13"/>
  <cols>
    <col min="1" max="1" width="4.81640625" style="63" customWidth="1"/>
    <col min="2" max="2" width="2.6328125" style="63" bestFit="1" customWidth="1"/>
    <col min="3" max="3" width="3.36328125" style="63" customWidth="1"/>
    <col min="4" max="4" width="27.1796875" style="62" bestFit="1" customWidth="1"/>
    <col min="5" max="5" width="25.6328125" style="62" customWidth="1"/>
    <col min="6" max="6" width="7.453125" style="63" bestFit="1" customWidth="1"/>
    <col min="7" max="7" width="30.81640625" style="63" customWidth="1"/>
    <col min="8" max="8" width="50.453125" style="63" customWidth="1"/>
    <col min="9" max="10" width="15.81640625" style="63" customWidth="1"/>
    <col min="11" max="11" width="19.36328125" style="63" bestFit="1" customWidth="1"/>
    <col min="12" max="12" width="18.36328125" style="63" bestFit="1" customWidth="1"/>
    <col min="13" max="13" width="12.81640625" style="63" bestFit="1" customWidth="1"/>
    <col min="14" max="14" width="50.6328125" style="63" customWidth="1"/>
    <col min="15" max="15" width="12.81640625" style="63" bestFit="1" customWidth="1"/>
    <col min="16" max="16" width="18.36328125" style="63" bestFit="1" customWidth="1"/>
    <col min="17" max="17" width="11.6328125" style="62" bestFit="1" customWidth="1"/>
    <col min="18" max="18" width="27.1796875" style="62" bestFit="1" customWidth="1"/>
    <col min="19" max="19" width="30.81640625" style="62" customWidth="1"/>
    <col min="20" max="20" width="9" style="62"/>
    <col min="21" max="21" width="15.81640625" style="62" customWidth="1"/>
    <col min="22" max="16384" width="9" style="62"/>
  </cols>
  <sheetData>
    <row r="1" spans="1:22" s="11" customFormat="1">
      <c r="A1" s="107" t="s">
        <v>16</v>
      </c>
      <c r="B1" s="107" t="s">
        <v>16</v>
      </c>
      <c r="C1" s="10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2"/>
      <c r="S1" s="62"/>
      <c r="T1" s="62"/>
      <c r="U1" s="62"/>
      <c r="V1" s="62"/>
    </row>
    <row r="2" spans="1:22" s="11" customFormat="1" ht="40" customHeight="1">
      <c r="A2" s="108" t="s">
        <v>16</v>
      </c>
      <c r="B2" s="109"/>
      <c r="C2" s="109"/>
      <c r="D2" s="119" t="s">
        <v>268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MABSL0160</v>
      </c>
      <c r="I2" s="7" t="s">
        <v>216</v>
      </c>
      <c r="J2" s="9" t="s">
        <v>140</v>
      </c>
      <c r="K2" s="7" t="s">
        <v>29</v>
      </c>
      <c r="L2" s="110" t="str">
        <f>IF(LogicCommon!G2="","",LogicCommon!G2)</f>
        <v>MC</v>
      </c>
      <c r="M2" s="5" t="s">
        <v>217</v>
      </c>
      <c r="N2" s="28" t="s">
        <v>260</v>
      </c>
      <c r="O2" s="7"/>
      <c r="P2" s="7"/>
      <c r="Q2" s="4"/>
      <c r="R2" s="62"/>
      <c r="S2" s="62"/>
      <c r="T2" s="62"/>
      <c r="U2" s="62"/>
      <c r="V2" s="62"/>
    </row>
    <row r="3" spans="1:22" s="11" customFormat="1">
      <c r="A3" s="111" t="s">
        <v>16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MABSL_InspPointReg</v>
      </c>
      <c r="I3" s="7" t="s">
        <v>218</v>
      </c>
      <c r="J3" s="9" t="s">
        <v>120</v>
      </c>
      <c r="K3" s="7" t="s">
        <v>45</v>
      </c>
      <c r="L3" s="110" t="str">
        <f>IF(LogicCommon!G3="","",LogicCommon!G3)</f>
        <v/>
      </c>
      <c r="M3" s="114" t="s">
        <v>119</v>
      </c>
      <c r="N3" s="7"/>
      <c r="O3" s="7" t="s">
        <v>219</v>
      </c>
      <c r="P3" s="9" t="s">
        <v>32</v>
      </c>
      <c r="Q3" s="4"/>
      <c r="R3" s="62"/>
      <c r="S3" s="62"/>
      <c r="T3" s="62"/>
      <c r="U3" s="62"/>
      <c r="V3" s="62"/>
    </row>
    <row r="4" spans="1:22" s="11" customFormat="1">
      <c r="A4" s="111" t="s">
        <v>16</v>
      </c>
      <c r="B4" s="112"/>
      <c r="C4" s="112"/>
      <c r="D4" s="4"/>
      <c r="E4" s="7" t="s">
        <v>8</v>
      </c>
      <c r="F4" s="10" t="s">
        <v>215</v>
      </c>
      <c r="G4" s="7" t="s">
        <v>11</v>
      </c>
      <c r="H4" s="110" t="str">
        <f>IF(LogicCommon!E4="","",LogicCommon!E4)</f>
        <v>検査項目マスタ登録</v>
      </c>
      <c r="I4" s="7" t="s">
        <v>112</v>
      </c>
      <c r="J4" s="9" t="s">
        <v>189</v>
      </c>
      <c r="K4" s="7" t="s">
        <v>5</v>
      </c>
      <c r="L4" s="110" t="str">
        <f>IF(LogicCommon!G4="","",LogicCommon!G4)</f>
        <v>MA.MAUDL5010</v>
      </c>
      <c r="M4" s="115"/>
      <c r="N4" s="28"/>
      <c r="O4" s="14"/>
      <c r="P4" s="4"/>
      <c r="Q4" s="4"/>
      <c r="R4" s="62"/>
      <c r="S4" s="62"/>
      <c r="T4" s="62"/>
      <c r="U4" s="62"/>
      <c r="V4" s="62"/>
    </row>
    <row r="5" spans="1:22" s="11" customFormat="1">
      <c r="A5" s="116" t="s">
        <v>16</v>
      </c>
      <c r="B5" s="107"/>
      <c r="C5" s="107"/>
      <c r="D5" s="26"/>
      <c r="E5" s="7" t="s">
        <v>220</v>
      </c>
      <c r="F5" s="10"/>
      <c r="G5" s="117"/>
      <c r="H5" s="117"/>
      <c r="I5" s="117"/>
      <c r="J5" s="117"/>
      <c r="K5" s="117"/>
      <c r="L5" s="6"/>
      <c r="M5" s="5"/>
      <c r="N5" s="5"/>
      <c r="O5" s="14"/>
      <c r="P5" s="4"/>
      <c r="Q5" s="4"/>
      <c r="R5" s="62"/>
      <c r="S5" s="62"/>
      <c r="T5" s="62"/>
      <c r="U5" s="62"/>
      <c r="V5" s="62"/>
    </row>
    <row r="6" spans="1:22" s="11" customFormat="1">
      <c r="A6" s="111" t="s">
        <v>16</v>
      </c>
      <c r="B6" s="112"/>
      <c r="C6" s="112"/>
      <c r="D6" s="4" t="s">
        <v>6</v>
      </c>
      <c r="E6" s="16" t="s">
        <v>190</v>
      </c>
      <c r="F6" s="16"/>
      <c r="G6" s="16"/>
      <c r="H6" s="16"/>
      <c r="I6" s="16"/>
      <c r="J6" s="16"/>
      <c r="K6" s="16"/>
      <c r="L6" s="118" t="s">
        <v>35</v>
      </c>
      <c r="M6" s="19"/>
      <c r="N6" s="19" t="s">
        <v>35</v>
      </c>
      <c r="O6" s="19"/>
      <c r="P6" s="19" t="s">
        <v>35</v>
      </c>
      <c r="Q6" s="19"/>
      <c r="R6" s="3" t="s">
        <v>35</v>
      </c>
      <c r="S6" s="4"/>
      <c r="T6" s="63"/>
      <c r="U6" s="63"/>
      <c r="V6" s="62"/>
    </row>
    <row r="7" spans="1:22" s="11" customFormat="1">
      <c r="A7" s="64" t="s">
        <v>109</v>
      </c>
      <c r="B7" s="64"/>
      <c r="C7" s="64"/>
      <c r="D7" s="65"/>
      <c r="E7" s="65"/>
      <c r="F7" s="65"/>
      <c r="G7" s="65"/>
      <c r="H7" s="65"/>
      <c r="I7" s="65" t="s">
        <v>111</v>
      </c>
      <c r="J7" s="65"/>
      <c r="K7" s="66" t="s">
        <v>118</v>
      </c>
      <c r="L7" s="67" t="s">
        <v>117</v>
      </c>
      <c r="M7" s="66" t="s">
        <v>82</v>
      </c>
      <c r="N7" s="67" t="s">
        <v>116</v>
      </c>
      <c r="O7" s="66" t="s">
        <v>82</v>
      </c>
      <c r="P7" s="67"/>
      <c r="Q7" s="66" t="s">
        <v>82</v>
      </c>
      <c r="R7" s="67"/>
      <c r="S7" s="63"/>
      <c r="T7" s="63"/>
      <c r="U7" s="63"/>
      <c r="V7" s="63"/>
    </row>
    <row r="8" spans="1:22" s="11" customFormat="1" ht="60" customHeight="1">
      <c r="A8" s="54" t="s">
        <v>18</v>
      </c>
      <c r="B8" s="122"/>
      <c r="C8" s="123"/>
      <c r="D8" s="120" t="s">
        <v>269</v>
      </c>
      <c r="E8" s="120" t="s">
        <v>270</v>
      </c>
      <c r="F8" s="118"/>
      <c r="G8" s="120" t="s">
        <v>229</v>
      </c>
      <c r="H8" s="120" t="s">
        <v>271</v>
      </c>
      <c r="I8" s="118"/>
      <c r="J8" s="3"/>
      <c r="K8" s="66" t="s">
        <v>115</v>
      </c>
      <c r="L8" s="68" t="s">
        <v>153</v>
      </c>
      <c r="M8" s="66" t="s">
        <v>83</v>
      </c>
      <c r="N8" s="68" t="s">
        <v>153</v>
      </c>
      <c r="O8" s="66" t="s">
        <v>83</v>
      </c>
      <c r="P8" s="68"/>
      <c r="Q8" s="66" t="s">
        <v>83</v>
      </c>
      <c r="R8" s="68"/>
      <c r="S8" s="131"/>
      <c r="T8" s="132"/>
      <c r="U8" s="133" t="s">
        <v>272</v>
      </c>
      <c r="V8" s="83"/>
    </row>
    <row r="9" spans="1:22" s="11" customFormat="1" ht="60" customHeight="1">
      <c r="A9" s="9" t="s">
        <v>18</v>
      </c>
      <c r="B9" s="37"/>
      <c r="C9" s="38"/>
      <c r="D9" s="120" t="s">
        <v>273</v>
      </c>
      <c r="E9" s="128" t="s">
        <v>274</v>
      </c>
      <c r="F9" s="120" t="s">
        <v>275</v>
      </c>
      <c r="G9" s="120" t="s">
        <v>276</v>
      </c>
      <c r="H9" s="120" t="s">
        <v>277</v>
      </c>
      <c r="I9" s="129" t="s">
        <v>278</v>
      </c>
      <c r="J9" s="120" t="s">
        <v>279</v>
      </c>
      <c r="K9" s="66"/>
      <c r="L9" s="66"/>
      <c r="M9" s="66"/>
      <c r="N9" s="66"/>
      <c r="O9" s="66"/>
      <c r="P9" s="66"/>
      <c r="Q9" s="66"/>
      <c r="R9" s="66"/>
      <c r="S9" s="133" t="s">
        <v>280</v>
      </c>
      <c r="T9" s="83"/>
      <c r="U9" s="133" t="s">
        <v>281</v>
      </c>
      <c r="V9" s="83"/>
    </row>
    <row r="10" spans="1:22" s="11" customFormat="1" ht="52">
      <c r="A10" s="71" t="s">
        <v>122</v>
      </c>
      <c r="B10" s="72"/>
      <c r="C10" s="72"/>
      <c r="D10" s="73"/>
      <c r="E10" s="74"/>
      <c r="F10" s="74"/>
      <c r="G10" s="75"/>
      <c r="H10" s="75"/>
      <c r="I10" s="74"/>
      <c r="J10" s="74"/>
      <c r="K10" s="130" t="s">
        <v>278</v>
      </c>
      <c r="L10" s="130" t="s">
        <v>279</v>
      </c>
      <c r="M10" s="130" t="s">
        <v>278</v>
      </c>
      <c r="N10" s="130" t="s">
        <v>279</v>
      </c>
      <c r="O10" s="130" t="s">
        <v>278</v>
      </c>
      <c r="P10" s="130" t="s">
        <v>279</v>
      </c>
      <c r="Q10" s="130" t="s">
        <v>278</v>
      </c>
      <c r="R10" s="130" t="s">
        <v>279</v>
      </c>
      <c r="S10" s="74"/>
      <c r="T10" s="74"/>
      <c r="U10" s="75"/>
      <c r="V10" s="70"/>
    </row>
    <row r="11" spans="1:22" s="11" customFormat="1">
      <c r="A11" s="9">
        <v>10</v>
      </c>
      <c r="B11" s="37" t="s">
        <v>0</v>
      </c>
      <c r="C11" s="38"/>
      <c r="D11" s="28" t="s">
        <v>141</v>
      </c>
      <c r="E11" s="76" t="s">
        <v>121</v>
      </c>
      <c r="F11" s="77"/>
      <c r="G11" s="28" t="s">
        <v>98</v>
      </c>
      <c r="H11" s="78" t="s">
        <v>234</v>
      </c>
      <c r="I11" s="79"/>
      <c r="J11" s="80"/>
      <c r="K11" s="81" t="s">
        <v>231</v>
      </c>
      <c r="L11" s="81"/>
      <c r="M11" s="81" t="s">
        <v>231</v>
      </c>
      <c r="N11" s="81"/>
      <c r="O11" s="81"/>
      <c r="P11" s="81"/>
      <c r="Q11" s="81"/>
      <c r="R11" s="81"/>
      <c r="S11" s="69"/>
      <c r="T11" s="70"/>
      <c r="U11" s="106"/>
      <c r="V11" s="82"/>
    </row>
    <row r="12" spans="1:22" s="11" customFormat="1">
      <c r="A12" s="9">
        <v>10</v>
      </c>
      <c r="B12" s="9"/>
      <c r="C12" s="9"/>
      <c r="D12" s="9" t="s">
        <v>154</v>
      </c>
      <c r="E12" s="54" t="s">
        <v>151</v>
      </c>
      <c r="F12" s="54"/>
      <c r="G12" s="55" t="s">
        <v>282</v>
      </c>
      <c r="H12" s="55" t="s">
        <v>199</v>
      </c>
      <c r="I12" s="9" t="s">
        <v>33</v>
      </c>
      <c r="J12" s="9"/>
      <c r="K12" s="9" t="s">
        <v>33</v>
      </c>
      <c r="L12" s="9"/>
      <c r="M12" s="9" t="s">
        <v>221</v>
      </c>
      <c r="N12" s="9"/>
      <c r="O12" s="9"/>
      <c r="P12" s="9"/>
      <c r="Q12" s="9"/>
      <c r="R12" s="9"/>
      <c r="S12" s="88"/>
      <c r="T12" s="83"/>
      <c r="U12" s="185"/>
      <c r="V12" s="186"/>
    </row>
    <row r="13" spans="1:22" s="11" customFormat="1">
      <c r="A13" s="9">
        <v>10</v>
      </c>
      <c r="B13" s="9"/>
      <c r="C13" s="9"/>
      <c r="D13" s="9" t="s">
        <v>76</v>
      </c>
      <c r="E13" s="54" t="s">
        <v>77</v>
      </c>
      <c r="F13" s="54"/>
      <c r="G13" s="55" t="s">
        <v>292</v>
      </c>
      <c r="H13" s="55" t="s">
        <v>78</v>
      </c>
      <c r="I13" s="9" t="s">
        <v>33</v>
      </c>
      <c r="J13" s="9"/>
      <c r="K13" s="9" t="s">
        <v>33</v>
      </c>
      <c r="L13" s="9"/>
      <c r="M13" s="9" t="s">
        <v>221</v>
      </c>
      <c r="N13" s="9"/>
      <c r="O13" s="9"/>
      <c r="P13" s="9"/>
      <c r="Q13" s="9"/>
      <c r="R13" s="9"/>
      <c r="S13" s="88"/>
      <c r="T13" s="83"/>
      <c r="U13" s="185"/>
      <c r="V13" s="186"/>
    </row>
    <row r="14" spans="1:22" s="11" customFormat="1">
      <c r="A14" s="9">
        <v>10</v>
      </c>
      <c r="B14" s="9"/>
      <c r="C14" s="9"/>
      <c r="D14" s="9" t="s">
        <v>155</v>
      </c>
      <c r="E14" s="54" t="s">
        <v>152</v>
      </c>
      <c r="F14" s="54"/>
      <c r="G14" s="55" t="s">
        <v>283</v>
      </c>
      <c r="H14" s="55" t="s">
        <v>222</v>
      </c>
      <c r="I14" s="9" t="s">
        <v>33</v>
      </c>
      <c r="J14" s="9"/>
      <c r="K14" s="9" t="s">
        <v>33</v>
      </c>
      <c r="L14" s="9"/>
      <c r="M14" s="9"/>
      <c r="N14" s="9"/>
      <c r="O14" s="9"/>
      <c r="P14" s="9"/>
      <c r="Q14" s="9"/>
      <c r="R14" s="9"/>
      <c r="S14" s="88"/>
      <c r="T14" s="83"/>
      <c r="U14" s="185"/>
      <c r="V14" s="186"/>
    </row>
    <row r="15" spans="1:22" s="11" customFormat="1">
      <c r="A15" s="9">
        <v>10</v>
      </c>
      <c r="B15" s="9"/>
      <c r="C15" s="9"/>
      <c r="D15" s="9" t="s">
        <v>46</v>
      </c>
      <c r="E15" s="54" t="s">
        <v>48</v>
      </c>
      <c r="F15" s="54"/>
      <c r="G15" s="55" t="s">
        <v>287</v>
      </c>
      <c r="H15" s="55" t="s">
        <v>226</v>
      </c>
      <c r="I15" s="9" t="s">
        <v>33</v>
      </c>
      <c r="J15" s="9"/>
      <c r="K15" s="9" t="s">
        <v>221</v>
      </c>
      <c r="L15" s="9"/>
      <c r="M15" s="9"/>
      <c r="N15" s="9"/>
      <c r="O15" s="9"/>
      <c r="P15" s="9"/>
      <c r="Q15" s="9"/>
      <c r="R15" s="9"/>
      <c r="S15" s="88"/>
      <c r="T15" s="83"/>
      <c r="U15" s="185"/>
      <c r="V15" s="186"/>
    </row>
    <row r="16" spans="1:22" s="11" customFormat="1">
      <c r="A16" s="9">
        <v>10</v>
      </c>
      <c r="B16" s="9"/>
      <c r="C16" s="9"/>
      <c r="D16" s="9" t="s">
        <v>55</v>
      </c>
      <c r="E16" s="54" t="s">
        <v>56</v>
      </c>
      <c r="F16" s="54"/>
      <c r="G16" s="55" t="s">
        <v>288</v>
      </c>
      <c r="H16" s="55" t="s">
        <v>50</v>
      </c>
      <c r="I16" s="9" t="s">
        <v>33</v>
      </c>
      <c r="J16" s="9"/>
      <c r="K16" s="9" t="s">
        <v>221</v>
      </c>
      <c r="L16" s="9"/>
      <c r="M16" s="9"/>
      <c r="N16" s="9"/>
      <c r="O16" s="9"/>
      <c r="P16" s="9"/>
      <c r="Q16" s="9"/>
      <c r="R16" s="9"/>
      <c r="S16" s="88"/>
      <c r="T16" s="83"/>
      <c r="U16" s="185"/>
      <c r="V16" s="186"/>
    </row>
    <row r="17" spans="1:22" s="11" customFormat="1">
      <c r="A17" s="9">
        <v>10</v>
      </c>
      <c r="B17" s="9"/>
      <c r="C17" s="9"/>
      <c r="D17" s="9" t="s">
        <v>51</v>
      </c>
      <c r="E17" s="54" t="s">
        <v>53</v>
      </c>
      <c r="F17" s="54"/>
      <c r="G17" s="55" t="s">
        <v>289</v>
      </c>
      <c r="H17" s="55" t="s">
        <v>202</v>
      </c>
      <c r="I17" s="9" t="s">
        <v>33</v>
      </c>
      <c r="J17" s="9"/>
      <c r="K17" s="9" t="s">
        <v>221</v>
      </c>
      <c r="L17" s="9"/>
      <c r="M17" s="9"/>
      <c r="N17" s="9"/>
      <c r="O17" s="9"/>
      <c r="P17" s="9"/>
      <c r="Q17" s="9"/>
      <c r="R17" s="9"/>
      <c r="S17" s="88"/>
      <c r="T17" s="83"/>
      <c r="U17" s="185"/>
      <c r="V17" s="186"/>
    </row>
    <row r="18" spans="1:22" s="11" customFormat="1">
      <c r="A18" s="9">
        <v>10</v>
      </c>
      <c r="B18" s="9"/>
      <c r="C18" s="9"/>
      <c r="D18" s="9" t="s">
        <v>93</v>
      </c>
      <c r="E18" s="54" t="s">
        <v>94</v>
      </c>
      <c r="F18" s="54"/>
      <c r="G18" s="55" t="s">
        <v>291</v>
      </c>
      <c r="H18" s="55" t="s">
        <v>232</v>
      </c>
      <c r="I18" s="9" t="s">
        <v>33</v>
      </c>
      <c r="J18" s="9"/>
      <c r="K18" s="9" t="s">
        <v>221</v>
      </c>
      <c r="L18" s="9"/>
      <c r="M18" s="9"/>
      <c r="N18" s="9"/>
      <c r="O18" s="9"/>
      <c r="P18" s="9"/>
      <c r="Q18" s="9"/>
      <c r="R18" s="9"/>
      <c r="S18" s="88"/>
      <c r="T18" s="83"/>
      <c r="U18" s="185"/>
      <c r="V18" s="186"/>
    </row>
    <row r="19" spans="1:22" s="11" customFormat="1">
      <c r="A19" s="84"/>
      <c r="B19" s="85"/>
      <c r="C19" s="85"/>
      <c r="D19" s="62" t="s">
        <v>1</v>
      </c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4"/>
      <c r="T19" s="4"/>
      <c r="U19" s="6"/>
      <c r="V19" s="23"/>
    </row>
    <row r="20" spans="1:22" s="11" customFormat="1">
      <c r="A20" s="111"/>
      <c r="V20" s="61"/>
    </row>
    <row r="21" spans="1:22" s="11" customFormat="1">
      <c r="A21" s="111"/>
      <c r="V21" s="61"/>
    </row>
    <row r="22" spans="1:22" s="11" customFormat="1">
      <c r="A22" s="111"/>
      <c r="V22" s="61"/>
    </row>
    <row r="23" spans="1:22" s="11" customFormat="1">
      <c r="A23" s="116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8:V18"/>
    <mergeCell ref="U15:V15"/>
    <mergeCell ref="U12:V12"/>
    <mergeCell ref="U13:V13"/>
    <mergeCell ref="U14:V14"/>
    <mergeCell ref="U16:V16"/>
    <mergeCell ref="U17:V1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U18"/>
  <sheetViews>
    <sheetView topLeftCell="K1" zoomScale="85" zoomScaleNormal="85" zoomScaleSheetLayoutView="85" workbookViewId="0"/>
  </sheetViews>
  <sheetFormatPr defaultColWidth="9" defaultRowHeight="13"/>
  <cols>
    <col min="1" max="1" width="4.81640625" style="63" customWidth="1"/>
    <col min="2" max="2" width="2.6328125" style="63" bestFit="1" customWidth="1"/>
    <col min="3" max="3" width="3.36328125" style="63" customWidth="1"/>
    <col min="4" max="4" width="27.1796875" style="62" bestFit="1" customWidth="1"/>
    <col min="5" max="5" width="25.6328125" style="62" customWidth="1"/>
    <col min="6" max="6" width="7.453125" style="63" bestFit="1" customWidth="1"/>
    <col min="7" max="7" width="30.81640625" style="63" customWidth="1"/>
    <col min="8" max="8" width="28.1796875" style="63" bestFit="1" customWidth="1"/>
    <col min="9" max="10" width="15.81640625" style="63" customWidth="1"/>
    <col min="11" max="11" width="16.90625" style="63" customWidth="1"/>
    <col min="12" max="12" width="12.90625" style="63" customWidth="1"/>
    <col min="13" max="13" width="12.81640625" style="63" bestFit="1" customWidth="1"/>
    <col min="14" max="14" width="50.6328125" style="63" customWidth="1"/>
    <col min="15" max="15" width="14.08984375" style="63" customWidth="1"/>
    <col min="16" max="16" width="14.90625" style="63" customWidth="1"/>
    <col min="17" max="17" width="17.6328125" style="62" customWidth="1"/>
    <col min="18" max="18" width="30.81640625" style="62" customWidth="1"/>
    <col min="19" max="19" width="9" style="62"/>
    <col min="20" max="20" width="15.81640625" style="62" customWidth="1"/>
    <col min="21" max="16384" width="9" style="62"/>
  </cols>
  <sheetData>
    <row r="1" spans="1:21" s="11" customFormat="1">
      <c r="A1" s="107" t="s">
        <v>16</v>
      </c>
      <c r="B1" s="107" t="s">
        <v>16</v>
      </c>
      <c r="C1" s="10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2"/>
      <c r="S1" s="62"/>
      <c r="T1" s="62"/>
      <c r="U1" s="62"/>
    </row>
    <row r="2" spans="1:21" s="11" customFormat="1" ht="40" customHeight="1">
      <c r="A2" s="108" t="s">
        <v>16</v>
      </c>
      <c r="B2" s="109"/>
      <c r="C2" s="109"/>
      <c r="D2" s="119" t="s">
        <v>268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MABSL0160</v>
      </c>
      <c r="I2" s="7" t="s">
        <v>216</v>
      </c>
      <c r="J2" s="9" t="s">
        <v>182</v>
      </c>
      <c r="K2" s="7" t="s">
        <v>29</v>
      </c>
      <c r="L2" s="110" t="str">
        <f>IF(LogicCommon!G2="","",LogicCommon!G2)</f>
        <v>MC</v>
      </c>
      <c r="M2" s="5" t="s">
        <v>217</v>
      </c>
      <c r="N2" s="28" t="str">
        <f>L4 &amp; ".Checker"</f>
        <v>MA.MAUDL5010.Checker</v>
      </c>
      <c r="O2" s="7"/>
      <c r="P2" s="7"/>
      <c r="Q2" s="4"/>
      <c r="R2" s="62"/>
      <c r="S2" s="62"/>
      <c r="T2" s="62"/>
      <c r="U2" s="62"/>
    </row>
    <row r="3" spans="1:21" s="11" customFormat="1">
      <c r="A3" s="111" t="s">
        <v>16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MABSL_InspPointReg</v>
      </c>
      <c r="I3" s="7" t="s">
        <v>218</v>
      </c>
      <c r="J3" s="9" t="s">
        <v>114</v>
      </c>
      <c r="K3" s="7" t="s">
        <v>45</v>
      </c>
      <c r="L3" s="110" t="str">
        <f>IF(LogicCommon!G3="","",LogicCommon!G3)</f>
        <v/>
      </c>
      <c r="M3" s="114" t="s">
        <v>119</v>
      </c>
      <c r="N3" s="7"/>
      <c r="O3" s="7" t="s">
        <v>219</v>
      </c>
      <c r="P3" s="9" t="s">
        <v>32</v>
      </c>
      <c r="Q3" s="4"/>
      <c r="R3" s="62"/>
      <c r="S3" s="62"/>
      <c r="T3" s="62"/>
      <c r="U3" s="62"/>
    </row>
    <row r="4" spans="1:21" s="11" customFormat="1">
      <c r="A4" s="111" t="s">
        <v>16</v>
      </c>
      <c r="B4" s="112"/>
      <c r="C4" s="112"/>
      <c r="D4" s="4"/>
      <c r="E4" s="7" t="s">
        <v>8</v>
      </c>
      <c r="F4" s="10" t="s">
        <v>215</v>
      </c>
      <c r="G4" s="7" t="s">
        <v>11</v>
      </c>
      <c r="H4" s="110" t="str">
        <f>IF(LogicCommon!E4="","",LogicCommon!E4)</f>
        <v>検査項目マスタ登録</v>
      </c>
      <c r="I4" s="7" t="s">
        <v>112</v>
      </c>
      <c r="J4" s="9" t="s">
        <v>191</v>
      </c>
      <c r="K4" s="7" t="s">
        <v>5</v>
      </c>
      <c r="L4" s="110" t="str">
        <f>IF(LogicCommon!G4="","",LogicCommon!G4)</f>
        <v>MA.MAUDL5010</v>
      </c>
      <c r="M4" s="115"/>
      <c r="N4" s="28"/>
      <c r="O4" s="14"/>
      <c r="P4" s="4"/>
      <c r="Q4" s="4"/>
      <c r="R4" s="62"/>
      <c r="S4" s="62"/>
      <c r="T4" s="62"/>
      <c r="U4" s="62"/>
    </row>
    <row r="5" spans="1:21" s="11" customFormat="1">
      <c r="A5" s="116" t="s">
        <v>16</v>
      </c>
      <c r="B5" s="107"/>
      <c r="C5" s="107"/>
      <c r="D5" s="26"/>
      <c r="E5" s="7" t="s">
        <v>220</v>
      </c>
      <c r="F5" s="10"/>
      <c r="G5" s="117"/>
      <c r="H5" s="117"/>
      <c r="I5" s="117"/>
      <c r="J5" s="117"/>
      <c r="K5" s="117"/>
      <c r="L5" s="6"/>
      <c r="M5" s="5"/>
      <c r="N5" s="5"/>
      <c r="O5" s="14"/>
      <c r="P5" s="4"/>
      <c r="Q5" s="4"/>
      <c r="R5" s="62"/>
      <c r="S5" s="62"/>
      <c r="T5" s="62"/>
      <c r="U5" s="62"/>
    </row>
    <row r="6" spans="1:21" s="11" customFormat="1">
      <c r="A6" s="111" t="s">
        <v>16</v>
      </c>
      <c r="B6" s="112"/>
      <c r="C6" s="112"/>
      <c r="D6" s="4" t="s">
        <v>6</v>
      </c>
      <c r="E6" s="16" t="s">
        <v>192</v>
      </c>
      <c r="F6" s="16"/>
      <c r="G6" s="16"/>
      <c r="H6" s="16"/>
      <c r="I6" s="16"/>
      <c r="J6" s="16"/>
      <c r="K6" s="16"/>
      <c r="L6" s="118"/>
      <c r="M6" s="19"/>
      <c r="N6" s="19"/>
      <c r="O6" s="19"/>
      <c r="P6" s="19"/>
      <c r="Q6" s="19" t="s">
        <v>35</v>
      </c>
      <c r="R6" s="4"/>
      <c r="S6" s="63"/>
      <c r="T6" s="63"/>
      <c r="U6" s="62"/>
    </row>
    <row r="7" spans="1:21" s="11" customFormat="1">
      <c r="A7" s="64" t="s">
        <v>109</v>
      </c>
      <c r="B7" s="64"/>
      <c r="C7" s="64"/>
      <c r="D7" s="65"/>
      <c r="E7" s="65"/>
      <c r="F7" s="65"/>
      <c r="G7" s="65"/>
      <c r="H7" s="65"/>
      <c r="I7" s="65" t="s">
        <v>111</v>
      </c>
      <c r="J7" s="65"/>
      <c r="K7" s="67" t="s">
        <v>110</v>
      </c>
      <c r="L7" s="67"/>
      <c r="M7" s="67"/>
      <c r="N7" s="67"/>
      <c r="O7" s="67"/>
      <c r="P7" s="66" t="s">
        <v>82</v>
      </c>
      <c r="Q7" s="67"/>
      <c r="R7" s="63"/>
      <c r="S7" s="63"/>
      <c r="T7" s="63"/>
      <c r="U7" s="63"/>
    </row>
    <row r="8" spans="1:21" s="11" customFormat="1" ht="60" customHeight="1">
      <c r="A8" s="54" t="s">
        <v>18</v>
      </c>
      <c r="B8" s="122"/>
      <c r="C8" s="123"/>
      <c r="D8" s="120" t="s">
        <v>269</v>
      </c>
      <c r="E8" s="120" t="s">
        <v>270</v>
      </c>
      <c r="F8" s="118"/>
      <c r="G8" s="120" t="s">
        <v>229</v>
      </c>
      <c r="H8" s="120" t="s">
        <v>271</v>
      </c>
      <c r="I8" s="118"/>
      <c r="J8" s="3"/>
      <c r="K8" s="9" t="s">
        <v>108</v>
      </c>
      <c r="L8" s="68"/>
      <c r="M8" s="68"/>
      <c r="N8" s="68"/>
      <c r="O8" s="68"/>
      <c r="P8" s="66" t="s">
        <v>83</v>
      </c>
      <c r="Q8" s="67"/>
      <c r="R8" s="131"/>
      <c r="S8" s="132"/>
      <c r="T8" s="133" t="s">
        <v>272</v>
      </c>
      <c r="U8" s="83"/>
    </row>
    <row r="9" spans="1:21" s="11" customFormat="1" ht="60" customHeight="1">
      <c r="A9" s="9" t="s">
        <v>18</v>
      </c>
      <c r="B9" s="37"/>
      <c r="C9" s="38"/>
      <c r="D9" s="120" t="s">
        <v>273</v>
      </c>
      <c r="E9" s="128" t="s">
        <v>274</v>
      </c>
      <c r="F9" s="120" t="s">
        <v>275</v>
      </c>
      <c r="G9" s="120" t="s">
        <v>276</v>
      </c>
      <c r="H9" s="120" t="s">
        <v>277</v>
      </c>
      <c r="I9" s="129" t="s">
        <v>278</v>
      </c>
      <c r="J9" s="120" t="s">
        <v>279</v>
      </c>
      <c r="K9" s="66"/>
      <c r="L9" s="66"/>
      <c r="M9" s="66"/>
      <c r="N9" s="66"/>
      <c r="O9" s="66"/>
      <c r="P9" s="66"/>
      <c r="Q9" s="66"/>
      <c r="R9" s="133" t="s">
        <v>280</v>
      </c>
      <c r="S9" s="83"/>
      <c r="T9" s="133" t="s">
        <v>281</v>
      </c>
      <c r="U9" s="83"/>
    </row>
    <row r="10" spans="1:21" s="11" customFormat="1" ht="39">
      <c r="A10" s="71" t="s">
        <v>18</v>
      </c>
      <c r="B10" s="72"/>
      <c r="C10" s="72"/>
      <c r="D10" s="73"/>
      <c r="E10" s="74"/>
      <c r="F10" s="74"/>
      <c r="G10" s="75"/>
      <c r="H10" s="75"/>
      <c r="I10" s="74"/>
      <c r="J10" s="74"/>
      <c r="K10" s="66"/>
      <c r="L10" s="66"/>
      <c r="M10" s="66"/>
      <c r="N10" s="66"/>
      <c r="O10" s="66"/>
      <c r="P10" s="130" t="s">
        <v>278</v>
      </c>
      <c r="Q10" s="130" t="s">
        <v>279</v>
      </c>
      <c r="R10" s="74"/>
      <c r="S10" s="74"/>
      <c r="T10" s="75"/>
      <c r="U10" s="70"/>
    </row>
    <row r="11" spans="1:21" s="11" customFormat="1">
      <c r="A11" s="9">
        <v>10</v>
      </c>
      <c r="B11" s="37" t="s">
        <v>0</v>
      </c>
      <c r="C11" s="38"/>
      <c r="D11" s="28" t="s">
        <v>142</v>
      </c>
      <c r="E11" s="76" t="s">
        <v>79</v>
      </c>
      <c r="F11" s="77"/>
      <c r="G11" s="28"/>
      <c r="H11" s="78"/>
      <c r="I11" s="79"/>
      <c r="J11" s="80"/>
      <c r="K11" s="81"/>
      <c r="L11" s="81"/>
      <c r="M11" s="81"/>
      <c r="N11" s="81"/>
      <c r="O11" s="81"/>
      <c r="P11" s="81"/>
      <c r="Q11" s="81"/>
      <c r="R11" s="69"/>
      <c r="S11" s="70"/>
      <c r="T11" s="106"/>
      <c r="U11" s="82"/>
    </row>
    <row r="12" spans="1:21" s="11" customFormat="1">
      <c r="A12" s="9">
        <v>10</v>
      </c>
      <c r="B12" s="9"/>
      <c r="C12" s="9"/>
      <c r="D12" s="9" t="s">
        <v>154</v>
      </c>
      <c r="E12" s="54" t="s">
        <v>151</v>
      </c>
      <c r="F12" s="54"/>
      <c r="G12" s="55" t="s">
        <v>282</v>
      </c>
      <c r="H12" s="55" t="s">
        <v>199</v>
      </c>
      <c r="I12" s="9" t="s">
        <v>33</v>
      </c>
      <c r="J12" s="9"/>
      <c r="K12" s="9" t="s">
        <v>221</v>
      </c>
      <c r="L12" s="9"/>
      <c r="M12" s="9"/>
      <c r="N12" s="9"/>
      <c r="O12" s="9"/>
      <c r="P12" s="9"/>
      <c r="Q12" s="9"/>
      <c r="R12" s="88"/>
      <c r="S12" s="83"/>
      <c r="T12" s="185"/>
      <c r="U12" s="186"/>
    </row>
    <row r="13" spans="1:21" s="11" customFormat="1">
      <c r="A13" s="9">
        <v>10</v>
      </c>
      <c r="B13" s="9"/>
      <c r="C13" s="9"/>
      <c r="D13" s="9" t="s">
        <v>93</v>
      </c>
      <c r="E13" s="54" t="s">
        <v>94</v>
      </c>
      <c r="F13" s="54"/>
      <c r="G13" s="55" t="s">
        <v>291</v>
      </c>
      <c r="H13" s="55" t="s">
        <v>228</v>
      </c>
      <c r="I13" s="9" t="s">
        <v>33</v>
      </c>
      <c r="J13" s="9"/>
      <c r="K13" s="9"/>
      <c r="L13" s="9"/>
      <c r="M13" s="9"/>
      <c r="N13" s="9"/>
      <c r="O13" s="9"/>
      <c r="P13" s="9"/>
      <c r="Q13" s="9"/>
      <c r="R13" s="88"/>
      <c r="S13" s="83"/>
      <c r="T13" s="185"/>
      <c r="U13" s="186"/>
    </row>
    <row r="14" spans="1:21" s="11" customFormat="1">
      <c r="A14" s="84"/>
      <c r="B14" s="85"/>
      <c r="C14" s="85"/>
      <c r="D14" s="62" t="s">
        <v>1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4"/>
      <c r="S14" s="4"/>
      <c r="T14" s="6"/>
      <c r="U14" s="23"/>
    </row>
    <row r="15" spans="1:21" s="11" customFormat="1">
      <c r="A15" s="111"/>
      <c r="U15" s="61"/>
    </row>
    <row r="16" spans="1:21" s="11" customFormat="1">
      <c r="A16" s="111"/>
      <c r="U16" s="61"/>
    </row>
    <row r="17" spans="1:21" s="11" customFormat="1">
      <c r="A17" s="111"/>
      <c r="U17" s="61"/>
    </row>
    <row r="18" spans="1:21" s="11" customFormat="1">
      <c r="A18" s="116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3:U13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R29"/>
  <sheetViews>
    <sheetView topLeftCell="J1" zoomScale="85" zoomScaleNormal="85" zoomScaleSheetLayoutView="85" workbookViewId="0"/>
  </sheetViews>
  <sheetFormatPr defaultColWidth="9" defaultRowHeight="13"/>
  <cols>
    <col min="1" max="1" width="4.81640625" style="63" customWidth="1"/>
    <col min="2" max="2" width="2.6328125" style="63" bestFit="1" customWidth="1"/>
    <col min="3" max="3" width="3.36328125" style="63" customWidth="1"/>
    <col min="4" max="4" width="27.1796875" style="62" bestFit="1" customWidth="1"/>
    <col min="5" max="5" width="25.6328125" style="62" customWidth="1"/>
    <col min="6" max="6" width="7.453125" style="63" bestFit="1" customWidth="1"/>
    <col min="7" max="7" width="30.81640625" style="63" customWidth="1"/>
    <col min="8" max="8" width="44.6328125" style="63" customWidth="1"/>
    <col min="9" max="10" width="15.81640625" style="63" customWidth="1"/>
    <col min="11" max="11" width="19.36328125" style="63" bestFit="1" customWidth="1"/>
    <col min="12" max="12" width="18.36328125" style="63" bestFit="1" customWidth="1"/>
    <col min="13" max="13" width="12.81640625" style="63" bestFit="1" customWidth="1"/>
    <col min="14" max="14" width="50.6328125" style="63" customWidth="1"/>
    <col min="15" max="15" width="30.81640625" style="63" customWidth="1"/>
    <col min="16" max="16" width="18.36328125" style="63" bestFit="1" customWidth="1"/>
    <col min="17" max="17" width="15.81640625" style="62" customWidth="1"/>
    <col min="18" max="18" width="27.1796875" style="62" bestFit="1" customWidth="1"/>
    <col min="19" max="19" width="20.453125" style="62" bestFit="1" customWidth="1"/>
    <col min="20" max="20" width="9" style="62"/>
    <col min="21" max="21" width="13.90625" style="62" bestFit="1" customWidth="1"/>
    <col min="22" max="16384" width="9" style="62"/>
  </cols>
  <sheetData>
    <row r="1" spans="1:18" s="11" customFormat="1">
      <c r="A1" s="107" t="s">
        <v>16</v>
      </c>
      <c r="B1" s="107" t="s">
        <v>16</v>
      </c>
      <c r="C1" s="10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2"/>
    </row>
    <row r="2" spans="1:18" s="11" customFormat="1" ht="40" customHeight="1">
      <c r="A2" s="108" t="s">
        <v>16</v>
      </c>
      <c r="B2" s="109"/>
      <c r="C2" s="109"/>
      <c r="D2" s="119" t="s">
        <v>268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MABSL0160</v>
      </c>
      <c r="I2" s="7" t="s">
        <v>216</v>
      </c>
      <c r="J2" s="9" t="s">
        <v>143</v>
      </c>
      <c r="K2" s="7" t="s">
        <v>29</v>
      </c>
      <c r="L2" s="110" t="str">
        <f>IF(LogicCommon!G2="","",LogicCommon!G2)</f>
        <v>MC</v>
      </c>
      <c r="M2" s="5" t="s">
        <v>217</v>
      </c>
      <c r="N2" s="28" t="s">
        <v>261</v>
      </c>
      <c r="O2" s="7"/>
      <c r="P2" s="7"/>
      <c r="Q2" s="4"/>
      <c r="R2" s="62"/>
    </row>
    <row r="3" spans="1:18" s="11" customFormat="1">
      <c r="A3" s="111" t="s">
        <v>16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MABSL_InspPointReg</v>
      </c>
      <c r="I3" s="7" t="s">
        <v>218</v>
      </c>
      <c r="J3" s="9" t="s">
        <v>120</v>
      </c>
      <c r="K3" s="7" t="s">
        <v>45</v>
      </c>
      <c r="L3" s="110" t="str">
        <f>IF(LogicCommon!G3="","",LogicCommon!G3)</f>
        <v/>
      </c>
      <c r="M3" s="114" t="s">
        <v>119</v>
      </c>
      <c r="N3" s="7"/>
      <c r="O3" s="7" t="s">
        <v>219</v>
      </c>
      <c r="P3" s="9" t="s">
        <v>32</v>
      </c>
      <c r="Q3" s="4"/>
      <c r="R3" s="62"/>
    </row>
    <row r="4" spans="1:18" s="11" customFormat="1">
      <c r="A4" s="111" t="s">
        <v>16</v>
      </c>
      <c r="B4" s="112"/>
      <c r="C4" s="112"/>
      <c r="D4" s="4"/>
      <c r="E4" s="7" t="s">
        <v>8</v>
      </c>
      <c r="F4" s="10" t="s">
        <v>215</v>
      </c>
      <c r="G4" s="7" t="s">
        <v>11</v>
      </c>
      <c r="H4" s="110" t="str">
        <f>IF(LogicCommon!E4="","",LogicCommon!E4)</f>
        <v>検査項目マスタ登録</v>
      </c>
      <c r="I4" s="7" t="s">
        <v>112</v>
      </c>
      <c r="J4" s="9" t="s">
        <v>193</v>
      </c>
      <c r="K4" s="7" t="s">
        <v>5</v>
      </c>
      <c r="L4" s="110" t="str">
        <f>IF(LogicCommon!G4="","",LogicCommon!G4)</f>
        <v>MA.MAUDL5010</v>
      </c>
      <c r="M4" s="115"/>
      <c r="N4" s="28"/>
      <c r="O4" s="14"/>
      <c r="P4" s="4"/>
      <c r="Q4" s="4"/>
      <c r="R4" s="62"/>
    </row>
    <row r="5" spans="1:18" s="11" customFormat="1">
      <c r="A5" s="116" t="s">
        <v>16</v>
      </c>
      <c r="B5" s="107"/>
      <c r="C5" s="107"/>
      <c r="D5" s="26"/>
      <c r="E5" s="7" t="s">
        <v>220</v>
      </c>
      <c r="F5" s="10"/>
      <c r="G5" s="117"/>
      <c r="H5" s="117"/>
      <c r="I5" s="117"/>
      <c r="J5" s="117"/>
      <c r="K5" s="117"/>
      <c r="L5" s="6"/>
      <c r="M5" s="5"/>
      <c r="N5" s="5"/>
      <c r="O5" s="14"/>
      <c r="P5" s="4"/>
      <c r="Q5" s="4"/>
      <c r="R5" s="62"/>
    </row>
    <row r="6" spans="1:18" s="11" customFormat="1">
      <c r="A6" s="111" t="s">
        <v>16</v>
      </c>
      <c r="B6" s="112"/>
      <c r="C6" s="112"/>
      <c r="D6" s="4" t="s">
        <v>6</v>
      </c>
      <c r="E6" s="16" t="s">
        <v>194</v>
      </c>
      <c r="F6" s="16"/>
      <c r="G6" s="16"/>
      <c r="H6" s="16"/>
      <c r="I6" s="16"/>
      <c r="J6" s="16"/>
      <c r="K6" s="16"/>
      <c r="L6" s="118" t="s">
        <v>35</v>
      </c>
      <c r="M6" s="19"/>
      <c r="N6" s="19" t="s">
        <v>35</v>
      </c>
      <c r="O6" s="19"/>
      <c r="P6" s="19"/>
      <c r="Q6" s="19"/>
      <c r="R6" s="62"/>
    </row>
    <row r="7" spans="1:18" s="11" customFormat="1">
      <c r="A7" s="64" t="s">
        <v>109</v>
      </c>
      <c r="B7" s="64"/>
      <c r="C7" s="64"/>
      <c r="D7" s="65"/>
      <c r="E7" s="65"/>
      <c r="F7" s="65"/>
      <c r="G7" s="65"/>
      <c r="H7" s="65"/>
      <c r="I7" s="65" t="s">
        <v>111</v>
      </c>
      <c r="J7" s="65"/>
      <c r="K7" s="66" t="s">
        <v>118</v>
      </c>
      <c r="L7" s="67" t="s">
        <v>124</v>
      </c>
      <c r="M7" s="66" t="s">
        <v>118</v>
      </c>
      <c r="N7" s="67" t="s">
        <v>123</v>
      </c>
      <c r="O7" s="63"/>
      <c r="P7" s="63"/>
      <c r="Q7" s="63"/>
      <c r="R7" s="63"/>
    </row>
    <row r="8" spans="1:18" s="11" customFormat="1" ht="60" customHeight="1">
      <c r="A8" s="54" t="s">
        <v>18</v>
      </c>
      <c r="B8" s="122"/>
      <c r="C8" s="123"/>
      <c r="D8" s="120" t="s">
        <v>269</v>
      </c>
      <c r="E8" s="120" t="s">
        <v>270</v>
      </c>
      <c r="F8" s="118"/>
      <c r="G8" s="120" t="s">
        <v>229</v>
      </c>
      <c r="H8" s="120" t="s">
        <v>271</v>
      </c>
      <c r="I8" s="118"/>
      <c r="J8" s="3"/>
      <c r="K8" s="66" t="s">
        <v>115</v>
      </c>
      <c r="L8" s="68" t="s">
        <v>263</v>
      </c>
      <c r="M8" s="66" t="s">
        <v>115</v>
      </c>
      <c r="N8" s="68" t="s">
        <v>153</v>
      </c>
      <c r="O8" s="131"/>
      <c r="P8" s="132"/>
      <c r="Q8" s="133" t="s">
        <v>272</v>
      </c>
      <c r="R8" s="83"/>
    </row>
    <row r="9" spans="1:18" s="11" customFormat="1" ht="60" customHeight="1">
      <c r="A9" s="9" t="s">
        <v>18</v>
      </c>
      <c r="B9" s="37"/>
      <c r="C9" s="38"/>
      <c r="D9" s="120" t="s">
        <v>273</v>
      </c>
      <c r="E9" s="128" t="s">
        <v>274</v>
      </c>
      <c r="F9" s="120" t="s">
        <v>275</v>
      </c>
      <c r="G9" s="120" t="s">
        <v>276</v>
      </c>
      <c r="H9" s="120" t="s">
        <v>277</v>
      </c>
      <c r="I9" s="129" t="s">
        <v>278</v>
      </c>
      <c r="J9" s="120" t="s">
        <v>279</v>
      </c>
      <c r="K9" s="66"/>
      <c r="L9" s="66"/>
      <c r="M9" s="66"/>
      <c r="N9" s="66"/>
      <c r="O9" s="133" t="s">
        <v>280</v>
      </c>
      <c r="P9" s="83"/>
      <c r="Q9" s="133" t="s">
        <v>281</v>
      </c>
      <c r="R9" s="83"/>
    </row>
    <row r="10" spans="1:18" s="11" customFormat="1" ht="52">
      <c r="A10" s="71" t="s">
        <v>18</v>
      </c>
      <c r="B10" s="72"/>
      <c r="C10" s="72"/>
      <c r="D10" s="73"/>
      <c r="E10" s="74"/>
      <c r="F10" s="74"/>
      <c r="G10" s="75"/>
      <c r="H10" s="75"/>
      <c r="I10" s="74"/>
      <c r="J10" s="74"/>
      <c r="K10" s="130" t="s">
        <v>278</v>
      </c>
      <c r="L10" s="130" t="s">
        <v>279</v>
      </c>
      <c r="M10" s="130" t="s">
        <v>278</v>
      </c>
      <c r="N10" s="130" t="s">
        <v>279</v>
      </c>
      <c r="O10" s="74"/>
      <c r="P10" s="74"/>
      <c r="Q10" s="75"/>
      <c r="R10" s="70"/>
    </row>
    <row r="11" spans="1:18" s="11" customFormat="1">
      <c r="A11" s="9">
        <v>10</v>
      </c>
      <c r="B11" s="37" t="s">
        <v>0</v>
      </c>
      <c r="C11" s="38"/>
      <c r="D11" s="28" t="s">
        <v>144</v>
      </c>
      <c r="E11" s="76" t="s">
        <v>79</v>
      </c>
      <c r="F11" s="77"/>
      <c r="G11" s="28" t="s">
        <v>98</v>
      </c>
      <c r="H11" s="78" t="s">
        <v>235</v>
      </c>
      <c r="I11" s="79"/>
      <c r="J11" s="80"/>
      <c r="K11" s="81" t="s">
        <v>231</v>
      </c>
      <c r="L11" s="81"/>
      <c r="M11" s="81" t="s">
        <v>231</v>
      </c>
      <c r="N11" s="81"/>
      <c r="O11" s="69"/>
      <c r="P11" s="70"/>
      <c r="Q11" s="106"/>
      <c r="R11" s="82"/>
    </row>
    <row r="12" spans="1:18" s="11" customFormat="1">
      <c r="A12" s="9">
        <v>10</v>
      </c>
      <c r="B12" s="9"/>
      <c r="C12" s="9"/>
      <c r="D12" s="9" t="s">
        <v>154</v>
      </c>
      <c r="E12" s="54" t="s">
        <v>151</v>
      </c>
      <c r="F12" s="54"/>
      <c r="G12" s="55" t="s">
        <v>282</v>
      </c>
      <c r="H12" s="55" t="s">
        <v>199</v>
      </c>
      <c r="I12" s="9" t="s">
        <v>33</v>
      </c>
      <c r="J12" s="9"/>
      <c r="K12" s="9" t="s">
        <v>33</v>
      </c>
      <c r="L12" s="9"/>
      <c r="M12" s="9" t="s">
        <v>221</v>
      </c>
      <c r="N12" s="9"/>
      <c r="O12" s="88"/>
      <c r="P12" s="83"/>
      <c r="Q12" s="185"/>
      <c r="R12" s="186"/>
    </row>
    <row r="13" spans="1:18" s="11" customFormat="1">
      <c r="A13" s="9">
        <v>10</v>
      </c>
      <c r="B13" s="9"/>
      <c r="C13" s="9"/>
      <c r="D13" s="9" t="s">
        <v>93</v>
      </c>
      <c r="E13" s="54" t="s">
        <v>94</v>
      </c>
      <c r="F13" s="54"/>
      <c r="G13" s="55" t="s">
        <v>291</v>
      </c>
      <c r="H13" s="55" t="s">
        <v>232</v>
      </c>
      <c r="I13" s="9" t="s">
        <v>33</v>
      </c>
      <c r="J13" s="9"/>
      <c r="K13" s="9" t="s">
        <v>33</v>
      </c>
      <c r="L13" s="9"/>
      <c r="M13" s="9"/>
      <c r="N13" s="9"/>
      <c r="O13" s="69"/>
      <c r="P13" s="70"/>
      <c r="Q13" s="106"/>
      <c r="R13" s="82"/>
    </row>
    <row r="14" spans="1:18" s="11" customFormat="1">
      <c r="A14" s="84"/>
      <c r="B14" s="85"/>
      <c r="C14" s="85"/>
      <c r="D14" s="62" t="s">
        <v>1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4"/>
      <c r="P14" s="4"/>
      <c r="Q14" s="6"/>
      <c r="R14" s="23"/>
    </row>
    <row r="15" spans="1:18" s="11" customFormat="1">
      <c r="A15" s="111"/>
      <c r="R15" s="61"/>
    </row>
    <row r="16" spans="1:18" s="11" customFormat="1">
      <c r="A16" s="111"/>
      <c r="R16" s="61"/>
    </row>
    <row r="17" spans="1:18" s="11" customFormat="1">
      <c r="A17" s="111"/>
      <c r="R17" s="61"/>
    </row>
    <row r="18" spans="1:18" s="11" customFormat="1">
      <c r="A18" s="111"/>
      <c r="R18" s="61"/>
    </row>
    <row r="19" spans="1:18" s="11" customFormat="1">
      <c r="A19" s="111"/>
      <c r="R19" s="61"/>
    </row>
    <row r="20" spans="1:18" s="11" customFormat="1">
      <c r="A20" s="111"/>
      <c r="R20" s="61"/>
    </row>
    <row r="21" spans="1:18" s="11" customFormat="1">
      <c r="A21" s="111"/>
      <c r="R21" s="61"/>
    </row>
    <row r="22" spans="1:18" s="11" customFormat="1">
      <c r="A22" s="111"/>
      <c r="R22" s="61"/>
    </row>
    <row r="23" spans="1:18" s="11" customFormat="1">
      <c r="A23" s="111"/>
      <c r="R23" s="61"/>
    </row>
    <row r="24" spans="1:18" s="11" customFormat="1">
      <c r="A24" s="111"/>
      <c r="R24" s="61"/>
    </row>
    <row r="25" spans="1:18" s="11" customFormat="1">
      <c r="A25" s="111"/>
      <c r="R25" s="61"/>
    </row>
    <row r="26" spans="1:18" s="11" customFormat="1">
      <c r="A26" s="111"/>
      <c r="R26" s="61"/>
    </row>
    <row r="27" spans="1:18" s="11" customFormat="1">
      <c r="A27" s="111"/>
      <c r="R27" s="61"/>
    </row>
    <row r="28" spans="1:18" s="11" customFormat="1">
      <c r="A28" s="111"/>
      <c r="R28" s="61"/>
    </row>
    <row r="29" spans="1:18" s="11" customFormat="1">
      <c r="A29" s="116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20"/>
    </row>
  </sheetData>
  <dataConsolidate/>
  <mergeCells count="1">
    <mergeCell ref="Q12:R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85"/>
  <sheetViews>
    <sheetView topLeftCell="D16" zoomScale="85" zoomScaleNormal="85" zoomScaleSheetLayoutView="85" workbookViewId="0"/>
  </sheetViews>
  <sheetFormatPr defaultColWidth="9" defaultRowHeight="13"/>
  <cols>
    <col min="1" max="1" width="4.81640625" style="63" customWidth="1"/>
    <col min="2" max="2" width="2.6328125" style="63" bestFit="1" customWidth="1"/>
    <col min="3" max="3" width="3.1796875" style="63" customWidth="1"/>
    <col min="4" max="4" width="27.1796875" style="62" bestFit="1" customWidth="1"/>
    <col min="5" max="5" width="25.6328125" style="62" customWidth="1"/>
    <col min="6" max="6" width="7.453125" style="63" bestFit="1" customWidth="1"/>
    <col min="7" max="7" width="30.81640625" style="63" customWidth="1"/>
    <col min="8" max="8" width="25.81640625" style="63" customWidth="1"/>
    <col min="9" max="10" width="15.81640625" style="63" customWidth="1"/>
    <col min="11" max="11" width="19.36328125" style="63" bestFit="1" customWidth="1"/>
    <col min="12" max="12" width="18.36328125" style="63" bestFit="1" customWidth="1"/>
    <col min="13" max="13" width="19.36328125" style="63" bestFit="1" customWidth="1"/>
    <col min="14" max="14" width="50.6328125" style="63" customWidth="1"/>
    <col min="15" max="15" width="20.453125" style="63" bestFit="1" customWidth="1"/>
    <col min="16" max="16" width="30.81640625" style="63" customWidth="1"/>
    <col min="17" max="17" width="13.90625" style="63" bestFit="1" customWidth="1"/>
    <col min="18" max="18" width="15.81640625" style="63" customWidth="1"/>
    <col min="19" max="19" width="16.453125" style="63" customWidth="1"/>
    <col min="20" max="20" width="19.90625" style="63" customWidth="1"/>
    <col min="21" max="22" width="17.1796875" style="62" customWidth="1"/>
    <col min="23" max="16384" width="9" style="62"/>
  </cols>
  <sheetData>
    <row r="1" spans="1:19" s="11" customFormat="1">
      <c r="A1" s="107" t="s">
        <v>16</v>
      </c>
      <c r="B1" s="107" t="s">
        <v>16</v>
      </c>
      <c r="C1" s="10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108" t="s">
        <v>16</v>
      </c>
      <c r="B2" s="109"/>
      <c r="C2" s="109"/>
      <c r="D2" s="119" t="s">
        <v>268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MABSL0160</v>
      </c>
      <c r="I2" s="7" t="s">
        <v>216</v>
      </c>
      <c r="J2" s="9" t="s">
        <v>127</v>
      </c>
      <c r="K2" s="7" t="s">
        <v>29</v>
      </c>
      <c r="L2" s="110" t="str">
        <f>IF(LogicCommon!G2="","",LogicCommon!G2)</f>
        <v>MC</v>
      </c>
      <c r="M2" s="5" t="s">
        <v>217</v>
      </c>
      <c r="N2" s="28" t="s">
        <v>262</v>
      </c>
      <c r="O2" s="7"/>
      <c r="P2" s="7"/>
      <c r="Q2" s="4"/>
      <c r="R2" s="4"/>
      <c r="S2" s="4"/>
    </row>
    <row r="3" spans="1:19" s="11" customFormat="1">
      <c r="A3" s="111" t="s">
        <v>16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MABSL_InspPointReg</v>
      </c>
      <c r="I3" s="7" t="s">
        <v>218</v>
      </c>
      <c r="J3" s="9" t="s">
        <v>30</v>
      </c>
      <c r="K3" s="7" t="s">
        <v>45</v>
      </c>
      <c r="L3" s="110" t="str">
        <f>IF(LogicCommon!G3="","",LogicCommon!G3)</f>
        <v/>
      </c>
      <c r="M3" s="114" t="s">
        <v>31</v>
      </c>
      <c r="N3" s="7"/>
      <c r="O3" s="7" t="s">
        <v>219</v>
      </c>
      <c r="P3" s="9" t="s">
        <v>32</v>
      </c>
      <c r="Q3" s="4"/>
      <c r="R3" s="4"/>
      <c r="S3" s="4"/>
    </row>
    <row r="4" spans="1:19" s="11" customFormat="1">
      <c r="A4" s="111" t="s">
        <v>16</v>
      </c>
      <c r="B4" s="112"/>
      <c r="C4" s="112"/>
      <c r="D4" s="4"/>
      <c r="E4" s="7" t="s">
        <v>8</v>
      </c>
      <c r="F4" s="10" t="s">
        <v>215</v>
      </c>
      <c r="G4" s="7" t="s">
        <v>11</v>
      </c>
      <c r="H4" s="110" t="str">
        <f>IF(LogicCommon!E4="","",LogicCommon!E4)</f>
        <v>検査項目マスタ登録</v>
      </c>
      <c r="I4" s="7" t="s">
        <v>112</v>
      </c>
      <c r="J4" s="9" t="s">
        <v>2</v>
      </c>
      <c r="K4" s="7" t="s">
        <v>5</v>
      </c>
      <c r="L4" s="110" t="str">
        <f>IF(LogicCommon!G4="","",LogicCommon!G4)</f>
        <v>MA.MAUDL5010</v>
      </c>
      <c r="M4" s="115"/>
      <c r="N4" s="28"/>
      <c r="O4" s="14"/>
      <c r="P4" s="4"/>
      <c r="Q4" s="4"/>
      <c r="R4" s="4"/>
      <c r="S4" s="4"/>
    </row>
    <row r="5" spans="1:19" s="11" customFormat="1">
      <c r="A5" s="116" t="s">
        <v>16</v>
      </c>
      <c r="B5" s="107"/>
      <c r="C5" s="107"/>
      <c r="D5" s="26"/>
      <c r="E5" s="7" t="s">
        <v>220</v>
      </c>
      <c r="F5" s="10"/>
      <c r="G5" s="117"/>
      <c r="H5" s="117"/>
      <c r="I5" s="117"/>
      <c r="J5" s="117"/>
      <c r="K5" s="117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111" t="s">
        <v>16</v>
      </c>
      <c r="B6" s="112"/>
      <c r="C6" s="112"/>
      <c r="D6" s="4" t="s">
        <v>6</v>
      </c>
      <c r="E6" s="16" t="s">
        <v>195</v>
      </c>
      <c r="F6" s="16"/>
      <c r="G6" s="16"/>
      <c r="H6" s="16"/>
      <c r="I6" s="16"/>
      <c r="J6" s="16"/>
      <c r="K6" s="16"/>
      <c r="L6" s="118"/>
      <c r="M6" s="19" t="s">
        <v>35</v>
      </c>
      <c r="N6" s="19"/>
      <c r="O6" s="19" t="s">
        <v>35</v>
      </c>
      <c r="P6" s="19"/>
      <c r="Q6" s="19"/>
      <c r="R6" s="4"/>
      <c r="S6" s="4"/>
    </row>
    <row r="7" spans="1:19" s="11" customFormat="1">
      <c r="A7" s="64" t="s">
        <v>36</v>
      </c>
      <c r="B7" s="64"/>
      <c r="C7" s="64"/>
      <c r="D7" s="65"/>
      <c r="E7" s="65"/>
      <c r="F7" s="65"/>
      <c r="G7" s="65"/>
      <c r="H7" s="65"/>
      <c r="I7" s="65" t="s">
        <v>37</v>
      </c>
      <c r="J7" s="65"/>
      <c r="K7" s="67" t="s">
        <v>125</v>
      </c>
      <c r="L7" s="66" t="s">
        <v>38</v>
      </c>
      <c r="M7" s="67" t="s">
        <v>39</v>
      </c>
      <c r="N7" s="66" t="s">
        <v>38</v>
      </c>
      <c r="O7" s="67" t="s">
        <v>95</v>
      </c>
      <c r="P7" s="63"/>
      <c r="Q7" s="63"/>
      <c r="R7" s="63"/>
      <c r="S7" s="63"/>
    </row>
    <row r="8" spans="1:19" s="11" customFormat="1" ht="60" customHeight="1">
      <c r="A8" s="54" t="s">
        <v>18</v>
      </c>
      <c r="B8" s="122"/>
      <c r="C8" s="123"/>
      <c r="D8" s="120" t="s">
        <v>269</v>
      </c>
      <c r="E8" s="120" t="s">
        <v>270</v>
      </c>
      <c r="F8" s="118"/>
      <c r="G8" s="120" t="s">
        <v>229</v>
      </c>
      <c r="H8" s="120" t="s">
        <v>271</v>
      </c>
      <c r="I8" s="118"/>
      <c r="J8" s="3"/>
      <c r="K8" s="68" t="s">
        <v>126</v>
      </c>
      <c r="L8" s="66" t="s">
        <v>17</v>
      </c>
      <c r="M8" s="68" t="s">
        <v>263</v>
      </c>
      <c r="N8" s="66" t="s">
        <v>17</v>
      </c>
      <c r="O8" s="68" t="s">
        <v>181</v>
      </c>
      <c r="P8" s="131"/>
      <c r="Q8" s="132"/>
      <c r="R8" s="133" t="s">
        <v>272</v>
      </c>
      <c r="S8" s="83"/>
    </row>
    <row r="9" spans="1:19" s="11" customFormat="1" ht="60" customHeight="1">
      <c r="A9" s="9" t="s">
        <v>18</v>
      </c>
      <c r="B9" s="37"/>
      <c r="C9" s="38"/>
      <c r="D9" s="120" t="s">
        <v>273</v>
      </c>
      <c r="E9" s="128" t="s">
        <v>274</v>
      </c>
      <c r="F9" s="120" t="s">
        <v>275</v>
      </c>
      <c r="G9" s="120" t="s">
        <v>276</v>
      </c>
      <c r="H9" s="120" t="s">
        <v>277</v>
      </c>
      <c r="I9" s="129" t="s">
        <v>278</v>
      </c>
      <c r="J9" s="120" t="s">
        <v>279</v>
      </c>
      <c r="K9" s="134"/>
      <c r="L9" s="66"/>
      <c r="M9" s="66"/>
      <c r="N9" s="66"/>
      <c r="O9" s="66"/>
      <c r="P9" s="133" t="s">
        <v>280</v>
      </c>
      <c r="Q9" s="83"/>
      <c r="R9" s="133" t="s">
        <v>281</v>
      </c>
      <c r="S9" s="83"/>
    </row>
    <row r="10" spans="1:19" s="11" customFormat="1" ht="39">
      <c r="A10" s="71" t="s">
        <v>19</v>
      </c>
      <c r="B10" s="72"/>
      <c r="C10" s="72"/>
      <c r="D10" s="73"/>
      <c r="E10" s="74"/>
      <c r="F10" s="74"/>
      <c r="G10" s="75"/>
      <c r="H10" s="75"/>
      <c r="I10" s="74"/>
      <c r="J10" s="74"/>
      <c r="K10" s="86"/>
      <c r="L10" s="130" t="s">
        <v>278</v>
      </c>
      <c r="M10" s="130" t="s">
        <v>279</v>
      </c>
      <c r="N10" s="130" t="s">
        <v>278</v>
      </c>
      <c r="O10" s="130" t="s">
        <v>279</v>
      </c>
      <c r="P10" s="74"/>
      <c r="Q10" s="74"/>
      <c r="R10" s="75"/>
      <c r="S10" s="70"/>
    </row>
    <row r="11" spans="1:19" s="11" customFormat="1">
      <c r="A11" s="9">
        <v>10</v>
      </c>
      <c r="B11" s="37" t="s">
        <v>0</v>
      </c>
      <c r="C11" s="38"/>
      <c r="D11" s="28" t="s">
        <v>20</v>
      </c>
      <c r="E11" s="76" t="s">
        <v>21</v>
      </c>
      <c r="F11" s="77"/>
      <c r="G11" s="28"/>
      <c r="H11" s="78"/>
      <c r="I11" s="79"/>
      <c r="J11" s="80"/>
      <c r="K11" s="87"/>
      <c r="L11" s="81" t="s">
        <v>21</v>
      </c>
      <c r="M11" s="81"/>
      <c r="N11" s="81"/>
      <c r="O11" s="81"/>
      <c r="P11" s="69"/>
      <c r="Q11" s="70"/>
      <c r="R11" s="106"/>
      <c r="S11" s="82"/>
    </row>
    <row r="12" spans="1:19" s="11" customFormat="1">
      <c r="A12" s="9">
        <v>10</v>
      </c>
      <c r="B12" s="9"/>
      <c r="C12" s="9"/>
      <c r="D12" s="9" t="s">
        <v>154</v>
      </c>
      <c r="E12" s="54" t="s">
        <v>151</v>
      </c>
      <c r="F12" s="54"/>
      <c r="G12" s="55" t="s">
        <v>282</v>
      </c>
      <c r="H12" s="55" t="s">
        <v>199</v>
      </c>
      <c r="I12" s="9" t="s">
        <v>33</v>
      </c>
      <c r="J12" s="9"/>
      <c r="K12" s="9"/>
      <c r="L12" s="9"/>
      <c r="M12" s="9"/>
      <c r="N12" s="9"/>
      <c r="O12" s="9"/>
      <c r="P12" s="88"/>
      <c r="Q12" s="83"/>
      <c r="R12" s="185"/>
      <c r="S12" s="186"/>
    </row>
    <row r="13" spans="1:19" s="11" customFormat="1">
      <c r="A13" s="9">
        <v>10</v>
      </c>
      <c r="B13" s="9"/>
      <c r="C13" s="9"/>
      <c r="D13" s="9" t="s">
        <v>156</v>
      </c>
      <c r="E13" s="54" t="s">
        <v>152</v>
      </c>
      <c r="F13" s="54"/>
      <c r="G13" s="55" t="s">
        <v>283</v>
      </c>
      <c r="H13" s="55" t="s">
        <v>222</v>
      </c>
      <c r="I13" s="9" t="s">
        <v>33</v>
      </c>
      <c r="J13" s="9"/>
      <c r="K13" s="9"/>
      <c r="L13" s="9"/>
      <c r="M13" s="9"/>
      <c r="N13" s="9"/>
      <c r="O13" s="9"/>
      <c r="P13" s="88"/>
      <c r="Q13" s="83"/>
      <c r="R13" s="185"/>
      <c r="S13" s="186"/>
    </row>
    <row r="14" spans="1:19" s="11" customFormat="1">
      <c r="A14" s="9">
        <v>10</v>
      </c>
      <c r="B14" s="9"/>
      <c r="C14" s="9"/>
      <c r="D14" s="9" t="s">
        <v>167</v>
      </c>
      <c r="E14" s="54" t="s">
        <v>168</v>
      </c>
      <c r="F14" s="54"/>
      <c r="G14" s="55" t="s">
        <v>284</v>
      </c>
      <c r="H14" s="55" t="s">
        <v>203</v>
      </c>
      <c r="I14" s="9" t="s">
        <v>33</v>
      </c>
      <c r="J14" s="9"/>
      <c r="K14" s="9"/>
      <c r="L14" s="9"/>
      <c r="M14" s="9"/>
      <c r="N14" s="9"/>
      <c r="O14" s="9"/>
      <c r="P14" s="88"/>
      <c r="Q14" s="83"/>
      <c r="R14" s="185"/>
      <c r="S14" s="186"/>
    </row>
    <row r="15" spans="1:19" s="11" customFormat="1">
      <c r="A15" s="9">
        <v>10</v>
      </c>
      <c r="B15" s="9"/>
      <c r="C15" s="9"/>
      <c r="D15" s="9" t="s">
        <v>85</v>
      </c>
      <c r="E15" s="54" t="s">
        <v>72</v>
      </c>
      <c r="F15" s="54"/>
      <c r="G15" s="55" t="s">
        <v>295</v>
      </c>
      <c r="H15" s="55" t="s">
        <v>236</v>
      </c>
      <c r="I15" s="9" t="s">
        <v>33</v>
      </c>
      <c r="J15" s="9"/>
      <c r="K15" s="9"/>
      <c r="L15" s="9"/>
      <c r="M15" s="9"/>
      <c r="N15" s="9"/>
      <c r="O15" s="9"/>
      <c r="P15" s="88"/>
      <c r="Q15" s="83"/>
      <c r="R15" s="185"/>
      <c r="S15" s="186"/>
    </row>
    <row r="16" spans="1:19" s="11" customFormat="1">
      <c r="A16" s="9">
        <v>10</v>
      </c>
      <c r="B16" s="9"/>
      <c r="C16" s="9"/>
      <c r="D16" s="9" t="s">
        <v>86</v>
      </c>
      <c r="E16" s="54" t="s">
        <v>61</v>
      </c>
      <c r="F16" s="54"/>
      <c r="G16" s="55" t="s">
        <v>296</v>
      </c>
      <c r="H16" s="55" t="s">
        <v>237</v>
      </c>
      <c r="I16" s="9" t="s">
        <v>33</v>
      </c>
      <c r="J16" s="9"/>
      <c r="K16" s="9"/>
      <c r="L16" s="9"/>
      <c r="M16" s="9"/>
      <c r="N16" s="9"/>
      <c r="O16" s="9"/>
      <c r="P16" s="89"/>
      <c r="Q16" s="90"/>
      <c r="R16" s="187"/>
      <c r="S16" s="186"/>
    </row>
    <row r="17" spans="1:19" s="11" customFormat="1">
      <c r="A17" s="9">
        <v>10</v>
      </c>
      <c r="B17" s="9"/>
      <c r="C17" s="9"/>
      <c r="D17" s="9" t="s">
        <v>47</v>
      </c>
      <c r="E17" s="54" t="s">
        <v>49</v>
      </c>
      <c r="F17" s="54"/>
      <c r="G17" s="55" t="s">
        <v>287</v>
      </c>
      <c r="H17" s="55" t="s">
        <v>226</v>
      </c>
      <c r="I17" s="9" t="s">
        <v>33</v>
      </c>
      <c r="J17" s="9"/>
      <c r="K17" s="9"/>
      <c r="L17" s="9"/>
      <c r="M17" s="9"/>
      <c r="N17" s="9"/>
      <c r="O17" s="9"/>
      <c r="P17" s="88"/>
      <c r="Q17" s="83"/>
      <c r="R17" s="185"/>
      <c r="S17" s="186"/>
    </row>
    <row r="18" spans="1:19" s="11" customFormat="1">
      <c r="A18" s="9">
        <v>10</v>
      </c>
      <c r="B18" s="9"/>
      <c r="C18" s="9"/>
      <c r="D18" s="9" t="s">
        <v>208</v>
      </c>
      <c r="E18" s="54" t="s">
        <v>209</v>
      </c>
      <c r="F18" s="54"/>
      <c r="G18" s="55" t="s">
        <v>288</v>
      </c>
      <c r="H18" s="55" t="s">
        <v>50</v>
      </c>
      <c r="I18" s="9" t="s">
        <v>33</v>
      </c>
      <c r="J18" s="9"/>
      <c r="K18" s="9"/>
      <c r="L18" s="9"/>
      <c r="M18" s="9"/>
      <c r="N18" s="9"/>
      <c r="O18" s="9"/>
      <c r="P18" s="89"/>
      <c r="Q18" s="90"/>
      <c r="R18" s="187"/>
      <c r="S18" s="186"/>
    </row>
    <row r="19" spans="1:19" s="11" customFormat="1">
      <c r="A19" s="9">
        <v>10</v>
      </c>
      <c r="B19" s="9"/>
      <c r="C19" s="9"/>
      <c r="D19" s="9" t="s">
        <v>52</v>
      </c>
      <c r="E19" s="54" t="s">
        <v>54</v>
      </c>
      <c r="F19" s="54"/>
      <c r="G19" s="55" t="s">
        <v>289</v>
      </c>
      <c r="H19" s="55" t="s">
        <v>202</v>
      </c>
      <c r="I19" s="9" t="s">
        <v>33</v>
      </c>
      <c r="J19" s="9"/>
      <c r="K19" s="9"/>
      <c r="L19" s="9"/>
      <c r="M19" s="9"/>
      <c r="N19" s="9"/>
      <c r="O19" s="9"/>
      <c r="P19" s="89"/>
      <c r="Q19" s="90"/>
      <c r="R19" s="187"/>
      <c r="S19" s="186"/>
    </row>
    <row r="20" spans="1:19" s="11" customFormat="1">
      <c r="A20" s="111"/>
      <c r="S20" s="61"/>
    </row>
    <row r="21" spans="1:19" s="11" customFormat="1">
      <c r="A21" s="9">
        <v>20</v>
      </c>
      <c r="B21" s="37" t="s">
        <v>0</v>
      </c>
      <c r="C21" s="38"/>
      <c r="D21" s="28" t="s">
        <v>210</v>
      </c>
      <c r="E21" s="76" t="s">
        <v>34</v>
      </c>
      <c r="F21" s="91"/>
      <c r="G21" s="28"/>
      <c r="H21" s="78"/>
      <c r="I21" s="92"/>
      <c r="J21" s="93"/>
      <c r="K21" s="93"/>
      <c r="L21" s="81"/>
      <c r="M21" s="81" t="s">
        <v>22</v>
      </c>
      <c r="N21" s="81"/>
      <c r="O21" s="81"/>
      <c r="P21" s="69"/>
      <c r="Q21" s="70"/>
      <c r="R21" s="106"/>
      <c r="S21" s="82"/>
    </row>
    <row r="22" spans="1:19" s="11" customFormat="1">
      <c r="A22" s="9">
        <v>20</v>
      </c>
      <c r="B22" s="9"/>
      <c r="C22" s="9"/>
      <c r="D22" s="9" t="s">
        <v>87</v>
      </c>
      <c r="E22" s="54" t="s">
        <v>61</v>
      </c>
      <c r="F22" s="54"/>
      <c r="G22" s="55" t="s">
        <v>290</v>
      </c>
      <c r="H22" s="55" t="s">
        <v>227</v>
      </c>
      <c r="I22" s="9"/>
      <c r="J22" s="9" t="s">
        <v>33</v>
      </c>
      <c r="K22" s="9"/>
      <c r="L22" s="9"/>
      <c r="M22" s="9" t="s">
        <v>33</v>
      </c>
      <c r="N22" s="9"/>
      <c r="O22" s="9"/>
      <c r="P22" s="88"/>
      <c r="Q22" s="83"/>
      <c r="R22" s="185"/>
      <c r="S22" s="186"/>
    </row>
    <row r="23" spans="1:19" s="11" customFormat="1">
      <c r="A23" s="9">
        <v>20</v>
      </c>
      <c r="B23" s="9"/>
      <c r="C23" s="9"/>
      <c r="D23" s="9" t="s">
        <v>154</v>
      </c>
      <c r="E23" s="54" t="s">
        <v>151</v>
      </c>
      <c r="F23" s="54"/>
      <c r="G23" s="55" t="s">
        <v>282</v>
      </c>
      <c r="H23" s="55" t="s">
        <v>199</v>
      </c>
      <c r="I23" s="9"/>
      <c r="J23" s="9" t="s">
        <v>33</v>
      </c>
      <c r="K23" s="9"/>
      <c r="L23" s="9"/>
      <c r="M23" s="9" t="s">
        <v>33</v>
      </c>
      <c r="N23" s="9"/>
      <c r="O23" s="9"/>
      <c r="P23" s="88"/>
      <c r="Q23" s="83"/>
      <c r="R23" s="185"/>
      <c r="S23" s="186"/>
    </row>
    <row r="24" spans="1:19" s="11" customFormat="1">
      <c r="A24" s="9">
        <v>20</v>
      </c>
      <c r="B24" s="9"/>
      <c r="C24" s="9"/>
      <c r="D24" s="9" t="s">
        <v>265</v>
      </c>
      <c r="E24" s="54" t="s">
        <v>152</v>
      </c>
      <c r="F24" s="54"/>
      <c r="G24" s="55" t="s">
        <v>283</v>
      </c>
      <c r="H24" s="55" t="s">
        <v>222</v>
      </c>
      <c r="I24" s="9"/>
      <c r="J24" s="9" t="s">
        <v>33</v>
      </c>
      <c r="K24" s="9"/>
      <c r="L24" s="9"/>
      <c r="M24" s="9" t="s">
        <v>267</v>
      </c>
      <c r="N24" s="9"/>
      <c r="O24" s="9"/>
      <c r="P24" s="88"/>
      <c r="Q24" s="83"/>
      <c r="R24" s="185"/>
      <c r="S24" s="186"/>
    </row>
    <row r="25" spans="1:19" s="11" customFormat="1" ht="26">
      <c r="A25" s="9">
        <v>20</v>
      </c>
      <c r="B25" s="9"/>
      <c r="C25" s="9"/>
      <c r="D25" s="9" t="s">
        <v>155</v>
      </c>
      <c r="E25" s="54" t="s">
        <v>152</v>
      </c>
      <c r="F25" s="54"/>
      <c r="G25" s="55" t="s">
        <v>297</v>
      </c>
      <c r="H25" s="55" t="s">
        <v>238</v>
      </c>
      <c r="I25" s="9"/>
      <c r="J25" s="9" t="s">
        <v>33</v>
      </c>
      <c r="K25" s="9"/>
      <c r="L25" s="9"/>
      <c r="M25" s="9" t="s">
        <v>266</v>
      </c>
      <c r="N25" s="9"/>
      <c r="O25" s="9"/>
      <c r="P25" s="88"/>
      <c r="Q25" s="83"/>
      <c r="R25" s="185"/>
      <c r="S25" s="186"/>
    </row>
    <row r="26" spans="1:19" s="11" customFormat="1">
      <c r="A26" s="9">
        <v>20</v>
      </c>
      <c r="B26" s="9"/>
      <c r="C26" s="9"/>
      <c r="D26" s="9" t="s">
        <v>169</v>
      </c>
      <c r="E26" s="54" t="s">
        <v>174</v>
      </c>
      <c r="F26" s="54"/>
      <c r="G26" s="55" t="s">
        <v>284</v>
      </c>
      <c r="H26" s="55" t="s">
        <v>203</v>
      </c>
      <c r="I26" s="9"/>
      <c r="J26" s="9" t="s">
        <v>33</v>
      </c>
      <c r="K26" s="9" t="s">
        <v>239</v>
      </c>
      <c r="L26" s="9"/>
      <c r="M26" s="9" t="s">
        <v>33</v>
      </c>
      <c r="N26" s="9"/>
      <c r="O26" s="9"/>
      <c r="P26" s="88"/>
      <c r="Q26" s="83"/>
      <c r="R26" s="185"/>
      <c r="S26" s="186"/>
    </row>
    <row r="27" spans="1:19" s="11" customFormat="1" ht="26">
      <c r="A27" s="9">
        <v>20</v>
      </c>
      <c r="B27" s="9"/>
      <c r="C27" s="9"/>
      <c r="D27" s="9" t="s">
        <v>170</v>
      </c>
      <c r="E27" s="54" t="s">
        <v>175</v>
      </c>
      <c r="F27" s="54"/>
      <c r="G27" s="55" t="s">
        <v>298</v>
      </c>
      <c r="H27" s="55" t="s">
        <v>240</v>
      </c>
      <c r="I27" s="9"/>
      <c r="J27" s="9" t="s">
        <v>33</v>
      </c>
      <c r="K27" s="9"/>
      <c r="L27" s="9"/>
      <c r="M27" s="9"/>
      <c r="N27" s="9"/>
      <c r="O27" s="9"/>
      <c r="P27" s="88"/>
      <c r="Q27" s="83"/>
      <c r="R27" s="185"/>
      <c r="S27" s="186"/>
    </row>
    <row r="28" spans="1:19" s="11" customFormat="1">
      <c r="A28" s="9">
        <v>20</v>
      </c>
      <c r="B28" s="9"/>
      <c r="C28" s="9"/>
      <c r="D28" s="9" t="s">
        <v>171</v>
      </c>
      <c r="E28" s="54" t="s">
        <v>176</v>
      </c>
      <c r="F28" s="54"/>
      <c r="G28" s="55" t="s">
        <v>285</v>
      </c>
      <c r="H28" s="55" t="s">
        <v>241</v>
      </c>
      <c r="I28" s="9"/>
      <c r="J28" s="9" t="s">
        <v>33</v>
      </c>
      <c r="K28" s="9"/>
      <c r="L28" s="9"/>
      <c r="M28" s="9" t="s">
        <v>33</v>
      </c>
      <c r="N28" s="9"/>
      <c r="O28" s="9"/>
      <c r="P28" s="88"/>
      <c r="Q28" s="83"/>
      <c r="R28" s="185"/>
      <c r="S28" s="186"/>
    </row>
    <row r="29" spans="1:19" s="11" customFormat="1">
      <c r="A29" s="9">
        <v>20</v>
      </c>
      <c r="B29" s="9"/>
      <c r="C29" s="9"/>
      <c r="D29" s="9" t="s">
        <v>172</v>
      </c>
      <c r="E29" s="54" t="s">
        <v>177</v>
      </c>
      <c r="F29" s="54"/>
      <c r="G29" s="55" t="s">
        <v>299</v>
      </c>
      <c r="H29" s="55" t="s">
        <v>242</v>
      </c>
      <c r="I29" s="9"/>
      <c r="J29" s="9" t="s">
        <v>33</v>
      </c>
      <c r="K29" s="9"/>
      <c r="L29" s="9"/>
      <c r="M29" s="9" t="s">
        <v>33</v>
      </c>
      <c r="N29" s="9"/>
      <c r="O29" s="9"/>
      <c r="P29" s="88"/>
      <c r="Q29" s="83"/>
      <c r="R29" s="185"/>
      <c r="S29" s="186"/>
    </row>
    <row r="30" spans="1:19" s="11" customFormat="1">
      <c r="A30" s="9">
        <v>20</v>
      </c>
      <c r="B30" s="9"/>
      <c r="C30" s="9"/>
      <c r="D30" s="9" t="s">
        <v>173</v>
      </c>
      <c r="E30" s="54" t="s">
        <v>60</v>
      </c>
      <c r="F30" s="54"/>
      <c r="G30" s="55" t="s">
        <v>286</v>
      </c>
      <c r="H30" s="55" t="s">
        <v>225</v>
      </c>
      <c r="I30" s="9"/>
      <c r="J30" s="9" t="s">
        <v>33</v>
      </c>
      <c r="K30" s="9"/>
      <c r="L30" s="9"/>
      <c r="M30" s="9" t="s">
        <v>33</v>
      </c>
      <c r="N30" s="9"/>
      <c r="O30" s="9"/>
      <c r="P30" s="88"/>
      <c r="Q30" s="83"/>
      <c r="R30" s="185"/>
      <c r="S30" s="186"/>
    </row>
    <row r="31" spans="1:19" s="11" customFormat="1">
      <c r="A31" s="9">
        <v>20</v>
      </c>
      <c r="B31" s="9"/>
      <c r="C31" s="9"/>
      <c r="D31" s="9" t="s">
        <v>46</v>
      </c>
      <c r="E31" s="54" t="s">
        <v>48</v>
      </c>
      <c r="F31" s="54"/>
      <c r="G31" s="55" t="s">
        <v>287</v>
      </c>
      <c r="H31" s="55" t="s">
        <v>226</v>
      </c>
      <c r="I31" s="9"/>
      <c r="J31" s="9" t="s">
        <v>33</v>
      </c>
      <c r="K31" s="9"/>
      <c r="L31" s="9"/>
      <c r="M31" s="9" t="s">
        <v>33</v>
      </c>
      <c r="N31" s="9"/>
      <c r="O31" s="9"/>
      <c r="P31" s="88"/>
      <c r="Q31" s="83"/>
      <c r="R31" s="185"/>
      <c r="S31" s="186"/>
    </row>
    <row r="32" spans="1:19" s="11" customFormat="1">
      <c r="A32" s="9">
        <v>20</v>
      </c>
      <c r="B32" s="9"/>
      <c r="C32" s="9"/>
      <c r="D32" s="9" t="s">
        <v>55</v>
      </c>
      <c r="E32" s="54" t="s">
        <v>56</v>
      </c>
      <c r="F32" s="54"/>
      <c r="G32" s="55" t="s">
        <v>288</v>
      </c>
      <c r="H32" s="55" t="s">
        <v>50</v>
      </c>
      <c r="I32" s="9"/>
      <c r="J32" s="9" t="s">
        <v>33</v>
      </c>
      <c r="K32" s="9"/>
      <c r="L32" s="9"/>
      <c r="M32" s="9" t="s">
        <v>33</v>
      </c>
      <c r="N32" s="9"/>
      <c r="O32" s="9"/>
      <c r="P32" s="88"/>
      <c r="Q32" s="83"/>
      <c r="R32" s="185"/>
      <c r="S32" s="186"/>
    </row>
    <row r="33" spans="1:19" s="11" customFormat="1">
      <c r="A33" s="9">
        <v>20</v>
      </c>
      <c r="B33" s="9"/>
      <c r="C33" s="9"/>
      <c r="D33" s="9" t="s">
        <v>51</v>
      </c>
      <c r="E33" s="54" t="s">
        <v>53</v>
      </c>
      <c r="F33" s="54"/>
      <c r="G33" s="55" t="s">
        <v>289</v>
      </c>
      <c r="H33" s="55" t="s">
        <v>202</v>
      </c>
      <c r="I33" s="9"/>
      <c r="J33" s="9" t="s">
        <v>33</v>
      </c>
      <c r="K33" s="9"/>
      <c r="L33" s="9"/>
      <c r="M33" s="9" t="s">
        <v>33</v>
      </c>
      <c r="N33" s="9"/>
      <c r="O33" s="9"/>
      <c r="P33" s="88"/>
      <c r="Q33" s="83"/>
      <c r="R33" s="185"/>
      <c r="S33" s="186"/>
    </row>
    <row r="34" spans="1:19" s="11" customFormat="1">
      <c r="A34" s="9">
        <v>20</v>
      </c>
      <c r="B34" s="9"/>
      <c r="C34" s="9"/>
      <c r="D34" s="9" t="s">
        <v>211</v>
      </c>
      <c r="E34" s="54" t="s">
        <v>178</v>
      </c>
      <c r="F34" s="54"/>
      <c r="G34" s="55" t="s">
        <v>300</v>
      </c>
      <c r="H34" s="55" t="s">
        <v>204</v>
      </c>
      <c r="I34" s="9"/>
      <c r="J34" s="9" t="s">
        <v>33</v>
      </c>
      <c r="K34" s="9"/>
      <c r="L34" s="9"/>
      <c r="M34" s="9" t="s">
        <v>33</v>
      </c>
      <c r="N34" s="9"/>
      <c r="O34" s="9"/>
      <c r="P34" s="88"/>
      <c r="Q34" s="83"/>
      <c r="R34" s="185"/>
      <c r="S34" s="186"/>
    </row>
    <row r="35" spans="1:19" s="11" customFormat="1">
      <c r="A35" s="9">
        <v>20</v>
      </c>
      <c r="B35" s="9"/>
      <c r="C35" s="9"/>
      <c r="D35" s="9" t="s">
        <v>40</v>
      </c>
      <c r="E35" s="54" t="s">
        <v>179</v>
      </c>
      <c r="F35" s="54"/>
      <c r="G35" s="55" t="s">
        <v>301</v>
      </c>
      <c r="H35" s="55" t="s">
        <v>57</v>
      </c>
      <c r="I35" s="9"/>
      <c r="J35" s="9" t="s">
        <v>33</v>
      </c>
      <c r="K35" s="9"/>
      <c r="L35" s="9"/>
      <c r="M35" s="9" t="s">
        <v>33</v>
      </c>
      <c r="N35" s="9"/>
      <c r="O35" s="9"/>
      <c r="P35" s="88"/>
      <c r="Q35" s="83"/>
      <c r="R35" s="185"/>
      <c r="S35" s="186"/>
    </row>
    <row r="36" spans="1:19" s="11" customFormat="1">
      <c r="A36" s="9">
        <v>20</v>
      </c>
      <c r="B36" s="9"/>
      <c r="C36" s="9"/>
      <c r="D36" s="9" t="s">
        <v>14</v>
      </c>
      <c r="E36" s="54" t="s">
        <v>59</v>
      </c>
      <c r="F36" s="54"/>
      <c r="G36" s="55" t="s">
        <v>302</v>
      </c>
      <c r="H36" s="55" t="s">
        <v>205</v>
      </c>
      <c r="I36" s="9"/>
      <c r="J36" s="9" t="s">
        <v>33</v>
      </c>
      <c r="K36" s="9"/>
      <c r="L36" s="9"/>
      <c r="M36" s="9" t="s">
        <v>33</v>
      </c>
      <c r="N36" s="9"/>
      <c r="O36" s="9"/>
      <c r="P36" s="88"/>
      <c r="Q36" s="83"/>
      <c r="R36" s="185"/>
      <c r="S36" s="186"/>
    </row>
    <row r="37" spans="1:19" s="11" customFormat="1">
      <c r="A37" s="9">
        <v>20</v>
      </c>
      <c r="B37" s="9"/>
      <c r="C37" s="9"/>
      <c r="D37" s="9" t="s">
        <v>62</v>
      </c>
      <c r="E37" s="54" t="s">
        <v>67</v>
      </c>
      <c r="F37" s="54"/>
      <c r="G37" s="55" t="s">
        <v>303</v>
      </c>
      <c r="H37" s="55" t="s">
        <v>243</v>
      </c>
      <c r="I37" s="9"/>
      <c r="J37" s="9" t="s">
        <v>33</v>
      </c>
      <c r="K37" s="9"/>
      <c r="L37" s="9"/>
      <c r="M37" s="9" t="s">
        <v>33</v>
      </c>
      <c r="N37" s="9"/>
      <c r="O37" s="9"/>
      <c r="P37" s="88"/>
      <c r="Q37" s="83"/>
      <c r="R37" s="185"/>
      <c r="S37" s="186"/>
    </row>
    <row r="38" spans="1:19" s="11" customFormat="1">
      <c r="A38" s="9">
        <v>20</v>
      </c>
      <c r="B38" s="9"/>
      <c r="C38" s="9"/>
      <c r="D38" s="9" t="s">
        <v>68</v>
      </c>
      <c r="E38" s="54" t="s">
        <v>69</v>
      </c>
      <c r="F38" s="54"/>
      <c r="G38" s="55" t="s">
        <v>304</v>
      </c>
      <c r="H38" s="55" t="s">
        <v>206</v>
      </c>
      <c r="I38" s="9"/>
      <c r="J38" s="9" t="s">
        <v>33</v>
      </c>
      <c r="K38" s="9"/>
      <c r="L38" s="9"/>
      <c r="M38" s="9"/>
      <c r="N38" s="9"/>
      <c r="O38" s="9"/>
      <c r="P38" s="88"/>
      <c r="Q38" s="83"/>
      <c r="R38" s="185"/>
      <c r="S38" s="186"/>
    </row>
    <row r="39" spans="1:19" s="11" customFormat="1">
      <c r="A39" s="9">
        <v>20</v>
      </c>
      <c r="B39" s="9"/>
      <c r="C39" s="9"/>
      <c r="D39" s="9" t="s">
        <v>91</v>
      </c>
      <c r="E39" s="54" t="s">
        <v>92</v>
      </c>
      <c r="F39" s="54"/>
      <c r="G39" s="55" t="s">
        <v>291</v>
      </c>
      <c r="H39" s="55" t="s">
        <v>232</v>
      </c>
      <c r="I39" s="9"/>
      <c r="J39" s="9" t="s">
        <v>33</v>
      </c>
      <c r="K39" s="9"/>
      <c r="L39" s="9"/>
      <c r="M39" s="9" t="s">
        <v>33</v>
      </c>
      <c r="N39" s="9"/>
      <c r="O39" s="9"/>
      <c r="P39" s="88"/>
      <c r="Q39" s="83"/>
      <c r="R39" s="185"/>
      <c r="S39" s="186"/>
    </row>
    <row r="40" spans="1:19" s="11" customFormat="1">
      <c r="A40" s="9">
        <v>20</v>
      </c>
      <c r="B40" s="9"/>
      <c r="C40" s="9"/>
      <c r="D40" s="9" t="s">
        <v>212</v>
      </c>
      <c r="E40" s="54" t="s">
        <v>178</v>
      </c>
      <c r="F40" s="54"/>
      <c r="G40" s="55" t="s">
        <v>305</v>
      </c>
      <c r="H40" s="55" t="s">
        <v>244</v>
      </c>
      <c r="I40" s="9"/>
      <c r="J40" s="9" t="s">
        <v>33</v>
      </c>
      <c r="K40" s="9"/>
      <c r="L40" s="9"/>
      <c r="M40" s="9" t="s">
        <v>33</v>
      </c>
      <c r="N40" s="9"/>
      <c r="O40" s="9"/>
      <c r="P40" s="88"/>
      <c r="Q40" s="83"/>
      <c r="R40" s="185"/>
      <c r="S40" s="186"/>
    </row>
    <row r="41" spans="1:19" s="11" customFormat="1">
      <c r="A41" s="9">
        <v>20</v>
      </c>
      <c r="B41" s="9"/>
      <c r="C41" s="9"/>
      <c r="D41" s="9" t="s">
        <v>41</v>
      </c>
      <c r="E41" s="54" t="s">
        <v>179</v>
      </c>
      <c r="F41" s="54"/>
      <c r="G41" s="55" t="s">
        <v>306</v>
      </c>
      <c r="H41" s="55" t="s">
        <v>58</v>
      </c>
      <c r="I41" s="9"/>
      <c r="J41" s="9" t="s">
        <v>33</v>
      </c>
      <c r="K41" s="9"/>
      <c r="L41" s="9"/>
      <c r="M41" s="9" t="s">
        <v>33</v>
      </c>
      <c r="N41" s="9"/>
      <c r="O41" s="9"/>
      <c r="P41" s="88"/>
      <c r="Q41" s="83"/>
      <c r="R41" s="185"/>
      <c r="S41" s="186"/>
    </row>
    <row r="42" spans="1:19" s="11" customFormat="1">
      <c r="A42" s="9">
        <v>20</v>
      </c>
      <c r="B42" s="9"/>
      <c r="C42" s="9"/>
      <c r="D42" s="9" t="s">
        <v>15</v>
      </c>
      <c r="E42" s="54" t="s">
        <v>213</v>
      </c>
      <c r="F42" s="54"/>
      <c r="G42" s="55" t="s">
        <v>307</v>
      </c>
      <c r="H42" s="55" t="s">
        <v>207</v>
      </c>
      <c r="I42" s="9"/>
      <c r="J42" s="9" t="s">
        <v>33</v>
      </c>
      <c r="K42" s="9"/>
      <c r="L42" s="9"/>
      <c r="M42" s="9" t="s">
        <v>33</v>
      </c>
      <c r="N42" s="9"/>
      <c r="O42" s="9"/>
      <c r="P42" s="88"/>
      <c r="Q42" s="83"/>
      <c r="R42" s="185"/>
      <c r="S42" s="186"/>
    </row>
    <row r="43" spans="1:19" s="11" customFormat="1">
      <c r="A43" s="9">
        <v>20</v>
      </c>
      <c r="B43" s="9"/>
      <c r="C43" s="9"/>
      <c r="D43" s="9" t="s">
        <v>63</v>
      </c>
      <c r="E43" s="54" t="s">
        <v>67</v>
      </c>
      <c r="F43" s="54"/>
      <c r="G43" s="55" t="s">
        <v>308</v>
      </c>
      <c r="H43" s="55" t="s">
        <v>64</v>
      </c>
      <c r="I43" s="9"/>
      <c r="J43" s="9" t="s">
        <v>33</v>
      </c>
      <c r="K43" s="9"/>
      <c r="L43" s="9"/>
      <c r="M43" s="9" t="s">
        <v>33</v>
      </c>
      <c r="N43" s="9"/>
      <c r="O43" s="9"/>
      <c r="P43" s="88"/>
      <c r="Q43" s="83"/>
      <c r="R43" s="185"/>
      <c r="S43" s="186"/>
    </row>
    <row r="44" spans="1:19" s="11" customFormat="1">
      <c r="A44" s="9">
        <v>20</v>
      </c>
      <c r="B44" s="9"/>
      <c r="C44" s="9"/>
      <c r="D44" s="9" t="s">
        <v>70</v>
      </c>
      <c r="E44" s="54" t="s">
        <v>69</v>
      </c>
      <c r="F44" s="54"/>
      <c r="G44" s="55" t="s">
        <v>309</v>
      </c>
      <c r="H44" s="55" t="s">
        <v>245</v>
      </c>
      <c r="I44" s="9"/>
      <c r="J44" s="9" t="s">
        <v>33</v>
      </c>
      <c r="K44" s="9"/>
      <c r="L44" s="9"/>
      <c r="M44" s="9"/>
      <c r="N44" s="9"/>
      <c r="O44" s="9"/>
      <c r="P44" s="88"/>
      <c r="Q44" s="83"/>
      <c r="R44" s="185"/>
      <c r="S44" s="186"/>
    </row>
    <row r="45" spans="1:19" s="11" customFormat="1">
      <c r="A45" s="9">
        <v>20</v>
      </c>
      <c r="B45" s="9"/>
      <c r="C45" s="9"/>
      <c r="D45" s="9" t="s">
        <v>71</v>
      </c>
      <c r="E45" s="54" t="s">
        <v>65</v>
      </c>
      <c r="F45" s="54"/>
      <c r="G45" s="55" t="s">
        <v>310</v>
      </c>
      <c r="H45" s="55" t="s">
        <v>246</v>
      </c>
      <c r="I45" s="9"/>
      <c r="J45" s="9" t="s">
        <v>33</v>
      </c>
      <c r="K45" s="9"/>
      <c r="L45" s="9"/>
      <c r="M45" s="9" t="s">
        <v>33</v>
      </c>
      <c r="N45" s="9"/>
      <c r="O45" s="9"/>
      <c r="P45" s="88"/>
      <c r="Q45" s="83"/>
      <c r="R45" s="185"/>
      <c r="S45" s="186"/>
    </row>
    <row r="46" spans="1:19" s="11" customFormat="1">
      <c r="A46" s="9">
        <v>20</v>
      </c>
      <c r="B46" s="9"/>
      <c r="C46" s="9"/>
      <c r="D46" s="9" t="s">
        <v>88</v>
      </c>
      <c r="E46" s="54" t="s">
        <v>178</v>
      </c>
      <c r="F46" s="54"/>
      <c r="G46" s="55" t="s">
        <v>311</v>
      </c>
      <c r="H46" s="55" t="s">
        <v>247</v>
      </c>
      <c r="I46" s="9"/>
      <c r="J46" s="9" t="s">
        <v>33</v>
      </c>
      <c r="K46" s="9"/>
      <c r="L46" s="9"/>
      <c r="M46" s="9" t="s">
        <v>33</v>
      </c>
      <c r="N46" s="9"/>
      <c r="O46" s="9"/>
      <c r="P46" s="88"/>
      <c r="Q46" s="83"/>
      <c r="R46" s="185"/>
      <c r="S46" s="186"/>
    </row>
    <row r="47" spans="1:19" s="11" customFormat="1">
      <c r="A47" s="9">
        <v>20</v>
      </c>
      <c r="B47" s="9"/>
      <c r="C47" s="9"/>
      <c r="D47" s="9" t="s">
        <v>89</v>
      </c>
      <c r="E47" s="54" t="s">
        <v>179</v>
      </c>
      <c r="F47" s="54"/>
      <c r="G47" s="55" t="s">
        <v>312</v>
      </c>
      <c r="H47" s="55" t="s">
        <v>248</v>
      </c>
      <c r="I47" s="9"/>
      <c r="J47" s="9" t="s">
        <v>33</v>
      </c>
      <c r="K47" s="9"/>
      <c r="L47" s="9"/>
      <c r="M47" s="9" t="s">
        <v>33</v>
      </c>
      <c r="N47" s="9"/>
      <c r="O47" s="9"/>
      <c r="P47" s="88"/>
      <c r="Q47" s="83"/>
      <c r="R47" s="185"/>
      <c r="S47" s="186"/>
    </row>
    <row r="48" spans="1:19" s="11" customFormat="1">
      <c r="A48" s="9">
        <v>20</v>
      </c>
      <c r="B48" s="9"/>
      <c r="C48" s="9"/>
      <c r="D48" s="9" t="s">
        <v>90</v>
      </c>
      <c r="E48" s="54" t="s">
        <v>66</v>
      </c>
      <c r="F48" s="54"/>
      <c r="G48" s="55" t="s">
        <v>313</v>
      </c>
      <c r="H48" s="55" t="s">
        <v>249</v>
      </c>
      <c r="I48" s="9"/>
      <c r="J48" s="9" t="s">
        <v>33</v>
      </c>
      <c r="K48" s="9"/>
      <c r="L48" s="9"/>
      <c r="M48" s="9" t="s">
        <v>33</v>
      </c>
      <c r="N48" s="9"/>
      <c r="O48" s="9"/>
      <c r="P48" s="88"/>
      <c r="Q48" s="83"/>
      <c r="R48" s="185"/>
      <c r="S48" s="186"/>
    </row>
    <row r="49" spans="1:19" s="11" customFormat="1">
      <c r="A49" s="111"/>
      <c r="S49" s="61"/>
    </row>
    <row r="50" spans="1:19" s="11" customFormat="1">
      <c r="A50" s="9">
        <v>30</v>
      </c>
      <c r="B50" s="37" t="s">
        <v>0</v>
      </c>
      <c r="C50" s="38"/>
      <c r="D50" s="28" t="s">
        <v>75</v>
      </c>
      <c r="E50" s="76" t="s">
        <v>22</v>
      </c>
      <c r="F50" s="91"/>
      <c r="G50" s="28"/>
      <c r="H50" s="78"/>
      <c r="I50" s="92"/>
      <c r="J50" s="93"/>
      <c r="K50" s="93"/>
      <c r="L50" s="81"/>
      <c r="M50" s="81"/>
      <c r="N50" s="81"/>
      <c r="O50" s="81" t="s">
        <v>22</v>
      </c>
      <c r="P50" s="69"/>
      <c r="Q50" s="70"/>
      <c r="R50" s="106"/>
      <c r="S50" s="82"/>
    </row>
    <row r="51" spans="1:19" s="11" customFormat="1">
      <c r="A51" s="9">
        <v>30</v>
      </c>
      <c r="B51" s="9"/>
      <c r="C51" s="9"/>
      <c r="D51" s="9" t="s">
        <v>154</v>
      </c>
      <c r="E51" s="54" t="s">
        <v>151</v>
      </c>
      <c r="F51" s="54"/>
      <c r="G51" s="55" t="s">
        <v>282</v>
      </c>
      <c r="H51" s="55" t="s">
        <v>199</v>
      </c>
      <c r="I51" s="9"/>
      <c r="J51" s="9" t="s">
        <v>33</v>
      </c>
      <c r="K51" s="9"/>
      <c r="L51" s="9"/>
      <c r="M51" s="9"/>
      <c r="N51" s="9"/>
      <c r="O51" s="9" t="s">
        <v>33</v>
      </c>
      <c r="P51" s="88"/>
      <c r="Q51" s="83"/>
      <c r="R51" s="185"/>
      <c r="S51" s="186"/>
    </row>
    <row r="52" spans="1:19" s="11" customFormat="1">
      <c r="A52" s="9">
        <v>30</v>
      </c>
      <c r="B52" s="9"/>
      <c r="C52" s="9"/>
      <c r="D52" s="9" t="s">
        <v>76</v>
      </c>
      <c r="E52" s="54" t="s">
        <v>77</v>
      </c>
      <c r="F52" s="54"/>
      <c r="G52" s="55" t="s">
        <v>292</v>
      </c>
      <c r="H52" s="55" t="s">
        <v>78</v>
      </c>
      <c r="I52" s="9"/>
      <c r="J52" s="9" t="s">
        <v>33</v>
      </c>
      <c r="K52" s="9"/>
      <c r="L52" s="9"/>
      <c r="M52" s="9"/>
      <c r="N52" s="9"/>
      <c r="O52" s="9" t="s">
        <v>33</v>
      </c>
      <c r="P52" s="88"/>
      <c r="Q52" s="83"/>
      <c r="R52" s="185"/>
      <c r="S52" s="186"/>
    </row>
    <row r="53" spans="1:19" s="11" customFormat="1">
      <c r="A53" s="9">
        <v>30</v>
      </c>
      <c r="B53" s="9"/>
      <c r="C53" s="9"/>
      <c r="D53" s="9" t="s">
        <v>96</v>
      </c>
      <c r="E53" s="54" t="s">
        <v>97</v>
      </c>
      <c r="F53" s="54"/>
      <c r="G53" s="55" t="s">
        <v>314</v>
      </c>
      <c r="H53" s="55" t="s">
        <v>250</v>
      </c>
      <c r="I53" s="9"/>
      <c r="J53" s="9" t="s">
        <v>33</v>
      </c>
      <c r="K53" s="9"/>
      <c r="L53" s="9"/>
      <c r="M53" s="9"/>
      <c r="N53" s="9"/>
      <c r="O53" s="9"/>
      <c r="P53" s="88"/>
      <c r="Q53" s="83"/>
      <c r="R53" s="185"/>
      <c r="S53" s="186"/>
    </row>
    <row r="54" spans="1:19" s="11" customFormat="1">
      <c r="A54" s="9">
        <v>30</v>
      </c>
      <c r="B54" s="9"/>
      <c r="C54" s="9"/>
      <c r="D54" s="9" t="s">
        <v>155</v>
      </c>
      <c r="E54" s="54" t="s">
        <v>152</v>
      </c>
      <c r="F54" s="54"/>
      <c r="G54" s="55" t="s">
        <v>283</v>
      </c>
      <c r="H54" s="55" t="s">
        <v>222</v>
      </c>
      <c r="I54" s="9"/>
      <c r="J54" s="9" t="s">
        <v>33</v>
      </c>
      <c r="K54" s="9"/>
      <c r="L54" s="9"/>
      <c r="M54" s="9"/>
      <c r="N54" s="9"/>
      <c r="O54" s="9" t="s">
        <v>33</v>
      </c>
      <c r="P54" s="88"/>
      <c r="Q54" s="83"/>
      <c r="R54" s="185"/>
      <c r="S54" s="186"/>
    </row>
    <row r="55" spans="1:19" s="11" customFormat="1">
      <c r="A55" s="9">
        <v>30</v>
      </c>
      <c r="B55" s="9"/>
      <c r="C55" s="9"/>
      <c r="D55" s="9" t="s">
        <v>46</v>
      </c>
      <c r="E55" s="54" t="s">
        <v>48</v>
      </c>
      <c r="F55" s="54"/>
      <c r="G55" s="55" t="s">
        <v>287</v>
      </c>
      <c r="H55" s="55" t="s">
        <v>226</v>
      </c>
      <c r="I55" s="9"/>
      <c r="J55" s="9" t="s">
        <v>33</v>
      </c>
      <c r="K55" s="9"/>
      <c r="L55" s="9"/>
      <c r="M55" s="9"/>
      <c r="N55" s="9"/>
      <c r="O55" s="9" t="s">
        <v>33</v>
      </c>
      <c r="P55" s="88"/>
      <c r="Q55" s="83"/>
      <c r="R55" s="185"/>
      <c r="S55" s="186"/>
    </row>
    <row r="56" spans="1:19" s="11" customFormat="1">
      <c r="A56" s="9">
        <v>30</v>
      </c>
      <c r="B56" s="9"/>
      <c r="C56" s="9"/>
      <c r="D56" s="9" t="s">
        <v>55</v>
      </c>
      <c r="E56" s="54" t="s">
        <v>56</v>
      </c>
      <c r="F56" s="54"/>
      <c r="G56" s="55" t="s">
        <v>288</v>
      </c>
      <c r="H56" s="55" t="s">
        <v>50</v>
      </c>
      <c r="I56" s="9"/>
      <c r="J56" s="9" t="s">
        <v>33</v>
      </c>
      <c r="K56" s="9"/>
      <c r="L56" s="9"/>
      <c r="M56" s="9"/>
      <c r="N56" s="9"/>
      <c r="O56" s="9" t="s">
        <v>33</v>
      </c>
      <c r="P56" s="88"/>
      <c r="Q56" s="83"/>
      <c r="R56" s="185"/>
      <c r="S56" s="186"/>
    </row>
    <row r="57" spans="1:19" s="11" customFormat="1">
      <c r="A57" s="9">
        <v>30</v>
      </c>
      <c r="B57" s="9"/>
      <c r="C57" s="9"/>
      <c r="D57" s="9" t="s">
        <v>51</v>
      </c>
      <c r="E57" s="54" t="s">
        <v>53</v>
      </c>
      <c r="F57" s="54"/>
      <c r="G57" s="55" t="s">
        <v>289</v>
      </c>
      <c r="H57" s="55" t="s">
        <v>202</v>
      </c>
      <c r="I57" s="9"/>
      <c r="J57" s="9" t="s">
        <v>33</v>
      </c>
      <c r="K57" s="9"/>
      <c r="L57" s="9"/>
      <c r="M57" s="9"/>
      <c r="N57" s="9"/>
      <c r="O57" s="9" t="s">
        <v>33</v>
      </c>
      <c r="P57" s="88"/>
      <c r="Q57" s="83"/>
      <c r="R57" s="185"/>
      <c r="S57" s="186"/>
    </row>
    <row r="58" spans="1:19" s="11" customFormat="1">
      <c r="A58" s="9">
        <v>30</v>
      </c>
      <c r="B58" s="9"/>
      <c r="C58" s="9"/>
      <c r="D58" s="9" t="s">
        <v>211</v>
      </c>
      <c r="E58" s="54" t="s">
        <v>178</v>
      </c>
      <c r="F58" s="54"/>
      <c r="G58" s="55" t="s">
        <v>300</v>
      </c>
      <c r="H58" s="55" t="s">
        <v>204</v>
      </c>
      <c r="I58" s="9"/>
      <c r="J58" s="9" t="s">
        <v>33</v>
      </c>
      <c r="K58" s="9"/>
      <c r="L58" s="9"/>
      <c r="M58" s="9"/>
      <c r="N58" s="9"/>
      <c r="O58" s="9" t="s">
        <v>33</v>
      </c>
      <c r="P58" s="88"/>
      <c r="Q58" s="83"/>
      <c r="R58" s="185"/>
      <c r="S58" s="186"/>
    </row>
    <row r="59" spans="1:19" s="11" customFormat="1">
      <c r="A59" s="9">
        <v>30</v>
      </c>
      <c r="B59" s="9"/>
      <c r="C59" s="9"/>
      <c r="D59" s="9" t="s">
        <v>40</v>
      </c>
      <c r="E59" s="54" t="s">
        <v>179</v>
      </c>
      <c r="F59" s="54"/>
      <c r="G59" s="55" t="s">
        <v>301</v>
      </c>
      <c r="H59" s="55" t="s">
        <v>57</v>
      </c>
      <c r="I59" s="9"/>
      <c r="J59" s="9" t="s">
        <v>33</v>
      </c>
      <c r="K59" s="9"/>
      <c r="L59" s="9"/>
      <c r="M59" s="9"/>
      <c r="N59" s="9"/>
      <c r="O59" s="9" t="s">
        <v>33</v>
      </c>
      <c r="P59" s="88"/>
      <c r="Q59" s="83"/>
      <c r="R59" s="185"/>
      <c r="S59" s="186"/>
    </row>
    <row r="60" spans="1:19" s="11" customFormat="1">
      <c r="A60" s="9">
        <v>30</v>
      </c>
      <c r="B60" s="9"/>
      <c r="C60" s="9"/>
      <c r="D60" s="9" t="s">
        <v>14</v>
      </c>
      <c r="E60" s="54" t="s">
        <v>59</v>
      </c>
      <c r="F60" s="54"/>
      <c r="G60" s="55" t="s">
        <v>302</v>
      </c>
      <c r="H60" s="55" t="s">
        <v>205</v>
      </c>
      <c r="I60" s="9"/>
      <c r="J60" s="9" t="s">
        <v>33</v>
      </c>
      <c r="K60" s="9"/>
      <c r="L60" s="9"/>
      <c r="M60" s="9"/>
      <c r="N60" s="9"/>
      <c r="O60" s="9" t="s">
        <v>33</v>
      </c>
      <c r="P60" s="88"/>
      <c r="Q60" s="83"/>
      <c r="R60" s="185"/>
      <c r="S60" s="186"/>
    </row>
    <row r="61" spans="1:19" s="11" customFormat="1">
      <c r="A61" s="9">
        <v>30</v>
      </c>
      <c r="B61" s="9"/>
      <c r="C61" s="9"/>
      <c r="D61" s="9" t="s">
        <v>62</v>
      </c>
      <c r="E61" s="54" t="s">
        <v>67</v>
      </c>
      <c r="F61" s="54"/>
      <c r="G61" s="55" t="s">
        <v>303</v>
      </c>
      <c r="H61" s="55" t="s">
        <v>243</v>
      </c>
      <c r="I61" s="9"/>
      <c r="J61" s="9" t="s">
        <v>33</v>
      </c>
      <c r="K61" s="9"/>
      <c r="L61" s="9"/>
      <c r="M61" s="9"/>
      <c r="N61" s="9"/>
      <c r="O61" s="9" t="s">
        <v>33</v>
      </c>
      <c r="P61" s="88"/>
      <c r="Q61" s="83"/>
      <c r="R61" s="185"/>
      <c r="S61" s="186"/>
    </row>
    <row r="62" spans="1:19" s="11" customFormat="1">
      <c r="A62" s="9">
        <v>30</v>
      </c>
      <c r="B62" s="9"/>
      <c r="C62" s="9"/>
      <c r="D62" s="9" t="s">
        <v>68</v>
      </c>
      <c r="E62" s="54" t="s">
        <v>69</v>
      </c>
      <c r="F62" s="54"/>
      <c r="G62" s="55" t="s">
        <v>304</v>
      </c>
      <c r="H62" s="55" t="s">
        <v>206</v>
      </c>
      <c r="I62" s="9"/>
      <c r="J62" s="9" t="s">
        <v>33</v>
      </c>
      <c r="K62" s="9"/>
      <c r="L62" s="9"/>
      <c r="M62" s="9"/>
      <c r="N62" s="9"/>
      <c r="O62" s="9"/>
      <c r="P62" s="88"/>
      <c r="Q62" s="83"/>
      <c r="R62" s="185"/>
      <c r="S62" s="186"/>
    </row>
    <row r="63" spans="1:19" s="11" customFormat="1">
      <c r="A63" s="9">
        <v>30</v>
      </c>
      <c r="B63" s="9"/>
      <c r="C63" s="9"/>
      <c r="D63" s="9" t="s">
        <v>91</v>
      </c>
      <c r="E63" s="54" t="s">
        <v>92</v>
      </c>
      <c r="F63" s="54"/>
      <c r="G63" s="55" t="s">
        <v>291</v>
      </c>
      <c r="H63" s="55" t="s">
        <v>232</v>
      </c>
      <c r="I63" s="9"/>
      <c r="J63" s="9" t="s">
        <v>33</v>
      </c>
      <c r="K63" s="9"/>
      <c r="L63" s="9"/>
      <c r="M63" s="9"/>
      <c r="N63" s="9"/>
      <c r="O63" s="9" t="s">
        <v>33</v>
      </c>
      <c r="P63" s="88"/>
      <c r="Q63" s="83"/>
      <c r="R63" s="185"/>
      <c r="S63" s="186"/>
    </row>
    <row r="64" spans="1:19" s="11" customFormat="1">
      <c r="A64" s="9">
        <v>30</v>
      </c>
      <c r="B64" s="9"/>
      <c r="C64" s="9"/>
      <c r="D64" s="9" t="s">
        <v>212</v>
      </c>
      <c r="E64" s="54" t="s">
        <v>178</v>
      </c>
      <c r="F64" s="54"/>
      <c r="G64" s="55" t="s">
        <v>305</v>
      </c>
      <c r="H64" s="55" t="s">
        <v>244</v>
      </c>
      <c r="I64" s="9"/>
      <c r="J64" s="9" t="s">
        <v>33</v>
      </c>
      <c r="K64" s="9"/>
      <c r="L64" s="9"/>
      <c r="M64" s="9"/>
      <c r="N64" s="9"/>
      <c r="O64" s="9" t="s">
        <v>33</v>
      </c>
      <c r="P64" s="88"/>
      <c r="Q64" s="83"/>
      <c r="R64" s="185"/>
      <c r="S64" s="186"/>
    </row>
    <row r="65" spans="1:19" s="11" customFormat="1">
      <c r="A65" s="9">
        <v>30</v>
      </c>
      <c r="B65" s="9"/>
      <c r="C65" s="9"/>
      <c r="D65" s="9" t="s">
        <v>41</v>
      </c>
      <c r="E65" s="54" t="s">
        <v>179</v>
      </c>
      <c r="F65" s="54"/>
      <c r="G65" s="55" t="s">
        <v>306</v>
      </c>
      <c r="H65" s="55" t="s">
        <v>58</v>
      </c>
      <c r="I65" s="9"/>
      <c r="J65" s="9" t="s">
        <v>33</v>
      </c>
      <c r="K65" s="9"/>
      <c r="L65" s="9"/>
      <c r="M65" s="9"/>
      <c r="N65" s="9"/>
      <c r="O65" s="9" t="s">
        <v>33</v>
      </c>
      <c r="P65" s="88"/>
      <c r="Q65" s="83"/>
      <c r="R65" s="185"/>
      <c r="S65" s="186"/>
    </row>
    <row r="66" spans="1:19" s="11" customFormat="1">
      <c r="A66" s="9">
        <v>30</v>
      </c>
      <c r="B66" s="9"/>
      <c r="C66" s="9"/>
      <c r="D66" s="9" t="s">
        <v>15</v>
      </c>
      <c r="E66" s="54" t="s">
        <v>213</v>
      </c>
      <c r="F66" s="54"/>
      <c r="G66" s="55" t="s">
        <v>307</v>
      </c>
      <c r="H66" s="55" t="s">
        <v>207</v>
      </c>
      <c r="I66" s="9"/>
      <c r="J66" s="9" t="s">
        <v>33</v>
      </c>
      <c r="K66" s="9"/>
      <c r="L66" s="9"/>
      <c r="M66" s="9"/>
      <c r="N66" s="9"/>
      <c r="O66" s="9" t="s">
        <v>33</v>
      </c>
      <c r="P66" s="88"/>
      <c r="Q66" s="83"/>
      <c r="R66" s="185"/>
      <c r="S66" s="186"/>
    </row>
    <row r="67" spans="1:19" s="11" customFormat="1">
      <c r="A67" s="9">
        <v>30</v>
      </c>
      <c r="B67" s="9"/>
      <c r="C67" s="9"/>
      <c r="D67" s="9" t="s">
        <v>63</v>
      </c>
      <c r="E67" s="54" t="s">
        <v>67</v>
      </c>
      <c r="F67" s="54"/>
      <c r="G67" s="55" t="s">
        <v>308</v>
      </c>
      <c r="H67" s="55" t="s">
        <v>64</v>
      </c>
      <c r="I67" s="9"/>
      <c r="J67" s="9" t="s">
        <v>33</v>
      </c>
      <c r="K67" s="9"/>
      <c r="L67" s="9"/>
      <c r="M67" s="9"/>
      <c r="N67" s="9"/>
      <c r="O67" s="9" t="s">
        <v>33</v>
      </c>
      <c r="P67" s="88"/>
      <c r="Q67" s="83"/>
      <c r="R67" s="185"/>
      <c r="S67" s="186"/>
    </row>
    <row r="68" spans="1:19" s="11" customFormat="1">
      <c r="A68" s="9">
        <v>30</v>
      </c>
      <c r="B68" s="9"/>
      <c r="C68" s="9"/>
      <c r="D68" s="9" t="s">
        <v>70</v>
      </c>
      <c r="E68" s="54" t="s">
        <v>69</v>
      </c>
      <c r="F68" s="54"/>
      <c r="G68" s="55" t="s">
        <v>309</v>
      </c>
      <c r="H68" s="55" t="s">
        <v>245</v>
      </c>
      <c r="I68" s="9"/>
      <c r="J68" s="9" t="s">
        <v>33</v>
      </c>
      <c r="K68" s="9"/>
      <c r="L68" s="9"/>
      <c r="M68" s="9"/>
      <c r="N68" s="9"/>
      <c r="O68" s="9"/>
      <c r="P68" s="88"/>
      <c r="Q68" s="83"/>
      <c r="R68" s="185"/>
      <c r="S68" s="186"/>
    </row>
    <row r="69" spans="1:19" s="11" customFormat="1">
      <c r="A69" s="9">
        <v>30</v>
      </c>
      <c r="B69" s="9"/>
      <c r="C69" s="9"/>
      <c r="D69" s="9" t="s">
        <v>71</v>
      </c>
      <c r="E69" s="54" t="s">
        <v>65</v>
      </c>
      <c r="F69" s="54"/>
      <c r="G69" s="55" t="s">
        <v>310</v>
      </c>
      <c r="H69" s="55" t="s">
        <v>246</v>
      </c>
      <c r="I69" s="9"/>
      <c r="J69" s="9" t="s">
        <v>33</v>
      </c>
      <c r="K69" s="9"/>
      <c r="L69" s="9"/>
      <c r="M69" s="9"/>
      <c r="N69" s="9"/>
      <c r="O69" s="9" t="s">
        <v>33</v>
      </c>
      <c r="P69" s="88"/>
      <c r="Q69" s="83"/>
      <c r="R69" s="185"/>
      <c r="S69" s="186"/>
    </row>
    <row r="70" spans="1:19" s="11" customFormat="1">
      <c r="A70" s="94"/>
      <c r="B70" s="64"/>
      <c r="C70" s="64"/>
      <c r="D70" s="95" t="s">
        <v>4</v>
      </c>
      <c r="E70" s="65"/>
      <c r="F70" s="96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97"/>
    </row>
    <row r="71" spans="1:19" s="11" customFormat="1">
      <c r="A71" s="111"/>
      <c r="S71" s="61"/>
    </row>
    <row r="72" spans="1:19" s="11" customFormat="1">
      <c r="A72" s="111"/>
      <c r="S72" s="61"/>
    </row>
    <row r="73" spans="1:19" s="11" customFormat="1">
      <c r="A73" s="111"/>
      <c r="S73" s="61"/>
    </row>
    <row r="74" spans="1:19" s="11" customFormat="1">
      <c r="A74" s="111"/>
      <c r="S74" s="61"/>
    </row>
    <row r="75" spans="1:19" s="11" customFormat="1">
      <c r="A75" s="111"/>
      <c r="S75" s="61"/>
    </row>
    <row r="76" spans="1:19" s="11" customFormat="1">
      <c r="A76" s="111"/>
      <c r="S76" s="61"/>
    </row>
    <row r="77" spans="1:19" s="11" customFormat="1">
      <c r="A77" s="111"/>
      <c r="S77" s="61"/>
    </row>
    <row r="78" spans="1:19" s="11" customFormat="1">
      <c r="A78" s="111"/>
      <c r="S78" s="61"/>
    </row>
    <row r="79" spans="1:19" s="11" customFormat="1">
      <c r="A79" s="111"/>
      <c r="S79" s="61"/>
    </row>
    <row r="80" spans="1:19" s="11" customFormat="1">
      <c r="A80" s="111"/>
      <c r="S80" s="61"/>
    </row>
    <row r="81" spans="1:19" s="11" customFormat="1">
      <c r="A81" s="111"/>
      <c r="S81" s="61"/>
    </row>
    <row r="82" spans="1:19" s="11" customFormat="1">
      <c r="A82" s="111"/>
      <c r="S82" s="61"/>
    </row>
    <row r="83" spans="1:19" s="11" customFormat="1">
      <c r="A83" s="111"/>
      <c r="S83" s="61"/>
    </row>
    <row r="84" spans="1:19" s="11" customFormat="1">
      <c r="A84" s="111"/>
      <c r="S84" s="61"/>
    </row>
    <row r="85" spans="1:19" s="11" customFormat="1">
      <c r="A85" s="116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20"/>
    </row>
  </sheetData>
  <mergeCells count="54">
    <mergeCell ref="R29:S29"/>
    <mergeCell ref="R30:S30"/>
    <mergeCell ref="R37:S37"/>
    <mergeCell ref="R33:S33"/>
    <mergeCell ref="R35:S35"/>
    <mergeCell ref="R34:S34"/>
    <mergeCell ref="R51:S51"/>
    <mergeCell ref="R54:S54"/>
    <mergeCell ref="R31:S31"/>
    <mergeCell ref="R42:S42"/>
    <mergeCell ref="R36:S36"/>
    <mergeCell ref="R41:S41"/>
    <mergeCell ref="R32:S32"/>
    <mergeCell ref="R38:S38"/>
    <mergeCell ref="R69:S69"/>
    <mergeCell ref="R58:S58"/>
    <mergeCell ref="R59:S59"/>
    <mergeCell ref="R60:S60"/>
    <mergeCell ref="R61:S61"/>
    <mergeCell ref="R65:S65"/>
    <mergeCell ref="R66:S66"/>
    <mergeCell ref="R62:S62"/>
    <mergeCell ref="R64:S64"/>
    <mergeCell ref="R57:S57"/>
    <mergeCell ref="R68:S68"/>
    <mergeCell ref="R39:S39"/>
    <mergeCell ref="R63:S63"/>
    <mergeCell ref="R67:S67"/>
    <mergeCell ref="R52:S52"/>
    <mergeCell ref="R47:S47"/>
    <mergeCell ref="R55:S55"/>
    <mergeCell ref="R56:S56"/>
    <mergeCell ref="R46:S46"/>
    <mergeCell ref="R40:S40"/>
    <mergeCell ref="R53:S53"/>
    <mergeCell ref="R44:S44"/>
    <mergeCell ref="R43:S43"/>
    <mergeCell ref="R48:S48"/>
    <mergeCell ref="R45:S45"/>
    <mergeCell ref="R12:S12"/>
    <mergeCell ref="R13:S13"/>
    <mergeCell ref="R24:S24"/>
    <mergeCell ref="R27:S27"/>
    <mergeCell ref="R28:S28"/>
    <mergeCell ref="R14:S14"/>
    <mergeCell ref="R15:S15"/>
    <mergeCell ref="R18:S18"/>
    <mergeCell ref="R22:S22"/>
    <mergeCell ref="R23:S23"/>
    <mergeCell ref="R16:S16"/>
    <mergeCell ref="R25:S25"/>
    <mergeCell ref="R26:S26"/>
    <mergeCell ref="R17:S17"/>
    <mergeCell ref="R19:S19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5"/>
  <sheetViews>
    <sheetView topLeftCell="F1" zoomScale="85" zoomScaleNormal="85" zoomScaleSheetLayoutView="85" workbookViewId="0"/>
  </sheetViews>
  <sheetFormatPr defaultColWidth="9" defaultRowHeight="13"/>
  <cols>
    <col min="1" max="1" width="4.81640625" style="63" customWidth="1"/>
    <col min="2" max="2" width="2.6328125" style="63" bestFit="1" customWidth="1"/>
    <col min="3" max="3" width="3.36328125" style="63" customWidth="1"/>
    <col min="4" max="4" width="27.1796875" style="62" bestFit="1" customWidth="1"/>
    <col min="5" max="5" width="25.6328125" style="62" customWidth="1"/>
    <col min="6" max="6" width="7.453125" style="63" bestFit="1" customWidth="1"/>
    <col min="7" max="7" width="30.81640625" style="63" customWidth="1"/>
    <col min="8" max="8" width="28.1796875" style="63" bestFit="1" customWidth="1"/>
    <col min="9" max="10" width="15.81640625" style="63" customWidth="1"/>
    <col min="11" max="11" width="19.36328125" style="63" bestFit="1" customWidth="1"/>
    <col min="12" max="12" width="18" style="63" customWidth="1"/>
    <col min="13" max="13" width="14.453125" style="63" bestFit="1" customWidth="1"/>
    <col min="14" max="14" width="50.6328125" style="63" customWidth="1"/>
    <col min="15" max="15" width="12.81640625" style="63" bestFit="1" customWidth="1"/>
    <col min="16" max="16" width="36.08984375" style="63" customWidth="1"/>
    <col min="17" max="17" width="11.6328125" style="62" bestFit="1" customWidth="1"/>
    <col min="18" max="18" width="33" style="62" bestFit="1" customWidth="1"/>
    <col min="19" max="19" width="30.81640625" style="62" customWidth="1"/>
    <col min="20" max="20" width="9" style="62"/>
    <col min="21" max="21" width="15.81640625" style="62" customWidth="1"/>
    <col min="22" max="16384" width="9" style="62"/>
  </cols>
  <sheetData>
    <row r="1" spans="1:22" s="11" customFormat="1">
      <c r="A1" s="107" t="s">
        <v>16</v>
      </c>
      <c r="B1" s="107" t="s">
        <v>16</v>
      </c>
      <c r="C1" s="10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2"/>
      <c r="S1" s="62"/>
      <c r="T1" s="62"/>
      <c r="U1" s="62"/>
      <c r="V1" s="62"/>
    </row>
    <row r="2" spans="1:22" s="11" customFormat="1" ht="40" customHeight="1">
      <c r="A2" s="108" t="s">
        <v>16</v>
      </c>
      <c r="B2" s="109"/>
      <c r="C2" s="109"/>
      <c r="D2" s="119" t="s">
        <v>268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MABSL0160</v>
      </c>
      <c r="I2" s="7" t="s">
        <v>216</v>
      </c>
      <c r="J2" s="9" t="s">
        <v>128</v>
      </c>
      <c r="K2" s="7" t="s">
        <v>29</v>
      </c>
      <c r="L2" s="110" t="str">
        <f>IF(LogicCommon!G2="","",LogicCommon!G2)</f>
        <v>MC</v>
      </c>
      <c r="M2" s="5" t="s">
        <v>217</v>
      </c>
      <c r="N2" s="28" t="s">
        <v>260</v>
      </c>
      <c r="O2" s="7"/>
      <c r="P2" s="7"/>
      <c r="Q2" s="4"/>
      <c r="R2" s="62"/>
      <c r="S2" s="62"/>
      <c r="T2" s="62"/>
      <c r="U2" s="62"/>
      <c r="V2" s="62"/>
    </row>
    <row r="3" spans="1:22" s="11" customFormat="1">
      <c r="A3" s="111" t="s">
        <v>16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MABSL_InspPointReg</v>
      </c>
      <c r="I3" s="7" t="s">
        <v>218</v>
      </c>
      <c r="J3" s="9" t="s">
        <v>30</v>
      </c>
      <c r="K3" s="7" t="s">
        <v>45</v>
      </c>
      <c r="L3" s="110" t="str">
        <f>IF(LogicCommon!G3="","",LogicCommon!G3)</f>
        <v/>
      </c>
      <c r="M3" s="114" t="s">
        <v>31</v>
      </c>
      <c r="N3" s="7"/>
      <c r="O3" s="7" t="s">
        <v>219</v>
      </c>
      <c r="P3" s="9" t="s">
        <v>32</v>
      </c>
      <c r="Q3" s="4"/>
      <c r="R3" s="62"/>
      <c r="S3" s="62"/>
      <c r="T3" s="62"/>
      <c r="U3" s="62"/>
      <c r="V3" s="62"/>
    </row>
    <row r="4" spans="1:22" s="11" customFormat="1">
      <c r="A4" s="111" t="s">
        <v>16</v>
      </c>
      <c r="B4" s="112"/>
      <c r="C4" s="112"/>
      <c r="D4" s="4"/>
      <c r="E4" s="7" t="s">
        <v>8</v>
      </c>
      <c r="F4" s="10" t="s">
        <v>215</v>
      </c>
      <c r="G4" s="7" t="s">
        <v>11</v>
      </c>
      <c r="H4" s="110" t="str">
        <f>IF(LogicCommon!E4="","",LogicCommon!E4)</f>
        <v>検査項目マスタ登録</v>
      </c>
      <c r="I4" s="7" t="s">
        <v>112</v>
      </c>
      <c r="J4" s="9" t="s">
        <v>74</v>
      </c>
      <c r="K4" s="7" t="s">
        <v>5</v>
      </c>
      <c r="L4" s="110" t="str">
        <f>IF(LogicCommon!G4="","",LogicCommon!G4)</f>
        <v>MA.MAUDL5010</v>
      </c>
      <c r="M4" s="115"/>
      <c r="N4" s="28"/>
      <c r="O4" s="14"/>
      <c r="P4" s="4"/>
      <c r="Q4" s="4"/>
      <c r="R4" s="62"/>
      <c r="S4" s="62"/>
      <c r="T4" s="62"/>
      <c r="U4" s="62"/>
      <c r="V4" s="62"/>
    </row>
    <row r="5" spans="1:22" s="11" customFormat="1">
      <c r="A5" s="116" t="s">
        <v>16</v>
      </c>
      <c r="B5" s="107"/>
      <c r="C5" s="107"/>
      <c r="D5" s="26"/>
      <c r="E5" s="7" t="s">
        <v>220</v>
      </c>
      <c r="F5" s="10"/>
      <c r="G5" s="117"/>
      <c r="H5" s="117"/>
      <c r="I5" s="117"/>
      <c r="J5" s="117"/>
      <c r="K5" s="117"/>
      <c r="L5" s="6"/>
      <c r="M5" s="5"/>
      <c r="N5" s="5"/>
      <c r="O5" s="14"/>
      <c r="P5" s="4"/>
      <c r="Q5" s="4"/>
      <c r="R5" s="62"/>
      <c r="S5" s="62"/>
      <c r="T5" s="62"/>
      <c r="U5" s="62"/>
      <c r="V5" s="62"/>
    </row>
    <row r="6" spans="1:22" s="11" customFormat="1">
      <c r="A6" s="111" t="s">
        <v>16</v>
      </c>
      <c r="B6" s="112"/>
      <c r="C6" s="112"/>
      <c r="D6" s="4" t="s">
        <v>6</v>
      </c>
      <c r="E6" s="16" t="s">
        <v>196</v>
      </c>
      <c r="F6" s="16"/>
      <c r="G6" s="16"/>
      <c r="H6" s="16"/>
      <c r="I6" s="16"/>
      <c r="J6" s="16"/>
      <c r="K6" s="16"/>
      <c r="L6" s="118" t="s">
        <v>35</v>
      </c>
      <c r="M6" s="19"/>
      <c r="N6" s="19" t="s">
        <v>35</v>
      </c>
      <c r="O6" s="19"/>
      <c r="P6" s="19" t="s">
        <v>35</v>
      </c>
      <c r="Q6" s="19"/>
      <c r="R6" s="3" t="s">
        <v>35</v>
      </c>
      <c r="S6" s="4"/>
      <c r="T6" s="63"/>
      <c r="U6" s="63"/>
      <c r="V6" s="62"/>
    </row>
    <row r="7" spans="1:22" s="11" customFormat="1">
      <c r="A7" s="64" t="s">
        <v>19</v>
      </c>
      <c r="B7" s="64"/>
      <c r="C7" s="64"/>
      <c r="D7" s="65"/>
      <c r="E7" s="65"/>
      <c r="F7" s="65"/>
      <c r="G7" s="65"/>
      <c r="H7" s="65"/>
      <c r="I7" s="65" t="s">
        <v>42</v>
      </c>
      <c r="J7" s="65"/>
      <c r="K7" s="66" t="s">
        <v>43</v>
      </c>
      <c r="L7" s="67" t="s">
        <v>99</v>
      </c>
      <c r="M7" s="66" t="s">
        <v>82</v>
      </c>
      <c r="N7" s="67" t="s">
        <v>100</v>
      </c>
      <c r="O7" s="66" t="s">
        <v>82</v>
      </c>
      <c r="P7" s="67" t="s">
        <v>101</v>
      </c>
      <c r="Q7" s="66" t="s">
        <v>82</v>
      </c>
      <c r="R7" s="67" t="s">
        <v>102</v>
      </c>
      <c r="S7" s="63"/>
      <c r="T7" s="63"/>
      <c r="U7" s="63"/>
      <c r="V7" s="63"/>
    </row>
    <row r="8" spans="1:22" s="11" customFormat="1" ht="60" customHeight="1">
      <c r="A8" s="54" t="s">
        <v>18</v>
      </c>
      <c r="B8" s="122"/>
      <c r="C8" s="123"/>
      <c r="D8" s="120" t="s">
        <v>269</v>
      </c>
      <c r="E8" s="120" t="s">
        <v>270</v>
      </c>
      <c r="F8" s="118"/>
      <c r="G8" s="120" t="s">
        <v>229</v>
      </c>
      <c r="H8" s="120" t="s">
        <v>271</v>
      </c>
      <c r="I8" s="118"/>
      <c r="J8" s="3"/>
      <c r="K8" s="66" t="s">
        <v>17</v>
      </c>
      <c r="L8" s="68" t="s">
        <v>145</v>
      </c>
      <c r="M8" s="66" t="s">
        <v>83</v>
      </c>
      <c r="N8" s="68" t="s">
        <v>146</v>
      </c>
      <c r="O8" s="66" t="s">
        <v>83</v>
      </c>
      <c r="P8" s="68" t="s">
        <v>147</v>
      </c>
      <c r="Q8" s="66" t="s">
        <v>83</v>
      </c>
      <c r="R8" s="68" t="s">
        <v>148</v>
      </c>
      <c r="S8" s="131"/>
      <c r="T8" s="132"/>
      <c r="U8" s="133" t="s">
        <v>272</v>
      </c>
      <c r="V8" s="83"/>
    </row>
    <row r="9" spans="1:22" s="11" customFormat="1" ht="60" customHeight="1">
      <c r="A9" s="9" t="s">
        <v>18</v>
      </c>
      <c r="B9" s="37"/>
      <c r="C9" s="38"/>
      <c r="D9" s="120" t="s">
        <v>273</v>
      </c>
      <c r="E9" s="128" t="s">
        <v>274</v>
      </c>
      <c r="F9" s="120" t="s">
        <v>275</v>
      </c>
      <c r="G9" s="120" t="s">
        <v>276</v>
      </c>
      <c r="H9" s="120" t="s">
        <v>277</v>
      </c>
      <c r="I9" s="129" t="s">
        <v>278</v>
      </c>
      <c r="J9" s="120" t="s">
        <v>279</v>
      </c>
      <c r="K9" s="66"/>
      <c r="L9" s="66"/>
      <c r="M9" s="66"/>
      <c r="N9" s="66"/>
      <c r="O9" s="66"/>
      <c r="P9" s="66"/>
      <c r="Q9" s="66"/>
      <c r="R9" s="66"/>
      <c r="S9" s="133" t="s">
        <v>280</v>
      </c>
      <c r="T9" s="83"/>
      <c r="U9" s="133" t="s">
        <v>281</v>
      </c>
      <c r="V9" s="83"/>
    </row>
    <row r="10" spans="1:22" s="11" customFormat="1" ht="52">
      <c r="A10" s="71" t="s">
        <v>19</v>
      </c>
      <c r="B10" s="72"/>
      <c r="C10" s="72"/>
      <c r="D10" s="73"/>
      <c r="E10" s="74"/>
      <c r="F10" s="74"/>
      <c r="G10" s="75"/>
      <c r="H10" s="75"/>
      <c r="I10" s="74"/>
      <c r="J10" s="74"/>
      <c r="K10" s="130" t="s">
        <v>278</v>
      </c>
      <c r="L10" s="130" t="s">
        <v>279</v>
      </c>
      <c r="M10" s="130" t="s">
        <v>278</v>
      </c>
      <c r="N10" s="130" t="s">
        <v>279</v>
      </c>
      <c r="O10" s="130" t="s">
        <v>278</v>
      </c>
      <c r="P10" s="130" t="s">
        <v>279</v>
      </c>
      <c r="Q10" s="130" t="s">
        <v>278</v>
      </c>
      <c r="R10" s="130" t="s">
        <v>279</v>
      </c>
      <c r="S10" s="74"/>
      <c r="T10" s="74"/>
      <c r="U10" s="75"/>
      <c r="V10" s="70"/>
    </row>
    <row r="11" spans="1:22" s="11" customFormat="1">
      <c r="A11" s="9">
        <v>10</v>
      </c>
      <c r="B11" s="37" t="s">
        <v>0</v>
      </c>
      <c r="C11" s="38"/>
      <c r="D11" s="28" t="s">
        <v>80</v>
      </c>
      <c r="E11" s="76" t="s">
        <v>22</v>
      </c>
      <c r="F11" s="77"/>
      <c r="G11" s="28" t="s">
        <v>98</v>
      </c>
      <c r="H11" s="78" t="s">
        <v>251</v>
      </c>
      <c r="I11" s="79"/>
      <c r="J11" s="80"/>
      <c r="K11" s="81" t="s">
        <v>252</v>
      </c>
      <c r="L11" s="81"/>
      <c r="M11" s="81" t="s">
        <v>253</v>
      </c>
      <c r="N11" s="81"/>
      <c r="O11" s="81"/>
      <c r="P11" s="81"/>
      <c r="Q11" s="81"/>
      <c r="R11" s="81"/>
      <c r="S11" s="69"/>
      <c r="T11" s="70"/>
      <c r="U11" s="106"/>
      <c r="V11" s="82"/>
    </row>
    <row r="12" spans="1:22" s="11" customFormat="1">
      <c r="A12" s="9">
        <v>10</v>
      </c>
      <c r="B12" s="9"/>
      <c r="C12" s="9"/>
      <c r="D12" s="9" t="s">
        <v>154</v>
      </c>
      <c r="E12" s="54" t="s">
        <v>151</v>
      </c>
      <c r="F12" s="54"/>
      <c r="G12" s="55" t="s">
        <v>282</v>
      </c>
      <c r="H12" s="55" t="s">
        <v>199</v>
      </c>
      <c r="I12" s="9" t="s">
        <v>33</v>
      </c>
      <c r="J12" s="9"/>
      <c r="K12" s="9" t="s">
        <v>33</v>
      </c>
      <c r="L12" s="9"/>
      <c r="M12" s="9" t="s">
        <v>221</v>
      </c>
      <c r="N12" s="9"/>
      <c r="O12" s="9"/>
      <c r="P12" s="9"/>
      <c r="Q12" s="9"/>
      <c r="R12" s="9"/>
      <c r="S12" s="88"/>
      <c r="T12" s="83"/>
      <c r="U12" s="185"/>
      <c r="V12" s="186"/>
    </row>
    <row r="13" spans="1:22" s="11" customFormat="1">
      <c r="A13" s="9">
        <v>10</v>
      </c>
      <c r="B13" s="9"/>
      <c r="C13" s="9"/>
      <c r="D13" s="9" t="s">
        <v>155</v>
      </c>
      <c r="E13" s="54" t="s">
        <v>152</v>
      </c>
      <c r="F13" s="54"/>
      <c r="G13" s="55" t="s">
        <v>283</v>
      </c>
      <c r="H13" s="55" t="s">
        <v>222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88"/>
      <c r="T13" s="83"/>
      <c r="U13" s="185"/>
      <c r="V13" s="186"/>
    </row>
    <row r="14" spans="1:22" s="11" customFormat="1">
      <c r="A14" s="9">
        <v>10</v>
      </c>
      <c r="B14" s="9"/>
      <c r="C14" s="9"/>
      <c r="D14" s="9" t="s">
        <v>157</v>
      </c>
      <c r="E14" s="54" t="s">
        <v>160</v>
      </c>
      <c r="F14" s="54"/>
      <c r="G14" s="55" t="s">
        <v>284</v>
      </c>
      <c r="H14" s="55" t="s">
        <v>223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88"/>
      <c r="T14" s="83"/>
      <c r="U14" s="185"/>
      <c r="V14" s="186"/>
    </row>
    <row r="15" spans="1:22" s="11" customFormat="1">
      <c r="A15" s="9">
        <v>10</v>
      </c>
      <c r="B15" s="9"/>
      <c r="C15" s="9"/>
      <c r="D15" s="9" t="s">
        <v>158</v>
      </c>
      <c r="E15" s="54" t="s">
        <v>161</v>
      </c>
      <c r="F15" s="54"/>
      <c r="G15" s="55" t="s">
        <v>285</v>
      </c>
      <c r="H15" s="55" t="s">
        <v>201</v>
      </c>
      <c r="I15" s="9" t="s">
        <v>33</v>
      </c>
      <c r="J15" s="9"/>
      <c r="K15" s="9" t="s">
        <v>33</v>
      </c>
      <c r="L15" s="9"/>
      <c r="M15" s="9" t="s">
        <v>221</v>
      </c>
      <c r="N15" s="9"/>
      <c r="O15" s="9"/>
      <c r="P15" s="9"/>
      <c r="Q15" s="9"/>
      <c r="R15" s="9"/>
      <c r="S15" s="88"/>
      <c r="T15" s="83"/>
      <c r="U15" s="185"/>
      <c r="V15" s="186"/>
    </row>
    <row r="16" spans="1:22" s="11" customFormat="1">
      <c r="A16" s="9">
        <v>10</v>
      </c>
      <c r="B16" s="9"/>
      <c r="C16" s="9"/>
      <c r="D16" s="9" t="s">
        <v>159</v>
      </c>
      <c r="E16" s="54" t="s">
        <v>162</v>
      </c>
      <c r="F16" s="54"/>
      <c r="G16" s="55" t="s">
        <v>286</v>
      </c>
      <c r="H16" s="55" t="s">
        <v>225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88"/>
      <c r="T16" s="83"/>
      <c r="U16" s="185"/>
      <c r="V16" s="186"/>
    </row>
    <row r="17" spans="1:22" s="11" customFormat="1">
      <c r="A17" s="9">
        <v>10</v>
      </c>
      <c r="B17" s="9"/>
      <c r="C17" s="9"/>
      <c r="D17" s="9" t="s">
        <v>46</v>
      </c>
      <c r="E17" s="54" t="s">
        <v>48</v>
      </c>
      <c r="F17" s="54"/>
      <c r="G17" s="55" t="s">
        <v>287</v>
      </c>
      <c r="H17" s="55" t="s">
        <v>226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88"/>
      <c r="T17" s="83"/>
      <c r="U17" s="185"/>
      <c r="V17" s="186"/>
    </row>
    <row r="18" spans="1:22" s="11" customFormat="1">
      <c r="A18" s="9">
        <v>10</v>
      </c>
      <c r="B18" s="9"/>
      <c r="C18" s="9"/>
      <c r="D18" s="9" t="s">
        <v>55</v>
      </c>
      <c r="E18" s="54" t="s">
        <v>56</v>
      </c>
      <c r="F18" s="54"/>
      <c r="G18" s="55" t="s">
        <v>288</v>
      </c>
      <c r="H18" s="55" t="s">
        <v>50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88"/>
      <c r="T18" s="83"/>
      <c r="U18" s="185"/>
      <c r="V18" s="186"/>
    </row>
    <row r="19" spans="1:22" s="11" customFormat="1">
      <c r="A19" s="9">
        <v>10</v>
      </c>
      <c r="B19" s="9"/>
      <c r="C19" s="9"/>
      <c r="D19" s="9" t="s">
        <v>51</v>
      </c>
      <c r="E19" s="54" t="s">
        <v>53</v>
      </c>
      <c r="F19" s="54"/>
      <c r="G19" s="55" t="s">
        <v>289</v>
      </c>
      <c r="H19" s="55" t="s">
        <v>202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88"/>
      <c r="T19" s="83"/>
      <c r="U19" s="185"/>
      <c r="V19" s="186"/>
    </row>
    <row r="20" spans="1:22" s="11" customFormat="1">
      <c r="A20" s="9">
        <v>10</v>
      </c>
      <c r="B20" s="9"/>
      <c r="C20" s="9"/>
      <c r="D20" s="9" t="s">
        <v>87</v>
      </c>
      <c r="E20" s="54" t="s">
        <v>60</v>
      </c>
      <c r="F20" s="54"/>
      <c r="G20" s="55" t="s">
        <v>290</v>
      </c>
      <c r="H20" s="55" t="s">
        <v>227</v>
      </c>
      <c r="I20" s="9" t="s">
        <v>33</v>
      </c>
      <c r="J20" s="9"/>
      <c r="K20" s="9" t="s">
        <v>33</v>
      </c>
      <c r="L20" s="9"/>
      <c r="M20" s="9" t="s">
        <v>33</v>
      </c>
      <c r="N20" s="9"/>
      <c r="O20" s="9"/>
      <c r="P20" s="9"/>
      <c r="Q20" s="9"/>
      <c r="R20" s="9"/>
      <c r="S20" s="88"/>
      <c r="T20" s="83"/>
      <c r="U20" s="185"/>
      <c r="V20" s="186"/>
    </row>
    <row r="21" spans="1:22" s="11" customFormat="1">
      <c r="A21" s="9">
        <v>10</v>
      </c>
      <c r="B21" s="9"/>
      <c r="C21" s="9"/>
      <c r="D21" s="9" t="s">
        <v>93</v>
      </c>
      <c r="E21" s="54" t="s">
        <v>94</v>
      </c>
      <c r="F21" s="54"/>
      <c r="G21" s="55" t="s">
        <v>291</v>
      </c>
      <c r="H21" s="55" t="s">
        <v>232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9"/>
      <c r="P21" s="9"/>
      <c r="Q21" s="9"/>
      <c r="R21" s="9"/>
      <c r="S21" s="88"/>
      <c r="T21" s="83"/>
      <c r="U21" s="185"/>
      <c r="V21" s="186"/>
    </row>
    <row r="22" spans="1:22" s="11" customFormat="1">
      <c r="A22" s="111"/>
      <c r="V22" s="61"/>
    </row>
    <row r="23" spans="1:22" s="11" customFormat="1">
      <c r="A23" s="9">
        <v>20</v>
      </c>
      <c r="B23" s="37" t="s">
        <v>0</v>
      </c>
      <c r="C23" s="38"/>
      <c r="D23" s="28" t="s">
        <v>81</v>
      </c>
      <c r="E23" s="76" t="s">
        <v>22</v>
      </c>
      <c r="F23" s="77"/>
      <c r="G23" s="28" t="s">
        <v>98</v>
      </c>
      <c r="H23" s="78" t="s">
        <v>214</v>
      </c>
      <c r="I23" s="79"/>
      <c r="J23" s="80"/>
      <c r="K23" s="81"/>
      <c r="L23" s="81"/>
      <c r="M23" s="81"/>
      <c r="N23" s="81"/>
      <c r="O23" s="81" t="s">
        <v>254</v>
      </c>
      <c r="P23" s="81"/>
      <c r="Q23" s="81" t="s">
        <v>255</v>
      </c>
      <c r="R23" s="81"/>
      <c r="S23" s="69"/>
      <c r="T23" s="70"/>
      <c r="U23" s="106"/>
      <c r="V23" s="82"/>
    </row>
    <row r="24" spans="1:22" s="11" customFormat="1">
      <c r="A24" s="9">
        <v>20</v>
      </c>
      <c r="B24" s="9"/>
      <c r="C24" s="9"/>
      <c r="D24" s="9" t="s">
        <v>154</v>
      </c>
      <c r="E24" s="54" t="s">
        <v>151</v>
      </c>
      <c r="F24" s="54"/>
      <c r="G24" s="55" t="s">
        <v>282</v>
      </c>
      <c r="H24" s="55" t="s">
        <v>199</v>
      </c>
      <c r="I24" s="9" t="s">
        <v>33</v>
      </c>
      <c r="J24" s="9"/>
      <c r="K24" s="9"/>
      <c r="L24" s="9"/>
      <c r="M24" s="9"/>
      <c r="N24" s="9"/>
      <c r="O24" s="9" t="s">
        <v>33</v>
      </c>
      <c r="P24" s="9"/>
      <c r="Q24" s="9" t="s">
        <v>33</v>
      </c>
      <c r="R24" s="9"/>
      <c r="S24" s="88"/>
      <c r="T24" s="83"/>
      <c r="U24" s="185"/>
      <c r="V24" s="186"/>
    </row>
    <row r="25" spans="1:22" s="11" customFormat="1">
      <c r="A25" s="9">
        <v>20</v>
      </c>
      <c r="B25" s="9"/>
      <c r="C25" s="9"/>
      <c r="D25" s="9" t="s">
        <v>76</v>
      </c>
      <c r="E25" s="54" t="s">
        <v>77</v>
      </c>
      <c r="F25" s="54"/>
      <c r="G25" s="55" t="s">
        <v>292</v>
      </c>
      <c r="H25" s="55" t="s">
        <v>78</v>
      </c>
      <c r="I25" s="9" t="s">
        <v>33</v>
      </c>
      <c r="J25" s="9"/>
      <c r="K25" s="9"/>
      <c r="L25" s="9"/>
      <c r="M25" s="9"/>
      <c r="N25" s="9"/>
      <c r="O25" s="9" t="s">
        <v>33</v>
      </c>
      <c r="P25" s="9"/>
      <c r="Q25" s="9" t="s">
        <v>33</v>
      </c>
      <c r="R25" s="9"/>
      <c r="S25" s="88"/>
      <c r="T25" s="83"/>
      <c r="U25" s="185"/>
      <c r="V25" s="186"/>
    </row>
    <row r="26" spans="1:22" s="11" customFormat="1">
      <c r="A26" s="9">
        <v>20</v>
      </c>
      <c r="B26" s="9"/>
      <c r="C26" s="9"/>
      <c r="D26" s="9" t="s">
        <v>155</v>
      </c>
      <c r="E26" s="54" t="s">
        <v>152</v>
      </c>
      <c r="F26" s="54"/>
      <c r="G26" s="55" t="s">
        <v>283</v>
      </c>
      <c r="H26" s="55" t="s">
        <v>222</v>
      </c>
      <c r="I26" s="9" t="s">
        <v>33</v>
      </c>
      <c r="J26" s="9"/>
      <c r="K26" s="9"/>
      <c r="L26" s="9"/>
      <c r="M26" s="9"/>
      <c r="N26" s="9"/>
      <c r="O26" s="9" t="s">
        <v>33</v>
      </c>
      <c r="P26" s="9"/>
      <c r="Q26" s="9" t="s">
        <v>33</v>
      </c>
      <c r="R26" s="9"/>
      <c r="S26" s="88"/>
      <c r="T26" s="83"/>
      <c r="U26" s="185"/>
      <c r="V26" s="186"/>
    </row>
    <row r="27" spans="1:22" s="11" customFormat="1">
      <c r="A27" s="9">
        <v>20</v>
      </c>
      <c r="B27" s="9"/>
      <c r="C27" s="9"/>
      <c r="D27" s="9" t="s">
        <v>46</v>
      </c>
      <c r="E27" s="54" t="s">
        <v>48</v>
      </c>
      <c r="F27" s="54"/>
      <c r="G27" s="55" t="s">
        <v>287</v>
      </c>
      <c r="H27" s="55" t="s">
        <v>226</v>
      </c>
      <c r="I27" s="9" t="s">
        <v>33</v>
      </c>
      <c r="J27" s="9"/>
      <c r="K27" s="9"/>
      <c r="L27" s="9"/>
      <c r="M27" s="9"/>
      <c r="N27" s="9"/>
      <c r="O27" s="9" t="s">
        <v>33</v>
      </c>
      <c r="P27" s="9"/>
      <c r="Q27" s="9" t="s">
        <v>33</v>
      </c>
      <c r="R27" s="9"/>
      <c r="S27" s="88"/>
      <c r="T27" s="83"/>
      <c r="U27" s="185"/>
      <c r="V27" s="186"/>
    </row>
    <row r="28" spans="1:22" s="11" customFormat="1">
      <c r="A28" s="9">
        <v>20</v>
      </c>
      <c r="B28" s="9"/>
      <c r="C28" s="9"/>
      <c r="D28" s="9" t="s">
        <v>55</v>
      </c>
      <c r="E28" s="54" t="s">
        <v>56</v>
      </c>
      <c r="F28" s="54"/>
      <c r="G28" s="55" t="s">
        <v>288</v>
      </c>
      <c r="H28" s="55" t="s">
        <v>50</v>
      </c>
      <c r="I28" s="9" t="s">
        <v>33</v>
      </c>
      <c r="J28" s="9"/>
      <c r="K28" s="9"/>
      <c r="L28" s="9"/>
      <c r="M28" s="9"/>
      <c r="N28" s="9"/>
      <c r="O28" s="9" t="s">
        <v>33</v>
      </c>
      <c r="P28" s="9"/>
      <c r="Q28" s="9" t="s">
        <v>33</v>
      </c>
      <c r="R28" s="9"/>
      <c r="S28" s="88"/>
      <c r="T28" s="83"/>
      <c r="U28" s="185"/>
      <c r="V28" s="186"/>
    </row>
    <row r="29" spans="1:22" s="11" customFormat="1">
      <c r="A29" s="9">
        <v>20</v>
      </c>
      <c r="B29" s="9"/>
      <c r="C29" s="9"/>
      <c r="D29" s="9" t="s">
        <v>51</v>
      </c>
      <c r="E29" s="54" t="s">
        <v>53</v>
      </c>
      <c r="F29" s="54"/>
      <c r="G29" s="55" t="s">
        <v>289</v>
      </c>
      <c r="H29" s="55" t="s">
        <v>202</v>
      </c>
      <c r="I29" s="9" t="s">
        <v>33</v>
      </c>
      <c r="J29" s="9"/>
      <c r="K29" s="9"/>
      <c r="L29" s="9"/>
      <c r="M29" s="9"/>
      <c r="N29" s="9"/>
      <c r="O29" s="9" t="s">
        <v>33</v>
      </c>
      <c r="P29" s="9"/>
      <c r="Q29" s="9" t="s">
        <v>33</v>
      </c>
      <c r="R29" s="9"/>
      <c r="S29" s="88"/>
      <c r="T29" s="83"/>
      <c r="U29" s="185"/>
      <c r="V29" s="186"/>
    </row>
    <row r="30" spans="1:22" s="11" customFormat="1">
      <c r="A30" s="9">
        <v>20</v>
      </c>
      <c r="B30" s="9"/>
      <c r="C30" s="9"/>
      <c r="D30" s="9" t="s">
        <v>93</v>
      </c>
      <c r="E30" s="54" t="s">
        <v>94</v>
      </c>
      <c r="F30" s="54"/>
      <c r="G30" s="55" t="s">
        <v>291</v>
      </c>
      <c r="H30" s="55" t="s">
        <v>232</v>
      </c>
      <c r="I30" s="9" t="s">
        <v>33</v>
      </c>
      <c r="J30" s="9"/>
      <c r="K30" s="9"/>
      <c r="L30" s="9"/>
      <c r="M30" s="9"/>
      <c r="N30" s="9"/>
      <c r="O30" s="9" t="s">
        <v>33</v>
      </c>
      <c r="P30" s="9"/>
      <c r="Q30" s="9" t="s">
        <v>33</v>
      </c>
      <c r="R30" s="9"/>
      <c r="S30" s="88"/>
      <c r="T30" s="83"/>
      <c r="U30" s="185"/>
      <c r="V30" s="186"/>
    </row>
    <row r="31" spans="1:22" s="11" customFormat="1">
      <c r="A31" s="84"/>
      <c r="B31" s="85"/>
      <c r="C31" s="85"/>
      <c r="D31" s="62" t="s">
        <v>1</v>
      </c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4"/>
      <c r="T31" s="4"/>
      <c r="U31" s="6"/>
      <c r="V31" s="23"/>
    </row>
    <row r="32" spans="1:22" s="11" customFormat="1">
      <c r="A32" s="111"/>
      <c r="V32" s="61"/>
    </row>
    <row r="33" spans="1:22" s="11" customFormat="1">
      <c r="A33" s="111"/>
      <c r="V33" s="61"/>
    </row>
    <row r="34" spans="1:22" s="11" customFormat="1">
      <c r="A34" s="111"/>
      <c r="V34" s="61"/>
    </row>
    <row r="35" spans="1:22" s="11" customFormat="1">
      <c r="A35" s="116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20"/>
    </row>
  </sheetData>
  <dataConsolidate/>
  <mergeCells count="17">
    <mergeCell ref="U16:V16"/>
    <mergeCell ref="U12:V12"/>
    <mergeCell ref="U13:V13"/>
    <mergeCell ref="U14:V14"/>
    <mergeCell ref="U15:V15"/>
    <mergeCell ref="U30:V30"/>
    <mergeCell ref="U19:V19"/>
    <mergeCell ref="U18:V18"/>
    <mergeCell ref="U17:V17"/>
    <mergeCell ref="U27:V27"/>
    <mergeCell ref="U28:V28"/>
    <mergeCell ref="U29:V29"/>
    <mergeCell ref="U20:V20"/>
    <mergeCell ref="U21:V21"/>
    <mergeCell ref="U24:V24"/>
    <mergeCell ref="U25:V25"/>
    <mergeCell ref="U26:V2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46"/>
  <sheetViews>
    <sheetView topLeftCell="L1" zoomScale="85" zoomScaleNormal="85" zoomScaleSheetLayoutView="85" workbookViewId="0"/>
  </sheetViews>
  <sheetFormatPr defaultColWidth="9" defaultRowHeight="13"/>
  <cols>
    <col min="1" max="1" width="4.81640625" style="63" customWidth="1"/>
    <col min="2" max="2" width="2.6328125" style="63" bestFit="1" customWidth="1"/>
    <col min="3" max="3" width="3.36328125" style="63" customWidth="1"/>
    <col min="4" max="4" width="27.1796875" style="62" bestFit="1" customWidth="1"/>
    <col min="5" max="5" width="25.6328125" style="62" customWidth="1"/>
    <col min="6" max="6" width="7.453125" style="63" bestFit="1" customWidth="1"/>
    <col min="7" max="7" width="30.81640625" style="63" customWidth="1"/>
    <col min="8" max="8" width="44.08984375" style="63" customWidth="1"/>
    <col min="9" max="10" width="15.81640625" style="63" customWidth="1"/>
    <col min="11" max="11" width="19.36328125" style="63" bestFit="1" customWidth="1"/>
    <col min="12" max="12" width="31.1796875" style="63" customWidth="1"/>
    <col min="13" max="13" width="12.81640625" style="63" bestFit="1" customWidth="1"/>
    <col min="14" max="14" width="50.6328125" style="63" customWidth="1"/>
    <col min="15" max="15" width="30.81640625" style="63" customWidth="1"/>
    <col min="16" max="16" width="18.36328125" style="63" bestFit="1" customWidth="1"/>
    <col min="17" max="17" width="15.81640625" style="62" customWidth="1"/>
    <col min="18" max="18" width="27.1796875" style="62" bestFit="1" customWidth="1"/>
    <col min="19" max="19" width="20.453125" style="62" bestFit="1" customWidth="1"/>
    <col min="20" max="20" width="9" style="62"/>
    <col min="21" max="21" width="13.90625" style="62" bestFit="1" customWidth="1"/>
    <col min="22" max="16384" width="9" style="62"/>
  </cols>
  <sheetData>
    <row r="1" spans="1:18" s="11" customFormat="1">
      <c r="A1" s="107" t="s">
        <v>16</v>
      </c>
      <c r="B1" s="107" t="s">
        <v>16</v>
      </c>
      <c r="C1" s="10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2"/>
    </row>
    <row r="2" spans="1:18" s="11" customFormat="1" ht="40" customHeight="1">
      <c r="A2" s="108" t="s">
        <v>16</v>
      </c>
      <c r="B2" s="109"/>
      <c r="C2" s="109"/>
      <c r="D2" s="119" t="s">
        <v>268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MABSL0160</v>
      </c>
      <c r="I2" s="7" t="s">
        <v>216</v>
      </c>
      <c r="J2" s="9" t="s">
        <v>129</v>
      </c>
      <c r="K2" s="7" t="s">
        <v>29</v>
      </c>
      <c r="L2" s="110" t="str">
        <f>IF(LogicCommon!G2="","",LogicCommon!G2)</f>
        <v>MC</v>
      </c>
      <c r="M2" s="5" t="s">
        <v>217</v>
      </c>
      <c r="N2" s="28" t="s">
        <v>261</v>
      </c>
      <c r="O2" s="7"/>
      <c r="P2" s="7"/>
      <c r="Q2" s="4"/>
      <c r="R2" s="62"/>
    </row>
    <row r="3" spans="1:18" s="11" customFormat="1">
      <c r="A3" s="111" t="s">
        <v>16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MABSL_InspPointReg</v>
      </c>
      <c r="I3" s="7" t="s">
        <v>218</v>
      </c>
      <c r="J3" s="9" t="s">
        <v>30</v>
      </c>
      <c r="K3" s="7" t="s">
        <v>45</v>
      </c>
      <c r="L3" s="110" t="str">
        <f>IF(LogicCommon!G3="","",LogicCommon!G3)</f>
        <v/>
      </c>
      <c r="M3" s="114" t="s">
        <v>31</v>
      </c>
      <c r="N3" s="7"/>
      <c r="O3" s="7" t="s">
        <v>219</v>
      </c>
      <c r="P3" s="9" t="s">
        <v>32</v>
      </c>
      <c r="Q3" s="4"/>
      <c r="R3" s="62"/>
    </row>
    <row r="4" spans="1:18" s="11" customFormat="1">
      <c r="A4" s="111" t="s">
        <v>16</v>
      </c>
      <c r="B4" s="112"/>
      <c r="C4" s="112"/>
      <c r="D4" s="4"/>
      <c r="E4" s="7" t="s">
        <v>8</v>
      </c>
      <c r="F4" s="10" t="s">
        <v>215</v>
      </c>
      <c r="G4" s="7" t="s">
        <v>11</v>
      </c>
      <c r="H4" s="110" t="str">
        <f>IF(LogicCommon!E4="","",LogicCommon!E4)</f>
        <v>検査項目マスタ登録</v>
      </c>
      <c r="I4" s="7" t="s">
        <v>112</v>
      </c>
      <c r="J4" s="9" t="s">
        <v>73</v>
      </c>
      <c r="K4" s="7" t="s">
        <v>5</v>
      </c>
      <c r="L4" s="110" t="str">
        <f>IF(LogicCommon!G4="","",LogicCommon!G4)</f>
        <v>MA.MAUDL5010</v>
      </c>
      <c r="M4" s="115"/>
      <c r="N4" s="28"/>
      <c r="O4" s="14"/>
      <c r="P4" s="4"/>
      <c r="Q4" s="4"/>
      <c r="R4" s="62"/>
    </row>
    <row r="5" spans="1:18" s="11" customFormat="1">
      <c r="A5" s="116" t="s">
        <v>16</v>
      </c>
      <c r="B5" s="107"/>
      <c r="C5" s="107"/>
      <c r="D5" s="26"/>
      <c r="E5" s="7" t="s">
        <v>220</v>
      </c>
      <c r="F5" s="10"/>
      <c r="G5" s="117"/>
      <c r="H5" s="117"/>
      <c r="I5" s="117"/>
      <c r="J5" s="117"/>
      <c r="K5" s="117"/>
      <c r="L5" s="6"/>
      <c r="M5" s="5"/>
      <c r="N5" s="5"/>
      <c r="O5" s="14"/>
      <c r="P5" s="4"/>
      <c r="Q5" s="4"/>
      <c r="R5" s="62"/>
    </row>
    <row r="6" spans="1:18" s="11" customFormat="1">
      <c r="A6" s="111" t="s">
        <v>16</v>
      </c>
      <c r="B6" s="112"/>
      <c r="C6" s="112"/>
      <c r="D6" s="4" t="s">
        <v>6</v>
      </c>
      <c r="E6" s="16" t="s">
        <v>197</v>
      </c>
      <c r="F6" s="16"/>
      <c r="G6" s="16"/>
      <c r="H6" s="16"/>
      <c r="I6" s="16"/>
      <c r="J6" s="16"/>
      <c r="K6" s="16"/>
      <c r="L6" s="118" t="s">
        <v>35</v>
      </c>
      <c r="M6" s="19"/>
      <c r="N6" s="19" t="s">
        <v>35</v>
      </c>
      <c r="O6" s="19"/>
      <c r="P6" s="19"/>
      <c r="Q6" s="19"/>
      <c r="R6" s="62"/>
    </row>
    <row r="7" spans="1:18" s="11" customFormat="1">
      <c r="A7" s="64" t="s">
        <v>18</v>
      </c>
      <c r="B7" s="64"/>
      <c r="C7" s="64"/>
      <c r="D7" s="65"/>
      <c r="E7" s="65"/>
      <c r="F7" s="65"/>
      <c r="G7" s="65"/>
      <c r="H7" s="65"/>
      <c r="I7" s="65" t="s">
        <v>37</v>
      </c>
      <c r="J7" s="65"/>
      <c r="K7" s="66" t="s">
        <v>38</v>
      </c>
      <c r="L7" s="67" t="s">
        <v>103</v>
      </c>
      <c r="M7" s="66" t="s">
        <v>38</v>
      </c>
      <c r="N7" s="67" t="s">
        <v>104</v>
      </c>
      <c r="O7" s="63"/>
      <c r="P7" s="63"/>
      <c r="Q7" s="63"/>
      <c r="R7" s="63"/>
    </row>
    <row r="8" spans="1:18" s="11" customFormat="1" ht="60" customHeight="1">
      <c r="A8" s="54" t="s">
        <v>18</v>
      </c>
      <c r="B8" s="122"/>
      <c r="C8" s="123"/>
      <c r="D8" s="120" t="s">
        <v>269</v>
      </c>
      <c r="E8" s="120" t="s">
        <v>270</v>
      </c>
      <c r="F8" s="118"/>
      <c r="G8" s="120" t="s">
        <v>229</v>
      </c>
      <c r="H8" s="120" t="s">
        <v>271</v>
      </c>
      <c r="I8" s="118"/>
      <c r="J8" s="3"/>
      <c r="K8" s="66" t="s">
        <v>17</v>
      </c>
      <c r="L8" s="68" t="s">
        <v>149</v>
      </c>
      <c r="M8" s="66" t="s">
        <v>17</v>
      </c>
      <c r="N8" s="68" t="s">
        <v>150</v>
      </c>
      <c r="O8" s="131"/>
      <c r="P8" s="132"/>
      <c r="Q8" s="133" t="s">
        <v>272</v>
      </c>
      <c r="R8" s="83"/>
    </row>
    <row r="9" spans="1:18" s="11" customFormat="1" ht="60" customHeight="1">
      <c r="A9" s="9" t="s">
        <v>18</v>
      </c>
      <c r="B9" s="37"/>
      <c r="C9" s="38"/>
      <c r="D9" s="120" t="s">
        <v>273</v>
      </c>
      <c r="E9" s="128" t="s">
        <v>274</v>
      </c>
      <c r="F9" s="120" t="s">
        <v>275</v>
      </c>
      <c r="G9" s="120" t="s">
        <v>276</v>
      </c>
      <c r="H9" s="120" t="s">
        <v>277</v>
      </c>
      <c r="I9" s="129" t="s">
        <v>278</v>
      </c>
      <c r="J9" s="120" t="s">
        <v>279</v>
      </c>
      <c r="K9" s="66"/>
      <c r="L9" s="66"/>
      <c r="M9" s="66"/>
      <c r="N9" s="66"/>
      <c r="O9" s="133" t="s">
        <v>280</v>
      </c>
      <c r="P9" s="83"/>
      <c r="Q9" s="133" t="s">
        <v>281</v>
      </c>
      <c r="R9" s="83"/>
    </row>
    <row r="10" spans="1:18" s="11" customFormat="1" ht="52">
      <c r="A10" s="71" t="s">
        <v>18</v>
      </c>
      <c r="B10" s="72"/>
      <c r="C10" s="72"/>
      <c r="D10" s="73"/>
      <c r="E10" s="74"/>
      <c r="F10" s="74"/>
      <c r="G10" s="75"/>
      <c r="H10" s="75"/>
      <c r="I10" s="74"/>
      <c r="J10" s="74"/>
      <c r="K10" s="130" t="s">
        <v>278</v>
      </c>
      <c r="L10" s="130" t="s">
        <v>279</v>
      </c>
      <c r="M10" s="130" t="s">
        <v>278</v>
      </c>
      <c r="N10" s="130" t="s">
        <v>279</v>
      </c>
      <c r="O10" s="74"/>
      <c r="P10" s="74"/>
      <c r="Q10" s="75"/>
      <c r="R10" s="70"/>
    </row>
    <row r="11" spans="1:18" s="11" customFormat="1">
      <c r="A11" s="9">
        <v>10</v>
      </c>
      <c r="B11" s="37" t="s">
        <v>0</v>
      </c>
      <c r="C11" s="38"/>
      <c r="D11" s="28" t="s">
        <v>84</v>
      </c>
      <c r="E11" s="76" t="s">
        <v>22</v>
      </c>
      <c r="F11" s="77"/>
      <c r="G11" s="28" t="s">
        <v>98</v>
      </c>
      <c r="H11" s="78" t="s">
        <v>256</v>
      </c>
      <c r="I11" s="79"/>
      <c r="J11" s="80"/>
      <c r="K11" s="81" t="s">
        <v>257</v>
      </c>
      <c r="L11" s="81"/>
      <c r="M11" s="81" t="s">
        <v>258</v>
      </c>
      <c r="N11" s="81"/>
      <c r="O11" s="69"/>
      <c r="P11" s="70"/>
      <c r="Q11" s="106"/>
      <c r="R11" s="82"/>
    </row>
    <row r="12" spans="1:18" s="11" customFormat="1">
      <c r="A12" s="9">
        <v>10</v>
      </c>
      <c r="B12" s="9"/>
      <c r="C12" s="9"/>
      <c r="D12" s="9" t="s">
        <v>154</v>
      </c>
      <c r="E12" s="54" t="s">
        <v>151</v>
      </c>
      <c r="F12" s="54"/>
      <c r="G12" s="55" t="s">
        <v>282</v>
      </c>
      <c r="H12" s="55" t="s">
        <v>199</v>
      </c>
      <c r="I12" s="9" t="s">
        <v>33</v>
      </c>
      <c r="J12" s="9"/>
      <c r="K12" s="9" t="s">
        <v>33</v>
      </c>
      <c r="L12" s="9"/>
      <c r="M12" s="9" t="s">
        <v>221</v>
      </c>
      <c r="N12" s="9"/>
      <c r="O12" s="88"/>
      <c r="P12" s="83"/>
      <c r="Q12" s="185"/>
      <c r="R12" s="186"/>
    </row>
    <row r="13" spans="1:18" s="11" customFormat="1">
      <c r="A13" s="9">
        <v>10</v>
      </c>
      <c r="B13" s="9"/>
      <c r="C13" s="9"/>
      <c r="D13" s="9" t="s">
        <v>93</v>
      </c>
      <c r="E13" s="54" t="s">
        <v>94</v>
      </c>
      <c r="F13" s="54"/>
      <c r="G13" s="55" t="s">
        <v>291</v>
      </c>
      <c r="H13" s="55" t="s">
        <v>232</v>
      </c>
      <c r="I13" s="9" t="s">
        <v>221</v>
      </c>
      <c r="J13" s="9"/>
      <c r="K13" s="9" t="s">
        <v>221</v>
      </c>
      <c r="L13" s="9"/>
      <c r="M13" s="9" t="s">
        <v>221</v>
      </c>
      <c r="N13" s="9"/>
      <c r="O13" s="69"/>
      <c r="P13" s="70"/>
      <c r="Q13" s="106"/>
      <c r="R13" s="82"/>
    </row>
    <row r="14" spans="1:18" s="11" customFormat="1">
      <c r="A14" s="84"/>
      <c r="B14" s="85"/>
      <c r="C14" s="85"/>
      <c r="D14" s="62" t="s">
        <v>1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4"/>
      <c r="P14" s="4"/>
      <c r="Q14" s="6"/>
      <c r="R14" s="23"/>
    </row>
    <row r="15" spans="1:18" s="11" customFormat="1">
      <c r="A15" s="111"/>
      <c r="R15" s="61"/>
    </row>
    <row r="16" spans="1:18" s="11" customFormat="1">
      <c r="A16" s="111"/>
      <c r="R16" s="61"/>
    </row>
    <row r="17" spans="1:18" s="11" customFormat="1">
      <c r="A17" s="111"/>
      <c r="R17" s="61"/>
    </row>
    <row r="18" spans="1:18" s="11" customFormat="1">
      <c r="A18" s="111"/>
      <c r="R18" s="61"/>
    </row>
    <row r="19" spans="1:18" s="11" customFormat="1">
      <c r="A19" s="111"/>
      <c r="R19" s="61"/>
    </row>
    <row r="20" spans="1:18" s="11" customFormat="1">
      <c r="A20" s="111"/>
      <c r="R20" s="61"/>
    </row>
    <row r="21" spans="1:18" s="11" customFormat="1">
      <c r="A21" s="111"/>
      <c r="R21" s="61"/>
    </row>
    <row r="22" spans="1:18" s="11" customFormat="1">
      <c r="A22" s="111"/>
      <c r="R22" s="61"/>
    </row>
    <row r="23" spans="1:18" s="11" customFormat="1">
      <c r="A23" s="111"/>
      <c r="R23" s="61"/>
    </row>
    <row r="24" spans="1:18" s="11" customFormat="1">
      <c r="A24" s="111"/>
      <c r="R24" s="61"/>
    </row>
    <row r="25" spans="1:18" s="11" customFormat="1">
      <c r="A25" s="111"/>
      <c r="R25" s="61"/>
    </row>
    <row r="26" spans="1:18" s="11" customFormat="1">
      <c r="A26" s="111"/>
      <c r="R26" s="61"/>
    </row>
    <row r="27" spans="1:18" s="11" customFormat="1">
      <c r="A27" s="111"/>
      <c r="R27" s="61"/>
    </row>
    <row r="28" spans="1:18" s="11" customFormat="1">
      <c r="A28" s="111"/>
      <c r="R28" s="61"/>
    </row>
    <row r="29" spans="1:18" s="11" customFormat="1">
      <c r="A29" s="111"/>
      <c r="R29" s="61"/>
    </row>
    <row r="30" spans="1:18" s="11" customFormat="1">
      <c r="A30" s="111"/>
      <c r="R30" s="61"/>
    </row>
    <row r="31" spans="1:18" s="11" customFormat="1">
      <c r="A31" s="111"/>
      <c r="R31" s="61"/>
    </row>
    <row r="32" spans="1:18" s="11" customFormat="1">
      <c r="A32" s="111"/>
      <c r="R32" s="61"/>
    </row>
    <row r="33" spans="1:18" s="11" customFormat="1">
      <c r="A33" s="111"/>
      <c r="R33" s="61"/>
    </row>
    <row r="34" spans="1:18" s="11" customFormat="1">
      <c r="A34" s="111"/>
      <c r="R34" s="61"/>
    </row>
    <row r="35" spans="1:18" s="11" customFormat="1">
      <c r="A35" s="111"/>
      <c r="R35" s="61"/>
    </row>
    <row r="36" spans="1:18" s="11" customFormat="1">
      <c r="A36" s="111"/>
      <c r="R36" s="61"/>
    </row>
    <row r="37" spans="1:18" s="11" customFormat="1">
      <c r="A37" s="111"/>
      <c r="R37" s="61"/>
    </row>
    <row r="38" spans="1:18" s="11" customFormat="1">
      <c r="A38" s="111"/>
      <c r="R38" s="61"/>
    </row>
    <row r="39" spans="1:18" s="11" customFormat="1">
      <c r="A39" s="111"/>
      <c r="R39" s="61"/>
    </row>
    <row r="40" spans="1:18" s="11" customFormat="1">
      <c r="A40" s="111"/>
      <c r="R40" s="61"/>
    </row>
    <row r="41" spans="1:18" s="11" customFormat="1">
      <c r="A41" s="111"/>
      <c r="R41" s="61"/>
    </row>
    <row r="42" spans="1:18" s="11" customFormat="1">
      <c r="A42" s="111"/>
      <c r="R42" s="61"/>
    </row>
    <row r="43" spans="1:18" s="11" customFormat="1">
      <c r="A43" s="111"/>
      <c r="R43" s="61"/>
    </row>
    <row r="44" spans="1:18" s="11" customFormat="1">
      <c r="A44" s="111"/>
      <c r="R44" s="61"/>
    </row>
    <row r="45" spans="1:18" s="11" customFormat="1">
      <c r="A45" s="111"/>
      <c r="R45" s="61"/>
    </row>
    <row r="46" spans="1:18" s="11" customFormat="1">
      <c r="A46" s="116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20"/>
    </row>
  </sheetData>
  <dataConsolidate/>
  <mergeCells count="1">
    <mergeCell ref="Q12:R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topLeftCell="A4" zoomScale="85" zoomScaleNormal="85" workbookViewId="0">
      <selection sqref="A1:BE1"/>
    </sheetView>
  </sheetViews>
  <sheetFormatPr defaultColWidth="9" defaultRowHeight="13"/>
  <cols>
    <col min="1" max="42" width="2.08984375" style="101" customWidth="1"/>
    <col min="43" max="44" width="2.08984375" style="102" customWidth="1"/>
    <col min="45" max="71" width="2.08984375" style="101" customWidth="1"/>
    <col min="72" max="16384" width="9" style="101"/>
  </cols>
  <sheetData>
    <row r="1" spans="1:57" s="98" customFormat="1" ht="38.25" customHeight="1" thickBot="1">
      <c r="A1" s="138" t="s">
        <v>23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40"/>
    </row>
    <row r="2" spans="1:57" s="98" customFormat="1" ht="12" customHeight="1" thickBot="1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100"/>
      <c r="AR2" s="100"/>
    </row>
    <row r="3" spans="1:57" ht="15" customHeight="1" thickBot="1">
      <c r="A3" s="173" t="s">
        <v>24</v>
      </c>
      <c r="B3" s="142"/>
      <c r="C3" s="142"/>
      <c r="D3" s="142"/>
      <c r="E3" s="142"/>
      <c r="F3" s="142"/>
      <c r="G3" s="143"/>
      <c r="H3" s="141" t="s">
        <v>25</v>
      </c>
      <c r="I3" s="142"/>
      <c r="J3" s="142"/>
      <c r="K3" s="142"/>
      <c r="L3" s="142"/>
      <c r="M3" s="142"/>
      <c r="N3" s="143"/>
      <c r="O3" s="141" t="s">
        <v>26</v>
      </c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5"/>
      <c r="AQ3" s="146" t="s">
        <v>27</v>
      </c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8"/>
    </row>
    <row r="4" spans="1:57" ht="15" customHeight="1">
      <c r="A4" s="174">
        <v>1</v>
      </c>
      <c r="B4" s="175"/>
      <c r="C4" s="175"/>
      <c r="D4" s="175"/>
      <c r="E4" s="175"/>
      <c r="F4" s="175"/>
      <c r="G4" s="176"/>
      <c r="H4" s="166"/>
      <c r="I4" s="167"/>
      <c r="J4" s="167"/>
      <c r="K4" s="167"/>
      <c r="L4" s="167"/>
      <c r="M4" s="167"/>
      <c r="N4" s="168"/>
      <c r="O4" s="166" t="s">
        <v>28</v>
      </c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70"/>
      <c r="AQ4" s="171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72"/>
    </row>
    <row r="5" spans="1:57" ht="15" customHeight="1">
      <c r="A5" s="149">
        <v>1.1000000000000001</v>
      </c>
      <c r="B5" s="150"/>
      <c r="C5" s="150"/>
      <c r="D5" s="150"/>
      <c r="E5" s="150"/>
      <c r="F5" s="150"/>
      <c r="G5" s="151"/>
      <c r="H5" s="152"/>
      <c r="I5" s="153"/>
      <c r="J5" s="153"/>
      <c r="K5" s="153"/>
      <c r="L5" s="153"/>
      <c r="M5" s="153"/>
      <c r="N5" s="154"/>
      <c r="O5" s="177" t="s">
        <v>315</v>
      </c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78"/>
      <c r="AG5" s="178"/>
      <c r="AH5" s="178"/>
      <c r="AI5" s="178"/>
      <c r="AJ5" s="178"/>
      <c r="AK5" s="178"/>
      <c r="AL5" s="178"/>
      <c r="AM5" s="178"/>
      <c r="AN5" s="178"/>
      <c r="AO5" s="178"/>
      <c r="AP5" s="179"/>
      <c r="AQ5" s="180" t="s">
        <v>316</v>
      </c>
      <c r="AR5" s="181"/>
      <c r="AS5" s="181"/>
      <c r="AT5" s="181"/>
      <c r="AU5" s="181"/>
      <c r="AV5" s="181"/>
      <c r="AW5" s="181"/>
      <c r="AX5" s="181"/>
      <c r="AY5" s="181"/>
      <c r="AZ5" s="181"/>
      <c r="BA5" s="181"/>
      <c r="BB5" s="181"/>
      <c r="BC5" s="181"/>
      <c r="BD5" s="181"/>
      <c r="BE5" s="182"/>
    </row>
    <row r="6" spans="1:57" ht="15" customHeight="1">
      <c r="A6" s="149"/>
      <c r="B6" s="150"/>
      <c r="C6" s="150"/>
      <c r="D6" s="150"/>
      <c r="E6" s="150"/>
      <c r="F6" s="150"/>
      <c r="G6" s="151"/>
      <c r="H6" s="152"/>
      <c r="I6" s="153"/>
      <c r="J6" s="153"/>
      <c r="K6" s="153"/>
      <c r="L6" s="153"/>
      <c r="M6" s="153"/>
      <c r="N6" s="154"/>
      <c r="O6" s="152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6"/>
      <c r="AQ6" s="157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8"/>
    </row>
    <row r="7" spans="1:57" ht="15" customHeight="1">
      <c r="A7" s="149"/>
      <c r="B7" s="150"/>
      <c r="C7" s="150"/>
      <c r="D7" s="150"/>
      <c r="E7" s="150"/>
      <c r="F7" s="150"/>
      <c r="G7" s="151"/>
      <c r="H7" s="152"/>
      <c r="I7" s="153"/>
      <c r="J7" s="153"/>
      <c r="K7" s="153"/>
      <c r="L7" s="153"/>
      <c r="M7" s="153"/>
      <c r="N7" s="154"/>
      <c r="O7" s="152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6"/>
      <c r="AQ7" s="157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8"/>
    </row>
    <row r="8" spans="1:57" ht="15" customHeight="1">
      <c r="A8" s="149"/>
      <c r="B8" s="150"/>
      <c r="C8" s="150"/>
      <c r="D8" s="150"/>
      <c r="E8" s="150"/>
      <c r="F8" s="150"/>
      <c r="G8" s="151"/>
      <c r="H8" s="152"/>
      <c r="I8" s="153"/>
      <c r="J8" s="153"/>
      <c r="K8" s="153"/>
      <c r="L8" s="153"/>
      <c r="M8" s="153"/>
      <c r="N8" s="154"/>
      <c r="O8" s="152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6"/>
      <c r="AQ8" s="157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/>
      <c r="BC8" s="155"/>
      <c r="BD8" s="155"/>
      <c r="BE8" s="158"/>
    </row>
    <row r="9" spans="1:57" ht="15" customHeight="1">
      <c r="A9" s="149"/>
      <c r="B9" s="150"/>
      <c r="C9" s="150"/>
      <c r="D9" s="150"/>
      <c r="E9" s="150"/>
      <c r="F9" s="150"/>
      <c r="G9" s="151"/>
      <c r="H9" s="152"/>
      <c r="I9" s="153"/>
      <c r="J9" s="153"/>
      <c r="K9" s="153"/>
      <c r="L9" s="153"/>
      <c r="M9" s="153"/>
      <c r="N9" s="154"/>
      <c r="O9" s="152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6"/>
      <c r="AQ9" s="157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8"/>
    </row>
    <row r="10" spans="1:57" ht="15" customHeight="1">
      <c r="A10" s="149"/>
      <c r="B10" s="150"/>
      <c r="C10" s="150"/>
      <c r="D10" s="150"/>
      <c r="E10" s="150"/>
      <c r="F10" s="150"/>
      <c r="G10" s="151"/>
      <c r="H10" s="152"/>
      <c r="I10" s="153"/>
      <c r="J10" s="153"/>
      <c r="K10" s="153"/>
      <c r="L10" s="153"/>
      <c r="M10" s="153"/>
      <c r="N10" s="154"/>
      <c r="O10" s="152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6"/>
      <c r="AQ10" s="157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8"/>
    </row>
    <row r="11" spans="1:57" ht="15" customHeight="1">
      <c r="A11" s="149"/>
      <c r="B11" s="150"/>
      <c r="C11" s="150"/>
      <c r="D11" s="150"/>
      <c r="E11" s="150"/>
      <c r="F11" s="150"/>
      <c r="G11" s="151"/>
      <c r="H11" s="152"/>
      <c r="I11" s="153"/>
      <c r="J11" s="153"/>
      <c r="K11" s="153"/>
      <c r="L11" s="153"/>
      <c r="M11" s="153"/>
      <c r="N11" s="154"/>
      <c r="O11" s="152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6"/>
      <c r="AQ11" s="157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8"/>
    </row>
    <row r="12" spans="1:57" ht="15" customHeight="1">
      <c r="A12" s="149"/>
      <c r="B12" s="150"/>
      <c r="C12" s="150"/>
      <c r="D12" s="150"/>
      <c r="E12" s="150"/>
      <c r="F12" s="150"/>
      <c r="G12" s="151"/>
      <c r="H12" s="152"/>
      <c r="I12" s="153"/>
      <c r="J12" s="153"/>
      <c r="K12" s="153"/>
      <c r="L12" s="153"/>
      <c r="M12" s="153"/>
      <c r="N12" s="154"/>
      <c r="O12" s="152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6"/>
      <c r="AQ12" s="157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8"/>
    </row>
    <row r="13" spans="1:57" ht="15" customHeight="1">
      <c r="A13" s="149"/>
      <c r="B13" s="150"/>
      <c r="C13" s="150"/>
      <c r="D13" s="150"/>
      <c r="E13" s="150"/>
      <c r="F13" s="150"/>
      <c r="G13" s="151"/>
      <c r="H13" s="152"/>
      <c r="I13" s="153"/>
      <c r="J13" s="153"/>
      <c r="K13" s="153"/>
      <c r="L13" s="153"/>
      <c r="M13" s="153"/>
      <c r="N13" s="154"/>
      <c r="O13" s="152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6"/>
      <c r="AQ13" s="157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8"/>
    </row>
    <row r="14" spans="1:57" ht="15" customHeight="1">
      <c r="A14" s="149"/>
      <c r="B14" s="150"/>
      <c r="C14" s="150"/>
      <c r="D14" s="150"/>
      <c r="E14" s="150"/>
      <c r="F14" s="150"/>
      <c r="G14" s="151"/>
      <c r="H14" s="152"/>
      <c r="I14" s="153"/>
      <c r="J14" s="153"/>
      <c r="K14" s="153"/>
      <c r="L14" s="153"/>
      <c r="M14" s="153"/>
      <c r="N14" s="154"/>
      <c r="O14" s="152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6"/>
      <c r="AQ14" s="157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8"/>
    </row>
    <row r="15" spans="1:57" ht="15" customHeight="1">
      <c r="A15" s="149"/>
      <c r="B15" s="150"/>
      <c r="C15" s="150"/>
      <c r="D15" s="150"/>
      <c r="E15" s="150"/>
      <c r="F15" s="150"/>
      <c r="G15" s="151"/>
      <c r="H15" s="152"/>
      <c r="I15" s="153"/>
      <c r="J15" s="153"/>
      <c r="K15" s="153"/>
      <c r="L15" s="153"/>
      <c r="M15" s="153"/>
      <c r="N15" s="154"/>
      <c r="O15" s="152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6"/>
      <c r="AQ15" s="157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8"/>
    </row>
    <row r="16" spans="1:57" ht="15" customHeight="1">
      <c r="A16" s="149"/>
      <c r="B16" s="150"/>
      <c r="C16" s="150"/>
      <c r="D16" s="150"/>
      <c r="E16" s="150"/>
      <c r="F16" s="150"/>
      <c r="G16" s="151"/>
      <c r="H16" s="152"/>
      <c r="I16" s="153"/>
      <c r="J16" s="153"/>
      <c r="K16" s="153"/>
      <c r="L16" s="153"/>
      <c r="M16" s="153"/>
      <c r="N16" s="154"/>
      <c r="O16" s="152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6"/>
      <c r="AQ16" s="157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8"/>
    </row>
    <row r="17" spans="1:57" ht="15" customHeight="1">
      <c r="A17" s="149"/>
      <c r="B17" s="150"/>
      <c r="C17" s="150"/>
      <c r="D17" s="150"/>
      <c r="E17" s="150"/>
      <c r="F17" s="150"/>
      <c r="G17" s="151"/>
      <c r="H17" s="152"/>
      <c r="I17" s="153"/>
      <c r="J17" s="153"/>
      <c r="K17" s="153"/>
      <c r="L17" s="153"/>
      <c r="M17" s="153"/>
      <c r="N17" s="154"/>
      <c r="O17" s="152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6"/>
      <c r="AQ17" s="157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8"/>
    </row>
    <row r="18" spans="1:57" ht="15" customHeight="1">
      <c r="A18" s="149"/>
      <c r="B18" s="150"/>
      <c r="C18" s="150"/>
      <c r="D18" s="150"/>
      <c r="E18" s="150"/>
      <c r="F18" s="150"/>
      <c r="G18" s="151"/>
      <c r="H18" s="152"/>
      <c r="I18" s="153"/>
      <c r="J18" s="153"/>
      <c r="K18" s="153"/>
      <c r="L18" s="153"/>
      <c r="M18" s="153"/>
      <c r="N18" s="154"/>
      <c r="O18" s="152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6"/>
      <c r="AQ18" s="157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8"/>
    </row>
    <row r="19" spans="1:57" ht="15" customHeight="1">
      <c r="A19" s="149"/>
      <c r="B19" s="150"/>
      <c r="C19" s="150"/>
      <c r="D19" s="150"/>
      <c r="E19" s="150"/>
      <c r="F19" s="150"/>
      <c r="G19" s="151"/>
      <c r="H19" s="152"/>
      <c r="I19" s="153"/>
      <c r="J19" s="153"/>
      <c r="K19" s="153"/>
      <c r="L19" s="153"/>
      <c r="M19" s="153"/>
      <c r="N19" s="154"/>
      <c r="O19" s="152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6"/>
      <c r="AQ19" s="157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8"/>
    </row>
    <row r="20" spans="1:57" ht="15" customHeight="1">
      <c r="A20" s="149"/>
      <c r="B20" s="150"/>
      <c r="C20" s="150"/>
      <c r="D20" s="150"/>
      <c r="E20" s="150"/>
      <c r="F20" s="150"/>
      <c r="G20" s="151"/>
      <c r="H20" s="152"/>
      <c r="I20" s="153"/>
      <c r="J20" s="153"/>
      <c r="K20" s="153"/>
      <c r="L20" s="153"/>
      <c r="M20" s="153"/>
      <c r="N20" s="154"/>
      <c r="O20" s="152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6"/>
      <c r="AQ20" s="157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8"/>
    </row>
    <row r="21" spans="1:57" ht="15" customHeight="1">
      <c r="A21" s="149"/>
      <c r="B21" s="150"/>
      <c r="C21" s="150"/>
      <c r="D21" s="150"/>
      <c r="E21" s="150"/>
      <c r="F21" s="150"/>
      <c r="G21" s="151"/>
      <c r="H21" s="152"/>
      <c r="I21" s="153"/>
      <c r="J21" s="153"/>
      <c r="K21" s="153"/>
      <c r="L21" s="153"/>
      <c r="M21" s="153"/>
      <c r="N21" s="154"/>
      <c r="O21" s="152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6"/>
      <c r="AQ21" s="157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/>
      <c r="BC21" s="155"/>
      <c r="BD21" s="155"/>
      <c r="BE21" s="158"/>
    </row>
    <row r="22" spans="1:57" ht="15" customHeight="1">
      <c r="A22" s="149"/>
      <c r="B22" s="150"/>
      <c r="C22" s="150"/>
      <c r="D22" s="150"/>
      <c r="E22" s="150"/>
      <c r="F22" s="150"/>
      <c r="G22" s="151"/>
      <c r="H22" s="152"/>
      <c r="I22" s="153"/>
      <c r="J22" s="153"/>
      <c r="K22" s="153"/>
      <c r="L22" s="153"/>
      <c r="M22" s="153"/>
      <c r="N22" s="154"/>
      <c r="O22" s="152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6"/>
      <c r="AQ22" s="157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/>
      <c r="BC22" s="155"/>
      <c r="BD22" s="155"/>
      <c r="BE22" s="158"/>
    </row>
    <row r="23" spans="1:57" ht="15" customHeight="1">
      <c r="A23" s="149"/>
      <c r="B23" s="150"/>
      <c r="C23" s="150"/>
      <c r="D23" s="150"/>
      <c r="E23" s="150"/>
      <c r="F23" s="150"/>
      <c r="G23" s="151"/>
      <c r="H23" s="152"/>
      <c r="I23" s="153"/>
      <c r="J23" s="153"/>
      <c r="K23" s="153"/>
      <c r="L23" s="153"/>
      <c r="M23" s="153"/>
      <c r="N23" s="154"/>
      <c r="O23" s="152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6"/>
      <c r="AQ23" s="157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8"/>
    </row>
    <row r="24" spans="1:57" ht="15" customHeight="1">
      <c r="A24" s="149"/>
      <c r="B24" s="150"/>
      <c r="C24" s="150"/>
      <c r="D24" s="150"/>
      <c r="E24" s="150"/>
      <c r="F24" s="150"/>
      <c r="G24" s="151"/>
      <c r="H24" s="152"/>
      <c r="I24" s="153"/>
      <c r="J24" s="153"/>
      <c r="K24" s="153"/>
      <c r="L24" s="153"/>
      <c r="M24" s="153"/>
      <c r="N24" s="154"/>
      <c r="O24" s="152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6"/>
      <c r="AQ24" s="157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/>
      <c r="BC24" s="155"/>
      <c r="BD24" s="155"/>
      <c r="BE24" s="158"/>
    </row>
    <row r="25" spans="1:57" ht="15" customHeight="1">
      <c r="A25" s="149"/>
      <c r="B25" s="150"/>
      <c r="C25" s="150"/>
      <c r="D25" s="150"/>
      <c r="E25" s="150"/>
      <c r="F25" s="150"/>
      <c r="G25" s="151"/>
      <c r="H25" s="152"/>
      <c r="I25" s="153"/>
      <c r="J25" s="153"/>
      <c r="K25" s="153"/>
      <c r="L25" s="153"/>
      <c r="M25" s="153"/>
      <c r="N25" s="154"/>
      <c r="O25" s="152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6"/>
      <c r="AQ25" s="157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155"/>
      <c r="BE25" s="158"/>
    </row>
    <row r="26" spans="1:57" ht="15" customHeight="1">
      <c r="A26" s="149"/>
      <c r="B26" s="150"/>
      <c r="C26" s="150"/>
      <c r="D26" s="150"/>
      <c r="E26" s="150"/>
      <c r="F26" s="150"/>
      <c r="G26" s="151"/>
      <c r="H26" s="152"/>
      <c r="I26" s="153"/>
      <c r="J26" s="153"/>
      <c r="K26" s="153"/>
      <c r="L26" s="153"/>
      <c r="M26" s="153"/>
      <c r="N26" s="154"/>
      <c r="O26" s="152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6"/>
      <c r="AQ26" s="157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8"/>
    </row>
    <row r="27" spans="1:57" ht="15" customHeight="1">
      <c r="A27" s="149"/>
      <c r="B27" s="150"/>
      <c r="C27" s="150"/>
      <c r="D27" s="150"/>
      <c r="E27" s="150"/>
      <c r="F27" s="150"/>
      <c r="G27" s="151"/>
      <c r="H27" s="152"/>
      <c r="I27" s="153"/>
      <c r="J27" s="153"/>
      <c r="K27" s="153"/>
      <c r="L27" s="153"/>
      <c r="M27" s="153"/>
      <c r="N27" s="154"/>
      <c r="O27" s="152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6"/>
      <c r="AQ27" s="157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/>
      <c r="BC27" s="155"/>
      <c r="BD27" s="155"/>
      <c r="BE27" s="158"/>
    </row>
    <row r="28" spans="1:57" ht="15" customHeight="1">
      <c r="A28" s="149"/>
      <c r="B28" s="150"/>
      <c r="C28" s="150"/>
      <c r="D28" s="150"/>
      <c r="E28" s="150"/>
      <c r="F28" s="150"/>
      <c r="G28" s="151"/>
      <c r="H28" s="152"/>
      <c r="I28" s="153"/>
      <c r="J28" s="153"/>
      <c r="K28" s="153"/>
      <c r="L28" s="153"/>
      <c r="M28" s="153"/>
      <c r="N28" s="154"/>
      <c r="O28" s="152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6"/>
      <c r="AQ28" s="157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8"/>
    </row>
    <row r="29" spans="1:57" ht="15" customHeight="1">
      <c r="A29" s="149"/>
      <c r="B29" s="150"/>
      <c r="C29" s="150"/>
      <c r="D29" s="150"/>
      <c r="E29" s="150"/>
      <c r="F29" s="150"/>
      <c r="G29" s="151"/>
      <c r="H29" s="152"/>
      <c r="I29" s="153"/>
      <c r="J29" s="153"/>
      <c r="K29" s="153"/>
      <c r="L29" s="153"/>
      <c r="M29" s="153"/>
      <c r="N29" s="154"/>
      <c r="O29" s="152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  <c r="AP29" s="156"/>
      <c r="AQ29" s="157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8"/>
    </row>
    <row r="30" spans="1:57" ht="15" customHeight="1">
      <c r="A30" s="149"/>
      <c r="B30" s="150"/>
      <c r="C30" s="150"/>
      <c r="D30" s="150"/>
      <c r="E30" s="150"/>
      <c r="F30" s="150"/>
      <c r="G30" s="151"/>
      <c r="H30" s="152"/>
      <c r="I30" s="153"/>
      <c r="J30" s="153"/>
      <c r="K30" s="153"/>
      <c r="L30" s="153"/>
      <c r="M30" s="153"/>
      <c r="N30" s="154"/>
      <c r="O30" s="152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6"/>
      <c r="AQ30" s="157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8"/>
    </row>
    <row r="31" spans="1:57" ht="15" customHeight="1">
      <c r="A31" s="149"/>
      <c r="B31" s="150"/>
      <c r="C31" s="150"/>
      <c r="D31" s="150"/>
      <c r="E31" s="150"/>
      <c r="F31" s="150"/>
      <c r="G31" s="151"/>
      <c r="H31" s="152"/>
      <c r="I31" s="153"/>
      <c r="J31" s="153"/>
      <c r="K31" s="153"/>
      <c r="L31" s="153"/>
      <c r="M31" s="153"/>
      <c r="N31" s="154"/>
      <c r="O31" s="152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6"/>
      <c r="AQ31" s="157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8"/>
    </row>
    <row r="32" spans="1:57" ht="15" customHeight="1">
      <c r="A32" s="149"/>
      <c r="B32" s="150"/>
      <c r="C32" s="150"/>
      <c r="D32" s="150"/>
      <c r="E32" s="150"/>
      <c r="F32" s="150"/>
      <c r="G32" s="151"/>
      <c r="H32" s="152"/>
      <c r="I32" s="153"/>
      <c r="J32" s="153"/>
      <c r="K32" s="153"/>
      <c r="L32" s="153"/>
      <c r="M32" s="153"/>
      <c r="N32" s="154"/>
      <c r="O32" s="152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  <c r="AO32" s="155"/>
      <c r="AP32" s="156"/>
      <c r="AQ32" s="157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8"/>
    </row>
    <row r="33" spans="1:57" ht="15" customHeight="1">
      <c r="A33" s="149"/>
      <c r="B33" s="150"/>
      <c r="C33" s="150"/>
      <c r="D33" s="150"/>
      <c r="E33" s="150"/>
      <c r="F33" s="150"/>
      <c r="G33" s="151"/>
      <c r="H33" s="152"/>
      <c r="I33" s="153"/>
      <c r="J33" s="153"/>
      <c r="K33" s="153"/>
      <c r="L33" s="153"/>
      <c r="M33" s="153"/>
      <c r="N33" s="154"/>
      <c r="O33" s="152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  <c r="AO33" s="155"/>
      <c r="AP33" s="156"/>
      <c r="AQ33" s="157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8"/>
    </row>
    <row r="34" spans="1:57" ht="15" customHeight="1">
      <c r="A34" s="149"/>
      <c r="B34" s="150"/>
      <c r="C34" s="150"/>
      <c r="D34" s="150"/>
      <c r="E34" s="150"/>
      <c r="F34" s="150"/>
      <c r="G34" s="151"/>
      <c r="H34" s="152"/>
      <c r="I34" s="153"/>
      <c r="J34" s="153"/>
      <c r="K34" s="153"/>
      <c r="L34" s="153"/>
      <c r="M34" s="153"/>
      <c r="N34" s="154"/>
      <c r="O34" s="152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6"/>
      <c r="AQ34" s="157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8"/>
    </row>
    <row r="35" spans="1:57" ht="15" customHeight="1" thickBot="1">
      <c r="A35" s="135"/>
      <c r="B35" s="136"/>
      <c r="C35" s="136"/>
      <c r="D35" s="136"/>
      <c r="E35" s="136"/>
      <c r="F35" s="136"/>
      <c r="G35" s="137"/>
      <c r="H35" s="159"/>
      <c r="I35" s="160"/>
      <c r="J35" s="160"/>
      <c r="K35" s="160"/>
      <c r="L35" s="160"/>
      <c r="M35" s="160"/>
      <c r="N35" s="161"/>
      <c r="O35" s="159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3"/>
      <c r="AQ35" s="164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2"/>
      <c r="BC35" s="162"/>
      <c r="BD35" s="162"/>
      <c r="BE35" s="165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InspPoint_UpdChk01</vt:lpstr>
      <vt:lpstr>InspPoint_Upd01</vt:lpstr>
      <vt:lpstr>InspPointLcl_UpdChk01</vt:lpstr>
      <vt:lpstr>InspPointLcl_Upd01</vt:lpstr>
      <vt:lpstr>InspPoint_DelChk01</vt:lpstr>
      <vt:lpstr>InspPoint_Del01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2026-03-27T05:44:57Z</dcterms:modified>
  <cp:category/>
</cp:coreProperties>
</file>