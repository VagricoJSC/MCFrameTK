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171D224C-303C-4878-B6D1-018425D95090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ItmSite_UpdChk01" sheetId="18" r:id="rId2"/>
    <sheet name="ItmSite_Upd01" sheetId="15" r:id="rId3"/>
    <sheet name="ItmSite_DelChk01" sheetId="21" r:id="rId4"/>
    <sheet name="ItmSite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<sst xmlns="http://schemas.openxmlformats.org/spreadsheetml/2006/main" count="1615" uniqueCount="433">
  <si>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</si>
  <si>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</si>
  <si>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</si>
  <si>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</si>
  <si>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</si>
  <si>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</si>
  <si>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</si>
  <si>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</si>
  <si>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</si>
  <si>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</si>
  <si>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</si>
  <si>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</si>
  <si>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</si>
  <si>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</si>
  <si>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</si>
  <si>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</si>
  <si>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</si>
  <si>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</si>
  <si>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</si>
  <si>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</si>
  <si>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</si>
  <si>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</si>
  <si>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*</t>
    <phoneticPr fontId="1"/>
  </si>
  <si>
    <t>ACType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</si>
  <si>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</si>
  <si>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</si>
  <si>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</si>
  <si>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</si>
  <si>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</si>
  <si>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</si>
  <si>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Ope.ID :</t>
    <phoneticPr fontId="1"/>
  </si>
  <si>
    <t>Pj.ID :</t>
    <phoneticPr fontId="1"/>
  </si>
  <si>
    <t xml:space="preserve">Ope.Body : </t>
    <phoneticPr fontId="1"/>
  </si>
  <si>
    <t>Ope.Method :</t>
    <phoneticPr fontId="1"/>
  </si>
  <si>
    <t>@</t>
    <phoneticPr fontId="1"/>
  </si>
  <si>
    <t>SuperClassPj.ID :</t>
    <phoneticPr fontId="1"/>
  </si>
  <si>
    <t>ReportID :</t>
    <phoneticPr fontId="1"/>
  </si>
  <si>
    <t>Gene.Type :</t>
    <phoneticPr fontId="1"/>
  </si>
  <si>
    <t>ALL</t>
    <phoneticPr fontId="1"/>
  </si>
  <si>
    <t xml:space="preserve">Ope.Name : </t>
    <phoneticPr fontId="1"/>
  </si>
  <si>
    <t>E</t>
    <phoneticPr fontId="1"/>
  </si>
  <si>
    <t>L</t>
    <phoneticPr fontId="1"/>
  </si>
  <si>
    <t>ID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</si>
  <si>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</si>
  <si>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</si>
  <si>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</si>
  <si>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</si>
  <si>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</si>
  <si>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</si>
  <si>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</si>
  <si>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</si>
  <si>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</si>
  <si>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</si>
  <si>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</si>
  <si>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</si>
  <si>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</si>
  <si>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</si>
  <si>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</si>
  <si>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</si>
  <si>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</si>
  <si>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</si>
  <si>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メモ３</t>
    <phoneticPr fontId="1"/>
  </si>
  <si>
    <t>memo2</t>
  </si>
  <si>
    <t>#MA.MST_MEMO2</t>
  </si>
  <si>
    <t>更新ユーザ名</t>
    <phoneticPr fontId="1"/>
  </si>
  <si>
    <t>登録ユーザＩＤ</t>
    <phoneticPr fontId="1"/>
  </si>
  <si>
    <t>#MA.SYS_TS</t>
    <phoneticPr fontId="1"/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</si>
  <si>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</si>
  <si>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</si>
  <si>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</si>
  <si>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</si>
  <si>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</si>
  <si>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</si>
  <si>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</si>
  <si>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</si>
  <si>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</si>
  <si>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</si>
  <si>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更新機能名</t>
    <phoneticPr fontId="1"/>
  </si>
  <si>
    <t>upd_srv_req_no</t>
    <phoneticPr fontId="1"/>
  </si>
  <si>
    <t>#MA.FLG</t>
    <phoneticPr fontId="1"/>
  </si>
  <si>
    <t>削除</t>
    <phoneticPr fontId="1"/>
  </si>
  <si>
    <t>登録</t>
    <rPh sb="0" eb="2">
      <t>トウロク</t>
    </rPh>
    <phoneticPr fontId="1"/>
  </si>
  <si>
    <t>L</t>
  </si>
  <si>
    <t>Upd01_Dtl1</t>
    <phoneticPr fontId="1"/>
  </si>
  <si>
    <t>o</t>
  </si>
  <si>
    <t>TargetName</t>
  </si>
  <si>
    <t>UPDATE.updMaster1</t>
    <phoneticPr fontId="21"/>
  </si>
  <si>
    <t>Del01_Dtl1</t>
    <phoneticPr fontId="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</si>
  <si>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</si>
  <si>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</si>
  <si>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</si>
  <si>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</si>
  <si>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</si>
  <si>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</si>
  <si>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</si>
  <si>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  <phoneticPr fontId="1"/>
  </si>
  <si>
    <t>upd_cntr</t>
  </si>
  <si>
    <t>#MA.UPD_CNT</t>
  </si>
  <si>
    <t>UPDATE.updMaster</t>
    <phoneticPr fontId="1"/>
  </si>
  <si>
    <t>MAIN.chkMaster</t>
    <phoneticPr fontId="21"/>
  </si>
  <si>
    <t>$share$</t>
  </si>
  <si>
    <t>@</t>
  </si>
  <si>
    <t>upd_cntr</t>
    <phoneticPr fontId="21"/>
  </si>
  <si>
    <t>#MA.UPD_CNT</t>
    <phoneticPr fontId="21"/>
  </si>
  <si>
    <t>CALL_OPE01.chk01</t>
    <phoneticPr fontId="1"/>
  </si>
  <si>
    <t>CALL_OPE01.upd01</t>
    <phoneticPr fontId="1"/>
  </si>
  <si>
    <t>E</t>
    <phoneticPr fontId="21"/>
  </si>
  <si>
    <t>CALL_OPE01.chk01</t>
    <phoneticPr fontId="21"/>
  </si>
  <si>
    <t>CALL_OPE01.del01</t>
    <phoneticPr fontId="21"/>
  </si>
  <si>
    <t>K</t>
    <phoneticPr fontId="1"/>
  </si>
  <si>
    <t>K</t>
    <phoneticPr fontId="21"/>
  </si>
  <si>
    <t>NULL_VAL</t>
    <phoneticPr fontId="1"/>
  </si>
  <si>
    <t>REQUIRED</t>
    <phoneticPr fontId="1"/>
  </si>
  <si>
    <t>SCALE</t>
    <phoneticPr fontId="1"/>
  </si>
  <si>
    <t>CONST</t>
    <phoneticPr fontId="21"/>
  </si>
  <si>
    <t>Del01</t>
  </si>
  <si>
    <t>Upd01</t>
  </si>
  <si>
    <t>Srch01</t>
  </si>
  <si>
    <t>MA</t>
  </si>
  <si>
    <t>MABS</t>
  </si>
  <si>
    <t>itm_cd</t>
  </si>
  <si>
    <t>itm_cd</t>
    <phoneticPr fontId="1"/>
  </si>
  <si>
    <t>itm_sub1</t>
  </si>
  <si>
    <t>itm_sub1</t>
    <phoneticPr fontId="1"/>
  </si>
  <si>
    <t>itm_sub2</t>
  </si>
  <si>
    <t>itm_sub2</t>
    <phoneticPr fontId="1"/>
  </si>
  <si>
    <t>itm_sub3</t>
  </si>
  <si>
    <t>itm_sub3</t>
    <phoneticPr fontId="1"/>
  </si>
  <si>
    <t>itm_nm</t>
  </si>
  <si>
    <t>itm_nm</t>
    <phoneticPr fontId="1"/>
  </si>
  <si>
    <t>itm_typ</t>
  </si>
  <si>
    <t>itm_typ_nm</t>
  </si>
  <si>
    <t>itm_typ_d_cd</t>
  </si>
  <si>
    <t>itm_typ_d_nm</t>
  </si>
  <si>
    <t>#MA.ITM_TYP</t>
  </si>
  <si>
    <t>#MA.ITM_TYP_NM</t>
  </si>
  <si>
    <t>#MA.ITM_TYP_D_CD</t>
  </si>
  <si>
    <t>#MA.ITM_TYP_D_NM</t>
  </si>
  <si>
    <t>#MA.ITM_CD</t>
  </si>
  <si>
    <t>#MA.ITM_CD</t>
    <phoneticPr fontId="1"/>
  </si>
  <si>
    <t>#MA.ITM_SUB1</t>
  </si>
  <si>
    <t>#MA.ITM_SUB1</t>
    <phoneticPr fontId="1"/>
  </si>
  <si>
    <t>#MA.ITM_SUB2</t>
  </si>
  <si>
    <t>#MA.ITM_SUB2</t>
    <phoneticPr fontId="1"/>
  </si>
  <si>
    <t>#MA.ITM_SUB3</t>
  </si>
  <si>
    <t>#MA.ITM_SUB3</t>
    <phoneticPr fontId="1"/>
  </si>
  <si>
    <t>#MA.ITM_NM</t>
  </si>
  <si>
    <t>#MA.ITM_NM</t>
    <phoneticPr fontId="1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</si>
  <si>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</si>
  <si>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</si>
  <si>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</si>
  <si>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</si>
  <si>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</si>
  <si>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</si>
  <si>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</si>
  <si>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</si>
  <si>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</si>
  <si>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</si>
  <si>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</si>
  <si>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</si>
  <si>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</si>
  <si>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</si>
  <si>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</si>
  <si>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</si>
  <si>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</si>
  <si>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</si>
  <si>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</si>
  <si>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</si>
  <si>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</si>
  <si>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</si>
  <si>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K</t>
    <phoneticPr fontId="21"/>
  </si>
  <si>
    <t>LIST_LOGIC</t>
    <phoneticPr fontId="21"/>
  </si>
  <si>
    <t>品目マスタ（工場・物流倉庫）登録</t>
  </si>
  <si>
    <t>MABSL0350</t>
  </si>
  <si>
    <t>MABSL_ItmSiteReg</t>
  </si>
  <si>
    <t>ItmSite_UpdChk01_Dtl</t>
  </si>
  <si>
    <t>ItmSite_Upd01</t>
  </si>
  <si>
    <t>ItmSite_Upd01_Dtl</t>
  </si>
  <si>
    <t>ItmSite_DelChk01</t>
  </si>
  <si>
    <t>ItmSite_DelChk01_Dtl</t>
  </si>
  <si>
    <t>ItmSite_Del01</t>
  </si>
  <si>
    <t>ItmSite_Del01_Dtl</t>
  </si>
  <si>
    <t>OPE.MA.MABSL0350.ItmSite_UpdChk01</t>
  </si>
  <si>
    <t>OPE.MA.MABSL0350.ItmSite_Upd01</t>
  </si>
  <si>
    <t>OPE.MA.MABSL0350.ItmSite_DelChk01</t>
  </si>
  <si>
    <t>OPE.MA.MABSL0350.ItmSite_Del01</t>
  </si>
  <si>
    <t>site_cd</t>
  </si>
  <si>
    <t>site_nm</t>
  </si>
  <si>
    <t>#MA.SITE_CD</t>
  </si>
  <si>
    <t>#MA.SITE_NM</t>
    <phoneticPr fontId="22"/>
  </si>
  <si>
    <t>site_cd</t>
    <phoneticPr fontId="22"/>
  </si>
  <si>
    <t>site_nm</t>
    <phoneticPr fontId="22"/>
  </si>
  <si>
    <t>ntfy_nm</t>
  </si>
  <si>
    <t>plnt_aprv_flg</t>
  </si>
  <si>
    <t>plnt_aprv_role_cd</t>
  </si>
  <si>
    <t>plnt_aprv_role_nm</t>
    <phoneticPr fontId="22"/>
  </si>
  <si>
    <t>insp_aprv_flg</t>
  </si>
  <si>
    <t>insp_aprv_role_cd</t>
  </si>
  <si>
    <t>insp_aprv_role_nm</t>
    <phoneticPr fontId="22"/>
  </si>
  <si>
    <t>mfg_aprv_flg</t>
  </si>
  <si>
    <t>mfg_aprv_role_cd</t>
  </si>
  <si>
    <t>mfg_aprv_role_nm</t>
    <phoneticPr fontId="22"/>
  </si>
  <si>
    <t>xfr_lot_flg</t>
  </si>
  <si>
    <t>so_prmt_insp_flg</t>
  </si>
  <si>
    <t>in_prmt_insp_flg</t>
  </si>
  <si>
    <t>num_id</t>
  </si>
  <si>
    <t>#MA.LOT_MNG_TYP</t>
    <phoneticPr fontId="22"/>
  </si>
  <si>
    <t>#MA.SUBLOT_MNG_TYP</t>
    <phoneticPr fontId="22"/>
  </si>
  <si>
    <t>#MA.SITE_NM</t>
    <phoneticPr fontId="22"/>
  </si>
  <si>
    <t>#MA.NTFY_NM</t>
  </si>
  <si>
    <t>#MA.APRV_ROLE_CD</t>
    <phoneticPr fontId="22"/>
  </si>
  <si>
    <t>#MA.APRV_ROLE_NM</t>
    <phoneticPr fontId="22"/>
  </si>
  <si>
    <t>#MA.APRV_ROLE_CD</t>
  </si>
  <si>
    <t>#MA.NUM_ID</t>
  </si>
  <si>
    <t>工場出荷承認役割ＣＤ</t>
    <phoneticPr fontId="21"/>
  </si>
  <si>
    <t>LIST_OUT</t>
    <phoneticPr fontId="21"/>
  </si>
  <si>
    <t>LIST_OUT_BASE</t>
    <phoneticPr fontId="21"/>
  </si>
  <si>
    <t>ItmSite_UpdChk01</t>
    <phoneticPr fontId="21"/>
  </si>
  <si>
    <t>#MA.FCM_USR_ID</t>
  </si>
  <si>
    <t>#MA.FCM_USR_NM</t>
  </si>
  <si>
    <t>LIST_IN</t>
  </si>
  <si>
    <t>LIST_IN_BASE</t>
  </si>
  <si>
    <t>K</t>
  </si>
  <si>
    <t>CONST</t>
  </si>
  <si>
    <t>lot_mng_typ</t>
    <phoneticPr fontId="22"/>
  </si>
  <si>
    <t>sublot_mng_typ</t>
    <phoneticPr fontId="22"/>
  </si>
  <si>
    <t>MAC_LOT_MNG_TYP</t>
    <phoneticPr fontId="1"/>
  </si>
  <si>
    <t>lot_mng_typ</t>
    <phoneticPr fontId="22"/>
  </si>
  <si>
    <t>lot_mng_typ_nm</t>
    <phoneticPr fontId="1"/>
  </si>
  <si>
    <t>#MA.LOT_MNG_TYP</t>
    <phoneticPr fontId="22"/>
  </si>
  <si>
    <t>#MA.LOT_MNG_TYP_NM</t>
    <phoneticPr fontId="1"/>
  </si>
  <si>
    <t>sublot_mng_typ</t>
    <phoneticPr fontId="22"/>
  </si>
  <si>
    <t>sublot_mng_typ_nm</t>
    <phoneticPr fontId="1"/>
  </si>
  <si>
    <t>#MA.SUBLOT_MNG_TYP</t>
    <phoneticPr fontId="22"/>
  </si>
  <si>
    <t>#MA.SUBLOT_MNG_TYP_NM</t>
    <phoneticPr fontId="1"/>
  </si>
  <si>
    <t>ロット管理区分名</t>
    <phoneticPr fontId="1"/>
  </si>
  <si>
    <t>itm_is_srch_typ;itm_cd;itm_sub1;itm_sub2;release_flg_on;release_flg_off</t>
    <phoneticPr fontId="21"/>
  </si>
  <si>
    <t>登録前チェック</t>
  </si>
  <si>
    <t>品目マスタ（工場・物流倉庫）を登録する前のチェックを行う</t>
    <rPh sb="15" eb="17">
      <t>トウロク</t>
    </rPh>
    <rPh sb="19" eb="20">
      <t>マエ</t>
    </rPh>
    <rPh sb="26" eb="27">
      <t>オコナ</t>
    </rPh>
    <phoneticPr fontId="2"/>
  </si>
  <si>
    <t>登録処理</t>
  </si>
  <si>
    <t>品目マスタ（工場・物流倉庫）を登録する</t>
  </si>
  <si>
    <t>削除前チェック</t>
  </si>
  <si>
    <t>品目マスタ（工場・物流倉庫）を削除する前のチェックを行う</t>
    <rPh sb="19" eb="20">
      <t>マエ</t>
    </rPh>
    <rPh sb="26" eb="27">
      <t>オコナ</t>
    </rPh>
    <phoneticPr fontId="2"/>
  </si>
  <si>
    <t>削除処理</t>
  </si>
  <si>
    <t>品目マスタ（工場・物流倉庫）を削除する</t>
  </si>
  <si>
    <t>検索処理を行う</t>
    <rPh sb="0" eb="2">
      <t>ケンサク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</si>
  <si>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</si>
  <si>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2"/>
  </si>
  <si>
    <t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</si>
  <si>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</si>
  <si>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</si>
  <si>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</si>
  <si>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</si>
  <si>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MA.MAUAL0010.ItmSub3</t>
    <phoneticPr fontId="1"/>
  </si>
  <si>
    <t>MAC_ITM_IS_SRCH_TYP.STK1_ASSET1;itm_cd;itm_sub1;itm_sub2;true;true</t>
    <phoneticPr fontId="21"/>
  </si>
  <si>
    <t>lot_mng_typ;sublot_mng_typ</t>
    <phoneticPr fontId="21"/>
  </si>
  <si>
    <t>ロット管理区分</t>
    <phoneticPr fontId="1"/>
  </si>
  <si>
    <t>サブロット管理区分</t>
    <phoneticPr fontId="1"/>
  </si>
  <si>
    <t>工場・物流倉庫ＣＤ</t>
    <phoneticPr fontId="1"/>
  </si>
  <si>
    <t>MA.MAUAL0010.Site</t>
    <phoneticPr fontId="22"/>
  </si>
  <si>
    <t>届出名</t>
    <phoneticPr fontId="1"/>
  </si>
  <si>
    <t>工場出荷承認対象</t>
    <phoneticPr fontId="1"/>
  </si>
  <si>
    <t>MA.MAUAL0010.AprvRole</t>
    <phoneticPr fontId="21"/>
  </si>
  <si>
    <t>検査承認対象</t>
    <phoneticPr fontId="1"/>
  </si>
  <si>
    <t>検査承認役割ＣＤ</t>
    <phoneticPr fontId="1"/>
  </si>
  <si>
    <t>製造承認対象</t>
    <phoneticPr fontId="1"/>
  </si>
  <si>
    <t>製造承認役割ＣＤ</t>
    <phoneticPr fontId="1"/>
  </si>
  <si>
    <t>移送入荷時ロットＮＯ振替</t>
    <phoneticPr fontId="1"/>
  </si>
  <si>
    <t>検査中ロット出荷許可</t>
    <phoneticPr fontId="1"/>
  </si>
  <si>
    <t>検査中ロット使用許可</t>
    <phoneticPr fontId="1"/>
  </si>
  <si>
    <t>発番ＩＤ</t>
    <phoneticPr fontId="1"/>
  </si>
  <si>
    <t>メモ１</t>
    <phoneticPr fontId="1"/>
  </si>
  <si>
    <t>メモ２</t>
    <phoneticPr fontId="1"/>
  </si>
  <si>
    <t>論理削除</t>
    <phoneticPr fontId="1"/>
  </si>
  <si>
    <t>更新カウンタ</t>
    <phoneticPr fontId="21"/>
  </si>
  <si>
    <t>super/share</t>
    <phoneticPr fontId="1"/>
  </si>
  <si>
    <t>MA.MABSL0350.ItmSite_UpdChk01.ItmSite_UpdChk01_Dtl</t>
    <phoneticPr fontId="1"/>
  </si>
  <si>
    <t>L</t>
    <phoneticPr fontId="21"/>
  </si>
  <si>
    <t>更新カウンタ</t>
    <phoneticPr fontId="1"/>
  </si>
  <si>
    <t>MA.MABSL0350.ItmSite_DelChk01.ItmSite_DelChk01_Dtl</t>
    <phoneticPr fontId="1"/>
  </si>
  <si>
    <t>品目区分</t>
    <phoneticPr fontId="5"/>
  </si>
  <si>
    <t>品目区分詳細ＣＤ</t>
    <phoneticPr fontId="5"/>
  </si>
  <si>
    <t>品目区分詳細名</t>
    <phoneticPr fontId="5"/>
  </si>
  <si>
    <t>品名</t>
    <phoneticPr fontId="1"/>
  </si>
  <si>
    <t>工場・物流倉庫名</t>
    <phoneticPr fontId="4"/>
  </si>
  <si>
    <t>論理削除.オフ</t>
    <phoneticPr fontId="1"/>
  </si>
  <si>
    <t>論理削除.オン</t>
    <phoneticPr fontId="1"/>
  </si>
  <si>
    <t>品目分類ＣＤ１</t>
    <phoneticPr fontId="1"/>
  </si>
  <si>
    <t>品目分類名１</t>
    <phoneticPr fontId="1"/>
  </si>
  <si>
    <t>品目分類ＣＤ２</t>
    <phoneticPr fontId="1"/>
  </si>
  <si>
    <t>品目分類名２</t>
    <phoneticPr fontId="1"/>
  </si>
  <si>
    <t>品目分類ＣＤ３</t>
    <phoneticPr fontId="1"/>
  </si>
  <si>
    <t>品目分類名３</t>
    <phoneticPr fontId="1"/>
  </si>
  <si>
    <t>品目分類ＣＤ４</t>
    <phoneticPr fontId="1"/>
  </si>
  <si>
    <t>品目分類名４</t>
    <phoneticPr fontId="1"/>
  </si>
  <si>
    <t>品目分類ＣＤ５</t>
    <phoneticPr fontId="1"/>
  </si>
  <si>
    <t>品目分類名５</t>
    <phoneticPr fontId="1"/>
  </si>
  <si>
    <t>品目分類ＣＤ６</t>
    <phoneticPr fontId="1"/>
  </si>
  <si>
    <t>品目分類名６</t>
    <phoneticPr fontId="1"/>
  </si>
  <si>
    <t>品目分類ＣＤ７</t>
    <phoneticPr fontId="1"/>
  </si>
  <si>
    <t>品目分類名７</t>
    <phoneticPr fontId="1"/>
  </si>
  <si>
    <t>品目分類ＣＤ８</t>
    <phoneticPr fontId="1"/>
  </si>
  <si>
    <t>品目分類名８</t>
    <phoneticPr fontId="1"/>
  </si>
  <si>
    <t>品目分類ＣＤ９</t>
    <phoneticPr fontId="1"/>
  </si>
  <si>
    <t>品目分類名９</t>
    <phoneticPr fontId="1"/>
  </si>
  <si>
    <t>品目分類ＣＤ１０</t>
    <phoneticPr fontId="1"/>
  </si>
  <si>
    <t>品目分類名１０</t>
    <phoneticPr fontId="1"/>
  </si>
  <si>
    <t>品目区分</t>
    <phoneticPr fontId="1"/>
  </si>
  <si>
    <t>MAC_ITM_TYP</t>
    <phoneticPr fontId="1"/>
  </si>
  <si>
    <t>品目区分名</t>
    <phoneticPr fontId="1"/>
  </si>
  <si>
    <t>品目区分詳細ＣＤ</t>
    <phoneticPr fontId="1"/>
  </si>
  <si>
    <t>品目区分詳細名</t>
    <phoneticPr fontId="1"/>
  </si>
  <si>
    <t>MAC_SUBLOT_MNG_TYP</t>
    <phoneticPr fontId="1"/>
  </si>
  <si>
    <t>サブロット管理区分名</t>
    <phoneticPr fontId="1"/>
  </si>
  <si>
    <t>工場出荷承認役割ＣＤ</t>
    <phoneticPr fontId="1"/>
  </si>
  <si>
    <t>工場出荷承認役割名</t>
    <phoneticPr fontId="1"/>
  </si>
  <si>
    <t>検査承認役割名</t>
    <phoneticPr fontId="1"/>
  </si>
  <si>
    <t>製造承認役割名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</si>
  <si>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</si>
  <si>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</si>
  <si>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</si>
  <si>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</si>
  <si>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</si>
  <si>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</si>
  <si>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</si>
  <si>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</si>
  <si>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</si>
  <si>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</si>
  <si>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</si>
  <si>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memo2</t>
    <phoneticPr fontId="1"/>
  </si>
  <si>
    <t>#MA.MST_MEMO2</t>
    <phoneticPr fontId="1"/>
  </si>
  <si>
    <t>Srch01_Rslt1</t>
    <phoneticPr fontId="1"/>
  </si>
  <si>
    <t>ins_usr_id</t>
    <phoneticPr fontId="1"/>
  </si>
  <si>
    <t>upd_usr_id</t>
    <phoneticPr fontId="1"/>
  </si>
  <si>
    <t>#MA.SYS_TS</t>
    <phoneticPr fontId="1"/>
  </si>
  <si>
    <t>MA.MABSL0350.ItmSite_Upd01.ItmSite_Upd01_Dtl</t>
    <phoneticPr fontId="1"/>
  </si>
  <si>
    <t>ItmSite_UpdChk01_Dtl</t>
    <phoneticPr fontId="1"/>
  </si>
  <si>
    <t>ItmSite_Upd01_Dtl</t>
    <phoneticPr fontId="1"/>
  </si>
  <si>
    <t>MA.MABSL0350.ItmSite_Del01.ItmSite_Del01_Dtl</t>
    <phoneticPr fontId="1"/>
  </si>
  <si>
    <t>ItmSite_DelChk01_Dtl</t>
    <phoneticPr fontId="1"/>
  </si>
  <si>
    <t>ItmSite_Del01_Dtl</t>
    <phoneticPr fontId="1"/>
  </si>
  <si>
    <t>000000</t>
    <phoneticPr fontId="1"/>
  </si>
  <si>
    <t>MA.MAUDL5010</t>
    <phoneticPr fontId="1"/>
  </si>
  <si>
    <t>"mcframe.serverMAUD.MAUDL6010.MAUDL_RLUpdater"</t>
    <phoneticPr fontId="1"/>
  </si>
  <si>
    <t>DBC.MA.MAM_ITM_SITE</t>
    <phoneticPr fontId="1"/>
  </si>
  <si>
    <t>"mcframe.serverMAUD.MAUDL6010.MAUDL_RLDeleter"</t>
    <phoneticPr fontId="1"/>
  </si>
  <si>
    <t>"mcframe.serverMAUD.MAUDL6010.MAUDL_RLSearcher"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</si>
  <si>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</si>
  <si>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</si>
  <si>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</si>
  <si>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</si>
  <si>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</si>
  <si>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</si>
  <si>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</si>
  <si>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</si>
  <si>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</si>
  <si>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</si>
  <si>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</si>
  <si>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</si>
  <si>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</si>
  <si>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</si>
  <si>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Item cd.</t>
  </si>
  <si>
    <t>Branch No. 1</t>
  </si>
  <si>
    <t>Branch No. 2</t>
  </si>
  <si>
    <t>Branch No. 3</t>
  </si>
  <si>
    <t>Lot management type</t>
  </si>
  <si>
    <t>Sublot management type</t>
  </si>
  <si>
    <t>Factory/Distribution warehouse cd.</t>
  </si>
  <si>
    <t>Notification name</t>
  </si>
  <si>
    <t>For factory release approval</t>
  </si>
  <si>
    <t>Factory release approval role cd.</t>
  </si>
  <si>
    <t>For inspection approval</t>
  </si>
  <si>
    <t>Inspection approval role cd.</t>
  </si>
  <si>
    <t>For mfg. approval</t>
  </si>
  <si>
    <t>Mfg. approval role cd.</t>
  </si>
  <si>
    <t>Lot No. transfer at transport receipt</t>
  </si>
  <si>
    <t>Allow inspecting lot shipment</t>
  </si>
  <si>
    <t>Allow inspecting lot use</t>
  </si>
  <si>
    <t>Numbering ID</t>
  </si>
  <si>
    <t>Memo 1</t>
  </si>
  <si>
    <t>Memo 2</t>
  </si>
  <si>
    <t>Memo 3</t>
  </si>
  <si>
    <t>Logical delete</t>
  </si>
  <si>
    <t>Update counter</t>
  </si>
  <si>
    <t>Item type</t>
  </si>
  <si>
    <t>Item type details cd.</t>
  </si>
  <si>
    <t>Item type details name</t>
  </si>
  <si>
    <t>Item name</t>
  </si>
  <si>
    <t>Factory/Distribution warehouse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</si>
  <si>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</si>
  <si>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</si>
  <si>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</si>
  <si>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</si>
  <si>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</si>
  <si>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</si>
  <si>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</si>
  <si>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</si>
  <si>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</si>
  <si>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</si>
  <si>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</si>
  <si>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</si>
  <si>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</si>
  <si>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</si>
  <si>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</si>
  <si>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</si>
  <si>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</si>
  <si>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</si>
  <si>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</si>
  <si>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</si>
  <si>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</si>
  <si>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</si>
  <si>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</si>
  <si>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Lot management type name</t>
  </si>
  <si>
    <t>Sublot management type name</t>
  </si>
  <si>
    <t>Factory release approval role name</t>
  </si>
  <si>
    <t>Inspection approval role name</t>
  </si>
  <si>
    <t>Mfg. approval role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</si>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</sst>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85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0" borderId="15" xfId="0" quotePrefix="1" applyFont="1" applyBorder="1" applyAlignment="1">
      <alignment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49" fontId="24" fillId="0" borderId="0" xfId="0" applyNumberFormat="1" applyFont="1" applyAlignment="1">
      <alignment vertical="top"/>
    </xf>
    <xf numFmtId="49" fontId="24" fillId="0" borderId="0" xfId="0" applyNumberFormat="1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49" fontId="24" fillId="0" borderId="13" xfId="0" applyNumberFormat="1" applyFont="1" applyBorder="1" applyAlignment="1">
      <alignment vertical="top"/>
    </xf>
    <xf numFmtId="49" fontId="24" fillId="0" borderId="0" xfId="0" applyNumberFormat="1" applyFont="1" applyAlignment="1" applyProtection="1">
      <alignment vertical="top"/>
      <protection locked="0"/>
    </xf>
    <xf numFmtId="49" fontId="24" fillId="24" borderId="14" xfId="0" applyNumberFormat="1" applyFont="1" applyFill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alignment vertical="top"/>
      <protection locked="0"/>
    </xf>
    <xf numFmtId="49" fontId="24" fillId="24" borderId="15" xfId="0" applyNumberFormat="1" applyFont="1" applyFill="1" applyBorder="1" applyAlignment="1" applyProtection="1">
      <alignment vertical="top"/>
      <protection locked="0"/>
    </xf>
    <xf numFmtId="49" fontId="24" fillId="0" borderId="15" xfId="0" applyNumberFormat="1" applyFont="1" applyBorder="1" applyAlignment="1" applyProtection="1">
      <alignment vertical="top"/>
      <protection locked="0"/>
    </xf>
    <xf numFmtId="49" fontId="24" fillId="24" borderId="15" xfId="0" applyNumberFormat="1" applyFont="1" applyFill="1" applyBorder="1" applyAlignment="1"/>
    <xf numFmtId="49" fontId="24" fillId="24" borderId="15" xfId="0" applyNumberFormat="1" applyFont="1" applyFill="1" applyBorder="1" applyAlignment="1">
      <alignment vertical="top"/>
    </xf>
    <xf numFmtId="49" fontId="24" fillId="0" borderId="22" xfId="0" applyNumberFormat="1" applyFont="1" applyBorder="1" applyAlignment="1" applyProtection="1">
      <protection locked="0"/>
    </xf>
    <xf numFmtId="49" fontId="24" fillId="0" borderId="19" xfId="0" applyNumberFormat="1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49" fontId="24" fillId="24" borderId="22" xfId="0" applyNumberFormat="1" applyFont="1" applyFill="1" applyBorder="1" applyAlignment="1" applyProtection="1">
      <alignment vertical="top"/>
      <protection locked="0"/>
    </xf>
    <xf numFmtId="49" fontId="24" fillId="24" borderId="2" xfId="0" applyNumberFormat="1" applyFont="1" applyFill="1" applyBorder="1" applyAlignment="1" applyProtection="1">
      <alignment vertical="top"/>
      <protection locked="0"/>
    </xf>
    <xf numFmtId="49" fontId="24" fillId="0" borderId="2" xfId="0" applyNumberFormat="1" applyFont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protection locked="0"/>
    </xf>
    <xf numFmtId="49" fontId="24" fillId="0" borderId="2" xfId="0" applyNumberFormat="1" applyFont="1" applyBorder="1" applyAlignment="1" applyProtection="1">
      <protection locked="0"/>
    </xf>
    <xf numFmtId="49" fontId="24" fillId="24" borderId="22" xfId="0" applyNumberFormat="1" applyFont="1" applyFill="1" applyBorder="1" applyAlignment="1">
      <alignment vertical="top"/>
    </xf>
    <xf numFmtId="49" fontId="24" fillId="24" borderId="19" xfId="0" applyNumberFormat="1" applyFont="1" applyFill="1" applyBorder="1" applyAlignment="1">
      <alignment vertical="top"/>
    </xf>
    <xf numFmtId="49" fontId="24" fillId="24" borderId="15" xfId="0" applyNumberFormat="1" applyFont="1" applyFill="1" applyBorder="1" applyAlignment="1">
      <alignment vertical="center"/>
    </xf>
    <xf numFmtId="49" fontId="24" fillId="0" borderId="19" xfId="0" applyNumberFormat="1" applyFont="1" applyBorder="1" applyAlignment="1"/>
    <xf numFmtId="49" fontId="24" fillId="24" borderId="19" xfId="0" applyNumberFormat="1" applyFont="1" applyFill="1" applyBorder="1" applyAlignment="1"/>
    <xf numFmtId="49" fontId="24" fillId="0" borderId="22" xfId="0" applyNumberFormat="1" applyFont="1" applyBorder="1" applyAlignment="1"/>
    <xf numFmtId="49" fontId="24" fillId="0" borderId="2" xfId="0" applyNumberFormat="1" applyFont="1" applyBorder="1" applyAlignment="1"/>
    <xf numFmtId="49" fontId="24" fillId="24" borderId="15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49" fontId="24" fillId="0" borderId="19" xfId="0" applyNumberFormat="1" applyFont="1" applyBorder="1" applyAlignment="1" applyProtection="1">
      <alignment vertical="top"/>
      <protection locked="0"/>
    </xf>
    <xf numFmtId="49" fontId="24" fillId="24" borderId="21" xfId="0" applyNumberFormat="1" applyFont="1" applyFill="1" applyBorder="1" applyAlignment="1" applyProtection="1">
      <alignment vertical="top"/>
      <protection locked="0"/>
    </xf>
    <xf numFmtId="49" fontId="24" fillId="24" borderId="0" xfId="0" applyNumberFormat="1" applyFont="1" applyFill="1" applyAlignment="1" applyProtection="1">
      <alignment vertical="top"/>
      <protection locked="0"/>
    </xf>
    <xf numFmtId="49" fontId="24" fillId="0" borderId="14" xfId="0" applyNumberFormat="1" applyFont="1" applyBorder="1" applyAlignment="1">
      <alignment vertical="top"/>
    </xf>
    <xf numFmtId="49" fontId="24" fillId="0" borderId="18" xfId="0" applyNumberFormat="1" applyFont="1" applyBorder="1" applyAlignment="1">
      <alignment vertical="top"/>
    </xf>
    <xf numFmtId="0" fontId="24" fillId="0" borderId="18" xfId="0" applyFont="1" applyBorder="1">
      <alignment vertical="top" wrapText="1"/>
    </xf>
    <xf numFmtId="0" fontId="2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0" borderId="15" xfId="0" applyFont="1" applyBorder="1" applyAlignment="1" applyProtection="1">
      <protection locked="0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24" borderId="15" xfId="0" applyFont="1" applyFill="1" applyBorder="1" applyAlignment="1"/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25" borderId="19" xfId="0" applyFont="1" applyFill="1" applyBorder="1" applyAlignment="1" applyProtection="1"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43" xfId="0" applyFont="1" applyBorder="1" applyAlignment="1" applyProtection="1">
      <alignment vertical="top"/>
      <protection locked="0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49" fontId="24" fillId="0" borderId="15" xfId="0" applyNumberFormat="1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49" fontId="24" fillId="0" borderId="13" xfId="0" applyNumberFormat="1" applyFont="1" applyBorder="1" applyAlignment="1" applyProtection="1">
      <alignment vertical="top"/>
      <protection locked="0"/>
    </xf>
    <xf numFmtId="49" fontId="24" fillId="0" borderId="17" xfId="0" applyNumberFormat="1" applyFont="1" applyBorder="1" applyAlignment="1" applyProtection="1">
      <alignment vertical="top"/>
      <protection locked="0"/>
    </xf>
    <xf numFmtId="49" fontId="24" fillId="0" borderId="22" xfId="0" applyNumberFormat="1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42" xfId="0" applyFont="1" applyBorder="1" applyAlignment="1" applyProtection="1">
      <alignment vertical="top"/>
      <protection locked="0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118</v>
      </c>
      <c r="D2" s="7" t="s">
        <v>9</v>
      </c>
      <c r="E2" s="9" t="s">
        <v>173</v>
      </c>
      <c r="F2" s="7" t="s">
        <v>51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119</v>
      </c>
      <c r="D3" s="7" t="s">
        <v>10</v>
      </c>
      <c r="E3" s="9" t="s">
        <v>174</v>
      </c>
      <c r="F3" s="7" t="s">
        <v>52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172</v>
      </c>
      <c r="F4" s="7" t="s">
        <v>5</v>
      </c>
      <c r="G4" s="9" t="s">
        <v>342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W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16.81640625" style="32" customWidth="1"/>
    <col min="14" max="14" width="50.6328125" style="32" customWidth="1"/>
    <col min="15" max="15" width="19.36328125" style="32" customWidth="1"/>
    <col min="16" max="16" width="14.90625" style="32" customWidth="1"/>
    <col min="17" max="17" width="17.6328125" style="29" customWidth="1"/>
    <col min="18" max="18" width="11.6328125" style="29" bestFit="1" customWidth="1"/>
    <col min="19" max="19" width="31.6328125" style="29" bestFit="1" customWidth="1"/>
    <col min="20" max="20" width="30.81640625" style="29" customWidth="1"/>
    <col min="21" max="21" width="9" style="29"/>
    <col min="22" max="22" width="15.81640625" style="29" customWidth="1"/>
    <col min="23" max="16384" width="9" style="29"/>
  </cols>
  <sheetData>
    <row r="1" spans="1:23" s="11" customFormat="1" x14ac:dyDescent="0.2">
      <c r="A1" s="107" t="s">
        <v>22</v>
      </c>
      <c r="B1" s="107" t="s">
        <v>22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  <c r="W1" s="29"/>
    </row>
    <row r="2" spans="1:23" s="11" customFormat="1" ht="40" customHeight="1" x14ac:dyDescent="0.2">
      <c r="A2" s="108" t="s">
        <v>22</v>
      </c>
      <c r="B2" s="109"/>
      <c r="C2" s="109"/>
      <c r="D2" s="118" t="s">
        <v>347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MABSL0350</v>
      </c>
      <c r="I2" s="7" t="s">
        <v>30</v>
      </c>
      <c r="J2" s="9" t="s">
        <v>217</v>
      </c>
      <c r="K2" s="7" t="s">
        <v>31</v>
      </c>
      <c r="L2" s="110" t="str">
        <f>IF(LogicCommon!G2="","",LogicCommon!G2)</f>
        <v>MC</v>
      </c>
      <c r="M2" s="5" t="s">
        <v>32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  <c r="W2" s="29"/>
    </row>
    <row r="3" spans="1:23" s="11" customFormat="1" x14ac:dyDescent="0.2">
      <c r="A3" s="111" t="s">
        <v>22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MABSL_ItmSiteReg</v>
      </c>
      <c r="I3" s="7" t="s">
        <v>33</v>
      </c>
      <c r="J3" s="9" t="s">
        <v>101</v>
      </c>
      <c r="K3" s="7" t="s">
        <v>35</v>
      </c>
      <c r="L3" s="110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28"/>
      <c r="S3" s="29"/>
      <c r="T3" s="29"/>
      <c r="U3" s="29"/>
      <c r="V3" s="29"/>
      <c r="W3" s="29"/>
    </row>
    <row r="4" spans="1:23" s="11" customFormat="1" x14ac:dyDescent="0.2">
      <c r="A4" s="111" t="s">
        <v>22</v>
      </c>
      <c r="B4" s="112"/>
      <c r="C4" s="112"/>
      <c r="D4" s="4"/>
      <c r="E4" s="7" t="s">
        <v>8</v>
      </c>
      <c r="F4" s="10" t="s">
        <v>341</v>
      </c>
      <c r="G4" s="7" t="s">
        <v>11</v>
      </c>
      <c r="H4" s="110" t="str">
        <f>IF(LogicCommon!E4="","",LogicCommon!E4)</f>
        <v>品目マスタ（工場・物流倉庫）登録</v>
      </c>
      <c r="I4" s="7" t="s">
        <v>39</v>
      </c>
      <c r="J4" s="9" t="s">
        <v>237</v>
      </c>
      <c r="K4" s="7" t="s">
        <v>5</v>
      </c>
      <c r="L4" s="110" t="str">
        <f>IF(LogicCommon!G4="","",LogicCommon!G4)</f>
        <v>MA.MAUDL5010</v>
      </c>
      <c r="M4" s="114"/>
      <c r="N4" s="30"/>
      <c r="O4" s="15"/>
      <c r="P4" s="4"/>
      <c r="Q4" s="4"/>
      <c r="R4" s="28"/>
      <c r="S4" s="29"/>
      <c r="T4" s="29"/>
      <c r="U4" s="29"/>
      <c r="V4" s="29"/>
      <c r="W4" s="29"/>
    </row>
    <row r="5" spans="1:23" s="11" customFormat="1" x14ac:dyDescent="0.2">
      <c r="A5" s="115" t="s">
        <v>22</v>
      </c>
      <c r="B5" s="107"/>
      <c r="C5" s="107"/>
      <c r="D5" s="27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28"/>
      <c r="S5" s="29"/>
      <c r="T5" s="29"/>
      <c r="U5" s="29"/>
      <c r="V5" s="29"/>
      <c r="W5" s="29"/>
    </row>
    <row r="6" spans="1:23" s="11" customFormat="1" x14ac:dyDescent="0.2">
      <c r="A6" s="111" t="s">
        <v>22</v>
      </c>
      <c r="B6" s="112"/>
      <c r="C6" s="112"/>
      <c r="D6" s="4" t="s">
        <v>6</v>
      </c>
      <c r="E6" s="17" t="s">
        <v>238</v>
      </c>
      <c r="F6" s="17"/>
      <c r="G6" s="17"/>
      <c r="H6" s="17"/>
      <c r="I6" s="17"/>
      <c r="J6" s="17"/>
      <c r="K6" s="17"/>
      <c r="L6" s="117"/>
      <c r="M6" s="20"/>
      <c r="N6" s="20"/>
      <c r="O6" s="20"/>
      <c r="P6" s="20"/>
      <c r="Q6" s="20"/>
      <c r="R6" s="31"/>
      <c r="S6" s="31" t="s">
        <v>42</v>
      </c>
      <c r="T6" s="32"/>
      <c r="U6" s="29"/>
      <c r="V6" s="29"/>
      <c r="W6" s="29"/>
    </row>
    <row r="7" spans="1:23" s="11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44</v>
      </c>
      <c r="J7" s="34"/>
      <c r="K7" s="35" t="s">
        <v>109</v>
      </c>
      <c r="L7" s="35" t="s">
        <v>109</v>
      </c>
      <c r="M7" s="35" t="s">
        <v>170</v>
      </c>
      <c r="N7" s="35" t="s">
        <v>110</v>
      </c>
      <c r="O7" s="35" t="s">
        <v>110</v>
      </c>
      <c r="P7" s="35" t="s">
        <v>110</v>
      </c>
      <c r="Q7" s="35" t="s">
        <v>110</v>
      </c>
      <c r="R7" s="36" t="s">
        <v>84</v>
      </c>
      <c r="S7" s="35"/>
      <c r="T7" s="32"/>
      <c r="U7" s="32"/>
      <c r="V7" s="32"/>
      <c r="W7" s="32"/>
    </row>
    <row r="8" spans="1:23" s="11" customFormat="1" ht="60" customHeight="1" x14ac:dyDescent="0.2">
      <c r="A8" s="57" t="s">
        <v>17</v>
      </c>
      <c r="B8" s="121"/>
      <c r="C8" s="122"/>
      <c r="D8" s="119" t="s">
        <v>348</v>
      </c>
      <c r="E8" s="119" t="s">
        <v>349</v>
      </c>
      <c r="F8" s="117"/>
      <c r="G8" s="119" t="s">
        <v>275</v>
      </c>
      <c r="H8" s="119" t="s">
        <v>350</v>
      </c>
      <c r="I8" s="117"/>
      <c r="J8" s="3"/>
      <c r="K8" s="38" t="s">
        <v>111</v>
      </c>
      <c r="L8" s="38" t="s">
        <v>112</v>
      </c>
      <c r="M8" s="38" t="s">
        <v>171</v>
      </c>
      <c r="N8" s="38" t="s">
        <v>220</v>
      </c>
      <c r="O8" s="38" t="s">
        <v>221</v>
      </c>
      <c r="P8" s="38" t="s">
        <v>215</v>
      </c>
      <c r="Q8" s="38" t="s">
        <v>216</v>
      </c>
      <c r="R8" s="36" t="s">
        <v>85</v>
      </c>
      <c r="S8" s="38"/>
      <c r="T8" s="123"/>
      <c r="U8" s="124"/>
      <c r="V8" s="125" t="s">
        <v>359</v>
      </c>
      <c r="W8" s="59"/>
    </row>
    <row r="9" spans="1:23" s="11" customFormat="1" ht="60" customHeight="1" x14ac:dyDescent="0.2">
      <c r="A9" s="9" t="s">
        <v>17</v>
      </c>
      <c r="B9" s="41"/>
      <c r="C9" s="42"/>
      <c r="D9" s="119" t="s">
        <v>351</v>
      </c>
      <c r="E9" s="126" t="s">
        <v>352</v>
      </c>
      <c r="F9" s="119" t="s">
        <v>353</v>
      </c>
      <c r="G9" s="119" t="s">
        <v>354</v>
      </c>
      <c r="H9" s="119" t="s">
        <v>355</v>
      </c>
      <c r="I9" s="127" t="s">
        <v>356</v>
      </c>
      <c r="J9" s="119" t="s">
        <v>357</v>
      </c>
      <c r="K9" s="36"/>
      <c r="L9" s="36"/>
      <c r="M9" s="36"/>
      <c r="N9" s="36"/>
      <c r="O9" s="36"/>
      <c r="P9" s="36"/>
      <c r="Q9" s="36"/>
      <c r="R9" s="36"/>
      <c r="S9" s="36"/>
      <c r="T9" s="125" t="s">
        <v>358</v>
      </c>
      <c r="U9" s="59"/>
      <c r="V9" s="125" t="s">
        <v>360</v>
      </c>
      <c r="W9" s="59"/>
    </row>
    <row r="10" spans="1:23" s="11" customFormat="1" ht="52" x14ac:dyDescent="0.2">
      <c r="A10" s="43" t="s">
        <v>17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120" t="s">
        <v>356</v>
      </c>
      <c r="S10" s="120" t="s">
        <v>357</v>
      </c>
      <c r="T10" s="46"/>
      <c r="U10" s="46"/>
      <c r="V10" s="47"/>
      <c r="W10" s="40"/>
    </row>
    <row r="11" spans="1:23" s="11" customFormat="1" x14ac:dyDescent="0.2">
      <c r="A11" s="9">
        <v>10</v>
      </c>
      <c r="B11" s="48" t="s">
        <v>0</v>
      </c>
      <c r="C11" s="49"/>
      <c r="D11" s="50" t="s">
        <v>175</v>
      </c>
      <c r="E11" s="37" t="s">
        <v>82</v>
      </c>
      <c r="F11" s="51"/>
      <c r="G11" s="50"/>
      <c r="H11" s="52"/>
      <c r="I11" s="53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39" t="s">
        <v>248</v>
      </c>
      <c r="U11" s="40" t="s">
        <v>248</v>
      </c>
      <c r="V11" s="103" t="s">
        <v>248</v>
      </c>
      <c r="W11" s="56" t="s">
        <v>248</v>
      </c>
    </row>
    <row r="12" spans="1:23" s="11" customFormat="1" x14ac:dyDescent="0.2">
      <c r="A12" s="9">
        <v>10</v>
      </c>
      <c r="B12" s="9"/>
      <c r="C12" s="9"/>
      <c r="D12" s="9" t="s">
        <v>120</v>
      </c>
      <c r="E12" s="57" t="s">
        <v>138</v>
      </c>
      <c r="F12" s="57"/>
      <c r="G12" s="58" t="s">
        <v>361</v>
      </c>
      <c r="H12" s="58" t="s">
        <v>249</v>
      </c>
      <c r="I12" s="9" t="s">
        <v>40</v>
      </c>
      <c r="J12" s="9"/>
      <c r="K12" s="9"/>
      <c r="L12" s="9" t="s">
        <v>106</v>
      </c>
      <c r="M12" s="9"/>
      <c r="N12" s="9"/>
      <c r="O12" s="9"/>
      <c r="P12" s="9"/>
      <c r="Q12" s="9"/>
      <c r="R12" s="9"/>
      <c r="S12" s="9"/>
      <c r="T12" s="45" t="s">
        <v>248</v>
      </c>
      <c r="U12" s="59" t="s">
        <v>248</v>
      </c>
      <c r="V12" s="180" t="s">
        <v>248</v>
      </c>
      <c r="W12" s="181"/>
    </row>
    <row r="13" spans="1:23" s="11" customFormat="1" x14ac:dyDescent="0.2">
      <c r="A13" s="9">
        <v>10</v>
      </c>
      <c r="B13" s="9"/>
      <c r="C13" s="9"/>
      <c r="D13" s="9" t="s">
        <v>122</v>
      </c>
      <c r="E13" s="57" t="s">
        <v>140</v>
      </c>
      <c r="F13" s="57"/>
      <c r="G13" s="58" t="s">
        <v>362</v>
      </c>
      <c r="H13" s="58" t="s">
        <v>250</v>
      </c>
      <c r="I13" s="9" t="s">
        <v>40</v>
      </c>
      <c r="J13" s="9"/>
      <c r="K13" s="9" t="s">
        <v>106</v>
      </c>
      <c r="L13" s="9"/>
      <c r="M13" s="9"/>
      <c r="N13" s="9"/>
      <c r="O13" s="9"/>
      <c r="P13" s="9"/>
      <c r="Q13" s="9"/>
      <c r="R13" s="9"/>
      <c r="S13" s="9"/>
      <c r="T13" s="45" t="s">
        <v>248</v>
      </c>
      <c r="U13" s="59" t="s">
        <v>248</v>
      </c>
      <c r="V13" s="180" t="s">
        <v>248</v>
      </c>
      <c r="W13" s="181"/>
    </row>
    <row r="14" spans="1:23" s="11" customFormat="1" x14ac:dyDescent="0.2">
      <c r="A14" s="9">
        <v>10</v>
      </c>
      <c r="B14" s="9"/>
      <c r="C14" s="9"/>
      <c r="D14" s="9" t="s">
        <v>124</v>
      </c>
      <c r="E14" s="57" t="s">
        <v>142</v>
      </c>
      <c r="F14" s="57"/>
      <c r="G14" s="58" t="s">
        <v>363</v>
      </c>
      <c r="H14" s="58" t="s">
        <v>251</v>
      </c>
      <c r="I14" s="9" t="s">
        <v>40</v>
      </c>
      <c r="J14" s="9"/>
      <c r="K14" s="9" t="s">
        <v>106</v>
      </c>
      <c r="L14" s="9"/>
      <c r="M14" s="9"/>
      <c r="N14" s="9"/>
      <c r="O14" s="9"/>
      <c r="P14" s="9"/>
      <c r="Q14" s="9"/>
      <c r="R14" s="9"/>
      <c r="S14" s="9"/>
      <c r="T14" s="45" t="s">
        <v>248</v>
      </c>
      <c r="U14" s="59" t="s">
        <v>248</v>
      </c>
      <c r="V14" s="180" t="s">
        <v>248</v>
      </c>
      <c r="W14" s="181"/>
    </row>
    <row r="15" spans="1:23" s="11" customFormat="1" x14ac:dyDescent="0.2">
      <c r="A15" s="9">
        <v>10</v>
      </c>
      <c r="B15" s="9"/>
      <c r="C15" s="9"/>
      <c r="D15" s="9" t="s">
        <v>126</v>
      </c>
      <c r="E15" s="57" t="s">
        <v>144</v>
      </c>
      <c r="F15" s="57"/>
      <c r="G15" s="58" t="s">
        <v>364</v>
      </c>
      <c r="H15" s="58" t="s">
        <v>252</v>
      </c>
      <c r="I15" s="9" t="s">
        <v>40</v>
      </c>
      <c r="J15" s="9"/>
      <c r="K15" s="9" t="s">
        <v>106</v>
      </c>
      <c r="L15" s="9"/>
      <c r="M15" s="9" t="s">
        <v>253</v>
      </c>
      <c r="N15" s="9" t="s">
        <v>254</v>
      </c>
      <c r="O15" s="9" t="s">
        <v>236</v>
      </c>
      <c r="P15" s="9" t="s">
        <v>255</v>
      </c>
      <c r="Q15" s="9" t="s">
        <v>255</v>
      </c>
      <c r="R15" s="9"/>
      <c r="S15" s="9"/>
      <c r="T15" s="45" t="s">
        <v>248</v>
      </c>
      <c r="U15" s="59" t="s">
        <v>248</v>
      </c>
      <c r="V15" s="180" t="s">
        <v>248</v>
      </c>
      <c r="W15" s="181"/>
    </row>
    <row r="16" spans="1:23" s="11" customFormat="1" x14ac:dyDescent="0.2">
      <c r="A16" s="9">
        <v>10</v>
      </c>
      <c r="B16" s="9"/>
      <c r="C16" s="9"/>
      <c r="D16" s="9" t="s">
        <v>224</v>
      </c>
      <c r="E16" s="57" t="s">
        <v>206</v>
      </c>
      <c r="F16" s="57"/>
      <c r="G16" s="58" t="s">
        <v>365</v>
      </c>
      <c r="H16" s="58" t="s">
        <v>256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45" t="s">
        <v>248</v>
      </c>
      <c r="U16" s="59" t="s">
        <v>248</v>
      </c>
      <c r="V16" s="180" t="s">
        <v>248</v>
      </c>
      <c r="W16" s="181"/>
    </row>
    <row r="17" spans="1:23" s="11" customFormat="1" x14ac:dyDescent="0.2">
      <c r="A17" s="9">
        <v>10</v>
      </c>
      <c r="B17" s="9"/>
      <c r="C17" s="9"/>
      <c r="D17" s="9" t="s">
        <v>225</v>
      </c>
      <c r="E17" s="57" t="s">
        <v>207</v>
      </c>
      <c r="F17" s="57"/>
      <c r="G17" s="58" t="s">
        <v>366</v>
      </c>
      <c r="H17" s="58" t="s">
        <v>257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45" t="s">
        <v>248</v>
      </c>
      <c r="U17" s="59" t="s">
        <v>248</v>
      </c>
      <c r="V17" s="180" t="s">
        <v>248</v>
      </c>
      <c r="W17" s="181"/>
    </row>
    <row r="18" spans="1:23" s="11" customFormat="1" ht="26" x14ac:dyDescent="0.2">
      <c r="A18" s="9">
        <v>10</v>
      </c>
      <c r="B18" s="9"/>
      <c r="C18" s="9"/>
      <c r="D18" s="9" t="s">
        <v>190</v>
      </c>
      <c r="E18" s="57" t="s">
        <v>188</v>
      </c>
      <c r="F18" s="57"/>
      <c r="G18" s="58" t="s">
        <v>367</v>
      </c>
      <c r="H18" s="58" t="s">
        <v>258</v>
      </c>
      <c r="I18" s="9" t="s">
        <v>40</v>
      </c>
      <c r="J18" s="9"/>
      <c r="K18" s="9"/>
      <c r="L18" s="9"/>
      <c r="M18" s="9" t="s">
        <v>259</v>
      </c>
      <c r="N18" s="9"/>
      <c r="O18" s="9"/>
      <c r="P18" s="9"/>
      <c r="Q18" s="9"/>
      <c r="R18" s="9"/>
      <c r="S18" s="9"/>
      <c r="T18" s="45" t="s">
        <v>248</v>
      </c>
      <c r="U18" s="59" t="s">
        <v>248</v>
      </c>
      <c r="V18" s="180" t="s">
        <v>248</v>
      </c>
      <c r="W18" s="181"/>
    </row>
    <row r="19" spans="1:23" s="11" customFormat="1" x14ac:dyDescent="0.2">
      <c r="A19" s="9">
        <v>10</v>
      </c>
      <c r="B19" s="9"/>
      <c r="C19" s="9"/>
      <c r="D19" s="9" t="s">
        <v>192</v>
      </c>
      <c r="E19" s="57" t="s">
        <v>209</v>
      </c>
      <c r="F19" s="57"/>
      <c r="G19" s="58" t="s">
        <v>368</v>
      </c>
      <c r="H19" s="58" t="s">
        <v>260</v>
      </c>
      <c r="I19" s="9" t="s">
        <v>40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45" t="s">
        <v>248</v>
      </c>
      <c r="U19" s="59" t="s">
        <v>248</v>
      </c>
      <c r="V19" s="180" t="s">
        <v>248</v>
      </c>
      <c r="W19" s="181"/>
    </row>
    <row r="20" spans="1:23" s="11" customFormat="1" x14ac:dyDescent="0.2">
      <c r="A20" s="9">
        <v>10</v>
      </c>
      <c r="B20" s="9"/>
      <c r="C20" s="9"/>
      <c r="D20" s="9" t="s">
        <v>193</v>
      </c>
      <c r="E20" s="57" t="s">
        <v>67</v>
      </c>
      <c r="F20" s="57"/>
      <c r="G20" s="58" t="s">
        <v>369</v>
      </c>
      <c r="H20" s="58" t="s">
        <v>261</v>
      </c>
      <c r="I20" s="9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45" t="s">
        <v>248</v>
      </c>
      <c r="U20" s="59" t="s">
        <v>248</v>
      </c>
      <c r="V20" s="180" t="s">
        <v>248</v>
      </c>
      <c r="W20" s="181"/>
    </row>
    <row r="21" spans="1:23" s="11" customFormat="1" ht="26" x14ac:dyDescent="0.2">
      <c r="A21" s="9">
        <v>10</v>
      </c>
      <c r="B21" s="9"/>
      <c r="C21" s="9"/>
      <c r="D21" s="9" t="s">
        <v>194</v>
      </c>
      <c r="E21" s="57" t="s">
        <v>210</v>
      </c>
      <c r="F21" s="57"/>
      <c r="G21" s="58" t="s">
        <v>370</v>
      </c>
      <c r="H21" s="58" t="s">
        <v>214</v>
      </c>
      <c r="I21" s="9" t="s">
        <v>40</v>
      </c>
      <c r="J21" s="9"/>
      <c r="K21" s="9"/>
      <c r="L21" s="9"/>
      <c r="M21" s="9" t="s">
        <v>262</v>
      </c>
      <c r="N21" s="9"/>
      <c r="O21" s="9"/>
      <c r="P21" s="9"/>
      <c r="Q21" s="9"/>
      <c r="R21" s="9"/>
      <c r="S21" s="9"/>
      <c r="T21" s="45" t="s">
        <v>248</v>
      </c>
      <c r="U21" s="59" t="s">
        <v>248</v>
      </c>
      <c r="V21" s="103" t="s">
        <v>248</v>
      </c>
      <c r="W21" s="104" t="s">
        <v>248</v>
      </c>
    </row>
    <row r="22" spans="1:23" s="11" customFormat="1" x14ac:dyDescent="0.2">
      <c r="A22" s="9">
        <v>10</v>
      </c>
      <c r="B22" s="9"/>
      <c r="C22" s="9"/>
      <c r="D22" s="9" t="s">
        <v>196</v>
      </c>
      <c r="E22" s="57" t="s">
        <v>67</v>
      </c>
      <c r="F22" s="57"/>
      <c r="G22" s="58" t="s">
        <v>371</v>
      </c>
      <c r="H22" s="58" t="s">
        <v>263</v>
      </c>
      <c r="I22" s="9" t="s">
        <v>40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45" t="s">
        <v>248</v>
      </c>
      <c r="U22" s="59" t="s">
        <v>248</v>
      </c>
      <c r="V22" s="103" t="s">
        <v>248</v>
      </c>
      <c r="W22" s="104" t="s">
        <v>248</v>
      </c>
    </row>
    <row r="23" spans="1:23" s="11" customFormat="1" x14ac:dyDescent="0.2">
      <c r="A23" s="9">
        <v>10</v>
      </c>
      <c r="B23" s="9"/>
      <c r="C23" s="9"/>
      <c r="D23" s="9" t="s">
        <v>197</v>
      </c>
      <c r="E23" s="57" t="s">
        <v>212</v>
      </c>
      <c r="F23" s="57"/>
      <c r="G23" s="58" t="s">
        <v>372</v>
      </c>
      <c r="H23" s="58" t="s">
        <v>264</v>
      </c>
      <c r="I23" s="9" t="s">
        <v>40</v>
      </c>
      <c r="J23" s="9"/>
      <c r="K23" s="9"/>
      <c r="L23" s="9"/>
      <c r="M23" s="9" t="s">
        <v>262</v>
      </c>
      <c r="N23" s="9"/>
      <c r="O23" s="9"/>
      <c r="P23" s="9"/>
      <c r="Q23" s="9"/>
      <c r="R23" s="9"/>
      <c r="S23" s="9"/>
      <c r="T23" s="45" t="s">
        <v>248</v>
      </c>
      <c r="U23" s="59" t="s">
        <v>248</v>
      </c>
      <c r="V23" s="103" t="s">
        <v>248</v>
      </c>
      <c r="W23" s="104" t="s">
        <v>248</v>
      </c>
    </row>
    <row r="24" spans="1:23" s="11" customFormat="1" x14ac:dyDescent="0.2">
      <c r="A24" s="9">
        <v>10</v>
      </c>
      <c r="B24" s="9"/>
      <c r="C24" s="9"/>
      <c r="D24" s="9" t="s">
        <v>199</v>
      </c>
      <c r="E24" s="57" t="s">
        <v>67</v>
      </c>
      <c r="F24" s="57"/>
      <c r="G24" s="58" t="s">
        <v>373</v>
      </c>
      <c r="H24" s="58" t="s">
        <v>265</v>
      </c>
      <c r="I24" s="9" t="s">
        <v>40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45" t="s">
        <v>248</v>
      </c>
      <c r="U24" s="59" t="s">
        <v>248</v>
      </c>
      <c r="V24" s="103" t="s">
        <v>248</v>
      </c>
      <c r="W24" s="104" t="s">
        <v>248</v>
      </c>
    </row>
    <row r="25" spans="1:23" s="11" customFormat="1" x14ac:dyDescent="0.2">
      <c r="A25" s="9">
        <v>10</v>
      </c>
      <c r="B25" s="9"/>
      <c r="C25" s="9"/>
      <c r="D25" s="9" t="s">
        <v>200</v>
      </c>
      <c r="E25" s="57" t="s">
        <v>212</v>
      </c>
      <c r="F25" s="57"/>
      <c r="G25" s="58" t="s">
        <v>374</v>
      </c>
      <c r="H25" s="58" t="s">
        <v>266</v>
      </c>
      <c r="I25" s="9" t="s">
        <v>40</v>
      </c>
      <c r="J25" s="9"/>
      <c r="K25" s="9"/>
      <c r="L25" s="9"/>
      <c r="M25" s="9" t="s">
        <v>262</v>
      </c>
      <c r="N25" s="9"/>
      <c r="O25" s="9"/>
      <c r="P25" s="9"/>
      <c r="Q25" s="9"/>
      <c r="R25" s="9"/>
      <c r="S25" s="9"/>
      <c r="T25" s="45" t="s">
        <v>248</v>
      </c>
      <c r="U25" s="59" t="s">
        <v>248</v>
      </c>
      <c r="V25" s="103" t="s">
        <v>248</v>
      </c>
      <c r="W25" s="104" t="s">
        <v>248</v>
      </c>
    </row>
    <row r="26" spans="1:23" s="11" customFormat="1" ht="26" x14ac:dyDescent="0.2">
      <c r="A26" s="9">
        <v>10</v>
      </c>
      <c r="B26" s="9"/>
      <c r="C26" s="9"/>
      <c r="D26" s="9" t="s">
        <v>202</v>
      </c>
      <c r="E26" s="57" t="s">
        <v>67</v>
      </c>
      <c r="F26" s="57"/>
      <c r="G26" s="58" t="s">
        <v>375</v>
      </c>
      <c r="H26" s="58" t="s">
        <v>267</v>
      </c>
      <c r="I26" s="9" t="s">
        <v>40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45" t="s">
        <v>248</v>
      </c>
      <c r="U26" s="59" t="s">
        <v>248</v>
      </c>
      <c r="V26" s="103" t="s">
        <v>248</v>
      </c>
      <c r="W26" s="104" t="s">
        <v>248</v>
      </c>
    </row>
    <row r="27" spans="1:23" s="11" customFormat="1" x14ac:dyDescent="0.2">
      <c r="A27" s="9">
        <v>10</v>
      </c>
      <c r="B27" s="9"/>
      <c r="C27" s="9"/>
      <c r="D27" s="9" t="s">
        <v>203</v>
      </c>
      <c r="E27" s="57" t="s">
        <v>67</v>
      </c>
      <c r="F27" s="57"/>
      <c r="G27" s="58" t="s">
        <v>376</v>
      </c>
      <c r="H27" s="58" t="s">
        <v>268</v>
      </c>
      <c r="I27" s="9" t="s">
        <v>40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45" t="s">
        <v>248</v>
      </c>
      <c r="U27" s="59" t="s">
        <v>248</v>
      </c>
      <c r="V27" s="103" t="s">
        <v>248</v>
      </c>
      <c r="W27" s="104" t="s">
        <v>248</v>
      </c>
    </row>
    <row r="28" spans="1:23" s="11" customFormat="1" x14ac:dyDescent="0.2">
      <c r="A28" s="9">
        <v>10</v>
      </c>
      <c r="B28" s="9"/>
      <c r="C28" s="9"/>
      <c r="D28" s="9" t="s">
        <v>204</v>
      </c>
      <c r="E28" s="57" t="s">
        <v>67</v>
      </c>
      <c r="F28" s="57"/>
      <c r="G28" s="58" t="s">
        <v>377</v>
      </c>
      <c r="H28" s="58" t="s">
        <v>269</v>
      </c>
      <c r="I28" s="9" t="s">
        <v>40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45" t="s">
        <v>248</v>
      </c>
      <c r="U28" s="59" t="s">
        <v>248</v>
      </c>
      <c r="V28" s="103" t="s">
        <v>248</v>
      </c>
      <c r="W28" s="104" t="s">
        <v>248</v>
      </c>
    </row>
    <row r="29" spans="1:23" s="11" customFormat="1" x14ac:dyDescent="0.2">
      <c r="A29" s="9">
        <v>10</v>
      </c>
      <c r="B29" s="9"/>
      <c r="C29" s="9"/>
      <c r="D29" s="9" t="s">
        <v>205</v>
      </c>
      <c r="E29" s="57" t="s">
        <v>213</v>
      </c>
      <c r="F29" s="57"/>
      <c r="G29" s="58" t="s">
        <v>378</v>
      </c>
      <c r="H29" s="58" t="s">
        <v>270</v>
      </c>
      <c r="I29" s="9" t="s">
        <v>40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45" t="s">
        <v>248</v>
      </c>
      <c r="U29" s="59" t="s">
        <v>248</v>
      </c>
      <c r="V29" s="103" t="s">
        <v>248</v>
      </c>
      <c r="W29" s="104" t="s">
        <v>248</v>
      </c>
    </row>
    <row r="30" spans="1:23" s="11" customFormat="1" x14ac:dyDescent="0.2">
      <c r="A30" s="9">
        <v>10</v>
      </c>
      <c r="B30" s="9"/>
      <c r="C30" s="9"/>
      <c r="D30" s="9" t="s">
        <v>53</v>
      </c>
      <c r="E30" s="57" t="s">
        <v>55</v>
      </c>
      <c r="F30" s="57"/>
      <c r="G30" s="58" t="s">
        <v>379</v>
      </c>
      <c r="H30" s="58" t="s">
        <v>271</v>
      </c>
      <c r="I30" s="9" t="s">
        <v>40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45" t="s">
        <v>248</v>
      </c>
      <c r="U30" s="59" t="s">
        <v>248</v>
      </c>
      <c r="V30" s="180" t="s">
        <v>248</v>
      </c>
      <c r="W30" s="181"/>
    </row>
    <row r="31" spans="1:23" s="11" customFormat="1" x14ac:dyDescent="0.2">
      <c r="A31" s="9">
        <v>10</v>
      </c>
      <c r="B31" s="9"/>
      <c r="C31" s="9"/>
      <c r="D31" s="9" t="s">
        <v>62</v>
      </c>
      <c r="E31" s="57" t="s">
        <v>63</v>
      </c>
      <c r="F31" s="57"/>
      <c r="G31" s="58" t="s">
        <v>380</v>
      </c>
      <c r="H31" s="58" t="s">
        <v>272</v>
      </c>
      <c r="I31" s="9" t="s">
        <v>40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45" t="s">
        <v>248</v>
      </c>
      <c r="U31" s="59" t="s">
        <v>248</v>
      </c>
      <c r="V31" s="180" t="s">
        <v>248</v>
      </c>
      <c r="W31" s="181"/>
    </row>
    <row r="32" spans="1:23" s="11" customFormat="1" x14ac:dyDescent="0.2">
      <c r="A32" s="9">
        <v>10</v>
      </c>
      <c r="B32" s="9"/>
      <c r="C32" s="9"/>
      <c r="D32" s="9" t="s">
        <v>57</v>
      </c>
      <c r="E32" s="57" t="s">
        <v>59</v>
      </c>
      <c r="F32" s="57"/>
      <c r="G32" s="58" t="s">
        <v>381</v>
      </c>
      <c r="H32" s="58" t="s">
        <v>61</v>
      </c>
      <c r="I32" s="9" t="s">
        <v>40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45" t="s">
        <v>248</v>
      </c>
      <c r="U32" s="59" t="s">
        <v>248</v>
      </c>
      <c r="V32" s="180" t="s">
        <v>248</v>
      </c>
      <c r="W32" s="181"/>
    </row>
    <row r="33" spans="1:23" s="11" customFormat="1" x14ac:dyDescent="0.2">
      <c r="A33" s="9">
        <v>10</v>
      </c>
      <c r="B33" s="9"/>
      <c r="C33" s="9"/>
      <c r="D33" s="9" t="s">
        <v>90</v>
      </c>
      <c r="E33" s="57" t="s">
        <v>67</v>
      </c>
      <c r="F33" s="57"/>
      <c r="G33" s="58" t="s">
        <v>382</v>
      </c>
      <c r="H33" s="58" t="s">
        <v>273</v>
      </c>
      <c r="I33" s="9" t="s">
        <v>40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45" t="s">
        <v>248</v>
      </c>
      <c r="U33" s="59" t="s">
        <v>248</v>
      </c>
      <c r="V33" s="180" t="s">
        <v>248</v>
      </c>
      <c r="W33" s="181"/>
    </row>
    <row r="34" spans="1:23" s="11" customFormat="1" x14ac:dyDescent="0.2">
      <c r="A34" s="9">
        <v>10</v>
      </c>
      <c r="B34" s="9"/>
      <c r="C34" s="9"/>
      <c r="D34" s="9" t="s">
        <v>102</v>
      </c>
      <c r="E34" s="57" t="s">
        <v>103</v>
      </c>
      <c r="F34" s="57"/>
      <c r="G34" s="58" t="s">
        <v>383</v>
      </c>
      <c r="H34" s="58" t="s">
        <v>274</v>
      </c>
      <c r="I34" s="9" t="s">
        <v>40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45" t="s">
        <v>248</v>
      </c>
      <c r="U34" s="59" t="s">
        <v>248</v>
      </c>
      <c r="V34" s="180" t="s">
        <v>248</v>
      </c>
      <c r="W34" s="181"/>
    </row>
    <row r="35" spans="1:23" s="11" customFormat="1" x14ac:dyDescent="0.2">
      <c r="A35" s="60"/>
      <c r="B35" s="61"/>
      <c r="C35" s="61"/>
      <c r="D35" s="29" t="s">
        <v>1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62"/>
      <c r="W35" s="63"/>
    </row>
    <row r="36" spans="1:23" s="11" customFormat="1" x14ac:dyDescent="0.2">
      <c r="A36" s="111"/>
      <c r="W36" s="64"/>
    </row>
    <row r="37" spans="1:23" s="11" customFormat="1" x14ac:dyDescent="0.2">
      <c r="A37" s="111"/>
      <c r="W37" s="64"/>
    </row>
    <row r="38" spans="1:23" s="11" customFormat="1" x14ac:dyDescent="0.2">
      <c r="A38" s="111"/>
      <c r="W38" s="64"/>
    </row>
    <row r="39" spans="1:23" s="11" customFormat="1" x14ac:dyDescent="0.2">
      <c r="A39" s="111"/>
      <c r="W39" s="64"/>
    </row>
    <row r="40" spans="1:23" s="11" customFormat="1" x14ac:dyDescent="0.2">
      <c r="A40" s="111"/>
      <c r="W40" s="64"/>
    </row>
    <row r="41" spans="1:23" s="11" customFormat="1" x14ac:dyDescent="0.2">
      <c r="A41" s="111"/>
      <c r="W41" s="64"/>
    </row>
    <row r="42" spans="1:23" s="11" customFormat="1" x14ac:dyDescent="0.2">
      <c r="A42" s="111"/>
      <c r="W42" s="64"/>
    </row>
    <row r="43" spans="1:23" s="11" customFormat="1" x14ac:dyDescent="0.2">
      <c r="A43" s="111"/>
      <c r="W43" s="64"/>
    </row>
    <row r="44" spans="1:23" s="11" customFormat="1" x14ac:dyDescent="0.2">
      <c r="A44" s="115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1"/>
    </row>
  </sheetData>
  <dataConsolidate/>
  <mergeCells count="14">
    <mergeCell ref="V30:W30"/>
    <mergeCell ref="V31:W31"/>
    <mergeCell ref="V32:W32"/>
    <mergeCell ref="V34:W34"/>
    <mergeCell ref="V17:W17"/>
    <mergeCell ref="V18:W18"/>
    <mergeCell ref="V19:W19"/>
    <mergeCell ref="V20:W20"/>
    <mergeCell ref="V33:W33"/>
    <mergeCell ref="V12:W12"/>
    <mergeCell ref="V13:W13"/>
    <mergeCell ref="V14:W14"/>
    <mergeCell ref="V15:W15"/>
    <mergeCell ref="V16:W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3.0898437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12.81640625" style="66" bestFit="1" customWidth="1"/>
    <col min="16" max="16" width="18.36328125" style="66" bestFit="1" customWidth="1"/>
    <col min="17" max="17" width="11.6328125" style="65" bestFit="1" customWidth="1"/>
    <col min="18" max="18" width="27.1796875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 x14ac:dyDescent="0.2">
      <c r="A1" s="107" t="s">
        <v>22</v>
      </c>
      <c r="B1" s="107" t="s">
        <v>22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08" t="s">
        <v>22</v>
      </c>
      <c r="B2" s="109"/>
      <c r="C2" s="109"/>
      <c r="D2" s="118" t="s">
        <v>347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MABSL0350</v>
      </c>
      <c r="I2" s="7" t="s">
        <v>30</v>
      </c>
      <c r="J2" s="9" t="s">
        <v>176</v>
      </c>
      <c r="K2" s="7" t="s">
        <v>31</v>
      </c>
      <c r="L2" s="110" t="str">
        <f>IF(LogicCommon!G2="","",LogicCommon!G2)</f>
        <v>MC</v>
      </c>
      <c r="M2" s="5" t="s">
        <v>32</v>
      </c>
      <c r="N2" s="30" t="s">
        <v>343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11" t="s">
        <v>22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MABSL_ItmSiteReg</v>
      </c>
      <c r="I3" s="7" t="s">
        <v>33</v>
      </c>
      <c r="J3" s="9" t="s">
        <v>34</v>
      </c>
      <c r="K3" s="7" t="s">
        <v>35</v>
      </c>
      <c r="L3" s="110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  <c r="S3" s="65"/>
      <c r="T3" s="65"/>
      <c r="U3" s="65"/>
      <c r="V3" s="65"/>
    </row>
    <row r="4" spans="1:22" s="11" customFormat="1" x14ac:dyDescent="0.2">
      <c r="A4" s="111" t="s">
        <v>22</v>
      </c>
      <c r="B4" s="112"/>
      <c r="C4" s="112"/>
      <c r="D4" s="4"/>
      <c r="E4" s="7" t="s">
        <v>8</v>
      </c>
      <c r="F4" s="10" t="s">
        <v>341</v>
      </c>
      <c r="G4" s="7" t="s">
        <v>11</v>
      </c>
      <c r="H4" s="110" t="str">
        <f>IF(LogicCommon!E4="","",LogicCommon!E4)</f>
        <v>品目マスタ（工場・物流倉庫）登録</v>
      </c>
      <c r="I4" s="7" t="s">
        <v>39</v>
      </c>
      <c r="J4" s="9" t="s">
        <v>239</v>
      </c>
      <c r="K4" s="7" t="s">
        <v>5</v>
      </c>
      <c r="L4" s="110" t="str">
        <f>IF(LogicCommon!G4="","",LogicCommon!G4)</f>
        <v>MA.MAUDL5010</v>
      </c>
      <c r="M4" s="114"/>
      <c r="N4" s="30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5" t="s">
        <v>22</v>
      </c>
      <c r="B5" s="107"/>
      <c r="C5" s="107"/>
      <c r="D5" s="27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11" t="s">
        <v>22</v>
      </c>
      <c r="B6" s="112"/>
      <c r="C6" s="112"/>
      <c r="D6" s="4" t="s">
        <v>6</v>
      </c>
      <c r="E6" s="17" t="s">
        <v>240</v>
      </c>
      <c r="F6" s="17"/>
      <c r="G6" s="17"/>
      <c r="H6" s="17"/>
      <c r="I6" s="17"/>
      <c r="J6" s="17"/>
      <c r="K6" s="17"/>
      <c r="L6" s="117" t="s">
        <v>42</v>
      </c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66"/>
      <c r="U6" s="66"/>
      <c r="V6" s="65"/>
    </row>
    <row r="7" spans="1:22" s="11" customFormat="1" x14ac:dyDescent="0.2">
      <c r="A7" s="67" t="s">
        <v>17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69" t="s">
        <v>45</v>
      </c>
      <c r="L7" s="70" t="s">
        <v>98</v>
      </c>
      <c r="M7" s="69" t="s">
        <v>84</v>
      </c>
      <c r="N7" s="70" t="s">
        <v>99</v>
      </c>
      <c r="O7" s="69" t="s">
        <v>84</v>
      </c>
      <c r="P7" s="70"/>
      <c r="Q7" s="69" t="s">
        <v>84</v>
      </c>
      <c r="R7" s="70"/>
      <c r="S7" s="66"/>
      <c r="T7" s="66"/>
      <c r="U7" s="66"/>
      <c r="V7" s="66"/>
    </row>
    <row r="8" spans="1:22" s="11" customFormat="1" ht="60" customHeight="1" x14ac:dyDescent="0.2">
      <c r="A8" s="57" t="s">
        <v>17</v>
      </c>
      <c r="B8" s="121"/>
      <c r="C8" s="122"/>
      <c r="D8" s="119" t="s">
        <v>348</v>
      </c>
      <c r="E8" s="119" t="s">
        <v>349</v>
      </c>
      <c r="F8" s="117"/>
      <c r="G8" s="119" t="s">
        <v>275</v>
      </c>
      <c r="H8" s="119" t="s">
        <v>350</v>
      </c>
      <c r="I8" s="117"/>
      <c r="J8" s="3"/>
      <c r="K8" s="69" t="s">
        <v>16</v>
      </c>
      <c r="L8" s="9" t="s">
        <v>344</v>
      </c>
      <c r="M8" s="69" t="s">
        <v>85</v>
      </c>
      <c r="N8" s="9" t="s">
        <v>344</v>
      </c>
      <c r="O8" s="69" t="s">
        <v>85</v>
      </c>
      <c r="P8" s="9"/>
      <c r="Q8" s="69" t="s">
        <v>85</v>
      </c>
      <c r="R8" s="9"/>
      <c r="S8" s="129"/>
      <c r="T8" s="130"/>
      <c r="U8" s="131" t="s">
        <v>359</v>
      </c>
      <c r="V8" s="86"/>
    </row>
    <row r="9" spans="1:22" s="11" customFormat="1" ht="60" customHeight="1" x14ac:dyDescent="0.2">
      <c r="A9" s="9" t="s">
        <v>17</v>
      </c>
      <c r="B9" s="41"/>
      <c r="C9" s="42"/>
      <c r="D9" s="119" t="s">
        <v>351</v>
      </c>
      <c r="E9" s="126" t="s">
        <v>352</v>
      </c>
      <c r="F9" s="119" t="s">
        <v>353</v>
      </c>
      <c r="G9" s="119" t="s">
        <v>354</v>
      </c>
      <c r="H9" s="119" t="s">
        <v>355</v>
      </c>
      <c r="I9" s="127" t="s">
        <v>356</v>
      </c>
      <c r="J9" s="119" t="s">
        <v>357</v>
      </c>
      <c r="K9" s="69"/>
      <c r="L9" s="69"/>
      <c r="M9" s="69"/>
      <c r="N9" s="69"/>
      <c r="O9" s="69"/>
      <c r="P9" s="69"/>
      <c r="Q9" s="69"/>
      <c r="R9" s="69"/>
      <c r="S9" s="131" t="s">
        <v>358</v>
      </c>
      <c r="T9" s="86"/>
      <c r="U9" s="131" t="s">
        <v>360</v>
      </c>
      <c r="V9" s="86"/>
    </row>
    <row r="10" spans="1:22" s="11" customFormat="1" ht="52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28" t="s">
        <v>356</v>
      </c>
      <c r="L10" s="128" t="s">
        <v>357</v>
      </c>
      <c r="M10" s="128" t="s">
        <v>356</v>
      </c>
      <c r="N10" s="128" t="s">
        <v>357</v>
      </c>
      <c r="O10" s="128" t="s">
        <v>356</v>
      </c>
      <c r="P10" s="128" t="s">
        <v>357</v>
      </c>
      <c r="Q10" s="128" t="s">
        <v>356</v>
      </c>
      <c r="R10" s="128" t="s">
        <v>357</v>
      </c>
      <c r="S10" s="77"/>
      <c r="T10" s="77"/>
      <c r="U10" s="78"/>
      <c r="V10" s="72"/>
    </row>
    <row r="11" spans="1:22" s="11" customFormat="1" x14ac:dyDescent="0.2">
      <c r="A11" s="9">
        <v>10</v>
      </c>
      <c r="B11" s="41" t="s">
        <v>0</v>
      </c>
      <c r="C11" s="42"/>
      <c r="D11" s="30" t="s">
        <v>177</v>
      </c>
      <c r="E11" s="79" t="s">
        <v>21</v>
      </c>
      <c r="F11" s="80"/>
      <c r="G11" s="30" t="s">
        <v>100</v>
      </c>
      <c r="H11" s="81" t="s">
        <v>276</v>
      </c>
      <c r="I11" s="82"/>
      <c r="J11" s="83"/>
      <c r="K11" s="84" t="s">
        <v>21</v>
      </c>
      <c r="L11" s="84"/>
      <c r="M11" s="84" t="s">
        <v>277</v>
      </c>
      <c r="N11" s="84"/>
      <c r="O11" s="84"/>
      <c r="P11" s="84"/>
      <c r="Q11" s="84"/>
      <c r="R11" s="84"/>
      <c r="S11" s="71"/>
      <c r="T11" s="72"/>
      <c r="U11" s="105"/>
      <c r="V11" s="85"/>
    </row>
    <row r="12" spans="1:22" s="11" customFormat="1" x14ac:dyDescent="0.2">
      <c r="A12" s="9">
        <v>10</v>
      </c>
      <c r="B12" s="9"/>
      <c r="C12" s="9"/>
      <c r="D12" s="9" t="s">
        <v>120</v>
      </c>
      <c r="E12" s="57" t="s">
        <v>138</v>
      </c>
      <c r="F12" s="57"/>
      <c r="G12" s="58" t="s">
        <v>361</v>
      </c>
      <c r="H12" s="58" t="s">
        <v>249</v>
      </c>
      <c r="I12" s="9" t="s">
        <v>40</v>
      </c>
      <c r="J12" s="9"/>
      <c r="K12" s="9" t="s">
        <v>40</v>
      </c>
      <c r="L12" s="9"/>
      <c r="M12" s="9" t="s">
        <v>106</v>
      </c>
      <c r="N12" s="9"/>
      <c r="O12" s="9"/>
      <c r="P12" s="9"/>
      <c r="Q12" s="9"/>
      <c r="R12" s="9"/>
      <c r="S12" s="76"/>
      <c r="T12" s="86"/>
      <c r="U12" s="182"/>
      <c r="V12" s="183"/>
    </row>
    <row r="13" spans="1:22" s="11" customFormat="1" x14ac:dyDescent="0.2">
      <c r="A13" s="9">
        <v>10</v>
      </c>
      <c r="B13" s="9"/>
      <c r="C13" s="9"/>
      <c r="D13" s="9" t="s">
        <v>122</v>
      </c>
      <c r="E13" s="57" t="s">
        <v>140</v>
      </c>
      <c r="F13" s="57"/>
      <c r="G13" s="58" t="s">
        <v>362</v>
      </c>
      <c r="H13" s="58" t="s">
        <v>250</v>
      </c>
      <c r="I13" s="9" t="s">
        <v>40</v>
      </c>
      <c r="J13" s="9"/>
      <c r="K13" s="9" t="s">
        <v>40</v>
      </c>
      <c r="L13" s="9"/>
      <c r="M13" s="9" t="s">
        <v>106</v>
      </c>
      <c r="N13" s="9"/>
      <c r="O13" s="9"/>
      <c r="P13" s="9"/>
      <c r="Q13" s="9"/>
      <c r="R13" s="9"/>
      <c r="S13" s="76"/>
      <c r="T13" s="86"/>
      <c r="U13" s="182"/>
      <c r="V13" s="183"/>
    </row>
    <row r="14" spans="1:22" s="11" customFormat="1" x14ac:dyDescent="0.2">
      <c r="A14" s="9">
        <v>10</v>
      </c>
      <c r="B14" s="9"/>
      <c r="C14" s="9"/>
      <c r="D14" s="9" t="s">
        <v>124</v>
      </c>
      <c r="E14" s="57" t="s">
        <v>142</v>
      </c>
      <c r="F14" s="57"/>
      <c r="G14" s="58" t="s">
        <v>363</v>
      </c>
      <c r="H14" s="58" t="s">
        <v>251</v>
      </c>
      <c r="I14" s="9" t="s">
        <v>40</v>
      </c>
      <c r="J14" s="9"/>
      <c r="K14" s="9" t="s">
        <v>40</v>
      </c>
      <c r="L14" s="9"/>
      <c r="M14" s="9" t="s">
        <v>106</v>
      </c>
      <c r="N14" s="9"/>
      <c r="O14" s="9"/>
      <c r="P14" s="9"/>
      <c r="Q14" s="9"/>
      <c r="R14" s="9"/>
      <c r="S14" s="76"/>
      <c r="T14" s="86"/>
      <c r="U14" s="182"/>
      <c r="V14" s="183"/>
    </row>
    <row r="15" spans="1:22" s="11" customFormat="1" x14ac:dyDescent="0.2">
      <c r="A15" s="9">
        <v>10</v>
      </c>
      <c r="B15" s="9"/>
      <c r="C15" s="9"/>
      <c r="D15" s="9" t="s">
        <v>126</v>
      </c>
      <c r="E15" s="57" t="s">
        <v>144</v>
      </c>
      <c r="F15" s="57"/>
      <c r="G15" s="58" t="s">
        <v>364</v>
      </c>
      <c r="H15" s="58" t="s">
        <v>252</v>
      </c>
      <c r="I15" s="9" t="s">
        <v>40</v>
      </c>
      <c r="J15" s="9"/>
      <c r="K15" s="9" t="s">
        <v>40</v>
      </c>
      <c r="L15" s="9"/>
      <c r="M15" s="9" t="s">
        <v>106</v>
      </c>
      <c r="N15" s="9"/>
      <c r="O15" s="9"/>
      <c r="P15" s="9"/>
      <c r="Q15" s="9"/>
      <c r="R15" s="9"/>
      <c r="S15" s="76"/>
      <c r="T15" s="86"/>
      <c r="U15" s="182"/>
      <c r="V15" s="183"/>
    </row>
    <row r="16" spans="1:22" s="11" customFormat="1" ht="26" x14ac:dyDescent="0.2">
      <c r="A16" s="9">
        <v>10</v>
      </c>
      <c r="B16" s="9"/>
      <c r="C16" s="9"/>
      <c r="D16" s="9" t="s">
        <v>190</v>
      </c>
      <c r="E16" s="57" t="s">
        <v>188</v>
      </c>
      <c r="F16" s="57"/>
      <c r="G16" s="58" t="s">
        <v>367</v>
      </c>
      <c r="H16" s="58" t="s">
        <v>258</v>
      </c>
      <c r="I16" s="9" t="s">
        <v>40</v>
      </c>
      <c r="J16" s="9"/>
      <c r="K16" s="9" t="s">
        <v>40</v>
      </c>
      <c r="L16" s="9"/>
      <c r="M16" s="9" t="s">
        <v>106</v>
      </c>
      <c r="N16" s="9"/>
      <c r="O16" s="9"/>
      <c r="P16" s="9"/>
      <c r="Q16" s="9"/>
      <c r="R16" s="9"/>
      <c r="S16" s="76"/>
      <c r="T16" s="86"/>
      <c r="U16" s="182"/>
      <c r="V16" s="183"/>
    </row>
    <row r="17" spans="1:22" s="11" customFormat="1" x14ac:dyDescent="0.2">
      <c r="A17" s="9">
        <v>10</v>
      </c>
      <c r="B17" s="9"/>
      <c r="C17" s="9"/>
      <c r="D17" s="9" t="s">
        <v>192</v>
      </c>
      <c r="E17" s="57" t="s">
        <v>209</v>
      </c>
      <c r="F17" s="57"/>
      <c r="G17" s="58" t="s">
        <v>368</v>
      </c>
      <c r="H17" s="58" t="s">
        <v>260</v>
      </c>
      <c r="I17" s="9" t="s">
        <v>40</v>
      </c>
      <c r="J17" s="9"/>
      <c r="K17" s="9" t="s">
        <v>40</v>
      </c>
      <c r="L17" s="9"/>
      <c r="M17" s="9"/>
      <c r="N17" s="9"/>
      <c r="O17" s="9"/>
      <c r="P17" s="9"/>
      <c r="Q17" s="9"/>
      <c r="R17" s="9"/>
      <c r="S17" s="76"/>
      <c r="T17" s="86"/>
      <c r="U17" s="182"/>
      <c r="V17" s="183"/>
    </row>
    <row r="18" spans="1:22" s="11" customFormat="1" x14ac:dyDescent="0.2">
      <c r="A18" s="9">
        <v>10</v>
      </c>
      <c r="B18" s="9"/>
      <c r="C18" s="9"/>
      <c r="D18" s="9" t="s">
        <v>193</v>
      </c>
      <c r="E18" s="57" t="s">
        <v>67</v>
      </c>
      <c r="F18" s="57"/>
      <c r="G18" s="58" t="s">
        <v>369</v>
      </c>
      <c r="H18" s="58" t="s">
        <v>261</v>
      </c>
      <c r="I18" s="9" t="s">
        <v>40</v>
      </c>
      <c r="J18" s="9"/>
      <c r="K18" s="9" t="s">
        <v>40</v>
      </c>
      <c r="L18" s="9"/>
      <c r="M18" s="9"/>
      <c r="N18" s="9"/>
      <c r="O18" s="9"/>
      <c r="P18" s="9"/>
      <c r="Q18" s="9"/>
      <c r="R18" s="9"/>
      <c r="S18" s="76"/>
      <c r="T18" s="86"/>
      <c r="U18" s="105"/>
      <c r="V18" s="106"/>
    </row>
    <row r="19" spans="1:22" s="11" customFormat="1" ht="26" x14ac:dyDescent="0.2">
      <c r="A19" s="9">
        <v>10</v>
      </c>
      <c r="B19" s="9"/>
      <c r="C19" s="9"/>
      <c r="D19" s="9" t="s">
        <v>194</v>
      </c>
      <c r="E19" s="57" t="s">
        <v>210</v>
      </c>
      <c r="F19" s="57"/>
      <c r="G19" s="58" t="s">
        <v>370</v>
      </c>
      <c r="H19" s="58" t="s">
        <v>214</v>
      </c>
      <c r="I19" s="9" t="s">
        <v>40</v>
      </c>
      <c r="J19" s="9"/>
      <c r="K19" s="9" t="s">
        <v>40</v>
      </c>
      <c r="L19" s="9"/>
      <c r="M19" s="9"/>
      <c r="N19" s="9"/>
      <c r="O19" s="9"/>
      <c r="P19" s="9"/>
      <c r="Q19" s="9"/>
      <c r="R19" s="9"/>
      <c r="S19" s="76"/>
      <c r="T19" s="86"/>
      <c r="U19" s="105"/>
      <c r="V19" s="106"/>
    </row>
    <row r="20" spans="1:22" s="11" customFormat="1" x14ac:dyDescent="0.2">
      <c r="A20" s="9">
        <v>10</v>
      </c>
      <c r="B20" s="9"/>
      <c r="C20" s="9"/>
      <c r="D20" s="9" t="s">
        <v>196</v>
      </c>
      <c r="E20" s="57" t="s">
        <v>67</v>
      </c>
      <c r="F20" s="57"/>
      <c r="G20" s="58" t="s">
        <v>371</v>
      </c>
      <c r="H20" s="58" t="s">
        <v>263</v>
      </c>
      <c r="I20" s="9" t="s">
        <v>40</v>
      </c>
      <c r="J20" s="9"/>
      <c r="K20" s="9" t="s">
        <v>40</v>
      </c>
      <c r="L20" s="9"/>
      <c r="M20" s="9"/>
      <c r="N20" s="9"/>
      <c r="O20" s="9"/>
      <c r="P20" s="9"/>
      <c r="Q20" s="9"/>
      <c r="R20" s="9"/>
      <c r="S20" s="76"/>
      <c r="T20" s="86"/>
      <c r="U20" s="105"/>
      <c r="V20" s="106"/>
    </row>
    <row r="21" spans="1:22" s="11" customFormat="1" x14ac:dyDescent="0.2">
      <c r="A21" s="9">
        <v>10</v>
      </c>
      <c r="B21" s="9"/>
      <c r="C21" s="9"/>
      <c r="D21" s="9" t="s">
        <v>197</v>
      </c>
      <c r="E21" s="57" t="s">
        <v>212</v>
      </c>
      <c r="F21" s="57"/>
      <c r="G21" s="58" t="s">
        <v>372</v>
      </c>
      <c r="H21" s="58" t="s">
        <v>264</v>
      </c>
      <c r="I21" s="9" t="s">
        <v>40</v>
      </c>
      <c r="J21" s="9"/>
      <c r="K21" s="9" t="s">
        <v>40</v>
      </c>
      <c r="L21" s="9"/>
      <c r="M21" s="9"/>
      <c r="N21" s="9"/>
      <c r="O21" s="9"/>
      <c r="P21" s="9"/>
      <c r="Q21" s="9"/>
      <c r="R21" s="9"/>
      <c r="S21" s="76"/>
      <c r="T21" s="86"/>
      <c r="U21" s="105"/>
      <c r="V21" s="106"/>
    </row>
    <row r="22" spans="1:22" s="11" customFormat="1" x14ac:dyDescent="0.2">
      <c r="A22" s="9">
        <v>10</v>
      </c>
      <c r="B22" s="9"/>
      <c r="C22" s="9"/>
      <c r="D22" s="9" t="s">
        <v>199</v>
      </c>
      <c r="E22" s="57" t="s">
        <v>67</v>
      </c>
      <c r="F22" s="57"/>
      <c r="G22" s="58" t="s">
        <v>373</v>
      </c>
      <c r="H22" s="58" t="s">
        <v>265</v>
      </c>
      <c r="I22" s="9" t="s">
        <v>40</v>
      </c>
      <c r="J22" s="9"/>
      <c r="K22" s="9" t="s">
        <v>40</v>
      </c>
      <c r="L22" s="9"/>
      <c r="M22" s="9"/>
      <c r="N22" s="9"/>
      <c r="O22" s="9"/>
      <c r="P22" s="9"/>
      <c r="Q22" s="9"/>
      <c r="R22" s="9"/>
      <c r="S22" s="76"/>
      <c r="T22" s="86"/>
      <c r="U22" s="105"/>
      <c r="V22" s="106"/>
    </row>
    <row r="23" spans="1:22" s="11" customFormat="1" x14ac:dyDescent="0.2">
      <c r="A23" s="9">
        <v>10</v>
      </c>
      <c r="B23" s="9"/>
      <c r="C23" s="9"/>
      <c r="D23" s="9" t="s">
        <v>200</v>
      </c>
      <c r="E23" s="57" t="s">
        <v>212</v>
      </c>
      <c r="F23" s="57"/>
      <c r="G23" s="58" t="s">
        <v>374</v>
      </c>
      <c r="H23" s="58" t="s">
        <v>266</v>
      </c>
      <c r="I23" s="9" t="s">
        <v>40</v>
      </c>
      <c r="J23" s="9"/>
      <c r="K23" s="9" t="s">
        <v>40</v>
      </c>
      <c r="L23" s="9"/>
      <c r="M23" s="9"/>
      <c r="N23" s="9"/>
      <c r="O23" s="9"/>
      <c r="P23" s="9"/>
      <c r="Q23" s="9"/>
      <c r="R23" s="9"/>
      <c r="S23" s="76"/>
      <c r="T23" s="86"/>
      <c r="U23" s="105"/>
      <c r="V23" s="106"/>
    </row>
    <row r="24" spans="1:22" s="11" customFormat="1" ht="26" x14ac:dyDescent="0.2">
      <c r="A24" s="9">
        <v>10</v>
      </c>
      <c r="B24" s="9"/>
      <c r="C24" s="9"/>
      <c r="D24" s="9" t="s">
        <v>202</v>
      </c>
      <c r="E24" s="57" t="s">
        <v>67</v>
      </c>
      <c r="F24" s="57"/>
      <c r="G24" s="58" t="s">
        <v>375</v>
      </c>
      <c r="H24" s="58" t="s">
        <v>267</v>
      </c>
      <c r="I24" s="9" t="s">
        <v>40</v>
      </c>
      <c r="J24" s="9"/>
      <c r="K24" s="9" t="s">
        <v>40</v>
      </c>
      <c r="L24" s="9"/>
      <c r="M24" s="9"/>
      <c r="N24" s="9"/>
      <c r="O24" s="9"/>
      <c r="P24" s="9"/>
      <c r="Q24" s="9"/>
      <c r="R24" s="9"/>
      <c r="S24" s="76"/>
      <c r="T24" s="86"/>
      <c r="U24" s="105"/>
      <c r="V24" s="106"/>
    </row>
    <row r="25" spans="1:22" s="11" customFormat="1" x14ac:dyDescent="0.2">
      <c r="A25" s="9">
        <v>10</v>
      </c>
      <c r="B25" s="9"/>
      <c r="C25" s="9"/>
      <c r="D25" s="9" t="s">
        <v>203</v>
      </c>
      <c r="E25" s="57" t="s">
        <v>67</v>
      </c>
      <c r="F25" s="57"/>
      <c r="G25" s="58" t="s">
        <v>376</v>
      </c>
      <c r="H25" s="58" t="s">
        <v>268</v>
      </c>
      <c r="I25" s="9" t="s">
        <v>40</v>
      </c>
      <c r="J25" s="9"/>
      <c r="K25" s="9" t="s">
        <v>40</v>
      </c>
      <c r="L25" s="9"/>
      <c r="M25" s="9"/>
      <c r="N25" s="9"/>
      <c r="O25" s="9"/>
      <c r="P25" s="9"/>
      <c r="Q25" s="9"/>
      <c r="R25" s="9"/>
      <c r="S25" s="76"/>
      <c r="T25" s="86"/>
      <c r="U25" s="105"/>
      <c r="V25" s="106"/>
    </row>
    <row r="26" spans="1:22" s="11" customFormat="1" x14ac:dyDescent="0.2">
      <c r="A26" s="9">
        <v>10</v>
      </c>
      <c r="B26" s="9"/>
      <c r="C26" s="9"/>
      <c r="D26" s="9" t="s">
        <v>204</v>
      </c>
      <c r="E26" s="57" t="s">
        <v>67</v>
      </c>
      <c r="F26" s="57"/>
      <c r="G26" s="58" t="s">
        <v>377</v>
      </c>
      <c r="H26" s="58" t="s">
        <v>269</v>
      </c>
      <c r="I26" s="9" t="s">
        <v>40</v>
      </c>
      <c r="J26" s="9"/>
      <c r="K26" s="9" t="s">
        <v>40</v>
      </c>
      <c r="L26" s="9"/>
      <c r="M26" s="9"/>
      <c r="N26" s="9"/>
      <c r="O26" s="9"/>
      <c r="P26" s="9"/>
      <c r="Q26" s="9"/>
      <c r="R26" s="9"/>
      <c r="S26" s="76"/>
      <c r="T26" s="86"/>
      <c r="U26" s="105"/>
      <c r="V26" s="106"/>
    </row>
    <row r="27" spans="1:22" s="11" customFormat="1" x14ac:dyDescent="0.2">
      <c r="A27" s="9">
        <v>10</v>
      </c>
      <c r="B27" s="9"/>
      <c r="C27" s="9"/>
      <c r="D27" s="9" t="s">
        <v>205</v>
      </c>
      <c r="E27" s="57" t="s">
        <v>213</v>
      </c>
      <c r="F27" s="57"/>
      <c r="G27" s="58" t="s">
        <v>378</v>
      </c>
      <c r="H27" s="58" t="s">
        <v>270</v>
      </c>
      <c r="I27" s="9" t="s">
        <v>40</v>
      </c>
      <c r="J27" s="9"/>
      <c r="K27" s="9" t="s">
        <v>40</v>
      </c>
      <c r="L27" s="9"/>
      <c r="M27" s="9"/>
      <c r="N27" s="9"/>
      <c r="O27" s="9"/>
      <c r="P27" s="9"/>
      <c r="Q27" s="9"/>
      <c r="R27" s="9"/>
      <c r="S27" s="76"/>
      <c r="T27" s="86"/>
      <c r="U27" s="182"/>
      <c r="V27" s="183"/>
    </row>
    <row r="28" spans="1:22" s="11" customFormat="1" x14ac:dyDescent="0.2">
      <c r="A28" s="9">
        <v>10</v>
      </c>
      <c r="B28" s="9"/>
      <c r="C28" s="9"/>
      <c r="D28" s="9" t="s">
        <v>53</v>
      </c>
      <c r="E28" s="57" t="s">
        <v>55</v>
      </c>
      <c r="F28" s="57"/>
      <c r="G28" s="58" t="s">
        <v>379</v>
      </c>
      <c r="H28" s="58" t="s">
        <v>271</v>
      </c>
      <c r="I28" s="9" t="s">
        <v>40</v>
      </c>
      <c r="J28" s="9"/>
      <c r="K28" s="9" t="s">
        <v>40</v>
      </c>
      <c r="L28" s="9"/>
      <c r="M28" s="9"/>
      <c r="N28" s="9"/>
      <c r="O28" s="9"/>
      <c r="P28" s="9"/>
      <c r="Q28" s="9"/>
      <c r="R28" s="9"/>
      <c r="S28" s="76"/>
      <c r="T28" s="86"/>
      <c r="U28" s="105"/>
      <c r="V28" s="106"/>
    </row>
    <row r="29" spans="1:22" s="11" customFormat="1" x14ac:dyDescent="0.2">
      <c r="A29" s="9">
        <v>10</v>
      </c>
      <c r="B29" s="9"/>
      <c r="C29" s="9"/>
      <c r="D29" s="9" t="s">
        <v>62</v>
      </c>
      <c r="E29" s="57" t="s">
        <v>63</v>
      </c>
      <c r="F29" s="57"/>
      <c r="G29" s="58" t="s">
        <v>380</v>
      </c>
      <c r="H29" s="58" t="s">
        <v>272</v>
      </c>
      <c r="I29" s="9" t="s">
        <v>40</v>
      </c>
      <c r="J29" s="9"/>
      <c r="K29" s="9" t="s">
        <v>40</v>
      </c>
      <c r="L29" s="9"/>
      <c r="M29" s="9"/>
      <c r="N29" s="9"/>
      <c r="O29" s="9"/>
      <c r="P29" s="9"/>
      <c r="Q29" s="9"/>
      <c r="R29" s="9"/>
      <c r="S29" s="76"/>
      <c r="T29" s="86"/>
      <c r="U29" s="182"/>
      <c r="V29" s="183"/>
    </row>
    <row r="30" spans="1:22" s="11" customFormat="1" x14ac:dyDescent="0.2">
      <c r="A30" s="9">
        <v>10</v>
      </c>
      <c r="B30" s="9"/>
      <c r="C30" s="9"/>
      <c r="D30" s="9" t="s">
        <v>57</v>
      </c>
      <c r="E30" s="57" t="s">
        <v>59</v>
      </c>
      <c r="F30" s="57"/>
      <c r="G30" s="58" t="s">
        <v>381</v>
      </c>
      <c r="H30" s="58" t="s">
        <v>61</v>
      </c>
      <c r="I30" s="9" t="s">
        <v>40</v>
      </c>
      <c r="J30" s="9"/>
      <c r="K30" s="9" t="s">
        <v>40</v>
      </c>
      <c r="L30" s="9"/>
      <c r="M30" s="9"/>
      <c r="N30" s="9"/>
      <c r="O30" s="9"/>
      <c r="P30" s="9"/>
      <c r="Q30" s="9"/>
      <c r="R30" s="9"/>
      <c r="S30" s="76"/>
      <c r="T30" s="86"/>
      <c r="U30" s="182"/>
      <c r="V30" s="183"/>
    </row>
    <row r="31" spans="1:22" s="11" customFormat="1" x14ac:dyDescent="0.2">
      <c r="A31" s="9">
        <v>10</v>
      </c>
      <c r="B31" s="9"/>
      <c r="C31" s="9"/>
      <c r="D31" s="9" t="s">
        <v>90</v>
      </c>
      <c r="E31" s="57" t="s">
        <v>67</v>
      </c>
      <c r="F31" s="57"/>
      <c r="G31" s="58" t="s">
        <v>382</v>
      </c>
      <c r="H31" s="58" t="s">
        <v>273</v>
      </c>
      <c r="I31" s="9" t="s">
        <v>40</v>
      </c>
      <c r="J31" s="9"/>
      <c r="K31" s="9" t="s">
        <v>40</v>
      </c>
      <c r="L31" s="9"/>
      <c r="M31" s="9"/>
      <c r="N31" s="9"/>
      <c r="O31" s="9"/>
      <c r="P31" s="9"/>
      <c r="Q31" s="9"/>
      <c r="R31" s="9"/>
      <c r="S31" s="76"/>
      <c r="T31" s="86"/>
      <c r="U31" s="182"/>
      <c r="V31" s="183"/>
    </row>
    <row r="32" spans="1:22" s="11" customFormat="1" x14ac:dyDescent="0.2">
      <c r="A32" s="9">
        <v>10</v>
      </c>
      <c r="B32" s="9"/>
      <c r="C32" s="9"/>
      <c r="D32" s="9" t="s">
        <v>96</v>
      </c>
      <c r="E32" s="57" t="s">
        <v>97</v>
      </c>
      <c r="F32" s="57"/>
      <c r="G32" s="58" t="s">
        <v>383</v>
      </c>
      <c r="H32" s="58" t="s">
        <v>278</v>
      </c>
      <c r="I32" s="9" t="s">
        <v>40</v>
      </c>
      <c r="J32" s="9"/>
      <c r="K32" s="9" t="s">
        <v>40</v>
      </c>
      <c r="L32" s="9"/>
      <c r="M32" s="9"/>
      <c r="N32" s="9"/>
      <c r="O32" s="9"/>
      <c r="P32" s="9"/>
      <c r="Q32" s="9"/>
      <c r="R32" s="9"/>
      <c r="S32" s="76"/>
      <c r="T32" s="86"/>
      <c r="U32" s="182"/>
      <c r="V32" s="183"/>
    </row>
    <row r="33" spans="1:22" s="11" customFormat="1" x14ac:dyDescent="0.2">
      <c r="A33" s="87"/>
      <c r="B33" s="88"/>
      <c r="C33" s="88"/>
      <c r="D33" s="65" t="s">
        <v>1</v>
      </c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4"/>
      <c r="T33" s="4"/>
      <c r="U33" s="6"/>
      <c r="V33" s="24"/>
    </row>
    <row r="34" spans="1:22" s="11" customFormat="1" x14ac:dyDescent="0.2">
      <c r="A34" s="111"/>
      <c r="V34" s="64"/>
    </row>
    <row r="35" spans="1:22" s="11" customFormat="1" x14ac:dyDescent="0.2">
      <c r="A35" s="111"/>
      <c r="V35" s="64"/>
    </row>
    <row r="36" spans="1:22" s="11" customFormat="1" x14ac:dyDescent="0.2">
      <c r="A36" s="111"/>
      <c r="V36" s="64"/>
    </row>
    <row r="37" spans="1:22" s="11" customFormat="1" x14ac:dyDescent="0.2">
      <c r="A37" s="11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1"/>
    </row>
  </sheetData>
  <dataConsolidate/>
  <mergeCells count="11">
    <mergeCell ref="U29:V29"/>
    <mergeCell ref="U30:V30"/>
    <mergeCell ref="U31:V31"/>
    <mergeCell ref="U32:V32"/>
    <mergeCell ref="U27:V27"/>
    <mergeCell ref="U16:V16"/>
    <mergeCell ref="U17:V17"/>
    <mergeCell ref="U12:V12"/>
    <mergeCell ref="U13:V13"/>
    <mergeCell ref="U14:V14"/>
    <mergeCell ref="U15:V15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2"/>
  <sheetViews>
    <sheetView topLeftCell="D1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6.90625" style="66" customWidth="1"/>
    <col min="12" max="12" width="12.90625" style="66" customWidth="1"/>
    <col min="13" max="13" width="12.81640625" style="66" bestFit="1" customWidth="1"/>
    <col min="14" max="14" width="50.6328125" style="66" customWidth="1"/>
    <col min="15" max="15" width="14.08984375" style="66" customWidth="1"/>
    <col min="16" max="16" width="14.90625" style="66" customWidth="1"/>
    <col min="17" max="17" width="17.6328125" style="65" customWidth="1"/>
    <col min="18" max="18" width="30.81640625" style="65" customWidth="1"/>
    <col min="19" max="19" width="9" style="65"/>
    <col min="20" max="20" width="15.81640625" style="65" customWidth="1"/>
    <col min="21" max="16384" width="9" style="65"/>
  </cols>
  <sheetData>
    <row r="1" spans="1:21" s="11" customFormat="1" x14ac:dyDescent="0.2">
      <c r="A1" s="107" t="s">
        <v>22</v>
      </c>
      <c r="B1" s="107" t="s">
        <v>22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</row>
    <row r="2" spans="1:21" s="11" customFormat="1" ht="40" customHeight="1" x14ac:dyDescent="0.2">
      <c r="A2" s="108" t="s">
        <v>22</v>
      </c>
      <c r="B2" s="109"/>
      <c r="C2" s="109"/>
      <c r="D2" s="118" t="s">
        <v>347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MABSL0350</v>
      </c>
      <c r="I2" s="7" t="s">
        <v>30</v>
      </c>
      <c r="J2" s="9" t="s">
        <v>178</v>
      </c>
      <c r="K2" s="7" t="s">
        <v>31</v>
      </c>
      <c r="L2" s="110" t="str">
        <f>IF(LogicCommon!G2="","",LogicCommon!G2)</f>
        <v>MC</v>
      </c>
      <c r="M2" s="5" t="s">
        <v>32</v>
      </c>
      <c r="N2" s="30" t="str">
        <f>L4 &amp; ".Checker"</f>
        <v>MA.MAUDL5010.Checker</v>
      </c>
      <c r="O2" s="7"/>
      <c r="P2" s="7"/>
      <c r="Q2" s="4"/>
      <c r="R2" s="65"/>
      <c r="S2" s="65"/>
      <c r="T2" s="65"/>
      <c r="U2" s="65"/>
    </row>
    <row r="3" spans="1:21" s="11" customFormat="1" x14ac:dyDescent="0.2">
      <c r="A3" s="111" t="s">
        <v>22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MABSL_ItmSiteReg</v>
      </c>
      <c r="I3" s="7" t="s">
        <v>33</v>
      </c>
      <c r="J3" s="9" t="s">
        <v>101</v>
      </c>
      <c r="K3" s="7" t="s">
        <v>35</v>
      </c>
      <c r="L3" s="110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  <c r="S3" s="65"/>
      <c r="T3" s="65"/>
      <c r="U3" s="65"/>
    </row>
    <row r="4" spans="1:21" s="11" customFormat="1" x14ac:dyDescent="0.2">
      <c r="A4" s="111" t="s">
        <v>22</v>
      </c>
      <c r="B4" s="112"/>
      <c r="C4" s="112"/>
      <c r="D4" s="4"/>
      <c r="E4" s="7" t="s">
        <v>8</v>
      </c>
      <c r="F4" s="10" t="s">
        <v>341</v>
      </c>
      <c r="G4" s="7" t="s">
        <v>11</v>
      </c>
      <c r="H4" s="110" t="str">
        <f>IF(LogicCommon!E4="","",LogicCommon!E4)</f>
        <v>品目マスタ（工場・物流倉庫）登録</v>
      </c>
      <c r="I4" s="7" t="s">
        <v>39</v>
      </c>
      <c r="J4" s="9" t="s">
        <v>241</v>
      </c>
      <c r="K4" s="7" t="s">
        <v>5</v>
      </c>
      <c r="L4" s="110" t="str">
        <f>IF(LogicCommon!G4="","",LogicCommon!G4)</f>
        <v>MA.MAUDL5010</v>
      </c>
      <c r="M4" s="114"/>
      <c r="N4" s="30"/>
      <c r="O4" s="15"/>
      <c r="P4" s="4"/>
      <c r="Q4" s="4"/>
      <c r="R4" s="65"/>
      <c r="S4" s="65"/>
      <c r="T4" s="65"/>
      <c r="U4" s="65"/>
    </row>
    <row r="5" spans="1:21" s="11" customFormat="1" x14ac:dyDescent="0.2">
      <c r="A5" s="115" t="s">
        <v>22</v>
      </c>
      <c r="B5" s="107"/>
      <c r="C5" s="107"/>
      <c r="D5" s="27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65"/>
      <c r="S5" s="65"/>
      <c r="T5" s="65"/>
      <c r="U5" s="65"/>
    </row>
    <row r="6" spans="1:21" s="11" customFormat="1" x14ac:dyDescent="0.2">
      <c r="A6" s="111" t="s">
        <v>22</v>
      </c>
      <c r="B6" s="112"/>
      <c r="C6" s="112"/>
      <c r="D6" s="4" t="s">
        <v>6</v>
      </c>
      <c r="E6" s="17" t="s">
        <v>242</v>
      </c>
      <c r="F6" s="17"/>
      <c r="G6" s="17"/>
      <c r="H6" s="17"/>
      <c r="I6" s="17"/>
      <c r="J6" s="17"/>
      <c r="K6" s="17"/>
      <c r="L6" s="117"/>
      <c r="M6" s="20"/>
      <c r="N6" s="20"/>
      <c r="O6" s="20"/>
      <c r="P6" s="20"/>
      <c r="Q6" s="20" t="s">
        <v>42</v>
      </c>
      <c r="R6" s="4"/>
      <c r="S6" s="66"/>
      <c r="T6" s="66"/>
      <c r="U6" s="65"/>
    </row>
    <row r="7" spans="1:21" s="11" customFormat="1" x14ac:dyDescent="0.2">
      <c r="A7" s="67" t="s">
        <v>17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70" t="s">
        <v>109</v>
      </c>
      <c r="L7" s="70" t="s">
        <v>109</v>
      </c>
      <c r="M7" s="70" t="s">
        <v>109</v>
      </c>
      <c r="N7" s="70" t="s">
        <v>110</v>
      </c>
      <c r="O7" s="70"/>
      <c r="P7" s="69" t="s">
        <v>84</v>
      </c>
      <c r="Q7" s="70"/>
      <c r="R7" s="66"/>
      <c r="S7" s="66"/>
      <c r="T7" s="66"/>
      <c r="U7" s="66"/>
    </row>
    <row r="8" spans="1:21" s="11" customFormat="1" ht="60" customHeight="1" x14ac:dyDescent="0.2">
      <c r="A8" s="57" t="s">
        <v>17</v>
      </c>
      <c r="B8" s="121"/>
      <c r="C8" s="122"/>
      <c r="D8" s="119" t="s">
        <v>348</v>
      </c>
      <c r="E8" s="119" t="s">
        <v>349</v>
      </c>
      <c r="F8" s="117"/>
      <c r="G8" s="119" t="s">
        <v>275</v>
      </c>
      <c r="H8" s="119" t="s">
        <v>350</v>
      </c>
      <c r="I8" s="117"/>
      <c r="J8" s="3"/>
      <c r="K8" s="9" t="s">
        <v>111</v>
      </c>
      <c r="L8" s="9" t="s">
        <v>112</v>
      </c>
      <c r="M8" s="9" t="s">
        <v>113</v>
      </c>
      <c r="N8" s="9" t="s">
        <v>114</v>
      </c>
      <c r="O8" s="9"/>
      <c r="P8" s="69" t="s">
        <v>85</v>
      </c>
      <c r="Q8" s="9"/>
      <c r="R8" s="129"/>
      <c r="S8" s="130"/>
      <c r="T8" s="131" t="s">
        <v>359</v>
      </c>
      <c r="U8" s="86"/>
    </row>
    <row r="9" spans="1:21" s="11" customFormat="1" ht="60" customHeight="1" x14ac:dyDescent="0.2">
      <c r="A9" s="9" t="s">
        <v>17</v>
      </c>
      <c r="B9" s="41"/>
      <c r="C9" s="42"/>
      <c r="D9" s="119" t="s">
        <v>351</v>
      </c>
      <c r="E9" s="126" t="s">
        <v>352</v>
      </c>
      <c r="F9" s="119" t="s">
        <v>353</v>
      </c>
      <c r="G9" s="119" t="s">
        <v>354</v>
      </c>
      <c r="H9" s="119" t="s">
        <v>355</v>
      </c>
      <c r="I9" s="127" t="s">
        <v>356</v>
      </c>
      <c r="J9" s="119" t="s">
        <v>357</v>
      </c>
      <c r="K9" s="69"/>
      <c r="L9" s="69"/>
      <c r="M9" s="69"/>
      <c r="N9" s="69"/>
      <c r="O9" s="69"/>
      <c r="P9" s="69"/>
      <c r="Q9" s="69"/>
      <c r="R9" s="131" t="s">
        <v>358</v>
      </c>
      <c r="S9" s="86"/>
      <c r="T9" s="131" t="s">
        <v>360</v>
      </c>
      <c r="U9" s="86"/>
    </row>
    <row r="10" spans="1:21" s="11" customFormat="1" ht="39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69"/>
      <c r="L10" s="69"/>
      <c r="M10" s="69"/>
      <c r="N10" s="69"/>
      <c r="O10" s="69"/>
      <c r="P10" s="128" t="s">
        <v>356</v>
      </c>
      <c r="Q10" s="128" t="s">
        <v>357</v>
      </c>
      <c r="R10" s="77"/>
      <c r="S10" s="77"/>
      <c r="T10" s="78"/>
      <c r="U10" s="72"/>
    </row>
    <row r="11" spans="1:21" s="11" customFormat="1" x14ac:dyDescent="0.2">
      <c r="A11" s="9">
        <v>10</v>
      </c>
      <c r="B11" s="41" t="s">
        <v>0</v>
      </c>
      <c r="C11" s="42"/>
      <c r="D11" s="30" t="s">
        <v>179</v>
      </c>
      <c r="E11" s="79" t="s">
        <v>82</v>
      </c>
      <c r="F11" s="80"/>
      <c r="G11" s="30"/>
      <c r="H11" s="81"/>
      <c r="I11" s="82"/>
      <c r="J11" s="83"/>
      <c r="K11" s="84"/>
      <c r="L11" s="84"/>
      <c r="M11" s="84"/>
      <c r="N11" s="84"/>
      <c r="O11" s="84"/>
      <c r="P11" s="84"/>
      <c r="Q11" s="84"/>
      <c r="R11" s="71"/>
      <c r="S11" s="72"/>
      <c r="T11" s="105"/>
      <c r="U11" s="85"/>
    </row>
    <row r="12" spans="1:21" s="11" customFormat="1" x14ac:dyDescent="0.2">
      <c r="A12" s="9">
        <v>10</v>
      </c>
      <c r="B12" s="9"/>
      <c r="C12" s="9"/>
      <c r="D12" s="9" t="s">
        <v>120</v>
      </c>
      <c r="E12" s="57" t="s">
        <v>138</v>
      </c>
      <c r="F12" s="57"/>
      <c r="G12" s="58" t="s">
        <v>361</v>
      </c>
      <c r="H12" s="58" t="s">
        <v>249</v>
      </c>
      <c r="I12" s="9" t="s">
        <v>40</v>
      </c>
      <c r="J12" s="9"/>
      <c r="K12" s="9"/>
      <c r="L12" s="9" t="s">
        <v>106</v>
      </c>
      <c r="M12" s="9"/>
      <c r="N12" s="9"/>
      <c r="O12" s="9"/>
      <c r="P12" s="9"/>
      <c r="Q12" s="9"/>
      <c r="R12" s="76"/>
      <c r="S12" s="86"/>
      <c r="T12" s="182"/>
      <c r="U12" s="183"/>
    </row>
    <row r="13" spans="1:21" s="11" customFormat="1" x14ac:dyDescent="0.2">
      <c r="A13" s="9">
        <v>10</v>
      </c>
      <c r="B13" s="9"/>
      <c r="C13" s="9"/>
      <c r="D13" s="9" t="s">
        <v>122</v>
      </c>
      <c r="E13" s="57" t="s">
        <v>140</v>
      </c>
      <c r="F13" s="57"/>
      <c r="G13" s="58" t="s">
        <v>362</v>
      </c>
      <c r="H13" s="58" t="s">
        <v>250</v>
      </c>
      <c r="I13" s="9" t="s">
        <v>40</v>
      </c>
      <c r="J13" s="9"/>
      <c r="K13" s="9"/>
      <c r="L13" s="9" t="s">
        <v>106</v>
      </c>
      <c r="M13" s="9"/>
      <c r="N13" s="9"/>
      <c r="O13" s="9"/>
      <c r="P13" s="9"/>
      <c r="Q13" s="9"/>
      <c r="R13" s="76"/>
      <c r="S13" s="86"/>
      <c r="T13" s="182"/>
      <c r="U13" s="183"/>
    </row>
    <row r="14" spans="1:21" s="11" customFormat="1" x14ac:dyDescent="0.2">
      <c r="A14" s="9">
        <v>10</v>
      </c>
      <c r="B14" s="9"/>
      <c r="C14" s="9"/>
      <c r="D14" s="9" t="s">
        <v>124</v>
      </c>
      <c r="E14" s="57" t="s">
        <v>142</v>
      </c>
      <c r="F14" s="57"/>
      <c r="G14" s="58" t="s">
        <v>363</v>
      </c>
      <c r="H14" s="58" t="s">
        <v>251</v>
      </c>
      <c r="I14" s="9" t="s">
        <v>40</v>
      </c>
      <c r="J14" s="9"/>
      <c r="K14" s="9"/>
      <c r="L14" s="9" t="s">
        <v>106</v>
      </c>
      <c r="M14" s="9"/>
      <c r="N14" s="9"/>
      <c r="O14" s="9"/>
      <c r="P14" s="9"/>
      <c r="Q14" s="9"/>
      <c r="R14" s="76"/>
      <c r="S14" s="86"/>
      <c r="T14" s="182"/>
      <c r="U14" s="183"/>
    </row>
    <row r="15" spans="1:21" s="11" customFormat="1" x14ac:dyDescent="0.2">
      <c r="A15" s="9">
        <v>10</v>
      </c>
      <c r="B15" s="9"/>
      <c r="C15" s="9"/>
      <c r="D15" s="9" t="s">
        <v>126</v>
      </c>
      <c r="E15" s="57" t="s">
        <v>144</v>
      </c>
      <c r="F15" s="57"/>
      <c r="G15" s="58" t="s">
        <v>364</v>
      </c>
      <c r="H15" s="58" t="s">
        <v>252</v>
      </c>
      <c r="I15" s="9" t="s">
        <v>40</v>
      </c>
      <c r="J15" s="9"/>
      <c r="K15" s="9"/>
      <c r="L15" s="9" t="s">
        <v>106</v>
      </c>
      <c r="M15" s="9"/>
      <c r="N15" s="9"/>
      <c r="O15" s="9"/>
      <c r="P15" s="9"/>
      <c r="Q15" s="9"/>
      <c r="R15" s="76"/>
      <c r="S15" s="86"/>
      <c r="T15" s="182"/>
      <c r="U15" s="183"/>
    </row>
    <row r="16" spans="1:21" s="11" customFormat="1" ht="26" x14ac:dyDescent="0.2">
      <c r="A16" s="9">
        <v>10</v>
      </c>
      <c r="B16" s="9"/>
      <c r="C16" s="9"/>
      <c r="D16" s="9" t="s">
        <v>190</v>
      </c>
      <c r="E16" s="57" t="s">
        <v>188</v>
      </c>
      <c r="F16" s="57"/>
      <c r="G16" s="58" t="s">
        <v>367</v>
      </c>
      <c r="H16" s="58" t="s">
        <v>258</v>
      </c>
      <c r="I16" s="9" t="s">
        <v>40</v>
      </c>
      <c r="J16" s="9"/>
      <c r="K16" s="9"/>
      <c r="L16" s="9" t="s">
        <v>106</v>
      </c>
      <c r="M16" s="9"/>
      <c r="N16" s="9"/>
      <c r="O16" s="9"/>
      <c r="P16" s="9"/>
      <c r="Q16" s="9"/>
      <c r="R16" s="76"/>
      <c r="S16" s="86"/>
      <c r="T16" s="182"/>
      <c r="U16" s="183"/>
    </row>
    <row r="17" spans="1:21" s="11" customFormat="1" x14ac:dyDescent="0.2">
      <c r="A17" s="9">
        <v>10</v>
      </c>
      <c r="B17" s="9"/>
      <c r="C17" s="9"/>
      <c r="D17" s="9" t="s">
        <v>96</v>
      </c>
      <c r="E17" s="57" t="s">
        <v>97</v>
      </c>
      <c r="F17" s="57"/>
      <c r="G17" s="58" t="s">
        <v>383</v>
      </c>
      <c r="H17" s="58" t="s">
        <v>274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76"/>
      <c r="S17" s="86"/>
      <c r="T17" s="182"/>
      <c r="U17" s="183"/>
    </row>
    <row r="18" spans="1:21" s="11" customFormat="1" x14ac:dyDescent="0.2">
      <c r="A18" s="87"/>
      <c r="B18" s="88"/>
      <c r="C18" s="88"/>
      <c r="D18" s="65" t="s">
        <v>1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4"/>
      <c r="S18" s="4"/>
      <c r="T18" s="6"/>
      <c r="U18" s="24"/>
    </row>
    <row r="19" spans="1:21" s="11" customFormat="1" x14ac:dyDescent="0.2">
      <c r="A19" s="111"/>
      <c r="U19" s="64"/>
    </row>
    <row r="20" spans="1:21" s="11" customFormat="1" x14ac:dyDescent="0.2">
      <c r="A20" s="111"/>
      <c r="U20" s="64"/>
    </row>
    <row r="21" spans="1:21" s="11" customFormat="1" x14ac:dyDescent="0.2">
      <c r="A21" s="111"/>
      <c r="U21" s="64"/>
    </row>
    <row r="22" spans="1:21" s="11" customFormat="1" x14ac:dyDescent="0.2">
      <c r="A22" s="115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1"/>
    </row>
  </sheetData>
  <dataConsolidate/>
  <mergeCells count="6">
    <mergeCell ref="T17:U17"/>
    <mergeCell ref="T12:U12"/>
    <mergeCell ref="T13:U13"/>
    <mergeCell ref="T14:U14"/>
    <mergeCell ref="T15:U15"/>
    <mergeCell ref="T16:U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632812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8" s="11" customFormat="1" x14ac:dyDescent="0.2">
      <c r="A1" s="107" t="s">
        <v>22</v>
      </c>
      <c r="B1" s="107" t="s">
        <v>22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 x14ac:dyDescent="0.2">
      <c r="A2" s="108" t="s">
        <v>22</v>
      </c>
      <c r="B2" s="109"/>
      <c r="C2" s="109"/>
      <c r="D2" s="118" t="s">
        <v>347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MABSL0350</v>
      </c>
      <c r="I2" s="7" t="s">
        <v>30</v>
      </c>
      <c r="J2" s="9" t="s">
        <v>180</v>
      </c>
      <c r="K2" s="7" t="s">
        <v>31</v>
      </c>
      <c r="L2" s="110" t="str">
        <f>IF(LogicCommon!G2="","",LogicCommon!G2)</f>
        <v>MC</v>
      </c>
      <c r="M2" s="5" t="s">
        <v>32</v>
      </c>
      <c r="N2" s="30" t="s">
        <v>345</v>
      </c>
      <c r="O2" s="7"/>
      <c r="P2" s="7"/>
      <c r="Q2" s="4"/>
      <c r="R2" s="65"/>
    </row>
    <row r="3" spans="1:18" s="11" customFormat="1" x14ac:dyDescent="0.2">
      <c r="A3" s="111" t="s">
        <v>22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MABSL_ItmSiteReg</v>
      </c>
      <c r="I3" s="7" t="s">
        <v>33</v>
      </c>
      <c r="J3" s="9" t="s">
        <v>34</v>
      </c>
      <c r="K3" s="7" t="s">
        <v>35</v>
      </c>
      <c r="L3" s="110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</row>
    <row r="4" spans="1:18" s="11" customFormat="1" x14ac:dyDescent="0.2">
      <c r="A4" s="111" t="s">
        <v>22</v>
      </c>
      <c r="B4" s="112"/>
      <c r="C4" s="112"/>
      <c r="D4" s="4"/>
      <c r="E4" s="7" t="s">
        <v>8</v>
      </c>
      <c r="F4" s="10" t="s">
        <v>341</v>
      </c>
      <c r="G4" s="7" t="s">
        <v>11</v>
      </c>
      <c r="H4" s="110" t="str">
        <f>IF(LogicCommon!E4="","",LogicCommon!E4)</f>
        <v>品目マスタ（工場・物流倉庫）登録</v>
      </c>
      <c r="I4" s="7" t="s">
        <v>39</v>
      </c>
      <c r="J4" s="9" t="s">
        <v>243</v>
      </c>
      <c r="K4" s="7" t="s">
        <v>5</v>
      </c>
      <c r="L4" s="110" t="str">
        <f>IF(LogicCommon!G4="","",LogicCommon!G4)</f>
        <v>MA.MAUDL5010</v>
      </c>
      <c r="M4" s="114"/>
      <c r="N4" s="30"/>
      <c r="O4" s="15"/>
      <c r="P4" s="4"/>
      <c r="Q4" s="4"/>
      <c r="R4" s="65"/>
    </row>
    <row r="5" spans="1:18" s="11" customFormat="1" x14ac:dyDescent="0.2">
      <c r="A5" s="115" t="s">
        <v>22</v>
      </c>
      <c r="B5" s="107"/>
      <c r="C5" s="107"/>
      <c r="D5" s="27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65"/>
    </row>
    <row r="6" spans="1:18" s="11" customFormat="1" x14ac:dyDescent="0.2">
      <c r="A6" s="111" t="s">
        <v>22</v>
      </c>
      <c r="B6" s="112"/>
      <c r="C6" s="112"/>
      <c r="D6" s="4" t="s">
        <v>6</v>
      </c>
      <c r="E6" s="17" t="s">
        <v>244</v>
      </c>
      <c r="F6" s="17"/>
      <c r="G6" s="17"/>
      <c r="H6" s="17"/>
      <c r="I6" s="17"/>
      <c r="J6" s="17"/>
      <c r="K6" s="17"/>
      <c r="L6" s="117" t="s">
        <v>42</v>
      </c>
      <c r="M6" s="20"/>
      <c r="N6" s="20" t="s">
        <v>42</v>
      </c>
      <c r="O6" s="20"/>
      <c r="P6" s="20"/>
      <c r="Q6" s="20"/>
      <c r="R6" s="65"/>
    </row>
    <row r="7" spans="1:18" s="11" customFormat="1" x14ac:dyDescent="0.2">
      <c r="A7" s="67" t="s">
        <v>17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69" t="s">
        <v>45</v>
      </c>
      <c r="L7" s="70" t="s">
        <v>86</v>
      </c>
      <c r="M7" s="69" t="s">
        <v>45</v>
      </c>
      <c r="N7" s="70"/>
      <c r="O7" s="66"/>
      <c r="P7" s="66"/>
      <c r="Q7" s="66"/>
      <c r="R7" s="66"/>
    </row>
    <row r="8" spans="1:18" s="11" customFormat="1" ht="60" customHeight="1" x14ac:dyDescent="0.2">
      <c r="A8" s="57" t="s">
        <v>17</v>
      </c>
      <c r="B8" s="121"/>
      <c r="C8" s="122"/>
      <c r="D8" s="119" t="s">
        <v>348</v>
      </c>
      <c r="E8" s="119" t="s">
        <v>349</v>
      </c>
      <c r="F8" s="117"/>
      <c r="G8" s="119" t="s">
        <v>275</v>
      </c>
      <c r="H8" s="119" t="s">
        <v>350</v>
      </c>
      <c r="I8" s="117"/>
      <c r="J8" s="3"/>
      <c r="K8" s="69" t="s">
        <v>16</v>
      </c>
      <c r="L8" s="9" t="s">
        <v>344</v>
      </c>
      <c r="M8" s="69" t="s">
        <v>16</v>
      </c>
      <c r="N8" s="9"/>
      <c r="O8" s="129"/>
      <c r="P8" s="130"/>
      <c r="Q8" s="131" t="s">
        <v>359</v>
      </c>
      <c r="R8" s="86"/>
    </row>
    <row r="9" spans="1:18" s="11" customFormat="1" ht="60" customHeight="1" x14ac:dyDescent="0.2">
      <c r="A9" s="9" t="s">
        <v>17</v>
      </c>
      <c r="B9" s="41"/>
      <c r="C9" s="42"/>
      <c r="D9" s="119" t="s">
        <v>351</v>
      </c>
      <c r="E9" s="126" t="s">
        <v>352</v>
      </c>
      <c r="F9" s="119" t="s">
        <v>353</v>
      </c>
      <c r="G9" s="119" t="s">
        <v>354</v>
      </c>
      <c r="H9" s="119" t="s">
        <v>355</v>
      </c>
      <c r="I9" s="127" t="s">
        <v>356</v>
      </c>
      <c r="J9" s="119" t="s">
        <v>357</v>
      </c>
      <c r="K9" s="69"/>
      <c r="L9" s="69"/>
      <c r="M9" s="69"/>
      <c r="N9" s="69"/>
      <c r="O9" s="131" t="s">
        <v>358</v>
      </c>
      <c r="P9" s="86"/>
      <c r="Q9" s="131" t="s">
        <v>360</v>
      </c>
      <c r="R9" s="86"/>
    </row>
    <row r="10" spans="1:18" s="11" customFormat="1" ht="52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28" t="s">
        <v>356</v>
      </c>
      <c r="L10" s="128" t="s">
        <v>357</v>
      </c>
      <c r="M10" s="128" t="s">
        <v>356</v>
      </c>
      <c r="N10" s="128" t="s">
        <v>357</v>
      </c>
      <c r="O10" s="77"/>
      <c r="P10" s="77"/>
      <c r="Q10" s="78"/>
      <c r="R10" s="72"/>
    </row>
    <row r="11" spans="1:18" s="11" customFormat="1" x14ac:dyDescent="0.2">
      <c r="A11" s="9">
        <v>10</v>
      </c>
      <c r="B11" s="41" t="s">
        <v>0</v>
      </c>
      <c r="C11" s="42"/>
      <c r="D11" s="30" t="s">
        <v>181</v>
      </c>
      <c r="E11" s="79" t="s">
        <v>82</v>
      </c>
      <c r="F11" s="80"/>
      <c r="G11" s="30" t="s">
        <v>100</v>
      </c>
      <c r="H11" s="81" t="s">
        <v>279</v>
      </c>
      <c r="I11" s="82"/>
      <c r="J11" s="83"/>
      <c r="K11" s="84" t="s">
        <v>277</v>
      </c>
      <c r="L11" s="84"/>
      <c r="M11" s="84"/>
      <c r="N11" s="84"/>
      <c r="O11" s="71"/>
      <c r="P11" s="72"/>
      <c r="Q11" s="105"/>
      <c r="R11" s="85"/>
    </row>
    <row r="12" spans="1:18" s="11" customFormat="1" x14ac:dyDescent="0.2">
      <c r="A12" s="9">
        <v>10</v>
      </c>
      <c r="B12" s="9"/>
      <c r="C12" s="9"/>
      <c r="D12" s="9" t="s">
        <v>120</v>
      </c>
      <c r="E12" s="57" t="s">
        <v>138</v>
      </c>
      <c r="F12" s="57"/>
      <c r="G12" s="58" t="s">
        <v>361</v>
      </c>
      <c r="H12" s="58" t="s">
        <v>249</v>
      </c>
      <c r="I12" s="9" t="s">
        <v>40</v>
      </c>
      <c r="J12" s="9"/>
      <c r="K12" s="9" t="s">
        <v>106</v>
      </c>
      <c r="L12" s="9"/>
      <c r="M12" s="9"/>
      <c r="N12" s="9"/>
      <c r="O12" s="76"/>
      <c r="P12" s="86"/>
      <c r="Q12" s="182"/>
      <c r="R12" s="183"/>
    </row>
    <row r="13" spans="1:18" s="11" customFormat="1" x14ac:dyDescent="0.2">
      <c r="A13" s="9">
        <v>10</v>
      </c>
      <c r="B13" s="9"/>
      <c r="C13" s="9"/>
      <c r="D13" s="9" t="s">
        <v>122</v>
      </c>
      <c r="E13" s="57" t="s">
        <v>140</v>
      </c>
      <c r="F13" s="57"/>
      <c r="G13" s="58" t="s">
        <v>362</v>
      </c>
      <c r="H13" s="58" t="s">
        <v>250</v>
      </c>
      <c r="I13" s="9" t="s">
        <v>40</v>
      </c>
      <c r="J13" s="9"/>
      <c r="K13" s="9" t="s">
        <v>106</v>
      </c>
      <c r="L13" s="9"/>
      <c r="M13" s="9"/>
      <c r="N13" s="9"/>
      <c r="O13" s="76"/>
      <c r="P13" s="86"/>
      <c r="Q13" s="182"/>
      <c r="R13" s="183"/>
    </row>
    <row r="14" spans="1:18" s="11" customFormat="1" x14ac:dyDescent="0.2">
      <c r="A14" s="9">
        <v>10</v>
      </c>
      <c r="B14" s="9"/>
      <c r="C14" s="9"/>
      <c r="D14" s="9" t="s">
        <v>124</v>
      </c>
      <c r="E14" s="57" t="s">
        <v>142</v>
      </c>
      <c r="F14" s="57"/>
      <c r="G14" s="58" t="s">
        <v>363</v>
      </c>
      <c r="H14" s="58" t="s">
        <v>251</v>
      </c>
      <c r="I14" s="9" t="s">
        <v>40</v>
      </c>
      <c r="J14" s="9"/>
      <c r="K14" s="9" t="s">
        <v>106</v>
      </c>
      <c r="L14" s="9"/>
      <c r="M14" s="9"/>
      <c r="N14" s="9"/>
      <c r="O14" s="76"/>
      <c r="P14" s="86"/>
      <c r="Q14" s="182"/>
      <c r="R14" s="183"/>
    </row>
    <row r="15" spans="1:18" s="11" customFormat="1" x14ac:dyDescent="0.2">
      <c r="A15" s="9">
        <v>10</v>
      </c>
      <c r="B15" s="9"/>
      <c r="C15" s="9"/>
      <c r="D15" s="9" t="s">
        <v>126</v>
      </c>
      <c r="E15" s="57" t="s">
        <v>144</v>
      </c>
      <c r="F15" s="57"/>
      <c r="G15" s="58" t="s">
        <v>364</v>
      </c>
      <c r="H15" s="58" t="s">
        <v>252</v>
      </c>
      <c r="I15" s="9" t="s">
        <v>40</v>
      </c>
      <c r="J15" s="9"/>
      <c r="K15" s="9" t="s">
        <v>106</v>
      </c>
      <c r="L15" s="9"/>
      <c r="M15" s="9"/>
      <c r="N15" s="9"/>
      <c r="O15" s="76"/>
      <c r="P15" s="86"/>
      <c r="Q15" s="182"/>
      <c r="R15" s="183"/>
    </row>
    <row r="16" spans="1:18" s="11" customFormat="1" ht="26" x14ac:dyDescent="0.2">
      <c r="A16" s="9">
        <v>10</v>
      </c>
      <c r="B16" s="9"/>
      <c r="C16" s="9"/>
      <c r="D16" s="9" t="s">
        <v>190</v>
      </c>
      <c r="E16" s="57" t="s">
        <v>188</v>
      </c>
      <c r="F16" s="57"/>
      <c r="G16" s="58" t="s">
        <v>367</v>
      </c>
      <c r="H16" s="58" t="s">
        <v>258</v>
      </c>
      <c r="I16" s="9" t="s">
        <v>40</v>
      </c>
      <c r="J16" s="9"/>
      <c r="K16" s="9" t="s">
        <v>106</v>
      </c>
      <c r="L16" s="9"/>
      <c r="M16" s="9"/>
      <c r="N16" s="9"/>
      <c r="O16" s="76"/>
      <c r="P16" s="86"/>
      <c r="Q16" s="182"/>
      <c r="R16" s="183"/>
    </row>
    <row r="17" spans="1:18" s="11" customFormat="1" x14ac:dyDescent="0.2">
      <c r="A17" s="9">
        <v>10</v>
      </c>
      <c r="B17" s="9"/>
      <c r="C17" s="9"/>
      <c r="D17" s="9" t="s">
        <v>96</v>
      </c>
      <c r="E17" s="57" t="s">
        <v>97</v>
      </c>
      <c r="F17" s="57"/>
      <c r="G17" s="58" t="s">
        <v>383</v>
      </c>
      <c r="H17" s="58" t="s">
        <v>278</v>
      </c>
      <c r="I17" s="9" t="s">
        <v>40</v>
      </c>
      <c r="J17" s="9"/>
      <c r="K17" s="9" t="s">
        <v>40</v>
      </c>
      <c r="L17" s="9"/>
      <c r="M17" s="9"/>
      <c r="N17" s="9"/>
      <c r="O17" s="78"/>
      <c r="P17" s="72"/>
      <c r="Q17" s="105"/>
      <c r="R17" s="85"/>
    </row>
    <row r="18" spans="1:18" s="11" customFormat="1" x14ac:dyDescent="0.2">
      <c r="A18" s="87"/>
      <c r="B18" s="88"/>
      <c r="C18" s="88"/>
      <c r="D18" s="65" t="s">
        <v>1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4"/>
      <c r="P18" s="4"/>
      <c r="Q18" s="6"/>
      <c r="R18" s="24"/>
    </row>
    <row r="19" spans="1:18" s="11" customFormat="1" x14ac:dyDescent="0.2">
      <c r="A19" s="111"/>
      <c r="R19" s="64"/>
    </row>
    <row r="20" spans="1:18" s="11" customFormat="1" x14ac:dyDescent="0.2">
      <c r="A20" s="111"/>
      <c r="R20" s="64"/>
    </row>
    <row r="21" spans="1:18" s="11" customFormat="1" x14ac:dyDescent="0.2">
      <c r="A21" s="111"/>
      <c r="R21" s="64"/>
    </row>
    <row r="22" spans="1:18" s="11" customFormat="1" x14ac:dyDescent="0.2">
      <c r="A22" s="111"/>
      <c r="R22" s="64"/>
    </row>
    <row r="23" spans="1:18" s="11" customFormat="1" x14ac:dyDescent="0.2">
      <c r="A23" s="111"/>
      <c r="R23" s="64"/>
    </row>
    <row r="24" spans="1:18" s="11" customFormat="1" x14ac:dyDescent="0.2">
      <c r="A24" s="111"/>
      <c r="R24" s="64"/>
    </row>
    <row r="25" spans="1:18" s="11" customFormat="1" x14ac:dyDescent="0.2">
      <c r="A25" s="111"/>
      <c r="R25" s="64"/>
    </row>
    <row r="26" spans="1:18" s="11" customFormat="1" x14ac:dyDescent="0.2">
      <c r="A26" s="111"/>
      <c r="R26" s="64"/>
    </row>
    <row r="27" spans="1:18" s="11" customFormat="1" x14ac:dyDescent="0.2">
      <c r="A27" s="111"/>
      <c r="R27" s="64"/>
    </row>
    <row r="28" spans="1:18" s="11" customFormat="1" x14ac:dyDescent="0.2">
      <c r="A28" s="111"/>
      <c r="R28" s="64"/>
    </row>
    <row r="29" spans="1:18" s="11" customFormat="1" x14ac:dyDescent="0.2">
      <c r="A29" s="11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1"/>
    </row>
  </sheetData>
  <dataConsolidate/>
  <mergeCells count="5">
    <mergeCell ref="Q12:R12"/>
    <mergeCell ref="Q13:R13"/>
    <mergeCell ref="Q14:R14"/>
    <mergeCell ref="Q15:R15"/>
    <mergeCell ref="Q16:R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0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179687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0.453125" style="66" bestFit="1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9.36328125" style="66" bestFit="1" customWidth="1"/>
    <col min="14" max="14" width="50.6328125" style="66" customWidth="1"/>
    <col min="15" max="15" width="20.453125" style="66" bestFit="1" customWidth="1"/>
    <col min="16" max="16" width="30.81640625" style="66" customWidth="1"/>
    <col min="17" max="17" width="13.90625" style="66" bestFit="1" customWidth="1"/>
    <col min="18" max="18" width="15.81640625" style="66" customWidth="1"/>
    <col min="19" max="19" width="16.453125" style="66" customWidth="1"/>
    <col min="20" max="20" width="19.90625" style="66" customWidth="1"/>
    <col min="21" max="22" width="17.1796875" style="65" customWidth="1"/>
    <col min="23" max="16384" width="9" style="65"/>
  </cols>
  <sheetData>
    <row r="1" spans="1:19" s="11" customFormat="1" x14ac:dyDescent="0.2">
      <c r="A1" s="107" t="s">
        <v>22</v>
      </c>
      <c r="B1" s="107" t="s">
        <v>22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108" t="s">
        <v>22</v>
      </c>
      <c r="B2" s="109"/>
      <c r="C2" s="109"/>
      <c r="D2" s="118" t="s">
        <v>347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MABSL0350</v>
      </c>
      <c r="I2" s="7" t="s">
        <v>30</v>
      </c>
      <c r="J2" s="9" t="s">
        <v>117</v>
      </c>
      <c r="K2" s="7" t="s">
        <v>31</v>
      </c>
      <c r="L2" s="110" t="str">
        <f>IF(LogicCommon!G2="","",LogicCommon!G2)</f>
        <v>MC</v>
      </c>
      <c r="M2" s="5" t="s">
        <v>32</v>
      </c>
      <c r="N2" s="30" t="s">
        <v>346</v>
      </c>
      <c r="O2" s="7"/>
      <c r="P2" s="7"/>
      <c r="Q2" s="4"/>
      <c r="R2" s="4"/>
      <c r="S2" s="4"/>
    </row>
    <row r="3" spans="1:19" s="11" customFormat="1" x14ac:dyDescent="0.2">
      <c r="A3" s="111" t="s">
        <v>22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MABSL_ItmSiteReg</v>
      </c>
      <c r="I3" s="7" t="s">
        <v>33</v>
      </c>
      <c r="J3" s="9" t="s">
        <v>34</v>
      </c>
      <c r="K3" s="7" t="s">
        <v>35</v>
      </c>
      <c r="L3" s="110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4"/>
      <c r="S3" s="4"/>
    </row>
    <row r="4" spans="1:19" s="11" customFormat="1" x14ac:dyDescent="0.2">
      <c r="A4" s="111" t="s">
        <v>22</v>
      </c>
      <c r="B4" s="112"/>
      <c r="C4" s="112"/>
      <c r="D4" s="4"/>
      <c r="E4" s="7" t="s">
        <v>8</v>
      </c>
      <c r="F4" s="10" t="s">
        <v>341</v>
      </c>
      <c r="G4" s="7" t="s">
        <v>11</v>
      </c>
      <c r="H4" s="110" t="str">
        <f>IF(LogicCommon!E4="","",LogicCommon!E4)</f>
        <v>品目マスタ（工場・物流倉庫）登録</v>
      </c>
      <c r="I4" s="7" t="s">
        <v>39</v>
      </c>
      <c r="J4" s="9" t="s">
        <v>2</v>
      </c>
      <c r="K4" s="7" t="s">
        <v>5</v>
      </c>
      <c r="L4" s="110" t="str">
        <f>IF(LogicCommon!G4="","",LogicCommon!G4)</f>
        <v>MA.MAUDL5010</v>
      </c>
      <c r="M4" s="114"/>
      <c r="N4" s="30"/>
      <c r="O4" s="15"/>
      <c r="P4" s="4"/>
      <c r="Q4" s="4"/>
      <c r="R4" s="4"/>
      <c r="S4" s="4"/>
    </row>
    <row r="5" spans="1:19" s="11" customFormat="1" x14ac:dyDescent="0.2">
      <c r="A5" s="115" t="s">
        <v>22</v>
      </c>
      <c r="B5" s="107"/>
      <c r="C5" s="107"/>
      <c r="D5" s="27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4"/>
      <c r="S5" s="4"/>
    </row>
    <row r="6" spans="1:19" s="11" customFormat="1" x14ac:dyDescent="0.2">
      <c r="A6" s="111" t="s">
        <v>22</v>
      </c>
      <c r="B6" s="112"/>
      <c r="C6" s="112"/>
      <c r="D6" s="4" t="s">
        <v>6</v>
      </c>
      <c r="E6" s="17" t="s">
        <v>245</v>
      </c>
      <c r="F6" s="17"/>
      <c r="G6" s="17"/>
      <c r="H6" s="17"/>
      <c r="I6" s="17"/>
      <c r="J6" s="17"/>
      <c r="K6" s="17"/>
      <c r="L6" s="117"/>
      <c r="M6" s="20" t="s">
        <v>42</v>
      </c>
      <c r="N6" s="20"/>
      <c r="O6" s="20" t="s">
        <v>42</v>
      </c>
      <c r="P6" s="20"/>
      <c r="Q6" s="20"/>
    </row>
    <row r="7" spans="1:19" s="11" customFormat="1" x14ac:dyDescent="0.2">
      <c r="A7" s="67" t="s">
        <v>43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70" t="s">
        <v>222</v>
      </c>
      <c r="L7" s="69" t="s">
        <v>45</v>
      </c>
      <c r="M7" s="70" t="s">
        <v>46</v>
      </c>
      <c r="N7" s="69" t="s">
        <v>45</v>
      </c>
      <c r="O7" s="70"/>
      <c r="P7" s="66"/>
      <c r="Q7" s="66"/>
      <c r="R7" s="66"/>
      <c r="S7" s="66"/>
    </row>
    <row r="8" spans="1:19" s="11" customFormat="1" ht="60" customHeight="1" x14ac:dyDescent="0.2">
      <c r="A8" s="57" t="s">
        <v>17</v>
      </c>
      <c r="B8" s="121"/>
      <c r="C8" s="122"/>
      <c r="D8" s="119" t="s">
        <v>348</v>
      </c>
      <c r="E8" s="119" t="s">
        <v>349</v>
      </c>
      <c r="F8" s="117"/>
      <c r="G8" s="119" t="s">
        <v>275</v>
      </c>
      <c r="H8" s="119" t="s">
        <v>350</v>
      </c>
      <c r="I8" s="117"/>
      <c r="J8" s="3"/>
      <c r="K8" s="9" t="s">
        <v>223</v>
      </c>
      <c r="L8" s="69" t="s">
        <v>16</v>
      </c>
      <c r="M8" s="9" t="s">
        <v>344</v>
      </c>
      <c r="N8" s="69" t="s">
        <v>16</v>
      </c>
      <c r="O8" s="9"/>
      <c r="P8" s="129"/>
      <c r="Q8" s="130"/>
      <c r="R8" s="131" t="s">
        <v>359</v>
      </c>
      <c r="S8" s="86"/>
    </row>
    <row r="9" spans="1:19" s="11" customFormat="1" ht="60" customHeight="1" x14ac:dyDescent="0.2">
      <c r="A9" s="9" t="s">
        <v>17</v>
      </c>
      <c r="B9" s="41"/>
      <c r="C9" s="42"/>
      <c r="D9" s="119" t="s">
        <v>351</v>
      </c>
      <c r="E9" s="126" t="s">
        <v>352</v>
      </c>
      <c r="F9" s="119" t="s">
        <v>353</v>
      </c>
      <c r="G9" s="119" t="s">
        <v>354</v>
      </c>
      <c r="H9" s="119" t="s">
        <v>355</v>
      </c>
      <c r="I9" s="127" t="s">
        <v>356</v>
      </c>
      <c r="J9" s="119" t="s">
        <v>357</v>
      </c>
      <c r="K9" s="132"/>
      <c r="L9" s="69"/>
      <c r="M9" s="69"/>
      <c r="N9" s="69"/>
      <c r="O9" s="69"/>
      <c r="P9" s="131" t="s">
        <v>358</v>
      </c>
      <c r="Q9" s="86"/>
      <c r="R9" s="131" t="s">
        <v>360</v>
      </c>
      <c r="S9" s="86"/>
    </row>
    <row r="10" spans="1:19" s="11" customFormat="1" ht="39" x14ac:dyDescent="0.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89"/>
      <c r="L10" s="128" t="s">
        <v>356</v>
      </c>
      <c r="M10" s="128" t="s">
        <v>357</v>
      </c>
      <c r="N10" s="128" t="s">
        <v>356</v>
      </c>
      <c r="O10" s="128" t="s">
        <v>357</v>
      </c>
      <c r="P10" s="77"/>
      <c r="Q10" s="77"/>
      <c r="R10" s="78"/>
      <c r="S10" s="72"/>
    </row>
    <row r="11" spans="1:19" s="11" customFormat="1" x14ac:dyDescent="0.2">
      <c r="A11" s="9">
        <v>10</v>
      </c>
      <c r="B11" s="41" t="s">
        <v>0</v>
      </c>
      <c r="C11" s="42"/>
      <c r="D11" s="30" t="s">
        <v>19</v>
      </c>
      <c r="E11" s="79" t="s">
        <v>20</v>
      </c>
      <c r="F11" s="80"/>
      <c r="G11" s="30"/>
      <c r="H11" s="81"/>
      <c r="I11" s="82"/>
      <c r="J11" s="83"/>
      <c r="K11" s="73"/>
      <c r="L11" s="84"/>
      <c r="M11" s="84"/>
      <c r="N11" s="84"/>
      <c r="O11" s="84"/>
      <c r="P11" s="71"/>
      <c r="Q11" s="72"/>
      <c r="R11" s="105"/>
      <c r="S11" s="85"/>
    </row>
    <row r="12" spans="1:19" s="11" customFormat="1" x14ac:dyDescent="0.2">
      <c r="A12" s="9">
        <v>10</v>
      </c>
      <c r="B12" s="9"/>
      <c r="C12" s="9"/>
      <c r="D12" s="9" t="s">
        <v>130</v>
      </c>
      <c r="E12" s="57" t="s">
        <v>134</v>
      </c>
      <c r="F12" s="57"/>
      <c r="G12" s="58" t="s">
        <v>384</v>
      </c>
      <c r="H12" s="58" t="s">
        <v>280</v>
      </c>
      <c r="I12" s="9" t="s">
        <v>40</v>
      </c>
      <c r="J12" s="9"/>
      <c r="K12" s="9"/>
      <c r="L12" s="9"/>
      <c r="M12" s="9"/>
      <c r="N12" s="9"/>
      <c r="O12" s="9"/>
      <c r="P12" s="90"/>
      <c r="Q12" s="86"/>
      <c r="R12" s="182"/>
      <c r="S12" s="183"/>
    </row>
    <row r="13" spans="1:19" s="11" customFormat="1" x14ac:dyDescent="0.2">
      <c r="A13" s="9">
        <v>10</v>
      </c>
      <c r="B13" s="9"/>
      <c r="C13" s="9"/>
      <c r="D13" s="9" t="s">
        <v>132</v>
      </c>
      <c r="E13" s="57" t="s">
        <v>136</v>
      </c>
      <c r="F13" s="57"/>
      <c r="G13" s="58" t="s">
        <v>385</v>
      </c>
      <c r="H13" s="58" t="s">
        <v>281</v>
      </c>
      <c r="I13" s="9" t="s">
        <v>40</v>
      </c>
      <c r="J13" s="9"/>
      <c r="K13" s="9"/>
      <c r="L13" s="9"/>
      <c r="M13" s="9"/>
      <c r="N13" s="9"/>
      <c r="O13" s="9"/>
      <c r="P13" s="90"/>
      <c r="Q13" s="86"/>
      <c r="R13" s="182"/>
      <c r="S13" s="183"/>
    </row>
    <row r="14" spans="1:19" s="11" customFormat="1" x14ac:dyDescent="0.2">
      <c r="A14" s="9">
        <v>10</v>
      </c>
      <c r="B14" s="9"/>
      <c r="C14" s="9"/>
      <c r="D14" s="9" t="s">
        <v>133</v>
      </c>
      <c r="E14" s="57" t="s">
        <v>137</v>
      </c>
      <c r="F14" s="57"/>
      <c r="G14" s="58" t="s">
        <v>386</v>
      </c>
      <c r="H14" s="58" t="s">
        <v>282</v>
      </c>
      <c r="I14" s="9" t="s">
        <v>40</v>
      </c>
      <c r="J14" s="9"/>
      <c r="K14" s="9"/>
      <c r="L14" s="9"/>
      <c r="M14" s="9"/>
      <c r="N14" s="9"/>
      <c r="O14" s="9"/>
      <c r="P14" s="90"/>
      <c r="Q14" s="86"/>
      <c r="R14" s="182"/>
      <c r="S14" s="183"/>
    </row>
    <row r="15" spans="1:19" s="11" customFormat="1" x14ac:dyDescent="0.2">
      <c r="A15" s="9">
        <v>10</v>
      </c>
      <c r="B15" s="9"/>
      <c r="C15" s="9"/>
      <c r="D15" s="9" t="s">
        <v>121</v>
      </c>
      <c r="E15" s="57" t="s">
        <v>139</v>
      </c>
      <c r="F15" s="57"/>
      <c r="G15" s="58" t="s">
        <v>361</v>
      </c>
      <c r="H15" s="58" t="s">
        <v>249</v>
      </c>
      <c r="I15" s="9" t="s">
        <v>40</v>
      </c>
      <c r="J15" s="9"/>
      <c r="K15" s="9"/>
      <c r="L15" s="9"/>
      <c r="M15" s="9"/>
      <c r="N15" s="9"/>
      <c r="O15" s="9"/>
      <c r="P15" s="90"/>
      <c r="Q15" s="86"/>
      <c r="R15" s="182"/>
      <c r="S15" s="183"/>
    </row>
    <row r="16" spans="1:19" s="11" customFormat="1" x14ac:dyDescent="0.2">
      <c r="A16" s="9">
        <v>10</v>
      </c>
      <c r="B16" s="9"/>
      <c r="C16" s="9"/>
      <c r="D16" s="9" t="s">
        <v>123</v>
      </c>
      <c r="E16" s="57" t="s">
        <v>141</v>
      </c>
      <c r="F16" s="57"/>
      <c r="G16" s="58" t="s">
        <v>362</v>
      </c>
      <c r="H16" s="58" t="s">
        <v>250</v>
      </c>
      <c r="I16" s="9" t="s">
        <v>40</v>
      </c>
      <c r="J16" s="9"/>
      <c r="K16" s="9"/>
      <c r="L16" s="9"/>
      <c r="M16" s="9"/>
      <c r="N16" s="9"/>
      <c r="O16" s="9"/>
      <c r="P16" s="90"/>
      <c r="Q16" s="86"/>
      <c r="R16" s="105"/>
      <c r="S16" s="106"/>
    </row>
    <row r="17" spans="1:19" s="11" customFormat="1" x14ac:dyDescent="0.2">
      <c r="A17" s="9">
        <v>10</v>
      </c>
      <c r="B17" s="9"/>
      <c r="C17" s="9"/>
      <c r="D17" s="9" t="s">
        <v>125</v>
      </c>
      <c r="E17" s="57" t="s">
        <v>143</v>
      </c>
      <c r="F17" s="57"/>
      <c r="G17" s="58" t="s">
        <v>363</v>
      </c>
      <c r="H17" s="58" t="s">
        <v>251</v>
      </c>
      <c r="I17" s="9" t="s">
        <v>40</v>
      </c>
      <c r="J17" s="9"/>
      <c r="K17" s="9"/>
      <c r="L17" s="9"/>
      <c r="M17" s="9"/>
      <c r="N17" s="9"/>
      <c r="O17" s="9"/>
      <c r="P17" s="90"/>
      <c r="Q17" s="86"/>
      <c r="R17" s="182"/>
      <c r="S17" s="183"/>
    </row>
    <row r="18" spans="1:19" s="11" customFormat="1" x14ac:dyDescent="0.2">
      <c r="A18" s="9">
        <v>10</v>
      </c>
      <c r="B18" s="9"/>
      <c r="C18" s="9"/>
      <c r="D18" s="9" t="s">
        <v>127</v>
      </c>
      <c r="E18" s="57" t="s">
        <v>145</v>
      </c>
      <c r="F18" s="57"/>
      <c r="G18" s="58" t="s">
        <v>364</v>
      </c>
      <c r="H18" s="58" t="s">
        <v>252</v>
      </c>
      <c r="I18" s="9" t="s">
        <v>40</v>
      </c>
      <c r="J18" s="9"/>
      <c r="K18" s="9"/>
      <c r="L18" s="9"/>
      <c r="M18" s="9"/>
      <c r="N18" s="9"/>
      <c r="O18" s="9"/>
      <c r="P18" s="90"/>
      <c r="Q18" s="86"/>
      <c r="R18" s="182"/>
      <c r="S18" s="183"/>
    </row>
    <row r="19" spans="1:19" s="11" customFormat="1" x14ac:dyDescent="0.2">
      <c r="A19" s="9">
        <v>10</v>
      </c>
      <c r="B19" s="9"/>
      <c r="C19" s="9"/>
      <c r="D19" s="9" t="s">
        <v>129</v>
      </c>
      <c r="E19" s="57" t="s">
        <v>147</v>
      </c>
      <c r="F19" s="57"/>
      <c r="G19" s="58" t="s">
        <v>387</v>
      </c>
      <c r="H19" s="58" t="s">
        <v>283</v>
      </c>
      <c r="I19" s="9" t="s">
        <v>40</v>
      </c>
      <c r="J19" s="9"/>
      <c r="K19" s="9"/>
      <c r="L19" s="9"/>
      <c r="M19" s="9"/>
      <c r="N19" s="9"/>
      <c r="O19" s="9"/>
      <c r="P19" s="90"/>
      <c r="Q19" s="86"/>
      <c r="R19" s="182"/>
      <c r="S19" s="183"/>
    </row>
    <row r="20" spans="1:19" s="11" customFormat="1" ht="26" x14ac:dyDescent="0.2">
      <c r="A20" s="9">
        <v>10</v>
      </c>
      <c r="B20" s="9"/>
      <c r="C20" s="9"/>
      <c r="D20" s="9" t="s">
        <v>186</v>
      </c>
      <c r="E20" s="57" t="s">
        <v>188</v>
      </c>
      <c r="F20" s="57"/>
      <c r="G20" s="58" t="s">
        <v>367</v>
      </c>
      <c r="H20" s="58" t="s">
        <v>258</v>
      </c>
      <c r="I20" s="9" t="s">
        <v>40</v>
      </c>
      <c r="J20" s="9"/>
      <c r="K20" s="9"/>
      <c r="L20" s="9"/>
      <c r="M20" s="9"/>
      <c r="N20" s="9"/>
      <c r="O20" s="9"/>
      <c r="P20" s="90"/>
      <c r="Q20" s="86"/>
      <c r="R20" s="105"/>
      <c r="S20" s="106"/>
    </row>
    <row r="21" spans="1:19" s="11" customFormat="1" ht="26" x14ac:dyDescent="0.2">
      <c r="A21" s="9">
        <v>10</v>
      </c>
      <c r="B21" s="9"/>
      <c r="C21" s="9"/>
      <c r="D21" s="9" t="s">
        <v>187</v>
      </c>
      <c r="E21" s="57" t="s">
        <v>189</v>
      </c>
      <c r="F21" s="57"/>
      <c r="G21" s="58" t="s">
        <v>388</v>
      </c>
      <c r="H21" s="58" t="s">
        <v>284</v>
      </c>
      <c r="I21" s="9" t="s">
        <v>40</v>
      </c>
      <c r="J21" s="9"/>
      <c r="K21" s="9"/>
      <c r="L21" s="9"/>
      <c r="M21" s="9"/>
      <c r="N21" s="9"/>
      <c r="O21" s="9"/>
      <c r="P21" s="90"/>
      <c r="Q21" s="86"/>
      <c r="R21" s="105"/>
      <c r="S21" s="106"/>
    </row>
    <row r="22" spans="1:19" s="11" customFormat="1" x14ac:dyDescent="0.2">
      <c r="A22" s="9">
        <v>10</v>
      </c>
      <c r="B22" s="9"/>
      <c r="C22" s="9"/>
      <c r="D22" s="9" t="s">
        <v>88</v>
      </c>
      <c r="E22" s="57" t="s">
        <v>79</v>
      </c>
      <c r="F22" s="57"/>
      <c r="G22" s="58" t="s">
        <v>389</v>
      </c>
      <c r="H22" s="58" t="s">
        <v>285</v>
      </c>
      <c r="I22" s="9" t="s">
        <v>40</v>
      </c>
      <c r="J22" s="9"/>
      <c r="K22" s="9"/>
      <c r="L22" s="9"/>
      <c r="M22" s="9"/>
      <c r="N22" s="9"/>
      <c r="O22" s="9"/>
      <c r="P22" s="90"/>
      <c r="Q22" s="86"/>
      <c r="R22" s="182"/>
      <c r="S22" s="183"/>
    </row>
    <row r="23" spans="1:19" s="11" customFormat="1" x14ac:dyDescent="0.2">
      <c r="A23" s="9">
        <v>10</v>
      </c>
      <c r="B23" s="9"/>
      <c r="C23" s="9"/>
      <c r="D23" s="9" t="s">
        <v>89</v>
      </c>
      <c r="E23" s="57" t="s">
        <v>68</v>
      </c>
      <c r="F23" s="57"/>
      <c r="G23" s="58" t="s">
        <v>390</v>
      </c>
      <c r="H23" s="58" t="s">
        <v>286</v>
      </c>
      <c r="I23" s="9" t="s">
        <v>40</v>
      </c>
      <c r="J23" s="9"/>
      <c r="K23" s="9"/>
      <c r="L23" s="9"/>
      <c r="M23" s="9"/>
      <c r="N23" s="9"/>
      <c r="O23" s="9"/>
      <c r="P23" s="91"/>
      <c r="Q23" s="92"/>
      <c r="R23" s="184"/>
      <c r="S23" s="183"/>
    </row>
    <row r="24" spans="1:19" s="11" customFormat="1" x14ac:dyDescent="0.2">
      <c r="A24" s="9">
        <v>10</v>
      </c>
      <c r="B24" s="9"/>
      <c r="C24" s="9"/>
      <c r="D24" s="9" t="s">
        <v>54</v>
      </c>
      <c r="E24" s="57" t="s">
        <v>56</v>
      </c>
      <c r="F24" s="57"/>
      <c r="G24" s="58" t="s">
        <v>379</v>
      </c>
      <c r="H24" s="58" t="s">
        <v>271</v>
      </c>
      <c r="I24" s="9" t="s">
        <v>40</v>
      </c>
      <c r="J24" s="9"/>
      <c r="K24" s="9"/>
      <c r="L24" s="9"/>
      <c r="M24" s="9"/>
      <c r="N24" s="9"/>
      <c r="O24" s="9"/>
      <c r="P24" s="90"/>
      <c r="Q24" s="86"/>
      <c r="R24" s="182"/>
      <c r="S24" s="183"/>
    </row>
    <row r="25" spans="1:19" s="11" customFormat="1" x14ac:dyDescent="0.2">
      <c r="A25" s="9">
        <v>10</v>
      </c>
      <c r="B25" s="9"/>
      <c r="C25" s="9"/>
      <c r="D25" s="9" t="s">
        <v>329</v>
      </c>
      <c r="E25" s="57" t="s">
        <v>330</v>
      </c>
      <c r="F25" s="57"/>
      <c r="G25" s="58" t="s">
        <v>380</v>
      </c>
      <c r="H25" s="58" t="s">
        <v>272</v>
      </c>
      <c r="I25" s="9" t="s">
        <v>40</v>
      </c>
      <c r="J25" s="9"/>
      <c r="K25" s="9"/>
      <c r="L25" s="9"/>
      <c r="M25" s="9"/>
      <c r="N25" s="9"/>
      <c r="O25" s="9"/>
      <c r="P25" s="91"/>
      <c r="Q25" s="92"/>
      <c r="R25" s="184"/>
      <c r="S25" s="183"/>
    </row>
    <row r="26" spans="1:19" s="11" customFormat="1" x14ac:dyDescent="0.2">
      <c r="A26" s="9">
        <v>10</v>
      </c>
      <c r="B26" s="9"/>
      <c r="C26" s="9"/>
      <c r="D26" s="9" t="s">
        <v>58</v>
      </c>
      <c r="E26" s="57" t="s">
        <v>60</v>
      </c>
      <c r="F26" s="57"/>
      <c r="G26" s="58" t="s">
        <v>381</v>
      </c>
      <c r="H26" s="58" t="s">
        <v>61</v>
      </c>
      <c r="I26" s="9" t="s">
        <v>40</v>
      </c>
      <c r="J26" s="9"/>
      <c r="K26" s="9"/>
      <c r="L26" s="9"/>
      <c r="M26" s="9"/>
      <c r="N26" s="9"/>
      <c r="O26" s="9"/>
      <c r="P26" s="91"/>
      <c r="Q26" s="92"/>
      <c r="R26" s="184"/>
      <c r="S26" s="183"/>
    </row>
    <row r="27" spans="1:19" s="11" customFormat="1" x14ac:dyDescent="0.2">
      <c r="A27" s="9">
        <v>10</v>
      </c>
      <c r="B27" s="9"/>
      <c r="C27" s="9"/>
      <c r="D27" s="9" t="s">
        <v>148</v>
      </c>
      <c r="E27" s="57" t="s">
        <v>149</v>
      </c>
      <c r="F27" s="57"/>
      <c r="G27" s="58" t="s">
        <v>391</v>
      </c>
      <c r="H27" s="58" t="s">
        <v>287</v>
      </c>
      <c r="I27" s="9" t="s">
        <v>40</v>
      </c>
      <c r="J27" s="9"/>
      <c r="K27" s="9"/>
      <c r="L27" s="9"/>
      <c r="M27" s="9"/>
      <c r="N27" s="9"/>
      <c r="O27" s="9"/>
      <c r="P27" s="91"/>
      <c r="Q27" s="92"/>
      <c r="R27" s="184"/>
      <c r="S27" s="183"/>
    </row>
    <row r="28" spans="1:19" s="11" customFormat="1" x14ac:dyDescent="0.2">
      <c r="A28" s="9">
        <v>10</v>
      </c>
      <c r="B28" s="9"/>
      <c r="C28" s="9"/>
      <c r="D28" s="9" t="s">
        <v>150</v>
      </c>
      <c r="E28" s="57" t="s">
        <v>151</v>
      </c>
      <c r="F28" s="57"/>
      <c r="G28" s="58" t="s">
        <v>392</v>
      </c>
      <c r="H28" s="58" t="s">
        <v>288</v>
      </c>
      <c r="I28" s="9" t="s">
        <v>40</v>
      </c>
      <c r="J28" s="9"/>
      <c r="K28" s="9"/>
      <c r="L28" s="9"/>
      <c r="M28" s="9"/>
      <c r="N28" s="9"/>
      <c r="O28" s="9"/>
      <c r="P28" s="91"/>
      <c r="Q28" s="92"/>
      <c r="R28" s="184"/>
      <c r="S28" s="183"/>
    </row>
    <row r="29" spans="1:19" s="11" customFormat="1" x14ac:dyDescent="0.2">
      <c r="A29" s="9">
        <v>10</v>
      </c>
      <c r="B29" s="9"/>
      <c r="C29" s="9"/>
      <c r="D29" s="9" t="s">
        <v>152</v>
      </c>
      <c r="E29" s="57" t="s">
        <v>149</v>
      </c>
      <c r="F29" s="57"/>
      <c r="G29" s="58" t="s">
        <v>393</v>
      </c>
      <c r="H29" s="58" t="s">
        <v>289</v>
      </c>
      <c r="I29" s="9" t="s">
        <v>40</v>
      </c>
      <c r="J29" s="9"/>
      <c r="K29" s="9"/>
      <c r="L29" s="9"/>
      <c r="M29" s="9"/>
      <c r="N29" s="9"/>
      <c r="O29" s="9"/>
      <c r="P29" s="91"/>
      <c r="Q29" s="92"/>
      <c r="R29" s="184"/>
      <c r="S29" s="183"/>
    </row>
    <row r="30" spans="1:19" s="11" customFormat="1" x14ac:dyDescent="0.2">
      <c r="A30" s="9">
        <v>10</v>
      </c>
      <c r="B30" s="9"/>
      <c r="C30" s="9"/>
      <c r="D30" s="9" t="s">
        <v>153</v>
      </c>
      <c r="E30" s="57" t="s">
        <v>151</v>
      </c>
      <c r="F30" s="57"/>
      <c r="G30" s="58" t="s">
        <v>394</v>
      </c>
      <c r="H30" s="58" t="s">
        <v>290</v>
      </c>
      <c r="I30" s="9" t="s">
        <v>40</v>
      </c>
      <c r="J30" s="9"/>
      <c r="K30" s="9"/>
      <c r="L30" s="9"/>
      <c r="M30" s="9"/>
      <c r="N30" s="9"/>
      <c r="O30" s="9"/>
      <c r="P30" s="91"/>
      <c r="Q30" s="92"/>
      <c r="R30" s="184"/>
      <c r="S30" s="183"/>
    </row>
    <row r="31" spans="1:19" s="11" customFormat="1" x14ac:dyDescent="0.2">
      <c r="A31" s="9">
        <v>10</v>
      </c>
      <c r="B31" s="9"/>
      <c r="C31" s="9"/>
      <c r="D31" s="9" t="s">
        <v>154</v>
      </c>
      <c r="E31" s="57" t="s">
        <v>149</v>
      </c>
      <c r="F31" s="57"/>
      <c r="G31" s="58" t="s">
        <v>395</v>
      </c>
      <c r="H31" s="58" t="s">
        <v>291</v>
      </c>
      <c r="I31" s="9" t="s">
        <v>40</v>
      </c>
      <c r="J31" s="9"/>
      <c r="K31" s="9"/>
      <c r="L31" s="9"/>
      <c r="M31" s="9"/>
      <c r="N31" s="9"/>
      <c r="O31" s="9"/>
      <c r="P31" s="91"/>
      <c r="Q31" s="92"/>
      <c r="R31" s="184"/>
      <c r="S31" s="183"/>
    </row>
    <row r="32" spans="1:19" s="11" customFormat="1" x14ac:dyDescent="0.2">
      <c r="A32" s="9">
        <v>10</v>
      </c>
      <c r="B32" s="9"/>
      <c r="C32" s="9"/>
      <c r="D32" s="9" t="s">
        <v>155</v>
      </c>
      <c r="E32" s="57" t="s">
        <v>151</v>
      </c>
      <c r="F32" s="57"/>
      <c r="G32" s="58" t="s">
        <v>396</v>
      </c>
      <c r="H32" s="58" t="s">
        <v>292</v>
      </c>
      <c r="I32" s="9" t="s">
        <v>40</v>
      </c>
      <c r="J32" s="9"/>
      <c r="K32" s="9"/>
      <c r="L32" s="9"/>
      <c r="M32" s="9"/>
      <c r="N32" s="9"/>
      <c r="O32" s="9"/>
      <c r="P32" s="91"/>
      <c r="Q32" s="92"/>
      <c r="R32" s="184"/>
      <c r="S32" s="183"/>
    </row>
    <row r="33" spans="1:19" s="11" customFormat="1" x14ac:dyDescent="0.2">
      <c r="A33" s="9">
        <v>10</v>
      </c>
      <c r="B33" s="9"/>
      <c r="C33" s="9"/>
      <c r="D33" s="9" t="s">
        <v>156</v>
      </c>
      <c r="E33" s="57" t="s">
        <v>149</v>
      </c>
      <c r="F33" s="57"/>
      <c r="G33" s="58" t="s">
        <v>397</v>
      </c>
      <c r="H33" s="58" t="s">
        <v>293</v>
      </c>
      <c r="I33" s="9" t="s">
        <v>40</v>
      </c>
      <c r="J33" s="9"/>
      <c r="K33" s="9"/>
      <c r="L33" s="9"/>
      <c r="M33" s="9"/>
      <c r="N33" s="9"/>
      <c r="O33" s="9"/>
      <c r="P33" s="91"/>
      <c r="Q33" s="92"/>
      <c r="R33" s="184"/>
      <c r="S33" s="183"/>
    </row>
    <row r="34" spans="1:19" s="11" customFormat="1" x14ac:dyDescent="0.2">
      <c r="A34" s="9">
        <v>10</v>
      </c>
      <c r="B34" s="9"/>
      <c r="C34" s="9"/>
      <c r="D34" s="9" t="s">
        <v>157</v>
      </c>
      <c r="E34" s="57" t="s">
        <v>151</v>
      </c>
      <c r="F34" s="57"/>
      <c r="G34" s="58" t="s">
        <v>398</v>
      </c>
      <c r="H34" s="58" t="s">
        <v>294</v>
      </c>
      <c r="I34" s="9" t="s">
        <v>40</v>
      </c>
      <c r="J34" s="9"/>
      <c r="K34" s="9"/>
      <c r="L34" s="9"/>
      <c r="M34" s="9"/>
      <c r="N34" s="9"/>
      <c r="O34" s="9"/>
      <c r="P34" s="91"/>
      <c r="Q34" s="92"/>
      <c r="R34" s="184"/>
      <c r="S34" s="183"/>
    </row>
    <row r="35" spans="1:19" s="11" customFormat="1" x14ac:dyDescent="0.2">
      <c r="A35" s="9">
        <v>10</v>
      </c>
      <c r="B35" s="9"/>
      <c r="C35" s="9"/>
      <c r="D35" s="9" t="s">
        <v>158</v>
      </c>
      <c r="E35" s="57" t="s">
        <v>149</v>
      </c>
      <c r="F35" s="57"/>
      <c r="G35" s="58" t="s">
        <v>399</v>
      </c>
      <c r="H35" s="58" t="s">
        <v>295</v>
      </c>
      <c r="I35" s="9" t="s">
        <v>40</v>
      </c>
      <c r="J35" s="9"/>
      <c r="K35" s="9"/>
      <c r="L35" s="9"/>
      <c r="M35" s="9"/>
      <c r="N35" s="9"/>
      <c r="O35" s="9"/>
      <c r="P35" s="91"/>
      <c r="Q35" s="92"/>
      <c r="R35" s="184"/>
      <c r="S35" s="183"/>
    </row>
    <row r="36" spans="1:19" s="11" customFormat="1" x14ac:dyDescent="0.2">
      <c r="A36" s="9">
        <v>10</v>
      </c>
      <c r="B36" s="9"/>
      <c r="C36" s="9"/>
      <c r="D36" s="9" t="s">
        <v>159</v>
      </c>
      <c r="E36" s="57" t="s">
        <v>151</v>
      </c>
      <c r="F36" s="57"/>
      <c r="G36" s="58" t="s">
        <v>400</v>
      </c>
      <c r="H36" s="58" t="s">
        <v>296</v>
      </c>
      <c r="I36" s="9" t="s">
        <v>40</v>
      </c>
      <c r="J36" s="9"/>
      <c r="K36" s="9"/>
      <c r="L36" s="9"/>
      <c r="M36" s="9"/>
      <c r="N36" s="9"/>
      <c r="O36" s="9"/>
      <c r="P36" s="91"/>
      <c r="Q36" s="92"/>
      <c r="R36" s="184"/>
      <c r="S36" s="183"/>
    </row>
    <row r="37" spans="1:19" s="11" customFormat="1" x14ac:dyDescent="0.2">
      <c r="A37" s="9">
        <v>10</v>
      </c>
      <c r="B37" s="9"/>
      <c r="C37" s="9"/>
      <c r="D37" s="9" t="s">
        <v>160</v>
      </c>
      <c r="E37" s="57" t="s">
        <v>149</v>
      </c>
      <c r="F37" s="57"/>
      <c r="G37" s="58" t="s">
        <v>401</v>
      </c>
      <c r="H37" s="58" t="s">
        <v>297</v>
      </c>
      <c r="I37" s="9" t="s">
        <v>40</v>
      </c>
      <c r="J37" s="9"/>
      <c r="K37" s="9"/>
      <c r="L37" s="9"/>
      <c r="M37" s="9"/>
      <c r="N37" s="9"/>
      <c r="O37" s="9"/>
      <c r="P37" s="91"/>
      <c r="Q37" s="92"/>
      <c r="R37" s="184"/>
      <c r="S37" s="183"/>
    </row>
    <row r="38" spans="1:19" s="11" customFormat="1" x14ac:dyDescent="0.2">
      <c r="A38" s="9">
        <v>10</v>
      </c>
      <c r="B38" s="9"/>
      <c r="C38" s="9"/>
      <c r="D38" s="9" t="s">
        <v>161</v>
      </c>
      <c r="E38" s="57" t="s">
        <v>151</v>
      </c>
      <c r="F38" s="57"/>
      <c r="G38" s="58" t="s">
        <v>402</v>
      </c>
      <c r="H38" s="58" t="s">
        <v>298</v>
      </c>
      <c r="I38" s="9" t="s">
        <v>40</v>
      </c>
      <c r="J38" s="9"/>
      <c r="K38" s="9"/>
      <c r="L38" s="9"/>
      <c r="M38" s="9"/>
      <c r="N38" s="9"/>
      <c r="O38" s="9"/>
      <c r="P38" s="91"/>
      <c r="Q38" s="92"/>
      <c r="R38" s="184"/>
      <c r="S38" s="183"/>
    </row>
    <row r="39" spans="1:19" s="11" customFormat="1" x14ac:dyDescent="0.2">
      <c r="A39" s="9">
        <v>10</v>
      </c>
      <c r="B39" s="9"/>
      <c r="C39" s="9"/>
      <c r="D39" s="9" t="s">
        <v>162</v>
      </c>
      <c r="E39" s="57" t="s">
        <v>149</v>
      </c>
      <c r="F39" s="57"/>
      <c r="G39" s="58" t="s">
        <v>403</v>
      </c>
      <c r="H39" s="58" t="s">
        <v>299</v>
      </c>
      <c r="I39" s="9" t="s">
        <v>40</v>
      </c>
      <c r="J39" s="9"/>
      <c r="K39" s="9"/>
      <c r="L39" s="9"/>
      <c r="M39" s="9"/>
      <c r="N39" s="9"/>
      <c r="O39" s="9"/>
      <c r="P39" s="91"/>
      <c r="Q39" s="92"/>
      <c r="R39" s="184"/>
      <c r="S39" s="183"/>
    </row>
    <row r="40" spans="1:19" s="11" customFormat="1" x14ac:dyDescent="0.2">
      <c r="A40" s="9">
        <v>10</v>
      </c>
      <c r="B40" s="9"/>
      <c r="C40" s="9"/>
      <c r="D40" s="9" t="s">
        <v>163</v>
      </c>
      <c r="E40" s="57" t="s">
        <v>151</v>
      </c>
      <c r="F40" s="57"/>
      <c r="G40" s="58" t="s">
        <v>404</v>
      </c>
      <c r="H40" s="58" t="s">
        <v>300</v>
      </c>
      <c r="I40" s="9" t="s">
        <v>40</v>
      </c>
      <c r="J40" s="9"/>
      <c r="K40" s="9"/>
      <c r="L40" s="9"/>
      <c r="M40" s="9"/>
      <c r="N40" s="9"/>
      <c r="O40" s="9"/>
      <c r="P40" s="91"/>
      <c r="Q40" s="92"/>
      <c r="R40" s="184"/>
      <c r="S40" s="183"/>
    </row>
    <row r="41" spans="1:19" s="11" customFormat="1" x14ac:dyDescent="0.2">
      <c r="A41" s="9">
        <v>10</v>
      </c>
      <c r="B41" s="9"/>
      <c r="C41" s="9"/>
      <c r="D41" s="9" t="s">
        <v>164</v>
      </c>
      <c r="E41" s="57" t="s">
        <v>149</v>
      </c>
      <c r="F41" s="57"/>
      <c r="G41" s="58" t="s">
        <v>405</v>
      </c>
      <c r="H41" s="58" t="s">
        <v>301</v>
      </c>
      <c r="I41" s="9" t="s">
        <v>40</v>
      </c>
      <c r="J41" s="9"/>
      <c r="K41" s="9"/>
      <c r="L41" s="9"/>
      <c r="M41" s="9"/>
      <c r="N41" s="9"/>
      <c r="O41" s="9"/>
      <c r="P41" s="91"/>
      <c r="Q41" s="92"/>
      <c r="R41" s="184"/>
      <c r="S41" s="183"/>
    </row>
    <row r="42" spans="1:19" s="11" customFormat="1" x14ac:dyDescent="0.2">
      <c r="A42" s="9">
        <v>10</v>
      </c>
      <c r="B42" s="9"/>
      <c r="C42" s="9"/>
      <c r="D42" s="9" t="s">
        <v>165</v>
      </c>
      <c r="E42" s="57" t="s">
        <v>151</v>
      </c>
      <c r="F42" s="57"/>
      <c r="G42" s="58" t="s">
        <v>406</v>
      </c>
      <c r="H42" s="58" t="s">
        <v>302</v>
      </c>
      <c r="I42" s="9" t="s">
        <v>40</v>
      </c>
      <c r="J42" s="9"/>
      <c r="K42" s="9"/>
      <c r="L42" s="9"/>
      <c r="M42" s="9"/>
      <c r="N42" s="9"/>
      <c r="O42" s="9"/>
      <c r="P42" s="91"/>
      <c r="Q42" s="92"/>
      <c r="R42" s="184"/>
      <c r="S42" s="183"/>
    </row>
    <row r="43" spans="1:19" s="11" customFormat="1" x14ac:dyDescent="0.2">
      <c r="A43" s="9">
        <v>10</v>
      </c>
      <c r="B43" s="9"/>
      <c r="C43" s="9"/>
      <c r="D43" s="9" t="s">
        <v>166</v>
      </c>
      <c r="E43" s="57" t="s">
        <v>149</v>
      </c>
      <c r="F43" s="57"/>
      <c r="G43" s="58" t="s">
        <v>407</v>
      </c>
      <c r="H43" s="58" t="s">
        <v>303</v>
      </c>
      <c r="I43" s="9" t="s">
        <v>40</v>
      </c>
      <c r="J43" s="9"/>
      <c r="K43" s="9"/>
      <c r="L43" s="9"/>
      <c r="M43" s="9"/>
      <c r="N43" s="9"/>
      <c r="O43" s="9"/>
      <c r="P43" s="91"/>
      <c r="Q43" s="92"/>
      <c r="R43" s="184"/>
      <c r="S43" s="183"/>
    </row>
    <row r="44" spans="1:19" s="11" customFormat="1" x14ac:dyDescent="0.2">
      <c r="A44" s="9">
        <v>10</v>
      </c>
      <c r="B44" s="9"/>
      <c r="C44" s="9"/>
      <c r="D44" s="9" t="s">
        <v>167</v>
      </c>
      <c r="E44" s="57" t="s">
        <v>151</v>
      </c>
      <c r="F44" s="57"/>
      <c r="G44" s="58" t="s">
        <v>408</v>
      </c>
      <c r="H44" s="58" t="s">
        <v>304</v>
      </c>
      <c r="I44" s="9" t="s">
        <v>40</v>
      </c>
      <c r="J44" s="9"/>
      <c r="K44" s="9"/>
      <c r="L44" s="9"/>
      <c r="M44" s="9"/>
      <c r="N44" s="9"/>
      <c r="O44" s="9"/>
      <c r="P44" s="91"/>
      <c r="Q44" s="92"/>
      <c r="R44" s="184"/>
      <c r="S44" s="183"/>
    </row>
    <row r="45" spans="1:19" s="11" customFormat="1" x14ac:dyDescent="0.2">
      <c r="A45" s="9">
        <v>10</v>
      </c>
      <c r="B45" s="9"/>
      <c r="C45" s="9"/>
      <c r="D45" s="9" t="s">
        <v>168</v>
      </c>
      <c r="E45" s="57" t="s">
        <v>149</v>
      </c>
      <c r="F45" s="57"/>
      <c r="G45" s="58" t="s">
        <v>409</v>
      </c>
      <c r="H45" s="58" t="s">
        <v>305</v>
      </c>
      <c r="I45" s="9" t="s">
        <v>40</v>
      </c>
      <c r="J45" s="9"/>
      <c r="K45" s="9"/>
      <c r="L45" s="9"/>
      <c r="M45" s="9"/>
      <c r="N45" s="9"/>
      <c r="O45" s="9"/>
      <c r="P45" s="91"/>
      <c r="Q45" s="92"/>
      <c r="R45" s="184"/>
      <c r="S45" s="183"/>
    </row>
    <row r="46" spans="1:19" s="11" customFormat="1" x14ac:dyDescent="0.2">
      <c r="A46" s="9">
        <v>10</v>
      </c>
      <c r="B46" s="9"/>
      <c r="C46" s="9"/>
      <c r="D46" s="9" t="s">
        <v>169</v>
      </c>
      <c r="E46" s="57" t="s">
        <v>151</v>
      </c>
      <c r="F46" s="57"/>
      <c r="G46" s="58" t="s">
        <v>410</v>
      </c>
      <c r="H46" s="58" t="s">
        <v>306</v>
      </c>
      <c r="I46" s="9" t="s">
        <v>40</v>
      </c>
      <c r="J46" s="9"/>
      <c r="K46" s="9"/>
      <c r="L46" s="9"/>
      <c r="M46" s="9"/>
      <c r="N46" s="9"/>
      <c r="O46" s="9"/>
      <c r="P46" s="91"/>
      <c r="Q46" s="92"/>
      <c r="R46" s="184"/>
      <c r="S46" s="183"/>
    </row>
    <row r="47" spans="1:19" s="11" customFormat="1" x14ac:dyDescent="0.2">
      <c r="A47" s="111"/>
      <c r="S47" s="64"/>
    </row>
    <row r="48" spans="1:19" s="11" customFormat="1" x14ac:dyDescent="0.2">
      <c r="A48" s="9">
        <v>20</v>
      </c>
      <c r="B48" s="41" t="s">
        <v>0</v>
      </c>
      <c r="C48" s="42"/>
      <c r="D48" s="30" t="s">
        <v>331</v>
      </c>
      <c r="E48" s="79" t="s">
        <v>41</v>
      </c>
      <c r="F48" s="93"/>
      <c r="G48" s="30"/>
      <c r="H48" s="81"/>
      <c r="I48" s="94"/>
      <c r="J48" s="95"/>
      <c r="K48" s="84"/>
      <c r="L48" s="84"/>
      <c r="M48" s="84" t="s">
        <v>21</v>
      </c>
      <c r="N48" s="84"/>
      <c r="O48" s="84"/>
      <c r="P48" s="71"/>
      <c r="Q48" s="72"/>
      <c r="R48" s="105"/>
      <c r="S48" s="85"/>
    </row>
    <row r="49" spans="1:19" s="11" customFormat="1" x14ac:dyDescent="0.2">
      <c r="A49" s="9">
        <v>20</v>
      </c>
      <c r="B49" s="9"/>
      <c r="C49" s="9"/>
      <c r="D49" s="9" t="s">
        <v>90</v>
      </c>
      <c r="E49" s="57" t="s">
        <v>68</v>
      </c>
      <c r="F49" s="57"/>
      <c r="G49" s="58" t="s">
        <v>382</v>
      </c>
      <c r="H49" s="58" t="s">
        <v>273</v>
      </c>
      <c r="I49" s="9"/>
      <c r="J49" s="9" t="s">
        <v>40</v>
      </c>
      <c r="K49" s="9"/>
      <c r="L49" s="9"/>
      <c r="M49" s="9" t="s">
        <v>40</v>
      </c>
      <c r="N49" s="9"/>
      <c r="O49" s="9"/>
      <c r="P49" s="90"/>
      <c r="Q49" s="86"/>
      <c r="R49" s="182"/>
      <c r="S49" s="183"/>
    </row>
    <row r="50" spans="1:19" s="11" customFormat="1" x14ac:dyDescent="0.2">
      <c r="A50" s="9">
        <v>20</v>
      </c>
      <c r="B50" s="9"/>
      <c r="C50" s="9"/>
      <c r="D50" s="9" t="s">
        <v>120</v>
      </c>
      <c r="E50" s="57" t="s">
        <v>138</v>
      </c>
      <c r="F50" s="57"/>
      <c r="G50" s="58" t="s">
        <v>361</v>
      </c>
      <c r="H50" s="58" t="s">
        <v>249</v>
      </c>
      <c r="I50" s="9"/>
      <c r="J50" s="9" t="s">
        <v>40</v>
      </c>
      <c r="K50" s="9"/>
      <c r="L50" s="9"/>
      <c r="M50" s="9" t="s">
        <v>40</v>
      </c>
      <c r="N50" s="9"/>
      <c r="O50" s="9"/>
      <c r="P50" s="90"/>
      <c r="Q50" s="86"/>
      <c r="R50" s="182"/>
      <c r="S50" s="183"/>
    </row>
    <row r="51" spans="1:19" s="11" customFormat="1" x14ac:dyDescent="0.2">
      <c r="A51" s="9">
        <v>20</v>
      </c>
      <c r="B51" s="9"/>
      <c r="C51" s="9"/>
      <c r="D51" s="9" t="s">
        <v>122</v>
      </c>
      <c r="E51" s="57" t="s">
        <v>140</v>
      </c>
      <c r="F51" s="57"/>
      <c r="G51" s="58" t="s">
        <v>362</v>
      </c>
      <c r="H51" s="58" t="s">
        <v>250</v>
      </c>
      <c r="I51" s="9"/>
      <c r="J51" s="9" t="s">
        <v>40</v>
      </c>
      <c r="K51" s="9"/>
      <c r="L51" s="9"/>
      <c r="M51" s="9" t="s">
        <v>40</v>
      </c>
      <c r="N51" s="9"/>
      <c r="O51" s="9"/>
      <c r="P51" s="90"/>
      <c r="Q51" s="86"/>
      <c r="R51" s="182"/>
      <c r="S51" s="183"/>
    </row>
    <row r="52" spans="1:19" s="11" customFormat="1" x14ac:dyDescent="0.2">
      <c r="A52" s="9">
        <v>20</v>
      </c>
      <c r="B52" s="9"/>
      <c r="C52" s="9"/>
      <c r="D52" s="9" t="s">
        <v>124</v>
      </c>
      <c r="E52" s="57" t="s">
        <v>142</v>
      </c>
      <c r="F52" s="57"/>
      <c r="G52" s="58" t="s">
        <v>363</v>
      </c>
      <c r="H52" s="58" t="s">
        <v>251</v>
      </c>
      <c r="I52" s="9"/>
      <c r="J52" s="9" t="s">
        <v>40</v>
      </c>
      <c r="K52" s="9"/>
      <c r="L52" s="9"/>
      <c r="M52" s="9" t="s">
        <v>40</v>
      </c>
      <c r="N52" s="9"/>
      <c r="O52" s="9"/>
      <c r="P52" s="90"/>
      <c r="Q52" s="86"/>
      <c r="R52" s="182"/>
      <c r="S52" s="183"/>
    </row>
    <row r="53" spans="1:19" s="11" customFormat="1" x14ac:dyDescent="0.2">
      <c r="A53" s="9">
        <v>20</v>
      </c>
      <c r="B53" s="9"/>
      <c r="C53" s="9"/>
      <c r="D53" s="9" t="s">
        <v>126</v>
      </c>
      <c r="E53" s="57" t="s">
        <v>144</v>
      </c>
      <c r="F53" s="57"/>
      <c r="G53" s="58" t="s">
        <v>364</v>
      </c>
      <c r="H53" s="58" t="s">
        <v>252</v>
      </c>
      <c r="I53" s="9"/>
      <c r="J53" s="9" t="s">
        <v>40</v>
      </c>
      <c r="K53" s="9"/>
      <c r="L53" s="9"/>
      <c r="M53" s="9" t="s">
        <v>40</v>
      </c>
      <c r="N53" s="9"/>
      <c r="O53" s="9"/>
      <c r="P53" s="90"/>
      <c r="Q53" s="86"/>
      <c r="R53" s="182"/>
      <c r="S53" s="183"/>
    </row>
    <row r="54" spans="1:19" s="11" customFormat="1" x14ac:dyDescent="0.2">
      <c r="A54" s="9">
        <v>20</v>
      </c>
      <c r="B54" s="9"/>
      <c r="C54" s="9"/>
      <c r="D54" s="9" t="s">
        <v>128</v>
      </c>
      <c r="E54" s="57" t="s">
        <v>146</v>
      </c>
      <c r="F54" s="57"/>
      <c r="G54" s="58" t="s">
        <v>387</v>
      </c>
      <c r="H54" s="58" t="s">
        <v>283</v>
      </c>
      <c r="I54" s="9"/>
      <c r="J54" s="9" t="s">
        <v>40</v>
      </c>
      <c r="K54" s="9"/>
      <c r="L54" s="9"/>
      <c r="M54" s="9" t="s">
        <v>40</v>
      </c>
      <c r="N54" s="9"/>
      <c r="O54" s="9"/>
      <c r="P54" s="90"/>
      <c r="Q54" s="86"/>
      <c r="R54" s="182"/>
      <c r="S54" s="183"/>
    </row>
    <row r="55" spans="1:19" s="11" customFormat="1" x14ac:dyDescent="0.2">
      <c r="A55" s="9">
        <v>20</v>
      </c>
      <c r="B55" s="9"/>
      <c r="C55" s="9"/>
      <c r="D55" s="9" t="s">
        <v>130</v>
      </c>
      <c r="E55" s="57" t="s">
        <v>134</v>
      </c>
      <c r="F55" s="57"/>
      <c r="G55" s="58" t="s">
        <v>384</v>
      </c>
      <c r="H55" s="58" t="s">
        <v>307</v>
      </c>
      <c r="I55" s="9"/>
      <c r="J55" s="9" t="s">
        <v>40</v>
      </c>
      <c r="K55" s="9" t="s">
        <v>308</v>
      </c>
      <c r="L55" s="9"/>
      <c r="M55" s="9" t="s">
        <v>40</v>
      </c>
      <c r="N55" s="9"/>
      <c r="O55" s="9"/>
      <c r="P55" s="90"/>
      <c r="Q55" s="86"/>
      <c r="R55" s="105"/>
      <c r="S55" s="106"/>
    </row>
    <row r="56" spans="1:19" s="11" customFormat="1" x14ac:dyDescent="0.2">
      <c r="A56" s="9">
        <v>20</v>
      </c>
      <c r="B56" s="9"/>
      <c r="C56" s="9"/>
      <c r="D56" s="9" t="s">
        <v>131</v>
      </c>
      <c r="E56" s="57" t="s">
        <v>135</v>
      </c>
      <c r="F56" s="57"/>
      <c r="G56" s="58" t="s">
        <v>411</v>
      </c>
      <c r="H56" s="58" t="s">
        <v>309</v>
      </c>
      <c r="I56" s="9"/>
      <c r="J56" s="9" t="s">
        <v>40</v>
      </c>
      <c r="K56" s="9"/>
      <c r="L56" s="9"/>
      <c r="M56" s="9"/>
      <c r="N56" s="9"/>
      <c r="O56" s="9"/>
      <c r="P56" s="90"/>
      <c r="Q56" s="86"/>
      <c r="R56" s="105"/>
      <c r="S56" s="106"/>
    </row>
    <row r="57" spans="1:19" s="11" customFormat="1" x14ac:dyDescent="0.2">
      <c r="A57" s="9">
        <v>20</v>
      </c>
      <c r="B57" s="9"/>
      <c r="C57" s="9"/>
      <c r="D57" s="9" t="s">
        <v>132</v>
      </c>
      <c r="E57" s="57" t="s">
        <v>136</v>
      </c>
      <c r="F57" s="57"/>
      <c r="G57" s="58" t="s">
        <v>385</v>
      </c>
      <c r="H57" s="58" t="s">
        <v>310</v>
      </c>
      <c r="I57" s="9"/>
      <c r="J57" s="9" t="s">
        <v>40</v>
      </c>
      <c r="K57" s="9"/>
      <c r="L57" s="9"/>
      <c r="M57" s="9" t="s">
        <v>40</v>
      </c>
      <c r="N57" s="9"/>
      <c r="O57" s="9"/>
      <c r="P57" s="90"/>
      <c r="Q57" s="86"/>
      <c r="R57" s="105"/>
      <c r="S57" s="106"/>
    </row>
    <row r="58" spans="1:19" s="11" customFormat="1" x14ac:dyDescent="0.2">
      <c r="A58" s="9">
        <v>20</v>
      </c>
      <c r="B58" s="9"/>
      <c r="C58" s="9"/>
      <c r="D58" s="9" t="s">
        <v>133</v>
      </c>
      <c r="E58" s="57" t="s">
        <v>137</v>
      </c>
      <c r="F58" s="57"/>
      <c r="G58" s="58" t="s">
        <v>386</v>
      </c>
      <c r="H58" s="58" t="s">
        <v>311</v>
      </c>
      <c r="I58" s="9"/>
      <c r="J58" s="9" t="s">
        <v>40</v>
      </c>
      <c r="K58" s="9"/>
      <c r="L58" s="9"/>
      <c r="M58" s="9" t="s">
        <v>40</v>
      </c>
      <c r="N58" s="9"/>
      <c r="O58" s="9"/>
      <c r="P58" s="90"/>
      <c r="Q58" s="86"/>
      <c r="R58" s="105"/>
      <c r="S58" s="106"/>
    </row>
    <row r="59" spans="1:19" s="11" customFormat="1" x14ac:dyDescent="0.2">
      <c r="A59" s="9">
        <v>20</v>
      </c>
      <c r="B59" s="9"/>
      <c r="C59" s="9"/>
      <c r="D59" s="9" t="s">
        <v>227</v>
      </c>
      <c r="E59" s="57" t="s">
        <v>229</v>
      </c>
      <c r="F59" s="57"/>
      <c r="G59" s="58" t="s">
        <v>365</v>
      </c>
      <c r="H59" s="58" t="s">
        <v>256</v>
      </c>
      <c r="I59" s="9"/>
      <c r="J59" s="9" t="s">
        <v>40</v>
      </c>
      <c r="K59" s="9" t="s">
        <v>226</v>
      </c>
      <c r="L59" s="9"/>
      <c r="M59" s="9" t="s">
        <v>40</v>
      </c>
      <c r="N59" s="9"/>
      <c r="O59" s="9"/>
      <c r="P59" s="90"/>
      <c r="Q59" s="86"/>
      <c r="R59" s="105"/>
      <c r="S59" s="106"/>
    </row>
    <row r="60" spans="1:19" s="11" customFormat="1" x14ac:dyDescent="0.2">
      <c r="A60" s="9">
        <v>20</v>
      </c>
      <c r="B60" s="9"/>
      <c r="C60" s="9"/>
      <c r="D60" s="9" t="s">
        <v>228</v>
      </c>
      <c r="E60" s="57" t="s">
        <v>230</v>
      </c>
      <c r="F60" s="57"/>
      <c r="G60" s="58" t="s">
        <v>412</v>
      </c>
      <c r="H60" s="58" t="s">
        <v>235</v>
      </c>
      <c r="I60" s="9"/>
      <c r="J60" s="9" t="s">
        <v>40</v>
      </c>
      <c r="K60" s="9"/>
      <c r="L60" s="9"/>
      <c r="M60" s="9"/>
      <c r="N60" s="9"/>
      <c r="O60" s="9"/>
      <c r="P60" s="90"/>
      <c r="Q60" s="86"/>
      <c r="R60" s="105"/>
      <c r="S60" s="106"/>
    </row>
    <row r="61" spans="1:19" s="11" customFormat="1" x14ac:dyDescent="0.2">
      <c r="A61" s="9">
        <v>20</v>
      </c>
      <c r="B61" s="9"/>
      <c r="C61" s="9"/>
      <c r="D61" s="9" t="s">
        <v>231</v>
      </c>
      <c r="E61" s="57" t="s">
        <v>233</v>
      </c>
      <c r="F61" s="57"/>
      <c r="G61" s="58" t="s">
        <v>366</v>
      </c>
      <c r="H61" s="58" t="s">
        <v>257</v>
      </c>
      <c r="I61" s="9"/>
      <c r="J61" s="9" t="s">
        <v>40</v>
      </c>
      <c r="K61" s="9" t="s">
        <v>312</v>
      </c>
      <c r="L61" s="9"/>
      <c r="M61" s="9" t="s">
        <v>40</v>
      </c>
      <c r="N61" s="9"/>
      <c r="O61" s="9"/>
      <c r="P61" s="90"/>
      <c r="Q61" s="86"/>
      <c r="R61" s="105"/>
      <c r="S61" s="106"/>
    </row>
    <row r="62" spans="1:19" s="11" customFormat="1" ht="26" x14ac:dyDescent="0.2">
      <c r="A62" s="9">
        <v>20</v>
      </c>
      <c r="B62" s="9"/>
      <c r="C62" s="9"/>
      <c r="D62" s="9" t="s">
        <v>232</v>
      </c>
      <c r="E62" s="57" t="s">
        <v>234</v>
      </c>
      <c r="F62" s="57"/>
      <c r="G62" s="58" t="s">
        <v>413</v>
      </c>
      <c r="H62" s="58" t="s">
        <v>313</v>
      </c>
      <c r="I62" s="9"/>
      <c r="J62" s="9" t="s">
        <v>40</v>
      </c>
      <c r="K62" s="9"/>
      <c r="L62" s="9"/>
      <c r="M62" s="9"/>
      <c r="N62" s="9"/>
      <c r="O62" s="9"/>
      <c r="P62" s="90"/>
      <c r="Q62" s="86"/>
      <c r="R62" s="105"/>
      <c r="S62" s="106"/>
    </row>
    <row r="63" spans="1:19" s="11" customFormat="1" ht="26" x14ac:dyDescent="0.2">
      <c r="A63" s="9">
        <v>20</v>
      </c>
      <c r="B63" s="9"/>
      <c r="C63" s="9"/>
      <c r="D63" s="9" t="s">
        <v>190</v>
      </c>
      <c r="E63" s="57" t="s">
        <v>188</v>
      </c>
      <c r="F63" s="57"/>
      <c r="G63" s="58" t="s">
        <v>367</v>
      </c>
      <c r="H63" s="58" t="s">
        <v>258</v>
      </c>
      <c r="I63" s="9"/>
      <c r="J63" s="9" t="s">
        <v>40</v>
      </c>
      <c r="K63" s="9"/>
      <c r="L63" s="9"/>
      <c r="M63" s="9" t="s">
        <v>40</v>
      </c>
      <c r="N63" s="9"/>
      <c r="O63" s="9"/>
      <c r="P63" s="90"/>
      <c r="Q63" s="86"/>
      <c r="R63" s="105"/>
      <c r="S63" s="106"/>
    </row>
    <row r="64" spans="1:19" s="11" customFormat="1" ht="26" x14ac:dyDescent="0.2">
      <c r="A64" s="9">
        <v>20</v>
      </c>
      <c r="B64" s="9"/>
      <c r="C64" s="9"/>
      <c r="D64" s="9" t="s">
        <v>191</v>
      </c>
      <c r="E64" s="57" t="s">
        <v>208</v>
      </c>
      <c r="F64" s="57"/>
      <c r="G64" s="58" t="s">
        <v>388</v>
      </c>
      <c r="H64" s="58" t="s">
        <v>284</v>
      </c>
      <c r="I64" s="9"/>
      <c r="J64" s="9" t="s">
        <v>40</v>
      </c>
      <c r="K64" s="9"/>
      <c r="L64" s="9"/>
      <c r="M64" s="9" t="s">
        <v>40</v>
      </c>
      <c r="N64" s="9"/>
      <c r="O64" s="9"/>
      <c r="P64" s="90"/>
      <c r="Q64" s="86"/>
      <c r="R64" s="105"/>
      <c r="S64" s="106"/>
    </row>
    <row r="65" spans="1:19" s="11" customFormat="1" x14ac:dyDescent="0.2">
      <c r="A65" s="9">
        <v>20</v>
      </c>
      <c r="B65" s="9"/>
      <c r="C65" s="9"/>
      <c r="D65" s="9" t="s">
        <v>192</v>
      </c>
      <c r="E65" s="57" t="s">
        <v>209</v>
      </c>
      <c r="F65" s="57"/>
      <c r="G65" s="58" t="s">
        <v>368</v>
      </c>
      <c r="H65" s="58" t="s">
        <v>260</v>
      </c>
      <c r="I65" s="9"/>
      <c r="J65" s="9" t="s">
        <v>40</v>
      </c>
      <c r="K65" s="9"/>
      <c r="L65" s="9"/>
      <c r="M65" s="9" t="s">
        <v>40</v>
      </c>
      <c r="N65" s="9"/>
      <c r="O65" s="9"/>
      <c r="P65" s="90"/>
      <c r="Q65" s="86"/>
      <c r="R65" s="105"/>
      <c r="S65" s="106"/>
    </row>
    <row r="66" spans="1:19" s="11" customFormat="1" x14ac:dyDescent="0.2">
      <c r="A66" s="9">
        <v>20</v>
      </c>
      <c r="B66" s="9"/>
      <c r="C66" s="9"/>
      <c r="D66" s="9" t="s">
        <v>193</v>
      </c>
      <c r="E66" s="57" t="s">
        <v>67</v>
      </c>
      <c r="F66" s="57"/>
      <c r="G66" s="58" t="s">
        <v>369</v>
      </c>
      <c r="H66" s="58" t="s">
        <v>261</v>
      </c>
      <c r="I66" s="9"/>
      <c r="J66" s="9" t="s">
        <v>40</v>
      </c>
      <c r="K66" s="9"/>
      <c r="L66" s="9"/>
      <c r="M66" s="9" t="s">
        <v>40</v>
      </c>
      <c r="N66" s="9"/>
      <c r="O66" s="9"/>
      <c r="P66" s="90"/>
      <c r="Q66" s="86"/>
      <c r="R66" s="105"/>
      <c r="S66" s="106"/>
    </row>
    <row r="67" spans="1:19" s="11" customFormat="1" ht="26" x14ac:dyDescent="0.2">
      <c r="A67" s="9">
        <v>20</v>
      </c>
      <c r="B67" s="9"/>
      <c r="C67" s="9"/>
      <c r="D67" s="9" t="s">
        <v>194</v>
      </c>
      <c r="E67" s="57" t="s">
        <v>210</v>
      </c>
      <c r="F67" s="57"/>
      <c r="G67" s="58" t="s">
        <v>370</v>
      </c>
      <c r="H67" s="58" t="s">
        <v>314</v>
      </c>
      <c r="I67" s="9"/>
      <c r="J67" s="9" t="s">
        <v>40</v>
      </c>
      <c r="K67" s="9"/>
      <c r="L67" s="9"/>
      <c r="M67" s="9" t="s">
        <v>40</v>
      </c>
      <c r="N67" s="9"/>
      <c r="O67" s="9"/>
      <c r="P67" s="90"/>
      <c r="Q67" s="86"/>
      <c r="R67" s="105"/>
      <c r="S67" s="106"/>
    </row>
    <row r="68" spans="1:19" s="11" customFormat="1" ht="26" x14ac:dyDescent="0.2">
      <c r="A68" s="9">
        <v>20</v>
      </c>
      <c r="B68" s="9"/>
      <c r="C68" s="9"/>
      <c r="D68" s="9" t="s">
        <v>195</v>
      </c>
      <c r="E68" s="57" t="s">
        <v>211</v>
      </c>
      <c r="F68" s="57"/>
      <c r="G68" s="58" t="s">
        <v>414</v>
      </c>
      <c r="H68" s="58" t="s">
        <v>315</v>
      </c>
      <c r="I68" s="9"/>
      <c r="J68" s="9" t="s">
        <v>40</v>
      </c>
      <c r="K68" s="9"/>
      <c r="L68" s="9"/>
      <c r="M68" s="9" t="s">
        <v>40</v>
      </c>
      <c r="N68" s="9"/>
      <c r="O68" s="9"/>
      <c r="P68" s="90"/>
      <c r="Q68" s="86"/>
      <c r="R68" s="105"/>
      <c r="S68" s="106"/>
    </row>
    <row r="69" spans="1:19" s="11" customFormat="1" x14ac:dyDescent="0.2">
      <c r="A69" s="9">
        <v>20</v>
      </c>
      <c r="B69" s="9"/>
      <c r="C69" s="9"/>
      <c r="D69" s="9" t="s">
        <v>196</v>
      </c>
      <c r="E69" s="57" t="s">
        <v>67</v>
      </c>
      <c r="F69" s="57"/>
      <c r="G69" s="58" t="s">
        <v>371</v>
      </c>
      <c r="H69" s="58" t="s">
        <v>263</v>
      </c>
      <c r="I69" s="9"/>
      <c r="J69" s="9" t="s">
        <v>40</v>
      </c>
      <c r="K69" s="9"/>
      <c r="L69" s="9"/>
      <c r="M69" s="9" t="s">
        <v>40</v>
      </c>
      <c r="N69" s="9"/>
      <c r="O69" s="9"/>
      <c r="P69" s="90"/>
      <c r="Q69" s="86"/>
      <c r="R69" s="105"/>
      <c r="S69" s="106"/>
    </row>
    <row r="70" spans="1:19" s="11" customFormat="1" x14ac:dyDescent="0.2">
      <c r="A70" s="9">
        <v>20</v>
      </c>
      <c r="B70" s="9"/>
      <c r="C70" s="9"/>
      <c r="D70" s="9" t="s">
        <v>197</v>
      </c>
      <c r="E70" s="57" t="s">
        <v>212</v>
      </c>
      <c r="F70" s="57"/>
      <c r="G70" s="58" t="s">
        <v>372</v>
      </c>
      <c r="H70" s="58" t="s">
        <v>264</v>
      </c>
      <c r="I70" s="9"/>
      <c r="J70" s="9" t="s">
        <v>40</v>
      </c>
      <c r="K70" s="9"/>
      <c r="L70" s="9"/>
      <c r="M70" s="9" t="s">
        <v>40</v>
      </c>
      <c r="N70" s="9"/>
      <c r="O70" s="9"/>
      <c r="P70" s="90"/>
      <c r="Q70" s="86"/>
      <c r="R70" s="105"/>
      <c r="S70" s="106"/>
    </row>
    <row r="71" spans="1:19" s="11" customFormat="1" x14ac:dyDescent="0.2">
      <c r="A71" s="9">
        <v>20</v>
      </c>
      <c r="B71" s="9"/>
      <c r="C71" s="9"/>
      <c r="D71" s="9" t="s">
        <v>198</v>
      </c>
      <c r="E71" s="57" t="s">
        <v>211</v>
      </c>
      <c r="F71" s="57"/>
      <c r="G71" s="58" t="s">
        <v>415</v>
      </c>
      <c r="H71" s="58" t="s">
        <v>316</v>
      </c>
      <c r="I71" s="9"/>
      <c r="J71" s="9" t="s">
        <v>40</v>
      </c>
      <c r="K71" s="9"/>
      <c r="L71" s="9"/>
      <c r="M71" s="9" t="s">
        <v>40</v>
      </c>
      <c r="N71" s="9"/>
      <c r="O71" s="9"/>
      <c r="P71" s="90"/>
      <c r="Q71" s="86"/>
      <c r="R71" s="105"/>
      <c r="S71" s="106"/>
    </row>
    <row r="72" spans="1:19" s="11" customFormat="1" x14ac:dyDescent="0.2">
      <c r="A72" s="9">
        <v>20</v>
      </c>
      <c r="B72" s="9"/>
      <c r="C72" s="9"/>
      <c r="D72" s="9" t="s">
        <v>199</v>
      </c>
      <c r="E72" s="57" t="s">
        <v>67</v>
      </c>
      <c r="F72" s="57"/>
      <c r="G72" s="58" t="s">
        <v>373</v>
      </c>
      <c r="H72" s="58" t="s">
        <v>265</v>
      </c>
      <c r="I72" s="9"/>
      <c r="J72" s="9" t="s">
        <v>40</v>
      </c>
      <c r="K72" s="9"/>
      <c r="L72" s="9"/>
      <c r="M72" s="9" t="s">
        <v>40</v>
      </c>
      <c r="N72" s="9"/>
      <c r="O72" s="9"/>
      <c r="P72" s="90"/>
      <c r="Q72" s="86"/>
      <c r="R72" s="182"/>
      <c r="S72" s="183"/>
    </row>
    <row r="73" spans="1:19" s="11" customFormat="1" x14ac:dyDescent="0.2">
      <c r="A73" s="9">
        <v>20</v>
      </c>
      <c r="B73" s="9"/>
      <c r="C73" s="9"/>
      <c r="D73" s="9" t="s">
        <v>200</v>
      </c>
      <c r="E73" s="57" t="s">
        <v>212</v>
      </c>
      <c r="F73" s="57"/>
      <c r="G73" s="58" t="s">
        <v>374</v>
      </c>
      <c r="H73" s="58" t="s">
        <v>266</v>
      </c>
      <c r="I73" s="9"/>
      <c r="J73" s="9" t="s">
        <v>40</v>
      </c>
      <c r="K73" s="9"/>
      <c r="L73" s="9"/>
      <c r="M73" s="9" t="s">
        <v>40</v>
      </c>
      <c r="N73" s="9"/>
      <c r="O73" s="9"/>
      <c r="P73" s="90"/>
      <c r="Q73" s="86"/>
      <c r="R73" s="182"/>
      <c r="S73" s="183"/>
    </row>
    <row r="74" spans="1:19" s="11" customFormat="1" x14ac:dyDescent="0.2">
      <c r="A74" s="9">
        <v>20</v>
      </c>
      <c r="B74" s="9"/>
      <c r="C74" s="9"/>
      <c r="D74" s="9" t="s">
        <v>201</v>
      </c>
      <c r="E74" s="57" t="s">
        <v>211</v>
      </c>
      <c r="F74" s="57"/>
      <c r="G74" s="58" t="s">
        <v>416</v>
      </c>
      <c r="H74" s="58" t="s">
        <v>317</v>
      </c>
      <c r="I74" s="9"/>
      <c r="J74" s="9" t="s">
        <v>40</v>
      </c>
      <c r="K74" s="9"/>
      <c r="L74" s="9"/>
      <c r="M74" s="9" t="s">
        <v>40</v>
      </c>
      <c r="N74" s="9"/>
      <c r="O74" s="9"/>
      <c r="P74" s="90"/>
      <c r="Q74" s="86"/>
      <c r="R74" s="182"/>
      <c r="S74" s="183"/>
    </row>
    <row r="75" spans="1:19" s="11" customFormat="1" ht="26" x14ac:dyDescent="0.2">
      <c r="A75" s="9">
        <v>20</v>
      </c>
      <c r="B75" s="9"/>
      <c r="C75" s="9"/>
      <c r="D75" s="9" t="s">
        <v>202</v>
      </c>
      <c r="E75" s="57" t="s">
        <v>67</v>
      </c>
      <c r="F75" s="57"/>
      <c r="G75" s="58" t="s">
        <v>375</v>
      </c>
      <c r="H75" s="58" t="s">
        <v>267</v>
      </c>
      <c r="I75" s="9"/>
      <c r="J75" s="9" t="s">
        <v>40</v>
      </c>
      <c r="K75" s="9"/>
      <c r="L75" s="9"/>
      <c r="M75" s="9" t="s">
        <v>40</v>
      </c>
      <c r="N75" s="9"/>
      <c r="O75" s="9"/>
      <c r="P75" s="90"/>
      <c r="Q75" s="86"/>
      <c r="R75" s="105"/>
      <c r="S75" s="106"/>
    </row>
    <row r="76" spans="1:19" s="11" customFormat="1" ht="26" x14ac:dyDescent="0.2">
      <c r="A76" s="9">
        <v>20</v>
      </c>
      <c r="B76" s="9"/>
      <c r="C76" s="9"/>
      <c r="D76" s="9" t="s">
        <v>203</v>
      </c>
      <c r="E76" s="57" t="s">
        <v>67</v>
      </c>
      <c r="F76" s="57"/>
      <c r="G76" s="58" t="s">
        <v>376</v>
      </c>
      <c r="H76" s="58" t="s">
        <v>268</v>
      </c>
      <c r="I76" s="9"/>
      <c r="J76" s="9" t="s">
        <v>40</v>
      </c>
      <c r="K76" s="9"/>
      <c r="L76" s="9"/>
      <c r="M76" s="9" t="s">
        <v>40</v>
      </c>
      <c r="N76" s="9"/>
      <c r="O76" s="9"/>
      <c r="P76" s="90"/>
      <c r="Q76" s="86"/>
      <c r="R76" s="105"/>
      <c r="S76" s="106"/>
    </row>
    <row r="77" spans="1:19" s="11" customFormat="1" ht="26" x14ac:dyDescent="0.2">
      <c r="A77" s="9">
        <v>20</v>
      </c>
      <c r="B77" s="9"/>
      <c r="C77" s="9"/>
      <c r="D77" s="9" t="s">
        <v>204</v>
      </c>
      <c r="E77" s="57" t="s">
        <v>67</v>
      </c>
      <c r="F77" s="57"/>
      <c r="G77" s="58" t="s">
        <v>377</v>
      </c>
      <c r="H77" s="58" t="s">
        <v>269</v>
      </c>
      <c r="I77" s="9"/>
      <c r="J77" s="9" t="s">
        <v>40</v>
      </c>
      <c r="K77" s="9"/>
      <c r="L77" s="9"/>
      <c r="M77" s="9" t="s">
        <v>40</v>
      </c>
      <c r="N77" s="9"/>
      <c r="O77" s="9"/>
      <c r="P77" s="90"/>
      <c r="Q77" s="86"/>
      <c r="R77" s="105"/>
      <c r="S77" s="106"/>
    </row>
    <row r="78" spans="1:19" s="11" customFormat="1" x14ac:dyDescent="0.2">
      <c r="A78" s="9">
        <v>20</v>
      </c>
      <c r="B78" s="9"/>
      <c r="C78" s="9"/>
      <c r="D78" s="9" t="s">
        <v>205</v>
      </c>
      <c r="E78" s="57" t="s">
        <v>213</v>
      </c>
      <c r="F78" s="57"/>
      <c r="G78" s="58" t="s">
        <v>378</v>
      </c>
      <c r="H78" s="58" t="s">
        <v>270</v>
      </c>
      <c r="I78" s="9"/>
      <c r="J78" s="9" t="s">
        <v>40</v>
      </c>
      <c r="K78" s="9"/>
      <c r="L78" s="9"/>
      <c r="M78" s="9" t="s">
        <v>40</v>
      </c>
      <c r="N78" s="9"/>
      <c r="O78" s="9"/>
      <c r="P78" s="90"/>
      <c r="Q78" s="86"/>
      <c r="R78" s="105"/>
      <c r="S78" s="106"/>
    </row>
    <row r="79" spans="1:19" s="11" customFormat="1" x14ac:dyDescent="0.2">
      <c r="A79" s="9">
        <v>20</v>
      </c>
      <c r="B79" s="9"/>
      <c r="C79" s="9"/>
      <c r="D79" s="9" t="s">
        <v>53</v>
      </c>
      <c r="E79" s="57" t="s">
        <v>55</v>
      </c>
      <c r="F79" s="57"/>
      <c r="G79" s="58" t="s">
        <v>379</v>
      </c>
      <c r="H79" s="58" t="s">
        <v>271</v>
      </c>
      <c r="I79" s="9"/>
      <c r="J79" s="9" t="s">
        <v>40</v>
      </c>
      <c r="K79" s="9"/>
      <c r="L79" s="9"/>
      <c r="M79" s="9" t="s">
        <v>40</v>
      </c>
      <c r="N79" s="9"/>
      <c r="O79" s="9"/>
      <c r="P79" s="90"/>
      <c r="Q79" s="86"/>
      <c r="R79" s="182"/>
      <c r="S79" s="183"/>
    </row>
    <row r="80" spans="1:19" s="11" customFormat="1" x14ac:dyDescent="0.2">
      <c r="A80" s="9">
        <v>20</v>
      </c>
      <c r="B80" s="9"/>
      <c r="C80" s="9"/>
      <c r="D80" s="9" t="s">
        <v>62</v>
      </c>
      <c r="E80" s="57" t="s">
        <v>63</v>
      </c>
      <c r="F80" s="57"/>
      <c r="G80" s="58" t="s">
        <v>380</v>
      </c>
      <c r="H80" s="58" t="s">
        <v>272</v>
      </c>
      <c r="I80" s="9"/>
      <c r="J80" s="9" t="s">
        <v>40</v>
      </c>
      <c r="K80" s="9"/>
      <c r="L80" s="9"/>
      <c r="M80" s="9" t="s">
        <v>40</v>
      </c>
      <c r="N80" s="9"/>
      <c r="O80" s="9"/>
      <c r="P80" s="90"/>
      <c r="Q80" s="86"/>
      <c r="R80" s="182"/>
      <c r="S80" s="183"/>
    </row>
    <row r="81" spans="1:19" s="11" customFormat="1" x14ac:dyDescent="0.2">
      <c r="A81" s="9">
        <v>20</v>
      </c>
      <c r="B81" s="9"/>
      <c r="C81" s="9"/>
      <c r="D81" s="9" t="s">
        <v>57</v>
      </c>
      <c r="E81" s="57" t="s">
        <v>59</v>
      </c>
      <c r="F81" s="57"/>
      <c r="G81" s="58" t="s">
        <v>381</v>
      </c>
      <c r="H81" s="58" t="s">
        <v>61</v>
      </c>
      <c r="I81" s="9"/>
      <c r="J81" s="9" t="s">
        <v>40</v>
      </c>
      <c r="K81" s="9"/>
      <c r="L81" s="9"/>
      <c r="M81" s="9" t="s">
        <v>40</v>
      </c>
      <c r="N81" s="9"/>
      <c r="O81" s="9"/>
      <c r="P81" s="90"/>
      <c r="Q81" s="86"/>
      <c r="R81" s="182"/>
      <c r="S81" s="183"/>
    </row>
    <row r="82" spans="1:19" s="11" customFormat="1" x14ac:dyDescent="0.2">
      <c r="A82" s="9">
        <v>20</v>
      </c>
      <c r="B82" s="9"/>
      <c r="C82" s="9"/>
      <c r="D82" s="9" t="s">
        <v>332</v>
      </c>
      <c r="E82" s="57" t="s">
        <v>218</v>
      </c>
      <c r="F82" s="57"/>
      <c r="G82" s="58" t="s">
        <v>417</v>
      </c>
      <c r="H82" s="58" t="s">
        <v>65</v>
      </c>
      <c r="I82" s="9"/>
      <c r="J82" s="9" t="s">
        <v>40</v>
      </c>
      <c r="K82" s="9"/>
      <c r="L82" s="9"/>
      <c r="M82" s="9" t="s">
        <v>40</v>
      </c>
      <c r="N82" s="9"/>
      <c r="O82" s="9"/>
      <c r="P82" s="90"/>
      <c r="Q82" s="86"/>
      <c r="R82" s="182"/>
      <c r="S82" s="183"/>
    </row>
    <row r="83" spans="1:19" s="11" customFormat="1" x14ac:dyDescent="0.2">
      <c r="A83" s="9">
        <v>20</v>
      </c>
      <c r="B83" s="9"/>
      <c r="C83" s="9"/>
      <c r="D83" s="9" t="s">
        <v>47</v>
      </c>
      <c r="E83" s="57" t="s">
        <v>219</v>
      </c>
      <c r="F83" s="57"/>
      <c r="G83" s="58" t="s">
        <v>418</v>
      </c>
      <c r="H83" s="58" t="s">
        <v>318</v>
      </c>
      <c r="I83" s="9"/>
      <c r="J83" s="9" t="s">
        <v>40</v>
      </c>
      <c r="K83" s="9"/>
      <c r="L83" s="9"/>
      <c r="M83" s="9" t="s">
        <v>40</v>
      </c>
      <c r="N83" s="9"/>
      <c r="O83" s="9"/>
      <c r="P83" s="90"/>
      <c r="Q83" s="86"/>
      <c r="R83" s="182"/>
      <c r="S83" s="183"/>
    </row>
    <row r="84" spans="1:19" s="11" customFormat="1" x14ac:dyDescent="0.2">
      <c r="A84" s="9">
        <v>20</v>
      </c>
      <c r="B84" s="9"/>
      <c r="C84" s="9"/>
      <c r="D84" s="9" t="s">
        <v>14</v>
      </c>
      <c r="E84" s="57" t="s">
        <v>66</v>
      </c>
      <c r="F84" s="57"/>
      <c r="G84" s="58" t="s">
        <v>419</v>
      </c>
      <c r="H84" s="58" t="s">
        <v>319</v>
      </c>
      <c r="I84" s="9"/>
      <c r="J84" s="9" t="s">
        <v>40</v>
      </c>
      <c r="K84" s="9"/>
      <c r="L84" s="9"/>
      <c r="M84" s="9" t="s">
        <v>40</v>
      </c>
      <c r="N84" s="9"/>
      <c r="O84" s="9"/>
      <c r="P84" s="90"/>
      <c r="Q84" s="86"/>
      <c r="R84" s="182"/>
      <c r="S84" s="183"/>
    </row>
    <row r="85" spans="1:19" s="11" customFormat="1" x14ac:dyDescent="0.2">
      <c r="A85" s="9">
        <v>20</v>
      </c>
      <c r="B85" s="9"/>
      <c r="C85" s="9"/>
      <c r="D85" s="9" t="s">
        <v>69</v>
      </c>
      <c r="E85" s="57" t="s">
        <v>73</v>
      </c>
      <c r="F85" s="57"/>
      <c r="G85" s="58" t="s">
        <v>420</v>
      </c>
      <c r="H85" s="58" t="s">
        <v>320</v>
      </c>
      <c r="I85" s="9"/>
      <c r="J85" s="9" t="s">
        <v>40</v>
      </c>
      <c r="K85" s="9"/>
      <c r="L85" s="9"/>
      <c r="M85" s="9" t="s">
        <v>40</v>
      </c>
      <c r="N85" s="9"/>
      <c r="O85" s="9"/>
      <c r="P85" s="90"/>
      <c r="Q85" s="86"/>
      <c r="R85" s="182"/>
      <c r="S85" s="183"/>
    </row>
    <row r="86" spans="1:19" s="11" customFormat="1" x14ac:dyDescent="0.2">
      <c r="A86" s="9">
        <v>20</v>
      </c>
      <c r="B86" s="9"/>
      <c r="C86" s="9"/>
      <c r="D86" s="9" t="s">
        <v>74</v>
      </c>
      <c r="E86" s="57" t="s">
        <v>75</v>
      </c>
      <c r="F86" s="57"/>
      <c r="G86" s="58" t="s">
        <v>421</v>
      </c>
      <c r="H86" s="58" t="s">
        <v>321</v>
      </c>
      <c r="I86" s="9"/>
      <c r="J86" s="9" t="s">
        <v>40</v>
      </c>
      <c r="K86" s="9"/>
      <c r="L86" s="9"/>
      <c r="M86" s="9"/>
      <c r="N86" s="9"/>
      <c r="O86" s="9"/>
      <c r="P86" s="90"/>
      <c r="Q86" s="86"/>
      <c r="R86" s="182"/>
      <c r="S86" s="183"/>
    </row>
    <row r="87" spans="1:19" s="11" customFormat="1" x14ac:dyDescent="0.2">
      <c r="A87" s="9">
        <v>20</v>
      </c>
      <c r="B87" s="9"/>
      <c r="C87" s="9"/>
      <c r="D87" s="9" t="s">
        <v>94</v>
      </c>
      <c r="E87" s="57" t="s">
        <v>95</v>
      </c>
      <c r="F87" s="57"/>
      <c r="G87" s="58" t="s">
        <v>383</v>
      </c>
      <c r="H87" s="58" t="s">
        <v>278</v>
      </c>
      <c r="I87" s="9"/>
      <c r="J87" s="9" t="s">
        <v>40</v>
      </c>
      <c r="K87" s="9"/>
      <c r="L87" s="9"/>
      <c r="M87" s="9" t="s">
        <v>40</v>
      </c>
      <c r="N87" s="9"/>
      <c r="O87" s="9"/>
      <c r="P87" s="90"/>
      <c r="Q87" s="86"/>
      <c r="R87" s="182"/>
      <c r="S87" s="183"/>
    </row>
    <row r="88" spans="1:19" s="11" customFormat="1" x14ac:dyDescent="0.2">
      <c r="A88" s="9">
        <v>20</v>
      </c>
      <c r="B88" s="9"/>
      <c r="C88" s="9"/>
      <c r="D88" s="9" t="s">
        <v>333</v>
      </c>
      <c r="E88" s="57" t="s">
        <v>218</v>
      </c>
      <c r="F88" s="57"/>
      <c r="G88" s="58" t="s">
        <v>422</v>
      </c>
      <c r="H88" s="58" t="s">
        <v>322</v>
      </c>
      <c r="I88" s="9"/>
      <c r="J88" s="9" t="s">
        <v>40</v>
      </c>
      <c r="K88" s="9"/>
      <c r="L88" s="9"/>
      <c r="M88" s="9" t="s">
        <v>40</v>
      </c>
      <c r="N88" s="9"/>
      <c r="O88" s="9"/>
      <c r="P88" s="90"/>
      <c r="Q88" s="86"/>
      <c r="R88" s="182"/>
      <c r="S88" s="183"/>
    </row>
    <row r="89" spans="1:19" s="11" customFormat="1" x14ac:dyDescent="0.2">
      <c r="A89" s="9">
        <v>20</v>
      </c>
      <c r="B89" s="9"/>
      <c r="C89" s="9"/>
      <c r="D89" s="9" t="s">
        <v>48</v>
      </c>
      <c r="E89" s="57" t="s">
        <v>219</v>
      </c>
      <c r="F89" s="57"/>
      <c r="G89" s="58" t="s">
        <v>423</v>
      </c>
      <c r="H89" s="58" t="s">
        <v>64</v>
      </c>
      <c r="I89" s="9"/>
      <c r="J89" s="9" t="s">
        <v>40</v>
      </c>
      <c r="K89" s="9"/>
      <c r="L89" s="9"/>
      <c r="M89" s="9" t="s">
        <v>40</v>
      </c>
      <c r="N89" s="9"/>
      <c r="O89" s="9"/>
      <c r="P89" s="90"/>
      <c r="Q89" s="86"/>
      <c r="R89" s="182"/>
      <c r="S89" s="183"/>
    </row>
    <row r="90" spans="1:19" s="11" customFormat="1" x14ac:dyDescent="0.2">
      <c r="A90" s="9">
        <v>20</v>
      </c>
      <c r="B90" s="9"/>
      <c r="C90" s="9"/>
      <c r="D90" s="9" t="s">
        <v>15</v>
      </c>
      <c r="E90" s="57" t="s">
        <v>334</v>
      </c>
      <c r="F90" s="57"/>
      <c r="G90" s="58" t="s">
        <v>424</v>
      </c>
      <c r="H90" s="58" t="s">
        <v>323</v>
      </c>
      <c r="I90" s="9"/>
      <c r="J90" s="9" t="s">
        <v>40</v>
      </c>
      <c r="K90" s="9"/>
      <c r="L90" s="9"/>
      <c r="M90" s="9" t="s">
        <v>40</v>
      </c>
      <c r="N90" s="9"/>
      <c r="O90" s="9"/>
      <c r="P90" s="90"/>
      <c r="Q90" s="86"/>
      <c r="R90" s="182"/>
      <c r="S90" s="183"/>
    </row>
    <row r="91" spans="1:19" s="11" customFormat="1" x14ac:dyDescent="0.2">
      <c r="A91" s="9">
        <v>20</v>
      </c>
      <c r="B91" s="9"/>
      <c r="C91" s="9"/>
      <c r="D91" s="9" t="s">
        <v>70</v>
      </c>
      <c r="E91" s="57" t="s">
        <v>73</v>
      </c>
      <c r="F91" s="57"/>
      <c r="G91" s="58" t="s">
        <v>425</v>
      </c>
      <c r="H91" s="58" t="s">
        <v>324</v>
      </c>
      <c r="I91" s="9"/>
      <c r="J91" s="9" t="s">
        <v>40</v>
      </c>
      <c r="K91" s="9"/>
      <c r="L91" s="9"/>
      <c r="M91" s="9" t="s">
        <v>40</v>
      </c>
      <c r="N91" s="9"/>
      <c r="O91" s="9"/>
      <c r="P91" s="90"/>
      <c r="Q91" s="86"/>
      <c r="R91" s="182"/>
      <c r="S91" s="183"/>
    </row>
    <row r="92" spans="1:19" s="11" customFormat="1" x14ac:dyDescent="0.2">
      <c r="A92" s="9">
        <v>20</v>
      </c>
      <c r="B92" s="9"/>
      <c r="C92" s="9"/>
      <c r="D92" s="9" t="s">
        <v>76</v>
      </c>
      <c r="E92" s="57" t="s">
        <v>75</v>
      </c>
      <c r="F92" s="57"/>
      <c r="G92" s="58" t="s">
        <v>426</v>
      </c>
      <c r="H92" s="58" t="s">
        <v>77</v>
      </c>
      <c r="I92" s="9"/>
      <c r="J92" s="9" t="s">
        <v>40</v>
      </c>
      <c r="K92" s="9"/>
      <c r="L92" s="9"/>
      <c r="M92" s="9"/>
      <c r="N92" s="9"/>
      <c r="O92" s="9"/>
      <c r="P92" s="90"/>
      <c r="Q92" s="86"/>
      <c r="R92" s="182"/>
      <c r="S92" s="183"/>
    </row>
    <row r="93" spans="1:19" s="11" customFormat="1" x14ac:dyDescent="0.2">
      <c r="A93" s="9">
        <v>20</v>
      </c>
      <c r="B93" s="9"/>
      <c r="C93" s="9"/>
      <c r="D93" s="9" t="s">
        <v>78</v>
      </c>
      <c r="E93" s="57" t="s">
        <v>71</v>
      </c>
      <c r="F93" s="57"/>
      <c r="G93" s="58" t="s">
        <v>427</v>
      </c>
      <c r="H93" s="58" t="s">
        <v>325</v>
      </c>
      <c r="I93" s="9"/>
      <c r="J93" s="9" t="s">
        <v>40</v>
      </c>
      <c r="K93" s="9"/>
      <c r="L93" s="9"/>
      <c r="M93" s="9" t="s">
        <v>40</v>
      </c>
      <c r="N93" s="9"/>
      <c r="O93" s="9"/>
      <c r="P93" s="90"/>
      <c r="Q93" s="86"/>
      <c r="R93" s="182"/>
      <c r="S93" s="183"/>
    </row>
    <row r="94" spans="1:19" s="11" customFormat="1" x14ac:dyDescent="0.2">
      <c r="A94" s="9">
        <v>20</v>
      </c>
      <c r="B94" s="9"/>
      <c r="C94" s="9"/>
      <c r="D94" s="9" t="s">
        <v>91</v>
      </c>
      <c r="E94" s="57" t="s">
        <v>218</v>
      </c>
      <c r="F94" s="57"/>
      <c r="G94" s="58" t="s">
        <v>428</v>
      </c>
      <c r="H94" s="58" t="s">
        <v>326</v>
      </c>
      <c r="I94" s="9"/>
      <c r="J94" s="9" t="s">
        <v>40</v>
      </c>
      <c r="K94" s="9"/>
      <c r="L94" s="9"/>
      <c r="M94" s="9" t="s">
        <v>40</v>
      </c>
      <c r="N94" s="9"/>
      <c r="O94" s="9"/>
      <c r="P94" s="90"/>
      <c r="Q94" s="86"/>
      <c r="R94" s="182"/>
      <c r="S94" s="183"/>
    </row>
    <row r="95" spans="1:19" s="11" customFormat="1" x14ac:dyDescent="0.2">
      <c r="A95" s="9">
        <v>20</v>
      </c>
      <c r="B95" s="9"/>
      <c r="C95" s="9"/>
      <c r="D95" s="9" t="s">
        <v>92</v>
      </c>
      <c r="E95" s="57" t="s">
        <v>219</v>
      </c>
      <c r="F95" s="57"/>
      <c r="G95" s="58" t="s">
        <v>429</v>
      </c>
      <c r="H95" s="58" t="s">
        <v>327</v>
      </c>
      <c r="I95" s="9"/>
      <c r="J95" s="9" t="s">
        <v>40</v>
      </c>
      <c r="K95" s="9"/>
      <c r="L95" s="9"/>
      <c r="M95" s="9" t="s">
        <v>40</v>
      </c>
      <c r="N95" s="9"/>
      <c r="O95" s="9"/>
      <c r="P95" s="90"/>
      <c r="Q95" s="86"/>
      <c r="R95" s="182"/>
      <c r="S95" s="183"/>
    </row>
    <row r="96" spans="1:19" s="11" customFormat="1" x14ac:dyDescent="0.2">
      <c r="A96" s="9">
        <v>20</v>
      </c>
      <c r="B96" s="9"/>
      <c r="C96" s="9"/>
      <c r="D96" s="9" t="s">
        <v>93</v>
      </c>
      <c r="E96" s="57" t="s">
        <v>72</v>
      </c>
      <c r="F96" s="57"/>
      <c r="G96" s="58" t="s">
        <v>430</v>
      </c>
      <c r="H96" s="58" t="s">
        <v>328</v>
      </c>
      <c r="I96" s="9"/>
      <c r="J96" s="9" t="s">
        <v>40</v>
      </c>
      <c r="K96" s="9"/>
      <c r="L96" s="9"/>
      <c r="M96" s="9" t="s">
        <v>40</v>
      </c>
      <c r="N96" s="9"/>
      <c r="O96" s="9"/>
      <c r="P96" s="90"/>
      <c r="Q96" s="86"/>
      <c r="R96" s="182"/>
      <c r="S96" s="183"/>
    </row>
    <row r="97" spans="1:19" s="11" customFormat="1" x14ac:dyDescent="0.2">
      <c r="A97" s="96"/>
      <c r="B97" s="67"/>
      <c r="C97" s="67"/>
      <c r="D97" s="97" t="s">
        <v>4</v>
      </c>
      <c r="E97" s="68"/>
      <c r="F97" s="9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99"/>
    </row>
    <row r="98" spans="1:19" s="11" customFormat="1" x14ac:dyDescent="0.2">
      <c r="A98" s="111"/>
      <c r="S98" s="64"/>
    </row>
    <row r="99" spans="1:19" s="11" customFormat="1" x14ac:dyDescent="0.2">
      <c r="A99" s="111"/>
      <c r="S99" s="64"/>
    </row>
    <row r="100" spans="1:19" s="11" customFormat="1" x14ac:dyDescent="0.2">
      <c r="A100" s="111"/>
      <c r="S100" s="64"/>
    </row>
    <row r="101" spans="1:19" s="11" customFormat="1" x14ac:dyDescent="0.2">
      <c r="A101" s="111"/>
      <c r="S101" s="64"/>
    </row>
    <row r="102" spans="1:19" s="11" customFormat="1" x14ac:dyDescent="0.2">
      <c r="A102" s="111"/>
      <c r="S102" s="64"/>
    </row>
    <row r="103" spans="1:19" s="11" customFormat="1" x14ac:dyDescent="0.2">
      <c r="A103" s="115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1"/>
    </row>
  </sheetData>
  <mergeCells count="59">
    <mergeCell ref="R72:S72"/>
    <mergeCell ref="R73:S73"/>
    <mergeCell ref="R74:S74"/>
    <mergeCell ref="R96:S96"/>
    <mergeCell ref="R88:S88"/>
    <mergeCell ref="R92:S92"/>
    <mergeCell ref="R91:S91"/>
    <mergeCell ref="R90:S90"/>
    <mergeCell ref="R93:S93"/>
    <mergeCell ref="R89:S89"/>
    <mergeCell ref="R87:S87"/>
    <mergeCell ref="R86:S86"/>
    <mergeCell ref="R82:S82"/>
    <mergeCell ref="R79:S79"/>
    <mergeCell ref="R84:S84"/>
    <mergeCell ref="R25:S25"/>
    <mergeCell ref="R49:S49"/>
    <mergeCell ref="R23:S23"/>
    <mergeCell ref="R95:S95"/>
    <mergeCell ref="R85:S85"/>
    <mergeCell ref="R81:S81"/>
    <mergeCell ref="R83:S83"/>
    <mergeCell ref="R24:S24"/>
    <mergeCell ref="R80:S80"/>
    <mergeCell ref="R26:S26"/>
    <mergeCell ref="R50:S50"/>
    <mergeCell ref="R51:S51"/>
    <mergeCell ref="R52:S52"/>
    <mergeCell ref="R53:S53"/>
    <mergeCell ref="R94:S94"/>
    <mergeCell ref="R54:S54"/>
    <mergeCell ref="R12:S12"/>
    <mergeCell ref="R13:S13"/>
    <mergeCell ref="R14:S14"/>
    <mergeCell ref="R15:S15"/>
    <mergeCell ref="R22:S22"/>
    <mergeCell ref="R17:S17"/>
    <mergeCell ref="R18:S18"/>
    <mergeCell ref="R19:S19"/>
    <mergeCell ref="R35:S35"/>
    <mergeCell ref="R36:S36"/>
    <mergeCell ref="R37:S37"/>
    <mergeCell ref="R38:S38"/>
    <mergeCell ref="R39:S39"/>
    <mergeCell ref="R45:S45"/>
    <mergeCell ref="R46:S46"/>
    <mergeCell ref="R40:S40"/>
    <mergeCell ref="R41:S41"/>
    <mergeCell ref="R42:S42"/>
    <mergeCell ref="R43:S43"/>
    <mergeCell ref="R44:S44"/>
    <mergeCell ref="R31:S31"/>
    <mergeCell ref="R32:S32"/>
    <mergeCell ref="R33:S33"/>
    <mergeCell ref="R34:S34"/>
    <mergeCell ref="R27:S27"/>
    <mergeCell ref="R28:S28"/>
    <mergeCell ref="R29:S29"/>
    <mergeCell ref="R30:S30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37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9.36328125" style="66" bestFit="1" customWidth="1"/>
    <col min="12" max="12" width="18" style="66" customWidth="1"/>
    <col min="13" max="13" width="14.453125" style="66" bestFit="1" customWidth="1"/>
    <col min="14" max="14" width="50.6328125" style="66" customWidth="1"/>
    <col min="15" max="15" width="12.81640625" style="66" bestFit="1" customWidth="1"/>
    <col min="16" max="16" width="36.08984375" style="66" customWidth="1"/>
    <col min="17" max="17" width="11.6328125" style="65" bestFit="1" customWidth="1"/>
    <col min="18" max="18" width="33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 x14ac:dyDescent="0.2">
      <c r="A1" s="107" t="s">
        <v>22</v>
      </c>
      <c r="B1" s="107" t="s">
        <v>22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08" t="s">
        <v>22</v>
      </c>
      <c r="B2" s="109"/>
      <c r="C2" s="109"/>
      <c r="D2" s="118" t="s">
        <v>347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MABSL0350</v>
      </c>
      <c r="I2" s="7" t="s">
        <v>30</v>
      </c>
      <c r="J2" s="9" t="s">
        <v>116</v>
      </c>
      <c r="K2" s="7" t="s">
        <v>31</v>
      </c>
      <c r="L2" s="110" t="str">
        <f>IF(LogicCommon!G2="","",LogicCommon!G2)</f>
        <v>MC</v>
      </c>
      <c r="M2" s="5" t="s">
        <v>32</v>
      </c>
      <c r="N2" s="30" t="s">
        <v>343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11" t="s">
        <v>22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MABSL_ItmSiteReg</v>
      </c>
      <c r="I3" s="7" t="s">
        <v>33</v>
      </c>
      <c r="J3" s="9" t="s">
        <v>34</v>
      </c>
      <c r="K3" s="7" t="s">
        <v>35</v>
      </c>
      <c r="L3" s="110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  <c r="S3" s="65"/>
      <c r="T3" s="65"/>
      <c r="U3" s="65"/>
      <c r="V3" s="65"/>
    </row>
    <row r="4" spans="1:22" s="11" customFormat="1" x14ac:dyDescent="0.2">
      <c r="A4" s="111" t="s">
        <v>22</v>
      </c>
      <c r="B4" s="112"/>
      <c r="C4" s="112"/>
      <c r="D4" s="4"/>
      <c r="E4" s="7" t="s">
        <v>8</v>
      </c>
      <c r="F4" s="10" t="s">
        <v>341</v>
      </c>
      <c r="G4" s="7" t="s">
        <v>11</v>
      </c>
      <c r="H4" s="110" t="str">
        <f>IF(LogicCommon!E4="","",LogicCommon!E4)</f>
        <v>品目マスタ（工場・物流倉庫）登録</v>
      </c>
      <c r="I4" s="7" t="s">
        <v>39</v>
      </c>
      <c r="J4" s="9" t="s">
        <v>81</v>
      </c>
      <c r="K4" s="7" t="s">
        <v>5</v>
      </c>
      <c r="L4" s="110" t="str">
        <f>IF(LogicCommon!G4="","",LogicCommon!G4)</f>
        <v>MA.MAUDL5010</v>
      </c>
      <c r="M4" s="114"/>
      <c r="N4" s="30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5" t="s">
        <v>22</v>
      </c>
      <c r="B5" s="107"/>
      <c r="C5" s="107"/>
      <c r="D5" s="27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11" t="s">
        <v>22</v>
      </c>
      <c r="B6" s="112"/>
      <c r="C6" s="112"/>
      <c r="D6" s="4" t="s">
        <v>6</v>
      </c>
      <c r="E6" s="17" t="s">
        <v>246</v>
      </c>
      <c r="F6" s="17"/>
      <c r="G6" s="17"/>
      <c r="H6" s="17"/>
      <c r="I6" s="17"/>
      <c r="J6" s="17"/>
      <c r="K6" s="17"/>
      <c r="L6" s="117" t="s">
        <v>42</v>
      </c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66"/>
      <c r="U6" s="66"/>
      <c r="V6" s="65"/>
    </row>
    <row r="7" spans="1:22" s="11" customFormat="1" x14ac:dyDescent="0.2">
      <c r="A7" s="67" t="s">
        <v>18</v>
      </c>
      <c r="B7" s="67"/>
      <c r="C7" s="67"/>
      <c r="D7" s="68"/>
      <c r="E7" s="68"/>
      <c r="F7" s="68"/>
      <c r="G7" s="68"/>
      <c r="H7" s="68"/>
      <c r="I7" s="68" t="s">
        <v>49</v>
      </c>
      <c r="J7" s="68"/>
      <c r="K7" s="69" t="s">
        <v>50</v>
      </c>
      <c r="L7" s="70" t="s">
        <v>104</v>
      </c>
      <c r="M7" s="69" t="s">
        <v>84</v>
      </c>
      <c r="N7" s="70" t="s">
        <v>105</v>
      </c>
      <c r="O7" s="69" t="s">
        <v>84</v>
      </c>
      <c r="P7" s="70"/>
      <c r="Q7" s="69" t="s">
        <v>84</v>
      </c>
      <c r="R7" s="70"/>
      <c r="S7" s="66"/>
      <c r="T7" s="66"/>
      <c r="U7" s="66"/>
      <c r="V7" s="66"/>
    </row>
    <row r="8" spans="1:22" s="11" customFormat="1" ht="60" customHeight="1" x14ac:dyDescent="0.2">
      <c r="A8" s="57" t="s">
        <v>17</v>
      </c>
      <c r="B8" s="121"/>
      <c r="C8" s="122"/>
      <c r="D8" s="119" t="s">
        <v>348</v>
      </c>
      <c r="E8" s="119" t="s">
        <v>349</v>
      </c>
      <c r="F8" s="117"/>
      <c r="G8" s="119" t="s">
        <v>275</v>
      </c>
      <c r="H8" s="119" t="s">
        <v>350</v>
      </c>
      <c r="I8" s="117"/>
      <c r="J8" s="3"/>
      <c r="K8" s="69" t="s">
        <v>16</v>
      </c>
      <c r="L8" s="9" t="s">
        <v>182</v>
      </c>
      <c r="M8" s="69" t="s">
        <v>85</v>
      </c>
      <c r="N8" s="9" t="s">
        <v>183</v>
      </c>
      <c r="O8" s="69" t="s">
        <v>85</v>
      </c>
      <c r="P8" s="9"/>
      <c r="Q8" s="69" t="s">
        <v>85</v>
      </c>
      <c r="R8" s="9"/>
      <c r="S8" s="129"/>
      <c r="T8" s="130"/>
      <c r="U8" s="131" t="s">
        <v>359</v>
      </c>
      <c r="V8" s="86"/>
    </row>
    <row r="9" spans="1:22" s="11" customFormat="1" ht="60" customHeight="1" x14ac:dyDescent="0.2">
      <c r="A9" s="9" t="s">
        <v>17</v>
      </c>
      <c r="B9" s="41"/>
      <c r="C9" s="42"/>
      <c r="D9" s="119" t="s">
        <v>351</v>
      </c>
      <c r="E9" s="126" t="s">
        <v>352</v>
      </c>
      <c r="F9" s="119" t="s">
        <v>353</v>
      </c>
      <c r="G9" s="119" t="s">
        <v>354</v>
      </c>
      <c r="H9" s="119" t="s">
        <v>355</v>
      </c>
      <c r="I9" s="127" t="s">
        <v>356</v>
      </c>
      <c r="J9" s="119" t="s">
        <v>357</v>
      </c>
      <c r="K9" s="69"/>
      <c r="L9" s="69"/>
      <c r="M9" s="69"/>
      <c r="N9" s="69"/>
      <c r="O9" s="69"/>
      <c r="P9" s="69"/>
      <c r="Q9" s="69"/>
      <c r="R9" s="69"/>
      <c r="S9" s="131" t="s">
        <v>358</v>
      </c>
      <c r="T9" s="86"/>
      <c r="U9" s="131" t="s">
        <v>360</v>
      </c>
      <c r="V9" s="86"/>
    </row>
    <row r="10" spans="1:22" s="11" customFormat="1" ht="52" x14ac:dyDescent="0.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128" t="s">
        <v>356</v>
      </c>
      <c r="L10" s="128" t="s">
        <v>357</v>
      </c>
      <c r="M10" s="128" t="s">
        <v>356</v>
      </c>
      <c r="N10" s="128" t="s">
        <v>357</v>
      </c>
      <c r="O10" s="128" t="s">
        <v>356</v>
      </c>
      <c r="P10" s="128" t="s">
        <v>357</v>
      </c>
      <c r="Q10" s="128" t="s">
        <v>356</v>
      </c>
      <c r="R10" s="128" t="s">
        <v>357</v>
      </c>
      <c r="S10" s="77"/>
      <c r="T10" s="77"/>
      <c r="U10" s="78"/>
      <c r="V10" s="72"/>
    </row>
    <row r="11" spans="1:22" s="11" customFormat="1" x14ac:dyDescent="0.2">
      <c r="A11" s="9">
        <v>10</v>
      </c>
      <c r="B11" s="41" t="s">
        <v>0</v>
      </c>
      <c r="C11" s="42"/>
      <c r="D11" s="30" t="s">
        <v>83</v>
      </c>
      <c r="E11" s="79" t="s">
        <v>21</v>
      </c>
      <c r="F11" s="80"/>
      <c r="G11" s="30" t="s">
        <v>100</v>
      </c>
      <c r="H11" s="81" t="s">
        <v>335</v>
      </c>
      <c r="I11" s="82"/>
      <c r="J11" s="83"/>
      <c r="K11" s="84" t="s">
        <v>336</v>
      </c>
      <c r="L11" s="84"/>
      <c r="M11" s="84" t="s">
        <v>337</v>
      </c>
      <c r="N11" s="84"/>
      <c r="O11" s="84"/>
      <c r="P11" s="84"/>
      <c r="Q11" s="84"/>
      <c r="R11" s="84"/>
      <c r="S11" s="71"/>
      <c r="T11" s="72"/>
      <c r="U11" s="105"/>
      <c r="V11" s="85"/>
    </row>
    <row r="12" spans="1:22" s="11" customFormat="1" x14ac:dyDescent="0.2">
      <c r="A12" s="9">
        <v>10</v>
      </c>
      <c r="B12" s="9"/>
      <c r="C12" s="9"/>
      <c r="D12" s="9" t="s">
        <v>120</v>
      </c>
      <c r="E12" s="57" t="s">
        <v>138</v>
      </c>
      <c r="F12" s="57"/>
      <c r="G12" s="58" t="s">
        <v>361</v>
      </c>
      <c r="H12" s="58" t="s">
        <v>249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9"/>
      <c r="R12" s="9"/>
      <c r="S12" s="76"/>
      <c r="T12" s="86"/>
      <c r="U12" s="182"/>
      <c r="V12" s="183"/>
    </row>
    <row r="13" spans="1:22" s="11" customFormat="1" x14ac:dyDescent="0.2">
      <c r="A13" s="9">
        <v>10</v>
      </c>
      <c r="B13" s="9"/>
      <c r="C13" s="9"/>
      <c r="D13" s="9" t="s">
        <v>122</v>
      </c>
      <c r="E13" s="57" t="s">
        <v>140</v>
      </c>
      <c r="F13" s="57"/>
      <c r="G13" s="58" t="s">
        <v>362</v>
      </c>
      <c r="H13" s="58" t="s">
        <v>250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76"/>
      <c r="T13" s="86"/>
      <c r="U13" s="182"/>
      <c r="V13" s="183"/>
    </row>
    <row r="14" spans="1:22" s="11" customFormat="1" x14ac:dyDescent="0.2">
      <c r="A14" s="9">
        <v>10</v>
      </c>
      <c r="B14" s="9"/>
      <c r="C14" s="9"/>
      <c r="D14" s="9" t="s">
        <v>124</v>
      </c>
      <c r="E14" s="57" t="s">
        <v>142</v>
      </c>
      <c r="F14" s="57"/>
      <c r="G14" s="58" t="s">
        <v>363</v>
      </c>
      <c r="H14" s="58" t="s">
        <v>251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76"/>
      <c r="T14" s="86"/>
      <c r="U14" s="182"/>
      <c r="V14" s="183"/>
    </row>
    <row r="15" spans="1:22" s="11" customFormat="1" x14ac:dyDescent="0.2">
      <c r="A15" s="9">
        <v>10</v>
      </c>
      <c r="B15" s="9"/>
      <c r="C15" s="9"/>
      <c r="D15" s="9" t="s">
        <v>126</v>
      </c>
      <c r="E15" s="57" t="s">
        <v>144</v>
      </c>
      <c r="F15" s="57"/>
      <c r="G15" s="58" t="s">
        <v>364</v>
      </c>
      <c r="H15" s="58" t="s">
        <v>252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76"/>
      <c r="T15" s="86"/>
      <c r="U15" s="182"/>
      <c r="V15" s="183"/>
    </row>
    <row r="16" spans="1:22" s="11" customFormat="1" ht="26" x14ac:dyDescent="0.2">
      <c r="A16" s="9">
        <v>10</v>
      </c>
      <c r="B16" s="9"/>
      <c r="C16" s="9"/>
      <c r="D16" s="9" t="s">
        <v>190</v>
      </c>
      <c r="E16" s="57" t="s">
        <v>188</v>
      </c>
      <c r="F16" s="57"/>
      <c r="G16" s="58" t="s">
        <v>367</v>
      </c>
      <c r="H16" s="58" t="s">
        <v>258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76"/>
      <c r="T16" s="86"/>
      <c r="U16" s="105"/>
      <c r="V16" s="106"/>
    </row>
    <row r="17" spans="1:22" s="11" customFormat="1" x14ac:dyDescent="0.2">
      <c r="A17" s="9">
        <v>10</v>
      </c>
      <c r="B17" s="9"/>
      <c r="C17" s="9"/>
      <c r="D17" s="9" t="s">
        <v>192</v>
      </c>
      <c r="E17" s="57" t="s">
        <v>209</v>
      </c>
      <c r="F17" s="57"/>
      <c r="G17" s="58" t="s">
        <v>368</v>
      </c>
      <c r="H17" s="58" t="s">
        <v>260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76"/>
      <c r="T17" s="86"/>
      <c r="U17" s="105"/>
      <c r="V17" s="106"/>
    </row>
    <row r="18" spans="1:22" s="11" customFormat="1" x14ac:dyDescent="0.2">
      <c r="A18" s="9">
        <v>10</v>
      </c>
      <c r="B18" s="9"/>
      <c r="C18" s="9"/>
      <c r="D18" s="9" t="s">
        <v>193</v>
      </c>
      <c r="E18" s="57" t="s">
        <v>67</v>
      </c>
      <c r="F18" s="57"/>
      <c r="G18" s="58" t="s">
        <v>369</v>
      </c>
      <c r="H18" s="58" t="s">
        <v>261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76"/>
      <c r="T18" s="86"/>
      <c r="U18" s="105"/>
      <c r="V18" s="106"/>
    </row>
    <row r="19" spans="1:22" s="11" customFormat="1" ht="26" x14ac:dyDescent="0.2">
      <c r="A19" s="9">
        <v>10</v>
      </c>
      <c r="B19" s="9"/>
      <c r="C19" s="9"/>
      <c r="D19" s="9" t="s">
        <v>194</v>
      </c>
      <c r="E19" s="57" t="s">
        <v>210</v>
      </c>
      <c r="F19" s="57"/>
      <c r="G19" s="58" t="s">
        <v>370</v>
      </c>
      <c r="H19" s="58" t="s">
        <v>314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76"/>
      <c r="T19" s="86"/>
      <c r="U19" s="105"/>
      <c r="V19" s="106"/>
    </row>
    <row r="20" spans="1:22" s="11" customFormat="1" x14ac:dyDescent="0.2">
      <c r="A20" s="9">
        <v>10</v>
      </c>
      <c r="B20" s="9"/>
      <c r="C20" s="9"/>
      <c r="D20" s="9" t="s">
        <v>196</v>
      </c>
      <c r="E20" s="57" t="s">
        <v>67</v>
      </c>
      <c r="F20" s="57"/>
      <c r="G20" s="58" t="s">
        <v>371</v>
      </c>
      <c r="H20" s="58" t="s">
        <v>263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"/>
      <c r="R20" s="9"/>
      <c r="S20" s="76"/>
      <c r="T20" s="86"/>
      <c r="U20" s="105"/>
      <c r="V20" s="106"/>
    </row>
    <row r="21" spans="1:22" s="11" customFormat="1" x14ac:dyDescent="0.2">
      <c r="A21" s="9">
        <v>10</v>
      </c>
      <c r="B21" s="9"/>
      <c r="C21" s="9"/>
      <c r="D21" s="9" t="s">
        <v>197</v>
      </c>
      <c r="E21" s="57" t="s">
        <v>212</v>
      </c>
      <c r="F21" s="57"/>
      <c r="G21" s="58" t="s">
        <v>372</v>
      </c>
      <c r="H21" s="58" t="s">
        <v>264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9"/>
      <c r="R21" s="9"/>
      <c r="S21" s="76"/>
      <c r="T21" s="86"/>
      <c r="U21" s="105"/>
      <c r="V21" s="106"/>
    </row>
    <row r="22" spans="1:22" s="11" customFormat="1" x14ac:dyDescent="0.2">
      <c r="A22" s="9">
        <v>10</v>
      </c>
      <c r="B22" s="9"/>
      <c r="C22" s="9"/>
      <c r="D22" s="9" t="s">
        <v>199</v>
      </c>
      <c r="E22" s="57" t="s">
        <v>67</v>
      </c>
      <c r="F22" s="57"/>
      <c r="G22" s="58" t="s">
        <v>373</v>
      </c>
      <c r="H22" s="58" t="s">
        <v>265</v>
      </c>
      <c r="I22" s="9" t="s">
        <v>40</v>
      </c>
      <c r="J22" s="9"/>
      <c r="K22" s="9" t="s">
        <v>40</v>
      </c>
      <c r="L22" s="9"/>
      <c r="M22" s="9" t="s">
        <v>40</v>
      </c>
      <c r="N22" s="9"/>
      <c r="O22" s="9"/>
      <c r="P22" s="9"/>
      <c r="Q22" s="9"/>
      <c r="R22" s="9"/>
      <c r="S22" s="76"/>
      <c r="T22" s="86"/>
      <c r="U22" s="105"/>
      <c r="V22" s="106"/>
    </row>
    <row r="23" spans="1:22" s="11" customFormat="1" x14ac:dyDescent="0.2">
      <c r="A23" s="9">
        <v>10</v>
      </c>
      <c r="B23" s="9"/>
      <c r="C23" s="9"/>
      <c r="D23" s="9" t="s">
        <v>200</v>
      </c>
      <c r="E23" s="57" t="s">
        <v>212</v>
      </c>
      <c r="F23" s="57"/>
      <c r="G23" s="58" t="s">
        <v>374</v>
      </c>
      <c r="H23" s="58" t="s">
        <v>266</v>
      </c>
      <c r="I23" s="9" t="s">
        <v>40</v>
      </c>
      <c r="J23" s="9"/>
      <c r="K23" s="9" t="s">
        <v>40</v>
      </c>
      <c r="L23" s="9"/>
      <c r="M23" s="9" t="s">
        <v>40</v>
      </c>
      <c r="N23" s="9"/>
      <c r="O23" s="9"/>
      <c r="P23" s="9"/>
      <c r="Q23" s="9"/>
      <c r="R23" s="9"/>
      <c r="S23" s="76"/>
      <c r="T23" s="86"/>
      <c r="U23" s="105"/>
      <c r="V23" s="106"/>
    </row>
    <row r="24" spans="1:22" s="11" customFormat="1" ht="26" x14ac:dyDescent="0.2">
      <c r="A24" s="9">
        <v>10</v>
      </c>
      <c r="B24" s="9"/>
      <c r="C24" s="9"/>
      <c r="D24" s="9" t="s">
        <v>202</v>
      </c>
      <c r="E24" s="57" t="s">
        <v>67</v>
      </c>
      <c r="F24" s="57"/>
      <c r="G24" s="58" t="s">
        <v>375</v>
      </c>
      <c r="H24" s="58" t="s">
        <v>267</v>
      </c>
      <c r="I24" s="9" t="s">
        <v>40</v>
      </c>
      <c r="J24" s="9"/>
      <c r="K24" s="9" t="s">
        <v>40</v>
      </c>
      <c r="L24" s="9"/>
      <c r="M24" s="9" t="s">
        <v>40</v>
      </c>
      <c r="N24" s="9"/>
      <c r="O24" s="9"/>
      <c r="P24" s="9"/>
      <c r="Q24" s="9"/>
      <c r="R24" s="9"/>
      <c r="S24" s="76"/>
      <c r="T24" s="86"/>
      <c r="U24" s="105"/>
      <c r="V24" s="106"/>
    </row>
    <row r="25" spans="1:22" s="11" customFormat="1" x14ac:dyDescent="0.2">
      <c r="A25" s="9">
        <v>10</v>
      </c>
      <c r="B25" s="9"/>
      <c r="C25" s="9"/>
      <c r="D25" s="9" t="s">
        <v>203</v>
      </c>
      <c r="E25" s="57" t="s">
        <v>67</v>
      </c>
      <c r="F25" s="57"/>
      <c r="G25" s="58" t="s">
        <v>376</v>
      </c>
      <c r="H25" s="58" t="s">
        <v>268</v>
      </c>
      <c r="I25" s="9" t="s">
        <v>40</v>
      </c>
      <c r="J25" s="9"/>
      <c r="K25" s="9" t="s">
        <v>40</v>
      </c>
      <c r="L25" s="9"/>
      <c r="M25" s="9" t="s">
        <v>40</v>
      </c>
      <c r="N25" s="9"/>
      <c r="O25" s="9"/>
      <c r="P25" s="9"/>
      <c r="Q25" s="9"/>
      <c r="R25" s="9"/>
      <c r="S25" s="76"/>
      <c r="T25" s="86"/>
      <c r="U25" s="105"/>
      <c r="V25" s="106"/>
    </row>
    <row r="26" spans="1:22" s="11" customFormat="1" x14ac:dyDescent="0.2">
      <c r="A26" s="9">
        <v>10</v>
      </c>
      <c r="B26" s="9"/>
      <c r="C26" s="9"/>
      <c r="D26" s="9" t="s">
        <v>204</v>
      </c>
      <c r="E26" s="57" t="s">
        <v>67</v>
      </c>
      <c r="F26" s="57"/>
      <c r="G26" s="58" t="s">
        <v>377</v>
      </c>
      <c r="H26" s="58" t="s">
        <v>269</v>
      </c>
      <c r="I26" s="9" t="s">
        <v>40</v>
      </c>
      <c r="J26" s="9"/>
      <c r="K26" s="9" t="s">
        <v>40</v>
      </c>
      <c r="L26" s="9"/>
      <c r="M26" s="9" t="s">
        <v>40</v>
      </c>
      <c r="N26" s="9"/>
      <c r="O26" s="9"/>
      <c r="P26" s="9"/>
      <c r="Q26" s="9"/>
      <c r="R26" s="9"/>
      <c r="S26" s="76"/>
      <c r="T26" s="86"/>
      <c r="U26" s="105"/>
      <c r="V26" s="106"/>
    </row>
    <row r="27" spans="1:22" s="11" customFormat="1" x14ac:dyDescent="0.2">
      <c r="A27" s="9">
        <v>10</v>
      </c>
      <c r="B27" s="9"/>
      <c r="C27" s="9"/>
      <c r="D27" s="9" t="s">
        <v>205</v>
      </c>
      <c r="E27" s="57" t="s">
        <v>213</v>
      </c>
      <c r="F27" s="57"/>
      <c r="G27" s="58" t="s">
        <v>378</v>
      </c>
      <c r="H27" s="58" t="s">
        <v>270</v>
      </c>
      <c r="I27" s="9" t="s">
        <v>40</v>
      </c>
      <c r="J27" s="9"/>
      <c r="K27" s="9" t="s">
        <v>40</v>
      </c>
      <c r="L27" s="9"/>
      <c r="M27" s="9" t="s">
        <v>40</v>
      </c>
      <c r="N27" s="9"/>
      <c r="O27" s="9"/>
      <c r="P27" s="9"/>
      <c r="Q27" s="9"/>
      <c r="R27" s="9"/>
      <c r="S27" s="76"/>
      <c r="T27" s="86"/>
      <c r="U27" s="105"/>
      <c r="V27" s="106"/>
    </row>
    <row r="28" spans="1:22" s="11" customFormat="1" x14ac:dyDescent="0.2">
      <c r="A28" s="9">
        <v>10</v>
      </c>
      <c r="B28" s="9"/>
      <c r="C28" s="9"/>
      <c r="D28" s="9" t="s">
        <v>53</v>
      </c>
      <c r="E28" s="57" t="s">
        <v>55</v>
      </c>
      <c r="F28" s="57"/>
      <c r="G28" s="58" t="s">
        <v>379</v>
      </c>
      <c r="H28" s="58" t="s">
        <v>271</v>
      </c>
      <c r="I28" s="9" t="s">
        <v>40</v>
      </c>
      <c r="J28" s="9"/>
      <c r="K28" s="9" t="s">
        <v>40</v>
      </c>
      <c r="L28" s="9"/>
      <c r="M28" s="9" t="s">
        <v>40</v>
      </c>
      <c r="N28" s="9"/>
      <c r="O28" s="9"/>
      <c r="P28" s="9"/>
      <c r="Q28" s="9"/>
      <c r="R28" s="9"/>
      <c r="S28" s="76"/>
      <c r="T28" s="86"/>
      <c r="U28" s="182"/>
      <c r="V28" s="183"/>
    </row>
    <row r="29" spans="1:22" s="11" customFormat="1" x14ac:dyDescent="0.2">
      <c r="A29" s="9">
        <v>10</v>
      </c>
      <c r="B29" s="9"/>
      <c r="C29" s="9"/>
      <c r="D29" s="9" t="s">
        <v>62</v>
      </c>
      <c r="E29" s="57" t="s">
        <v>63</v>
      </c>
      <c r="F29" s="57"/>
      <c r="G29" s="58" t="s">
        <v>380</v>
      </c>
      <c r="H29" s="58" t="s">
        <v>272</v>
      </c>
      <c r="I29" s="9" t="s">
        <v>40</v>
      </c>
      <c r="J29" s="9"/>
      <c r="K29" s="9" t="s">
        <v>40</v>
      </c>
      <c r="L29" s="9"/>
      <c r="M29" s="9" t="s">
        <v>40</v>
      </c>
      <c r="N29" s="9"/>
      <c r="O29" s="9"/>
      <c r="P29" s="9"/>
      <c r="Q29" s="9"/>
      <c r="R29" s="9"/>
      <c r="S29" s="76"/>
      <c r="T29" s="86"/>
      <c r="U29" s="182"/>
      <c r="V29" s="183"/>
    </row>
    <row r="30" spans="1:22" s="11" customFormat="1" x14ac:dyDescent="0.2">
      <c r="A30" s="9">
        <v>10</v>
      </c>
      <c r="B30" s="9"/>
      <c r="C30" s="9"/>
      <c r="D30" s="9" t="s">
        <v>57</v>
      </c>
      <c r="E30" s="57" t="s">
        <v>59</v>
      </c>
      <c r="F30" s="57"/>
      <c r="G30" s="58" t="s">
        <v>381</v>
      </c>
      <c r="H30" s="58" t="s">
        <v>61</v>
      </c>
      <c r="I30" s="9" t="s">
        <v>40</v>
      </c>
      <c r="J30" s="9"/>
      <c r="K30" s="9" t="s">
        <v>40</v>
      </c>
      <c r="L30" s="9"/>
      <c r="M30" s="9" t="s">
        <v>40</v>
      </c>
      <c r="N30" s="9"/>
      <c r="O30" s="9"/>
      <c r="P30" s="9"/>
      <c r="Q30" s="9"/>
      <c r="R30" s="9"/>
      <c r="S30" s="76"/>
      <c r="T30" s="86"/>
      <c r="U30" s="182"/>
      <c r="V30" s="183"/>
    </row>
    <row r="31" spans="1:22" s="11" customFormat="1" x14ac:dyDescent="0.2">
      <c r="A31" s="9">
        <v>10</v>
      </c>
      <c r="B31" s="9"/>
      <c r="C31" s="9"/>
      <c r="D31" s="9" t="s">
        <v>90</v>
      </c>
      <c r="E31" s="57" t="s">
        <v>67</v>
      </c>
      <c r="F31" s="57"/>
      <c r="G31" s="58" t="s">
        <v>382</v>
      </c>
      <c r="H31" s="58" t="s">
        <v>273</v>
      </c>
      <c r="I31" s="9" t="s">
        <v>40</v>
      </c>
      <c r="J31" s="9"/>
      <c r="K31" s="9" t="s">
        <v>40</v>
      </c>
      <c r="L31" s="9"/>
      <c r="M31" s="9" t="s">
        <v>40</v>
      </c>
      <c r="N31" s="9"/>
      <c r="O31" s="9"/>
      <c r="P31" s="9"/>
      <c r="Q31" s="9"/>
      <c r="R31" s="9"/>
      <c r="S31" s="76"/>
      <c r="T31" s="86"/>
      <c r="U31" s="182"/>
      <c r="V31" s="183"/>
    </row>
    <row r="32" spans="1:22" s="11" customFormat="1" x14ac:dyDescent="0.2">
      <c r="A32" s="9">
        <v>10</v>
      </c>
      <c r="B32" s="9"/>
      <c r="C32" s="9"/>
      <c r="D32" s="9" t="s">
        <v>96</v>
      </c>
      <c r="E32" s="57" t="s">
        <v>97</v>
      </c>
      <c r="F32" s="57"/>
      <c r="G32" s="58" t="s">
        <v>383</v>
      </c>
      <c r="H32" s="58" t="s">
        <v>278</v>
      </c>
      <c r="I32" s="9" t="s">
        <v>40</v>
      </c>
      <c r="J32" s="9"/>
      <c r="K32" s="9" t="s">
        <v>40</v>
      </c>
      <c r="L32" s="9"/>
      <c r="M32" s="9" t="s">
        <v>40</v>
      </c>
      <c r="N32" s="9"/>
      <c r="O32" s="9"/>
      <c r="P32" s="9"/>
      <c r="Q32" s="9"/>
      <c r="R32" s="9"/>
      <c r="S32" s="76"/>
      <c r="T32" s="86"/>
      <c r="U32" s="182"/>
      <c r="V32" s="183"/>
    </row>
    <row r="33" spans="1:22" s="11" customFormat="1" x14ac:dyDescent="0.2">
      <c r="A33" s="87"/>
      <c r="B33" s="88"/>
      <c r="C33" s="88"/>
      <c r="D33" s="65" t="s">
        <v>1</v>
      </c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4"/>
      <c r="T33" s="4"/>
      <c r="U33" s="6"/>
      <c r="V33" s="24"/>
    </row>
    <row r="34" spans="1:22" s="11" customFormat="1" x14ac:dyDescent="0.2">
      <c r="A34" s="111"/>
      <c r="V34" s="64"/>
    </row>
    <row r="35" spans="1:22" s="11" customFormat="1" x14ac:dyDescent="0.2">
      <c r="A35" s="111"/>
      <c r="V35" s="64"/>
    </row>
    <row r="36" spans="1:22" s="11" customFormat="1" x14ac:dyDescent="0.2">
      <c r="A36" s="111"/>
      <c r="V36" s="64"/>
    </row>
    <row r="37" spans="1:22" s="11" customFormat="1" x14ac:dyDescent="0.2">
      <c r="A37" s="115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1"/>
    </row>
  </sheetData>
  <dataConsolidate/>
  <mergeCells count="9">
    <mergeCell ref="U15:V15"/>
    <mergeCell ref="U14:V14"/>
    <mergeCell ref="U13:V13"/>
    <mergeCell ref="U12:V12"/>
    <mergeCell ref="U32:V32"/>
    <mergeCell ref="U30:V30"/>
    <mergeCell ref="U29:V29"/>
    <mergeCell ref="U28:V28"/>
    <mergeCell ref="U31:V31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0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08984375" style="66" customWidth="1"/>
    <col min="9" max="10" width="15.81640625" style="66" customWidth="1"/>
    <col min="11" max="11" width="19.36328125" style="66" bestFit="1" customWidth="1"/>
    <col min="12" max="12" width="31.1796875" style="66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18.36328125" style="66" bestFit="1" customWidth="1"/>
    <col min="17" max="17" width="15.81640625" style="65" customWidth="1"/>
    <col min="18" max="18" width="27.1796875" style="65" bestFit="1" customWidth="1"/>
    <col min="19" max="19" width="20.453125" style="65" bestFit="1" customWidth="1"/>
    <col min="20" max="20" width="9" style="65"/>
    <col min="21" max="21" width="13.90625" style="65" bestFit="1" customWidth="1"/>
    <col min="22" max="16384" width="9" style="65"/>
  </cols>
  <sheetData>
    <row r="1" spans="1:18" s="11" customFormat="1" x14ac:dyDescent="0.2">
      <c r="A1" s="107" t="s">
        <v>22</v>
      </c>
      <c r="B1" s="107" t="s">
        <v>22</v>
      </c>
      <c r="C1" s="10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 x14ac:dyDescent="0.2">
      <c r="A2" s="108" t="s">
        <v>22</v>
      </c>
      <c r="B2" s="109"/>
      <c r="C2" s="109"/>
      <c r="D2" s="118" t="s">
        <v>347</v>
      </c>
      <c r="E2" s="7" t="s">
        <v>12</v>
      </c>
      <c r="F2" s="110" t="str">
        <f>IF(LogicCommon!C2="","",LogicCommon!C2)</f>
        <v>MA</v>
      </c>
      <c r="G2" s="7" t="s">
        <v>9</v>
      </c>
      <c r="H2" s="110" t="str">
        <f>IF(LogicCommon!E2="","",LogicCommon!E2)</f>
        <v>MABSL0350</v>
      </c>
      <c r="I2" s="7" t="s">
        <v>30</v>
      </c>
      <c r="J2" s="9" t="s">
        <v>115</v>
      </c>
      <c r="K2" s="7" t="s">
        <v>31</v>
      </c>
      <c r="L2" s="110" t="str">
        <f>IF(LogicCommon!G2="","",LogicCommon!G2)</f>
        <v>MC</v>
      </c>
      <c r="M2" s="5" t="s">
        <v>32</v>
      </c>
      <c r="N2" s="30" t="s">
        <v>345</v>
      </c>
      <c r="O2" s="7"/>
      <c r="P2" s="7"/>
      <c r="Q2" s="4"/>
      <c r="R2" s="65"/>
    </row>
    <row r="3" spans="1:18" s="11" customFormat="1" x14ac:dyDescent="0.2">
      <c r="A3" s="111" t="s">
        <v>22</v>
      </c>
      <c r="B3" s="112"/>
      <c r="C3" s="112"/>
      <c r="D3" s="113" t="str">
        <f>IF(LogicCommon!A3="","",LogicCommon!A3)</f>
        <v/>
      </c>
      <c r="E3" s="7" t="s">
        <v>13</v>
      </c>
      <c r="F3" s="110" t="str">
        <f>IF(LogicCommon!C3="","",LogicCommon!C3)</f>
        <v>MABS</v>
      </c>
      <c r="G3" s="7" t="s">
        <v>10</v>
      </c>
      <c r="H3" s="110" t="str">
        <f>IF(LogicCommon!E3="","",LogicCommon!E3)</f>
        <v>MABSL_ItmSiteReg</v>
      </c>
      <c r="I3" s="7" t="s">
        <v>33</v>
      </c>
      <c r="J3" s="9" t="s">
        <v>34</v>
      </c>
      <c r="K3" s="7" t="s">
        <v>35</v>
      </c>
      <c r="L3" s="110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</row>
    <row r="4" spans="1:18" s="11" customFormat="1" x14ac:dyDescent="0.2">
      <c r="A4" s="111" t="s">
        <v>22</v>
      </c>
      <c r="B4" s="112"/>
      <c r="C4" s="112"/>
      <c r="D4" s="4"/>
      <c r="E4" s="7" t="s">
        <v>8</v>
      </c>
      <c r="F4" s="10" t="s">
        <v>341</v>
      </c>
      <c r="G4" s="7" t="s">
        <v>11</v>
      </c>
      <c r="H4" s="110" t="str">
        <f>IF(LogicCommon!E4="","",LogicCommon!E4)</f>
        <v>品目マスタ（工場・物流倉庫）登録</v>
      </c>
      <c r="I4" s="7" t="s">
        <v>39</v>
      </c>
      <c r="J4" s="9" t="s">
        <v>80</v>
      </c>
      <c r="K4" s="7" t="s">
        <v>5</v>
      </c>
      <c r="L4" s="110" t="str">
        <f>IF(LogicCommon!G4="","",LogicCommon!G4)</f>
        <v>MA.MAUDL5010</v>
      </c>
      <c r="M4" s="114"/>
      <c r="N4" s="30"/>
      <c r="O4" s="15"/>
      <c r="P4" s="4"/>
      <c r="Q4" s="4"/>
      <c r="R4" s="65"/>
    </row>
    <row r="5" spans="1:18" s="11" customFormat="1" x14ac:dyDescent="0.2">
      <c r="A5" s="115" t="s">
        <v>22</v>
      </c>
      <c r="B5" s="107"/>
      <c r="C5" s="107"/>
      <c r="D5" s="27"/>
      <c r="E5" s="7" t="s">
        <v>23</v>
      </c>
      <c r="F5" s="10"/>
      <c r="G5" s="116"/>
      <c r="H5" s="116"/>
      <c r="I5" s="116"/>
      <c r="J5" s="116"/>
      <c r="K5" s="116"/>
      <c r="L5" s="6"/>
      <c r="M5" s="5"/>
      <c r="N5" s="5"/>
      <c r="O5" s="15"/>
      <c r="P5" s="4"/>
      <c r="Q5" s="4"/>
      <c r="R5" s="65"/>
    </row>
    <row r="6" spans="1:18" s="11" customFormat="1" x14ac:dyDescent="0.2">
      <c r="A6" s="111" t="s">
        <v>22</v>
      </c>
      <c r="B6" s="112"/>
      <c r="C6" s="112"/>
      <c r="D6" s="4" t="s">
        <v>6</v>
      </c>
      <c r="E6" s="17" t="s">
        <v>247</v>
      </c>
      <c r="F6" s="17"/>
      <c r="G6" s="17"/>
      <c r="H6" s="17"/>
      <c r="I6" s="17"/>
      <c r="J6" s="17"/>
      <c r="K6" s="17"/>
      <c r="L6" s="117" t="s">
        <v>42</v>
      </c>
      <c r="M6" s="20"/>
      <c r="N6" s="20" t="s">
        <v>42</v>
      </c>
      <c r="O6" s="20"/>
      <c r="P6" s="20"/>
      <c r="Q6" s="20"/>
      <c r="R6" s="65"/>
    </row>
    <row r="7" spans="1:18" s="11" customFormat="1" x14ac:dyDescent="0.2">
      <c r="A7" s="67" t="s">
        <v>17</v>
      </c>
      <c r="B7" s="67"/>
      <c r="C7" s="67"/>
      <c r="D7" s="68"/>
      <c r="E7" s="68"/>
      <c r="F7" s="68"/>
      <c r="G7" s="68"/>
      <c r="H7" s="68"/>
      <c r="I7" s="68" t="s">
        <v>44</v>
      </c>
      <c r="J7" s="68"/>
      <c r="K7" s="69" t="s">
        <v>45</v>
      </c>
      <c r="L7" s="70" t="s">
        <v>107</v>
      </c>
      <c r="M7" s="69" t="s">
        <v>45</v>
      </c>
      <c r="N7" s="70" t="s">
        <v>108</v>
      </c>
      <c r="O7" s="66"/>
      <c r="P7" s="66"/>
      <c r="Q7" s="66"/>
      <c r="R7" s="66"/>
    </row>
    <row r="8" spans="1:18" s="11" customFormat="1" ht="60" customHeight="1" x14ac:dyDescent="0.2">
      <c r="A8" s="57" t="s">
        <v>17</v>
      </c>
      <c r="B8" s="121"/>
      <c r="C8" s="122"/>
      <c r="D8" s="119" t="s">
        <v>348</v>
      </c>
      <c r="E8" s="119" t="s">
        <v>349</v>
      </c>
      <c r="F8" s="117"/>
      <c r="G8" s="119" t="s">
        <v>275</v>
      </c>
      <c r="H8" s="119" t="s">
        <v>350</v>
      </c>
      <c r="I8" s="117"/>
      <c r="J8" s="3"/>
      <c r="K8" s="69" t="s">
        <v>16</v>
      </c>
      <c r="L8" s="9" t="s">
        <v>184</v>
      </c>
      <c r="M8" s="69" t="s">
        <v>16</v>
      </c>
      <c r="N8" s="9" t="s">
        <v>185</v>
      </c>
      <c r="O8" s="129"/>
      <c r="P8" s="130"/>
      <c r="Q8" s="131" t="s">
        <v>359</v>
      </c>
      <c r="R8" s="86"/>
    </row>
    <row r="9" spans="1:18" s="11" customFormat="1" ht="60" customHeight="1" x14ac:dyDescent="0.2">
      <c r="A9" s="9" t="s">
        <v>17</v>
      </c>
      <c r="B9" s="41"/>
      <c r="C9" s="42"/>
      <c r="D9" s="119" t="s">
        <v>351</v>
      </c>
      <c r="E9" s="126" t="s">
        <v>352</v>
      </c>
      <c r="F9" s="119" t="s">
        <v>353</v>
      </c>
      <c r="G9" s="119" t="s">
        <v>354</v>
      </c>
      <c r="H9" s="119" t="s">
        <v>355</v>
      </c>
      <c r="I9" s="127" t="s">
        <v>356</v>
      </c>
      <c r="J9" s="119" t="s">
        <v>357</v>
      </c>
      <c r="K9" s="69"/>
      <c r="L9" s="69"/>
      <c r="M9" s="69"/>
      <c r="N9" s="69"/>
      <c r="O9" s="131" t="s">
        <v>358</v>
      </c>
      <c r="P9" s="86"/>
      <c r="Q9" s="131" t="s">
        <v>360</v>
      </c>
      <c r="R9" s="86"/>
    </row>
    <row r="10" spans="1:18" s="11" customFormat="1" ht="52" x14ac:dyDescent="0.2">
      <c r="A10" s="74" t="s">
        <v>17</v>
      </c>
      <c r="B10" s="75"/>
      <c r="C10" s="75"/>
      <c r="D10" s="76"/>
      <c r="E10" s="77"/>
      <c r="F10" s="77"/>
      <c r="G10" s="78"/>
      <c r="H10" s="78"/>
      <c r="I10" s="77"/>
      <c r="J10" s="77"/>
      <c r="K10" s="128" t="s">
        <v>356</v>
      </c>
      <c r="L10" s="128" t="s">
        <v>357</v>
      </c>
      <c r="M10" s="128" t="s">
        <v>356</v>
      </c>
      <c r="N10" s="128" t="s">
        <v>357</v>
      </c>
      <c r="O10" s="77"/>
      <c r="P10" s="77"/>
      <c r="Q10" s="78"/>
      <c r="R10" s="72"/>
    </row>
    <row r="11" spans="1:18" s="11" customFormat="1" x14ac:dyDescent="0.2">
      <c r="A11" s="9">
        <v>10</v>
      </c>
      <c r="B11" s="41" t="s">
        <v>0</v>
      </c>
      <c r="C11" s="42"/>
      <c r="D11" s="30" t="s">
        <v>87</v>
      </c>
      <c r="E11" s="79" t="s">
        <v>21</v>
      </c>
      <c r="F11" s="80"/>
      <c r="G11" s="30" t="s">
        <v>100</v>
      </c>
      <c r="H11" s="81" t="s">
        <v>338</v>
      </c>
      <c r="I11" s="82"/>
      <c r="J11" s="83"/>
      <c r="K11" s="84" t="s">
        <v>339</v>
      </c>
      <c r="L11" s="84"/>
      <c r="M11" s="84" t="s">
        <v>340</v>
      </c>
      <c r="N11" s="84"/>
      <c r="O11" s="71"/>
      <c r="P11" s="72"/>
      <c r="Q11" s="105"/>
      <c r="R11" s="85"/>
    </row>
    <row r="12" spans="1:18" s="11" customFormat="1" x14ac:dyDescent="0.2">
      <c r="A12" s="9">
        <v>10</v>
      </c>
      <c r="B12" s="9"/>
      <c r="C12" s="9"/>
      <c r="D12" s="9" t="s">
        <v>120</v>
      </c>
      <c r="E12" s="57" t="s">
        <v>138</v>
      </c>
      <c r="F12" s="57"/>
      <c r="G12" s="58" t="s">
        <v>361</v>
      </c>
      <c r="H12" s="58" t="s">
        <v>249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76"/>
      <c r="P12" s="86"/>
      <c r="Q12" s="182"/>
      <c r="R12" s="183"/>
    </row>
    <row r="13" spans="1:18" s="11" customFormat="1" x14ac:dyDescent="0.2">
      <c r="A13" s="9">
        <v>10</v>
      </c>
      <c r="B13" s="9"/>
      <c r="C13" s="9"/>
      <c r="D13" s="9" t="s">
        <v>122</v>
      </c>
      <c r="E13" s="57" t="s">
        <v>140</v>
      </c>
      <c r="F13" s="57"/>
      <c r="G13" s="58" t="s">
        <v>362</v>
      </c>
      <c r="H13" s="58" t="s">
        <v>250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76"/>
      <c r="P13" s="86"/>
      <c r="Q13" s="182"/>
      <c r="R13" s="183"/>
    </row>
    <row r="14" spans="1:18" s="11" customFormat="1" x14ac:dyDescent="0.2">
      <c r="A14" s="9">
        <v>10</v>
      </c>
      <c r="B14" s="9"/>
      <c r="C14" s="9"/>
      <c r="D14" s="9" t="s">
        <v>124</v>
      </c>
      <c r="E14" s="57" t="s">
        <v>142</v>
      </c>
      <c r="F14" s="57"/>
      <c r="G14" s="58" t="s">
        <v>363</v>
      </c>
      <c r="H14" s="58" t="s">
        <v>251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76"/>
      <c r="P14" s="86"/>
      <c r="Q14" s="182"/>
      <c r="R14" s="183"/>
    </row>
    <row r="15" spans="1:18" s="11" customFormat="1" x14ac:dyDescent="0.2">
      <c r="A15" s="9">
        <v>10</v>
      </c>
      <c r="B15" s="9"/>
      <c r="C15" s="9"/>
      <c r="D15" s="9" t="s">
        <v>126</v>
      </c>
      <c r="E15" s="57" t="s">
        <v>144</v>
      </c>
      <c r="F15" s="57"/>
      <c r="G15" s="58" t="s">
        <v>364</v>
      </c>
      <c r="H15" s="58" t="s">
        <v>252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76"/>
      <c r="P15" s="86"/>
      <c r="Q15" s="182"/>
      <c r="R15" s="183"/>
    </row>
    <row r="16" spans="1:18" s="11" customFormat="1" ht="26" x14ac:dyDescent="0.2">
      <c r="A16" s="9">
        <v>10</v>
      </c>
      <c r="B16" s="9"/>
      <c r="C16" s="9"/>
      <c r="D16" s="9" t="s">
        <v>190</v>
      </c>
      <c r="E16" s="57" t="s">
        <v>188</v>
      </c>
      <c r="F16" s="57"/>
      <c r="G16" s="58" t="s">
        <v>367</v>
      </c>
      <c r="H16" s="58" t="s">
        <v>258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76"/>
      <c r="P16" s="86"/>
      <c r="Q16" s="182"/>
      <c r="R16" s="183"/>
    </row>
    <row r="17" spans="1:18" s="11" customFormat="1" x14ac:dyDescent="0.2">
      <c r="A17" s="9">
        <v>10</v>
      </c>
      <c r="B17" s="9"/>
      <c r="C17" s="9"/>
      <c r="D17" s="9" t="s">
        <v>96</v>
      </c>
      <c r="E17" s="57" t="s">
        <v>97</v>
      </c>
      <c r="F17" s="57"/>
      <c r="G17" s="58" t="s">
        <v>383</v>
      </c>
      <c r="H17" s="58" t="s">
        <v>278</v>
      </c>
      <c r="I17" s="9" t="s">
        <v>106</v>
      </c>
      <c r="J17" s="9"/>
      <c r="K17" s="9" t="s">
        <v>106</v>
      </c>
      <c r="L17" s="9"/>
      <c r="M17" s="9" t="s">
        <v>106</v>
      </c>
      <c r="N17" s="9"/>
      <c r="O17" s="78"/>
      <c r="P17" s="72"/>
      <c r="Q17" s="105"/>
      <c r="R17" s="85"/>
    </row>
    <row r="18" spans="1:18" s="11" customFormat="1" x14ac:dyDescent="0.2">
      <c r="A18" s="87"/>
      <c r="B18" s="88"/>
      <c r="C18" s="88"/>
      <c r="D18" s="65" t="s">
        <v>1</v>
      </c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4"/>
      <c r="P18" s="4"/>
      <c r="Q18" s="6"/>
      <c r="R18" s="24"/>
    </row>
    <row r="19" spans="1:18" s="11" customFormat="1" x14ac:dyDescent="0.2">
      <c r="A19" s="111"/>
      <c r="R19" s="64"/>
    </row>
    <row r="20" spans="1:18" s="11" customFormat="1" x14ac:dyDescent="0.2">
      <c r="A20" s="111"/>
      <c r="R20" s="64"/>
    </row>
    <row r="21" spans="1:18" s="11" customFormat="1" x14ac:dyDescent="0.2">
      <c r="A21" s="111"/>
      <c r="R21" s="64"/>
    </row>
    <row r="22" spans="1:18" s="11" customFormat="1" x14ac:dyDescent="0.2">
      <c r="A22" s="111"/>
      <c r="R22" s="64"/>
    </row>
    <row r="23" spans="1:18" s="11" customFormat="1" x14ac:dyDescent="0.2">
      <c r="A23" s="111"/>
      <c r="R23" s="64"/>
    </row>
    <row r="24" spans="1:18" s="11" customFormat="1" x14ac:dyDescent="0.2">
      <c r="A24" s="111"/>
      <c r="R24" s="64"/>
    </row>
    <row r="25" spans="1:18" s="11" customFormat="1" x14ac:dyDescent="0.2">
      <c r="A25" s="111"/>
      <c r="R25" s="64"/>
    </row>
    <row r="26" spans="1:18" s="11" customFormat="1" x14ac:dyDescent="0.2">
      <c r="A26" s="111"/>
      <c r="R26" s="64"/>
    </row>
    <row r="27" spans="1:18" s="11" customFormat="1" x14ac:dyDescent="0.2">
      <c r="A27" s="111"/>
      <c r="R27" s="64"/>
    </row>
    <row r="28" spans="1:18" s="11" customFormat="1" x14ac:dyDescent="0.2">
      <c r="A28" s="111"/>
      <c r="R28" s="64"/>
    </row>
    <row r="29" spans="1:18" s="11" customFormat="1" x14ac:dyDescent="0.2">
      <c r="A29" s="111"/>
      <c r="R29" s="64"/>
    </row>
    <row r="30" spans="1:18" s="11" customFormat="1" x14ac:dyDescent="0.2">
      <c r="A30" s="115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1"/>
    </row>
  </sheetData>
  <dataConsolidate/>
  <mergeCells count="5">
    <mergeCell ref="Q12:R12"/>
    <mergeCell ref="Q13:R13"/>
    <mergeCell ref="Q14:R14"/>
    <mergeCell ref="Q15:R15"/>
    <mergeCell ref="Q16:R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00" customWidth="1"/>
    <col min="43" max="44" width="2.08984375" style="102" customWidth="1"/>
    <col min="45" max="71" width="2.08984375" style="100" customWidth="1"/>
    <col min="72" max="16384" width="9" style="100"/>
  </cols>
  <sheetData>
    <row r="1" spans="1:57" ht="38.25" customHeight="1" thickBot="1" x14ac:dyDescent="0.25">
      <c r="A1" s="172" t="s">
        <v>24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3"/>
      <c r="BB1" s="173"/>
      <c r="BC1" s="173"/>
      <c r="BD1" s="173"/>
      <c r="BE1" s="174"/>
    </row>
    <row r="2" spans="1:57" ht="12" customHeight="1" thickBot="1" x14ac:dyDescent="0.2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</row>
    <row r="3" spans="1:57" ht="15" customHeight="1" thickBot="1" x14ac:dyDescent="0.25">
      <c r="A3" s="140" t="s">
        <v>25</v>
      </c>
      <c r="B3" s="141"/>
      <c r="C3" s="141"/>
      <c r="D3" s="141"/>
      <c r="E3" s="141"/>
      <c r="F3" s="141"/>
      <c r="G3" s="142"/>
      <c r="H3" s="175" t="s">
        <v>26</v>
      </c>
      <c r="I3" s="141"/>
      <c r="J3" s="141"/>
      <c r="K3" s="141"/>
      <c r="L3" s="141"/>
      <c r="M3" s="141"/>
      <c r="N3" s="142"/>
      <c r="O3" s="175" t="s">
        <v>27</v>
      </c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7"/>
      <c r="AQ3" s="175" t="s">
        <v>28</v>
      </c>
      <c r="AR3" s="178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9"/>
    </row>
    <row r="4" spans="1:57" ht="15" customHeight="1" x14ac:dyDescent="0.2">
      <c r="A4" s="148">
        <v>1</v>
      </c>
      <c r="B4" s="149"/>
      <c r="C4" s="149"/>
      <c r="D4" s="149"/>
      <c r="E4" s="149"/>
      <c r="F4" s="149"/>
      <c r="G4" s="150"/>
      <c r="H4" s="133"/>
      <c r="I4" s="134"/>
      <c r="J4" s="134"/>
      <c r="K4" s="134"/>
      <c r="L4" s="134"/>
      <c r="M4" s="134"/>
      <c r="N4" s="135"/>
      <c r="O4" s="133" t="s">
        <v>29</v>
      </c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7"/>
      <c r="AQ4" s="138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9"/>
    </row>
    <row r="5" spans="1:57" ht="15" customHeight="1" x14ac:dyDescent="0.2">
      <c r="A5" s="151">
        <v>1.1000000000000001</v>
      </c>
      <c r="B5" s="152"/>
      <c r="C5" s="152"/>
      <c r="D5" s="152"/>
      <c r="E5" s="152"/>
      <c r="F5" s="152"/>
      <c r="G5" s="153"/>
      <c r="H5" s="143"/>
      <c r="I5" s="154"/>
      <c r="J5" s="154"/>
      <c r="K5" s="154"/>
      <c r="L5" s="154"/>
      <c r="M5" s="154"/>
      <c r="N5" s="155"/>
      <c r="O5" s="156" t="s">
        <v>431</v>
      </c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8"/>
      <c r="AQ5" s="159" t="s">
        <v>432</v>
      </c>
      <c r="AR5" s="160"/>
      <c r="AS5" s="160"/>
      <c r="AT5" s="160"/>
      <c r="AU5" s="160"/>
      <c r="AV5" s="160"/>
      <c r="AW5" s="160"/>
      <c r="AX5" s="160"/>
      <c r="AY5" s="160"/>
      <c r="AZ5" s="160"/>
      <c r="BA5" s="160"/>
      <c r="BB5" s="160"/>
      <c r="BC5" s="160"/>
      <c r="BD5" s="160"/>
      <c r="BE5" s="161"/>
    </row>
    <row r="6" spans="1:57" ht="15" customHeight="1" x14ac:dyDescent="0.2">
      <c r="A6" s="151"/>
      <c r="B6" s="152"/>
      <c r="C6" s="152"/>
      <c r="D6" s="152"/>
      <c r="E6" s="152"/>
      <c r="F6" s="152"/>
      <c r="G6" s="153"/>
      <c r="H6" s="143"/>
      <c r="I6" s="154"/>
      <c r="J6" s="154"/>
      <c r="K6" s="154"/>
      <c r="L6" s="154"/>
      <c r="M6" s="154"/>
      <c r="N6" s="155"/>
      <c r="O6" s="143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5"/>
      <c r="AQ6" s="146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7"/>
    </row>
    <row r="7" spans="1:57" ht="15" customHeight="1" x14ac:dyDescent="0.2">
      <c r="A7" s="151"/>
      <c r="B7" s="152"/>
      <c r="C7" s="152"/>
      <c r="D7" s="152"/>
      <c r="E7" s="152"/>
      <c r="F7" s="152"/>
      <c r="G7" s="153"/>
      <c r="H7" s="143"/>
      <c r="I7" s="154"/>
      <c r="J7" s="154"/>
      <c r="K7" s="154"/>
      <c r="L7" s="154"/>
      <c r="M7" s="154"/>
      <c r="N7" s="155"/>
      <c r="O7" s="143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5"/>
      <c r="AQ7" s="146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4"/>
      <c r="BC7" s="144"/>
      <c r="BD7" s="144"/>
      <c r="BE7" s="147"/>
    </row>
    <row r="8" spans="1:57" ht="15" customHeight="1" x14ac:dyDescent="0.2">
      <c r="A8" s="151"/>
      <c r="B8" s="152"/>
      <c r="C8" s="152"/>
      <c r="D8" s="152"/>
      <c r="E8" s="152"/>
      <c r="F8" s="152"/>
      <c r="G8" s="153"/>
      <c r="H8" s="143"/>
      <c r="I8" s="154"/>
      <c r="J8" s="154"/>
      <c r="K8" s="154"/>
      <c r="L8" s="154"/>
      <c r="M8" s="154"/>
      <c r="N8" s="155"/>
      <c r="O8" s="143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5"/>
      <c r="AQ8" s="146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7"/>
    </row>
    <row r="9" spans="1:57" ht="15" customHeight="1" x14ac:dyDescent="0.2">
      <c r="A9" s="151"/>
      <c r="B9" s="152"/>
      <c r="C9" s="152"/>
      <c r="D9" s="152"/>
      <c r="E9" s="152"/>
      <c r="F9" s="152"/>
      <c r="G9" s="153"/>
      <c r="H9" s="143"/>
      <c r="I9" s="154"/>
      <c r="J9" s="154"/>
      <c r="K9" s="154"/>
      <c r="L9" s="154"/>
      <c r="M9" s="154"/>
      <c r="N9" s="155"/>
      <c r="O9" s="143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5"/>
      <c r="AQ9" s="146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7"/>
    </row>
    <row r="10" spans="1:57" ht="15" customHeight="1" x14ac:dyDescent="0.2">
      <c r="A10" s="151"/>
      <c r="B10" s="152"/>
      <c r="C10" s="152"/>
      <c r="D10" s="152"/>
      <c r="E10" s="152"/>
      <c r="F10" s="152"/>
      <c r="G10" s="153"/>
      <c r="H10" s="143"/>
      <c r="I10" s="154"/>
      <c r="J10" s="154"/>
      <c r="K10" s="154"/>
      <c r="L10" s="154"/>
      <c r="M10" s="154"/>
      <c r="N10" s="155"/>
      <c r="O10" s="143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5"/>
      <c r="AQ10" s="146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7"/>
    </row>
    <row r="11" spans="1:57" ht="15" customHeight="1" x14ac:dyDescent="0.2">
      <c r="A11" s="151"/>
      <c r="B11" s="152"/>
      <c r="C11" s="152"/>
      <c r="D11" s="152"/>
      <c r="E11" s="152"/>
      <c r="F11" s="152"/>
      <c r="G11" s="153"/>
      <c r="H11" s="143"/>
      <c r="I11" s="154"/>
      <c r="J11" s="154"/>
      <c r="K11" s="154"/>
      <c r="L11" s="154"/>
      <c r="M11" s="154"/>
      <c r="N11" s="155"/>
      <c r="O11" s="143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5"/>
      <c r="AQ11" s="146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7"/>
    </row>
    <row r="12" spans="1:57" ht="15" customHeight="1" x14ac:dyDescent="0.2">
      <c r="A12" s="151"/>
      <c r="B12" s="152"/>
      <c r="C12" s="152"/>
      <c r="D12" s="152"/>
      <c r="E12" s="152"/>
      <c r="F12" s="152"/>
      <c r="G12" s="153"/>
      <c r="H12" s="143"/>
      <c r="I12" s="154"/>
      <c r="J12" s="154"/>
      <c r="K12" s="154"/>
      <c r="L12" s="154"/>
      <c r="M12" s="154"/>
      <c r="N12" s="155"/>
      <c r="O12" s="143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5"/>
      <c r="AQ12" s="146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7"/>
    </row>
    <row r="13" spans="1:57" ht="15" customHeight="1" x14ac:dyDescent="0.2">
      <c r="A13" s="151"/>
      <c r="B13" s="152"/>
      <c r="C13" s="152"/>
      <c r="D13" s="152"/>
      <c r="E13" s="152"/>
      <c r="F13" s="152"/>
      <c r="G13" s="153"/>
      <c r="H13" s="143"/>
      <c r="I13" s="154"/>
      <c r="J13" s="154"/>
      <c r="K13" s="154"/>
      <c r="L13" s="154"/>
      <c r="M13" s="154"/>
      <c r="N13" s="155"/>
      <c r="O13" s="143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5"/>
      <c r="AQ13" s="146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7"/>
    </row>
    <row r="14" spans="1:57" ht="15" customHeight="1" x14ac:dyDescent="0.2">
      <c r="A14" s="151"/>
      <c r="B14" s="152"/>
      <c r="C14" s="152"/>
      <c r="D14" s="152"/>
      <c r="E14" s="152"/>
      <c r="F14" s="152"/>
      <c r="G14" s="153"/>
      <c r="H14" s="143"/>
      <c r="I14" s="154"/>
      <c r="J14" s="154"/>
      <c r="K14" s="154"/>
      <c r="L14" s="154"/>
      <c r="M14" s="154"/>
      <c r="N14" s="155"/>
      <c r="O14" s="143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5"/>
      <c r="AQ14" s="146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7"/>
    </row>
    <row r="15" spans="1:57" ht="15" customHeight="1" x14ac:dyDescent="0.2">
      <c r="A15" s="151"/>
      <c r="B15" s="152"/>
      <c r="C15" s="152"/>
      <c r="D15" s="152"/>
      <c r="E15" s="152"/>
      <c r="F15" s="152"/>
      <c r="G15" s="153"/>
      <c r="H15" s="143"/>
      <c r="I15" s="154"/>
      <c r="J15" s="154"/>
      <c r="K15" s="154"/>
      <c r="L15" s="154"/>
      <c r="M15" s="154"/>
      <c r="N15" s="155"/>
      <c r="O15" s="143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5"/>
      <c r="AQ15" s="146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7"/>
    </row>
    <row r="16" spans="1:57" ht="15" customHeight="1" x14ac:dyDescent="0.2">
      <c r="A16" s="151"/>
      <c r="B16" s="152"/>
      <c r="C16" s="152"/>
      <c r="D16" s="152"/>
      <c r="E16" s="152"/>
      <c r="F16" s="152"/>
      <c r="G16" s="153"/>
      <c r="H16" s="143"/>
      <c r="I16" s="154"/>
      <c r="J16" s="154"/>
      <c r="K16" s="154"/>
      <c r="L16" s="154"/>
      <c r="M16" s="154"/>
      <c r="N16" s="155"/>
      <c r="O16" s="143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5"/>
      <c r="AQ16" s="146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7"/>
    </row>
    <row r="17" spans="1:57" ht="15" customHeight="1" x14ac:dyDescent="0.2">
      <c r="A17" s="151"/>
      <c r="B17" s="152"/>
      <c r="C17" s="152"/>
      <c r="D17" s="152"/>
      <c r="E17" s="152"/>
      <c r="F17" s="152"/>
      <c r="G17" s="153"/>
      <c r="H17" s="143"/>
      <c r="I17" s="154"/>
      <c r="J17" s="154"/>
      <c r="K17" s="154"/>
      <c r="L17" s="154"/>
      <c r="M17" s="154"/>
      <c r="N17" s="155"/>
      <c r="O17" s="143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5"/>
      <c r="AQ17" s="146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  <c r="BE17" s="147"/>
    </row>
    <row r="18" spans="1:57" ht="15" customHeight="1" x14ac:dyDescent="0.2">
      <c r="A18" s="151"/>
      <c r="B18" s="152"/>
      <c r="C18" s="152"/>
      <c r="D18" s="152"/>
      <c r="E18" s="152"/>
      <c r="F18" s="152"/>
      <c r="G18" s="153"/>
      <c r="H18" s="143"/>
      <c r="I18" s="154"/>
      <c r="J18" s="154"/>
      <c r="K18" s="154"/>
      <c r="L18" s="154"/>
      <c r="M18" s="154"/>
      <c r="N18" s="155"/>
      <c r="O18" s="143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5"/>
      <c r="AQ18" s="146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7"/>
    </row>
    <row r="19" spans="1:57" ht="15" customHeight="1" x14ac:dyDescent="0.2">
      <c r="A19" s="151"/>
      <c r="B19" s="152"/>
      <c r="C19" s="152"/>
      <c r="D19" s="152"/>
      <c r="E19" s="152"/>
      <c r="F19" s="152"/>
      <c r="G19" s="153"/>
      <c r="H19" s="143"/>
      <c r="I19" s="154"/>
      <c r="J19" s="154"/>
      <c r="K19" s="154"/>
      <c r="L19" s="154"/>
      <c r="M19" s="154"/>
      <c r="N19" s="155"/>
      <c r="O19" s="143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5"/>
      <c r="AQ19" s="146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7"/>
    </row>
    <row r="20" spans="1:57" ht="15" customHeight="1" x14ac:dyDescent="0.2">
      <c r="A20" s="151"/>
      <c r="B20" s="152"/>
      <c r="C20" s="152"/>
      <c r="D20" s="152"/>
      <c r="E20" s="152"/>
      <c r="F20" s="152"/>
      <c r="G20" s="153"/>
      <c r="H20" s="143"/>
      <c r="I20" s="154"/>
      <c r="J20" s="154"/>
      <c r="K20" s="154"/>
      <c r="L20" s="154"/>
      <c r="M20" s="154"/>
      <c r="N20" s="155"/>
      <c r="O20" s="143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5"/>
      <c r="AQ20" s="146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7"/>
    </row>
    <row r="21" spans="1:57" ht="15" customHeight="1" x14ac:dyDescent="0.2">
      <c r="A21" s="151"/>
      <c r="B21" s="152"/>
      <c r="C21" s="152"/>
      <c r="D21" s="152"/>
      <c r="E21" s="152"/>
      <c r="F21" s="152"/>
      <c r="G21" s="153"/>
      <c r="H21" s="143"/>
      <c r="I21" s="154"/>
      <c r="J21" s="154"/>
      <c r="K21" s="154"/>
      <c r="L21" s="154"/>
      <c r="M21" s="154"/>
      <c r="N21" s="155"/>
      <c r="O21" s="143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5"/>
      <c r="AQ21" s="146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7"/>
    </row>
    <row r="22" spans="1:57" ht="15" customHeight="1" x14ac:dyDescent="0.2">
      <c r="A22" s="151"/>
      <c r="B22" s="152"/>
      <c r="C22" s="152"/>
      <c r="D22" s="152"/>
      <c r="E22" s="152"/>
      <c r="F22" s="152"/>
      <c r="G22" s="153"/>
      <c r="H22" s="143"/>
      <c r="I22" s="154"/>
      <c r="J22" s="154"/>
      <c r="K22" s="154"/>
      <c r="L22" s="154"/>
      <c r="M22" s="154"/>
      <c r="N22" s="155"/>
      <c r="O22" s="143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5"/>
      <c r="AQ22" s="146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7"/>
    </row>
    <row r="23" spans="1:57" ht="15" customHeight="1" x14ac:dyDescent="0.2">
      <c r="A23" s="151"/>
      <c r="B23" s="152"/>
      <c r="C23" s="152"/>
      <c r="D23" s="152"/>
      <c r="E23" s="152"/>
      <c r="F23" s="152"/>
      <c r="G23" s="153"/>
      <c r="H23" s="143"/>
      <c r="I23" s="154"/>
      <c r="J23" s="154"/>
      <c r="K23" s="154"/>
      <c r="L23" s="154"/>
      <c r="M23" s="154"/>
      <c r="N23" s="155"/>
      <c r="O23" s="143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5"/>
      <c r="AQ23" s="146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7"/>
    </row>
    <row r="24" spans="1:57" ht="15" customHeight="1" x14ac:dyDescent="0.2">
      <c r="A24" s="151"/>
      <c r="B24" s="152"/>
      <c r="C24" s="152"/>
      <c r="D24" s="152"/>
      <c r="E24" s="152"/>
      <c r="F24" s="152"/>
      <c r="G24" s="153"/>
      <c r="H24" s="143"/>
      <c r="I24" s="154"/>
      <c r="J24" s="154"/>
      <c r="K24" s="154"/>
      <c r="L24" s="154"/>
      <c r="M24" s="154"/>
      <c r="N24" s="155"/>
      <c r="O24" s="143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5"/>
      <c r="AQ24" s="146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7"/>
    </row>
    <row r="25" spans="1:57" ht="15" customHeight="1" x14ac:dyDescent="0.2">
      <c r="A25" s="151"/>
      <c r="B25" s="152"/>
      <c r="C25" s="152"/>
      <c r="D25" s="152"/>
      <c r="E25" s="152"/>
      <c r="F25" s="152"/>
      <c r="G25" s="153"/>
      <c r="H25" s="143"/>
      <c r="I25" s="154"/>
      <c r="J25" s="154"/>
      <c r="K25" s="154"/>
      <c r="L25" s="154"/>
      <c r="M25" s="154"/>
      <c r="N25" s="155"/>
      <c r="O25" s="143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5"/>
      <c r="AQ25" s="146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7"/>
    </row>
    <row r="26" spans="1:57" ht="15" customHeight="1" x14ac:dyDescent="0.2">
      <c r="A26" s="151"/>
      <c r="B26" s="152"/>
      <c r="C26" s="152"/>
      <c r="D26" s="152"/>
      <c r="E26" s="152"/>
      <c r="F26" s="152"/>
      <c r="G26" s="153"/>
      <c r="H26" s="143"/>
      <c r="I26" s="154"/>
      <c r="J26" s="154"/>
      <c r="K26" s="154"/>
      <c r="L26" s="154"/>
      <c r="M26" s="154"/>
      <c r="N26" s="155"/>
      <c r="O26" s="143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5"/>
      <c r="AQ26" s="146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7"/>
    </row>
    <row r="27" spans="1:57" ht="15" customHeight="1" x14ac:dyDescent="0.2">
      <c r="A27" s="151"/>
      <c r="B27" s="152"/>
      <c r="C27" s="152"/>
      <c r="D27" s="152"/>
      <c r="E27" s="152"/>
      <c r="F27" s="152"/>
      <c r="G27" s="153"/>
      <c r="H27" s="143"/>
      <c r="I27" s="154"/>
      <c r="J27" s="154"/>
      <c r="K27" s="154"/>
      <c r="L27" s="154"/>
      <c r="M27" s="154"/>
      <c r="N27" s="155"/>
      <c r="O27" s="143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5"/>
      <c r="AQ27" s="146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7"/>
    </row>
    <row r="28" spans="1:57" ht="15" customHeight="1" x14ac:dyDescent="0.2">
      <c r="A28" s="151"/>
      <c r="B28" s="152"/>
      <c r="C28" s="152"/>
      <c r="D28" s="152"/>
      <c r="E28" s="152"/>
      <c r="F28" s="152"/>
      <c r="G28" s="153"/>
      <c r="H28" s="143"/>
      <c r="I28" s="154"/>
      <c r="J28" s="154"/>
      <c r="K28" s="154"/>
      <c r="L28" s="154"/>
      <c r="M28" s="154"/>
      <c r="N28" s="155"/>
      <c r="O28" s="143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5"/>
      <c r="AQ28" s="146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7"/>
    </row>
    <row r="29" spans="1:57" ht="15" customHeight="1" x14ac:dyDescent="0.2">
      <c r="A29" s="151"/>
      <c r="B29" s="152"/>
      <c r="C29" s="152"/>
      <c r="D29" s="152"/>
      <c r="E29" s="152"/>
      <c r="F29" s="152"/>
      <c r="G29" s="153"/>
      <c r="H29" s="143"/>
      <c r="I29" s="154"/>
      <c r="J29" s="154"/>
      <c r="K29" s="154"/>
      <c r="L29" s="154"/>
      <c r="M29" s="154"/>
      <c r="N29" s="155"/>
      <c r="O29" s="143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5"/>
      <c r="AQ29" s="146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7"/>
    </row>
    <row r="30" spans="1:57" ht="15" customHeight="1" x14ac:dyDescent="0.2">
      <c r="A30" s="151"/>
      <c r="B30" s="152"/>
      <c r="C30" s="152"/>
      <c r="D30" s="152"/>
      <c r="E30" s="152"/>
      <c r="F30" s="152"/>
      <c r="G30" s="153"/>
      <c r="H30" s="143"/>
      <c r="I30" s="154"/>
      <c r="J30" s="154"/>
      <c r="K30" s="154"/>
      <c r="L30" s="154"/>
      <c r="M30" s="154"/>
      <c r="N30" s="155"/>
      <c r="O30" s="143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5"/>
      <c r="AQ30" s="146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7"/>
    </row>
    <row r="31" spans="1:57" ht="15" customHeight="1" x14ac:dyDescent="0.2">
      <c r="A31" s="151"/>
      <c r="B31" s="152"/>
      <c r="C31" s="152"/>
      <c r="D31" s="152"/>
      <c r="E31" s="152"/>
      <c r="F31" s="152"/>
      <c r="G31" s="153"/>
      <c r="H31" s="143"/>
      <c r="I31" s="154"/>
      <c r="J31" s="154"/>
      <c r="K31" s="154"/>
      <c r="L31" s="154"/>
      <c r="M31" s="154"/>
      <c r="N31" s="155"/>
      <c r="O31" s="143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5"/>
      <c r="AQ31" s="146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7"/>
    </row>
    <row r="32" spans="1:57" ht="15" customHeight="1" x14ac:dyDescent="0.2">
      <c r="A32" s="151"/>
      <c r="B32" s="152"/>
      <c r="C32" s="152"/>
      <c r="D32" s="152"/>
      <c r="E32" s="152"/>
      <c r="F32" s="152"/>
      <c r="G32" s="153"/>
      <c r="H32" s="143"/>
      <c r="I32" s="154"/>
      <c r="J32" s="154"/>
      <c r="K32" s="154"/>
      <c r="L32" s="154"/>
      <c r="M32" s="154"/>
      <c r="N32" s="155"/>
      <c r="O32" s="143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5"/>
      <c r="AQ32" s="146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7"/>
    </row>
    <row r="33" spans="1:57" ht="15" customHeight="1" x14ac:dyDescent="0.2">
      <c r="A33" s="151"/>
      <c r="B33" s="152"/>
      <c r="C33" s="152"/>
      <c r="D33" s="152"/>
      <c r="E33" s="152"/>
      <c r="F33" s="152"/>
      <c r="G33" s="153"/>
      <c r="H33" s="143"/>
      <c r="I33" s="154"/>
      <c r="J33" s="154"/>
      <c r="K33" s="154"/>
      <c r="L33" s="154"/>
      <c r="M33" s="154"/>
      <c r="N33" s="155"/>
      <c r="O33" s="143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5"/>
      <c r="AQ33" s="146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7"/>
    </row>
    <row r="34" spans="1:57" ht="15" customHeight="1" x14ac:dyDescent="0.2">
      <c r="A34" s="151"/>
      <c r="B34" s="152"/>
      <c r="C34" s="152"/>
      <c r="D34" s="152"/>
      <c r="E34" s="152"/>
      <c r="F34" s="152"/>
      <c r="G34" s="153"/>
      <c r="H34" s="143"/>
      <c r="I34" s="154"/>
      <c r="J34" s="154"/>
      <c r="K34" s="154"/>
      <c r="L34" s="154"/>
      <c r="M34" s="154"/>
      <c r="N34" s="155"/>
      <c r="O34" s="143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5"/>
      <c r="AQ34" s="146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7"/>
    </row>
    <row r="35" spans="1:57" ht="15" customHeight="1" thickBot="1" x14ac:dyDescent="0.25">
      <c r="A35" s="169"/>
      <c r="B35" s="170"/>
      <c r="C35" s="170"/>
      <c r="D35" s="170"/>
      <c r="E35" s="170"/>
      <c r="F35" s="170"/>
      <c r="G35" s="171"/>
      <c r="H35" s="162"/>
      <c r="I35" s="163"/>
      <c r="J35" s="163"/>
      <c r="K35" s="163"/>
      <c r="L35" s="163"/>
      <c r="M35" s="163"/>
      <c r="N35" s="164"/>
      <c r="O35" s="162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6"/>
      <c r="AQ35" s="167"/>
      <c r="AR35" s="165"/>
      <c r="AS35" s="165"/>
      <c r="AT35" s="165"/>
      <c r="AU35" s="165"/>
      <c r="AV35" s="165"/>
      <c r="AW35" s="165"/>
      <c r="AX35" s="165"/>
      <c r="AY35" s="165"/>
      <c r="AZ35" s="165"/>
      <c r="BA35" s="165"/>
      <c r="BB35" s="165"/>
      <c r="BC35" s="165"/>
      <c r="BD35" s="165"/>
      <c r="BE35" s="168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ItmSite_UpdChk01</vt:lpstr>
      <vt:lpstr>ItmSite_Upd01</vt:lpstr>
      <vt:lpstr>ItmSite_DelChk01</vt:lpstr>
      <vt:lpstr>ItmSite_Del01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2026-03-27T05:45:05Z</dcterms:modified>
  <cp:category/>
</cp:coreProperties>
</file>