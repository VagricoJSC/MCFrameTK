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E\Logic\"/>
    </mc:Choice>
  </mc:AlternateContent>
  <xr:revisionPtr revIDLastSave="0" documentId="13_ncr:1_{2D5D2DE8-8EE5-4290-9871-2EB92CC2CADA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LogicCommon" sheetId="2" r:id="rId1"/>
    <sheet name="Srch01" sheetId="6" r:id="rId2"/>
    <sheet name="Upd01" sheetId="9" r:id="rId3"/>
    <sheet name="Chk01" sheetId="7" r:id="rId4"/>
    <sheet name="Del01" sheetId="10" r:id="rId5"/>
    <sheet name="来歴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0" l="1"/>
  <c r="H4" i="10"/>
  <c r="H3" i="10"/>
  <c r="F3" i="10"/>
  <c r="L2" i="10"/>
  <c r="H2" i="10"/>
  <c r="F2" i="10"/>
  <c r="L4" i="9"/>
  <c r="H4" i="9"/>
  <c r="H3" i="9"/>
  <c r="F3" i="9"/>
  <c r="L2" i="9"/>
  <c r="H2" i="9"/>
  <c r="F2" i="9"/>
  <c r="L4" i="7"/>
  <c r="H4" i="7"/>
  <c r="H3" i="7"/>
  <c r="F3" i="7"/>
  <c r="L2" i="7"/>
  <c r="H2" i="7"/>
  <c r="F2" i="7"/>
  <c r="L4" i="6" l="1"/>
  <c r="H4" i="6"/>
  <c r="H3" i="6"/>
  <c r="F3" i="6"/>
  <c r="L2" i="6"/>
  <c r="H2" i="6"/>
  <c r="F2" i="6"/>
</calcChain>
</file>

<file path=xl/sharedStrings.xml><?xml version="1.0" encoding="utf-8"?>
<sst xmlns="http://schemas.openxmlformats.org/spreadsheetml/2006/main" count="747" uniqueCount="294">
  <si>
    <t>詳細 :</t>
    <rPh sb="0" eb="2">
      <t>ショウサイ</t>
    </rPh>
    <phoneticPr fontId="2"/>
  </si>
  <si>
    <t>ロジック共通定義</t>
    <rPh sb="4" eb="6">
      <t>キョウツウ</t>
    </rPh>
    <rPh sb="6" eb="8">
      <t>テイギ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</si>
  <si>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</si>
  <si>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</si>
  <si>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</si>
  <si>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</si>
  <si>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</si>
  <si>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</si>
  <si>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概要 :</t>
    <phoneticPr fontId="2"/>
  </si>
  <si>
    <t>MC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</si>
  <si>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</si>
  <si>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</si>
  <si>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</si>
  <si>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</si>
  <si>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</si>
  <si>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</si>
  <si>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SuperClassPj.ID :</t>
    <phoneticPr fontId="2"/>
  </si>
  <si>
    <t>Pj.ID :</t>
    <phoneticPr fontId="2"/>
  </si>
  <si>
    <t>*</t>
  </si>
  <si>
    <t>#</t>
    <phoneticPr fontId="2"/>
  </si>
  <si>
    <t>U</t>
    <phoneticPr fontId="2"/>
  </si>
  <si>
    <t>o</t>
    <phoneticPr fontId="2"/>
  </si>
  <si>
    <t>TargetName</t>
    <phoneticPr fontId="2"/>
  </si>
  <si>
    <t>#</t>
    <phoneticPr fontId="2"/>
  </si>
  <si>
    <t>*</t>
    <phoneticPr fontId="2"/>
  </si>
  <si>
    <t>R</t>
    <phoneticPr fontId="2"/>
  </si>
  <si>
    <t>L</t>
    <phoneticPr fontId="2"/>
  </si>
  <si>
    <t>Srch01</t>
    <phoneticPr fontId="2"/>
  </si>
  <si>
    <t>ReportID :</t>
    <phoneticPr fontId="2"/>
  </si>
  <si>
    <t>Version :</t>
    <phoneticPr fontId="2"/>
  </si>
  <si>
    <t>biz_dat_rmrks1</t>
    <phoneticPr fontId="2"/>
  </si>
  <si>
    <t>biz_dat_rmrks2</t>
  </si>
  <si>
    <t>biz_dat_rmrks3</t>
  </si>
  <si>
    <t>Srch01_Cnd</t>
    <phoneticPr fontId="2"/>
  </si>
  <si>
    <t>Srch01_Rslt</t>
    <phoneticPr fontId="2"/>
  </si>
  <si>
    <t>upd_usr_nm</t>
  </si>
  <si>
    <t>#MA.FLG</t>
  </si>
  <si>
    <t>MB</t>
    <phoneticPr fontId="2"/>
  </si>
  <si>
    <t>MBBE</t>
    <phoneticPr fontId="2"/>
  </si>
  <si>
    <t>biz_dat_id</t>
    <phoneticPr fontId="2"/>
  </si>
  <si>
    <t>biz_dat_nm</t>
    <phoneticPr fontId="2"/>
  </si>
  <si>
    <t>E</t>
    <phoneticPr fontId="2"/>
  </si>
  <si>
    <t>-</t>
    <phoneticPr fontId="2"/>
  </si>
  <si>
    <t>ins_usr_id</t>
  </si>
  <si>
    <t>ins_usr_nm</t>
  </si>
  <si>
    <t>ins_ts</t>
  </si>
  <si>
    <t>ins_func_id</t>
  </si>
  <si>
    <t>ins_func_nm</t>
  </si>
  <si>
    <t>upd_usr_id</t>
  </si>
  <si>
    <t>upd_ts</t>
  </si>
  <si>
    <t>upd_func_id</t>
  </si>
  <si>
    <t>upd_func_nm</t>
  </si>
  <si>
    <t>upd_srv_req_no</t>
  </si>
  <si>
    <t>ID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</si>
  <si>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</si>
  <si>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</si>
  <si>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</si>
  <si>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</si>
  <si>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</si>
  <si>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</si>
  <si>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</si>
  <si>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</si>
  <si>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super/share</t>
    <phoneticPr fontId="2"/>
  </si>
  <si>
    <t>MBBEL0050</t>
    <phoneticPr fontId="2"/>
  </si>
  <si>
    <t>業務データダウンロード履歴一覧</t>
    <rPh sb="0" eb="2">
      <t>ギョウム</t>
    </rPh>
    <rPh sb="11" eb="13">
      <t>リレキ</t>
    </rPh>
    <rPh sb="13" eb="15">
      <t>イチラン</t>
    </rPh>
    <phoneticPr fontId="2"/>
  </si>
  <si>
    <t>検索</t>
    <rPh sb="0" eb="2">
      <t>ケンサク</t>
    </rPh>
    <phoneticPr fontId="2"/>
  </si>
  <si>
    <t>業務データダウンロード履歴を検索する</t>
    <rPh sb="0" eb="2">
      <t>ギョウム</t>
    </rPh>
    <rPh sb="11" eb="13">
      <t>リレキ</t>
    </rPh>
    <rPh sb="14" eb="16">
      <t>ケンサク</t>
    </rPh>
    <phoneticPr fontId="38"/>
  </si>
  <si>
    <t>proc_st_tm_fr</t>
    <phoneticPr fontId="2"/>
  </si>
  <si>
    <t>proc_st_tm_to</t>
    <phoneticPr fontId="2"/>
  </si>
  <si>
    <t>proc_end_tm_fr</t>
    <phoneticPr fontId="2"/>
  </si>
  <si>
    <t>proc_end_tm_to</t>
    <phoneticPr fontId="2"/>
  </si>
  <si>
    <t>biz_dat_nm</t>
  </si>
  <si>
    <t>dl_tm_fr</t>
    <phoneticPr fontId="2"/>
  </si>
  <si>
    <t>dl_tm_to</t>
    <phoneticPr fontId="2"/>
  </si>
  <si>
    <t>dl_file_nm</t>
    <phoneticPr fontId="2"/>
  </si>
  <si>
    <t>file_size_fr</t>
    <phoneticPr fontId="2"/>
  </si>
  <si>
    <t>file_size_to</t>
    <phoneticPr fontId="2"/>
  </si>
  <si>
    <t>usr_cd</t>
    <phoneticPr fontId="2"/>
  </si>
  <si>
    <t>usr_nm</t>
    <phoneticPr fontId="2"/>
  </si>
  <si>
    <t>biz_dat_dl_cond</t>
    <phoneticPr fontId="2"/>
  </si>
  <si>
    <t>err_flg</t>
  </si>
  <si>
    <t>#MA.FLG</t>
    <phoneticPr fontId="2"/>
  </si>
  <si>
    <t>#MA.TM</t>
    <phoneticPr fontId="2"/>
  </si>
  <si>
    <t>#MA.BIZ_DAT_ID</t>
    <phoneticPr fontId="2"/>
  </si>
  <si>
    <t>#MA.BIZ_DAT_NM</t>
    <phoneticPr fontId="2"/>
  </si>
  <si>
    <t>#MA.BIZ_DAT_RMRKS</t>
    <phoneticPr fontId="2"/>
  </si>
  <si>
    <t>#MA.FILE_NM</t>
    <phoneticPr fontId="2"/>
  </si>
  <si>
    <t>#MA.FILE_SIZE</t>
    <phoneticPr fontId="2"/>
  </si>
  <si>
    <t>#MA.USR_CD</t>
    <phoneticPr fontId="2"/>
  </si>
  <si>
    <t>#MA.USR_NM</t>
    <phoneticPr fontId="2"/>
  </si>
  <si>
    <t>biz_dat_dl_sts_typ</t>
    <phoneticPr fontId="2"/>
  </si>
  <si>
    <t>biz_dat_dl_sts_typ_nm</t>
    <phoneticPr fontId="2"/>
  </si>
  <si>
    <t>proc_st_tm</t>
    <phoneticPr fontId="2"/>
  </si>
  <si>
    <t>proc_end_tm</t>
    <phoneticPr fontId="2"/>
  </si>
  <si>
    <t>dl_tm</t>
    <phoneticPr fontId="2"/>
  </si>
  <si>
    <t>dl_file_path</t>
    <phoneticPr fontId="2"/>
  </si>
  <si>
    <t>dl_file_nm</t>
    <phoneticPr fontId="2"/>
  </si>
  <si>
    <t>data_cnt</t>
    <phoneticPr fontId="2"/>
  </si>
  <si>
    <t>file_size</t>
    <phoneticPr fontId="2"/>
  </si>
  <si>
    <t>usr_cd</t>
    <phoneticPr fontId="2"/>
  </si>
  <si>
    <t>usr_nm</t>
    <phoneticPr fontId="2"/>
  </si>
  <si>
    <t>biz_dat_dl_cond</t>
    <phoneticPr fontId="2"/>
  </si>
  <si>
    <t>biz_dat_dl_hst_no</t>
    <phoneticPr fontId="2"/>
  </si>
  <si>
    <t>#MA.BIZ_DAT_DL_STS_TYP</t>
    <phoneticPr fontId="2"/>
  </si>
  <si>
    <t>#MA.BIZ_DAT_DL_STS_TYP_NM</t>
    <phoneticPr fontId="2"/>
  </si>
  <si>
    <t>#MA.FILE_PATH</t>
    <phoneticPr fontId="2"/>
  </si>
  <si>
    <t>#MA.FILE_NM</t>
    <phoneticPr fontId="2"/>
  </si>
  <si>
    <t>#MA.INT</t>
    <phoneticPr fontId="2"/>
  </si>
  <si>
    <t>#MA.FILE_SIZE</t>
    <phoneticPr fontId="2"/>
  </si>
  <si>
    <t>#MA.USR_CD</t>
    <phoneticPr fontId="2"/>
  </si>
  <si>
    <t>#MA.USR_NM</t>
    <phoneticPr fontId="2"/>
  </si>
  <si>
    <t>#MA.BIZ_DAT_DL_HST_NO</t>
    <phoneticPr fontId="2"/>
  </si>
  <si>
    <t>#MA.BIN</t>
  </si>
  <si>
    <t>#MA.FCM_USR_ID</t>
    <phoneticPr fontId="2"/>
  </si>
  <si>
    <t>#MA.FCM_USR_NM</t>
    <phoneticPr fontId="2"/>
  </si>
  <si>
    <t>#MA.SYS_TS</t>
    <phoneticPr fontId="2"/>
  </si>
  <si>
    <t>#MA.FUNC_ID</t>
    <phoneticPr fontId="2"/>
  </si>
  <si>
    <t>#MA.FUNC_NM</t>
    <phoneticPr fontId="2"/>
  </si>
  <si>
    <t>#MA.SRV_REQ_NO</t>
    <phoneticPr fontId="2"/>
  </si>
  <si>
    <t>K</t>
    <phoneticPr fontId="2"/>
  </si>
  <si>
    <t>CONST</t>
    <phoneticPr fontId="2"/>
  </si>
  <si>
    <t>MAC_BIZ_DAT_DL_STS_TYP</t>
    <phoneticPr fontId="2"/>
  </si>
  <si>
    <t>Chk01</t>
    <phoneticPr fontId="2"/>
  </si>
  <si>
    <t>@</t>
    <phoneticPr fontId="2"/>
  </si>
  <si>
    <t>ダウンロード前チェック</t>
    <rPh sb="6" eb="7">
      <t>マエ</t>
    </rPh>
    <phoneticPr fontId="2"/>
  </si>
  <si>
    <t>Chk01_Dtl</t>
  </si>
  <si>
    <t>biz_dat_dl_hst_no</t>
  </si>
  <si>
    <t>L</t>
  </si>
  <si>
    <t>peg_no</t>
  </si>
  <si>
    <t>#MA.INT</t>
  </si>
  <si>
    <t>紐付けＮＯ</t>
    <phoneticPr fontId="2"/>
  </si>
  <si>
    <t>エラー</t>
    <phoneticPr fontId="2"/>
  </si>
  <si>
    <t>K</t>
  </si>
  <si>
    <t>REQUIRED</t>
  </si>
  <si>
    <t>E</t>
    <phoneticPr fontId="38"/>
  </si>
  <si>
    <t>削除前チェック処理をする</t>
    <rPh sb="0" eb="2">
      <t>サクジョ</t>
    </rPh>
    <rPh sb="2" eb="3">
      <t>マエ</t>
    </rPh>
    <rPh sb="7" eb="9">
      <t>ショリ</t>
    </rPh>
    <phoneticPr fontId="38"/>
  </si>
  <si>
    <t>Upd01</t>
    <phoneticPr fontId="2"/>
  </si>
  <si>
    <t>ダウンロード</t>
    <phoneticPr fontId="2"/>
  </si>
  <si>
    <t>Upd01_Dtl</t>
    <phoneticPr fontId="38"/>
  </si>
  <si>
    <t>$share$</t>
    <phoneticPr fontId="38"/>
  </si>
  <si>
    <t>MB.MBBEL0050.Chk01.Chk01_Dtl</t>
    <phoneticPr fontId="38"/>
  </si>
  <si>
    <t>Del01</t>
    <phoneticPr fontId="2"/>
  </si>
  <si>
    <t>削除</t>
    <rPh sb="0" eb="2">
      <t>サクジョ</t>
    </rPh>
    <phoneticPr fontId="2"/>
  </si>
  <si>
    <t>業務データダウンロード履歴を削除する</t>
    <rPh sb="11" eb="13">
      <t>リレキ</t>
    </rPh>
    <rPh sb="14" eb="16">
      <t>サクジョ</t>
    </rPh>
    <phoneticPr fontId="38"/>
  </si>
  <si>
    <t>rtn_sts_typ</t>
  </si>
  <si>
    <t>#MA.RTN_STS_TYP</t>
  </si>
  <si>
    <t>処理結果状況区分</t>
    <phoneticPr fontId="2"/>
  </si>
  <si>
    <t>#MA.BIZ_DAT_DL_COND</t>
    <phoneticPr fontId="2"/>
  </si>
  <si>
    <t>#MA.BIZ_DAT_DL_COND</t>
    <phoneticPr fontId="2"/>
  </si>
  <si>
    <t>Del01_Dtl</t>
    <phoneticPr fontId="38"/>
  </si>
  <si>
    <t>R</t>
    <phoneticPr fontId="38"/>
  </si>
  <si>
    <t>upd_cntr</t>
    <phoneticPr fontId="2"/>
  </si>
  <si>
    <t>#MA.UPD_CNT</t>
    <phoneticPr fontId="2"/>
  </si>
  <si>
    <t>upd_cntr</t>
    <phoneticPr fontId="38"/>
  </si>
  <si>
    <t>file_bin</t>
    <phoneticPr fontId="2"/>
  </si>
  <si>
    <t>MBBEL_BizDatDLHstSrch</t>
    <phoneticPr fontId="2"/>
  </si>
  <si>
    <t>running_flg</t>
    <phoneticPr fontId="2"/>
  </si>
  <si>
    <t>success_flg</t>
    <phoneticPr fontId="2"/>
  </si>
  <si>
    <t>download_flg</t>
    <phoneticPr fontId="2"/>
  </si>
  <si>
    <t>error_flg</t>
    <phoneticPr fontId="2"/>
  </si>
  <si>
    <t>業務データダウンロード履歴を更新する</t>
    <rPh sb="0" eb="2">
      <t>ギョウム</t>
    </rPh>
    <rPh sb="11" eb="13">
      <t>リレキ</t>
    </rPh>
    <rPh sb="14" eb="16">
      <t>コウシン</t>
    </rPh>
    <phoneticPr fontId="38"/>
  </si>
  <si>
    <t>MB.MBUDL5010</t>
    <phoneticPr fontId="2"/>
  </si>
  <si>
    <t>"mcframe.serverMAUD.MAUDL5010.MAUDL_Searcher"</t>
    <phoneticPr fontId="2"/>
  </si>
  <si>
    <t>"mcframe.serverMAUD.MAUDL5010.MAUDL_Operation"</t>
    <phoneticPr fontId="38"/>
  </si>
  <si>
    <t>MA.MAUDL5010.Checker</t>
    <phoneticPr fontId="38"/>
  </si>
  <si>
    <t>実行中</t>
    <phoneticPr fontId="2"/>
  </si>
  <si>
    <t>終了</t>
    <phoneticPr fontId="2"/>
  </si>
  <si>
    <t>ダウンロード済み</t>
    <phoneticPr fontId="2"/>
  </si>
  <si>
    <t>処理開始日時ＦＲＯＭ</t>
    <phoneticPr fontId="2"/>
  </si>
  <si>
    <t>処理開始日時ＴＯ</t>
    <phoneticPr fontId="2"/>
  </si>
  <si>
    <t>処理終了日時ＦＲＯＭ</t>
    <phoneticPr fontId="2"/>
  </si>
  <si>
    <t>処理終了日時ＴＯ</t>
    <phoneticPr fontId="2"/>
  </si>
  <si>
    <t>業務データＩＤ</t>
    <phoneticPr fontId="2"/>
  </si>
  <si>
    <t>業務データ名</t>
    <phoneticPr fontId="2"/>
  </si>
  <si>
    <t>備考１</t>
    <phoneticPr fontId="2"/>
  </si>
  <si>
    <t>備考２</t>
    <phoneticPr fontId="2"/>
  </si>
  <si>
    <t>備考３</t>
    <phoneticPr fontId="2"/>
  </si>
  <si>
    <t>ダウンロード日時ＦＲＯＭ</t>
    <phoneticPr fontId="2"/>
  </si>
  <si>
    <t>ダウンロード日時ＴＯ</t>
    <phoneticPr fontId="2"/>
  </si>
  <si>
    <t>ファイル名</t>
    <phoneticPr fontId="2"/>
  </si>
  <si>
    <t>ファイル容量ＦＲＯＭ</t>
    <phoneticPr fontId="2"/>
  </si>
  <si>
    <t>ファイル容量ＴＯ</t>
    <phoneticPr fontId="2"/>
  </si>
  <si>
    <t>担当者ＣＤ</t>
    <phoneticPr fontId="2"/>
  </si>
  <si>
    <t>担当者名</t>
    <phoneticPr fontId="2"/>
  </si>
  <si>
    <t>業務データダウンロード検索条件</t>
    <phoneticPr fontId="2"/>
  </si>
  <si>
    <t>業務データダウンロード実行履歴ＮＯ</t>
    <phoneticPr fontId="2"/>
  </si>
  <si>
    <t>業務データダウンロード実行状況区分</t>
    <phoneticPr fontId="2"/>
  </si>
  <si>
    <t>業務データダウンロード実行状況区分名</t>
    <phoneticPr fontId="2"/>
  </si>
  <si>
    <t>処理開始日時</t>
    <phoneticPr fontId="2"/>
  </si>
  <si>
    <t>処理終了日時</t>
    <phoneticPr fontId="2"/>
  </si>
  <si>
    <t>ファイル</t>
    <phoneticPr fontId="2"/>
  </si>
  <si>
    <t>ファイル容量［KB］</t>
    <phoneticPr fontId="2"/>
  </si>
  <si>
    <t>データ件数</t>
    <phoneticPr fontId="2"/>
  </si>
  <si>
    <t>ダウンロード日時</t>
    <phoneticPr fontId="2"/>
  </si>
  <si>
    <t>出力先</t>
    <phoneticPr fontId="2"/>
  </si>
  <si>
    <t>登録ユーザＩＤ</t>
    <phoneticPr fontId="2"/>
  </si>
  <si>
    <t>登録ユーザ名</t>
    <phoneticPr fontId="2"/>
  </si>
  <si>
    <t>登録日時</t>
    <phoneticPr fontId="2"/>
  </si>
  <si>
    <t>登録機能ＩＤ</t>
    <phoneticPr fontId="2"/>
  </si>
  <si>
    <t>登録機能名</t>
    <phoneticPr fontId="2"/>
  </si>
  <si>
    <t>更新ユーザＩＤ</t>
    <phoneticPr fontId="2"/>
  </si>
  <si>
    <t>更新ユーザ名</t>
    <phoneticPr fontId="2"/>
  </si>
  <si>
    <t>更新日時</t>
    <phoneticPr fontId="2"/>
  </si>
  <si>
    <t>更新機能ＩＤ</t>
    <phoneticPr fontId="2"/>
  </si>
  <si>
    <t>更新機能名</t>
    <phoneticPr fontId="2"/>
  </si>
  <si>
    <t>更新リクエストＮＯ</t>
    <phoneticPr fontId="2"/>
  </si>
  <si>
    <t>更新カウンタ</t>
    <phoneticPr fontId="2"/>
  </si>
  <si>
    <t>更新カウンタ</t>
    <phoneticPr fontId="38"/>
  </si>
  <si>
    <t>screen_flg</t>
    <phoneticPr fontId="2"/>
  </si>
  <si>
    <t>report_flg</t>
    <phoneticPr fontId="2"/>
  </si>
  <si>
    <t>CSV</t>
    <phoneticPr fontId="2"/>
  </si>
  <si>
    <t>画面表示</t>
    <phoneticPr fontId="2"/>
  </si>
  <si>
    <t>帳票出力</t>
    <phoneticPr fontId="2"/>
  </si>
  <si>
    <t>biz_dat_file_typ</t>
    <phoneticPr fontId="2"/>
  </si>
  <si>
    <t>biz_dat_file_typ_nm</t>
    <phoneticPr fontId="2"/>
  </si>
  <si>
    <t>#MA.BIZ_DAT_FILE_TYP</t>
    <phoneticPr fontId="2"/>
  </si>
  <si>
    <t>#MA.BIZ_DAT_FILE_TYP_NM</t>
    <phoneticPr fontId="2"/>
  </si>
  <si>
    <t>MAC_BIZ_DAT_FILE_TYP</t>
    <phoneticPr fontId="2"/>
  </si>
  <si>
    <t>ファイル種類区分</t>
    <rPh sb="4" eb="6">
      <t>シュルイ</t>
    </rPh>
    <rPh sb="6" eb="8">
      <t>クブン</t>
    </rPh>
    <phoneticPr fontId="2"/>
  </si>
  <si>
    <t>ファイル種類区分名</t>
    <rPh sb="4" eb="6">
      <t>シュルイ</t>
    </rPh>
    <rPh sb="6" eb="8">
      <t>クブン</t>
    </rPh>
    <rPh sb="8" eb="9">
      <t>メイ</t>
    </rPh>
    <phoneticPr fontId="2"/>
  </si>
  <si>
    <t>excel_flg</t>
    <phoneticPr fontId="2"/>
  </si>
  <si>
    <t>csv_flg</t>
    <phoneticPr fontId="2"/>
  </si>
  <si>
    <t>・「Srch01_Cnd」ブロックの以下の項目を追加
excel_flg、csv_flg、report_flg、screen_flg
・「Srch01_Rslt」ブロックの以下の項目を追加
biz_dat_file_typ、biz_dat_file_typ_nm</t>
    <phoneticPr fontId="2"/>
  </si>
  <si>
    <t>MB7032#016</t>
    <phoneticPr fontId="2"/>
  </si>
  <si>
    <t>Excel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</si>
  <si>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</si>
  <si>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</si>
  <si>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</si>
  <si>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</si>
  <si>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</si>
  <si>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</si>
  <si>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</si>
  <si>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</si>
  <si>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</si>
  <si>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</si>
  <si>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</si>
  <si>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</si>
  <si>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</si>
  <si>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</si>
  <si>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Executing</t>
  </si>
  <si>
    <t>End</t>
  </si>
  <si>
    <t>Downloaded</t>
  </si>
  <si>
    <t>Error</t>
  </si>
  <si>
    <t>Excel</t>
  </si>
  <si>
    <t>CSV</t>
  </si>
  <si>
    <t>Output report</t>
  </si>
  <si>
    <t>Display screen</t>
  </si>
  <si>
    <t>Process start date and time FROM</t>
  </si>
  <si>
    <t>Process start date and time TO</t>
  </si>
  <si>
    <t>Process end date FROM</t>
  </si>
  <si>
    <t>Process end date TO</t>
  </si>
  <si>
    <t>Business data ID</t>
  </si>
  <si>
    <t>Business data name</t>
  </si>
  <si>
    <t>Remarks 1</t>
  </si>
  <si>
    <t>Remarks 2</t>
  </si>
  <si>
    <t>Remarks 3</t>
  </si>
  <si>
    <t>Download date and time FROM</t>
  </si>
  <si>
    <t>Download date and time TO</t>
  </si>
  <si>
    <t>File name</t>
  </si>
  <si>
    <t>File capacity FROM</t>
  </si>
  <si>
    <t>File capacity TO</t>
  </si>
  <si>
    <t>PIC cd.</t>
  </si>
  <si>
    <t>PIC name</t>
  </si>
  <si>
    <t>Business data download search criteria</t>
  </si>
  <si>
    <t>Business data download execution history No.</t>
  </si>
  <si>
    <t>File classification type</t>
  </si>
  <si>
    <t>File classification type name</t>
  </si>
  <si>
    <t>Business data download execution status type</t>
  </si>
  <si>
    <t>Business data download execution status type name</t>
  </si>
  <si>
    <t>Process start date and time</t>
  </si>
  <si>
    <t>Process end date</t>
  </si>
  <si>
    <t>File</t>
  </si>
  <si>
    <t>File capacity [KB]</t>
  </si>
  <si>
    <t>Number of data items</t>
  </si>
  <si>
    <t>Download date and time</t>
  </si>
  <si>
    <t>Output destination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</si>
  <si>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</si>
  <si>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</si>
  <si>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</si>
  <si>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</si>
  <si>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</si>
  <si>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</si>
  <si>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</si>
  <si>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</si>
  <si>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</si>
  <si>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</si>
  <si>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</si>
  <si>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Update counter</t>
  </si>
  <si>
    <t>項目名
Field Name</t>
    <phoneticPr fontId="2"/>
  </si>
  <si>
    <t>型
Type</t>
    <phoneticPr fontId="2"/>
  </si>
  <si>
    <t>Pegging No.</t>
  </si>
  <si>
    <t>Process result status type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</si>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</sst>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_ "/>
    <numFmt numFmtId="177" formatCode="#,##0;\-#,##0;&quot;-&quot;"/>
    <numFmt numFmtId="178" formatCode="0.00_)"/>
    <numFmt numFmtId="179" formatCode="#,##0_);[Red]\(#,##0\)"/>
    <numFmt numFmtId="180" formatCode="&quot;$&quot;#,##0_);[Red]\(&quot;$&quot;#,##0\)"/>
  </numFmts>
  <fonts count="50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u/>
      <sz val="11"/>
      <color indexed="12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36">
    <xf numFmtId="0" fontId="0" fillId="0" borderId="0">
      <alignment vertical="top" wrapText="1"/>
    </xf>
    <xf numFmtId="0" fontId="4" fillId="0" borderId="0"/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177" fontId="7" fillId="0" borderId="0" applyFill="0" applyBorder="0" applyAlignment="0"/>
    <xf numFmtId="179" fontId="42" fillId="0" borderId="0" applyFont="0" applyFill="0" applyBorder="0" applyAlignment="0" applyProtection="0"/>
    <xf numFmtId="180" fontId="42" fillId="0" borderId="0" applyFont="0" applyFill="0" applyBorder="0" applyAlignment="0" applyProtection="0"/>
    <xf numFmtId="38" fontId="43" fillId="19" borderId="0" applyNumberFormat="0" applyBorder="0" applyAlignment="0" applyProtection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0" fontId="43" fillId="20" borderId="3" applyNumberFormat="0" applyBorder="0" applyAlignment="0" applyProtection="0"/>
    <xf numFmtId="178" fontId="44" fillId="0" borderId="0"/>
    <xf numFmtId="0" fontId="9" fillId="0" borderId="0"/>
    <xf numFmtId="10" fontId="9" fillId="0" borderId="0" applyFont="0" applyFill="0" applyBorder="0" applyAlignment="0" applyProtection="0"/>
    <xf numFmtId="0" fontId="10" fillId="0" borderId="0" applyNumberFormat="0" applyFont="0" applyFill="0" applyBorder="0" applyAlignment="0" applyProtection="0">
      <alignment horizontal="left"/>
    </xf>
    <xf numFmtId="0" fontId="11" fillId="0" borderId="4">
      <alignment horizontal="center"/>
    </xf>
    <xf numFmtId="0" fontId="12" fillId="0" borderId="0">
      <alignment wrapText="1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top"/>
      <protection locked="0"/>
    </xf>
    <xf numFmtId="0" fontId="3" fillId="7" borderId="6" applyNumberFormat="0" applyFont="0" applyAlignment="0" applyProtection="0">
      <alignment vertical="center"/>
    </xf>
    <xf numFmtId="0" fontId="18" fillId="7" borderId="6" applyNumberFormat="0" applyFont="0" applyAlignment="0" applyProtection="0">
      <alignment vertical="center"/>
    </xf>
    <xf numFmtId="0" fontId="18" fillId="7" borderId="6" applyNumberFormat="0" applyFont="0" applyAlignment="0" applyProtection="0">
      <alignment vertical="center"/>
    </xf>
    <xf numFmtId="0" fontId="18" fillId="7" borderId="6" applyNumberFormat="0" applyFont="0" applyAlignment="0" applyProtection="0">
      <alignment vertical="center"/>
    </xf>
    <xf numFmtId="0" fontId="3" fillId="7" borderId="6" applyNumberFormat="0" applyFon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35" fillId="0" borderId="0"/>
    <xf numFmtId="0" fontId="39" fillId="0" borderId="0"/>
    <xf numFmtId="0" fontId="39" fillId="0" borderId="0"/>
    <xf numFmtId="0" fontId="21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2" fillId="27" borderId="9" applyNumberFormat="0" applyAlignment="0" applyProtection="0">
      <alignment vertical="center"/>
    </xf>
    <xf numFmtId="0" fontId="23" fillId="28" borderId="9" applyNumberFormat="0" applyAlignment="0" applyProtection="0">
      <alignment vertical="center"/>
    </xf>
    <xf numFmtId="0" fontId="23" fillId="28" borderId="9" applyNumberFormat="0" applyAlignment="0" applyProtection="0">
      <alignment vertical="center"/>
    </xf>
    <xf numFmtId="0" fontId="23" fillId="28" borderId="9" applyNumberFormat="0" applyAlignment="0" applyProtection="0">
      <alignment vertical="center"/>
    </xf>
    <xf numFmtId="0" fontId="22" fillId="27" borderId="9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" fillId="0" borderId="0"/>
    <xf numFmtId="0" fontId="3" fillId="0" borderId="0" applyNumberFormat="0"/>
    <xf numFmtId="0" fontId="41" fillId="0" borderId="0" applyBorder="0" applyAlignment="0"/>
    <xf numFmtId="0" fontId="30" fillId="0" borderId="16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27" borderId="18" applyNumberFormat="0" applyAlignment="0" applyProtection="0">
      <alignment vertical="center"/>
    </xf>
    <xf numFmtId="0" fontId="31" fillId="28" borderId="18" applyNumberFormat="0" applyAlignment="0" applyProtection="0">
      <alignment vertical="center"/>
    </xf>
    <xf numFmtId="0" fontId="31" fillId="28" borderId="18" applyNumberFormat="0" applyAlignment="0" applyProtection="0">
      <alignment vertical="center"/>
    </xf>
    <xf numFmtId="0" fontId="31" fillId="28" borderId="18" applyNumberFormat="0" applyAlignment="0" applyProtection="0">
      <alignment vertical="center"/>
    </xf>
    <xf numFmtId="0" fontId="31" fillId="27" borderId="18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9" applyNumberFormat="0" applyAlignment="0" applyProtection="0">
      <alignment vertical="center"/>
    </xf>
    <xf numFmtId="0" fontId="33" fillId="12" borderId="9" applyNumberFormat="0" applyAlignment="0" applyProtection="0">
      <alignment vertical="center"/>
    </xf>
    <xf numFmtId="0" fontId="33" fillId="12" borderId="9" applyNumberFormat="0" applyAlignment="0" applyProtection="0">
      <alignment vertical="center"/>
    </xf>
    <xf numFmtId="0" fontId="33" fillId="12" borderId="9" applyNumberFormat="0" applyAlignment="0" applyProtection="0">
      <alignment vertical="center"/>
    </xf>
    <xf numFmtId="0" fontId="33" fillId="9" borderId="9" applyNumberFormat="0" applyAlignment="0" applyProtection="0">
      <alignment vertical="center"/>
    </xf>
    <xf numFmtId="0" fontId="5" fillId="0" borderId="0">
      <alignment vertical="center"/>
    </xf>
    <xf numFmtId="0" fontId="18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3" fillId="0" borderId="0">
      <alignment vertical="top"/>
    </xf>
    <xf numFmtId="0" fontId="1" fillId="0" borderId="0"/>
    <xf numFmtId="0" fontId="35" fillId="0" borderId="0"/>
    <xf numFmtId="0" fontId="18" fillId="0" borderId="0"/>
    <xf numFmtId="0" fontId="3" fillId="0" borderId="0" applyNumberFormat="0"/>
    <xf numFmtId="0" fontId="41" fillId="0" borderId="0">
      <alignment vertical="center"/>
    </xf>
    <xf numFmtId="0" fontId="3" fillId="0" borderId="0" applyNumberFormat="0"/>
    <xf numFmtId="0" fontId="36" fillId="0" borderId="0"/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</cellStyleXfs>
  <cellXfs count="163">
    <xf numFmtId="0" fontId="0" fillId="0" borderId="0" xfId="0">
      <alignment vertical="top" wrapText="1"/>
    </xf>
    <xf numFmtId="0" fontId="45" fillId="0" borderId="19" xfId="0" applyFont="1" applyBorder="1" applyAlignment="1">
      <alignment vertical="center"/>
    </xf>
    <xf numFmtId="0" fontId="45" fillId="0" borderId="19" xfId="0" applyFont="1" applyBorder="1" applyAlignment="1">
      <alignment horizontal="left" vertical="top"/>
    </xf>
    <xf numFmtId="0" fontId="45" fillId="0" borderId="19" xfId="0" applyFont="1" applyBorder="1" applyAlignment="1">
      <alignment vertical="top"/>
    </xf>
    <xf numFmtId="0" fontId="45" fillId="0" borderId="0" xfId="0" applyFont="1" applyAlignment="1">
      <alignment vertical="top"/>
    </xf>
    <xf numFmtId="0" fontId="45" fillId="0" borderId="0" xfId="0" applyFont="1" applyAlignment="1">
      <alignment vertical="center"/>
    </xf>
    <xf numFmtId="0" fontId="45" fillId="0" borderId="20" xfId="0" applyFont="1" applyBorder="1" applyAlignment="1">
      <alignment vertical="top"/>
    </xf>
    <xf numFmtId="0" fontId="45" fillId="0" borderId="3" xfId="0" applyFont="1" applyBorder="1" applyAlignment="1">
      <alignment vertical="top"/>
    </xf>
    <xf numFmtId="0" fontId="45" fillId="29" borderId="3" xfId="0" applyFont="1" applyFill="1" applyBorder="1" applyAlignment="1">
      <alignment horizontal="left" vertical="top"/>
    </xf>
    <xf numFmtId="0" fontId="45" fillId="29" borderId="3" xfId="0" applyFont="1" applyFill="1" applyBorder="1" applyAlignment="1">
      <alignment vertical="top"/>
    </xf>
    <xf numFmtId="0" fontId="45" fillId="29" borderId="3" xfId="0" quotePrefix="1" applyFont="1" applyFill="1" applyBorder="1" applyAlignment="1">
      <alignment vertical="top"/>
    </xf>
    <xf numFmtId="0" fontId="45" fillId="0" borderId="0" xfId="0" applyFont="1">
      <alignment vertical="top" wrapText="1"/>
    </xf>
    <xf numFmtId="0" fontId="45" fillId="30" borderId="3" xfId="0" applyFont="1" applyFill="1" applyBorder="1" applyAlignment="1">
      <alignment vertical="top"/>
    </xf>
    <xf numFmtId="0" fontId="45" fillId="0" borderId="0" xfId="0" applyFont="1" applyAlignment="1"/>
    <xf numFmtId="0" fontId="45" fillId="0" borderId="28" xfId="0" applyFont="1" applyBorder="1" applyAlignment="1">
      <alignment vertical="top"/>
    </xf>
    <xf numFmtId="0" fontId="45" fillId="30" borderId="2" xfId="0" quotePrefix="1" applyFont="1" applyFill="1" applyBorder="1" applyAlignment="1">
      <alignment vertical="top"/>
    </xf>
    <xf numFmtId="0" fontId="45" fillId="30" borderId="2" xfId="0" applyFont="1" applyFill="1" applyBorder="1" applyAlignment="1">
      <alignment horizontal="left" vertical="top"/>
    </xf>
    <xf numFmtId="0" fontId="45" fillId="30" borderId="2" xfId="0" applyFont="1" applyFill="1" applyBorder="1" applyAlignment="1">
      <alignment vertical="top"/>
    </xf>
    <xf numFmtId="0" fontId="45" fillId="30" borderId="27" xfId="0" applyFont="1" applyFill="1" applyBorder="1" applyAlignment="1">
      <alignment vertical="top"/>
    </xf>
    <xf numFmtId="0" fontId="45" fillId="0" borderId="19" xfId="0" applyFont="1" applyBorder="1">
      <alignment vertical="top" wrapText="1"/>
    </xf>
    <xf numFmtId="0" fontId="45" fillId="0" borderId="22" xfId="0" applyFont="1" applyBorder="1">
      <alignment vertical="top" wrapText="1"/>
    </xf>
    <xf numFmtId="0" fontId="45" fillId="0" borderId="20" xfId="0" applyFont="1" applyBorder="1" applyAlignment="1">
      <alignment vertical="center"/>
    </xf>
    <xf numFmtId="0" fontId="45" fillId="0" borderId="20" xfId="0" applyFont="1" applyBorder="1" applyAlignment="1">
      <alignment horizontal="left" vertical="top"/>
    </xf>
    <xf numFmtId="0" fontId="45" fillId="0" borderId="21" xfId="0" applyFont="1" applyBorder="1" applyAlignment="1">
      <alignment vertical="top"/>
    </xf>
    <xf numFmtId="0" fontId="45" fillId="0" borderId="0" xfId="0" applyFont="1" applyAlignment="1">
      <alignment vertical="center" wrapText="1"/>
    </xf>
    <xf numFmtId="0" fontId="45" fillId="0" borderId="0" xfId="0" applyFont="1" applyAlignment="1">
      <alignment horizontal="left" vertical="top"/>
    </xf>
    <xf numFmtId="0" fontId="45" fillId="0" borderId="22" xfId="0" applyFont="1" applyBorder="1" applyAlignment="1">
      <alignment vertical="top"/>
    </xf>
    <xf numFmtId="0" fontId="45" fillId="0" borderId="0" xfId="0" applyFont="1" applyAlignment="1" applyProtection="1">
      <alignment vertical="top"/>
      <protection locked="0"/>
    </xf>
    <xf numFmtId="0" fontId="45" fillId="0" borderId="0" xfId="0" applyFont="1" applyAlignment="1" applyProtection="1">
      <alignment vertical="center"/>
      <protection locked="0"/>
    </xf>
    <xf numFmtId="0" fontId="45" fillId="29" borderId="3" xfId="0" applyFont="1" applyFill="1" applyBorder="1" applyAlignment="1">
      <alignment vertical="center"/>
    </xf>
    <xf numFmtId="0" fontId="45" fillId="29" borderId="20" xfId="0" applyFont="1" applyFill="1" applyBorder="1" applyAlignment="1" applyProtection="1">
      <alignment vertical="top"/>
      <protection locked="0"/>
    </xf>
    <xf numFmtId="0" fontId="45" fillId="0" borderId="20" xfId="0" applyFont="1" applyBorder="1" applyAlignment="1" applyProtection="1">
      <alignment vertical="top"/>
      <protection locked="0"/>
    </xf>
    <xf numFmtId="0" fontId="45" fillId="0" borderId="20" xfId="0" applyFont="1" applyBorder="1" applyAlignment="1" applyProtection="1">
      <alignment horizontal="left" vertical="top"/>
      <protection locked="0"/>
    </xf>
    <xf numFmtId="0" fontId="45" fillId="0" borderId="3" xfId="0" applyFont="1" applyBorder="1" applyAlignment="1" applyProtection="1">
      <alignment vertical="top"/>
      <protection locked="0"/>
    </xf>
    <xf numFmtId="0" fontId="45" fillId="29" borderId="3" xfId="0" applyFont="1" applyFill="1" applyBorder="1" applyAlignment="1" applyProtection="1">
      <alignment vertical="top"/>
      <protection locked="0"/>
    </xf>
    <xf numFmtId="0" fontId="45" fillId="29" borderId="3" xfId="0" applyFont="1" applyFill="1" applyBorder="1" applyAlignment="1">
      <alignment wrapText="1"/>
    </xf>
    <xf numFmtId="0" fontId="45" fillId="0" borderId="27" xfId="0" applyFont="1" applyBorder="1" applyAlignment="1" applyProtection="1">
      <protection locked="0"/>
    </xf>
    <xf numFmtId="0" fontId="45" fillId="29" borderId="26" xfId="0" applyFont="1" applyFill="1" applyBorder="1" applyAlignment="1">
      <alignment vertical="top"/>
    </xf>
    <xf numFmtId="0" fontId="45" fillId="29" borderId="27" xfId="0" applyFont="1" applyFill="1" applyBorder="1" applyAlignment="1">
      <alignment vertical="top"/>
    </xf>
    <xf numFmtId="0" fontId="45" fillId="29" borderId="26" xfId="0" applyFont="1" applyFill="1" applyBorder="1" applyAlignment="1" applyProtection="1">
      <alignment vertical="top"/>
      <protection locked="0"/>
    </xf>
    <xf numFmtId="0" fontId="45" fillId="29" borderId="2" xfId="0" applyFont="1" applyFill="1" applyBorder="1" applyAlignment="1" applyProtection="1">
      <alignment vertical="top"/>
      <protection locked="0"/>
    </xf>
    <xf numFmtId="0" fontId="45" fillId="0" borderId="2" xfId="0" applyFont="1" applyBorder="1" applyAlignment="1" applyProtection="1">
      <alignment vertical="top"/>
      <protection locked="0"/>
    </xf>
    <xf numFmtId="0" fontId="45" fillId="0" borderId="20" xfId="0" applyFont="1" applyBorder="1" applyAlignment="1" applyProtection="1">
      <protection locked="0"/>
    </xf>
    <xf numFmtId="0" fontId="45" fillId="0" borderId="20" xfId="0" applyFont="1" applyBorder="1" applyAlignment="1" applyProtection="1">
      <alignment horizontal="left"/>
      <protection locked="0"/>
    </xf>
    <xf numFmtId="0" fontId="45" fillId="0" borderId="2" xfId="0" applyFont="1" applyBorder="1" applyAlignment="1" applyProtection="1">
      <protection locked="0"/>
    </xf>
    <xf numFmtId="0" fontId="45" fillId="29" borderId="3" xfId="0" applyFont="1" applyFill="1" applyBorder="1" applyAlignment="1"/>
    <xf numFmtId="0" fontId="45" fillId="0" borderId="27" xfId="0" applyFont="1" applyBorder="1" applyAlignment="1"/>
    <xf numFmtId="0" fontId="45" fillId="29" borderId="27" xfId="0" applyFont="1" applyFill="1" applyBorder="1" applyAlignment="1"/>
    <xf numFmtId="0" fontId="45" fillId="0" borderId="26" xfId="0" applyFont="1" applyBorder="1" applyAlignment="1"/>
    <xf numFmtId="0" fontId="45" fillId="0" borderId="2" xfId="0" applyFont="1" applyBorder="1" applyAlignment="1"/>
    <xf numFmtId="0" fontId="45" fillId="0" borderId="26" xfId="0" applyFont="1" applyBorder="1" applyAlignment="1" applyProtection="1">
      <alignment vertical="top"/>
      <protection locked="0"/>
    </xf>
    <xf numFmtId="0" fontId="45" fillId="0" borderId="27" xfId="0" applyFont="1" applyBorder="1" applyAlignment="1" applyProtection="1">
      <alignment vertical="top"/>
      <protection locked="0"/>
    </xf>
    <xf numFmtId="0" fontId="45" fillId="30" borderId="27" xfId="0" applyFont="1" applyFill="1" applyBorder="1" applyAlignment="1" applyProtection="1">
      <protection locked="0"/>
    </xf>
    <xf numFmtId="0" fontId="45" fillId="29" borderId="3" xfId="0" applyFont="1" applyFill="1" applyBorder="1">
      <alignment vertical="top" wrapText="1"/>
    </xf>
    <xf numFmtId="0" fontId="45" fillId="30" borderId="3" xfId="0" applyFont="1" applyFill="1" applyBorder="1">
      <alignment vertical="top" wrapText="1"/>
    </xf>
    <xf numFmtId="0" fontId="45" fillId="0" borderId="28" xfId="0" applyFont="1" applyBorder="1">
      <alignment vertical="top" wrapText="1"/>
    </xf>
    <xf numFmtId="0" fontId="45" fillId="0" borderId="22" xfId="0" applyFont="1" applyBorder="1" applyAlignment="1"/>
    <xf numFmtId="0" fontId="45" fillId="0" borderId="25" xfId="0" applyFont="1" applyBorder="1" applyAlignment="1"/>
    <xf numFmtId="0" fontId="45" fillId="0" borderId="19" xfId="0" applyFont="1" applyBorder="1" applyAlignment="1"/>
    <xf numFmtId="0" fontId="45" fillId="29" borderId="23" xfId="0" applyFont="1" applyFill="1" applyBorder="1" applyAlignment="1" applyProtection="1">
      <alignment vertical="top"/>
      <protection locked="0"/>
    </xf>
    <xf numFmtId="0" fontId="45" fillId="0" borderId="20" xfId="0" applyFont="1" applyBorder="1" applyAlignment="1" applyProtection="1">
      <alignment vertical="center"/>
      <protection locked="0"/>
    </xf>
    <xf numFmtId="0" fontId="45" fillId="0" borderId="21" xfId="0" applyFont="1" applyBorder="1" applyAlignment="1" applyProtection="1">
      <alignment vertical="top"/>
      <protection locked="0"/>
    </xf>
    <xf numFmtId="0" fontId="45" fillId="0" borderId="0" xfId="0" applyFont="1" applyAlignment="1" applyProtection="1">
      <alignment horizontal="left" vertical="top"/>
      <protection locked="0"/>
    </xf>
    <xf numFmtId="0" fontId="48" fillId="0" borderId="0" xfId="225" applyFont="1"/>
    <xf numFmtId="0" fontId="48" fillId="0" borderId="0" xfId="225" applyFont="1" applyAlignment="1">
      <alignment horizontal="center" vertical="center"/>
    </xf>
    <xf numFmtId="0" fontId="48" fillId="0" borderId="0" xfId="225" applyFont="1" applyAlignment="1">
      <alignment horizontal="center"/>
    </xf>
    <xf numFmtId="0" fontId="48" fillId="0" borderId="0" xfId="226" applyFont="1"/>
    <xf numFmtId="0" fontId="48" fillId="0" borderId="0" xfId="226" applyFont="1" applyAlignment="1">
      <alignment horizontal="center"/>
    </xf>
    <xf numFmtId="0" fontId="45" fillId="0" borderId="0" xfId="0" applyFont="1" applyAlignment="1">
      <alignment wrapText="1"/>
    </xf>
    <xf numFmtId="0" fontId="45" fillId="0" borderId="2" xfId="0" applyFont="1" applyBorder="1" applyAlignment="1">
      <alignment wrapText="1"/>
    </xf>
    <xf numFmtId="0" fontId="45" fillId="30" borderId="26" xfId="0" applyFont="1" applyFill="1" applyBorder="1" applyAlignment="1" applyProtection="1">
      <protection locked="0"/>
    </xf>
    <xf numFmtId="0" fontId="45" fillId="30" borderId="27" xfId="0" applyFont="1" applyFill="1" applyBorder="1" applyAlignment="1"/>
    <xf numFmtId="0" fontId="45" fillId="29" borderId="19" xfId="0" applyFont="1" applyFill="1" applyBorder="1" applyAlignment="1">
      <alignment vertical="top"/>
    </xf>
    <xf numFmtId="0" fontId="45" fillId="29" borderId="23" xfId="0" applyFont="1" applyFill="1" applyBorder="1" applyAlignment="1">
      <alignment vertical="top"/>
    </xf>
    <xf numFmtId="0" fontId="45" fillId="29" borderId="20" xfId="0" applyFont="1" applyFill="1" applyBorder="1" applyAlignment="1">
      <alignment vertical="top"/>
    </xf>
    <xf numFmtId="0" fontId="45" fillId="31" borderId="3" xfId="0" applyFont="1" applyFill="1" applyBorder="1" applyAlignment="1">
      <alignment vertical="top"/>
    </xf>
    <xf numFmtId="0" fontId="45" fillId="29" borderId="24" xfId="0" applyFont="1" applyFill="1" applyBorder="1" applyAlignment="1">
      <alignment vertical="top"/>
    </xf>
    <xf numFmtId="0" fontId="45" fillId="29" borderId="0" xfId="0" applyFont="1" applyFill="1" applyAlignment="1">
      <alignment vertical="top"/>
    </xf>
    <xf numFmtId="0" fontId="45" fillId="31" borderId="0" xfId="0" applyFont="1" applyFill="1">
      <alignment vertical="top" wrapText="1"/>
    </xf>
    <xf numFmtId="0" fontId="45" fillId="0" borderId="26" xfId="0" applyFont="1" applyBorder="1" applyAlignment="1">
      <alignment vertical="top"/>
    </xf>
    <xf numFmtId="0" fontId="45" fillId="0" borderId="3" xfId="0" applyFont="1" applyBorder="1" applyAlignment="1">
      <alignment vertical="center"/>
    </xf>
    <xf numFmtId="0" fontId="45" fillId="29" borderId="25" xfId="0" applyFont="1" applyFill="1" applyBorder="1" applyAlignment="1">
      <alignment vertical="top"/>
    </xf>
    <xf numFmtId="0" fontId="45" fillId="0" borderId="2" xfId="0" applyFont="1" applyBorder="1" applyAlignment="1">
      <alignment vertical="top"/>
    </xf>
    <xf numFmtId="0" fontId="45" fillId="0" borderId="25" xfId="0" applyFont="1" applyBorder="1" applyAlignment="1">
      <alignment vertical="top"/>
    </xf>
    <xf numFmtId="0" fontId="49" fillId="32" borderId="3" xfId="0" applyFont="1" applyFill="1" applyBorder="1">
      <alignment vertical="top" wrapText="1"/>
    </xf>
    <xf numFmtId="0" fontId="49" fillId="32" borderId="3" xfId="0" applyFont="1" applyFill="1" applyBorder="1" applyAlignment="1">
      <alignment vertical="top"/>
    </xf>
    <xf numFmtId="0" fontId="49" fillId="32" borderId="26" xfId="0" applyFont="1" applyFill="1" applyBorder="1" applyAlignment="1" applyProtection="1">
      <alignment vertical="top"/>
      <protection locked="0"/>
    </xf>
    <xf numFmtId="0" fontId="49" fillId="32" borderId="27" xfId="0" applyFont="1" applyFill="1" applyBorder="1" applyAlignment="1" applyProtection="1">
      <alignment vertical="top"/>
      <protection locked="0"/>
    </xf>
    <xf numFmtId="0" fontId="45" fillId="0" borderId="20" xfId="0" applyFont="1" applyBorder="1">
      <alignment vertical="top" wrapText="1"/>
    </xf>
    <xf numFmtId="0" fontId="45" fillId="0" borderId="3" xfId="0" applyFont="1" applyBorder="1">
      <alignment vertical="top" wrapText="1"/>
    </xf>
    <xf numFmtId="0" fontId="45" fillId="0" borderId="3" xfId="0" applyFont="1" applyBorder="1" applyProtection="1">
      <alignment vertical="top" wrapText="1"/>
      <protection locked="0"/>
    </xf>
    <xf numFmtId="0" fontId="45" fillId="29" borderId="26" xfId="0" applyFont="1" applyFill="1" applyBorder="1">
      <alignment vertical="top" wrapText="1"/>
    </xf>
    <xf numFmtId="0" fontId="45" fillId="29" borderId="27" xfId="0" applyFont="1" applyFill="1" applyBorder="1">
      <alignment vertical="top" wrapText="1"/>
    </xf>
    <xf numFmtId="0" fontId="45" fillId="0" borderId="19" xfId="0" applyFont="1" applyBorder="1" applyAlignment="1" applyProtection="1">
      <alignment vertical="top"/>
      <protection locked="0"/>
    </xf>
    <xf numFmtId="0" fontId="45" fillId="0" borderId="22" xfId="0" applyFont="1" applyBorder="1" applyAlignment="1" applyProtection="1">
      <alignment vertical="top"/>
      <protection locked="0"/>
    </xf>
    <xf numFmtId="0" fontId="45" fillId="0" borderId="26" xfId="0" applyFont="1" applyBorder="1" applyProtection="1">
      <alignment vertical="top" wrapText="1"/>
      <protection locked="0"/>
    </xf>
    <xf numFmtId="0" fontId="45" fillId="0" borderId="26" xfId="0" applyFont="1" applyBorder="1">
      <alignment vertical="top" wrapText="1"/>
    </xf>
    <xf numFmtId="0" fontId="45" fillId="0" borderId="27" xfId="0" applyFont="1" applyBorder="1">
      <alignment vertical="top" wrapText="1"/>
    </xf>
    <xf numFmtId="0" fontId="45" fillId="30" borderId="26" xfId="0" applyFont="1" applyFill="1" applyBorder="1" applyAlignment="1" applyProtection="1">
      <protection locked="0"/>
    </xf>
    <xf numFmtId="0" fontId="45" fillId="30" borderId="27" xfId="0" applyFont="1" applyFill="1" applyBorder="1" applyAlignment="1"/>
    <xf numFmtId="0" fontId="49" fillId="32" borderId="26" xfId="0" applyFont="1" applyFill="1" applyBorder="1" applyAlignment="1" applyProtection="1">
      <protection locked="0"/>
    </xf>
    <xf numFmtId="0" fontId="49" fillId="32" borderId="27" xfId="0" applyFont="1" applyFill="1" applyBorder="1" applyAlignment="1"/>
    <xf numFmtId="0" fontId="47" fillId="0" borderId="26" xfId="226" applyFont="1" applyBorder="1" applyAlignment="1">
      <alignment vertical="center" wrapText="1"/>
    </xf>
    <xf numFmtId="0" fontId="47" fillId="0" borderId="2" xfId="224" applyFont="1" applyBorder="1" applyAlignment="1">
      <alignment vertical="center" wrapText="1"/>
    </xf>
    <xf numFmtId="0" fontId="47" fillId="0" borderId="41" xfId="224" applyFont="1" applyBorder="1" applyAlignment="1">
      <alignment vertical="center" wrapText="1"/>
    </xf>
    <xf numFmtId="0" fontId="47" fillId="0" borderId="26" xfId="226" applyFont="1" applyBorder="1" applyAlignment="1">
      <alignment horizontal="center" vertical="center" wrapText="1"/>
    </xf>
    <xf numFmtId="0" fontId="47" fillId="0" borderId="2" xfId="224" applyFont="1" applyBorder="1" applyAlignment="1">
      <alignment horizontal="center" vertical="center" wrapText="1"/>
    </xf>
    <xf numFmtId="0" fontId="47" fillId="0" borderId="27" xfId="224" applyFont="1" applyBorder="1" applyAlignment="1">
      <alignment horizontal="center" vertical="center" wrapText="1"/>
    </xf>
    <xf numFmtId="0" fontId="47" fillId="0" borderId="26" xfId="226" applyFont="1" applyBorder="1" applyAlignment="1">
      <alignment horizontal="left" vertical="center" wrapText="1"/>
    </xf>
    <xf numFmtId="0" fontId="47" fillId="0" borderId="27" xfId="224" applyFont="1" applyBorder="1" applyAlignment="1">
      <alignment vertical="center" wrapText="1"/>
    </xf>
    <xf numFmtId="0" fontId="48" fillId="30" borderId="46" xfId="226" applyFont="1" applyFill="1" applyBorder="1" applyAlignment="1">
      <alignment horizontal="center" vertical="center"/>
    </xf>
    <xf numFmtId="0" fontId="47" fillId="0" borderId="1" xfId="224" applyFont="1" applyBorder="1" applyAlignment="1">
      <alignment horizontal="center" vertical="center"/>
    </xf>
    <xf numFmtId="0" fontId="47" fillId="0" borderId="36" xfId="224" applyFont="1" applyBorder="1" applyAlignment="1">
      <alignment horizontal="center" vertical="center"/>
    </xf>
    <xf numFmtId="0" fontId="47" fillId="0" borderId="26" xfId="0" applyFont="1" applyBorder="1" applyAlignment="1">
      <alignment horizontal="left" vertical="center" wrapText="1"/>
    </xf>
    <xf numFmtId="0" fontId="47" fillId="0" borderId="2" xfId="0" applyFont="1" applyBorder="1" applyAlignment="1">
      <alignment horizontal="left" vertical="center" wrapText="1"/>
    </xf>
    <xf numFmtId="0" fontId="47" fillId="0" borderId="27" xfId="0" applyFont="1" applyBorder="1" applyAlignment="1">
      <alignment horizontal="left" vertical="center" wrapText="1"/>
    </xf>
    <xf numFmtId="0" fontId="47" fillId="0" borderId="2" xfId="0" applyFont="1" applyBorder="1" applyAlignment="1">
      <alignment vertical="center" wrapText="1"/>
    </xf>
    <xf numFmtId="0" fontId="47" fillId="0" borderId="27" xfId="0" applyFont="1" applyBorder="1" applyAlignment="1">
      <alignment vertical="center" wrapText="1"/>
    </xf>
    <xf numFmtId="176" fontId="47" fillId="0" borderId="38" xfId="226" applyNumberFormat="1" applyFont="1" applyBorder="1" applyAlignment="1">
      <alignment horizontal="center" vertical="center"/>
    </xf>
    <xf numFmtId="176" fontId="47" fillId="0" borderId="39" xfId="224" applyNumberFormat="1" applyFont="1" applyBorder="1" applyAlignment="1">
      <alignment horizontal="center" vertical="center"/>
    </xf>
    <xf numFmtId="176" fontId="47" fillId="0" borderId="40" xfId="224" applyNumberFormat="1" applyFont="1" applyBorder="1" applyAlignment="1">
      <alignment horizontal="center" vertical="center"/>
    </xf>
    <xf numFmtId="176" fontId="47" fillId="0" borderId="29" xfId="0" applyNumberFormat="1" applyFont="1" applyBorder="1" applyAlignment="1">
      <alignment horizontal="center" vertical="center"/>
    </xf>
    <xf numFmtId="176" fontId="47" fillId="0" borderId="2" xfId="0" applyNumberFormat="1" applyFont="1" applyBorder="1" applyAlignment="1">
      <alignment horizontal="center" vertical="center"/>
    </xf>
    <xf numFmtId="176" fontId="47" fillId="0" borderId="27" xfId="0" applyNumberFormat="1" applyFont="1" applyBorder="1" applyAlignment="1">
      <alignment horizontal="center" vertical="center"/>
    </xf>
    <xf numFmtId="176" fontId="47" fillId="0" borderId="29" xfId="226" applyNumberFormat="1" applyFont="1" applyBorder="1" applyAlignment="1">
      <alignment horizontal="center" vertical="center"/>
    </xf>
    <xf numFmtId="176" fontId="47" fillId="0" borderId="2" xfId="224" applyNumberFormat="1" applyFont="1" applyBorder="1" applyAlignment="1">
      <alignment horizontal="center" vertical="center"/>
    </xf>
    <xf numFmtId="176" fontId="47" fillId="0" borderId="27" xfId="224" applyNumberFormat="1" applyFont="1" applyBorder="1" applyAlignment="1">
      <alignment horizontal="center" vertical="center"/>
    </xf>
    <xf numFmtId="0" fontId="47" fillId="0" borderId="26" xfId="226" applyFont="1" applyBorder="1" applyAlignment="1">
      <alignment horizontal="left" vertical="center"/>
    </xf>
    <xf numFmtId="0" fontId="47" fillId="0" borderId="2" xfId="224" applyFont="1" applyBorder="1" applyAlignment="1">
      <alignment horizontal="left" vertical="center"/>
    </xf>
    <xf numFmtId="0" fontId="47" fillId="0" borderId="27" xfId="224" applyFont="1" applyBorder="1" applyAlignment="1">
      <alignment horizontal="left" vertical="center"/>
    </xf>
    <xf numFmtId="0" fontId="47" fillId="0" borderId="26" xfId="0" applyFont="1" applyBorder="1" applyAlignment="1">
      <alignment vertical="center" wrapText="1"/>
    </xf>
    <xf numFmtId="0" fontId="47" fillId="0" borderId="41" xfId="0" applyFont="1" applyBorder="1" applyAlignment="1">
      <alignment vertical="center" wrapText="1"/>
    </xf>
    <xf numFmtId="0" fontId="47" fillId="0" borderId="44" xfId="226" applyFont="1" applyBorder="1" applyAlignment="1">
      <alignment horizontal="center" vertical="center" wrapText="1"/>
    </xf>
    <xf numFmtId="0" fontId="47" fillId="0" borderId="39" xfId="224" applyFont="1" applyBorder="1" applyAlignment="1">
      <alignment horizontal="center" vertical="center" wrapText="1"/>
    </xf>
    <xf numFmtId="0" fontId="47" fillId="0" borderId="40" xfId="224" applyFont="1" applyBorder="1" applyAlignment="1">
      <alignment horizontal="center" vertical="center" wrapText="1"/>
    </xf>
    <xf numFmtId="0" fontId="47" fillId="0" borderId="44" xfId="226" applyFont="1" applyBorder="1" applyAlignment="1">
      <alignment horizontal="left" vertical="center" wrapText="1"/>
    </xf>
    <xf numFmtId="0" fontId="47" fillId="0" borderId="39" xfId="224" applyFont="1" applyBorder="1" applyAlignment="1">
      <alignment vertical="center" wrapText="1"/>
    </xf>
    <xf numFmtId="0" fontId="47" fillId="0" borderId="40" xfId="224" applyFont="1" applyBorder="1" applyAlignment="1">
      <alignment vertical="center" wrapText="1"/>
    </xf>
    <xf numFmtId="0" fontId="47" fillId="0" borderId="44" xfId="226" applyFont="1" applyBorder="1" applyAlignment="1">
      <alignment vertical="center" wrapText="1"/>
    </xf>
    <xf numFmtId="0" fontId="47" fillId="0" borderId="45" xfId="224" applyFont="1" applyBorder="1" applyAlignment="1">
      <alignment vertical="center" wrapText="1"/>
    </xf>
    <xf numFmtId="0" fontId="47" fillId="0" borderId="26" xfId="226" applyFont="1" applyBorder="1" applyAlignment="1">
      <alignment vertical="center"/>
    </xf>
    <xf numFmtId="0" fontId="47" fillId="0" borderId="2" xfId="224" applyFont="1" applyBorder="1" applyAlignment="1">
      <alignment vertical="center"/>
    </xf>
    <xf numFmtId="0" fontId="47" fillId="0" borderId="41" xfId="224" applyFont="1" applyBorder="1" applyAlignment="1">
      <alignment vertical="center"/>
    </xf>
    <xf numFmtId="0" fontId="47" fillId="0" borderId="42" xfId="226" applyFont="1" applyBorder="1" applyAlignment="1">
      <alignment vertical="center" wrapText="1"/>
    </xf>
    <xf numFmtId="0" fontId="47" fillId="0" borderId="31" xfId="224" applyFont="1" applyBorder="1" applyAlignment="1">
      <alignment vertical="center" wrapText="1"/>
    </xf>
    <xf numFmtId="0" fontId="47" fillId="0" borderId="43" xfId="224" applyFont="1" applyBorder="1" applyAlignment="1">
      <alignment vertical="center" wrapText="1"/>
    </xf>
    <xf numFmtId="0" fontId="47" fillId="0" borderId="42" xfId="226" applyFont="1" applyBorder="1" applyAlignment="1">
      <alignment horizontal="left" vertical="center" wrapText="1"/>
    </xf>
    <xf numFmtId="0" fontId="47" fillId="0" borderId="32" xfId="224" applyFont="1" applyBorder="1" applyAlignment="1">
      <alignment vertical="center" wrapText="1"/>
    </xf>
    <xf numFmtId="0" fontId="47" fillId="0" borderId="42" xfId="226" applyFont="1" applyBorder="1" applyAlignment="1">
      <alignment horizontal="center" vertical="center" wrapText="1"/>
    </xf>
    <xf numFmtId="0" fontId="47" fillId="0" borderId="31" xfId="224" applyFont="1" applyBorder="1" applyAlignment="1">
      <alignment horizontal="center" vertical="center" wrapText="1"/>
    </xf>
    <xf numFmtId="0" fontId="47" fillId="0" borderId="32" xfId="224" applyFont="1" applyBorder="1" applyAlignment="1">
      <alignment horizontal="center" vertical="center" wrapText="1"/>
    </xf>
    <xf numFmtId="176" fontId="47" fillId="0" borderId="30" xfId="226" applyNumberFormat="1" applyFont="1" applyBorder="1" applyAlignment="1">
      <alignment horizontal="center" vertical="center"/>
    </xf>
    <xf numFmtId="176" fontId="47" fillId="0" borderId="31" xfId="224" applyNumberFormat="1" applyFont="1" applyBorder="1" applyAlignment="1">
      <alignment horizontal="center" vertical="center"/>
    </xf>
    <xf numFmtId="176" fontId="47" fillId="0" borderId="32" xfId="224" applyNumberFormat="1" applyFont="1" applyBorder="1" applyAlignment="1">
      <alignment horizontal="center" vertical="center"/>
    </xf>
    <xf numFmtId="0" fontId="46" fillId="30" borderId="33" xfId="225" applyFont="1" applyFill="1" applyBorder="1" applyAlignment="1">
      <alignment horizontal="center" vertical="center"/>
    </xf>
    <xf numFmtId="0" fontId="47" fillId="0" borderId="4" xfId="224" applyFont="1" applyBorder="1" applyAlignment="1">
      <alignment vertical="center"/>
    </xf>
    <xf numFmtId="0" fontId="47" fillId="0" borderId="34" xfId="224" applyFont="1" applyBorder="1" applyAlignment="1">
      <alignment vertical="center"/>
    </xf>
    <xf numFmtId="0" fontId="48" fillId="30" borderId="35" xfId="226" applyFont="1" applyFill="1" applyBorder="1" applyAlignment="1">
      <alignment horizontal="center" vertical="center"/>
    </xf>
    <xf numFmtId="0" fontId="48" fillId="30" borderId="1" xfId="226" applyFont="1" applyFill="1" applyBorder="1" applyAlignment="1">
      <alignment horizontal="center" vertical="center"/>
    </xf>
    <xf numFmtId="0" fontId="48" fillId="30" borderId="36" xfId="226" applyFont="1" applyFill="1" applyBorder="1" applyAlignment="1">
      <alignment horizontal="center" vertical="center"/>
    </xf>
    <xf numFmtId="0" fontId="48" fillId="30" borderId="35" xfId="224" applyFont="1" applyFill="1" applyBorder="1" applyAlignment="1">
      <alignment horizontal="center" vertical="center"/>
    </xf>
    <xf numFmtId="0" fontId="48" fillId="0" borderId="1" xfId="224" applyFont="1" applyBorder="1" applyAlignment="1">
      <alignment horizontal="center" vertical="center"/>
    </xf>
    <xf numFmtId="0" fontId="48" fillId="0" borderId="37" xfId="224" applyFont="1" applyBorder="1" applyAlignment="1">
      <alignment horizontal="center" vertical="center"/>
    </xf>
  </cellXfs>
  <cellStyles count="236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7" xr:uid="{00000000-0005-0000-0000-000006000000}"/>
    <cellStyle name="20% - アクセント 2" xfId="8" builtinId="34" customBuiltin="1"/>
    <cellStyle name="20% - アクセント 2 2" xfId="9" xr:uid="{00000000-0005-0000-0000-000008000000}"/>
    <cellStyle name="20% - アクセント 2 3" xfId="10" xr:uid="{00000000-0005-0000-0000-000009000000}"/>
    <cellStyle name="20% - アクセント 2 4" xfId="11" xr:uid="{00000000-0005-0000-0000-00000A000000}"/>
    <cellStyle name="20% - アクセント 2 5" xfId="12" xr:uid="{00000000-0005-0000-0000-00000B000000}"/>
    <cellStyle name="20% - アクセント 3" xfId="13" builtinId="38" customBuiltin="1"/>
    <cellStyle name="20% - アクセント 3 2" xfId="14" xr:uid="{00000000-0005-0000-0000-00000D000000}"/>
    <cellStyle name="20% - アクセント 3 3" xfId="15" xr:uid="{00000000-0005-0000-0000-00000E000000}"/>
    <cellStyle name="20% - アクセント 3 4" xfId="16" xr:uid="{00000000-0005-0000-0000-00000F000000}"/>
    <cellStyle name="20% - アクセント 3 5" xfId="17" xr:uid="{00000000-0005-0000-0000-000010000000}"/>
    <cellStyle name="20% - アクセント 4" xfId="18" builtinId="42" customBuiltin="1"/>
    <cellStyle name="20% - アクセント 4 2" xfId="19" xr:uid="{00000000-0005-0000-0000-000012000000}"/>
    <cellStyle name="20% - アクセント 4 3" xfId="20" xr:uid="{00000000-0005-0000-0000-000013000000}"/>
    <cellStyle name="20% - アクセント 4 4" xfId="21" xr:uid="{00000000-0005-0000-0000-000014000000}"/>
    <cellStyle name="20% - アクセント 4 5" xfId="22" xr:uid="{00000000-0005-0000-0000-000015000000}"/>
    <cellStyle name="20% - アクセント 5" xfId="23" builtinId="46" customBuiltin="1"/>
    <cellStyle name="20% - アクセント 5 2" xfId="24" xr:uid="{00000000-0005-0000-0000-000017000000}"/>
    <cellStyle name="20% - アクセント 5 3" xfId="25" xr:uid="{00000000-0005-0000-0000-000018000000}"/>
    <cellStyle name="20% - アクセント 5 4" xfId="26" xr:uid="{00000000-0005-0000-0000-000019000000}"/>
    <cellStyle name="20% - アクセント 6" xfId="27" builtinId="50" customBuiltin="1"/>
    <cellStyle name="20% - アクセント 6 2" xfId="28" xr:uid="{00000000-0005-0000-0000-00001B000000}"/>
    <cellStyle name="20% - アクセント 6 3" xfId="29" xr:uid="{00000000-0005-0000-0000-00001C000000}"/>
    <cellStyle name="20% - アクセント 6 4" xfId="30" xr:uid="{00000000-0005-0000-0000-00001D000000}"/>
    <cellStyle name="20% - アクセント 6 5" xfId="31" xr:uid="{00000000-0005-0000-0000-00001E000000}"/>
    <cellStyle name="40% - アクセント 1" xfId="32" builtinId="31" customBuiltin="1"/>
    <cellStyle name="40% - アクセント 1 2" xfId="33" xr:uid="{00000000-0005-0000-0000-000020000000}"/>
    <cellStyle name="40% - アクセント 1 3" xfId="34" xr:uid="{00000000-0005-0000-0000-000021000000}"/>
    <cellStyle name="40% - アクセント 1 4" xfId="35" xr:uid="{00000000-0005-0000-0000-000022000000}"/>
    <cellStyle name="40% - アクセント 1 5" xfId="36" xr:uid="{00000000-0005-0000-0000-000023000000}"/>
    <cellStyle name="40% - アクセント 2" xfId="37" builtinId="35" customBuiltin="1"/>
    <cellStyle name="40% - アクセント 2 2" xfId="38" xr:uid="{00000000-0005-0000-0000-000025000000}"/>
    <cellStyle name="40% - アクセント 2 3" xfId="39" xr:uid="{00000000-0005-0000-0000-000026000000}"/>
    <cellStyle name="40% - アクセント 2 4" xfId="40" xr:uid="{00000000-0005-0000-0000-000027000000}"/>
    <cellStyle name="40% - アクセント 3" xfId="41" builtinId="39" customBuiltin="1"/>
    <cellStyle name="40% - アクセント 3 2" xfId="42" xr:uid="{00000000-0005-0000-0000-000029000000}"/>
    <cellStyle name="40% - アクセント 3 3" xfId="43" xr:uid="{00000000-0005-0000-0000-00002A000000}"/>
    <cellStyle name="40% - アクセント 3 4" xfId="44" xr:uid="{00000000-0005-0000-0000-00002B000000}"/>
    <cellStyle name="40% - アクセント 3 5" xfId="45" xr:uid="{00000000-0005-0000-0000-00002C000000}"/>
    <cellStyle name="40% - アクセント 4" xfId="46" builtinId="43" customBuiltin="1"/>
    <cellStyle name="40% - アクセント 4 2" xfId="47" xr:uid="{00000000-0005-0000-0000-00002E000000}"/>
    <cellStyle name="40% - アクセント 4 3" xfId="48" xr:uid="{00000000-0005-0000-0000-00002F000000}"/>
    <cellStyle name="40% - アクセント 4 4" xfId="49" xr:uid="{00000000-0005-0000-0000-000030000000}"/>
    <cellStyle name="40% - アクセント 4 5" xfId="50" xr:uid="{00000000-0005-0000-0000-000031000000}"/>
    <cellStyle name="40% - アクセント 5" xfId="51" builtinId="47" customBuiltin="1"/>
    <cellStyle name="40% - アクセント 5 2" xfId="52" xr:uid="{00000000-0005-0000-0000-000033000000}"/>
    <cellStyle name="40% - アクセント 5 3" xfId="53" xr:uid="{00000000-0005-0000-0000-000034000000}"/>
    <cellStyle name="40% - アクセント 5 4" xfId="54" xr:uid="{00000000-0005-0000-0000-000035000000}"/>
    <cellStyle name="40% - アクセント 5 5" xfId="55" xr:uid="{00000000-0005-0000-0000-000036000000}"/>
    <cellStyle name="40% - アクセント 6" xfId="56" builtinId="51" customBuiltin="1"/>
    <cellStyle name="40% - アクセント 6 2" xfId="57" xr:uid="{00000000-0005-0000-0000-000038000000}"/>
    <cellStyle name="40% - アクセント 6 3" xfId="58" xr:uid="{00000000-0005-0000-0000-000039000000}"/>
    <cellStyle name="40% - アクセント 6 4" xfId="59" xr:uid="{00000000-0005-0000-0000-00003A000000}"/>
    <cellStyle name="40% - アクセント 6 5" xfId="60" xr:uid="{00000000-0005-0000-0000-00003B000000}"/>
    <cellStyle name="60% - アクセント 1" xfId="61" builtinId="32" customBuiltin="1"/>
    <cellStyle name="60% - アクセント 1 2" xfId="62" xr:uid="{00000000-0005-0000-0000-00003D000000}"/>
    <cellStyle name="60% - アクセント 1 3" xfId="63" xr:uid="{00000000-0005-0000-0000-00003E000000}"/>
    <cellStyle name="60% - アクセント 1 4" xfId="64" xr:uid="{00000000-0005-0000-0000-00003F000000}"/>
    <cellStyle name="60% - アクセント 1 5" xfId="65" xr:uid="{00000000-0005-0000-0000-000040000000}"/>
    <cellStyle name="60% - アクセント 2" xfId="66" builtinId="36" customBuiltin="1"/>
    <cellStyle name="60% - アクセント 2 2" xfId="67" xr:uid="{00000000-0005-0000-0000-000042000000}"/>
    <cellStyle name="60% - アクセント 2 3" xfId="68" xr:uid="{00000000-0005-0000-0000-000043000000}"/>
    <cellStyle name="60% - アクセント 2 4" xfId="69" xr:uid="{00000000-0005-0000-0000-000044000000}"/>
    <cellStyle name="60% - アクセント 2 5" xfId="70" xr:uid="{00000000-0005-0000-0000-000045000000}"/>
    <cellStyle name="60% - アクセント 3" xfId="71" builtinId="40" customBuiltin="1"/>
    <cellStyle name="60% - アクセント 3 2" xfId="72" xr:uid="{00000000-0005-0000-0000-000047000000}"/>
    <cellStyle name="60% - アクセント 3 3" xfId="73" xr:uid="{00000000-0005-0000-0000-000048000000}"/>
    <cellStyle name="60% - アクセント 3 4" xfId="74" xr:uid="{00000000-0005-0000-0000-000049000000}"/>
    <cellStyle name="60% - アクセント 3 5" xfId="75" xr:uid="{00000000-0005-0000-0000-00004A000000}"/>
    <cellStyle name="60% - アクセント 4" xfId="76" builtinId="44" customBuiltin="1"/>
    <cellStyle name="60% - アクセント 4 2" xfId="77" xr:uid="{00000000-0005-0000-0000-00004C000000}"/>
    <cellStyle name="60% - アクセント 4 3" xfId="78" xr:uid="{00000000-0005-0000-0000-00004D000000}"/>
    <cellStyle name="60% - アクセント 4 4" xfId="79" xr:uid="{00000000-0005-0000-0000-00004E000000}"/>
    <cellStyle name="60% - アクセント 4 5" xfId="80" xr:uid="{00000000-0005-0000-0000-00004F000000}"/>
    <cellStyle name="60% - アクセント 5" xfId="81" builtinId="48" customBuiltin="1"/>
    <cellStyle name="60% - アクセント 5 2" xfId="82" xr:uid="{00000000-0005-0000-0000-000051000000}"/>
    <cellStyle name="60% - アクセント 5 3" xfId="83" xr:uid="{00000000-0005-0000-0000-000052000000}"/>
    <cellStyle name="60% - アクセント 5 4" xfId="84" xr:uid="{00000000-0005-0000-0000-000053000000}"/>
    <cellStyle name="60% - アクセント 5 5" xfId="85" xr:uid="{00000000-0005-0000-0000-000054000000}"/>
    <cellStyle name="60% - アクセント 6" xfId="86" builtinId="52" customBuiltin="1"/>
    <cellStyle name="60% - アクセント 6 2" xfId="87" xr:uid="{00000000-0005-0000-0000-000056000000}"/>
    <cellStyle name="60% - アクセント 6 3" xfId="88" xr:uid="{00000000-0005-0000-0000-000057000000}"/>
    <cellStyle name="60% - アクセント 6 4" xfId="89" xr:uid="{00000000-0005-0000-0000-000058000000}"/>
    <cellStyle name="60% - アクセント 6 5" xfId="90" xr:uid="{00000000-0005-0000-0000-000059000000}"/>
    <cellStyle name="Calc Currency (0)" xfId="91" xr:uid="{00000000-0005-0000-0000-00005A000000}"/>
    <cellStyle name="Comma [0]" xfId="92" xr:uid="{00000000-0005-0000-0000-00005B000000}"/>
    <cellStyle name="Currency [0]" xfId="93" xr:uid="{00000000-0005-0000-0000-00005C000000}"/>
    <cellStyle name="Grey" xfId="94" xr:uid="{00000000-0005-0000-0000-00005D000000}"/>
    <cellStyle name="Header1" xfId="95" xr:uid="{00000000-0005-0000-0000-00005E000000}"/>
    <cellStyle name="Header2" xfId="96" xr:uid="{00000000-0005-0000-0000-00005F000000}"/>
    <cellStyle name="Input [yellow]" xfId="97" xr:uid="{00000000-0005-0000-0000-000060000000}"/>
    <cellStyle name="Normal - Style1" xfId="98" xr:uid="{00000000-0005-0000-0000-000061000000}"/>
    <cellStyle name="Normal_#18-Internet" xfId="99" xr:uid="{00000000-0005-0000-0000-000062000000}"/>
    <cellStyle name="Percent [2]" xfId="100" xr:uid="{00000000-0005-0000-0000-000063000000}"/>
    <cellStyle name="PSChar" xfId="101" xr:uid="{00000000-0005-0000-0000-000064000000}"/>
    <cellStyle name="PSHeading" xfId="102" xr:uid="{00000000-0005-0000-0000-000065000000}"/>
    <cellStyle name="u" xfId="103" xr:uid="{00000000-0005-0000-0000-000066000000}"/>
    <cellStyle name="アクセント 1" xfId="104" builtinId="29" customBuiltin="1"/>
    <cellStyle name="アクセント 1 2" xfId="105" xr:uid="{00000000-0005-0000-0000-000068000000}"/>
    <cellStyle name="アクセント 1 3" xfId="106" xr:uid="{00000000-0005-0000-0000-000069000000}"/>
    <cellStyle name="アクセント 1 4" xfId="107" xr:uid="{00000000-0005-0000-0000-00006A000000}"/>
    <cellStyle name="アクセント 1 5" xfId="108" xr:uid="{00000000-0005-0000-0000-00006B000000}"/>
    <cellStyle name="アクセント 2" xfId="109" builtinId="33" customBuiltin="1"/>
    <cellStyle name="アクセント 2 2" xfId="110" xr:uid="{00000000-0005-0000-0000-00006D000000}"/>
    <cellStyle name="アクセント 2 3" xfId="111" xr:uid="{00000000-0005-0000-0000-00006E000000}"/>
    <cellStyle name="アクセント 2 4" xfId="112" xr:uid="{00000000-0005-0000-0000-00006F000000}"/>
    <cellStyle name="アクセント 2 5" xfId="113" xr:uid="{00000000-0005-0000-0000-000070000000}"/>
    <cellStyle name="アクセント 3" xfId="114" builtinId="37" customBuiltin="1"/>
    <cellStyle name="アクセント 3 2" xfId="115" xr:uid="{00000000-0005-0000-0000-000072000000}"/>
    <cellStyle name="アクセント 3 3" xfId="116" xr:uid="{00000000-0005-0000-0000-000073000000}"/>
    <cellStyle name="アクセント 3 4" xfId="117" xr:uid="{00000000-0005-0000-0000-000074000000}"/>
    <cellStyle name="アクセント 3 5" xfId="118" xr:uid="{00000000-0005-0000-0000-000075000000}"/>
    <cellStyle name="アクセント 4" xfId="119" builtinId="41" customBuiltin="1"/>
    <cellStyle name="アクセント 4 2" xfId="120" xr:uid="{00000000-0005-0000-0000-000077000000}"/>
    <cellStyle name="アクセント 4 3" xfId="121" xr:uid="{00000000-0005-0000-0000-000078000000}"/>
    <cellStyle name="アクセント 4 4" xfId="122" xr:uid="{00000000-0005-0000-0000-000079000000}"/>
    <cellStyle name="アクセント 4 5" xfId="123" xr:uid="{00000000-0005-0000-0000-00007A000000}"/>
    <cellStyle name="アクセント 5" xfId="124" builtinId="45" customBuiltin="1"/>
    <cellStyle name="アクセント 5 2" xfId="125" xr:uid="{00000000-0005-0000-0000-00007C000000}"/>
    <cellStyle name="アクセント 5 3" xfId="126" xr:uid="{00000000-0005-0000-0000-00007D000000}"/>
    <cellStyle name="アクセント 5 4" xfId="127" xr:uid="{00000000-0005-0000-0000-00007E000000}"/>
    <cellStyle name="アクセント 6" xfId="128" builtinId="49" customBuiltin="1"/>
    <cellStyle name="アクセント 6 2" xfId="129" xr:uid="{00000000-0005-0000-0000-000080000000}"/>
    <cellStyle name="アクセント 6 3" xfId="130" xr:uid="{00000000-0005-0000-0000-000081000000}"/>
    <cellStyle name="アクセント 6 4" xfId="131" xr:uid="{00000000-0005-0000-0000-000082000000}"/>
    <cellStyle name="アクセント 6 5" xfId="132" xr:uid="{00000000-0005-0000-0000-000083000000}"/>
    <cellStyle name="タイトル" xfId="133" builtinId="15" customBuiltin="1"/>
    <cellStyle name="タイトル 2" xfId="134" xr:uid="{00000000-0005-0000-0000-000085000000}"/>
    <cellStyle name="タイトル 3" xfId="135" xr:uid="{00000000-0005-0000-0000-000086000000}"/>
    <cellStyle name="タイトル 4" xfId="136" xr:uid="{00000000-0005-0000-0000-000087000000}"/>
    <cellStyle name="タイトル 5" xfId="137" xr:uid="{00000000-0005-0000-0000-000088000000}"/>
    <cellStyle name="チェック セル" xfId="138" builtinId="23" customBuiltin="1"/>
    <cellStyle name="チェック セル 2" xfId="139" xr:uid="{00000000-0005-0000-0000-00008A000000}"/>
    <cellStyle name="チェック セル 3" xfId="140" xr:uid="{00000000-0005-0000-0000-00008B000000}"/>
    <cellStyle name="チェック セル 4" xfId="141" xr:uid="{00000000-0005-0000-0000-00008C000000}"/>
    <cellStyle name="どちらでもない" xfId="142" builtinId="28" customBuiltin="1"/>
    <cellStyle name="どちらでもない 2" xfId="143" xr:uid="{00000000-0005-0000-0000-00008E000000}"/>
    <cellStyle name="どちらでもない 3" xfId="144" xr:uid="{00000000-0005-0000-0000-00008F000000}"/>
    <cellStyle name="どちらでもない 4" xfId="145" xr:uid="{00000000-0005-0000-0000-000090000000}"/>
    <cellStyle name="どちらでもない 5" xfId="146" xr:uid="{00000000-0005-0000-0000-000091000000}"/>
    <cellStyle name="ハイパーリンク 2" xfId="147" xr:uid="{00000000-0005-0000-0000-000092000000}"/>
    <cellStyle name="メモ" xfId="148" builtinId="10" customBuiltin="1"/>
    <cellStyle name="メモ 2" xfId="149" xr:uid="{00000000-0005-0000-0000-000094000000}"/>
    <cellStyle name="メモ 3" xfId="150" xr:uid="{00000000-0005-0000-0000-000095000000}"/>
    <cellStyle name="メモ 4" xfId="151" xr:uid="{00000000-0005-0000-0000-000096000000}"/>
    <cellStyle name="メモ 5" xfId="152" xr:uid="{00000000-0005-0000-0000-000097000000}"/>
    <cellStyle name="リンク セル" xfId="153" builtinId="24" customBuiltin="1"/>
    <cellStyle name="リンク セル 2" xfId="154" xr:uid="{00000000-0005-0000-0000-000099000000}"/>
    <cellStyle name="リンク セル 3" xfId="155" xr:uid="{00000000-0005-0000-0000-00009A000000}"/>
    <cellStyle name="リンク セル 4" xfId="156" xr:uid="{00000000-0005-0000-0000-00009B000000}"/>
    <cellStyle name="リンク セル 5" xfId="157" xr:uid="{00000000-0005-0000-0000-00009C000000}"/>
    <cellStyle name="_x001d__x000c_K_x0014__x000d_&gt;V_x0001_&gt;_x0014_n_x001e__x0007__x0001__x0001_" xfId="158" xr:uid="{00000000-0005-0000-0000-00009D000000}"/>
    <cellStyle name="_x001d__x000c_K_x0014__x000d_&gt;V_x0001_&gt;_x0014_n_x001e__x0007__x0001__x0001_ 2" xfId="159" xr:uid="{00000000-0005-0000-0000-00009E000000}"/>
    <cellStyle name="_x001d__x000c_K_x0014__x000d_&gt;V_x0001_&gt;_x0014_n_x001e__x0007__x0001__x0001_ 3" xfId="160" xr:uid="{00000000-0005-0000-0000-00009F000000}"/>
    <cellStyle name="悪い" xfId="161" builtinId="27" customBuiltin="1"/>
    <cellStyle name="悪い 2" xfId="162" xr:uid="{00000000-0005-0000-0000-0000A1000000}"/>
    <cellStyle name="悪い 3" xfId="163" xr:uid="{00000000-0005-0000-0000-0000A2000000}"/>
    <cellStyle name="悪い 4" xfId="164" xr:uid="{00000000-0005-0000-0000-0000A3000000}"/>
    <cellStyle name="悪い 5" xfId="165" xr:uid="{00000000-0005-0000-0000-0000A4000000}"/>
    <cellStyle name="計算" xfId="166" builtinId="22" customBuiltin="1"/>
    <cellStyle name="計算 2" xfId="167" xr:uid="{00000000-0005-0000-0000-0000A6000000}"/>
    <cellStyle name="計算 3" xfId="168" xr:uid="{00000000-0005-0000-0000-0000A7000000}"/>
    <cellStyle name="計算 4" xfId="169" xr:uid="{00000000-0005-0000-0000-0000A8000000}"/>
    <cellStyle name="計算 5" xfId="170" xr:uid="{00000000-0005-0000-0000-0000A9000000}"/>
    <cellStyle name="警告文" xfId="171" builtinId="11" customBuiltin="1"/>
    <cellStyle name="警告文 2" xfId="172" xr:uid="{00000000-0005-0000-0000-0000AB000000}"/>
    <cellStyle name="警告文 3" xfId="173" xr:uid="{00000000-0005-0000-0000-0000AC000000}"/>
    <cellStyle name="警告文 4" xfId="174" xr:uid="{00000000-0005-0000-0000-0000AD000000}"/>
    <cellStyle name="見出し 1" xfId="175" builtinId="16" customBuiltin="1"/>
    <cellStyle name="見出し 1 2" xfId="176" xr:uid="{00000000-0005-0000-0000-0000AF000000}"/>
    <cellStyle name="見出し 1 3" xfId="177" xr:uid="{00000000-0005-0000-0000-0000B0000000}"/>
    <cellStyle name="見出し 1 4" xfId="178" xr:uid="{00000000-0005-0000-0000-0000B1000000}"/>
    <cellStyle name="見出し 1 5" xfId="179" xr:uid="{00000000-0005-0000-0000-0000B2000000}"/>
    <cellStyle name="見出し 2" xfId="180" builtinId="17" customBuiltin="1"/>
    <cellStyle name="見出し 2 2" xfId="181" xr:uid="{00000000-0005-0000-0000-0000B4000000}"/>
    <cellStyle name="見出し 2 3" xfId="182" xr:uid="{00000000-0005-0000-0000-0000B5000000}"/>
    <cellStyle name="見出し 2 4" xfId="183" xr:uid="{00000000-0005-0000-0000-0000B6000000}"/>
    <cellStyle name="見出し 2 5" xfId="184" xr:uid="{00000000-0005-0000-0000-0000B7000000}"/>
    <cellStyle name="見出し 3" xfId="185" builtinId="18" customBuiltin="1"/>
    <cellStyle name="見出し 3 2" xfId="186" xr:uid="{00000000-0005-0000-0000-0000B9000000}"/>
    <cellStyle name="見出し 3 3" xfId="187" xr:uid="{00000000-0005-0000-0000-0000BA000000}"/>
    <cellStyle name="見出し 3 4" xfId="188" xr:uid="{00000000-0005-0000-0000-0000BB000000}"/>
    <cellStyle name="見出し 3 5" xfId="189" xr:uid="{00000000-0005-0000-0000-0000BC000000}"/>
    <cellStyle name="見出し 4" xfId="190" builtinId="19" customBuiltin="1"/>
    <cellStyle name="見出し 4 2" xfId="191" xr:uid="{00000000-0005-0000-0000-0000BE000000}"/>
    <cellStyle name="見出し 4 3" xfId="192" xr:uid="{00000000-0005-0000-0000-0000BF000000}"/>
    <cellStyle name="見出し 4 4" xfId="193" xr:uid="{00000000-0005-0000-0000-0000C0000000}"/>
    <cellStyle name="見出し 4 5" xfId="194" xr:uid="{00000000-0005-0000-0000-0000C1000000}"/>
    <cellStyle name="作業ﾌﾛｰ" xfId="195" xr:uid="{00000000-0005-0000-0000-0000C2000000}"/>
    <cellStyle name="資料" xfId="196" xr:uid="{00000000-0005-0000-0000-0000C3000000}"/>
    <cellStyle name="資料２" xfId="197" xr:uid="{00000000-0005-0000-0000-0000C4000000}"/>
    <cellStyle name="集計" xfId="198" builtinId="25" customBuiltin="1"/>
    <cellStyle name="集計 2" xfId="199" xr:uid="{00000000-0005-0000-0000-0000C6000000}"/>
    <cellStyle name="集計 3" xfId="200" xr:uid="{00000000-0005-0000-0000-0000C7000000}"/>
    <cellStyle name="集計 4" xfId="201" xr:uid="{00000000-0005-0000-0000-0000C8000000}"/>
    <cellStyle name="集計 5" xfId="202" xr:uid="{00000000-0005-0000-0000-0000C9000000}"/>
    <cellStyle name="出力" xfId="203" builtinId="21" customBuiltin="1"/>
    <cellStyle name="出力 2" xfId="204" xr:uid="{00000000-0005-0000-0000-0000CB000000}"/>
    <cellStyle name="出力 3" xfId="205" xr:uid="{00000000-0005-0000-0000-0000CC000000}"/>
    <cellStyle name="出力 4" xfId="206" xr:uid="{00000000-0005-0000-0000-0000CD000000}"/>
    <cellStyle name="出力 5" xfId="207" xr:uid="{00000000-0005-0000-0000-0000CE000000}"/>
    <cellStyle name="説明文" xfId="208" builtinId="53" customBuiltin="1"/>
    <cellStyle name="説明文 2" xfId="209" xr:uid="{00000000-0005-0000-0000-0000D0000000}"/>
    <cellStyle name="説明文 3" xfId="210" xr:uid="{00000000-0005-0000-0000-0000D1000000}"/>
    <cellStyle name="説明文 4" xfId="211" xr:uid="{00000000-0005-0000-0000-0000D2000000}"/>
    <cellStyle name="入力" xfId="212" builtinId="20" customBuiltin="1"/>
    <cellStyle name="入力 2" xfId="213" xr:uid="{00000000-0005-0000-0000-0000D4000000}"/>
    <cellStyle name="入力 3" xfId="214" xr:uid="{00000000-0005-0000-0000-0000D5000000}"/>
    <cellStyle name="入力 4" xfId="215" xr:uid="{00000000-0005-0000-0000-0000D6000000}"/>
    <cellStyle name="入力 5" xfId="216" xr:uid="{00000000-0005-0000-0000-0000D7000000}"/>
    <cellStyle name="標準" xfId="0" builtinId="0"/>
    <cellStyle name="標準 2" xfId="217" xr:uid="{00000000-0005-0000-0000-0000D9000000}"/>
    <cellStyle name="標準 3" xfId="218" xr:uid="{00000000-0005-0000-0000-0000DA000000}"/>
    <cellStyle name="標準 4" xfId="219" xr:uid="{00000000-0005-0000-0000-0000DB000000}"/>
    <cellStyle name="標準 5" xfId="220" xr:uid="{00000000-0005-0000-0000-0000DC000000}"/>
    <cellStyle name="標準 6" xfId="221" xr:uid="{00000000-0005-0000-0000-0000DD000000}"/>
    <cellStyle name="標準 7" xfId="222" xr:uid="{00000000-0005-0000-0000-0000DE000000}"/>
    <cellStyle name="標準 8" xfId="223" xr:uid="{00000000-0005-0000-0000-0000DF000000}"/>
    <cellStyle name="標準_02_変更来歴例" xfId="224" xr:uid="{00000000-0005-0000-0000-0000E0000000}"/>
    <cellStyle name="標準_A00200 オーダー状況" xfId="225" xr:uid="{00000000-0005-0000-0000-0000E1000000}"/>
    <cellStyle name="標準_変更来歴_1" xfId="226" xr:uid="{00000000-0005-0000-0000-0000E2000000}"/>
    <cellStyle name="標準2" xfId="227" xr:uid="{00000000-0005-0000-0000-0000E3000000}"/>
    <cellStyle name="標準２" xfId="228" xr:uid="{00000000-0005-0000-0000-0000E4000000}"/>
    <cellStyle name="標準2_DAIICH" xfId="229" xr:uid="{00000000-0005-0000-0000-0000E5000000}"/>
    <cellStyle name="未定義" xfId="230" xr:uid="{00000000-0005-0000-0000-0000E6000000}"/>
    <cellStyle name="良い" xfId="231" builtinId="26" customBuiltin="1"/>
    <cellStyle name="良い 2" xfId="232" xr:uid="{00000000-0005-0000-0000-0000E8000000}"/>
    <cellStyle name="良い 3" xfId="233" xr:uid="{00000000-0005-0000-0000-0000E9000000}"/>
    <cellStyle name="良い 4" xfId="234" xr:uid="{00000000-0005-0000-0000-0000EA000000}"/>
    <cellStyle name="良い 5" xfId="235" xr:uid="{00000000-0005-0000-0000-0000EB000000}"/>
  </cellStyles>
  <dxfs count="0"/>
  <tableStyles count="0" defaultTableStyle="TableStyleMedium2" defaultPivotStyle="PivotStyleLight16"/>
  <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5" customWidth="1"/>
    <col min="4" max="4" width="18.453125" style="4" customWidth="1"/>
    <col min="5" max="5" width="22" style="4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1</v>
      </c>
      <c r="B2" s="7" t="s">
        <v>2</v>
      </c>
      <c r="C2" s="8" t="s">
        <v>37</v>
      </c>
      <c r="D2" s="7" t="s">
        <v>3</v>
      </c>
      <c r="E2" s="9" t="s">
        <v>63</v>
      </c>
      <c r="F2" s="7" t="s">
        <v>17</v>
      </c>
      <c r="G2" s="9" t="s">
        <v>9</v>
      </c>
      <c r="H2" s="7"/>
      <c r="I2" s="10"/>
    </row>
    <row r="3" spans="1:12">
      <c r="A3" s="11"/>
      <c r="B3" s="7" t="s">
        <v>4</v>
      </c>
      <c r="C3" s="8" t="s">
        <v>38</v>
      </c>
      <c r="D3" s="7" t="s">
        <v>5</v>
      </c>
      <c r="E3" s="9" t="s">
        <v>155</v>
      </c>
      <c r="F3" s="7" t="s">
        <v>16</v>
      </c>
      <c r="G3" s="9"/>
      <c r="H3" s="7"/>
      <c r="I3" s="9"/>
    </row>
    <row r="4" spans="1:12">
      <c r="A4" s="3"/>
      <c r="B4" s="7"/>
      <c r="C4" s="8"/>
      <c r="D4" s="7" t="s">
        <v>6</v>
      </c>
      <c r="E4" s="12" t="s">
        <v>64</v>
      </c>
      <c r="F4" s="7" t="s">
        <v>7</v>
      </c>
      <c r="G4" s="9" t="s">
        <v>161</v>
      </c>
      <c r="H4" s="13"/>
      <c r="I4" s="14"/>
    </row>
    <row r="5" spans="1:12">
      <c r="A5" s="6" t="s">
        <v>8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76"/>
  <sheetViews>
    <sheetView tabSelected="1" topLeftCell="A4" zoomScale="85" zoomScaleNormal="85" zoomScaleSheetLayoutView="85" workbookViewId="0">
      <selection activeCell="H16" sqref="H16"/>
    </sheetView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6328125" style="28" customWidth="1"/>
    <col min="6" max="6" width="7.453125" style="62" bestFit="1" customWidth="1"/>
    <col min="7" max="7" width="30.81640625" style="27" customWidth="1"/>
    <col min="8" max="8" width="38.1796875" style="27" bestFit="1" customWidth="1"/>
    <col min="9" max="10" width="15.81640625" style="27" customWidth="1"/>
    <col min="11" max="11" width="26.08984375" style="27" bestFit="1" customWidth="1"/>
    <col min="12" max="12" width="10.453125" style="27" bestFit="1" customWidth="1"/>
    <col min="13" max="13" width="12.81640625" style="27" bestFit="1" customWidth="1"/>
    <col min="14" max="14" width="50.6328125" style="27" customWidth="1"/>
    <col min="15" max="15" width="12.81640625" style="27" bestFit="1" customWidth="1"/>
    <col min="16" max="16" width="9.453125" style="27" bestFit="1" customWidth="1"/>
    <col min="17" max="17" width="9.90625" style="27" bestFit="1" customWidth="1"/>
    <col min="18" max="18" width="30.81640625" style="27" customWidth="1"/>
    <col min="19" max="19" width="13.90625" style="28" bestFit="1" customWidth="1"/>
    <col min="20" max="20" width="17.1796875" style="28" customWidth="1"/>
    <col min="21" max="16384" width="9" style="28"/>
  </cols>
  <sheetData>
    <row r="1" spans="1:21" s="11" customFormat="1">
      <c r="A1" s="72" t="s">
        <v>24</v>
      </c>
      <c r="B1" s="72" t="s">
        <v>24</v>
      </c>
      <c r="C1" s="72"/>
      <c r="D1" s="1" t="s">
        <v>26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1" s="11" customFormat="1" ht="40" customHeight="1">
      <c r="A2" s="73" t="s">
        <v>24</v>
      </c>
      <c r="B2" s="74"/>
      <c r="C2" s="74"/>
      <c r="D2" s="88" t="s">
        <v>225</v>
      </c>
      <c r="E2" s="7" t="s">
        <v>2</v>
      </c>
      <c r="F2" s="75" t="str">
        <f>IF(LogicCommon!C2="","",LogicCommon!C2)</f>
        <v>MB</v>
      </c>
      <c r="G2" s="7" t="s">
        <v>3</v>
      </c>
      <c r="H2" s="75" t="str">
        <f>IF(LogicCommon!E2="","",LogicCommon!E2)</f>
        <v>MBBEL0050</v>
      </c>
      <c r="I2" s="7" t="s">
        <v>54</v>
      </c>
      <c r="J2" s="9" t="s">
        <v>27</v>
      </c>
      <c r="K2" s="7" t="s">
        <v>17</v>
      </c>
      <c r="L2" s="75" t="str">
        <f>IF(LogicCommon!G2="","",LogicCommon!G2)</f>
        <v>MC</v>
      </c>
      <c r="M2" s="5" t="s">
        <v>55</v>
      </c>
      <c r="N2" s="29" t="s">
        <v>162</v>
      </c>
      <c r="O2" s="7"/>
      <c r="P2" s="7"/>
      <c r="Q2" s="4"/>
      <c r="R2" s="5"/>
      <c r="S2" s="5"/>
      <c r="T2" s="5"/>
    </row>
    <row r="3" spans="1:21" s="11" customFormat="1">
      <c r="A3" s="76" t="s">
        <v>24</v>
      </c>
      <c r="B3" s="77"/>
      <c r="C3" s="77"/>
      <c r="D3" s="78"/>
      <c r="E3" s="7" t="s">
        <v>4</v>
      </c>
      <c r="F3" s="75" t="str">
        <f>IF(LogicCommon!C3="","",LogicCommon!C3)</f>
        <v>MBBE</v>
      </c>
      <c r="G3" s="7" t="s">
        <v>5</v>
      </c>
      <c r="H3" s="75" t="str">
        <f>IF(LogicCommon!E3="","",LogicCommon!E3)</f>
        <v>MBBEL_BizDatDLHstSrch</v>
      </c>
      <c r="I3" s="7" t="s">
        <v>56</v>
      </c>
      <c r="J3" s="9" t="s">
        <v>123</v>
      </c>
      <c r="K3" s="7" t="s">
        <v>16</v>
      </c>
      <c r="L3" s="75"/>
      <c r="M3" s="79" t="s">
        <v>28</v>
      </c>
      <c r="N3" s="7"/>
      <c r="O3" s="7" t="s">
        <v>57</v>
      </c>
      <c r="P3" s="9" t="s">
        <v>58</v>
      </c>
      <c r="Q3" s="4"/>
      <c r="R3" s="5"/>
      <c r="S3" s="5"/>
      <c r="T3" s="5"/>
    </row>
    <row r="4" spans="1:21" s="11" customFormat="1">
      <c r="A4" s="76" t="s">
        <v>24</v>
      </c>
      <c r="B4" s="77"/>
      <c r="C4" s="77"/>
      <c r="D4" s="4"/>
      <c r="E4" s="7" t="s">
        <v>29</v>
      </c>
      <c r="F4" s="10" t="s">
        <v>59</v>
      </c>
      <c r="G4" s="7" t="s">
        <v>6</v>
      </c>
      <c r="H4" s="75" t="str">
        <f>IF(LogicCommon!E4="","",LogicCommon!E4)</f>
        <v>業務データダウンロード履歴一覧</v>
      </c>
      <c r="I4" s="7" t="s">
        <v>60</v>
      </c>
      <c r="J4" s="9" t="s">
        <v>65</v>
      </c>
      <c r="K4" s="7" t="s">
        <v>7</v>
      </c>
      <c r="L4" s="75" t="str">
        <f>IF(LogicCommon!G4="","",LogicCommon!G4)</f>
        <v>MB.MBUDL5010</v>
      </c>
      <c r="M4" s="80"/>
      <c r="N4" s="29"/>
      <c r="O4" s="13"/>
      <c r="P4" s="4"/>
      <c r="Q4" s="4"/>
      <c r="R4" s="5"/>
      <c r="S4" s="5"/>
      <c r="T4" s="5"/>
    </row>
    <row r="5" spans="1:21" s="11" customFormat="1">
      <c r="A5" s="81" t="s">
        <v>24</v>
      </c>
      <c r="B5" s="72"/>
      <c r="C5" s="72"/>
      <c r="D5" s="26"/>
      <c r="E5" s="7" t="s">
        <v>61</v>
      </c>
      <c r="F5" s="10"/>
      <c r="G5" s="82"/>
      <c r="H5" s="82"/>
      <c r="I5" s="82"/>
      <c r="J5" s="82"/>
      <c r="K5" s="82"/>
      <c r="L5" s="6"/>
      <c r="M5" s="5"/>
      <c r="N5" s="5"/>
      <c r="O5" s="13"/>
      <c r="P5" s="4"/>
      <c r="Q5" s="4"/>
      <c r="R5" s="5"/>
      <c r="S5" s="5"/>
      <c r="T5" s="5"/>
    </row>
    <row r="6" spans="1:21" s="11" customFormat="1">
      <c r="A6" s="76" t="s">
        <v>24</v>
      </c>
      <c r="B6" s="77"/>
      <c r="C6" s="77"/>
      <c r="D6" s="4" t="s">
        <v>8</v>
      </c>
      <c r="E6" s="17" t="s">
        <v>66</v>
      </c>
      <c r="F6" s="17"/>
      <c r="G6" s="17"/>
      <c r="H6" s="17"/>
      <c r="I6" s="17"/>
      <c r="J6" s="17"/>
      <c r="K6" s="17"/>
      <c r="L6" s="83"/>
      <c r="M6" s="19" t="s">
        <v>53</v>
      </c>
      <c r="N6" s="19"/>
      <c r="O6" s="19" t="s">
        <v>53</v>
      </c>
      <c r="P6" s="19"/>
      <c r="Q6" s="19" t="s">
        <v>53</v>
      </c>
      <c r="R6" s="5"/>
      <c r="S6" s="27"/>
      <c r="T6" s="27"/>
      <c r="U6" s="27"/>
    </row>
    <row r="7" spans="1:21" s="11" customFormat="1">
      <c r="A7" s="30" t="s">
        <v>19</v>
      </c>
      <c r="B7" s="30"/>
      <c r="C7" s="30"/>
      <c r="D7" s="31"/>
      <c r="E7" s="31"/>
      <c r="F7" s="32"/>
      <c r="G7" s="31"/>
      <c r="H7" s="31"/>
      <c r="I7" s="31" t="s">
        <v>20</v>
      </c>
      <c r="J7" s="31"/>
      <c r="K7" s="9" t="s">
        <v>119</v>
      </c>
      <c r="L7" s="33" t="s">
        <v>21</v>
      </c>
      <c r="M7" s="34"/>
      <c r="N7" s="33" t="s">
        <v>21</v>
      </c>
      <c r="O7" s="34"/>
      <c r="P7" s="33" t="s">
        <v>21</v>
      </c>
      <c r="Q7" s="34"/>
      <c r="R7" s="5"/>
      <c r="S7" s="27"/>
      <c r="T7" s="27"/>
      <c r="U7" s="27"/>
    </row>
    <row r="8" spans="1:21" s="11" customFormat="1" ht="60" customHeight="1">
      <c r="A8" s="53" t="s">
        <v>19</v>
      </c>
      <c r="B8" s="91"/>
      <c r="C8" s="92"/>
      <c r="D8" s="89" t="s">
        <v>226</v>
      </c>
      <c r="E8" s="89" t="s">
        <v>227</v>
      </c>
      <c r="F8" s="83"/>
      <c r="G8" s="89" t="s">
        <v>62</v>
      </c>
      <c r="H8" s="89" t="s">
        <v>228</v>
      </c>
      <c r="I8" s="83"/>
      <c r="J8" s="3"/>
      <c r="K8" s="9" t="s">
        <v>120</v>
      </c>
      <c r="L8" s="33" t="s">
        <v>22</v>
      </c>
      <c r="M8" s="34"/>
      <c r="N8" s="33"/>
      <c r="O8" s="34"/>
      <c r="P8" s="33"/>
      <c r="Q8" s="34"/>
      <c r="R8" s="93"/>
      <c r="S8" s="94"/>
      <c r="T8" s="95" t="s">
        <v>229</v>
      </c>
      <c r="U8" s="51"/>
    </row>
    <row r="9" spans="1:21" s="11" customFormat="1" ht="60" customHeight="1">
      <c r="A9" s="9" t="s">
        <v>19</v>
      </c>
      <c r="B9" s="37"/>
      <c r="C9" s="38"/>
      <c r="D9" s="89" t="s">
        <v>230</v>
      </c>
      <c r="E9" s="96" t="s">
        <v>231</v>
      </c>
      <c r="F9" s="89" t="s">
        <v>232</v>
      </c>
      <c r="G9" s="89" t="s">
        <v>233</v>
      </c>
      <c r="H9" s="89" t="s">
        <v>234</v>
      </c>
      <c r="I9" s="97" t="s">
        <v>235</v>
      </c>
      <c r="J9" s="89" t="s">
        <v>236</v>
      </c>
      <c r="K9" s="88"/>
      <c r="L9" s="33"/>
      <c r="M9" s="33"/>
      <c r="N9" s="33"/>
      <c r="O9" s="33"/>
      <c r="P9" s="33"/>
      <c r="Q9" s="33"/>
      <c r="R9" s="95" t="s">
        <v>237</v>
      </c>
      <c r="S9" s="51"/>
      <c r="T9" s="95" t="s">
        <v>238</v>
      </c>
      <c r="U9" s="51"/>
    </row>
    <row r="10" spans="1:21" s="11" customFormat="1" ht="52">
      <c r="A10" s="39" t="s">
        <v>23</v>
      </c>
      <c r="B10" s="40"/>
      <c r="C10" s="40"/>
      <c r="D10" s="41"/>
      <c r="E10" s="42"/>
      <c r="F10" s="43"/>
      <c r="G10" s="44"/>
      <c r="H10" s="44"/>
      <c r="I10" s="42"/>
      <c r="J10" s="42"/>
      <c r="K10" s="68"/>
      <c r="L10" s="90" t="s">
        <v>235</v>
      </c>
      <c r="M10" s="90" t="s">
        <v>236</v>
      </c>
      <c r="N10" s="90" t="s">
        <v>235</v>
      </c>
      <c r="O10" s="90" t="s">
        <v>236</v>
      </c>
      <c r="P10" s="90" t="s">
        <v>235</v>
      </c>
      <c r="Q10" s="90" t="s">
        <v>236</v>
      </c>
      <c r="R10" s="42"/>
      <c r="S10" s="42"/>
      <c r="T10" s="44"/>
      <c r="U10" s="36"/>
    </row>
    <row r="11" spans="1:21" s="11" customFormat="1">
      <c r="A11" s="9">
        <v>10</v>
      </c>
      <c r="B11" s="37" t="s">
        <v>24</v>
      </c>
      <c r="C11" s="38"/>
      <c r="D11" s="29" t="s">
        <v>33</v>
      </c>
      <c r="E11" s="45" t="s">
        <v>25</v>
      </c>
      <c r="F11" s="46"/>
      <c r="G11" s="29"/>
      <c r="H11" s="47"/>
      <c r="I11" s="48"/>
      <c r="J11" s="49"/>
      <c r="K11" s="69"/>
      <c r="L11" s="34"/>
      <c r="M11" s="34"/>
      <c r="N11" s="34"/>
      <c r="O11" s="34"/>
      <c r="P11" s="34"/>
      <c r="Q11" s="34"/>
      <c r="R11" s="50"/>
      <c r="S11" s="51"/>
      <c r="T11" s="70"/>
      <c r="U11" s="52"/>
    </row>
    <row r="12" spans="1:21" s="11" customFormat="1">
      <c r="A12" s="9">
        <v>10</v>
      </c>
      <c r="B12" s="9"/>
      <c r="C12" s="9"/>
      <c r="D12" s="53" t="s">
        <v>156</v>
      </c>
      <c r="E12" s="53" t="s">
        <v>81</v>
      </c>
      <c r="F12" s="53"/>
      <c r="G12" s="54" t="s">
        <v>239</v>
      </c>
      <c r="H12" s="54" t="s">
        <v>165</v>
      </c>
      <c r="I12" s="9" t="s">
        <v>41</v>
      </c>
      <c r="J12" s="9" t="s">
        <v>42</v>
      </c>
      <c r="K12" s="9"/>
      <c r="L12" s="9"/>
      <c r="M12" s="9"/>
      <c r="N12" s="9"/>
      <c r="O12" s="9"/>
      <c r="P12" s="9"/>
      <c r="Q12" s="9"/>
      <c r="R12" s="50"/>
      <c r="S12" s="51"/>
      <c r="T12" s="98"/>
      <c r="U12" s="99"/>
    </row>
    <row r="13" spans="1:21" s="11" customFormat="1">
      <c r="A13" s="9">
        <v>10</v>
      </c>
      <c r="B13" s="9"/>
      <c r="C13" s="9"/>
      <c r="D13" s="53" t="s">
        <v>157</v>
      </c>
      <c r="E13" s="53" t="s">
        <v>81</v>
      </c>
      <c r="F13" s="53"/>
      <c r="G13" s="54" t="s">
        <v>240</v>
      </c>
      <c r="H13" s="54" t="s">
        <v>166</v>
      </c>
      <c r="I13" s="9" t="s">
        <v>41</v>
      </c>
      <c r="J13" s="9" t="s">
        <v>42</v>
      </c>
      <c r="K13" s="9"/>
      <c r="L13" s="9"/>
      <c r="M13" s="9"/>
      <c r="N13" s="9"/>
      <c r="O13" s="9"/>
      <c r="P13" s="9"/>
      <c r="Q13" s="9"/>
      <c r="R13" s="50"/>
      <c r="S13" s="51"/>
      <c r="T13" s="98"/>
      <c r="U13" s="99"/>
    </row>
    <row r="14" spans="1:21" s="11" customFormat="1">
      <c r="A14" s="9">
        <v>10</v>
      </c>
      <c r="B14" s="9"/>
      <c r="C14" s="9"/>
      <c r="D14" s="53" t="s">
        <v>158</v>
      </c>
      <c r="E14" s="53" t="s">
        <v>81</v>
      </c>
      <c r="F14" s="53"/>
      <c r="G14" s="54" t="s">
        <v>241</v>
      </c>
      <c r="H14" s="54" t="s">
        <v>167</v>
      </c>
      <c r="I14" s="9" t="s">
        <v>41</v>
      </c>
      <c r="J14" s="9" t="s">
        <v>42</v>
      </c>
      <c r="K14" s="9"/>
      <c r="L14" s="9"/>
      <c r="M14" s="9"/>
      <c r="N14" s="9"/>
      <c r="O14" s="9"/>
      <c r="P14" s="9"/>
      <c r="Q14" s="9"/>
      <c r="R14" s="50"/>
      <c r="S14" s="51"/>
      <c r="T14" s="98"/>
      <c r="U14" s="99"/>
    </row>
    <row r="15" spans="1:21" s="11" customFormat="1">
      <c r="A15" s="9">
        <v>10</v>
      </c>
      <c r="B15" s="9"/>
      <c r="C15" s="9"/>
      <c r="D15" s="53" t="s">
        <v>159</v>
      </c>
      <c r="E15" s="53" t="s">
        <v>81</v>
      </c>
      <c r="F15" s="53"/>
      <c r="G15" s="54" t="s">
        <v>242</v>
      </c>
      <c r="H15" s="54" t="s">
        <v>131</v>
      </c>
      <c r="I15" s="9" t="s">
        <v>41</v>
      </c>
      <c r="J15" s="9" t="s">
        <v>42</v>
      </c>
      <c r="K15" s="9"/>
      <c r="L15" s="9"/>
      <c r="M15" s="9"/>
      <c r="N15" s="9"/>
      <c r="O15" s="9"/>
      <c r="P15" s="9"/>
      <c r="Q15" s="9"/>
      <c r="R15" s="50"/>
      <c r="S15" s="51"/>
      <c r="T15" s="98"/>
      <c r="U15" s="99"/>
    </row>
    <row r="16" spans="1:21" s="11" customFormat="1">
      <c r="A16" s="85">
        <v>10</v>
      </c>
      <c r="B16" s="85"/>
      <c r="C16" s="85"/>
      <c r="D16" s="84" t="s">
        <v>220</v>
      </c>
      <c r="E16" s="84" t="s">
        <v>81</v>
      </c>
      <c r="F16" s="84"/>
      <c r="G16" s="84" t="s">
        <v>243</v>
      </c>
      <c r="H16" s="84" t="s">
        <v>224</v>
      </c>
      <c r="I16" s="85" t="s">
        <v>41</v>
      </c>
      <c r="J16" s="85" t="s">
        <v>42</v>
      </c>
      <c r="K16" s="85"/>
      <c r="L16" s="85"/>
      <c r="M16" s="85"/>
      <c r="N16" s="85"/>
      <c r="O16" s="85"/>
      <c r="P16" s="85"/>
      <c r="Q16" s="85"/>
      <c r="R16" s="86"/>
      <c r="S16" s="87"/>
      <c r="T16" s="100"/>
      <c r="U16" s="101"/>
    </row>
    <row r="17" spans="1:21" s="11" customFormat="1">
      <c r="A17" s="85">
        <v>10</v>
      </c>
      <c r="B17" s="85"/>
      <c r="C17" s="85"/>
      <c r="D17" s="84" t="s">
        <v>221</v>
      </c>
      <c r="E17" s="84" t="s">
        <v>81</v>
      </c>
      <c r="F17" s="84"/>
      <c r="G17" s="84" t="s">
        <v>244</v>
      </c>
      <c r="H17" s="84" t="s">
        <v>210</v>
      </c>
      <c r="I17" s="85" t="s">
        <v>41</v>
      </c>
      <c r="J17" s="85" t="s">
        <v>42</v>
      </c>
      <c r="K17" s="85"/>
      <c r="L17" s="85"/>
      <c r="M17" s="85"/>
      <c r="N17" s="85"/>
      <c r="O17" s="85"/>
      <c r="P17" s="85"/>
      <c r="Q17" s="85"/>
      <c r="R17" s="86"/>
      <c r="S17" s="87"/>
      <c r="T17" s="100"/>
      <c r="U17" s="101"/>
    </row>
    <row r="18" spans="1:21" s="11" customFormat="1">
      <c r="A18" s="85">
        <v>10</v>
      </c>
      <c r="B18" s="85"/>
      <c r="C18" s="85"/>
      <c r="D18" s="84" t="s">
        <v>209</v>
      </c>
      <c r="E18" s="84" t="s">
        <v>81</v>
      </c>
      <c r="F18" s="84"/>
      <c r="G18" s="84" t="s">
        <v>245</v>
      </c>
      <c r="H18" s="84" t="s">
        <v>212</v>
      </c>
      <c r="I18" s="85" t="s">
        <v>41</v>
      </c>
      <c r="J18" s="85" t="s">
        <v>42</v>
      </c>
      <c r="K18" s="85"/>
      <c r="L18" s="85"/>
      <c r="M18" s="85"/>
      <c r="N18" s="85"/>
      <c r="O18" s="85"/>
      <c r="P18" s="85"/>
      <c r="Q18" s="85"/>
      <c r="R18" s="86"/>
      <c r="S18" s="87"/>
      <c r="T18" s="100"/>
      <c r="U18" s="101"/>
    </row>
    <row r="19" spans="1:21" s="11" customFormat="1">
      <c r="A19" s="85">
        <v>10</v>
      </c>
      <c r="B19" s="85"/>
      <c r="C19" s="85"/>
      <c r="D19" s="84" t="s">
        <v>208</v>
      </c>
      <c r="E19" s="84" t="s">
        <v>81</v>
      </c>
      <c r="F19" s="84"/>
      <c r="G19" s="84" t="s">
        <v>246</v>
      </c>
      <c r="H19" s="84" t="s">
        <v>211</v>
      </c>
      <c r="I19" s="85" t="s">
        <v>41</v>
      </c>
      <c r="J19" s="85" t="s">
        <v>42</v>
      </c>
      <c r="K19" s="85"/>
      <c r="L19" s="85"/>
      <c r="M19" s="85"/>
      <c r="N19" s="85"/>
      <c r="O19" s="85"/>
      <c r="P19" s="85"/>
      <c r="Q19" s="85"/>
      <c r="R19" s="86"/>
      <c r="S19" s="87"/>
      <c r="T19" s="100"/>
      <c r="U19" s="101"/>
    </row>
    <row r="20" spans="1:21" s="11" customFormat="1" ht="26">
      <c r="A20" s="9">
        <v>10</v>
      </c>
      <c r="B20" s="9"/>
      <c r="C20" s="9"/>
      <c r="D20" s="53" t="s">
        <v>67</v>
      </c>
      <c r="E20" s="53" t="s">
        <v>82</v>
      </c>
      <c r="F20" s="53"/>
      <c r="G20" s="54" t="s">
        <v>247</v>
      </c>
      <c r="H20" s="54" t="s">
        <v>168</v>
      </c>
      <c r="I20" s="9" t="s">
        <v>41</v>
      </c>
      <c r="J20" s="9" t="s">
        <v>42</v>
      </c>
      <c r="K20" s="9"/>
      <c r="L20" s="9"/>
      <c r="M20" s="9"/>
      <c r="N20" s="9"/>
      <c r="O20" s="9"/>
      <c r="P20" s="9"/>
      <c r="Q20" s="9"/>
      <c r="R20" s="50"/>
      <c r="S20" s="51"/>
      <c r="T20" s="98"/>
      <c r="U20" s="99"/>
    </row>
    <row r="21" spans="1:21" s="11" customFormat="1">
      <c r="A21" s="9">
        <v>10</v>
      </c>
      <c r="B21" s="9"/>
      <c r="C21" s="9"/>
      <c r="D21" s="53" t="s">
        <v>68</v>
      </c>
      <c r="E21" s="53" t="s">
        <v>82</v>
      </c>
      <c r="F21" s="53"/>
      <c r="G21" s="54" t="s">
        <v>248</v>
      </c>
      <c r="H21" s="54" t="s">
        <v>169</v>
      </c>
      <c r="I21" s="9" t="s">
        <v>41</v>
      </c>
      <c r="J21" s="9" t="s">
        <v>42</v>
      </c>
      <c r="K21" s="9"/>
      <c r="L21" s="9"/>
      <c r="M21" s="9"/>
      <c r="N21" s="9"/>
      <c r="O21" s="9"/>
      <c r="P21" s="9"/>
      <c r="Q21" s="9"/>
      <c r="R21" s="50"/>
      <c r="S21" s="51"/>
      <c r="T21" s="70"/>
      <c r="U21" s="71"/>
    </row>
    <row r="22" spans="1:21" s="11" customFormat="1">
      <c r="A22" s="9">
        <v>10</v>
      </c>
      <c r="B22" s="9"/>
      <c r="C22" s="9"/>
      <c r="D22" s="53" t="s">
        <v>69</v>
      </c>
      <c r="E22" s="53" t="s">
        <v>82</v>
      </c>
      <c r="F22" s="53"/>
      <c r="G22" s="54" t="s">
        <v>249</v>
      </c>
      <c r="H22" s="54" t="s">
        <v>170</v>
      </c>
      <c r="I22" s="9" t="s">
        <v>41</v>
      </c>
      <c r="J22" s="9" t="s">
        <v>42</v>
      </c>
      <c r="K22" s="9"/>
      <c r="L22" s="9"/>
      <c r="M22" s="9"/>
      <c r="N22" s="9"/>
      <c r="O22" s="9"/>
      <c r="P22" s="9"/>
      <c r="Q22" s="9"/>
      <c r="R22" s="50"/>
      <c r="S22" s="51"/>
      <c r="T22" s="70"/>
      <c r="U22" s="71"/>
    </row>
    <row r="23" spans="1:21" s="11" customFormat="1">
      <c r="A23" s="9">
        <v>10</v>
      </c>
      <c r="B23" s="9"/>
      <c r="C23" s="9"/>
      <c r="D23" s="53" t="s">
        <v>70</v>
      </c>
      <c r="E23" s="53" t="s">
        <v>82</v>
      </c>
      <c r="F23" s="53"/>
      <c r="G23" s="54" t="s">
        <v>250</v>
      </c>
      <c r="H23" s="54" t="s">
        <v>171</v>
      </c>
      <c r="I23" s="9" t="s">
        <v>41</v>
      </c>
      <c r="J23" s="9" t="s">
        <v>42</v>
      </c>
      <c r="K23" s="9"/>
      <c r="L23" s="9"/>
      <c r="M23" s="9"/>
      <c r="N23" s="9"/>
      <c r="O23" s="9"/>
      <c r="P23" s="9"/>
      <c r="Q23" s="9"/>
      <c r="R23" s="50"/>
      <c r="S23" s="51"/>
      <c r="T23" s="70"/>
      <c r="U23" s="71"/>
    </row>
    <row r="24" spans="1:21" s="11" customFormat="1">
      <c r="A24" s="9">
        <v>10</v>
      </c>
      <c r="B24" s="9"/>
      <c r="C24" s="9"/>
      <c r="D24" s="53" t="s">
        <v>39</v>
      </c>
      <c r="E24" s="53" t="s">
        <v>83</v>
      </c>
      <c r="F24" s="53"/>
      <c r="G24" s="54" t="s">
        <v>251</v>
      </c>
      <c r="H24" s="54" t="s">
        <v>172</v>
      </c>
      <c r="I24" s="9" t="s">
        <v>41</v>
      </c>
      <c r="J24" s="9" t="s">
        <v>42</v>
      </c>
      <c r="K24" s="9"/>
      <c r="L24" s="9"/>
      <c r="M24" s="9"/>
      <c r="N24" s="9"/>
      <c r="O24" s="9"/>
      <c r="P24" s="9"/>
      <c r="Q24" s="9"/>
      <c r="R24" s="50"/>
      <c r="S24" s="51"/>
      <c r="T24" s="70"/>
      <c r="U24" s="71"/>
    </row>
    <row r="25" spans="1:21" s="11" customFormat="1">
      <c r="A25" s="9">
        <v>10</v>
      </c>
      <c r="B25" s="9"/>
      <c r="C25" s="9"/>
      <c r="D25" s="53" t="s">
        <v>71</v>
      </c>
      <c r="E25" s="53" t="s">
        <v>84</v>
      </c>
      <c r="F25" s="53"/>
      <c r="G25" s="54" t="s">
        <v>252</v>
      </c>
      <c r="H25" s="54" t="s">
        <v>173</v>
      </c>
      <c r="I25" s="9" t="s">
        <v>41</v>
      </c>
      <c r="J25" s="9" t="s">
        <v>42</v>
      </c>
      <c r="K25" s="9"/>
      <c r="L25" s="9"/>
      <c r="M25" s="9"/>
      <c r="N25" s="9"/>
      <c r="O25" s="9"/>
      <c r="P25" s="9"/>
      <c r="Q25" s="9"/>
      <c r="R25" s="50"/>
      <c r="S25" s="51"/>
      <c r="T25" s="70"/>
      <c r="U25" s="71"/>
    </row>
    <row r="26" spans="1:21" s="11" customFormat="1">
      <c r="A26" s="9">
        <v>10</v>
      </c>
      <c r="B26" s="9"/>
      <c r="C26" s="9"/>
      <c r="D26" s="53" t="s">
        <v>30</v>
      </c>
      <c r="E26" s="53" t="s">
        <v>85</v>
      </c>
      <c r="F26" s="53"/>
      <c r="G26" s="54" t="s">
        <v>253</v>
      </c>
      <c r="H26" s="54" t="s">
        <v>174</v>
      </c>
      <c r="I26" s="9" t="s">
        <v>41</v>
      </c>
      <c r="J26" s="9" t="s">
        <v>42</v>
      </c>
      <c r="K26" s="9"/>
      <c r="L26" s="9"/>
      <c r="M26" s="9"/>
      <c r="N26" s="9"/>
      <c r="O26" s="9"/>
      <c r="P26" s="9"/>
      <c r="Q26" s="9"/>
      <c r="R26" s="50"/>
      <c r="S26" s="51"/>
      <c r="T26" s="70"/>
      <c r="U26" s="71"/>
    </row>
    <row r="27" spans="1:21" s="11" customFormat="1">
      <c r="A27" s="9">
        <v>10</v>
      </c>
      <c r="B27" s="9"/>
      <c r="C27" s="9"/>
      <c r="D27" s="53" t="s">
        <v>31</v>
      </c>
      <c r="E27" s="53" t="s">
        <v>85</v>
      </c>
      <c r="F27" s="53"/>
      <c r="G27" s="54" t="s">
        <v>254</v>
      </c>
      <c r="H27" s="54" t="s">
        <v>175</v>
      </c>
      <c r="I27" s="9" t="s">
        <v>41</v>
      </c>
      <c r="J27" s="9" t="s">
        <v>42</v>
      </c>
      <c r="K27" s="9"/>
      <c r="L27" s="9"/>
      <c r="M27" s="9"/>
      <c r="N27" s="9"/>
      <c r="O27" s="9"/>
      <c r="P27" s="9"/>
      <c r="Q27" s="9"/>
      <c r="R27" s="50"/>
      <c r="S27" s="51"/>
      <c r="T27" s="70"/>
      <c r="U27" s="71"/>
    </row>
    <row r="28" spans="1:21" s="11" customFormat="1">
      <c r="A28" s="9">
        <v>10</v>
      </c>
      <c r="B28" s="9"/>
      <c r="C28" s="9"/>
      <c r="D28" s="53" t="s">
        <v>32</v>
      </c>
      <c r="E28" s="53" t="s">
        <v>85</v>
      </c>
      <c r="F28" s="53"/>
      <c r="G28" s="54" t="s">
        <v>255</v>
      </c>
      <c r="H28" s="54" t="s">
        <v>176</v>
      </c>
      <c r="I28" s="9" t="s">
        <v>41</v>
      </c>
      <c r="J28" s="9" t="s">
        <v>42</v>
      </c>
      <c r="K28" s="9"/>
      <c r="L28" s="9"/>
      <c r="M28" s="9"/>
      <c r="N28" s="9"/>
      <c r="O28" s="9"/>
      <c r="P28" s="9"/>
      <c r="Q28" s="9"/>
      <c r="R28" s="50"/>
      <c r="S28" s="51"/>
      <c r="T28" s="70"/>
      <c r="U28" s="71"/>
    </row>
    <row r="29" spans="1:21" s="11" customFormat="1">
      <c r="A29" s="9">
        <v>10</v>
      </c>
      <c r="B29" s="9"/>
      <c r="C29" s="9"/>
      <c r="D29" s="53" t="s">
        <v>72</v>
      </c>
      <c r="E29" s="53" t="s">
        <v>82</v>
      </c>
      <c r="F29" s="53"/>
      <c r="G29" s="54" t="s">
        <v>256</v>
      </c>
      <c r="H29" s="54" t="s">
        <v>177</v>
      </c>
      <c r="I29" s="9" t="s">
        <v>41</v>
      </c>
      <c r="J29" s="9" t="s">
        <v>42</v>
      </c>
      <c r="K29" s="9"/>
      <c r="L29" s="9"/>
      <c r="M29" s="9"/>
      <c r="N29" s="9"/>
      <c r="O29" s="9"/>
      <c r="P29" s="9"/>
      <c r="Q29" s="9"/>
      <c r="R29" s="50"/>
      <c r="S29" s="51"/>
      <c r="T29" s="70"/>
      <c r="U29" s="71"/>
    </row>
    <row r="30" spans="1:21" s="11" customFormat="1">
      <c r="A30" s="9">
        <v>10</v>
      </c>
      <c r="B30" s="9"/>
      <c r="C30" s="9"/>
      <c r="D30" s="53" t="s">
        <v>73</v>
      </c>
      <c r="E30" s="53" t="s">
        <v>82</v>
      </c>
      <c r="F30" s="53"/>
      <c r="G30" s="54" t="s">
        <v>257</v>
      </c>
      <c r="H30" s="54" t="s">
        <v>178</v>
      </c>
      <c r="I30" s="9" t="s">
        <v>41</v>
      </c>
      <c r="J30" s="9" t="s">
        <v>42</v>
      </c>
      <c r="K30" s="9"/>
      <c r="L30" s="9"/>
      <c r="M30" s="9"/>
      <c r="N30" s="9"/>
      <c r="O30" s="9"/>
      <c r="P30" s="9"/>
      <c r="Q30" s="9"/>
      <c r="R30" s="50"/>
      <c r="S30" s="51"/>
      <c r="T30" s="70"/>
      <c r="U30" s="71"/>
    </row>
    <row r="31" spans="1:21" s="11" customFormat="1">
      <c r="A31" s="9">
        <v>10</v>
      </c>
      <c r="B31" s="9"/>
      <c r="C31" s="9"/>
      <c r="D31" s="53" t="s">
        <v>74</v>
      </c>
      <c r="E31" s="53" t="s">
        <v>86</v>
      </c>
      <c r="F31" s="53"/>
      <c r="G31" s="54" t="s">
        <v>258</v>
      </c>
      <c r="H31" s="54" t="s">
        <v>179</v>
      </c>
      <c r="I31" s="9" t="s">
        <v>41</v>
      </c>
      <c r="J31" s="9" t="s">
        <v>42</v>
      </c>
      <c r="K31" s="9"/>
      <c r="L31" s="9"/>
      <c r="M31" s="9"/>
      <c r="N31" s="9"/>
      <c r="O31" s="9"/>
      <c r="P31" s="9"/>
      <c r="Q31" s="9"/>
      <c r="R31" s="50"/>
      <c r="S31" s="51"/>
      <c r="T31" s="70"/>
      <c r="U31" s="71"/>
    </row>
    <row r="32" spans="1:21" s="11" customFormat="1">
      <c r="A32" s="9">
        <v>10</v>
      </c>
      <c r="B32" s="9"/>
      <c r="C32" s="9"/>
      <c r="D32" s="53" t="s">
        <v>75</v>
      </c>
      <c r="E32" s="53" t="s">
        <v>87</v>
      </c>
      <c r="F32" s="53"/>
      <c r="G32" s="54" t="s">
        <v>259</v>
      </c>
      <c r="H32" s="54" t="s">
        <v>180</v>
      </c>
      <c r="I32" s="9" t="s">
        <v>41</v>
      </c>
      <c r="J32" s="9" t="s">
        <v>42</v>
      </c>
      <c r="K32" s="9"/>
      <c r="L32" s="9"/>
      <c r="M32" s="9"/>
      <c r="N32" s="9"/>
      <c r="O32" s="9"/>
      <c r="P32" s="9"/>
      <c r="Q32" s="9"/>
      <c r="R32" s="50"/>
      <c r="S32" s="51"/>
      <c r="T32" s="70"/>
      <c r="U32" s="71"/>
    </row>
    <row r="33" spans="1:21" s="11" customFormat="1">
      <c r="A33" s="9">
        <v>10</v>
      </c>
      <c r="B33" s="9"/>
      <c r="C33" s="9"/>
      <c r="D33" s="53" t="s">
        <v>76</v>
      </c>
      <c r="E33" s="53" t="s">
        <v>87</v>
      </c>
      <c r="F33" s="53"/>
      <c r="G33" s="54" t="s">
        <v>260</v>
      </c>
      <c r="H33" s="54" t="s">
        <v>181</v>
      </c>
      <c r="I33" s="9" t="s">
        <v>41</v>
      </c>
      <c r="J33" s="9" t="s">
        <v>42</v>
      </c>
      <c r="K33" s="9"/>
      <c r="L33" s="9"/>
      <c r="M33" s="9"/>
      <c r="N33" s="9"/>
      <c r="O33" s="9"/>
      <c r="P33" s="9"/>
      <c r="Q33" s="9"/>
      <c r="R33" s="50"/>
      <c r="S33" s="51"/>
      <c r="T33" s="70"/>
      <c r="U33" s="71"/>
    </row>
    <row r="34" spans="1:21" s="11" customFormat="1">
      <c r="A34" s="9">
        <v>10</v>
      </c>
      <c r="B34" s="9"/>
      <c r="C34" s="9"/>
      <c r="D34" s="53" t="s">
        <v>77</v>
      </c>
      <c r="E34" s="53" t="s">
        <v>88</v>
      </c>
      <c r="F34" s="53"/>
      <c r="G34" s="54" t="s">
        <v>261</v>
      </c>
      <c r="H34" s="54" t="s">
        <v>182</v>
      </c>
      <c r="I34" s="9" t="s">
        <v>41</v>
      </c>
      <c r="J34" s="9" t="s">
        <v>42</v>
      </c>
      <c r="K34" s="9"/>
      <c r="L34" s="9"/>
      <c r="M34" s="9"/>
      <c r="N34" s="9"/>
      <c r="O34" s="9"/>
      <c r="P34" s="9"/>
      <c r="Q34" s="9"/>
      <c r="R34" s="50"/>
      <c r="S34" s="51"/>
      <c r="T34" s="70"/>
      <c r="U34" s="71"/>
    </row>
    <row r="35" spans="1:21" s="11" customFormat="1">
      <c r="A35" s="9">
        <v>10</v>
      </c>
      <c r="B35" s="9"/>
      <c r="C35" s="9"/>
      <c r="D35" s="53" t="s">
        <v>78</v>
      </c>
      <c r="E35" s="53" t="s">
        <v>89</v>
      </c>
      <c r="F35" s="53"/>
      <c r="G35" s="54" t="s">
        <v>262</v>
      </c>
      <c r="H35" s="54" t="s">
        <v>183</v>
      </c>
      <c r="I35" s="9" t="s">
        <v>41</v>
      </c>
      <c r="J35" s="9" t="s">
        <v>42</v>
      </c>
      <c r="K35" s="9"/>
      <c r="L35" s="9"/>
      <c r="M35" s="9"/>
      <c r="N35" s="9"/>
      <c r="O35" s="9"/>
      <c r="P35" s="9"/>
      <c r="Q35" s="9"/>
      <c r="R35" s="50"/>
      <c r="S35" s="51"/>
      <c r="T35" s="70"/>
      <c r="U35" s="71"/>
    </row>
    <row r="36" spans="1:21" s="11" customFormat="1" ht="26">
      <c r="A36" s="9">
        <v>10</v>
      </c>
      <c r="B36" s="9"/>
      <c r="C36" s="9"/>
      <c r="D36" s="53" t="s">
        <v>79</v>
      </c>
      <c r="E36" s="53" t="s">
        <v>147</v>
      </c>
      <c r="F36" s="53"/>
      <c r="G36" s="54" t="s">
        <v>263</v>
      </c>
      <c r="H36" s="54" t="s">
        <v>184</v>
      </c>
      <c r="I36" s="9" t="s">
        <v>41</v>
      </c>
      <c r="J36" s="9" t="s">
        <v>42</v>
      </c>
      <c r="K36" s="9"/>
      <c r="L36" s="9"/>
      <c r="M36" s="9"/>
      <c r="N36" s="9"/>
      <c r="O36" s="9"/>
      <c r="P36" s="9"/>
      <c r="Q36" s="9"/>
      <c r="R36" s="50"/>
      <c r="S36" s="51"/>
      <c r="T36" s="98"/>
      <c r="U36" s="99"/>
    </row>
    <row r="37" spans="1:21" s="11" customFormat="1" ht="52">
      <c r="A37" s="76"/>
      <c r="L37" s="11" t="s">
        <v>235</v>
      </c>
      <c r="M37" s="11" t="s">
        <v>236</v>
      </c>
      <c r="N37" s="11" t="s">
        <v>235</v>
      </c>
      <c r="O37" s="11" t="s">
        <v>236</v>
      </c>
      <c r="P37" s="11" t="s">
        <v>235</v>
      </c>
      <c r="Q37" s="11" t="s">
        <v>236</v>
      </c>
      <c r="U37" s="55"/>
    </row>
    <row r="38" spans="1:21" s="11" customFormat="1">
      <c r="A38" s="9">
        <v>20</v>
      </c>
      <c r="B38" s="37" t="s">
        <v>18</v>
      </c>
      <c r="C38" s="38"/>
      <c r="D38" s="29" t="s">
        <v>34</v>
      </c>
      <c r="E38" s="45" t="s">
        <v>26</v>
      </c>
      <c r="F38" s="56"/>
      <c r="G38" s="29"/>
      <c r="H38" s="47"/>
      <c r="I38" s="57"/>
      <c r="J38" s="58"/>
      <c r="K38" s="58"/>
      <c r="L38" s="34"/>
      <c r="M38" s="34"/>
      <c r="N38" s="34"/>
      <c r="O38" s="34"/>
      <c r="P38" s="34"/>
      <c r="Q38" s="34"/>
      <c r="R38" s="50"/>
      <c r="S38" s="51"/>
      <c r="T38" s="70"/>
      <c r="U38" s="52"/>
    </row>
    <row r="39" spans="1:21" s="11" customFormat="1" ht="26">
      <c r="A39" s="9">
        <v>20</v>
      </c>
      <c r="B39" s="9"/>
      <c r="C39" s="9"/>
      <c r="D39" s="53" t="s">
        <v>102</v>
      </c>
      <c r="E39" s="53" t="s">
        <v>111</v>
      </c>
      <c r="F39" s="53"/>
      <c r="G39" s="54" t="s">
        <v>264</v>
      </c>
      <c r="H39" s="54" t="s">
        <v>185</v>
      </c>
      <c r="I39" s="9" t="s">
        <v>42</v>
      </c>
      <c r="J39" s="9" t="s">
        <v>41</v>
      </c>
      <c r="K39" s="9"/>
      <c r="L39" s="9"/>
      <c r="M39" s="9"/>
      <c r="N39" s="9"/>
      <c r="O39" s="9"/>
      <c r="P39" s="9"/>
      <c r="Q39" s="9"/>
      <c r="R39" s="50"/>
      <c r="S39" s="51"/>
      <c r="T39" s="70"/>
      <c r="U39" s="71"/>
    </row>
    <row r="40" spans="1:21" s="11" customFormat="1">
      <c r="A40" s="85">
        <v>20</v>
      </c>
      <c r="B40" s="85"/>
      <c r="C40" s="85"/>
      <c r="D40" s="84" t="s">
        <v>213</v>
      </c>
      <c r="E40" s="84" t="s">
        <v>215</v>
      </c>
      <c r="F40" s="84"/>
      <c r="G40" s="84" t="s">
        <v>265</v>
      </c>
      <c r="H40" s="84" t="s">
        <v>218</v>
      </c>
      <c r="I40" s="85" t="s">
        <v>42</v>
      </c>
      <c r="J40" s="85" t="s">
        <v>41</v>
      </c>
      <c r="K40" s="85" t="s">
        <v>217</v>
      </c>
      <c r="L40" s="85"/>
      <c r="M40" s="85"/>
      <c r="N40" s="85"/>
      <c r="O40" s="85"/>
      <c r="P40" s="85"/>
      <c r="Q40" s="85"/>
      <c r="R40" s="86"/>
      <c r="S40" s="87"/>
      <c r="T40" s="100"/>
      <c r="U40" s="101"/>
    </row>
    <row r="41" spans="1:21" s="11" customFormat="1">
      <c r="A41" s="85">
        <v>20</v>
      </c>
      <c r="B41" s="85"/>
      <c r="C41" s="85"/>
      <c r="D41" s="84" t="s">
        <v>214</v>
      </c>
      <c r="E41" s="84" t="s">
        <v>216</v>
      </c>
      <c r="F41" s="84"/>
      <c r="G41" s="84" t="s">
        <v>266</v>
      </c>
      <c r="H41" s="84" t="s">
        <v>219</v>
      </c>
      <c r="I41" s="85" t="s">
        <v>42</v>
      </c>
      <c r="J41" s="85" t="s">
        <v>41</v>
      </c>
      <c r="K41" s="85"/>
      <c r="L41" s="85"/>
      <c r="M41" s="85"/>
      <c r="N41" s="85"/>
      <c r="O41" s="85"/>
      <c r="P41" s="85"/>
      <c r="Q41" s="85"/>
      <c r="R41" s="86"/>
      <c r="S41" s="87"/>
      <c r="T41" s="100"/>
      <c r="U41" s="101"/>
    </row>
    <row r="42" spans="1:21" s="11" customFormat="1" ht="26">
      <c r="A42" s="9">
        <v>20</v>
      </c>
      <c r="B42" s="9"/>
      <c r="C42" s="9"/>
      <c r="D42" s="53" t="s">
        <v>90</v>
      </c>
      <c r="E42" s="53" t="s">
        <v>103</v>
      </c>
      <c r="F42" s="53"/>
      <c r="G42" s="54" t="s">
        <v>267</v>
      </c>
      <c r="H42" s="54" t="s">
        <v>186</v>
      </c>
      <c r="I42" s="9" t="s">
        <v>42</v>
      </c>
      <c r="J42" s="9" t="s">
        <v>41</v>
      </c>
      <c r="K42" s="9" t="s">
        <v>121</v>
      </c>
      <c r="L42" s="9"/>
      <c r="M42" s="9"/>
      <c r="N42" s="9"/>
      <c r="O42" s="9"/>
      <c r="P42" s="9"/>
      <c r="Q42" s="9"/>
      <c r="R42" s="50"/>
      <c r="S42" s="51"/>
      <c r="T42" s="98"/>
      <c r="U42" s="99"/>
    </row>
    <row r="43" spans="1:21" s="11" customFormat="1" ht="26">
      <c r="A43" s="9">
        <v>20</v>
      </c>
      <c r="B43" s="9"/>
      <c r="C43" s="9"/>
      <c r="D43" s="53" t="s">
        <v>91</v>
      </c>
      <c r="E43" s="53" t="s">
        <v>104</v>
      </c>
      <c r="F43" s="53"/>
      <c r="G43" s="54" t="s">
        <v>268</v>
      </c>
      <c r="H43" s="54" t="s">
        <v>187</v>
      </c>
      <c r="I43" s="9" t="s">
        <v>42</v>
      </c>
      <c r="J43" s="9" t="s">
        <v>41</v>
      </c>
      <c r="K43" s="9"/>
      <c r="L43" s="9"/>
      <c r="M43" s="9"/>
      <c r="N43" s="9"/>
      <c r="O43" s="9"/>
      <c r="P43" s="9"/>
      <c r="Q43" s="9"/>
      <c r="R43" s="50"/>
      <c r="S43" s="51"/>
      <c r="T43" s="98"/>
      <c r="U43" s="99"/>
    </row>
    <row r="44" spans="1:21" s="11" customFormat="1">
      <c r="A44" s="9">
        <v>20</v>
      </c>
      <c r="B44" s="9"/>
      <c r="C44" s="9"/>
      <c r="D44" s="53" t="s">
        <v>92</v>
      </c>
      <c r="E44" s="53" t="s">
        <v>82</v>
      </c>
      <c r="F44" s="53"/>
      <c r="G44" s="54" t="s">
        <v>269</v>
      </c>
      <c r="H44" s="54" t="s">
        <v>188</v>
      </c>
      <c r="I44" s="9" t="s">
        <v>42</v>
      </c>
      <c r="J44" s="9" t="s">
        <v>41</v>
      </c>
      <c r="K44" s="9"/>
      <c r="L44" s="9"/>
      <c r="M44" s="9"/>
      <c r="N44" s="9"/>
      <c r="O44" s="9"/>
      <c r="P44" s="9"/>
      <c r="Q44" s="9"/>
      <c r="R44" s="50"/>
      <c r="S44" s="51"/>
      <c r="T44" s="98"/>
      <c r="U44" s="99"/>
    </row>
    <row r="45" spans="1:21" s="11" customFormat="1">
      <c r="A45" s="9">
        <v>20</v>
      </c>
      <c r="B45" s="9"/>
      <c r="C45" s="9"/>
      <c r="D45" s="53" t="s">
        <v>93</v>
      </c>
      <c r="E45" s="53" t="s">
        <v>82</v>
      </c>
      <c r="F45" s="53"/>
      <c r="G45" s="54" t="s">
        <v>270</v>
      </c>
      <c r="H45" s="54" t="s">
        <v>189</v>
      </c>
      <c r="I45" s="9" t="s">
        <v>42</v>
      </c>
      <c r="J45" s="9" t="s">
        <v>41</v>
      </c>
      <c r="K45" s="9"/>
      <c r="L45" s="9"/>
      <c r="M45" s="9"/>
      <c r="N45" s="9"/>
      <c r="O45" s="9"/>
      <c r="P45" s="9"/>
      <c r="Q45" s="9"/>
      <c r="R45" s="50"/>
      <c r="S45" s="51"/>
      <c r="T45" s="98"/>
      <c r="U45" s="99"/>
    </row>
    <row r="46" spans="1:21" s="11" customFormat="1">
      <c r="A46" s="9">
        <v>20</v>
      </c>
      <c r="B46" s="9"/>
      <c r="C46" s="9"/>
      <c r="D46" s="53" t="s">
        <v>39</v>
      </c>
      <c r="E46" s="53" t="s">
        <v>83</v>
      </c>
      <c r="F46" s="53"/>
      <c r="G46" s="54" t="s">
        <v>251</v>
      </c>
      <c r="H46" s="54" t="s">
        <v>172</v>
      </c>
      <c r="I46" s="9" t="s">
        <v>42</v>
      </c>
      <c r="J46" s="9" t="s">
        <v>41</v>
      </c>
      <c r="K46" s="9"/>
      <c r="L46" s="9"/>
      <c r="M46" s="9"/>
      <c r="N46" s="9"/>
      <c r="O46" s="9"/>
      <c r="P46" s="9"/>
      <c r="Q46" s="9"/>
      <c r="R46" s="50"/>
      <c r="S46" s="51"/>
      <c r="T46" s="98"/>
      <c r="U46" s="99"/>
    </row>
    <row r="47" spans="1:21" s="11" customFormat="1">
      <c r="A47" s="9">
        <v>20</v>
      </c>
      <c r="B47" s="9"/>
      <c r="C47" s="9"/>
      <c r="D47" s="53" t="s">
        <v>40</v>
      </c>
      <c r="E47" s="53" t="s">
        <v>84</v>
      </c>
      <c r="F47" s="53"/>
      <c r="G47" s="54" t="s">
        <v>252</v>
      </c>
      <c r="H47" s="54" t="s">
        <v>173</v>
      </c>
      <c r="I47" s="9" t="s">
        <v>42</v>
      </c>
      <c r="J47" s="9" t="s">
        <v>41</v>
      </c>
      <c r="K47" s="9"/>
      <c r="L47" s="9"/>
      <c r="M47" s="9"/>
      <c r="N47" s="9"/>
      <c r="O47" s="9"/>
      <c r="P47" s="9"/>
      <c r="Q47" s="9"/>
      <c r="R47" s="50"/>
      <c r="S47" s="51"/>
      <c r="T47" s="70"/>
      <c r="U47" s="71"/>
    </row>
    <row r="48" spans="1:21" s="11" customFormat="1" ht="26">
      <c r="A48" s="9">
        <v>20</v>
      </c>
      <c r="B48" s="9"/>
      <c r="C48" s="9"/>
      <c r="D48" s="53" t="s">
        <v>101</v>
      </c>
      <c r="E48" s="53" t="s">
        <v>148</v>
      </c>
      <c r="F48" s="53"/>
      <c r="G48" s="54" t="s">
        <v>263</v>
      </c>
      <c r="H48" s="54" t="s">
        <v>184</v>
      </c>
      <c r="I48" s="9" t="s">
        <v>42</v>
      </c>
      <c r="J48" s="9" t="s">
        <v>41</v>
      </c>
      <c r="K48" s="9"/>
      <c r="L48" s="9"/>
      <c r="M48" s="9"/>
      <c r="N48" s="9"/>
      <c r="O48" s="9"/>
      <c r="P48" s="9"/>
      <c r="Q48" s="9"/>
      <c r="R48" s="50"/>
      <c r="S48" s="51"/>
      <c r="T48" s="98"/>
      <c r="U48" s="99"/>
    </row>
    <row r="49" spans="1:21" s="11" customFormat="1">
      <c r="A49" s="9">
        <v>20</v>
      </c>
      <c r="B49" s="9"/>
      <c r="C49" s="9"/>
      <c r="D49" s="53" t="s">
        <v>99</v>
      </c>
      <c r="E49" s="53" t="s">
        <v>109</v>
      </c>
      <c r="F49" s="53"/>
      <c r="G49" s="54" t="s">
        <v>261</v>
      </c>
      <c r="H49" s="54" t="s">
        <v>182</v>
      </c>
      <c r="I49" s="9" t="s">
        <v>42</v>
      </c>
      <c r="J49" s="9" t="s">
        <v>41</v>
      </c>
      <c r="K49" s="9"/>
      <c r="L49" s="9"/>
      <c r="M49" s="9"/>
      <c r="N49" s="9"/>
      <c r="O49" s="9"/>
      <c r="P49" s="9"/>
      <c r="Q49" s="9"/>
      <c r="R49" s="50"/>
      <c r="S49" s="51"/>
      <c r="T49" s="70"/>
      <c r="U49" s="71"/>
    </row>
    <row r="50" spans="1:21" s="11" customFormat="1">
      <c r="A50" s="9">
        <v>20</v>
      </c>
      <c r="B50" s="9"/>
      <c r="C50" s="9"/>
      <c r="D50" s="53" t="s">
        <v>100</v>
      </c>
      <c r="E50" s="53" t="s">
        <v>110</v>
      </c>
      <c r="F50" s="53"/>
      <c r="G50" s="54" t="s">
        <v>262</v>
      </c>
      <c r="H50" s="54" t="s">
        <v>183</v>
      </c>
      <c r="I50" s="9" t="s">
        <v>42</v>
      </c>
      <c r="J50" s="9" t="s">
        <v>41</v>
      </c>
      <c r="K50" s="9"/>
      <c r="L50" s="9"/>
      <c r="M50" s="9"/>
      <c r="N50" s="9"/>
      <c r="O50" s="9"/>
      <c r="P50" s="9"/>
      <c r="Q50" s="9"/>
      <c r="R50" s="50"/>
      <c r="S50" s="51"/>
      <c r="T50" s="98"/>
      <c r="U50" s="99"/>
    </row>
    <row r="51" spans="1:21" s="11" customFormat="1">
      <c r="A51" s="9">
        <v>20</v>
      </c>
      <c r="B51" s="9"/>
      <c r="C51" s="9"/>
      <c r="D51" s="53" t="s">
        <v>154</v>
      </c>
      <c r="E51" s="53" t="s">
        <v>112</v>
      </c>
      <c r="F51" s="53"/>
      <c r="G51" s="54" t="s">
        <v>271</v>
      </c>
      <c r="H51" s="54" t="s">
        <v>190</v>
      </c>
      <c r="I51" s="9" t="s">
        <v>42</v>
      </c>
      <c r="J51" s="9" t="s">
        <v>41</v>
      </c>
      <c r="K51" s="9"/>
      <c r="L51" s="9"/>
      <c r="M51" s="9"/>
      <c r="N51" s="9"/>
      <c r="O51" s="9"/>
      <c r="P51" s="9"/>
      <c r="Q51" s="9"/>
      <c r="R51" s="50"/>
      <c r="S51" s="51"/>
      <c r="T51" s="98"/>
      <c r="U51" s="99"/>
    </row>
    <row r="52" spans="1:21" s="11" customFormat="1">
      <c r="A52" s="9">
        <v>20</v>
      </c>
      <c r="B52" s="9"/>
      <c r="C52" s="9"/>
      <c r="D52" s="53" t="s">
        <v>98</v>
      </c>
      <c r="E52" s="53" t="s">
        <v>108</v>
      </c>
      <c r="F52" s="53"/>
      <c r="G52" s="54" t="s">
        <v>272</v>
      </c>
      <c r="H52" s="54" t="s">
        <v>191</v>
      </c>
      <c r="I52" s="9" t="s">
        <v>42</v>
      </c>
      <c r="J52" s="9" t="s">
        <v>41</v>
      </c>
      <c r="K52" s="9"/>
      <c r="L52" s="9"/>
      <c r="M52" s="9"/>
      <c r="N52" s="9"/>
      <c r="O52" s="9"/>
      <c r="P52" s="9"/>
      <c r="Q52" s="9"/>
      <c r="R52" s="50"/>
      <c r="S52" s="51"/>
      <c r="T52" s="98"/>
      <c r="U52" s="99"/>
    </row>
    <row r="53" spans="1:21" s="11" customFormat="1">
      <c r="A53" s="9">
        <v>20</v>
      </c>
      <c r="B53" s="9"/>
      <c r="C53" s="9"/>
      <c r="D53" s="53" t="s">
        <v>97</v>
      </c>
      <c r="E53" s="53" t="s">
        <v>107</v>
      </c>
      <c r="F53" s="53"/>
      <c r="G53" s="54" t="s">
        <v>273</v>
      </c>
      <c r="H53" s="54" t="s">
        <v>192</v>
      </c>
      <c r="I53" s="9" t="s">
        <v>42</v>
      </c>
      <c r="J53" s="9" t="s">
        <v>41</v>
      </c>
      <c r="K53" s="9"/>
      <c r="L53" s="9"/>
      <c r="M53" s="9"/>
      <c r="N53" s="9"/>
      <c r="O53" s="9"/>
      <c r="P53" s="9"/>
      <c r="Q53" s="9"/>
      <c r="R53" s="50"/>
      <c r="S53" s="51"/>
      <c r="T53" s="98"/>
      <c r="U53" s="99"/>
    </row>
    <row r="54" spans="1:21" s="11" customFormat="1">
      <c r="A54" s="9">
        <v>20</v>
      </c>
      <c r="B54" s="9"/>
      <c r="C54" s="9"/>
      <c r="D54" s="53" t="s">
        <v>94</v>
      </c>
      <c r="E54" s="53" t="s">
        <v>82</v>
      </c>
      <c r="F54" s="53"/>
      <c r="G54" s="54" t="s">
        <v>274</v>
      </c>
      <c r="H54" s="54" t="s">
        <v>193</v>
      </c>
      <c r="I54" s="9" t="s">
        <v>42</v>
      </c>
      <c r="J54" s="9" t="s">
        <v>41</v>
      </c>
      <c r="K54" s="9"/>
      <c r="L54" s="9"/>
      <c r="M54" s="9"/>
      <c r="N54" s="9"/>
      <c r="O54" s="9"/>
      <c r="P54" s="9"/>
      <c r="Q54" s="9"/>
      <c r="R54" s="50"/>
      <c r="S54" s="51"/>
      <c r="T54" s="98"/>
      <c r="U54" s="99"/>
    </row>
    <row r="55" spans="1:21" s="11" customFormat="1">
      <c r="A55" s="9">
        <v>20</v>
      </c>
      <c r="B55" s="9"/>
      <c r="C55" s="9"/>
      <c r="D55" s="53" t="s">
        <v>95</v>
      </c>
      <c r="E55" s="53" t="s">
        <v>105</v>
      </c>
      <c r="F55" s="53"/>
      <c r="G55" s="54" t="s">
        <v>275</v>
      </c>
      <c r="H55" s="54" t="s">
        <v>194</v>
      </c>
      <c r="I55" s="9" t="s">
        <v>42</v>
      </c>
      <c r="J55" s="9" t="s">
        <v>41</v>
      </c>
      <c r="K55" s="9"/>
      <c r="L55" s="9"/>
      <c r="M55" s="9"/>
      <c r="N55" s="9"/>
      <c r="O55" s="9"/>
      <c r="P55" s="9"/>
      <c r="Q55" s="9"/>
      <c r="R55" s="50"/>
      <c r="S55" s="51"/>
      <c r="T55" s="98"/>
      <c r="U55" s="99"/>
    </row>
    <row r="56" spans="1:21" s="11" customFormat="1">
      <c r="A56" s="9">
        <v>20</v>
      </c>
      <c r="B56" s="9"/>
      <c r="C56" s="9"/>
      <c r="D56" s="53" t="s">
        <v>96</v>
      </c>
      <c r="E56" s="53" t="s">
        <v>106</v>
      </c>
      <c r="F56" s="53"/>
      <c r="G56" s="54" t="s">
        <v>258</v>
      </c>
      <c r="H56" s="54" t="s">
        <v>179</v>
      </c>
      <c r="I56" s="9" t="s">
        <v>42</v>
      </c>
      <c r="J56" s="9" t="s">
        <v>41</v>
      </c>
      <c r="K56" s="9"/>
      <c r="L56" s="9"/>
      <c r="M56" s="9"/>
      <c r="N56" s="9"/>
      <c r="O56" s="9"/>
      <c r="P56" s="9"/>
      <c r="Q56" s="9"/>
      <c r="R56" s="50"/>
      <c r="S56" s="51"/>
      <c r="T56" s="70"/>
      <c r="U56" s="71"/>
    </row>
    <row r="57" spans="1:21" s="11" customFormat="1">
      <c r="A57" s="9">
        <v>20</v>
      </c>
      <c r="B57" s="9"/>
      <c r="C57" s="9"/>
      <c r="D57" s="53" t="s">
        <v>30</v>
      </c>
      <c r="E57" s="53" t="s">
        <v>85</v>
      </c>
      <c r="F57" s="53"/>
      <c r="G57" s="54" t="s">
        <v>253</v>
      </c>
      <c r="H57" s="54" t="s">
        <v>174</v>
      </c>
      <c r="I57" s="9" t="s">
        <v>42</v>
      </c>
      <c r="J57" s="9" t="s">
        <v>41</v>
      </c>
      <c r="K57" s="9"/>
      <c r="L57" s="9"/>
      <c r="M57" s="9"/>
      <c r="N57" s="9"/>
      <c r="O57" s="9"/>
      <c r="P57" s="9"/>
      <c r="Q57" s="9"/>
      <c r="R57" s="50"/>
      <c r="S57" s="51"/>
      <c r="T57" s="70"/>
      <c r="U57" s="71"/>
    </row>
    <row r="58" spans="1:21" s="11" customFormat="1">
      <c r="A58" s="9">
        <v>20</v>
      </c>
      <c r="B58" s="9"/>
      <c r="C58" s="9"/>
      <c r="D58" s="53" t="s">
        <v>31</v>
      </c>
      <c r="E58" s="53" t="s">
        <v>85</v>
      </c>
      <c r="F58" s="53"/>
      <c r="G58" s="54" t="s">
        <v>254</v>
      </c>
      <c r="H58" s="54" t="s">
        <v>175</v>
      </c>
      <c r="I58" s="9" t="s">
        <v>42</v>
      </c>
      <c r="J58" s="9" t="s">
        <v>41</v>
      </c>
      <c r="K58" s="9"/>
      <c r="L58" s="9"/>
      <c r="M58" s="9"/>
      <c r="N58" s="9"/>
      <c r="O58" s="9"/>
      <c r="P58" s="9"/>
      <c r="Q58" s="9"/>
      <c r="R58" s="50"/>
      <c r="S58" s="51"/>
      <c r="T58" s="70"/>
      <c r="U58" s="71"/>
    </row>
    <row r="59" spans="1:21" s="11" customFormat="1">
      <c r="A59" s="9">
        <v>20</v>
      </c>
      <c r="B59" s="9"/>
      <c r="C59" s="9"/>
      <c r="D59" s="53" t="s">
        <v>32</v>
      </c>
      <c r="E59" s="53" t="s">
        <v>85</v>
      </c>
      <c r="F59" s="53"/>
      <c r="G59" s="54" t="s">
        <v>255</v>
      </c>
      <c r="H59" s="54" t="s">
        <v>176</v>
      </c>
      <c r="I59" s="9" t="s">
        <v>42</v>
      </c>
      <c r="J59" s="9" t="s">
        <v>41</v>
      </c>
      <c r="K59" s="9"/>
      <c r="L59" s="9"/>
      <c r="M59" s="9"/>
      <c r="N59" s="9"/>
      <c r="O59" s="9"/>
      <c r="P59" s="9"/>
      <c r="Q59" s="9"/>
      <c r="R59" s="50"/>
      <c r="S59" s="51"/>
      <c r="T59" s="98"/>
      <c r="U59" s="99"/>
    </row>
    <row r="60" spans="1:21" s="11" customFormat="1">
      <c r="A60" s="9">
        <v>20</v>
      </c>
      <c r="B60" s="9"/>
      <c r="C60" s="9"/>
      <c r="D60" s="53" t="s">
        <v>43</v>
      </c>
      <c r="E60" s="53" t="s">
        <v>113</v>
      </c>
      <c r="F60" s="53"/>
      <c r="G60" s="54" t="s">
        <v>276</v>
      </c>
      <c r="H60" s="54" t="s">
        <v>195</v>
      </c>
      <c r="I60" s="9" t="s">
        <v>42</v>
      </c>
      <c r="J60" s="9" t="s">
        <v>41</v>
      </c>
      <c r="K60" s="9"/>
      <c r="L60" s="9"/>
      <c r="M60" s="9"/>
      <c r="N60" s="9"/>
      <c r="O60" s="9"/>
      <c r="P60" s="9"/>
      <c r="Q60" s="9"/>
      <c r="R60" s="50"/>
      <c r="S60" s="51"/>
      <c r="T60" s="98"/>
      <c r="U60" s="99"/>
    </row>
    <row r="61" spans="1:21" s="11" customFormat="1">
      <c r="A61" s="9">
        <v>20</v>
      </c>
      <c r="B61" s="9"/>
      <c r="C61" s="9"/>
      <c r="D61" s="53" t="s">
        <v>44</v>
      </c>
      <c r="E61" s="53" t="s">
        <v>114</v>
      </c>
      <c r="F61" s="53"/>
      <c r="G61" s="54" t="s">
        <v>277</v>
      </c>
      <c r="H61" s="54" t="s">
        <v>196</v>
      </c>
      <c r="I61" s="9" t="s">
        <v>42</v>
      </c>
      <c r="J61" s="9" t="s">
        <v>41</v>
      </c>
      <c r="K61" s="9"/>
      <c r="L61" s="9"/>
      <c r="M61" s="9"/>
      <c r="N61" s="9"/>
      <c r="O61" s="9"/>
      <c r="P61" s="9"/>
      <c r="Q61" s="9"/>
      <c r="R61" s="50"/>
      <c r="S61" s="51"/>
      <c r="T61" s="70"/>
      <c r="U61" s="71"/>
    </row>
    <row r="62" spans="1:21" s="11" customFormat="1">
      <c r="A62" s="9">
        <v>20</v>
      </c>
      <c r="B62" s="9"/>
      <c r="C62" s="9"/>
      <c r="D62" s="53" t="s">
        <v>45</v>
      </c>
      <c r="E62" s="53" t="s">
        <v>115</v>
      </c>
      <c r="F62" s="53"/>
      <c r="G62" s="54" t="s">
        <v>278</v>
      </c>
      <c r="H62" s="54" t="s">
        <v>197</v>
      </c>
      <c r="I62" s="9" t="s">
        <v>42</v>
      </c>
      <c r="J62" s="9" t="s">
        <v>41</v>
      </c>
      <c r="K62" s="9"/>
      <c r="L62" s="9"/>
      <c r="M62" s="9"/>
      <c r="N62" s="9"/>
      <c r="O62" s="9"/>
      <c r="P62" s="9"/>
      <c r="Q62" s="9"/>
      <c r="R62" s="50"/>
      <c r="S62" s="51"/>
      <c r="T62" s="70"/>
      <c r="U62" s="71"/>
    </row>
    <row r="63" spans="1:21" s="11" customFormat="1">
      <c r="A63" s="9">
        <v>20</v>
      </c>
      <c r="B63" s="9"/>
      <c r="C63" s="9"/>
      <c r="D63" s="53" t="s">
        <v>46</v>
      </c>
      <c r="E63" s="53" t="s">
        <v>116</v>
      </c>
      <c r="F63" s="53"/>
      <c r="G63" s="54" t="s">
        <v>279</v>
      </c>
      <c r="H63" s="54" t="s">
        <v>198</v>
      </c>
      <c r="I63" s="9" t="s">
        <v>42</v>
      </c>
      <c r="J63" s="9" t="s">
        <v>41</v>
      </c>
      <c r="K63" s="9"/>
      <c r="L63" s="9"/>
      <c r="M63" s="9"/>
      <c r="N63" s="9"/>
      <c r="O63" s="9"/>
      <c r="P63" s="9"/>
      <c r="Q63" s="9"/>
      <c r="R63" s="50"/>
      <c r="S63" s="51"/>
      <c r="T63" s="70"/>
      <c r="U63" s="71"/>
    </row>
    <row r="64" spans="1:21" s="11" customFormat="1">
      <c r="A64" s="9">
        <v>20</v>
      </c>
      <c r="B64" s="9"/>
      <c r="C64" s="9"/>
      <c r="D64" s="53" t="s">
        <v>47</v>
      </c>
      <c r="E64" s="53" t="s">
        <v>117</v>
      </c>
      <c r="F64" s="53"/>
      <c r="G64" s="54" t="s">
        <v>280</v>
      </c>
      <c r="H64" s="54" t="s">
        <v>199</v>
      </c>
      <c r="I64" s="9" t="s">
        <v>42</v>
      </c>
      <c r="J64" s="9" t="s">
        <v>41</v>
      </c>
      <c r="K64" s="9"/>
      <c r="L64" s="9"/>
      <c r="M64" s="9"/>
      <c r="N64" s="9"/>
      <c r="O64" s="9"/>
      <c r="P64" s="9"/>
      <c r="Q64" s="9"/>
      <c r="R64" s="50"/>
      <c r="S64" s="51"/>
      <c r="T64" s="98"/>
      <c r="U64" s="99"/>
    </row>
    <row r="65" spans="1:21" s="11" customFormat="1">
      <c r="A65" s="9">
        <v>20</v>
      </c>
      <c r="B65" s="9"/>
      <c r="C65" s="9"/>
      <c r="D65" s="53" t="s">
        <v>48</v>
      </c>
      <c r="E65" s="53" t="s">
        <v>113</v>
      </c>
      <c r="F65" s="53"/>
      <c r="G65" s="54" t="s">
        <v>281</v>
      </c>
      <c r="H65" s="54" t="s">
        <v>200</v>
      </c>
      <c r="I65" s="9" t="s">
        <v>42</v>
      </c>
      <c r="J65" s="9" t="s">
        <v>41</v>
      </c>
      <c r="K65" s="9"/>
      <c r="L65" s="9"/>
      <c r="M65" s="9"/>
      <c r="N65" s="9"/>
      <c r="O65" s="9"/>
      <c r="P65" s="9"/>
      <c r="Q65" s="9"/>
      <c r="R65" s="50"/>
      <c r="S65" s="51"/>
      <c r="T65" s="98"/>
      <c r="U65" s="99"/>
    </row>
    <row r="66" spans="1:21" s="11" customFormat="1">
      <c r="A66" s="9">
        <v>20</v>
      </c>
      <c r="B66" s="9"/>
      <c r="C66" s="9"/>
      <c r="D66" s="53" t="s">
        <v>35</v>
      </c>
      <c r="E66" s="53" t="s">
        <v>114</v>
      </c>
      <c r="F66" s="53"/>
      <c r="G66" s="54" t="s">
        <v>282</v>
      </c>
      <c r="H66" s="54" t="s">
        <v>201</v>
      </c>
      <c r="I66" s="9" t="s">
        <v>42</v>
      </c>
      <c r="J66" s="9" t="s">
        <v>41</v>
      </c>
      <c r="K66" s="9"/>
      <c r="L66" s="9"/>
      <c r="M66" s="9"/>
      <c r="N66" s="9"/>
      <c r="O66" s="9"/>
      <c r="P66" s="9"/>
      <c r="Q66" s="9"/>
      <c r="R66" s="50"/>
      <c r="S66" s="51"/>
      <c r="T66" s="98"/>
      <c r="U66" s="99"/>
    </row>
    <row r="67" spans="1:21" s="11" customFormat="1">
      <c r="A67" s="9">
        <v>20</v>
      </c>
      <c r="B67" s="9"/>
      <c r="C67" s="9"/>
      <c r="D67" s="53" t="s">
        <v>49</v>
      </c>
      <c r="E67" s="53" t="s">
        <v>115</v>
      </c>
      <c r="F67" s="53"/>
      <c r="G67" s="54" t="s">
        <v>283</v>
      </c>
      <c r="H67" s="54" t="s">
        <v>202</v>
      </c>
      <c r="I67" s="9" t="s">
        <v>42</v>
      </c>
      <c r="J67" s="9" t="s">
        <v>41</v>
      </c>
      <c r="K67" s="9"/>
      <c r="L67" s="9"/>
      <c r="M67" s="9"/>
      <c r="N67" s="9"/>
      <c r="O67" s="9"/>
      <c r="P67" s="9"/>
      <c r="Q67" s="9"/>
      <c r="R67" s="50"/>
      <c r="S67" s="51"/>
      <c r="T67" s="98"/>
      <c r="U67" s="99"/>
    </row>
    <row r="68" spans="1:21" s="11" customFormat="1">
      <c r="A68" s="9">
        <v>20</v>
      </c>
      <c r="B68" s="9"/>
      <c r="C68" s="9"/>
      <c r="D68" s="53" t="s">
        <v>50</v>
      </c>
      <c r="E68" s="53" t="s">
        <v>116</v>
      </c>
      <c r="F68" s="53"/>
      <c r="G68" s="54" t="s">
        <v>284</v>
      </c>
      <c r="H68" s="54" t="s">
        <v>203</v>
      </c>
      <c r="I68" s="9" t="s">
        <v>42</v>
      </c>
      <c r="J68" s="9" t="s">
        <v>41</v>
      </c>
      <c r="K68" s="9"/>
      <c r="L68" s="9"/>
      <c r="M68" s="9"/>
      <c r="N68" s="9"/>
      <c r="O68" s="9"/>
      <c r="P68" s="9"/>
      <c r="Q68" s="9"/>
      <c r="R68" s="50"/>
      <c r="S68" s="51"/>
      <c r="T68" s="98"/>
      <c r="U68" s="99"/>
    </row>
    <row r="69" spans="1:21" s="11" customFormat="1">
      <c r="A69" s="9">
        <v>20</v>
      </c>
      <c r="B69" s="9"/>
      <c r="C69" s="9"/>
      <c r="D69" s="53" t="s">
        <v>51</v>
      </c>
      <c r="E69" s="53" t="s">
        <v>117</v>
      </c>
      <c r="F69" s="53"/>
      <c r="G69" s="54" t="s">
        <v>285</v>
      </c>
      <c r="H69" s="54" t="s">
        <v>204</v>
      </c>
      <c r="I69" s="9" t="s">
        <v>42</v>
      </c>
      <c r="J69" s="9" t="s">
        <v>41</v>
      </c>
      <c r="K69" s="9"/>
      <c r="L69" s="9"/>
      <c r="M69" s="9"/>
      <c r="N69" s="9"/>
      <c r="O69" s="9"/>
      <c r="P69" s="9"/>
      <c r="Q69" s="9"/>
      <c r="R69" s="50"/>
      <c r="S69" s="51"/>
      <c r="T69" s="98"/>
      <c r="U69" s="99"/>
    </row>
    <row r="70" spans="1:21" s="11" customFormat="1">
      <c r="A70" s="9">
        <v>20</v>
      </c>
      <c r="B70" s="9"/>
      <c r="C70" s="9"/>
      <c r="D70" s="53" t="s">
        <v>52</v>
      </c>
      <c r="E70" s="53" t="s">
        <v>118</v>
      </c>
      <c r="F70" s="53"/>
      <c r="G70" s="54" t="s">
        <v>286</v>
      </c>
      <c r="H70" s="54" t="s">
        <v>205</v>
      </c>
      <c r="I70" s="9" t="s">
        <v>42</v>
      </c>
      <c r="J70" s="9" t="s">
        <v>41</v>
      </c>
      <c r="K70" s="9"/>
      <c r="L70" s="9"/>
      <c r="M70" s="9"/>
      <c r="N70" s="9"/>
      <c r="O70" s="9"/>
      <c r="P70" s="9"/>
      <c r="Q70" s="9"/>
      <c r="R70" s="50"/>
      <c r="S70" s="51"/>
      <c r="T70" s="98"/>
      <c r="U70" s="99"/>
    </row>
    <row r="71" spans="1:21" s="11" customFormat="1">
      <c r="A71" s="9">
        <v>20</v>
      </c>
      <c r="B71" s="9"/>
      <c r="C71" s="9"/>
      <c r="D71" s="53" t="s">
        <v>151</v>
      </c>
      <c r="E71" s="53" t="s">
        <v>152</v>
      </c>
      <c r="F71" s="53"/>
      <c r="G71" s="54" t="s">
        <v>287</v>
      </c>
      <c r="H71" s="54" t="s">
        <v>206</v>
      </c>
      <c r="I71" s="9" t="s">
        <v>42</v>
      </c>
      <c r="J71" s="9" t="s">
        <v>41</v>
      </c>
      <c r="K71" s="9"/>
      <c r="L71" s="9"/>
      <c r="M71" s="9"/>
      <c r="N71" s="9"/>
      <c r="O71" s="9"/>
      <c r="P71" s="9"/>
      <c r="Q71" s="9"/>
      <c r="R71" s="50"/>
      <c r="S71" s="51"/>
      <c r="T71" s="98"/>
      <c r="U71" s="99"/>
    </row>
    <row r="72" spans="1:21" s="11" customFormat="1">
      <c r="A72" s="59"/>
      <c r="B72" s="30"/>
      <c r="C72" s="30"/>
      <c r="D72" s="60" t="s">
        <v>0</v>
      </c>
      <c r="E72" s="31"/>
      <c r="F72" s="32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61"/>
    </row>
    <row r="73" spans="1:21" s="11" customFormat="1">
      <c r="A73" s="76"/>
      <c r="U73" s="55"/>
    </row>
    <row r="74" spans="1:21" s="11" customFormat="1">
      <c r="A74" s="76"/>
      <c r="U74" s="55"/>
    </row>
    <row r="75" spans="1:21" s="11" customFormat="1">
      <c r="A75" s="76"/>
      <c r="U75" s="55"/>
    </row>
    <row r="76" spans="1:21" s="11" customFormat="1">
      <c r="A76" s="81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20"/>
    </row>
  </sheetData>
  <sheetProtection formatCells="0" formatColumns="0" formatRows="0" insertColumns="0" insertRows="0" insertHyperlinks="0" deleteColumns="0" deleteRows="0"/>
  <mergeCells count="34">
    <mergeCell ref="T43:U43"/>
    <mergeCell ref="T44:U44"/>
    <mergeCell ref="T45:U45"/>
    <mergeCell ref="T46:U46"/>
    <mergeCell ref="T71:U71"/>
    <mergeCell ref="T48:U48"/>
    <mergeCell ref="T54:U54"/>
    <mergeCell ref="T70:U70"/>
    <mergeCell ref="T65:U65"/>
    <mergeCell ref="T66:U66"/>
    <mergeCell ref="T69:U69"/>
    <mergeCell ref="T68:U68"/>
    <mergeCell ref="T64:U64"/>
    <mergeCell ref="T59:U59"/>
    <mergeCell ref="T60:U60"/>
    <mergeCell ref="T51:U51"/>
    <mergeCell ref="T12:U12"/>
    <mergeCell ref="T14:U14"/>
    <mergeCell ref="T15:U15"/>
    <mergeCell ref="T20:U20"/>
    <mergeCell ref="T42:U42"/>
    <mergeCell ref="T13:U13"/>
    <mergeCell ref="T36:U36"/>
    <mergeCell ref="T19:U19"/>
    <mergeCell ref="T18:U18"/>
    <mergeCell ref="T16:U16"/>
    <mergeCell ref="T17:U17"/>
    <mergeCell ref="T40:U40"/>
    <mergeCell ref="T41:U41"/>
    <mergeCell ref="T67:U67"/>
    <mergeCell ref="T55:U55"/>
    <mergeCell ref="T53:U53"/>
    <mergeCell ref="T52:U52"/>
    <mergeCell ref="T50:U50"/>
  </mergeCells>
  <phoneticPr fontId="2"/>
  <pageMargins left="0.2" right="0.43307086614173229" top="0.55118110236220474" bottom="0.38" header="0.55118110236220474" footer="0.11811023622047245"/>
  <pageSetup paperSize="9" scale="42" orientation="landscape" cellComments="asDisplayed" horizontalDpi="4294967292" vertic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F8462-E996-4B78-8CBF-CB8477CC5ACC}">
  <sheetPr>
    <pageSetUpPr fitToPage="1"/>
  </sheetPr>
  <dimension ref="A1:U18"/>
  <sheetViews>
    <sheetView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6328125" style="28" customWidth="1"/>
    <col min="6" max="6" width="7.453125" style="62" bestFit="1" customWidth="1"/>
    <col min="7" max="7" width="30.81640625" style="27" customWidth="1"/>
    <col min="8" max="8" width="35.453125" style="27" bestFit="1" customWidth="1"/>
    <col min="9" max="10" width="15.81640625" style="27" customWidth="1"/>
    <col min="11" max="11" width="20.1796875" style="27" bestFit="1" customWidth="1"/>
    <col min="12" max="12" width="11.81640625" style="27" customWidth="1"/>
    <col min="13" max="13" width="12.81640625" style="27" bestFit="1" customWidth="1"/>
    <col min="14" max="14" width="50.6328125" style="27" customWidth="1"/>
    <col min="15" max="15" width="12.81640625" style="27" bestFit="1" customWidth="1"/>
    <col min="16" max="16" width="9.453125" style="27" bestFit="1" customWidth="1"/>
    <col min="17" max="17" width="9.90625" style="27" bestFit="1" customWidth="1"/>
    <col min="18" max="18" width="30.81640625" style="27" customWidth="1"/>
    <col min="19" max="19" width="13.90625" style="28" bestFit="1" customWidth="1"/>
    <col min="20" max="20" width="17.1796875" style="28" customWidth="1"/>
    <col min="21" max="16384" width="9" style="28"/>
  </cols>
  <sheetData>
    <row r="1" spans="1:21" s="11" customFormat="1">
      <c r="A1" s="72" t="s">
        <v>24</v>
      </c>
      <c r="B1" s="72" t="s">
        <v>24</v>
      </c>
      <c r="C1" s="72"/>
      <c r="D1" s="1" t="s">
        <v>26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1" s="11" customFormat="1" ht="40" customHeight="1">
      <c r="A2" s="73" t="s">
        <v>24</v>
      </c>
      <c r="B2" s="74"/>
      <c r="C2" s="74"/>
      <c r="D2" s="88" t="s">
        <v>225</v>
      </c>
      <c r="E2" s="7" t="s">
        <v>2</v>
      </c>
      <c r="F2" s="75" t="str">
        <f>IF(LogicCommon!C2="","",LogicCommon!C2)</f>
        <v>MB</v>
      </c>
      <c r="G2" s="7" t="s">
        <v>3</v>
      </c>
      <c r="H2" s="75" t="str">
        <f>IF(LogicCommon!E2="","",LogicCommon!E2)</f>
        <v>MBBEL0050</v>
      </c>
      <c r="I2" s="7" t="s">
        <v>54</v>
      </c>
      <c r="J2" s="9" t="s">
        <v>136</v>
      </c>
      <c r="K2" s="7" t="s">
        <v>17</v>
      </c>
      <c r="L2" s="75" t="str">
        <f>IF(LogicCommon!G2="","",LogicCommon!G2)</f>
        <v>MC</v>
      </c>
      <c r="M2" s="5" t="s">
        <v>55</v>
      </c>
      <c r="N2" s="29" t="s">
        <v>163</v>
      </c>
      <c r="O2" s="7"/>
      <c r="P2" s="7"/>
      <c r="Q2" s="4"/>
      <c r="R2" s="5"/>
      <c r="S2" s="5"/>
      <c r="T2" s="5"/>
    </row>
    <row r="3" spans="1:21" s="11" customFormat="1">
      <c r="A3" s="76" t="s">
        <v>24</v>
      </c>
      <c r="B3" s="77"/>
      <c r="C3" s="77"/>
      <c r="D3" s="78"/>
      <c r="E3" s="7" t="s">
        <v>4</v>
      </c>
      <c r="F3" s="75" t="str">
        <f>IF(LogicCommon!C3="","",LogicCommon!C3)</f>
        <v>MBBE</v>
      </c>
      <c r="G3" s="7" t="s">
        <v>5</v>
      </c>
      <c r="H3" s="75" t="str">
        <f>IF(LogicCommon!E3="","",LogicCommon!E3)</f>
        <v>MBBEL_BizDatDLHstSrch</v>
      </c>
      <c r="I3" s="7" t="s">
        <v>56</v>
      </c>
      <c r="J3" s="9" t="s">
        <v>123</v>
      </c>
      <c r="K3" s="7" t="s">
        <v>16</v>
      </c>
      <c r="L3" s="75"/>
      <c r="M3" s="79" t="s">
        <v>28</v>
      </c>
      <c r="N3" s="7"/>
      <c r="O3" s="7" t="s">
        <v>57</v>
      </c>
      <c r="P3" s="9" t="s">
        <v>58</v>
      </c>
      <c r="Q3" s="4"/>
      <c r="R3" s="5"/>
      <c r="S3" s="5"/>
      <c r="T3" s="5"/>
    </row>
    <row r="4" spans="1:21" s="11" customFormat="1">
      <c r="A4" s="76" t="s">
        <v>24</v>
      </c>
      <c r="B4" s="77"/>
      <c r="C4" s="77"/>
      <c r="D4" s="4"/>
      <c r="E4" s="7" t="s">
        <v>29</v>
      </c>
      <c r="F4" s="10" t="s">
        <v>59</v>
      </c>
      <c r="G4" s="7" t="s">
        <v>6</v>
      </c>
      <c r="H4" s="75" t="str">
        <f>IF(LogicCommon!E4="","",LogicCommon!E4)</f>
        <v>業務データダウンロード履歴一覧</v>
      </c>
      <c r="I4" s="7" t="s">
        <v>60</v>
      </c>
      <c r="J4" s="9" t="s">
        <v>137</v>
      </c>
      <c r="K4" s="7" t="s">
        <v>7</v>
      </c>
      <c r="L4" s="75" t="str">
        <f>IF(LogicCommon!G4="","",LogicCommon!G4)</f>
        <v>MB.MBUDL5010</v>
      </c>
      <c r="M4" s="80"/>
      <c r="N4" s="29"/>
      <c r="O4" s="13"/>
      <c r="P4" s="4"/>
      <c r="Q4" s="4"/>
      <c r="R4" s="5"/>
      <c r="S4" s="5"/>
      <c r="T4" s="5"/>
    </row>
    <row r="5" spans="1:21" s="11" customFormat="1">
      <c r="A5" s="81" t="s">
        <v>24</v>
      </c>
      <c r="B5" s="72"/>
      <c r="C5" s="72"/>
      <c r="D5" s="26"/>
      <c r="E5" s="7" t="s">
        <v>61</v>
      </c>
      <c r="F5" s="10"/>
      <c r="G5" s="82"/>
      <c r="H5" s="82"/>
      <c r="I5" s="82"/>
      <c r="J5" s="82"/>
      <c r="K5" s="82"/>
      <c r="L5" s="6"/>
      <c r="M5" s="5"/>
      <c r="N5" s="5"/>
      <c r="O5" s="13"/>
      <c r="P5" s="4"/>
      <c r="Q5" s="4"/>
      <c r="R5" s="5"/>
      <c r="S5" s="5"/>
      <c r="T5" s="5"/>
    </row>
    <row r="6" spans="1:21" s="11" customFormat="1">
      <c r="A6" s="76" t="s">
        <v>24</v>
      </c>
      <c r="B6" s="77"/>
      <c r="C6" s="77"/>
      <c r="D6" s="4" t="s">
        <v>8</v>
      </c>
      <c r="E6" s="17" t="s">
        <v>160</v>
      </c>
      <c r="F6" s="17"/>
      <c r="G6" s="17"/>
      <c r="H6" s="17"/>
      <c r="I6" s="17"/>
      <c r="J6" s="17"/>
      <c r="K6" s="17"/>
      <c r="L6" s="83"/>
      <c r="M6" s="19" t="s">
        <v>53</v>
      </c>
      <c r="N6" s="19"/>
      <c r="O6" s="19" t="s">
        <v>53</v>
      </c>
      <c r="P6" s="19"/>
      <c r="Q6" s="19" t="s">
        <v>53</v>
      </c>
      <c r="R6" s="5"/>
      <c r="S6" s="27"/>
      <c r="T6" s="27"/>
      <c r="U6" s="27"/>
    </row>
    <row r="7" spans="1:21" s="11" customFormat="1">
      <c r="A7" s="30" t="s">
        <v>19</v>
      </c>
      <c r="B7" s="30"/>
      <c r="C7" s="30"/>
      <c r="D7" s="31"/>
      <c r="E7" s="31"/>
      <c r="F7" s="32"/>
      <c r="G7" s="31"/>
      <c r="H7" s="31"/>
      <c r="I7" s="31" t="s">
        <v>20</v>
      </c>
      <c r="J7" s="31"/>
      <c r="K7" s="9" t="s">
        <v>119</v>
      </c>
      <c r="L7" s="33" t="s">
        <v>21</v>
      </c>
      <c r="M7" s="34"/>
      <c r="N7" s="33" t="s">
        <v>21</v>
      </c>
      <c r="O7" s="34"/>
      <c r="P7" s="33" t="s">
        <v>21</v>
      </c>
      <c r="Q7" s="34"/>
      <c r="R7" s="5"/>
      <c r="S7" s="27"/>
      <c r="T7" s="27"/>
      <c r="U7" s="27"/>
    </row>
    <row r="8" spans="1:21" s="11" customFormat="1" ht="60" customHeight="1">
      <c r="A8" s="53" t="s">
        <v>19</v>
      </c>
      <c r="B8" s="91"/>
      <c r="C8" s="92"/>
      <c r="D8" s="89" t="s">
        <v>226</v>
      </c>
      <c r="E8" s="89" t="s">
        <v>227</v>
      </c>
      <c r="F8" s="83"/>
      <c r="G8" s="89" t="s">
        <v>62</v>
      </c>
      <c r="H8" s="89" t="s">
        <v>228</v>
      </c>
      <c r="I8" s="83"/>
      <c r="J8" s="3"/>
      <c r="K8" s="9" t="s">
        <v>120</v>
      </c>
      <c r="L8" s="33" t="s">
        <v>22</v>
      </c>
      <c r="M8" s="34"/>
      <c r="N8" s="33"/>
      <c r="O8" s="34"/>
      <c r="P8" s="33"/>
      <c r="Q8" s="34"/>
      <c r="R8" s="93"/>
      <c r="S8" s="94"/>
      <c r="T8" s="95" t="s">
        <v>229</v>
      </c>
      <c r="U8" s="51"/>
    </row>
    <row r="9" spans="1:21" s="11" customFormat="1" ht="60" customHeight="1">
      <c r="A9" s="9" t="s">
        <v>19</v>
      </c>
      <c r="B9" s="37"/>
      <c r="C9" s="38"/>
      <c r="D9" s="89" t="s">
        <v>288</v>
      </c>
      <c r="E9" s="96" t="s">
        <v>289</v>
      </c>
      <c r="F9" s="89" t="s">
        <v>232</v>
      </c>
      <c r="G9" s="89" t="s">
        <v>233</v>
      </c>
      <c r="H9" s="89" t="s">
        <v>234</v>
      </c>
      <c r="I9" s="97" t="s">
        <v>235</v>
      </c>
      <c r="J9" s="89" t="s">
        <v>236</v>
      </c>
      <c r="K9" s="88"/>
      <c r="L9" s="33"/>
      <c r="M9" s="33"/>
      <c r="N9" s="33"/>
      <c r="O9" s="33"/>
      <c r="P9" s="33"/>
      <c r="Q9" s="33"/>
      <c r="R9" s="95" t="s">
        <v>237</v>
      </c>
      <c r="S9" s="51"/>
      <c r="T9" s="95" t="s">
        <v>238</v>
      </c>
      <c r="U9" s="51"/>
    </row>
    <row r="10" spans="1:21" s="11" customFormat="1" ht="52">
      <c r="A10" s="39" t="s">
        <v>19</v>
      </c>
      <c r="B10" s="40"/>
      <c r="C10" s="40"/>
      <c r="D10" s="41"/>
      <c r="E10" s="42"/>
      <c r="F10" s="43"/>
      <c r="G10" s="44"/>
      <c r="H10" s="44"/>
      <c r="I10" s="42"/>
      <c r="J10" s="42"/>
      <c r="K10" s="68"/>
      <c r="L10" s="90" t="s">
        <v>235</v>
      </c>
      <c r="M10" s="90" t="s">
        <v>236</v>
      </c>
      <c r="N10" s="90" t="s">
        <v>235</v>
      </c>
      <c r="O10" s="90" t="s">
        <v>236</v>
      </c>
      <c r="P10" s="90" t="s">
        <v>235</v>
      </c>
      <c r="Q10" s="90" t="s">
        <v>236</v>
      </c>
      <c r="R10" s="42"/>
      <c r="S10" s="42"/>
      <c r="T10" s="44"/>
      <c r="U10" s="36"/>
    </row>
    <row r="11" spans="1:21" s="11" customFormat="1">
      <c r="A11" s="9">
        <v>10</v>
      </c>
      <c r="B11" s="37" t="s">
        <v>24</v>
      </c>
      <c r="C11" s="38"/>
      <c r="D11" s="29" t="s">
        <v>138</v>
      </c>
      <c r="E11" s="35" t="s">
        <v>150</v>
      </c>
      <c r="F11" s="46"/>
      <c r="G11" s="29"/>
      <c r="H11" s="47"/>
      <c r="I11" s="48"/>
      <c r="J11" s="49"/>
      <c r="K11" s="69"/>
      <c r="L11" s="34"/>
      <c r="M11" s="34"/>
      <c r="N11" s="34"/>
      <c r="O11" s="34"/>
      <c r="P11" s="34"/>
      <c r="Q11" s="34"/>
      <c r="R11" s="50"/>
      <c r="S11" s="51"/>
      <c r="T11" s="70"/>
      <c r="U11" s="52"/>
    </row>
    <row r="12" spans="1:21" s="11" customFormat="1" ht="26">
      <c r="A12" s="9">
        <v>10</v>
      </c>
      <c r="B12" s="9"/>
      <c r="C12" s="9"/>
      <c r="D12" s="53" t="s">
        <v>126</v>
      </c>
      <c r="E12" s="53" t="s">
        <v>111</v>
      </c>
      <c r="F12" s="53"/>
      <c r="G12" s="54" t="s">
        <v>264</v>
      </c>
      <c r="H12" s="54" t="s">
        <v>185</v>
      </c>
      <c r="I12" s="9" t="s">
        <v>41</v>
      </c>
      <c r="J12" s="9" t="s">
        <v>42</v>
      </c>
      <c r="K12" s="9"/>
      <c r="L12" s="9"/>
      <c r="M12" s="9"/>
      <c r="N12" s="9"/>
      <c r="O12" s="9"/>
      <c r="P12" s="9"/>
      <c r="Q12" s="9"/>
      <c r="R12" s="50"/>
      <c r="S12" s="51"/>
      <c r="T12" s="98"/>
      <c r="U12" s="99"/>
    </row>
    <row r="13" spans="1:21" s="11" customFormat="1">
      <c r="A13" s="9">
        <v>10</v>
      </c>
      <c r="B13" s="9"/>
      <c r="C13" s="9"/>
      <c r="D13" s="53" t="s">
        <v>95</v>
      </c>
      <c r="E13" s="53" t="s">
        <v>105</v>
      </c>
      <c r="F13" s="53"/>
      <c r="G13" s="54" t="s">
        <v>275</v>
      </c>
      <c r="H13" s="54" t="s">
        <v>194</v>
      </c>
      <c r="I13" s="9" t="s">
        <v>41</v>
      </c>
      <c r="J13" s="9" t="s">
        <v>42</v>
      </c>
      <c r="K13" s="9"/>
      <c r="L13" s="9"/>
      <c r="M13" s="9"/>
      <c r="N13" s="9"/>
      <c r="O13" s="9"/>
      <c r="P13" s="9"/>
      <c r="Q13" s="9"/>
      <c r="R13" s="50"/>
      <c r="S13" s="51"/>
      <c r="T13" s="98"/>
      <c r="U13" s="99"/>
    </row>
    <row r="14" spans="1:21" s="11" customFormat="1">
      <c r="A14" s="59"/>
      <c r="B14" s="30"/>
      <c r="C14" s="30"/>
      <c r="D14" s="60" t="s">
        <v>0</v>
      </c>
      <c r="E14" s="31"/>
      <c r="F14" s="32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61"/>
    </row>
    <row r="15" spans="1:21" s="11" customFormat="1">
      <c r="A15" s="76"/>
      <c r="U15" s="55"/>
    </row>
    <row r="16" spans="1:21" s="11" customFormat="1">
      <c r="A16" s="76"/>
      <c r="U16" s="55"/>
    </row>
    <row r="17" spans="1:21" s="11" customFormat="1">
      <c r="A17" s="76"/>
      <c r="U17" s="55"/>
    </row>
    <row r="18" spans="1:21" s="11" customFormat="1">
      <c r="A18" s="81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20"/>
    </row>
  </sheetData>
  <sheetProtection formatCells="0" formatColumns="0" formatRows="0" insertColumns="0" insertRows="0" insertHyperlinks="0" deleteColumns="0" deleteRows="0"/>
  <mergeCells count="2">
    <mergeCell ref="T12:U12"/>
    <mergeCell ref="T13:U13"/>
  </mergeCells>
  <phoneticPr fontId="2"/>
  <pageMargins left="0.2" right="0.43307086614173229" top="0.55118110236220474" bottom="0.38" header="0.55118110236220474" footer="0.11811023622047245"/>
  <pageSetup paperSize="9" scale="42" orientation="landscape" cellComments="asDisplayed" horizontalDpi="4294967292" vertic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B2941-4EE9-4313-8B72-783C1799B313}">
  <sheetPr>
    <pageSetUpPr fitToPage="1"/>
  </sheetPr>
  <dimension ref="A1:U21"/>
  <sheetViews>
    <sheetView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6328125" style="28" customWidth="1"/>
    <col min="6" max="6" width="7.453125" style="62" bestFit="1" customWidth="1"/>
    <col min="7" max="7" width="30.81640625" style="27" customWidth="1"/>
    <col min="8" max="8" width="36" style="27" customWidth="1"/>
    <col min="9" max="10" width="15.81640625" style="27" customWidth="1"/>
    <col min="11" max="11" width="20.1796875" style="27" bestFit="1" customWidth="1"/>
    <col min="12" max="12" width="11.81640625" style="27" customWidth="1"/>
    <col min="13" max="13" width="12.81640625" style="27" bestFit="1" customWidth="1"/>
    <col min="14" max="14" width="50.6328125" style="27" customWidth="1"/>
    <col min="15" max="15" width="12.81640625" style="27" bestFit="1" customWidth="1"/>
    <col min="16" max="16" width="9.453125" style="27" bestFit="1" customWidth="1"/>
    <col min="17" max="17" width="9.90625" style="27" bestFit="1" customWidth="1"/>
    <col min="18" max="18" width="30.81640625" style="27" customWidth="1"/>
    <col min="19" max="19" width="13.90625" style="28" bestFit="1" customWidth="1"/>
    <col min="20" max="20" width="17.1796875" style="28" customWidth="1"/>
    <col min="21" max="16384" width="9" style="28"/>
  </cols>
  <sheetData>
    <row r="1" spans="1:21" s="11" customFormat="1">
      <c r="A1" s="72" t="s">
        <v>24</v>
      </c>
      <c r="B1" s="72" t="s">
        <v>24</v>
      </c>
      <c r="C1" s="72"/>
      <c r="D1" s="1" t="s">
        <v>26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1" s="11" customFormat="1" ht="40" customHeight="1">
      <c r="A2" s="73" t="s">
        <v>24</v>
      </c>
      <c r="B2" s="74"/>
      <c r="C2" s="74"/>
      <c r="D2" s="88" t="s">
        <v>225</v>
      </c>
      <c r="E2" s="7" t="s">
        <v>2</v>
      </c>
      <c r="F2" s="75" t="str">
        <f>IF(LogicCommon!C2="","",LogicCommon!C2)</f>
        <v>MB</v>
      </c>
      <c r="G2" s="7" t="s">
        <v>3</v>
      </c>
      <c r="H2" s="75" t="str">
        <f>IF(LogicCommon!E2="","",LogicCommon!E2)</f>
        <v>MBBEL0050</v>
      </c>
      <c r="I2" s="7" t="s">
        <v>54</v>
      </c>
      <c r="J2" s="9" t="s">
        <v>122</v>
      </c>
      <c r="K2" s="7" t="s">
        <v>17</v>
      </c>
      <c r="L2" s="75" t="str">
        <f>IF(LogicCommon!G2="","",LogicCommon!G2)</f>
        <v>MC</v>
      </c>
      <c r="M2" s="5" t="s">
        <v>55</v>
      </c>
      <c r="N2" s="29" t="s">
        <v>164</v>
      </c>
      <c r="O2" s="7"/>
      <c r="P2" s="7"/>
      <c r="Q2" s="4"/>
      <c r="R2" s="5"/>
      <c r="S2" s="5"/>
      <c r="T2" s="5"/>
    </row>
    <row r="3" spans="1:21" s="11" customFormat="1">
      <c r="A3" s="76" t="s">
        <v>24</v>
      </c>
      <c r="B3" s="77"/>
      <c r="C3" s="77"/>
      <c r="D3" s="78"/>
      <c r="E3" s="7" t="s">
        <v>4</v>
      </c>
      <c r="F3" s="75" t="str">
        <f>IF(LogicCommon!C3="","",LogicCommon!C3)</f>
        <v>MBBE</v>
      </c>
      <c r="G3" s="7" t="s">
        <v>5</v>
      </c>
      <c r="H3" s="75" t="str">
        <f>IF(LogicCommon!E3="","",LogicCommon!E3)</f>
        <v>MBBEL_BizDatDLHstSrch</v>
      </c>
      <c r="I3" s="7" t="s">
        <v>56</v>
      </c>
      <c r="J3" s="9" t="s">
        <v>123</v>
      </c>
      <c r="K3" s="7" t="s">
        <v>16</v>
      </c>
      <c r="L3" s="75"/>
      <c r="M3" s="79" t="s">
        <v>28</v>
      </c>
      <c r="N3" s="7"/>
      <c r="O3" s="7" t="s">
        <v>57</v>
      </c>
      <c r="P3" s="9" t="s">
        <v>58</v>
      </c>
      <c r="Q3" s="4"/>
      <c r="R3" s="5"/>
      <c r="S3" s="5"/>
      <c r="T3" s="5"/>
    </row>
    <row r="4" spans="1:21" s="11" customFormat="1">
      <c r="A4" s="76" t="s">
        <v>24</v>
      </c>
      <c r="B4" s="77"/>
      <c r="C4" s="77"/>
      <c r="D4" s="4"/>
      <c r="E4" s="7" t="s">
        <v>29</v>
      </c>
      <c r="F4" s="10" t="s">
        <v>59</v>
      </c>
      <c r="G4" s="7" t="s">
        <v>6</v>
      </c>
      <c r="H4" s="75" t="str">
        <f>IF(LogicCommon!E4="","",LogicCommon!E4)</f>
        <v>業務データダウンロード履歴一覧</v>
      </c>
      <c r="I4" s="7" t="s">
        <v>60</v>
      </c>
      <c r="J4" s="9" t="s">
        <v>124</v>
      </c>
      <c r="K4" s="7" t="s">
        <v>7</v>
      </c>
      <c r="L4" s="75" t="str">
        <f>IF(LogicCommon!G4="","",LogicCommon!G4)</f>
        <v>MB.MBUDL5010</v>
      </c>
      <c r="M4" s="80"/>
      <c r="N4" s="29"/>
      <c r="O4" s="13"/>
      <c r="P4" s="4"/>
      <c r="Q4" s="4"/>
      <c r="R4" s="5"/>
      <c r="S4" s="5"/>
      <c r="T4" s="5"/>
    </row>
    <row r="5" spans="1:21" s="11" customFormat="1">
      <c r="A5" s="81" t="s">
        <v>24</v>
      </c>
      <c r="B5" s="72"/>
      <c r="C5" s="72"/>
      <c r="D5" s="26"/>
      <c r="E5" s="7" t="s">
        <v>61</v>
      </c>
      <c r="F5" s="10"/>
      <c r="G5" s="82"/>
      <c r="H5" s="82"/>
      <c r="I5" s="82"/>
      <c r="J5" s="82"/>
      <c r="K5" s="82"/>
      <c r="L5" s="6"/>
      <c r="M5" s="5"/>
      <c r="N5" s="5"/>
      <c r="O5" s="13"/>
      <c r="P5" s="4"/>
      <c r="Q5" s="4"/>
      <c r="R5" s="5"/>
      <c r="S5" s="5"/>
      <c r="T5" s="5"/>
    </row>
    <row r="6" spans="1:21" s="11" customFormat="1">
      <c r="A6" s="76" t="s">
        <v>24</v>
      </c>
      <c r="B6" s="77"/>
      <c r="C6" s="77"/>
      <c r="D6" s="4" t="s">
        <v>8</v>
      </c>
      <c r="E6" s="17" t="s">
        <v>135</v>
      </c>
      <c r="F6" s="17"/>
      <c r="G6" s="17"/>
      <c r="H6" s="17"/>
      <c r="I6" s="17"/>
      <c r="J6" s="17"/>
      <c r="K6" s="17"/>
      <c r="L6" s="83"/>
      <c r="M6" s="19" t="s">
        <v>53</v>
      </c>
      <c r="N6" s="19"/>
      <c r="O6" s="19" t="s">
        <v>53</v>
      </c>
      <c r="P6" s="19"/>
      <c r="Q6" s="19" t="s">
        <v>53</v>
      </c>
      <c r="R6" s="5"/>
      <c r="S6" s="27"/>
      <c r="T6" s="27"/>
      <c r="U6" s="27"/>
    </row>
    <row r="7" spans="1:21" s="11" customFormat="1">
      <c r="A7" s="30" t="s">
        <v>19</v>
      </c>
      <c r="B7" s="30"/>
      <c r="C7" s="30"/>
      <c r="D7" s="31"/>
      <c r="E7" s="31"/>
      <c r="F7" s="32"/>
      <c r="G7" s="31"/>
      <c r="H7" s="31"/>
      <c r="I7" s="31" t="s">
        <v>20</v>
      </c>
      <c r="J7" s="31"/>
      <c r="K7" s="9" t="s">
        <v>132</v>
      </c>
      <c r="L7" s="33" t="s">
        <v>21</v>
      </c>
      <c r="M7" s="34"/>
      <c r="N7" s="33" t="s">
        <v>21</v>
      </c>
      <c r="O7" s="34"/>
      <c r="P7" s="33" t="s">
        <v>21</v>
      </c>
      <c r="Q7" s="34"/>
      <c r="R7" s="5"/>
      <c r="S7" s="27"/>
      <c r="T7" s="27"/>
      <c r="U7" s="27"/>
    </row>
    <row r="8" spans="1:21" s="11" customFormat="1" ht="60" customHeight="1">
      <c r="A8" s="53" t="s">
        <v>19</v>
      </c>
      <c r="B8" s="91"/>
      <c r="C8" s="92"/>
      <c r="D8" s="89" t="s">
        <v>226</v>
      </c>
      <c r="E8" s="89" t="s">
        <v>227</v>
      </c>
      <c r="F8" s="83"/>
      <c r="G8" s="89" t="s">
        <v>62</v>
      </c>
      <c r="H8" s="89" t="s">
        <v>228</v>
      </c>
      <c r="I8" s="83"/>
      <c r="J8" s="3"/>
      <c r="K8" s="9" t="s">
        <v>133</v>
      </c>
      <c r="L8" s="33" t="s">
        <v>22</v>
      </c>
      <c r="M8" s="34"/>
      <c r="N8" s="33"/>
      <c r="O8" s="34"/>
      <c r="P8" s="33"/>
      <c r="Q8" s="34"/>
      <c r="R8" s="93"/>
      <c r="S8" s="94"/>
      <c r="T8" s="95" t="s">
        <v>229</v>
      </c>
      <c r="U8" s="51"/>
    </row>
    <row r="9" spans="1:21" s="11" customFormat="1" ht="60" customHeight="1">
      <c r="A9" s="9" t="s">
        <v>19</v>
      </c>
      <c r="B9" s="37"/>
      <c r="C9" s="38"/>
      <c r="D9" s="89" t="s">
        <v>288</v>
      </c>
      <c r="E9" s="96" t="s">
        <v>289</v>
      </c>
      <c r="F9" s="89" t="s">
        <v>232</v>
      </c>
      <c r="G9" s="89" t="s">
        <v>233</v>
      </c>
      <c r="H9" s="89" t="s">
        <v>234</v>
      </c>
      <c r="I9" s="97" t="s">
        <v>235</v>
      </c>
      <c r="J9" s="89" t="s">
        <v>236</v>
      </c>
      <c r="K9" s="88"/>
      <c r="L9" s="33"/>
      <c r="M9" s="33"/>
      <c r="N9" s="33"/>
      <c r="O9" s="33"/>
      <c r="P9" s="33"/>
      <c r="Q9" s="33"/>
      <c r="R9" s="95" t="s">
        <v>237</v>
      </c>
      <c r="S9" s="51"/>
      <c r="T9" s="95" t="s">
        <v>238</v>
      </c>
      <c r="U9" s="51"/>
    </row>
    <row r="10" spans="1:21" s="11" customFormat="1" ht="52">
      <c r="A10" s="39" t="s">
        <v>19</v>
      </c>
      <c r="B10" s="40"/>
      <c r="C10" s="40"/>
      <c r="D10" s="41"/>
      <c r="E10" s="42"/>
      <c r="F10" s="43"/>
      <c r="G10" s="44"/>
      <c r="H10" s="44"/>
      <c r="I10" s="42"/>
      <c r="J10" s="42"/>
      <c r="K10" s="68"/>
      <c r="L10" s="90" t="s">
        <v>235</v>
      </c>
      <c r="M10" s="90" t="s">
        <v>236</v>
      </c>
      <c r="N10" s="90" t="s">
        <v>235</v>
      </c>
      <c r="O10" s="90" t="s">
        <v>236</v>
      </c>
      <c r="P10" s="90" t="s">
        <v>235</v>
      </c>
      <c r="Q10" s="90" t="s">
        <v>236</v>
      </c>
      <c r="R10" s="42"/>
      <c r="S10" s="42"/>
      <c r="T10" s="44"/>
      <c r="U10" s="36"/>
    </row>
    <row r="11" spans="1:21" s="11" customFormat="1">
      <c r="A11" s="9">
        <v>10</v>
      </c>
      <c r="B11" s="37" t="s">
        <v>24</v>
      </c>
      <c r="C11" s="38"/>
      <c r="D11" s="29" t="s">
        <v>125</v>
      </c>
      <c r="E11" s="45" t="s">
        <v>26</v>
      </c>
      <c r="F11" s="46"/>
      <c r="G11" s="29"/>
      <c r="H11" s="47"/>
      <c r="I11" s="48"/>
      <c r="J11" s="49"/>
      <c r="K11" s="69"/>
      <c r="L11" s="34"/>
      <c r="M11" s="34"/>
      <c r="N11" s="34"/>
      <c r="O11" s="34"/>
      <c r="P11" s="34"/>
      <c r="Q11" s="34"/>
      <c r="R11" s="50"/>
      <c r="S11" s="51"/>
      <c r="T11" s="70"/>
      <c r="U11" s="52"/>
    </row>
    <row r="12" spans="1:21" s="11" customFormat="1">
      <c r="A12" s="9">
        <v>10</v>
      </c>
      <c r="B12" s="9"/>
      <c r="C12" s="9"/>
      <c r="D12" s="9" t="s">
        <v>128</v>
      </c>
      <c r="E12" s="53" t="s">
        <v>129</v>
      </c>
      <c r="F12" s="53"/>
      <c r="G12" s="54" t="s">
        <v>290</v>
      </c>
      <c r="H12" s="54" t="s">
        <v>130</v>
      </c>
      <c r="I12" s="9" t="s">
        <v>41</v>
      </c>
      <c r="J12" s="9" t="s">
        <v>41</v>
      </c>
      <c r="K12" s="9"/>
      <c r="L12" s="9"/>
      <c r="M12" s="9"/>
      <c r="N12" s="9"/>
      <c r="O12" s="9"/>
      <c r="P12" s="9"/>
      <c r="Q12" s="9"/>
      <c r="R12" s="50"/>
      <c r="S12" s="51"/>
      <c r="T12" s="98"/>
      <c r="U12" s="99"/>
    </row>
    <row r="13" spans="1:21" s="11" customFormat="1">
      <c r="A13" s="9">
        <v>10</v>
      </c>
      <c r="B13" s="9"/>
      <c r="C13" s="9"/>
      <c r="D13" s="9" t="s">
        <v>80</v>
      </c>
      <c r="E13" s="53" t="s">
        <v>36</v>
      </c>
      <c r="F13" s="53"/>
      <c r="G13" s="54" t="s">
        <v>242</v>
      </c>
      <c r="H13" s="54" t="s">
        <v>131</v>
      </c>
      <c r="I13" s="9" t="s">
        <v>42</v>
      </c>
      <c r="J13" s="9" t="s">
        <v>41</v>
      </c>
      <c r="K13" s="9"/>
      <c r="L13" s="9"/>
      <c r="M13" s="9"/>
      <c r="N13" s="9"/>
      <c r="O13" s="9"/>
      <c r="P13" s="9"/>
      <c r="Q13" s="9"/>
      <c r="R13" s="50"/>
      <c r="S13" s="51"/>
      <c r="T13" s="98"/>
      <c r="U13" s="99"/>
    </row>
    <row r="14" spans="1:21" s="11" customFormat="1">
      <c r="A14" s="9">
        <v>10</v>
      </c>
      <c r="B14" s="9"/>
      <c r="C14" s="9"/>
      <c r="D14" s="9" t="s">
        <v>144</v>
      </c>
      <c r="E14" s="53" t="s">
        <v>145</v>
      </c>
      <c r="F14" s="53"/>
      <c r="G14" s="54" t="s">
        <v>291</v>
      </c>
      <c r="H14" s="54" t="s">
        <v>146</v>
      </c>
      <c r="I14" s="9" t="s">
        <v>42</v>
      </c>
      <c r="J14" s="9" t="s">
        <v>41</v>
      </c>
      <c r="K14" s="9"/>
      <c r="L14" s="9"/>
      <c r="M14" s="9"/>
      <c r="N14" s="9"/>
      <c r="O14" s="9"/>
      <c r="P14" s="9"/>
      <c r="Q14" s="9"/>
      <c r="R14" s="50"/>
      <c r="S14" s="51"/>
      <c r="T14" s="98"/>
      <c r="U14" s="99"/>
    </row>
    <row r="15" spans="1:21" s="11" customFormat="1" ht="26">
      <c r="A15" s="9">
        <v>10</v>
      </c>
      <c r="B15" s="9"/>
      <c r="C15" s="9"/>
      <c r="D15" s="53" t="s">
        <v>126</v>
      </c>
      <c r="E15" s="53" t="s">
        <v>111</v>
      </c>
      <c r="F15" s="53"/>
      <c r="G15" s="54" t="s">
        <v>264</v>
      </c>
      <c r="H15" s="54" t="s">
        <v>185</v>
      </c>
      <c r="I15" s="9" t="s">
        <v>41</v>
      </c>
      <c r="J15" s="9" t="s">
        <v>41</v>
      </c>
      <c r="K15" s="9" t="s">
        <v>134</v>
      </c>
      <c r="L15" s="9"/>
      <c r="M15" s="9"/>
      <c r="N15" s="9"/>
      <c r="O15" s="9"/>
      <c r="P15" s="9"/>
      <c r="Q15" s="9"/>
      <c r="R15" s="50"/>
      <c r="S15" s="51"/>
      <c r="T15" s="98"/>
      <c r="U15" s="99"/>
    </row>
    <row r="16" spans="1:21" s="11" customFormat="1">
      <c r="A16" s="9">
        <v>10</v>
      </c>
      <c r="B16" s="9"/>
      <c r="C16" s="9"/>
      <c r="D16" s="53" t="s">
        <v>153</v>
      </c>
      <c r="E16" s="53" t="s">
        <v>152</v>
      </c>
      <c r="F16" s="53"/>
      <c r="G16" s="54" t="s">
        <v>287</v>
      </c>
      <c r="H16" s="54" t="s">
        <v>207</v>
      </c>
      <c r="I16" s="9" t="s">
        <v>41</v>
      </c>
      <c r="J16" s="9" t="s">
        <v>41</v>
      </c>
      <c r="K16" s="9"/>
      <c r="L16" s="9"/>
      <c r="M16" s="9"/>
      <c r="N16" s="9"/>
      <c r="O16" s="9"/>
      <c r="P16" s="9"/>
      <c r="Q16" s="9"/>
      <c r="R16" s="50"/>
      <c r="S16" s="51"/>
      <c r="T16" s="98"/>
      <c r="U16" s="99"/>
    </row>
    <row r="17" spans="1:21" s="11" customFormat="1">
      <c r="A17" s="59"/>
      <c r="B17" s="30"/>
      <c r="C17" s="30"/>
      <c r="D17" s="60" t="s">
        <v>0</v>
      </c>
      <c r="E17" s="31"/>
      <c r="F17" s="32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61"/>
    </row>
    <row r="18" spans="1:21" s="11" customFormat="1">
      <c r="A18" s="76"/>
      <c r="U18" s="55"/>
    </row>
    <row r="19" spans="1:21" s="11" customFormat="1">
      <c r="A19" s="76"/>
      <c r="U19" s="55"/>
    </row>
    <row r="20" spans="1:21" s="11" customFormat="1">
      <c r="A20" s="76"/>
      <c r="U20" s="55"/>
    </row>
    <row r="21" spans="1:21" s="11" customFormat="1">
      <c r="A21" s="81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20"/>
    </row>
  </sheetData>
  <sheetProtection formatCells="0" formatColumns="0" formatRows="0" insertColumns="0" insertRows="0" insertHyperlinks="0" deleteColumns="0" deleteRows="0"/>
  <mergeCells count="5">
    <mergeCell ref="T13:U13"/>
    <mergeCell ref="T15:U15"/>
    <mergeCell ref="T14:U14"/>
    <mergeCell ref="T12:U12"/>
    <mergeCell ref="T16:U16"/>
  </mergeCells>
  <phoneticPr fontId="2"/>
  <pageMargins left="0.2" right="0.43307086614173229" top="0.55118110236220474" bottom="0.38" header="0.55118110236220474" footer="0.11811023622047245"/>
  <pageSetup paperSize="9" scale="42" orientation="landscape" cellComments="asDisplayed" horizontalDpi="4294967292" vertic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FA3B7-AF02-4BE5-9142-160FDD3E1EE4}">
  <sheetPr>
    <pageSetUpPr fitToPage="1"/>
  </sheetPr>
  <dimension ref="A1:U21"/>
  <sheetViews>
    <sheetView zoomScale="85" zoomScaleNormal="85" zoomScaleSheetLayoutView="85" workbookViewId="0"/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25.6328125" style="28" customWidth="1"/>
    <col min="6" max="6" width="7.453125" style="62" bestFit="1" customWidth="1"/>
    <col min="7" max="7" width="30.81640625" style="27" customWidth="1"/>
    <col min="8" max="8" width="36" style="27" customWidth="1"/>
    <col min="9" max="10" width="15.81640625" style="27" customWidth="1"/>
    <col min="11" max="11" width="20.1796875" style="27" bestFit="1" customWidth="1"/>
    <col min="12" max="12" width="10.453125" style="27" bestFit="1" customWidth="1"/>
    <col min="13" max="13" width="12.81640625" style="27" bestFit="1" customWidth="1"/>
    <col min="14" max="14" width="50.6328125" style="27" customWidth="1"/>
    <col min="15" max="15" width="12.81640625" style="27" bestFit="1" customWidth="1"/>
    <col min="16" max="16" width="9.453125" style="27" bestFit="1" customWidth="1"/>
    <col min="17" max="17" width="9.90625" style="27" bestFit="1" customWidth="1"/>
    <col min="18" max="18" width="30.81640625" style="27" customWidth="1"/>
    <col min="19" max="19" width="13.90625" style="28" bestFit="1" customWidth="1"/>
    <col min="20" max="20" width="17.1796875" style="28" customWidth="1"/>
    <col min="21" max="16384" width="9" style="28"/>
  </cols>
  <sheetData>
    <row r="1" spans="1:21" s="11" customFormat="1">
      <c r="A1" s="72" t="s">
        <v>24</v>
      </c>
      <c r="B1" s="72" t="s">
        <v>24</v>
      </c>
      <c r="C1" s="72"/>
      <c r="D1" s="1" t="s">
        <v>26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1" s="11" customFormat="1" ht="40" customHeight="1">
      <c r="A2" s="73" t="s">
        <v>24</v>
      </c>
      <c r="B2" s="74"/>
      <c r="C2" s="74"/>
      <c r="D2" s="88" t="s">
        <v>225</v>
      </c>
      <c r="E2" s="7" t="s">
        <v>2</v>
      </c>
      <c r="F2" s="75" t="str">
        <f>IF(LogicCommon!C2="","",LogicCommon!C2)</f>
        <v>MB</v>
      </c>
      <c r="G2" s="7" t="s">
        <v>3</v>
      </c>
      <c r="H2" s="75" t="str">
        <f>IF(LogicCommon!E2="","",LogicCommon!E2)</f>
        <v>MBBEL0050</v>
      </c>
      <c r="I2" s="7" t="s">
        <v>54</v>
      </c>
      <c r="J2" s="9" t="s">
        <v>141</v>
      </c>
      <c r="K2" s="7" t="s">
        <v>17</v>
      </c>
      <c r="L2" s="75" t="str">
        <f>IF(LogicCommon!G2="","",LogicCommon!G2)</f>
        <v>MC</v>
      </c>
      <c r="M2" s="5" t="s">
        <v>55</v>
      </c>
      <c r="N2" s="29" t="s">
        <v>163</v>
      </c>
      <c r="O2" s="7"/>
      <c r="P2" s="7"/>
      <c r="Q2" s="4"/>
      <c r="R2" s="5"/>
      <c r="S2" s="5"/>
      <c r="T2" s="5"/>
    </row>
    <row r="3" spans="1:21" s="11" customFormat="1">
      <c r="A3" s="76" t="s">
        <v>24</v>
      </c>
      <c r="B3" s="77"/>
      <c r="C3" s="77"/>
      <c r="D3" s="78"/>
      <c r="E3" s="7" t="s">
        <v>4</v>
      </c>
      <c r="F3" s="75" t="str">
        <f>IF(LogicCommon!C3="","",LogicCommon!C3)</f>
        <v>MBBE</v>
      </c>
      <c r="G3" s="7" t="s">
        <v>5</v>
      </c>
      <c r="H3" s="75" t="str">
        <f>IF(LogicCommon!E3="","",LogicCommon!E3)</f>
        <v>MBBEL_BizDatDLHstSrch</v>
      </c>
      <c r="I3" s="7" t="s">
        <v>56</v>
      </c>
      <c r="J3" s="9" t="s">
        <v>123</v>
      </c>
      <c r="K3" s="7" t="s">
        <v>16</v>
      </c>
      <c r="L3" s="75"/>
      <c r="M3" s="79" t="s">
        <v>28</v>
      </c>
      <c r="N3" s="7"/>
      <c r="O3" s="7" t="s">
        <v>57</v>
      </c>
      <c r="P3" s="9" t="s">
        <v>58</v>
      </c>
      <c r="Q3" s="4"/>
      <c r="R3" s="5"/>
      <c r="S3" s="5"/>
      <c r="T3" s="5"/>
    </row>
    <row r="4" spans="1:21" s="11" customFormat="1">
      <c r="A4" s="76" t="s">
        <v>24</v>
      </c>
      <c r="B4" s="77"/>
      <c r="C4" s="77"/>
      <c r="D4" s="4"/>
      <c r="E4" s="7" t="s">
        <v>29</v>
      </c>
      <c r="F4" s="10" t="s">
        <v>59</v>
      </c>
      <c r="G4" s="7" t="s">
        <v>6</v>
      </c>
      <c r="H4" s="75" t="str">
        <f>IF(LogicCommon!E4="","",LogicCommon!E4)</f>
        <v>業務データダウンロード履歴一覧</v>
      </c>
      <c r="I4" s="7" t="s">
        <v>60</v>
      </c>
      <c r="J4" s="9" t="s">
        <v>142</v>
      </c>
      <c r="K4" s="7" t="s">
        <v>7</v>
      </c>
      <c r="L4" s="75" t="str">
        <f>IF(LogicCommon!G4="","",LogicCommon!G4)</f>
        <v>MB.MBUDL5010</v>
      </c>
      <c r="M4" s="80"/>
      <c r="N4" s="29"/>
      <c r="O4" s="13"/>
      <c r="P4" s="4"/>
      <c r="Q4" s="4"/>
      <c r="R4" s="5"/>
      <c r="S4" s="5"/>
      <c r="T4" s="5"/>
    </row>
    <row r="5" spans="1:21" s="11" customFormat="1">
      <c r="A5" s="81" t="s">
        <v>24</v>
      </c>
      <c r="B5" s="72"/>
      <c r="C5" s="72"/>
      <c r="D5" s="26"/>
      <c r="E5" s="7" t="s">
        <v>61</v>
      </c>
      <c r="F5" s="10"/>
      <c r="G5" s="82"/>
      <c r="H5" s="82"/>
      <c r="I5" s="82"/>
      <c r="J5" s="82"/>
      <c r="K5" s="82"/>
      <c r="L5" s="6"/>
      <c r="M5" s="5"/>
      <c r="N5" s="5"/>
      <c r="O5" s="13"/>
      <c r="P5" s="4"/>
      <c r="Q5" s="4"/>
      <c r="R5" s="5"/>
      <c r="S5" s="5"/>
      <c r="T5" s="5"/>
    </row>
    <row r="6" spans="1:21" s="11" customFormat="1">
      <c r="A6" s="76" t="s">
        <v>24</v>
      </c>
      <c r="B6" s="77"/>
      <c r="C6" s="77"/>
      <c r="D6" s="4" t="s">
        <v>8</v>
      </c>
      <c r="E6" s="17" t="s">
        <v>143</v>
      </c>
      <c r="F6" s="17"/>
      <c r="G6" s="17"/>
      <c r="H6" s="17"/>
      <c r="I6" s="17"/>
      <c r="J6" s="17"/>
      <c r="K6" s="17"/>
      <c r="L6" s="83"/>
      <c r="M6" s="19" t="s">
        <v>53</v>
      </c>
      <c r="N6" s="19"/>
      <c r="O6" s="19" t="s">
        <v>53</v>
      </c>
      <c r="P6" s="19"/>
      <c r="Q6" s="19" t="s">
        <v>53</v>
      </c>
      <c r="R6" s="5"/>
      <c r="S6" s="27"/>
      <c r="T6" s="27"/>
      <c r="U6" s="27"/>
    </row>
    <row r="7" spans="1:21" s="11" customFormat="1">
      <c r="A7" s="30" t="s">
        <v>19</v>
      </c>
      <c r="B7" s="30"/>
      <c r="C7" s="30"/>
      <c r="D7" s="31"/>
      <c r="E7" s="31"/>
      <c r="F7" s="32"/>
      <c r="G7" s="31"/>
      <c r="H7" s="31"/>
      <c r="I7" s="31" t="s">
        <v>20</v>
      </c>
      <c r="J7" s="31"/>
      <c r="K7" s="9" t="s">
        <v>119</v>
      </c>
      <c r="L7" s="33" t="s">
        <v>21</v>
      </c>
      <c r="M7" s="34"/>
      <c r="N7" s="33" t="s">
        <v>21</v>
      </c>
      <c r="O7" s="34"/>
      <c r="P7" s="33" t="s">
        <v>21</v>
      </c>
      <c r="Q7" s="34"/>
      <c r="R7" s="5"/>
      <c r="S7" s="27"/>
      <c r="T7" s="27"/>
      <c r="U7" s="27"/>
    </row>
    <row r="8" spans="1:21" s="11" customFormat="1" ht="60" customHeight="1">
      <c r="A8" s="53" t="s">
        <v>19</v>
      </c>
      <c r="B8" s="91"/>
      <c r="C8" s="92"/>
      <c r="D8" s="89" t="s">
        <v>226</v>
      </c>
      <c r="E8" s="89" t="s">
        <v>227</v>
      </c>
      <c r="F8" s="83"/>
      <c r="G8" s="89" t="s">
        <v>62</v>
      </c>
      <c r="H8" s="89" t="s">
        <v>228</v>
      </c>
      <c r="I8" s="83"/>
      <c r="J8" s="3"/>
      <c r="K8" s="9" t="s">
        <v>120</v>
      </c>
      <c r="L8" s="33" t="s">
        <v>22</v>
      </c>
      <c r="M8" s="34"/>
      <c r="N8" s="33"/>
      <c r="O8" s="34"/>
      <c r="P8" s="33"/>
      <c r="Q8" s="34"/>
      <c r="R8" s="93"/>
      <c r="S8" s="94"/>
      <c r="T8" s="95" t="s">
        <v>229</v>
      </c>
      <c r="U8" s="51"/>
    </row>
    <row r="9" spans="1:21" s="11" customFormat="1" ht="60" customHeight="1">
      <c r="A9" s="9" t="s">
        <v>19</v>
      </c>
      <c r="B9" s="37"/>
      <c r="C9" s="38"/>
      <c r="D9" s="89" t="s">
        <v>288</v>
      </c>
      <c r="E9" s="96" t="s">
        <v>289</v>
      </c>
      <c r="F9" s="89" t="s">
        <v>232</v>
      </c>
      <c r="G9" s="89" t="s">
        <v>233</v>
      </c>
      <c r="H9" s="89" t="s">
        <v>234</v>
      </c>
      <c r="I9" s="97" t="s">
        <v>235</v>
      </c>
      <c r="J9" s="89" t="s">
        <v>236</v>
      </c>
      <c r="K9" s="88"/>
      <c r="L9" s="33"/>
      <c r="M9" s="33"/>
      <c r="N9" s="33"/>
      <c r="O9" s="33"/>
      <c r="P9" s="33"/>
      <c r="Q9" s="33"/>
      <c r="R9" s="95" t="s">
        <v>237</v>
      </c>
      <c r="S9" s="51"/>
      <c r="T9" s="95" t="s">
        <v>238</v>
      </c>
      <c r="U9" s="51"/>
    </row>
    <row r="10" spans="1:21" s="11" customFormat="1" ht="52">
      <c r="A10" s="39" t="s">
        <v>19</v>
      </c>
      <c r="B10" s="40"/>
      <c r="C10" s="40"/>
      <c r="D10" s="41"/>
      <c r="E10" s="42"/>
      <c r="F10" s="43"/>
      <c r="G10" s="44"/>
      <c r="H10" s="44"/>
      <c r="I10" s="42"/>
      <c r="J10" s="42"/>
      <c r="K10" s="68"/>
      <c r="L10" s="90" t="s">
        <v>235</v>
      </c>
      <c r="M10" s="90" t="s">
        <v>236</v>
      </c>
      <c r="N10" s="90" t="s">
        <v>235</v>
      </c>
      <c r="O10" s="90" t="s">
        <v>236</v>
      </c>
      <c r="P10" s="90" t="s">
        <v>235</v>
      </c>
      <c r="Q10" s="90" t="s">
        <v>236</v>
      </c>
      <c r="R10" s="42"/>
      <c r="S10" s="42"/>
      <c r="T10" s="44"/>
      <c r="U10" s="36"/>
    </row>
    <row r="11" spans="1:21" s="11" customFormat="1">
      <c r="A11" s="9">
        <v>10</v>
      </c>
      <c r="B11" s="37" t="s">
        <v>24</v>
      </c>
      <c r="C11" s="38"/>
      <c r="D11" s="29" t="s">
        <v>149</v>
      </c>
      <c r="E11" s="35" t="s">
        <v>127</v>
      </c>
      <c r="F11" s="46"/>
      <c r="G11" s="29" t="s">
        <v>139</v>
      </c>
      <c r="H11" s="47" t="s">
        <v>140</v>
      </c>
      <c r="I11" s="48"/>
      <c r="J11" s="49"/>
      <c r="K11" s="69"/>
      <c r="L11" s="34"/>
      <c r="M11" s="34"/>
      <c r="N11" s="34"/>
      <c r="O11" s="34"/>
      <c r="P11" s="34"/>
      <c r="Q11" s="34"/>
      <c r="R11" s="50"/>
      <c r="S11" s="51"/>
      <c r="T11" s="70"/>
      <c r="U11" s="52"/>
    </row>
    <row r="12" spans="1:21" s="11" customFormat="1">
      <c r="A12" s="9">
        <v>10</v>
      </c>
      <c r="B12" s="9"/>
      <c r="C12" s="9"/>
      <c r="D12" s="9" t="s">
        <v>128</v>
      </c>
      <c r="E12" s="53" t="s">
        <v>129</v>
      </c>
      <c r="F12" s="53"/>
      <c r="G12" s="54" t="s">
        <v>290</v>
      </c>
      <c r="H12" s="54" t="s">
        <v>130</v>
      </c>
      <c r="I12" s="9" t="s">
        <v>42</v>
      </c>
      <c r="J12" s="9" t="s">
        <v>42</v>
      </c>
      <c r="K12" s="9"/>
      <c r="L12" s="9"/>
      <c r="M12" s="9"/>
      <c r="N12" s="9"/>
      <c r="O12" s="9"/>
      <c r="P12" s="9"/>
      <c r="Q12" s="9"/>
      <c r="R12" s="50"/>
      <c r="S12" s="51"/>
      <c r="T12" s="98"/>
      <c r="U12" s="99"/>
    </row>
    <row r="13" spans="1:21" s="11" customFormat="1">
      <c r="A13" s="9">
        <v>10</v>
      </c>
      <c r="B13" s="9"/>
      <c r="C13" s="9"/>
      <c r="D13" s="9" t="s">
        <v>80</v>
      </c>
      <c r="E13" s="53" t="s">
        <v>36</v>
      </c>
      <c r="F13" s="53"/>
      <c r="G13" s="54" t="s">
        <v>242</v>
      </c>
      <c r="H13" s="54" t="s">
        <v>131</v>
      </c>
      <c r="I13" s="9" t="s">
        <v>42</v>
      </c>
      <c r="J13" s="9" t="s">
        <v>42</v>
      </c>
      <c r="K13" s="9"/>
      <c r="L13" s="9"/>
      <c r="M13" s="9"/>
      <c r="N13" s="9"/>
      <c r="O13" s="9"/>
      <c r="P13" s="9"/>
      <c r="Q13" s="9"/>
      <c r="R13" s="50"/>
      <c r="S13" s="51"/>
      <c r="T13" s="98"/>
      <c r="U13" s="99"/>
    </row>
    <row r="14" spans="1:21" s="11" customFormat="1">
      <c r="A14" s="9">
        <v>10</v>
      </c>
      <c r="B14" s="9"/>
      <c r="C14" s="9"/>
      <c r="D14" s="9" t="s">
        <v>144</v>
      </c>
      <c r="E14" s="53" t="s">
        <v>145</v>
      </c>
      <c r="F14" s="53"/>
      <c r="G14" s="54" t="s">
        <v>291</v>
      </c>
      <c r="H14" s="54" t="s">
        <v>146</v>
      </c>
      <c r="I14" s="9" t="s">
        <v>42</v>
      </c>
      <c r="J14" s="9" t="s">
        <v>41</v>
      </c>
      <c r="K14" s="9"/>
      <c r="L14" s="9"/>
      <c r="M14" s="9"/>
      <c r="N14" s="9"/>
      <c r="O14" s="9"/>
      <c r="P14" s="9"/>
      <c r="Q14" s="9"/>
      <c r="R14" s="50"/>
      <c r="S14" s="51"/>
      <c r="T14" s="98"/>
      <c r="U14" s="99"/>
    </row>
    <row r="15" spans="1:21" s="11" customFormat="1" ht="26">
      <c r="A15" s="9">
        <v>10</v>
      </c>
      <c r="B15" s="9"/>
      <c r="C15" s="9"/>
      <c r="D15" s="53" t="s">
        <v>126</v>
      </c>
      <c r="E15" s="53" t="s">
        <v>111</v>
      </c>
      <c r="F15" s="53"/>
      <c r="G15" s="54" t="s">
        <v>264</v>
      </c>
      <c r="H15" s="54" t="s">
        <v>185</v>
      </c>
      <c r="I15" s="9" t="s">
        <v>41</v>
      </c>
      <c r="J15" s="9" t="s">
        <v>42</v>
      </c>
      <c r="K15" s="9"/>
      <c r="L15" s="9"/>
      <c r="M15" s="9"/>
      <c r="N15" s="9"/>
      <c r="O15" s="9"/>
      <c r="P15" s="9"/>
      <c r="Q15" s="9"/>
      <c r="R15" s="50"/>
      <c r="S15" s="51"/>
      <c r="T15" s="98"/>
      <c r="U15" s="99"/>
    </row>
    <row r="16" spans="1:21" s="11" customFormat="1">
      <c r="A16" s="9">
        <v>10</v>
      </c>
      <c r="B16" s="9"/>
      <c r="C16" s="9"/>
      <c r="D16" s="53" t="s">
        <v>153</v>
      </c>
      <c r="E16" s="53" t="s">
        <v>152</v>
      </c>
      <c r="F16" s="53"/>
      <c r="G16" s="54" t="s">
        <v>287</v>
      </c>
      <c r="H16" s="54" t="s">
        <v>207</v>
      </c>
      <c r="I16" s="9" t="s">
        <v>41</v>
      </c>
      <c r="J16" s="9" t="s">
        <v>42</v>
      </c>
      <c r="K16" s="9"/>
      <c r="L16" s="9"/>
      <c r="M16" s="9"/>
      <c r="N16" s="9"/>
      <c r="O16" s="9"/>
      <c r="P16" s="9"/>
      <c r="Q16" s="9"/>
      <c r="R16" s="50"/>
      <c r="S16" s="51"/>
      <c r="T16" s="98"/>
      <c r="U16" s="99"/>
    </row>
    <row r="17" spans="1:21" s="11" customFormat="1">
      <c r="A17" s="59"/>
      <c r="B17" s="30"/>
      <c r="C17" s="30"/>
      <c r="D17" s="60" t="s">
        <v>0</v>
      </c>
      <c r="E17" s="31"/>
      <c r="F17" s="32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61"/>
    </row>
    <row r="18" spans="1:21" s="11" customFormat="1">
      <c r="A18" s="76"/>
      <c r="U18" s="55"/>
    </row>
    <row r="19" spans="1:21" s="11" customFormat="1">
      <c r="A19" s="76"/>
      <c r="U19" s="55"/>
    </row>
    <row r="20" spans="1:21" s="11" customFormat="1">
      <c r="A20" s="76"/>
      <c r="U20" s="55"/>
    </row>
    <row r="21" spans="1:21" s="11" customFormat="1">
      <c r="A21" s="81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20"/>
    </row>
  </sheetData>
  <sheetProtection formatCells="0" formatColumns="0" formatRows="0" insertColumns="0" insertRows="0" insertHyperlinks="0" deleteColumns="0" deleteRows="0"/>
  <mergeCells count="5">
    <mergeCell ref="T12:U12"/>
    <mergeCell ref="T13:U13"/>
    <mergeCell ref="T15:U15"/>
    <mergeCell ref="T14:U14"/>
    <mergeCell ref="T16:U16"/>
  </mergeCells>
  <phoneticPr fontId="2"/>
  <pageMargins left="0.2" right="0.43307086614173229" top="0.55118110236220474" bottom="0.38" header="0.55118110236220474" footer="0.11811023622047245"/>
  <pageSetup paperSize="9" scale="42" orientation="landscape" cellComments="asDisplayed" horizontalDpi="4294967292" vertic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zoomScale="85" zoomScaleNormal="85" workbookViewId="0">
      <selection activeCell="H5" sqref="H5:N5"/>
    </sheetView>
  </sheetViews>
  <sheetFormatPr defaultColWidth="9" defaultRowHeight="13"/>
  <cols>
    <col min="1" max="42" width="2.08984375" style="66" customWidth="1"/>
    <col min="43" max="44" width="2.08984375" style="67" customWidth="1"/>
    <col min="45" max="71" width="2.08984375" style="66" customWidth="1"/>
    <col min="72" max="16384" width="9" style="66"/>
  </cols>
  <sheetData>
    <row r="1" spans="1:57" s="63" customFormat="1" ht="38.25" customHeight="1" thickBot="1">
      <c r="A1" s="154" t="s">
        <v>10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  <c r="AC1" s="155"/>
      <c r="AD1" s="155"/>
      <c r="AE1" s="155"/>
      <c r="AF1" s="155"/>
      <c r="AG1" s="155"/>
      <c r="AH1" s="155"/>
      <c r="AI1" s="155"/>
      <c r="AJ1" s="155"/>
      <c r="AK1" s="155"/>
      <c r="AL1" s="155"/>
      <c r="AM1" s="155"/>
      <c r="AN1" s="155"/>
      <c r="AO1" s="155"/>
      <c r="AP1" s="155"/>
      <c r="AQ1" s="155"/>
      <c r="AR1" s="155"/>
      <c r="AS1" s="155"/>
      <c r="AT1" s="155"/>
      <c r="AU1" s="155"/>
      <c r="AV1" s="155"/>
      <c r="AW1" s="155"/>
      <c r="AX1" s="155"/>
      <c r="AY1" s="155"/>
      <c r="AZ1" s="155"/>
      <c r="BA1" s="155"/>
      <c r="BB1" s="155"/>
      <c r="BC1" s="155"/>
      <c r="BD1" s="155"/>
      <c r="BE1" s="156"/>
    </row>
    <row r="2" spans="1:57" s="63" customFormat="1" ht="12" customHeight="1" thickBot="1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5"/>
      <c r="AR2" s="65"/>
    </row>
    <row r="3" spans="1:57" ht="15" customHeight="1" thickBot="1">
      <c r="A3" s="110" t="s">
        <v>11</v>
      </c>
      <c r="B3" s="111"/>
      <c r="C3" s="111"/>
      <c r="D3" s="111"/>
      <c r="E3" s="111"/>
      <c r="F3" s="111"/>
      <c r="G3" s="112"/>
      <c r="H3" s="157" t="s">
        <v>12</v>
      </c>
      <c r="I3" s="111"/>
      <c r="J3" s="111"/>
      <c r="K3" s="111"/>
      <c r="L3" s="111"/>
      <c r="M3" s="111"/>
      <c r="N3" s="112"/>
      <c r="O3" s="157" t="s">
        <v>13</v>
      </c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8"/>
      <c r="AC3" s="158"/>
      <c r="AD3" s="158"/>
      <c r="AE3" s="158"/>
      <c r="AF3" s="158"/>
      <c r="AG3" s="158"/>
      <c r="AH3" s="158"/>
      <c r="AI3" s="158"/>
      <c r="AJ3" s="158"/>
      <c r="AK3" s="158"/>
      <c r="AL3" s="158"/>
      <c r="AM3" s="158"/>
      <c r="AN3" s="158"/>
      <c r="AO3" s="158"/>
      <c r="AP3" s="159"/>
      <c r="AQ3" s="160" t="s">
        <v>14</v>
      </c>
      <c r="AR3" s="161"/>
      <c r="AS3" s="161"/>
      <c r="AT3" s="161"/>
      <c r="AU3" s="161"/>
      <c r="AV3" s="161"/>
      <c r="AW3" s="161"/>
      <c r="AX3" s="161"/>
      <c r="AY3" s="161"/>
      <c r="AZ3" s="161"/>
      <c r="BA3" s="161"/>
      <c r="BB3" s="161"/>
      <c r="BC3" s="161"/>
      <c r="BD3" s="161"/>
      <c r="BE3" s="162"/>
    </row>
    <row r="4" spans="1:57" ht="15" customHeight="1">
      <c r="A4" s="118">
        <v>1</v>
      </c>
      <c r="B4" s="119"/>
      <c r="C4" s="119"/>
      <c r="D4" s="119"/>
      <c r="E4" s="119"/>
      <c r="F4" s="119"/>
      <c r="G4" s="120"/>
      <c r="H4" s="132"/>
      <c r="I4" s="133"/>
      <c r="J4" s="133"/>
      <c r="K4" s="133"/>
      <c r="L4" s="133"/>
      <c r="M4" s="133"/>
      <c r="N4" s="134"/>
      <c r="O4" s="135" t="s">
        <v>15</v>
      </c>
      <c r="P4" s="136"/>
      <c r="Q4" s="136"/>
      <c r="R4" s="136"/>
      <c r="S4" s="136"/>
      <c r="T4" s="136"/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7"/>
      <c r="AQ4" s="138"/>
      <c r="AR4" s="136"/>
      <c r="AS4" s="136"/>
      <c r="AT4" s="136"/>
      <c r="AU4" s="136"/>
      <c r="AV4" s="136"/>
      <c r="AW4" s="136"/>
      <c r="AX4" s="136"/>
      <c r="AY4" s="136"/>
      <c r="AZ4" s="136"/>
      <c r="BA4" s="136"/>
      <c r="BB4" s="136"/>
      <c r="BC4" s="136"/>
      <c r="BD4" s="136"/>
      <c r="BE4" s="139"/>
    </row>
    <row r="5" spans="1:57" ht="57" customHeight="1">
      <c r="A5" s="121">
        <v>1.1000000000000001</v>
      </c>
      <c r="B5" s="122"/>
      <c r="C5" s="122"/>
      <c r="D5" s="122"/>
      <c r="E5" s="122"/>
      <c r="F5" s="122"/>
      <c r="G5" s="123"/>
      <c r="H5" s="113" t="s">
        <v>223</v>
      </c>
      <c r="I5" s="114"/>
      <c r="J5" s="114"/>
      <c r="K5" s="114"/>
      <c r="L5" s="114"/>
      <c r="M5" s="114"/>
      <c r="N5" s="115"/>
      <c r="O5" s="113" t="s">
        <v>222</v>
      </c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7"/>
      <c r="AQ5" s="130" t="s">
        <v>27</v>
      </c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31"/>
    </row>
    <row r="6" spans="1:57" ht="15" customHeight="1">
      <c r="A6" s="124">
        <v>1.2000000000000002</v>
      </c>
      <c r="B6" s="125"/>
      <c r="C6" s="125"/>
      <c r="D6" s="125"/>
      <c r="E6" s="125"/>
      <c r="F6" s="125"/>
      <c r="G6" s="126"/>
      <c r="H6" s="105"/>
      <c r="I6" s="106"/>
      <c r="J6" s="106"/>
      <c r="K6" s="106"/>
      <c r="L6" s="106"/>
      <c r="M6" s="106"/>
      <c r="N6" s="107"/>
      <c r="O6" s="127" t="s">
        <v>292</v>
      </c>
      <c r="P6" s="128"/>
      <c r="Q6" s="128"/>
      <c r="R6" s="128"/>
      <c r="S6" s="128"/>
      <c r="T6" s="128"/>
      <c r="U6" s="128"/>
      <c r="V6" s="128"/>
      <c r="W6" s="128"/>
      <c r="X6" s="128"/>
      <c r="Y6" s="128"/>
      <c r="Z6" s="128"/>
      <c r="AA6" s="128"/>
      <c r="AB6" s="128"/>
      <c r="AC6" s="128"/>
      <c r="AD6" s="128"/>
      <c r="AE6" s="128"/>
      <c r="AF6" s="128"/>
      <c r="AG6" s="128"/>
      <c r="AH6" s="128"/>
      <c r="AI6" s="128"/>
      <c r="AJ6" s="128"/>
      <c r="AK6" s="128"/>
      <c r="AL6" s="128"/>
      <c r="AM6" s="128"/>
      <c r="AN6" s="128"/>
      <c r="AO6" s="128"/>
      <c r="AP6" s="129"/>
      <c r="AQ6" s="140" t="s">
        <v>293</v>
      </c>
      <c r="AR6" s="141"/>
      <c r="AS6" s="141"/>
      <c r="AT6" s="141"/>
      <c r="AU6" s="141"/>
      <c r="AV6" s="141"/>
      <c r="AW6" s="141"/>
      <c r="AX6" s="141"/>
      <c r="AY6" s="141"/>
      <c r="AZ6" s="141"/>
      <c r="BA6" s="141"/>
      <c r="BB6" s="141"/>
      <c r="BC6" s="141"/>
      <c r="BD6" s="141"/>
      <c r="BE6" s="142"/>
    </row>
    <row r="7" spans="1:57" ht="15" customHeight="1">
      <c r="A7" s="124"/>
      <c r="B7" s="125"/>
      <c r="C7" s="125"/>
      <c r="D7" s="125"/>
      <c r="E7" s="125"/>
      <c r="F7" s="125"/>
      <c r="G7" s="126"/>
      <c r="H7" s="105"/>
      <c r="I7" s="106"/>
      <c r="J7" s="106"/>
      <c r="K7" s="106"/>
      <c r="L7" s="106"/>
      <c r="M7" s="106"/>
      <c r="N7" s="107"/>
      <c r="O7" s="108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9"/>
      <c r="AQ7" s="102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4"/>
    </row>
    <row r="8" spans="1:57" ht="15" customHeight="1">
      <c r="A8" s="124"/>
      <c r="B8" s="125"/>
      <c r="C8" s="125"/>
      <c r="D8" s="125"/>
      <c r="E8" s="125"/>
      <c r="F8" s="125"/>
      <c r="G8" s="126"/>
      <c r="H8" s="105"/>
      <c r="I8" s="106"/>
      <c r="J8" s="106"/>
      <c r="K8" s="106"/>
      <c r="L8" s="106"/>
      <c r="M8" s="106"/>
      <c r="N8" s="107"/>
      <c r="O8" s="108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9"/>
      <c r="AQ8" s="102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4"/>
    </row>
    <row r="9" spans="1:57" ht="15" customHeight="1">
      <c r="A9" s="124"/>
      <c r="B9" s="125"/>
      <c r="C9" s="125"/>
      <c r="D9" s="125"/>
      <c r="E9" s="125"/>
      <c r="F9" s="125"/>
      <c r="G9" s="126"/>
      <c r="H9" s="105"/>
      <c r="I9" s="106"/>
      <c r="J9" s="106"/>
      <c r="K9" s="106"/>
      <c r="L9" s="106"/>
      <c r="M9" s="106"/>
      <c r="N9" s="107"/>
      <c r="O9" s="108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9"/>
      <c r="AQ9" s="102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4"/>
    </row>
    <row r="10" spans="1:57" ht="15" customHeight="1">
      <c r="A10" s="124"/>
      <c r="B10" s="125"/>
      <c r="C10" s="125"/>
      <c r="D10" s="125"/>
      <c r="E10" s="125"/>
      <c r="F10" s="125"/>
      <c r="G10" s="126"/>
      <c r="H10" s="105"/>
      <c r="I10" s="106"/>
      <c r="J10" s="106"/>
      <c r="K10" s="106"/>
      <c r="L10" s="106"/>
      <c r="M10" s="106"/>
      <c r="N10" s="107"/>
      <c r="O10" s="108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9"/>
      <c r="AQ10" s="102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4"/>
    </row>
    <row r="11" spans="1:57" ht="15" customHeight="1">
      <c r="A11" s="124"/>
      <c r="B11" s="125"/>
      <c r="C11" s="125"/>
      <c r="D11" s="125"/>
      <c r="E11" s="125"/>
      <c r="F11" s="125"/>
      <c r="G11" s="126"/>
      <c r="H11" s="105"/>
      <c r="I11" s="106"/>
      <c r="J11" s="106"/>
      <c r="K11" s="106"/>
      <c r="L11" s="106"/>
      <c r="M11" s="106"/>
      <c r="N11" s="107"/>
      <c r="O11" s="108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9"/>
      <c r="AQ11" s="102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4"/>
    </row>
    <row r="12" spans="1:57" ht="15" customHeight="1">
      <c r="A12" s="124"/>
      <c r="B12" s="125"/>
      <c r="C12" s="125"/>
      <c r="D12" s="125"/>
      <c r="E12" s="125"/>
      <c r="F12" s="125"/>
      <c r="G12" s="126"/>
      <c r="H12" s="105"/>
      <c r="I12" s="106"/>
      <c r="J12" s="106"/>
      <c r="K12" s="106"/>
      <c r="L12" s="106"/>
      <c r="M12" s="106"/>
      <c r="N12" s="107"/>
      <c r="O12" s="108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9"/>
      <c r="AQ12" s="102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4"/>
    </row>
    <row r="13" spans="1:57" ht="15" customHeight="1">
      <c r="A13" s="124"/>
      <c r="B13" s="125"/>
      <c r="C13" s="125"/>
      <c r="D13" s="125"/>
      <c r="E13" s="125"/>
      <c r="F13" s="125"/>
      <c r="G13" s="126"/>
      <c r="H13" s="105"/>
      <c r="I13" s="106"/>
      <c r="J13" s="106"/>
      <c r="K13" s="106"/>
      <c r="L13" s="106"/>
      <c r="M13" s="106"/>
      <c r="N13" s="107"/>
      <c r="O13" s="108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  <c r="AO13" s="103"/>
      <c r="AP13" s="109"/>
      <c r="AQ13" s="102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4"/>
    </row>
    <row r="14" spans="1:57" ht="15" customHeight="1">
      <c r="A14" s="124"/>
      <c r="B14" s="125"/>
      <c r="C14" s="125"/>
      <c r="D14" s="125"/>
      <c r="E14" s="125"/>
      <c r="F14" s="125"/>
      <c r="G14" s="126"/>
      <c r="H14" s="105"/>
      <c r="I14" s="106"/>
      <c r="J14" s="106"/>
      <c r="K14" s="106"/>
      <c r="L14" s="106"/>
      <c r="M14" s="106"/>
      <c r="N14" s="107"/>
      <c r="O14" s="108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9"/>
      <c r="AQ14" s="102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4"/>
    </row>
    <row r="15" spans="1:57" ht="15" customHeight="1">
      <c r="A15" s="124"/>
      <c r="B15" s="125"/>
      <c r="C15" s="125"/>
      <c r="D15" s="125"/>
      <c r="E15" s="125"/>
      <c r="F15" s="125"/>
      <c r="G15" s="126"/>
      <c r="H15" s="105"/>
      <c r="I15" s="106"/>
      <c r="J15" s="106"/>
      <c r="K15" s="106"/>
      <c r="L15" s="106"/>
      <c r="M15" s="106"/>
      <c r="N15" s="107"/>
      <c r="O15" s="108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9"/>
      <c r="AQ15" s="102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4"/>
    </row>
    <row r="16" spans="1:57" ht="15" customHeight="1">
      <c r="A16" s="124"/>
      <c r="B16" s="125"/>
      <c r="C16" s="125"/>
      <c r="D16" s="125"/>
      <c r="E16" s="125"/>
      <c r="F16" s="125"/>
      <c r="G16" s="126"/>
      <c r="H16" s="105"/>
      <c r="I16" s="106"/>
      <c r="J16" s="106"/>
      <c r="K16" s="106"/>
      <c r="L16" s="106"/>
      <c r="M16" s="106"/>
      <c r="N16" s="107"/>
      <c r="O16" s="108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9"/>
      <c r="AQ16" s="102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4"/>
    </row>
    <row r="17" spans="1:57" ht="15" customHeight="1">
      <c r="A17" s="124"/>
      <c r="B17" s="125"/>
      <c r="C17" s="125"/>
      <c r="D17" s="125"/>
      <c r="E17" s="125"/>
      <c r="F17" s="125"/>
      <c r="G17" s="126"/>
      <c r="H17" s="105"/>
      <c r="I17" s="106"/>
      <c r="J17" s="106"/>
      <c r="K17" s="106"/>
      <c r="L17" s="106"/>
      <c r="M17" s="106"/>
      <c r="N17" s="107"/>
      <c r="O17" s="108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9"/>
      <c r="AQ17" s="102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4"/>
    </row>
    <row r="18" spans="1:57" ht="15" customHeight="1">
      <c r="A18" s="124"/>
      <c r="B18" s="125"/>
      <c r="C18" s="125"/>
      <c r="D18" s="125"/>
      <c r="E18" s="125"/>
      <c r="F18" s="125"/>
      <c r="G18" s="126"/>
      <c r="H18" s="105"/>
      <c r="I18" s="106"/>
      <c r="J18" s="106"/>
      <c r="K18" s="106"/>
      <c r="L18" s="106"/>
      <c r="M18" s="106"/>
      <c r="N18" s="107"/>
      <c r="O18" s="108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9"/>
      <c r="AQ18" s="102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4"/>
    </row>
    <row r="19" spans="1:57" ht="15" customHeight="1">
      <c r="A19" s="124"/>
      <c r="B19" s="125"/>
      <c r="C19" s="125"/>
      <c r="D19" s="125"/>
      <c r="E19" s="125"/>
      <c r="F19" s="125"/>
      <c r="G19" s="126"/>
      <c r="H19" s="105"/>
      <c r="I19" s="106"/>
      <c r="J19" s="106"/>
      <c r="K19" s="106"/>
      <c r="L19" s="106"/>
      <c r="M19" s="106"/>
      <c r="N19" s="107"/>
      <c r="O19" s="108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9"/>
      <c r="AQ19" s="102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4"/>
    </row>
    <row r="20" spans="1:57" ht="15" customHeight="1">
      <c r="A20" s="124"/>
      <c r="B20" s="125"/>
      <c r="C20" s="125"/>
      <c r="D20" s="125"/>
      <c r="E20" s="125"/>
      <c r="F20" s="125"/>
      <c r="G20" s="126"/>
      <c r="H20" s="105"/>
      <c r="I20" s="106"/>
      <c r="J20" s="106"/>
      <c r="K20" s="106"/>
      <c r="L20" s="106"/>
      <c r="M20" s="106"/>
      <c r="N20" s="107"/>
      <c r="O20" s="108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9"/>
      <c r="AQ20" s="102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4"/>
    </row>
    <row r="21" spans="1:57" ht="15" customHeight="1">
      <c r="A21" s="124"/>
      <c r="B21" s="125"/>
      <c r="C21" s="125"/>
      <c r="D21" s="125"/>
      <c r="E21" s="125"/>
      <c r="F21" s="125"/>
      <c r="G21" s="126"/>
      <c r="H21" s="105"/>
      <c r="I21" s="106"/>
      <c r="J21" s="106"/>
      <c r="K21" s="106"/>
      <c r="L21" s="106"/>
      <c r="M21" s="106"/>
      <c r="N21" s="107"/>
      <c r="O21" s="108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9"/>
      <c r="AQ21" s="102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4"/>
    </row>
    <row r="22" spans="1:57" ht="15" customHeight="1">
      <c r="A22" s="124"/>
      <c r="B22" s="125"/>
      <c r="C22" s="125"/>
      <c r="D22" s="125"/>
      <c r="E22" s="125"/>
      <c r="F22" s="125"/>
      <c r="G22" s="126"/>
      <c r="H22" s="105"/>
      <c r="I22" s="106"/>
      <c r="J22" s="106"/>
      <c r="K22" s="106"/>
      <c r="L22" s="106"/>
      <c r="M22" s="106"/>
      <c r="N22" s="107"/>
      <c r="O22" s="108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9"/>
      <c r="AQ22" s="102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4"/>
    </row>
    <row r="23" spans="1:57" ht="15" customHeight="1">
      <c r="A23" s="124"/>
      <c r="B23" s="125"/>
      <c r="C23" s="125"/>
      <c r="D23" s="125"/>
      <c r="E23" s="125"/>
      <c r="F23" s="125"/>
      <c r="G23" s="126"/>
      <c r="H23" s="105"/>
      <c r="I23" s="106"/>
      <c r="J23" s="106"/>
      <c r="K23" s="106"/>
      <c r="L23" s="106"/>
      <c r="M23" s="106"/>
      <c r="N23" s="107"/>
      <c r="O23" s="108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  <c r="AO23" s="103"/>
      <c r="AP23" s="109"/>
      <c r="AQ23" s="102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4"/>
    </row>
    <row r="24" spans="1:57" ht="15" customHeight="1">
      <c r="A24" s="124"/>
      <c r="B24" s="125"/>
      <c r="C24" s="125"/>
      <c r="D24" s="125"/>
      <c r="E24" s="125"/>
      <c r="F24" s="125"/>
      <c r="G24" s="126"/>
      <c r="H24" s="105"/>
      <c r="I24" s="106"/>
      <c r="J24" s="106"/>
      <c r="K24" s="106"/>
      <c r="L24" s="106"/>
      <c r="M24" s="106"/>
      <c r="N24" s="107"/>
      <c r="O24" s="108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  <c r="AM24" s="103"/>
      <c r="AN24" s="103"/>
      <c r="AO24" s="103"/>
      <c r="AP24" s="109"/>
      <c r="AQ24" s="102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4"/>
    </row>
    <row r="25" spans="1:57" ht="15" customHeight="1">
      <c r="A25" s="124"/>
      <c r="B25" s="125"/>
      <c r="C25" s="125"/>
      <c r="D25" s="125"/>
      <c r="E25" s="125"/>
      <c r="F25" s="125"/>
      <c r="G25" s="126"/>
      <c r="H25" s="105"/>
      <c r="I25" s="106"/>
      <c r="J25" s="106"/>
      <c r="K25" s="106"/>
      <c r="L25" s="106"/>
      <c r="M25" s="106"/>
      <c r="N25" s="107"/>
      <c r="O25" s="108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3"/>
      <c r="AM25" s="103"/>
      <c r="AN25" s="103"/>
      <c r="AO25" s="103"/>
      <c r="AP25" s="109"/>
      <c r="AQ25" s="102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  <c r="BE25" s="104"/>
    </row>
    <row r="26" spans="1:57" ht="15" customHeight="1">
      <c r="A26" s="124"/>
      <c r="B26" s="125"/>
      <c r="C26" s="125"/>
      <c r="D26" s="125"/>
      <c r="E26" s="125"/>
      <c r="F26" s="125"/>
      <c r="G26" s="126"/>
      <c r="H26" s="105"/>
      <c r="I26" s="106"/>
      <c r="J26" s="106"/>
      <c r="K26" s="106"/>
      <c r="L26" s="106"/>
      <c r="M26" s="106"/>
      <c r="N26" s="107"/>
      <c r="O26" s="108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  <c r="AM26" s="103"/>
      <c r="AN26" s="103"/>
      <c r="AO26" s="103"/>
      <c r="AP26" s="109"/>
      <c r="AQ26" s="102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4"/>
    </row>
    <row r="27" spans="1:57" ht="15" customHeight="1">
      <c r="A27" s="124"/>
      <c r="B27" s="125"/>
      <c r="C27" s="125"/>
      <c r="D27" s="125"/>
      <c r="E27" s="125"/>
      <c r="F27" s="125"/>
      <c r="G27" s="126"/>
      <c r="H27" s="105"/>
      <c r="I27" s="106"/>
      <c r="J27" s="106"/>
      <c r="K27" s="106"/>
      <c r="L27" s="106"/>
      <c r="M27" s="106"/>
      <c r="N27" s="107"/>
      <c r="O27" s="108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3"/>
      <c r="AM27" s="103"/>
      <c r="AN27" s="103"/>
      <c r="AO27" s="103"/>
      <c r="AP27" s="109"/>
      <c r="AQ27" s="102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4"/>
    </row>
    <row r="28" spans="1:57" ht="15" customHeight="1">
      <c r="A28" s="124"/>
      <c r="B28" s="125"/>
      <c r="C28" s="125"/>
      <c r="D28" s="125"/>
      <c r="E28" s="125"/>
      <c r="F28" s="125"/>
      <c r="G28" s="126"/>
      <c r="H28" s="105"/>
      <c r="I28" s="106"/>
      <c r="J28" s="106"/>
      <c r="K28" s="106"/>
      <c r="L28" s="106"/>
      <c r="M28" s="106"/>
      <c r="N28" s="107"/>
      <c r="O28" s="108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/>
      <c r="AM28" s="103"/>
      <c r="AN28" s="103"/>
      <c r="AO28" s="103"/>
      <c r="AP28" s="109"/>
      <c r="AQ28" s="102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103"/>
      <c r="BD28" s="103"/>
      <c r="BE28" s="104"/>
    </row>
    <row r="29" spans="1:57" ht="15" customHeight="1">
      <c r="A29" s="124"/>
      <c r="B29" s="125"/>
      <c r="C29" s="125"/>
      <c r="D29" s="125"/>
      <c r="E29" s="125"/>
      <c r="F29" s="125"/>
      <c r="G29" s="126"/>
      <c r="H29" s="105"/>
      <c r="I29" s="106"/>
      <c r="J29" s="106"/>
      <c r="K29" s="106"/>
      <c r="L29" s="106"/>
      <c r="M29" s="106"/>
      <c r="N29" s="107"/>
      <c r="O29" s="108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3"/>
      <c r="AN29" s="103"/>
      <c r="AO29" s="103"/>
      <c r="AP29" s="109"/>
      <c r="AQ29" s="102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03"/>
      <c r="BE29" s="104"/>
    </row>
    <row r="30" spans="1:57" ht="15" customHeight="1">
      <c r="A30" s="124"/>
      <c r="B30" s="125"/>
      <c r="C30" s="125"/>
      <c r="D30" s="125"/>
      <c r="E30" s="125"/>
      <c r="F30" s="125"/>
      <c r="G30" s="126"/>
      <c r="H30" s="105"/>
      <c r="I30" s="106"/>
      <c r="J30" s="106"/>
      <c r="K30" s="106"/>
      <c r="L30" s="106"/>
      <c r="M30" s="106"/>
      <c r="N30" s="107"/>
      <c r="O30" s="108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3"/>
      <c r="AN30" s="103"/>
      <c r="AO30" s="103"/>
      <c r="AP30" s="109"/>
      <c r="AQ30" s="102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4"/>
    </row>
    <row r="31" spans="1:57" ht="15" customHeight="1">
      <c r="A31" s="124"/>
      <c r="B31" s="125"/>
      <c r="C31" s="125"/>
      <c r="D31" s="125"/>
      <c r="E31" s="125"/>
      <c r="F31" s="125"/>
      <c r="G31" s="126"/>
      <c r="H31" s="105"/>
      <c r="I31" s="106"/>
      <c r="J31" s="106"/>
      <c r="K31" s="106"/>
      <c r="L31" s="106"/>
      <c r="M31" s="106"/>
      <c r="N31" s="107"/>
      <c r="O31" s="108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9"/>
      <c r="AQ31" s="102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4"/>
    </row>
    <row r="32" spans="1:57" ht="15" customHeight="1">
      <c r="A32" s="124"/>
      <c r="B32" s="125"/>
      <c r="C32" s="125"/>
      <c r="D32" s="125"/>
      <c r="E32" s="125"/>
      <c r="F32" s="125"/>
      <c r="G32" s="126"/>
      <c r="H32" s="105"/>
      <c r="I32" s="106"/>
      <c r="J32" s="106"/>
      <c r="K32" s="106"/>
      <c r="L32" s="106"/>
      <c r="M32" s="106"/>
      <c r="N32" s="107"/>
      <c r="O32" s="108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  <c r="AM32" s="103"/>
      <c r="AN32" s="103"/>
      <c r="AO32" s="103"/>
      <c r="AP32" s="109"/>
      <c r="AQ32" s="102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4"/>
    </row>
    <row r="33" spans="1:57" ht="15" customHeight="1">
      <c r="A33" s="124"/>
      <c r="B33" s="125"/>
      <c r="C33" s="125"/>
      <c r="D33" s="125"/>
      <c r="E33" s="125"/>
      <c r="F33" s="125"/>
      <c r="G33" s="126"/>
      <c r="H33" s="105"/>
      <c r="I33" s="106"/>
      <c r="J33" s="106"/>
      <c r="K33" s="106"/>
      <c r="L33" s="106"/>
      <c r="M33" s="106"/>
      <c r="N33" s="107"/>
      <c r="O33" s="108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109"/>
      <c r="AQ33" s="102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4"/>
    </row>
    <row r="34" spans="1:57" ht="15" customHeight="1">
      <c r="A34" s="124"/>
      <c r="B34" s="125"/>
      <c r="C34" s="125"/>
      <c r="D34" s="125"/>
      <c r="E34" s="125"/>
      <c r="F34" s="125"/>
      <c r="G34" s="126"/>
      <c r="H34" s="105"/>
      <c r="I34" s="106"/>
      <c r="J34" s="106"/>
      <c r="K34" s="106"/>
      <c r="L34" s="106"/>
      <c r="M34" s="106"/>
      <c r="N34" s="107"/>
      <c r="O34" s="108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/>
      <c r="AM34" s="103"/>
      <c r="AN34" s="103"/>
      <c r="AO34" s="103"/>
      <c r="AP34" s="109"/>
      <c r="AQ34" s="102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  <c r="BE34" s="104"/>
    </row>
    <row r="35" spans="1:57" ht="15" customHeight="1" thickBot="1">
      <c r="A35" s="151"/>
      <c r="B35" s="152"/>
      <c r="C35" s="152"/>
      <c r="D35" s="152"/>
      <c r="E35" s="152"/>
      <c r="F35" s="152"/>
      <c r="G35" s="153"/>
      <c r="H35" s="148"/>
      <c r="I35" s="149"/>
      <c r="J35" s="149"/>
      <c r="K35" s="149"/>
      <c r="L35" s="149"/>
      <c r="M35" s="149"/>
      <c r="N35" s="150"/>
      <c r="O35" s="146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  <c r="AA35" s="144"/>
      <c r="AB35" s="144"/>
      <c r="AC35" s="144"/>
      <c r="AD35" s="144"/>
      <c r="AE35" s="144"/>
      <c r="AF35" s="144"/>
      <c r="AG35" s="144"/>
      <c r="AH35" s="144"/>
      <c r="AI35" s="144"/>
      <c r="AJ35" s="144"/>
      <c r="AK35" s="144"/>
      <c r="AL35" s="144"/>
      <c r="AM35" s="144"/>
      <c r="AN35" s="144"/>
      <c r="AO35" s="144"/>
      <c r="AP35" s="147"/>
      <c r="AQ35" s="143"/>
      <c r="AR35" s="144"/>
      <c r="AS35" s="144"/>
      <c r="AT35" s="144"/>
      <c r="AU35" s="144"/>
      <c r="AV35" s="144"/>
      <c r="AW35" s="144"/>
      <c r="AX35" s="144"/>
      <c r="AY35" s="144"/>
      <c r="AZ35" s="144"/>
      <c r="BA35" s="144"/>
      <c r="BB35" s="144"/>
      <c r="BC35" s="144"/>
      <c r="BD35" s="144"/>
      <c r="BE35" s="145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7:G7"/>
    <mergeCell ref="A9:G9"/>
    <mergeCell ref="A10:G10"/>
    <mergeCell ref="A30:G30"/>
    <mergeCell ref="A23:G23"/>
    <mergeCell ref="A24:G24"/>
    <mergeCell ref="A25:G25"/>
    <mergeCell ref="A26:G26"/>
    <mergeCell ref="A20:G20"/>
    <mergeCell ref="H27:N27"/>
    <mergeCell ref="H17:N17"/>
    <mergeCell ref="H26:N26"/>
    <mergeCell ref="A15:G15"/>
    <mergeCell ref="A16:G16"/>
    <mergeCell ref="A17:G17"/>
    <mergeCell ref="A18:G18"/>
    <mergeCell ref="A21:G21"/>
    <mergeCell ref="A22:G22"/>
    <mergeCell ref="A11:G11"/>
    <mergeCell ref="A12:G12"/>
    <mergeCell ref="A13:G13"/>
    <mergeCell ref="A14:G14"/>
    <mergeCell ref="A19:G19"/>
    <mergeCell ref="AQ33:BE33"/>
    <mergeCell ref="AQ34:BE34"/>
    <mergeCell ref="H33:N33"/>
    <mergeCell ref="H20:N20"/>
    <mergeCell ref="O20:AP20"/>
    <mergeCell ref="AQ20:BE20"/>
    <mergeCell ref="O23:AP23"/>
    <mergeCell ref="AQ23:BE23"/>
    <mergeCell ref="H24:N24"/>
    <mergeCell ref="H23:N23"/>
    <mergeCell ref="O24:AP24"/>
    <mergeCell ref="O28:AP28"/>
    <mergeCell ref="H28:N28"/>
    <mergeCell ref="H29:N29"/>
    <mergeCell ref="H19:N19"/>
    <mergeCell ref="A34:G34"/>
    <mergeCell ref="A27:G27"/>
    <mergeCell ref="A28:G28"/>
    <mergeCell ref="A29:G29"/>
    <mergeCell ref="O16:AP16"/>
    <mergeCell ref="AQ35:BE35"/>
    <mergeCell ref="O35:AP35"/>
    <mergeCell ref="H34:N34"/>
    <mergeCell ref="O34:AP34"/>
    <mergeCell ref="O31:AP31"/>
    <mergeCell ref="H30:N30"/>
    <mergeCell ref="O30:AP30"/>
    <mergeCell ref="O33:AP33"/>
    <mergeCell ref="AQ30:BE30"/>
    <mergeCell ref="H35:N35"/>
    <mergeCell ref="H32:N32"/>
    <mergeCell ref="O32:AP32"/>
    <mergeCell ref="AQ32:BE32"/>
    <mergeCell ref="H31:N31"/>
    <mergeCell ref="AQ31:BE31"/>
    <mergeCell ref="AQ18:BE18"/>
    <mergeCell ref="O18:AP18"/>
    <mergeCell ref="AQ16:BE16"/>
    <mergeCell ref="O17:AP17"/>
    <mergeCell ref="O29:AP29"/>
    <mergeCell ref="AQ24:BE24"/>
    <mergeCell ref="H15:N15"/>
    <mergeCell ref="AQ5:BE5"/>
    <mergeCell ref="H4:N4"/>
    <mergeCell ref="O4:AP4"/>
    <mergeCell ref="AQ4:BE4"/>
    <mergeCell ref="AQ7:BE7"/>
    <mergeCell ref="AQ9:BE9"/>
    <mergeCell ref="AQ14:BE14"/>
    <mergeCell ref="AQ10:BE10"/>
    <mergeCell ref="H13:N13"/>
    <mergeCell ref="H14:N14"/>
    <mergeCell ref="O14:AP14"/>
    <mergeCell ref="O15:AP15"/>
    <mergeCell ref="AQ15:BE15"/>
    <mergeCell ref="O11:AP11"/>
    <mergeCell ref="AQ11:BE11"/>
    <mergeCell ref="AQ6:BE6"/>
    <mergeCell ref="O8:AP8"/>
    <mergeCell ref="AQ8:BE8"/>
    <mergeCell ref="AQ12:BE12"/>
    <mergeCell ref="O13:AP13"/>
    <mergeCell ref="AQ13:BE13"/>
    <mergeCell ref="A3:G3"/>
    <mergeCell ref="H12:N12"/>
    <mergeCell ref="O12:AP12"/>
    <mergeCell ref="H5:N5"/>
    <mergeCell ref="O5:AP5"/>
    <mergeCell ref="H10:N10"/>
    <mergeCell ref="H11:N11"/>
    <mergeCell ref="H9:N9"/>
    <mergeCell ref="O9:AP9"/>
    <mergeCell ref="O10:AP10"/>
    <mergeCell ref="H7:N7"/>
    <mergeCell ref="O7:AP7"/>
    <mergeCell ref="A4:G4"/>
    <mergeCell ref="A5:G5"/>
    <mergeCell ref="A6:G6"/>
    <mergeCell ref="H6:N6"/>
    <mergeCell ref="O6:AP6"/>
    <mergeCell ref="A8:G8"/>
    <mergeCell ref="H8:N8"/>
    <mergeCell ref="AQ17:BE17"/>
    <mergeCell ref="H16:N16"/>
    <mergeCell ref="H25:N25"/>
    <mergeCell ref="AQ29:BE29"/>
    <mergeCell ref="AQ27:BE27"/>
    <mergeCell ref="AQ28:BE28"/>
    <mergeCell ref="O27:AP27"/>
    <mergeCell ref="O25:AP25"/>
    <mergeCell ref="AQ25:BE25"/>
    <mergeCell ref="O19:AP19"/>
    <mergeCell ref="H18:N18"/>
    <mergeCell ref="O26:AP26"/>
    <mergeCell ref="AQ26:BE26"/>
    <mergeCell ref="H21:N21"/>
    <mergeCell ref="O21:AP21"/>
    <mergeCell ref="AQ21:BE21"/>
    <mergeCell ref="H22:N22"/>
    <mergeCell ref="O22:AP22"/>
    <mergeCell ref="AQ22:BE22"/>
    <mergeCell ref="AQ19:BE19"/>
  </mergeCells>
  <phoneticPr fontId="2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LogicCommon</vt:lpstr>
      <vt:lpstr>Srch01</vt:lpstr>
      <vt:lpstr>Upd01</vt:lpstr>
      <vt:lpstr>Chk01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2026-03-27T05:48:15Z</dcterms:modified>
  <cp:category/>
</cp:coreProperties>
</file>