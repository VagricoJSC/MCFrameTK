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A0FB18D3-E0D1-44C2-8808-C916E2F4D652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Ins01" sheetId="3" r:id="rId2"/>
    <sheet name="Del01" sheetId="5" r:id="rId3"/>
    <sheet name="来歴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L4" i="3" l="1"/>
  <c r="H4" i="3"/>
  <c r="L3" i="3"/>
  <c r="H3" i="3"/>
  <c r="F3" i="3"/>
  <c r="D3" i="3"/>
  <c r="L2" i="3"/>
  <c r="H2" i="3"/>
  <c r="F2" i="3"/>
</calcChain>
</file>

<file path=xl/sharedStrings.xml><?xml version="1.0" encoding="utf-8"?>
<sst xmlns="http://schemas.openxmlformats.org/spreadsheetml/2006/main" count="206" uniqueCount="92">
  <si>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</si>
  <si>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</si>
  <si>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</si>
  <si>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</si>
  <si>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</si>
  <si>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</si>
  <si>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</si>
  <si>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</si>
  <si>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</si>
  <si>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</si>
  <si>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Version :</t>
  </si>
  <si>
    <t>#</t>
    <phoneticPr fontId="2"/>
  </si>
  <si>
    <t>*</t>
  </si>
  <si>
    <t>R</t>
    <phoneticPr fontId="2"/>
  </si>
  <si>
    <t>err_flg</t>
    <phoneticPr fontId="2"/>
  </si>
  <si>
    <t>#MA.FLG</t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</si>
  <si>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</si>
  <si>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</si>
  <si>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</si>
  <si>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</si>
  <si>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</si>
  <si>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R</t>
    <phoneticPr fontId="2"/>
  </si>
  <si>
    <t>err_flg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</si>
  <si>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</si>
  <si>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</si>
  <si>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</si>
  <si>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</si>
  <si>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</si>
  <si>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</si>
  <si>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</si>
  <si>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ext_sys_cd</t>
    <phoneticPr fontId="2"/>
  </si>
  <si>
    <t>#MA.EXT_SYS_CD</t>
    <phoneticPr fontId="1"/>
  </si>
  <si>
    <t>Del01</t>
    <phoneticPr fontId="2"/>
  </si>
  <si>
    <t>送信</t>
    <phoneticPr fontId="2"/>
  </si>
  <si>
    <t>Del01_Cnd</t>
    <phoneticPr fontId="2"/>
  </si>
  <si>
    <t>送信処理をする</t>
    <rPh sb="0" eb="2">
      <t>ソウシン</t>
    </rPh>
    <rPh sb="2" eb="4">
      <t>ショリ</t>
    </rPh>
    <phoneticPr fontId="1"/>
  </si>
  <si>
    <t>送信取消</t>
    <rPh sb="0" eb="2">
      <t>ソウシン</t>
    </rPh>
    <phoneticPr fontId="2"/>
  </si>
  <si>
    <t>送信取消処理をする</t>
    <rPh sb="0" eb="2">
      <t>ソウシン</t>
    </rPh>
    <rPh sb="2" eb="4">
      <t>トリケシ</t>
    </rPh>
    <rPh sb="4" eb="6">
      <t>ショリ</t>
    </rPh>
    <phoneticPr fontId="1"/>
  </si>
  <si>
    <t>MB</t>
    <phoneticPr fontId="1"/>
  </si>
  <si>
    <t>Pj.ID :</t>
    <phoneticPr fontId="2"/>
  </si>
  <si>
    <t>SuperClassPj.ID :</t>
    <phoneticPr fontId="2"/>
  </si>
  <si>
    <t>L</t>
    <phoneticPr fontId="2"/>
  </si>
  <si>
    <t>Ope.ID :</t>
    <phoneticPr fontId="2"/>
  </si>
  <si>
    <t>000000</t>
    <phoneticPr fontId="2"/>
  </si>
  <si>
    <t>-</t>
    <phoneticPr fontId="1"/>
  </si>
  <si>
    <t>ALL</t>
    <phoneticPr fontId="2"/>
  </si>
  <si>
    <t>ID</t>
    <phoneticPr fontId="2"/>
  </si>
  <si>
    <t>*</t>
    <phoneticPr fontId="2"/>
  </si>
  <si>
    <t xml:space="preserve">Ope.Body : </t>
    <phoneticPr fontId="2"/>
  </si>
  <si>
    <t>Ope.Method :</t>
    <phoneticPr fontId="2"/>
  </si>
  <si>
    <t>Gene.Type :</t>
    <phoneticPr fontId="2"/>
  </si>
  <si>
    <t xml:space="preserve">Ope.Name : </t>
    <phoneticPr fontId="2"/>
  </si>
  <si>
    <t>ImplOpe.ID:</t>
    <phoneticPr fontId="2"/>
  </si>
  <si>
    <t>ACType :</t>
    <phoneticPr fontId="2"/>
  </si>
  <si>
    <t>マスタ連携区分</t>
    <phoneticPr fontId="2"/>
  </si>
  <si>
    <t>E</t>
    <phoneticPr fontId="1"/>
  </si>
  <si>
    <t>外部システムＣＤ</t>
    <phoneticPr fontId="2"/>
  </si>
  <si>
    <t>エラー</t>
    <phoneticPr fontId="2"/>
  </si>
  <si>
    <t>super/share</t>
    <phoneticPr fontId="2"/>
  </si>
  <si>
    <t>MBBEL0110</t>
    <phoneticPr fontId="1"/>
  </si>
  <si>
    <t>MBBEL_SendMaster</t>
    <phoneticPr fontId="1"/>
  </si>
  <si>
    <t>MBBE</t>
    <phoneticPr fontId="1"/>
  </si>
  <si>
    <t>外部マスタ連携</t>
    <rPh sb="0" eb="2">
      <t>ガイブ</t>
    </rPh>
    <rPh sb="5" eb="7">
      <t>レンケイ</t>
    </rPh>
    <phoneticPr fontId="2"/>
  </si>
  <si>
    <t>#MA.EXT_MASTER_TYP</t>
    <phoneticPr fontId="1"/>
  </si>
  <si>
    <t>外部マスタ連携区分</t>
    <phoneticPr fontId="2"/>
  </si>
  <si>
    <t>#MA.EXT_MASTER_TYP</t>
    <phoneticPr fontId="1"/>
  </si>
  <si>
    <t>ext_master_typ</t>
    <phoneticPr fontId="2"/>
  </si>
  <si>
    <t>ext_master_typ</t>
    <phoneticPr fontId="2"/>
  </si>
  <si>
    <t>Ins01_Cnd</t>
    <phoneticPr fontId="2"/>
  </si>
  <si>
    <t>Ins01</t>
    <phoneticPr fontId="2"/>
  </si>
  <si>
    <t>MB.MBUDL5010</t>
    <phoneticPr fontId="2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</si>
  <si>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</si>
  <si>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</si>
  <si>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</si>
  <si>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</si>
  <si>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</si>
  <si>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</si>
  <si>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</si>
  <si>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</si>
  <si>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</si>
  <si>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</si>
  <si>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</si>
  <si>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</si>
  <si>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</si>
  <si>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</si>
  <si>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</si>
  <si>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master linkage type</t>
  </si>
  <si>
    <t>External system cd.</t>
  </si>
  <si>
    <t>Error</t>
  </si>
  <si>
    <t>Master linkage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</si>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</sst>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/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2" borderId="5" xfId="0" applyFont="1" applyFill="1" applyBorder="1" applyAlignment="1"/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38</v>
      </c>
      <c r="D2" s="7" t="s">
        <v>2</v>
      </c>
      <c r="E2" s="8" t="s">
        <v>59</v>
      </c>
      <c r="F2" s="7" t="s">
        <v>39</v>
      </c>
      <c r="G2" s="8" t="s">
        <v>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4</v>
      </c>
      <c r="C3" s="8" t="s">
        <v>61</v>
      </c>
      <c r="D3" s="7" t="s">
        <v>5</v>
      </c>
      <c r="E3" s="8" t="s">
        <v>60</v>
      </c>
      <c r="F3" s="7" t="s">
        <v>40</v>
      </c>
      <c r="G3" s="8"/>
      <c r="H3" s="5"/>
      <c r="I3" s="5"/>
    </row>
    <row r="4" spans="1:13" x14ac:dyDescent="0.2">
      <c r="A4" s="4"/>
      <c r="B4" s="7"/>
      <c r="C4" s="7"/>
      <c r="D4" s="7" t="s">
        <v>6</v>
      </c>
      <c r="E4" s="11" t="s">
        <v>62</v>
      </c>
      <c r="F4" s="7" t="s">
        <v>7</v>
      </c>
      <c r="G4" s="8" t="s">
        <v>70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18.3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1796875" style="5" customWidth="1"/>
    <col min="20" max="20" width="17.1796875" style="5" customWidth="1"/>
    <col min="21" max="16384" width="9" style="5"/>
  </cols>
  <sheetData>
    <row r="1" spans="1:21" s="10" customFormat="1" x14ac:dyDescent="0.2">
      <c r="A1" s="47" t="s">
        <v>47</v>
      </c>
      <c r="B1" s="47" t="s">
        <v>47</v>
      </c>
      <c r="C1" s="47"/>
      <c r="D1" s="1" t="s">
        <v>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47</v>
      </c>
      <c r="B2" s="23"/>
      <c r="C2" s="23"/>
      <c r="D2" s="61" t="s">
        <v>72</v>
      </c>
      <c r="E2" s="7" t="s">
        <v>1</v>
      </c>
      <c r="F2" s="48" t="str">
        <f>IF(LogicCommon!C2="","",LogicCommon!C2)</f>
        <v>MB</v>
      </c>
      <c r="G2" s="7" t="s">
        <v>2</v>
      </c>
      <c r="H2" s="48" t="str">
        <f>IF(LogicCommon!E2="","",LogicCommon!E2)</f>
        <v>MBBEL0110</v>
      </c>
      <c r="I2" s="7" t="s">
        <v>42</v>
      </c>
      <c r="J2" s="8" t="s">
        <v>69</v>
      </c>
      <c r="K2" s="7" t="s">
        <v>39</v>
      </c>
      <c r="L2" s="48" t="str">
        <f>IF(LogicCommon!G2="","",LogicCommon!G2)</f>
        <v>MC</v>
      </c>
      <c r="M2" s="5" t="s">
        <v>48</v>
      </c>
      <c r="N2" s="24" t="s">
        <v>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47</v>
      </c>
      <c r="B3" s="50"/>
      <c r="C3" s="50"/>
      <c r="D3" s="51" t="str">
        <f>IF(LogicCommon!A3="","",LogicCommon!A3)</f>
        <v/>
      </c>
      <c r="E3" s="7" t="s">
        <v>4</v>
      </c>
      <c r="F3" s="48" t="str">
        <f>IF(LogicCommon!C3="","",LogicCommon!C3)</f>
        <v>MBBE</v>
      </c>
      <c r="G3" s="7" t="s">
        <v>5</v>
      </c>
      <c r="H3" s="48" t="str">
        <f>IF(LogicCommon!E3="","",LogicCommon!E3)</f>
        <v>MBBEL_SendMaster</v>
      </c>
      <c r="I3" s="7" t="s">
        <v>49</v>
      </c>
      <c r="J3" s="8" t="s">
        <v>29</v>
      </c>
      <c r="K3" s="7" t="s">
        <v>40</v>
      </c>
      <c r="L3" s="48" t="str">
        <f>IF(LogicCommon!G3="","",LogicCommon!G3)</f>
        <v/>
      </c>
      <c r="M3" s="52"/>
      <c r="N3" s="7"/>
      <c r="O3" s="7" t="s">
        <v>50</v>
      </c>
      <c r="P3" s="8" t="s">
        <v>45</v>
      </c>
      <c r="Q3" s="4"/>
      <c r="R3" s="5"/>
      <c r="S3" s="5"/>
      <c r="T3" s="5"/>
      <c r="U3" s="5"/>
    </row>
    <row r="4" spans="1:21" s="10" customFormat="1" x14ac:dyDescent="0.2">
      <c r="A4" s="49" t="s">
        <v>47</v>
      </c>
      <c r="B4" s="50"/>
      <c r="C4" s="50"/>
      <c r="D4" s="4"/>
      <c r="E4" s="7" t="s">
        <v>10</v>
      </c>
      <c r="F4" s="53" t="s">
        <v>43</v>
      </c>
      <c r="G4" s="7" t="s">
        <v>6</v>
      </c>
      <c r="H4" s="48" t="str">
        <f>IF(LogicCommon!E4="","",LogicCommon!E4)</f>
        <v>外部マスタ連携</v>
      </c>
      <c r="I4" s="7" t="s">
        <v>51</v>
      </c>
      <c r="J4" s="8" t="s">
        <v>33</v>
      </c>
      <c r="K4" s="7" t="s">
        <v>7</v>
      </c>
      <c r="L4" s="48" t="str">
        <f>IF(LogicCommon!G4="","",LogicCommon!G4)</f>
        <v>MB.MBUDL5010</v>
      </c>
      <c r="M4" s="54" t="s">
        <v>52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47</v>
      </c>
      <c r="B5" s="47"/>
      <c r="C5" s="47"/>
      <c r="D5" s="21"/>
      <c r="E5" s="7" t="s">
        <v>53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47</v>
      </c>
      <c r="B6" s="50"/>
      <c r="C6" s="50"/>
      <c r="D6" s="4" t="s">
        <v>8</v>
      </c>
      <c r="E6" s="12" t="s">
        <v>35</v>
      </c>
      <c r="F6" s="12"/>
      <c r="G6" s="12"/>
      <c r="H6" s="12"/>
      <c r="I6" s="12"/>
      <c r="J6" s="12"/>
      <c r="K6" s="12"/>
      <c r="L6" s="58"/>
      <c r="M6" s="15" t="s">
        <v>46</v>
      </c>
      <c r="N6" s="15"/>
      <c r="O6" s="15" t="s">
        <v>46</v>
      </c>
      <c r="P6" s="15"/>
      <c r="Q6" s="15" t="s">
        <v>46</v>
      </c>
      <c r="R6" s="4"/>
      <c r="S6" s="4"/>
      <c r="T6" s="4"/>
      <c r="U6" s="4"/>
    </row>
    <row r="7" spans="1:21" s="10" customFormat="1" x14ac:dyDescent="0.2">
      <c r="A7" s="23" t="s">
        <v>16</v>
      </c>
      <c r="B7" s="23"/>
      <c r="C7" s="23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5" t="s">
        <v>19</v>
      </c>
      <c r="M7" s="26"/>
      <c r="N7" s="25" t="s">
        <v>19</v>
      </c>
      <c r="O7" s="26"/>
      <c r="P7" s="25" t="s">
        <v>19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62"/>
      <c r="C8" s="63"/>
      <c r="D8" s="25" t="s">
        <v>73</v>
      </c>
      <c r="E8" s="25" t="s">
        <v>74</v>
      </c>
      <c r="F8" s="58"/>
      <c r="G8" s="25" t="s">
        <v>58</v>
      </c>
      <c r="H8" s="25" t="s">
        <v>75</v>
      </c>
      <c r="I8" s="58"/>
      <c r="J8" s="3"/>
      <c r="K8" s="8"/>
      <c r="L8" s="25" t="s">
        <v>20</v>
      </c>
      <c r="M8" s="26"/>
      <c r="N8" s="25" t="s">
        <v>20</v>
      </c>
      <c r="O8" s="26"/>
      <c r="P8" s="25" t="s">
        <v>20</v>
      </c>
      <c r="Q8" s="26"/>
      <c r="R8" s="3"/>
      <c r="S8" s="21"/>
      <c r="T8" s="115" t="s">
        <v>76</v>
      </c>
      <c r="U8" s="116"/>
    </row>
    <row r="9" spans="1:21" s="10" customFormat="1" ht="60" customHeight="1" x14ac:dyDescent="0.2">
      <c r="A9" s="8" t="s">
        <v>11</v>
      </c>
      <c r="B9" s="29"/>
      <c r="C9" s="30"/>
      <c r="D9" s="25" t="s">
        <v>77</v>
      </c>
      <c r="E9" s="59" t="s">
        <v>78</v>
      </c>
      <c r="F9" s="25" t="s">
        <v>79</v>
      </c>
      <c r="G9" s="25" t="s">
        <v>80</v>
      </c>
      <c r="H9" s="25" t="s">
        <v>81</v>
      </c>
      <c r="I9" s="60" t="s">
        <v>82</v>
      </c>
      <c r="J9" s="25" t="s">
        <v>83</v>
      </c>
      <c r="K9" s="61"/>
      <c r="L9" s="60"/>
      <c r="M9" s="25"/>
      <c r="N9" s="25"/>
      <c r="O9" s="25"/>
      <c r="P9" s="25"/>
      <c r="Q9" s="25"/>
      <c r="R9" s="115" t="s">
        <v>84</v>
      </c>
      <c r="S9" s="116"/>
      <c r="T9" s="115" t="s">
        <v>85</v>
      </c>
      <c r="U9" s="116"/>
    </row>
    <row r="10" spans="1:21" s="10" customFormat="1" ht="52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82</v>
      </c>
      <c r="M10" s="25" t="s">
        <v>83</v>
      </c>
      <c r="N10" s="25" t="s">
        <v>82</v>
      </c>
      <c r="O10" s="25" t="s">
        <v>83</v>
      </c>
      <c r="P10" s="25" t="s">
        <v>82</v>
      </c>
      <c r="Q10" s="25" t="s">
        <v>83</v>
      </c>
      <c r="R10" s="31"/>
      <c r="S10" s="31"/>
      <c r="T10" s="36"/>
      <c r="U10" s="46"/>
    </row>
    <row r="11" spans="1:21" s="10" customFormat="1" x14ac:dyDescent="0.2">
      <c r="A11" s="8">
        <v>10</v>
      </c>
      <c r="B11" s="29" t="s">
        <v>12</v>
      </c>
      <c r="C11" s="30"/>
      <c r="D11" s="24" t="s">
        <v>68</v>
      </c>
      <c r="E11" s="28" t="s">
        <v>21</v>
      </c>
      <c r="F11" s="37"/>
      <c r="G11" s="24"/>
      <c r="H11" s="38"/>
      <c r="I11" s="39"/>
      <c r="J11" s="34"/>
      <c r="K11" s="34"/>
      <c r="L11" s="27"/>
      <c r="M11" s="27"/>
      <c r="N11" s="27"/>
      <c r="O11" s="27"/>
      <c r="P11" s="27"/>
      <c r="Q11" s="27"/>
      <c r="R11" s="39"/>
      <c r="S11" s="37"/>
      <c r="T11" s="117"/>
      <c r="U11" s="118"/>
    </row>
    <row r="12" spans="1:21" s="10" customFormat="1" ht="26" x14ac:dyDescent="0.2">
      <c r="A12" s="8">
        <v>10</v>
      </c>
      <c r="B12" s="8"/>
      <c r="C12" s="8"/>
      <c r="D12" s="8" t="s">
        <v>67</v>
      </c>
      <c r="E12" s="26" t="s">
        <v>63</v>
      </c>
      <c r="F12" s="26"/>
      <c r="G12" s="40" t="s">
        <v>86</v>
      </c>
      <c r="H12" s="40" t="s">
        <v>64</v>
      </c>
      <c r="I12" s="8" t="s">
        <v>55</v>
      </c>
      <c r="J12" s="8" t="s">
        <v>44</v>
      </c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30</v>
      </c>
      <c r="E13" s="26" t="s">
        <v>31</v>
      </c>
      <c r="F13" s="26"/>
      <c r="G13" s="40" t="s">
        <v>87</v>
      </c>
      <c r="H13" s="40" t="s">
        <v>56</v>
      </c>
      <c r="I13" s="8" t="s">
        <v>55</v>
      </c>
      <c r="J13" s="8" t="s">
        <v>44</v>
      </c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22</v>
      </c>
      <c r="E14" s="26" t="s">
        <v>15</v>
      </c>
      <c r="F14" s="26"/>
      <c r="G14" s="40" t="s">
        <v>88</v>
      </c>
      <c r="H14" s="40" t="s">
        <v>57</v>
      </c>
      <c r="I14" s="8" t="s">
        <v>44</v>
      </c>
      <c r="J14" s="8" t="s">
        <v>44</v>
      </c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22"/>
      <c r="B15" s="23"/>
      <c r="C15" s="23"/>
      <c r="D15" s="16" t="s">
        <v>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49"/>
      <c r="U16" s="41"/>
    </row>
    <row r="17" spans="1:21" s="10" customFormat="1" x14ac:dyDescent="0.2">
      <c r="A17" s="49"/>
      <c r="U17" s="41"/>
    </row>
    <row r="18" spans="1:21" s="10" customFormat="1" x14ac:dyDescent="0.2">
      <c r="A18" s="49"/>
      <c r="U18" s="41"/>
    </row>
    <row r="19" spans="1:21" s="10" customFormat="1" x14ac:dyDescent="0.2">
      <c r="A19" s="49"/>
      <c r="U19" s="41"/>
    </row>
    <row r="20" spans="1:21" s="10" customFormat="1" x14ac:dyDescent="0.2">
      <c r="A20" s="56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2"/>
    </row>
  </sheetData>
  <mergeCells count="10">
    <mergeCell ref="R14:S14"/>
    <mergeCell ref="T14:U14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18.3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1796875" style="5" customWidth="1"/>
    <col min="20" max="20" width="17.1796875" style="5" customWidth="1"/>
    <col min="21" max="16384" width="9" style="5"/>
  </cols>
  <sheetData>
    <row r="1" spans="1:21" s="10" customFormat="1" x14ac:dyDescent="0.2">
      <c r="A1" s="47" t="s">
        <v>47</v>
      </c>
      <c r="B1" s="47" t="s">
        <v>47</v>
      </c>
      <c r="C1" s="47"/>
      <c r="D1" s="1" t="s">
        <v>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47</v>
      </c>
      <c r="B2" s="23"/>
      <c r="C2" s="23"/>
      <c r="D2" s="61" t="s">
        <v>72</v>
      </c>
      <c r="E2" s="7" t="s">
        <v>1</v>
      </c>
      <c r="F2" s="48" t="str">
        <f>IF(LogicCommon!C2="","",LogicCommon!C2)</f>
        <v>MB</v>
      </c>
      <c r="G2" s="7" t="s">
        <v>2</v>
      </c>
      <c r="H2" s="48" t="str">
        <f>IF(LogicCommon!E2="","",LogicCommon!E2)</f>
        <v>MBBEL0110</v>
      </c>
      <c r="I2" s="7" t="s">
        <v>42</v>
      </c>
      <c r="J2" s="8" t="s">
        <v>32</v>
      </c>
      <c r="K2" s="7" t="s">
        <v>39</v>
      </c>
      <c r="L2" s="48" t="str">
        <f>IF(LogicCommon!G2="","",LogicCommon!G2)</f>
        <v>MC</v>
      </c>
      <c r="M2" s="5" t="s">
        <v>48</v>
      </c>
      <c r="N2" s="24" t="s">
        <v>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47</v>
      </c>
      <c r="B3" s="50"/>
      <c r="C3" s="50"/>
      <c r="D3" s="51" t="str">
        <f>IF(LogicCommon!A3="","",LogicCommon!A3)</f>
        <v/>
      </c>
      <c r="E3" s="7" t="s">
        <v>4</v>
      </c>
      <c r="F3" s="48" t="str">
        <f>IF(LogicCommon!C3="","",LogicCommon!C3)</f>
        <v>MBBE</v>
      </c>
      <c r="G3" s="7" t="s">
        <v>5</v>
      </c>
      <c r="H3" s="48" t="str">
        <f>IF(LogicCommon!E3="","",LogicCommon!E3)</f>
        <v>MBBEL_SendMaster</v>
      </c>
      <c r="I3" s="7" t="s">
        <v>49</v>
      </c>
      <c r="J3" s="8" t="s">
        <v>29</v>
      </c>
      <c r="K3" s="7" t="s">
        <v>40</v>
      </c>
      <c r="L3" s="48" t="str">
        <f>IF(LogicCommon!G3="","",LogicCommon!G3)</f>
        <v/>
      </c>
      <c r="M3" s="52"/>
      <c r="N3" s="7"/>
      <c r="O3" s="7" t="s">
        <v>50</v>
      </c>
      <c r="P3" s="8" t="s">
        <v>45</v>
      </c>
      <c r="Q3" s="4"/>
      <c r="R3" s="5"/>
      <c r="S3" s="5"/>
      <c r="T3" s="5"/>
      <c r="U3" s="5"/>
    </row>
    <row r="4" spans="1:21" s="10" customFormat="1" x14ac:dyDescent="0.2">
      <c r="A4" s="49" t="s">
        <v>47</v>
      </c>
      <c r="B4" s="50"/>
      <c r="C4" s="50"/>
      <c r="D4" s="4"/>
      <c r="E4" s="7" t="s">
        <v>10</v>
      </c>
      <c r="F4" s="53" t="s">
        <v>43</v>
      </c>
      <c r="G4" s="7" t="s">
        <v>6</v>
      </c>
      <c r="H4" s="48" t="str">
        <f>IF(LogicCommon!E4="","",LogicCommon!E4)</f>
        <v>外部マスタ連携</v>
      </c>
      <c r="I4" s="7" t="s">
        <v>51</v>
      </c>
      <c r="J4" s="8" t="s">
        <v>36</v>
      </c>
      <c r="K4" s="7" t="s">
        <v>7</v>
      </c>
      <c r="L4" s="48" t="str">
        <f>IF(LogicCommon!G4="","",LogicCommon!G4)</f>
        <v>MB.MBUDL5010</v>
      </c>
      <c r="M4" s="54" t="s">
        <v>52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47</v>
      </c>
      <c r="B5" s="47"/>
      <c r="C5" s="47"/>
      <c r="D5" s="21"/>
      <c r="E5" s="7" t="s">
        <v>53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47</v>
      </c>
      <c r="B6" s="50"/>
      <c r="C6" s="50"/>
      <c r="D6" s="4" t="s">
        <v>8</v>
      </c>
      <c r="E6" s="12" t="s">
        <v>37</v>
      </c>
      <c r="F6" s="12"/>
      <c r="G6" s="12"/>
      <c r="H6" s="12"/>
      <c r="I6" s="12"/>
      <c r="J6" s="12"/>
      <c r="K6" s="12"/>
      <c r="L6" s="58"/>
      <c r="M6" s="15" t="s">
        <v>46</v>
      </c>
      <c r="N6" s="15"/>
      <c r="O6" s="15" t="s">
        <v>46</v>
      </c>
      <c r="P6" s="15"/>
      <c r="Q6" s="15" t="s">
        <v>46</v>
      </c>
      <c r="R6" s="4"/>
      <c r="S6" s="4"/>
      <c r="T6" s="4"/>
      <c r="U6" s="4"/>
    </row>
    <row r="7" spans="1:21" s="10" customFormat="1" x14ac:dyDescent="0.2">
      <c r="A7" s="23" t="s">
        <v>16</v>
      </c>
      <c r="B7" s="23"/>
      <c r="C7" s="23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5" t="s">
        <v>19</v>
      </c>
      <c r="M7" s="26"/>
      <c r="N7" s="25" t="s">
        <v>19</v>
      </c>
      <c r="O7" s="26"/>
      <c r="P7" s="25" t="s">
        <v>19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62"/>
      <c r="C8" s="63"/>
      <c r="D8" s="25" t="s">
        <v>73</v>
      </c>
      <c r="E8" s="25" t="s">
        <v>74</v>
      </c>
      <c r="F8" s="58"/>
      <c r="G8" s="25" t="s">
        <v>58</v>
      </c>
      <c r="H8" s="25" t="s">
        <v>75</v>
      </c>
      <c r="I8" s="58"/>
      <c r="J8" s="3"/>
      <c r="K8" s="8"/>
      <c r="L8" s="25" t="s">
        <v>20</v>
      </c>
      <c r="M8" s="26"/>
      <c r="N8" s="25" t="s">
        <v>20</v>
      </c>
      <c r="O8" s="26"/>
      <c r="P8" s="25" t="s">
        <v>20</v>
      </c>
      <c r="Q8" s="26"/>
      <c r="R8" s="3"/>
      <c r="S8" s="21"/>
      <c r="T8" s="115" t="s">
        <v>76</v>
      </c>
      <c r="U8" s="116"/>
    </row>
    <row r="9" spans="1:21" s="10" customFormat="1" ht="60" customHeight="1" x14ac:dyDescent="0.2">
      <c r="A9" s="8" t="s">
        <v>11</v>
      </c>
      <c r="B9" s="29"/>
      <c r="C9" s="30"/>
      <c r="D9" s="25" t="s">
        <v>77</v>
      </c>
      <c r="E9" s="59" t="s">
        <v>78</v>
      </c>
      <c r="F9" s="25" t="s">
        <v>79</v>
      </c>
      <c r="G9" s="25" t="s">
        <v>80</v>
      </c>
      <c r="H9" s="25" t="s">
        <v>81</v>
      </c>
      <c r="I9" s="60" t="s">
        <v>82</v>
      </c>
      <c r="J9" s="25" t="s">
        <v>83</v>
      </c>
      <c r="K9" s="61"/>
      <c r="L9" s="60"/>
      <c r="M9" s="25"/>
      <c r="N9" s="25"/>
      <c r="O9" s="25"/>
      <c r="P9" s="25"/>
      <c r="Q9" s="25"/>
      <c r="R9" s="115" t="s">
        <v>84</v>
      </c>
      <c r="S9" s="116"/>
      <c r="T9" s="115" t="s">
        <v>85</v>
      </c>
      <c r="U9" s="116"/>
    </row>
    <row r="10" spans="1:21" s="10" customFormat="1" ht="52" x14ac:dyDescent="0.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82</v>
      </c>
      <c r="M10" s="25" t="s">
        <v>83</v>
      </c>
      <c r="N10" s="25" t="s">
        <v>82</v>
      </c>
      <c r="O10" s="25" t="s">
        <v>83</v>
      </c>
      <c r="P10" s="25" t="s">
        <v>82</v>
      </c>
      <c r="Q10" s="25" t="s">
        <v>83</v>
      </c>
      <c r="R10" s="31"/>
      <c r="S10" s="31"/>
      <c r="T10" s="36"/>
      <c r="U10" s="46"/>
    </row>
    <row r="11" spans="1:21" s="10" customFormat="1" x14ac:dyDescent="0.2">
      <c r="A11" s="8">
        <v>10</v>
      </c>
      <c r="B11" s="29" t="s">
        <v>12</v>
      </c>
      <c r="C11" s="30"/>
      <c r="D11" s="24" t="s">
        <v>34</v>
      </c>
      <c r="E11" s="28" t="s">
        <v>13</v>
      </c>
      <c r="F11" s="37"/>
      <c r="G11" s="24"/>
      <c r="H11" s="38"/>
      <c r="I11" s="39"/>
      <c r="J11" s="34"/>
      <c r="K11" s="34"/>
      <c r="L11" s="27"/>
      <c r="M11" s="27"/>
      <c r="N11" s="27"/>
      <c r="O11" s="27"/>
      <c r="P11" s="27"/>
      <c r="Q11" s="27"/>
      <c r="R11" s="39"/>
      <c r="S11" s="37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66</v>
      </c>
      <c r="E12" s="26" t="s">
        <v>65</v>
      </c>
      <c r="F12" s="26"/>
      <c r="G12" s="40" t="s">
        <v>89</v>
      </c>
      <c r="H12" s="40" t="s">
        <v>54</v>
      </c>
      <c r="I12" s="8" t="s">
        <v>55</v>
      </c>
      <c r="J12" s="8" t="s">
        <v>44</v>
      </c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30</v>
      </c>
      <c r="E13" s="26" t="s">
        <v>31</v>
      </c>
      <c r="F13" s="26"/>
      <c r="G13" s="40" t="s">
        <v>87</v>
      </c>
      <c r="H13" s="40" t="s">
        <v>56</v>
      </c>
      <c r="I13" s="8" t="s">
        <v>55</v>
      </c>
      <c r="J13" s="8" t="s">
        <v>44</v>
      </c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14</v>
      </c>
      <c r="E14" s="26" t="s">
        <v>15</v>
      </c>
      <c r="F14" s="26"/>
      <c r="G14" s="40" t="s">
        <v>88</v>
      </c>
      <c r="H14" s="40" t="s">
        <v>57</v>
      </c>
      <c r="I14" s="8" t="s">
        <v>44</v>
      </c>
      <c r="J14" s="8" t="s">
        <v>44</v>
      </c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22"/>
      <c r="B15" s="23"/>
      <c r="C15" s="23"/>
      <c r="D15" s="16" t="s">
        <v>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49"/>
      <c r="U16" s="41"/>
    </row>
    <row r="17" spans="1:21" s="10" customFormat="1" x14ac:dyDescent="0.2">
      <c r="A17" s="49"/>
      <c r="U17" s="41"/>
    </row>
    <row r="18" spans="1:21" s="10" customFormat="1" x14ac:dyDescent="0.2">
      <c r="A18" s="49"/>
      <c r="U18" s="41"/>
    </row>
    <row r="19" spans="1:21" s="10" customFormat="1" x14ac:dyDescent="0.2">
      <c r="A19" s="49"/>
      <c r="U19" s="41"/>
    </row>
    <row r="20" spans="1:21" s="10" customFormat="1" x14ac:dyDescent="0.2">
      <c r="A20" s="56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2"/>
    </row>
  </sheetData>
  <mergeCells count="10">
    <mergeCell ref="R14:S14"/>
    <mergeCell ref="T14:U14"/>
    <mergeCell ref="T8:U8"/>
    <mergeCell ref="R9:S9"/>
    <mergeCell ref="T9:U9"/>
    <mergeCell ref="T11:U11"/>
    <mergeCell ref="R12:S12"/>
    <mergeCell ref="T12:U12"/>
    <mergeCell ref="R13:S13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3" t="s">
        <v>23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96" t="s">
        <v>24</v>
      </c>
      <c r="B3" s="97"/>
      <c r="C3" s="97"/>
      <c r="D3" s="97"/>
      <c r="E3" s="97"/>
      <c r="F3" s="97"/>
      <c r="G3" s="98"/>
      <c r="H3" s="99" t="s">
        <v>25</v>
      </c>
      <c r="I3" s="97"/>
      <c r="J3" s="97"/>
      <c r="K3" s="97"/>
      <c r="L3" s="97"/>
      <c r="M3" s="97"/>
      <c r="N3" s="98"/>
      <c r="O3" s="99" t="s">
        <v>26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99" t="s">
        <v>27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 x14ac:dyDescent="0.2">
      <c r="A4" s="104">
        <v>1</v>
      </c>
      <c r="B4" s="105"/>
      <c r="C4" s="105"/>
      <c r="D4" s="105"/>
      <c r="E4" s="105"/>
      <c r="F4" s="105"/>
      <c r="G4" s="106"/>
      <c r="H4" s="107"/>
      <c r="I4" s="108"/>
      <c r="J4" s="108"/>
      <c r="K4" s="108"/>
      <c r="L4" s="108"/>
      <c r="M4" s="108"/>
      <c r="N4" s="109"/>
      <c r="O4" s="110" t="s">
        <v>28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7" t="s">
        <v>90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91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84"/>
      <c r="I6" s="85"/>
      <c r="J6" s="85"/>
      <c r="K6" s="85"/>
      <c r="L6" s="85"/>
      <c r="M6" s="85"/>
      <c r="N6" s="86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84"/>
      <c r="I7" s="85"/>
      <c r="J7" s="85"/>
      <c r="K7" s="85"/>
      <c r="L7" s="85"/>
      <c r="M7" s="85"/>
      <c r="N7" s="86"/>
      <c r="O7" s="77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64"/>
      <c r="B35" s="65"/>
      <c r="C35" s="65"/>
      <c r="D35" s="65"/>
      <c r="E35" s="65"/>
      <c r="F35" s="65"/>
      <c r="G35" s="66"/>
      <c r="H35" s="67"/>
      <c r="I35" s="68"/>
      <c r="J35" s="68"/>
      <c r="K35" s="68"/>
      <c r="L35" s="68"/>
      <c r="M35" s="68"/>
      <c r="N35" s="69"/>
      <c r="O35" s="67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2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Ins01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2026-03-27T05:48:17Z</dcterms:modified>
  <cp:category/>
</cp:coreProperties>
</file>