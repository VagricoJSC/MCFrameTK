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Logic\"/>
    </mc:Choice>
  </mc:AlternateContent>
  <xr:revisionPtr revIDLastSave="0" documentId="13_ncr:1_{F05E3A39-0161-4839-9C1B-BDFE74605426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Upd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2" i="1" l="1"/>
  <c r="L4" i="1"/>
  <c r="L3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<sst xmlns="http://schemas.openxmlformats.org/spreadsheetml/2006/main" count="191" uniqueCount="132">
  <si>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</si>
  <si>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</si>
  <si>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</si>
  <si>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</si>
  <si>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</si>
  <si>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</si>
  <si>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</si>
  <si>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</si>
  <si>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</si>
  <si>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</si>
  <si>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</si>
  <si>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</si>
  <si>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</si>
  <si>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</si>
  <si>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</si>
  <si>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</si>
  <si>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</si>
  <si>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</si>
  <si>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</si>
  <si>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</si>
  <si>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</si>
  <si>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</si>
  <si>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L</t>
  </si>
  <si>
    <t>L</t>
    <phoneticPr fontId="2"/>
  </si>
  <si>
    <t>Pj.ID :</t>
    <phoneticPr fontId="2"/>
  </si>
  <si>
    <t>SuperClassPj.ID :</t>
    <phoneticPr fontId="2"/>
  </si>
  <si>
    <t>Gene.Type :</t>
    <phoneticPr fontId="2"/>
  </si>
  <si>
    <t>TargetName</t>
    <phoneticPr fontId="2"/>
  </si>
  <si>
    <t>TargetName</t>
    <phoneticPr fontId="2"/>
  </si>
  <si>
    <t>ID</t>
    <phoneticPr fontId="2"/>
  </si>
  <si>
    <t>Ope.ID :</t>
    <phoneticPr fontId="2"/>
  </si>
  <si>
    <t xml:space="preserve">Ope.Body : </t>
    <phoneticPr fontId="2"/>
  </si>
  <si>
    <t>ImplOpe.ID:</t>
    <phoneticPr fontId="2"/>
  </si>
  <si>
    <t>super/share</t>
    <phoneticPr fontId="2"/>
  </si>
  <si>
    <t>*</t>
    <phoneticPr fontId="2"/>
  </si>
  <si>
    <t>Ope.Method :</t>
    <phoneticPr fontId="2"/>
  </si>
  <si>
    <t>000000</t>
    <phoneticPr fontId="2"/>
  </si>
  <si>
    <t xml:space="preserve">Ope.Name : </t>
    <phoneticPr fontId="2"/>
  </si>
  <si>
    <t>ACType :</t>
    <phoneticPr fontId="2"/>
  </si>
  <si>
    <t>MB</t>
  </si>
  <si>
    <t>LogicID :</t>
  </si>
  <si>
    <t>Pj.ID :</t>
  </si>
  <si>
    <t>MBBE</t>
  </si>
  <si>
    <t>LogicClass :</t>
  </si>
  <si>
    <t>SuperClassPj.ID :</t>
  </si>
  <si>
    <t>LogicName :</t>
  </si>
  <si>
    <t>Ｌｉｎｋ取込インターフェース</t>
    <rPh sb="4" eb="6">
      <t>トリコミ</t>
    </rPh>
    <phoneticPr fontId="1"/>
  </si>
  <si>
    <t>SuperLogicID :</t>
  </si>
  <si>
    <t>@</t>
  </si>
  <si>
    <t>ALLI</t>
    <phoneticPr fontId="2"/>
  </si>
  <si>
    <t>data_no</t>
  </si>
  <si>
    <t>#MA.IF_DATA_NO</t>
  </si>
  <si>
    <t>ext_data_no</t>
  </si>
  <si>
    <t>#MA.IF_EXT_DATA_NO</t>
  </si>
  <si>
    <t>ext_sys_cd</t>
  </si>
  <si>
    <t>#MA.EXT_SYS_CD</t>
  </si>
  <si>
    <t>bp_cd</t>
  </si>
  <si>
    <t>#MA.BP_CD</t>
  </si>
  <si>
    <t>-</t>
    <phoneticPr fontId="2"/>
  </si>
  <si>
    <t>取込</t>
    <rPh sb="0" eb="2">
      <t>トリコミ</t>
    </rPh>
    <phoneticPr fontId="1"/>
  </si>
  <si>
    <t>MBBEL5010</t>
    <phoneticPr fontId="4"/>
  </si>
  <si>
    <t>IfDataImp_Upd01_Dtl</t>
    <phoneticPr fontId="2"/>
  </si>
  <si>
    <t>MBBEL_IfDataImpService</t>
    <phoneticPr fontId="4"/>
  </si>
  <si>
    <t>data_lno</t>
    <phoneticPr fontId="2"/>
  </si>
  <si>
    <t>#MA.IF_DATA_LNO</t>
    <phoneticPr fontId="2"/>
  </si>
  <si>
    <t>if_proc_typ</t>
    <phoneticPr fontId="2"/>
  </si>
  <si>
    <t>#MA.IF_PROC_TYP</t>
    <phoneticPr fontId="2"/>
  </si>
  <si>
    <t>ＩＦ処理区分</t>
    <phoneticPr fontId="2"/>
  </si>
  <si>
    <t>exe_unit_lump_flg</t>
  </si>
  <si>
    <t>#MA.FLG</t>
  </si>
  <si>
    <t>if_upd_typ</t>
  </si>
  <si>
    <t>#MA.IF_UPD_TYP</t>
  </si>
  <si>
    <t>src_actlumprecv_flg</t>
  </si>
  <si>
    <t>IfDataImp_Upd01_Cnd</t>
    <phoneticPr fontId="2"/>
  </si>
  <si>
    <t>R</t>
    <phoneticPr fontId="4"/>
  </si>
  <si>
    <t>total_num</t>
    <phoneticPr fontId="2"/>
  </si>
  <si>
    <t>N</t>
    <phoneticPr fontId="2"/>
  </si>
  <si>
    <t>-</t>
    <phoneticPr fontId="4"/>
  </si>
  <si>
    <t>ok_num</t>
    <phoneticPr fontId="2"/>
  </si>
  <si>
    <t>N</t>
    <phoneticPr fontId="2"/>
  </si>
  <si>
    <t>err_num</t>
    <phoneticPr fontId="2"/>
  </si>
  <si>
    <t>skip_num</t>
    <phoneticPr fontId="2"/>
  </si>
  <si>
    <t>IfDataImp_Upd01_Rslt</t>
    <phoneticPr fontId="4"/>
  </si>
  <si>
    <t>R</t>
    <phoneticPr fontId="2"/>
  </si>
  <si>
    <t>not_bkf_upd_flg</t>
  </si>
  <si>
    <t>ＢＦ更新しない</t>
    <phoneticPr fontId="2"/>
  </si>
  <si>
    <t>Upd01</t>
    <phoneticPr fontId="2"/>
  </si>
  <si>
    <t>MB.MBUDL5010</t>
    <phoneticPr fontId="4"/>
  </si>
  <si>
    <t>データ行ＮＯ</t>
    <phoneticPr fontId="2"/>
  </si>
  <si>
    <t>E</t>
    <phoneticPr fontId="2"/>
  </si>
  <si>
    <t>データＮＯ</t>
    <phoneticPr fontId="2"/>
  </si>
  <si>
    <t>外部システムデータＮＯ</t>
    <phoneticPr fontId="1"/>
  </si>
  <si>
    <t>外部システムＣＤ</t>
    <phoneticPr fontId="2"/>
  </si>
  <si>
    <t>取引先ＣＤ</t>
    <phoneticPr fontId="2"/>
  </si>
  <si>
    <t>処理単位まとめ</t>
    <phoneticPr fontId="2"/>
  </si>
  <si>
    <t>-</t>
    <phoneticPr fontId="2"/>
  </si>
  <si>
    <t>ＩＦ更新区分</t>
    <phoneticPr fontId="2"/>
  </si>
  <si>
    <t>呼出元実績一括受信バッチ</t>
    <phoneticPr fontId="2"/>
  </si>
  <si>
    <t>処理対象件数</t>
    <phoneticPr fontId="2"/>
  </si>
  <si>
    <t>登録件数</t>
    <phoneticPr fontId="2"/>
  </si>
  <si>
    <t>エラー件数</t>
    <phoneticPr fontId="2"/>
  </si>
  <si>
    <t>スキップ件数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</si>
  <si>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</si>
  <si>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</si>
  <si>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</si>
  <si>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</si>
  <si>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</si>
  <si>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</si>
  <si>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</si>
  <si>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</si>
  <si>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</si>
  <si>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</si>
  <si>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</si>
  <si>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</si>
  <si>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</si>
  <si>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</si>
  <si>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Data row No.</t>
  </si>
  <si>
    <t>Data No.</t>
  </si>
  <si>
    <t>IF process type</t>
  </si>
  <si>
    <t>External system data No.</t>
  </si>
  <si>
    <t>External system cd.</t>
  </si>
  <si>
    <t>BP cd.</t>
  </si>
  <si>
    <t>Process unit aggregation</t>
  </si>
  <si>
    <t>IF update type</t>
  </si>
  <si>
    <t>Caller results import batch</t>
  </si>
  <si>
    <t>Not update BF</t>
  </si>
  <si>
    <t>Number of processed target</t>
  </si>
  <si>
    <t>Number of entries</t>
  </si>
  <si>
    <t>Error count</t>
  </si>
  <si>
    <t>Skip count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</si>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</sst>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5" xfId="0" applyFont="1" applyFill="1" applyBorder="1" applyAlignment="1">
      <alignment vertical="center" wrapText="1"/>
    </xf>
    <xf numFmtId="0" fontId="6" fillId="0" borderId="7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2" xfId="0" applyFont="1" applyBorder="1" applyAlignment="1">
      <alignment wrapText="1"/>
    </xf>
    <xf numFmtId="0" fontId="6" fillId="2" borderId="12" xfId="0" applyFont="1" applyFill="1" applyBorder="1" applyAlignment="1"/>
    <xf numFmtId="0" fontId="6" fillId="0" borderId="11" xfId="0" applyFont="1" applyBorder="1" applyAlignment="1">
      <alignment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2" xfId="0" applyFont="1" applyBorder="1" applyAlignment="1"/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39</v>
      </c>
      <c r="D2" s="7" t="s">
        <v>40</v>
      </c>
      <c r="E2" s="8" t="s">
        <v>60</v>
      </c>
      <c r="F2" s="7" t="s">
        <v>41</v>
      </c>
      <c r="G2" s="8" t="s">
        <v>21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42</v>
      </c>
      <c r="D3" s="7" t="s">
        <v>43</v>
      </c>
      <c r="E3" s="8" t="s">
        <v>62</v>
      </c>
      <c r="F3" s="7" t="s">
        <v>44</v>
      </c>
      <c r="G3" s="8"/>
      <c r="H3" s="5"/>
      <c r="I3" s="5"/>
    </row>
    <row r="4" spans="1:13" x14ac:dyDescent="0.2">
      <c r="A4" s="4"/>
      <c r="B4" s="7"/>
      <c r="C4" s="7"/>
      <c r="D4" s="7" t="s">
        <v>45</v>
      </c>
      <c r="E4" s="11" t="s">
        <v>46</v>
      </c>
      <c r="F4" s="7" t="s">
        <v>47</v>
      </c>
      <c r="G4" s="8" t="s">
        <v>87</v>
      </c>
      <c r="I4" s="5"/>
      <c r="J4" s="4"/>
    </row>
    <row r="5" spans="1:13" x14ac:dyDescent="0.2">
      <c r="A5" s="6" t="s">
        <v>14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34</v>
      </c>
      <c r="B1" s="52" t="s">
        <v>34</v>
      </c>
      <c r="C1" s="5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34</v>
      </c>
      <c r="B2" s="23"/>
      <c r="C2" s="23"/>
      <c r="D2" s="64" t="s">
        <v>102</v>
      </c>
      <c r="E2" s="7" t="s">
        <v>1</v>
      </c>
      <c r="F2" s="53" t="str">
        <f>IF(LogicCommon!C2="","",LogicCommon!C2)</f>
        <v>MB</v>
      </c>
      <c r="G2" s="7" t="s">
        <v>2</v>
      </c>
      <c r="H2" s="53" t="str">
        <f>IF(LogicCommon!E2="","",LogicCommon!E2)</f>
        <v>MBBEL5010</v>
      </c>
      <c r="I2" s="7" t="s">
        <v>30</v>
      </c>
      <c r="J2" s="8" t="s">
        <v>86</v>
      </c>
      <c r="K2" s="7" t="s">
        <v>24</v>
      </c>
      <c r="L2" s="53" t="str">
        <f>IF(LogicCommon!G2="","",LogicCommon!G2)</f>
        <v>MC</v>
      </c>
      <c r="M2" s="5" t="s">
        <v>31</v>
      </c>
      <c r="N2" s="24"/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34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MBBE</v>
      </c>
      <c r="G3" s="7" t="s">
        <v>4</v>
      </c>
      <c r="H3" s="53" t="str">
        <f>IF(LogicCommon!E3="","",LogicCommon!E3)</f>
        <v>MBBEL_IfDataImpService</v>
      </c>
      <c r="I3" s="7" t="s">
        <v>35</v>
      </c>
      <c r="J3" s="8" t="s">
        <v>48</v>
      </c>
      <c r="K3" s="7" t="s">
        <v>25</v>
      </c>
      <c r="L3" s="53" t="str">
        <f>IF(LogicCommon!G3="","",LogicCommon!G3)</f>
        <v/>
      </c>
      <c r="M3" s="57"/>
      <c r="N3" s="7"/>
      <c r="O3" s="7" t="s">
        <v>26</v>
      </c>
      <c r="P3" s="8" t="s">
        <v>49</v>
      </c>
      <c r="Q3" s="4"/>
      <c r="R3" s="5"/>
      <c r="S3" s="5"/>
      <c r="T3" s="5"/>
      <c r="U3" s="5"/>
    </row>
    <row r="4" spans="1:21" s="10" customFormat="1" x14ac:dyDescent="0.2">
      <c r="A4" s="54" t="s">
        <v>34</v>
      </c>
      <c r="B4" s="55"/>
      <c r="C4" s="55"/>
      <c r="D4" s="4"/>
      <c r="E4" s="7" t="s">
        <v>12</v>
      </c>
      <c r="F4" s="58" t="s">
        <v>36</v>
      </c>
      <c r="G4" s="7" t="s">
        <v>5</v>
      </c>
      <c r="H4" s="53" t="str">
        <f>IF(LogicCommon!E4="","",LogicCommon!E4)</f>
        <v>Ｌｉｎｋ取込インターフェース</v>
      </c>
      <c r="I4" s="7" t="s">
        <v>37</v>
      </c>
      <c r="J4" s="8" t="s">
        <v>59</v>
      </c>
      <c r="K4" s="7" t="s">
        <v>6</v>
      </c>
      <c r="L4" s="53" t="str">
        <f>IF(LogicCommon!G4="","",LogicCommon!G4)</f>
        <v>MB.MBUDL5010</v>
      </c>
      <c r="M4" s="59" t="s">
        <v>32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34</v>
      </c>
      <c r="B5" s="52"/>
      <c r="C5" s="52"/>
      <c r="D5" s="21"/>
      <c r="E5" s="7" t="s">
        <v>38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34</v>
      </c>
      <c r="B6" s="55"/>
      <c r="C6" s="55"/>
      <c r="D6" s="4" t="s">
        <v>14</v>
      </c>
      <c r="E6" s="12"/>
      <c r="F6" s="12"/>
      <c r="G6" s="12"/>
      <c r="H6" s="12"/>
      <c r="I6" s="12"/>
      <c r="J6" s="12"/>
      <c r="K6" s="12"/>
      <c r="L6" s="63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/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65"/>
      <c r="C8" s="66"/>
      <c r="D8" s="25" t="s">
        <v>103</v>
      </c>
      <c r="E8" s="25" t="s">
        <v>104</v>
      </c>
      <c r="F8" s="63"/>
      <c r="G8" s="25" t="s">
        <v>33</v>
      </c>
      <c r="H8" s="25" t="s">
        <v>105</v>
      </c>
      <c r="I8" s="63"/>
      <c r="J8" s="3"/>
      <c r="K8" s="8"/>
      <c r="L8" s="25" t="s">
        <v>11</v>
      </c>
      <c r="M8" s="26"/>
      <c r="N8" s="25" t="s">
        <v>27</v>
      </c>
      <c r="O8" s="26"/>
      <c r="P8" s="25" t="s">
        <v>28</v>
      </c>
      <c r="Q8" s="26"/>
      <c r="R8" s="3"/>
      <c r="S8" s="21"/>
      <c r="T8" s="117" t="s">
        <v>106</v>
      </c>
      <c r="U8" s="118"/>
    </row>
    <row r="9" spans="1:21" s="10" customFormat="1" ht="60" customHeight="1" x14ac:dyDescent="0.2">
      <c r="A9" s="8" t="s">
        <v>8</v>
      </c>
      <c r="B9" s="28"/>
      <c r="C9" s="29"/>
      <c r="D9" s="25" t="s">
        <v>107</v>
      </c>
      <c r="E9" s="47" t="s">
        <v>108</v>
      </c>
      <c r="F9" s="25" t="s">
        <v>109</v>
      </c>
      <c r="G9" s="25" t="s">
        <v>110</v>
      </c>
      <c r="H9" s="25" t="s">
        <v>111</v>
      </c>
      <c r="I9" s="48" t="s">
        <v>112</v>
      </c>
      <c r="J9" s="25" t="s">
        <v>113</v>
      </c>
      <c r="K9" s="64"/>
      <c r="L9" s="48"/>
      <c r="M9" s="25"/>
      <c r="N9" s="25"/>
      <c r="O9" s="25"/>
      <c r="P9" s="25"/>
      <c r="Q9" s="25"/>
      <c r="R9" s="117" t="s">
        <v>114</v>
      </c>
      <c r="S9" s="118"/>
      <c r="T9" s="117" t="s">
        <v>115</v>
      </c>
      <c r="U9" s="118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112</v>
      </c>
      <c r="M10" s="25" t="s">
        <v>113</v>
      </c>
      <c r="N10" s="25" t="s">
        <v>112</v>
      </c>
      <c r="O10" s="25" t="s">
        <v>113</v>
      </c>
      <c r="P10" s="25" t="s">
        <v>112</v>
      </c>
      <c r="Q10" s="25" t="s">
        <v>113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0</v>
      </c>
      <c r="C11" s="29"/>
      <c r="D11" s="38" t="s">
        <v>61</v>
      </c>
      <c r="E11" s="27" t="s">
        <v>22</v>
      </c>
      <c r="F11" s="44"/>
      <c r="G11" s="24"/>
      <c r="H11" s="26"/>
      <c r="I11" s="32"/>
      <c r="J11" s="32"/>
      <c r="K11" s="32"/>
      <c r="L11" s="27"/>
      <c r="M11" s="27"/>
      <c r="N11" s="27"/>
      <c r="O11" s="27"/>
      <c r="P11" s="27"/>
      <c r="Q11" s="27"/>
      <c r="R11" s="47"/>
      <c r="S11" s="48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63</v>
      </c>
      <c r="E12" s="26" t="s">
        <v>64</v>
      </c>
      <c r="F12" s="26"/>
      <c r="G12" s="36" t="s">
        <v>116</v>
      </c>
      <c r="H12" s="36" t="s">
        <v>88</v>
      </c>
      <c r="I12" s="8" t="s">
        <v>89</v>
      </c>
      <c r="J12" s="8" t="s">
        <v>58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6" t="s">
        <v>117</v>
      </c>
      <c r="H13" s="36" t="s">
        <v>90</v>
      </c>
      <c r="I13" s="8" t="s">
        <v>89</v>
      </c>
      <c r="J13" s="8" t="s">
        <v>58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65</v>
      </c>
      <c r="E14" s="26" t="s">
        <v>66</v>
      </c>
      <c r="F14" s="26"/>
      <c r="G14" s="36" t="s">
        <v>118</v>
      </c>
      <c r="H14" s="36" t="s">
        <v>67</v>
      </c>
      <c r="I14" s="8" t="s">
        <v>89</v>
      </c>
      <c r="J14" s="8" t="s">
        <v>58</v>
      </c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52</v>
      </c>
      <c r="E15" s="26" t="s">
        <v>53</v>
      </c>
      <c r="F15" s="26"/>
      <c r="G15" s="36" t="s">
        <v>119</v>
      </c>
      <c r="H15" s="36" t="s">
        <v>91</v>
      </c>
      <c r="I15" s="8" t="s">
        <v>89</v>
      </c>
      <c r="J15" s="8" t="s">
        <v>58</v>
      </c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54</v>
      </c>
      <c r="E16" s="26" t="s">
        <v>55</v>
      </c>
      <c r="F16" s="26"/>
      <c r="G16" s="36" t="s">
        <v>120</v>
      </c>
      <c r="H16" s="36" t="s">
        <v>92</v>
      </c>
      <c r="I16" s="8" t="s">
        <v>89</v>
      </c>
      <c r="J16" s="8" t="s">
        <v>58</v>
      </c>
      <c r="K16" s="8"/>
      <c r="L16" s="8"/>
      <c r="M16" s="8"/>
      <c r="N16" s="8"/>
      <c r="O16" s="8"/>
      <c r="P16" s="8"/>
      <c r="Q16" s="8"/>
      <c r="R16" s="47"/>
      <c r="S16" s="48"/>
      <c r="T16" s="49"/>
      <c r="U16" s="50"/>
    </row>
    <row r="17" spans="1:21" s="10" customFormat="1" x14ac:dyDescent="0.2">
      <c r="A17" s="8">
        <v>10</v>
      </c>
      <c r="B17" s="8"/>
      <c r="C17" s="8"/>
      <c r="D17" s="8" t="s">
        <v>56</v>
      </c>
      <c r="E17" s="26" t="s">
        <v>57</v>
      </c>
      <c r="F17" s="26"/>
      <c r="G17" s="36" t="s">
        <v>121</v>
      </c>
      <c r="H17" s="36" t="s">
        <v>93</v>
      </c>
      <c r="I17" s="8" t="s">
        <v>89</v>
      </c>
      <c r="J17" s="8" t="s">
        <v>58</v>
      </c>
      <c r="K17" s="8"/>
      <c r="L17" s="8"/>
      <c r="M17" s="8"/>
      <c r="N17" s="8"/>
      <c r="O17" s="8"/>
      <c r="P17" s="8"/>
      <c r="Q17" s="8"/>
      <c r="R17" s="47"/>
      <c r="S17" s="48"/>
      <c r="T17" s="49"/>
      <c r="U17" s="50"/>
    </row>
    <row r="18" spans="1:21" s="10" customFormat="1" x14ac:dyDescent="0.2">
      <c r="A18" s="54"/>
      <c r="U18" s="37"/>
    </row>
    <row r="19" spans="1:21" s="10" customFormat="1" x14ac:dyDescent="0.2">
      <c r="A19" s="8">
        <v>20</v>
      </c>
      <c r="B19" s="28" t="s">
        <v>0</v>
      </c>
      <c r="C19" s="29"/>
      <c r="D19" s="38" t="s">
        <v>73</v>
      </c>
      <c r="E19" s="27" t="s">
        <v>83</v>
      </c>
      <c r="F19" s="39"/>
      <c r="G19" s="24"/>
      <c r="H19" s="26"/>
      <c r="I19" s="15"/>
      <c r="J19" s="15"/>
      <c r="K19" s="15"/>
      <c r="L19" s="27"/>
      <c r="M19" s="27"/>
      <c r="N19" s="27"/>
      <c r="O19" s="27"/>
      <c r="P19" s="27"/>
      <c r="Q19" s="27"/>
      <c r="R19" s="47"/>
      <c r="S19" s="48"/>
      <c r="T19" s="119"/>
      <c r="U19" s="120"/>
    </row>
    <row r="20" spans="1:21" s="10" customFormat="1" x14ac:dyDescent="0.2">
      <c r="A20" s="8">
        <v>20</v>
      </c>
      <c r="B20" s="8"/>
      <c r="C20" s="8"/>
      <c r="D20" s="8" t="s">
        <v>68</v>
      </c>
      <c r="E20" s="26" t="s">
        <v>69</v>
      </c>
      <c r="F20" s="26"/>
      <c r="G20" s="36" t="s">
        <v>122</v>
      </c>
      <c r="H20" s="36" t="s">
        <v>94</v>
      </c>
      <c r="I20" s="8" t="s">
        <v>89</v>
      </c>
      <c r="J20" s="8" t="s">
        <v>95</v>
      </c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20</v>
      </c>
      <c r="B21" s="8"/>
      <c r="C21" s="8"/>
      <c r="D21" s="8" t="s">
        <v>70</v>
      </c>
      <c r="E21" s="26" t="s">
        <v>71</v>
      </c>
      <c r="F21" s="26"/>
      <c r="G21" s="36" t="s">
        <v>123</v>
      </c>
      <c r="H21" s="36" t="s">
        <v>96</v>
      </c>
      <c r="I21" s="8" t="s">
        <v>89</v>
      </c>
      <c r="J21" s="8" t="s">
        <v>95</v>
      </c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20</v>
      </c>
      <c r="B22" s="8"/>
      <c r="C22" s="8"/>
      <c r="D22" s="8" t="s">
        <v>72</v>
      </c>
      <c r="E22" s="26" t="s">
        <v>69</v>
      </c>
      <c r="F22" s="26"/>
      <c r="G22" s="36" t="s">
        <v>124</v>
      </c>
      <c r="H22" s="36" t="s">
        <v>97</v>
      </c>
      <c r="I22" s="8" t="s">
        <v>89</v>
      </c>
      <c r="J22" s="8" t="s">
        <v>95</v>
      </c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20</v>
      </c>
      <c r="B23" s="8"/>
      <c r="C23" s="8"/>
      <c r="D23" s="8" t="s">
        <v>84</v>
      </c>
      <c r="E23" s="26" t="s">
        <v>69</v>
      </c>
      <c r="F23" s="26"/>
      <c r="G23" s="36" t="s">
        <v>125</v>
      </c>
      <c r="H23" s="36" t="s">
        <v>85</v>
      </c>
      <c r="I23" s="8" t="s">
        <v>89</v>
      </c>
      <c r="J23" s="8" t="s">
        <v>95</v>
      </c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ht="39" x14ac:dyDescent="0.2">
      <c r="A24" s="54"/>
      <c r="L24" s="10" t="s">
        <v>112</v>
      </c>
      <c r="M24" s="10" t="s">
        <v>113</v>
      </c>
      <c r="N24" s="10" t="s">
        <v>112</v>
      </c>
      <c r="O24" s="10" t="s">
        <v>113</v>
      </c>
      <c r="P24" s="10" t="s">
        <v>112</v>
      </c>
      <c r="Q24" s="10" t="s">
        <v>113</v>
      </c>
      <c r="U24" s="37"/>
    </row>
    <row r="25" spans="1:21" s="10" customFormat="1" x14ac:dyDescent="0.2">
      <c r="A25" s="8">
        <v>30</v>
      </c>
      <c r="B25" s="28" t="s">
        <v>0</v>
      </c>
      <c r="C25" s="29"/>
      <c r="D25" s="24" t="s">
        <v>82</v>
      </c>
      <c r="E25" s="27" t="s">
        <v>74</v>
      </c>
      <c r="F25" s="44"/>
      <c r="G25" s="24"/>
      <c r="H25" s="45"/>
      <c r="I25" s="46"/>
      <c r="J25" s="33"/>
      <c r="K25" s="33"/>
      <c r="L25" s="27"/>
      <c r="M25" s="27"/>
      <c r="N25" s="27"/>
      <c r="O25" s="27"/>
      <c r="P25" s="27"/>
      <c r="Q25" s="27"/>
      <c r="R25" s="46"/>
      <c r="S25" s="44"/>
      <c r="T25" s="119"/>
      <c r="U25" s="120"/>
    </row>
    <row r="26" spans="1:21" s="10" customFormat="1" x14ac:dyDescent="0.2">
      <c r="A26" s="8">
        <v>30</v>
      </c>
      <c r="B26" s="8"/>
      <c r="C26" s="8"/>
      <c r="D26" s="8" t="s">
        <v>75</v>
      </c>
      <c r="E26" s="8" t="s">
        <v>76</v>
      </c>
      <c r="F26" s="8"/>
      <c r="G26" s="36" t="s">
        <v>126</v>
      </c>
      <c r="H26" s="11" t="s">
        <v>98</v>
      </c>
      <c r="I26" s="8" t="s">
        <v>77</v>
      </c>
      <c r="J26" s="8" t="s">
        <v>74</v>
      </c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30</v>
      </c>
      <c r="B27" s="8"/>
      <c r="C27" s="8"/>
      <c r="D27" s="8" t="s">
        <v>78</v>
      </c>
      <c r="E27" s="8" t="s">
        <v>79</v>
      </c>
      <c r="F27" s="8"/>
      <c r="G27" s="36" t="s">
        <v>127</v>
      </c>
      <c r="H27" s="11" t="s">
        <v>99</v>
      </c>
      <c r="I27" s="8" t="s">
        <v>77</v>
      </c>
      <c r="J27" s="8" t="s">
        <v>74</v>
      </c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30</v>
      </c>
      <c r="B28" s="8"/>
      <c r="C28" s="8"/>
      <c r="D28" s="8" t="s">
        <v>80</v>
      </c>
      <c r="E28" s="8" t="s">
        <v>76</v>
      </c>
      <c r="F28" s="8"/>
      <c r="G28" s="36" t="s">
        <v>128</v>
      </c>
      <c r="H28" s="11" t="s">
        <v>100</v>
      </c>
      <c r="I28" s="8" t="s">
        <v>77</v>
      </c>
      <c r="J28" s="8" t="s">
        <v>74</v>
      </c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30</v>
      </c>
      <c r="B29" s="8"/>
      <c r="C29" s="8"/>
      <c r="D29" s="8" t="s">
        <v>81</v>
      </c>
      <c r="E29" s="8" t="s">
        <v>76</v>
      </c>
      <c r="F29" s="8"/>
      <c r="G29" s="36" t="s">
        <v>129</v>
      </c>
      <c r="H29" s="11" t="s">
        <v>101</v>
      </c>
      <c r="I29" s="8" t="s">
        <v>77</v>
      </c>
      <c r="J29" s="8" t="s">
        <v>74</v>
      </c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22"/>
      <c r="B30" s="23"/>
      <c r="C30" s="23"/>
      <c r="D30" s="16" t="s">
        <v>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8"/>
    </row>
    <row r="31" spans="1:21" s="10" customFormat="1" x14ac:dyDescent="0.2">
      <c r="A31" s="54"/>
      <c r="U31" s="37"/>
    </row>
    <row r="32" spans="1:21" s="10" customFormat="1" x14ac:dyDescent="0.2">
      <c r="A32" s="54"/>
      <c r="U32" s="37"/>
    </row>
    <row r="33" spans="1:21" s="10" customFormat="1" x14ac:dyDescent="0.2">
      <c r="A33" s="54"/>
      <c r="U33" s="37"/>
    </row>
    <row r="34" spans="1:21" s="10" customFormat="1" x14ac:dyDescent="0.2">
      <c r="A34" s="54"/>
      <c r="U34" s="37"/>
    </row>
    <row r="35" spans="1:21" s="10" customFormat="1" x14ac:dyDescent="0.2">
      <c r="A35" s="54"/>
      <c r="U35" s="37"/>
    </row>
    <row r="36" spans="1:21" s="10" customFormat="1" x14ac:dyDescent="0.2">
      <c r="A36" s="54"/>
      <c r="U36" s="37"/>
    </row>
    <row r="37" spans="1:21" s="10" customFormat="1" x14ac:dyDescent="0.2">
      <c r="A37" s="54"/>
      <c r="U37" s="37"/>
    </row>
    <row r="38" spans="1:21" s="10" customFormat="1" x14ac:dyDescent="0.2">
      <c r="A38" s="54"/>
      <c r="U38" s="37"/>
    </row>
    <row r="39" spans="1:21" s="10" customFormat="1" x14ac:dyDescent="0.2">
      <c r="A39" s="54"/>
      <c r="U39" s="37"/>
    </row>
    <row r="40" spans="1:21" s="10" customFormat="1" x14ac:dyDescent="0.2">
      <c r="A40" s="54"/>
      <c r="U40" s="37"/>
    </row>
    <row r="41" spans="1:21" s="10" customFormat="1" x14ac:dyDescent="0.2">
      <c r="A41" s="54"/>
      <c r="U41" s="37"/>
    </row>
    <row r="42" spans="1:21" s="10" customFormat="1" x14ac:dyDescent="0.2">
      <c r="A42" s="54"/>
      <c r="U42" s="37"/>
    </row>
    <row r="43" spans="1:21" s="10" customFormat="1" x14ac:dyDescent="0.2">
      <c r="A43" s="54"/>
      <c r="U43" s="37"/>
    </row>
    <row r="44" spans="1:21" s="10" customFormat="1" x14ac:dyDescent="0.2">
      <c r="A44" s="54"/>
      <c r="U44" s="37"/>
    </row>
    <row r="45" spans="1:21" s="10" customFormat="1" x14ac:dyDescent="0.2">
      <c r="A45" s="54"/>
      <c r="U45" s="37"/>
    </row>
    <row r="46" spans="1:21" s="10" customFormat="1" x14ac:dyDescent="0.2">
      <c r="A46" s="54"/>
      <c r="U46" s="37"/>
    </row>
    <row r="47" spans="1:21" s="10" customFormat="1" x14ac:dyDescent="0.2">
      <c r="A47" s="54"/>
      <c r="U47" s="37"/>
    </row>
    <row r="48" spans="1:21" s="10" customFormat="1" x14ac:dyDescent="0.2">
      <c r="A48" s="54"/>
      <c r="U48" s="37"/>
    </row>
    <row r="49" spans="1:21" s="10" customFormat="1" x14ac:dyDescent="0.2">
      <c r="A49" s="54"/>
      <c r="U49" s="37"/>
    </row>
    <row r="50" spans="1:21" s="10" customFormat="1" x14ac:dyDescent="0.2">
      <c r="A50" s="54"/>
      <c r="U50" s="37"/>
    </row>
    <row r="51" spans="1:21" s="10" customFormat="1" x14ac:dyDescent="0.2">
      <c r="A51" s="61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0"/>
    </row>
  </sheetData>
  <mergeCells count="30">
    <mergeCell ref="R23:S23"/>
    <mergeCell ref="T23:U23"/>
    <mergeCell ref="T22:U22"/>
    <mergeCell ref="R22:S22"/>
    <mergeCell ref="T8:U8"/>
    <mergeCell ref="T9:U9"/>
    <mergeCell ref="R9:S9"/>
    <mergeCell ref="T19:U19"/>
    <mergeCell ref="R20:S20"/>
    <mergeCell ref="T20:U20"/>
    <mergeCell ref="R21:S21"/>
    <mergeCell ref="T21:U21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28:S28"/>
    <mergeCell ref="T28:U28"/>
    <mergeCell ref="R29:S29"/>
    <mergeCell ref="T29:U29"/>
    <mergeCell ref="T25:U25"/>
    <mergeCell ref="R26:S26"/>
    <mergeCell ref="T26:U26"/>
    <mergeCell ref="R27:S27"/>
    <mergeCell ref="T27:U2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E35"/>
  <sheetViews>
    <sheetView tabSelected="1" zoomScale="85" zoomScaleNormal="85" workbookViewId="0">
      <selection activeCell="BU12" sqref="BT12:BU12"/>
    </sheetView>
  </sheetViews>
  <sheetFormatPr defaultRowHeight="13" x14ac:dyDescent="0.2"/>
  <cols>
    <col min="1" max="42" width="2.08984375" style="41" customWidth="1"/>
    <col min="43" max="44" width="2.08984375" style="43" customWidth="1"/>
    <col min="45" max="71" width="2.08984375" style="41" customWidth="1"/>
    <col min="72" max="256" width="9" style="41"/>
    <col min="257" max="327" width="2.08984375" style="41" customWidth="1"/>
    <col min="328" max="512" width="9" style="41"/>
    <col min="513" max="583" width="2.08984375" style="41" customWidth="1"/>
    <col min="584" max="768" width="9" style="41"/>
    <col min="769" max="839" width="2.08984375" style="41" customWidth="1"/>
    <col min="840" max="1024" width="9" style="41"/>
    <col min="1025" max="1095" width="2.08984375" style="41" customWidth="1"/>
    <col min="1096" max="1280" width="9" style="41"/>
    <col min="1281" max="1351" width="2.08984375" style="41" customWidth="1"/>
    <col min="1352" max="1536" width="9" style="41"/>
    <col min="1537" max="1607" width="2.08984375" style="41" customWidth="1"/>
    <col min="1608" max="1792" width="9" style="41"/>
    <col min="1793" max="1863" width="2.08984375" style="41" customWidth="1"/>
    <col min="1864" max="2048" width="9" style="41"/>
    <col min="2049" max="2119" width="2.08984375" style="41" customWidth="1"/>
    <col min="2120" max="2304" width="9" style="41"/>
    <col min="2305" max="2375" width="2.08984375" style="41" customWidth="1"/>
    <col min="2376" max="2560" width="9" style="41"/>
    <col min="2561" max="2631" width="2.08984375" style="41" customWidth="1"/>
    <col min="2632" max="2816" width="9" style="41"/>
    <col min="2817" max="2887" width="2.08984375" style="41" customWidth="1"/>
    <col min="2888" max="3072" width="9" style="41"/>
    <col min="3073" max="3143" width="2.08984375" style="41" customWidth="1"/>
    <col min="3144" max="3328" width="9" style="41"/>
    <col min="3329" max="3399" width="2.08984375" style="41" customWidth="1"/>
    <col min="3400" max="3584" width="9" style="41"/>
    <col min="3585" max="3655" width="2.08984375" style="41" customWidth="1"/>
    <col min="3656" max="3840" width="9" style="41"/>
    <col min="3841" max="3911" width="2.08984375" style="41" customWidth="1"/>
    <col min="3912" max="4096" width="9" style="41"/>
    <col min="4097" max="4167" width="2.08984375" style="41" customWidth="1"/>
    <col min="4168" max="4352" width="9" style="41"/>
    <col min="4353" max="4423" width="2.08984375" style="41" customWidth="1"/>
    <col min="4424" max="4608" width="9" style="41"/>
    <col min="4609" max="4679" width="2.08984375" style="41" customWidth="1"/>
    <col min="4680" max="4864" width="9" style="41"/>
    <col min="4865" max="4935" width="2.08984375" style="41" customWidth="1"/>
    <col min="4936" max="5120" width="9" style="41"/>
    <col min="5121" max="5191" width="2.08984375" style="41" customWidth="1"/>
    <col min="5192" max="5376" width="9" style="41"/>
    <col min="5377" max="5447" width="2.08984375" style="41" customWidth="1"/>
    <col min="5448" max="5632" width="9" style="41"/>
    <col min="5633" max="5703" width="2.08984375" style="41" customWidth="1"/>
    <col min="5704" max="5888" width="9" style="41"/>
    <col min="5889" max="5959" width="2.08984375" style="41" customWidth="1"/>
    <col min="5960" max="6144" width="9" style="41"/>
    <col min="6145" max="6215" width="2.08984375" style="41" customWidth="1"/>
    <col min="6216" max="6400" width="9" style="41"/>
    <col min="6401" max="6471" width="2.08984375" style="41" customWidth="1"/>
    <col min="6472" max="6656" width="9" style="41"/>
    <col min="6657" max="6727" width="2.08984375" style="41" customWidth="1"/>
    <col min="6728" max="6912" width="9" style="41"/>
    <col min="6913" max="6983" width="2.08984375" style="41" customWidth="1"/>
    <col min="6984" max="7168" width="9" style="41"/>
    <col min="7169" max="7239" width="2.08984375" style="41" customWidth="1"/>
    <col min="7240" max="7424" width="9" style="41"/>
    <col min="7425" max="7495" width="2.08984375" style="41" customWidth="1"/>
    <col min="7496" max="7680" width="9" style="41"/>
    <col min="7681" max="7751" width="2.08984375" style="41" customWidth="1"/>
    <col min="7752" max="7936" width="9" style="41"/>
    <col min="7937" max="8007" width="2.08984375" style="41" customWidth="1"/>
    <col min="8008" max="8192" width="9" style="41"/>
    <col min="8193" max="8263" width="2.08984375" style="41" customWidth="1"/>
    <col min="8264" max="8448" width="9" style="41"/>
    <col min="8449" max="8519" width="2.08984375" style="41" customWidth="1"/>
    <col min="8520" max="8704" width="9" style="41"/>
    <col min="8705" max="8775" width="2.08984375" style="41" customWidth="1"/>
    <col min="8776" max="8960" width="9" style="41"/>
    <col min="8961" max="9031" width="2.08984375" style="41" customWidth="1"/>
    <col min="9032" max="9216" width="9" style="41"/>
    <col min="9217" max="9287" width="2.08984375" style="41" customWidth="1"/>
    <col min="9288" max="9472" width="9" style="41"/>
    <col min="9473" max="9543" width="2.08984375" style="41" customWidth="1"/>
    <col min="9544" max="9728" width="9" style="41"/>
    <col min="9729" max="9799" width="2.08984375" style="41" customWidth="1"/>
    <col min="9800" max="9984" width="9" style="41"/>
    <col min="9985" max="10055" width="2.08984375" style="41" customWidth="1"/>
    <col min="10056" max="10240" width="9" style="41"/>
    <col min="10241" max="10311" width="2.08984375" style="41" customWidth="1"/>
    <col min="10312" max="10496" width="9" style="41"/>
    <col min="10497" max="10567" width="2.08984375" style="41" customWidth="1"/>
    <col min="10568" max="10752" width="9" style="41"/>
    <col min="10753" max="10823" width="2.08984375" style="41" customWidth="1"/>
    <col min="10824" max="11008" width="9" style="41"/>
    <col min="11009" max="11079" width="2.08984375" style="41" customWidth="1"/>
    <col min="11080" max="11264" width="9" style="41"/>
    <col min="11265" max="11335" width="2.08984375" style="41" customWidth="1"/>
    <col min="11336" max="11520" width="9" style="41"/>
    <col min="11521" max="11591" width="2.08984375" style="41" customWidth="1"/>
    <col min="11592" max="11776" width="9" style="41"/>
    <col min="11777" max="11847" width="2.08984375" style="41" customWidth="1"/>
    <col min="11848" max="12032" width="9" style="41"/>
    <col min="12033" max="12103" width="2.08984375" style="41" customWidth="1"/>
    <col min="12104" max="12288" width="9" style="41"/>
    <col min="12289" max="12359" width="2.08984375" style="41" customWidth="1"/>
    <col min="12360" max="12544" width="9" style="41"/>
    <col min="12545" max="12615" width="2.08984375" style="41" customWidth="1"/>
    <col min="12616" max="12800" width="9" style="41"/>
    <col min="12801" max="12871" width="2.08984375" style="41" customWidth="1"/>
    <col min="12872" max="13056" width="9" style="41"/>
    <col min="13057" max="13127" width="2.08984375" style="41" customWidth="1"/>
    <col min="13128" max="13312" width="9" style="41"/>
    <col min="13313" max="13383" width="2.08984375" style="41" customWidth="1"/>
    <col min="13384" max="13568" width="9" style="41"/>
    <col min="13569" max="13639" width="2.08984375" style="41" customWidth="1"/>
    <col min="13640" max="13824" width="9" style="41"/>
    <col min="13825" max="13895" width="2.08984375" style="41" customWidth="1"/>
    <col min="13896" max="14080" width="9" style="41"/>
    <col min="14081" max="14151" width="2.08984375" style="41" customWidth="1"/>
    <col min="14152" max="14336" width="9" style="41"/>
    <col min="14337" max="14407" width="2.08984375" style="41" customWidth="1"/>
    <col min="14408" max="14592" width="9" style="41"/>
    <col min="14593" max="14663" width="2.08984375" style="41" customWidth="1"/>
    <col min="14664" max="14848" width="9" style="41"/>
    <col min="14849" max="14919" width="2.08984375" style="41" customWidth="1"/>
    <col min="14920" max="15104" width="9" style="41"/>
    <col min="15105" max="15175" width="2.08984375" style="41" customWidth="1"/>
    <col min="15176" max="15360" width="9" style="41"/>
    <col min="15361" max="15431" width="2.08984375" style="41" customWidth="1"/>
    <col min="15432" max="15616" width="9" style="41"/>
    <col min="15617" max="15687" width="2.08984375" style="41" customWidth="1"/>
    <col min="15688" max="15872" width="9" style="41"/>
    <col min="15873" max="15943" width="2.08984375" style="41" customWidth="1"/>
    <col min="15944" max="16128" width="9" style="41"/>
    <col min="16129" max="16199" width="2.08984375" style="41" customWidth="1"/>
    <col min="16200" max="16384" width="9" style="41"/>
  </cols>
  <sheetData>
    <row r="1" spans="1:57" ht="38.25" customHeight="1" thickBot="1" x14ac:dyDescent="0.25">
      <c r="A1" s="96" t="s">
        <v>15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</row>
    <row r="3" spans="1:57" ht="15" customHeight="1" thickBot="1" x14ac:dyDescent="0.25">
      <c r="A3" s="99" t="s">
        <v>16</v>
      </c>
      <c r="B3" s="100"/>
      <c r="C3" s="100"/>
      <c r="D3" s="100"/>
      <c r="E3" s="100"/>
      <c r="F3" s="100"/>
      <c r="G3" s="101"/>
      <c r="H3" s="102" t="s">
        <v>17</v>
      </c>
      <c r="I3" s="100"/>
      <c r="J3" s="100"/>
      <c r="K3" s="100"/>
      <c r="L3" s="100"/>
      <c r="M3" s="100"/>
      <c r="N3" s="101"/>
      <c r="O3" s="102" t="s">
        <v>18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19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20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130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131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2026-03-27T05:48:18Z</dcterms:modified>
  <cp:category/>
</cp:coreProperties>
</file>