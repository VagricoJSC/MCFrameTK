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E\Logic\"/>
    </mc:Choice>
  </mc:AlternateContent>
  <xr:revisionPtr revIDLastSave="0" documentId="13_ncr:1_{EEAA7917-6866-4411-A35F-459D2F1F63AB}" xr6:coauthVersionLast="47" xr6:coauthVersionMax="47" xr10:uidLastSave="{00000000-0000-0000-0000-000000000000}"/>
  <bookViews>
    <workbookView xWindow="1710" yWindow="1710" windowWidth="21600" windowHeight="11265" tabRatio="636" activeTab="7" xr2:uid="{00000000-000D-0000-FFFF-FFFF00000000}"/>
  </bookViews>
  <sheets>
    <sheet name="LogicCommon" sheetId="2" r:id="rId1"/>
    <sheet name="Srch01" sheetId="7" r:id="rId2"/>
    <sheet name="Upd01" sheetId="12" r:id="rId3"/>
    <sheet name="Upd02" sheetId="15" r:id="rId4"/>
    <sheet name="Upd03" sheetId="16" r:id="rId5"/>
    <sheet name="Prnt01" sheetId="11" r:id="rId6"/>
    <sheet name="Prnt02" sheetId="13" r:id="rId7"/>
    <sheet name="来歴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4" i="13" l="1"/>
  <c r="A34" i="16"/>
  <c r="A34" i="15"/>
  <c r="A35" i="12"/>
  <c r="A24" i="13" l="1"/>
  <c r="A24" i="11"/>
  <c r="A24" i="16"/>
  <c r="A24" i="15"/>
  <c r="A24" i="12"/>
  <c r="A11" i="16" l="1"/>
  <c r="L4" i="16"/>
  <c r="H4" i="16"/>
  <c r="H3" i="16"/>
  <c r="F3" i="16"/>
  <c r="L2" i="16"/>
  <c r="H2" i="16"/>
  <c r="F2" i="16"/>
  <c r="A12" i="16" l="1"/>
  <c r="A13" i="16" s="1"/>
  <c r="A14" i="16" s="1"/>
  <c r="A11" i="15"/>
  <c r="L4" i="15"/>
  <c r="H4" i="15"/>
  <c r="H3" i="15"/>
  <c r="F3" i="15"/>
  <c r="L2" i="15"/>
  <c r="H2" i="15"/>
  <c r="F2" i="15"/>
  <c r="A15" i="16" l="1"/>
  <c r="A16" i="16"/>
  <c r="A17" i="16" s="1"/>
  <c r="A12" i="15"/>
  <c r="A13" i="15" s="1"/>
  <c r="A11" i="13"/>
  <c r="A11" i="11"/>
  <c r="A16" i="7"/>
  <c r="A14" i="15" l="1"/>
  <c r="A15" i="15" s="1"/>
  <c r="A18" i="16"/>
  <c r="A12" i="11"/>
  <c r="A12" i="13"/>
  <c r="A13" i="13" s="1"/>
  <c r="L4" i="13"/>
  <c r="H4" i="13"/>
  <c r="H3" i="13"/>
  <c r="F3" i="13"/>
  <c r="L2" i="13"/>
  <c r="H2" i="13"/>
  <c r="F2" i="13"/>
  <c r="A14" i="13" l="1"/>
  <c r="A15" i="13" s="1"/>
  <c r="A16" i="15"/>
  <c r="A17" i="15" s="1"/>
  <c r="A18" i="15" s="1"/>
  <c r="A13" i="11"/>
  <c r="A19" i="16"/>
  <c r="A20" i="16" s="1"/>
  <c r="A21" i="16" s="1"/>
  <c r="A11" i="12"/>
  <c r="L4" i="12"/>
  <c r="H4" i="12"/>
  <c r="H3" i="12"/>
  <c r="F3" i="12"/>
  <c r="L2" i="12"/>
  <c r="H2" i="12"/>
  <c r="F2" i="12"/>
  <c r="A11" i="7"/>
  <c r="A19" i="15" l="1"/>
  <c r="A20" i="15" s="1"/>
  <c r="A16" i="13"/>
  <c r="A17" i="13"/>
  <c r="A18" i="13" s="1"/>
  <c r="A19" i="13" s="1"/>
  <c r="A22" i="16"/>
  <c r="A23" i="16" s="1"/>
  <c r="A25" i="16" s="1"/>
  <c r="A14" i="11"/>
  <c r="A12" i="12"/>
  <c r="A13" i="12" s="1"/>
  <c r="A14" i="12" s="1"/>
  <c r="A12" i="7"/>
  <c r="F2" i="7"/>
  <c r="A21" i="15" l="1"/>
  <c r="A22" i="15" s="1"/>
  <c r="A23" i="15" s="1"/>
  <c r="A15" i="12"/>
  <c r="A16" i="12" s="1"/>
  <c r="A20" i="13"/>
  <c r="A21" i="13" s="1"/>
  <c r="A22" i="13" s="1"/>
  <c r="A23" i="13" s="1"/>
  <c r="A25" i="13" s="1"/>
  <c r="A26" i="13" s="1"/>
  <c r="A27" i="13" s="1"/>
  <c r="A15" i="11"/>
  <c r="A13" i="7"/>
  <c r="L4" i="11"/>
  <c r="H4" i="11"/>
  <c r="H3" i="11"/>
  <c r="F3" i="11"/>
  <c r="L2" i="11"/>
  <c r="H2" i="11"/>
  <c r="F2" i="11"/>
  <c r="L4" i="7"/>
  <c r="H4" i="7"/>
  <c r="H3" i="7"/>
  <c r="F3" i="7"/>
  <c r="L2" i="7"/>
  <c r="H2" i="7"/>
  <c r="A16" i="11" l="1"/>
  <c r="A17" i="11" s="1"/>
  <c r="A17" i="12"/>
  <c r="A14" i="7"/>
  <c r="A15" i="7" s="1"/>
  <c r="A18" i="11" l="1"/>
  <c r="A19" i="11" s="1"/>
  <c r="A18" i="12"/>
  <c r="A19" i="12" s="1"/>
  <c r="A20" i="12" s="1"/>
  <c r="A21" i="12" s="1"/>
  <c r="A17" i="7"/>
  <c r="A18" i="7" s="1"/>
  <c r="A20" i="11" l="1"/>
  <c r="A21" i="11" s="1"/>
  <c r="A22" i="11" s="1"/>
  <c r="A23" i="11" s="1"/>
  <c r="A25" i="11" s="1"/>
  <c r="A22" i="12"/>
  <c r="A23" i="12" s="1"/>
  <c r="A19" i="7"/>
  <c r="A20" i="7" s="1"/>
  <c r="A21" i="7" l="1"/>
  <c r="A22" i="7" s="1"/>
  <c r="A23" i="7" s="1"/>
  <c r="A25" i="12" l="1"/>
  <c r="A26" i="12" l="1"/>
  <c r="A27" i="12" l="1"/>
  <c r="A28" i="12" s="1"/>
  <c r="A29" i="12" s="1"/>
  <c r="A30" i="12" l="1"/>
  <c r="A31" i="12" s="1"/>
  <c r="A32" i="12" s="1"/>
  <c r="A33" i="12" l="1"/>
  <c r="A34" i="12" s="1"/>
  <c r="A25" i="15"/>
  <c r="A26" i="15" l="1"/>
  <c r="A27" i="15" l="1"/>
  <c r="A28" i="15" l="1"/>
  <c r="A29" i="15" l="1"/>
  <c r="A30" i="15" l="1"/>
  <c r="A31" i="15" s="1"/>
  <c r="A32" i="15" s="1"/>
  <c r="A33" i="15" s="1"/>
  <c r="A26" i="16"/>
  <c r="A27" i="16" s="1"/>
  <c r="A28" i="16" l="1"/>
  <c r="A29" i="16" l="1"/>
  <c r="A30" i="16" l="1"/>
  <c r="A31" i="16" l="1"/>
  <c r="A32" i="16" s="1"/>
  <c r="A33" i="16" s="1"/>
  <c r="A26" i="11"/>
  <c r="A27" i="11" s="1"/>
  <c r="A28" i="11" l="1"/>
  <c r="A29" i="11" s="1"/>
  <c r="A30" i="11" l="1"/>
  <c r="A31" i="11" l="1"/>
  <c r="A32" i="11" s="1"/>
  <c r="A33" i="11" s="1"/>
  <c r="A28" i="13"/>
  <c r="A29" i="13" s="1"/>
  <c r="A30" i="13" l="1"/>
  <c r="A31" i="13" s="1"/>
  <c r="A32" i="13" l="1"/>
  <c r="A33" i="13" s="1"/>
</calcChain>
</file>

<file path=xl/sharedStrings.xml><?xml version="1.0" encoding="utf-8"?>
<sst xmlns="http://schemas.openxmlformats.org/spreadsheetml/2006/main" count="1200" uniqueCount="189">
  <si>
    <t>詳細 :</t>
    <rPh sb="0" eb="2">
      <t>ショウサイ</t>
    </rPh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</si>
  <si>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</si>
  <si>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</si>
  <si>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</si>
  <si>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</si>
  <si>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</si>
  <si>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</si>
  <si>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</si>
  <si>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</si>
  <si>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</si>
  <si>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</si>
  <si>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</si>
  <si>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</si>
  <si>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</si>
  <si>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SuperClassPj.ID :</t>
    <phoneticPr fontId="2"/>
  </si>
  <si>
    <t>Pj.ID :</t>
    <phoneticPr fontId="2"/>
  </si>
  <si>
    <t>*</t>
  </si>
  <si>
    <t>*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</si>
  <si>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</si>
  <si>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</si>
  <si>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</si>
  <si>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</si>
  <si>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R</t>
    <phoneticPr fontId="2"/>
  </si>
  <si>
    <t>L</t>
    <phoneticPr fontId="2"/>
  </si>
  <si>
    <t>ReportID :</t>
    <phoneticPr fontId="2"/>
  </si>
  <si>
    <t>Version :</t>
    <phoneticPr fontId="2"/>
  </si>
  <si>
    <t>@</t>
    <phoneticPr fontId="2"/>
  </si>
  <si>
    <t>Srch01</t>
    <phoneticPr fontId="2"/>
  </si>
  <si>
    <t>Srch01_Cnd</t>
  </si>
  <si>
    <t>$share$</t>
    <phoneticPr fontId="2"/>
  </si>
  <si>
    <t>MC</t>
    <phoneticPr fontId="2"/>
  </si>
  <si>
    <t>MBBE</t>
    <phoneticPr fontId="2"/>
  </si>
  <si>
    <t>MB</t>
    <phoneticPr fontId="2"/>
  </si>
  <si>
    <t>Gene.Type :</t>
    <phoneticPr fontId="2"/>
  </si>
  <si>
    <t>-</t>
    <phoneticPr fontId="2"/>
  </si>
  <si>
    <t xml:space="preserve">Ope.Body : </t>
    <phoneticPr fontId="2"/>
  </si>
  <si>
    <t>Rev.</t>
    <phoneticPr fontId="2"/>
  </si>
  <si>
    <t>ID</t>
    <phoneticPr fontId="2"/>
  </si>
  <si>
    <t>Ope.ID :</t>
    <phoneticPr fontId="2"/>
  </si>
  <si>
    <t>Ope.Method :</t>
    <phoneticPr fontId="2"/>
  </si>
  <si>
    <t>E</t>
    <phoneticPr fontId="2"/>
  </si>
  <si>
    <t>ACType :</t>
    <phoneticPr fontId="2"/>
  </si>
  <si>
    <t>ALL</t>
    <phoneticPr fontId="2"/>
  </si>
  <si>
    <t>000000</t>
    <phoneticPr fontId="2"/>
  </si>
  <si>
    <t xml:space="preserve">Ope.Name : </t>
    <phoneticPr fontId="2"/>
  </si>
  <si>
    <t>super/share</t>
    <phoneticPr fontId="2"/>
  </si>
  <si>
    <t>table_id</t>
    <phoneticPr fontId="2"/>
  </si>
  <si>
    <t>table_nm</t>
    <phoneticPr fontId="2"/>
  </si>
  <si>
    <t>C</t>
    <phoneticPr fontId="2"/>
  </si>
  <si>
    <t>Srch01_Rslt</t>
    <phoneticPr fontId="38"/>
  </si>
  <si>
    <t>MBBEL0090</t>
    <phoneticPr fontId="2"/>
  </si>
  <si>
    <t>MBBEL_BulkImpReg</t>
    <phoneticPr fontId="2"/>
  </si>
  <si>
    <t>まとめ登録ツール</t>
    <rPh sb="3" eb="5">
      <t>トウロク</t>
    </rPh>
    <phoneticPr fontId="2"/>
  </si>
  <si>
    <t>Upd01_Dtl</t>
    <phoneticPr fontId="38"/>
  </si>
  <si>
    <t>#MA.FLG</t>
    <phoneticPr fontId="38"/>
  </si>
  <si>
    <t>file_dat</t>
    <phoneticPr fontId="2"/>
  </si>
  <si>
    <t>ファイルデータ</t>
    <phoneticPr fontId="38"/>
  </si>
  <si>
    <t>検索</t>
    <phoneticPr fontId="38"/>
  </si>
  <si>
    <t>登録</t>
    <rPh sb="0" eb="2">
      <t>トウロク</t>
    </rPh>
    <phoneticPr fontId="38"/>
  </si>
  <si>
    <t>err_continue_flg</t>
    <phoneticPr fontId="2"/>
  </si>
  <si>
    <t>Upd01_Ctrl</t>
    <phoneticPr fontId="38"/>
  </si>
  <si>
    <t>Prnt01_Dtl</t>
    <phoneticPr fontId="38"/>
  </si>
  <si>
    <t>フォーマット出力</t>
    <rPh sb="6" eb="8">
      <t>シュツリョク</t>
    </rPh>
    <phoneticPr fontId="38"/>
  </si>
  <si>
    <t>Prnt01</t>
    <phoneticPr fontId="2"/>
  </si>
  <si>
    <t>Prnt01_Ctrl</t>
    <phoneticPr fontId="38"/>
  </si>
  <si>
    <t>Prnt02</t>
    <phoneticPr fontId="2"/>
  </si>
  <si>
    <t>データ出力</t>
    <rPh sb="3" eb="5">
      <t>シュツリョク</t>
    </rPh>
    <phoneticPr fontId="38"/>
  </si>
  <si>
    <t>Prnt02_Dtl</t>
    <phoneticPr fontId="38"/>
  </si>
  <si>
    <t>Prnt02_Ctrl</t>
    <phoneticPr fontId="38"/>
  </si>
  <si>
    <t>Upd02</t>
    <phoneticPr fontId="2"/>
  </si>
  <si>
    <t>Upd01</t>
    <phoneticPr fontId="2"/>
  </si>
  <si>
    <t>file_nm</t>
    <phoneticPr fontId="2"/>
  </si>
  <si>
    <t>まとめ登録処理を実行する</t>
    <rPh sb="3" eb="5">
      <t>トウロク</t>
    </rPh>
    <rPh sb="5" eb="7">
      <t>ショリ</t>
    </rPh>
    <rPh sb="8" eb="10">
      <t>ジッコウ</t>
    </rPh>
    <phoneticPr fontId="38"/>
  </si>
  <si>
    <t>チェックのみ</t>
    <phoneticPr fontId="38"/>
  </si>
  <si>
    <t>ins_only_flg</t>
    <phoneticPr fontId="2"/>
  </si>
  <si>
    <t>remake_flg</t>
    <phoneticPr fontId="2"/>
  </si>
  <si>
    <t>Upd03_Dtl</t>
    <phoneticPr fontId="38"/>
  </si>
  <si>
    <t>Upd03_Ctrl</t>
    <phoneticPr fontId="38"/>
  </si>
  <si>
    <t>chk_only_flg</t>
    <phoneticPr fontId="2"/>
  </si>
  <si>
    <t>Upd02_Dtl</t>
    <phoneticPr fontId="38"/>
  </si>
  <si>
    <t>Upd02_Ctrl</t>
    <phoneticPr fontId="38"/>
  </si>
  <si>
    <t>Upd03</t>
    <phoneticPr fontId="2"/>
  </si>
  <si>
    <t>db_class_path</t>
    <phoneticPr fontId="2"/>
  </si>
  <si>
    <t>chk_ope</t>
    <phoneticPr fontId="2"/>
  </si>
  <si>
    <t>upd_ope</t>
    <phoneticPr fontId="2"/>
  </si>
  <si>
    <t>ＤＢコンテナクラスパス</t>
    <phoneticPr fontId="38"/>
  </si>
  <si>
    <t>チェックオペレーション</t>
    <phoneticPr fontId="38"/>
  </si>
  <si>
    <t>file_path</t>
    <phoneticPr fontId="2"/>
  </si>
  <si>
    <t>ファイルパス</t>
    <phoneticPr fontId="38"/>
  </si>
  <si>
    <t>table_ctg</t>
    <phoneticPr fontId="2"/>
  </si>
  <si>
    <t>table_ctg</t>
    <phoneticPr fontId="2"/>
  </si>
  <si>
    <t>#MA.TABLE_CTG</t>
    <phoneticPr fontId="38"/>
  </si>
  <si>
    <t>#MA.TABLE_CTG</t>
    <phoneticPr fontId="38"/>
  </si>
  <si>
    <t>#MA.TABLE_ID</t>
    <phoneticPr fontId="38"/>
  </si>
  <si>
    <t>テーブルカテゴリ</t>
    <phoneticPr fontId="2"/>
  </si>
  <si>
    <t>table_ctg_nm</t>
    <phoneticPr fontId="2"/>
  </si>
  <si>
    <t>#MA.TABLE_CTG_NM</t>
    <phoneticPr fontId="38"/>
  </si>
  <si>
    <t>#MA.TABLE_NM</t>
    <phoneticPr fontId="38"/>
  </si>
  <si>
    <t>table_ctg_seq</t>
    <phoneticPr fontId="2"/>
  </si>
  <si>
    <t>table_seq</t>
    <phoneticPr fontId="2"/>
  </si>
  <si>
    <t>#MA.OPERATION</t>
    <phoneticPr fontId="2"/>
  </si>
  <si>
    <t>#MA.CLASS_PATH</t>
    <phoneticPr fontId="2"/>
  </si>
  <si>
    <t>#MA.FILE_NM</t>
    <phoneticPr fontId="38"/>
  </si>
  <si>
    <t>まとめ登録を実行する</t>
    <rPh sb="3" eb="5">
      <t>トウロク</t>
    </rPh>
    <rPh sb="6" eb="8">
      <t>ジッコウ</t>
    </rPh>
    <phoneticPr fontId="38"/>
  </si>
  <si>
    <t>まとめ登録（チェックのみ）を実行する</t>
    <rPh sb="3" eb="5">
      <t>トウロク</t>
    </rPh>
    <rPh sb="14" eb="16">
      <t>ジッコウ</t>
    </rPh>
    <phoneticPr fontId="38"/>
  </si>
  <si>
    <t>データファイルを出力する</t>
    <rPh sb="8" eb="10">
      <t>シュツリョク</t>
    </rPh>
    <phoneticPr fontId="38"/>
  </si>
  <si>
    <t>フォーマットファイルを出力する</t>
    <rPh sb="11" eb="13">
      <t>シュツリョク</t>
    </rPh>
    <phoneticPr fontId="38"/>
  </si>
  <si>
    <t>登録（チェックのみ）</t>
    <rPh sb="0" eb="2">
      <t>トウロク</t>
    </rPh>
    <phoneticPr fontId="38"/>
  </si>
  <si>
    <t>まとめ登録実行管理情報を検索する</t>
    <rPh sb="3" eb="5">
      <t>トウロク</t>
    </rPh>
    <rPh sb="5" eb="7">
      <t>ジッコウ</t>
    </rPh>
    <rPh sb="9" eb="11">
      <t>ジョウホウ</t>
    </rPh>
    <rPh sb="12" eb="14">
      <t>ケンサク</t>
    </rPh>
    <phoneticPr fontId="38"/>
  </si>
  <si>
    <t>#MA.INT3</t>
  </si>
  <si>
    <t>fmt_typ</t>
    <phoneticPr fontId="2"/>
  </si>
  <si>
    <t>fmt_typ</t>
    <phoneticPr fontId="2"/>
  </si>
  <si>
    <t>fmt_typ</t>
    <phoneticPr fontId="2"/>
  </si>
  <si>
    <t>fmt_typ</t>
    <phoneticPr fontId="2"/>
  </si>
  <si>
    <t>C</t>
    <phoneticPr fontId="38"/>
  </si>
  <si>
    <t>C</t>
    <phoneticPr fontId="38"/>
  </si>
  <si>
    <t>dt_fmt</t>
    <phoneticPr fontId="2"/>
  </si>
  <si>
    <t>dt_fmt</t>
    <phoneticPr fontId="2"/>
  </si>
  <si>
    <t>dt_fmt</t>
    <phoneticPr fontId="2"/>
  </si>
  <si>
    <t>ts_fmt</t>
    <phoneticPr fontId="2"/>
  </si>
  <si>
    <t>ts_fmt</t>
    <phoneticPr fontId="2"/>
  </si>
  <si>
    <t>crud_flg</t>
    <phoneticPr fontId="2"/>
  </si>
  <si>
    <t>err_flg</t>
    <phoneticPr fontId="2"/>
  </si>
  <si>
    <t>fin_flg</t>
    <phoneticPr fontId="2"/>
  </si>
  <si>
    <t>エラー</t>
    <phoneticPr fontId="38"/>
  </si>
  <si>
    <t>tm_fmt</t>
    <phoneticPr fontId="2"/>
  </si>
  <si>
    <t>MB.MBUDL5010</t>
    <phoneticPr fontId="2"/>
  </si>
  <si>
    <t>"mcframe.serverMAUD.MAUDL5010.MAUDL_Searcher"</t>
    <phoneticPr fontId="38"/>
  </si>
  <si>
    <t>"mcframe.serverMAUD.MAUDL5010.MAUDL_Operation"</t>
    <phoneticPr fontId="38"/>
  </si>
  <si>
    <t>テーブルカテゴリ名</t>
    <phoneticPr fontId="2"/>
  </si>
  <si>
    <t>テーブルＩＤ</t>
    <phoneticPr fontId="2"/>
  </si>
  <si>
    <t>テーブル名称</t>
    <phoneticPr fontId="2"/>
  </si>
  <si>
    <t>テーブルカテゴリ順序</t>
    <phoneticPr fontId="2"/>
  </si>
  <si>
    <t>テーブル順序</t>
    <phoneticPr fontId="38"/>
  </si>
  <si>
    <t>ファイル名</t>
    <phoneticPr fontId="38"/>
  </si>
  <si>
    <t>登録オペレーション</t>
    <phoneticPr fontId="38"/>
  </si>
  <si>
    <t>完了</t>
    <phoneticPr fontId="38"/>
  </si>
  <si>
    <t>追加のみ</t>
    <phoneticPr fontId="38"/>
  </si>
  <si>
    <t>削除後再作成</t>
    <phoneticPr fontId="38"/>
  </si>
  <si>
    <t>データに従う</t>
    <phoneticPr fontId="38"/>
  </si>
  <si>
    <t>エラー時続行</t>
    <phoneticPr fontId="38"/>
  </si>
  <si>
    <t>日付形式</t>
    <phoneticPr fontId="38"/>
  </si>
  <si>
    <t>日付形式フォーマット</t>
    <phoneticPr fontId="38"/>
  </si>
  <si>
    <t>タイムスタンプ形式フォーマット</t>
    <phoneticPr fontId="38"/>
  </si>
  <si>
    <t>日時形式フォーマット</t>
    <phoneticPr fontId="38"/>
  </si>
  <si>
    <t>MB.MBBEL0090.Upd01.Upd01_Dtl</t>
    <phoneticPr fontId="2"/>
  </si>
  <si>
    <t>MB.MBBEL0090.Upd01.Upd01_Ctrl</t>
    <phoneticPr fontId="2"/>
  </si>
  <si>
    <t>#MA.INT2</t>
    <phoneticPr fontId="38"/>
  </si>
  <si>
    <t>データ開始行</t>
    <rPh sb="3" eb="6">
      <t>カイシギョウ</t>
    </rPh>
    <phoneticPr fontId="38"/>
  </si>
  <si>
    <t>data_start_row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</si>
  <si>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</si>
  <si>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</si>
  <si>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</si>
  <si>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</si>
  <si>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</si>
  <si>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</si>
  <si>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</si>
  <si>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</si>
  <si>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</si>
  <si>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</si>
  <si>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</si>
  <si>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</si>
  <si>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</si>
  <si>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</si>
  <si>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Table category</t>
  </si>
  <si>
    <t>Table category name</t>
  </si>
  <si>
    <t>Table ID</t>
  </si>
  <si>
    <t>Table name</t>
  </si>
  <si>
    <t>Table category sequence</t>
  </si>
  <si>
    <t>Table sequence</t>
  </si>
  <si>
    <t>File name</t>
  </si>
  <si>
    <t>File data</t>
  </si>
  <si>
    <t>File path</t>
  </si>
  <si>
    <t>DB container class path</t>
  </si>
  <si>
    <t>Check operation</t>
  </si>
  <si>
    <t>Entry operation</t>
  </si>
  <si>
    <t>Error</t>
  </si>
  <si>
    <t>Completed</t>
  </si>
  <si>
    <t>Check only</t>
  </si>
  <si>
    <t>Add only</t>
  </si>
  <si>
    <t>Recreate after deletion</t>
  </si>
  <si>
    <t>Follow the data</t>
  </si>
  <si>
    <t>Continue on error</t>
  </si>
  <si>
    <t>Date format</t>
  </si>
  <si>
    <t>Time stamp format</t>
  </si>
  <si>
    <t>Date and time format</t>
  </si>
  <si>
    <t>Data start row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</si>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</sst>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#,##0;\-#,##0;&quot;-&quot;"/>
    <numFmt numFmtId="178" formatCode="0.00_)"/>
    <numFmt numFmtId="179" formatCode="#,##0_);[Red]\(#,##0\)"/>
    <numFmt numFmtId="180" formatCode="&quot;$&quot;#,##0_);[Red]\(&quot;$&quot;#,##0\)"/>
  </numFmts>
  <fonts count="49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u/>
      <sz val="11"/>
      <color indexed="12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36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77" fontId="7" fillId="0" borderId="0" applyFill="0" applyBorder="0" applyAlignment="0"/>
    <xf numFmtId="179" fontId="42" fillId="0" borderId="0" applyFont="0" applyFill="0" applyBorder="0" applyAlignment="0" applyProtection="0"/>
    <xf numFmtId="180" fontId="42" fillId="0" borderId="0" applyFont="0" applyFill="0" applyBorder="0" applyAlignment="0" applyProtection="0"/>
    <xf numFmtId="38" fontId="43" fillId="19" borderId="0" applyNumberFormat="0" applyBorder="0" applyAlignment="0" applyProtection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0" fontId="43" fillId="20" borderId="3" applyNumberFormat="0" applyBorder="0" applyAlignment="0" applyProtection="0"/>
    <xf numFmtId="178" fontId="44" fillId="0" borderId="0"/>
    <xf numFmtId="0" fontId="9" fillId="0" borderId="0"/>
    <xf numFmtId="10" fontId="9" fillId="0" borderId="0" applyFont="0" applyFill="0" applyBorder="0" applyAlignment="0" applyProtection="0"/>
    <xf numFmtId="0" fontId="10" fillId="0" borderId="0" applyNumberFormat="0" applyFont="0" applyFill="0" applyBorder="0" applyAlignment="0" applyProtection="0">
      <alignment horizontal="left"/>
    </xf>
    <xf numFmtId="0" fontId="11" fillId="0" borderId="4">
      <alignment horizontal="center"/>
    </xf>
    <xf numFmtId="0" fontId="12" fillId="0" borderId="0">
      <alignment wrapText="1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3" fillId="7" borderId="6" applyNumberFormat="0" applyFont="0" applyAlignment="0" applyProtection="0">
      <alignment vertical="center"/>
    </xf>
    <xf numFmtId="0" fontId="18" fillId="7" borderId="6" applyNumberFormat="0" applyFont="0" applyAlignment="0" applyProtection="0">
      <alignment vertical="center"/>
    </xf>
    <xf numFmtId="0" fontId="18" fillId="7" borderId="6" applyNumberFormat="0" applyFont="0" applyAlignment="0" applyProtection="0">
      <alignment vertical="center"/>
    </xf>
    <xf numFmtId="0" fontId="18" fillId="7" borderId="6" applyNumberFormat="0" applyFont="0" applyAlignment="0" applyProtection="0">
      <alignment vertical="center"/>
    </xf>
    <xf numFmtId="0" fontId="3" fillId="7" borderId="6" applyNumberFormat="0" applyFon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35" fillId="0" borderId="0"/>
    <xf numFmtId="0" fontId="39" fillId="0" borderId="0"/>
    <xf numFmtId="0" fontId="39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27" borderId="9" applyNumberFormat="0" applyAlignment="0" applyProtection="0">
      <alignment vertical="center"/>
    </xf>
    <xf numFmtId="0" fontId="23" fillId="28" borderId="9" applyNumberFormat="0" applyAlignment="0" applyProtection="0">
      <alignment vertical="center"/>
    </xf>
    <xf numFmtId="0" fontId="23" fillId="28" borderId="9" applyNumberFormat="0" applyAlignment="0" applyProtection="0">
      <alignment vertical="center"/>
    </xf>
    <xf numFmtId="0" fontId="23" fillId="28" borderId="9" applyNumberFormat="0" applyAlignment="0" applyProtection="0">
      <alignment vertical="center"/>
    </xf>
    <xf numFmtId="0" fontId="22" fillId="27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/>
    <xf numFmtId="0" fontId="3" fillId="0" borderId="0" applyNumberFormat="0"/>
    <xf numFmtId="0" fontId="41" fillId="0" borderId="0" applyBorder="0" applyAlignment="0"/>
    <xf numFmtId="0" fontId="30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7" borderId="18" applyNumberFormat="0" applyAlignment="0" applyProtection="0">
      <alignment vertical="center"/>
    </xf>
    <xf numFmtId="0" fontId="31" fillId="28" borderId="18" applyNumberFormat="0" applyAlignment="0" applyProtection="0">
      <alignment vertical="center"/>
    </xf>
    <xf numFmtId="0" fontId="31" fillId="28" borderId="18" applyNumberFormat="0" applyAlignment="0" applyProtection="0">
      <alignment vertical="center"/>
    </xf>
    <xf numFmtId="0" fontId="31" fillId="28" borderId="18" applyNumberFormat="0" applyAlignment="0" applyProtection="0">
      <alignment vertical="center"/>
    </xf>
    <xf numFmtId="0" fontId="31" fillId="27" borderId="18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9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3" fillId="9" borderId="9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3" fillId="0" borderId="0">
      <alignment vertical="top"/>
    </xf>
    <xf numFmtId="0" fontId="1" fillId="0" borderId="0"/>
    <xf numFmtId="0" fontId="35" fillId="0" borderId="0"/>
    <xf numFmtId="0" fontId="18" fillId="0" borderId="0"/>
    <xf numFmtId="0" fontId="3" fillId="0" borderId="0" applyNumberFormat="0"/>
    <xf numFmtId="0" fontId="41" fillId="0" borderId="0">
      <alignment vertical="center"/>
    </xf>
    <xf numFmtId="0" fontId="3" fillId="0" borderId="0" applyNumberFormat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</cellStyleXfs>
  <cellXfs count="151">
    <xf numFmtId="0" fontId="0" fillId="0" borderId="0" xfId="0">
      <alignment vertical="top" wrapText="1"/>
    </xf>
    <xf numFmtId="0" fontId="45" fillId="0" borderId="19" xfId="0" applyFont="1" applyBorder="1" applyAlignment="1">
      <alignment vertical="center"/>
    </xf>
    <xf numFmtId="0" fontId="45" fillId="0" borderId="19" xfId="0" applyFont="1" applyBorder="1" applyAlignment="1">
      <alignment horizontal="left" vertical="top"/>
    </xf>
    <xf numFmtId="0" fontId="45" fillId="0" borderId="19" xfId="0" applyFont="1" applyBorder="1" applyAlignment="1">
      <alignment vertical="top"/>
    </xf>
    <xf numFmtId="0" fontId="45" fillId="0" borderId="0" xfId="0" applyFont="1" applyAlignment="1">
      <alignment vertical="top"/>
    </xf>
    <xf numFmtId="0" fontId="45" fillId="0" borderId="0" xfId="0" applyFont="1" applyAlignment="1">
      <alignment vertical="center"/>
    </xf>
    <xf numFmtId="0" fontId="45" fillId="0" borderId="20" xfId="0" applyFont="1" applyBorder="1" applyAlignment="1">
      <alignment vertical="top"/>
    </xf>
    <xf numFmtId="0" fontId="45" fillId="0" borderId="3" xfId="0" applyFont="1" applyBorder="1" applyAlignment="1">
      <alignment vertical="top"/>
    </xf>
    <xf numFmtId="0" fontId="45" fillId="29" borderId="3" xfId="0" applyFont="1" applyFill="1" applyBorder="1" applyAlignment="1">
      <alignment horizontal="left" vertical="top"/>
    </xf>
    <xf numFmtId="0" fontId="45" fillId="29" borderId="3" xfId="0" applyFont="1" applyFill="1" applyBorder="1" applyAlignment="1">
      <alignment vertical="top"/>
    </xf>
    <xf numFmtId="0" fontId="45" fillId="29" borderId="3" xfId="0" quotePrefix="1" applyFont="1" applyFill="1" applyBorder="1" applyAlignment="1">
      <alignment vertical="top"/>
    </xf>
    <xf numFmtId="0" fontId="45" fillId="0" borderId="0" xfId="0" applyFont="1">
      <alignment vertical="top" wrapText="1"/>
    </xf>
    <xf numFmtId="0" fontId="45" fillId="30" borderId="3" xfId="0" applyFont="1" applyFill="1" applyBorder="1" applyAlignment="1">
      <alignment vertical="top"/>
    </xf>
    <xf numFmtId="0" fontId="45" fillId="0" borderId="0" xfId="0" applyFont="1" applyAlignment="1"/>
    <xf numFmtId="0" fontId="45" fillId="0" borderId="28" xfId="0" applyFont="1" applyBorder="1" applyAlignment="1">
      <alignment vertical="top"/>
    </xf>
    <xf numFmtId="0" fontId="45" fillId="30" borderId="2" xfId="0" quotePrefix="1" applyFont="1" applyFill="1" applyBorder="1" applyAlignment="1">
      <alignment vertical="top"/>
    </xf>
    <xf numFmtId="0" fontId="45" fillId="30" borderId="2" xfId="0" applyFont="1" applyFill="1" applyBorder="1" applyAlignment="1">
      <alignment horizontal="left" vertical="top"/>
    </xf>
    <xf numFmtId="0" fontId="45" fillId="30" borderId="2" xfId="0" applyFont="1" applyFill="1" applyBorder="1" applyAlignment="1">
      <alignment vertical="top"/>
    </xf>
    <xf numFmtId="0" fontId="45" fillId="30" borderId="27" xfId="0" applyFont="1" applyFill="1" applyBorder="1" applyAlignment="1">
      <alignment vertical="top"/>
    </xf>
    <xf numFmtId="0" fontId="45" fillId="0" borderId="19" xfId="0" applyFont="1" applyBorder="1">
      <alignment vertical="top" wrapText="1"/>
    </xf>
    <xf numFmtId="0" fontId="45" fillId="0" borderId="22" xfId="0" applyFont="1" applyBorder="1">
      <alignment vertical="top" wrapText="1"/>
    </xf>
    <xf numFmtId="0" fontId="45" fillId="0" borderId="20" xfId="0" applyFont="1" applyBorder="1" applyAlignment="1">
      <alignment vertical="center"/>
    </xf>
    <xf numFmtId="0" fontId="45" fillId="0" borderId="20" xfId="0" applyFont="1" applyBorder="1" applyAlignment="1">
      <alignment horizontal="left" vertical="top"/>
    </xf>
    <xf numFmtId="0" fontId="45" fillId="0" borderId="21" xfId="0" applyFont="1" applyBorder="1" applyAlignment="1">
      <alignment vertical="top"/>
    </xf>
    <xf numFmtId="0" fontId="45" fillId="0" borderId="0" xfId="0" applyFont="1" applyAlignment="1">
      <alignment vertical="center" wrapText="1"/>
    </xf>
    <xf numFmtId="0" fontId="45" fillId="0" borderId="0" xfId="0" applyFont="1" applyAlignment="1">
      <alignment horizontal="left" vertical="top"/>
    </xf>
    <xf numFmtId="0" fontId="45" fillId="0" borderId="22" xfId="0" applyFont="1" applyBorder="1" applyAlignment="1">
      <alignment vertical="top"/>
    </xf>
    <xf numFmtId="0" fontId="45" fillId="0" borderId="0" xfId="0" applyFont="1" applyAlignment="1" applyProtection="1">
      <alignment vertical="top"/>
      <protection locked="0"/>
    </xf>
    <xf numFmtId="0" fontId="45" fillId="0" borderId="0" xfId="0" applyFont="1" applyAlignment="1" applyProtection="1">
      <alignment vertical="center"/>
      <protection locked="0"/>
    </xf>
    <xf numFmtId="0" fontId="45" fillId="29" borderId="3" xfId="0" applyFont="1" applyFill="1" applyBorder="1" applyAlignment="1">
      <alignment vertical="center"/>
    </xf>
    <xf numFmtId="0" fontId="45" fillId="29" borderId="20" xfId="0" applyFont="1" applyFill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alignment horizontal="left" vertical="top"/>
      <protection locked="0"/>
    </xf>
    <xf numFmtId="0" fontId="45" fillId="0" borderId="3" xfId="0" applyFont="1" applyBorder="1" applyAlignment="1" applyProtection="1">
      <alignment vertical="top"/>
      <protection locked="0"/>
    </xf>
    <xf numFmtId="0" fontId="45" fillId="29" borderId="3" xfId="0" applyFont="1" applyFill="1" applyBorder="1" applyAlignment="1" applyProtection="1">
      <alignment vertical="top"/>
      <protection locked="0"/>
    </xf>
    <xf numFmtId="0" fontId="45" fillId="29" borderId="26" xfId="0" applyFont="1" applyFill="1" applyBorder="1" applyAlignment="1">
      <alignment vertical="top"/>
    </xf>
    <xf numFmtId="0" fontId="45" fillId="29" borderId="27" xfId="0" applyFont="1" applyFill="1" applyBorder="1" applyAlignment="1">
      <alignment vertical="top"/>
    </xf>
    <xf numFmtId="0" fontId="45" fillId="0" borderId="27" xfId="0" applyFont="1" applyBorder="1" applyAlignment="1" applyProtection="1">
      <protection locked="0"/>
    </xf>
    <xf numFmtId="0" fontId="45" fillId="29" borderId="26" xfId="0" applyFont="1" applyFill="1" applyBorder="1" applyAlignment="1" applyProtection="1">
      <alignment vertical="top"/>
      <protection locked="0"/>
    </xf>
    <xf numFmtId="0" fontId="45" fillId="29" borderId="2" xfId="0" applyFont="1" applyFill="1" applyBorder="1" applyAlignment="1" applyProtection="1">
      <alignment vertical="top"/>
      <protection locked="0"/>
    </xf>
    <xf numFmtId="0" fontId="45" fillId="0" borderId="2" xfId="0" applyFont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protection locked="0"/>
    </xf>
    <xf numFmtId="0" fontId="45" fillId="0" borderId="20" xfId="0" applyFont="1" applyBorder="1" applyAlignment="1" applyProtection="1">
      <alignment horizontal="left"/>
      <protection locked="0"/>
    </xf>
    <xf numFmtId="0" fontId="45" fillId="0" borderId="2" xfId="0" applyFont="1" applyBorder="1" applyAlignment="1" applyProtection="1">
      <protection locked="0"/>
    </xf>
    <xf numFmtId="0" fontId="45" fillId="29" borderId="3" xfId="0" applyFont="1" applyFill="1" applyBorder="1" applyAlignment="1"/>
    <xf numFmtId="0" fontId="45" fillId="0" borderId="27" xfId="0" applyFont="1" applyBorder="1" applyAlignment="1"/>
    <xf numFmtId="0" fontId="45" fillId="29" borderId="27" xfId="0" applyFont="1" applyFill="1" applyBorder="1" applyAlignment="1"/>
    <xf numFmtId="0" fontId="45" fillId="0" borderId="26" xfId="0" applyFont="1" applyBorder="1" applyAlignment="1"/>
    <xf numFmtId="0" fontId="45" fillId="0" borderId="26" xfId="0" applyFont="1" applyBorder="1" applyAlignment="1" applyProtection="1">
      <alignment vertical="top"/>
      <protection locked="0"/>
    </xf>
    <xf numFmtId="0" fontId="45" fillId="0" borderId="27" xfId="0" applyFont="1" applyBorder="1" applyAlignment="1" applyProtection="1">
      <alignment vertical="top"/>
      <protection locked="0"/>
    </xf>
    <xf numFmtId="0" fontId="45" fillId="29" borderId="3" xfId="0" applyFont="1" applyFill="1" applyBorder="1">
      <alignment vertical="top" wrapText="1"/>
    </xf>
    <xf numFmtId="0" fontId="45" fillId="30" borderId="3" xfId="0" applyFont="1" applyFill="1" applyBorder="1">
      <alignment vertical="top" wrapText="1"/>
    </xf>
    <xf numFmtId="0" fontId="45" fillId="0" borderId="28" xfId="0" applyFont="1" applyBorder="1">
      <alignment vertical="top" wrapText="1"/>
    </xf>
    <xf numFmtId="0" fontId="45" fillId="0" borderId="22" xfId="0" applyFont="1" applyBorder="1" applyAlignment="1"/>
    <xf numFmtId="0" fontId="45" fillId="0" borderId="25" xfId="0" applyFont="1" applyBorder="1" applyAlignment="1"/>
    <xf numFmtId="0" fontId="45" fillId="0" borderId="19" xfId="0" applyFont="1" applyBorder="1" applyAlignment="1"/>
    <xf numFmtId="0" fontId="45" fillId="29" borderId="23" xfId="0" applyFont="1" applyFill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alignment vertical="center"/>
      <protection locked="0"/>
    </xf>
    <xf numFmtId="0" fontId="45" fillId="0" borderId="21" xfId="0" applyFont="1" applyBorder="1" applyAlignment="1" applyProtection="1">
      <alignment vertical="top"/>
      <protection locked="0"/>
    </xf>
    <xf numFmtId="0" fontId="45" fillId="0" borderId="0" xfId="0" applyFont="1" applyAlignment="1" applyProtection="1">
      <alignment horizontal="left" vertical="top"/>
      <protection locked="0"/>
    </xf>
    <xf numFmtId="0" fontId="45" fillId="0" borderId="2" xfId="0" applyFont="1" applyBorder="1" applyAlignment="1"/>
    <xf numFmtId="0" fontId="48" fillId="0" borderId="0" xfId="225" applyFont="1"/>
    <xf numFmtId="0" fontId="48" fillId="0" borderId="0" xfId="225" applyFont="1" applyAlignment="1">
      <alignment horizontal="center" vertical="center"/>
    </xf>
    <xf numFmtId="0" fontId="48" fillId="0" borderId="0" xfId="225" applyFont="1" applyAlignment="1">
      <alignment horizontal="center"/>
    </xf>
    <xf numFmtId="0" fontId="48" fillId="0" borderId="0" xfId="226" applyFont="1"/>
    <xf numFmtId="0" fontId="48" fillId="0" borderId="0" xfId="226" applyFont="1" applyAlignment="1">
      <alignment horizontal="center"/>
    </xf>
    <xf numFmtId="0" fontId="45" fillId="30" borderId="26" xfId="0" applyFont="1" applyFill="1" applyBorder="1" applyAlignment="1" applyProtection="1">
      <protection locked="0"/>
    </xf>
    <xf numFmtId="0" fontId="45" fillId="30" borderId="27" xfId="0" applyFont="1" applyFill="1" applyBorder="1" applyAlignment="1"/>
    <xf numFmtId="0" fontId="45" fillId="30" borderId="27" xfId="0" applyFont="1" applyFill="1" applyBorder="1" applyAlignment="1" applyProtection="1">
      <protection locked="0"/>
    </xf>
    <xf numFmtId="0" fontId="45" fillId="29" borderId="19" xfId="0" applyFont="1" applyFill="1" applyBorder="1" applyAlignment="1">
      <alignment vertical="top"/>
    </xf>
    <xf numFmtId="0" fontId="45" fillId="29" borderId="23" xfId="0" applyFont="1" applyFill="1" applyBorder="1" applyAlignment="1">
      <alignment vertical="top"/>
    </xf>
    <xf numFmtId="0" fontId="45" fillId="29" borderId="20" xfId="0" applyFont="1" applyFill="1" applyBorder="1" applyAlignment="1">
      <alignment vertical="top"/>
    </xf>
    <xf numFmtId="0" fontId="45" fillId="31" borderId="3" xfId="0" applyFont="1" applyFill="1" applyBorder="1" applyAlignment="1">
      <alignment vertical="top"/>
    </xf>
    <xf numFmtId="0" fontId="45" fillId="29" borderId="24" xfId="0" applyFont="1" applyFill="1" applyBorder="1" applyAlignment="1">
      <alignment vertical="top"/>
    </xf>
    <xf numFmtId="0" fontId="45" fillId="29" borderId="0" xfId="0" applyFont="1" applyFill="1" applyAlignment="1">
      <alignment vertical="top"/>
    </xf>
    <xf numFmtId="0" fontId="45" fillId="31" borderId="0" xfId="0" applyFont="1" applyFill="1">
      <alignment vertical="top" wrapText="1"/>
    </xf>
    <xf numFmtId="0" fontId="45" fillId="0" borderId="26" xfId="0" applyFont="1" applyBorder="1" applyAlignment="1">
      <alignment vertical="top"/>
    </xf>
    <xf numFmtId="0" fontId="45" fillId="0" borderId="3" xfId="0" applyFont="1" applyBorder="1" applyAlignment="1">
      <alignment vertical="center"/>
    </xf>
    <xf numFmtId="0" fontId="45" fillId="29" borderId="25" xfId="0" applyFont="1" applyFill="1" applyBorder="1" applyAlignment="1">
      <alignment vertical="top"/>
    </xf>
    <xf numFmtId="0" fontId="45" fillId="0" borderId="2" xfId="0" applyFont="1" applyBorder="1" applyAlignment="1">
      <alignment vertical="top"/>
    </xf>
    <xf numFmtId="0" fontId="45" fillId="0" borderId="25" xfId="0" applyFont="1" applyBorder="1" applyAlignment="1">
      <alignment vertical="top"/>
    </xf>
    <xf numFmtId="0" fontId="45" fillId="0" borderId="26" xfId="0" applyFont="1" applyBorder="1">
      <alignment vertical="top" wrapText="1"/>
    </xf>
    <xf numFmtId="0" fontId="45" fillId="0" borderId="27" xfId="0" applyFont="1" applyBorder="1">
      <alignment vertical="top" wrapText="1"/>
    </xf>
    <xf numFmtId="0" fontId="45" fillId="0" borderId="20" xfId="0" applyFont="1" applyBorder="1">
      <alignment vertical="top" wrapText="1"/>
    </xf>
    <xf numFmtId="0" fontId="45" fillId="0" borderId="3" xfId="0" applyFont="1" applyBorder="1">
      <alignment vertical="top" wrapText="1"/>
    </xf>
    <xf numFmtId="0" fontId="45" fillId="0" borderId="3" xfId="0" applyFont="1" applyBorder="1" applyProtection="1">
      <alignment vertical="top" wrapText="1"/>
      <protection locked="0"/>
    </xf>
    <xf numFmtId="0" fontId="45" fillId="29" borderId="26" xfId="0" applyFont="1" applyFill="1" applyBorder="1">
      <alignment vertical="top" wrapText="1"/>
    </xf>
    <xf numFmtId="0" fontId="45" fillId="29" borderId="27" xfId="0" applyFont="1" applyFill="1" applyBorder="1">
      <alignment vertical="top" wrapText="1"/>
    </xf>
    <xf numFmtId="0" fontId="45" fillId="0" borderId="19" xfId="0" applyFont="1" applyBorder="1" applyAlignment="1" applyProtection="1">
      <alignment vertical="top"/>
      <protection locked="0"/>
    </xf>
    <xf numFmtId="0" fontId="45" fillId="0" borderId="22" xfId="0" applyFont="1" applyBorder="1" applyAlignment="1" applyProtection="1">
      <alignment vertical="top"/>
      <protection locked="0"/>
    </xf>
    <xf numFmtId="0" fontId="45" fillId="0" borderId="26" xfId="0" applyFont="1" applyBorder="1" applyProtection="1">
      <alignment vertical="top" wrapText="1"/>
      <protection locked="0"/>
    </xf>
    <xf numFmtId="176" fontId="47" fillId="0" borderId="30" xfId="226" applyNumberFormat="1" applyFont="1" applyBorder="1" applyAlignment="1">
      <alignment horizontal="center" vertical="center"/>
    </xf>
    <xf numFmtId="176" fontId="47" fillId="0" borderId="31" xfId="224" applyNumberFormat="1" applyFont="1" applyBorder="1" applyAlignment="1">
      <alignment horizontal="center" vertical="center"/>
    </xf>
    <xf numFmtId="176" fontId="47" fillId="0" borderId="32" xfId="224" applyNumberFormat="1" applyFont="1" applyBorder="1" applyAlignment="1">
      <alignment horizontal="center" vertical="center"/>
    </xf>
    <xf numFmtId="0" fontId="46" fillId="30" borderId="33" xfId="225" applyFont="1" applyFill="1" applyBorder="1" applyAlignment="1">
      <alignment horizontal="center" vertical="center"/>
    </xf>
    <xf numFmtId="0" fontId="47" fillId="0" borderId="4" xfId="224" applyFont="1" applyBorder="1" applyAlignment="1">
      <alignment vertical="center"/>
    </xf>
    <xf numFmtId="0" fontId="47" fillId="0" borderId="34" xfId="224" applyFont="1" applyBorder="1" applyAlignment="1">
      <alignment vertical="center"/>
    </xf>
    <xf numFmtId="0" fontId="48" fillId="30" borderId="35" xfId="226" applyFont="1" applyFill="1" applyBorder="1" applyAlignment="1">
      <alignment horizontal="center" vertical="center"/>
    </xf>
    <xf numFmtId="0" fontId="47" fillId="0" borderId="1" xfId="224" applyFont="1" applyBorder="1" applyAlignment="1">
      <alignment horizontal="center" vertical="center"/>
    </xf>
    <xf numFmtId="0" fontId="47" fillId="0" borderId="36" xfId="224" applyFont="1" applyBorder="1" applyAlignment="1">
      <alignment horizontal="center" vertical="center"/>
    </xf>
    <xf numFmtId="0" fontId="48" fillId="30" borderId="1" xfId="226" applyFont="1" applyFill="1" applyBorder="1" applyAlignment="1">
      <alignment horizontal="center" vertical="center"/>
    </xf>
    <xf numFmtId="0" fontId="48" fillId="30" borderId="36" xfId="226" applyFont="1" applyFill="1" applyBorder="1" applyAlignment="1">
      <alignment horizontal="center" vertical="center"/>
    </xf>
    <xf numFmtId="0" fontId="48" fillId="30" borderId="35" xfId="224" applyFont="1" applyFill="1" applyBorder="1" applyAlignment="1">
      <alignment horizontal="center" vertical="center"/>
    </xf>
    <xf numFmtId="0" fontId="48" fillId="0" borderId="1" xfId="224" applyFont="1" applyBorder="1" applyAlignment="1">
      <alignment horizontal="center" vertical="center"/>
    </xf>
    <xf numFmtId="0" fontId="48" fillId="0" borderId="37" xfId="224" applyFont="1" applyBorder="1" applyAlignment="1">
      <alignment horizontal="center" vertical="center"/>
    </xf>
    <xf numFmtId="176" fontId="47" fillId="0" borderId="29" xfId="226" applyNumberFormat="1" applyFont="1" applyBorder="1" applyAlignment="1">
      <alignment horizontal="center" vertical="center"/>
    </xf>
    <xf numFmtId="176" fontId="47" fillId="0" borderId="2" xfId="224" applyNumberFormat="1" applyFont="1" applyBorder="1" applyAlignment="1">
      <alignment horizontal="center" vertical="center"/>
    </xf>
    <xf numFmtId="176" fontId="47" fillId="0" borderId="27" xfId="224" applyNumberFormat="1" applyFont="1" applyBorder="1" applyAlignment="1">
      <alignment horizontal="center" vertical="center"/>
    </xf>
    <xf numFmtId="176" fontId="47" fillId="0" borderId="2" xfId="226" applyNumberFormat="1" applyFont="1" applyBorder="1" applyAlignment="1">
      <alignment horizontal="center" vertical="center"/>
    </xf>
    <xf numFmtId="0" fontId="47" fillId="0" borderId="26" xfId="226" applyFont="1" applyBorder="1" applyAlignment="1">
      <alignment horizontal="left" vertical="center" wrapText="1"/>
    </xf>
    <xf numFmtId="0" fontId="47" fillId="0" borderId="2" xfId="224" applyFont="1" applyBorder="1" applyAlignment="1">
      <alignment horizontal="left" vertical="center" wrapText="1"/>
    </xf>
    <xf numFmtId="0" fontId="47" fillId="0" borderId="27" xfId="224" applyFont="1" applyBorder="1" applyAlignment="1">
      <alignment horizontal="left" vertical="center" wrapText="1"/>
    </xf>
    <xf numFmtId="0" fontId="47" fillId="0" borderId="26" xfId="226" applyFont="1" applyBorder="1" applyAlignment="1">
      <alignment vertical="center" wrapText="1"/>
    </xf>
    <xf numFmtId="0" fontId="47" fillId="0" borderId="2" xfId="224" applyFont="1" applyBorder="1" applyAlignment="1">
      <alignment vertical="center" wrapText="1"/>
    </xf>
    <xf numFmtId="0" fontId="47" fillId="0" borderId="41" xfId="224" applyFont="1" applyBorder="1" applyAlignment="1">
      <alignment vertical="center" wrapText="1"/>
    </xf>
    <xf numFmtId="0" fontId="47" fillId="0" borderId="27" xfId="224" applyFont="1" applyBorder="1" applyAlignment="1">
      <alignment vertical="center" wrapText="1"/>
    </xf>
    <xf numFmtId="0" fontId="47" fillId="0" borderId="42" xfId="226" applyFont="1" applyBorder="1" applyAlignment="1">
      <alignment vertical="center" wrapText="1"/>
    </xf>
    <xf numFmtId="0" fontId="47" fillId="0" borderId="31" xfId="224" applyFont="1" applyBorder="1" applyAlignment="1">
      <alignment vertical="center" wrapText="1"/>
    </xf>
    <xf numFmtId="0" fontId="47" fillId="0" borderId="43" xfId="224" applyFont="1" applyBorder="1" applyAlignment="1">
      <alignment vertical="center" wrapText="1"/>
    </xf>
    <xf numFmtId="0" fontId="47" fillId="0" borderId="42" xfId="226" applyFont="1" applyBorder="1" applyAlignment="1">
      <alignment horizontal="left" vertical="center" wrapText="1"/>
    </xf>
    <xf numFmtId="0" fontId="47" fillId="0" borderId="32" xfId="224" applyFont="1" applyBorder="1" applyAlignment="1">
      <alignment vertical="center" wrapText="1"/>
    </xf>
    <xf numFmtId="0" fontId="47" fillId="0" borderId="31" xfId="224" applyFont="1" applyBorder="1" applyAlignment="1">
      <alignment horizontal="left" vertical="center" wrapText="1"/>
    </xf>
    <xf numFmtId="0" fontId="47" fillId="0" borderId="32" xfId="224" applyFont="1" applyBorder="1" applyAlignment="1">
      <alignment horizontal="left" vertical="center" wrapText="1"/>
    </xf>
    <xf numFmtId="0" fontId="47" fillId="0" borderId="26" xfId="226" applyFont="1" applyBorder="1" applyAlignment="1">
      <alignment vertical="center"/>
    </xf>
    <xf numFmtId="0" fontId="47" fillId="0" borderId="2" xfId="224" applyFont="1" applyBorder="1" applyAlignment="1">
      <alignment vertical="center"/>
    </xf>
    <xf numFmtId="0" fontId="47" fillId="0" borderId="41" xfId="224" applyFont="1" applyBorder="1" applyAlignment="1">
      <alignment vertical="center"/>
    </xf>
    <xf numFmtId="0" fontId="47" fillId="0" borderId="44" xfId="226" applyFont="1" applyBorder="1" applyAlignment="1">
      <alignment horizontal="center" vertical="center" wrapText="1"/>
    </xf>
    <xf numFmtId="0" fontId="47" fillId="0" borderId="39" xfId="224" applyFont="1" applyBorder="1" applyAlignment="1">
      <alignment horizontal="center" vertical="center" wrapText="1"/>
    </xf>
    <xf numFmtId="0" fontId="47" fillId="0" borderId="40" xfId="224" applyFont="1" applyBorder="1" applyAlignment="1">
      <alignment horizontal="center" vertical="center" wrapText="1"/>
    </xf>
    <xf numFmtId="0" fontId="47" fillId="0" borderId="44" xfId="226" applyFont="1" applyBorder="1" applyAlignment="1">
      <alignment horizontal="left" vertical="center" wrapText="1"/>
    </xf>
    <xf numFmtId="0" fontId="47" fillId="0" borderId="39" xfId="224" applyFont="1" applyBorder="1" applyAlignment="1">
      <alignment vertical="center" wrapText="1"/>
    </xf>
    <xf numFmtId="0" fontId="47" fillId="0" borderId="40" xfId="224" applyFont="1" applyBorder="1" applyAlignment="1">
      <alignment vertical="center" wrapText="1"/>
    </xf>
    <xf numFmtId="0" fontId="47" fillId="0" borderId="44" xfId="226" applyFont="1" applyBorder="1" applyAlignment="1">
      <alignment vertical="center" wrapText="1"/>
    </xf>
    <xf numFmtId="0" fontId="47" fillId="0" borderId="45" xfId="224" applyFont="1" applyBorder="1" applyAlignment="1">
      <alignment vertical="center" wrapText="1"/>
    </xf>
    <xf numFmtId="176" fontId="47" fillId="0" borderId="26" xfId="226" applyNumberFormat="1" applyFont="1" applyBorder="1" applyAlignment="1">
      <alignment horizontal="center" vertical="center"/>
    </xf>
    <xf numFmtId="176" fontId="47" fillId="0" borderId="27" xfId="226" applyNumberFormat="1" applyFont="1" applyBorder="1" applyAlignment="1">
      <alignment horizontal="center" vertical="center"/>
    </xf>
    <xf numFmtId="0" fontId="48" fillId="30" borderId="46" xfId="226" applyFont="1" applyFill="1" applyBorder="1" applyAlignment="1">
      <alignment horizontal="center" vertical="center"/>
    </xf>
    <xf numFmtId="0" fontId="47" fillId="0" borderId="26" xfId="226" applyFont="1" applyBorder="1" applyAlignment="1">
      <alignment horizontal="left" vertical="center"/>
    </xf>
    <xf numFmtId="0" fontId="47" fillId="0" borderId="2" xfId="224" applyFont="1" applyBorder="1" applyAlignment="1">
      <alignment horizontal="left" vertical="center"/>
    </xf>
    <xf numFmtId="0" fontId="47" fillId="0" borderId="27" xfId="224" applyFont="1" applyBorder="1" applyAlignment="1">
      <alignment horizontal="left" vertical="center"/>
    </xf>
    <xf numFmtId="0" fontId="47" fillId="0" borderId="2" xfId="226" applyFont="1" applyBorder="1" applyAlignment="1">
      <alignment horizontal="left" vertical="center" wrapText="1"/>
    </xf>
    <xf numFmtId="0" fontId="47" fillId="0" borderId="27" xfId="226" applyFont="1" applyBorder="1" applyAlignment="1">
      <alignment horizontal="left" vertical="center" wrapText="1"/>
    </xf>
    <xf numFmtId="176" fontId="47" fillId="0" borderId="38" xfId="226" applyNumberFormat="1" applyFont="1" applyBorder="1" applyAlignment="1">
      <alignment horizontal="center" vertical="center"/>
    </xf>
    <xf numFmtId="176" fontId="47" fillId="0" borderId="39" xfId="224" applyNumberFormat="1" applyFont="1" applyBorder="1" applyAlignment="1">
      <alignment horizontal="center" vertical="center"/>
    </xf>
    <xf numFmtId="0" fontId="45" fillId="30" borderId="26" xfId="0" applyFont="1" applyFill="1" applyBorder="1" applyAlignment="1" applyProtection="1">
      <protection locked="0"/>
    </xf>
    <xf numFmtId="0" fontId="45" fillId="30" borderId="27" xfId="0" applyFont="1" applyFill="1" applyBorder="1" applyAlignment="1"/>
    <xf numFmtId="0" fontId="45" fillId="30" borderId="27" xfId="0" applyFont="1" applyFill="1" applyBorder="1" applyAlignment="1" applyProtection="1">
      <protection locked="0"/>
    </xf>
    <xf numFmtId="0" fontId="45" fillId="0" borderId="26" xfId="0" applyFont="1" applyBorder="1">
      <alignment vertical="top" wrapText="1"/>
    </xf>
    <xf numFmtId="0" fontId="45" fillId="0" borderId="27" xfId="0" applyFont="1" applyBorder="1">
      <alignment vertical="top" wrapText="1"/>
    </xf>
    <xf numFmtId="0" fontId="45" fillId="30" borderId="26" xfId="0" applyFont="1" applyFill="1" applyBorder="1" applyAlignment="1">
      <alignment wrapText="1"/>
    </xf>
    <xf numFmtId="0" fontId="45" fillId="30" borderId="27" xfId="0" applyFont="1" applyFill="1" applyBorder="1" applyAlignment="1">
      <alignment wrapText="1"/>
    </xf>
  </cellXfs>
  <cellStyles count="23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ハイパーリンク 2" xfId="147" xr:uid="{00000000-0005-0000-0000-000092000000}"/>
    <cellStyle name="メモ" xfId="148" builtinId="10" customBuiltin="1"/>
    <cellStyle name="メモ 2" xfId="149" xr:uid="{00000000-0005-0000-0000-000094000000}"/>
    <cellStyle name="メモ 3" xfId="150" xr:uid="{00000000-0005-0000-0000-000095000000}"/>
    <cellStyle name="メモ 4" xfId="151" xr:uid="{00000000-0005-0000-0000-000096000000}"/>
    <cellStyle name="メモ 5" xfId="152" xr:uid="{00000000-0005-0000-0000-000097000000}"/>
    <cellStyle name="リンク セル" xfId="153" builtinId="24" customBuiltin="1"/>
    <cellStyle name="リンク セル 2" xfId="154" xr:uid="{00000000-0005-0000-0000-000099000000}"/>
    <cellStyle name="リンク セル 3" xfId="155" xr:uid="{00000000-0005-0000-0000-00009A000000}"/>
    <cellStyle name="リンク セル 4" xfId="156" xr:uid="{00000000-0005-0000-0000-00009B000000}"/>
    <cellStyle name="リンク セル 5" xfId="157" xr:uid="{00000000-0005-0000-0000-00009C000000}"/>
    <cellStyle name="_x001d__x000c_K_x0014__x000d_&gt;V_x0001_&gt;_x0014_n_x001e__x0007__x0001__x0001_" xfId="158" xr:uid="{00000000-0005-0000-0000-00009D000000}"/>
    <cellStyle name="_x001d__x000c_K_x0014__x000d_&gt;V_x0001_&gt;_x0014_n_x001e__x0007__x0001__x0001_ 2" xfId="159" xr:uid="{00000000-0005-0000-0000-00009E000000}"/>
    <cellStyle name="_x001d__x000c_K_x0014__x000d_&gt;V_x0001_&gt;_x0014_n_x001e__x0007__x0001__x0001_ 3" xfId="160" xr:uid="{00000000-0005-0000-0000-00009F000000}"/>
    <cellStyle name="悪い" xfId="161" builtinId="27" customBuiltin="1"/>
    <cellStyle name="悪い 2" xfId="162" xr:uid="{00000000-0005-0000-0000-0000A1000000}"/>
    <cellStyle name="悪い 3" xfId="163" xr:uid="{00000000-0005-0000-0000-0000A2000000}"/>
    <cellStyle name="悪い 4" xfId="164" xr:uid="{00000000-0005-0000-0000-0000A3000000}"/>
    <cellStyle name="悪い 5" xfId="165" xr:uid="{00000000-0005-0000-0000-0000A4000000}"/>
    <cellStyle name="計算" xfId="166" builtinId="22" customBuiltin="1"/>
    <cellStyle name="計算 2" xfId="167" xr:uid="{00000000-0005-0000-0000-0000A6000000}"/>
    <cellStyle name="計算 3" xfId="168" xr:uid="{00000000-0005-0000-0000-0000A7000000}"/>
    <cellStyle name="計算 4" xfId="169" xr:uid="{00000000-0005-0000-0000-0000A8000000}"/>
    <cellStyle name="計算 5" xfId="170" xr:uid="{00000000-0005-0000-0000-0000A9000000}"/>
    <cellStyle name="警告文" xfId="171" builtinId="11" customBuiltin="1"/>
    <cellStyle name="警告文 2" xfId="172" xr:uid="{00000000-0005-0000-0000-0000AB000000}"/>
    <cellStyle name="警告文 3" xfId="173" xr:uid="{00000000-0005-0000-0000-0000AC000000}"/>
    <cellStyle name="警告文 4" xfId="174" xr:uid="{00000000-0005-0000-0000-0000AD000000}"/>
    <cellStyle name="見出し 1" xfId="175" builtinId="16" customBuiltin="1"/>
    <cellStyle name="見出し 1 2" xfId="176" xr:uid="{00000000-0005-0000-0000-0000AF000000}"/>
    <cellStyle name="見出し 1 3" xfId="177" xr:uid="{00000000-0005-0000-0000-0000B0000000}"/>
    <cellStyle name="見出し 1 4" xfId="178" xr:uid="{00000000-0005-0000-0000-0000B1000000}"/>
    <cellStyle name="見出し 1 5" xfId="179" xr:uid="{00000000-0005-0000-0000-0000B2000000}"/>
    <cellStyle name="見出し 2" xfId="180" builtinId="17" customBuiltin="1"/>
    <cellStyle name="見出し 2 2" xfId="181" xr:uid="{00000000-0005-0000-0000-0000B4000000}"/>
    <cellStyle name="見出し 2 3" xfId="182" xr:uid="{00000000-0005-0000-0000-0000B5000000}"/>
    <cellStyle name="見出し 2 4" xfId="183" xr:uid="{00000000-0005-0000-0000-0000B6000000}"/>
    <cellStyle name="見出し 2 5" xfId="184" xr:uid="{00000000-0005-0000-0000-0000B7000000}"/>
    <cellStyle name="見出し 3" xfId="185" builtinId="18" customBuiltin="1"/>
    <cellStyle name="見出し 3 2" xfId="186" xr:uid="{00000000-0005-0000-0000-0000B9000000}"/>
    <cellStyle name="見出し 3 3" xfId="187" xr:uid="{00000000-0005-0000-0000-0000BA000000}"/>
    <cellStyle name="見出し 3 4" xfId="188" xr:uid="{00000000-0005-0000-0000-0000BB000000}"/>
    <cellStyle name="見出し 3 5" xfId="189" xr:uid="{00000000-0005-0000-0000-0000BC000000}"/>
    <cellStyle name="見出し 4" xfId="190" builtinId="19" customBuiltin="1"/>
    <cellStyle name="見出し 4 2" xfId="191" xr:uid="{00000000-0005-0000-0000-0000BE000000}"/>
    <cellStyle name="見出し 4 3" xfId="192" xr:uid="{00000000-0005-0000-0000-0000BF000000}"/>
    <cellStyle name="見出し 4 4" xfId="193" xr:uid="{00000000-0005-0000-0000-0000C0000000}"/>
    <cellStyle name="見出し 4 5" xfId="194" xr:uid="{00000000-0005-0000-0000-0000C1000000}"/>
    <cellStyle name="作業ﾌﾛｰ" xfId="195" xr:uid="{00000000-0005-0000-0000-0000C2000000}"/>
    <cellStyle name="資料" xfId="196" xr:uid="{00000000-0005-0000-0000-0000C3000000}"/>
    <cellStyle name="資料２" xfId="197" xr:uid="{00000000-0005-0000-0000-0000C4000000}"/>
    <cellStyle name="集計" xfId="198" builtinId="25" customBuiltin="1"/>
    <cellStyle name="集計 2" xfId="199" xr:uid="{00000000-0005-0000-0000-0000C6000000}"/>
    <cellStyle name="集計 3" xfId="200" xr:uid="{00000000-0005-0000-0000-0000C7000000}"/>
    <cellStyle name="集計 4" xfId="201" xr:uid="{00000000-0005-0000-0000-0000C8000000}"/>
    <cellStyle name="集計 5" xfId="202" xr:uid="{00000000-0005-0000-0000-0000C9000000}"/>
    <cellStyle name="出力" xfId="203" builtinId="21" customBuiltin="1"/>
    <cellStyle name="出力 2" xfId="204" xr:uid="{00000000-0005-0000-0000-0000CB000000}"/>
    <cellStyle name="出力 3" xfId="205" xr:uid="{00000000-0005-0000-0000-0000CC000000}"/>
    <cellStyle name="出力 4" xfId="206" xr:uid="{00000000-0005-0000-0000-0000CD000000}"/>
    <cellStyle name="出力 5" xfId="207" xr:uid="{00000000-0005-0000-0000-0000CE000000}"/>
    <cellStyle name="説明文" xfId="208" builtinId="53" customBuiltin="1"/>
    <cellStyle name="説明文 2" xfId="209" xr:uid="{00000000-0005-0000-0000-0000D0000000}"/>
    <cellStyle name="説明文 3" xfId="210" xr:uid="{00000000-0005-0000-0000-0000D1000000}"/>
    <cellStyle name="説明文 4" xfId="211" xr:uid="{00000000-0005-0000-0000-0000D2000000}"/>
    <cellStyle name="入力" xfId="212" builtinId="20" customBuiltin="1"/>
    <cellStyle name="入力 2" xfId="213" xr:uid="{00000000-0005-0000-0000-0000D4000000}"/>
    <cellStyle name="入力 3" xfId="214" xr:uid="{00000000-0005-0000-0000-0000D5000000}"/>
    <cellStyle name="入力 4" xfId="215" xr:uid="{00000000-0005-0000-0000-0000D6000000}"/>
    <cellStyle name="入力 5" xfId="216" xr:uid="{00000000-0005-0000-0000-0000D7000000}"/>
    <cellStyle name="標準" xfId="0" builtinId="0"/>
    <cellStyle name="標準 2" xfId="217" xr:uid="{00000000-0005-0000-0000-0000D9000000}"/>
    <cellStyle name="標準 3" xfId="218" xr:uid="{00000000-0005-0000-0000-0000DA000000}"/>
    <cellStyle name="標準 4" xfId="219" xr:uid="{00000000-0005-0000-0000-0000DB000000}"/>
    <cellStyle name="標準 5" xfId="220" xr:uid="{00000000-0005-0000-0000-0000DC000000}"/>
    <cellStyle name="標準 6" xfId="221" xr:uid="{00000000-0005-0000-0000-0000DD000000}"/>
    <cellStyle name="標準 7" xfId="222" xr:uid="{00000000-0005-0000-0000-0000DE000000}"/>
    <cellStyle name="標準 8" xfId="223" xr:uid="{00000000-0005-0000-0000-0000DF000000}"/>
    <cellStyle name="標準_02_変更来歴例" xfId="224" xr:uid="{00000000-0005-0000-0000-0000E0000000}"/>
    <cellStyle name="標準_A00200 オーダー状況" xfId="225" xr:uid="{00000000-0005-0000-0000-0000E1000000}"/>
    <cellStyle name="標準_変更来歴_1" xfId="226" xr:uid="{00000000-0005-0000-0000-0000E2000000}"/>
    <cellStyle name="標準2" xfId="227" xr:uid="{00000000-0005-0000-0000-0000E3000000}"/>
    <cellStyle name="標準２" xfId="228" xr:uid="{00000000-0005-0000-0000-0000E4000000}"/>
    <cellStyle name="標準2_DAIICH" xfId="229" xr:uid="{00000000-0005-0000-0000-0000E5000000}"/>
    <cellStyle name="未定義" xfId="230" xr:uid="{00000000-0005-0000-0000-0000E6000000}"/>
    <cellStyle name="良い" xfId="231" builtinId="26" customBuiltin="1"/>
    <cellStyle name="良い 2" xfId="232" xr:uid="{00000000-0005-0000-0000-0000E8000000}"/>
    <cellStyle name="良い 3" xfId="233" xr:uid="{00000000-0005-0000-0000-0000E9000000}"/>
    <cellStyle name="良い 4" xfId="234" xr:uid="{00000000-0005-0000-0000-0000EA000000}"/>
    <cellStyle name="良い 5" xfId="235" xr:uid="{00000000-0005-0000-0000-0000E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</v>
      </c>
      <c r="B2" s="7" t="s">
        <v>2</v>
      </c>
      <c r="C2" s="8" t="s">
        <v>32</v>
      </c>
      <c r="D2" s="7" t="s">
        <v>3</v>
      </c>
      <c r="E2" s="9" t="s">
        <v>50</v>
      </c>
      <c r="F2" s="7" t="s">
        <v>15</v>
      </c>
      <c r="G2" s="9" t="s">
        <v>30</v>
      </c>
      <c r="H2" s="7"/>
      <c r="I2" s="10"/>
    </row>
    <row r="3" spans="1:12">
      <c r="A3" s="11"/>
      <c r="B3" s="7" t="s">
        <v>4</v>
      </c>
      <c r="C3" s="8" t="s">
        <v>31</v>
      </c>
      <c r="D3" s="7" t="s">
        <v>5</v>
      </c>
      <c r="E3" s="9" t="s">
        <v>51</v>
      </c>
      <c r="F3" s="7" t="s">
        <v>14</v>
      </c>
      <c r="G3" s="9"/>
      <c r="H3" s="7"/>
      <c r="I3" s="9"/>
    </row>
    <row r="4" spans="1:12">
      <c r="A4" s="3"/>
      <c r="B4" s="7"/>
      <c r="C4" s="8"/>
      <c r="D4" s="7" t="s">
        <v>6</v>
      </c>
      <c r="E4" s="12" t="s">
        <v>52</v>
      </c>
      <c r="F4" s="7" t="s">
        <v>7</v>
      </c>
      <c r="G4" s="9" t="s">
        <v>126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33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59" bestFit="1" customWidth="1"/>
    <col min="7" max="7" width="30.81640625" style="27" customWidth="1"/>
    <col min="8" max="8" width="29.6328125" style="27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12.8164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69" t="s">
        <v>17</v>
      </c>
      <c r="B1" s="69" t="s">
        <v>17</v>
      </c>
      <c r="C1" s="69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70" t="s">
        <v>17</v>
      </c>
      <c r="B2" s="71"/>
      <c r="C2" s="71"/>
      <c r="D2" s="83" t="s">
        <v>150</v>
      </c>
      <c r="E2" s="7" t="s">
        <v>2</v>
      </c>
      <c r="F2" s="72" t="str">
        <f>IF(LogicCommon!C2="","",LogicCommon!C2)</f>
        <v>MB</v>
      </c>
      <c r="G2" s="7" t="s">
        <v>3</v>
      </c>
      <c r="H2" s="72" t="str">
        <f>IF(LogicCommon!E2="","",LogicCommon!E2)</f>
        <v>MBBEL0090</v>
      </c>
      <c r="I2" s="7" t="s">
        <v>38</v>
      </c>
      <c r="J2" s="9" t="s">
        <v>27</v>
      </c>
      <c r="K2" s="7" t="s">
        <v>15</v>
      </c>
      <c r="L2" s="72" t="str">
        <f>IF(LogicCommon!G2="","",LogicCommon!G2)</f>
        <v>MC</v>
      </c>
      <c r="M2" s="5" t="s">
        <v>35</v>
      </c>
      <c r="N2" s="29" t="s">
        <v>127</v>
      </c>
      <c r="O2" s="7"/>
      <c r="P2" s="7"/>
      <c r="Q2" s="4"/>
      <c r="R2" s="5"/>
      <c r="S2" s="5"/>
      <c r="T2" s="5"/>
    </row>
    <row r="3" spans="1:20" s="11" customFormat="1">
      <c r="A3" s="73" t="s">
        <v>17</v>
      </c>
      <c r="B3" s="74"/>
      <c r="C3" s="74"/>
      <c r="D3" s="75"/>
      <c r="E3" s="7" t="s">
        <v>4</v>
      </c>
      <c r="F3" s="72" t="str">
        <f>IF(LogicCommon!C3="","",LogicCommon!C3)</f>
        <v>MBBE</v>
      </c>
      <c r="G3" s="7" t="s">
        <v>5</v>
      </c>
      <c r="H3" s="72" t="str">
        <f>IF(LogicCommon!E3="","",LogicCommon!E3)</f>
        <v>MBBEL_BulkImpReg</v>
      </c>
      <c r="I3" s="7" t="s">
        <v>39</v>
      </c>
      <c r="J3" s="9" t="s">
        <v>26</v>
      </c>
      <c r="K3" s="7" t="s">
        <v>14</v>
      </c>
      <c r="L3" s="72"/>
      <c r="M3" s="76" t="s">
        <v>24</v>
      </c>
      <c r="N3" s="7"/>
      <c r="O3" s="7" t="s">
        <v>33</v>
      </c>
      <c r="P3" s="9" t="s">
        <v>42</v>
      </c>
      <c r="Q3" s="4"/>
      <c r="R3" s="5"/>
      <c r="S3" s="5"/>
      <c r="T3" s="5"/>
    </row>
    <row r="4" spans="1:20" s="11" customFormat="1">
      <c r="A4" s="73" t="s">
        <v>17</v>
      </c>
      <c r="B4" s="74"/>
      <c r="C4" s="74"/>
      <c r="D4" s="4"/>
      <c r="E4" s="7" t="s">
        <v>25</v>
      </c>
      <c r="F4" s="10" t="s">
        <v>43</v>
      </c>
      <c r="G4" s="7" t="s">
        <v>6</v>
      </c>
      <c r="H4" s="72" t="str">
        <f>IF(LogicCommon!E4="","",LogicCommon!E4)</f>
        <v>まとめ登録ツール</v>
      </c>
      <c r="I4" s="7" t="s">
        <v>44</v>
      </c>
      <c r="J4" s="9" t="s">
        <v>57</v>
      </c>
      <c r="K4" s="7" t="s">
        <v>7</v>
      </c>
      <c r="L4" s="72" t="str">
        <f>IF(LogicCommon!G4="","",LogicCommon!G4)</f>
        <v>MB.MBUDL5010</v>
      </c>
      <c r="M4" s="77"/>
      <c r="N4" s="29"/>
      <c r="O4" s="13"/>
      <c r="P4" s="4"/>
      <c r="Q4" s="4"/>
      <c r="R4" s="5"/>
      <c r="S4" s="5"/>
      <c r="T4" s="5"/>
    </row>
    <row r="5" spans="1:20" s="11" customFormat="1">
      <c r="A5" s="78" t="s">
        <v>17</v>
      </c>
      <c r="B5" s="69"/>
      <c r="C5" s="69"/>
      <c r="D5" s="26"/>
      <c r="E5" s="7" t="s">
        <v>41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3" t="s">
        <v>17</v>
      </c>
      <c r="B6" s="74"/>
      <c r="C6" s="74"/>
      <c r="D6" s="4" t="s">
        <v>8</v>
      </c>
      <c r="E6" s="17" t="s">
        <v>108</v>
      </c>
      <c r="F6" s="17"/>
      <c r="G6" s="17"/>
      <c r="H6" s="17"/>
      <c r="I6" s="17"/>
      <c r="J6" s="17"/>
      <c r="K6" s="17"/>
      <c r="L6" s="80" t="s">
        <v>37</v>
      </c>
      <c r="M6" s="19"/>
      <c r="N6" s="19" t="s">
        <v>37</v>
      </c>
      <c r="O6" s="19"/>
      <c r="P6" s="19" t="s">
        <v>37</v>
      </c>
      <c r="Q6" s="19"/>
      <c r="R6" s="27"/>
      <c r="S6" s="27"/>
      <c r="T6" s="27"/>
    </row>
    <row r="7" spans="1:20" s="11" customFormat="1">
      <c r="A7" s="30" t="s">
        <v>18</v>
      </c>
      <c r="B7" s="30"/>
      <c r="C7" s="30"/>
      <c r="D7" s="31"/>
      <c r="E7" s="31"/>
      <c r="F7" s="32"/>
      <c r="G7" s="31"/>
      <c r="H7" s="31"/>
      <c r="I7" s="31" t="s">
        <v>19</v>
      </c>
      <c r="J7" s="31"/>
      <c r="K7" s="33" t="s">
        <v>20</v>
      </c>
      <c r="L7" s="34"/>
      <c r="M7" s="33" t="s">
        <v>20</v>
      </c>
      <c r="N7" s="34"/>
      <c r="O7" s="33" t="s">
        <v>20</v>
      </c>
      <c r="P7" s="34"/>
      <c r="Q7" s="27"/>
      <c r="R7" s="27"/>
      <c r="S7" s="27"/>
      <c r="T7" s="27"/>
    </row>
    <row r="8" spans="1:20" s="11" customFormat="1" ht="60" customHeight="1">
      <c r="A8" s="50" t="s">
        <v>18</v>
      </c>
      <c r="B8" s="86"/>
      <c r="C8" s="87"/>
      <c r="D8" s="84" t="s">
        <v>151</v>
      </c>
      <c r="E8" s="84" t="s">
        <v>152</v>
      </c>
      <c r="F8" s="80"/>
      <c r="G8" s="84" t="s">
        <v>45</v>
      </c>
      <c r="H8" s="84" t="s">
        <v>153</v>
      </c>
      <c r="I8" s="80"/>
      <c r="J8" s="3"/>
      <c r="K8" s="33" t="s">
        <v>21</v>
      </c>
      <c r="L8" s="34"/>
      <c r="M8" s="33"/>
      <c r="N8" s="34"/>
      <c r="O8" s="33"/>
      <c r="P8" s="34"/>
      <c r="Q8" s="88"/>
      <c r="R8" s="89"/>
      <c r="S8" s="90" t="s">
        <v>154</v>
      </c>
      <c r="T8" s="49"/>
    </row>
    <row r="9" spans="1:20" s="11" customFormat="1" ht="60" customHeight="1">
      <c r="A9" s="9" t="s">
        <v>18</v>
      </c>
      <c r="B9" s="35"/>
      <c r="C9" s="36"/>
      <c r="D9" s="84" t="s">
        <v>155</v>
      </c>
      <c r="E9" s="81" t="s">
        <v>156</v>
      </c>
      <c r="F9" s="84" t="s">
        <v>157</v>
      </c>
      <c r="G9" s="84" t="s">
        <v>158</v>
      </c>
      <c r="H9" s="84" t="s">
        <v>159</v>
      </c>
      <c r="I9" s="82" t="s">
        <v>160</v>
      </c>
      <c r="J9" s="84" t="s">
        <v>161</v>
      </c>
      <c r="K9" s="33"/>
      <c r="L9" s="33"/>
      <c r="M9" s="33"/>
      <c r="N9" s="33"/>
      <c r="O9" s="33"/>
      <c r="P9" s="33"/>
      <c r="Q9" s="90" t="s">
        <v>162</v>
      </c>
      <c r="R9" s="49"/>
      <c r="S9" s="90" t="s">
        <v>163</v>
      </c>
      <c r="T9" s="49"/>
    </row>
    <row r="10" spans="1:20" s="11" customFormat="1" ht="52">
      <c r="A10" s="38" t="s">
        <v>18</v>
      </c>
      <c r="B10" s="39"/>
      <c r="C10" s="39"/>
      <c r="D10" s="40"/>
      <c r="E10" s="41"/>
      <c r="F10" s="42"/>
      <c r="G10" s="43"/>
      <c r="H10" s="43"/>
      <c r="I10" s="41"/>
      <c r="J10" s="41"/>
      <c r="K10" s="85" t="s">
        <v>160</v>
      </c>
      <c r="L10" s="85" t="s">
        <v>161</v>
      </c>
      <c r="M10" s="85" t="s">
        <v>160</v>
      </c>
      <c r="N10" s="85" t="s">
        <v>161</v>
      </c>
      <c r="O10" s="85" t="s">
        <v>160</v>
      </c>
      <c r="P10" s="85" t="s">
        <v>161</v>
      </c>
      <c r="Q10" s="41"/>
      <c r="R10" s="41"/>
      <c r="S10" s="43"/>
      <c r="T10" s="37"/>
    </row>
    <row r="11" spans="1:20" s="11" customFormat="1">
      <c r="A11" s="9">
        <f>IF(D11="","",IF(B11="*",MAX($A$10:A10)+10,MAX($A$10:A10)))</f>
        <v>10</v>
      </c>
      <c r="B11" s="35" t="s">
        <v>17</v>
      </c>
      <c r="C11" s="36"/>
      <c r="D11" s="29" t="s">
        <v>28</v>
      </c>
      <c r="E11" s="44" t="s">
        <v>22</v>
      </c>
      <c r="F11" s="45"/>
      <c r="G11" s="29"/>
      <c r="H11" s="46"/>
      <c r="I11" s="47"/>
      <c r="J11" s="45"/>
      <c r="K11" s="34"/>
      <c r="L11" s="34"/>
      <c r="M11" s="34"/>
      <c r="N11" s="34"/>
      <c r="O11" s="34"/>
      <c r="P11" s="34"/>
      <c r="Q11" s="48"/>
      <c r="R11" s="49"/>
      <c r="S11" s="66"/>
      <c r="T11" s="68"/>
    </row>
    <row r="12" spans="1:20" s="11" customFormat="1">
      <c r="A12" s="9">
        <f>IF(D12="","",IF(B12="*",MAX($A$10:A11)+10,MAX($A$10:A11)))</f>
        <v>10</v>
      </c>
      <c r="B12" s="9"/>
      <c r="C12" s="9"/>
      <c r="D12" s="9" t="s">
        <v>89</v>
      </c>
      <c r="E12" s="50" t="s">
        <v>91</v>
      </c>
      <c r="F12" s="50"/>
      <c r="G12" s="51" t="s">
        <v>164</v>
      </c>
      <c r="H12" s="51" t="s">
        <v>94</v>
      </c>
      <c r="I12" s="9" t="s">
        <v>40</v>
      </c>
      <c r="J12" s="9" t="s">
        <v>34</v>
      </c>
      <c r="K12" s="9"/>
      <c r="L12" s="9"/>
      <c r="M12" s="9"/>
      <c r="N12" s="9"/>
      <c r="O12" s="9"/>
      <c r="P12" s="9"/>
      <c r="Q12" s="48"/>
      <c r="R12" s="49"/>
      <c r="S12" s="144"/>
      <c r="T12" s="145"/>
    </row>
    <row r="13" spans="1:20" s="11" customFormat="1">
      <c r="A13" s="9">
        <f>IF(D13="","",IF(B13="*",MAX($A$10:A12)+10,MAX($A$10:A12)))</f>
        <v>10</v>
      </c>
      <c r="B13" s="9"/>
      <c r="C13" s="9"/>
      <c r="D13" s="9" t="s">
        <v>95</v>
      </c>
      <c r="E13" s="50" t="s">
        <v>96</v>
      </c>
      <c r="F13" s="50"/>
      <c r="G13" s="51" t="s">
        <v>165</v>
      </c>
      <c r="H13" s="51" t="s">
        <v>129</v>
      </c>
      <c r="I13" s="9" t="s">
        <v>40</v>
      </c>
      <c r="J13" s="9" t="s">
        <v>34</v>
      </c>
      <c r="K13" s="9"/>
      <c r="L13" s="9"/>
      <c r="M13" s="9"/>
      <c r="N13" s="9"/>
      <c r="O13" s="9"/>
      <c r="P13" s="9"/>
      <c r="Q13" s="48"/>
      <c r="R13" s="49"/>
      <c r="S13" s="144"/>
      <c r="T13" s="145"/>
    </row>
    <row r="14" spans="1:20" s="11" customFormat="1">
      <c r="A14" s="9">
        <f>IF(D14="","",IF(B14="*",MAX($A$10:A13)+10,MAX($A$10:A13)))</f>
        <v>10</v>
      </c>
      <c r="B14" s="9"/>
      <c r="C14" s="9"/>
      <c r="D14" s="9" t="s">
        <v>46</v>
      </c>
      <c r="E14" s="50" t="s">
        <v>93</v>
      </c>
      <c r="F14" s="50"/>
      <c r="G14" s="51" t="s">
        <v>166</v>
      </c>
      <c r="H14" s="51" t="s">
        <v>130</v>
      </c>
      <c r="I14" s="9" t="s">
        <v>40</v>
      </c>
      <c r="J14" s="9" t="s">
        <v>34</v>
      </c>
      <c r="K14" s="9"/>
      <c r="L14" s="9"/>
      <c r="M14" s="9"/>
      <c r="N14" s="9"/>
      <c r="O14" s="9"/>
      <c r="P14" s="9"/>
      <c r="Q14" s="48"/>
      <c r="R14" s="49"/>
      <c r="S14" s="144"/>
      <c r="T14" s="145"/>
    </row>
    <row r="15" spans="1:20" s="11" customFormat="1">
      <c r="A15" s="9">
        <f>IF(D15="","",IF(B15="*",MAX($A$10:A14)+10,MAX($A$10:A14)))</f>
        <v>10</v>
      </c>
      <c r="B15" s="9"/>
      <c r="C15" s="9"/>
      <c r="D15" s="9" t="s">
        <v>47</v>
      </c>
      <c r="E15" s="50" t="s">
        <v>97</v>
      </c>
      <c r="F15" s="50"/>
      <c r="G15" s="51" t="s">
        <v>167</v>
      </c>
      <c r="H15" s="51" t="s">
        <v>131</v>
      </c>
      <c r="I15" s="9" t="s">
        <v>40</v>
      </c>
      <c r="J15" s="9" t="s">
        <v>34</v>
      </c>
      <c r="K15" s="9"/>
      <c r="L15" s="9"/>
      <c r="M15" s="9"/>
      <c r="N15" s="9"/>
      <c r="O15" s="9"/>
      <c r="P15" s="9"/>
      <c r="Q15" s="48"/>
      <c r="R15" s="49"/>
      <c r="S15" s="144"/>
      <c r="T15" s="145"/>
    </row>
    <row r="16" spans="1:20" s="11" customFormat="1" ht="52">
      <c r="A16" s="73" t="str">
        <f>IF(D16="","",IF(B16="*",MAX($A$10:A15)+10,MAX($A$10:A15)))</f>
        <v/>
      </c>
      <c r="K16" s="11" t="s">
        <v>160</v>
      </c>
      <c r="L16" s="11" t="s">
        <v>161</v>
      </c>
      <c r="M16" s="11" t="s">
        <v>160</v>
      </c>
      <c r="N16" s="11" t="s">
        <v>161</v>
      </c>
      <c r="O16" s="11" t="s">
        <v>160</v>
      </c>
      <c r="P16" s="11" t="s">
        <v>161</v>
      </c>
      <c r="T16" s="52"/>
    </row>
    <row r="17" spans="1:20" s="11" customFormat="1">
      <c r="A17" s="9">
        <f>IF(D17="","",IF(B17="*",MAX($A$10:A16)+10,MAX($A$10:A16)))</f>
        <v>20</v>
      </c>
      <c r="B17" s="35" t="s">
        <v>16</v>
      </c>
      <c r="C17" s="36"/>
      <c r="D17" s="29" t="s">
        <v>49</v>
      </c>
      <c r="E17" s="44" t="s">
        <v>23</v>
      </c>
      <c r="F17" s="53"/>
      <c r="G17" s="29"/>
      <c r="H17" s="46"/>
      <c r="I17" s="54"/>
      <c r="J17" s="55"/>
      <c r="K17" s="34"/>
      <c r="L17" s="34"/>
      <c r="M17" s="34"/>
      <c r="N17" s="34"/>
      <c r="O17" s="34"/>
      <c r="P17" s="34"/>
      <c r="Q17" s="48"/>
      <c r="R17" s="49"/>
      <c r="S17" s="66"/>
      <c r="T17" s="68"/>
    </row>
    <row r="18" spans="1:20" s="11" customFormat="1">
      <c r="A18" s="9">
        <f>IF(D18="","",IF(B18="*",MAX($A$10:A17)+10,MAX($A$10:A17)))</f>
        <v>20</v>
      </c>
      <c r="B18" s="9"/>
      <c r="C18" s="9"/>
      <c r="D18" s="9" t="s">
        <v>89</v>
      </c>
      <c r="E18" s="50" t="s">
        <v>91</v>
      </c>
      <c r="F18" s="50"/>
      <c r="G18" s="51" t="s">
        <v>164</v>
      </c>
      <c r="H18" s="51" t="s">
        <v>94</v>
      </c>
      <c r="I18" s="9" t="s">
        <v>34</v>
      </c>
      <c r="J18" s="9" t="s">
        <v>40</v>
      </c>
      <c r="K18" s="9"/>
      <c r="L18" s="9"/>
      <c r="M18" s="9"/>
      <c r="N18" s="9"/>
      <c r="O18" s="9"/>
      <c r="P18" s="9"/>
      <c r="Q18" s="48"/>
      <c r="R18" s="49"/>
      <c r="S18" s="144"/>
      <c r="T18" s="145"/>
    </row>
    <row r="19" spans="1:20" s="11" customFormat="1">
      <c r="A19" s="9">
        <f>IF(D19="","",IF(B19="*",MAX($A$10:A18)+10,MAX($A$10:A18)))</f>
        <v>20</v>
      </c>
      <c r="B19" s="9"/>
      <c r="C19" s="9"/>
      <c r="D19" s="9" t="s">
        <v>95</v>
      </c>
      <c r="E19" s="50" t="s">
        <v>96</v>
      </c>
      <c r="F19" s="50"/>
      <c r="G19" s="51" t="s">
        <v>165</v>
      </c>
      <c r="H19" s="51" t="s">
        <v>129</v>
      </c>
      <c r="I19" s="9" t="s">
        <v>34</v>
      </c>
      <c r="J19" s="9" t="s">
        <v>40</v>
      </c>
      <c r="K19" s="9"/>
      <c r="L19" s="9"/>
      <c r="M19" s="9"/>
      <c r="N19" s="9"/>
      <c r="O19" s="9"/>
      <c r="P19" s="9"/>
      <c r="Q19" s="48"/>
      <c r="R19" s="49"/>
      <c r="S19" s="144"/>
      <c r="T19" s="145"/>
    </row>
    <row r="20" spans="1:20" s="11" customFormat="1">
      <c r="A20" s="9">
        <f>IF(D20="","",IF(B20="*",MAX($A$10:A19)+10,MAX($A$10:A19)))</f>
        <v>20</v>
      </c>
      <c r="B20" s="9"/>
      <c r="C20" s="9"/>
      <c r="D20" s="9" t="s">
        <v>98</v>
      </c>
      <c r="E20" s="50" t="s">
        <v>109</v>
      </c>
      <c r="F20" s="50"/>
      <c r="G20" s="51" t="s">
        <v>168</v>
      </c>
      <c r="H20" s="51" t="s">
        <v>132</v>
      </c>
      <c r="I20" s="9" t="s">
        <v>34</v>
      </c>
      <c r="J20" s="9" t="s">
        <v>40</v>
      </c>
      <c r="K20" s="9"/>
      <c r="L20" s="9"/>
      <c r="M20" s="9"/>
      <c r="N20" s="9"/>
      <c r="O20" s="9"/>
      <c r="P20" s="9"/>
      <c r="Q20" s="48"/>
      <c r="R20" s="49"/>
      <c r="S20" s="144"/>
      <c r="T20" s="145"/>
    </row>
    <row r="21" spans="1:20" s="11" customFormat="1">
      <c r="A21" s="9">
        <f>IF(D21="","",IF(B21="*",MAX($A$10:A20)+10,MAX($A$10:A20)))</f>
        <v>20</v>
      </c>
      <c r="B21" s="9"/>
      <c r="C21" s="9"/>
      <c r="D21" s="9" t="s">
        <v>46</v>
      </c>
      <c r="E21" s="50" t="s">
        <v>93</v>
      </c>
      <c r="F21" s="50"/>
      <c r="G21" s="51" t="s">
        <v>166</v>
      </c>
      <c r="H21" s="51" t="s">
        <v>130</v>
      </c>
      <c r="I21" s="9" t="s">
        <v>34</v>
      </c>
      <c r="J21" s="9" t="s">
        <v>40</v>
      </c>
      <c r="K21" s="9"/>
      <c r="L21" s="9"/>
      <c r="M21" s="9"/>
      <c r="N21" s="9"/>
      <c r="O21" s="9"/>
      <c r="P21" s="9"/>
      <c r="Q21" s="48"/>
      <c r="R21" s="49"/>
      <c r="S21" s="144"/>
      <c r="T21" s="145"/>
    </row>
    <row r="22" spans="1:20" s="11" customFormat="1">
      <c r="A22" s="9">
        <f>IF(D22="","",IF(B22="*",MAX($A$10:A21)+10,MAX($A$10:A21)))</f>
        <v>20</v>
      </c>
      <c r="B22" s="9"/>
      <c r="C22" s="9"/>
      <c r="D22" s="9" t="s">
        <v>47</v>
      </c>
      <c r="E22" s="50" t="s">
        <v>97</v>
      </c>
      <c r="F22" s="50"/>
      <c r="G22" s="51" t="s">
        <v>167</v>
      </c>
      <c r="H22" s="51" t="s">
        <v>131</v>
      </c>
      <c r="I22" s="9" t="s">
        <v>34</v>
      </c>
      <c r="J22" s="9" t="s">
        <v>40</v>
      </c>
      <c r="K22" s="9"/>
      <c r="L22" s="9"/>
      <c r="M22" s="9"/>
      <c r="N22" s="9"/>
      <c r="O22" s="9"/>
      <c r="P22" s="9"/>
      <c r="Q22" s="48"/>
      <c r="R22" s="49"/>
      <c r="S22" s="144"/>
      <c r="T22" s="145"/>
    </row>
    <row r="23" spans="1:20" s="11" customFormat="1">
      <c r="A23" s="9">
        <f>IF(D23="","",IF(B23="*",MAX($A$10:A22)+10,MAX($A$10:A22)))</f>
        <v>20</v>
      </c>
      <c r="B23" s="9"/>
      <c r="C23" s="9"/>
      <c r="D23" s="9" t="s">
        <v>99</v>
      </c>
      <c r="E23" s="50" t="s">
        <v>109</v>
      </c>
      <c r="F23" s="50"/>
      <c r="G23" s="51" t="s">
        <v>169</v>
      </c>
      <c r="H23" s="51" t="s">
        <v>133</v>
      </c>
      <c r="I23" s="9" t="s">
        <v>34</v>
      </c>
      <c r="J23" s="9" t="s">
        <v>40</v>
      </c>
      <c r="K23" s="9"/>
      <c r="L23" s="9"/>
      <c r="M23" s="9"/>
      <c r="N23" s="9"/>
      <c r="O23" s="9"/>
      <c r="P23" s="9"/>
      <c r="Q23" s="48"/>
      <c r="R23" s="49"/>
      <c r="S23" s="144"/>
      <c r="T23" s="145"/>
    </row>
    <row r="24" spans="1:20" s="11" customFormat="1">
      <c r="A24" s="56"/>
      <c r="B24" s="30"/>
      <c r="C24" s="30"/>
      <c r="D24" s="57" t="s">
        <v>0</v>
      </c>
      <c r="E24" s="31"/>
      <c r="F24" s="32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8"/>
    </row>
    <row r="25" spans="1:20" s="11" customFormat="1">
      <c r="A25" s="73"/>
      <c r="T25" s="52"/>
    </row>
    <row r="26" spans="1:20" s="11" customFormat="1">
      <c r="A26" s="73"/>
      <c r="T26" s="52"/>
    </row>
    <row r="27" spans="1:20" s="11" customFormat="1">
      <c r="A27" s="73"/>
      <c r="T27" s="52"/>
    </row>
    <row r="28" spans="1:20" s="11" customFormat="1">
      <c r="A28" s="73"/>
      <c r="T28" s="52"/>
    </row>
    <row r="29" spans="1:20" s="11" customFormat="1">
      <c r="A29" s="73"/>
      <c r="T29" s="52"/>
    </row>
    <row r="30" spans="1:20" s="11" customFormat="1">
      <c r="A30" s="73"/>
      <c r="T30" s="52"/>
    </row>
    <row r="31" spans="1:20" s="11" customFormat="1">
      <c r="A31" s="73"/>
      <c r="T31" s="52"/>
    </row>
    <row r="32" spans="1:20" s="11" customFormat="1">
      <c r="A32" s="73"/>
      <c r="T32" s="52"/>
    </row>
    <row r="33" spans="1:20" s="11" customFormat="1">
      <c r="A33" s="7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20"/>
    </row>
  </sheetData>
  <sheetProtection formatCells="0" formatColumns="0" formatRows="0" insertColumns="0" insertRows="0" insertHyperlinks="0" deleteColumns="0" deleteRows="0"/>
  <mergeCells count="10">
    <mergeCell ref="S23:T23"/>
    <mergeCell ref="S21:T21"/>
    <mergeCell ref="S15:T15"/>
    <mergeCell ref="S12:T12"/>
    <mergeCell ref="S18:T18"/>
    <mergeCell ref="S20:T20"/>
    <mergeCell ref="S14:T14"/>
    <mergeCell ref="S22:T22"/>
    <mergeCell ref="S13:T13"/>
    <mergeCell ref="S19:T19"/>
  </mergeCells>
  <phoneticPr fontId="2"/>
  <pageMargins left="0.2" right="0.43307086614173229" top="0.55118110236220474" bottom="0.38" header="0.55118110236220474" footer="0.11811023622047245"/>
  <pageSetup paperSize="9" scale="46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4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59" bestFit="1" customWidth="1"/>
    <col min="7" max="7" width="30.81640625" style="27" customWidth="1"/>
    <col min="8" max="8" width="32.81640625" style="27" bestFit="1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12.8164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69" t="s">
        <v>17</v>
      </c>
      <c r="B1" s="69" t="s">
        <v>17</v>
      </c>
      <c r="C1" s="69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70" t="s">
        <v>17</v>
      </c>
      <c r="B2" s="71"/>
      <c r="C2" s="71"/>
      <c r="D2" s="83" t="s">
        <v>150</v>
      </c>
      <c r="E2" s="7" t="s">
        <v>2</v>
      </c>
      <c r="F2" s="72" t="str">
        <f>IF(LogicCommon!C2="","",LogicCommon!C2)</f>
        <v>MB</v>
      </c>
      <c r="G2" s="7" t="s">
        <v>3</v>
      </c>
      <c r="H2" s="72" t="str">
        <f>IF(LogicCommon!E2="","",LogicCommon!E2)</f>
        <v>MBBEL0090</v>
      </c>
      <c r="I2" s="7" t="s">
        <v>38</v>
      </c>
      <c r="J2" s="9" t="s">
        <v>70</v>
      </c>
      <c r="K2" s="7" t="s">
        <v>15</v>
      </c>
      <c r="L2" s="72" t="str">
        <f>IF(LogicCommon!G2="","",LogicCommon!G2)</f>
        <v>MC</v>
      </c>
      <c r="M2" s="5" t="s">
        <v>35</v>
      </c>
      <c r="N2" s="29" t="s">
        <v>128</v>
      </c>
      <c r="O2" s="7"/>
      <c r="P2" s="7"/>
      <c r="Q2" s="4"/>
      <c r="R2" s="5"/>
      <c r="S2" s="5"/>
      <c r="T2" s="5"/>
    </row>
    <row r="3" spans="1:20" s="11" customFormat="1">
      <c r="A3" s="73" t="s">
        <v>17</v>
      </c>
      <c r="B3" s="74"/>
      <c r="C3" s="74"/>
      <c r="D3" s="75"/>
      <c r="E3" s="7" t="s">
        <v>4</v>
      </c>
      <c r="F3" s="72" t="str">
        <f>IF(LogicCommon!C3="","",LogicCommon!C3)</f>
        <v>MBBE</v>
      </c>
      <c r="G3" s="7" t="s">
        <v>5</v>
      </c>
      <c r="H3" s="72" t="str">
        <f>IF(LogicCommon!E3="","",LogicCommon!E3)</f>
        <v>MBBEL_BulkImpReg</v>
      </c>
      <c r="I3" s="7" t="s">
        <v>39</v>
      </c>
      <c r="J3" s="9" t="s">
        <v>26</v>
      </c>
      <c r="K3" s="7" t="s">
        <v>14</v>
      </c>
      <c r="L3" s="72"/>
      <c r="M3" s="76" t="s">
        <v>24</v>
      </c>
      <c r="N3" s="7"/>
      <c r="O3" s="7" t="s">
        <v>33</v>
      </c>
      <c r="P3" s="9" t="s">
        <v>42</v>
      </c>
      <c r="Q3" s="4"/>
      <c r="R3" s="5"/>
      <c r="S3" s="5"/>
      <c r="T3" s="5"/>
    </row>
    <row r="4" spans="1:20" s="11" customFormat="1">
      <c r="A4" s="73" t="s">
        <v>17</v>
      </c>
      <c r="B4" s="74"/>
      <c r="C4" s="74"/>
      <c r="D4" s="4"/>
      <c r="E4" s="7" t="s">
        <v>25</v>
      </c>
      <c r="F4" s="10" t="s">
        <v>43</v>
      </c>
      <c r="G4" s="7" t="s">
        <v>6</v>
      </c>
      <c r="H4" s="72" t="str">
        <f>IF(LogicCommon!E4="","",LogicCommon!E4)</f>
        <v>まとめ登録ツール</v>
      </c>
      <c r="I4" s="7" t="s">
        <v>44</v>
      </c>
      <c r="J4" s="9" t="s">
        <v>58</v>
      </c>
      <c r="K4" s="7" t="s">
        <v>7</v>
      </c>
      <c r="L4" s="72" t="str">
        <f>IF(LogicCommon!G4="","",LogicCommon!G4)</f>
        <v>MB.MBUDL5010</v>
      </c>
      <c r="M4" s="77"/>
      <c r="N4" s="29"/>
      <c r="O4" s="13"/>
      <c r="P4" s="4"/>
      <c r="Q4" s="4"/>
      <c r="R4" s="5"/>
      <c r="S4" s="5"/>
      <c r="T4" s="5"/>
    </row>
    <row r="5" spans="1:20" s="11" customFormat="1">
      <c r="A5" s="78" t="s">
        <v>17</v>
      </c>
      <c r="B5" s="69"/>
      <c r="C5" s="69"/>
      <c r="D5" s="26"/>
      <c r="E5" s="7" t="s">
        <v>41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3" t="s">
        <v>17</v>
      </c>
      <c r="B6" s="74"/>
      <c r="C6" s="74"/>
      <c r="D6" s="4" t="s">
        <v>8</v>
      </c>
      <c r="E6" s="17" t="s">
        <v>103</v>
      </c>
      <c r="F6" s="17"/>
      <c r="G6" s="17"/>
      <c r="H6" s="17"/>
      <c r="I6" s="17"/>
      <c r="J6" s="17"/>
      <c r="K6" s="17"/>
      <c r="L6" s="80" t="s">
        <v>37</v>
      </c>
      <c r="M6" s="19"/>
      <c r="N6" s="19" t="s">
        <v>37</v>
      </c>
      <c r="O6" s="19"/>
      <c r="P6" s="19" t="s">
        <v>37</v>
      </c>
      <c r="Q6" s="19"/>
      <c r="R6" s="27"/>
      <c r="S6" s="27"/>
      <c r="T6" s="27"/>
    </row>
    <row r="7" spans="1:20" s="11" customFormat="1">
      <c r="A7" s="30" t="s">
        <v>18</v>
      </c>
      <c r="B7" s="30"/>
      <c r="C7" s="30"/>
      <c r="D7" s="31"/>
      <c r="E7" s="31"/>
      <c r="F7" s="32"/>
      <c r="G7" s="31"/>
      <c r="H7" s="31"/>
      <c r="I7" s="31" t="s">
        <v>19</v>
      </c>
      <c r="J7" s="31"/>
      <c r="K7" s="33" t="s">
        <v>20</v>
      </c>
      <c r="L7" s="34"/>
      <c r="M7" s="33" t="s">
        <v>20</v>
      </c>
      <c r="N7" s="34"/>
      <c r="O7" s="33" t="s">
        <v>20</v>
      </c>
      <c r="P7" s="34"/>
      <c r="Q7" s="27"/>
      <c r="R7" s="27"/>
      <c r="S7" s="27"/>
      <c r="T7" s="27"/>
    </row>
    <row r="8" spans="1:20" s="11" customFormat="1" ht="60" customHeight="1">
      <c r="A8" s="50" t="s">
        <v>18</v>
      </c>
      <c r="B8" s="86"/>
      <c r="C8" s="87"/>
      <c r="D8" s="84" t="s">
        <v>151</v>
      </c>
      <c r="E8" s="84" t="s">
        <v>152</v>
      </c>
      <c r="F8" s="80"/>
      <c r="G8" s="84" t="s">
        <v>45</v>
      </c>
      <c r="H8" s="84" t="s">
        <v>153</v>
      </c>
      <c r="I8" s="80"/>
      <c r="J8" s="3"/>
      <c r="K8" s="33" t="s">
        <v>21</v>
      </c>
      <c r="L8" s="34"/>
      <c r="M8" s="33"/>
      <c r="N8" s="34"/>
      <c r="O8" s="33"/>
      <c r="P8" s="34"/>
      <c r="Q8" s="88"/>
      <c r="R8" s="89"/>
      <c r="S8" s="90" t="s">
        <v>154</v>
      </c>
      <c r="T8" s="49"/>
    </row>
    <row r="9" spans="1:20" s="11" customFormat="1" ht="60" customHeight="1">
      <c r="A9" s="9" t="s">
        <v>18</v>
      </c>
      <c r="B9" s="35"/>
      <c r="C9" s="36"/>
      <c r="D9" s="84" t="s">
        <v>155</v>
      </c>
      <c r="E9" s="81" t="s">
        <v>156</v>
      </c>
      <c r="F9" s="84" t="s">
        <v>157</v>
      </c>
      <c r="G9" s="84" t="s">
        <v>158</v>
      </c>
      <c r="H9" s="84" t="s">
        <v>159</v>
      </c>
      <c r="I9" s="82" t="s">
        <v>160</v>
      </c>
      <c r="J9" s="84" t="s">
        <v>161</v>
      </c>
      <c r="K9" s="33"/>
      <c r="L9" s="33"/>
      <c r="M9" s="33"/>
      <c r="N9" s="33"/>
      <c r="O9" s="33"/>
      <c r="P9" s="33"/>
      <c r="Q9" s="90" t="s">
        <v>162</v>
      </c>
      <c r="R9" s="49"/>
      <c r="S9" s="90" t="s">
        <v>163</v>
      </c>
      <c r="T9" s="49"/>
    </row>
    <row r="10" spans="1:20" s="11" customFormat="1" ht="52">
      <c r="A10" s="38" t="s">
        <v>18</v>
      </c>
      <c r="B10" s="39"/>
      <c r="C10" s="39"/>
      <c r="D10" s="40"/>
      <c r="E10" s="41"/>
      <c r="F10" s="42"/>
      <c r="G10" s="43"/>
      <c r="H10" s="43"/>
      <c r="I10" s="41"/>
      <c r="J10" s="41"/>
      <c r="K10" s="85" t="s">
        <v>160</v>
      </c>
      <c r="L10" s="85" t="s">
        <v>161</v>
      </c>
      <c r="M10" s="85" t="s">
        <v>160</v>
      </c>
      <c r="N10" s="85" t="s">
        <v>161</v>
      </c>
      <c r="O10" s="85" t="s">
        <v>160</v>
      </c>
      <c r="P10" s="85" t="s">
        <v>161</v>
      </c>
      <c r="Q10" s="41"/>
      <c r="R10" s="41"/>
      <c r="S10" s="43"/>
      <c r="T10" s="37"/>
    </row>
    <row r="11" spans="1:20" s="11" customFormat="1">
      <c r="A11" s="9">
        <f>IF(D11="","",IF(B11="*",MAX($A$10:A10)+10,MAX($A$10:A10)))</f>
        <v>10</v>
      </c>
      <c r="B11" s="35" t="s">
        <v>16</v>
      </c>
      <c r="C11" s="36"/>
      <c r="D11" s="29" t="s">
        <v>53</v>
      </c>
      <c r="E11" s="44" t="s">
        <v>23</v>
      </c>
      <c r="F11" s="45"/>
      <c r="G11" s="29"/>
      <c r="H11" s="46"/>
      <c r="I11" s="47"/>
      <c r="J11" s="60"/>
      <c r="K11" s="34"/>
      <c r="L11" s="34"/>
      <c r="M11" s="34"/>
      <c r="N11" s="34"/>
      <c r="O11" s="34"/>
      <c r="P11" s="34"/>
      <c r="Q11" s="48"/>
      <c r="R11" s="49"/>
      <c r="S11" s="66"/>
      <c r="T11" s="68"/>
    </row>
    <row r="12" spans="1:20" s="11" customFormat="1">
      <c r="A12" s="9">
        <f>IF(D12="","",IF(B12="*",MAX($A$10:A11)+10,MAX($A$10:A11)))</f>
        <v>10</v>
      </c>
      <c r="B12" s="9"/>
      <c r="C12" s="9"/>
      <c r="D12" s="9" t="s">
        <v>90</v>
      </c>
      <c r="E12" s="50" t="s">
        <v>92</v>
      </c>
      <c r="F12" s="50"/>
      <c r="G12" s="51" t="s">
        <v>164</v>
      </c>
      <c r="H12" s="51" t="s">
        <v>94</v>
      </c>
      <c r="I12" s="9" t="s">
        <v>34</v>
      </c>
      <c r="J12" s="9" t="s">
        <v>34</v>
      </c>
      <c r="K12" s="9"/>
      <c r="L12" s="9"/>
      <c r="M12" s="9"/>
      <c r="N12" s="9"/>
      <c r="O12" s="9"/>
      <c r="P12" s="9"/>
      <c r="Q12" s="48"/>
      <c r="R12" s="49"/>
      <c r="S12" s="144"/>
      <c r="T12" s="145"/>
    </row>
    <row r="13" spans="1:20" s="11" customFormat="1">
      <c r="A13" s="9">
        <f>IF(D13="","",IF(B13="*",MAX($A$10:A12)+10,MAX($A$10:A12)))</f>
        <v>10</v>
      </c>
      <c r="B13" s="9"/>
      <c r="C13" s="9"/>
      <c r="D13" s="9" t="s">
        <v>98</v>
      </c>
      <c r="E13" s="50" t="s">
        <v>109</v>
      </c>
      <c r="F13" s="50"/>
      <c r="G13" s="51" t="s">
        <v>168</v>
      </c>
      <c r="H13" s="51" t="s">
        <v>132</v>
      </c>
      <c r="I13" s="9" t="s">
        <v>34</v>
      </c>
      <c r="J13" s="9" t="s">
        <v>34</v>
      </c>
      <c r="K13" s="9"/>
      <c r="L13" s="9"/>
      <c r="M13" s="9"/>
      <c r="N13" s="9"/>
      <c r="O13" s="9"/>
      <c r="P13" s="9"/>
      <c r="Q13" s="48"/>
      <c r="R13" s="49"/>
      <c r="S13" s="144"/>
      <c r="T13" s="145"/>
    </row>
    <row r="14" spans="1:20" s="11" customFormat="1">
      <c r="A14" s="9">
        <f>IF(D14="","",IF(B14="*",MAX($A$10:A13)+10,MAX($A$10:A13)))</f>
        <v>10</v>
      </c>
      <c r="B14" s="9"/>
      <c r="C14" s="9"/>
      <c r="D14" s="9" t="s">
        <v>46</v>
      </c>
      <c r="E14" s="50" t="s">
        <v>93</v>
      </c>
      <c r="F14" s="50"/>
      <c r="G14" s="51" t="s">
        <v>166</v>
      </c>
      <c r="H14" s="51" t="s">
        <v>130</v>
      </c>
      <c r="I14" s="9" t="s">
        <v>40</v>
      </c>
      <c r="J14" s="9" t="s">
        <v>34</v>
      </c>
      <c r="K14" s="9"/>
      <c r="L14" s="9"/>
      <c r="M14" s="9"/>
      <c r="N14" s="9"/>
      <c r="O14" s="9"/>
      <c r="P14" s="9"/>
      <c r="Q14" s="48"/>
      <c r="R14" s="49"/>
      <c r="S14" s="144"/>
      <c r="T14" s="145"/>
    </row>
    <row r="15" spans="1:20" s="11" customFormat="1">
      <c r="A15" s="9">
        <f>IF(D15="","",IF(B15="*",MAX($A$10:A14)+10,MAX($A$10:A14)))</f>
        <v>10</v>
      </c>
      <c r="B15" s="9"/>
      <c r="C15" s="9"/>
      <c r="D15" s="9" t="s">
        <v>99</v>
      </c>
      <c r="E15" s="50" t="s">
        <v>109</v>
      </c>
      <c r="F15" s="50"/>
      <c r="G15" s="51" t="s">
        <v>169</v>
      </c>
      <c r="H15" s="51" t="s">
        <v>133</v>
      </c>
      <c r="I15" s="9" t="s">
        <v>34</v>
      </c>
      <c r="J15" s="9" t="s">
        <v>34</v>
      </c>
      <c r="K15" s="9"/>
      <c r="L15" s="9"/>
      <c r="M15" s="9"/>
      <c r="N15" s="9"/>
      <c r="O15" s="9"/>
      <c r="P15" s="9"/>
      <c r="Q15" s="48"/>
      <c r="R15" s="49"/>
      <c r="S15" s="144"/>
      <c r="T15" s="145"/>
    </row>
    <row r="16" spans="1:20" s="11" customFormat="1">
      <c r="A16" s="9">
        <f>IF(D16="","",IF(B16="*",MAX($A$10:A15)+10,MAX($A$10:A15)))</f>
        <v>10</v>
      </c>
      <c r="B16" s="9"/>
      <c r="C16" s="9"/>
      <c r="D16" s="9" t="s">
        <v>71</v>
      </c>
      <c r="E16" s="50" t="s">
        <v>102</v>
      </c>
      <c r="F16" s="50"/>
      <c r="G16" s="51" t="s">
        <v>170</v>
      </c>
      <c r="H16" s="51" t="s">
        <v>134</v>
      </c>
      <c r="I16" s="9" t="s">
        <v>40</v>
      </c>
      <c r="J16" s="9" t="s">
        <v>34</v>
      </c>
      <c r="K16" s="9"/>
      <c r="L16" s="9"/>
      <c r="M16" s="9"/>
      <c r="N16" s="9"/>
      <c r="O16" s="9"/>
      <c r="P16" s="9"/>
      <c r="Q16" s="48"/>
      <c r="R16" s="49"/>
      <c r="S16" s="144"/>
      <c r="T16" s="145"/>
    </row>
    <row r="17" spans="1:20" s="11" customFormat="1">
      <c r="A17" s="9">
        <f>IF(D17="","",IF(B17="*",MAX($A$10:A16)+10,MAX($A$10:A16)))</f>
        <v>10</v>
      </c>
      <c r="B17" s="9"/>
      <c r="C17" s="9"/>
      <c r="D17" s="9" t="s">
        <v>55</v>
      </c>
      <c r="E17" s="50" t="s">
        <v>48</v>
      </c>
      <c r="F17" s="50"/>
      <c r="G17" s="51" t="s">
        <v>171</v>
      </c>
      <c r="H17" s="51" t="s">
        <v>56</v>
      </c>
      <c r="I17" s="9" t="s">
        <v>40</v>
      </c>
      <c r="J17" s="9" t="s">
        <v>34</v>
      </c>
      <c r="K17" s="9"/>
      <c r="L17" s="9"/>
      <c r="M17" s="9"/>
      <c r="N17" s="9"/>
      <c r="O17" s="9"/>
      <c r="P17" s="9"/>
      <c r="Q17" s="48"/>
      <c r="R17" s="49"/>
      <c r="S17" s="144"/>
      <c r="T17" s="145"/>
    </row>
    <row r="18" spans="1:20" s="11" customFormat="1">
      <c r="A18" s="9">
        <f>IF(D18="","",IF(B18="*",MAX($A$10:A17)+10,MAX($A$10:A17)))</f>
        <v>10</v>
      </c>
      <c r="B18" s="9"/>
      <c r="C18" s="9"/>
      <c r="D18" s="9" t="s">
        <v>87</v>
      </c>
      <c r="E18" s="50" t="s">
        <v>48</v>
      </c>
      <c r="F18" s="50"/>
      <c r="G18" s="51" t="s">
        <v>172</v>
      </c>
      <c r="H18" s="51" t="s">
        <v>88</v>
      </c>
      <c r="I18" s="9" t="s">
        <v>34</v>
      </c>
      <c r="J18" s="9" t="s">
        <v>34</v>
      </c>
      <c r="K18" s="9"/>
      <c r="L18" s="9"/>
      <c r="M18" s="9"/>
      <c r="N18" s="9"/>
      <c r="O18" s="9"/>
      <c r="P18" s="9"/>
      <c r="Q18" s="48"/>
      <c r="R18" s="49"/>
      <c r="S18" s="144"/>
      <c r="T18" s="145"/>
    </row>
    <row r="19" spans="1:20" s="11" customFormat="1">
      <c r="A19" s="9">
        <f>IF(D19="","",IF(B19="*",MAX($A$10:A18)+10,MAX($A$10:A18)))</f>
        <v>10</v>
      </c>
      <c r="B19" s="9"/>
      <c r="C19" s="9"/>
      <c r="D19" s="9" t="s">
        <v>82</v>
      </c>
      <c r="E19" s="50" t="s">
        <v>101</v>
      </c>
      <c r="F19" s="50"/>
      <c r="G19" s="51" t="s">
        <v>173</v>
      </c>
      <c r="H19" s="51" t="s">
        <v>85</v>
      </c>
      <c r="I19" s="9" t="s">
        <v>34</v>
      </c>
      <c r="J19" s="9" t="s">
        <v>34</v>
      </c>
      <c r="K19" s="9"/>
      <c r="L19" s="9"/>
      <c r="M19" s="9"/>
      <c r="N19" s="9"/>
      <c r="O19" s="9"/>
      <c r="P19" s="9"/>
      <c r="Q19" s="48"/>
      <c r="R19" s="49"/>
      <c r="S19" s="144"/>
      <c r="T19" s="145"/>
    </row>
    <row r="20" spans="1:20" s="11" customFormat="1">
      <c r="A20" s="9">
        <f>IF(D20="","",IF(B20="*",MAX($A$10:A19)+10,MAX($A$10:A19)))</f>
        <v>10</v>
      </c>
      <c r="B20" s="9"/>
      <c r="C20" s="9"/>
      <c r="D20" s="9" t="s">
        <v>83</v>
      </c>
      <c r="E20" s="50" t="s">
        <v>100</v>
      </c>
      <c r="F20" s="50"/>
      <c r="G20" s="51" t="s">
        <v>174</v>
      </c>
      <c r="H20" s="51" t="s">
        <v>86</v>
      </c>
      <c r="I20" s="9" t="s">
        <v>34</v>
      </c>
      <c r="J20" s="9" t="s">
        <v>34</v>
      </c>
      <c r="K20" s="9"/>
      <c r="L20" s="9"/>
      <c r="M20" s="9"/>
      <c r="N20" s="9"/>
      <c r="O20" s="9"/>
      <c r="P20" s="9"/>
      <c r="Q20" s="48"/>
      <c r="R20" s="49"/>
      <c r="S20" s="144"/>
      <c r="T20" s="145"/>
    </row>
    <row r="21" spans="1:20" s="11" customFormat="1">
      <c r="A21" s="9">
        <f>IF(D21="","",IF(B21="*",MAX($A$10:A20)+10,MAX($A$10:A20)))</f>
        <v>10</v>
      </c>
      <c r="B21" s="9"/>
      <c r="C21" s="9"/>
      <c r="D21" s="9" t="s">
        <v>84</v>
      </c>
      <c r="E21" s="50" t="s">
        <v>100</v>
      </c>
      <c r="F21" s="50"/>
      <c r="G21" s="51" t="s">
        <v>175</v>
      </c>
      <c r="H21" s="51" t="s">
        <v>135</v>
      </c>
      <c r="I21" s="9" t="s">
        <v>34</v>
      </c>
      <c r="J21" s="9" t="s">
        <v>34</v>
      </c>
      <c r="K21" s="9"/>
      <c r="L21" s="9"/>
      <c r="M21" s="9"/>
      <c r="N21" s="9"/>
      <c r="O21" s="9"/>
      <c r="P21" s="9"/>
      <c r="Q21" s="48"/>
      <c r="R21" s="49"/>
      <c r="S21" s="144"/>
      <c r="T21" s="145"/>
    </row>
    <row r="22" spans="1:20" s="11" customFormat="1">
      <c r="A22" s="9">
        <f>IF(D22="","",IF(B22="*",MAX($A$10:A21)+10,MAX($A$10:A21)))</f>
        <v>10</v>
      </c>
      <c r="B22" s="9"/>
      <c r="C22" s="9"/>
      <c r="D22" s="9" t="s">
        <v>122</v>
      </c>
      <c r="E22" s="9" t="s">
        <v>54</v>
      </c>
      <c r="F22" s="50"/>
      <c r="G22" s="51" t="s">
        <v>176</v>
      </c>
      <c r="H22" s="51" t="s">
        <v>124</v>
      </c>
      <c r="I22" s="9" t="s">
        <v>34</v>
      </c>
      <c r="J22" s="9" t="s">
        <v>34</v>
      </c>
      <c r="K22" s="9"/>
      <c r="L22" s="9"/>
      <c r="M22" s="9"/>
      <c r="N22" s="9"/>
      <c r="O22" s="9"/>
      <c r="P22" s="9"/>
      <c r="Q22" s="48"/>
      <c r="R22" s="49"/>
      <c r="S22" s="66"/>
      <c r="T22" s="67"/>
    </row>
    <row r="23" spans="1:20" s="11" customFormat="1">
      <c r="A23" s="9">
        <f>IF(D23="","",IF(B23="*",MAX($A$10:A22)+10,MAX($A$10:A22)))</f>
        <v>10</v>
      </c>
      <c r="B23" s="9"/>
      <c r="C23" s="9"/>
      <c r="D23" s="9" t="s">
        <v>123</v>
      </c>
      <c r="E23" s="9" t="s">
        <v>54</v>
      </c>
      <c r="F23" s="50"/>
      <c r="G23" s="51" t="s">
        <v>177</v>
      </c>
      <c r="H23" s="51" t="s">
        <v>136</v>
      </c>
      <c r="I23" s="9" t="s">
        <v>34</v>
      </c>
      <c r="J23" s="9" t="s">
        <v>34</v>
      </c>
      <c r="K23" s="9"/>
      <c r="L23" s="9"/>
      <c r="M23" s="9"/>
      <c r="N23" s="9"/>
      <c r="O23" s="9"/>
      <c r="P23" s="9"/>
      <c r="Q23" s="48"/>
      <c r="R23" s="49"/>
      <c r="S23" s="66"/>
      <c r="T23" s="67"/>
    </row>
    <row r="24" spans="1:20" s="11" customFormat="1" ht="52">
      <c r="A24" s="73" t="str">
        <f>IF(D24="","",IF(B24="*",MAX($A$10:A23)+10,MAX($A$10:A23)))</f>
        <v/>
      </c>
      <c r="K24" s="11" t="s">
        <v>160</v>
      </c>
      <c r="L24" s="11" t="s">
        <v>161</v>
      </c>
      <c r="M24" s="11" t="s">
        <v>160</v>
      </c>
      <c r="N24" s="11" t="s">
        <v>161</v>
      </c>
      <c r="O24" s="11" t="s">
        <v>160</v>
      </c>
      <c r="P24" s="11" t="s">
        <v>161</v>
      </c>
      <c r="T24" s="52"/>
    </row>
    <row r="25" spans="1:20" s="11" customFormat="1">
      <c r="A25" s="9">
        <f>IF(D25="","",IF(B25="*",MAX($A$10:A24)+10,MAX($A$10:A24)))</f>
        <v>20</v>
      </c>
      <c r="B25" s="35" t="s">
        <v>16</v>
      </c>
      <c r="C25" s="36"/>
      <c r="D25" s="29" t="s">
        <v>60</v>
      </c>
      <c r="E25" s="44" t="s">
        <v>22</v>
      </c>
      <c r="F25" s="53"/>
      <c r="G25" s="29"/>
      <c r="H25" s="46"/>
      <c r="I25" s="54"/>
      <c r="J25" s="53"/>
      <c r="K25" s="34"/>
      <c r="L25" s="34"/>
      <c r="M25" s="34"/>
      <c r="N25" s="34"/>
      <c r="O25" s="34"/>
      <c r="P25" s="34"/>
      <c r="Q25" s="48"/>
      <c r="R25" s="49"/>
      <c r="S25" s="66"/>
      <c r="T25" s="68"/>
    </row>
    <row r="26" spans="1:20" s="11" customFormat="1">
      <c r="A26" s="9">
        <f>IF(D26="","",IF(B26="*",MAX($A$10:A25)+10,MAX($A$10:A25)))</f>
        <v>20</v>
      </c>
      <c r="B26" s="9"/>
      <c r="C26" s="9"/>
      <c r="D26" s="9" t="s">
        <v>78</v>
      </c>
      <c r="E26" s="9" t="s">
        <v>54</v>
      </c>
      <c r="F26" s="50"/>
      <c r="G26" s="51" t="s">
        <v>178</v>
      </c>
      <c r="H26" s="51" t="s">
        <v>73</v>
      </c>
      <c r="I26" s="9" t="s">
        <v>34</v>
      </c>
      <c r="J26" s="9" t="s">
        <v>34</v>
      </c>
      <c r="K26" s="9"/>
      <c r="L26" s="9"/>
      <c r="M26" s="9"/>
      <c r="N26" s="9"/>
      <c r="O26" s="9"/>
      <c r="P26" s="9"/>
      <c r="Q26" s="48"/>
      <c r="R26" s="49"/>
      <c r="S26" s="66"/>
      <c r="T26" s="67"/>
    </row>
    <row r="27" spans="1:20" s="11" customFormat="1">
      <c r="A27" s="9">
        <f>IF(D27="","",IF(B27="*",MAX($A$10:A26)+10,MAX($A$10:A26)))</f>
        <v>20</v>
      </c>
      <c r="B27" s="9"/>
      <c r="C27" s="9"/>
      <c r="D27" s="9" t="s">
        <v>74</v>
      </c>
      <c r="E27" s="9" t="s">
        <v>54</v>
      </c>
      <c r="F27" s="50"/>
      <c r="G27" s="51" t="s">
        <v>179</v>
      </c>
      <c r="H27" s="51" t="s">
        <v>137</v>
      </c>
      <c r="I27" s="9" t="s">
        <v>40</v>
      </c>
      <c r="J27" s="9" t="s">
        <v>34</v>
      </c>
      <c r="K27" s="9"/>
      <c r="L27" s="9"/>
      <c r="M27" s="9"/>
      <c r="N27" s="9"/>
      <c r="O27" s="9"/>
      <c r="P27" s="9"/>
      <c r="Q27" s="48"/>
      <c r="R27" s="49"/>
      <c r="S27" s="144"/>
      <c r="T27" s="145"/>
    </row>
    <row r="28" spans="1:20" s="11" customFormat="1">
      <c r="A28" s="9">
        <f>IF(D28="","",IF(B28="*",MAX($A$10:A27)+10,MAX($A$10:A27)))</f>
        <v>20</v>
      </c>
      <c r="B28" s="9"/>
      <c r="C28" s="9"/>
      <c r="D28" s="9" t="s">
        <v>75</v>
      </c>
      <c r="E28" s="9" t="s">
        <v>54</v>
      </c>
      <c r="F28" s="50"/>
      <c r="G28" s="51" t="s">
        <v>180</v>
      </c>
      <c r="H28" s="51" t="s">
        <v>138</v>
      </c>
      <c r="I28" s="9" t="s">
        <v>40</v>
      </c>
      <c r="J28" s="9" t="s">
        <v>34</v>
      </c>
      <c r="K28" s="9"/>
      <c r="L28" s="9"/>
      <c r="M28" s="9"/>
      <c r="N28" s="9"/>
      <c r="O28" s="9"/>
      <c r="P28" s="9"/>
      <c r="Q28" s="48"/>
      <c r="R28" s="49"/>
      <c r="S28" s="144"/>
      <c r="T28" s="145"/>
    </row>
    <row r="29" spans="1:20" s="11" customFormat="1">
      <c r="A29" s="9">
        <f>IF(D29="","",IF(B29="*",MAX($A$10:A28)+10,MAX($A$10:A28)))</f>
        <v>20</v>
      </c>
      <c r="B29" s="9"/>
      <c r="C29" s="9"/>
      <c r="D29" s="9" t="s">
        <v>121</v>
      </c>
      <c r="E29" s="9" t="s">
        <v>54</v>
      </c>
      <c r="F29" s="50"/>
      <c r="G29" s="51" t="s">
        <v>181</v>
      </c>
      <c r="H29" s="51" t="s">
        <v>139</v>
      </c>
      <c r="I29" s="9" t="s">
        <v>40</v>
      </c>
      <c r="J29" s="9" t="s">
        <v>34</v>
      </c>
      <c r="K29" s="9"/>
      <c r="L29" s="9"/>
      <c r="M29" s="9"/>
      <c r="N29" s="9"/>
      <c r="O29" s="9"/>
      <c r="P29" s="9"/>
      <c r="Q29" s="48"/>
      <c r="R29" s="49"/>
      <c r="S29" s="144"/>
      <c r="T29" s="145"/>
    </row>
    <row r="30" spans="1:20" s="11" customFormat="1">
      <c r="A30" s="9">
        <f>IF(D30="","",IF(B30="*",MAX($A$10:A29)+10,MAX($A$10:A29)))</f>
        <v>20</v>
      </c>
      <c r="B30" s="9"/>
      <c r="C30" s="9"/>
      <c r="D30" s="9" t="s">
        <v>59</v>
      </c>
      <c r="E30" s="9" t="s">
        <v>54</v>
      </c>
      <c r="F30" s="50"/>
      <c r="G30" s="51" t="s">
        <v>182</v>
      </c>
      <c r="H30" s="51" t="s">
        <v>140</v>
      </c>
      <c r="I30" s="9" t="s">
        <v>40</v>
      </c>
      <c r="J30" s="9" t="s">
        <v>34</v>
      </c>
      <c r="K30" s="9"/>
      <c r="L30" s="9"/>
      <c r="M30" s="9"/>
      <c r="N30" s="9"/>
      <c r="O30" s="9"/>
      <c r="P30" s="9"/>
      <c r="Q30" s="48"/>
      <c r="R30" s="49"/>
      <c r="S30" s="144"/>
      <c r="T30" s="145"/>
    </row>
    <row r="31" spans="1:20" s="11" customFormat="1">
      <c r="A31" s="9">
        <f>IF(D31="","",IF(B31="*",MAX($A$10:A30)+10,MAX($A$10:A30)))</f>
        <v>20</v>
      </c>
      <c r="B31" s="9"/>
      <c r="C31" s="9"/>
      <c r="D31" s="9" t="s">
        <v>110</v>
      </c>
      <c r="E31" s="9" t="s">
        <v>114</v>
      </c>
      <c r="F31" s="50"/>
      <c r="G31" s="51" t="s">
        <v>183</v>
      </c>
      <c r="H31" s="51" t="s">
        <v>141</v>
      </c>
      <c r="I31" s="9" t="s">
        <v>40</v>
      </c>
      <c r="J31" s="9" t="s">
        <v>34</v>
      </c>
      <c r="K31" s="9"/>
      <c r="L31" s="9"/>
      <c r="M31" s="9"/>
      <c r="N31" s="9"/>
      <c r="O31" s="9"/>
      <c r="P31" s="9"/>
      <c r="Q31" s="48"/>
      <c r="R31" s="49"/>
      <c r="S31" s="66"/>
      <c r="T31" s="67"/>
    </row>
    <row r="32" spans="1:20" s="11" customFormat="1">
      <c r="A32" s="9">
        <f>IF(D32="","",IF(B32="*",MAX($A$10:A31)+10,MAX($A$10:A31)))</f>
        <v>20</v>
      </c>
      <c r="B32" s="9"/>
      <c r="C32" s="9"/>
      <c r="D32" s="9" t="s">
        <v>116</v>
      </c>
      <c r="E32" s="9" t="s">
        <v>114</v>
      </c>
      <c r="F32" s="50"/>
      <c r="G32" s="51" t="s">
        <v>183</v>
      </c>
      <c r="H32" s="51" t="s">
        <v>142</v>
      </c>
      <c r="I32" s="9" t="s">
        <v>34</v>
      </c>
      <c r="J32" s="9" t="s">
        <v>34</v>
      </c>
      <c r="K32" s="9"/>
      <c r="L32" s="9"/>
      <c r="M32" s="9"/>
      <c r="N32" s="9"/>
      <c r="O32" s="9"/>
      <c r="P32" s="9"/>
      <c r="Q32" s="48"/>
      <c r="R32" s="49"/>
      <c r="S32" s="66"/>
      <c r="T32" s="67"/>
    </row>
    <row r="33" spans="1:20" s="11" customFormat="1">
      <c r="A33" s="9">
        <f>IF(D33="","",IF(B33="*",MAX($A$10:A32)+10,MAX($A$10:A32)))</f>
        <v>20</v>
      </c>
      <c r="B33" s="9"/>
      <c r="C33" s="9"/>
      <c r="D33" s="9" t="s">
        <v>119</v>
      </c>
      <c r="E33" s="9" t="s">
        <v>114</v>
      </c>
      <c r="F33" s="50"/>
      <c r="G33" s="51" t="s">
        <v>184</v>
      </c>
      <c r="H33" s="51" t="s">
        <v>143</v>
      </c>
      <c r="I33" s="9" t="s">
        <v>34</v>
      </c>
      <c r="J33" s="9" t="s">
        <v>34</v>
      </c>
      <c r="K33" s="9"/>
      <c r="L33" s="9"/>
      <c r="M33" s="9"/>
      <c r="N33" s="9"/>
      <c r="O33" s="9"/>
      <c r="P33" s="9"/>
      <c r="Q33" s="48"/>
      <c r="R33" s="49"/>
      <c r="S33" s="66"/>
      <c r="T33" s="67"/>
    </row>
    <row r="34" spans="1:20" s="11" customFormat="1">
      <c r="A34" s="9">
        <f>IF(D34="","",IF(B34="*",MAX($A$10:A33)+10,MAX($A$10:A33)))</f>
        <v>20</v>
      </c>
      <c r="B34" s="9"/>
      <c r="C34" s="9"/>
      <c r="D34" s="9" t="s">
        <v>125</v>
      </c>
      <c r="E34" s="9" t="s">
        <v>114</v>
      </c>
      <c r="F34" s="50"/>
      <c r="G34" s="51" t="s">
        <v>185</v>
      </c>
      <c r="H34" s="51" t="s">
        <v>144</v>
      </c>
      <c r="I34" s="9" t="s">
        <v>34</v>
      </c>
      <c r="J34" s="9" t="s">
        <v>34</v>
      </c>
      <c r="K34" s="9"/>
      <c r="L34" s="9"/>
      <c r="M34" s="9"/>
      <c r="N34" s="9"/>
      <c r="O34" s="9"/>
      <c r="P34" s="9"/>
      <c r="Q34" s="48"/>
      <c r="R34" s="49"/>
      <c r="S34" s="66"/>
      <c r="T34" s="67"/>
    </row>
    <row r="35" spans="1:20" s="11" customFormat="1">
      <c r="A35" s="9">
        <f>IF(D35="","",IF(B35="*",MAX($A$10:A34)+10,MAX($A$10:A34)))</f>
        <v>20</v>
      </c>
      <c r="B35" s="9"/>
      <c r="C35" s="9"/>
      <c r="D35" s="9" t="s">
        <v>149</v>
      </c>
      <c r="E35" s="9" t="s">
        <v>147</v>
      </c>
      <c r="F35" s="50"/>
      <c r="G35" s="51" t="s">
        <v>186</v>
      </c>
      <c r="H35" s="51" t="s">
        <v>148</v>
      </c>
      <c r="I35" s="9" t="s">
        <v>40</v>
      </c>
      <c r="J35" s="9" t="s">
        <v>34</v>
      </c>
      <c r="K35" s="9"/>
      <c r="L35" s="9"/>
      <c r="M35" s="9"/>
      <c r="N35" s="9"/>
      <c r="O35" s="9"/>
      <c r="P35" s="9"/>
      <c r="Q35" s="48"/>
      <c r="R35" s="49"/>
      <c r="S35" s="66"/>
      <c r="T35" s="67"/>
    </row>
    <row r="36" spans="1:20" s="11" customFormat="1">
      <c r="A36" s="56"/>
      <c r="B36" s="30"/>
      <c r="C36" s="30"/>
      <c r="D36" s="57" t="s">
        <v>0</v>
      </c>
      <c r="E36" s="31"/>
      <c r="F36" s="32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58"/>
    </row>
    <row r="37" spans="1:20" s="11" customFormat="1">
      <c r="A37" s="73"/>
      <c r="T37" s="52"/>
    </row>
    <row r="38" spans="1:20" s="11" customFormat="1">
      <c r="A38" s="73"/>
      <c r="T38" s="52"/>
    </row>
    <row r="39" spans="1:20" s="11" customFormat="1">
      <c r="A39" s="73"/>
      <c r="T39" s="52"/>
    </row>
    <row r="40" spans="1:20" s="11" customFormat="1">
      <c r="A40" s="73"/>
      <c r="T40" s="52"/>
    </row>
    <row r="41" spans="1:20" s="11" customFormat="1">
      <c r="A41" s="73"/>
      <c r="T41" s="52"/>
    </row>
    <row r="42" spans="1:20" s="11" customFormat="1">
      <c r="A42" s="73"/>
      <c r="T42" s="52"/>
    </row>
    <row r="43" spans="1:20" s="11" customFormat="1">
      <c r="A43" s="73"/>
      <c r="T43" s="52"/>
    </row>
    <row r="44" spans="1:20" s="11" customFormat="1">
      <c r="A44" s="73"/>
      <c r="T44" s="52"/>
    </row>
    <row r="45" spans="1:20" s="11" customFormat="1">
      <c r="A45" s="78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20"/>
    </row>
  </sheetData>
  <sheetProtection formatCells="0" formatColumns="0" formatRows="0" insertColumns="0" insertRows="0" insertHyperlinks="0" deleteColumns="0" deleteRows="0"/>
  <mergeCells count="14">
    <mergeCell ref="S27:T27"/>
    <mergeCell ref="S28:T28"/>
    <mergeCell ref="S12:T12"/>
    <mergeCell ref="S13:T13"/>
    <mergeCell ref="S30:T30"/>
    <mergeCell ref="S14:T14"/>
    <mergeCell ref="S15:T15"/>
    <mergeCell ref="S17:T17"/>
    <mergeCell ref="S16:T16"/>
    <mergeCell ref="S19:T19"/>
    <mergeCell ref="S20:T20"/>
    <mergeCell ref="S21:T21"/>
    <mergeCell ref="S18:T18"/>
    <mergeCell ref="S29:T29"/>
  </mergeCells>
  <phoneticPr fontId="2"/>
  <pageMargins left="0.2" right="0.43307086614173229" top="0.55118110236220474" bottom="0.38" header="0.55118110236220474" footer="0.11811023622047245"/>
  <pageSetup paperSize="9" scale="46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44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59" bestFit="1" customWidth="1"/>
    <col min="7" max="7" width="30.81640625" style="27" customWidth="1"/>
    <col min="8" max="8" width="32.81640625" style="27" bestFit="1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12.8164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69" t="s">
        <v>17</v>
      </c>
      <c r="B1" s="69" t="s">
        <v>17</v>
      </c>
      <c r="C1" s="69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70" t="s">
        <v>17</v>
      </c>
      <c r="B2" s="71"/>
      <c r="C2" s="71"/>
      <c r="D2" s="83" t="s">
        <v>150</v>
      </c>
      <c r="E2" s="7" t="s">
        <v>2</v>
      </c>
      <c r="F2" s="72" t="str">
        <f>IF(LogicCommon!C2="","",LogicCommon!C2)</f>
        <v>MB</v>
      </c>
      <c r="G2" s="7" t="s">
        <v>3</v>
      </c>
      <c r="H2" s="72" t="str">
        <f>IF(LogicCommon!E2="","",LogicCommon!E2)</f>
        <v>MBBEL0090</v>
      </c>
      <c r="I2" s="7" t="s">
        <v>38</v>
      </c>
      <c r="J2" s="9" t="s">
        <v>69</v>
      </c>
      <c r="K2" s="7" t="s">
        <v>15</v>
      </c>
      <c r="L2" s="72" t="str">
        <f>IF(LogicCommon!G2="","",LogicCommon!G2)</f>
        <v>MC</v>
      </c>
      <c r="M2" s="5" t="s">
        <v>35</v>
      </c>
      <c r="N2" s="29" t="s">
        <v>128</v>
      </c>
      <c r="O2" s="7"/>
      <c r="P2" s="7"/>
      <c r="Q2" s="4"/>
      <c r="R2" s="5"/>
      <c r="S2" s="5"/>
      <c r="T2" s="5"/>
    </row>
    <row r="3" spans="1:20" s="11" customFormat="1">
      <c r="A3" s="73" t="s">
        <v>17</v>
      </c>
      <c r="B3" s="74"/>
      <c r="C3" s="74"/>
      <c r="D3" s="75"/>
      <c r="E3" s="7" t="s">
        <v>4</v>
      </c>
      <c r="F3" s="72" t="str">
        <f>IF(LogicCommon!C3="","",LogicCommon!C3)</f>
        <v>MBBE</v>
      </c>
      <c r="G3" s="7" t="s">
        <v>5</v>
      </c>
      <c r="H3" s="72" t="str">
        <f>IF(LogicCommon!E3="","",LogicCommon!E3)</f>
        <v>MBBEL_BulkImpReg</v>
      </c>
      <c r="I3" s="7" t="s">
        <v>39</v>
      </c>
      <c r="J3" s="9" t="s">
        <v>26</v>
      </c>
      <c r="K3" s="7" t="s">
        <v>14</v>
      </c>
      <c r="L3" s="72"/>
      <c r="M3" s="76" t="s">
        <v>24</v>
      </c>
      <c r="N3" s="7"/>
      <c r="O3" s="7" t="s">
        <v>33</v>
      </c>
      <c r="P3" s="9" t="s">
        <v>42</v>
      </c>
      <c r="Q3" s="4"/>
      <c r="R3" s="5"/>
      <c r="S3" s="5"/>
      <c r="T3" s="5"/>
    </row>
    <row r="4" spans="1:20" s="11" customFormat="1">
      <c r="A4" s="73" t="s">
        <v>17</v>
      </c>
      <c r="B4" s="74"/>
      <c r="C4" s="74"/>
      <c r="D4" s="4"/>
      <c r="E4" s="7" t="s">
        <v>25</v>
      </c>
      <c r="F4" s="10" t="s">
        <v>43</v>
      </c>
      <c r="G4" s="7" t="s">
        <v>6</v>
      </c>
      <c r="H4" s="72" t="str">
        <f>IF(LogicCommon!E4="","",LogicCommon!E4)</f>
        <v>まとめ登録ツール</v>
      </c>
      <c r="I4" s="7" t="s">
        <v>44</v>
      </c>
      <c r="J4" s="9" t="s">
        <v>107</v>
      </c>
      <c r="K4" s="7" t="s">
        <v>7</v>
      </c>
      <c r="L4" s="72" t="str">
        <f>IF(LogicCommon!G4="","",LogicCommon!G4)</f>
        <v>MB.MBUDL5010</v>
      </c>
      <c r="M4" s="77"/>
      <c r="N4" s="29"/>
      <c r="O4" s="13"/>
      <c r="P4" s="4"/>
      <c r="Q4" s="4"/>
      <c r="R4" s="5"/>
      <c r="S4" s="5"/>
      <c r="T4" s="5"/>
    </row>
    <row r="5" spans="1:20" s="11" customFormat="1">
      <c r="A5" s="78" t="s">
        <v>17</v>
      </c>
      <c r="B5" s="69"/>
      <c r="C5" s="69"/>
      <c r="D5" s="26"/>
      <c r="E5" s="7" t="s">
        <v>41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3" t="s">
        <v>17</v>
      </c>
      <c r="B6" s="74"/>
      <c r="C6" s="74"/>
      <c r="D6" s="4" t="s">
        <v>8</v>
      </c>
      <c r="E6" s="17" t="s">
        <v>104</v>
      </c>
      <c r="F6" s="17"/>
      <c r="G6" s="17"/>
      <c r="H6" s="17"/>
      <c r="I6" s="17"/>
      <c r="J6" s="17"/>
      <c r="K6" s="17"/>
      <c r="L6" s="80" t="s">
        <v>37</v>
      </c>
      <c r="M6" s="19"/>
      <c r="N6" s="19" t="s">
        <v>37</v>
      </c>
      <c r="O6" s="19"/>
      <c r="P6" s="19" t="s">
        <v>37</v>
      </c>
      <c r="Q6" s="19"/>
      <c r="R6" s="27"/>
      <c r="S6" s="27"/>
      <c r="T6" s="27"/>
    </row>
    <row r="7" spans="1:20" s="11" customFormat="1">
      <c r="A7" s="30" t="s">
        <v>18</v>
      </c>
      <c r="B7" s="30"/>
      <c r="C7" s="30"/>
      <c r="D7" s="31"/>
      <c r="E7" s="31"/>
      <c r="F7" s="32"/>
      <c r="G7" s="31"/>
      <c r="H7" s="31"/>
      <c r="I7" s="31" t="s">
        <v>19</v>
      </c>
      <c r="J7" s="31"/>
      <c r="K7" s="33" t="s">
        <v>20</v>
      </c>
      <c r="L7" s="34"/>
      <c r="M7" s="33" t="s">
        <v>20</v>
      </c>
      <c r="N7" s="34"/>
      <c r="O7" s="33" t="s">
        <v>20</v>
      </c>
      <c r="P7" s="34"/>
      <c r="Q7" s="27"/>
      <c r="R7" s="27"/>
      <c r="S7" s="27"/>
      <c r="T7" s="27"/>
    </row>
    <row r="8" spans="1:20" s="11" customFormat="1" ht="60" customHeight="1">
      <c r="A8" s="50" t="s">
        <v>18</v>
      </c>
      <c r="B8" s="86"/>
      <c r="C8" s="87"/>
      <c r="D8" s="84" t="s">
        <v>151</v>
      </c>
      <c r="E8" s="84" t="s">
        <v>152</v>
      </c>
      <c r="F8" s="80"/>
      <c r="G8" s="84" t="s">
        <v>45</v>
      </c>
      <c r="H8" s="84" t="s">
        <v>153</v>
      </c>
      <c r="I8" s="80"/>
      <c r="J8" s="3"/>
      <c r="K8" s="33" t="s">
        <v>21</v>
      </c>
      <c r="L8" s="34"/>
      <c r="M8" s="33"/>
      <c r="N8" s="34"/>
      <c r="O8" s="33"/>
      <c r="P8" s="34"/>
      <c r="Q8" s="88"/>
      <c r="R8" s="89"/>
      <c r="S8" s="90" t="s">
        <v>154</v>
      </c>
      <c r="T8" s="49"/>
    </row>
    <row r="9" spans="1:20" s="11" customFormat="1" ht="60" customHeight="1">
      <c r="A9" s="9" t="s">
        <v>18</v>
      </c>
      <c r="B9" s="35"/>
      <c r="C9" s="36"/>
      <c r="D9" s="84" t="s">
        <v>155</v>
      </c>
      <c r="E9" s="81" t="s">
        <v>156</v>
      </c>
      <c r="F9" s="84" t="s">
        <v>157</v>
      </c>
      <c r="G9" s="84" t="s">
        <v>158</v>
      </c>
      <c r="H9" s="84" t="s">
        <v>159</v>
      </c>
      <c r="I9" s="82" t="s">
        <v>160</v>
      </c>
      <c r="J9" s="84" t="s">
        <v>161</v>
      </c>
      <c r="K9" s="33"/>
      <c r="L9" s="33"/>
      <c r="M9" s="33"/>
      <c r="N9" s="33"/>
      <c r="O9" s="33"/>
      <c r="P9" s="33"/>
      <c r="Q9" s="90" t="s">
        <v>162</v>
      </c>
      <c r="R9" s="49"/>
      <c r="S9" s="90" t="s">
        <v>163</v>
      </c>
      <c r="T9" s="49"/>
    </row>
    <row r="10" spans="1:20" s="11" customFormat="1" ht="52">
      <c r="A10" s="38" t="s">
        <v>18</v>
      </c>
      <c r="B10" s="39"/>
      <c r="C10" s="39"/>
      <c r="D10" s="40"/>
      <c r="E10" s="41"/>
      <c r="F10" s="42"/>
      <c r="G10" s="43"/>
      <c r="H10" s="43"/>
      <c r="I10" s="41"/>
      <c r="J10" s="41"/>
      <c r="K10" s="85" t="s">
        <v>160</v>
      </c>
      <c r="L10" s="85" t="s">
        <v>161</v>
      </c>
      <c r="M10" s="85" t="s">
        <v>160</v>
      </c>
      <c r="N10" s="85" t="s">
        <v>161</v>
      </c>
      <c r="O10" s="85" t="s">
        <v>160</v>
      </c>
      <c r="P10" s="85" t="s">
        <v>161</v>
      </c>
      <c r="Q10" s="41"/>
      <c r="R10" s="41"/>
      <c r="S10" s="43"/>
      <c r="T10" s="37"/>
    </row>
    <row r="11" spans="1:20" s="11" customFormat="1">
      <c r="A11" s="9">
        <f>IF(D11="","",IF(B11="*",MAX($A$10:A10)+10,MAX($A$10:A10)))</f>
        <v>10</v>
      </c>
      <c r="B11" s="35" t="s">
        <v>16</v>
      </c>
      <c r="C11" s="36"/>
      <c r="D11" s="29" t="s">
        <v>79</v>
      </c>
      <c r="E11" s="44" t="s">
        <v>23</v>
      </c>
      <c r="F11" s="45"/>
      <c r="G11" s="29" t="s">
        <v>29</v>
      </c>
      <c r="H11" s="46" t="s">
        <v>145</v>
      </c>
      <c r="I11" s="47"/>
      <c r="J11" s="60"/>
      <c r="K11" s="34"/>
      <c r="L11" s="34"/>
      <c r="M11" s="34"/>
      <c r="N11" s="34"/>
      <c r="O11" s="34"/>
      <c r="P11" s="34"/>
      <c r="Q11" s="48"/>
      <c r="R11" s="49"/>
      <c r="S11" s="66"/>
      <c r="T11" s="68"/>
    </row>
    <row r="12" spans="1:20" s="11" customFormat="1">
      <c r="A12" s="9">
        <f>IF(D12="","",IF(B12="*",MAX($A$10:A11)+10,MAX($A$10:A11)))</f>
        <v>10</v>
      </c>
      <c r="B12" s="9"/>
      <c r="C12" s="9"/>
      <c r="D12" s="9" t="s">
        <v>90</v>
      </c>
      <c r="E12" s="50" t="s">
        <v>92</v>
      </c>
      <c r="F12" s="50"/>
      <c r="G12" s="51" t="s">
        <v>164</v>
      </c>
      <c r="H12" s="51" t="s">
        <v>94</v>
      </c>
      <c r="I12" s="9" t="s">
        <v>34</v>
      </c>
      <c r="J12" s="9" t="s">
        <v>34</v>
      </c>
      <c r="K12" s="9"/>
      <c r="L12" s="9"/>
      <c r="M12" s="9"/>
      <c r="N12" s="9"/>
      <c r="O12" s="9"/>
      <c r="P12" s="9"/>
      <c r="Q12" s="48"/>
      <c r="R12" s="49"/>
      <c r="S12" s="144"/>
      <c r="T12" s="145"/>
    </row>
    <row r="13" spans="1:20" s="11" customFormat="1">
      <c r="A13" s="9">
        <f>IF(D13="","",IF(B13="*",MAX($A$10:A12)+10,MAX($A$10:A12)))</f>
        <v>10</v>
      </c>
      <c r="B13" s="9"/>
      <c r="C13" s="9"/>
      <c r="D13" s="9" t="s">
        <v>98</v>
      </c>
      <c r="E13" s="50" t="s">
        <v>109</v>
      </c>
      <c r="F13" s="50"/>
      <c r="G13" s="51" t="s">
        <v>168</v>
      </c>
      <c r="H13" s="51" t="s">
        <v>132</v>
      </c>
      <c r="I13" s="9" t="s">
        <v>34</v>
      </c>
      <c r="J13" s="9" t="s">
        <v>34</v>
      </c>
      <c r="K13" s="9"/>
      <c r="L13" s="9"/>
      <c r="M13" s="9"/>
      <c r="N13" s="9"/>
      <c r="O13" s="9"/>
      <c r="P13" s="9"/>
      <c r="Q13" s="48"/>
      <c r="R13" s="49"/>
      <c r="S13" s="144"/>
      <c r="T13" s="145"/>
    </row>
    <row r="14" spans="1:20" s="11" customFormat="1">
      <c r="A14" s="9">
        <f>IF(D14="","",IF(B14="*",MAX($A$10:A13)+10,MAX($A$10:A13)))</f>
        <v>10</v>
      </c>
      <c r="B14" s="9"/>
      <c r="C14" s="9"/>
      <c r="D14" s="9" t="s">
        <v>46</v>
      </c>
      <c r="E14" s="50" t="s">
        <v>93</v>
      </c>
      <c r="F14" s="50"/>
      <c r="G14" s="51" t="s">
        <v>166</v>
      </c>
      <c r="H14" s="51" t="s">
        <v>130</v>
      </c>
      <c r="I14" s="9" t="s">
        <v>40</v>
      </c>
      <c r="J14" s="9" t="s">
        <v>34</v>
      </c>
      <c r="K14" s="9"/>
      <c r="L14" s="9"/>
      <c r="M14" s="9"/>
      <c r="N14" s="9"/>
      <c r="O14" s="9"/>
      <c r="P14" s="9"/>
      <c r="Q14" s="48"/>
      <c r="R14" s="49"/>
      <c r="S14" s="144"/>
      <c r="T14" s="145"/>
    </row>
    <row r="15" spans="1:20" s="11" customFormat="1">
      <c r="A15" s="9">
        <f>IF(D15="","",IF(B15="*",MAX($A$10:A14)+10,MAX($A$10:A14)))</f>
        <v>10</v>
      </c>
      <c r="B15" s="9"/>
      <c r="C15" s="9"/>
      <c r="D15" s="9" t="s">
        <v>99</v>
      </c>
      <c r="E15" s="50" t="s">
        <v>109</v>
      </c>
      <c r="F15" s="50"/>
      <c r="G15" s="51" t="s">
        <v>169</v>
      </c>
      <c r="H15" s="51" t="s">
        <v>133</v>
      </c>
      <c r="I15" s="9" t="s">
        <v>34</v>
      </c>
      <c r="J15" s="9" t="s">
        <v>34</v>
      </c>
      <c r="K15" s="9"/>
      <c r="L15" s="9"/>
      <c r="M15" s="9"/>
      <c r="N15" s="9"/>
      <c r="O15" s="9"/>
      <c r="P15" s="9"/>
      <c r="Q15" s="48"/>
      <c r="R15" s="49"/>
      <c r="S15" s="144"/>
      <c r="T15" s="145"/>
    </row>
    <row r="16" spans="1:20" s="11" customFormat="1">
      <c r="A16" s="9">
        <f>IF(D16="","",IF(B16="*",MAX($A$10:A15)+10,MAX($A$10:A15)))</f>
        <v>10</v>
      </c>
      <c r="B16" s="9"/>
      <c r="C16" s="9"/>
      <c r="D16" s="9" t="s">
        <v>71</v>
      </c>
      <c r="E16" s="50" t="s">
        <v>102</v>
      </c>
      <c r="F16" s="50"/>
      <c r="G16" s="51" t="s">
        <v>170</v>
      </c>
      <c r="H16" s="51" t="s">
        <v>134</v>
      </c>
      <c r="I16" s="9" t="s">
        <v>40</v>
      </c>
      <c r="J16" s="9" t="s">
        <v>34</v>
      </c>
      <c r="K16" s="9"/>
      <c r="L16" s="9"/>
      <c r="M16" s="9"/>
      <c r="N16" s="9"/>
      <c r="O16" s="9"/>
      <c r="P16" s="9"/>
      <c r="Q16" s="48"/>
      <c r="R16" s="49"/>
      <c r="S16" s="144"/>
      <c r="T16" s="145"/>
    </row>
    <row r="17" spans="1:20" s="11" customFormat="1">
      <c r="A17" s="9">
        <f>IF(D17="","",IF(B17="*",MAX($A$10:A16)+10,MAX($A$10:A16)))</f>
        <v>10</v>
      </c>
      <c r="B17" s="9"/>
      <c r="C17" s="9"/>
      <c r="D17" s="9" t="s">
        <v>55</v>
      </c>
      <c r="E17" s="50" t="s">
        <v>48</v>
      </c>
      <c r="F17" s="50"/>
      <c r="G17" s="51" t="s">
        <v>171</v>
      </c>
      <c r="H17" s="51" t="s">
        <v>56</v>
      </c>
      <c r="I17" s="9" t="s">
        <v>40</v>
      </c>
      <c r="J17" s="9" t="s">
        <v>34</v>
      </c>
      <c r="K17" s="9"/>
      <c r="L17" s="9"/>
      <c r="M17" s="9"/>
      <c r="N17" s="9"/>
      <c r="O17" s="9"/>
      <c r="P17" s="9"/>
      <c r="Q17" s="48"/>
      <c r="R17" s="49"/>
      <c r="S17" s="144"/>
      <c r="T17" s="145"/>
    </row>
    <row r="18" spans="1:20" s="11" customFormat="1">
      <c r="A18" s="9">
        <f>IF(D18="","",IF(B18="*",MAX($A$10:A17)+10,MAX($A$10:A17)))</f>
        <v>10</v>
      </c>
      <c r="B18" s="9"/>
      <c r="C18" s="9"/>
      <c r="D18" s="9" t="s">
        <v>87</v>
      </c>
      <c r="E18" s="50" t="s">
        <v>48</v>
      </c>
      <c r="F18" s="50"/>
      <c r="G18" s="51" t="s">
        <v>172</v>
      </c>
      <c r="H18" s="51" t="s">
        <v>88</v>
      </c>
      <c r="I18" s="9" t="s">
        <v>34</v>
      </c>
      <c r="J18" s="9" t="s">
        <v>34</v>
      </c>
      <c r="K18" s="9"/>
      <c r="L18" s="9"/>
      <c r="M18" s="9"/>
      <c r="N18" s="9"/>
      <c r="O18" s="9"/>
      <c r="P18" s="9"/>
      <c r="Q18" s="48"/>
      <c r="R18" s="49"/>
      <c r="S18" s="144"/>
      <c r="T18" s="146"/>
    </row>
    <row r="19" spans="1:20" s="11" customFormat="1">
      <c r="A19" s="9">
        <f>IF(D19="","",IF(B19="*",MAX($A$10:A18)+10,MAX($A$10:A18)))</f>
        <v>10</v>
      </c>
      <c r="B19" s="9"/>
      <c r="C19" s="9"/>
      <c r="D19" s="9" t="s">
        <v>82</v>
      </c>
      <c r="E19" s="50" t="s">
        <v>101</v>
      </c>
      <c r="F19" s="50"/>
      <c r="G19" s="51" t="s">
        <v>173</v>
      </c>
      <c r="H19" s="51" t="s">
        <v>85</v>
      </c>
      <c r="I19" s="9" t="s">
        <v>34</v>
      </c>
      <c r="J19" s="9" t="s">
        <v>34</v>
      </c>
      <c r="K19" s="9"/>
      <c r="L19" s="9"/>
      <c r="M19" s="9"/>
      <c r="N19" s="9"/>
      <c r="O19" s="9"/>
      <c r="P19" s="9"/>
      <c r="Q19" s="48"/>
      <c r="R19" s="49"/>
      <c r="S19" s="144"/>
      <c r="T19" s="145"/>
    </row>
    <row r="20" spans="1:20" s="11" customFormat="1">
      <c r="A20" s="9">
        <f>IF(D20="","",IF(B20="*",MAX($A$10:A19)+10,MAX($A$10:A19)))</f>
        <v>10</v>
      </c>
      <c r="B20" s="9"/>
      <c r="C20" s="9"/>
      <c r="D20" s="9" t="s">
        <v>83</v>
      </c>
      <c r="E20" s="50" t="s">
        <v>100</v>
      </c>
      <c r="F20" s="50"/>
      <c r="G20" s="51" t="s">
        <v>174</v>
      </c>
      <c r="H20" s="51" t="s">
        <v>86</v>
      </c>
      <c r="I20" s="9" t="s">
        <v>34</v>
      </c>
      <c r="J20" s="9" t="s">
        <v>34</v>
      </c>
      <c r="K20" s="9"/>
      <c r="L20" s="9"/>
      <c r="M20" s="9"/>
      <c r="N20" s="9"/>
      <c r="O20" s="9"/>
      <c r="P20" s="9"/>
      <c r="Q20" s="48"/>
      <c r="R20" s="49"/>
      <c r="S20" s="144"/>
      <c r="T20" s="145"/>
    </row>
    <row r="21" spans="1:20" s="11" customFormat="1">
      <c r="A21" s="9">
        <f>IF(D21="","",IF(B21="*",MAX($A$10:A20)+10,MAX($A$10:A20)))</f>
        <v>10</v>
      </c>
      <c r="B21" s="9"/>
      <c r="C21" s="9"/>
      <c r="D21" s="9" t="s">
        <v>84</v>
      </c>
      <c r="E21" s="50" t="s">
        <v>100</v>
      </c>
      <c r="F21" s="50"/>
      <c r="G21" s="51" t="s">
        <v>175</v>
      </c>
      <c r="H21" s="51" t="s">
        <v>135</v>
      </c>
      <c r="I21" s="9" t="s">
        <v>34</v>
      </c>
      <c r="J21" s="9" t="s">
        <v>34</v>
      </c>
      <c r="K21" s="9"/>
      <c r="L21" s="9"/>
      <c r="M21" s="9"/>
      <c r="N21" s="9"/>
      <c r="O21" s="9"/>
      <c r="P21" s="9"/>
      <c r="Q21" s="48"/>
      <c r="R21" s="49"/>
      <c r="S21" s="144"/>
      <c r="T21" s="145"/>
    </row>
    <row r="22" spans="1:20" s="11" customFormat="1">
      <c r="A22" s="9">
        <f>IF(D22="","",IF(B22="*",MAX($A$10:A21)+10,MAX($A$10:A21)))</f>
        <v>10</v>
      </c>
      <c r="B22" s="9"/>
      <c r="C22" s="9"/>
      <c r="D22" s="9" t="s">
        <v>122</v>
      </c>
      <c r="E22" s="9" t="s">
        <v>54</v>
      </c>
      <c r="F22" s="50"/>
      <c r="G22" s="51" t="s">
        <v>176</v>
      </c>
      <c r="H22" s="51" t="s">
        <v>124</v>
      </c>
      <c r="I22" s="9" t="s">
        <v>34</v>
      </c>
      <c r="J22" s="9" t="s">
        <v>34</v>
      </c>
      <c r="K22" s="9"/>
      <c r="L22" s="9"/>
      <c r="M22" s="9"/>
      <c r="N22" s="9"/>
      <c r="O22" s="9"/>
      <c r="P22" s="9"/>
      <c r="Q22" s="48"/>
      <c r="R22" s="49"/>
      <c r="S22" s="66"/>
      <c r="T22" s="67"/>
    </row>
    <row r="23" spans="1:20" s="11" customFormat="1">
      <c r="A23" s="9">
        <f>IF(D23="","",IF(B23="*",MAX($A$10:A22)+10,MAX($A$10:A22)))</f>
        <v>10</v>
      </c>
      <c r="B23" s="9"/>
      <c r="C23" s="9"/>
      <c r="D23" s="9" t="s">
        <v>123</v>
      </c>
      <c r="E23" s="9" t="s">
        <v>54</v>
      </c>
      <c r="F23" s="50"/>
      <c r="G23" s="51" t="s">
        <v>177</v>
      </c>
      <c r="H23" s="51" t="s">
        <v>136</v>
      </c>
      <c r="I23" s="9" t="s">
        <v>34</v>
      </c>
      <c r="J23" s="9" t="s">
        <v>34</v>
      </c>
      <c r="K23" s="9"/>
      <c r="L23" s="9"/>
      <c r="M23" s="9"/>
      <c r="N23" s="9"/>
      <c r="O23" s="9"/>
      <c r="P23" s="9"/>
      <c r="Q23" s="48"/>
      <c r="R23" s="49"/>
      <c r="S23" s="66"/>
      <c r="T23" s="67"/>
    </row>
    <row r="24" spans="1:20" s="11" customFormat="1" ht="52">
      <c r="A24" s="73" t="str">
        <f>IF(D24="","",IF(B24="*",MAX($A$10:A23)+10,MAX($A$10:A23)))</f>
        <v/>
      </c>
      <c r="K24" s="11" t="s">
        <v>160</v>
      </c>
      <c r="L24" s="11" t="s">
        <v>161</v>
      </c>
      <c r="M24" s="11" t="s">
        <v>160</v>
      </c>
      <c r="N24" s="11" t="s">
        <v>161</v>
      </c>
      <c r="O24" s="11" t="s">
        <v>160</v>
      </c>
      <c r="P24" s="11" t="s">
        <v>161</v>
      </c>
      <c r="T24" s="52"/>
    </row>
    <row r="25" spans="1:20" s="11" customFormat="1">
      <c r="A25" s="9">
        <f>IF(D25="","",IF(B25="*",MAX($A$10:A24)+10,MAX($A$10:A24)))</f>
        <v>20</v>
      </c>
      <c r="B25" s="35" t="s">
        <v>16</v>
      </c>
      <c r="C25" s="36"/>
      <c r="D25" s="29" t="s">
        <v>80</v>
      </c>
      <c r="E25" s="44" t="s">
        <v>22</v>
      </c>
      <c r="F25" s="53"/>
      <c r="G25" s="29" t="s">
        <v>29</v>
      </c>
      <c r="H25" s="46" t="s">
        <v>146</v>
      </c>
      <c r="I25" s="54"/>
      <c r="J25" s="53"/>
      <c r="K25" s="34"/>
      <c r="L25" s="34"/>
      <c r="M25" s="34"/>
      <c r="N25" s="34"/>
      <c r="O25" s="34"/>
      <c r="P25" s="34"/>
      <c r="Q25" s="48"/>
      <c r="R25" s="49"/>
      <c r="S25" s="66"/>
      <c r="T25" s="68"/>
    </row>
    <row r="26" spans="1:20" s="11" customFormat="1">
      <c r="A26" s="9">
        <f>IF(D26="","",IF(B26="*",MAX($A$10:A25)+10,MAX($A$10:A25)))</f>
        <v>20</v>
      </c>
      <c r="B26" s="9"/>
      <c r="C26" s="9"/>
      <c r="D26" s="9" t="s">
        <v>78</v>
      </c>
      <c r="E26" s="9" t="s">
        <v>54</v>
      </c>
      <c r="F26" s="50"/>
      <c r="G26" s="51" t="s">
        <v>178</v>
      </c>
      <c r="H26" s="51" t="s">
        <v>73</v>
      </c>
      <c r="I26" s="9" t="s">
        <v>34</v>
      </c>
      <c r="J26" s="9" t="s">
        <v>34</v>
      </c>
      <c r="K26" s="9"/>
      <c r="L26" s="9"/>
      <c r="M26" s="9"/>
      <c r="N26" s="9"/>
      <c r="O26" s="9"/>
      <c r="P26" s="9"/>
      <c r="Q26" s="48"/>
      <c r="R26" s="49"/>
      <c r="S26" s="66"/>
      <c r="T26" s="67"/>
    </row>
    <row r="27" spans="1:20" s="11" customFormat="1">
      <c r="A27" s="9">
        <f>IF(D27="","",IF(B27="*",MAX($A$10:A26)+10,MAX($A$10:A26)))</f>
        <v>20</v>
      </c>
      <c r="B27" s="9"/>
      <c r="C27" s="9"/>
      <c r="D27" s="9" t="s">
        <v>74</v>
      </c>
      <c r="E27" s="9" t="s">
        <v>54</v>
      </c>
      <c r="F27" s="50"/>
      <c r="G27" s="51" t="s">
        <v>179</v>
      </c>
      <c r="H27" s="51" t="s">
        <v>137</v>
      </c>
      <c r="I27" s="9" t="s">
        <v>40</v>
      </c>
      <c r="J27" s="9" t="s">
        <v>34</v>
      </c>
      <c r="K27" s="9"/>
      <c r="L27" s="9"/>
      <c r="M27" s="9"/>
      <c r="N27" s="9"/>
      <c r="O27" s="9"/>
      <c r="P27" s="9"/>
      <c r="Q27" s="48"/>
      <c r="R27" s="49"/>
      <c r="S27" s="144"/>
      <c r="T27" s="145"/>
    </row>
    <row r="28" spans="1:20" s="11" customFormat="1">
      <c r="A28" s="9">
        <f>IF(D28="","",IF(B28="*",MAX($A$10:A27)+10,MAX($A$10:A27)))</f>
        <v>20</v>
      </c>
      <c r="B28" s="9"/>
      <c r="C28" s="9"/>
      <c r="D28" s="9" t="s">
        <v>75</v>
      </c>
      <c r="E28" s="9" t="s">
        <v>54</v>
      </c>
      <c r="F28" s="50"/>
      <c r="G28" s="51" t="s">
        <v>180</v>
      </c>
      <c r="H28" s="51" t="s">
        <v>138</v>
      </c>
      <c r="I28" s="9" t="s">
        <v>40</v>
      </c>
      <c r="J28" s="9" t="s">
        <v>34</v>
      </c>
      <c r="K28" s="9"/>
      <c r="L28" s="9"/>
      <c r="M28" s="9"/>
      <c r="N28" s="9"/>
      <c r="O28" s="9"/>
      <c r="P28" s="9"/>
      <c r="Q28" s="48"/>
      <c r="R28" s="49"/>
      <c r="S28" s="144"/>
      <c r="T28" s="145"/>
    </row>
    <row r="29" spans="1:20" s="11" customFormat="1">
      <c r="A29" s="9">
        <f>IF(D29="","",IF(B29="*",MAX($A$10:A28)+10,MAX($A$10:A28)))</f>
        <v>20</v>
      </c>
      <c r="B29" s="9"/>
      <c r="C29" s="9"/>
      <c r="D29" s="9" t="s">
        <v>121</v>
      </c>
      <c r="E29" s="9" t="s">
        <v>54</v>
      </c>
      <c r="F29" s="50"/>
      <c r="G29" s="51" t="s">
        <v>181</v>
      </c>
      <c r="H29" s="51" t="s">
        <v>139</v>
      </c>
      <c r="I29" s="9" t="s">
        <v>40</v>
      </c>
      <c r="J29" s="9" t="s">
        <v>34</v>
      </c>
      <c r="K29" s="9"/>
      <c r="L29" s="9"/>
      <c r="M29" s="9"/>
      <c r="N29" s="9"/>
      <c r="O29" s="9"/>
      <c r="P29" s="9"/>
      <c r="Q29" s="48"/>
      <c r="R29" s="49"/>
      <c r="S29" s="144"/>
      <c r="T29" s="145"/>
    </row>
    <row r="30" spans="1:20" s="11" customFormat="1">
      <c r="A30" s="9">
        <f>IF(D30="","",IF(B30="*",MAX($A$10:A29)+10,MAX($A$10:A29)))</f>
        <v>20</v>
      </c>
      <c r="B30" s="9"/>
      <c r="C30" s="9"/>
      <c r="D30" s="9" t="s">
        <v>59</v>
      </c>
      <c r="E30" s="9" t="s">
        <v>54</v>
      </c>
      <c r="F30" s="50"/>
      <c r="G30" s="51" t="s">
        <v>182</v>
      </c>
      <c r="H30" s="51" t="s">
        <v>140</v>
      </c>
      <c r="I30" s="9" t="s">
        <v>40</v>
      </c>
      <c r="J30" s="9" t="s">
        <v>34</v>
      </c>
      <c r="K30" s="9"/>
      <c r="L30" s="9"/>
      <c r="M30" s="9"/>
      <c r="N30" s="9"/>
      <c r="O30" s="9"/>
      <c r="P30" s="9"/>
      <c r="Q30" s="48"/>
      <c r="R30" s="49"/>
      <c r="S30" s="144"/>
      <c r="T30" s="145"/>
    </row>
    <row r="31" spans="1:20" s="11" customFormat="1">
      <c r="A31" s="9">
        <f>IF(D31="","",IF(B31="*",MAX($A$10:A30)+10,MAX($A$10:A30)))</f>
        <v>20</v>
      </c>
      <c r="B31" s="9"/>
      <c r="C31" s="9"/>
      <c r="D31" s="9" t="s">
        <v>113</v>
      </c>
      <c r="E31" s="9" t="s">
        <v>114</v>
      </c>
      <c r="F31" s="50"/>
      <c r="G31" s="51" t="s">
        <v>183</v>
      </c>
      <c r="H31" s="51" t="s">
        <v>141</v>
      </c>
      <c r="I31" s="9" t="s">
        <v>40</v>
      </c>
      <c r="J31" s="9" t="s">
        <v>34</v>
      </c>
      <c r="K31" s="9"/>
      <c r="L31" s="9"/>
      <c r="M31" s="9"/>
      <c r="N31" s="9"/>
      <c r="O31" s="9"/>
      <c r="P31" s="9"/>
      <c r="Q31" s="48"/>
      <c r="R31" s="49"/>
      <c r="S31" s="66"/>
      <c r="T31" s="67"/>
    </row>
    <row r="32" spans="1:20" s="11" customFormat="1">
      <c r="A32" s="9">
        <f>IF(D32="","",IF(B32="*",MAX($A$10:A31)+10,MAX($A$10:A31)))</f>
        <v>20</v>
      </c>
      <c r="B32" s="9"/>
      <c r="C32" s="9"/>
      <c r="D32" s="9" t="s">
        <v>116</v>
      </c>
      <c r="E32" s="9" t="s">
        <v>114</v>
      </c>
      <c r="F32" s="50"/>
      <c r="G32" s="51" t="s">
        <v>183</v>
      </c>
      <c r="H32" s="51" t="s">
        <v>142</v>
      </c>
      <c r="I32" s="9" t="s">
        <v>34</v>
      </c>
      <c r="J32" s="9" t="s">
        <v>34</v>
      </c>
      <c r="K32" s="9"/>
      <c r="L32" s="9"/>
      <c r="M32" s="9"/>
      <c r="N32" s="9"/>
      <c r="O32" s="9"/>
      <c r="P32" s="9"/>
      <c r="Q32" s="48"/>
      <c r="R32" s="49"/>
      <c r="S32" s="66"/>
      <c r="T32" s="67"/>
    </row>
    <row r="33" spans="1:20" s="11" customFormat="1">
      <c r="A33" s="9">
        <f>IF(D33="","",IF(B33="*",MAX($A$10:A32)+10,MAX($A$10:A32)))</f>
        <v>20</v>
      </c>
      <c r="B33" s="9"/>
      <c r="C33" s="9"/>
      <c r="D33" s="9" t="s">
        <v>120</v>
      </c>
      <c r="E33" s="9" t="s">
        <v>114</v>
      </c>
      <c r="F33" s="50"/>
      <c r="G33" s="51" t="s">
        <v>184</v>
      </c>
      <c r="H33" s="51" t="s">
        <v>143</v>
      </c>
      <c r="I33" s="9" t="s">
        <v>34</v>
      </c>
      <c r="J33" s="9" t="s">
        <v>34</v>
      </c>
      <c r="K33" s="9"/>
      <c r="L33" s="9"/>
      <c r="M33" s="9"/>
      <c r="N33" s="9"/>
      <c r="O33" s="9"/>
      <c r="P33" s="9"/>
      <c r="Q33" s="48"/>
      <c r="R33" s="49"/>
      <c r="S33" s="66"/>
      <c r="T33" s="67"/>
    </row>
    <row r="34" spans="1:20" s="11" customFormat="1">
      <c r="A34" s="9">
        <f>IF(D34="","",IF(B34="*",MAX($A$10:A33)+10,MAX($A$10:A33)))</f>
        <v>20</v>
      </c>
      <c r="B34" s="9"/>
      <c r="C34" s="9"/>
      <c r="D34" s="9" t="s">
        <v>149</v>
      </c>
      <c r="E34" s="9" t="s">
        <v>147</v>
      </c>
      <c r="F34" s="50"/>
      <c r="G34" s="51" t="s">
        <v>186</v>
      </c>
      <c r="H34" s="51" t="s">
        <v>148</v>
      </c>
      <c r="I34" s="9" t="s">
        <v>40</v>
      </c>
      <c r="J34" s="9" t="s">
        <v>34</v>
      </c>
      <c r="K34" s="9"/>
      <c r="L34" s="9"/>
      <c r="M34" s="9"/>
      <c r="N34" s="9"/>
      <c r="O34" s="9"/>
      <c r="P34" s="9"/>
      <c r="Q34" s="48"/>
      <c r="R34" s="49"/>
      <c r="S34" s="66"/>
      <c r="T34" s="67"/>
    </row>
    <row r="35" spans="1:20" s="11" customFormat="1">
      <c r="A35" s="56"/>
      <c r="B35" s="30"/>
      <c r="C35" s="30"/>
      <c r="D35" s="57" t="s">
        <v>0</v>
      </c>
      <c r="E35" s="31"/>
      <c r="F35" s="32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58"/>
    </row>
    <row r="36" spans="1:20" s="11" customFormat="1">
      <c r="A36" s="73"/>
      <c r="T36" s="52"/>
    </row>
    <row r="37" spans="1:20" s="11" customFormat="1">
      <c r="A37" s="73"/>
      <c r="T37" s="52"/>
    </row>
    <row r="38" spans="1:20" s="11" customFormat="1">
      <c r="A38" s="73"/>
      <c r="T38" s="52"/>
    </row>
    <row r="39" spans="1:20" s="11" customFormat="1">
      <c r="A39" s="73"/>
      <c r="T39" s="52"/>
    </row>
    <row r="40" spans="1:20" s="11" customFormat="1">
      <c r="A40" s="73"/>
      <c r="T40" s="52"/>
    </row>
    <row r="41" spans="1:20" s="11" customFormat="1">
      <c r="A41" s="73"/>
      <c r="T41" s="52"/>
    </row>
    <row r="42" spans="1:20" s="11" customFormat="1">
      <c r="A42" s="73"/>
      <c r="T42" s="52"/>
    </row>
    <row r="43" spans="1:20" s="11" customFormat="1">
      <c r="A43" s="73"/>
      <c r="T43" s="52"/>
    </row>
    <row r="44" spans="1:20" s="11" customFormat="1">
      <c r="A44" s="78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20"/>
    </row>
  </sheetData>
  <sheetProtection formatCells="0" formatColumns="0" formatRows="0" insertColumns="0" insertRows="0" insertHyperlinks="0" deleteColumns="0" deleteRows="0"/>
  <mergeCells count="14">
    <mergeCell ref="S12:T12"/>
    <mergeCell ref="S13:T13"/>
    <mergeCell ref="S30:T30"/>
    <mergeCell ref="S14:T14"/>
    <mergeCell ref="S15:T15"/>
    <mergeCell ref="S16:T16"/>
    <mergeCell ref="S17:T17"/>
    <mergeCell ref="S27:T27"/>
    <mergeCell ref="S28:T28"/>
    <mergeCell ref="S18:T18"/>
    <mergeCell ref="S19:T19"/>
    <mergeCell ref="S20:T20"/>
    <mergeCell ref="S21:T21"/>
    <mergeCell ref="S29:T29"/>
  </mergeCells>
  <phoneticPr fontId="2"/>
  <pageMargins left="0.2" right="0.43307086614173229" top="0.55118110236220474" bottom="0.38" header="0.55118110236220474" footer="0.11811023622047245"/>
  <pageSetup paperSize="9" scale="46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44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59" bestFit="1" customWidth="1"/>
    <col min="7" max="7" width="30.81640625" style="27" customWidth="1"/>
    <col min="8" max="8" width="32.81640625" style="27" bestFit="1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12.8164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69" t="s">
        <v>17</v>
      </c>
      <c r="B1" s="69" t="s">
        <v>17</v>
      </c>
      <c r="C1" s="69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70" t="s">
        <v>17</v>
      </c>
      <c r="B2" s="71"/>
      <c r="C2" s="71"/>
      <c r="D2" s="83" t="s">
        <v>150</v>
      </c>
      <c r="E2" s="7" t="s">
        <v>2</v>
      </c>
      <c r="F2" s="72" t="str">
        <f>IF(LogicCommon!C2="","",LogicCommon!C2)</f>
        <v>MB</v>
      </c>
      <c r="G2" s="7" t="s">
        <v>3</v>
      </c>
      <c r="H2" s="72" t="str">
        <f>IF(LogicCommon!E2="","",LogicCommon!E2)</f>
        <v>MBBEL0090</v>
      </c>
      <c r="I2" s="7" t="s">
        <v>38</v>
      </c>
      <c r="J2" s="9" t="s">
        <v>81</v>
      </c>
      <c r="K2" s="7" t="s">
        <v>15</v>
      </c>
      <c r="L2" s="72" t="str">
        <f>IF(LogicCommon!G2="","",LogicCommon!G2)</f>
        <v>MC</v>
      </c>
      <c r="M2" s="5" t="s">
        <v>35</v>
      </c>
      <c r="N2" s="29" t="s">
        <v>128</v>
      </c>
      <c r="O2" s="7"/>
      <c r="P2" s="7"/>
      <c r="Q2" s="4"/>
      <c r="R2" s="5"/>
      <c r="S2" s="5"/>
      <c r="T2" s="5"/>
    </row>
    <row r="3" spans="1:20" s="11" customFormat="1">
      <c r="A3" s="73" t="s">
        <v>17</v>
      </c>
      <c r="B3" s="74"/>
      <c r="C3" s="74"/>
      <c r="D3" s="75"/>
      <c r="E3" s="7" t="s">
        <v>4</v>
      </c>
      <c r="F3" s="72" t="str">
        <f>IF(LogicCommon!C3="","",LogicCommon!C3)</f>
        <v>MBBE</v>
      </c>
      <c r="G3" s="7" t="s">
        <v>5</v>
      </c>
      <c r="H3" s="72" t="str">
        <f>IF(LogicCommon!E3="","",LogicCommon!E3)</f>
        <v>MBBEL_BulkImpReg</v>
      </c>
      <c r="I3" s="7" t="s">
        <v>39</v>
      </c>
      <c r="J3" s="9" t="s">
        <v>26</v>
      </c>
      <c r="K3" s="7" t="s">
        <v>14</v>
      </c>
      <c r="L3" s="72"/>
      <c r="M3" s="76" t="s">
        <v>24</v>
      </c>
      <c r="N3" s="7"/>
      <c r="O3" s="7" t="s">
        <v>33</v>
      </c>
      <c r="P3" s="9" t="s">
        <v>42</v>
      </c>
      <c r="Q3" s="4"/>
      <c r="R3" s="5"/>
      <c r="S3" s="5"/>
      <c r="T3" s="5"/>
    </row>
    <row r="4" spans="1:20" s="11" customFormat="1">
      <c r="A4" s="73" t="s">
        <v>17</v>
      </c>
      <c r="B4" s="74"/>
      <c r="C4" s="74"/>
      <c r="D4" s="4"/>
      <c r="E4" s="7" t="s">
        <v>25</v>
      </c>
      <c r="F4" s="10" t="s">
        <v>43</v>
      </c>
      <c r="G4" s="7" t="s">
        <v>6</v>
      </c>
      <c r="H4" s="72" t="str">
        <f>IF(LogicCommon!E4="","",LogicCommon!E4)</f>
        <v>まとめ登録ツール</v>
      </c>
      <c r="I4" s="7" t="s">
        <v>44</v>
      </c>
      <c r="J4" s="9" t="s">
        <v>58</v>
      </c>
      <c r="K4" s="7" t="s">
        <v>7</v>
      </c>
      <c r="L4" s="72" t="str">
        <f>IF(LogicCommon!G4="","",LogicCommon!G4)</f>
        <v>MB.MBUDL5010</v>
      </c>
      <c r="M4" s="77"/>
      <c r="N4" s="29"/>
      <c r="O4" s="13"/>
      <c r="P4" s="4"/>
      <c r="Q4" s="4"/>
      <c r="R4" s="5"/>
      <c r="S4" s="5"/>
      <c r="T4" s="5"/>
    </row>
    <row r="5" spans="1:20" s="11" customFormat="1">
      <c r="A5" s="78" t="s">
        <v>17</v>
      </c>
      <c r="B5" s="69"/>
      <c r="C5" s="69"/>
      <c r="D5" s="26"/>
      <c r="E5" s="7" t="s">
        <v>41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3" t="s">
        <v>17</v>
      </c>
      <c r="B6" s="74"/>
      <c r="C6" s="74"/>
      <c r="D6" s="4" t="s">
        <v>8</v>
      </c>
      <c r="E6" s="17" t="s">
        <v>72</v>
      </c>
      <c r="F6" s="17"/>
      <c r="G6" s="17"/>
      <c r="H6" s="17"/>
      <c r="I6" s="17"/>
      <c r="J6" s="17"/>
      <c r="K6" s="17"/>
      <c r="L6" s="80" t="s">
        <v>37</v>
      </c>
      <c r="M6" s="19"/>
      <c r="N6" s="19" t="s">
        <v>37</v>
      </c>
      <c r="O6" s="19"/>
      <c r="P6" s="19" t="s">
        <v>37</v>
      </c>
      <c r="Q6" s="19"/>
      <c r="R6" s="27"/>
      <c r="S6" s="27"/>
      <c r="T6" s="27"/>
    </row>
    <row r="7" spans="1:20" s="11" customFormat="1">
      <c r="A7" s="30" t="s">
        <v>18</v>
      </c>
      <c r="B7" s="30"/>
      <c r="C7" s="30"/>
      <c r="D7" s="31"/>
      <c r="E7" s="31"/>
      <c r="F7" s="32"/>
      <c r="G7" s="31"/>
      <c r="H7" s="31"/>
      <c r="I7" s="31" t="s">
        <v>19</v>
      </c>
      <c r="J7" s="31"/>
      <c r="K7" s="33" t="s">
        <v>20</v>
      </c>
      <c r="L7" s="34"/>
      <c r="M7" s="33" t="s">
        <v>20</v>
      </c>
      <c r="N7" s="34"/>
      <c r="O7" s="33" t="s">
        <v>20</v>
      </c>
      <c r="P7" s="34"/>
      <c r="Q7" s="27"/>
      <c r="R7" s="27"/>
      <c r="S7" s="27"/>
      <c r="T7" s="27"/>
    </row>
    <row r="8" spans="1:20" s="11" customFormat="1" ht="60" customHeight="1">
      <c r="A8" s="50" t="s">
        <v>18</v>
      </c>
      <c r="B8" s="86"/>
      <c r="C8" s="87"/>
      <c r="D8" s="84" t="s">
        <v>151</v>
      </c>
      <c r="E8" s="84" t="s">
        <v>152</v>
      </c>
      <c r="F8" s="80"/>
      <c r="G8" s="84" t="s">
        <v>45</v>
      </c>
      <c r="H8" s="84" t="s">
        <v>153</v>
      </c>
      <c r="I8" s="80"/>
      <c r="J8" s="3"/>
      <c r="K8" s="33" t="s">
        <v>21</v>
      </c>
      <c r="L8" s="34"/>
      <c r="M8" s="33"/>
      <c r="N8" s="34"/>
      <c r="O8" s="33"/>
      <c r="P8" s="34"/>
      <c r="Q8" s="88"/>
      <c r="R8" s="89"/>
      <c r="S8" s="90" t="s">
        <v>154</v>
      </c>
      <c r="T8" s="49"/>
    </row>
    <row r="9" spans="1:20" s="11" customFormat="1" ht="60" customHeight="1">
      <c r="A9" s="9" t="s">
        <v>18</v>
      </c>
      <c r="B9" s="35"/>
      <c r="C9" s="36"/>
      <c r="D9" s="84" t="s">
        <v>155</v>
      </c>
      <c r="E9" s="81" t="s">
        <v>156</v>
      </c>
      <c r="F9" s="84" t="s">
        <v>157</v>
      </c>
      <c r="G9" s="84" t="s">
        <v>158</v>
      </c>
      <c r="H9" s="84" t="s">
        <v>159</v>
      </c>
      <c r="I9" s="82" t="s">
        <v>160</v>
      </c>
      <c r="J9" s="84" t="s">
        <v>161</v>
      </c>
      <c r="K9" s="33"/>
      <c r="L9" s="33"/>
      <c r="M9" s="33"/>
      <c r="N9" s="33"/>
      <c r="O9" s="33"/>
      <c r="P9" s="33"/>
      <c r="Q9" s="90" t="s">
        <v>162</v>
      </c>
      <c r="R9" s="49"/>
      <c r="S9" s="90" t="s">
        <v>163</v>
      </c>
      <c r="T9" s="49"/>
    </row>
    <row r="10" spans="1:20" s="11" customFormat="1" ht="52">
      <c r="A10" s="38" t="s">
        <v>18</v>
      </c>
      <c r="B10" s="39"/>
      <c r="C10" s="39"/>
      <c r="D10" s="40"/>
      <c r="E10" s="41"/>
      <c r="F10" s="42"/>
      <c r="G10" s="43"/>
      <c r="H10" s="43"/>
      <c r="I10" s="41"/>
      <c r="J10" s="41"/>
      <c r="K10" s="85" t="s">
        <v>160</v>
      </c>
      <c r="L10" s="85" t="s">
        <v>161</v>
      </c>
      <c r="M10" s="85" t="s">
        <v>160</v>
      </c>
      <c r="N10" s="85" t="s">
        <v>161</v>
      </c>
      <c r="O10" s="85" t="s">
        <v>160</v>
      </c>
      <c r="P10" s="85" t="s">
        <v>161</v>
      </c>
      <c r="Q10" s="41"/>
      <c r="R10" s="41"/>
      <c r="S10" s="43"/>
      <c r="T10" s="37"/>
    </row>
    <row r="11" spans="1:20" s="11" customFormat="1">
      <c r="A11" s="9">
        <f>IF(D11="","",IF(B11="*",MAX($A$10:A10)+10,MAX($A$10:A10)))</f>
        <v>10</v>
      </c>
      <c r="B11" s="35" t="s">
        <v>16</v>
      </c>
      <c r="C11" s="36"/>
      <c r="D11" s="29" t="s">
        <v>76</v>
      </c>
      <c r="E11" s="44" t="s">
        <v>23</v>
      </c>
      <c r="F11" s="45"/>
      <c r="G11" s="29" t="s">
        <v>29</v>
      </c>
      <c r="H11" s="46" t="s">
        <v>145</v>
      </c>
      <c r="I11" s="47"/>
      <c r="J11" s="60"/>
      <c r="K11" s="34"/>
      <c r="L11" s="34"/>
      <c r="M11" s="34"/>
      <c r="N11" s="34"/>
      <c r="O11" s="34"/>
      <c r="P11" s="34"/>
      <c r="Q11" s="48"/>
      <c r="R11" s="49"/>
      <c r="S11" s="66"/>
      <c r="T11" s="68"/>
    </row>
    <row r="12" spans="1:20" s="11" customFormat="1">
      <c r="A12" s="9">
        <f>IF(D12="","",IF(B12="*",MAX($A$10:A11)+10,MAX($A$10:A11)))</f>
        <v>10</v>
      </c>
      <c r="B12" s="9"/>
      <c r="C12" s="9"/>
      <c r="D12" s="9" t="s">
        <v>90</v>
      </c>
      <c r="E12" s="50" t="s">
        <v>92</v>
      </c>
      <c r="F12" s="50"/>
      <c r="G12" s="51" t="s">
        <v>164</v>
      </c>
      <c r="H12" s="51" t="s">
        <v>94</v>
      </c>
      <c r="I12" s="9" t="s">
        <v>40</v>
      </c>
      <c r="J12" s="9" t="s">
        <v>34</v>
      </c>
      <c r="K12" s="9"/>
      <c r="L12" s="9"/>
      <c r="M12" s="9"/>
      <c r="N12" s="9"/>
      <c r="O12" s="9"/>
      <c r="P12" s="9"/>
      <c r="Q12" s="48"/>
      <c r="R12" s="49"/>
      <c r="S12" s="144"/>
      <c r="T12" s="145"/>
    </row>
    <row r="13" spans="1:20" s="11" customFormat="1">
      <c r="A13" s="9">
        <f>IF(D13="","",IF(B13="*",MAX($A$10:A12)+10,MAX($A$10:A12)))</f>
        <v>10</v>
      </c>
      <c r="B13" s="9"/>
      <c r="C13" s="9"/>
      <c r="D13" s="9" t="s">
        <v>98</v>
      </c>
      <c r="E13" s="50" t="s">
        <v>109</v>
      </c>
      <c r="F13" s="50"/>
      <c r="G13" s="51" t="s">
        <v>168</v>
      </c>
      <c r="H13" s="51" t="s">
        <v>132</v>
      </c>
      <c r="I13" s="9" t="s">
        <v>40</v>
      </c>
      <c r="J13" s="9" t="s">
        <v>34</v>
      </c>
      <c r="K13" s="9"/>
      <c r="L13" s="9"/>
      <c r="M13" s="9"/>
      <c r="N13" s="9"/>
      <c r="O13" s="9"/>
      <c r="P13" s="9"/>
      <c r="Q13" s="48"/>
      <c r="R13" s="49"/>
      <c r="S13" s="144"/>
      <c r="T13" s="145"/>
    </row>
    <row r="14" spans="1:20" s="11" customFormat="1">
      <c r="A14" s="9">
        <f>IF(D14="","",IF(B14="*",MAX($A$10:A13)+10,MAX($A$10:A13)))</f>
        <v>10</v>
      </c>
      <c r="B14" s="9"/>
      <c r="C14" s="9"/>
      <c r="D14" s="9" t="s">
        <v>46</v>
      </c>
      <c r="E14" s="50" t="s">
        <v>93</v>
      </c>
      <c r="F14" s="50"/>
      <c r="G14" s="51" t="s">
        <v>166</v>
      </c>
      <c r="H14" s="51" t="s">
        <v>130</v>
      </c>
      <c r="I14" s="9" t="s">
        <v>40</v>
      </c>
      <c r="J14" s="9" t="s">
        <v>34</v>
      </c>
      <c r="K14" s="9"/>
      <c r="L14" s="9"/>
      <c r="M14" s="9"/>
      <c r="N14" s="9"/>
      <c r="O14" s="9"/>
      <c r="P14" s="9"/>
      <c r="Q14" s="48"/>
      <c r="R14" s="49"/>
      <c r="S14" s="144"/>
      <c r="T14" s="145"/>
    </row>
    <row r="15" spans="1:20" s="11" customFormat="1">
      <c r="A15" s="9">
        <f>IF(D15="","",IF(B15="*",MAX($A$10:A14)+10,MAX($A$10:A14)))</f>
        <v>10</v>
      </c>
      <c r="B15" s="9"/>
      <c r="C15" s="9"/>
      <c r="D15" s="9" t="s">
        <v>99</v>
      </c>
      <c r="E15" s="50" t="s">
        <v>109</v>
      </c>
      <c r="F15" s="50"/>
      <c r="G15" s="51" t="s">
        <v>169</v>
      </c>
      <c r="H15" s="51" t="s">
        <v>133</v>
      </c>
      <c r="I15" s="9" t="s">
        <v>40</v>
      </c>
      <c r="J15" s="9" t="s">
        <v>34</v>
      </c>
      <c r="K15" s="9"/>
      <c r="L15" s="9"/>
      <c r="M15" s="9"/>
      <c r="N15" s="9"/>
      <c r="O15" s="9"/>
      <c r="P15" s="9"/>
      <c r="Q15" s="48"/>
      <c r="R15" s="49"/>
      <c r="S15" s="144"/>
      <c r="T15" s="145"/>
    </row>
    <row r="16" spans="1:20" s="11" customFormat="1">
      <c r="A16" s="9">
        <f>IF(D16="","",IF(B16="*",MAX($A$10:A15)+10,MAX($A$10:A15)))</f>
        <v>10</v>
      </c>
      <c r="B16" s="9"/>
      <c r="C16" s="9"/>
      <c r="D16" s="9" t="s">
        <v>71</v>
      </c>
      <c r="E16" s="50" t="s">
        <v>102</v>
      </c>
      <c r="F16" s="50"/>
      <c r="G16" s="51" t="s">
        <v>170</v>
      </c>
      <c r="H16" s="51" t="s">
        <v>134</v>
      </c>
      <c r="I16" s="9" t="s">
        <v>40</v>
      </c>
      <c r="J16" s="9" t="s">
        <v>34</v>
      </c>
      <c r="K16" s="9"/>
      <c r="L16" s="9"/>
      <c r="M16" s="9"/>
      <c r="N16" s="9"/>
      <c r="O16" s="9"/>
      <c r="P16" s="9"/>
      <c r="Q16" s="48"/>
      <c r="R16" s="49"/>
      <c r="S16" s="144"/>
      <c r="T16" s="145"/>
    </row>
    <row r="17" spans="1:20" s="11" customFormat="1">
      <c r="A17" s="9">
        <f>IF(D17="","",IF(B17="*",MAX($A$10:A16)+10,MAX($A$10:A16)))</f>
        <v>10</v>
      </c>
      <c r="B17" s="9"/>
      <c r="C17" s="9"/>
      <c r="D17" s="9" t="s">
        <v>55</v>
      </c>
      <c r="E17" s="50" t="s">
        <v>48</v>
      </c>
      <c r="F17" s="50"/>
      <c r="G17" s="51" t="s">
        <v>171</v>
      </c>
      <c r="H17" s="51" t="s">
        <v>56</v>
      </c>
      <c r="I17" s="9" t="s">
        <v>34</v>
      </c>
      <c r="J17" s="9" t="s">
        <v>34</v>
      </c>
      <c r="K17" s="9"/>
      <c r="L17" s="9"/>
      <c r="M17" s="9"/>
      <c r="N17" s="9"/>
      <c r="O17" s="9"/>
      <c r="P17" s="9"/>
      <c r="Q17" s="48"/>
      <c r="R17" s="49"/>
      <c r="S17" s="144"/>
      <c r="T17" s="145"/>
    </row>
    <row r="18" spans="1:20" s="11" customFormat="1">
      <c r="A18" s="9">
        <f>IF(D18="","",IF(B18="*",MAX($A$10:A17)+10,MAX($A$10:A17)))</f>
        <v>10</v>
      </c>
      <c r="B18" s="9"/>
      <c r="C18" s="9"/>
      <c r="D18" s="9" t="s">
        <v>87</v>
      </c>
      <c r="E18" s="50" t="s">
        <v>48</v>
      </c>
      <c r="F18" s="50"/>
      <c r="G18" s="51" t="s">
        <v>172</v>
      </c>
      <c r="H18" s="51" t="s">
        <v>88</v>
      </c>
      <c r="I18" s="9" t="s">
        <v>40</v>
      </c>
      <c r="J18" s="9" t="s">
        <v>34</v>
      </c>
      <c r="K18" s="9"/>
      <c r="L18" s="9"/>
      <c r="M18" s="9"/>
      <c r="N18" s="9"/>
      <c r="O18" s="9"/>
      <c r="P18" s="9"/>
      <c r="Q18" s="48"/>
      <c r="R18" s="49"/>
      <c r="S18" s="144"/>
      <c r="T18" s="145"/>
    </row>
    <row r="19" spans="1:20" s="11" customFormat="1">
      <c r="A19" s="9">
        <f>IF(D19="","",IF(B19="*",MAX($A$10:A18)+10,MAX($A$10:A18)))</f>
        <v>10</v>
      </c>
      <c r="B19" s="9"/>
      <c r="C19" s="9"/>
      <c r="D19" s="9" t="s">
        <v>82</v>
      </c>
      <c r="E19" s="50" t="s">
        <v>101</v>
      </c>
      <c r="F19" s="50"/>
      <c r="G19" s="51" t="s">
        <v>173</v>
      </c>
      <c r="H19" s="51" t="s">
        <v>85</v>
      </c>
      <c r="I19" s="9" t="s">
        <v>40</v>
      </c>
      <c r="J19" s="9" t="s">
        <v>34</v>
      </c>
      <c r="K19" s="9"/>
      <c r="L19" s="9"/>
      <c r="M19" s="9"/>
      <c r="N19" s="9"/>
      <c r="O19" s="9"/>
      <c r="P19" s="9"/>
      <c r="Q19" s="48"/>
      <c r="R19" s="49"/>
      <c r="S19" s="144"/>
      <c r="T19" s="145"/>
    </row>
    <row r="20" spans="1:20" s="11" customFormat="1">
      <c r="A20" s="9">
        <f>IF(D20="","",IF(B20="*",MAX($A$10:A19)+10,MAX($A$10:A19)))</f>
        <v>10</v>
      </c>
      <c r="B20" s="9"/>
      <c r="C20" s="9"/>
      <c r="D20" s="9" t="s">
        <v>83</v>
      </c>
      <c r="E20" s="50" t="s">
        <v>100</v>
      </c>
      <c r="F20" s="50"/>
      <c r="G20" s="51" t="s">
        <v>174</v>
      </c>
      <c r="H20" s="51" t="s">
        <v>86</v>
      </c>
      <c r="I20" s="9" t="s">
        <v>40</v>
      </c>
      <c r="J20" s="9" t="s">
        <v>34</v>
      </c>
      <c r="K20" s="9"/>
      <c r="L20" s="9"/>
      <c r="M20" s="9"/>
      <c r="N20" s="9"/>
      <c r="O20" s="9"/>
      <c r="P20" s="9"/>
      <c r="Q20" s="48"/>
      <c r="R20" s="49"/>
      <c r="S20" s="144"/>
      <c r="T20" s="145"/>
    </row>
    <row r="21" spans="1:20" s="11" customFormat="1">
      <c r="A21" s="9">
        <f>IF(D21="","",IF(B21="*",MAX($A$10:A20)+10,MAX($A$10:A20)))</f>
        <v>10</v>
      </c>
      <c r="B21" s="9"/>
      <c r="C21" s="9"/>
      <c r="D21" s="9" t="s">
        <v>84</v>
      </c>
      <c r="E21" s="50" t="s">
        <v>100</v>
      </c>
      <c r="F21" s="50"/>
      <c r="G21" s="51" t="s">
        <v>175</v>
      </c>
      <c r="H21" s="51" t="s">
        <v>135</v>
      </c>
      <c r="I21" s="9" t="s">
        <v>40</v>
      </c>
      <c r="J21" s="9" t="s">
        <v>34</v>
      </c>
      <c r="K21" s="9"/>
      <c r="L21" s="9"/>
      <c r="M21" s="9"/>
      <c r="N21" s="9"/>
      <c r="O21" s="9"/>
      <c r="P21" s="9"/>
      <c r="Q21" s="48"/>
      <c r="R21" s="49"/>
      <c r="S21" s="144"/>
      <c r="T21" s="145"/>
    </row>
    <row r="22" spans="1:20" s="11" customFormat="1">
      <c r="A22" s="9">
        <f>IF(D22="","",IF(B22="*",MAX($A$10:A21)+10,MAX($A$10:A21)))</f>
        <v>10</v>
      </c>
      <c r="B22" s="9"/>
      <c r="C22" s="9"/>
      <c r="D22" s="9" t="s">
        <v>122</v>
      </c>
      <c r="E22" s="9" t="s">
        <v>54</v>
      </c>
      <c r="F22" s="50"/>
      <c r="G22" s="51" t="s">
        <v>176</v>
      </c>
      <c r="H22" s="51" t="s">
        <v>124</v>
      </c>
      <c r="I22" s="9" t="s">
        <v>34</v>
      </c>
      <c r="J22" s="9" t="s">
        <v>40</v>
      </c>
      <c r="K22" s="9"/>
      <c r="L22" s="9"/>
      <c r="M22" s="9"/>
      <c r="N22" s="9"/>
      <c r="O22" s="9"/>
      <c r="P22" s="9"/>
      <c r="Q22" s="48"/>
      <c r="R22" s="49"/>
      <c r="S22" s="66"/>
      <c r="T22" s="67"/>
    </row>
    <row r="23" spans="1:20" s="11" customFormat="1">
      <c r="A23" s="9">
        <f>IF(D23="","",IF(B23="*",MAX($A$10:A22)+10,MAX($A$10:A22)))</f>
        <v>10</v>
      </c>
      <c r="B23" s="9"/>
      <c r="C23" s="9"/>
      <c r="D23" s="9" t="s">
        <v>123</v>
      </c>
      <c r="E23" s="9" t="s">
        <v>54</v>
      </c>
      <c r="F23" s="50"/>
      <c r="G23" s="51" t="s">
        <v>177</v>
      </c>
      <c r="H23" s="51" t="s">
        <v>136</v>
      </c>
      <c r="I23" s="9" t="s">
        <v>34</v>
      </c>
      <c r="J23" s="9" t="s">
        <v>40</v>
      </c>
      <c r="K23" s="9"/>
      <c r="L23" s="9"/>
      <c r="M23" s="9"/>
      <c r="N23" s="9"/>
      <c r="O23" s="9"/>
      <c r="P23" s="9"/>
      <c r="Q23" s="48"/>
      <c r="R23" s="49"/>
      <c r="S23" s="66"/>
      <c r="T23" s="67"/>
    </row>
    <row r="24" spans="1:20" s="11" customFormat="1" ht="52">
      <c r="A24" s="73" t="str">
        <f>IF(D24="","",IF(B24="*",MAX($A$10:A23)+10,MAX($A$10:A23)))</f>
        <v/>
      </c>
      <c r="K24" s="11" t="s">
        <v>160</v>
      </c>
      <c r="L24" s="11" t="s">
        <v>161</v>
      </c>
      <c r="M24" s="11" t="s">
        <v>160</v>
      </c>
      <c r="N24" s="11" t="s">
        <v>161</v>
      </c>
      <c r="O24" s="11" t="s">
        <v>160</v>
      </c>
      <c r="P24" s="11" t="s">
        <v>161</v>
      </c>
      <c r="T24" s="52"/>
    </row>
    <row r="25" spans="1:20" s="11" customFormat="1">
      <c r="A25" s="9">
        <f>IF(D25="","",IF(B25="*",MAX($A$10:A24)+10,MAX($A$10:A24)))</f>
        <v>20</v>
      </c>
      <c r="B25" s="35" t="s">
        <v>16</v>
      </c>
      <c r="C25" s="36"/>
      <c r="D25" s="29" t="s">
        <v>77</v>
      </c>
      <c r="E25" s="44" t="s">
        <v>22</v>
      </c>
      <c r="F25" s="53"/>
      <c r="G25" s="29" t="s">
        <v>29</v>
      </c>
      <c r="H25" s="46" t="s">
        <v>146</v>
      </c>
      <c r="I25" s="54"/>
      <c r="J25" s="53"/>
      <c r="K25" s="34"/>
      <c r="L25" s="34"/>
      <c r="M25" s="34"/>
      <c r="N25" s="34"/>
      <c r="O25" s="34"/>
      <c r="P25" s="34"/>
      <c r="Q25" s="48"/>
      <c r="R25" s="49"/>
      <c r="S25" s="66"/>
      <c r="T25" s="68"/>
    </row>
    <row r="26" spans="1:20" s="11" customFormat="1">
      <c r="A26" s="9">
        <f>IF(D26="","",IF(B26="*",MAX($A$10:A25)+10,MAX($A$10:A25)))</f>
        <v>20</v>
      </c>
      <c r="B26" s="9"/>
      <c r="C26" s="9"/>
      <c r="D26" s="9" t="s">
        <v>78</v>
      </c>
      <c r="E26" s="9" t="s">
        <v>54</v>
      </c>
      <c r="F26" s="50"/>
      <c r="G26" s="51" t="s">
        <v>178</v>
      </c>
      <c r="H26" s="51" t="s">
        <v>73</v>
      </c>
      <c r="I26" s="9" t="s">
        <v>40</v>
      </c>
      <c r="J26" s="9" t="s">
        <v>34</v>
      </c>
      <c r="K26" s="9"/>
      <c r="L26" s="9"/>
      <c r="M26" s="9"/>
      <c r="N26" s="9"/>
      <c r="O26" s="9"/>
      <c r="P26" s="9"/>
      <c r="Q26" s="48"/>
      <c r="R26" s="49"/>
      <c r="S26" s="66"/>
      <c r="T26" s="67"/>
    </row>
    <row r="27" spans="1:20" s="11" customFormat="1">
      <c r="A27" s="9">
        <f>IF(D27="","",IF(B27="*",MAX($A$10:A26)+10,MAX($A$10:A26)))</f>
        <v>20</v>
      </c>
      <c r="B27" s="9"/>
      <c r="C27" s="9"/>
      <c r="D27" s="9" t="s">
        <v>74</v>
      </c>
      <c r="E27" s="9" t="s">
        <v>54</v>
      </c>
      <c r="F27" s="50"/>
      <c r="G27" s="51" t="s">
        <v>179</v>
      </c>
      <c r="H27" s="51" t="s">
        <v>137</v>
      </c>
      <c r="I27" s="9" t="s">
        <v>40</v>
      </c>
      <c r="J27" s="9" t="s">
        <v>34</v>
      </c>
      <c r="K27" s="9"/>
      <c r="L27" s="9"/>
      <c r="M27" s="9"/>
      <c r="N27" s="9"/>
      <c r="O27" s="9"/>
      <c r="P27" s="9"/>
      <c r="Q27" s="48"/>
      <c r="R27" s="49"/>
      <c r="S27" s="144"/>
      <c r="T27" s="145"/>
    </row>
    <row r="28" spans="1:20" s="11" customFormat="1">
      <c r="A28" s="9">
        <f>IF(D28="","",IF(B28="*",MAX($A$10:A27)+10,MAX($A$10:A27)))</f>
        <v>20</v>
      </c>
      <c r="B28" s="9"/>
      <c r="C28" s="9"/>
      <c r="D28" s="9" t="s">
        <v>75</v>
      </c>
      <c r="E28" s="9" t="s">
        <v>54</v>
      </c>
      <c r="F28" s="50"/>
      <c r="G28" s="51" t="s">
        <v>180</v>
      </c>
      <c r="H28" s="51" t="s">
        <v>138</v>
      </c>
      <c r="I28" s="9" t="s">
        <v>40</v>
      </c>
      <c r="J28" s="9" t="s">
        <v>34</v>
      </c>
      <c r="K28" s="9"/>
      <c r="L28" s="9"/>
      <c r="M28" s="9"/>
      <c r="N28" s="9"/>
      <c r="O28" s="9"/>
      <c r="P28" s="9"/>
      <c r="Q28" s="48"/>
      <c r="R28" s="49"/>
      <c r="S28" s="144"/>
      <c r="T28" s="145"/>
    </row>
    <row r="29" spans="1:20" s="11" customFormat="1">
      <c r="A29" s="9">
        <f>IF(D29="","",IF(B29="*",MAX($A$10:A28)+10,MAX($A$10:A28)))</f>
        <v>20</v>
      </c>
      <c r="B29" s="9"/>
      <c r="C29" s="9"/>
      <c r="D29" s="9" t="s">
        <v>121</v>
      </c>
      <c r="E29" s="9" t="s">
        <v>54</v>
      </c>
      <c r="F29" s="50"/>
      <c r="G29" s="51" t="s">
        <v>181</v>
      </c>
      <c r="H29" s="51" t="s">
        <v>139</v>
      </c>
      <c r="I29" s="9" t="s">
        <v>40</v>
      </c>
      <c r="J29" s="9" t="s">
        <v>34</v>
      </c>
      <c r="K29" s="9"/>
      <c r="L29" s="9"/>
      <c r="M29" s="9"/>
      <c r="N29" s="9"/>
      <c r="O29" s="9"/>
      <c r="P29" s="9"/>
      <c r="Q29" s="48"/>
      <c r="R29" s="49"/>
      <c r="S29" s="144"/>
      <c r="T29" s="145"/>
    </row>
    <row r="30" spans="1:20" s="11" customFormat="1">
      <c r="A30" s="9">
        <f>IF(D30="","",IF(B30="*",MAX($A$10:A29)+10,MAX($A$10:A29)))</f>
        <v>20</v>
      </c>
      <c r="B30" s="9"/>
      <c r="C30" s="9"/>
      <c r="D30" s="9" t="s">
        <v>59</v>
      </c>
      <c r="E30" s="9" t="s">
        <v>54</v>
      </c>
      <c r="F30" s="50"/>
      <c r="G30" s="51" t="s">
        <v>182</v>
      </c>
      <c r="H30" s="51" t="s">
        <v>140</v>
      </c>
      <c r="I30" s="9" t="s">
        <v>40</v>
      </c>
      <c r="J30" s="9" t="s">
        <v>34</v>
      </c>
      <c r="K30" s="9"/>
      <c r="L30" s="9"/>
      <c r="M30" s="9"/>
      <c r="N30" s="9"/>
      <c r="O30" s="9"/>
      <c r="P30" s="9"/>
      <c r="Q30" s="48"/>
      <c r="R30" s="49"/>
      <c r="S30" s="144"/>
      <c r="T30" s="145"/>
    </row>
    <row r="31" spans="1:20" s="11" customFormat="1">
      <c r="A31" s="9">
        <f>IF(D31="","",IF(B31="*",MAX($A$10:A30)+10,MAX($A$10:A30)))</f>
        <v>20</v>
      </c>
      <c r="B31" s="9"/>
      <c r="C31" s="9"/>
      <c r="D31" s="9" t="s">
        <v>112</v>
      </c>
      <c r="E31" s="9" t="s">
        <v>115</v>
      </c>
      <c r="F31" s="50"/>
      <c r="G31" s="51" t="s">
        <v>183</v>
      </c>
      <c r="H31" s="51" t="s">
        <v>141</v>
      </c>
      <c r="I31" s="9" t="s">
        <v>34</v>
      </c>
      <c r="J31" s="9" t="s">
        <v>34</v>
      </c>
      <c r="K31" s="9"/>
      <c r="L31" s="9"/>
      <c r="M31" s="9"/>
      <c r="N31" s="9"/>
      <c r="O31" s="9"/>
      <c r="P31" s="9"/>
      <c r="Q31" s="48"/>
      <c r="R31" s="49"/>
      <c r="S31" s="66"/>
      <c r="T31" s="67"/>
    </row>
    <row r="32" spans="1:20" s="11" customFormat="1">
      <c r="A32" s="9">
        <f>IF(D32="","",IF(B32="*",MAX($A$10:A31)+10,MAX($A$10:A31)))</f>
        <v>20</v>
      </c>
      <c r="B32" s="9"/>
      <c r="C32" s="9"/>
      <c r="D32" s="9" t="s">
        <v>118</v>
      </c>
      <c r="E32" s="9" t="s">
        <v>114</v>
      </c>
      <c r="F32" s="50"/>
      <c r="G32" s="51" t="s">
        <v>183</v>
      </c>
      <c r="H32" s="51" t="s">
        <v>142</v>
      </c>
      <c r="I32" s="9" t="s">
        <v>40</v>
      </c>
      <c r="J32" s="9" t="s">
        <v>34</v>
      </c>
      <c r="K32" s="9"/>
      <c r="L32" s="9"/>
      <c r="M32" s="9"/>
      <c r="N32" s="9"/>
      <c r="O32" s="9"/>
      <c r="P32" s="9"/>
      <c r="Q32" s="48"/>
      <c r="R32" s="49"/>
      <c r="S32" s="66"/>
      <c r="T32" s="67"/>
    </row>
    <row r="33" spans="1:20" s="11" customFormat="1">
      <c r="A33" s="9">
        <f>IF(D33="","",IF(B33="*",MAX($A$10:A32)+10,MAX($A$10:A32)))</f>
        <v>20</v>
      </c>
      <c r="B33" s="9"/>
      <c r="C33" s="9"/>
      <c r="D33" s="9" t="s">
        <v>120</v>
      </c>
      <c r="E33" s="9" t="s">
        <v>114</v>
      </c>
      <c r="F33" s="50"/>
      <c r="G33" s="51" t="s">
        <v>184</v>
      </c>
      <c r="H33" s="51" t="s">
        <v>143</v>
      </c>
      <c r="I33" s="9" t="s">
        <v>40</v>
      </c>
      <c r="J33" s="9" t="s">
        <v>34</v>
      </c>
      <c r="K33" s="9"/>
      <c r="L33" s="9"/>
      <c r="M33" s="9"/>
      <c r="N33" s="9"/>
      <c r="O33" s="9"/>
      <c r="P33" s="9"/>
      <c r="Q33" s="48"/>
      <c r="R33" s="49"/>
      <c r="S33" s="66"/>
      <c r="T33" s="67"/>
    </row>
    <row r="34" spans="1:20" s="11" customFormat="1">
      <c r="A34" s="9">
        <f>IF(D34="","",IF(B34="*",MAX($A$10:A33)+10,MAX($A$10:A33)))</f>
        <v>20</v>
      </c>
      <c r="B34" s="9"/>
      <c r="C34" s="9"/>
      <c r="D34" s="9" t="s">
        <v>149</v>
      </c>
      <c r="E34" s="9" t="s">
        <v>147</v>
      </c>
      <c r="F34" s="50"/>
      <c r="G34" s="51" t="s">
        <v>186</v>
      </c>
      <c r="H34" s="51" t="s">
        <v>148</v>
      </c>
      <c r="I34" s="9" t="s">
        <v>40</v>
      </c>
      <c r="J34" s="9" t="s">
        <v>34</v>
      </c>
      <c r="K34" s="9"/>
      <c r="L34" s="9"/>
      <c r="M34" s="9"/>
      <c r="N34" s="9"/>
      <c r="O34" s="9"/>
      <c r="P34" s="9"/>
      <c r="Q34" s="48"/>
      <c r="R34" s="49"/>
      <c r="S34" s="66"/>
      <c r="T34" s="67"/>
    </row>
    <row r="35" spans="1:20" s="11" customFormat="1">
      <c r="A35" s="56"/>
      <c r="B35" s="30"/>
      <c r="C35" s="30"/>
      <c r="D35" s="57" t="s">
        <v>0</v>
      </c>
      <c r="E35" s="31"/>
      <c r="F35" s="32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58"/>
    </row>
    <row r="36" spans="1:20" s="11" customFormat="1">
      <c r="A36" s="73"/>
      <c r="T36" s="52"/>
    </row>
    <row r="37" spans="1:20" s="11" customFormat="1">
      <c r="A37" s="73"/>
      <c r="T37" s="52"/>
    </row>
    <row r="38" spans="1:20" s="11" customFormat="1">
      <c r="A38" s="73"/>
      <c r="T38" s="52"/>
    </row>
    <row r="39" spans="1:20" s="11" customFormat="1">
      <c r="A39" s="73"/>
      <c r="T39" s="52"/>
    </row>
    <row r="40" spans="1:20" s="11" customFormat="1">
      <c r="A40" s="73"/>
      <c r="T40" s="52"/>
    </row>
    <row r="41" spans="1:20" s="11" customFormat="1">
      <c r="A41" s="73"/>
      <c r="T41" s="52"/>
    </row>
    <row r="42" spans="1:20" s="11" customFormat="1">
      <c r="A42" s="73"/>
      <c r="T42" s="52"/>
    </row>
    <row r="43" spans="1:20" s="11" customFormat="1">
      <c r="A43" s="73"/>
      <c r="T43" s="52"/>
    </row>
    <row r="44" spans="1:20" s="11" customFormat="1">
      <c r="A44" s="78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20"/>
    </row>
  </sheetData>
  <sheetProtection formatCells="0" formatColumns="0" formatRows="0" insertColumns="0" insertRows="0" insertHyperlinks="0" deleteColumns="0" deleteRows="0"/>
  <mergeCells count="14">
    <mergeCell ref="S12:T12"/>
    <mergeCell ref="S13:T13"/>
    <mergeCell ref="S14:T14"/>
    <mergeCell ref="S15:T15"/>
    <mergeCell ref="S16:T16"/>
    <mergeCell ref="S27:T27"/>
    <mergeCell ref="S28:T28"/>
    <mergeCell ref="S30:T30"/>
    <mergeCell ref="S17:T17"/>
    <mergeCell ref="S18:T18"/>
    <mergeCell ref="S19:T19"/>
    <mergeCell ref="S20:T20"/>
    <mergeCell ref="S21:T21"/>
    <mergeCell ref="S29:T29"/>
  </mergeCells>
  <phoneticPr fontId="2"/>
  <pageMargins left="0.2" right="0.43307086614173229" top="0.55118110236220474" bottom="0.38" header="0.55118110236220474" footer="0.11811023622047245"/>
  <pageSetup paperSize="9" scale="46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43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59" bestFit="1" customWidth="1"/>
    <col min="7" max="7" width="30.81640625" style="27" customWidth="1"/>
    <col min="8" max="8" width="32.81640625" style="27" bestFit="1" customWidth="1"/>
    <col min="9" max="10" width="15.81640625" style="27" customWidth="1"/>
    <col min="11" max="11" width="19.36328125" style="27" bestFit="1" customWidth="1"/>
    <col min="12" max="12" width="13.90625" style="27" bestFit="1" customWidth="1"/>
    <col min="13" max="13" width="12.8164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69" t="s">
        <v>17</v>
      </c>
      <c r="B1" s="69" t="s">
        <v>17</v>
      </c>
      <c r="C1" s="69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70" t="s">
        <v>17</v>
      </c>
      <c r="B2" s="71"/>
      <c r="C2" s="71"/>
      <c r="D2" s="83" t="s">
        <v>150</v>
      </c>
      <c r="E2" s="7" t="s">
        <v>2</v>
      </c>
      <c r="F2" s="72" t="str">
        <f>IF(LogicCommon!C2="","",LogicCommon!C2)</f>
        <v>MB</v>
      </c>
      <c r="G2" s="7" t="s">
        <v>3</v>
      </c>
      <c r="H2" s="72" t="str">
        <f>IF(LogicCommon!E2="","",LogicCommon!E2)</f>
        <v>MBBEL0090</v>
      </c>
      <c r="I2" s="7" t="s">
        <v>38</v>
      </c>
      <c r="J2" s="9" t="s">
        <v>63</v>
      </c>
      <c r="K2" s="7" t="s">
        <v>15</v>
      </c>
      <c r="L2" s="72" t="str">
        <f>IF(LogicCommon!G2="","",LogicCommon!G2)</f>
        <v>MC</v>
      </c>
      <c r="M2" s="5" t="s">
        <v>35</v>
      </c>
      <c r="N2" s="29" t="s">
        <v>128</v>
      </c>
      <c r="O2" s="7"/>
      <c r="P2" s="7"/>
      <c r="Q2" s="4"/>
      <c r="R2" s="5"/>
      <c r="S2" s="5"/>
      <c r="T2" s="5"/>
    </row>
    <row r="3" spans="1:20" s="11" customFormat="1">
      <c r="A3" s="73" t="s">
        <v>17</v>
      </c>
      <c r="B3" s="74"/>
      <c r="C3" s="74"/>
      <c r="D3" s="75"/>
      <c r="E3" s="7" t="s">
        <v>4</v>
      </c>
      <c r="F3" s="72" t="str">
        <f>IF(LogicCommon!C3="","",LogicCommon!C3)</f>
        <v>MBBE</v>
      </c>
      <c r="G3" s="7" t="s">
        <v>5</v>
      </c>
      <c r="H3" s="72" t="str">
        <f>IF(LogicCommon!E3="","",LogicCommon!E3)</f>
        <v>MBBEL_BulkImpReg</v>
      </c>
      <c r="I3" s="7" t="s">
        <v>39</v>
      </c>
      <c r="J3" s="9" t="s">
        <v>26</v>
      </c>
      <c r="K3" s="7" t="s">
        <v>14</v>
      </c>
      <c r="L3" s="72"/>
      <c r="M3" s="76" t="s">
        <v>24</v>
      </c>
      <c r="N3" s="7"/>
      <c r="O3" s="7" t="s">
        <v>33</v>
      </c>
      <c r="P3" s="9" t="s">
        <v>42</v>
      </c>
      <c r="Q3" s="4"/>
      <c r="R3" s="5"/>
      <c r="S3" s="5"/>
      <c r="T3" s="5"/>
    </row>
    <row r="4" spans="1:20" s="11" customFormat="1">
      <c r="A4" s="73" t="s">
        <v>17</v>
      </c>
      <c r="B4" s="74"/>
      <c r="C4" s="74"/>
      <c r="D4" s="4"/>
      <c r="E4" s="7" t="s">
        <v>25</v>
      </c>
      <c r="F4" s="10" t="s">
        <v>43</v>
      </c>
      <c r="G4" s="7" t="s">
        <v>6</v>
      </c>
      <c r="H4" s="72" t="str">
        <f>IF(LogicCommon!E4="","",LogicCommon!E4)</f>
        <v>まとめ登録ツール</v>
      </c>
      <c r="I4" s="7" t="s">
        <v>44</v>
      </c>
      <c r="J4" s="9" t="s">
        <v>62</v>
      </c>
      <c r="K4" s="7" t="s">
        <v>7</v>
      </c>
      <c r="L4" s="72" t="str">
        <f>IF(LogicCommon!G4="","",LogicCommon!G4)</f>
        <v>MB.MBUDL5010</v>
      </c>
      <c r="M4" s="77"/>
      <c r="N4" s="29"/>
      <c r="O4" s="13"/>
      <c r="P4" s="4"/>
      <c r="Q4" s="4"/>
      <c r="R4" s="5"/>
      <c r="S4" s="5"/>
      <c r="T4" s="5"/>
    </row>
    <row r="5" spans="1:20" s="11" customFormat="1">
      <c r="A5" s="78" t="s">
        <v>17</v>
      </c>
      <c r="B5" s="69"/>
      <c r="C5" s="69"/>
      <c r="D5" s="26"/>
      <c r="E5" s="7" t="s">
        <v>41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3" t="s">
        <v>17</v>
      </c>
      <c r="B6" s="74"/>
      <c r="C6" s="74"/>
      <c r="D6" s="4" t="s">
        <v>8</v>
      </c>
      <c r="E6" s="17" t="s">
        <v>106</v>
      </c>
      <c r="F6" s="17"/>
      <c r="G6" s="17"/>
      <c r="H6" s="17"/>
      <c r="I6" s="17"/>
      <c r="J6" s="17"/>
      <c r="K6" s="17"/>
      <c r="L6" s="80" t="s">
        <v>37</v>
      </c>
      <c r="M6" s="19"/>
      <c r="N6" s="19" t="s">
        <v>37</v>
      </c>
      <c r="O6" s="19"/>
      <c r="P6" s="19" t="s">
        <v>37</v>
      </c>
      <c r="Q6" s="19"/>
      <c r="R6" s="27"/>
      <c r="S6" s="27"/>
      <c r="T6" s="27"/>
    </row>
    <row r="7" spans="1:20" s="11" customFormat="1">
      <c r="A7" s="30" t="s">
        <v>18</v>
      </c>
      <c r="B7" s="30"/>
      <c r="C7" s="30"/>
      <c r="D7" s="31"/>
      <c r="E7" s="31"/>
      <c r="F7" s="32"/>
      <c r="G7" s="31"/>
      <c r="H7" s="31"/>
      <c r="I7" s="31" t="s">
        <v>19</v>
      </c>
      <c r="J7" s="31"/>
      <c r="K7" s="33" t="s">
        <v>20</v>
      </c>
      <c r="L7" s="34"/>
      <c r="M7" s="33" t="s">
        <v>20</v>
      </c>
      <c r="N7" s="34"/>
      <c r="O7" s="33" t="s">
        <v>20</v>
      </c>
      <c r="P7" s="34"/>
      <c r="Q7" s="27"/>
      <c r="R7" s="27"/>
      <c r="S7" s="27"/>
      <c r="T7" s="27"/>
    </row>
    <row r="8" spans="1:20" s="11" customFormat="1" ht="60" customHeight="1">
      <c r="A8" s="50" t="s">
        <v>18</v>
      </c>
      <c r="B8" s="86"/>
      <c r="C8" s="87"/>
      <c r="D8" s="84" t="s">
        <v>151</v>
      </c>
      <c r="E8" s="84" t="s">
        <v>152</v>
      </c>
      <c r="F8" s="80"/>
      <c r="G8" s="84" t="s">
        <v>45</v>
      </c>
      <c r="H8" s="84" t="s">
        <v>153</v>
      </c>
      <c r="I8" s="80"/>
      <c r="J8" s="3"/>
      <c r="K8" s="33" t="s">
        <v>21</v>
      </c>
      <c r="L8" s="34"/>
      <c r="M8" s="33"/>
      <c r="N8" s="34"/>
      <c r="O8" s="33"/>
      <c r="P8" s="34"/>
      <c r="Q8" s="88"/>
      <c r="R8" s="89"/>
      <c r="S8" s="90" t="s">
        <v>154</v>
      </c>
      <c r="T8" s="49"/>
    </row>
    <row r="9" spans="1:20" s="11" customFormat="1" ht="60" customHeight="1">
      <c r="A9" s="9" t="s">
        <v>18</v>
      </c>
      <c r="B9" s="35"/>
      <c r="C9" s="36"/>
      <c r="D9" s="84" t="s">
        <v>155</v>
      </c>
      <c r="E9" s="81" t="s">
        <v>156</v>
      </c>
      <c r="F9" s="84" t="s">
        <v>157</v>
      </c>
      <c r="G9" s="84" t="s">
        <v>158</v>
      </c>
      <c r="H9" s="84" t="s">
        <v>159</v>
      </c>
      <c r="I9" s="82" t="s">
        <v>160</v>
      </c>
      <c r="J9" s="84" t="s">
        <v>161</v>
      </c>
      <c r="K9" s="33"/>
      <c r="L9" s="33"/>
      <c r="M9" s="33"/>
      <c r="N9" s="33"/>
      <c r="O9" s="33"/>
      <c r="P9" s="33"/>
      <c r="Q9" s="90" t="s">
        <v>162</v>
      </c>
      <c r="R9" s="49"/>
      <c r="S9" s="90" t="s">
        <v>163</v>
      </c>
      <c r="T9" s="49"/>
    </row>
    <row r="10" spans="1:20" s="11" customFormat="1" ht="52">
      <c r="A10" s="38" t="s">
        <v>18</v>
      </c>
      <c r="B10" s="39"/>
      <c r="C10" s="39"/>
      <c r="D10" s="40"/>
      <c r="E10" s="41"/>
      <c r="F10" s="42"/>
      <c r="G10" s="43"/>
      <c r="H10" s="43"/>
      <c r="I10" s="41"/>
      <c r="J10" s="41"/>
      <c r="K10" s="85" t="s">
        <v>160</v>
      </c>
      <c r="L10" s="85" t="s">
        <v>161</v>
      </c>
      <c r="M10" s="85" t="s">
        <v>160</v>
      </c>
      <c r="N10" s="85" t="s">
        <v>161</v>
      </c>
      <c r="O10" s="85" t="s">
        <v>160</v>
      </c>
      <c r="P10" s="85" t="s">
        <v>161</v>
      </c>
      <c r="Q10" s="41"/>
      <c r="R10" s="41"/>
      <c r="S10" s="43"/>
      <c r="T10" s="37"/>
    </row>
    <row r="11" spans="1:20" s="11" customFormat="1">
      <c r="A11" s="9">
        <f>IF(D11="","",IF(B11="*",MAX($A$10:A10)+10,MAX($A$10:A10)))</f>
        <v>10</v>
      </c>
      <c r="B11" s="35" t="s">
        <v>16</v>
      </c>
      <c r="C11" s="36"/>
      <c r="D11" s="29" t="s">
        <v>61</v>
      </c>
      <c r="E11" s="44" t="s">
        <v>23</v>
      </c>
      <c r="F11" s="45"/>
      <c r="G11" s="29" t="s">
        <v>29</v>
      </c>
      <c r="H11" s="46" t="s">
        <v>145</v>
      </c>
      <c r="I11" s="47"/>
      <c r="J11" s="60"/>
      <c r="K11" s="34"/>
      <c r="L11" s="34"/>
      <c r="M11" s="34"/>
      <c r="N11" s="34"/>
      <c r="O11" s="34"/>
      <c r="P11" s="34"/>
      <c r="Q11" s="48"/>
      <c r="R11" s="49"/>
      <c r="S11" s="66"/>
      <c r="T11" s="68"/>
    </row>
    <row r="12" spans="1:20" s="11" customFormat="1">
      <c r="A12" s="9">
        <f>IF(D12="","",IF(B12="*",MAX($A$10:A11)+10,MAX($A$10:A11)))</f>
        <v>10</v>
      </c>
      <c r="B12" s="9"/>
      <c r="C12" s="9"/>
      <c r="D12" s="9" t="s">
        <v>90</v>
      </c>
      <c r="E12" s="50" t="s">
        <v>92</v>
      </c>
      <c r="F12" s="50"/>
      <c r="G12" s="51" t="s">
        <v>164</v>
      </c>
      <c r="H12" s="51" t="s">
        <v>94</v>
      </c>
      <c r="I12" s="9" t="s">
        <v>34</v>
      </c>
      <c r="J12" s="9" t="s">
        <v>34</v>
      </c>
      <c r="K12" s="9"/>
      <c r="L12" s="9"/>
      <c r="M12" s="9"/>
      <c r="N12" s="9"/>
      <c r="O12" s="9"/>
      <c r="P12" s="9"/>
      <c r="Q12" s="48"/>
      <c r="R12" s="49"/>
      <c r="S12" s="144"/>
      <c r="T12" s="145"/>
    </row>
    <row r="13" spans="1:20" s="11" customFormat="1">
      <c r="A13" s="9">
        <f>IF(D13="","",IF(B13="*",MAX($A$10:A12)+10,MAX($A$10:A12)))</f>
        <v>10</v>
      </c>
      <c r="B13" s="9"/>
      <c r="C13" s="9"/>
      <c r="D13" s="9" t="s">
        <v>98</v>
      </c>
      <c r="E13" s="50" t="s">
        <v>109</v>
      </c>
      <c r="F13" s="50"/>
      <c r="G13" s="51" t="s">
        <v>168</v>
      </c>
      <c r="H13" s="51" t="s">
        <v>132</v>
      </c>
      <c r="I13" s="9" t="s">
        <v>34</v>
      </c>
      <c r="J13" s="9" t="s">
        <v>34</v>
      </c>
      <c r="K13" s="9"/>
      <c r="L13" s="9"/>
      <c r="M13" s="9"/>
      <c r="N13" s="9"/>
      <c r="O13" s="9"/>
      <c r="P13" s="9"/>
      <c r="Q13" s="48"/>
      <c r="R13" s="49"/>
      <c r="S13" s="144"/>
      <c r="T13" s="145"/>
    </row>
    <row r="14" spans="1:20" s="11" customFormat="1">
      <c r="A14" s="9">
        <f>IF(D14="","",IF(B14="*",MAX($A$10:A13)+10,MAX($A$10:A13)))</f>
        <v>10</v>
      </c>
      <c r="B14" s="9"/>
      <c r="C14" s="9"/>
      <c r="D14" s="9" t="s">
        <v>46</v>
      </c>
      <c r="E14" s="50" t="s">
        <v>93</v>
      </c>
      <c r="F14" s="50"/>
      <c r="G14" s="51" t="s">
        <v>166</v>
      </c>
      <c r="H14" s="51" t="s">
        <v>130</v>
      </c>
      <c r="I14" s="9" t="s">
        <v>40</v>
      </c>
      <c r="J14" s="9" t="s">
        <v>40</v>
      </c>
      <c r="K14" s="9"/>
      <c r="L14" s="9"/>
      <c r="M14" s="9"/>
      <c r="N14" s="9"/>
      <c r="O14" s="9"/>
      <c r="P14" s="9"/>
      <c r="Q14" s="48"/>
      <c r="R14" s="49"/>
      <c r="S14" s="144"/>
      <c r="T14" s="145"/>
    </row>
    <row r="15" spans="1:20" s="11" customFormat="1">
      <c r="A15" s="9">
        <f>IF(D15="","",IF(B15="*",MAX($A$10:A14)+10,MAX($A$10:A14)))</f>
        <v>10</v>
      </c>
      <c r="B15" s="9"/>
      <c r="C15" s="9"/>
      <c r="D15" s="9" t="s">
        <v>99</v>
      </c>
      <c r="E15" s="50" t="s">
        <v>109</v>
      </c>
      <c r="F15" s="50"/>
      <c r="G15" s="51" t="s">
        <v>169</v>
      </c>
      <c r="H15" s="51" t="s">
        <v>133</v>
      </c>
      <c r="I15" s="9" t="s">
        <v>34</v>
      </c>
      <c r="J15" s="9" t="s">
        <v>34</v>
      </c>
      <c r="K15" s="9"/>
      <c r="L15" s="9"/>
      <c r="M15" s="9"/>
      <c r="N15" s="9"/>
      <c r="O15" s="9"/>
      <c r="P15" s="9"/>
      <c r="Q15" s="48"/>
      <c r="R15" s="49"/>
      <c r="S15" s="144"/>
      <c r="T15" s="145"/>
    </row>
    <row r="16" spans="1:20" s="11" customFormat="1">
      <c r="A16" s="9">
        <f>IF(D16="","",IF(B16="*",MAX($A$10:A15)+10,MAX($A$10:A15)))</f>
        <v>10</v>
      </c>
      <c r="B16" s="9"/>
      <c r="C16" s="9"/>
      <c r="D16" s="9" t="s">
        <v>71</v>
      </c>
      <c r="E16" s="50" t="s">
        <v>102</v>
      </c>
      <c r="F16" s="50"/>
      <c r="G16" s="51" t="s">
        <v>170</v>
      </c>
      <c r="H16" s="51" t="s">
        <v>134</v>
      </c>
      <c r="I16" s="9" t="s">
        <v>40</v>
      </c>
      <c r="J16" s="9" t="s">
        <v>34</v>
      </c>
      <c r="K16" s="9"/>
      <c r="L16" s="9"/>
      <c r="M16" s="9"/>
      <c r="N16" s="9"/>
      <c r="O16" s="9"/>
      <c r="P16" s="9"/>
      <c r="Q16" s="48"/>
      <c r="R16" s="49"/>
      <c r="S16" s="144"/>
      <c r="T16" s="145"/>
    </row>
    <row r="17" spans="1:20" s="11" customFormat="1">
      <c r="A17" s="9">
        <f>IF(D17="","",IF(B17="*",MAX($A$10:A16)+10,MAX($A$10:A16)))</f>
        <v>10</v>
      </c>
      <c r="B17" s="9"/>
      <c r="C17" s="9"/>
      <c r="D17" s="9" t="s">
        <v>55</v>
      </c>
      <c r="E17" s="50" t="s">
        <v>48</v>
      </c>
      <c r="F17" s="50"/>
      <c r="G17" s="51" t="s">
        <v>171</v>
      </c>
      <c r="H17" s="51" t="s">
        <v>56</v>
      </c>
      <c r="I17" s="9" t="s">
        <v>34</v>
      </c>
      <c r="J17" s="9" t="s">
        <v>34</v>
      </c>
      <c r="K17" s="9"/>
      <c r="L17" s="9"/>
      <c r="M17" s="9"/>
      <c r="N17" s="9"/>
      <c r="O17" s="9"/>
      <c r="P17" s="9"/>
      <c r="Q17" s="147"/>
      <c r="R17" s="148"/>
      <c r="S17" s="149"/>
      <c r="T17" s="150"/>
    </row>
    <row r="18" spans="1:20" s="11" customFormat="1">
      <c r="A18" s="9">
        <f>IF(D18="","",IF(B18="*",MAX($A$10:A17)+10,MAX($A$10:A17)))</f>
        <v>10</v>
      </c>
      <c r="B18" s="9"/>
      <c r="C18" s="9"/>
      <c r="D18" s="9" t="s">
        <v>87</v>
      </c>
      <c r="E18" s="50" t="s">
        <v>48</v>
      </c>
      <c r="F18" s="50"/>
      <c r="G18" s="51" t="s">
        <v>172</v>
      </c>
      <c r="H18" s="51" t="s">
        <v>88</v>
      </c>
      <c r="I18" s="9" t="s">
        <v>34</v>
      </c>
      <c r="J18" s="9" t="s">
        <v>40</v>
      </c>
      <c r="K18" s="9"/>
      <c r="L18" s="9"/>
      <c r="M18" s="9"/>
      <c r="N18" s="9"/>
      <c r="O18" s="9"/>
      <c r="P18" s="9"/>
      <c r="Q18" s="48"/>
      <c r="R18" s="49"/>
      <c r="S18" s="144"/>
      <c r="T18" s="145"/>
    </row>
    <row r="19" spans="1:20" s="11" customFormat="1">
      <c r="A19" s="9">
        <f>IF(D19="","",IF(B19="*",MAX($A$10:A18)+10,MAX($A$10:A18)))</f>
        <v>10</v>
      </c>
      <c r="B19" s="9"/>
      <c r="C19" s="9"/>
      <c r="D19" s="9" t="s">
        <v>82</v>
      </c>
      <c r="E19" s="50" t="s">
        <v>101</v>
      </c>
      <c r="F19" s="50"/>
      <c r="G19" s="51" t="s">
        <v>173</v>
      </c>
      <c r="H19" s="51" t="s">
        <v>85</v>
      </c>
      <c r="I19" s="9" t="s">
        <v>34</v>
      </c>
      <c r="J19" s="9" t="s">
        <v>34</v>
      </c>
      <c r="K19" s="9"/>
      <c r="L19" s="9"/>
      <c r="M19" s="9"/>
      <c r="N19" s="9"/>
      <c r="O19" s="9"/>
      <c r="P19" s="9"/>
      <c r="Q19" s="48"/>
      <c r="R19" s="49"/>
      <c r="S19" s="144"/>
      <c r="T19" s="145"/>
    </row>
    <row r="20" spans="1:20" s="11" customFormat="1">
      <c r="A20" s="9">
        <f>IF(D20="","",IF(B20="*",MAX($A$10:A19)+10,MAX($A$10:A19)))</f>
        <v>10</v>
      </c>
      <c r="B20" s="9"/>
      <c r="C20" s="9"/>
      <c r="D20" s="9" t="s">
        <v>83</v>
      </c>
      <c r="E20" s="50" t="s">
        <v>100</v>
      </c>
      <c r="F20" s="50"/>
      <c r="G20" s="51" t="s">
        <v>174</v>
      </c>
      <c r="H20" s="51" t="s">
        <v>86</v>
      </c>
      <c r="I20" s="9" t="s">
        <v>34</v>
      </c>
      <c r="J20" s="9" t="s">
        <v>34</v>
      </c>
      <c r="K20" s="9"/>
      <c r="L20" s="9"/>
      <c r="M20" s="9"/>
      <c r="N20" s="9"/>
      <c r="O20" s="9"/>
      <c r="P20" s="9"/>
      <c r="Q20" s="48"/>
      <c r="R20" s="49"/>
      <c r="S20" s="144"/>
      <c r="T20" s="145"/>
    </row>
    <row r="21" spans="1:20" s="11" customFormat="1">
      <c r="A21" s="9">
        <f>IF(D21="","",IF(B21="*",MAX($A$10:A20)+10,MAX($A$10:A20)))</f>
        <v>10</v>
      </c>
      <c r="B21" s="9"/>
      <c r="C21" s="9"/>
      <c r="D21" s="9" t="s">
        <v>84</v>
      </c>
      <c r="E21" s="50" t="s">
        <v>100</v>
      </c>
      <c r="F21" s="50"/>
      <c r="G21" s="51" t="s">
        <v>175</v>
      </c>
      <c r="H21" s="51" t="s">
        <v>135</v>
      </c>
      <c r="I21" s="9" t="s">
        <v>34</v>
      </c>
      <c r="J21" s="9" t="s">
        <v>34</v>
      </c>
      <c r="K21" s="9"/>
      <c r="L21" s="9"/>
      <c r="M21" s="9"/>
      <c r="N21" s="9"/>
      <c r="O21" s="9"/>
      <c r="P21" s="9"/>
      <c r="Q21" s="48"/>
      <c r="R21" s="49"/>
      <c r="S21" s="144"/>
      <c r="T21" s="145"/>
    </row>
    <row r="22" spans="1:20" s="11" customFormat="1">
      <c r="A22" s="9">
        <f>IF(D22="","",IF(B22="*",MAX($A$10:A21)+10,MAX($A$10:A21)))</f>
        <v>10</v>
      </c>
      <c r="B22" s="9"/>
      <c r="C22" s="9"/>
      <c r="D22" s="9" t="s">
        <v>122</v>
      </c>
      <c r="E22" s="9" t="s">
        <v>54</v>
      </c>
      <c r="F22" s="50"/>
      <c r="G22" s="51" t="s">
        <v>176</v>
      </c>
      <c r="H22" s="51" t="s">
        <v>124</v>
      </c>
      <c r="I22" s="9" t="s">
        <v>34</v>
      </c>
      <c r="J22" s="9" t="s">
        <v>34</v>
      </c>
      <c r="K22" s="9"/>
      <c r="L22" s="9"/>
      <c r="M22" s="9"/>
      <c r="N22" s="9"/>
      <c r="O22" s="9"/>
      <c r="P22" s="9"/>
      <c r="Q22" s="48"/>
      <c r="R22" s="49"/>
      <c r="S22" s="66"/>
      <c r="T22" s="67"/>
    </row>
    <row r="23" spans="1:20" s="11" customFormat="1">
      <c r="A23" s="9">
        <f>IF(D23="","",IF(B23="*",MAX($A$10:A22)+10,MAX($A$10:A22)))</f>
        <v>10</v>
      </c>
      <c r="B23" s="9"/>
      <c r="C23" s="9"/>
      <c r="D23" s="9" t="s">
        <v>123</v>
      </c>
      <c r="E23" s="9" t="s">
        <v>54</v>
      </c>
      <c r="F23" s="50"/>
      <c r="G23" s="51" t="s">
        <v>177</v>
      </c>
      <c r="H23" s="51" t="s">
        <v>136</v>
      </c>
      <c r="I23" s="9" t="s">
        <v>34</v>
      </c>
      <c r="J23" s="9" t="s">
        <v>34</v>
      </c>
      <c r="K23" s="9"/>
      <c r="L23" s="9"/>
      <c r="M23" s="9"/>
      <c r="N23" s="9"/>
      <c r="O23" s="9"/>
      <c r="P23" s="9"/>
      <c r="Q23" s="48"/>
      <c r="R23" s="49"/>
      <c r="S23" s="66"/>
      <c r="T23" s="67"/>
    </row>
    <row r="24" spans="1:20" s="11" customFormat="1" ht="52">
      <c r="A24" s="73" t="str">
        <f>IF(D24="","",IF(B24="*",MAX($A$10:A23)+10,MAX($A$10:A23)))</f>
        <v/>
      </c>
      <c r="K24" s="11" t="s">
        <v>160</v>
      </c>
      <c r="L24" s="11" t="s">
        <v>161</v>
      </c>
      <c r="M24" s="11" t="s">
        <v>160</v>
      </c>
      <c r="N24" s="11" t="s">
        <v>161</v>
      </c>
      <c r="O24" s="11" t="s">
        <v>160</v>
      </c>
      <c r="P24" s="11" t="s">
        <v>161</v>
      </c>
      <c r="T24" s="52"/>
    </row>
    <row r="25" spans="1:20" s="11" customFormat="1">
      <c r="A25" s="9">
        <f>IF(D25="","",IF(B25="*",MAX($A$10:A24)+10,MAX($A$10:A24)))</f>
        <v>20</v>
      </c>
      <c r="B25" s="35" t="s">
        <v>16</v>
      </c>
      <c r="C25" s="36"/>
      <c r="D25" s="29" t="s">
        <v>64</v>
      </c>
      <c r="E25" s="44" t="s">
        <v>22</v>
      </c>
      <c r="F25" s="53"/>
      <c r="G25" s="29" t="s">
        <v>29</v>
      </c>
      <c r="H25" s="46" t="s">
        <v>146</v>
      </c>
      <c r="I25" s="54"/>
      <c r="J25" s="53"/>
      <c r="K25" s="34"/>
      <c r="L25" s="34"/>
      <c r="M25" s="34"/>
      <c r="N25" s="34"/>
      <c r="O25" s="34"/>
      <c r="P25" s="34"/>
      <c r="Q25" s="48"/>
      <c r="R25" s="49"/>
      <c r="S25" s="66"/>
      <c r="T25" s="68"/>
    </row>
    <row r="26" spans="1:20" s="11" customFormat="1">
      <c r="A26" s="9">
        <f>IF(D26="","",IF(B26="*",MAX($A$10:A25)+10,MAX($A$10:A25)))</f>
        <v>20</v>
      </c>
      <c r="B26" s="9"/>
      <c r="C26" s="9"/>
      <c r="D26" s="9" t="s">
        <v>78</v>
      </c>
      <c r="E26" s="9" t="s">
        <v>54</v>
      </c>
      <c r="F26" s="50"/>
      <c r="G26" s="51" t="s">
        <v>178</v>
      </c>
      <c r="H26" s="51" t="s">
        <v>73</v>
      </c>
      <c r="I26" s="9" t="s">
        <v>34</v>
      </c>
      <c r="J26" s="9" t="s">
        <v>34</v>
      </c>
      <c r="K26" s="9"/>
      <c r="L26" s="9"/>
      <c r="M26" s="9"/>
      <c r="N26" s="9"/>
      <c r="O26" s="9"/>
      <c r="P26" s="9"/>
      <c r="Q26" s="48"/>
      <c r="R26" s="49"/>
      <c r="S26" s="66"/>
      <c r="T26" s="67"/>
    </row>
    <row r="27" spans="1:20" s="11" customFormat="1">
      <c r="A27" s="9">
        <f>IF(D27="","",IF(B27="*",MAX($A$10:A26)+10,MAX($A$10:A26)))</f>
        <v>20</v>
      </c>
      <c r="B27" s="9"/>
      <c r="C27" s="9"/>
      <c r="D27" s="9" t="s">
        <v>74</v>
      </c>
      <c r="E27" s="9" t="s">
        <v>54</v>
      </c>
      <c r="F27" s="50"/>
      <c r="G27" s="51" t="s">
        <v>179</v>
      </c>
      <c r="H27" s="51" t="s">
        <v>137</v>
      </c>
      <c r="I27" s="9" t="s">
        <v>34</v>
      </c>
      <c r="J27" s="9" t="s">
        <v>34</v>
      </c>
      <c r="K27" s="9"/>
      <c r="L27" s="9"/>
      <c r="M27" s="9"/>
      <c r="N27" s="9"/>
      <c r="O27" s="9"/>
      <c r="P27" s="9"/>
      <c r="Q27" s="48"/>
      <c r="R27" s="49"/>
      <c r="S27" s="144"/>
      <c r="T27" s="145"/>
    </row>
    <row r="28" spans="1:20" s="11" customFormat="1">
      <c r="A28" s="9">
        <f>IF(D28="","",IF(B28="*",MAX($A$10:A27)+10,MAX($A$10:A27)))</f>
        <v>20</v>
      </c>
      <c r="B28" s="9"/>
      <c r="C28" s="9"/>
      <c r="D28" s="9" t="s">
        <v>75</v>
      </c>
      <c r="E28" s="9" t="s">
        <v>54</v>
      </c>
      <c r="F28" s="50"/>
      <c r="G28" s="51" t="s">
        <v>180</v>
      </c>
      <c r="H28" s="51" t="s">
        <v>138</v>
      </c>
      <c r="I28" s="9" t="s">
        <v>34</v>
      </c>
      <c r="J28" s="9" t="s">
        <v>34</v>
      </c>
      <c r="K28" s="9"/>
      <c r="L28" s="9"/>
      <c r="M28" s="9"/>
      <c r="N28" s="9"/>
      <c r="O28" s="9"/>
      <c r="P28" s="9"/>
      <c r="Q28" s="48"/>
      <c r="R28" s="49"/>
      <c r="S28" s="144"/>
      <c r="T28" s="145"/>
    </row>
    <row r="29" spans="1:20" s="11" customFormat="1">
      <c r="A29" s="9">
        <f>IF(D29="","",IF(B29="*",MAX($A$10:A28)+10,MAX($A$10:A28)))</f>
        <v>20</v>
      </c>
      <c r="B29" s="9"/>
      <c r="C29" s="9"/>
      <c r="D29" s="9" t="s">
        <v>121</v>
      </c>
      <c r="E29" s="9" t="s">
        <v>54</v>
      </c>
      <c r="F29" s="50"/>
      <c r="G29" s="51" t="s">
        <v>181</v>
      </c>
      <c r="H29" s="51" t="s">
        <v>139</v>
      </c>
      <c r="I29" s="9" t="s">
        <v>34</v>
      </c>
      <c r="J29" s="9" t="s">
        <v>34</v>
      </c>
      <c r="K29" s="9"/>
      <c r="L29" s="9"/>
      <c r="M29" s="9"/>
      <c r="N29" s="9"/>
      <c r="O29" s="9"/>
      <c r="P29" s="9"/>
      <c r="Q29" s="48"/>
      <c r="R29" s="49"/>
      <c r="S29" s="144"/>
      <c r="T29" s="145"/>
    </row>
    <row r="30" spans="1:20" s="11" customFormat="1">
      <c r="A30" s="9">
        <f>IF(D30="","",IF(B30="*",MAX($A$10:A29)+10,MAX($A$10:A29)))</f>
        <v>20</v>
      </c>
      <c r="B30" s="9"/>
      <c r="C30" s="9"/>
      <c r="D30" s="9" t="s">
        <v>59</v>
      </c>
      <c r="E30" s="9" t="s">
        <v>54</v>
      </c>
      <c r="F30" s="50"/>
      <c r="G30" s="51" t="s">
        <v>182</v>
      </c>
      <c r="H30" s="51" t="s">
        <v>140</v>
      </c>
      <c r="I30" s="9" t="s">
        <v>34</v>
      </c>
      <c r="J30" s="9" t="s">
        <v>34</v>
      </c>
      <c r="K30" s="9"/>
      <c r="L30" s="9"/>
      <c r="M30" s="9"/>
      <c r="N30" s="9"/>
      <c r="O30" s="9"/>
      <c r="P30" s="9"/>
      <c r="Q30" s="48"/>
      <c r="R30" s="49"/>
      <c r="S30" s="144"/>
      <c r="T30" s="145"/>
    </row>
    <row r="31" spans="1:20" s="11" customFormat="1">
      <c r="A31" s="9">
        <f>IF(D31="","",IF(B31="*",MAX($A$10:A30)+10,MAX($A$10:A30)))</f>
        <v>20</v>
      </c>
      <c r="B31" s="9"/>
      <c r="C31" s="9"/>
      <c r="D31" s="9" t="s">
        <v>112</v>
      </c>
      <c r="E31" s="9" t="s">
        <v>115</v>
      </c>
      <c r="F31" s="50"/>
      <c r="G31" s="51" t="s">
        <v>183</v>
      </c>
      <c r="H31" s="51" t="s">
        <v>141</v>
      </c>
      <c r="I31" s="9" t="s">
        <v>34</v>
      </c>
      <c r="J31" s="9" t="s">
        <v>34</v>
      </c>
      <c r="K31" s="9"/>
      <c r="L31" s="9"/>
      <c r="M31" s="9"/>
      <c r="N31" s="9"/>
      <c r="O31" s="9"/>
      <c r="P31" s="9"/>
      <c r="Q31" s="48"/>
      <c r="R31" s="49"/>
      <c r="S31" s="66"/>
      <c r="T31" s="67"/>
    </row>
    <row r="32" spans="1:20" s="11" customFormat="1">
      <c r="A32" s="9">
        <f>IF(D32="","",IF(B32="*",MAX($A$10:A31)+10,MAX($A$10:A31)))</f>
        <v>20</v>
      </c>
      <c r="B32" s="9"/>
      <c r="C32" s="9"/>
      <c r="D32" s="9" t="s">
        <v>117</v>
      </c>
      <c r="E32" s="9" t="s">
        <v>114</v>
      </c>
      <c r="F32" s="50"/>
      <c r="G32" s="51" t="s">
        <v>183</v>
      </c>
      <c r="H32" s="51" t="s">
        <v>142</v>
      </c>
      <c r="I32" s="9" t="s">
        <v>34</v>
      </c>
      <c r="J32" s="9" t="s">
        <v>34</v>
      </c>
      <c r="K32" s="9"/>
      <c r="L32" s="9"/>
      <c r="M32" s="9"/>
      <c r="N32" s="9"/>
      <c r="O32" s="9"/>
      <c r="P32" s="9"/>
      <c r="Q32" s="48"/>
      <c r="R32" s="49"/>
      <c r="S32" s="66"/>
      <c r="T32" s="67"/>
    </row>
    <row r="33" spans="1:20" s="11" customFormat="1">
      <c r="A33" s="9">
        <f>IF(D33="","",IF(B33="*",MAX($A$10:A32)+10,MAX($A$10:A32)))</f>
        <v>20</v>
      </c>
      <c r="B33" s="9"/>
      <c r="C33" s="9"/>
      <c r="D33" s="9" t="s">
        <v>119</v>
      </c>
      <c r="E33" s="9" t="s">
        <v>114</v>
      </c>
      <c r="F33" s="50"/>
      <c r="G33" s="51" t="s">
        <v>184</v>
      </c>
      <c r="H33" s="51" t="s">
        <v>143</v>
      </c>
      <c r="I33" s="9" t="s">
        <v>34</v>
      </c>
      <c r="J33" s="9" t="s">
        <v>34</v>
      </c>
      <c r="K33" s="9"/>
      <c r="L33" s="9"/>
      <c r="M33" s="9"/>
      <c r="N33" s="9"/>
      <c r="O33" s="9"/>
      <c r="P33" s="9"/>
      <c r="Q33" s="48"/>
      <c r="R33" s="49"/>
      <c r="S33" s="66"/>
      <c r="T33" s="67"/>
    </row>
    <row r="34" spans="1:20" s="11" customFormat="1">
      <c r="A34" s="56"/>
      <c r="B34" s="30"/>
      <c r="C34" s="30"/>
      <c r="D34" s="57" t="s">
        <v>0</v>
      </c>
      <c r="E34" s="31"/>
      <c r="F34" s="32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58"/>
    </row>
    <row r="35" spans="1:20" s="11" customFormat="1">
      <c r="A35" s="73"/>
      <c r="T35" s="52"/>
    </row>
    <row r="36" spans="1:20" s="11" customFormat="1">
      <c r="A36" s="73"/>
      <c r="T36" s="52"/>
    </row>
    <row r="37" spans="1:20" s="11" customFormat="1">
      <c r="A37" s="73"/>
      <c r="T37" s="52"/>
    </row>
    <row r="38" spans="1:20" s="11" customFormat="1">
      <c r="A38" s="73"/>
      <c r="T38" s="52"/>
    </row>
    <row r="39" spans="1:20" s="11" customFormat="1">
      <c r="A39" s="73"/>
      <c r="T39" s="52"/>
    </row>
    <row r="40" spans="1:20" s="11" customFormat="1">
      <c r="A40" s="73"/>
      <c r="T40" s="52"/>
    </row>
    <row r="41" spans="1:20" s="11" customFormat="1">
      <c r="A41" s="73"/>
      <c r="T41" s="52"/>
    </row>
    <row r="42" spans="1:20" s="11" customFormat="1">
      <c r="A42" s="73"/>
      <c r="T42" s="52"/>
    </row>
    <row r="43" spans="1:20" s="11" customFormat="1">
      <c r="A43" s="78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20"/>
    </row>
  </sheetData>
  <sheetProtection formatCells="0" formatColumns="0" formatRows="0" insertColumns="0" insertRows="0" insertHyperlinks="0" deleteColumns="0" deleteRows="0"/>
  <mergeCells count="15">
    <mergeCell ref="S12:T12"/>
    <mergeCell ref="S13:T13"/>
    <mergeCell ref="S15:T15"/>
    <mergeCell ref="S30:T30"/>
    <mergeCell ref="S14:T14"/>
    <mergeCell ref="S18:T18"/>
    <mergeCell ref="S19:T19"/>
    <mergeCell ref="S20:T20"/>
    <mergeCell ref="S21:T21"/>
    <mergeCell ref="S29:T29"/>
    <mergeCell ref="Q17:R17"/>
    <mergeCell ref="S17:T17"/>
    <mergeCell ref="S16:T16"/>
    <mergeCell ref="S27:T27"/>
    <mergeCell ref="S28:T28"/>
  </mergeCells>
  <phoneticPr fontId="2"/>
  <pageMargins left="0.2" right="0.43307086614173229" top="0.55118110236220474" bottom="0.38" header="0.55118110236220474" footer="0.11811023622047245"/>
  <pageSetup paperSize="9" scale="46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44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59" bestFit="1" customWidth="1"/>
    <col min="7" max="7" width="30.81640625" style="27" customWidth="1"/>
    <col min="8" max="8" width="32.81640625" style="27" bestFit="1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12.8164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69" t="s">
        <v>17</v>
      </c>
      <c r="B1" s="69" t="s">
        <v>17</v>
      </c>
      <c r="C1" s="69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70" t="s">
        <v>17</v>
      </c>
      <c r="B2" s="71"/>
      <c r="C2" s="71"/>
      <c r="D2" s="83" t="s">
        <v>150</v>
      </c>
      <c r="E2" s="7" t="s">
        <v>2</v>
      </c>
      <c r="F2" s="72" t="str">
        <f>IF(LogicCommon!C2="","",LogicCommon!C2)</f>
        <v>MB</v>
      </c>
      <c r="G2" s="7" t="s">
        <v>3</v>
      </c>
      <c r="H2" s="72" t="str">
        <f>IF(LogicCommon!E2="","",LogicCommon!E2)</f>
        <v>MBBEL0090</v>
      </c>
      <c r="I2" s="7" t="s">
        <v>38</v>
      </c>
      <c r="J2" s="9" t="s">
        <v>65</v>
      </c>
      <c r="K2" s="7" t="s">
        <v>15</v>
      </c>
      <c r="L2" s="72" t="str">
        <f>IF(LogicCommon!G2="","",LogicCommon!G2)</f>
        <v>MC</v>
      </c>
      <c r="M2" s="5" t="s">
        <v>35</v>
      </c>
      <c r="N2" s="29" t="s">
        <v>128</v>
      </c>
      <c r="O2" s="7"/>
      <c r="P2" s="7"/>
      <c r="Q2" s="4"/>
      <c r="R2" s="5"/>
      <c r="S2" s="5"/>
      <c r="T2" s="5"/>
    </row>
    <row r="3" spans="1:20" s="11" customFormat="1">
      <c r="A3" s="73" t="s">
        <v>17</v>
      </c>
      <c r="B3" s="74"/>
      <c r="C3" s="74"/>
      <c r="D3" s="75"/>
      <c r="E3" s="7" t="s">
        <v>4</v>
      </c>
      <c r="F3" s="72" t="str">
        <f>IF(LogicCommon!C3="","",LogicCommon!C3)</f>
        <v>MBBE</v>
      </c>
      <c r="G3" s="7" t="s">
        <v>5</v>
      </c>
      <c r="H3" s="72" t="str">
        <f>IF(LogicCommon!E3="","",LogicCommon!E3)</f>
        <v>MBBEL_BulkImpReg</v>
      </c>
      <c r="I3" s="7" t="s">
        <v>39</v>
      </c>
      <c r="J3" s="9" t="s">
        <v>26</v>
      </c>
      <c r="K3" s="7" t="s">
        <v>14</v>
      </c>
      <c r="L3" s="72"/>
      <c r="M3" s="76" t="s">
        <v>24</v>
      </c>
      <c r="N3" s="7"/>
      <c r="O3" s="7" t="s">
        <v>33</v>
      </c>
      <c r="P3" s="9" t="s">
        <v>42</v>
      </c>
      <c r="Q3" s="4"/>
      <c r="R3" s="5"/>
      <c r="S3" s="5"/>
      <c r="T3" s="5"/>
    </row>
    <row r="4" spans="1:20" s="11" customFormat="1">
      <c r="A4" s="73" t="s">
        <v>17</v>
      </c>
      <c r="B4" s="74"/>
      <c r="C4" s="74"/>
      <c r="D4" s="4"/>
      <c r="E4" s="7" t="s">
        <v>25</v>
      </c>
      <c r="F4" s="10" t="s">
        <v>43</v>
      </c>
      <c r="G4" s="7" t="s">
        <v>6</v>
      </c>
      <c r="H4" s="72" t="str">
        <f>IF(LogicCommon!E4="","",LogicCommon!E4)</f>
        <v>まとめ登録ツール</v>
      </c>
      <c r="I4" s="7" t="s">
        <v>44</v>
      </c>
      <c r="J4" s="9" t="s">
        <v>66</v>
      </c>
      <c r="K4" s="7" t="s">
        <v>7</v>
      </c>
      <c r="L4" s="72" t="str">
        <f>IF(LogicCommon!G4="","",LogicCommon!G4)</f>
        <v>MB.MBUDL5010</v>
      </c>
      <c r="M4" s="77"/>
      <c r="N4" s="29"/>
      <c r="O4" s="13"/>
      <c r="P4" s="4"/>
      <c r="Q4" s="4"/>
      <c r="R4" s="5"/>
      <c r="S4" s="5"/>
      <c r="T4" s="5"/>
    </row>
    <row r="5" spans="1:20" s="11" customFormat="1">
      <c r="A5" s="78" t="s">
        <v>17</v>
      </c>
      <c r="B5" s="69"/>
      <c r="C5" s="69"/>
      <c r="D5" s="26"/>
      <c r="E5" s="7" t="s">
        <v>41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3" t="s">
        <v>17</v>
      </c>
      <c r="B6" s="74"/>
      <c r="C6" s="74"/>
      <c r="D6" s="4" t="s">
        <v>8</v>
      </c>
      <c r="E6" s="17" t="s">
        <v>105</v>
      </c>
      <c r="F6" s="17"/>
      <c r="G6" s="17"/>
      <c r="H6" s="17"/>
      <c r="I6" s="17"/>
      <c r="J6" s="17"/>
      <c r="K6" s="17"/>
      <c r="L6" s="80" t="s">
        <v>37</v>
      </c>
      <c r="M6" s="19"/>
      <c r="N6" s="19" t="s">
        <v>37</v>
      </c>
      <c r="O6" s="19"/>
      <c r="P6" s="19" t="s">
        <v>37</v>
      </c>
      <c r="Q6" s="19"/>
      <c r="R6" s="27"/>
      <c r="S6" s="27"/>
      <c r="T6" s="27"/>
    </row>
    <row r="7" spans="1:20" s="11" customFormat="1">
      <c r="A7" s="30" t="s">
        <v>18</v>
      </c>
      <c r="B7" s="30"/>
      <c r="C7" s="30"/>
      <c r="D7" s="31"/>
      <c r="E7" s="31"/>
      <c r="F7" s="32"/>
      <c r="G7" s="31"/>
      <c r="H7" s="31"/>
      <c r="I7" s="31" t="s">
        <v>19</v>
      </c>
      <c r="J7" s="31"/>
      <c r="K7" s="33" t="s">
        <v>20</v>
      </c>
      <c r="L7" s="34"/>
      <c r="M7" s="33" t="s">
        <v>20</v>
      </c>
      <c r="N7" s="34"/>
      <c r="O7" s="33" t="s">
        <v>20</v>
      </c>
      <c r="P7" s="34"/>
      <c r="Q7" s="27"/>
      <c r="R7" s="27"/>
      <c r="S7" s="27"/>
      <c r="T7" s="27"/>
    </row>
    <row r="8" spans="1:20" s="11" customFormat="1" ht="60" customHeight="1">
      <c r="A8" s="50" t="s">
        <v>18</v>
      </c>
      <c r="B8" s="86"/>
      <c r="C8" s="87"/>
      <c r="D8" s="84" t="s">
        <v>151</v>
      </c>
      <c r="E8" s="84" t="s">
        <v>152</v>
      </c>
      <c r="F8" s="80"/>
      <c r="G8" s="84" t="s">
        <v>45</v>
      </c>
      <c r="H8" s="84" t="s">
        <v>153</v>
      </c>
      <c r="I8" s="80"/>
      <c r="J8" s="3"/>
      <c r="K8" s="33" t="s">
        <v>21</v>
      </c>
      <c r="L8" s="34"/>
      <c r="M8" s="33"/>
      <c r="N8" s="34"/>
      <c r="O8" s="33"/>
      <c r="P8" s="34"/>
      <c r="Q8" s="88"/>
      <c r="R8" s="89"/>
      <c r="S8" s="90" t="s">
        <v>154</v>
      </c>
      <c r="T8" s="49"/>
    </row>
    <row r="9" spans="1:20" s="11" customFormat="1" ht="60" customHeight="1">
      <c r="A9" s="9" t="s">
        <v>18</v>
      </c>
      <c r="B9" s="35"/>
      <c r="C9" s="36"/>
      <c r="D9" s="84" t="s">
        <v>155</v>
      </c>
      <c r="E9" s="81" t="s">
        <v>156</v>
      </c>
      <c r="F9" s="84" t="s">
        <v>157</v>
      </c>
      <c r="G9" s="84" t="s">
        <v>158</v>
      </c>
      <c r="H9" s="84" t="s">
        <v>159</v>
      </c>
      <c r="I9" s="82" t="s">
        <v>160</v>
      </c>
      <c r="J9" s="84" t="s">
        <v>161</v>
      </c>
      <c r="K9" s="33"/>
      <c r="L9" s="33"/>
      <c r="M9" s="33"/>
      <c r="N9" s="33"/>
      <c r="O9" s="33"/>
      <c r="P9" s="33"/>
      <c r="Q9" s="90" t="s">
        <v>162</v>
      </c>
      <c r="R9" s="49"/>
      <c r="S9" s="90" t="s">
        <v>163</v>
      </c>
      <c r="T9" s="49"/>
    </row>
    <row r="10" spans="1:20" s="11" customFormat="1" ht="52">
      <c r="A10" s="38" t="s">
        <v>18</v>
      </c>
      <c r="B10" s="39"/>
      <c r="C10" s="39"/>
      <c r="D10" s="40"/>
      <c r="E10" s="41"/>
      <c r="F10" s="42"/>
      <c r="G10" s="43"/>
      <c r="H10" s="43"/>
      <c r="I10" s="41"/>
      <c r="J10" s="41"/>
      <c r="K10" s="85" t="s">
        <v>160</v>
      </c>
      <c r="L10" s="85" t="s">
        <v>161</v>
      </c>
      <c r="M10" s="85" t="s">
        <v>160</v>
      </c>
      <c r="N10" s="85" t="s">
        <v>161</v>
      </c>
      <c r="O10" s="85" t="s">
        <v>160</v>
      </c>
      <c r="P10" s="85" t="s">
        <v>161</v>
      </c>
      <c r="Q10" s="41"/>
      <c r="R10" s="41"/>
      <c r="S10" s="43"/>
      <c r="T10" s="37"/>
    </row>
    <row r="11" spans="1:20" s="11" customFormat="1">
      <c r="A11" s="9">
        <f>IF(D11="","",IF(B11="*",MAX($A$10:A10)+10,MAX($A$10:A10)))</f>
        <v>10</v>
      </c>
      <c r="B11" s="35" t="s">
        <v>16</v>
      </c>
      <c r="C11" s="36"/>
      <c r="D11" s="29" t="s">
        <v>67</v>
      </c>
      <c r="E11" s="44" t="s">
        <v>23</v>
      </c>
      <c r="F11" s="45"/>
      <c r="G11" s="29" t="s">
        <v>29</v>
      </c>
      <c r="H11" s="46" t="s">
        <v>145</v>
      </c>
      <c r="I11" s="47"/>
      <c r="J11" s="60"/>
      <c r="K11" s="34"/>
      <c r="L11" s="34"/>
      <c r="M11" s="34"/>
      <c r="N11" s="34"/>
      <c r="O11" s="34"/>
      <c r="P11" s="34"/>
      <c r="Q11" s="48"/>
      <c r="R11" s="49"/>
      <c r="S11" s="66"/>
      <c r="T11" s="68"/>
    </row>
    <row r="12" spans="1:20" s="11" customFormat="1">
      <c r="A12" s="9">
        <f>IF(D12="","",IF(B12="*",MAX($A$10:A11)+10,MAX($A$10:A11)))</f>
        <v>10</v>
      </c>
      <c r="B12" s="9"/>
      <c r="C12" s="9"/>
      <c r="D12" s="9" t="s">
        <v>90</v>
      </c>
      <c r="E12" s="50" t="s">
        <v>92</v>
      </c>
      <c r="F12" s="50"/>
      <c r="G12" s="51" t="s">
        <v>164</v>
      </c>
      <c r="H12" s="51" t="s">
        <v>94</v>
      </c>
      <c r="I12" s="9" t="s">
        <v>34</v>
      </c>
      <c r="J12" s="9" t="s">
        <v>34</v>
      </c>
      <c r="K12" s="9"/>
      <c r="L12" s="9"/>
      <c r="M12" s="9"/>
      <c r="N12" s="9"/>
      <c r="O12" s="9"/>
      <c r="P12" s="9"/>
      <c r="Q12" s="48"/>
      <c r="R12" s="49"/>
      <c r="S12" s="144"/>
      <c r="T12" s="145"/>
    </row>
    <row r="13" spans="1:20" s="11" customFormat="1">
      <c r="A13" s="9">
        <f>IF(D13="","",IF(B13="*",MAX($A$10:A12)+10,MAX($A$10:A12)))</f>
        <v>10</v>
      </c>
      <c r="B13" s="9"/>
      <c r="C13" s="9"/>
      <c r="D13" s="9" t="s">
        <v>98</v>
      </c>
      <c r="E13" s="50" t="s">
        <v>109</v>
      </c>
      <c r="F13" s="50"/>
      <c r="G13" s="51" t="s">
        <v>168</v>
      </c>
      <c r="H13" s="51" t="s">
        <v>132</v>
      </c>
      <c r="I13" s="9" t="s">
        <v>34</v>
      </c>
      <c r="J13" s="9" t="s">
        <v>34</v>
      </c>
      <c r="K13" s="9"/>
      <c r="L13" s="9"/>
      <c r="M13" s="9"/>
      <c r="N13" s="9"/>
      <c r="O13" s="9"/>
      <c r="P13" s="9"/>
      <c r="Q13" s="48"/>
      <c r="R13" s="49"/>
      <c r="S13" s="144"/>
      <c r="T13" s="145"/>
    </row>
    <row r="14" spans="1:20" s="11" customFormat="1">
      <c r="A14" s="9">
        <f>IF(D14="","",IF(B14="*",MAX($A$10:A13)+10,MAX($A$10:A13)))</f>
        <v>10</v>
      </c>
      <c r="B14" s="9"/>
      <c r="C14" s="9"/>
      <c r="D14" s="9" t="s">
        <v>46</v>
      </c>
      <c r="E14" s="50" t="s">
        <v>93</v>
      </c>
      <c r="F14" s="50"/>
      <c r="G14" s="51" t="s">
        <v>166</v>
      </c>
      <c r="H14" s="51" t="s">
        <v>130</v>
      </c>
      <c r="I14" s="9" t="s">
        <v>40</v>
      </c>
      <c r="J14" s="9" t="s">
        <v>34</v>
      </c>
      <c r="K14" s="9"/>
      <c r="L14" s="9"/>
      <c r="M14" s="9"/>
      <c r="N14" s="9"/>
      <c r="O14" s="9"/>
      <c r="P14" s="9"/>
      <c r="Q14" s="48"/>
      <c r="R14" s="49"/>
      <c r="S14" s="144"/>
      <c r="T14" s="145"/>
    </row>
    <row r="15" spans="1:20" s="11" customFormat="1">
      <c r="A15" s="9">
        <f>IF(D15="","",IF(B15="*",MAX($A$10:A14)+10,MAX($A$10:A14)))</f>
        <v>10</v>
      </c>
      <c r="B15" s="9"/>
      <c r="C15" s="9"/>
      <c r="D15" s="9" t="s">
        <v>99</v>
      </c>
      <c r="E15" s="50" t="s">
        <v>109</v>
      </c>
      <c r="F15" s="50"/>
      <c r="G15" s="51" t="s">
        <v>169</v>
      </c>
      <c r="H15" s="51" t="s">
        <v>133</v>
      </c>
      <c r="I15" s="9" t="s">
        <v>34</v>
      </c>
      <c r="J15" s="9" t="s">
        <v>34</v>
      </c>
      <c r="K15" s="9"/>
      <c r="L15" s="9"/>
      <c r="M15" s="9"/>
      <c r="N15" s="9"/>
      <c r="O15" s="9"/>
      <c r="P15" s="9"/>
      <c r="Q15" s="48"/>
      <c r="R15" s="49"/>
      <c r="S15" s="144"/>
      <c r="T15" s="145"/>
    </row>
    <row r="16" spans="1:20" s="11" customFormat="1">
      <c r="A16" s="9">
        <f>IF(D16="","",IF(B16="*",MAX($A$10:A15)+10,MAX($A$10:A15)))</f>
        <v>10</v>
      </c>
      <c r="B16" s="9"/>
      <c r="C16" s="9"/>
      <c r="D16" s="9" t="s">
        <v>71</v>
      </c>
      <c r="E16" s="50" t="s">
        <v>102</v>
      </c>
      <c r="F16" s="50"/>
      <c r="G16" s="51" t="s">
        <v>170</v>
      </c>
      <c r="H16" s="51" t="s">
        <v>134</v>
      </c>
      <c r="I16" s="9" t="s">
        <v>40</v>
      </c>
      <c r="J16" s="9" t="s">
        <v>34</v>
      </c>
      <c r="K16" s="9"/>
      <c r="L16" s="9"/>
      <c r="M16" s="9"/>
      <c r="N16" s="9"/>
      <c r="O16" s="9"/>
      <c r="P16" s="9"/>
      <c r="Q16" s="48"/>
      <c r="R16" s="49"/>
      <c r="S16" s="144"/>
      <c r="T16" s="145"/>
    </row>
    <row r="17" spans="1:20" s="11" customFormat="1">
      <c r="A17" s="9">
        <f>IF(D17="","",IF(B17="*",MAX($A$10:A16)+10,MAX($A$10:A16)))</f>
        <v>10</v>
      </c>
      <c r="B17" s="9"/>
      <c r="C17" s="9"/>
      <c r="D17" s="9" t="s">
        <v>55</v>
      </c>
      <c r="E17" s="50" t="s">
        <v>48</v>
      </c>
      <c r="F17" s="50"/>
      <c r="G17" s="51" t="s">
        <v>171</v>
      </c>
      <c r="H17" s="51" t="s">
        <v>56</v>
      </c>
      <c r="I17" s="9" t="s">
        <v>34</v>
      </c>
      <c r="J17" s="9" t="s">
        <v>34</v>
      </c>
      <c r="K17" s="9"/>
      <c r="L17" s="9"/>
      <c r="M17" s="9"/>
      <c r="N17" s="9"/>
      <c r="O17" s="9"/>
      <c r="P17" s="9"/>
      <c r="Q17" s="147"/>
      <c r="R17" s="148"/>
      <c r="S17" s="149"/>
      <c r="T17" s="150"/>
    </row>
    <row r="18" spans="1:20" s="11" customFormat="1">
      <c r="A18" s="9">
        <f>IF(D18="","",IF(B18="*",MAX($A$10:A17)+10,MAX($A$10:A17)))</f>
        <v>10</v>
      </c>
      <c r="B18" s="9"/>
      <c r="C18" s="9"/>
      <c r="D18" s="9" t="s">
        <v>87</v>
      </c>
      <c r="E18" s="50" t="s">
        <v>48</v>
      </c>
      <c r="F18" s="50"/>
      <c r="G18" s="51" t="s">
        <v>172</v>
      </c>
      <c r="H18" s="51" t="s">
        <v>88</v>
      </c>
      <c r="I18" s="9" t="s">
        <v>34</v>
      </c>
      <c r="J18" s="9" t="s">
        <v>34</v>
      </c>
      <c r="K18" s="9"/>
      <c r="L18" s="9"/>
      <c r="M18" s="9"/>
      <c r="N18" s="9"/>
      <c r="O18" s="9"/>
      <c r="P18" s="9"/>
      <c r="Q18" s="48"/>
      <c r="R18" s="49"/>
      <c r="S18" s="144"/>
      <c r="T18" s="145"/>
    </row>
    <row r="19" spans="1:20" s="11" customFormat="1">
      <c r="A19" s="9">
        <f>IF(D19="","",IF(B19="*",MAX($A$10:A18)+10,MAX($A$10:A18)))</f>
        <v>10</v>
      </c>
      <c r="B19" s="9"/>
      <c r="C19" s="9"/>
      <c r="D19" s="9" t="s">
        <v>82</v>
      </c>
      <c r="E19" s="50" t="s">
        <v>101</v>
      </c>
      <c r="F19" s="50"/>
      <c r="G19" s="51" t="s">
        <v>173</v>
      </c>
      <c r="H19" s="51" t="s">
        <v>85</v>
      </c>
      <c r="I19" s="9" t="s">
        <v>34</v>
      </c>
      <c r="J19" s="9" t="s">
        <v>34</v>
      </c>
      <c r="K19" s="9"/>
      <c r="L19" s="9"/>
      <c r="M19" s="9"/>
      <c r="N19" s="9"/>
      <c r="O19" s="9"/>
      <c r="P19" s="9"/>
      <c r="Q19" s="48"/>
      <c r="R19" s="49"/>
      <c r="S19" s="144"/>
      <c r="T19" s="145"/>
    </row>
    <row r="20" spans="1:20" s="11" customFormat="1">
      <c r="A20" s="9">
        <f>IF(D20="","",IF(B20="*",MAX($A$10:A19)+10,MAX($A$10:A19)))</f>
        <v>10</v>
      </c>
      <c r="B20" s="9"/>
      <c r="C20" s="9"/>
      <c r="D20" s="9" t="s">
        <v>83</v>
      </c>
      <c r="E20" s="50" t="s">
        <v>100</v>
      </c>
      <c r="F20" s="50"/>
      <c r="G20" s="51" t="s">
        <v>174</v>
      </c>
      <c r="H20" s="51" t="s">
        <v>86</v>
      </c>
      <c r="I20" s="9" t="s">
        <v>34</v>
      </c>
      <c r="J20" s="9" t="s">
        <v>34</v>
      </c>
      <c r="K20" s="9"/>
      <c r="L20" s="9"/>
      <c r="M20" s="9"/>
      <c r="N20" s="9"/>
      <c r="O20" s="9"/>
      <c r="P20" s="9"/>
      <c r="Q20" s="48"/>
      <c r="R20" s="49"/>
      <c r="S20" s="144"/>
      <c r="T20" s="145"/>
    </row>
    <row r="21" spans="1:20" s="11" customFormat="1">
      <c r="A21" s="9">
        <f>IF(D21="","",IF(B21="*",MAX($A$10:A20)+10,MAX($A$10:A20)))</f>
        <v>10</v>
      </c>
      <c r="B21" s="9"/>
      <c r="C21" s="9"/>
      <c r="D21" s="9" t="s">
        <v>84</v>
      </c>
      <c r="E21" s="50" t="s">
        <v>100</v>
      </c>
      <c r="F21" s="50"/>
      <c r="G21" s="51" t="s">
        <v>175</v>
      </c>
      <c r="H21" s="51" t="s">
        <v>135</v>
      </c>
      <c r="I21" s="9" t="s">
        <v>34</v>
      </c>
      <c r="J21" s="9" t="s">
        <v>34</v>
      </c>
      <c r="K21" s="9"/>
      <c r="L21" s="9"/>
      <c r="M21" s="9"/>
      <c r="N21" s="9"/>
      <c r="O21" s="9"/>
      <c r="P21" s="9"/>
      <c r="Q21" s="48"/>
      <c r="R21" s="49"/>
      <c r="S21" s="144"/>
      <c r="T21" s="145"/>
    </row>
    <row r="22" spans="1:20" s="11" customFormat="1">
      <c r="A22" s="9">
        <f>IF(D22="","",IF(B22="*",MAX($A$10:A21)+10,MAX($A$10:A21)))</f>
        <v>10</v>
      </c>
      <c r="B22" s="9"/>
      <c r="C22" s="9"/>
      <c r="D22" s="9" t="s">
        <v>122</v>
      </c>
      <c r="E22" s="9" t="s">
        <v>54</v>
      </c>
      <c r="F22" s="50"/>
      <c r="G22" s="51" t="s">
        <v>176</v>
      </c>
      <c r="H22" s="51" t="s">
        <v>124</v>
      </c>
      <c r="I22" s="9" t="s">
        <v>34</v>
      </c>
      <c r="J22" s="9" t="s">
        <v>34</v>
      </c>
      <c r="K22" s="9"/>
      <c r="L22" s="9"/>
      <c r="M22" s="9"/>
      <c r="N22" s="9"/>
      <c r="O22" s="9"/>
      <c r="P22" s="9"/>
      <c r="Q22" s="48"/>
      <c r="R22" s="49"/>
      <c r="S22" s="66"/>
      <c r="T22" s="67"/>
    </row>
    <row r="23" spans="1:20" s="11" customFormat="1">
      <c r="A23" s="9">
        <f>IF(D23="","",IF(B23="*",MAX($A$10:A22)+10,MAX($A$10:A22)))</f>
        <v>10</v>
      </c>
      <c r="B23" s="9"/>
      <c r="C23" s="9"/>
      <c r="D23" s="9" t="s">
        <v>123</v>
      </c>
      <c r="E23" s="9" t="s">
        <v>54</v>
      </c>
      <c r="F23" s="50"/>
      <c r="G23" s="51" t="s">
        <v>177</v>
      </c>
      <c r="H23" s="51" t="s">
        <v>136</v>
      </c>
      <c r="I23" s="9" t="s">
        <v>34</v>
      </c>
      <c r="J23" s="9" t="s">
        <v>34</v>
      </c>
      <c r="K23" s="9"/>
      <c r="L23" s="9"/>
      <c r="M23" s="9"/>
      <c r="N23" s="9"/>
      <c r="O23" s="9"/>
      <c r="P23" s="9"/>
      <c r="Q23" s="48"/>
      <c r="R23" s="49"/>
      <c r="S23" s="66"/>
      <c r="T23" s="67"/>
    </row>
    <row r="24" spans="1:20" s="11" customFormat="1" ht="52">
      <c r="A24" s="73" t="str">
        <f>IF(D24="","",IF(B24="*",MAX($A$10:A23)+10,MAX($A$10:A23)))</f>
        <v/>
      </c>
      <c r="K24" s="11" t="s">
        <v>160</v>
      </c>
      <c r="L24" s="11" t="s">
        <v>161</v>
      </c>
      <c r="M24" s="11" t="s">
        <v>160</v>
      </c>
      <c r="N24" s="11" t="s">
        <v>161</v>
      </c>
      <c r="O24" s="11" t="s">
        <v>160</v>
      </c>
      <c r="P24" s="11" t="s">
        <v>161</v>
      </c>
      <c r="T24" s="52"/>
    </row>
    <row r="25" spans="1:20" s="11" customFormat="1">
      <c r="A25" s="9">
        <f>IF(D25="","",IF(B25="*",MAX($A$10:A24)+10,MAX($A$10:A24)))</f>
        <v>20</v>
      </c>
      <c r="B25" s="35" t="s">
        <v>16</v>
      </c>
      <c r="C25" s="36"/>
      <c r="D25" s="29" t="s">
        <v>68</v>
      </c>
      <c r="E25" s="44" t="s">
        <v>22</v>
      </c>
      <c r="F25" s="53"/>
      <c r="G25" s="29" t="s">
        <v>29</v>
      </c>
      <c r="H25" s="46" t="s">
        <v>146</v>
      </c>
      <c r="I25" s="54"/>
      <c r="J25" s="53"/>
      <c r="K25" s="34"/>
      <c r="L25" s="34"/>
      <c r="M25" s="34"/>
      <c r="N25" s="34"/>
      <c r="O25" s="34"/>
      <c r="P25" s="34"/>
      <c r="Q25" s="48"/>
      <c r="R25" s="49"/>
      <c r="S25" s="66"/>
      <c r="T25" s="68"/>
    </row>
    <row r="26" spans="1:20" s="11" customFormat="1">
      <c r="A26" s="9">
        <f>IF(D26="","",IF(B26="*",MAX($A$10:A25)+10,MAX($A$10:A25)))</f>
        <v>20</v>
      </c>
      <c r="B26" s="9"/>
      <c r="C26" s="9"/>
      <c r="D26" s="9" t="s">
        <v>78</v>
      </c>
      <c r="E26" s="9" t="s">
        <v>54</v>
      </c>
      <c r="F26" s="50"/>
      <c r="G26" s="51" t="s">
        <v>178</v>
      </c>
      <c r="H26" s="51" t="s">
        <v>73</v>
      </c>
      <c r="I26" s="9" t="s">
        <v>34</v>
      </c>
      <c r="J26" s="9" t="s">
        <v>34</v>
      </c>
      <c r="K26" s="9"/>
      <c r="L26" s="9"/>
      <c r="M26" s="9"/>
      <c r="N26" s="9"/>
      <c r="O26" s="9"/>
      <c r="P26" s="9"/>
      <c r="Q26" s="48"/>
      <c r="R26" s="49"/>
      <c r="S26" s="66"/>
      <c r="T26" s="67"/>
    </row>
    <row r="27" spans="1:20" s="11" customFormat="1">
      <c r="A27" s="9">
        <f>IF(D27="","",IF(B27="*",MAX($A$10:A26)+10,MAX($A$10:A26)))</f>
        <v>20</v>
      </c>
      <c r="B27" s="9"/>
      <c r="C27" s="9"/>
      <c r="D27" s="9" t="s">
        <v>74</v>
      </c>
      <c r="E27" s="9" t="s">
        <v>54</v>
      </c>
      <c r="F27" s="50"/>
      <c r="G27" s="51" t="s">
        <v>179</v>
      </c>
      <c r="H27" s="51" t="s">
        <v>137</v>
      </c>
      <c r="I27" s="9" t="s">
        <v>34</v>
      </c>
      <c r="J27" s="9" t="s">
        <v>34</v>
      </c>
      <c r="K27" s="9"/>
      <c r="L27" s="9"/>
      <c r="M27" s="9"/>
      <c r="N27" s="9"/>
      <c r="O27" s="9"/>
      <c r="P27" s="9"/>
      <c r="Q27" s="48"/>
      <c r="R27" s="49"/>
      <c r="S27" s="144"/>
      <c r="T27" s="145"/>
    </row>
    <row r="28" spans="1:20" s="11" customFormat="1">
      <c r="A28" s="9">
        <f>IF(D28="","",IF(B28="*",MAX($A$10:A27)+10,MAX($A$10:A27)))</f>
        <v>20</v>
      </c>
      <c r="B28" s="9"/>
      <c r="C28" s="9"/>
      <c r="D28" s="9" t="s">
        <v>75</v>
      </c>
      <c r="E28" s="9" t="s">
        <v>54</v>
      </c>
      <c r="F28" s="50"/>
      <c r="G28" s="51" t="s">
        <v>180</v>
      </c>
      <c r="H28" s="51" t="s">
        <v>138</v>
      </c>
      <c r="I28" s="9" t="s">
        <v>34</v>
      </c>
      <c r="J28" s="9" t="s">
        <v>34</v>
      </c>
      <c r="K28" s="9"/>
      <c r="L28" s="9"/>
      <c r="M28" s="9"/>
      <c r="N28" s="9"/>
      <c r="O28" s="9"/>
      <c r="P28" s="9"/>
      <c r="Q28" s="48"/>
      <c r="R28" s="49"/>
      <c r="S28" s="144"/>
      <c r="T28" s="145"/>
    </row>
    <row r="29" spans="1:20" s="11" customFormat="1">
      <c r="A29" s="9">
        <f>IF(D29="","",IF(B29="*",MAX($A$10:A28)+10,MAX($A$10:A28)))</f>
        <v>20</v>
      </c>
      <c r="B29" s="9"/>
      <c r="C29" s="9"/>
      <c r="D29" s="9" t="s">
        <v>121</v>
      </c>
      <c r="E29" s="9" t="s">
        <v>54</v>
      </c>
      <c r="F29" s="50"/>
      <c r="G29" s="51" t="s">
        <v>181</v>
      </c>
      <c r="H29" s="51" t="s">
        <v>139</v>
      </c>
      <c r="I29" s="9" t="s">
        <v>34</v>
      </c>
      <c r="J29" s="9" t="s">
        <v>34</v>
      </c>
      <c r="K29" s="9"/>
      <c r="L29" s="9"/>
      <c r="M29" s="9"/>
      <c r="N29" s="9"/>
      <c r="O29" s="9"/>
      <c r="P29" s="9"/>
      <c r="Q29" s="48"/>
      <c r="R29" s="49"/>
      <c r="S29" s="144"/>
      <c r="T29" s="145"/>
    </row>
    <row r="30" spans="1:20" s="11" customFormat="1">
      <c r="A30" s="9">
        <f>IF(D30="","",IF(B30="*",MAX($A$10:A29)+10,MAX($A$10:A29)))</f>
        <v>20</v>
      </c>
      <c r="B30" s="9"/>
      <c r="C30" s="9"/>
      <c r="D30" s="9" t="s">
        <v>59</v>
      </c>
      <c r="E30" s="9" t="s">
        <v>54</v>
      </c>
      <c r="F30" s="50"/>
      <c r="G30" s="51" t="s">
        <v>182</v>
      </c>
      <c r="H30" s="51" t="s">
        <v>140</v>
      </c>
      <c r="I30" s="9" t="s">
        <v>34</v>
      </c>
      <c r="J30" s="9" t="s">
        <v>34</v>
      </c>
      <c r="K30" s="9"/>
      <c r="L30" s="9"/>
      <c r="M30" s="9"/>
      <c r="N30" s="9"/>
      <c r="O30" s="9"/>
      <c r="P30" s="9"/>
      <c r="Q30" s="48"/>
      <c r="R30" s="49"/>
      <c r="S30" s="144"/>
      <c r="T30" s="145"/>
    </row>
    <row r="31" spans="1:20" s="11" customFormat="1">
      <c r="A31" s="9">
        <f>IF(D31="","",IF(B31="*",MAX($A$10:A30)+10,MAX($A$10:A30)))</f>
        <v>20</v>
      </c>
      <c r="B31" s="9"/>
      <c r="C31" s="9"/>
      <c r="D31" s="9" t="s">
        <v>111</v>
      </c>
      <c r="E31" s="9" t="s">
        <v>114</v>
      </c>
      <c r="F31" s="50"/>
      <c r="G31" s="51" t="s">
        <v>183</v>
      </c>
      <c r="H31" s="51" t="s">
        <v>141</v>
      </c>
      <c r="I31" s="9" t="s">
        <v>40</v>
      </c>
      <c r="J31" s="9" t="s">
        <v>34</v>
      </c>
      <c r="K31" s="9"/>
      <c r="L31" s="9"/>
      <c r="M31" s="9"/>
      <c r="N31" s="9"/>
      <c r="O31" s="9"/>
      <c r="P31" s="9"/>
      <c r="Q31" s="48"/>
      <c r="R31" s="49"/>
      <c r="S31" s="66"/>
      <c r="T31" s="67"/>
    </row>
    <row r="32" spans="1:20" s="11" customFormat="1">
      <c r="A32" s="9">
        <f>IF(D32="","",IF(B32="*",MAX($A$10:A31)+10,MAX($A$10:A31)))</f>
        <v>20</v>
      </c>
      <c r="B32" s="9"/>
      <c r="C32" s="9"/>
      <c r="D32" s="9" t="s">
        <v>116</v>
      </c>
      <c r="E32" s="9" t="s">
        <v>114</v>
      </c>
      <c r="F32" s="50"/>
      <c r="G32" s="51" t="s">
        <v>183</v>
      </c>
      <c r="H32" s="51" t="s">
        <v>142</v>
      </c>
      <c r="I32" s="9" t="s">
        <v>34</v>
      </c>
      <c r="J32" s="9" t="s">
        <v>34</v>
      </c>
      <c r="K32" s="9"/>
      <c r="L32" s="9"/>
      <c r="M32" s="9"/>
      <c r="N32" s="9"/>
      <c r="O32" s="9"/>
      <c r="P32" s="9"/>
      <c r="Q32" s="48"/>
      <c r="R32" s="49"/>
      <c r="S32" s="66"/>
      <c r="T32" s="67"/>
    </row>
    <row r="33" spans="1:20" s="11" customFormat="1">
      <c r="A33" s="9">
        <f>IF(D33="","",IF(B33="*",MAX($A$10:A32)+10,MAX($A$10:A32)))</f>
        <v>20</v>
      </c>
      <c r="B33" s="9"/>
      <c r="C33" s="9"/>
      <c r="D33" s="9" t="s">
        <v>120</v>
      </c>
      <c r="E33" s="9" t="s">
        <v>114</v>
      </c>
      <c r="F33" s="50"/>
      <c r="G33" s="51" t="s">
        <v>184</v>
      </c>
      <c r="H33" s="51" t="s">
        <v>143</v>
      </c>
      <c r="I33" s="9" t="s">
        <v>34</v>
      </c>
      <c r="J33" s="9" t="s">
        <v>34</v>
      </c>
      <c r="K33" s="9"/>
      <c r="L33" s="9"/>
      <c r="M33" s="9"/>
      <c r="N33" s="9"/>
      <c r="O33" s="9"/>
      <c r="P33" s="9"/>
      <c r="Q33" s="48"/>
      <c r="R33" s="49"/>
      <c r="S33" s="66"/>
      <c r="T33" s="67"/>
    </row>
    <row r="34" spans="1:20" s="11" customFormat="1">
      <c r="A34" s="9">
        <f>IF(D34="","",IF(B34="*",MAX($A$10:A33)+10,MAX($A$10:A33)))</f>
        <v>20</v>
      </c>
      <c r="B34" s="9"/>
      <c r="C34" s="9"/>
      <c r="D34" s="9" t="s">
        <v>149</v>
      </c>
      <c r="E34" s="9" t="s">
        <v>147</v>
      </c>
      <c r="F34" s="50"/>
      <c r="G34" s="51" t="s">
        <v>186</v>
      </c>
      <c r="H34" s="51" t="s">
        <v>148</v>
      </c>
      <c r="I34" s="9" t="s">
        <v>40</v>
      </c>
      <c r="J34" s="9" t="s">
        <v>34</v>
      </c>
      <c r="K34" s="9"/>
      <c r="L34" s="9"/>
      <c r="M34" s="9"/>
      <c r="N34" s="9"/>
      <c r="O34" s="9"/>
      <c r="P34" s="9"/>
      <c r="Q34" s="48"/>
      <c r="R34" s="49"/>
      <c r="S34" s="66"/>
      <c r="T34" s="67"/>
    </row>
    <row r="35" spans="1:20" s="11" customFormat="1">
      <c r="A35" s="56"/>
      <c r="B35" s="30"/>
      <c r="C35" s="30"/>
      <c r="D35" s="57" t="s">
        <v>0</v>
      </c>
      <c r="E35" s="31"/>
      <c r="F35" s="32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58"/>
    </row>
    <row r="36" spans="1:20" s="11" customFormat="1">
      <c r="A36" s="73"/>
      <c r="T36" s="52"/>
    </row>
    <row r="37" spans="1:20" s="11" customFormat="1">
      <c r="A37" s="73"/>
      <c r="T37" s="52"/>
    </row>
    <row r="38" spans="1:20" s="11" customFormat="1">
      <c r="A38" s="73"/>
      <c r="T38" s="52"/>
    </row>
    <row r="39" spans="1:20" s="11" customFormat="1">
      <c r="A39" s="73"/>
      <c r="T39" s="52"/>
    </row>
    <row r="40" spans="1:20" s="11" customFormat="1">
      <c r="A40" s="73"/>
      <c r="T40" s="52"/>
    </row>
    <row r="41" spans="1:20" s="11" customFormat="1">
      <c r="A41" s="73"/>
      <c r="T41" s="52"/>
    </row>
    <row r="42" spans="1:20" s="11" customFormat="1">
      <c r="A42" s="73"/>
      <c r="T42" s="52"/>
    </row>
    <row r="43" spans="1:20" s="11" customFormat="1">
      <c r="A43" s="73"/>
      <c r="T43" s="52"/>
    </row>
    <row r="44" spans="1:20" s="11" customFormat="1">
      <c r="A44" s="78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20"/>
    </row>
  </sheetData>
  <sheetProtection formatCells="0" formatColumns="0" formatRows="0" insertColumns="0" insertRows="0" insertHyperlinks="0" deleteColumns="0" deleteRows="0"/>
  <mergeCells count="15">
    <mergeCell ref="S12:T12"/>
    <mergeCell ref="S13:T13"/>
    <mergeCell ref="S15:T15"/>
    <mergeCell ref="S30:T30"/>
    <mergeCell ref="S14:T14"/>
    <mergeCell ref="S28:T28"/>
    <mergeCell ref="S18:T18"/>
    <mergeCell ref="S19:T19"/>
    <mergeCell ref="S20:T20"/>
    <mergeCell ref="S21:T21"/>
    <mergeCell ref="Q17:R17"/>
    <mergeCell ref="S17:T17"/>
    <mergeCell ref="S16:T16"/>
    <mergeCell ref="S27:T27"/>
    <mergeCell ref="S29:T29"/>
  </mergeCells>
  <phoneticPr fontId="2"/>
  <pageMargins left="0.2" right="0.43307086614173229" top="0.55118110236220474" bottom="0.38" header="0.55118110236220474" footer="0.11811023622047245"/>
  <pageSetup paperSize="9" scale="46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pageSetUpPr fitToPage="1"/>
  </sheetPr>
  <dimension ref="A1:BE34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4" customWidth="1"/>
    <col min="43" max="44" width="2.08984375" style="65" customWidth="1"/>
    <col min="45" max="71" width="2.08984375" style="64" customWidth="1"/>
    <col min="72" max="16384" width="9" style="64"/>
  </cols>
  <sheetData>
    <row r="1" spans="1:57" s="61" customFormat="1" ht="38.25" customHeight="1" thickBot="1">
      <c r="A1" s="94" t="s">
        <v>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s="61" customFormat="1" ht="12" customHeight="1" thickBot="1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3"/>
      <c r="AR2" s="63"/>
    </row>
    <row r="3" spans="1:57" ht="15" customHeight="1" thickBot="1">
      <c r="A3" s="136" t="s">
        <v>36</v>
      </c>
      <c r="B3" s="98"/>
      <c r="C3" s="98"/>
      <c r="D3" s="98"/>
      <c r="E3" s="98"/>
      <c r="F3" s="98"/>
      <c r="G3" s="99"/>
      <c r="H3" s="97" t="s">
        <v>10</v>
      </c>
      <c r="I3" s="98"/>
      <c r="J3" s="98"/>
      <c r="K3" s="98"/>
      <c r="L3" s="98"/>
      <c r="M3" s="98"/>
      <c r="N3" s="99"/>
      <c r="O3" s="97" t="s">
        <v>11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102" t="s">
        <v>12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>
      <c r="A4" s="142">
        <v>1</v>
      </c>
      <c r="B4" s="143"/>
      <c r="C4" s="143"/>
      <c r="D4" s="143"/>
      <c r="E4" s="143"/>
      <c r="F4" s="143"/>
      <c r="G4" s="143"/>
      <c r="H4" s="126"/>
      <c r="I4" s="127"/>
      <c r="J4" s="127"/>
      <c r="K4" s="127"/>
      <c r="L4" s="127"/>
      <c r="M4" s="127"/>
      <c r="N4" s="128"/>
      <c r="O4" s="129" t="s">
        <v>13</v>
      </c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1"/>
      <c r="AQ4" s="132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3"/>
    </row>
    <row r="5" spans="1:57" ht="15" customHeight="1">
      <c r="A5" s="105">
        <v>1.1000000000000001</v>
      </c>
      <c r="B5" s="108"/>
      <c r="C5" s="108"/>
      <c r="D5" s="108"/>
      <c r="E5" s="108"/>
      <c r="F5" s="108"/>
      <c r="G5" s="108"/>
      <c r="H5" s="134"/>
      <c r="I5" s="108"/>
      <c r="J5" s="108"/>
      <c r="K5" s="108"/>
      <c r="L5" s="108"/>
      <c r="M5" s="108"/>
      <c r="N5" s="135"/>
      <c r="O5" s="137" t="s">
        <v>187</v>
      </c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9"/>
      <c r="AQ5" s="123" t="s">
        <v>188</v>
      </c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5"/>
    </row>
    <row r="6" spans="1:57" ht="15" customHeight="1">
      <c r="A6" s="105"/>
      <c r="B6" s="108"/>
      <c r="C6" s="108"/>
      <c r="D6" s="108"/>
      <c r="E6" s="108"/>
      <c r="F6" s="108"/>
      <c r="G6" s="108"/>
      <c r="H6" s="134"/>
      <c r="I6" s="108"/>
      <c r="J6" s="108"/>
      <c r="K6" s="108"/>
      <c r="L6" s="108"/>
      <c r="M6" s="108"/>
      <c r="N6" s="135"/>
      <c r="O6" s="109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5"/>
      <c r="AQ6" s="112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4"/>
    </row>
    <row r="7" spans="1:57" ht="15" customHeight="1">
      <c r="A7" s="105"/>
      <c r="B7" s="108"/>
      <c r="C7" s="108"/>
      <c r="D7" s="108"/>
      <c r="E7" s="108"/>
      <c r="F7" s="108"/>
      <c r="G7" s="108"/>
      <c r="H7" s="134"/>
      <c r="I7" s="108"/>
      <c r="J7" s="108"/>
      <c r="K7" s="108"/>
      <c r="L7" s="108"/>
      <c r="M7" s="108"/>
      <c r="N7" s="135"/>
      <c r="O7" s="109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5"/>
      <c r="AQ7" s="112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4"/>
    </row>
    <row r="8" spans="1:57" ht="15" customHeight="1">
      <c r="A8" s="105"/>
      <c r="B8" s="108"/>
      <c r="C8" s="108"/>
      <c r="D8" s="108"/>
      <c r="E8" s="108"/>
      <c r="F8" s="108"/>
      <c r="G8" s="108"/>
      <c r="H8" s="109"/>
      <c r="I8" s="140"/>
      <c r="J8" s="140"/>
      <c r="K8" s="140"/>
      <c r="L8" s="140"/>
      <c r="M8" s="140"/>
      <c r="N8" s="141"/>
      <c r="O8" s="109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5"/>
      <c r="AQ8" s="112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4"/>
    </row>
    <row r="9" spans="1:57" ht="15" customHeight="1">
      <c r="A9" s="105"/>
      <c r="B9" s="106"/>
      <c r="C9" s="106"/>
      <c r="D9" s="106"/>
      <c r="E9" s="106"/>
      <c r="F9" s="106"/>
      <c r="G9" s="106"/>
      <c r="H9" s="109"/>
      <c r="I9" s="110"/>
      <c r="J9" s="110"/>
      <c r="K9" s="110"/>
      <c r="L9" s="110"/>
      <c r="M9" s="110"/>
      <c r="N9" s="111"/>
      <c r="O9" s="109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5"/>
      <c r="AQ9" s="112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4"/>
    </row>
    <row r="10" spans="1:57" ht="15" customHeight="1">
      <c r="A10" s="105"/>
      <c r="B10" s="106"/>
      <c r="C10" s="106"/>
      <c r="D10" s="106"/>
      <c r="E10" s="106"/>
      <c r="F10" s="106"/>
      <c r="G10" s="107"/>
      <c r="H10" s="109"/>
      <c r="I10" s="110"/>
      <c r="J10" s="110"/>
      <c r="K10" s="110"/>
      <c r="L10" s="110"/>
      <c r="M10" s="110"/>
      <c r="N10" s="111"/>
      <c r="O10" s="109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5"/>
      <c r="AQ10" s="112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4"/>
    </row>
    <row r="11" spans="1:57" ht="15" customHeight="1">
      <c r="A11" s="105"/>
      <c r="B11" s="106"/>
      <c r="C11" s="106"/>
      <c r="D11" s="106"/>
      <c r="E11" s="106"/>
      <c r="F11" s="106"/>
      <c r="G11" s="107"/>
      <c r="H11" s="109"/>
      <c r="I11" s="110"/>
      <c r="J11" s="110"/>
      <c r="K11" s="110"/>
      <c r="L11" s="110"/>
      <c r="M11" s="110"/>
      <c r="N11" s="111"/>
      <c r="O11" s="109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5"/>
      <c r="AQ11" s="112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4"/>
    </row>
    <row r="12" spans="1:57" ht="15" customHeight="1">
      <c r="A12" s="105"/>
      <c r="B12" s="106"/>
      <c r="C12" s="106"/>
      <c r="D12" s="106"/>
      <c r="E12" s="106"/>
      <c r="F12" s="106"/>
      <c r="G12" s="107"/>
      <c r="H12" s="109"/>
      <c r="I12" s="110"/>
      <c r="J12" s="110"/>
      <c r="K12" s="110"/>
      <c r="L12" s="110"/>
      <c r="M12" s="110"/>
      <c r="N12" s="111"/>
      <c r="O12" s="109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5"/>
      <c r="AQ12" s="112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4"/>
    </row>
    <row r="13" spans="1:57" ht="15" customHeight="1">
      <c r="A13" s="105"/>
      <c r="B13" s="106"/>
      <c r="C13" s="106"/>
      <c r="D13" s="106"/>
      <c r="E13" s="106"/>
      <c r="F13" s="106"/>
      <c r="G13" s="107"/>
      <c r="H13" s="109"/>
      <c r="I13" s="110"/>
      <c r="J13" s="110"/>
      <c r="K13" s="110"/>
      <c r="L13" s="110"/>
      <c r="M13" s="110"/>
      <c r="N13" s="111"/>
      <c r="O13" s="109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5"/>
      <c r="AQ13" s="112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4"/>
    </row>
    <row r="14" spans="1:57" ht="15" customHeight="1">
      <c r="A14" s="105"/>
      <c r="B14" s="106"/>
      <c r="C14" s="106"/>
      <c r="D14" s="106"/>
      <c r="E14" s="106"/>
      <c r="F14" s="106"/>
      <c r="G14" s="107"/>
      <c r="H14" s="109"/>
      <c r="I14" s="110"/>
      <c r="J14" s="110"/>
      <c r="K14" s="110"/>
      <c r="L14" s="110"/>
      <c r="M14" s="110"/>
      <c r="N14" s="111"/>
      <c r="O14" s="109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5"/>
      <c r="AQ14" s="112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4"/>
    </row>
    <row r="15" spans="1:57" ht="15" customHeight="1">
      <c r="A15" s="105"/>
      <c r="B15" s="106"/>
      <c r="C15" s="106"/>
      <c r="D15" s="106"/>
      <c r="E15" s="106"/>
      <c r="F15" s="106"/>
      <c r="G15" s="107"/>
      <c r="H15" s="109"/>
      <c r="I15" s="110"/>
      <c r="J15" s="110"/>
      <c r="K15" s="110"/>
      <c r="L15" s="110"/>
      <c r="M15" s="110"/>
      <c r="N15" s="111"/>
      <c r="O15" s="109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5"/>
      <c r="AQ15" s="112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4"/>
    </row>
    <row r="16" spans="1:57" ht="15" customHeight="1">
      <c r="A16" s="105"/>
      <c r="B16" s="106"/>
      <c r="C16" s="106"/>
      <c r="D16" s="106"/>
      <c r="E16" s="106"/>
      <c r="F16" s="106"/>
      <c r="G16" s="107"/>
      <c r="H16" s="109"/>
      <c r="I16" s="110"/>
      <c r="J16" s="110"/>
      <c r="K16" s="110"/>
      <c r="L16" s="110"/>
      <c r="M16" s="110"/>
      <c r="N16" s="111"/>
      <c r="O16" s="109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5"/>
      <c r="AQ16" s="112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4"/>
    </row>
    <row r="17" spans="1:57" ht="15" customHeight="1">
      <c r="A17" s="105"/>
      <c r="B17" s="106"/>
      <c r="C17" s="106"/>
      <c r="D17" s="106"/>
      <c r="E17" s="106"/>
      <c r="F17" s="106"/>
      <c r="G17" s="107"/>
      <c r="H17" s="109"/>
      <c r="I17" s="110"/>
      <c r="J17" s="110"/>
      <c r="K17" s="110"/>
      <c r="L17" s="110"/>
      <c r="M17" s="110"/>
      <c r="N17" s="111"/>
      <c r="O17" s="109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5"/>
      <c r="AQ17" s="112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4"/>
    </row>
    <row r="18" spans="1:57" ht="15" customHeight="1">
      <c r="A18" s="105"/>
      <c r="B18" s="106"/>
      <c r="C18" s="106"/>
      <c r="D18" s="106"/>
      <c r="E18" s="106"/>
      <c r="F18" s="106"/>
      <c r="G18" s="107"/>
      <c r="H18" s="109"/>
      <c r="I18" s="110"/>
      <c r="J18" s="110"/>
      <c r="K18" s="110"/>
      <c r="L18" s="110"/>
      <c r="M18" s="110"/>
      <c r="N18" s="111"/>
      <c r="O18" s="109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5"/>
      <c r="AQ18" s="112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4"/>
    </row>
    <row r="19" spans="1:57" ht="15" customHeight="1">
      <c r="A19" s="105"/>
      <c r="B19" s="106"/>
      <c r="C19" s="106"/>
      <c r="D19" s="106"/>
      <c r="E19" s="106"/>
      <c r="F19" s="106"/>
      <c r="G19" s="107"/>
      <c r="H19" s="109"/>
      <c r="I19" s="110"/>
      <c r="J19" s="110"/>
      <c r="K19" s="110"/>
      <c r="L19" s="110"/>
      <c r="M19" s="110"/>
      <c r="N19" s="111"/>
      <c r="O19" s="109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5"/>
      <c r="AQ19" s="112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4"/>
    </row>
    <row r="20" spans="1:57" ht="15" customHeight="1">
      <c r="A20" s="105"/>
      <c r="B20" s="106"/>
      <c r="C20" s="106"/>
      <c r="D20" s="106"/>
      <c r="E20" s="106"/>
      <c r="F20" s="106"/>
      <c r="G20" s="107"/>
      <c r="H20" s="109"/>
      <c r="I20" s="110"/>
      <c r="J20" s="110"/>
      <c r="K20" s="110"/>
      <c r="L20" s="110"/>
      <c r="M20" s="110"/>
      <c r="N20" s="111"/>
      <c r="O20" s="109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5"/>
      <c r="AQ20" s="112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4"/>
    </row>
    <row r="21" spans="1:57" ht="15" customHeight="1">
      <c r="A21" s="105"/>
      <c r="B21" s="106"/>
      <c r="C21" s="106"/>
      <c r="D21" s="106"/>
      <c r="E21" s="106"/>
      <c r="F21" s="106"/>
      <c r="G21" s="107"/>
      <c r="H21" s="109"/>
      <c r="I21" s="110"/>
      <c r="J21" s="110"/>
      <c r="K21" s="110"/>
      <c r="L21" s="110"/>
      <c r="M21" s="110"/>
      <c r="N21" s="111"/>
      <c r="O21" s="109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5"/>
      <c r="AQ21" s="112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4"/>
    </row>
    <row r="22" spans="1:57" ht="15" customHeight="1">
      <c r="A22" s="105"/>
      <c r="B22" s="106"/>
      <c r="C22" s="106"/>
      <c r="D22" s="106"/>
      <c r="E22" s="106"/>
      <c r="F22" s="106"/>
      <c r="G22" s="107"/>
      <c r="H22" s="109"/>
      <c r="I22" s="110"/>
      <c r="J22" s="110"/>
      <c r="K22" s="110"/>
      <c r="L22" s="110"/>
      <c r="M22" s="110"/>
      <c r="N22" s="111"/>
      <c r="O22" s="109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5"/>
      <c r="AQ22" s="112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4"/>
    </row>
    <row r="23" spans="1:57" ht="15" customHeight="1">
      <c r="A23" s="105"/>
      <c r="B23" s="106"/>
      <c r="C23" s="106"/>
      <c r="D23" s="106"/>
      <c r="E23" s="106"/>
      <c r="F23" s="106"/>
      <c r="G23" s="107"/>
      <c r="H23" s="109"/>
      <c r="I23" s="110"/>
      <c r="J23" s="110"/>
      <c r="K23" s="110"/>
      <c r="L23" s="110"/>
      <c r="M23" s="110"/>
      <c r="N23" s="111"/>
      <c r="O23" s="109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5"/>
      <c r="AQ23" s="112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4"/>
    </row>
    <row r="24" spans="1:57" ht="15" customHeight="1">
      <c r="A24" s="105"/>
      <c r="B24" s="106"/>
      <c r="C24" s="106"/>
      <c r="D24" s="106"/>
      <c r="E24" s="106"/>
      <c r="F24" s="106"/>
      <c r="G24" s="107"/>
      <c r="H24" s="109"/>
      <c r="I24" s="110"/>
      <c r="J24" s="110"/>
      <c r="K24" s="110"/>
      <c r="L24" s="110"/>
      <c r="M24" s="110"/>
      <c r="N24" s="111"/>
      <c r="O24" s="109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5"/>
      <c r="AQ24" s="112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4"/>
    </row>
    <row r="25" spans="1:57" ht="15" customHeight="1">
      <c r="A25" s="105"/>
      <c r="B25" s="106"/>
      <c r="C25" s="106"/>
      <c r="D25" s="106"/>
      <c r="E25" s="106"/>
      <c r="F25" s="106"/>
      <c r="G25" s="107"/>
      <c r="H25" s="109"/>
      <c r="I25" s="110"/>
      <c r="J25" s="110"/>
      <c r="K25" s="110"/>
      <c r="L25" s="110"/>
      <c r="M25" s="110"/>
      <c r="N25" s="111"/>
      <c r="O25" s="109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5"/>
      <c r="AQ25" s="112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4"/>
    </row>
    <row r="26" spans="1:57" ht="15" customHeight="1">
      <c r="A26" s="105"/>
      <c r="B26" s="106"/>
      <c r="C26" s="106"/>
      <c r="D26" s="106"/>
      <c r="E26" s="106"/>
      <c r="F26" s="106"/>
      <c r="G26" s="107"/>
      <c r="H26" s="109"/>
      <c r="I26" s="110"/>
      <c r="J26" s="110"/>
      <c r="K26" s="110"/>
      <c r="L26" s="110"/>
      <c r="M26" s="110"/>
      <c r="N26" s="111"/>
      <c r="O26" s="109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5"/>
      <c r="AQ26" s="112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4"/>
    </row>
    <row r="27" spans="1:57" ht="15" customHeight="1">
      <c r="A27" s="105"/>
      <c r="B27" s="106"/>
      <c r="C27" s="106"/>
      <c r="D27" s="106"/>
      <c r="E27" s="106"/>
      <c r="F27" s="106"/>
      <c r="G27" s="107"/>
      <c r="H27" s="109"/>
      <c r="I27" s="110"/>
      <c r="J27" s="110"/>
      <c r="K27" s="110"/>
      <c r="L27" s="110"/>
      <c r="M27" s="110"/>
      <c r="N27" s="111"/>
      <c r="O27" s="109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5"/>
      <c r="AQ27" s="112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4"/>
    </row>
    <row r="28" spans="1:57" ht="15" customHeight="1">
      <c r="A28" s="105"/>
      <c r="B28" s="106"/>
      <c r="C28" s="106"/>
      <c r="D28" s="106"/>
      <c r="E28" s="106"/>
      <c r="F28" s="106"/>
      <c r="G28" s="107"/>
      <c r="H28" s="109"/>
      <c r="I28" s="110"/>
      <c r="J28" s="110"/>
      <c r="K28" s="110"/>
      <c r="L28" s="110"/>
      <c r="M28" s="110"/>
      <c r="N28" s="111"/>
      <c r="O28" s="109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5"/>
      <c r="AQ28" s="112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4"/>
    </row>
    <row r="29" spans="1:57" ht="15" customHeight="1">
      <c r="A29" s="105"/>
      <c r="B29" s="106"/>
      <c r="C29" s="106"/>
      <c r="D29" s="106"/>
      <c r="E29" s="106"/>
      <c r="F29" s="106"/>
      <c r="G29" s="107"/>
      <c r="H29" s="109"/>
      <c r="I29" s="110"/>
      <c r="J29" s="110"/>
      <c r="K29" s="110"/>
      <c r="L29" s="110"/>
      <c r="M29" s="110"/>
      <c r="N29" s="111"/>
      <c r="O29" s="109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5"/>
      <c r="AQ29" s="112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4"/>
    </row>
    <row r="30" spans="1:57" ht="15" customHeight="1">
      <c r="A30" s="105"/>
      <c r="B30" s="106"/>
      <c r="C30" s="106"/>
      <c r="D30" s="106"/>
      <c r="E30" s="106"/>
      <c r="F30" s="106"/>
      <c r="G30" s="107"/>
      <c r="H30" s="109"/>
      <c r="I30" s="110"/>
      <c r="J30" s="110"/>
      <c r="K30" s="110"/>
      <c r="L30" s="110"/>
      <c r="M30" s="110"/>
      <c r="N30" s="111"/>
      <c r="O30" s="109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5"/>
      <c r="AQ30" s="112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4"/>
    </row>
    <row r="31" spans="1:57" ht="15" customHeight="1">
      <c r="A31" s="105"/>
      <c r="B31" s="106"/>
      <c r="C31" s="106"/>
      <c r="D31" s="106"/>
      <c r="E31" s="106"/>
      <c r="F31" s="106"/>
      <c r="G31" s="107"/>
      <c r="H31" s="109"/>
      <c r="I31" s="110"/>
      <c r="J31" s="110"/>
      <c r="K31" s="110"/>
      <c r="L31" s="110"/>
      <c r="M31" s="110"/>
      <c r="N31" s="111"/>
      <c r="O31" s="109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5"/>
      <c r="AQ31" s="112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4"/>
    </row>
    <row r="32" spans="1:57" ht="15" customHeight="1">
      <c r="A32" s="105"/>
      <c r="B32" s="106"/>
      <c r="C32" s="106"/>
      <c r="D32" s="106"/>
      <c r="E32" s="106"/>
      <c r="F32" s="106"/>
      <c r="G32" s="107"/>
      <c r="H32" s="109"/>
      <c r="I32" s="110"/>
      <c r="J32" s="110"/>
      <c r="K32" s="110"/>
      <c r="L32" s="110"/>
      <c r="M32" s="110"/>
      <c r="N32" s="111"/>
      <c r="O32" s="109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5"/>
      <c r="AQ32" s="112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4"/>
    </row>
    <row r="33" spans="1:57" ht="15" customHeight="1">
      <c r="A33" s="105"/>
      <c r="B33" s="106"/>
      <c r="C33" s="106"/>
      <c r="D33" s="106"/>
      <c r="E33" s="106"/>
      <c r="F33" s="106"/>
      <c r="G33" s="107"/>
      <c r="H33" s="109"/>
      <c r="I33" s="110"/>
      <c r="J33" s="110"/>
      <c r="K33" s="110"/>
      <c r="L33" s="110"/>
      <c r="M33" s="110"/>
      <c r="N33" s="111"/>
      <c r="O33" s="109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5"/>
      <c r="AQ33" s="112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4"/>
    </row>
    <row r="34" spans="1:57" ht="15" customHeight="1" thickBot="1">
      <c r="A34" s="91"/>
      <c r="B34" s="92"/>
      <c r="C34" s="92"/>
      <c r="D34" s="92"/>
      <c r="E34" s="92"/>
      <c r="F34" s="92"/>
      <c r="G34" s="93"/>
      <c r="H34" s="119"/>
      <c r="I34" s="121"/>
      <c r="J34" s="121"/>
      <c r="K34" s="121"/>
      <c r="L34" s="121"/>
      <c r="M34" s="121"/>
      <c r="N34" s="122"/>
      <c r="O34" s="119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20"/>
      <c r="AQ34" s="116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18"/>
    </row>
  </sheetData>
  <mergeCells count="129">
    <mergeCell ref="AQ16:BE16"/>
    <mergeCell ref="H15:N15"/>
    <mergeCell ref="H24:N24"/>
    <mergeCell ref="AQ28:BE28"/>
    <mergeCell ref="AQ26:BE26"/>
    <mergeCell ref="AQ27:BE27"/>
    <mergeCell ref="O26:AP26"/>
    <mergeCell ref="O24:AP24"/>
    <mergeCell ref="AQ24:BE24"/>
    <mergeCell ref="O18:AP18"/>
    <mergeCell ref="H17:N17"/>
    <mergeCell ref="O25:AP25"/>
    <mergeCell ref="AQ25:BE25"/>
    <mergeCell ref="H20:N20"/>
    <mergeCell ref="O20:AP20"/>
    <mergeCell ref="AQ20:BE20"/>
    <mergeCell ref="H21:N21"/>
    <mergeCell ref="O21:AP21"/>
    <mergeCell ref="AQ21:BE21"/>
    <mergeCell ref="AQ18:BE18"/>
    <mergeCell ref="A3:G3"/>
    <mergeCell ref="H11:N11"/>
    <mergeCell ref="O11:AP11"/>
    <mergeCell ref="O6:AP6"/>
    <mergeCell ref="H5:N5"/>
    <mergeCell ref="O5:AP5"/>
    <mergeCell ref="H9:N9"/>
    <mergeCell ref="H10:N10"/>
    <mergeCell ref="H8:N8"/>
    <mergeCell ref="O8:AP8"/>
    <mergeCell ref="O9:AP9"/>
    <mergeCell ref="H7:N7"/>
    <mergeCell ref="O7:AP7"/>
    <mergeCell ref="A4:G4"/>
    <mergeCell ref="A5:G5"/>
    <mergeCell ref="A6:G6"/>
    <mergeCell ref="AQ11:BE11"/>
    <mergeCell ref="O12:AP12"/>
    <mergeCell ref="AQ12:BE12"/>
    <mergeCell ref="H14:N14"/>
    <mergeCell ref="AQ5:BE5"/>
    <mergeCell ref="H4:N4"/>
    <mergeCell ref="O4:AP4"/>
    <mergeCell ref="AQ4:BE4"/>
    <mergeCell ref="H6:N6"/>
    <mergeCell ref="AQ6:BE6"/>
    <mergeCell ref="AQ7:BE7"/>
    <mergeCell ref="AQ8:BE8"/>
    <mergeCell ref="AQ13:BE13"/>
    <mergeCell ref="AQ9:BE9"/>
    <mergeCell ref="H12:N12"/>
    <mergeCell ref="H13:N13"/>
    <mergeCell ref="O13:AP13"/>
    <mergeCell ref="O14:AP14"/>
    <mergeCell ref="AQ14:BE14"/>
    <mergeCell ref="O10:AP10"/>
    <mergeCell ref="AQ10:BE10"/>
    <mergeCell ref="A27:G27"/>
    <mergeCell ref="A28:G28"/>
    <mergeCell ref="O15:AP15"/>
    <mergeCell ref="AQ34:BE34"/>
    <mergeCell ref="O34:AP34"/>
    <mergeCell ref="H33:N33"/>
    <mergeCell ref="O33:AP33"/>
    <mergeCell ref="O30:AP30"/>
    <mergeCell ref="H29:N29"/>
    <mergeCell ref="O29:AP29"/>
    <mergeCell ref="O32:AP32"/>
    <mergeCell ref="AQ29:BE29"/>
    <mergeCell ref="H34:N34"/>
    <mergeCell ref="H31:N31"/>
    <mergeCell ref="O31:AP31"/>
    <mergeCell ref="AQ31:BE31"/>
    <mergeCell ref="H30:N30"/>
    <mergeCell ref="AQ30:BE30"/>
    <mergeCell ref="AQ17:BE17"/>
    <mergeCell ref="O17:AP17"/>
    <mergeCell ref="AQ15:BE15"/>
    <mergeCell ref="O16:AP16"/>
    <mergeCell ref="O28:AP28"/>
    <mergeCell ref="AQ23:BE23"/>
    <mergeCell ref="A20:G20"/>
    <mergeCell ref="A21:G21"/>
    <mergeCell ref="A10:G10"/>
    <mergeCell ref="A11:G11"/>
    <mergeCell ref="A12:G12"/>
    <mergeCell ref="A13:G13"/>
    <mergeCell ref="A18:G18"/>
    <mergeCell ref="AQ32:BE32"/>
    <mergeCell ref="AQ33:BE33"/>
    <mergeCell ref="H32:N32"/>
    <mergeCell ref="H19:N19"/>
    <mergeCell ref="O19:AP19"/>
    <mergeCell ref="AQ19:BE19"/>
    <mergeCell ref="O22:AP22"/>
    <mergeCell ref="AQ22:BE22"/>
    <mergeCell ref="H23:N23"/>
    <mergeCell ref="H22:N22"/>
    <mergeCell ref="O23:AP23"/>
    <mergeCell ref="O27:AP27"/>
    <mergeCell ref="H27:N27"/>
    <mergeCell ref="H28:N28"/>
    <mergeCell ref="H18:N18"/>
    <mergeCell ref="A33:G33"/>
    <mergeCell ref="A26:G26"/>
    <mergeCell ref="A34:G34"/>
    <mergeCell ref="A1:BE1"/>
    <mergeCell ref="H3:N3"/>
    <mergeCell ref="O3:AP3"/>
    <mergeCell ref="AQ3:BE3"/>
    <mergeCell ref="A30:G30"/>
    <mergeCell ref="A31:G31"/>
    <mergeCell ref="A32:G32"/>
    <mergeCell ref="A7:G7"/>
    <mergeCell ref="A8:G8"/>
    <mergeCell ref="A9:G9"/>
    <mergeCell ref="A29:G29"/>
    <mergeCell ref="A22:G22"/>
    <mergeCell ref="A23:G23"/>
    <mergeCell ref="A24:G24"/>
    <mergeCell ref="A25:G25"/>
    <mergeCell ref="A19:G19"/>
    <mergeCell ref="H26:N26"/>
    <mergeCell ref="H16:N16"/>
    <mergeCell ref="H25:N25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Upd01</vt:lpstr>
      <vt:lpstr>Upd02</vt:lpstr>
      <vt:lpstr>Upd03</vt:lpstr>
      <vt:lpstr>Prnt01</vt:lpstr>
      <vt:lpstr>Prnt02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2026-03-27T05:48:17Z</dcterms:modified>
  <cp:category/>
</cp:coreProperties>
</file>