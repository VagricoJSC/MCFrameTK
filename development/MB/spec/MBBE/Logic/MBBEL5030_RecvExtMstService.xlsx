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Logic\"/>
    </mc:Choice>
  </mc:AlternateContent>
  <xr:revisionPtr revIDLastSave="0" documentId="13_ncr:1_{38130305-F9E8-4BBA-ACC6-AC55A432F3EB}" xr6:coauthVersionLast="47" xr6:coauthVersionMax="47" xr10:uidLastSave="{00000000-0000-0000-0000-000000000000}"/>
  <bookViews>
    <workbookView xWindow="1710" yWindow="1710" windowWidth="21600" windowHeight="11265" tabRatio="835" activeTab="4" xr2:uid="{00000000-000D-0000-FFFF-FFFF00000000}"/>
  </bookViews>
  <sheets>
    <sheet name="LogicCommon" sheetId="1" r:id="rId1"/>
    <sheet name="RecvExtMst_Chk01" sheetId="2" r:id="rId2"/>
    <sheet name="RecvExtMst_Upd01" sheetId="3" r:id="rId3"/>
    <sheet name="RecvExtMst_Upd02" sheetId="10" r:id="rId4"/>
    <sheet name="来歴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<sst xmlns="http://schemas.openxmlformats.org/spreadsheetml/2006/main" count="442" uniqueCount="179">
  <si>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</si>
  <si>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</si>
  <si>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</si>
  <si>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</si>
  <si>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</si>
  <si>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</si>
  <si>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</si>
  <si>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</si>
  <si>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</si>
  <si>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</si>
  <si>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</si>
  <si>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@</t>
    <phoneticPr fontId="1"/>
  </si>
  <si>
    <t>Version :</t>
  </si>
  <si>
    <t>#</t>
    <phoneticPr fontId="2"/>
  </si>
  <si>
    <t>U</t>
    <phoneticPr fontId="2"/>
  </si>
  <si>
    <t>K</t>
  </si>
  <si>
    <t>o</t>
    <phoneticPr fontId="2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</si>
  <si>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</si>
  <si>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</si>
  <si>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</si>
  <si>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</si>
  <si>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</si>
  <si>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</si>
  <si>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</si>
  <si>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</si>
  <si>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</si>
  <si>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</si>
  <si>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</si>
  <si>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</si>
  <si>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</si>
  <si>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</si>
  <si>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</si>
  <si>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  <phoneticPr fontId="1"/>
  </si>
  <si>
    <t>TargetName</t>
    <phoneticPr fontId="2"/>
  </si>
  <si>
    <t>#</t>
    <phoneticPr fontId="2"/>
  </si>
  <si>
    <t>*</t>
    <phoneticPr fontId="1"/>
  </si>
  <si>
    <t>R</t>
  </si>
  <si>
    <t>#MA.FLG</t>
  </si>
  <si>
    <t>err_flg</t>
  </si>
  <si>
    <t>K</t>
    <phoneticPr fontId="1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</si>
  <si>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</si>
  <si>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</si>
  <si>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</si>
  <si>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</si>
  <si>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</si>
  <si>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</si>
  <si>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ext_sys_cd</t>
    <phoneticPr fontId="1"/>
  </si>
  <si>
    <t>#MA.EXT_SYS_CD</t>
    <phoneticPr fontId="1"/>
  </si>
  <si>
    <t>Pj.ID :</t>
    <phoneticPr fontId="2"/>
  </si>
  <si>
    <t>SuperClassPj.ID :</t>
    <phoneticPr fontId="2"/>
  </si>
  <si>
    <t>ID</t>
    <phoneticPr fontId="2"/>
  </si>
  <si>
    <t>L</t>
    <phoneticPr fontId="2"/>
  </si>
  <si>
    <t>Ope.ID :</t>
    <phoneticPr fontId="2"/>
  </si>
  <si>
    <t>Ope.Method :</t>
    <phoneticPr fontId="2"/>
  </si>
  <si>
    <t>ACType :</t>
    <phoneticPr fontId="2"/>
  </si>
  <si>
    <t>super/share</t>
    <phoneticPr fontId="2"/>
  </si>
  <si>
    <t>LIST_IN_BASE</t>
  </si>
  <si>
    <t>NULL_VAL</t>
  </si>
  <si>
    <t>TargetName</t>
    <phoneticPr fontId="2"/>
  </si>
  <si>
    <t>TargetName</t>
    <phoneticPr fontId="2"/>
  </si>
  <si>
    <t>*</t>
    <phoneticPr fontId="2"/>
  </si>
  <si>
    <t xml:space="preserve">Ope.Name : </t>
    <phoneticPr fontId="2"/>
  </si>
  <si>
    <t>TargetName</t>
    <phoneticPr fontId="2"/>
  </si>
  <si>
    <t>ALL</t>
    <phoneticPr fontId="2"/>
  </si>
  <si>
    <t xml:space="preserve">Ope.Body : </t>
    <phoneticPr fontId="2"/>
  </si>
  <si>
    <t>Gene.Type :</t>
    <phoneticPr fontId="2"/>
  </si>
  <si>
    <t>000000</t>
    <phoneticPr fontId="2"/>
  </si>
  <si>
    <t>ImplOpe.ID:</t>
    <phoneticPr fontId="2"/>
  </si>
  <si>
    <t>E</t>
    <phoneticPr fontId="2"/>
  </si>
  <si>
    <t>外部システムＣＤ</t>
    <phoneticPr fontId="1"/>
  </si>
  <si>
    <t>E</t>
    <phoneticPr fontId="1"/>
  </si>
  <si>
    <t>MA.MAUAL0010.ExtSys</t>
    <phoneticPr fontId="1"/>
  </si>
  <si>
    <t>ext_sys_typ</t>
    <phoneticPr fontId="2"/>
  </si>
  <si>
    <t>エラー</t>
    <phoneticPr fontId="2"/>
  </si>
  <si>
    <t>-</t>
    <phoneticPr fontId="2"/>
  </si>
  <si>
    <t>-</t>
    <phoneticPr fontId="1"/>
  </si>
  <si>
    <t>MBBE</t>
    <phoneticPr fontId="1"/>
  </si>
  <si>
    <t>ext_master_typ</t>
    <phoneticPr fontId="2"/>
  </si>
  <si>
    <t>#MA.EXT_MASTER_TYP</t>
    <phoneticPr fontId="1"/>
  </si>
  <si>
    <t>MB.MBUDL5010</t>
    <phoneticPr fontId="1"/>
  </si>
  <si>
    <t>MA.MAUDL5010.Checker</t>
    <phoneticPr fontId="1"/>
  </si>
  <si>
    <t>"mcframe.serverMAUD.MAUDL5010.MAUDL_Operation"</t>
    <phoneticPr fontId="1"/>
  </si>
  <si>
    <t>外部マスタ取込サービス</t>
    <rPh sb="0" eb="2">
      <t>ガイブ</t>
    </rPh>
    <rPh sb="5" eb="7">
      <t>トリコミ</t>
    </rPh>
    <phoneticPr fontId="3"/>
  </si>
  <si>
    <t>MBBEL_RecvExtMstService</t>
    <phoneticPr fontId="1"/>
  </si>
  <si>
    <t>MBBEL5030</t>
    <phoneticPr fontId="1"/>
  </si>
  <si>
    <t>RecvExtMst_Chk01_Cnd</t>
    <phoneticPr fontId="1"/>
  </si>
  <si>
    <t>RecvExtMst_Upd01_Cnd</t>
    <phoneticPr fontId="1"/>
  </si>
  <si>
    <t>data_no</t>
    <phoneticPr fontId="2"/>
  </si>
  <si>
    <t>#MA.IF_DATA_NO</t>
    <phoneticPr fontId="2"/>
  </si>
  <si>
    <t>データＮＯ</t>
    <phoneticPr fontId="2"/>
  </si>
  <si>
    <t>ext_sys_cd</t>
    <phoneticPr fontId="2"/>
  </si>
  <si>
    <t>#MA.EXT_SYS_CD</t>
  </si>
  <si>
    <t>外部システムＣＤ</t>
    <phoneticPr fontId="2"/>
  </si>
  <si>
    <t>RecvExtMst_Upd01</t>
    <phoneticPr fontId="1"/>
  </si>
  <si>
    <t>外部マスタ取込</t>
    <rPh sb="0" eb="2">
      <t>ガイブ</t>
    </rPh>
    <rPh sb="5" eb="7">
      <t>トリコミ</t>
    </rPh>
    <phoneticPr fontId="1"/>
  </si>
  <si>
    <t>共通マスタチェック</t>
    <rPh sb="0" eb="2">
      <t>キョウツウ</t>
    </rPh>
    <phoneticPr fontId="1"/>
  </si>
  <si>
    <t>外部マスタ連携区分</t>
    <rPh sb="0" eb="2">
      <t>ガイブ</t>
    </rPh>
    <phoneticPr fontId="1"/>
  </si>
  <si>
    <t>RecvExtMst_Chk01</t>
    <phoneticPr fontId="1"/>
  </si>
  <si>
    <t>master_check_dt</t>
    <phoneticPr fontId="1"/>
  </si>
  <si>
    <t>#MA.DT</t>
    <phoneticPr fontId="1"/>
  </si>
  <si>
    <t>マスタチェック基準日</t>
    <rPh sb="7" eb="9">
      <t>キジュン</t>
    </rPh>
    <rPh sb="9" eb="10">
      <t>ビ</t>
    </rPh>
    <phoneticPr fontId="1"/>
  </si>
  <si>
    <t>$share$</t>
  </si>
  <si>
    <t>MB.MBBEL5030.RecvExtMst_Chk01.RecvExtMst_Chk01_Cnd</t>
    <phoneticPr fontId="1"/>
  </si>
  <si>
    <t>#MA.FLG</t>
    <phoneticPr fontId="1"/>
  </si>
  <si>
    <t>外部マスタ取込を行う前のチェック処理</t>
    <rPh sb="8" eb="9">
      <t>オコナ</t>
    </rPh>
    <rPh sb="10" eb="11">
      <t>マエ</t>
    </rPh>
    <rPh sb="16" eb="18">
      <t>ショリ</t>
    </rPh>
    <phoneticPr fontId="2"/>
  </si>
  <si>
    <t>外部マスタ取込を行う。（メイン処理）</t>
    <rPh sb="15" eb="17">
      <t>ショリ</t>
    </rPh>
    <phoneticPr fontId="2"/>
  </si>
  <si>
    <t>RecvExtMst_Upd02</t>
    <phoneticPr fontId="1"/>
  </si>
  <si>
    <t>外部マスタ取込２</t>
    <rPh sb="0" eb="2">
      <t>ガイブ</t>
    </rPh>
    <rPh sb="5" eb="7">
      <t>トリコミ</t>
    </rPh>
    <phoneticPr fontId="1"/>
  </si>
  <si>
    <t>MB.MBBEL5010.Upd01</t>
    <phoneticPr fontId="1"/>
  </si>
  <si>
    <t>*</t>
  </si>
  <si>
    <t>RecvExtMst_Upd02_Dtl</t>
    <phoneticPr fontId="1"/>
  </si>
  <si>
    <t>L</t>
    <phoneticPr fontId="1"/>
  </si>
  <si>
    <t>$share$</t>
    <phoneticPr fontId="1"/>
  </si>
  <si>
    <t>MB.MBBEL5010.Upd01.IfDataImp_Upd01_Dtl</t>
    <phoneticPr fontId="1"/>
  </si>
  <si>
    <t>data_lno</t>
  </si>
  <si>
    <t>#MA.IF_DATA_LNO</t>
  </si>
  <si>
    <t>データ行ＮＯ</t>
    <phoneticPr fontId="1"/>
  </si>
  <si>
    <t>RecvExtMst_Upd02_Cnd</t>
    <phoneticPr fontId="1"/>
  </si>
  <si>
    <t>R</t>
    <phoneticPr fontId="1"/>
  </si>
  <si>
    <t>MB.MBBEL5010.Upd01.IfDataImp_Upd01_Cnd</t>
    <phoneticPr fontId="1"/>
  </si>
  <si>
    <t>exe_unit_lump_flg</t>
    <phoneticPr fontId="1"/>
  </si>
  <si>
    <t>処理単位まとめ</t>
    <phoneticPr fontId="1"/>
  </si>
  <si>
    <t>if_upd_typ</t>
  </si>
  <si>
    <t>#MA.IF_UPD_TYP</t>
  </si>
  <si>
    <t>ＩＦ更新区分</t>
    <phoneticPr fontId="1"/>
  </si>
  <si>
    <t>src_actlumprecv_flg</t>
    <phoneticPr fontId="2"/>
  </si>
  <si>
    <t>#MA.FLG</t>
    <phoneticPr fontId="2"/>
  </si>
  <si>
    <t>呼出元実績一括受信バッチ</t>
    <phoneticPr fontId="1"/>
  </si>
  <si>
    <t>RecvExtMst_Upd02_Rslt</t>
    <phoneticPr fontId="1"/>
  </si>
  <si>
    <t>MB.MBBEL5010.Upd01.IfDataImp_Upd01_Rslt</t>
    <phoneticPr fontId="1"/>
  </si>
  <si>
    <t>total_num</t>
    <phoneticPr fontId="2"/>
  </si>
  <si>
    <t>N</t>
    <phoneticPr fontId="2"/>
  </si>
  <si>
    <t>処理対象件数</t>
    <phoneticPr fontId="2"/>
  </si>
  <si>
    <t>ok_num</t>
    <phoneticPr fontId="2"/>
  </si>
  <si>
    <t>登録件数</t>
    <phoneticPr fontId="2"/>
  </si>
  <si>
    <t>err_num</t>
    <phoneticPr fontId="2"/>
  </si>
  <si>
    <t>エラー件数</t>
    <phoneticPr fontId="2"/>
  </si>
  <si>
    <t>skip_num</t>
    <phoneticPr fontId="2"/>
  </si>
  <si>
    <t>スキップ件数</t>
    <phoneticPr fontId="2"/>
  </si>
  <si>
    <t>外部マスタ取込を行う。（ＩＦデータ確認から呼び出される）</t>
    <rPh sb="17" eb="19">
      <t>カクニン</t>
    </rPh>
    <rPh sb="21" eb="22">
      <t>ヨ</t>
    </rPh>
    <rPh sb="23" eb="24">
      <t>ダ</t>
    </rPh>
    <phoneticPr fontId="2"/>
  </si>
  <si>
    <t>ＩＦ処理区分</t>
    <phoneticPr fontId="2"/>
  </si>
  <si>
    <t>#MA.IF_PROC_TYP</t>
    <phoneticPr fontId="2"/>
  </si>
  <si>
    <t>if_proc_typ</t>
    <phoneticPr fontId="2"/>
  </si>
  <si>
    <t>RecvExtMst_Chk01_Dtl</t>
    <phoneticPr fontId="1"/>
  </si>
  <si>
    <t>L</t>
    <phoneticPr fontId="2"/>
  </si>
  <si>
    <t>RecvExtMst_Upd01_Dtl</t>
    <phoneticPr fontId="1"/>
  </si>
  <si>
    <t>MB.MBBEL5030.RecvExtMst_Chk01.RecvExtMst_Chk01_Dtl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</si>
  <si>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</si>
  <si>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</si>
  <si>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</si>
  <si>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</si>
  <si>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</si>
  <si>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</si>
  <si>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</si>
  <si>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</si>
  <si>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</si>
  <si>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</si>
  <si>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</si>
  <si>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</si>
  <si>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</si>
  <si>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</si>
  <si>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External master linkage type</t>
  </si>
  <si>
    <t>External system cd.</t>
  </si>
  <si>
    <t>Master check base date</t>
  </si>
  <si>
    <t>Error</t>
  </si>
  <si>
    <t>Data No.</t>
  </si>
  <si>
    <t>項目名
Field Name</t>
    <phoneticPr fontId="1"/>
  </si>
  <si>
    <t>型
Type</t>
    <phoneticPr fontId="1"/>
  </si>
  <si>
    <t>Data row No.</t>
  </si>
  <si>
    <t>IF process type</t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</si>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</sst>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3" borderId="3" xfId="0" applyFont="1" applyFill="1" applyBorder="1">
      <alignment vertical="top" wrapText="1"/>
    </xf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4" fillId="5" borderId="3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49" fontId="4" fillId="2" borderId="3" xfId="0" applyNumberFormat="1" applyFont="1" applyFill="1" applyBorder="1" applyAlignment="1">
      <alignment vertical="top"/>
    </xf>
    <xf numFmtId="0" fontId="4" fillId="0" borderId="5" xfId="0" applyFont="1" applyBorder="1" applyAlignment="1"/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E11" sqref="E11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84</v>
      </c>
      <c r="F2" s="7" t="s">
        <v>48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76</v>
      </c>
      <c r="D3" s="7" t="s">
        <v>6</v>
      </c>
      <c r="E3" s="8" t="s">
        <v>83</v>
      </c>
      <c r="F3" s="7" t="s">
        <v>49</v>
      </c>
      <c r="G3" s="8"/>
      <c r="H3" s="5"/>
      <c r="I3" s="5"/>
    </row>
    <row r="4" spans="1:13" x14ac:dyDescent="0.2">
      <c r="A4" s="4"/>
      <c r="B4" s="7"/>
      <c r="C4" s="7"/>
      <c r="D4" s="7" t="s">
        <v>7</v>
      </c>
      <c r="E4" s="11" t="s">
        <v>82</v>
      </c>
      <c r="F4" s="7" t="s">
        <v>8</v>
      </c>
      <c r="G4" s="8" t="s">
        <v>79</v>
      </c>
      <c r="I4" s="5"/>
      <c r="J4" s="4"/>
    </row>
    <row r="5" spans="1:13" x14ac:dyDescent="0.2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10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1.6328125" style="5" bestFit="1" customWidth="1"/>
    <col min="23" max="23" width="9.453125" style="5" bestFit="1" customWidth="1"/>
    <col min="24" max="24" width="15" style="5" bestFit="1" customWidth="1"/>
    <col min="25" max="25" width="20.453125" style="5" bestFit="1" customWidth="1"/>
    <col min="26" max="26" width="13.90625" style="5" bestFit="1" customWidth="1"/>
    <col min="27" max="27" width="16.0898437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60</v>
      </c>
      <c r="B1" s="54" t="s">
        <v>60</v>
      </c>
      <c r="C1" s="54"/>
      <c r="D1" s="1" t="s">
        <v>51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60</v>
      </c>
      <c r="B2" s="23"/>
      <c r="C2" s="23"/>
      <c r="D2" s="69" t="s">
        <v>147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MBBEL5030</v>
      </c>
      <c r="I2" s="7" t="s">
        <v>52</v>
      </c>
      <c r="J2" s="8" t="s">
        <v>97</v>
      </c>
      <c r="K2" s="7" t="s">
        <v>48</v>
      </c>
      <c r="L2" s="55" t="str">
        <f>IF(LogicCommon!G2="","",LogicCommon!G2)</f>
        <v>MC</v>
      </c>
      <c r="M2" s="5" t="s">
        <v>64</v>
      </c>
      <c r="N2" s="24" t="s">
        <v>80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60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MBBE</v>
      </c>
      <c r="G3" s="7" t="s">
        <v>6</v>
      </c>
      <c r="H3" s="55" t="str">
        <f>IF(LogicCommon!E3="","",LogicCommon!E3)</f>
        <v>MBBEL_RecvExtMstService</v>
      </c>
      <c r="I3" s="7" t="s">
        <v>53</v>
      </c>
      <c r="J3" s="8" t="s">
        <v>11</v>
      </c>
      <c r="K3" s="7" t="s">
        <v>49</v>
      </c>
      <c r="L3" s="55" t="str">
        <f>IF(LogicCommon!G3="","",LogicCommon!G3)</f>
        <v/>
      </c>
      <c r="M3" s="43"/>
      <c r="N3" s="7"/>
      <c r="O3" s="7" t="s">
        <v>65</v>
      </c>
      <c r="P3" s="8" t="s">
        <v>63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60</v>
      </c>
      <c r="B4" s="57"/>
      <c r="C4" s="57"/>
      <c r="D4" s="4"/>
      <c r="E4" s="7" t="s">
        <v>12</v>
      </c>
      <c r="F4" s="59" t="s">
        <v>66</v>
      </c>
      <c r="G4" s="7" t="s">
        <v>7</v>
      </c>
      <c r="H4" s="55" t="str">
        <f>IF(LogicCommon!E4="","",LogicCommon!E4)</f>
        <v>外部マスタ取込サービス</v>
      </c>
      <c r="I4" s="7" t="s">
        <v>61</v>
      </c>
      <c r="J4" s="8" t="s">
        <v>95</v>
      </c>
      <c r="K4" s="7" t="s">
        <v>8</v>
      </c>
      <c r="L4" s="55" t="str">
        <f>IF(LogicCommon!G4="","",LogicCommon!G4)</f>
        <v>MB.MBUDL5010</v>
      </c>
      <c r="M4" s="60" t="s">
        <v>67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60</v>
      </c>
      <c r="B5" s="54"/>
      <c r="C5" s="54"/>
      <c r="D5" s="21"/>
      <c r="E5" s="7" t="s">
        <v>54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60</v>
      </c>
      <c r="B6" s="57"/>
      <c r="C6" s="57"/>
      <c r="D6" s="4" t="s">
        <v>9</v>
      </c>
      <c r="E6" s="12" t="s">
        <v>104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50</v>
      </c>
      <c r="AE6" s="15"/>
      <c r="AF6" s="15" t="s">
        <v>50</v>
      </c>
      <c r="AG6" s="15"/>
      <c r="AH6" s="15" t="s">
        <v>50</v>
      </c>
      <c r="AI6" s="4"/>
      <c r="AJ6" s="4"/>
      <c r="AK6" s="4"/>
      <c r="AL6" s="4"/>
    </row>
    <row r="7" spans="1:38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16</v>
      </c>
      <c r="AD7" s="26"/>
      <c r="AE7" s="25" t="s">
        <v>16</v>
      </c>
      <c r="AF7" s="26"/>
      <c r="AG7" s="25" t="s">
        <v>16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13</v>
      </c>
      <c r="B8" s="70"/>
      <c r="C8" s="71"/>
      <c r="D8" s="25" t="s">
        <v>148</v>
      </c>
      <c r="E8" s="25" t="s">
        <v>149</v>
      </c>
      <c r="F8" s="64"/>
      <c r="G8" s="25" t="s">
        <v>55</v>
      </c>
      <c r="H8" s="25" t="s">
        <v>150</v>
      </c>
      <c r="I8" s="64"/>
      <c r="J8" s="3"/>
      <c r="K8" s="8" t="s">
        <v>17</v>
      </c>
      <c r="L8" s="8" t="s">
        <v>18</v>
      </c>
      <c r="M8" s="8" t="s">
        <v>19</v>
      </c>
      <c r="N8" s="8" t="s">
        <v>20</v>
      </c>
      <c r="O8" s="8" t="s">
        <v>21</v>
      </c>
      <c r="P8" s="8" t="s">
        <v>22</v>
      </c>
      <c r="Q8" s="8" t="s">
        <v>23</v>
      </c>
      <c r="R8" s="8" t="s">
        <v>24</v>
      </c>
      <c r="S8" s="8" t="s">
        <v>25</v>
      </c>
      <c r="T8" s="8" t="s">
        <v>26</v>
      </c>
      <c r="U8" s="8" t="s">
        <v>27</v>
      </c>
      <c r="V8" s="8" t="s">
        <v>28</v>
      </c>
      <c r="W8" s="8" t="s">
        <v>29</v>
      </c>
      <c r="X8" s="8" t="s">
        <v>30</v>
      </c>
      <c r="Y8" s="8" t="s">
        <v>31</v>
      </c>
      <c r="Z8" s="8" t="s">
        <v>56</v>
      </c>
      <c r="AA8" s="8" t="s">
        <v>32</v>
      </c>
      <c r="AB8" s="8" t="s">
        <v>57</v>
      </c>
      <c r="AC8" s="25" t="s">
        <v>33</v>
      </c>
      <c r="AD8" s="26"/>
      <c r="AE8" s="25" t="s">
        <v>58</v>
      </c>
      <c r="AF8" s="26"/>
      <c r="AG8" s="25" t="s">
        <v>59</v>
      </c>
      <c r="AH8" s="26"/>
      <c r="AI8" s="3"/>
      <c r="AJ8" s="21"/>
      <c r="AK8" s="123" t="s">
        <v>159</v>
      </c>
      <c r="AL8" s="124"/>
    </row>
    <row r="9" spans="1:38" s="10" customFormat="1" ht="60" customHeight="1" x14ac:dyDescent="0.2">
      <c r="A9" s="8" t="s">
        <v>13</v>
      </c>
      <c r="B9" s="30"/>
      <c r="C9" s="31"/>
      <c r="D9" s="25" t="s">
        <v>151</v>
      </c>
      <c r="E9" s="65" t="s">
        <v>152</v>
      </c>
      <c r="F9" s="25" t="s">
        <v>153</v>
      </c>
      <c r="G9" s="25" t="s">
        <v>154</v>
      </c>
      <c r="H9" s="25" t="s">
        <v>155</v>
      </c>
      <c r="I9" s="66" t="s">
        <v>156</v>
      </c>
      <c r="J9" s="25" t="s">
        <v>157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6"/>
      <c r="AD9" s="25"/>
      <c r="AE9" s="25"/>
      <c r="AF9" s="25"/>
      <c r="AG9" s="25"/>
      <c r="AH9" s="25"/>
      <c r="AI9" s="123" t="s">
        <v>158</v>
      </c>
      <c r="AJ9" s="124"/>
      <c r="AK9" s="123" t="s">
        <v>160</v>
      </c>
      <c r="AL9" s="124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156</v>
      </c>
      <c r="AD10" s="25" t="s">
        <v>157</v>
      </c>
      <c r="AE10" s="25" t="s">
        <v>156</v>
      </c>
      <c r="AF10" s="25" t="s">
        <v>157</v>
      </c>
      <c r="AG10" s="25" t="s">
        <v>156</v>
      </c>
      <c r="AH10" s="25" t="s">
        <v>157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35</v>
      </c>
      <c r="C11" s="31"/>
      <c r="D11" s="24" t="s">
        <v>85</v>
      </c>
      <c r="E11" s="29" t="s">
        <v>36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77</v>
      </c>
      <c r="E12" s="26" t="s">
        <v>78</v>
      </c>
      <c r="F12" s="26"/>
      <c r="G12" s="42" t="s">
        <v>161</v>
      </c>
      <c r="H12" s="42" t="s">
        <v>96</v>
      </c>
      <c r="I12" s="8" t="s">
        <v>68</v>
      </c>
      <c r="J12" s="8" t="s">
        <v>68</v>
      </c>
      <c r="K12" s="8"/>
      <c r="L12" s="8" t="s">
        <v>68</v>
      </c>
      <c r="M12" s="8"/>
      <c r="N12" s="5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46</v>
      </c>
      <c r="E13" s="26" t="s">
        <v>47</v>
      </c>
      <c r="F13" s="26"/>
      <c r="G13" s="42" t="s">
        <v>162</v>
      </c>
      <c r="H13" s="42" t="s">
        <v>69</v>
      </c>
      <c r="I13" s="8" t="s">
        <v>68</v>
      </c>
      <c r="J13" s="8" t="s">
        <v>68</v>
      </c>
      <c r="K13" s="8"/>
      <c r="L13" s="8" t="s">
        <v>70</v>
      </c>
      <c r="M13" s="8"/>
      <c r="N13" s="52"/>
      <c r="O13" s="8"/>
      <c r="P13" s="8"/>
      <c r="Q13" s="8"/>
      <c r="R13" s="8"/>
      <c r="S13" s="8"/>
      <c r="T13" s="8"/>
      <c r="U13" s="8"/>
      <c r="V13" s="8" t="s">
        <v>71</v>
      </c>
      <c r="W13" s="8"/>
      <c r="X13" s="8"/>
      <c r="Y13" s="8"/>
      <c r="Z13" s="8" t="s">
        <v>72</v>
      </c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98</v>
      </c>
      <c r="E14" s="26" t="s">
        <v>99</v>
      </c>
      <c r="F14" s="26"/>
      <c r="G14" s="42" t="s">
        <v>163</v>
      </c>
      <c r="H14" s="42" t="s">
        <v>100</v>
      </c>
      <c r="I14" s="8" t="s">
        <v>68</v>
      </c>
      <c r="J14" s="8" t="s">
        <v>68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K14" s="40"/>
      <c r="AL14" s="41"/>
    </row>
    <row r="15" spans="1:38" s="10" customFormat="1" x14ac:dyDescent="0.2">
      <c r="A15" s="8">
        <v>10</v>
      </c>
      <c r="B15" s="8"/>
      <c r="C15" s="8"/>
      <c r="D15" s="8" t="s">
        <v>38</v>
      </c>
      <c r="E15" s="26" t="s">
        <v>37</v>
      </c>
      <c r="F15" s="26"/>
      <c r="G15" s="42" t="s">
        <v>164</v>
      </c>
      <c r="H15" s="42" t="s">
        <v>73</v>
      </c>
      <c r="I15" s="8" t="s">
        <v>74</v>
      </c>
      <c r="J15" s="8" t="s">
        <v>68</v>
      </c>
      <c r="K15" s="8"/>
      <c r="L15" s="8"/>
      <c r="M15" s="8"/>
      <c r="N15" s="5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3"/>
      <c r="AJ15" s="44"/>
      <c r="AK15" s="40"/>
      <c r="AL15" s="41"/>
    </row>
    <row r="16" spans="1:38" s="10" customFormat="1" x14ac:dyDescent="0.2">
      <c r="A16" s="56"/>
      <c r="AL16" s="46"/>
    </row>
    <row r="17" spans="1:38" s="10" customFormat="1" x14ac:dyDescent="0.2">
      <c r="A17" s="8">
        <v>20</v>
      </c>
      <c r="B17" s="30" t="s">
        <v>35</v>
      </c>
      <c r="C17" s="31"/>
      <c r="D17" s="24" t="s">
        <v>143</v>
      </c>
      <c r="E17" s="29" t="s">
        <v>144</v>
      </c>
      <c r="F17" s="38"/>
      <c r="G17" s="24"/>
      <c r="H17" s="28"/>
      <c r="I17" s="39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27"/>
      <c r="AD17" s="27"/>
      <c r="AE17" s="27"/>
      <c r="AF17" s="27"/>
      <c r="AG17" s="27"/>
      <c r="AH17" s="27"/>
      <c r="AI17" s="39"/>
      <c r="AJ17" s="38"/>
      <c r="AK17" s="40"/>
      <c r="AL17" s="41"/>
    </row>
    <row r="18" spans="1:38" s="10" customFormat="1" x14ac:dyDescent="0.2">
      <c r="A18" s="8">
        <v>20</v>
      </c>
      <c r="B18" s="8"/>
      <c r="C18" s="8"/>
      <c r="D18" s="8" t="s">
        <v>87</v>
      </c>
      <c r="E18" s="26" t="s">
        <v>88</v>
      </c>
      <c r="F18" s="26"/>
      <c r="G18" s="42" t="s">
        <v>165</v>
      </c>
      <c r="H18" s="42" t="s">
        <v>89</v>
      </c>
      <c r="I18" s="8" t="s">
        <v>68</v>
      </c>
      <c r="J18" s="8" t="s">
        <v>75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K18" s="40"/>
      <c r="AL18" s="41"/>
    </row>
    <row r="19" spans="1:38" s="10" customFormat="1" x14ac:dyDescent="0.2">
      <c r="A19" s="8">
        <v>20</v>
      </c>
      <c r="B19" s="8"/>
      <c r="C19" s="8"/>
      <c r="D19" s="8" t="s">
        <v>46</v>
      </c>
      <c r="E19" s="26" t="s">
        <v>47</v>
      </c>
      <c r="F19" s="26"/>
      <c r="G19" s="42" t="s">
        <v>162</v>
      </c>
      <c r="H19" s="42" t="s">
        <v>69</v>
      </c>
      <c r="I19" s="8" t="s">
        <v>68</v>
      </c>
      <c r="J19" s="8" t="s">
        <v>75</v>
      </c>
      <c r="K19" s="8"/>
      <c r="L19" s="8"/>
      <c r="M19" s="8"/>
      <c r="N19" s="5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3"/>
      <c r="AJ19" s="44"/>
      <c r="AK19" s="40"/>
      <c r="AL19" s="41"/>
    </row>
    <row r="20" spans="1:38" s="10" customFormat="1" x14ac:dyDescent="0.2">
      <c r="A20" s="22"/>
      <c r="B20" s="23"/>
      <c r="C20" s="23"/>
      <c r="D20" s="16" t="s">
        <v>10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9"/>
      <c r="AI20" s="9"/>
      <c r="AJ20" s="9"/>
      <c r="AK20" s="9"/>
      <c r="AL20" s="45"/>
    </row>
    <row r="21" spans="1:38" s="10" customFormat="1" x14ac:dyDescent="0.2">
      <c r="A21" s="56"/>
      <c r="AL21" s="46"/>
    </row>
    <row r="22" spans="1:38" s="10" customFormat="1" x14ac:dyDescent="0.2">
      <c r="A22" s="56"/>
      <c r="AL22" s="46"/>
    </row>
    <row r="23" spans="1:38" s="10" customFormat="1" x14ac:dyDescent="0.2">
      <c r="A23" s="56"/>
      <c r="AL23" s="46"/>
    </row>
    <row r="24" spans="1:38" s="10" customFormat="1" x14ac:dyDescent="0.2">
      <c r="A24" s="62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47"/>
    </row>
  </sheetData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9.17968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38" s="10" customFormat="1" x14ac:dyDescent="0.2">
      <c r="A1" s="54" t="s">
        <v>60</v>
      </c>
      <c r="B1" s="54" t="s">
        <v>60</v>
      </c>
      <c r="C1" s="54"/>
      <c r="D1" s="1" t="s">
        <v>51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10" customFormat="1" ht="40" customHeight="1" x14ac:dyDescent="0.2">
      <c r="A2" s="22" t="s">
        <v>60</v>
      </c>
      <c r="B2" s="23"/>
      <c r="C2" s="23"/>
      <c r="D2" s="69" t="s">
        <v>147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MBBEL5030</v>
      </c>
      <c r="I2" s="7" t="s">
        <v>52</v>
      </c>
      <c r="J2" s="8" t="s">
        <v>93</v>
      </c>
      <c r="K2" s="7" t="s">
        <v>48</v>
      </c>
      <c r="L2" s="55" t="str">
        <f>IF(LogicCommon!G2="","",LogicCommon!G2)</f>
        <v>MC</v>
      </c>
      <c r="M2" s="5" t="s">
        <v>64</v>
      </c>
      <c r="N2" s="24" t="s">
        <v>81</v>
      </c>
      <c r="O2" s="7"/>
      <c r="P2" s="7"/>
      <c r="Q2" s="4"/>
      <c r="R2" s="5"/>
      <c r="S2" s="5"/>
      <c r="T2" s="5"/>
      <c r="U2" s="5"/>
    </row>
    <row r="3" spans="1:38" s="10" customFormat="1" x14ac:dyDescent="0.2">
      <c r="A3" s="56" t="s">
        <v>60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MBBE</v>
      </c>
      <c r="G3" s="7" t="s">
        <v>6</v>
      </c>
      <c r="H3" s="55" t="str">
        <f>IF(LogicCommon!E3="","",LogicCommon!E3)</f>
        <v>MBBEL_RecvExtMstService</v>
      </c>
      <c r="I3" s="7" t="s">
        <v>53</v>
      </c>
      <c r="J3" s="8" t="s">
        <v>11</v>
      </c>
      <c r="K3" s="7" t="s">
        <v>49</v>
      </c>
      <c r="L3" s="55" t="str">
        <f>IF(LogicCommon!G3="","",LogicCommon!G3)</f>
        <v/>
      </c>
      <c r="M3" s="43"/>
      <c r="N3" s="7"/>
      <c r="O3" s="7" t="s">
        <v>65</v>
      </c>
      <c r="P3" s="8" t="s">
        <v>63</v>
      </c>
      <c r="Q3" s="4"/>
      <c r="R3" s="5"/>
      <c r="S3" s="5"/>
      <c r="T3" s="5"/>
      <c r="U3" s="5"/>
    </row>
    <row r="4" spans="1:38" s="10" customFormat="1" x14ac:dyDescent="0.2">
      <c r="A4" s="56" t="s">
        <v>60</v>
      </c>
      <c r="B4" s="57"/>
      <c r="C4" s="57"/>
      <c r="D4" s="4"/>
      <c r="E4" s="7" t="s">
        <v>12</v>
      </c>
      <c r="F4" s="59" t="s">
        <v>66</v>
      </c>
      <c r="G4" s="7" t="s">
        <v>7</v>
      </c>
      <c r="H4" s="55" t="str">
        <f>IF(LogicCommon!E4="","",LogicCommon!E4)</f>
        <v>外部マスタ取込サービス</v>
      </c>
      <c r="I4" s="7" t="s">
        <v>61</v>
      </c>
      <c r="J4" s="8" t="s">
        <v>94</v>
      </c>
      <c r="K4" s="7" t="s">
        <v>8</v>
      </c>
      <c r="L4" s="55" t="str">
        <f>IF(LogicCommon!G4="","",LogicCommon!G4)</f>
        <v>MB.MBUDL5010</v>
      </c>
      <c r="M4" s="60" t="s">
        <v>67</v>
      </c>
      <c r="N4" s="24"/>
      <c r="O4" s="61"/>
      <c r="P4" s="4"/>
      <c r="Q4" s="4"/>
      <c r="R4" s="5"/>
      <c r="S4" s="5"/>
      <c r="T4" s="5"/>
      <c r="U4" s="5"/>
    </row>
    <row r="5" spans="1:38" s="10" customFormat="1" x14ac:dyDescent="0.2">
      <c r="A5" s="62" t="s">
        <v>60</v>
      </c>
      <c r="B5" s="54"/>
      <c r="C5" s="54"/>
      <c r="D5" s="21"/>
      <c r="E5" s="7" t="s">
        <v>54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38" s="10" customFormat="1" x14ac:dyDescent="0.2">
      <c r="A6" s="56" t="s">
        <v>60</v>
      </c>
      <c r="B6" s="57"/>
      <c r="C6" s="57"/>
      <c r="D6" s="4" t="s">
        <v>9</v>
      </c>
      <c r="E6" s="12" t="s">
        <v>105</v>
      </c>
      <c r="F6" s="12"/>
      <c r="G6" s="12"/>
      <c r="H6" s="12"/>
      <c r="I6" s="12"/>
      <c r="J6" s="12"/>
      <c r="K6" s="12"/>
      <c r="L6" s="64"/>
      <c r="M6" s="15" t="s">
        <v>50</v>
      </c>
      <c r="N6" s="15"/>
      <c r="O6" s="15" t="s">
        <v>50</v>
      </c>
      <c r="P6" s="15"/>
      <c r="Q6" s="15" t="s">
        <v>50</v>
      </c>
      <c r="R6" s="4"/>
      <c r="S6" s="4"/>
      <c r="T6" s="4"/>
      <c r="U6" s="4"/>
    </row>
    <row r="7" spans="1:38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48" t="s">
        <v>39</v>
      </c>
      <c r="L7" s="25" t="s">
        <v>16</v>
      </c>
      <c r="M7" s="26"/>
      <c r="N7" s="25" t="s">
        <v>16</v>
      </c>
      <c r="O7" s="26"/>
      <c r="P7" s="25" t="s">
        <v>16</v>
      </c>
      <c r="Q7" s="26"/>
      <c r="R7" s="4"/>
      <c r="S7" s="4"/>
      <c r="T7" s="4"/>
      <c r="U7" s="4"/>
    </row>
    <row r="8" spans="1:38" s="10" customFormat="1" ht="60" customHeight="1" x14ac:dyDescent="0.2">
      <c r="A8" s="26" t="s">
        <v>13</v>
      </c>
      <c r="B8" s="70"/>
      <c r="C8" s="71"/>
      <c r="D8" s="25" t="s">
        <v>148</v>
      </c>
      <c r="E8" s="25" t="s">
        <v>149</v>
      </c>
      <c r="F8" s="64"/>
      <c r="G8" s="25" t="s">
        <v>55</v>
      </c>
      <c r="H8" s="25" t="s">
        <v>150</v>
      </c>
      <c r="I8" s="64"/>
      <c r="J8" s="3"/>
      <c r="K8" s="8"/>
      <c r="L8" s="25" t="s">
        <v>33</v>
      </c>
      <c r="M8" s="26"/>
      <c r="N8" s="25" t="s">
        <v>62</v>
      </c>
      <c r="O8" s="26"/>
      <c r="P8" s="25" t="s">
        <v>62</v>
      </c>
      <c r="Q8" s="26"/>
      <c r="R8" s="3"/>
      <c r="S8" s="21"/>
      <c r="T8" s="123" t="s">
        <v>159</v>
      </c>
      <c r="U8" s="124"/>
    </row>
    <row r="9" spans="1:38" s="10" customFormat="1" ht="60" customHeight="1" x14ac:dyDescent="0.2">
      <c r="A9" s="8" t="s">
        <v>13</v>
      </c>
      <c r="B9" s="30"/>
      <c r="C9" s="31"/>
      <c r="D9" s="25" t="s">
        <v>166</v>
      </c>
      <c r="E9" s="65" t="s">
        <v>167</v>
      </c>
      <c r="F9" s="25" t="s">
        <v>153</v>
      </c>
      <c r="G9" s="25" t="s">
        <v>154</v>
      </c>
      <c r="H9" s="25" t="s">
        <v>155</v>
      </c>
      <c r="I9" s="66" t="s">
        <v>156</v>
      </c>
      <c r="J9" s="25" t="s">
        <v>157</v>
      </c>
      <c r="K9" s="69"/>
      <c r="L9" s="66"/>
      <c r="M9" s="25"/>
      <c r="N9" s="25"/>
      <c r="O9" s="25"/>
      <c r="P9" s="25"/>
      <c r="Q9" s="25"/>
      <c r="R9" s="123" t="s">
        <v>158</v>
      </c>
      <c r="S9" s="124"/>
      <c r="T9" s="123" t="s">
        <v>160</v>
      </c>
      <c r="U9" s="124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156</v>
      </c>
      <c r="M10" s="25" t="s">
        <v>157</v>
      </c>
      <c r="N10" s="25" t="s">
        <v>156</v>
      </c>
      <c r="O10" s="25" t="s">
        <v>157</v>
      </c>
      <c r="P10" s="25" t="s">
        <v>156</v>
      </c>
      <c r="Q10" s="25" t="s">
        <v>157</v>
      </c>
      <c r="R10" s="32"/>
      <c r="S10" s="32"/>
      <c r="T10" s="37"/>
      <c r="U10" s="53"/>
    </row>
    <row r="11" spans="1:38" s="10" customFormat="1" ht="26" x14ac:dyDescent="0.2">
      <c r="A11" s="8">
        <v>10</v>
      </c>
      <c r="B11" s="30" t="s">
        <v>35</v>
      </c>
      <c r="C11" s="31"/>
      <c r="D11" s="24" t="s">
        <v>86</v>
      </c>
      <c r="E11" s="29" t="s">
        <v>36</v>
      </c>
      <c r="F11" s="38"/>
      <c r="G11" s="24" t="s">
        <v>101</v>
      </c>
      <c r="H11" s="28" t="s">
        <v>102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38" s="10" customFormat="1" x14ac:dyDescent="0.2">
      <c r="A12" s="8">
        <v>10</v>
      </c>
      <c r="B12" s="8"/>
      <c r="C12" s="8"/>
      <c r="D12" s="8" t="s">
        <v>77</v>
      </c>
      <c r="E12" s="26" t="s">
        <v>78</v>
      </c>
      <c r="F12" s="26"/>
      <c r="G12" s="42" t="s">
        <v>161</v>
      </c>
      <c r="H12" s="42" t="s">
        <v>96</v>
      </c>
      <c r="I12" s="8" t="s">
        <v>68</v>
      </c>
      <c r="J12" s="8" t="s">
        <v>75</v>
      </c>
      <c r="K12" s="8"/>
      <c r="L12" s="8"/>
      <c r="M12" s="8"/>
      <c r="N12" s="8"/>
      <c r="O12" s="8"/>
      <c r="P12" s="8"/>
      <c r="Q12" s="8"/>
      <c r="R12" s="65"/>
      <c r="S12" s="66"/>
      <c r="T12" s="67"/>
      <c r="U12" s="68"/>
    </row>
    <row r="13" spans="1:38" s="10" customFormat="1" x14ac:dyDescent="0.2">
      <c r="A13" s="8">
        <v>10</v>
      </c>
      <c r="B13" s="8"/>
      <c r="C13" s="8"/>
      <c r="D13" s="8" t="s">
        <v>90</v>
      </c>
      <c r="E13" s="26" t="s">
        <v>91</v>
      </c>
      <c r="F13" s="26"/>
      <c r="G13" s="42" t="s">
        <v>162</v>
      </c>
      <c r="H13" s="42" t="s">
        <v>92</v>
      </c>
      <c r="I13" s="8" t="s">
        <v>68</v>
      </c>
      <c r="J13" s="8" t="s">
        <v>75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38" s="10" customFormat="1" x14ac:dyDescent="0.2">
      <c r="A14" s="8">
        <v>10</v>
      </c>
      <c r="B14" s="8"/>
      <c r="C14" s="8"/>
      <c r="D14" s="8" t="s">
        <v>98</v>
      </c>
      <c r="E14" s="26" t="s">
        <v>99</v>
      </c>
      <c r="F14" s="26"/>
      <c r="G14" s="42" t="s">
        <v>163</v>
      </c>
      <c r="H14" s="42" t="s">
        <v>100</v>
      </c>
      <c r="I14" s="8" t="s">
        <v>68</v>
      </c>
      <c r="J14" s="8" t="s">
        <v>75</v>
      </c>
      <c r="K14" s="8"/>
      <c r="L14" s="8"/>
      <c r="M14" s="8"/>
      <c r="N14" s="8"/>
      <c r="O14" s="8"/>
      <c r="P14" s="8"/>
      <c r="Q14" s="8"/>
      <c r="R14" s="65"/>
      <c r="S14" s="66"/>
      <c r="T14" s="67"/>
      <c r="U14" s="68"/>
    </row>
    <row r="15" spans="1:38" s="10" customFormat="1" x14ac:dyDescent="0.2">
      <c r="A15" s="56"/>
      <c r="AL15" s="46"/>
    </row>
    <row r="16" spans="1:38" s="10" customFormat="1" ht="26" x14ac:dyDescent="0.2">
      <c r="A16" s="8">
        <v>20</v>
      </c>
      <c r="B16" s="30" t="s">
        <v>35</v>
      </c>
      <c r="C16" s="31"/>
      <c r="D16" s="24" t="s">
        <v>145</v>
      </c>
      <c r="E16" s="29" t="s">
        <v>144</v>
      </c>
      <c r="F16" s="38"/>
      <c r="G16" s="24" t="s">
        <v>101</v>
      </c>
      <c r="H16" s="28" t="s">
        <v>146</v>
      </c>
      <c r="I16" s="39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27"/>
      <c r="AD16" s="27"/>
      <c r="AE16" s="27"/>
      <c r="AF16" s="27"/>
      <c r="AG16" s="27"/>
      <c r="AH16" s="27"/>
      <c r="AI16" s="39"/>
      <c r="AJ16" s="38"/>
      <c r="AK16" s="40"/>
      <c r="AL16" s="41"/>
    </row>
    <row r="17" spans="1:38" s="10" customFormat="1" x14ac:dyDescent="0.2">
      <c r="A17" s="8">
        <v>20</v>
      </c>
      <c r="B17" s="8"/>
      <c r="C17" s="8"/>
      <c r="D17" s="8" t="s">
        <v>87</v>
      </c>
      <c r="E17" s="26" t="s">
        <v>88</v>
      </c>
      <c r="F17" s="26"/>
      <c r="G17" s="42" t="s">
        <v>165</v>
      </c>
      <c r="H17" s="42" t="s">
        <v>89</v>
      </c>
      <c r="I17" s="8" t="s">
        <v>68</v>
      </c>
      <c r="J17" s="8" t="s">
        <v>75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K17" s="40"/>
      <c r="AL17" s="41"/>
    </row>
    <row r="18" spans="1:38" s="10" customFormat="1" x14ac:dyDescent="0.2">
      <c r="A18" s="8">
        <v>20</v>
      </c>
      <c r="B18" s="8"/>
      <c r="C18" s="8"/>
      <c r="D18" s="8" t="s">
        <v>46</v>
      </c>
      <c r="E18" s="26" t="s">
        <v>47</v>
      </c>
      <c r="F18" s="26"/>
      <c r="G18" s="42" t="s">
        <v>162</v>
      </c>
      <c r="H18" s="42" t="s">
        <v>69</v>
      </c>
      <c r="I18" s="8" t="s">
        <v>68</v>
      </c>
      <c r="J18" s="8" t="s">
        <v>75</v>
      </c>
      <c r="K18" s="8"/>
      <c r="L18" s="8"/>
      <c r="M18" s="8"/>
      <c r="N18" s="5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3"/>
      <c r="AJ18" s="44"/>
      <c r="AK18" s="40"/>
      <c r="AL18" s="41"/>
    </row>
    <row r="19" spans="1:38" s="10" customFormat="1" x14ac:dyDescent="0.2">
      <c r="A19" s="22"/>
      <c r="B19" s="23"/>
      <c r="C19" s="23"/>
      <c r="D19" s="16" t="s">
        <v>10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9"/>
      <c r="AI19" s="9"/>
      <c r="AJ19" s="9"/>
      <c r="AK19" s="9"/>
      <c r="AL19" s="45"/>
    </row>
    <row r="20" spans="1:38" s="10" customFormat="1" x14ac:dyDescent="0.2">
      <c r="A20" s="56"/>
      <c r="AL20" s="46"/>
    </row>
    <row r="21" spans="1:38" s="10" customFormat="1" x14ac:dyDescent="0.2">
      <c r="A21" s="56"/>
      <c r="AL21" s="46"/>
    </row>
    <row r="22" spans="1:38" s="10" customFormat="1" x14ac:dyDescent="0.2">
      <c r="A22" s="56"/>
      <c r="AL22" s="46"/>
    </row>
    <row r="23" spans="1:38" s="10" customFormat="1" x14ac:dyDescent="0.2">
      <c r="A23" s="62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7"/>
    </row>
  </sheetData>
  <mergeCells count="5">
    <mergeCell ref="R13:S13"/>
    <mergeCell ref="T13:U13"/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62C95-4266-47B5-BBA1-9D65A2861FBC}">
  <sheetPr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9.17968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4" t="s">
        <v>60</v>
      </c>
      <c r="B1" s="54" t="s">
        <v>60</v>
      </c>
      <c r="C1" s="54"/>
      <c r="D1" s="1" t="s">
        <v>51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60</v>
      </c>
      <c r="B2" s="23"/>
      <c r="C2" s="23"/>
      <c r="D2" s="69" t="s">
        <v>147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MBBEL5030</v>
      </c>
      <c r="I2" s="7" t="s">
        <v>52</v>
      </c>
      <c r="J2" s="8" t="s">
        <v>106</v>
      </c>
      <c r="K2" s="7" t="s">
        <v>48</v>
      </c>
      <c r="L2" s="55" t="str">
        <f>IF(LogicCommon!G2="","",LogicCommon!G2)</f>
        <v>MC</v>
      </c>
      <c r="M2" s="5" t="s">
        <v>64</v>
      </c>
      <c r="N2" s="24" t="s">
        <v>81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60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MBBE</v>
      </c>
      <c r="G3" s="7" t="s">
        <v>6</v>
      </c>
      <c r="H3" s="55" t="str">
        <f>IF(LogicCommon!E3="","",LogicCommon!E3)</f>
        <v>MBBEL_RecvExtMstService</v>
      </c>
      <c r="I3" s="7" t="s">
        <v>53</v>
      </c>
      <c r="J3" s="8" t="s">
        <v>11</v>
      </c>
      <c r="K3" s="7" t="s">
        <v>49</v>
      </c>
      <c r="L3" s="55" t="str">
        <f>IF(LogicCommon!G3="","",LogicCommon!G3)</f>
        <v/>
      </c>
      <c r="M3" s="43"/>
      <c r="N3" s="7"/>
      <c r="O3" s="7" t="s">
        <v>65</v>
      </c>
      <c r="P3" s="8" t="s">
        <v>63</v>
      </c>
      <c r="Q3" s="4"/>
      <c r="R3" s="5"/>
      <c r="S3" s="5"/>
      <c r="T3" s="5"/>
      <c r="U3" s="5"/>
    </row>
    <row r="4" spans="1:21" s="10" customFormat="1" x14ac:dyDescent="0.2">
      <c r="A4" s="56" t="s">
        <v>60</v>
      </c>
      <c r="B4" s="57"/>
      <c r="C4" s="57"/>
      <c r="D4" s="4"/>
      <c r="E4" s="7" t="s">
        <v>12</v>
      </c>
      <c r="F4" s="59" t="s">
        <v>66</v>
      </c>
      <c r="G4" s="7" t="s">
        <v>7</v>
      </c>
      <c r="H4" s="55" t="str">
        <f>IF(LogicCommon!E4="","",LogicCommon!E4)</f>
        <v>外部マスタ取込サービス</v>
      </c>
      <c r="I4" s="7" t="s">
        <v>61</v>
      </c>
      <c r="J4" s="8" t="s">
        <v>107</v>
      </c>
      <c r="K4" s="7" t="s">
        <v>8</v>
      </c>
      <c r="L4" s="55" t="str">
        <f>IF(LogicCommon!G4="","",LogicCommon!G4)</f>
        <v>MB.MBUDL5010</v>
      </c>
      <c r="M4" s="60" t="s">
        <v>67</v>
      </c>
      <c r="N4" s="24" t="s">
        <v>108</v>
      </c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60</v>
      </c>
      <c r="B5" s="54"/>
      <c r="C5" s="54"/>
      <c r="D5" s="21"/>
      <c r="E5" s="7" t="s">
        <v>54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60</v>
      </c>
      <c r="B6" s="57"/>
      <c r="C6" s="57"/>
      <c r="D6" s="4" t="s">
        <v>9</v>
      </c>
      <c r="E6" s="12" t="s">
        <v>139</v>
      </c>
      <c r="F6" s="12"/>
      <c r="G6" s="12"/>
      <c r="H6" s="12"/>
      <c r="I6" s="12"/>
      <c r="J6" s="12"/>
      <c r="K6" s="12"/>
      <c r="L6" s="64"/>
      <c r="M6" s="15" t="s">
        <v>50</v>
      </c>
      <c r="N6" s="15"/>
      <c r="O6" s="15" t="s">
        <v>50</v>
      </c>
      <c r="P6" s="15"/>
      <c r="Q6" s="15" t="s">
        <v>50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48" t="s">
        <v>39</v>
      </c>
      <c r="L7" s="25" t="s">
        <v>16</v>
      </c>
      <c r="M7" s="26"/>
      <c r="N7" s="25" t="s">
        <v>16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70"/>
      <c r="C8" s="71"/>
      <c r="D8" s="25" t="s">
        <v>148</v>
      </c>
      <c r="E8" s="25" t="s">
        <v>149</v>
      </c>
      <c r="F8" s="64"/>
      <c r="G8" s="25" t="s">
        <v>55</v>
      </c>
      <c r="H8" s="25" t="s">
        <v>150</v>
      </c>
      <c r="I8" s="64"/>
      <c r="J8" s="3"/>
      <c r="K8" s="8"/>
      <c r="L8" s="25" t="s">
        <v>33</v>
      </c>
      <c r="M8" s="26"/>
      <c r="N8" s="25" t="s">
        <v>33</v>
      </c>
      <c r="O8" s="26"/>
      <c r="P8" s="25" t="s">
        <v>33</v>
      </c>
      <c r="Q8" s="26"/>
      <c r="R8" s="3"/>
      <c r="S8" s="21"/>
      <c r="T8" s="123" t="s">
        <v>159</v>
      </c>
      <c r="U8" s="124"/>
    </row>
    <row r="9" spans="1:21" s="10" customFormat="1" ht="60" customHeight="1" x14ac:dyDescent="0.2">
      <c r="A9" s="8" t="s">
        <v>13</v>
      </c>
      <c r="B9" s="30"/>
      <c r="C9" s="31"/>
      <c r="D9" s="25" t="s">
        <v>166</v>
      </c>
      <c r="E9" s="65" t="s">
        <v>167</v>
      </c>
      <c r="F9" s="25" t="s">
        <v>153</v>
      </c>
      <c r="G9" s="25" t="s">
        <v>154</v>
      </c>
      <c r="H9" s="25" t="s">
        <v>155</v>
      </c>
      <c r="I9" s="66" t="s">
        <v>156</v>
      </c>
      <c r="J9" s="25" t="s">
        <v>157</v>
      </c>
      <c r="K9" s="69"/>
      <c r="L9" s="66"/>
      <c r="M9" s="25"/>
      <c r="N9" s="25"/>
      <c r="O9" s="25"/>
      <c r="P9" s="25"/>
      <c r="Q9" s="25"/>
      <c r="R9" s="123" t="s">
        <v>158</v>
      </c>
      <c r="S9" s="124"/>
      <c r="T9" s="123" t="s">
        <v>160</v>
      </c>
      <c r="U9" s="124"/>
    </row>
    <row r="10" spans="1:21" s="10" customFormat="1" ht="52" x14ac:dyDescent="0.2">
      <c r="A10" s="30" t="s">
        <v>13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156</v>
      </c>
      <c r="M10" s="25" t="s">
        <v>157</v>
      </c>
      <c r="N10" s="25" t="s">
        <v>156</v>
      </c>
      <c r="O10" s="25" t="s">
        <v>157</v>
      </c>
      <c r="P10" s="25" t="s">
        <v>156</v>
      </c>
      <c r="Q10" s="25" t="s">
        <v>157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109</v>
      </c>
      <c r="C11" s="31"/>
      <c r="D11" s="24" t="s">
        <v>110</v>
      </c>
      <c r="E11" s="27" t="s">
        <v>111</v>
      </c>
      <c r="F11" s="38"/>
      <c r="G11" s="24" t="s">
        <v>112</v>
      </c>
      <c r="H11" s="28" t="s">
        <v>113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114</v>
      </c>
      <c r="E12" s="26" t="s">
        <v>115</v>
      </c>
      <c r="F12" s="26"/>
      <c r="G12" s="42" t="s">
        <v>168</v>
      </c>
      <c r="H12" s="42" t="s">
        <v>116</v>
      </c>
      <c r="I12" s="8" t="s">
        <v>68</v>
      </c>
      <c r="J12" s="8" t="s">
        <v>75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87</v>
      </c>
      <c r="E13" s="26" t="s">
        <v>88</v>
      </c>
      <c r="F13" s="26"/>
      <c r="G13" s="42" t="s">
        <v>165</v>
      </c>
      <c r="H13" s="42" t="s">
        <v>89</v>
      </c>
      <c r="I13" s="8" t="s">
        <v>68</v>
      </c>
      <c r="J13" s="8" t="s">
        <v>75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142</v>
      </c>
      <c r="E14" s="26" t="s">
        <v>141</v>
      </c>
      <c r="F14" s="26"/>
      <c r="G14" s="42" t="s">
        <v>169</v>
      </c>
      <c r="H14" s="42" t="s">
        <v>140</v>
      </c>
      <c r="I14" s="8" t="s">
        <v>68</v>
      </c>
      <c r="J14" s="8" t="s">
        <v>75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8">
        <v>10</v>
      </c>
      <c r="B15" s="8"/>
      <c r="C15" s="8"/>
      <c r="D15" s="8" t="s">
        <v>90</v>
      </c>
      <c r="E15" s="26" t="s">
        <v>91</v>
      </c>
      <c r="F15" s="26"/>
      <c r="G15" s="42" t="s">
        <v>162</v>
      </c>
      <c r="H15" s="42" t="s">
        <v>92</v>
      </c>
      <c r="I15" s="8" t="s">
        <v>68</v>
      </c>
      <c r="J15" s="8" t="s">
        <v>75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x14ac:dyDescent="0.2">
      <c r="A16" s="56"/>
      <c r="U16" s="46"/>
    </row>
    <row r="17" spans="1:21" s="10" customFormat="1" x14ac:dyDescent="0.2">
      <c r="A17" s="8">
        <v>20</v>
      </c>
      <c r="B17" s="30" t="s">
        <v>109</v>
      </c>
      <c r="C17" s="31"/>
      <c r="D17" s="24" t="s">
        <v>117</v>
      </c>
      <c r="E17" s="27" t="s">
        <v>118</v>
      </c>
      <c r="F17" s="38"/>
      <c r="G17" s="24" t="s">
        <v>112</v>
      </c>
      <c r="H17" s="28" t="s">
        <v>119</v>
      </c>
      <c r="I17" s="39"/>
      <c r="J17" s="35"/>
      <c r="K17" s="35"/>
      <c r="L17" s="27"/>
      <c r="M17" s="27"/>
      <c r="N17" s="27"/>
      <c r="O17" s="27"/>
      <c r="P17" s="27"/>
      <c r="Q17" s="27"/>
      <c r="R17" s="39"/>
      <c r="S17" s="38"/>
      <c r="T17" s="125"/>
      <c r="U17" s="126"/>
    </row>
    <row r="18" spans="1:21" s="10" customFormat="1" x14ac:dyDescent="0.2">
      <c r="A18" s="8">
        <v>20</v>
      </c>
      <c r="B18" s="8"/>
      <c r="C18" s="8"/>
      <c r="D18" s="8" t="s">
        <v>120</v>
      </c>
      <c r="E18" s="8" t="s">
        <v>103</v>
      </c>
      <c r="F18" s="8"/>
      <c r="G18" s="42" t="s">
        <v>170</v>
      </c>
      <c r="H18" s="11" t="s">
        <v>121</v>
      </c>
      <c r="I18" s="8" t="s">
        <v>70</v>
      </c>
      <c r="J18" s="8" t="s">
        <v>75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x14ac:dyDescent="0.2">
      <c r="A19" s="8">
        <v>20</v>
      </c>
      <c r="B19" s="8"/>
      <c r="C19" s="8"/>
      <c r="D19" s="8" t="s">
        <v>122</v>
      </c>
      <c r="E19" s="8" t="s">
        <v>123</v>
      </c>
      <c r="F19" s="8"/>
      <c r="G19" s="42" t="s">
        <v>171</v>
      </c>
      <c r="H19" s="11" t="s">
        <v>124</v>
      </c>
      <c r="I19" s="8" t="s">
        <v>70</v>
      </c>
      <c r="J19" s="8" t="s">
        <v>75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8">
        <v>20</v>
      </c>
      <c r="B20" s="8"/>
      <c r="C20" s="8"/>
      <c r="D20" s="8" t="s">
        <v>125</v>
      </c>
      <c r="E20" s="8" t="s">
        <v>126</v>
      </c>
      <c r="F20" s="8"/>
      <c r="G20" s="42" t="s">
        <v>172</v>
      </c>
      <c r="H20" s="11" t="s">
        <v>127</v>
      </c>
      <c r="I20" s="8" t="s">
        <v>70</v>
      </c>
      <c r="J20" s="8" t="s">
        <v>75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 ht="52" x14ac:dyDescent="0.2">
      <c r="A21" s="56"/>
      <c r="L21" s="10" t="s">
        <v>156</v>
      </c>
      <c r="M21" s="10" t="s">
        <v>157</v>
      </c>
      <c r="N21" s="10" t="s">
        <v>156</v>
      </c>
      <c r="O21" s="10" t="s">
        <v>157</v>
      </c>
      <c r="P21" s="10" t="s">
        <v>156</v>
      </c>
      <c r="Q21" s="10" t="s">
        <v>157</v>
      </c>
      <c r="U21" s="46"/>
    </row>
    <row r="22" spans="1:21" s="10" customFormat="1" x14ac:dyDescent="0.2">
      <c r="A22" s="8">
        <v>30</v>
      </c>
      <c r="B22" s="30" t="s">
        <v>109</v>
      </c>
      <c r="C22" s="31"/>
      <c r="D22" s="24" t="s">
        <v>128</v>
      </c>
      <c r="E22" s="27" t="s">
        <v>118</v>
      </c>
      <c r="F22" s="38"/>
      <c r="G22" s="24" t="s">
        <v>112</v>
      </c>
      <c r="H22" s="28" t="s">
        <v>129</v>
      </c>
      <c r="I22" s="39"/>
      <c r="J22" s="35"/>
      <c r="K22" s="35"/>
      <c r="L22" s="27"/>
      <c r="M22" s="27"/>
      <c r="N22" s="27"/>
      <c r="O22" s="27"/>
      <c r="P22" s="27"/>
      <c r="Q22" s="27"/>
      <c r="R22" s="39"/>
      <c r="S22" s="38"/>
      <c r="T22" s="125"/>
      <c r="U22" s="126"/>
    </row>
    <row r="23" spans="1:21" s="10" customFormat="1" x14ac:dyDescent="0.2">
      <c r="A23" s="8">
        <v>30</v>
      </c>
      <c r="B23" s="8"/>
      <c r="C23" s="8"/>
      <c r="D23" s="8" t="s">
        <v>130</v>
      </c>
      <c r="E23" s="8" t="s">
        <v>131</v>
      </c>
      <c r="F23" s="8"/>
      <c r="G23" s="42" t="s">
        <v>173</v>
      </c>
      <c r="H23" s="11" t="s">
        <v>132</v>
      </c>
      <c r="I23" s="8" t="s">
        <v>75</v>
      </c>
      <c r="J23" s="8" t="s">
        <v>70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x14ac:dyDescent="0.2">
      <c r="A24" s="8">
        <v>30</v>
      </c>
      <c r="B24" s="8"/>
      <c r="C24" s="8"/>
      <c r="D24" s="8" t="s">
        <v>133</v>
      </c>
      <c r="E24" s="8" t="s">
        <v>131</v>
      </c>
      <c r="F24" s="8"/>
      <c r="G24" s="42" t="s">
        <v>174</v>
      </c>
      <c r="H24" s="11" t="s">
        <v>134</v>
      </c>
      <c r="I24" s="8" t="s">
        <v>75</v>
      </c>
      <c r="J24" s="8" t="s">
        <v>70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x14ac:dyDescent="0.2">
      <c r="A25" s="8">
        <v>30</v>
      </c>
      <c r="B25" s="8"/>
      <c r="C25" s="8"/>
      <c r="D25" s="8" t="s">
        <v>135</v>
      </c>
      <c r="E25" s="8" t="s">
        <v>131</v>
      </c>
      <c r="F25" s="8"/>
      <c r="G25" s="42" t="s">
        <v>175</v>
      </c>
      <c r="H25" s="11" t="s">
        <v>136</v>
      </c>
      <c r="I25" s="8" t="s">
        <v>75</v>
      </c>
      <c r="J25" s="8" t="s">
        <v>70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 x14ac:dyDescent="0.2">
      <c r="A26" s="8">
        <v>30</v>
      </c>
      <c r="B26" s="8"/>
      <c r="C26" s="8"/>
      <c r="D26" s="8" t="s">
        <v>137</v>
      </c>
      <c r="E26" s="8" t="s">
        <v>131</v>
      </c>
      <c r="F26" s="8"/>
      <c r="G26" s="42" t="s">
        <v>176</v>
      </c>
      <c r="H26" s="11" t="s">
        <v>138</v>
      </c>
      <c r="I26" s="8" t="s">
        <v>75</v>
      </c>
      <c r="J26" s="8" t="s">
        <v>70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 x14ac:dyDescent="0.2">
      <c r="A27" s="22"/>
      <c r="B27" s="23"/>
      <c r="C27" s="23"/>
      <c r="D27" s="16" t="s">
        <v>10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8"/>
    </row>
    <row r="28" spans="1:21" s="10" customFormat="1" x14ac:dyDescent="0.2">
      <c r="A28" s="56"/>
      <c r="U28" s="46"/>
    </row>
    <row r="29" spans="1:21" s="10" customFormat="1" x14ac:dyDescent="0.2">
      <c r="A29" s="56"/>
      <c r="U29" s="46"/>
    </row>
    <row r="30" spans="1:21" s="10" customFormat="1" x14ac:dyDescent="0.2">
      <c r="A30" s="56"/>
      <c r="U30" s="46"/>
    </row>
    <row r="31" spans="1:21" s="10" customFormat="1" x14ac:dyDescent="0.2">
      <c r="A31" s="62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7"/>
    </row>
  </sheetData>
  <mergeCells count="28">
    <mergeCell ref="R19:S19"/>
    <mergeCell ref="T19:U19"/>
    <mergeCell ref="R25:S25"/>
    <mergeCell ref="T25:U25"/>
    <mergeCell ref="R26:S26"/>
    <mergeCell ref="T26:U26"/>
    <mergeCell ref="R20:S20"/>
    <mergeCell ref="T20:U20"/>
    <mergeCell ref="T22:U22"/>
    <mergeCell ref="R23:S23"/>
    <mergeCell ref="T23:U23"/>
    <mergeCell ref="R24:S24"/>
    <mergeCell ref="T24:U24"/>
    <mergeCell ref="T11:U11"/>
    <mergeCell ref="R13:S13"/>
    <mergeCell ref="T13:U13"/>
    <mergeCell ref="T8:U8"/>
    <mergeCell ref="R9:S9"/>
    <mergeCell ref="T9:U9"/>
    <mergeCell ref="R12:S12"/>
    <mergeCell ref="T12:U12"/>
    <mergeCell ref="R15:S15"/>
    <mergeCell ref="T15:U15"/>
    <mergeCell ref="T17:U17"/>
    <mergeCell ref="R18:S18"/>
    <mergeCell ref="R14:S14"/>
    <mergeCell ref="T14:U14"/>
    <mergeCell ref="T18:U1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4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101" t="s">
        <v>40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104" t="s">
        <v>41</v>
      </c>
      <c r="B3" s="105"/>
      <c r="C3" s="105"/>
      <c r="D3" s="105"/>
      <c r="E3" s="105"/>
      <c r="F3" s="105"/>
      <c r="G3" s="106"/>
      <c r="H3" s="107" t="s">
        <v>42</v>
      </c>
      <c r="I3" s="105"/>
      <c r="J3" s="105"/>
      <c r="K3" s="105"/>
      <c r="L3" s="105"/>
      <c r="M3" s="105"/>
      <c r="N3" s="106"/>
      <c r="O3" s="107" t="s">
        <v>43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44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8" t="s">
        <v>45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92"/>
      <c r="I5" s="93"/>
      <c r="J5" s="93"/>
      <c r="K5" s="93"/>
      <c r="L5" s="93"/>
      <c r="M5" s="93"/>
      <c r="N5" s="94"/>
      <c r="O5" s="95" t="s">
        <v>177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178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92"/>
      <c r="I6" s="93"/>
      <c r="J6" s="93"/>
      <c r="K6" s="93"/>
      <c r="L6" s="93"/>
      <c r="M6" s="93"/>
      <c r="N6" s="94"/>
      <c r="O6" s="85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85"/>
      <c r="I7" s="86"/>
      <c r="J7" s="86"/>
      <c r="K7" s="86"/>
      <c r="L7" s="86"/>
      <c r="M7" s="86"/>
      <c r="N7" s="87"/>
      <c r="O7" s="85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thickBot="1" x14ac:dyDescent="0.25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</sheetData>
  <mergeCells count="129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34:G34"/>
    <mergeCell ref="H34:N34"/>
    <mergeCell ref="O34:AP34"/>
    <mergeCell ref="AQ34:BE34"/>
    <mergeCell ref="A32:G32"/>
    <mergeCell ref="H32:N32"/>
    <mergeCell ref="O32:AP32"/>
    <mergeCell ref="AQ32:BE32"/>
    <mergeCell ref="A33:G33"/>
    <mergeCell ref="H33:N33"/>
    <mergeCell ref="O33:AP33"/>
    <mergeCell ref="AQ33:BE33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RecvExtMst_Chk01</vt:lpstr>
      <vt:lpstr>RecvExtMst_Upd01</vt:lpstr>
      <vt:lpstr>RecvExtMst_Upd02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2026-03-27T05:48:19Z</dcterms:modified>
  <cp:category/>
</cp:coreProperties>
</file>