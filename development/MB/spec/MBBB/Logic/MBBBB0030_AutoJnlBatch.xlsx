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383E9D00-A052-4999-860D-02155A5CC82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AutoJnl_Upd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<sst xmlns="http://schemas.openxmlformats.org/spreadsheetml/2006/main" count="159" uniqueCount="112">
  <si>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</si>
  <si>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</si>
  <si>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</si>
  <si>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</si>
  <si>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</si>
  <si>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</si>
  <si>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</si>
  <si>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</si>
  <si>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</si>
  <si>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</si>
  <si>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</si>
  <si>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</si>
  <si>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</si>
  <si>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</si>
  <si>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@</t>
    <phoneticPr fontId="1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</si>
  <si>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</si>
  <si>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</si>
  <si>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</si>
  <si>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</si>
  <si>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</si>
  <si>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</si>
  <si>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</si>
  <si>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</si>
  <si>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  <phoneticPr fontId="1"/>
  </si>
  <si>
    <t>R</t>
  </si>
  <si>
    <t>ac_ym</t>
  </si>
  <si>
    <t>#MA.YM</t>
  </si>
  <si>
    <t>#MA.DT</t>
  </si>
  <si>
    <t>#MA.FLG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</si>
  <si>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</si>
  <si>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</si>
  <si>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</si>
  <si>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</si>
  <si>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</si>
  <si>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</si>
  <si>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MBBBB0030</t>
    <phoneticPr fontId="1"/>
  </si>
  <si>
    <t>MBBBB_AutoJnlBatch</t>
    <phoneticPr fontId="1"/>
  </si>
  <si>
    <t>自動仕訳実行バッチ</t>
    <rPh sb="0" eb="2">
      <t>ジドウ</t>
    </rPh>
    <rPh sb="2" eb="4">
      <t>シワケ</t>
    </rPh>
    <rPh sb="4" eb="6">
      <t>ジッコウ</t>
    </rPh>
    <phoneticPr fontId="3"/>
  </si>
  <si>
    <t>自動仕訳作成</t>
    <rPh sb="0" eb="2">
      <t>ジドウ</t>
    </rPh>
    <rPh sb="2" eb="4">
      <t>シワケ</t>
    </rPh>
    <rPh sb="4" eb="6">
      <t>サクセイ</t>
    </rPh>
    <phoneticPr fontId="1"/>
  </si>
  <si>
    <t>自動で仕訳を作成する。</t>
    <rPh sb="0" eb="2">
      <t>ジドウ</t>
    </rPh>
    <rPh sb="3" eb="5">
      <t>シワケ</t>
    </rPh>
    <rPh sb="6" eb="8">
      <t>サクセイ</t>
    </rPh>
    <phoneticPr fontId="1"/>
  </si>
  <si>
    <t>ac_slip_dt</t>
  </si>
  <si>
    <t>jnl_act_cd</t>
  </si>
  <si>
    <t>#MA.JNL_ACT_CD</t>
  </si>
  <si>
    <t>jnl_rmrks</t>
  </si>
  <si>
    <t>#MA.JNL_RMRKS</t>
  </si>
  <si>
    <t>AutoJnl_Upd01</t>
    <phoneticPr fontId="1"/>
  </si>
  <si>
    <t>AutoJnl_Upd01_Cnd</t>
    <phoneticPr fontId="1"/>
  </si>
  <si>
    <t>Pj.ID :</t>
    <phoneticPr fontId="2"/>
  </si>
  <si>
    <t>SuperClassPj.ID :</t>
    <phoneticPr fontId="2"/>
  </si>
  <si>
    <t>TargetName</t>
    <phoneticPr fontId="2"/>
  </si>
  <si>
    <t>dt_fr</t>
  </si>
  <si>
    <t>dt_to</t>
  </si>
  <si>
    <t>wg_cd</t>
    <phoneticPr fontId="1"/>
  </si>
  <si>
    <t>#MA.WG_CD</t>
    <phoneticPr fontId="1"/>
  </si>
  <si>
    <t>rerun_flg</t>
  </si>
  <si>
    <t>ext_sys_cd</t>
    <phoneticPr fontId="1"/>
  </si>
  <si>
    <t>#MA.EXT_SYS_CD</t>
    <phoneticPr fontId="1"/>
  </si>
  <si>
    <t>err_flg</t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</si>
  <si>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</si>
  <si>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</si>
  <si>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</si>
  <si>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</si>
  <si>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</si>
  <si>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</si>
  <si>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</si>
  <si>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</si>
  <si>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</si>
  <si>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</si>
  <si>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</si>
  <si>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ID</t>
    <phoneticPr fontId="2"/>
  </si>
  <si>
    <t>対象年月</t>
    <phoneticPr fontId="4"/>
  </si>
  <si>
    <t>E</t>
    <phoneticPr fontId="2"/>
  </si>
  <si>
    <t>-</t>
    <phoneticPr fontId="1"/>
  </si>
  <si>
    <t>対象期間ＦＲＯＭ</t>
    <phoneticPr fontId="1"/>
  </si>
  <si>
    <t>対象期間ＴＯ</t>
    <phoneticPr fontId="1"/>
  </si>
  <si>
    <t>会計伝票日付</t>
    <phoneticPr fontId="4"/>
  </si>
  <si>
    <t>仕訳実行ＣＤ</t>
    <phoneticPr fontId="4"/>
  </si>
  <si>
    <t>ワーキンググループＣＤ</t>
    <phoneticPr fontId="1"/>
  </si>
  <si>
    <t>再仕訳処理</t>
    <phoneticPr fontId="4"/>
  </si>
  <si>
    <t>備考</t>
    <phoneticPr fontId="4"/>
  </si>
  <si>
    <t>外部システムＣＤ</t>
    <phoneticPr fontId="1"/>
  </si>
  <si>
    <t>エラー</t>
    <phoneticPr fontId="1"/>
  </si>
  <si>
    <t>-</t>
    <phoneticPr fontId="2"/>
  </si>
  <si>
    <t>super/share</t>
    <phoneticPr fontId="2"/>
  </si>
  <si>
    <t>MB.MBUDL5010</t>
    <phoneticPr fontId="1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</si>
  <si>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</si>
  <si>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</si>
  <si>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</si>
  <si>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</si>
  <si>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</si>
  <si>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</si>
  <si>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</si>
  <si>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</si>
  <si>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</si>
  <si>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</si>
  <si>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</si>
  <si>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</si>
  <si>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</si>
  <si>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</si>
  <si>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</si>
  <si>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Month</t>
  </si>
  <si>
    <t>Term FROM</t>
  </si>
  <si>
    <t>Term TO</t>
  </si>
  <si>
    <t>Accounting slip date</t>
  </si>
  <si>
    <t>Journalizing cd.</t>
  </si>
  <si>
    <t>WG cd.</t>
  </si>
  <si>
    <t>Re-journalize</t>
  </si>
  <si>
    <t>Remarks</t>
  </si>
  <si>
    <t>External system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</si>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</sst>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3" xfId="0" applyFont="1" applyFill="1" applyBorder="1" applyAlignment="1">
      <alignment vertical="top"/>
    </xf>
    <xf numFmtId="0" fontId="5" fillId="3" borderId="4" xfId="0" applyFont="1" applyFill="1" applyBorder="1" applyAlignment="1">
      <alignment vertical="top"/>
    </xf>
    <xf numFmtId="0" fontId="5" fillId="3" borderId="4" xfId="0" applyFont="1" applyFill="1" applyBorder="1" applyAlignment="1">
      <alignment horizontal="left" vertical="top"/>
    </xf>
    <xf numFmtId="0" fontId="5" fillId="3" borderId="5" xfId="0" applyFont="1" applyFill="1" applyBorder="1" applyAlignment="1">
      <alignment vertical="top"/>
    </xf>
    <xf numFmtId="0" fontId="5" fillId="0" borderId="1" xfId="0" applyFont="1" applyBorder="1">
      <alignment vertical="top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2" borderId="3" xfId="0" applyFont="1" applyFill="1" applyBorder="1">
      <alignment vertical="top" wrapText="1"/>
    </xf>
    <xf numFmtId="0" fontId="5" fillId="2" borderId="3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3" xfId="0" applyFont="1" applyFill="1" applyBorder="1" applyAlignment="1"/>
    <xf numFmtId="0" fontId="5" fillId="2" borderId="11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2" borderId="4" xfId="0" applyFont="1" applyFill="1" applyBorder="1" applyAlignment="1">
      <alignment vertical="top"/>
    </xf>
    <xf numFmtId="0" fontId="5" fillId="0" borderId="4" xfId="0" applyFont="1" applyBorder="1">
      <alignment vertical="top" wrapText="1"/>
    </xf>
    <xf numFmtId="0" fontId="5" fillId="0" borderId="4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4" xfId="0" applyFont="1" applyBorder="1" applyAlignment="1"/>
    <xf numFmtId="0" fontId="5" fillId="0" borderId="5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11" xfId="0" applyFont="1" applyFill="1" applyBorder="1" applyAlignment="1"/>
    <xf numFmtId="0" fontId="5" fillId="3" borderId="5" xfId="0" applyFont="1" applyFill="1" applyBorder="1" applyAlignment="1"/>
    <xf numFmtId="0" fontId="5" fillId="3" borderId="3" xfId="0" applyFont="1" applyFill="1" applyBorder="1">
      <alignment vertical="top" wrapText="1"/>
    </xf>
    <xf numFmtId="0" fontId="5" fillId="0" borderId="11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5" xfId="0" applyFont="1" applyBorder="1" applyAlignment="1"/>
    <xf numFmtId="0" fontId="5" fillId="2" borderId="1" xfId="0" applyFont="1" applyFill="1" applyBorder="1" applyAlignment="1">
      <alignment vertical="top"/>
    </xf>
    <xf numFmtId="0" fontId="5" fillId="4" borderId="3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2" borderId="3" xfId="0" quotePrefix="1" applyFont="1" applyFill="1" applyBorder="1" applyAlignment="1">
      <alignment vertical="top"/>
    </xf>
    <xf numFmtId="0" fontId="5" fillId="0" borderId="3" xfId="0" applyFont="1" applyBorder="1" applyAlignment="1">
      <alignment vertical="center"/>
    </xf>
    <xf numFmtId="0" fontId="5" fillId="0" borderId="0" xfId="0" applyFont="1" applyAlignment="1"/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2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35</v>
      </c>
      <c r="F2" s="7" t="s">
        <v>47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</v>
      </c>
      <c r="D3" s="7" t="s">
        <v>7</v>
      </c>
      <c r="E3" s="8" t="s">
        <v>36</v>
      </c>
      <c r="F3" s="7" t="s">
        <v>48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37</v>
      </c>
      <c r="F4" s="7" t="s">
        <v>9</v>
      </c>
      <c r="G4" s="8" t="s">
        <v>84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9.906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2" t="s">
        <v>58</v>
      </c>
      <c r="B1" s="52" t="s">
        <v>58</v>
      </c>
      <c r="C1" s="52"/>
      <c r="D1" s="1" t="s">
        <v>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58</v>
      </c>
      <c r="B2" s="23"/>
      <c r="C2" s="23"/>
      <c r="D2" s="63" t="s">
        <v>86</v>
      </c>
      <c r="E2" s="7" t="s">
        <v>1</v>
      </c>
      <c r="F2" s="53" t="str">
        <f>IF(LogicCommon!C2="","",LogicCommon!C2)</f>
        <v>MB</v>
      </c>
      <c r="G2" s="7" t="s">
        <v>3</v>
      </c>
      <c r="H2" s="53" t="str">
        <f>IF(LogicCommon!E2="","",LogicCommon!E2)</f>
        <v>MBBBB0030</v>
      </c>
      <c r="I2" s="7" t="s">
        <v>60</v>
      </c>
      <c r="J2" s="8" t="s">
        <v>45</v>
      </c>
      <c r="K2" s="7" t="s">
        <v>47</v>
      </c>
      <c r="L2" s="53" t="str">
        <f>IF(LogicCommon!G2="","",LogicCommon!G2)</f>
        <v>MC</v>
      </c>
      <c r="M2" s="5" t="s">
        <v>61</v>
      </c>
      <c r="N2" s="24" t="s">
        <v>85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58</v>
      </c>
      <c r="B3" s="55"/>
      <c r="C3" s="55"/>
      <c r="D3" s="56" t="str">
        <f>IF(LogicCommon!A3="","",LogicCommon!A3)</f>
        <v/>
      </c>
      <c r="E3" s="7" t="s">
        <v>5</v>
      </c>
      <c r="F3" s="53" t="str">
        <f>IF(LogicCommon!C3="","",LogicCommon!C3)</f>
        <v>MBBB</v>
      </c>
      <c r="G3" s="7" t="s">
        <v>7</v>
      </c>
      <c r="H3" s="53" t="str">
        <f>IF(LogicCommon!E3="","",LogicCommon!E3)</f>
        <v>MBBBB_AutoJnlBatch</v>
      </c>
      <c r="I3" s="7" t="s">
        <v>62</v>
      </c>
      <c r="J3" s="8" t="s">
        <v>12</v>
      </c>
      <c r="K3" s="7" t="s">
        <v>48</v>
      </c>
      <c r="L3" s="53" t="str">
        <f>IF(LogicCommon!G3="","",LogicCommon!G3)</f>
        <v/>
      </c>
      <c r="M3" s="43"/>
      <c r="N3" s="7"/>
      <c r="O3" s="7" t="s">
        <v>63</v>
      </c>
      <c r="P3" s="8" t="s">
        <v>64</v>
      </c>
      <c r="Q3" s="4"/>
      <c r="R3" s="5"/>
      <c r="S3" s="5"/>
      <c r="T3" s="5"/>
      <c r="U3" s="5"/>
    </row>
    <row r="4" spans="1:21" s="10" customFormat="1" x14ac:dyDescent="0.2">
      <c r="A4" s="54" t="s">
        <v>58</v>
      </c>
      <c r="B4" s="55"/>
      <c r="C4" s="55"/>
      <c r="D4" s="4"/>
      <c r="E4" s="7" t="s">
        <v>13</v>
      </c>
      <c r="F4" s="57" t="s">
        <v>65</v>
      </c>
      <c r="G4" s="7" t="s">
        <v>8</v>
      </c>
      <c r="H4" s="53" t="str">
        <f>IF(LogicCommon!E4="","",LogicCommon!E4)</f>
        <v>自動仕訳実行バッチ</v>
      </c>
      <c r="I4" s="7" t="s">
        <v>66</v>
      </c>
      <c r="J4" s="8" t="s">
        <v>38</v>
      </c>
      <c r="K4" s="7" t="s">
        <v>9</v>
      </c>
      <c r="L4" s="53" t="str">
        <f>IF(LogicCommon!G4="","",LogicCommon!G4)</f>
        <v>MB.MBUDL5010</v>
      </c>
      <c r="M4" s="58" t="s">
        <v>67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58</v>
      </c>
      <c r="B5" s="52"/>
      <c r="C5" s="52"/>
      <c r="D5" s="21"/>
      <c r="E5" s="7" t="s">
        <v>68</v>
      </c>
      <c r="F5" s="57" t="s">
        <v>14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58</v>
      </c>
      <c r="B6" s="55"/>
      <c r="C6" s="55"/>
      <c r="D6" s="4" t="s">
        <v>10</v>
      </c>
      <c r="E6" s="12" t="s">
        <v>39</v>
      </c>
      <c r="F6" s="12"/>
      <c r="G6" s="12"/>
      <c r="H6" s="12"/>
      <c r="I6" s="12"/>
      <c r="J6" s="12"/>
      <c r="K6" s="12"/>
      <c r="L6" s="62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25" t="s">
        <v>18</v>
      </c>
      <c r="M7" s="26"/>
      <c r="N7" s="25" t="s">
        <v>19</v>
      </c>
      <c r="O7" s="26"/>
      <c r="P7" s="25" t="s">
        <v>20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4"/>
      <c r="C8" s="65"/>
      <c r="D8" s="25" t="s">
        <v>87</v>
      </c>
      <c r="E8" s="25" t="s">
        <v>88</v>
      </c>
      <c r="F8" s="62"/>
      <c r="G8" s="25" t="s">
        <v>83</v>
      </c>
      <c r="H8" s="25" t="s">
        <v>89</v>
      </c>
      <c r="I8" s="62"/>
      <c r="J8" s="3"/>
      <c r="K8" s="8"/>
      <c r="L8" s="25" t="s">
        <v>21</v>
      </c>
      <c r="M8" s="26"/>
      <c r="N8" s="25" t="s">
        <v>49</v>
      </c>
      <c r="O8" s="26"/>
      <c r="P8" s="25" t="s">
        <v>49</v>
      </c>
      <c r="Q8" s="26"/>
      <c r="R8" s="3"/>
      <c r="S8" s="21"/>
      <c r="T8" s="118" t="s">
        <v>90</v>
      </c>
      <c r="U8" s="119"/>
    </row>
    <row r="9" spans="1:21" s="10" customFormat="1" ht="60" customHeight="1" x14ac:dyDescent="0.2">
      <c r="A9" s="8" t="s">
        <v>15</v>
      </c>
      <c r="B9" s="30"/>
      <c r="C9" s="31"/>
      <c r="D9" s="25" t="s">
        <v>91</v>
      </c>
      <c r="E9" s="66" t="s">
        <v>92</v>
      </c>
      <c r="F9" s="25" t="s">
        <v>93</v>
      </c>
      <c r="G9" s="25" t="s">
        <v>94</v>
      </c>
      <c r="H9" s="25" t="s">
        <v>95</v>
      </c>
      <c r="I9" s="67" t="s">
        <v>96</v>
      </c>
      <c r="J9" s="25" t="s">
        <v>97</v>
      </c>
      <c r="K9" s="63"/>
      <c r="L9" s="67"/>
      <c r="M9" s="25"/>
      <c r="N9" s="25"/>
      <c r="O9" s="25"/>
      <c r="P9" s="25"/>
      <c r="Q9" s="25"/>
      <c r="R9" s="118" t="s">
        <v>98</v>
      </c>
      <c r="S9" s="119"/>
      <c r="T9" s="118" t="s">
        <v>99</v>
      </c>
      <c r="U9" s="119"/>
    </row>
    <row r="10" spans="1:21" s="10" customFormat="1" ht="39" x14ac:dyDescent="0.2">
      <c r="A10" s="30" t="s">
        <v>22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96</v>
      </c>
      <c r="M10" s="25" t="s">
        <v>97</v>
      </c>
      <c r="N10" s="25" t="s">
        <v>96</v>
      </c>
      <c r="O10" s="25" t="s">
        <v>97</v>
      </c>
      <c r="P10" s="25" t="s">
        <v>96</v>
      </c>
      <c r="Q10" s="25" t="s">
        <v>97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23</v>
      </c>
      <c r="C11" s="31"/>
      <c r="D11" s="24" t="s">
        <v>46</v>
      </c>
      <c r="E11" s="29" t="s">
        <v>24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25</v>
      </c>
      <c r="E12" s="26" t="s">
        <v>26</v>
      </c>
      <c r="F12" s="26"/>
      <c r="G12" s="42" t="s">
        <v>100</v>
      </c>
      <c r="H12" s="42" t="s">
        <v>70</v>
      </c>
      <c r="I12" s="8" t="s">
        <v>71</v>
      </c>
      <c r="J12" s="8" t="s">
        <v>72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27</v>
      </c>
      <c r="F13" s="26"/>
      <c r="G13" s="42" t="s">
        <v>101</v>
      </c>
      <c r="H13" s="42" t="s">
        <v>73</v>
      </c>
      <c r="I13" s="8" t="s">
        <v>71</v>
      </c>
      <c r="J13" s="8" t="s">
        <v>72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51</v>
      </c>
      <c r="E14" s="26" t="s">
        <v>27</v>
      </c>
      <c r="F14" s="26"/>
      <c r="G14" s="42" t="s">
        <v>102</v>
      </c>
      <c r="H14" s="42" t="s">
        <v>74</v>
      </c>
      <c r="I14" s="8" t="s">
        <v>71</v>
      </c>
      <c r="J14" s="8" t="s">
        <v>72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40</v>
      </c>
      <c r="E15" s="26" t="s">
        <v>27</v>
      </c>
      <c r="F15" s="26"/>
      <c r="G15" s="42" t="s">
        <v>103</v>
      </c>
      <c r="H15" s="42" t="s">
        <v>75</v>
      </c>
      <c r="I15" s="8" t="s">
        <v>71</v>
      </c>
      <c r="J15" s="8" t="s">
        <v>72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41</v>
      </c>
      <c r="E16" s="26" t="s">
        <v>42</v>
      </c>
      <c r="F16" s="26"/>
      <c r="G16" s="42" t="s">
        <v>104</v>
      </c>
      <c r="H16" s="42" t="s">
        <v>76</v>
      </c>
      <c r="I16" s="8" t="s">
        <v>71</v>
      </c>
      <c r="J16" s="8" t="s">
        <v>72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52</v>
      </c>
      <c r="E17" s="26" t="s">
        <v>53</v>
      </c>
      <c r="F17" s="26"/>
      <c r="G17" s="42" t="s">
        <v>105</v>
      </c>
      <c r="H17" s="42" t="s">
        <v>77</v>
      </c>
      <c r="I17" s="8" t="s">
        <v>71</v>
      </c>
      <c r="J17" s="8" t="s">
        <v>72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54</v>
      </c>
      <c r="E18" s="26" t="s">
        <v>28</v>
      </c>
      <c r="F18" s="26"/>
      <c r="G18" s="42" t="s">
        <v>106</v>
      </c>
      <c r="H18" s="42" t="s">
        <v>78</v>
      </c>
      <c r="I18" s="8" t="s">
        <v>71</v>
      </c>
      <c r="J18" s="8" t="s">
        <v>72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43</v>
      </c>
      <c r="E19" s="26" t="s">
        <v>44</v>
      </c>
      <c r="F19" s="26"/>
      <c r="G19" s="42" t="s">
        <v>107</v>
      </c>
      <c r="H19" s="42" t="s">
        <v>79</v>
      </c>
      <c r="I19" s="8" t="s">
        <v>71</v>
      </c>
      <c r="J19" s="8" t="s">
        <v>72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55</v>
      </c>
      <c r="E20" s="26" t="s">
        <v>56</v>
      </c>
      <c r="F20" s="26"/>
      <c r="G20" s="42" t="s">
        <v>108</v>
      </c>
      <c r="H20" s="42" t="s">
        <v>80</v>
      </c>
      <c r="I20" s="8" t="s">
        <v>71</v>
      </c>
      <c r="J20" s="8" t="s">
        <v>72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57</v>
      </c>
      <c r="E21" s="26" t="s">
        <v>28</v>
      </c>
      <c r="F21" s="26"/>
      <c r="G21" s="42" t="s">
        <v>109</v>
      </c>
      <c r="H21" s="42" t="s">
        <v>81</v>
      </c>
      <c r="I21" s="8" t="s">
        <v>82</v>
      </c>
      <c r="J21" s="8" t="s">
        <v>72</v>
      </c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x14ac:dyDescent="0.2">
      <c r="A22" s="22"/>
      <c r="B22" s="23"/>
      <c r="C22" s="23"/>
      <c r="D22" s="16" t="s">
        <v>11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9"/>
      <c r="S22" s="9"/>
      <c r="T22" s="9"/>
      <c r="U22" s="45"/>
    </row>
    <row r="23" spans="1:21" s="10" customFormat="1" x14ac:dyDescent="0.2">
      <c r="A23" s="54"/>
      <c r="U23" s="46"/>
    </row>
    <row r="24" spans="1:21" s="10" customFormat="1" x14ac:dyDescent="0.2">
      <c r="A24" s="54"/>
      <c r="U24" s="46"/>
    </row>
    <row r="25" spans="1:21" s="10" customFormat="1" x14ac:dyDescent="0.2">
      <c r="A25" s="54"/>
      <c r="U25" s="46"/>
    </row>
    <row r="26" spans="1:21" s="10" customFormat="1" x14ac:dyDescent="0.2">
      <c r="A26" s="60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68" t="s">
        <v>29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1" t="s">
        <v>30</v>
      </c>
      <c r="B3" s="72"/>
      <c r="C3" s="72"/>
      <c r="D3" s="72"/>
      <c r="E3" s="72"/>
      <c r="F3" s="72"/>
      <c r="G3" s="73"/>
      <c r="H3" s="74" t="s">
        <v>31</v>
      </c>
      <c r="I3" s="72"/>
      <c r="J3" s="72"/>
      <c r="K3" s="72"/>
      <c r="L3" s="72"/>
      <c r="M3" s="72"/>
      <c r="N3" s="73"/>
      <c r="O3" s="74" t="s">
        <v>32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33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34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110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111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AutoJnl_Upd01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2026-03-27T05:47:46Z</dcterms:modified>
  <cp:category/>
</cp:coreProperties>
</file>