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A839BCB8-E7AA-4689-B0B4-814D5E71F942}" xr6:coauthVersionLast="47" xr6:coauthVersionMax="47" xr10:uidLastSave="{00000000-0000-0000-0000-000000000000}"/>
  <bookViews>
    <workbookView xWindow="1710" yWindow="1710" windowWidth="21600" windowHeight="11265" firstSheet="1" activeTab="5" xr2:uid="{00000000-000D-0000-FFFF-FFFF00000000}"/>
  </bookViews>
  <sheets>
    <sheet name="LogicCommon" sheetId="1" r:id="rId1"/>
    <sheet name="SendNote_Chk01" sheetId="2" r:id="rId2"/>
    <sheet name="SendNote_Chk02" sheetId="5" r:id="rId3"/>
    <sheet name="SendNote_Upd01" sheetId="3" r:id="rId4"/>
    <sheet name="SendNote_Del01" sheetId="6" r:id="rId5"/>
    <sheet name="来歴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<sst xmlns="http://schemas.openxmlformats.org/spreadsheetml/2006/main" count="468" uniqueCount="134">
  <si>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</si>
  <si>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</si>
  <si>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</si>
  <si>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</si>
  <si>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</si>
  <si>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</si>
  <si>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</si>
  <si>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</si>
  <si>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</si>
  <si>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</si>
  <si>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</si>
  <si>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</si>
  <si>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</si>
  <si>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</si>
  <si>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 xml:space="preserve">Ope.Name : </t>
    <phoneticPr fontId="2"/>
  </si>
  <si>
    <t>#</t>
    <phoneticPr fontId="2"/>
  </si>
  <si>
    <t>U</t>
    <phoneticPr fontId="2"/>
  </si>
  <si>
    <t>K</t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</si>
  <si>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</si>
  <si>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</si>
  <si>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</si>
  <si>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</si>
  <si>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</si>
  <si>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</si>
  <si>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</si>
  <si>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</si>
  <si>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</si>
  <si>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</si>
  <si>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</si>
  <si>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</si>
  <si>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</si>
  <si>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</si>
  <si>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</si>
  <si>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</si>
  <si>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  <phoneticPr fontId="1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</si>
  <si>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</si>
  <si>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</si>
  <si>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</si>
  <si>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</si>
  <si>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</si>
  <si>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</si>
  <si>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K</t>
    <phoneticPr fontId="1"/>
  </si>
  <si>
    <t>$share$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</si>
  <si>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</si>
  <si>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</si>
  <si>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</si>
  <si>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</si>
  <si>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</si>
  <si>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</si>
  <si>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MBBBL5050</t>
    <phoneticPr fontId="1"/>
  </si>
  <si>
    <t>MBBBL_SendNoteService</t>
    <phoneticPr fontId="1"/>
  </si>
  <si>
    <t>手形送信サービス</t>
    <rPh sb="0" eb="2">
      <t>テガタ</t>
    </rPh>
    <rPh sb="2" eb="4">
      <t>ソウシン</t>
    </rPh>
    <phoneticPr fontId="3"/>
  </si>
  <si>
    <t>SendNote_Chk01</t>
    <phoneticPr fontId="1"/>
  </si>
  <si>
    <t>SendNote_Chk01_Cnd</t>
    <phoneticPr fontId="1"/>
  </si>
  <si>
    <t>SendNote_Upd01</t>
    <phoneticPr fontId="1"/>
  </si>
  <si>
    <t>SendNote_Upd01_Cnd</t>
    <phoneticPr fontId="1"/>
  </si>
  <si>
    <t>送信前チェック</t>
    <rPh sb="0" eb="2">
      <t>ソウシン</t>
    </rPh>
    <rPh sb="2" eb="3">
      <t>マエ</t>
    </rPh>
    <phoneticPr fontId="1"/>
  </si>
  <si>
    <t>手形情報送信前チェック</t>
    <rPh sb="0" eb="2">
      <t>テガタ</t>
    </rPh>
    <rPh sb="2" eb="4">
      <t>ジョウホウ</t>
    </rPh>
    <rPh sb="4" eb="6">
      <t>ソウシン</t>
    </rPh>
    <rPh sb="6" eb="7">
      <t>マエ</t>
    </rPh>
    <rPh sb="7" eb="8">
      <t>テマエ</t>
    </rPh>
    <phoneticPr fontId="1"/>
  </si>
  <si>
    <t>手形情報送信</t>
    <rPh sb="0" eb="2">
      <t>テガタ</t>
    </rPh>
    <rPh sb="2" eb="4">
      <t>ジョウホウ</t>
    </rPh>
    <rPh sb="4" eb="6">
      <t>ソウシン</t>
    </rPh>
    <phoneticPr fontId="1"/>
  </si>
  <si>
    <t>手形情報を送信する。</t>
    <rPh sb="0" eb="2">
      <t>テガタ</t>
    </rPh>
    <rPh sb="2" eb="4">
      <t>ジョウホウ</t>
    </rPh>
    <rPh sb="5" eb="7">
      <t>ソウシン</t>
    </rPh>
    <phoneticPr fontId="1"/>
  </si>
  <si>
    <t>ym</t>
    <phoneticPr fontId="1"/>
  </si>
  <si>
    <t>ext_sys_cd</t>
    <phoneticPr fontId="1"/>
  </si>
  <si>
    <t>#MA.EXT_SYS_CD</t>
    <phoneticPr fontId="1"/>
  </si>
  <si>
    <t>SendNote_Chk02</t>
    <phoneticPr fontId="1"/>
  </si>
  <si>
    <t>取消前チェック</t>
    <rPh sb="0" eb="2">
      <t>トリケシ</t>
    </rPh>
    <rPh sb="2" eb="3">
      <t>マエ</t>
    </rPh>
    <phoneticPr fontId="1"/>
  </si>
  <si>
    <t>手形情報送信取消前チェック</t>
    <rPh sb="0" eb="2">
      <t>テガタ</t>
    </rPh>
    <rPh sb="2" eb="4">
      <t>ジョウホウ</t>
    </rPh>
    <rPh sb="4" eb="6">
      <t>ソウシン</t>
    </rPh>
    <rPh sb="6" eb="8">
      <t>トリケシ</t>
    </rPh>
    <rPh sb="8" eb="9">
      <t>マエ</t>
    </rPh>
    <rPh sb="9" eb="10">
      <t>テマエ</t>
    </rPh>
    <phoneticPr fontId="1"/>
  </si>
  <si>
    <t>SendNote_Chk02_Cnd</t>
    <phoneticPr fontId="1"/>
  </si>
  <si>
    <t>SendNote_Del01</t>
    <phoneticPr fontId="1"/>
  </si>
  <si>
    <t>手形情報送信取消</t>
    <rPh sb="0" eb="2">
      <t>テガタ</t>
    </rPh>
    <rPh sb="2" eb="4">
      <t>ジョウホウ</t>
    </rPh>
    <rPh sb="4" eb="6">
      <t>ソウシン</t>
    </rPh>
    <rPh sb="6" eb="8">
      <t>トリケシ</t>
    </rPh>
    <phoneticPr fontId="1"/>
  </si>
  <si>
    <t>手形情報の送信を取り消す。</t>
    <rPh sb="0" eb="2">
      <t>テガタ</t>
    </rPh>
    <rPh sb="2" eb="4">
      <t>ジョウホウ</t>
    </rPh>
    <rPh sb="5" eb="7">
      <t>ソウシン</t>
    </rPh>
    <rPh sb="8" eb="9">
      <t>ト</t>
    </rPh>
    <rPh sb="10" eb="11">
      <t>ケ</t>
    </rPh>
    <phoneticPr fontId="1"/>
  </si>
  <si>
    <t>SendNote_Del01_Cnd</t>
    <phoneticPr fontId="1"/>
  </si>
  <si>
    <t>MB.MBBBL5050.SendNote_Chk02.SendNote_Chk02_Cnd</t>
    <phoneticPr fontId="1"/>
  </si>
  <si>
    <t>note_rsn_cd</t>
    <phoneticPr fontId="1"/>
  </si>
  <si>
    <t>#MA.NOTE_RSN_CD</t>
    <phoneticPr fontId="1"/>
  </si>
  <si>
    <t>Pj.ID :</t>
    <phoneticPr fontId="2"/>
  </si>
  <si>
    <t>SuperClassPj.ID :</t>
    <phoneticPr fontId="2"/>
  </si>
  <si>
    <t>*</t>
    <phoneticPr fontId="2"/>
  </si>
  <si>
    <t>L</t>
    <phoneticPr fontId="2"/>
  </si>
  <si>
    <t>Ope.Method :</t>
    <phoneticPr fontId="2"/>
  </si>
  <si>
    <t>MA.MAUAL0010.NoteRsn</t>
    <phoneticPr fontId="1"/>
  </si>
  <si>
    <t>ALL</t>
    <phoneticPr fontId="2"/>
  </si>
  <si>
    <t>LIST_IN_BASE</t>
  </si>
  <si>
    <t>NULL_VAL</t>
  </si>
  <si>
    <t>TargetName</t>
    <phoneticPr fontId="2"/>
  </si>
  <si>
    <t>TargetName</t>
    <phoneticPr fontId="2"/>
  </si>
  <si>
    <t>#MA.YM</t>
    <phoneticPr fontId="1"/>
  </si>
  <si>
    <t>Gene.Type :</t>
    <phoneticPr fontId="2"/>
  </si>
  <si>
    <t>000000</t>
    <phoneticPr fontId="2"/>
  </si>
  <si>
    <t>TargetName</t>
    <phoneticPr fontId="2"/>
  </si>
  <si>
    <t>ACType :</t>
    <phoneticPr fontId="2"/>
  </si>
  <si>
    <t>ID</t>
    <phoneticPr fontId="2"/>
  </si>
  <si>
    <t>ImplOpe.ID:</t>
    <phoneticPr fontId="2"/>
  </si>
  <si>
    <t>#MA.YM</t>
    <phoneticPr fontId="1"/>
  </si>
  <si>
    <t>Ope.ID :</t>
    <phoneticPr fontId="2"/>
  </si>
  <si>
    <t>E</t>
    <phoneticPr fontId="2"/>
  </si>
  <si>
    <t>super/share</t>
    <phoneticPr fontId="2"/>
  </si>
  <si>
    <t xml:space="preserve">Ope.Body : </t>
    <phoneticPr fontId="2"/>
  </si>
  <si>
    <t>年月</t>
    <phoneticPr fontId="1"/>
  </si>
  <si>
    <t>外部システムＣＤ</t>
    <phoneticPr fontId="1"/>
  </si>
  <si>
    <t>E</t>
    <phoneticPr fontId="1"/>
  </si>
  <si>
    <t>MA.MAUAL0010.ExtSys</t>
    <phoneticPr fontId="1"/>
  </si>
  <si>
    <t>MAC_EXT_SYS_TYP.AC</t>
    <phoneticPr fontId="2"/>
  </si>
  <si>
    <t>ext_sys_typ</t>
    <phoneticPr fontId="2"/>
  </si>
  <si>
    <t>手形理由ＣＤ</t>
    <phoneticPr fontId="1"/>
  </si>
  <si>
    <t>エラー</t>
    <phoneticPr fontId="2"/>
  </si>
  <si>
    <t>-</t>
    <phoneticPr fontId="2"/>
  </si>
  <si>
    <t>MB.MBBBL5050.SendNote_Chk01.SendNote_Chk01_Cnd</t>
    <phoneticPr fontId="1"/>
  </si>
  <si>
    <t>-</t>
    <phoneticPr fontId="1"/>
  </si>
  <si>
    <t>エラー</t>
    <phoneticPr fontId="1"/>
  </si>
  <si>
    <t>MB.MBUDL5010</t>
    <phoneticPr fontId="1"/>
  </si>
  <si>
    <t>MA.MAUDL5010.Checker</t>
    <phoneticPr fontId="1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</si>
  <si>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</si>
  <si>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</si>
  <si>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</si>
  <si>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</si>
  <si>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</si>
  <si>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</si>
  <si>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</si>
  <si>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</si>
  <si>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</si>
  <si>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</si>
  <si>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</si>
  <si>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</si>
  <si>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</si>
  <si>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</si>
  <si>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</si>
  <si>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Year month</t>
  </si>
  <si>
    <t>External system cd.</t>
  </si>
  <si>
    <t>Note reason cd.</t>
  </si>
  <si>
    <t>Error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</si>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</sst>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49" fontId="4" fillId="2" borderId="3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49</v>
      </c>
      <c r="F2" s="7" t="s">
        <v>74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</v>
      </c>
      <c r="D3" s="7" t="s">
        <v>7</v>
      </c>
      <c r="E3" s="8" t="s">
        <v>50</v>
      </c>
      <c r="F3" s="7" t="s">
        <v>75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51</v>
      </c>
      <c r="F4" s="7" t="s">
        <v>9</v>
      </c>
      <c r="G4" s="8" t="s">
        <v>109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0"/>
  <sheetViews>
    <sheetView topLeftCell="K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1.6328125" style="5" bestFit="1" customWidth="1"/>
    <col min="23" max="23" width="9.453125" style="5" bestFit="1" customWidth="1"/>
    <col min="24" max="24" width="15" style="5" bestFit="1" customWidth="1"/>
    <col min="25" max="25" width="20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76</v>
      </c>
      <c r="B1" s="54" t="s">
        <v>76</v>
      </c>
      <c r="C1" s="54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76</v>
      </c>
      <c r="B2" s="23"/>
      <c r="C2" s="23"/>
      <c r="D2" s="65" t="s">
        <v>112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MBBBL5050</v>
      </c>
      <c r="I2" s="7" t="s">
        <v>93</v>
      </c>
      <c r="J2" s="8" t="s">
        <v>52</v>
      </c>
      <c r="K2" s="7" t="s">
        <v>74</v>
      </c>
      <c r="L2" s="55" t="str">
        <f>IF(LogicCommon!G2="","",LogicCommon!G2)</f>
        <v>MC</v>
      </c>
      <c r="M2" s="5" t="s">
        <v>96</v>
      </c>
      <c r="N2" s="24" t="s">
        <v>110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76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MBBBL_SendNoteService</v>
      </c>
      <c r="I3" s="7" t="s">
        <v>78</v>
      </c>
      <c r="J3" s="8" t="s">
        <v>12</v>
      </c>
      <c r="K3" s="7" t="s">
        <v>75</v>
      </c>
      <c r="L3" s="55" t="str">
        <f>IF(LogicCommon!G3="","",LogicCommon!G3)</f>
        <v/>
      </c>
      <c r="M3" s="43"/>
      <c r="N3" s="7"/>
      <c r="O3" s="7" t="s">
        <v>86</v>
      </c>
      <c r="P3" s="8" t="s">
        <v>80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76</v>
      </c>
      <c r="B4" s="57"/>
      <c r="C4" s="57"/>
      <c r="D4" s="4"/>
      <c r="E4" s="7" t="s">
        <v>13</v>
      </c>
      <c r="F4" s="59" t="s">
        <v>87</v>
      </c>
      <c r="G4" s="7" t="s">
        <v>8</v>
      </c>
      <c r="H4" s="55" t="str">
        <f>IF(LogicCommon!E4="","",LogicCommon!E4)</f>
        <v>手形送信サービス</v>
      </c>
      <c r="I4" s="7" t="s">
        <v>14</v>
      </c>
      <c r="J4" s="8" t="s">
        <v>56</v>
      </c>
      <c r="K4" s="7" t="s">
        <v>9</v>
      </c>
      <c r="L4" s="55" t="str">
        <f>IF(LogicCommon!G4="","",LogicCommon!G4)</f>
        <v>MB.MBUDL5010</v>
      </c>
      <c r="M4" s="60" t="s">
        <v>91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76</v>
      </c>
      <c r="B5" s="54"/>
      <c r="C5" s="54"/>
      <c r="D5" s="21"/>
      <c r="E5" s="7" t="s">
        <v>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76</v>
      </c>
      <c r="B6" s="57"/>
      <c r="C6" s="57"/>
      <c r="D6" s="4" t="s">
        <v>10</v>
      </c>
      <c r="E6" s="12" t="s">
        <v>57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90</v>
      </c>
      <c r="AE6" s="15"/>
      <c r="AF6" s="15" t="s">
        <v>90</v>
      </c>
      <c r="AG6" s="15"/>
      <c r="AH6" s="15" t="s">
        <v>90</v>
      </c>
      <c r="AI6" s="4"/>
      <c r="AJ6" s="4"/>
      <c r="AK6" s="4"/>
      <c r="AL6" s="4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18</v>
      </c>
      <c r="AD7" s="26"/>
      <c r="AE7" s="25" t="s">
        <v>18</v>
      </c>
      <c r="AF7" s="26"/>
      <c r="AG7" s="25" t="s">
        <v>18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15</v>
      </c>
      <c r="B8" s="66"/>
      <c r="C8" s="67"/>
      <c r="D8" s="25" t="s">
        <v>113</v>
      </c>
      <c r="E8" s="25" t="s">
        <v>114</v>
      </c>
      <c r="F8" s="64"/>
      <c r="G8" s="25" t="s">
        <v>95</v>
      </c>
      <c r="H8" s="25" t="s">
        <v>115</v>
      </c>
      <c r="I8" s="64"/>
      <c r="J8" s="3"/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8" t="s">
        <v>81</v>
      </c>
      <c r="AA8" s="8" t="s">
        <v>34</v>
      </c>
      <c r="AB8" s="8" t="s">
        <v>82</v>
      </c>
      <c r="AC8" s="25" t="s">
        <v>35</v>
      </c>
      <c r="AD8" s="26"/>
      <c r="AE8" s="25" t="s">
        <v>83</v>
      </c>
      <c r="AF8" s="26"/>
      <c r="AG8" s="25" t="s">
        <v>84</v>
      </c>
      <c r="AH8" s="26"/>
      <c r="AI8" s="3"/>
      <c r="AJ8" s="21"/>
      <c r="AK8" s="120" t="s">
        <v>124</v>
      </c>
      <c r="AL8" s="121"/>
    </row>
    <row r="9" spans="1:38" s="10" customFormat="1" ht="60" customHeight="1" x14ac:dyDescent="0.2">
      <c r="A9" s="8" t="s">
        <v>15</v>
      </c>
      <c r="B9" s="30"/>
      <c r="C9" s="31"/>
      <c r="D9" s="25" t="s">
        <v>116</v>
      </c>
      <c r="E9" s="68" t="s">
        <v>117</v>
      </c>
      <c r="F9" s="25" t="s">
        <v>118</v>
      </c>
      <c r="G9" s="25" t="s">
        <v>119</v>
      </c>
      <c r="H9" s="25" t="s">
        <v>120</v>
      </c>
      <c r="I9" s="69" t="s">
        <v>121</v>
      </c>
      <c r="J9" s="25" t="s">
        <v>122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9"/>
      <c r="AD9" s="25"/>
      <c r="AE9" s="25"/>
      <c r="AF9" s="25"/>
      <c r="AG9" s="25"/>
      <c r="AH9" s="25"/>
      <c r="AI9" s="120" t="s">
        <v>123</v>
      </c>
      <c r="AJ9" s="121"/>
      <c r="AK9" s="120" t="s">
        <v>125</v>
      </c>
      <c r="AL9" s="121"/>
    </row>
    <row r="10" spans="1:38" s="10" customFormat="1" ht="52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121</v>
      </c>
      <c r="AD10" s="25" t="s">
        <v>122</v>
      </c>
      <c r="AE10" s="25" t="s">
        <v>121</v>
      </c>
      <c r="AF10" s="25" t="s">
        <v>122</v>
      </c>
      <c r="AG10" s="25" t="s">
        <v>121</v>
      </c>
      <c r="AH10" s="25" t="s">
        <v>122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37</v>
      </c>
      <c r="C11" s="31"/>
      <c r="D11" s="24" t="s">
        <v>53</v>
      </c>
      <c r="E11" s="29" t="s">
        <v>38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60</v>
      </c>
      <c r="E12" s="26" t="s">
        <v>85</v>
      </c>
      <c r="F12" s="26"/>
      <c r="G12" s="42" t="s">
        <v>126</v>
      </c>
      <c r="H12" s="42" t="s">
        <v>97</v>
      </c>
      <c r="I12" s="8" t="s">
        <v>94</v>
      </c>
      <c r="J12" s="8" t="s">
        <v>94</v>
      </c>
      <c r="K12" s="8"/>
      <c r="L12" s="8" t="s">
        <v>94</v>
      </c>
      <c r="M12" s="8"/>
      <c r="N12" s="5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61</v>
      </c>
      <c r="E13" s="26" t="s">
        <v>62</v>
      </c>
      <c r="F13" s="26"/>
      <c r="G13" s="42" t="s">
        <v>127</v>
      </c>
      <c r="H13" s="42" t="s">
        <v>98</v>
      </c>
      <c r="I13" s="8" t="s">
        <v>94</v>
      </c>
      <c r="J13" s="8" t="s">
        <v>94</v>
      </c>
      <c r="K13" s="8"/>
      <c r="L13" s="8" t="s">
        <v>99</v>
      </c>
      <c r="M13" s="8"/>
      <c r="N13" s="53"/>
      <c r="O13" s="8"/>
      <c r="P13" s="8"/>
      <c r="Q13" s="8"/>
      <c r="R13" s="8"/>
      <c r="S13" s="8"/>
      <c r="T13" s="8"/>
      <c r="U13" s="8"/>
      <c r="V13" s="8" t="s">
        <v>100</v>
      </c>
      <c r="W13" s="8"/>
      <c r="X13" s="8"/>
      <c r="Y13" s="8" t="s">
        <v>101</v>
      </c>
      <c r="Z13" s="8" t="s">
        <v>102</v>
      </c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72</v>
      </c>
      <c r="E14" s="26" t="s">
        <v>73</v>
      </c>
      <c r="F14" s="26"/>
      <c r="G14" s="42" t="s">
        <v>128</v>
      </c>
      <c r="H14" s="42" t="s">
        <v>103</v>
      </c>
      <c r="I14" s="8" t="s">
        <v>94</v>
      </c>
      <c r="J14" s="8" t="s">
        <v>94</v>
      </c>
      <c r="K14" s="8"/>
      <c r="L14" s="8" t="s">
        <v>99</v>
      </c>
      <c r="M14" s="8"/>
      <c r="N14" s="53"/>
      <c r="O14" s="8"/>
      <c r="P14" s="8"/>
      <c r="Q14" s="8"/>
      <c r="R14" s="8"/>
      <c r="S14" s="8"/>
      <c r="T14" s="8"/>
      <c r="U14" s="8"/>
      <c r="V14" s="8" t="s">
        <v>79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40</v>
      </c>
      <c r="E15" s="26" t="s">
        <v>39</v>
      </c>
      <c r="F15" s="26"/>
      <c r="G15" s="42" t="s">
        <v>129</v>
      </c>
      <c r="H15" s="42" t="s">
        <v>104</v>
      </c>
      <c r="I15" s="8" t="s">
        <v>105</v>
      </c>
      <c r="J15" s="8" t="s">
        <v>94</v>
      </c>
      <c r="K15" s="8"/>
      <c r="L15" s="8"/>
      <c r="M15" s="8"/>
      <c r="N15" s="5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x14ac:dyDescent="0.2">
      <c r="A16" s="22"/>
      <c r="B16" s="23"/>
      <c r="C16" s="23"/>
      <c r="D16" s="16" t="s">
        <v>11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9"/>
      <c r="AI16" s="9"/>
      <c r="AJ16" s="9"/>
      <c r="AK16" s="9"/>
      <c r="AL16" s="45"/>
    </row>
    <row r="17" spans="1:38" s="10" customFormat="1" x14ac:dyDescent="0.2">
      <c r="A17" s="56"/>
      <c r="AL17" s="46"/>
    </row>
    <row r="18" spans="1:38" s="10" customFormat="1" x14ac:dyDescent="0.2">
      <c r="A18" s="56"/>
      <c r="AL18" s="46"/>
    </row>
    <row r="19" spans="1:38" s="10" customFormat="1" x14ac:dyDescent="0.2">
      <c r="A19" s="56"/>
      <c r="AL19" s="46"/>
    </row>
    <row r="20" spans="1:38" s="10" customFormat="1" x14ac:dyDescent="0.2">
      <c r="A20" s="62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1.6328125" style="5" bestFit="1" customWidth="1"/>
    <col min="23" max="23" width="9.453125" style="5" bestFit="1" customWidth="1"/>
    <col min="24" max="24" width="15" style="5" bestFit="1" customWidth="1"/>
    <col min="25" max="25" width="20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76</v>
      </c>
      <c r="B1" s="54" t="s">
        <v>76</v>
      </c>
      <c r="C1" s="54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76</v>
      </c>
      <c r="B2" s="23"/>
      <c r="C2" s="23"/>
      <c r="D2" s="65" t="s">
        <v>112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MBBBL5050</v>
      </c>
      <c r="I2" s="7" t="s">
        <v>93</v>
      </c>
      <c r="J2" s="8" t="s">
        <v>63</v>
      </c>
      <c r="K2" s="7" t="s">
        <v>74</v>
      </c>
      <c r="L2" s="55" t="str">
        <f>IF(LogicCommon!G2="","",LogicCommon!G2)</f>
        <v>MC</v>
      </c>
      <c r="M2" s="5" t="s">
        <v>96</v>
      </c>
      <c r="N2" s="24" t="s">
        <v>110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76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MBBBL_SendNoteService</v>
      </c>
      <c r="I3" s="7" t="s">
        <v>78</v>
      </c>
      <c r="J3" s="8" t="s">
        <v>12</v>
      </c>
      <c r="K3" s="7" t="s">
        <v>75</v>
      </c>
      <c r="L3" s="55" t="str">
        <f>IF(LogicCommon!G3="","",LogicCommon!G3)</f>
        <v/>
      </c>
      <c r="M3" s="43"/>
      <c r="N3" s="7"/>
      <c r="O3" s="7" t="s">
        <v>86</v>
      </c>
      <c r="P3" s="8" t="s">
        <v>80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76</v>
      </c>
      <c r="B4" s="57"/>
      <c r="C4" s="57"/>
      <c r="D4" s="4"/>
      <c r="E4" s="7" t="s">
        <v>13</v>
      </c>
      <c r="F4" s="59" t="s">
        <v>87</v>
      </c>
      <c r="G4" s="7" t="s">
        <v>8</v>
      </c>
      <c r="H4" s="55" t="str">
        <f>IF(LogicCommon!E4="","",LogicCommon!E4)</f>
        <v>手形送信サービス</v>
      </c>
      <c r="I4" s="7" t="s">
        <v>14</v>
      </c>
      <c r="J4" s="8" t="s">
        <v>64</v>
      </c>
      <c r="K4" s="7" t="s">
        <v>9</v>
      </c>
      <c r="L4" s="55" t="str">
        <f>IF(LogicCommon!G4="","",LogicCommon!G4)</f>
        <v>MB.MBUDL5010</v>
      </c>
      <c r="M4" s="60" t="s">
        <v>91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76</v>
      </c>
      <c r="B5" s="54"/>
      <c r="C5" s="54"/>
      <c r="D5" s="21"/>
      <c r="E5" s="7" t="s">
        <v>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76</v>
      </c>
      <c r="B6" s="57"/>
      <c r="C6" s="57"/>
      <c r="D6" s="4" t="s">
        <v>10</v>
      </c>
      <c r="E6" s="12" t="s">
        <v>65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90</v>
      </c>
      <c r="AE6" s="15"/>
      <c r="AF6" s="15" t="s">
        <v>90</v>
      </c>
      <c r="AG6" s="15"/>
      <c r="AH6" s="15" t="s">
        <v>90</v>
      </c>
      <c r="AI6" s="4"/>
      <c r="AJ6" s="4"/>
      <c r="AK6" s="4"/>
      <c r="AL6" s="4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18</v>
      </c>
      <c r="AD7" s="26"/>
      <c r="AE7" s="25" t="s">
        <v>18</v>
      </c>
      <c r="AF7" s="26"/>
      <c r="AG7" s="25" t="s">
        <v>18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15</v>
      </c>
      <c r="B8" s="66"/>
      <c r="C8" s="67"/>
      <c r="D8" s="25" t="s">
        <v>113</v>
      </c>
      <c r="E8" s="25" t="s">
        <v>114</v>
      </c>
      <c r="F8" s="64"/>
      <c r="G8" s="25" t="s">
        <v>95</v>
      </c>
      <c r="H8" s="25" t="s">
        <v>115</v>
      </c>
      <c r="I8" s="64"/>
      <c r="J8" s="3"/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8" t="s">
        <v>81</v>
      </c>
      <c r="AA8" s="8" t="s">
        <v>34</v>
      </c>
      <c r="AB8" s="8" t="s">
        <v>82</v>
      </c>
      <c r="AC8" s="25" t="s">
        <v>35</v>
      </c>
      <c r="AD8" s="26"/>
      <c r="AE8" s="25" t="s">
        <v>88</v>
      </c>
      <c r="AF8" s="26"/>
      <c r="AG8" s="25" t="s">
        <v>83</v>
      </c>
      <c r="AH8" s="26"/>
      <c r="AI8" s="3"/>
      <c r="AJ8" s="21"/>
      <c r="AK8" s="120" t="s">
        <v>124</v>
      </c>
      <c r="AL8" s="121"/>
    </row>
    <row r="9" spans="1:38" s="10" customFormat="1" ht="60" customHeight="1" x14ac:dyDescent="0.2">
      <c r="A9" s="8" t="s">
        <v>15</v>
      </c>
      <c r="B9" s="30"/>
      <c r="C9" s="31"/>
      <c r="D9" s="25" t="s">
        <v>116</v>
      </c>
      <c r="E9" s="68" t="s">
        <v>117</v>
      </c>
      <c r="F9" s="25" t="s">
        <v>118</v>
      </c>
      <c r="G9" s="25" t="s">
        <v>119</v>
      </c>
      <c r="H9" s="25" t="s">
        <v>120</v>
      </c>
      <c r="I9" s="69" t="s">
        <v>121</v>
      </c>
      <c r="J9" s="25" t="s">
        <v>122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9"/>
      <c r="AD9" s="25"/>
      <c r="AE9" s="25"/>
      <c r="AF9" s="25"/>
      <c r="AG9" s="25"/>
      <c r="AH9" s="25"/>
      <c r="AI9" s="120" t="s">
        <v>123</v>
      </c>
      <c r="AJ9" s="121"/>
      <c r="AK9" s="120" t="s">
        <v>125</v>
      </c>
      <c r="AL9" s="121"/>
    </row>
    <row r="10" spans="1:38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121</v>
      </c>
      <c r="AD10" s="25" t="s">
        <v>122</v>
      </c>
      <c r="AE10" s="25" t="s">
        <v>121</v>
      </c>
      <c r="AF10" s="25" t="s">
        <v>122</v>
      </c>
      <c r="AG10" s="25" t="s">
        <v>121</v>
      </c>
      <c r="AH10" s="25" t="s">
        <v>122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37</v>
      </c>
      <c r="C11" s="31"/>
      <c r="D11" s="24" t="s">
        <v>66</v>
      </c>
      <c r="E11" s="29" t="s">
        <v>38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60</v>
      </c>
      <c r="E12" s="26" t="s">
        <v>85</v>
      </c>
      <c r="F12" s="26"/>
      <c r="G12" s="42" t="s">
        <v>126</v>
      </c>
      <c r="H12" s="42" t="s">
        <v>97</v>
      </c>
      <c r="I12" s="8" t="s">
        <v>94</v>
      </c>
      <c r="J12" s="8" t="s">
        <v>94</v>
      </c>
      <c r="K12" s="8"/>
      <c r="L12" s="8" t="s">
        <v>94</v>
      </c>
      <c r="M12" s="8"/>
      <c r="N12" s="5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40</v>
      </c>
      <c r="E13" s="26" t="s">
        <v>39</v>
      </c>
      <c r="F13" s="26"/>
      <c r="G13" s="42" t="s">
        <v>129</v>
      </c>
      <c r="H13" s="42" t="s">
        <v>104</v>
      </c>
      <c r="I13" s="8" t="s">
        <v>105</v>
      </c>
      <c r="J13" s="8" t="s">
        <v>94</v>
      </c>
      <c r="K13" s="8"/>
      <c r="L13" s="8"/>
      <c r="M13" s="8"/>
      <c r="N13" s="5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22"/>
      <c r="B14" s="23"/>
      <c r="C14" s="23"/>
      <c r="D14" s="16" t="s">
        <v>11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9"/>
      <c r="AI14" s="9"/>
      <c r="AJ14" s="9"/>
      <c r="AK14" s="9"/>
      <c r="AL14" s="45"/>
    </row>
    <row r="15" spans="1:38" s="10" customFormat="1" x14ac:dyDescent="0.2">
      <c r="A15" s="56"/>
      <c r="AL15" s="46"/>
    </row>
    <row r="16" spans="1:38" s="10" customFormat="1" x14ac:dyDescent="0.2">
      <c r="A16" s="56"/>
      <c r="AL16" s="46"/>
    </row>
    <row r="17" spans="1:38" s="10" customFormat="1" x14ac:dyDescent="0.2">
      <c r="A17" s="56"/>
      <c r="AL17" s="46"/>
    </row>
    <row r="18" spans="1:38" s="10" customFormat="1" x14ac:dyDescent="0.2">
      <c r="A18" s="62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7.089843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76</v>
      </c>
      <c r="B1" s="54" t="s">
        <v>76</v>
      </c>
      <c r="C1" s="54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76</v>
      </c>
      <c r="B2" s="23"/>
      <c r="C2" s="23"/>
      <c r="D2" s="65" t="s">
        <v>112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MBBBL5050</v>
      </c>
      <c r="I2" s="7" t="s">
        <v>93</v>
      </c>
      <c r="J2" s="8" t="s">
        <v>54</v>
      </c>
      <c r="K2" s="7" t="s">
        <v>74</v>
      </c>
      <c r="L2" s="55" t="str">
        <f>IF(LogicCommon!G2="","",LogicCommon!G2)</f>
        <v>MC</v>
      </c>
      <c r="M2" s="5" t="s">
        <v>96</v>
      </c>
      <c r="N2" s="24" t="s">
        <v>111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76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MBBBL_SendNoteService</v>
      </c>
      <c r="I3" s="7" t="s">
        <v>78</v>
      </c>
      <c r="J3" s="8" t="s">
        <v>12</v>
      </c>
      <c r="K3" s="7" t="s">
        <v>75</v>
      </c>
      <c r="L3" s="55" t="str">
        <f>IF(LogicCommon!G3="","",LogicCommon!G3)</f>
        <v/>
      </c>
      <c r="M3" s="43"/>
      <c r="N3" s="7"/>
      <c r="O3" s="7" t="s">
        <v>86</v>
      </c>
      <c r="P3" s="8" t="s">
        <v>80</v>
      </c>
      <c r="Q3" s="4"/>
      <c r="R3" s="5"/>
      <c r="S3" s="5"/>
      <c r="T3" s="5"/>
      <c r="U3" s="5"/>
    </row>
    <row r="4" spans="1:21" s="10" customFormat="1" x14ac:dyDescent="0.2">
      <c r="A4" s="56" t="s">
        <v>76</v>
      </c>
      <c r="B4" s="57"/>
      <c r="C4" s="57"/>
      <c r="D4" s="4"/>
      <c r="E4" s="7" t="s">
        <v>13</v>
      </c>
      <c r="F4" s="59" t="s">
        <v>87</v>
      </c>
      <c r="G4" s="7" t="s">
        <v>8</v>
      </c>
      <c r="H4" s="55" t="str">
        <f>IF(LogicCommon!E4="","",LogicCommon!E4)</f>
        <v>手形送信サービス</v>
      </c>
      <c r="I4" s="7" t="s">
        <v>14</v>
      </c>
      <c r="J4" s="8" t="s">
        <v>58</v>
      </c>
      <c r="K4" s="7" t="s">
        <v>9</v>
      </c>
      <c r="L4" s="55" t="str">
        <f>IF(LogicCommon!G4="","",LogicCommon!G4)</f>
        <v>MB.MBUDL5010</v>
      </c>
      <c r="M4" s="60" t="s">
        <v>91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76</v>
      </c>
      <c r="B5" s="54"/>
      <c r="C5" s="54"/>
      <c r="D5" s="21"/>
      <c r="E5" s="7" t="s">
        <v>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76</v>
      </c>
      <c r="B6" s="57"/>
      <c r="C6" s="57"/>
      <c r="D6" s="4" t="s">
        <v>10</v>
      </c>
      <c r="E6" s="12" t="s">
        <v>59</v>
      </c>
      <c r="F6" s="12"/>
      <c r="G6" s="12"/>
      <c r="H6" s="12"/>
      <c r="I6" s="12"/>
      <c r="J6" s="12"/>
      <c r="K6" s="12"/>
      <c r="L6" s="64"/>
      <c r="M6" s="15" t="s">
        <v>90</v>
      </c>
      <c r="N6" s="15"/>
      <c r="O6" s="15" t="s">
        <v>90</v>
      </c>
      <c r="P6" s="15"/>
      <c r="Q6" s="15" t="s">
        <v>90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8" t="s">
        <v>41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6"/>
      <c r="C8" s="67"/>
      <c r="D8" s="25" t="s">
        <v>113</v>
      </c>
      <c r="E8" s="25" t="s">
        <v>114</v>
      </c>
      <c r="F8" s="64"/>
      <c r="G8" s="25" t="s">
        <v>95</v>
      </c>
      <c r="H8" s="25" t="s">
        <v>115</v>
      </c>
      <c r="I8" s="64"/>
      <c r="J8" s="3"/>
      <c r="K8" s="8"/>
      <c r="L8" s="25" t="s">
        <v>35</v>
      </c>
      <c r="M8" s="26"/>
      <c r="N8" s="25" t="s">
        <v>84</v>
      </c>
      <c r="O8" s="26"/>
      <c r="P8" s="25" t="s">
        <v>84</v>
      </c>
      <c r="Q8" s="26"/>
      <c r="R8" s="3"/>
      <c r="S8" s="21"/>
      <c r="T8" s="120" t="s">
        <v>124</v>
      </c>
      <c r="U8" s="121"/>
    </row>
    <row r="9" spans="1:21" s="10" customFormat="1" ht="60" customHeight="1" x14ac:dyDescent="0.2">
      <c r="A9" s="8" t="s">
        <v>15</v>
      </c>
      <c r="B9" s="30"/>
      <c r="C9" s="31"/>
      <c r="D9" s="25" t="s">
        <v>130</v>
      </c>
      <c r="E9" s="68" t="s">
        <v>131</v>
      </c>
      <c r="F9" s="25" t="s">
        <v>118</v>
      </c>
      <c r="G9" s="25" t="s">
        <v>119</v>
      </c>
      <c r="H9" s="25" t="s">
        <v>120</v>
      </c>
      <c r="I9" s="69" t="s">
        <v>121</v>
      </c>
      <c r="J9" s="25" t="s">
        <v>122</v>
      </c>
      <c r="K9" s="65"/>
      <c r="L9" s="69"/>
      <c r="M9" s="25"/>
      <c r="N9" s="25"/>
      <c r="O9" s="25"/>
      <c r="P9" s="25"/>
      <c r="Q9" s="25"/>
      <c r="R9" s="120" t="s">
        <v>123</v>
      </c>
      <c r="S9" s="121"/>
      <c r="T9" s="120" t="s">
        <v>125</v>
      </c>
      <c r="U9" s="121"/>
    </row>
    <row r="10" spans="1:21" s="10" customFormat="1" ht="52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121</v>
      </c>
      <c r="M10" s="25" t="s">
        <v>122</v>
      </c>
      <c r="N10" s="25" t="s">
        <v>121</v>
      </c>
      <c r="O10" s="25" t="s">
        <v>122</v>
      </c>
      <c r="P10" s="25" t="s">
        <v>121</v>
      </c>
      <c r="Q10" s="25" t="s">
        <v>122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37</v>
      </c>
      <c r="C11" s="31"/>
      <c r="D11" s="24" t="s">
        <v>55</v>
      </c>
      <c r="E11" s="29" t="s">
        <v>38</v>
      </c>
      <c r="F11" s="38"/>
      <c r="G11" s="24" t="s">
        <v>42</v>
      </c>
      <c r="H11" s="28" t="s">
        <v>106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60</v>
      </c>
      <c r="E12" s="26" t="s">
        <v>92</v>
      </c>
      <c r="F12" s="26"/>
      <c r="G12" s="42" t="s">
        <v>126</v>
      </c>
      <c r="H12" s="42" t="s">
        <v>97</v>
      </c>
      <c r="I12" s="8" t="s">
        <v>94</v>
      </c>
      <c r="J12" s="8" t="s">
        <v>107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61</v>
      </c>
      <c r="E13" s="26" t="s">
        <v>62</v>
      </c>
      <c r="F13" s="26"/>
      <c r="G13" s="42" t="s">
        <v>127</v>
      </c>
      <c r="H13" s="42" t="s">
        <v>98</v>
      </c>
      <c r="I13" s="8" t="s">
        <v>94</v>
      </c>
      <c r="J13" s="8" t="s">
        <v>107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72</v>
      </c>
      <c r="E14" s="26" t="s">
        <v>73</v>
      </c>
      <c r="F14" s="26"/>
      <c r="G14" s="42" t="s">
        <v>128</v>
      </c>
      <c r="H14" s="42" t="s">
        <v>103</v>
      </c>
      <c r="I14" s="8" t="s">
        <v>94</v>
      </c>
      <c r="J14" s="8" t="s">
        <v>107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40</v>
      </c>
      <c r="E15" s="26" t="s">
        <v>39</v>
      </c>
      <c r="F15" s="26"/>
      <c r="G15" s="42" t="s">
        <v>129</v>
      </c>
      <c r="H15" s="42" t="s">
        <v>108</v>
      </c>
      <c r="I15" s="8" t="s">
        <v>107</v>
      </c>
      <c r="J15" s="8" t="s">
        <v>94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22"/>
      <c r="B16" s="23"/>
      <c r="C16" s="23"/>
      <c r="D16" s="16" t="s">
        <v>11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9"/>
      <c r="R16" s="9"/>
      <c r="S16" s="9"/>
      <c r="T16" s="9"/>
      <c r="U16" s="45"/>
    </row>
    <row r="17" spans="1:21" s="10" customFormat="1" x14ac:dyDescent="0.2">
      <c r="A17" s="56"/>
      <c r="U17" s="46"/>
    </row>
    <row r="18" spans="1:21" s="10" customFormat="1" x14ac:dyDescent="0.2">
      <c r="A18" s="56"/>
      <c r="U18" s="46"/>
    </row>
    <row r="19" spans="1:21" s="10" customFormat="1" x14ac:dyDescent="0.2">
      <c r="A19" s="56"/>
      <c r="U19" s="46"/>
    </row>
    <row r="20" spans="1:21" s="10" customFormat="1" x14ac:dyDescent="0.2">
      <c r="A20" s="62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8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7.089843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76</v>
      </c>
      <c r="B1" s="54" t="s">
        <v>76</v>
      </c>
      <c r="C1" s="54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76</v>
      </c>
      <c r="B2" s="23"/>
      <c r="C2" s="23"/>
      <c r="D2" s="65" t="s">
        <v>112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MBBBL5050</v>
      </c>
      <c r="I2" s="7" t="s">
        <v>93</v>
      </c>
      <c r="J2" s="8" t="s">
        <v>67</v>
      </c>
      <c r="K2" s="7" t="s">
        <v>74</v>
      </c>
      <c r="L2" s="55" t="str">
        <f>IF(LogicCommon!G2="","",LogicCommon!G2)</f>
        <v>MC</v>
      </c>
      <c r="M2" s="5" t="s">
        <v>96</v>
      </c>
      <c r="N2" s="24" t="s">
        <v>111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76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MBBBL_SendNoteService</v>
      </c>
      <c r="I3" s="7" t="s">
        <v>78</v>
      </c>
      <c r="J3" s="8" t="s">
        <v>12</v>
      </c>
      <c r="K3" s="7" t="s">
        <v>75</v>
      </c>
      <c r="L3" s="55" t="str">
        <f>IF(LogicCommon!G3="","",LogicCommon!G3)</f>
        <v/>
      </c>
      <c r="M3" s="43"/>
      <c r="N3" s="7"/>
      <c r="O3" s="7" t="s">
        <v>86</v>
      </c>
      <c r="P3" s="8" t="s">
        <v>80</v>
      </c>
      <c r="Q3" s="4"/>
      <c r="R3" s="5"/>
      <c r="S3" s="5"/>
      <c r="T3" s="5"/>
      <c r="U3" s="5"/>
    </row>
    <row r="4" spans="1:21" s="10" customFormat="1" x14ac:dyDescent="0.2">
      <c r="A4" s="56" t="s">
        <v>76</v>
      </c>
      <c r="B4" s="57"/>
      <c r="C4" s="57"/>
      <c r="D4" s="4"/>
      <c r="E4" s="7" t="s">
        <v>13</v>
      </c>
      <c r="F4" s="59" t="s">
        <v>87</v>
      </c>
      <c r="G4" s="7" t="s">
        <v>8</v>
      </c>
      <c r="H4" s="55" t="str">
        <f>IF(LogicCommon!E4="","",LogicCommon!E4)</f>
        <v>手形送信サービス</v>
      </c>
      <c r="I4" s="7" t="s">
        <v>14</v>
      </c>
      <c r="J4" s="8" t="s">
        <v>68</v>
      </c>
      <c r="K4" s="7" t="s">
        <v>9</v>
      </c>
      <c r="L4" s="55" t="str">
        <f>IF(LogicCommon!G4="","",LogicCommon!G4)</f>
        <v>MB.MBUDL5010</v>
      </c>
      <c r="M4" s="60" t="s">
        <v>91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76</v>
      </c>
      <c r="B5" s="54"/>
      <c r="C5" s="54"/>
      <c r="D5" s="21"/>
      <c r="E5" s="7" t="s">
        <v>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76</v>
      </c>
      <c r="B6" s="57"/>
      <c r="C6" s="57"/>
      <c r="D6" s="4" t="s">
        <v>10</v>
      </c>
      <c r="E6" s="12" t="s">
        <v>69</v>
      </c>
      <c r="F6" s="12"/>
      <c r="G6" s="12"/>
      <c r="H6" s="12"/>
      <c r="I6" s="12"/>
      <c r="J6" s="12"/>
      <c r="K6" s="12"/>
      <c r="L6" s="64"/>
      <c r="M6" s="15" t="s">
        <v>90</v>
      </c>
      <c r="N6" s="15"/>
      <c r="O6" s="15" t="s">
        <v>90</v>
      </c>
      <c r="P6" s="15"/>
      <c r="Q6" s="15" t="s">
        <v>90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8" t="s">
        <v>41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6"/>
      <c r="C8" s="67"/>
      <c r="D8" s="25" t="s">
        <v>113</v>
      </c>
      <c r="E8" s="25" t="s">
        <v>114</v>
      </c>
      <c r="F8" s="64"/>
      <c r="G8" s="25" t="s">
        <v>95</v>
      </c>
      <c r="H8" s="25" t="s">
        <v>115</v>
      </c>
      <c r="I8" s="64"/>
      <c r="J8" s="3"/>
      <c r="K8" s="8"/>
      <c r="L8" s="25" t="s">
        <v>35</v>
      </c>
      <c r="M8" s="26"/>
      <c r="N8" s="25" t="s">
        <v>83</v>
      </c>
      <c r="O8" s="26"/>
      <c r="P8" s="25" t="s">
        <v>83</v>
      </c>
      <c r="Q8" s="26"/>
      <c r="R8" s="3"/>
      <c r="S8" s="21"/>
      <c r="T8" s="120" t="s">
        <v>124</v>
      </c>
      <c r="U8" s="121"/>
    </row>
    <row r="9" spans="1:21" s="10" customFormat="1" ht="60" customHeight="1" x14ac:dyDescent="0.2">
      <c r="A9" s="8" t="s">
        <v>15</v>
      </c>
      <c r="B9" s="30"/>
      <c r="C9" s="31"/>
      <c r="D9" s="25" t="s">
        <v>130</v>
      </c>
      <c r="E9" s="68" t="s">
        <v>131</v>
      </c>
      <c r="F9" s="25" t="s">
        <v>118</v>
      </c>
      <c r="G9" s="25" t="s">
        <v>119</v>
      </c>
      <c r="H9" s="25" t="s">
        <v>120</v>
      </c>
      <c r="I9" s="69" t="s">
        <v>121</v>
      </c>
      <c r="J9" s="25" t="s">
        <v>122</v>
      </c>
      <c r="K9" s="65"/>
      <c r="L9" s="69"/>
      <c r="M9" s="25"/>
      <c r="N9" s="25"/>
      <c r="O9" s="25"/>
      <c r="P9" s="25"/>
      <c r="Q9" s="25"/>
      <c r="R9" s="120" t="s">
        <v>123</v>
      </c>
      <c r="S9" s="121"/>
      <c r="T9" s="120" t="s">
        <v>125</v>
      </c>
      <c r="U9" s="121"/>
    </row>
    <row r="10" spans="1:21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121</v>
      </c>
      <c r="M10" s="25" t="s">
        <v>122</v>
      </c>
      <c r="N10" s="25" t="s">
        <v>121</v>
      </c>
      <c r="O10" s="25" t="s">
        <v>122</v>
      </c>
      <c r="P10" s="25" t="s">
        <v>121</v>
      </c>
      <c r="Q10" s="25" t="s">
        <v>122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37</v>
      </c>
      <c r="C11" s="31"/>
      <c r="D11" s="24" t="s">
        <v>70</v>
      </c>
      <c r="E11" s="29" t="s">
        <v>38</v>
      </c>
      <c r="F11" s="38"/>
      <c r="G11" s="24" t="s">
        <v>42</v>
      </c>
      <c r="H11" s="28" t="s">
        <v>71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60</v>
      </c>
      <c r="E12" s="26" t="s">
        <v>92</v>
      </c>
      <c r="F12" s="26"/>
      <c r="G12" s="42" t="s">
        <v>126</v>
      </c>
      <c r="H12" s="42" t="s">
        <v>97</v>
      </c>
      <c r="I12" s="8" t="s">
        <v>94</v>
      </c>
      <c r="J12" s="8" t="s">
        <v>107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40</v>
      </c>
      <c r="E13" s="26" t="s">
        <v>39</v>
      </c>
      <c r="F13" s="26"/>
      <c r="G13" s="42" t="s">
        <v>129</v>
      </c>
      <c r="H13" s="42" t="s">
        <v>108</v>
      </c>
      <c r="I13" s="8" t="s">
        <v>107</v>
      </c>
      <c r="J13" s="8" t="s">
        <v>94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22"/>
      <c r="B14" s="23"/>
      <c r="C14" s="23"/>
      <c r="D14" s="16" t="s">
        <v>11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9"/>
      <c r="R14" s="9"/>
      <c r="S14" s="9"/>
      <c r="T14" s="9"/>
      <c r="U14" s="45"/>
    </row>
    <row r="15" spans="1:21" s="10" customFormat="1" x14ac:dyDescent="0.2">
      <c r="A15" s="56"/>
      <c r="U15" s="46"/>
    </row>
    <row r="16" spans="1:21" s="10" customFormat="1" x14ac:dyDescent="0.2">
      <c r="A16" s="56"/>
      <c r="U16" s="46"/>
    </row>
    <row r="17" spans="1:21" s="10" customFormat="1" x14ac:dyDescent="0.2">
      <c r="A17" s="56"/>
      <c r="U17" s="46"/>
    </row>
    <row r="18" spans="1:21" s="10" customFormat="1" x14ac:dyDescent="0.2">
      <c r="A18" s="62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99" t="s">
        <v>43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02" t="s">
        <v>44</v>
      </c>
      <c r="B3" s="103"/>
      <c r="C3" s="103"/>
      <c r="D3" s="103"/>
      <c r="E3" s="103"/>
      <c r="F3" s="103"/>
      <c r="G3" s="104"/>
      <c r="H3" s="105" t="s">
        <v>45</v>
      </c>
      <c r="I3" s="103"/>
      <c r="J3" s="103"/>
      <c r="K3" s="103"/>
      <c r="L3" s="103"/>
      <c r="M3" s="103"/>
      <c r="N3" s="104"/>
      <c r="O3" s="105" t="s">
        <v>46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47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48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3" t="s">
        <v>132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133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SendNote_Chk01</vt:lpstr>
      <vt:lpstr>SendNote_Chk02</vt:lpstr>
      <vt:lpstr>SendNote_Upd01</vt:lpstr>
      <vt:lpstr>SendNote_Del01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2026-03-27T05:47:59Z</dcterms:modified>
  <cp:category/>
</cp:coreProperties>
</file>