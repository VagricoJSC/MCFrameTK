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B1321104-47A9-4381-A82B-2289B4F0D4EC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AcIf_Chk01" sheetId="2" r:id="rId2"/>
    <sheet name="AcIf_Upd01" sheetId="3" r:id="rId3"/>
    <sheet name="来歴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<sst xmlns="http://schemas.openxmlformats.org/spreadsheetml/2006/main" count="360" uniqueCount="148">
  <si>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</si>
  <si>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</si>
  <si>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</si>
  <si>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</si>
  <si>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MBBBL5020</t>
    <phoneticPr fontId="1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</si>
  <si>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</si>
  <si>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</si>
  <si>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</si>
  <si>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</si>
  <si>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MBBBL_AcIfService</t>
    <phoneticPr fontId="1"/>
  </si>
  <si>
    <t>LogicName :</t>
    <phoneticPr fontId="2"/>
  </si>
  <si>
    <t>会計ＩＦデータ取込サービス</t>
    <rPh sb="0" eb="2">
      <t>カイケイ</t>
    </rPh>
    <rPh sb="7" eb="9">
      <t>トリコミ</t>
    </rPh>
    <phoneticPr fontId="3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</si>
  <si>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</si>
  <si>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</si>
  <si>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</si>
  <si>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Ope.Method :</t>
    <phoneticPr fontId="2"/>
  </si>
  <si>
    <t>@</t>
    <phoneticPr fontId="1"/>
  </si>
  <si>
    <t>Version :</t>
  </si>
  <si>
    <t>取込前チェック</t>
    <rPh sb="0" eb="2">
      <t>トリコミ</t>
    </rPh>
    <rPh sb="2" eb="3">
      <t>マエ</t>
    </rPh>
    <phoneticPr fontId="1"/>
  </si>
  <si>
    <t>会計ＩＦデータ取込前チェック</t>
    <rPh sb="0" eb="2">
      <t>カイケイ</t>
    </rPh>
    <rPh sb="7" eb="9">
      <t>トリコミ</t>
    </rPh>
    <rPh sb="9" eb="10">
      <t>マエ</t>
    </rPh>
    <phoneticPr fontId="1"/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</si>
  <si>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</si>
  <si>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</si>
  <si>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</si>
  <si>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</si>
  <si>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</si>
  <si>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</si>
  <si>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</si>
  <si>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</si>
  <si>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</si>
  <si>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</si>
  <si>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</si>
  <si>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</si>
  <si>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</si>
  <si>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ONLY_ONE_INPUT</t>
  </si>
  <si>
    <t>LIST_LOGIC</t>
  </si>
  <si>
    <t>LIST_OUT</t>
  </si>
  <si>
    <t>LIST_OUT_BASE</t>
  </si>
  <si>
    <t>LIST_IN</t>
  </si>
  <si>
    <t>CONST</t>
    <phoneticPr fontId="1"/>
  </si>
  <si>
    <t>TargetName</t>
    <phoneticPr fontId="2"/>
  </si>
  <si>
    <t>#</t>
    <phoneticPr fontId="2"/>
  </si>
  <si>
    <t>*</t>
    <phoneticPr fontId="1"/>
  </si>
  <si>
    <t>R</t>
  </si>
  <si>
    <t>ac_ym</t>
  </si>
  <si>
    <t>#MA.YM</t>
  </si>
  <si>
    <t>#MA.DT</t>
  </si>
  <si>
    <t>io_flg</t>
  </si>
  <si>
    <t>#MA.FLG</t>
  </si>
  <si>
    <t>stk_flg</t>
  </si>
  <si>
    <t>rcv_flg</t>
  </si>
  <si>
    <t>pay_flg</t>
  </si>
  <si>
    <t>note_flg</t>
  </si>
  <si>
    <t>reget_flg</t>
  </si>
  <si>
    <t>err_flg</t>
  </si>
  <si>
    <t>会計ＩＦデータ取込</t>
    <rPh sb="0" eb="2">
      <t>カイケイ</t>
    </rPh>
    <rPh sb="7" eb="9">
      <t>トリコミ</t>
    </rPh>
    <phoneticPr fontId="1"/>
  </si>
  <si>
    <t>会計ＩＦデータを取り込む。</t>
    <rPh sb="0" eb="2">
      <t>カイケイ</t>
    </rPh>
    <rPh sb="8" eb="9">
      <t>ト</t>
    </rPh>
    <rPh sb="10" eb="11">
      <t>コ</t>
    </rPh>
    <phoneticPr fontId="1"/>
  </si>
  <si>
    <t>K</t>
    <phoneticPr fontId="1"/>
  </si>
  <si>
    <t>$share$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</si>
  <si>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</si>
  <si>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</si>
  <si>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</si>
  <si>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</si>
  <si>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</si>
  <si>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</si>
  <si>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AcIf_Chk01</t>
    <phoneticPr fontId="1"/>
  </si>
  <si>
    <t>AcIf_Chk01_Cnd</t>
    <phoneticPr fontId="1"/>
  </si>
  <si>
    <t>AcIf_Upd01</t>
    <phoneticPr fontId="1"/>
  </si>
  <si>
    <t>AcIf_Upd01_Cnd</t>
    <phoneticPr fontId="1"/>
  </si>
  <si>
    <t>Pj.ID :</t>
    <phoneticPr fontId="2"/>
  </si>
  <si>
    <t>SuperClassPj.ID :</t>
    <phoneticPr fontId="2"/>
  </si>
  <si>
    <t>*</t>
    <phoneticPr fontId="2"/>
  </si>
  <si>
    <t>000000</t>
    <phoneticPr fontId="2"/>
  </si>
  <si>
    <t>E</t>
    <phoneticPr fontId="2"/>
  </si>
  <si>
    <t>再取込</t>
    <phoneticPr fontId="2"/>
  </si>
  <si>
    <t>エラー</t>
    <phoneticPr fontId="2"/>
  </si>
  <si>
    <t>-</t>
    <phoneticPr fontId="1"/>
  </si>
  <si>
    <t>E</t>
    <phoneticPr fontId="1"/>
  </si>
  <si>
    <t>ImplOpe.ID:</t>
    <phoneticPr fontId="2"/>
  </si>
  <si>
    <t>LIST_IN_BASE</t>
  </si>
  <si>
    <t>NULL_VAL</t>
  </si>
  <si>
    <t>TargetName</t>
    <phoneticPr fontId="2"/>
  </si>
  <si>
    <t>dt_fr</t>
  </si>
  <si>
    <t>dt_to</t>
  </si>
  <si>
    <t>rerun_flg</t>
  </si>
  <si>
    <t>対象年月</t>
    <phoneticPr fontId="2"/>
  </si>
  <si>
    <t>手形情報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</si>
  <si>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</si>
  <si>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</si>
  <si>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</si>
  <si>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</si>
  <si>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</si>
  <si>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 xml:space="preserve">Ope.Body : 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</si>
  <si>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</si>
  <si>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</si>
  <si>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</si>
  <si>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</si>
  <si>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対象期間ＦＲＯＭ</t>
    <phoneticPr fontId="2"/>
  </si>
  <si>
    <t>dt:BF</t>
    <phoneticPr fontId="2"/>
  </si>
  <si>
    <t>対象期間ＴＯ</t>
    <phoneticPr fontId="2"/>
  </si>
  <si>
    <t>dt:AF</t>
    <phoneticPr fontId="2"/>
  </si>
  <si>
    <t>受払情報</t>
    <phoneticPr fontId="2"/>
  </si>
  <si>
    <t>在庫情報</t>
    <phoneticPr fontId="2"/>
  </si>
  <si>
    <t>入金情報</t>
    <phoneticPr fontId="2"/>
  </si>
  <si>
    <t>支払情報</t>
    <phoneticPr fontId="2"/>
  </si>
  <si>
    <t>マスタ再取得</t>
    <phoneticPr fontId="2"/>
  </si>
  <si>
    <t>super/share</t>
    <phoneticPr fontId="2"/>
  </si>
  <si>
    <t>MB.MBBBL5020.AcIf_Chk01.AcIf_Chk01_Cnd</t>
    <phoneticPr fontId="1"/>
  </si>
  <si>
    <t>対象期間ＦＲＯＭ</t>
    <phoneticPr fontId="1"/>
  </si>
  <si>
    <t>対象期間ＴＯ</t>
    <phoneticPr fontId="1"/>
  </si>
  <si>
    <t>エラー</t>
    <phoneticPr fontId="1"/>
  </si>
  <si>
    <t>schdpay_flg</t>
  </si>
  <si>
    <t>schdpay_flg</t>
    <phoneticPr fontId="2"/>
  </si>
  <si>
    <t>pay_flg</t>
    <phoneticPr fontId="2"/>
  </si>
  <si>
    <t>AT_LEAST_ONE</t>
    <phoneticPr fontId="2"/>
  </si>
  <si>
    <t>MB.MBUDL5010</t>
    <phoneticPr fontId="1"/>
  </si>
  <si>
    <t>MA.MAUDL5010.Checker</t>
    <phoneticPr fontId="1"/>
  </si>
  <si>
    <t>"mcframe.serverMAUD.MAUDL5010.MAUDL_Operation"</t>
    <phoneticPr fontId="1"/>
  </si>
  <si>
    <t>支払依頼情報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</si>
  <si>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</si>
  <si>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</si>
  <si>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</si>
  <si>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</si>
  <si>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</si>
  <si>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</si>
  <si>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</si>
  <si>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</si>
  <si>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</si>
  <si>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</si>
  <si>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</si>
  <si>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</si>
  <si>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</si>
  <si>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</si>
  <si>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Month</t>
  </si>
  <si>
    <t>Term FROM</t>
  </si>
  <si>
    <t>Term TO</t>
  </si>
  <si>
    <t>GR/GI info.</t>
  </si>
  <si>
    <t>Inventory info.</t>
  </si>
  <si>
    <t>Payment received info.</t>
  </si>
  <si>
    <t>Payment info.</t>
  </si>
  <si>
    <t>Payment request info.</t>
  </si>
  <si>
    <t>Note info.</t>
  </si>
  <si>
    <t>Re-import</t>
  </si>
  <si>
    <t>Reacquire master</t>
  </si>
  <si>
    <t>Error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</si>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</sst>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49" fontId="4" fillId="2" borderId="3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68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9</v>
      </c>
      <c r="F3" s="7" t="s">
        <v>69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11</v>
      </c>
      <c r="F4" s="7" t="s">
        <v>12</v>
      </c>
      <c r="G4" s="8" t="s">
        <v>114</v>
      </c>
      <c r="I4" s="5"/>
      <c r="J4" s="4"/>
    </row>
    <row r="5" spans="1:13" x14ac:dyDescent="0.2">
      <c r="A5" s="6" t="s">
        <v>13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14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8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0.63281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70</v>
      </c>
      <c r="B1" s="54" t="s">
        <v>70</v>
      </c>
      <c r="C1" s="54"/>
      <c r="D1" s="1" t="s">
        <v>89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70</v>
      </c>
      <c r="B2" s="23"/>
      <c r="C2" s="23"/>
      <c r="D2" s="65" t="s">
        <v>118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MBBBL5020</v>
      </c>
      <c r="I2" s="7" t="s">
        <v>90</v>
      </c>
      <c r="J2" s="8" t="s">
        <v>64</v>
      </c>
      <c r="K2" s="7" t="s">
        <v>68</v>
      </c>
      <c r="L2" s="55" t="str">
        <f>IF(LogicCommon!G2="","",LogicCommon!G2)</f>
        <v>MC</v>
      </c>
      <c r="M2" s="5" t="s">
        <v>91</v>
      </c>
      <c r="N2" s="24" t="s">
        <v>115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70</v>
      </c>
      <c r="B3" s="57"/>
      <c r="C3" s="57"/>
      <c r="D3" s="58" t="str">
        <f>IF(LogicCommon!A3="","",LogicCommon!A3)</f>
        <v/>
      </c>
      <c r="E3" s="7" t="s">
        <v>6</v>
      </c>
      <c r="F3" s="55" t="str">
        <f>IF(LogicCommon!C3="","",LogicCommon!C3)</f>
        <v>MBBB</v>
      </c>
      <c r="G3" s="7" t="s">
        <v>8</v>
      </c>
      <c r="H3" s="55" t="str">
        <f>IF(LogicCommon!E3="","",LogicCommon!E3)</f>
        <v>MBBBL_AcIfService</v>
      </c>
      <c r="I3" s="7" t="s">
        <v>15</v>
      </c>
      <c r="J3" s="8" t="s">
        <v>16</v>
      </c>
      <c r="K3" s="7" t="s">
        <v>69</v>
      </c>
      <c r="L3" s="55" t="str">
        <f>IF(LogicCommon!G3="","",LogicCommon!G3)</f>
        <v/>
      </c>
      <c r="M3" s="43"/>
      <c r="N3" s="7"/>
      <c r="O3" s="7" t="s">
        <v>92</v>
      </c>
      <c r="P3" s="8" t="s">
        <v>93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70</v>
      </c>
      <c r="B4" s="57"/>
      <c r="C4" s="57"/>
      <c r="D4" s="4"/>
      <c r="E4" s="7" t="s">
        <v>17</v>
      </c>
      <c r="F4" s="59" t="s">
        <v>71</v>
      </c>
      <c r="G4" s="7" t="s">
        <v>10</v>
      </c>
      <c r="H4" s="55" t="str">
        <f>IF(LogicCommon!E4="","",LogicCommon!E4)</f>
        <v>会計ＩＦデータ取込サービス</v>
      </c>
      <c r="I4" s="7" t="s">
        <v>94</v>
      </c>
      <c r="J4" s="8" t="s">
        <v>18</v>
      </c>
      <c r="K4" s="7" t="s">
        <v>12</v>
      </c>
      <c r="L4" s="55" t="str">
        <f>IF(LogicCommon!G4="","",LogicCommon!G4)</f>
        <v>MB.MBUDL5010</v>
      </c>
      <c r="M4" s="60" t="s">
        <v>77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70</v>
      </c>
      <c r="B5" s="54"/>
      <c r="C5" s="54"/>
      <c r="D5" s="21"/>
      <c r="E5" s="7" t="s">
        <v>95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70</v>
      </c>
      <c r="B6" s="57"/>
      <c r="C6" s="57"/>
      <c r="D6" s="4" t="s">
        <v>13</v>
      </c>
      <c r="E6" s="12" t="s">
        <v>19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88</v>
      </c>
      <c r="AE6" s="15"/>
      <c r="AF6" s="15" t="s">
        <v>88</v>
      </c>
      <c r="AG6" s="15"/>
      <c r="AH6" s="15" t="s">
        <v>88</v>
      </c>
      <c r="AI6" s="4"/>
      <c r="AJ6" s="4"/>
      <c r="AK6" s="4"/>
      <c r="AL6" s="4"/>
    </row>
    <row r="7" spans="1:38" s="10" customFormat="1" x14ac:dyDescent="0.2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5" t="s">
        <v>23</v>
      </c>
      <c r="AD7" s="26"/>
      <c r="AE7" s="25" t="s">
        <v>23</v>
      </c>
      <c r="AF7" s="26"/>
      <c r="AG7" s="25" t="s">
        <v>23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20</v>
      </c>
      <c r="B8" s="66"/>
      <c r="C8" s="67"/>
      <c r="D8" s="25" t="s">
        <v>119</v>
      </c>
      <c r="E8" s="25" t="s">
        <v>120</v>
      </c>
      <c r="F8" s="64"/>
      <c r="G8" s="25" t="s">
        <v>105</v>
      </c>
      <c r="H8" s="25" t="s">
        <v>121</v>
      </c>
      <c r="I8" s="64"/>
      <c r="J8" s="3"/>
      <c r="K8" s="8" t="s">
        <v>24</v>
      </c>
      <c r="L8" s="8" t="s">
        <v>25</v>
      </c>
      <c r="M8" s="8" t="s">
        <v>26</v>
      </c>
      <c r="N8" s="8" t="s">
        <v>27</v>
      </c>
      <c r="O8" s="8" t="s">
        <v>28</v>
      </c>
      <c r="P8" s="8" t="s">
        <v>29</v>
      </c>
      <c r="Q8" s="8" t="s">
        <v>30</v>
      </c>
      <c r="R8" s="8" t="s">
        <v>31</v>
      </c>
      <c r="S8" s="8" t="s">
        <v>32</v>
      </c>
      <c r="T8" s="8" t="s">
        <v>113</v>
      </c>
      <c r="U8" s="8" t="s">
        <v>33</v>
      </c>
      <c r="V8" s="8" t="s">
        <v>34</v>
      </c>
      <c r="W8" s="8" t="s">
        <v>35</v>
      </c>
      <c r="X8" s="8" t="s">
        <v>36</v>
      </c>
      <c r="Y8" s="8" t="s">
        <v>37</v>
      </c>
      <c r="Z8" s="8" t="s">
        <v>78</v>
      </c>
      <c r="AA8" s="8" t="s">
        <v>38</v>
      </c>
      <c r="AB8" s="8" t="s">
        <v>79</v>
      </c>
      <c r="AC8" s="25" t="s">
        <v>39</v>
      </c>
      <c r="AD8" s="26"/>
      <c r="AE8" s="25" t="s">
        <v>80</v>
      </c>
      <c r="AF8" s="26"/>
      <c r="AG8" s="25" t="s">
        <v>80</v>
      </c>
      <c r="AH8" s="26"/>
      <c r="AI8" s="3"/>
      <c r="AJ8" s="21"/>
      <c r="AK8" s="120" t="s">
        <v>130</v>
      </c>
      <c r="AL8" s="121"/>
    </row>
    <row r="9" spans="1:38" s="10" customFormat="1" ht="60" customHeight="1" x14ac:dyDescent="0.2">
      <c r="A9" s="8" t="s">
        <v>20</v>
      </c>
      <c r="B9" s="30"/>
      <c r="C9" s="31"/>
      <c r="D9" s="25" t="s">
        <v>122</v>
      </c>
      <c r="E9" s="68" t="s">
        <v>123</v>
      </c>
      <c r="F9" s="25" t="s">
        <v>124</v>
      </c>
      <c r="G9" s="25" t="s">
        <v>125</v>
      </c>
      <c r="H9" s="25" t="s">
        <v>126</v>
      </c>
      <c r="I9" s="69" t="s">
        <v>127</v>
      </c>
      <c r="J9" s="25" t="s">
        <v>128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120" t="s">
        <v>129</v>
      </c>
      <c r="AJ9" s="121"/>
      <c r="AK9" s="120" t="s">
        <v>131</v>
      </c>
      <c r="AL9" s="121"/>
    </row>
    <row r="10" spans="1:38" s="10" customFormat="1" ht="52" x14ac:dyDescent="0.2">
      <c r="A10" s="30" t="s">
        <v>40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127</v>
      </c>
      <c r="AD10" s="25" t="s">
        <v>128</v>
      </c>
      <c r="AE10" s="25" t="s">
        <v>127</v>
      </c>
      <c r="AF10" s="25" t="s">
        <v>128</v>
      </c>
      <c r="AG10" s="25" t="s">
        <v>127</v>
      </c>
      <c r="AH10" s="25" t="s">
        <v>128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41</v>
      </c>
      <c r="C11" s="31"/>
      <c r="D11" s="24" t="s">
        <v>65</v>
      </c>
      <c r="E11" s="29" t="s">
        <v>42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43</v>
      </c>
      <c r="E12" s="26" t="s">
        <v>44</v>
      </c>
      <c r="F12" s="26"/>
      <c r="G12" s="42" t="s">
        <v>132</v>
      </c>
      <c r="H12" s="42" t="s">
        <v>84</v>
      </c>
      <c r="I12" s="8" t="s">
        <v>72</v>
      </c>
      <c r="J12" s="8" t="s">
        <v>72</v>
      </c>
      <c r="K12" s="8"/>
      <c r="L12" s="8" t="s">
        <v>76</v>
      </c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81</v>
      </c>
      <c r="E13" s="26" t="s">
        <v>45</v>
      </c>
      <c r="F13" s="26"/>
      <c r="G13" s="42" t="s">
        <v>133</v>
      </c>
      <c r="H13" s="42" t="s">
        <v>96</v>
      </c>
      <c r="I13" s="8" t="s">
        <v>72</v>
      </c>
      <c r="J13" s="8" t="s">
        <v>72</v>
      </c>
      <c r="K13" s="8"/>
      <c r="L13" s="8"/>
      <c r="M13" s="8"/>
      <c r="N13" s="53"/>
      <c r="O13" s="8"/>
      <c r="P13" s="8" t="s">
        <v>97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82</v>
      </c>
      <c r="E14" s="26" t="s">
        <v>45</v>
      </c>
      <c r="F14" s="26"/>
      <c r="G14" s="42" t="s">
        <v>134</v>
      </c>
      <c r="H14" s="42" t="s">
        <v>98</v>
      </c>
      <c r="I14" s="8" t="s">
        <v>72</v>
      </c>
      <c r="J14" s="8" t="s">
        <v>72</v>
      </c>
      <c r="K14" s="8"/>
      <c r="L14" s="8"/>
      <c r="M14" s="8"/>
      <c r="N14" s="53"/>
      <c r="O14" s="8"/>
      <c r="P14" s="8" t="s">
        <v>99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46</v>
      </c>
      <c r="E15" s="26" t="s">
        <v>47</v>
      </c>
      <c r="F15" s="26"/>
      <c r="G15" s="42" t="s">
        <v>135</v>
      </c>
      <c r="H15" s="42" t="s">
        <v>100</v>
      </c>
      <c r="I15" s="8" t="s">
        <v>72</v>
      </c>
      <c r="J15" s="8" t="s">
        <v>72</v>
      </c>
      <c r="K15" s="8"/>
      <c r="L15" s="8"/>
      <c r="M15" s="8"/>
      <c r="N15" s="53"/>
      <c r="O15" s="8"/>
      <c r="P15" s="8"/>
      <c r="Q15" s="8"/>
      <c r="R15" s="8"/>
      <c r="S15" s="8"/>
      <c r="T15" s="8" t="s">
        <v>72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48</v>
      </c>
      <c r="E16" s="26" t="s">
        <v>47</v>
      </c>
      <c r="F16" s="26"/>
      <c r="G16" s="42" t="s">
        <v>136</v>
      </c>
      <c r="H16" s="42" t="s">
        <v>101</v>
      </c>
      <c r="I16" s="8" t="s">
        <v>72</v>
      </c>
      <c r="J16" s="8" t="s">
        <v>72</v>
      </c>
      <c r="K16" s="8"/>
      <c r="L16" s="8"/>
      <c r="M16" s="8"/>
      <c r="N16" s="53"/>
      <c r="O16" s="8"/>
      <c r="P16" s="8"/>
      <c r="Q16" s="8"/>
      <c r="R16" s="8"/>
      <c r="S16" s="8"/>
      <c r="T16" s="8" t="s">
        <v>72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49</v>
      </c>
      <c r="E17" s="26" t="s">
        <v>47</v>
      </c>
      <c r="F17" s="26"/>
      <c r="G17" s="42" t="s">
        <v>137</v>
      </c>
      <c r="H17" s="42" t="s">
        <v>102</v>
      </c>
      <c r="I17" s="8" t="s">
        <v>72</v>
      </c>
      <c r="J17" s="8" t="s">
        <v>72</v>
      </c>
      <c r="K17" s="8"/>
      <c r="L17" s="8"/>
      <c r="M17" s="8"/>
      <c r="N17" s="53"/>
      <c r="O17" s="8"/>
      <c r="P17" s="8"/>
      <c r="Q17" s="8"/>
      <c r="R17" s="8"/>
      <c r="S17" s="8"/>
      <c r="T17" s="8" t="s">
        <v>72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3"/>
      <c r="AJ17" s="44"/>
      <c r="AK17" s="40"/>
      <c r="AL17" s="41"/>
    </row>
    <row r="18" spans="1:38" s="10" customFormat="1" x14ac:dyDescent="0.2">
      <c r="A18" s="8">
        <v>10</v>
      </c>
      <c r="B18" s="8"/>
      <c r="C18" s="8"/>
      <c r="D18" s="8" t="s">
        <v>112</v>
      </c>
      <c r="E18" s="26" t="s">
        <v>47</v>
      </c>
      <c r="F18" s="26"/>
      <c r="G18" s="42" t="s">
        <v>138</v>
      </c>
      <c r="H18" s="42" t="s">
        <v>103</v>
      </c>
      <c r="I18" s="8" t="s">
        <v>72</v>
      </c>
      <c r="J18" s="8" t="s">
        <v>72</v>
      </c>
      <c r="K18" s="8"/>
      <c r="L18" s="8"/>
      <c r="M18" s="8"/>
      <c r="N18" s="53"/>
      <c r="O18" s="8"/>
      <c r="P18" s="8"/>
      <c r="Q18" s="8"/>
      <c r="R18" s="8"/>
      <c r="S18" s="8"/>
      <c r="T18" s="8" t="s">
        <v>72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3"/>
      <c r="AJ18" s="44"/>
      <c r="AK18" s="40"/>
      <c r="AL18" s="41"/>
    </row>
    <row r="19" spans="1:38" s="10" customFormat="1" x14ac:dyDescent="0.2">
      <c r="A19" s="8">
        <v>10</v>
      </c>
      <c r="B19" s="8"/>
      <c r="C19" s="8"/>
      <c r="D19" s="8" t="s">
        <v>111</v>
      </c>
      <c r="E19" s="26" t="s">
        <v>47</v>
      </c>
      <c r="F19" s="26"/>
      <c r="G19" s="42" t="s">
        <v>139</v>
      </c>
      <c r="H19" s="42" t="s">
        <v>117</v>
      </c>
      <c r="I19" s="8" t="s">
        <v>72</v>
      </c>
      <c r="J19" s="8" t="s">
        <v>72</v>
      </c>
      <c r="K19" s="8"/>
      <c r="L19" s="8"/>
      <c r="M19" s="8"/>
      <c r="N19" s="53"/>
      <c r="O19" s="8"/>
      <c r="P19" s="8"/>
      <c r="Q19" s="8"/>
      <c r="R19" s="8"/>
      <c r="S19" s="8"/>
      <c r="T19" s="8" t="s">
        <v>72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3"/>
      <c r="AJ19" s="44"/>
      <c r="AK19" s="40"/>
      <c r="AL19" s="41"/>
    </row>
    <row r="20" spans="1:38" s="10" customFormat="1" x14ac:dyDescent="0.2">
      <c r="A20" s="8">
        <v>10</v>
      </c>
      <c r="B20" s="8"/>
      <c r="C20" s="8"/>
      <c r="D20" s="8" t="s">
        <v>51</v>
      </c>
      <c r="E20" s="26" t="s">
        <v>47</v>
      </c>
      <c r="F20" s="26"/>
      <c r="G20" s="42" t="s">
        <v>140</v>
      </c>
      <c r="H20" s="42" t="s">
        <v>85</v>
      </c>
      <c r="I20" s="8" t="s">
        <v>72</v>
      </c>
      <c r="J20" s="8" t="s">
        <v>72</v>
      </c>
      <c r="K20" s="8"/>
      <c r="L20" s="8"/>
      <c r="M20" s="8"/>
      <c r="N20" s="53"/>
      <c r="O20" s="8"/>
      <c r="P20" s="8"/>
      <c r="Q20" s="8"/>
      <c r="R20" s="8"/>
      <c r="S20" s="8"/>
      <c r="T20" s="8" t="s">
        <v>72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3"/>
      <c r="AJ20" s="44"/>
      <c r="AK20" s="40"/>
      <c r="AL20" s="41"/>
    </row>
    <row r="21" spans="1:38" s="10" customFormat="1" x14ac:dyDescent="0.2">
      <c r="A21" s="8">
        <v>10</v>
      </c>
      <c r="B21" s="8"/>
      <c r="C21" s="8"/>
      <c r="D21" s="8" t="s">
        <v>83</v>
      </c>
      <c r="E21" s="26" t="s">
        <v>47</v>
      </c>
      <c r="F21" s="26"/>
      <c r="G21" s="42" t="s">
        <v>141</v>
      </c>
      <c r="H21" s="42" t="s">
        <v>73</v>
      </c>
      <c r="I21" s="8" t="s">
        <v>72</v>
      </c>
      <c r="J21" s="8" t="s">
        <v>72</v>
      </c>
      <c r="K21" s="8"/>
      <c r="L21" s="8"/>
      <c r="M21" s="8"/>
      <c r="N21" s="5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3"/>
      <c r="AJ21" s="44"/>
      <c r="AK21" s="40"/>
      <c r="AL21" s="41"/>
    </row>
    <row r="22" spans="1:38" s="10" customFormat="1" x14ac:dyDescent="0.2">
      <c r="A22" s="8">
        <v>10</v>
      </c>
      <c r="B22" s="8"/>
      <c r="C22" s="8"/>
      <c r="D22" s="8" t="s">
        <v>52</v>
      </c>
      <c r="E22" s="26" t="s">
        <v>47</v>
      </c>
      <c r="F22" s="26"/>
      <c r="G22" s="42" t="s">
        <v>142</v>
      </c>
      <c r="H22" s="42" t="s">
        <v>104</v>
      </c>
      <c r="I22" s="8" t="s">
        <v>72</v>
      </c>
      <c r="J22" s="8" t="s">
        <v>72</v>
      </c>
      <c r="K22" s="8"/>
      <c r="L22" s="8"/>
      <c r="M22" s="8"/>
      <c r="N22" s="5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3"/>
      <c r="AJ22" s="44"/>
      <c r="AK22" s="40"/>
      <c r="AL22" s="41"/>
    </row>
    <row r="23" spans="1:38" s="10" customFormat="1" x14ac:dyDescent="0.2">
      <c r="A23" s="8">
        <v>10</v>
      </c>
      <c r="B23" s="8"/>
      <c r="C23" s="8"/>
      <c r="D23" s="8" t="s">
        <v>53</v>
      </c>
      <c r="E23" s="26" t="s">
        <v>47</v>
      </c>
      <c r="F23" s="26"/>
      <c r="G23" s="42" t="s">
        <v>143</v>
      </c>
      <c r="H23" s="42" t="s">
        <v>74</v>
      </c>
      <c r="I23" s="8" t="s">
        <v>75</v>
      </c>
      <c r="J23" s="8" t="s">
        <v>76</v>
      </c>
      <c r="K23" s="8"/>
      <c r="L23" s="8"/>
      <c r="M23" s="8"/>
      <c r="N23" s="5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3"/>
      <c r="AJ23" s="44"/>
      <c r="AK23" s="40"/>
      <c r="AL23" s="41"/>
    </row>
    <row r="24" spans="1:38" s="10" customFormat="1" x14ac:dyDescent="0.2">
      <c r="A24" s="22"/>
      <c r="B24" s="23"/>
      <c r="C24" s="23"/>
      <c r="D24" s="16" t="s">
        <v>14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9"/>
      <c r="AI24" s="9"/>
      <c r="AJ24" s="9"/>
      <c r="AK24" s="9"/>
      <c r="AL24" s="45"/>
    </row>
    <row r="25" spans="1:38" s="10" customFormat="1" x14ac:dyDescent="0.2">
      <c r="A25" s="56"/>
      <c r="AL25" s="46"/>
    </row>
    <row r="26" spans="1:38" s="10" customFormat="1" x14ac:dyDescent="0.2">
      <c r="A26" s="56"/>
      <c r="AL26" s="46"/>
    </row>
    <row r="27" spans="1:38" s="10" customFormat="1" x14ac:dyDescent="0.2">
      <c r="A27" s="56"/>
      <c r="AL27" s="46"/>
    </row>
    <row r="28" spans="1:38" s="10" customFormat="1" x14ac:dyDescent="0.2">
      <c r="A28" s="62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0.453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70</v>
      </c>
      <c r="B1" s="54" t="s">
        <v>70</v>
      </c>
      <c r="C1" s="54"/>
      <c r="D1" s="1" t="s">
        <v>89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70</v>
      </c>
      <c r="B2" s="23"/>
      <c r="C2" s="23"/>
      <c r="D2" s="65" t="s">
        <v>118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MBBBL5020</v>
      </c>
      <c r="I2" s="7" t="s">
        <v>90</v>
      </c>
      <c r="J2" s="8" t="s">
        <v>66</v>
      </c>
      <c r="K2" s="7" t="s">
        <v>68</v>
      </c>
      <c r="L2" s="55" t="str">
        <f>IF(LogicCommon!G2="","",LogicCommon!G2)</f>
        <v>MC</v>
      </c>
      <c r="M2" s="5" t="s">
        <v>91</v>
      </c>
      <c r="N2" s="24" t="s">
        <v>116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70</v>
      </c>
      <c r="B3" s="57"/>
      <c r="C3" s="57"/>
      <c r="D3" s="58" t="str">
        <f>IF(LogicCommon!A3="","",LogicCommon!A3)</f>
        <v/>
      </c>
      <c r="E3" s="7" t="s">
        <v>6</v>
      </c>
      <c r="F3" s="55" t="str">
        <f>IF(LogicCommon!C3="","",LogicCommon!C3)</f>
        <v>MBBB</v>
      </c>
      <c r="G3" s="7" t="s">
        <v>8</v>
      </c>
      <c r="H3" s="55" t="str">
        <f>IF(LogicCommon!E3="","",LogicCommon!E3)</f>
        <v>MBBBL_AcIfService</v>
      </c>
      <c r="I3" s="7" t="s">
        <v>15</v>
      </c>
      <c r="J3" s="8" t="s">
        <v>16</v>
      </c>
      <c r="K3" s="7" t="s">
        <v>69</v>
      </c>
      <c r="L3" s="55" t="str">
        <f>IF(LogicCommon!G3="","",LogicCommon!G3)</f>
        <v/>
      </c>
      <c r="M3" s="43"/>
      <c r="N3" s="7"/>
      <c r="O3" s="7" t="s">
        <v>92</v>
      </c>
      <c r="P3" s="8" t="s">
        <v>93</v>
      </c>
      <c r="Q3" s="4"/>
      <c r="R3" s="5"/>
      <c r="S3" s="5"/>
      <c r="T3" s="5"/>
      <c r="U3" s="5"/>
    </row>
    <row r="4" spans="1:21" s="10" customFormat="1" x14ac:dyDescent="0.2">
      <c r="A4" s="56" t="s">
        <v>70</v>
      </c>
      <c r="B4" s="57"/>
      <c r="C4" s="57"/>
      <c r="D4" s="4"/>
      <c r="E4" s="7" t="s">
        <v>17</v>
      </c>
      <c r="F4" s="59" t="s">
        <v>71</v>
      </c>
      <c r="G4" s="7" t="s">
        <v>10</v>
      </c>
      <c r="H4" s="55" t="str">
        <f>IF(LogicCommon!E4="","",LogicCommon!E4)</f>
        <v>会計ＩＦデータ取込サービス</v>
      </c>
      <c r="I4" s="7" t="s">
        <v>94</v>
      </c>
      <c r="J4" s="8" t="s">
        <v>54</v>
      </c>
      <c r="K4" s="7" t="s">
        <v>12</v>
      </c>
      <c r="L4" s="55" t="str">
        <f>IF(LogicCommon!G4="","",LogicCommon!G4)</f>
        <v>MB.MBUDL5010</v>
      </c>
      <c r="M4" s="60" t="s">
        <v>77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70</v>
      </c>
      <c r="B5" s="54"/>
      <c r="C5" s="54"/>
      <c r="D5" s="21"/>
      <c r="E5" s="7" t="s">
        <v>95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70</v>
      </c>
      <c r="B6" s="57"/>
      <c r="C6" s="57"/>
      <c r="D6" s="4" t="s">
        <v>13</v>
      </c>
      <c r="E6" s="12" t="s">
        <v>55</v>
      </c>
      <c r="F6" s="12"/>
      <c r="G6" s="12"/>
      <c r="H6" s="12"/>
      <c r="I6" s="12"/>
      <c r="J6" s="12"/>
      <c r="K6" s="12"/>
      <c r="L6" s="64"/>
      <c r="M6" s="15" t="s">
        <v>88</v>
      </c>
      <c r="N6" s="15"/>
      <c r="O6" s="15" t="s">
        <v>88</v>
      </c>
      <c r="P6" s="15"/>
      <c r="Q6" s="15" t="s">
        <v>88</v>
      </c>
      <c r="R6" s="4"/>
      <c r="S6" s="4"/>
      <c r="T6" s="4"/>
      <c r="U6" s="4"/>
    </row>
    <row r="7" spans="1:21" s="10" customFormat="1" x14ac:dyDescent="0.2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48" t="s">
        <v>56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66"/>
      <c r="C8" s="67"/>
      <c r="D8" s="25" t="s">
        <v>119</v>
      </c>
      <c r="E8" s="25" t="s">
        <v>120</v>
      </c>
      <c r="F8" s="64"/>
      <c r="G8" s="25" t="s">
        <v>105</v>
      </c>
      <c r="H8" s="25" t="s">
        <v>121</v>
      </c>
      <c r="I8" s="64"/>
      <c r="J8" s="3"/>
      <c r="K8" s="8"/>
      <c r="L8" s="25" t="s">
        <v>39</v>
      </c>
      <c r="M8" s="26"/>
      <c r="N8" s="25" t="s">
        <v>86</v>
      </c>
      <c r="O8" s="26"/>
      <c r="P8" s="25" t="s">
        <v>87</v>
      </c>
      <c r="Q8" s="26"/>
      <c r="R8" s="3"/>
      <c r="S8" s="21"/>
      <c r="T8" s="120" t="s">
        <v>130</v>
      </c>
      <c r="U8" s="121"/>
    </row>
    <row r="9" spans="1:21" s="10" customFormat="1" ht="60" customHeight="1" x14ac:dyDescent="0.2">
      <c r="A9" s="8" t="s">
        <v>20</v>
      </c>
      <c r="B9" s="30"/>
      <c r="C9" s="31"/>
      <c r="D9" s="25" t="s">
        <v>144</v>
      </c>
      <c r="E9" s="68" t="s">
        <v>145</v>
      </c>
      <c r="F9" s="25" t="s">
        <v>124</v>
      </c>
      <c r="G9" s="25" t="s">
        <v>125</v>
      </c>
      <c r="H9" s="25" t="s">
        <v>126</v>
      </c>
      <c r="I9" s="69" t="s">
        <v>127</v>
      </c>
      <c r="J9" s="25" t="s">
        <v>128</v>
      </c>
      <c r="K9" s="65"/>
      <c r="L9" s="69"/>
      <c r="M9" s="25"/>
      <c r="N9" s="25"/>
      <c r="O9" s="25"/>
      <c r="P9" s="25"/>
      <c r="Q9" s="25"/>
      <c r="R9" s="120" t="s">
        <v>129</v>
      </c>
      <c r="S9" s="121"/>
      <c r="T9" s="120" t="s">
        <v>131</v>
      </c>
      <c r="U9" s="121"/>
    </row>
    <row r="10" spans="1:21" s="10" customFormat="1" ht="52" x14ac:dyDescent="0.2">
      <c r="A10" s="30" t="s">
        <v>40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127</v>
      </c>
      <c r="M10" s="25" t="s">
        <v>128</v>
      </c>
      <c r="N10" s="25" t="s">
        <v>127</v>
      </c>
      <c r="O10" s="25" t="s">
        <v>128</v>
      </c>
      <c r="P10" s="25" t="s">
        <v>127</v>
      </c>
      <c r="Q10" s="25" t="s">
        <v>128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41</v>
      </c>
      <c r="C11" s="31"/>
      <c r="D11" s="24" t="s">
        <v>67</v>
      </c>
      <c r="E11" s="29" t="s">
        <v>42</v>
      </c>
      <c r="F11" s="38"/>
      <c r="G11" s="24" t="s">
        <v>57</v>
      </c>
      <c r="H11" s="28" t="s">
        <v>106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43</v>
      </c>
      <c r="E12" s="26" t="s">
        <v>44</v>
      </c>
      <c r="F12" s="26"/>
      <c r="G12" s="42" t="s">
        <v>132</v>
      </c>
      <c r="H12" s="42" t="s">
        <v>84</v>
      </c>
      <c r="I12" s="8" t="s">
        <v>72</v>
      </c>
      <c r="J12" s="8" t="s">
        <v>75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81</v>
      </c>
      <c r="E13" s="26" t="s">
        <v>45</v>
      </c>
      <c r="F13" s="26"/>
      <c r="G13" s="42" t="s">
        <v>133</v>
      </c>
      <c r="H13" s="42" t="s">
        <v>107</v>
      </c>
      <c r="I13" s="8" t="s">
        <v>72</v>
      </c>
      <c r="J13" s="8" t="s">
        <v>75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82</v>
      </c>
      <c r="E14" s="26" t="s">
        <v>45</v>
      </c>
      <c r="F14" s="26"/>
      <c r="G14" s="42" t="s">
        <v>134</v>
      </c>
      <c r="H14" s="42" t="s">
        <v>108</v>
      </c>
      <c r="I14" s="8" t="s">
        <v>72</v>
      </c>
      <c r="J14" s="8" t="s">
        <v>75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46</v>
      </c>
      <c r="E15" s="26" t="s">
        <v>47</v>
      </c>
      <c r="F15" s="26"/>
      <c r="G15" s="42" t="s">
        <v>135</v>
      </c>
      <c r="H15" s="42" t="s">
        <v>100</v>
      </c>
      <c r="I15" s="8" t="s">
        <v>72</v>
      </c>
      <c r="J15" s="8" t="s">
        <v>75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48</v>
      </c>
      <c r="E16" s="26" t="s">
        <v>47</v>
      </c>
      <c r="F16" s="26"/>
      <c r="G16" s="42" t="s">
        <v>136</v>
      </c>
      <c r="H16" s="42" t="s">
        <v>101</v>
      </c>
      <c r="I16" s="8" t="s">
        <v>72</v>
      </c>
      <c r="J16" s="8" t="s">
        <v>75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49</v>
      </c>
      <c r="E17" s="26" t="s">
        <v>47</v>
      </c>
      <c r="F17" s="26"/>
      <c r="G17" s="42" t="s">
        <v>137</v>
      </c>
      <c r="H17" s="42" t="s">
        <v>102</v>
      </c>
      <c r="I17" s="8" t="s">
        <v>72</v>
      </c>
      <c r="J17" s="8" t="s">
        <v>75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50</v>
      </c>
      <c r="E18" s="26" t="s">
        <v>47</v>
      </c>
      <c r="F18" s="26"/>
      <c r="G18" s="42" t="s">
        <v>138</v>
      </c>
      <c r="H18" s="42" t="s">
        <v>103</v>
      </c>
      <c r="I18" s="8" t="s">
        <v>72</v>
      </c>
      <c r="J18" s="8" t="s">
        <v>75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110</v>
      </c>
      <c r="E19" s="26" t="s">
        <v>47</v>
      </c>
      <c r="F19" s="26"/>
      <c r="G19" s="42" t="s">
        <v>139</v>
      </c>
      <c r="H19" s="42" t="s">
        <v>117</v>
      </c>
      <c r="I19" s="8" t="s">
        <v>72</v>
      </c>
      <c r="J19" s="8" t="s">
        <v>75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51</v>
      </c>
      <c r="E20" s="26" t="s">
        <v>47</v>
      </c>
      <c r="F20" s="26"/>
      <c r="G20" s="42" t="s">
        <v>140</v>
      </c>
      <c r="H20" s="42" t="s">
        <v>85</v>
      </c>
      <c r="I20" s="8" t="s">
        <v>72</v>
      </c>
      <c r="J20" s="8" t="s">
        <v>75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83</v>
      </c>
      <c r="E21" s="26" t="s">
        <v>47</v>
      </c>
      <c r="F21" s="26"/>
      <c r="G21" s="42" t="s">
        <v>141</v>
      </c>
      <c r="H21" s="42" t="s">
        <v>73</v>
      </c>
      <c r="I21" s="8" t="s">
        <v>72</v>
      </c>
      <c r="J21" s="8" t="s">
        <v>75</v>
      </c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52</v>
      </c>
      <c r="E22" s="26" t="s">
        <v>47</v>
      </c>
      <c r="F22" s="26"/>
      <c r="G22" s="42" t="s">
        <v>142</v>
      </c>
      <c r="H22" s="42" t="s">
        <v>104</v>
      </c>
      <c r="I22" s="8" t="s">
        <v>72</v>
      </c>
      <c r="J22" s="8" t="s">
        <v>75</v>
      </c>
      <c r="K22" s="8"/>
      <c r="L22" s="8"/>
      <c r="M22" s="8"/>
      <c r="N22" s="8"/>
      <c r="O22" s="8"/>
      <c r="P22" s="8"/>
      <c r="Q22" s="8"/>
      <c r="R22" s="43"/>
      <c r="S22" s="44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53</v>
      </c>
      <c r="E23" s="26" t="s">
        <v>47</v>
      </c>
      <c r="F23" s="26"/>
      <c r="G23" s="42" t="s">
        <v>143</v>
      </c>
      <c r="H23" s="42" t="s">
        <v>109</v>
      </c>
      <c r="I23" s="8" t="s">
        <v>75</v>
      </c>
      <c r="J23" s="8" t="s">
        <v>72</v>
      </c>
      <c r="K23" s="8"/>
      <c r="L23" s="8"/>
      <c r="M23" s="8"/>
      <c r="N23" s="8"/>
      <c r="O23" s="8"/>
      <c r="P23" s="8"/>
      <c r="Q23" s="8"/>
      <c r="R23" s="43"/>
      <c r="S23" s="44"/>
      <c r="T23" s="40"/>
      <c r="U23" s="41"/>
    </row>
    <row r="24" spans="1:21" s="10" customFormat="1" x14ac:dyDescent="0.2">
      <c r="A24" s="22"/>
      <c r="B24" s="23"/>
      <c r="C24" s="23"/>
      <c r="D24" s="16" t="s">
        <v>14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9"/>
      <c r="R24" s="9"/>
      <c r="S24" s="9"/>
      <c r="T24" s="9"/>
      <c r="U24" s="45"/>
    </row>
    <row r="25" spans="1:21" s="10" customFormat="1" x14ac:dyDescent="0.2">
      <c r="A25" s="56"/>
      <c r="U25" s="46"/>
    </row>
    <row r="26" spans="1:21" s="10" customFormat="1" x14ac:dyDescent="0.2">
      <c r="A26" s="56"/>
      <c r="U26" s="46"/>
    </row>
    <row r="27" spans="1:21" s="10" customFormat="1" x14ac:dyDescent="0.2">
      <c r="A27" s="56"/>
      <c r="U27" s="46"/>
    </row>
    <row r="28" spans="1:21" s="10" customFormat="1" x14ac:dyDescent="0.2">
      <c r="A28" s="62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99" t="s">
        <v>58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02" t="s">
        <v>59</v>
      </c>
      <c r="B3" s="103"/>
      <c r="C3" s="103"/>
      <c r="D3" s="103"/>
      <c r="E3" s="103"/>
      <c r="F3" s="103"/>
      <c r="G3" s="104"/>
      <c r="H3" s="105" t="s">
        <v>60</v>
      </c>
      <c r="I3" s="103"/>
      <c r="J3" s="103"/>
      <c r="K3" s="103"/>
      <c r="L3" s="103"/>
      <c r="M3" s="103"/>
      <c r="N3" s="104"/>
      <c r="O3" s="105" t="s">
        <v>61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62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63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3" t="s">
        <v>146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147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83"/>
      <c r="I6" s="84"/>
      <c r="J6" s="84"/>
      <c r="K6" s="84"/>
      <c r="L6" s="84"/>
      <c r="M6" s="84"/>
      <c r="N6" s="85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AcIf_Chk01</vt:lpstr>
      <vt:lpstr>AcIf_Upd01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2026-03-27T05:47:57Z</dcterms:modified>
  <cp:category/>
</cp:coreProperties>
</file>